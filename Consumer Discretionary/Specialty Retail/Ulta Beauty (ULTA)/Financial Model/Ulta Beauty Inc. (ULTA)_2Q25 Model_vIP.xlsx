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850EE802-D536-41C2-AE14-4B410CE0D03D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" i="10" l="1"/>
  <c r="AF10" i="10"/>
  <c r="AE10" i="10"/>
  <c r="AG9" i="10"/>
  <c r="AF9" i="10"/>
  <c r="AE9" i="10"/>
  <c r="AG8" i="10"/>
  <c r="AF8" i="10"/>
  <c r="AE8" i="10"/>
  <c r="AG7" i="10"/>
  <c r="AF7" i="10"/>
  <c r="AE7" i="10"/>
  <c r="W13" i="10"/>
  <c r="W14" i="10" s="1"/>
  <c r="V13" i="10"/>
  <c r="U13" i="10"/>
  <c r="T13" i="10"/>
  <c r="T14" i="10" s="1"/>
  <c r="S13" i="10"/>
  <c r="S14" i="10" s="1"/>
  <c r="R13" i="10"/>
  <c r="P13" i="10"/>
  <c r="P14" i="10" s="1"/>
  <c r="O13" i="10"/>
  <c r="N13" i="10"/>
  <c r="L13" i="10"/>
  <c r="K13" i="10"/>
  <c r="K14" i="10" s="1"/>
  <c r="J13" i="10"/>
  <c r="V14" i="10"/>
  <c r="U14" i="10"/>
  <c r="R14" i="10"/>
  <c r="O14" i="10"/>
  <c r="N14" i="10"/>
  <c r="L14" i="10"/>
  <c r="J14" i="10"/>
  <c r="E14" i="10"/>
  <c r="H13" i="10"/>
  <c r="H14" i="10" s="1"/>
  <c r="G13" i="10"/>
  <c r="G14" i="10" s="1"/>
  <c r="F13" i="10"/>
  <c r="F14" i="10" s="1"/>
  <c r="E13" i="10"/>
  <c r="D13" i="10"/>
  <c r="D14" i="10" s="1"/>
  <c r="C13" i="10"/>
  <c r="C14" i="10" s="1"/>
  <c r="Q12" i="10"/>
  <c r="Q11" i="10"/>
  <c r="Q10" i="10"/>
  <c r="Q9" i="10"/>
  <c r="Q8" i="10"/>
  <c r="Q7" i="10"/>
  <c r="Q13" i="10" s="1"/>
  <c r="Q14" i="10" s="1"/>
  <c r="M12" i="10"/>
  <c r="M11" i="10"/>
  <c r="M10" i="10"/>
  <c r="M9" i="10"/>
  <c r="M8" i="10"/>
  <c r="M7" i="10"/>
  <c r="M13" i="10" s="1"/>
  <c r="M14" i="10" s="1"/>
  <c r="W145" i="8"/>
  <c r="S145" i="8"/>
  <c r="T145" i="8" s="1"/>
  <c r="U145" i="8" s="1"/>
  <c r="P145" i="8"/>
  <c r="Q145" i="8" s="1"/>
  <c r="O145" i="8"/>
  <c r="K145" i="8"/>
  <c r="L145" i="8" s="1"/>
  <c r="U144" i="8"/>
  <c r="Q144" i="8"/>
  <c r="L144" i="8"/>
  <c r="M144" i="8" s="1"/>
  <c r="W128" i="8"/>
  <c r="S128" i="8"/>
  <c r="T128" i="8" s="1"/>
  <c r="O128" i="8"/>
  <c r="K128" i="8"/>
  <c r="W127" i="8"/>
  <c r="S127" i="8"/>
  <c r="O127" i="8"/>
  <c r="K127" i="8"/>
  <c r="L127" i="8" s="1"/>
  <c r="M127" i="8" s="1"/>
  <c r="W126" i="8"/>
  <c r="T126" i="8"/>
  <c r="U126" i="8" s="1"/>
  <c r="S126" i="8"/>
  <c r="O126" i="8"/>
  <c r="P126" i="8" s="1"/>
  <c r="Q126" i="8" s="1"/>
  <c r="K126" i="8"/>
  <c r="S125" i="8"/>
  <c r="Q125" i="8"/>
  <c r="M125" i="8"/>
  <c r="U124" i="8"/>
  <c r="Q124" i="8"/>
  <c r="M124" i="8"/>
  <c r="U123" i="8"/>
  <c r="Q123" i="8"/>
  <c r="M123" i="8"/>
  <c r="U122" i="8"/>
  <c r="Q122" i="8"/>
  <c r="M122" i="8"/>
  <c r="T121" i="8"/>
  <c r="U121" i="8" s="1"/>
  <c r="P121" i="8"/>
  <c r="M121" i="8"/>
  <c r="W120" i="8"/>
  <c r="W119" i="8"/>
  <c r="W115" i="8"/>
  <c r="S115" i="8"/>
  <c r="T115" i="8" s="1"/>
  <c r="U115" i="8" s="1"/>
  <c r="O115" i="8"/>
  <c r="K115" i="8"/>
  <c r="L115" i="8" s="1"/>
  <c r="W114" i="8"/>
  <c r="W113" i="8"/>
  <c r="S113" i="8"/>
  <c r="T113" i="8" s="1"/>
  <c r="O113" i="8"/>
  <c r="P113" i="8" s="1"/>
  <c r="K113" i="8"/>
  <c r="W109" i="8"/>
  <c r="S109" i="8"/>
  <c r="O109" i="8"/>
  <c r="P109" i="8" s="1"/>
  <c r="Q109" i="8" s="1"/>
  <c r="K109" i="8"/>
  <c r="W108" i="8"/>
  <c r="S108" i="8"/>
  <c r="T108" i="8" s="1"/>
  <c r="U108" i="8" s="1"/>
  <c r="O108" i="8"/>
  <c r="K108" i="8"/>
  <c r="L108" i="8" s="1"/>
  <c r="M108" i="8" s="1"/>
  <c r="W107" i="8"/>
  <c r="S107" i="8"/>
  <c r="T107" i="8" s="1"/>
  <c r="U107" i="8" s="1"/>
  <c r="O107" i="8"/>
  <c r="K107" i="8"/>
  <c r="L107" i="8" s="1"/>
  <c r="M107" i="8" s="1"/>
  <c r="W106" i="8"/>
  <c r="S106" i="8"/>
  <c r="O106" i="8"/>
  <c r="K106" i="8"/>
  <c r="L106" i="8" s="1"/>
  <c r="M106" i="8" s="1"/>
  <c r="W105" i="8"/>
  <c r="S105" i="8"/>
  <c r="T105" i="8" s="1"/>
  <c r="U105" i="8" s="1"/>
  <c r="O105" i="8"/>
  <c r="K105" i="8"/>
  <c r="W104" i="8"/>
  <c r="S104" i="8"/>
  <c r="T104" i="8" s="1"/>
  <c r="U104" i="8" s="1"/>
  <c r="O104" i="8"/>
  <c r="K104" i="8"/>
  <c r="W103" i="8"/>
  <c r="S103" i="8"/>
  <c r="T103" i="8" s="1"/>
  <c r="U103" i="8" s="1"/>
  <c r="O103" i="8"/>
  <c r="K103" i="8"/>
  <c r="L103" i="8" s="1"/>
  <c r="M103" i="8" s="1"/>
  <c r="W102" i="8"/>
  <c r="S102" i="8"/>
  <c r="O102" i="8"/>
  <c r="K102" i="8"/>
  <c r="L102" i="8" s="1"/>
  <c r="W101" i="8"/>
  <c r="S101" i="8"/>
  <c r="O101" i="8"/>
  <c r="K101" i="8"/>
  <c r="W98" i="8"/>
  <c r="Q97" i="8"/>
  <c r="M97" i="8"/>
  <c r="W96" i="8"/>
  <c r="S96" i="8"/>
  <c r="T96" i="8" s="1"/>
  <c r="O96" i="8"/>
  <c r="P96" i="8" s="1"/>
  <c r="Q96" i="8" s="1"/>
  <c r="K96" i="8"/>
  <c r="W95" i="8"/>
  <c r="S95" i="8"/>
  <c r="T95" i="8" s="1"/>
  <c r="O95" i="8"/>
  <c r="K95" i="8"/>
  <c r="W94" i="8"/>
  <c r="S94" i="8"/>
  <c r="T94" i="8" s="1"/>
  <c r="U94" i="8" s="1"/>
  <c r="O94" i="8"/>
  <c r="P94" i="8" s="1"/>
  <c r="Q94" i="8" s="1"/>
  <c r="K94" i="8"/>
  <c r="L94" i="8" s="1"/>
  <c r="W93" i="8"/>
  <c r="S93" i="8"/>
  <c r="T93" i="8" s="1"/>
  <c r="O93" i="8"/>
  <c r="P93" i="8" s="1"/>
  <c r="K93" i="8"/>
  <c r="L93" i="8" s="1"/>
  <c r="M93" i="8" s="1"/>
  <c r="W92" i="8"/>
  <c r="S92" i="8"/>
  <c r="O92" i="8"/>
  <c r="P92" i="8" s="1"/>
  <c r="Q92" i="8" s="1"/>
  <c r="K92" i="8"/>
  <c r="L92" i="8" s="1"/>
  <c r="U76" i="8"/>
  <c r="AG76" i="8" s="1"/>
  <c r="Q76" i="8"/>
  <c r="M76" i="8"/>
  <c r="U75" i="8"/>
  <c r="Q75" i="8"/>
  <c r="M75" i="8"/>
  <c r="U74" i="8"/>
  <c r="AG74" i="8" s="1"/>
  <c r="Q74" i="8"/>
  <c r="M74" i="8"/>
  <c r="U73" i="8"/>
  <c r="AG73" i="8" s="1"/>
  <c r="Q73" i="8"/>
  <c r="M73" i="8"/>
  <c r="U70" i="8"/>
  <c r="Q70" i="8"/>
  <c r="M70" i="8"/>
  <c r="U69" i="8"/>
  <c r="Q69" i="8"/>
  <c r="AB69" i="8" s="1"/>
  <c r="M69" i="8"/>
  <c r="U68" i="8"/>
  <c r="Q68" i="8"/>
  <c r="M68" i="8"/>
  <c r="U64" i="8"/>
  <c r="AG64" i="8" s="1"/>
  <c r="Q64" i="8"/>
  <c r="M64" i="8"/>
  <c r="U63" i="8"/>
  <c r="Q63" i="8"/>
  <c r="M63" i="8"/>
  <c r="U62" i="8"/>
  <c r="AG62" i="8" s="1"/>
  <c r="Q62" i="8"/>
  <c r="M62" i="8"/>
  <c r="U61" i="8"/>
  <c r="Q61" i="8"/>
  <c r="M61" i="8"/>
  <c r="U60" i="8"/>
  <c r="AG60" i="8" s="1"/>
  <c r="Q60" i="8"/>
  <c r="M60" i="8"/>
  <c r="U59" i="8"/>
  <c r="Q59" i="8"/>
  <c r="M59" i="8"/>
  <c r="AI43" i="8"/>
  <c r="AH43" i="8"/>
  <c r="AG43" i="8"/>
  <c r="AF43" i="8"/>
  <c r="AE43" i="8"/>
  <c r="U46" i="8"/>
  <c r="AG46" i="8" s="1"/>
  <c r="U45" i="8"/>
  <c r="AG45" i="8" s="1"/>
  <c r="U44" i="8"/>
  <c r="U43" i="8"/>
  <c r="U42" i="8"/>
  <c r="Q46" i="8"/>
  <c r="Q45" i="8"/>
  <c r="Q44" i="8"/>
  <c r="Q43" i="8"/>
  <c r="Q42" i="8"/>
  <c r="M55" i="8"/>
  <c r="M54" i="8"/>
  <c r="M53" i="8"/>
  <c r="M52" i="8"/>
  <c r="M51" i="8"/>
  <c r="M50" i="8"/>
  <c r="Y50" i="8" s="1"/>
  <c r="M46" i="8"/>
  <c r="M45" i="8"/>
  <c r="Y45" i="8" s="1"/>
  <c r="M44" i="8"/>
  <c r="M43" i="8"/>
  <c r="M42" i="8"/>
  <c r="Y42" i="8" s="1"/>
  <c r="U55" i="8"/>
  <c r="Q55" i="8"/>
  <c r="U54" i="8"/>
  <c r="Q54" i="8"/>
  <c r="U53" i="8"/>
  <c r="Q53" i="8"/>
  <c r="U52" i="8"/>
  <c r="Q52" i="8"/>
  <c r="U51" i="8"/>
  <c r="Q51" i="8"/>
  <c r="AB51" i="8" s="1"/>
  <c r="U50" i="8"/>
  <c r="Q50" i="8"/>
  <c r="D35" i="8"/>
  <c r="D32" i="8"/>
  <c r="U27" i="8"/>
  <c r="U23" i="8"/>
  <c r="AG23" i="8" s="1"/>
  <c r="U19" i="8"/>
  <c r="U18" i="8"/>
  <c r="U17" i="8"/>
  <c r="Q27" i="8"/>
  <c r="M27" i="8"/>
  <c r="Q23" i="8"/>
  <c r="Q19" i="8"/>
  <c r="Q18" i="8"/>
  <c r="Q17" i="8"/>
  <c r="M23" i="8"/>
  <c r="M19" i="8"/>
  <c r="M18" i="8"/>
  <c r="M17" i="8"/>
  <c r="U13" i="8"/>
  <c r="Q13" i="8"/>
  <c r="M13" i="8"/>
  <c r="U10" i="8"/>
  <c r="Q10" i="8"/>
  <c r="M10" i="8"/>
  <c r="D134" i="8"/>
  <c r="D138" i="8"/>
  <c r="D140" i="8" s="1"/>
  <c r="D129" i="8"/>
  <c r="D116" i="8"/>
  <c r="D86" i="8"/>
  <c r="D85" i="8"/>
  <c r="D77" i="8"/>
  <c r="D65" i="8"/>
  <c r="D71" i="8" s="1"/>
  <c r="D47" i="8"/>
  <c r="D56" i="8" s="1"/>
  <c r="D39" i="8"/>
  <c r="D38" i="8"/>
  <c r="D11" i="8"/>
  <c r="D14" i="8" s="1"/>
  <c r="D15" i="8" s="1"/>
  <c r="G4" i="10"/>
  <c r="F4" i="10"/>
  <c r="E4" i="10"/>
  <c r="D4" i="10"/>
  <c r="C4" i="10"/>
  <c r="G3" i="10"/>
  <c r="F3" i="10"/>
  <c r="E3" i="10"/>
  <c r="D3" i="10"/>
  <c r="C3" i="10"/>
  <c r="E134" i="8"/>
  <c r="C134" i="8"/>
  <c r="E129" i="8"/>
  <c r="C129" i="8"/>
  <c r="E116" i="8"/>
  <c r="C116" i="8"/>
  <c r="E86" i="8"/>
  <c r="C86" i="8"/>
  <c r="E85" i="8"/>
  <c r="C85" i="8"/>
  <c r="E77" i="8"/>
  <c r="C77" i="8"/>
  <c r="E65" i="8"/>
  <c r="E71" i="8" s="1"/>
  <c r="C65" i="8"/>
  <c r="C71" i="8" s="1"/>
  <c r="E47" i="8"/>
  <c r="E56" i="8" s="1"/>
  <c r="C47" i="8"/>
  <c r="C56" i="8" s="1"/>
  <c r="E39" i="8"/>
  <c r="C39" i="8"/>
  <c r="E38" i="8"/>
  <c r="C38" i="8"/>
  <c r="E11" i="8"/>
  <c r="E14" i="8" s="1"/>
  <c r="E20" i="8" s="1"/>
  <c r="C11" i="8"/>
  <c r="C14" i="8" s="1"/>
  <c r="E19" i="10"/>
  <c r="D19" i="10"/>
  <c r="D20" i="10" s="1"/>
  <c r="C19" i="10"/>
  <c r="AG75" i="8"/>
  <c r="AG70" i="8"/>
  <c r="AG69" i="8"/>
  <c r="AG68" i="8"/>
  <c r="AG63" i="8"/>
  <c r="AG61" i="8"/>
  <c r="AG59" i="8"/>
  <c r="AG51" i="8"/>
  <c r="AC50" i="8"/>
  <c r="AC46" i="8"/>
  <c r="Y46" i="8"/>
  <c r="AC45" i="8"/>
  <c r="AG44" i="8"/>
  <c r="AC44" i="8"/>
  <c r="Y44" i="8"/>
  <c r="AI76" i="8"/>
  <c r="AH76" i="8"/>
  <c r="AF76" i="8"/>
  <c r="AE76" i="8"/>
  <c r="AI75" i="8"/>
  <c r="AH75" i="8"/>
  <c r="AF75" i="8"/>
  <c r="AE75" i="8"/>
  <c r="AI74" i="8"/>
  <c r="AH74" i="8"/>
  <c r="AF74" i="8"/>
  <c r="AE74" i="8"/>
  <c r="AI73" i="8"/>
  <c r="AH73" i="8"/>
  <c r="AF73" i="8"/>
  <c r="AE73" i="8"/>
  <c r="AI70" i="8"/>
  <c r="AH70" i="8"/>
  <c r="AF70" i="8"/>
  <c r="AE70" i="8"/>
  <c r="AI69" i="8"/>
  <c r="AH69" i="8"/>
  <c r="AF69" i="8"/>
  <c r="AE69" i="8"/>
  <c r="AI68" i="8"/>
  <c r="AH68" i="8"/>
  <c r="AF68" i="8"/>
  <c r="AE68" i="8"/>
  <c r="AI64" i="8"/>
  <c r="AH64" i="8"/>
  <c r="AF64" i="8"/>
  <c r="AE64" i="8"/>
  <c r="AI63" i="8"/>
  <c r="AH63" i="8"/>
  <c r="AF63" i="8"/>
  <c r="AE63" i="8"/>
  <c r="AI62" i="8"/>
  <c r="AH62" i="8"/>
  <c r="AF62" i="8"/>
  <c r="AE62" i="8"/>
  <c r="AI61" i="8"/>
  <c r="AH61" i="8"/>
  <c r="AF61" i="8"/>
  <c r="AE61" i="8"/>
  <c r="AI60" i="8"/>
  <c r="AH60" i="8"/>
  <c r="AF60" i="8"/>
  <c r="AE60" i="8"/>
  <c r="AI59" i="8"/>
  <c r="AH59" i="8"/>
  <c r="AF59" i="8"/>
  <c r="AE59" i="8"/>
  <c r="AI55" i="8"/>
  <c r="AH55" i="8"/>
  <c r="AF55" i="8"/>
  <c r="AE55" i="8"/>
  <c r="AI54" i="8"/>
  <c r="AH54" i="8"/>
  <c r="AF54" i="8"/>
  <c r="AE54" i="8"/>
  <c r="AI53" i="8"/>
  <c r="AH53" i="8"/>
  <c r="AF53" i="8"/>
  <c r="AE53" i="8"/>
  <c r="AI52" i="8"/>
  <c r="AH52" i="8"/>
  <c r="AF52" i="8"/>
  <c r="AE52" i="8"/>
  <c r="AI51" i="8"/>
  <c r="AH51" i="8"/>
  <c r="AF51" i="8"/>
  <c r="AE51" i="8"/>
  <c r="AI50" i="8"/>
  <c r="AH50" i="8"/>
  <c r="AF50" i="8"/>
  <c r="AE50" i="8"/>
  <c r="AD50" i="8"/>
  <c r="AB50" i="8"/>
  <c r="AA50" i="8"/>
  <c r="Z50" i="8"/>
  <c r="AH46" i="8"/>
  <c r="AF46" i="8"/>
  <c r="AE46" i="8"/>
  <c r="AD46" i="8"/>
  <c r="AB46" i="8"/>
  <c r="AA46" i="8"/>
  <c r="Z46" i="8"/>
  <c r="AH45" i="8"/>
  <c r="AF45" i="8"/>
  <c r="AE45" i="8"/>
  <c r="AD45" i="8"/>
  <c r="AB45" i="8"/>
  <c r="AA45" i="8"/>
  <c r="Z45" i="8"/>
  <c r="AH44" i="8"/>
  <c r="AF44" i="8"/>
  <c r="AE44" i="8"/>
  <c r="AD44" i="8"/>
  <c r="AB44" i="8"/>
  <c r="AA44" i="8"/>
  <c r="Z44" i="8"/>
  <c r="AH42" i="8"/>
  <c r="AF42" i="8"/>
  <c r="AE42" i="8"/>
  <c r="AD42" i="8"/>
  <c r="AB42" i="8"/>
  <c r="AA42" i="8"/>
  <c r="Z42" i="8"/>
  <c r="AI46" i="8"/>
  <c r="AI45" i="8"/>
  <c r="AI44" i="8"/>
  <c r="AI42" i="8"/>
  <c r="AK42" i="8" s="1"/>
  <c r="AI34" i="8"/>
  <c r="AH34" i="8"/>
  <c r="AF34" i="8"/>
  <c r="AE34" i="8"/>
  <c r="AH31" i="8"/>
  <c r="AF31" i="8"/>
  <c r="AE31" i="8"/>
  <c r="AD31" i="8"/>
  <c r="AB31" i="8"/>
  <c r="AA31" i="8"/>
  <c r="Z31" i="8"/>
  <c r="AI31" i="8"/>
  <c r="AH8" i="8"/>
  <c r="AG8" i="8"/>
  <c r="AF8" i="8"/>
  <c r="AE8" i="8"/>
  <c r="AD8" i="8"/>
  <c r="AC8" i="8"/>
  <c r="AB8" i="8"/>
  <c r="AA8" i="8"/>
  <c r="Z8" i="8"/>
  <c r="Y8" i="8"/>
  <c r="AH7" i="8"/>
  <c r="AG7" i="8"/>
  <c r="AF7" i="8"/>
  <c r="AE7" i="8"/>
  <c r="AD7" i="8"/>
  <c r="AC7" i="8"/>
  <c r="AB7" i="8"/>
  <c r="AA7" i="8"/>
  <c r="Z7" i="8"/>
  <c r="Y7" i="8"/>
  <c r="AI8" i="8"/>
  <c r="AI7" i="8"/>
  <c r="H129" i="8"/>
  <c r="AD69" i="8"/>
  <c r="AC69" i="8"/>
  <c r="AA69" i="8"/>
  <c r="Z69" i="8"/>
  <c r="Y69" i="8"/>
  <c r="AD51" i="8"/>
  <c r="AC51" i="8"/>
  <c r="AA51" i="8"/>
  <c r="Z51" i="8"/>
  <c r="Y51" i="8"/>
  <c r="V129" i="8"/>
  <c r="F129" i="8"/>
  <c r="AI97" i="8"/>
  <c r="AG42" i="8"/>
  <c r="AC42" i="8"/>
  <c r="AF23" i="8"/>
  <c r="M145" i="8" l="1"/>
  <c r="U128" i="8"/>
  <c r="AI128" i="8" s="1"/>
  <c r="L128" i="8"/>
  <c r="M128" i="8" s="1"/>
  <c r="AA128" i="8" s="1"/>
  <c r="AA129" i="8" s="1"/>
  <c r="T125" i="8"/>
  <c r="T129" i="8" s="1"/>
  <c r="P127" i="8"/>
  <c r="Q127" i="8" s="1"/>
  <c r="P128" i="8"/>
  <c r="L126" i="8"/>
  <c r="M126" i="8" s="1"/>
  <c r="T127" i="8"/>
  <c r="U127" i="8" s="1"/>
  <c r="Q113" i="8"/>
  <c r="M115" i="8"/>
  <c r="P115" i="8"/>
  <c r="Q115" i="8" s="1"/>
  <c r="U113" i="8"/>
  <c r="L113" i="8"/>
  <c r="M113" i="8" s="1"/>
  <c r="Q103" i="8"/>
  <c r="M102" i="8"/>
  <c r="U106" i="8"/>
  <c r="M109" i="8"/>
  <c r="P107" i="8"/>
  <c r="Q107" i="8" s="1"/>
  <c r="L101" i="8"/>
  <c r="M101" i="8" s="1"/>
  <c r="T102" i="8"/>
  <c r="U102" i="8" s="1"/>
  <c r="L105" i="8"/>
  <c r="M105" i="8" s="1"/>
  <c r="T106" i="8"/>
  <c r="L109" i="8"/>
  <c r="P103" i="8"/>
  <c r="Q106" i="8"/>
  <c r="P104" i="8"/>
  <c r="Q104" i="8" s="1"/>
  <c r="P108" i="8"/>
  <c r="Q108" i="8" s="1"/>
  <c r="P101" i="8"/>
  <c r="Q101" i="8" s="1"/>
  <c r="P105" i="8"/>
  <c r="Q105" i="8" s="1"/>
  <c r="P102" i="8"/>
  <c r="Q102" i="8" s="1"/>
  <c r="P106" i="8"/>
  <c r="T101" i="8"/>
  <c r="U101" i="8" s="1"/>
  <c r="L104" i="8"/>
  <c r="M104" i="8" s="1"/>
  <c r="T109" i="8"/>
  <c r="U109" i="8" s="1"/>
  <c r="U96" i="8"/>
  <c r="AH96" i="8" s="1"/>
  <c r="U95" i="8"/>
  <c r="T92" i="8"/>
  <c r="U92" i="8" s="1"/>
  <c r="Q93" i="8"/>
  <c r="L95" i="8"/>
  <c r="M95" i="8" s="1"/>
  <c r="M94" i="8"/>
  <c r="L96" i="8"/>
  <c r="M96" i="8" s="1"/>
  <c r="M92" i="8"/>
  <c r="U93" i="8"/>
  <c r="AI93" i="8" s="1"/>
  <c r="P95" i="8"/>
  <c r="Q95" i="8" s="1"/>
  <c r="D78" i="8"/>
  <c r="D80" i="8" s="1"/>
  <c r="D20" i="8"/>
  <c r="D24" i="8" s="1"/>
  <c r="D25" i="8" s="1"/>
  <c r="AK63" i="8"/>
  <c r="AK73" i="8"/>
  <c r="C78" i="8"/>
  <c r="C80" i="8" s="1"/>
  <c r="E20" i="10"/>
  <c r="C20" i="10"/>
  <c r="AK75" i="8"/>
  <c r="AK44" i="8"/>
  <c r="E21" i="8"/>
  <c r="E24" i="8"/>
  <c r="E78" i="8"/>
  <c r="E80" i="8" s="1"/>
  <c r="C20" i="8"/>
  <c r="C15" i="8"/>
  <c r="E15" i="8"/>
  <c r="AK50" i="8"/>
  <c r="AK68" i="8"/>
  <c r="AK45" i="8"/>
  <c r="AK64" i="8"/>
  <c r="AK46" i="8"/>
  <c r="AK61" i="8"/>
  <c r="AK51" i="8"/>
  <c r="AK53" i="8"/>
  <c r="AK55" i="8"/>
  <c r="AK74" i="8"/>
  <c r="AK60" i="8"/>
  <c r="AK70" i="8"/>
  <c r="AK62" i="8"/>
  <c r="AK76" i="8"/>
  <c r="AK52" i="8"/>
  <c r="AK54" i="8"/>
  <c r="AK69" i="8"/>
  <c r="AH128" i="8"/>
  <c r="AG128" i="8"/>
  <c r="AG97" i="8"/>
  <c r="AH97" i="8"/>
  <c r="AE109" i="8"/>
  <c r="W129" i="8"/>
  <c r="AH23" i="8"/>
  <c r="AI23" i="8"/>
  <c r="AE23" i="8"/>
  <c r="G129" i="8"/>
  <c r="N129" i="8"/>
  <c r="O129" i="8"/>
  <c r="J129" i="8"/>
  <c r="R129" i="8"/>
  <c r="K129" i="8"/>
  <c r="S129" i="8"/>
  <c r="AI98" i="8"/>
  <c r="AG115" i="8"/>
  <c r="Q128" i="8" l="1"/>
  <c r="AF128" i="8" s="1"/>
  <c r="U125" i="8"/>
  <c r="P129" i="8"/>
  <c r="AF109" i="8"/>
  <c r="AI96" i="8"/>
  <c r="AG96" i="8"/>
  <c r="D21" i="8"/>
  <c r="D28" i="8"/>
  <c r="C24" i="8"/>
  <c r="C21" i="8"/>
  <c r="E28" i="8"/>
  <c r="E25" i="8"/>
  <c r="AF93" i="8"/>
  <c r="AE93" i="8"/>
  <c r="AF108" i="8"/>
  <c r="AE108" i="8"/>
  <c r="AF106" i="8"/>
  <c r="AE106" i="8"/>
  <c r="AE113" i="8"/>
  <c r="AF113" i="8"/>
  <c r="AK23" i="8"/>
  <c r="AH95" i="8"/>
  <c r="AG95" i="8"/>
  <c r="AI95" i="8"/>
  <c r="AF97" i="8"/>
  <c r="AE97" i="8"/>
  <c r="AK97" i="8" s="1"/>
  <c r="AH94" i="8"/>
  <c r="AI94" i="8"/>
  <c r="AG94" i="8"/>
  <c r="AE94" i="8"/>
  <c r="AF94" i="8"/>
  <c r="AF102" i="8"/>
  <c r="AE102" i="8"/>
  <c r="AH115" i="8"/>
  <c r="AF96" i="8"/>
  <c r="AF95" i="8"/>
  <c r="AF98" i="8"/>
  <c r="AE98" i="8"/>
  <c r="AK98" i="8" s="1"/>
  <c r="AE107" i="8"/>
  <c r="AF107" i="8"/>
  <c r="AE92" i="8"/>
  <c r="AF92" i="8"/>
  <c r="AH119" i="8"/>
  <c r="AI119" i="8"/>
  <c r="AG119" i="8"/>
  <c r="AI120" i="8"/>
  <c r="AH120" i="8"/>
  <c r="AG120" i="8"/>
  <c r="AI115" i="8"/>
  <c r="AG93" i="8"/>
  <c r="AH93" i="8"/>
  <c r="AF101" i="8"/>
  <c r="AF119" i="8"/>
  <c r="AE119" i="8"/>
  <c r="AI113" i="8"/>
  <c r="AH113" i="8"/>
  <c r="AG113" i="8"/>
  <c r="AE115" i="8"/>
  <c r="AF115" i="8"/>
  <c r="AG98" i="8"/>
  <c r="AH98" i="8"/>
  <c r="AF120" i="8"/>
  <c r="AE120" i="8"/>
  <c r="L129" i="8"/>
  <c r="M129" i="8"/>
  <c r="U129" i="8"/>
  <c r="Y128" i="8"/>
  <c r="Y129" i="8" s="1"/>
  <c r="Z128" i="8"/>
  <c r="Z129" i="8" s="1"/>
  <c r="AC128" i="8" l="1"/>
  <c r="AC129" i="8" s="1"/>
  <c r="Q129" i="8"/>
  <c r="AE128" i="8"/>
  <c r="AK128" i="8" s="1"/>
  <c r="AD128" i="8"/>
  <c r="AD129" i="8" s="1"/>
  <c r="AB128" i="8"/>
  <c r="AB129" i="8" s="1"/>
  <c r="D29" i="8"/>
  <c r="D89" i="8"/>
  <c r="D110" i="8" s="1"/>
  <c r="AK120" i="8"/>
  <c r="AE101" i="8"/>
  <c r="AE95" i="8"/>
  <c r="C28" i="8"/>
  <c r="C25" i="8"/>
  <c r="E29" i="8"/>
  <c r="E32" i="8"/>
  <c r="E89" i="8"/>
  <c r="E110" i="8" s="1"/>
  <c r="E137" i="8" s="1"/>
  <c r="E138" i="8" s="1"/>
  <c r="E140" i="8" s="1"/>
  <c r="E35" i="8"/>
  <c r="AG129" i="8"/>
  <c r="AK119" i="8"/>
  <c r="AK95" i="8"/>
  <c r="AI129" i="8"/>
  <c r="AE96" i="8"/>
  <c r="AK96" i="8" s="1"/>
  <c r="AH129" i="8"/>
  <c r="AF129" i="8"/>
  <c r="AE129" i="8" l="1"/>
  <c r="C32" i="8"/>
  <c r="C29" i="8"/>
  <c r="C89" i="8"/>
  <c r="C110" i="8" s="1"/>
  <c r="C137" i="8" s="1"/>
  <c r="C138" i="8" s="1"/>
  <c r="C140" i="8" s="1"/>
  <c r="C35" i="8"/>
  <c r="AI33" i="9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U136" i="8"/>
  <c r="Q136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Y113" i="8"/>
  <c r="J4" i="10"/>
  <c r="K4" i="10"/>
  <c r="L4" i="10"/>
  <c r="M4" i="10"/>
  <c r="N4" i="10"/>
  <c r="Y4" i="10" s="1"/>
  <c r="O4" i="10"/>
  <c r="Z4" i="10" s="1"/>
  <c r="P4" i="10"/>
  <c r="AA4" i="10" s="1"/>
  <c r="Q4" i="10"/>
  <c r="AB4" i="10" s="1"/>
  <c r="AE17" i="10"/>
  <c r="AG12" i="10"/>
  <c r="AA11" i="10"/>
  <c r="O39" i="9"/>
  <c r="K39" i="9"/>
  <c r="J42" i="9"/>
  <c r="C42" i="9"/>
  <c r="W77" i="8"/>
  <c r="V77" i="8"/>
  <c r="T77" i="8"/>
  <c r="S77" i="8"/>
  <c r="Q66" i="9" s="1"/>
  <c r="R77" i="8"/>
  <c r="P66" i="9" s="1"/>
  <c r="P77" i="8"/>
  <c r="N66" i="9" s="1"/>
  <c r="O77" i="8"/>
  <c r="M66" i="9" s="1"/>
  <c r="N77" i="8"/>
  <c r="L66" i="9" s="1"/>
  <c r="L77" i="8"/>
  <c r="J66" i="9" s="1"/>
  <c r="K77" i="8"/>
  <c r="I66" i="9" s="1"/>
  <c r="J77" i="8"/>
  <c r="H66" i="9" s="1"/>
  <c r="H77" i="8"/>
  <c r="G77" i="8"/>
  <c r="F77" i="8"/>
  <c r="C66" i="9"/>
  <c r="AC11" i="10"/>
  <c r="Z11" i="10"/>
  <c r="Y11" i="10"/>
  <c r="W4" i="10"/>
  <c r="AG4" i="10" s="1"/>
  <c r="V4" i="10"/>
  <c r="AF4" i="10" s="1"/>
  <c r="U4" i="10"/>
  <c r="AE4" i="10" s="1"/>
  <c r="T4" i="10"/>
  <c r="S4" i="10"/>
  <c r="AD4" i="10" s="1"/>
  <c r="R4" i="10"/>
  <c r="AC4" i="10" s="1"/>
  <c r="W3" i="10"/>
  <c r="AG3" i="10" s="1"/>
  <c r="V3" i="10"/>
  <c r="AF3" i="10" s="1"/>
  <c r="U3" i="10"/>
  <c r="AE3" i="10" s="1"/>
  <c r="T3" i="10"/>
  <c r="S3" i="10"/>
  <c r="AD3" i="10" s="1"/>
  <c r="R3" i="10"/>
  <c r="AC3" i="10" s="1"/>
  <c r="Q3" i="10"/>
  <c r="AB3" i="10" s="1"/>
  <c r="P3" i="10"/>
  <c r="AA3" i="10" s="1"/>
  <c r="O3" i="10"/>
  <c r="Z3" i="10" s="1"/>
  <c r="N3" i="10"/>
  <c r="Y3" i="10" s="1"/>
  <c r="M3" i="10"/>
  <c r="L3" i="10"/>
  <c r="K3" i="10"/>
  <c r="J3" i="10"/>
  <c r="M41" i="9"/>
  <c r="Y107" i="8"/>
  <c r="AA101" i="8"/>
  <c r="Y94" i="8"/>
  <c r="K27" i="9"/>
  <c r="K58" i="9"/>
  <c r="X58" i="9" s="1"/>
  <c r="O18" i="9"/>
  <c r="K19" i="9"/>
  <c r="K23" i="9" s="1"/>
  <c r="AA18" i="8"/>
  <c r="AD76" i="8"/>
  <c r="AC76" i="8"/>
  <c r="AA76" i="8"/>
  <c r="Z76" i="8"/>
  <c r="Y76" i="8"/>
  <c r="AD73" i="8"/>
  <c r="AC73" i="8"/>
  <c r="AA73" i="8"/>
  <c r="Z73" i="8"/>
  <c r="Y73" i="8"/>
  <c r="AD68" i="8"/>
  <c r="AC68" i="8"/>
  <c r="AA68" i="8"/>
  <c r="Z68" i="8"/>
  <c r="Y68" i="8"/>
  <c r="AD64" i="8"/>
  <c r="AC64" i="8"/>
  <c r="AA64" i="8"/>
  <c r="Z64" i="8"/>
  <c r="Y64" i="8"/>
  <c r="AD63" i="8"/>
  <c r="AC63" i="8"/>
  <c r="AA63" i="8"/>
  <c r="Z63" i="8"/>
  <c r="Y63" i="8"/>
  <c r="AD60" i="8"/>
  <c r="AC60" i="8"/>
  <c r="AA60" i="8"/>
  <c r="Z60" i="8"/>
  <c r="Y60" i="8"/>
  <c r="AD59" i="8"/>
  <c r="AC59" i="8"/>
  <c r="AA59" i="8"/>
  <c r="Z59" i="8"/>
  <c r="Y59" i="8"/>
  <c r="AD55" i="8"/>
  <c r="AC55" i="8"/>
  <c r="AA55" i="8"/>
  <c r="Z55" i="8"/>
  <c r="Y55" i="8"/>
  <c r="AD54" i="8"/>
  <c r="AC54" i="8"/>
  <c r="AA54" i="8"/>
  <c r="Z54" i="8"/>
  <c r="Y54" i="8"/>
  <c r="AD53" i="8"/>
  <c r="AC53" i="8"/>
  <c r="AA53" i="8"/>
  <c r="Z53" i="8"/>
  <c r="Y53" i="8"/>
  <c r="AD52" i="8"/>
  <c r="AC52" i="8"/>
  <c r="AA52" i="8"/>
  <c r="Z52" i="8"/>
  <c r="Y52" i="8"/>
  <c r="AD34" i="8"/>
  <c r="AC34" i="8"/>
  <c r="AA34" i="8"/>
  <c r="Z34" i="8"/>
  <c r="Y34" i="8"/>
  <c r="Z27" i="8"/>
  <c r="Y95" i="8"/>
  <c r="AB76" i="8"/>
  <c r="AB73" i="8"/>
  <c r="AB68" i="8"/>
  <c r="K57" i="9"/>
  <c r="AB63" i="8"/>
  <c r="AB60" i="8"/>
  <c r="K56" i="9"/>
  <c r="AG55" i="8"/>
  <c r="AB55" i="8"/>
  <c r="AG54" i="8"/>
  <c r="AB54" i="8"/>
  <c r="AG53" i="8"/>
  <c r="AB53" i="8"/>
  <c r="AG52" i="8"/>
  <c r="AB52" i="8"/>
  <c r="K59" i="9"/>
  <c r="AG50" i="8"/>
  <c r="K51" i="9"/>
  <c r="X51" i="9" s="1"/>
  <c r="K55" i="9"/>
  <c r="K50" i="9"/>
  <c r="X50" i="9" s="1"/>
  <c r="K48" i="9"/>
  <c r="U34" i="8"/>
  <c r="AG34" i="8" s="1"/>
  <c r="U31" i="8"/>
  <c r="AG31" i="8" s="1"/>
  <c r="Y13" i="8"/>
  <c r="M34" i="8"/>
  <c r="M31" i="8"/>
  <c r="Y31" i="8" s="1"/>
  <c r="Z23" i="8"/>
  <c r="AA17" i="8"/>
  <c r="AB33" i="9" l="1"/>
  <c r="AC33" i="9"/>
  <c r="AD33" i="9"/>
  <c r="X33" i="9"/>
  <c r="AF33" i="9"/>
  <c r="Y33" i="9"/>
  <c r="Z33" i="9"/>
  <c r="AG10" i="8"/>
  <c r="AI10" i="8"/>
  <c r="AH10" i="8"/>
  <c r="AB13" i="8"/>
  <c r="AF13" i="8"/>
  <c r="AE13" i="8"/>
  <c r="AI27" i="8"/>
  <c r="AH27" i="8"/>
  <c r="AG27" i="8"/>
  <c r="AI13" i="8"/>
  <c r="AH13" i="8"/>
  <c r="AG13" i="8"/>
  <c r="AF17" i="8"/>
  <c r="AE17" i="8"/>
  <c r="AC19" i="8"/>
  <c r="AF19" i="8"/>
  <c r="AE19" i="8"/>
  <c r="Y10" i="8"/>
  <c r="AB10" i="8"/>
  <c r="AA10" i="8"/>
  <c r="Z10" i="8"/>
  <c r="AF10" i="8"/>
  <c r="AC10" i="8"/>
  <c r="AE10" i="8"/>
  <c r="AD10" i="8"/>
  <c r="AI18" i="8"/>
  <c r="AH18" i="8"/>
  <c r="AG18" i="8"/>
  <c r="AI17" i="8"/>
  <c r="AH17" i="8"/>
  <c r="AG17" i="8"/>
  <c r="AE18" i="8"/>
  <c r="AF18" i="8"/>
  <c r="AB27" i="8"/>
  <c r="AE27" i="8"/>
  <c r="AF27" i="8"/>
  <c r="AH19" i="8"/>
  <c r="AI19" i="8"/>
  <c r="AG19" i="8"/>
  <c r="V52" i="9"/>
  <c r="AK59" i="8"/>
  <c r="AA39" i="9"/>
  <c r="M136" i="8"/>
  <c r="Z136" i="8" s="1"/>
  <c r="Q52" i="9"/>
  <c r="U52" i="9"/>
  <c r="Z107" i="8"/>
  <c r="K52" i="9"/>
  <c r="AE39" i="9"/>
  <c r="X39" i="9"/>
  <c r="Y39" i="9"/>
  <c r="Z39" i="9"/>
  <c r="AK31" i="8"/>
  <c r="AB39" i="9"/>
  <c r="AC39" i="9"/>
  <c r="H67" i="9"/>
  <c r="AD39" i="9"/>
  <c r="Z101" i="8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K34" i="8"/>
  <c r="AB19" i="8"/>
  <c r="Z13" i="8"/>
  <c r="K18" i="9"/>
  <c r="Y17" i="8"/>
  <c r="AD19" i="8"/>
  <c r="O17" i="9"/>
  <c r="Z18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AC136" i="8"/>
  <c r="AF136" i="8"/>
  <c r="AF51" i="9"/>
  <c r="M27" i="9"/>
  <c r="P42" i="9"/>
  <c r="Y23" i="8"/>
  <c r="K12" i="9"/>
  <c r="O16" i="9"/>
  <c r="I38" i="9"/>
  <c r="O50" i="9"/>
  <c r="AB50" i="9" s="1"/>
  <c r="AB64" i="8"/>
  <c r="O57" i="9"/>
  <c r="AF58" i="9"/>
  <c r="M37" i="9"/>
  <c r="M40" i="9"/>
  <c r="AB18" i="8"/>
  <c r="AA23" i="8"/>
  <c r="AD13" i="8"/>
  <c r="AC13" i="8"/>
  <c r="AB59" i="8"/>
  <c r="O56" i="9"/>
  <c r="AA19" i="8"/>
  <c r="Z19" i="8"/>
  <c r="Y19" i="8"/>
  <c r="O58" i="9"/>
  <c r="AB58" i="9" s="1"/>
  <c r="AC113" i="8"/>
  <c r="AD23" i="8"/>
  <c r="O48" i="9"/>
  <c r="Y27" i="8"/>
  <c r="K32" i="9"/>
  <c r="Q34" i="9"/>
  <c r="AG136" i="8"/>
  <c r="Q40" i="9"/>
  <c r="Z95" i="8"/>
  <c r="AC18" i="8"/>
  <c r="AB23" i="8"/>
  <c r="AA27" i="8"/>
  <c r="M38" i="9"/>
  <c r="Q27" i="9"/>
  <c r="AA109" i="8"/>
  <c r="Q41" i="9"/>
  <c r="AH136" i="8"/>
  <c r="AI136" i="8"/>
  <c r="AD18" i="8"/>
  <c r="AC23" i="8"/>
  <c r="M31" i="9"/>
  <c r="N34" i="9"/>
  <c r="AC17" i="8"/>
  <c r="AB136" i="8"/>
  <c r="O12" i="9"/>
  <c r="AD136" i="8"/>
  <c r="O32" i="9"/>
  <c r="AD27" i="8"/>
  <c r="AC27" i="8"/>
  <c r="AD17" i="8"/>
  <c r="AB17" i="8"/>
  <c r="K38" i="9"/>
  <c r="Z113" i="8"/>
  <c r="AA13" i="8"/>
  <c r="AE136" i="8"/>
  <c r="O55" i="9"/>
  <c r="Y93" i="8"/>
  <c r="Z17" i="8"/>
  <c r="I27" i="9"/>
  <c r="J38" i="9"/>
  <c r="Z93" i="8"/>
  <c r="J27" i="9"/>
  <c r="I34" i="9"/>
  <c r="Y18" i="8"/>
  <c r="K41" i="9"/>
  <c r="X41" i="9" s="1"/>
  <c r="H42" i="9"/>
  <c r="Z94" i="8"/>
  <c r="Y101" i="8"/>
  <c r="I37" i="9"/>
  <c r="Q37" i="9"/>
  <c r="M34" i="9"/>
  <c r="O51" i="9"/>
  <c r="AB51" i="9" s="1"/>
  <c r="P8" i="9"/>
  <c r="AF17" i="10"/>
  <c r="AE18" i="10"/>
  <c r="AF18" i="10"/>
  <c r="AG17" i="10"/>
  <c r="AE12" i="10"/>
  <c r="AF12" i="10"/>
  <c r="AF11" i="10"/>
  <c r="AG11" i="10"/>
  <c r="AE11" i="10"/>
  <c r="AG18" i="10"/>
  <c r="AB11" i="10"/>
  <c r="AD11" i="10"/>
  <c r="Z77" i="8"/>
  <c r="M77" i="8"/>
  <c r="K66" i="9" s="1"/>
  <c r="AB77" i="8"/>
  <c r="AD77" i="8"/>
  <c r="AE77" i="8"/>
  <c r="AF77" i="8"/>
  <c r="AH77" i="8"/>
  <c r="AA77" i="8"/>
  <c r="Q77" i="8"/>
  <c r="O66" i="9" s="1"/>
  <c r="AC77" i="8"/>
  <c r="AG77" i="8"/>
  <c r="Y77" i="8"/>
  <c r="U77" i="8"/>
  <c r="AI77" i="8"/>
  <c r="J31" i="9"/>
  <c r="J34" i="9"/>
  <c r="AC101" i="8"/>
  <c r="AA94" i="8"/>
  <c r="AI102" i="8" l="1"/>
  <c r="AH102" i="8"/>
  <c r="AG102" i="8"/>
  <c r="AI108" i="8"/>
  <c r="AK108" i="8" s="1"/>
  <c r="AH108" i="8"/>
  <c r="AG108" i="8"/>
  <c r="AH107" i="8"/>
  <c r="AG107" i="8"/>
  <c r="AI107" i="8"/>
  <c r="AK107" i="8" s="1"/>
  <c r="AK19" i="8"/>
  <c r="AK18" i="8"/>
  <c r="AA136" i="8"/>
  <c r="Y136" i="8"/>
  <c r="Z41" i="9"/>
  <c r="AB95" i="8"/>
  <c r="Z27" i="9"/>
  <c r="Z109" i="8"/>
  <c r="AI39" i="9"/>
  <c r="Z38" i="9"/>
  <c r="AK27" i="8"/>
  <c r="Y41" i="9"/>
  <c r="AH39" i="9"/>
  <c r="AF39" i="9"/>
  <c r="Y38" i="9"/>
  <c r="AG39" i="9"/>
  <c r="X38" i="9"/>
  <c r="AC107" i="8"/>
  <c r="Y27" i="9"/>
  <c r="X27" i="9"/>
  <c r="S52" i="9"/>
  <c r="O52" i="9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AB115" i="8"/>
  <c r="N27" i="9"/>
  <c r="AA27" i="9" s="1"/>
  <c r="AA113" i="8"/>
  <c r="AB113" i="8"/>
  <c r="AD95" i="8"/>
  <c r="AA106" i="8"/>
  <c r="AC92" i="8"/>
  <c r="N41" i="9"/>
  <c r="AB108" i="8"/>
  <c r="AI133" i="8"/>
  <c r="AH133" i="8"/>
  <c r="AB109" i="8"/>
  <c r="Y109" i="8"/>
  <c r="Q42" i="9"/>
  <c r="AD107" i="8"/>
  <c r="K42" i="9"/>
  <c r="N31" i="9"/>
  <c r="AD113" i="8"/>
  <c r="K37" i="9"/>
  <c r="AC102" i="8"/>
  <c r="M42" i="9"/>
  <c r="AB102" i="8"/>
  <c r="AI40" i="9"/>
  <c r="N38" i="9"/>
  <c r="AA38" i="9" s="1"/>
  <c r="AC108" i="8"/>
  <c r="AA95" i="8"/>
  <c r="AB101" i="8"/>
  <c r="J40" i="9"/>
  <c r="AA92" i="8"/>
  <c r="O37" i="9"/>
  <c r="AB92" i="8"/>
  <c r="AD92" i="8"/>
  <c r="AC109" i="8"/>
  <c r="AD108" i="8"/>
  <c r="N37" i="9"/>
  <c r="AA107" i="8"/>
  <c r="Y102" i="8"/>
  <c r="O38" i="9"/>
  <c r="AE38" i="9" s="1"/>
  <c r="AD101" i="8"/>
  <c r="AD109" i="8"/>
  <c r="AA93" i="8"/>
  <c r="N40" i="9"/>
  <c r="Z115" i="8"/>
  <c r="AD102" i="8"/>
  <c r="Z108" i="8"/>
  <c r="AC95" i="8"/>
  <c r="AB107" i="8"/>
  <c r="AK94" i="8"/>
  <c r="AB93" i="8"/>
  <c r="AH101" i="8" l="1"/>
  <c r="AG101" i="8"/>
  <c r="AI101" i="8"/>
  <c r="AK101" i="8" s="1"/>
  <c r="AH92" i="8"/>
  <c r="AG92" i="8"/>
  <c r="AI92" i="8"/>
  <c r="AK92" i="8" s="1"/>
  <c r="AG106" i="8"/>
  <c r="AH106" i="8"/>
  <c r="AI106" i="8"/>
  <c r="AK106" i="8" s="1"/>
  <c r="AI109" i="8"/>
  <c r="AK109" i="8" s="1"/>
  <c r="AH109" i="8"/>
  <c r="AG109" i="8"/>
  <c r="Z102" i="8"/>
  <c r="AB106" i="8"/>
  <c r="Z92" i="8"/>
  <c r="AA41" i="9"/>
  <c r="AI38" i="9"/>
  <c r="AG38" i="9"/>
  <c r="AH40" i="9"/>
  <c r="AH38" i="9"/>
  <c r="AG40" i="9"/>
  <c r="AK115" i="8"/>
  <c r="AF40" i="9"/>
  <c r="AD38" i="9"/>
  <c r="AB38" i="9"/>
  <c r="AF38" i="9"/>
  <c r="AC38" i="9"/>
  <c r="AK102" i="8"/>
  <c r="AC94" i="8"/>
  <c r="Y92" i="8"/>
  <c r="AD94" i="8"/>
  <c r="Z42" i="9"/>
  <c r="Y42" i="9"/>
  <c r="X42" i="9"/>
  <c r="AC93" i="8"/>
  <c r="AB94" i="8"/>
  <c r="AK17" i="9"/>
  <c r="AD93" i="8"/>
  <c r="AC106" i="8"/>
  <c r="AK113" i="8"/>
  <c r="AD106" i="8"/>
  <c r="O40" i="9"/>
  <c r="AC40" i="9" s="1"/>
  <c r="AI31" i="9"/>
  <c r="K40" i="9"/>
  <c r="AA40" i="9" s="1"/>
  <c r="N42" i="9"/>
  <c r="AA42" i="9" s="1"/>
  <c r="O41" i="9"/>
  <c r="AE41" i="9" s="1"/>
  <c r="AC115" i="8"/>
  <c r="O27" i="9"/>
  <c r="AD115" i="8"/>
  <c r="AA102" i="8"/>
  <c r="K34" i="9"/>
  <c r="Y106" i="8"/>
  <c r="AA108" i="8"/>
  <c r="Y108" i="8"/>
  <c r="O34" i="9"/>
  <c r="O31" i="9"/>
  <c r="AD31" i="9" s="1"/>
  <c r="AA115" i="8"/>
  <c r="K31" i="9"/>
  <c r="Y115" i="8"/>
  <c r="Z106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K93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V65" i="8"/>
  <c r="T65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Z18" i="10"/>
  <c r="AA17" i="10"/>
  <c r="AD18" i="10"/>
  <c r="AC17" i="10"/>
  <c r="U19" i="10"/>
  <c r="W19" i="10"/>
  <c r="V19" i="10"/>
  <c r="T19" i="10"/>
  <c r="S19" i="10"/>
  <c r="R19" i="10"/>
  <c r="H19" i="10"/>
  <c r="G19" i="10"/>
  <c r="F19" i="10"/>
  <c r="AA18" i="10"/>
  <c r="AD17" i="10"/>
  <c r="AB17" i="10"/>
  <c r="V116" i="8"/>
  <c r="R116" i="8"/>
  <c r="N116" i="8"/>
  <c r="U11" i="8"/>
  <c r="Q11" i="8"/>
  <c r="O8" i="9" s="1"/>
  <c r="Q34" i="8"/>
  <c r="AB34" i="8" s="1"/>
  <c r="Q31" i="8"/>
  <c r="AC31" i="8" s="1"/>
  <c r="M11" i="8"/>
  <c r="K8" i="9" s="1"/>
  <c r="AG48" i="9"/>
  <c r="AG52" i="9" s="1"/>
  <c r="Y57" i="9"/>
  <c r="AB66" i="9"/>
  <c r="S47" i="8"/>
  <c r="S56" i="8" s="1"/>
  <c r="R47" i="8"/>
  <c r="R56" i="8" s="1"/>
  <c r="N47" i="8"/>
  <c r="N56" i="8" s="1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AF66" i="9"/>
  <c r="AE66" i="9"/>
  <c r="AD66" i="9"/>
  <c r="AA66" i="9"/>
  <c r="Z66" i="9"/>
  <c r="Y66" i="9"/>
  <c r="X66" i="9"/>
  <c r="L65" i="8"/>
  <c r="K65" i="8"/>
  <c r="J47" i="8"/>
  <c r="J56" i="8" s="1"/>
  <c r="K47" i="8"/>
  <c r="K56" i="8" s="1"/>
  <c r="L47" i="8"/>
  <c r="L56" i="8" s="1"/>
  <c r="O47" i="8"/>
  <c r="O56" i="8" s="1"/>
  <c r="P47" i="8"/>
  <c r="P56" i="8" s="1"/>
  <c r="T47" i="8"/>
  <c r="T56" i="8" s="1"/>
  <c r="V47" i="8"/>
  <c r="V56" i="8" s="1"/>
  <c r="W47" i="8"/>
  <c r="W56" i="8" s="1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9" i="8"/>
  <c r="J38" i="8"/>
  <c r="H39" i="8"/>
  <c r="G39" i="8"/>
  <c r="F39" i="8"/>
  <c r="H38" i="8"/>
  <c r="G38" i="8"/>
  <c r="F38" i="8"/>
  <c r="W11" i="8"/>
  <c r="W14" i="8" s="1"/>
  <c r="V11" i="8"/>
  <c r="V14" i="8" s="1"/>
  <c r="V20" i="8" s="1"/>
  <c r="V24" i="8" s="1"/>
  <c r="T11" i="8"/>
  <c r="T14" i="8" s="1"/>
  <c r="S11" i="8"/>
  <c r="S14" i="8" s="1"/>
  <c r="R11" i="8"/>
  <c r="R14" i="8" s="1"/>
  <c r="P11" i="8"/>
  <c r="O11" i="8"/>
  <c r="N11" i="8"/>
  <c r="L11" i="8"/>
  <c r="K11" i="8"/>
  <c r="J11" i="8"/>
  <c r="H4" i="10"/>
  <c r="H3" i="10"/>
  <c r="AD133" i="8" l="1"/>
  <c r="AE133" i="8"/>
  <c r="AA133" i="8"/>
  <c r="J14" i="8"/>
  <c r="J15" i="8" s="1"/>
  <c r="H8" i="9"/>
  <c r="H13" i="9" s="1"/>
  <c r="T71" i="8"/>
  <c r="K14" i="8"/>
  <c r="K15" i="8" s="1"/>
  <c r="I8" i="9"/>
  <c r="Y133" i="8"/>
  <c r="Z133" i="8"/>
  <c r="N14" i="8"/>
  <c r="N20" i="8" s="1"/>
  <c r="N24" i="8" s="1"/>
  <c r="N25" i="8" s="1"/>
  <c r="L8" i="9"/>
  <c r="K71" i="8"/>
  <c r="I61" i="9" s="1"/>
  <c r="I60" i="9"/>
  <c r="O14" i="8"/>
  <c r="O15" i="8" s="1"/>
  <c r="M8" i="9"/>
  <c r="L71" i="8"/>
  <c r="J61" i="9" s="1"/>
  <c r="J60" i="9"/>
  <c r="P14" i="8"/>
  <c r="P15" i="8" s="1"/>
  <c r="N8" i="9"/>
  <c r="AG133" i="8"/>
  <c r="AF133" i="8"/>
  <c r="L14" i="8"/>
  <c r="L20" i="8" s="1"/>
  <c r="L24" i="8" s="1"/>
  <c r="J8" i="9"/>
  <c r="AC133" i="8"/>
  <c r="AB133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R65" i="8"/>
  <c r="W65" i="8"/>
  <c r="O65" i="8"/>
  <c r="N65" i="8"/>
  <c r="L60" i="9" s="1"/>
  <c r="S65" i="8"/>
  <c r="Q60" i="9" s="1"/>
  <c r="H65" i="8"/>
  <c r="P65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Y18" i="10"/>
  <c r="Y17" i="10"/>
  <c r="Z17" i="10"/>
  <c r="Z19" i="10" s="1"/>
  <c r="Z20" i="10" s="1"/>
  <c r="AG19" i="10"/>
  <c r="AB18" i="10"/>
  <c r="AB19" i="10" s="1"/>
  <c r="AB20" i="10" s="1"/>
  <c r="AF7" i="9"/>
  <c r="AC18" i="10"/>
  <c r="AC19" i="10" s="1"/>
  <c r="AC20" i="10" s="1"/>
  <c r="AF6" i="9"/>
  <c r="AH7" i="9"/>
  <c r="AI6" i="9"/>
  <c r="AA19" i="10"/>
  <c r="AA20" i="10" s="1"/>
  <c r="AD19" i="10"/>
  <c r="AD20" i="10" s="1"/>
  <c r="W116" i="8"/>
  <c r="K116" i="8"/>
  <c r="U116" i="8"/>
  <c r="M116" i="8"/>
  <c r="O116" i="8"/>
  <c r="S116" i="8"/>
  <c r="T116" i="8"/>
  <c r="V28" i="8"/>
  <c r="V89" i="8" s="1"/>
  <c r="M14" i="8"/>
  <c r="M15" i="8" s="1"/>
  <c r="U14" i="8"/>
  <c r="U15" i="8" s="1"/>
  <c r="Q14" i="8"/>
  <c r="Q15" i="8" s="1"/>
  <c r="AC66" i="9"/>
  <c r="U65" i="8"/>
  <c r="U47" i="8"/>
  <c r="U56" i="8" s="1"/>
  <c r="Q47" i="8"/>
  <c r="Q56" i="8" s="1"/>
  <c r="Q65" i="8"/>
  <c r="M47" i="8"/>
  <c r="M56" i="8" s="1"/>
  <c r="M65" i="8"/>
  <c r="W15" i="8"/>
  <c r="W20" i="8"/>
  <c r="S15" i="8"/>
  <c r="S20" i="8"/>
  <c r="V25" i="8"/>
  <c r="T15" i="8"/>
  <c r="T20" i="8"/>
  <c r="T24" i="8" s="1"/>
  <c r="R15" i="8"/>
  <c r="R20" i="8"/>
  <c r="R24" i="8" s="1"/>
  <c r="V15" i="8"/>
  <c r="V21" i="8"/>
  <c r="Y8" i="9" l="1"/>
  <c r="J20" i="8"/>
  <c r="J24" i="8" s="1"/>
  <c r="J25" i="8" s="1"/>
  <c r="X8" i="9"/>
  <c r="AA8" i="9"/>
  <c r="O20" i="8"/>
  <c r="O24" i="8" s="1"/>
  <c r="L78" i="8"/>
  <c r="L80" i="8" s="1"/>
  <c r="T78" i="8"/>
  <c r="T80" i="8" s="1"/>
  <c r="K78" i="8"/>
  <c r="K80" i="8" s="1"/>
  <c r="N21" i="8"/>
  <c r="N28" i="8"/>
  <c r="N89" i="8" s="1"/>
  <c r="N110" i="8" s="1"/>
  <c r="N137" i="8" s="1"/>
  <c r="AB8" i="9"/>
  <c r="N15" i="8"/>
  <c r="P20" i="8"/>
  <c r="P24" i="8" s="1"/>
  <c r="Z8" i="9"/>
  <c r="K20" i="8"/>
  <c r="K24" i="8" s="1"/>
  <c r="L15" i="8"/>
  <c r="U71" i="8"/>
  <c r="AF61" i="9" s="1"/>
  <c r="AF60" i="9"/>
  <c r="R71" i="8"/>
  <c r="P61" i="9" s="1"/>
  <c r="AC61" i="9" s="1"/>
  <c r="P60" i="9"/>
  <c r="AC60" i="9" s="1"/>
  <c r="P71" i="8"/>
  <c r="N61" i="9" s="1"/>
  <c r="AA61" i="9" s="1"/>
  <c r="N60" i="9"/>
  <c r="AA60" i="9" s="1"/>
  <c r="H71" i="8"/>
  <c r="O71" i="8"/>
  <c r="M61" i="9" s="1"/>
  <c r="Z61" i="9" s="1"/>
  <c r="M60" i="9"/>
  <c r="Z60" i="9" s="1"/>
  <c r="Q71" i="8"/>
  <c r="O61" i="9" s="1"/>
  <c r="AB61" i="9" s="1"/>
  <c r="O60" i="9"/>
  <c r="AB60" i="9" s="1"/>
  <c r="W71" i="8"/>
  <c r="H20" i="9"/>
  <c r="H14" i="9"/>
  <c r="M71" i="8"/>
  <c r="K61" i="9" s="1"/>
  <c r="X61" i="9" s="1"/>
  <c r="K60" i="9"/>
  <c r="X60" i="9" s="1"/>
  <c r="AE19" i="10"/>
  <c r="AH6" i="9"/>
  <c r="AH8" i="9" s="1"/>
  <c r="AI7" i="9"/>
  <c r="Y19" i="10"/>
  <c r="Y20" i="10" s="1"/>
  <c r="AG7" i="9"/>
  <c r="AD6" i="9"/>
  <c r="AE7" i="9"/>
  <c r="AC7" i="9"/>
  <c r="AG64" i="9"/>
  <c r="V110" i="8"/>
  <c r="V137" i="8" s="1"/>
  <c r="T64" i="9"/>
  <c r="AC6" i="9"/>
  <c r="AG6" i="9"/>
  <c r="AE6" i="9"/>
  <c r="AD7" i="9"/>
  <c r="AF19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N71" i="8"/>
  <c r="S71" i="8"/>
  <c r="V71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P116" i="8"/>
  <c r="L116" i="8"/>
  <c r="Q116" i="8"/>
  <c r="V29" i="8"/>
  <c r="V32" i="8"/>
  <c r="V35" i="8"/>
  <c r="S21" i="8"/>
  <c r="S24" i="8"/>
  <c r="W21" i="8"/>
  <c r="W24" i="8"/>
  <c r="W28" i="8" s="1"/>
  <c r="W89" i="8" s="1"/>
  <c r="M20" i="8"/>
  <c r="U20" i="8"/>
  <c r="Q20" i="8"/>
  <c r="T21" i="8"/>
  <c r="R21" i="8"/>
  <c r="L21" i="8"/>
  <c r="AC8" i="9" l="1"/>
  <c r="AC13" i="9" s="1"/>
  <c r="AC14" i="9" s="1"/>
  <c r="J21" i="8"/>
  <c r="R78" i="8"/>
  <c r="R80" i="8" s="1"/>
  <c r="O21" i="8"/>
  <c r="P21" i="8"/>
  <c r="N35" i="8"/>
  <c r="Q78" i="8"/>
  <c r="Q80" i="8" s="1"/>
  <c r="U78" i="8"/>
  <c r="U80" i="8" s="1"/>
  <c r="P78" i="8"/>
  <c r="P80" i="8" s="1"/>
  <c r="O78" i="8"/>
  <c r="O80" i="8" s="1"/>
  <c r="M78" i="8"/>
  <c r="M80" i="8" s="1"/>
  <c r="N32" i="8"/>
  <c r="N29" i="8"/>
  <c r="K21" i="8"/>
  <c r="H21" i="9"/>
  <c r="H24" i="9"/>
  <c r="W78" i="8"/>
  <c r="W80" i="8" s="1"/>
  <c r="V78" i="8"/>
  <c r="V80" i="8" s="1"/>
  <c r="S78" i="8"/>
  <c r="S80" i="8" s="1"/>
  <c r="Q61" i="9"/>
  <c r="AD61" i="9" s="1"/>
  <c r="N78" i="8"/>
  <c r="N80" i="8" s="1"/>
  <c r="L61" i="9"/>
  <c r="Y61" i="9" s="1"/>
  <c r="AE8" i="9"/>
  <c r="AE13" i="9" s="1"/>
  <c r="AE14" i="9" s="1"/>
  <c r="AD8" i="9"/>
  <c r="AH9" i="9" s="1"/>
  <c r="Z13" i="9"/>
  <c r="Z14" i="9" s="1"/>
  <c r="AG8" i="9"/>
  <c r="AA13" i="9"/>
  <c r="AA14" i="9" s="1"/>
  <c r="W110" i="8"/>
  <c r="W137" i="8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Q21" i="8"/>
  <c r="Q24" i="8"/>
  <c r="Q28" i="8" s="1"/>
  <c r="U24" i="8"/>
  <c r="U25" i="8" s="1"/>
  <c r="M24" i="8"/>
  <c r="M28" i="8" s="1"/>
  <c r="M32" i="8" s="1"/>
  <c r="M21" i="8"/>
  <c r="U21" i="8"/>
  <c r="W25" i="8"/>
  <c r="T28" i="8"/>
  <c r="T89" i="8" s="1"/>
  <c r="T25" i="8"/>
  <c r="S25" i="8"/>
  <c r="S28" i="8"/>
  <c r="S89" i="8" s="1"/>
  <c r="L28" i="8"/>
  <c r="L89" i="8" s="1"/>
  <c r="L25" i="8"/>
  <c r="P28" i="8"/>
  <c r="P89" i="8" s="1"/>
  <c r="P25" i="8"/>
  <c r="O28" i="8"/>
  <c r="O25" i="8"/>
  <c r="R28" i="8"/>
  <c r="R89" i="8" s="1"/>
  <c r="R25" i="8"/>
  <c r="W35" i="8"/>
  <c r="W32" i="8"/>
  <c r="W29" i="8"/>
  <c r="K25" i="8"/>
  <c r="K28" i="8"/>
  <c r="H28" i="9" l="1"/>
  <c r="H25" i="9"/>
  <c r="L110" i="8"/>
  <c r="L137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R110" i="8"/>
  <c r="R137" i="8" s="1"/>
  <c r="S110" i="8"/>
  <c r="S137" i="8" s="1"/>
  <c r="T110" i="8"/>
  <c r="T137" i="8" s="1"/>
  <c r="P110" i="8"/>
  <c r="P137" i="8" s="1"/>
  <c r="O89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K89" i="8"/>
  <c r="U28" i="8"/>
  <c r="M25" i="8"/>
  <c r="M29" i="8"/>
  <c r="M35" i="8"/>
  <c r="M89" i="8"/>
  <c r="Q25" i="8"/>
  <c r="Q32" i="8"/>
  <c r="Q29" i="8"/>
  <c r="Q35" i="8"/>
  <c r="O35" i="8"/>
  <c r="O32" i="8"/>
  <c r="O29" i="8"/>
  <c r="T29" i="8"/>
  <c r="T35" i="8"/>
  <c r="T32" i="8"/>
  <c r="P32" i="8"/>
  <c r="P29" i="8"/>
  <c r="P35" i="8"/>
  <c r="R35" i="8"/>
  <c r="R29" i="8"/>
  <c r="R32" i="8"/>
  <c r="L32" i="8"/>
  <c r="L29" i="8"/>
  <c r="L35" i="8"/>
  <c r="K29" i="8"/>
  <c r="K35" i="8"/>
  <c r="K32" i="8"/>
  <c r="S29" i="8"/>
  <c r="S35" i="8"/>
  <c r="S32" i="8"/>
  <c r="H29" i="9" l="1"/>
  <c r="H35" i="9"/>
  <c r="H43" i="9" s="1"/>
  <c r="K110" i="8"/>
  <c r="K137" i="8" s="1"/>
  <c r="Y89" i="8"/>
  <c r="M110" i="8"/>
  <c r="M137" i="8" s="1"/>
  <c r="AA89" i="8"/>
  <c r="Z89" i="8"/>
  <c r="AD20" i="9"/>
  <c r="AD21" i="9" s="1"/>
  <c r="Y20" i="9"/>
  <c r="Y24" i="9" s="1"/>
  <c r="Y28" i="9" s="1"/>
  <c r="AG14" i="9"/>
  <c r="AG24" i="9"/>
  <c r="AG28" i="9" s="1"/>
  <c r="O110" i="8"/>
  <c r="O137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U29" i="8"/>
  <c r="U35" i="8"/>
  <c r="U32" i="8"/>
  <c r="Y137" i="8" l="1"/>
  <c r="H44" i="9"/>
  <c r="AA137" i="8"/>
  <c r="Z137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86" i="8"/>
  <c r="B85" i="8"/>
  <c r="J86" i="8"/>
  <c r="J85" i="8"/>
  <c r="H86" i="8"/>
  <c r="G86" i="8"/>
  <c r="F86" i="8"/>
  <c r="H85" i="8"/>
  <c r="G85" i="8"/>
  <c r="F85" i="8"/>
  <c r="B39" i="8"/>
  <c r="B38" i="8"/>
  <c r="AI39" i="8"/>
  <c r="AH39" i="8"/>
  <c r="AG39" i="8"/>
  <c r="AE39" i="8"/>
  <c r="AD39" i="8"/>
  <c r="AC39" i="8"/>
  <c r="AA39" i="8"/>
  <c r="Z39" i="8"/>
  <c r="Y39" i="8"/>
  <c r="AF39" i="8"/>
  <c r="AB39" i="8"/>
  <c r="AI38" i="8"/>
  <c r="AH38" i="8"/>
  <c r="AG38" i="8"/>
  <c r="AF38" i="8"/>
  <c r="AE38" i="8"/>
  <c r="AD38" i="8"/>
  <c r="AC38" i="8"/>
  <c r="AB38" i="8"/>
  <c r="AA38" i="8"/>
  <c r="Z38" i="8"/>
  <c r="Y38" i="8"/>
  <c r="Y85" i="8" l="1"/>
  <c r="AB85" i="8"/>
  <c r="AC85" i="8"/>
  <c r="AC86" i="8"/>
  <c r="AF85" i="8"/>
  <c r="AG85" i="8"/>
  <c r="AB86" i="8"/>
  <c r="AG86" i="8"/>
  <c r="AH86" i="8"/>
  <c r="AE85" i="8"/>
  <c r="Z85" i="8"/>
  <c r="AH85" i="8"/>
  <c r="AE86" i="8"/>
  <c r="AD86" i="8"/>
  <c r="AA85" i="8"/>
  <c r="AI85" i="8"/>
  <c r="AF86" i="8"/>
  <c r="Y86" i="8"/>
  <c r="Z86" i="8"/>
  <c r="AD85" i="8"/>
  <c r="AA86" i="8"/>
  <c r="AI86" i="8"/>
  <c r="G20" i="10" l="1"/>
  <c r="F20" i="10"/>
  <c r="H20" i="10"/>
  <c r="AG66" i="9"/>
  <c r="AG67" i="9" s="1"/>
  <c r="AI66" i="9"/>
  <c r="T20" i="10" l="1"/>
  <c r="V20" i="10"/>
  <c r="R20" i="10"/>
  <c r="S20" i="10"/>
  <c r="U20" i="10"/>
  <c r="W20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AD11" i="8" l="1"/>
  <c r="G47" i="8"/>
  <c r="G56" i="8" s="1"/>
  <c r="F47" i="8"/>
  <c r="F56" i="8" s="1"/>
  <c r="H47" i="8"/>
  <c r="H56" i="8" s="1"/>
  <c r="Y65" i="8" l="1"/>
  <c r="Y71" i="8" s="1"/>
  <c r="Y47" i="8"/>
  <c r="Y56" i="8" s="1"/>
  <c r="AE11" i="8"/>
  <c r="AD14" i="8"/>
  <c r="AD20" i="8" s="1"/>
  <c r="AD24" i="8" s="1"/>
  <c r="AE47" i="8"/>
  <c r="AE56" i="8" s="1"/>
  <c r="AC47" i="8"/>
  <c r="AC56" i="8" s="1"/>
  <c r="AE65" i="8"/>
  <c r="AE71" i="8" s="1"/>
  <c r="AD65" i="8"/>
  <c r="AD71" i="8" s="1"/>
  <c r="Z65" i="8"/>
  <c r="Z71" i="8" s="1"/>
  <c r="AB11" i="8"/>
  <c r="Z47" i="8"/>
  <c r="Z56" i="8" s="1"/>
  <c r="AD47" i="8"/>
  <c r="AD56" i="8" s="1"/>
  <c r="AC11" i="8"/>
  <c r="AA47" i="8"/>
  <c r="AA56" i="8" s="1"/>
  <c r="AA65" i="8"/>
  <c r="AA71" i="8" s="1"/>
  <c r="AC65" i="8"/>
  <c r="AC71" i="8" s="1"/>
  <c r="AG47" i="8"/>
  <c r="AG56" i="8" s="1"/>
  <c r="AG11" i="8"/>
  <c r="AG65" i="8"/>
  <c r="AG71" i="8" s="1"/>
  <c r="AH65" i="8"/>
  <c r="AH71" i="8" s="1"/>
  <c r="AF11" i="8"/>
  <c r="AH11" i="8"/>
  <c r="AH47" i="8"/>
  <c r="AH56" i="8" s="1"/>
  <c r="AD21" i="8" l="1"/>
  <c r="AD28" i="8"/>
  <c r="AC14" i="8"/>
  <c r="AC20" i="8" s="1"/>
  <c r="AC24" i="8" s="1"/>
  <c r="AI13" i="9"/>
  <c r="AE13" i="10"/>
  <c r="AE20" i="10" s="1"/>
  <c r="AB12" i="10"/>
  <c r="AC12" i="10"/>
  <c r="AD12" i="10"/>
  <c r="Y78" i="8"/>
  <c r="Y80" i="8" s="1"/>
  <c r="AG14" i="8"/>
  <c r="AG20" i="8" s="1"/>
  <c r="AG24" i="8" s="1"/>
  <c r="AK10" i="8"/>
  <c r="AE78" i="8"/>
  <c r="AE80" i="8" s="1"/>
  <c r="AC78" i="8"/>
  <c r="AC80" i="8" s="1"/>
  <c r="AA78" i="8"/>
  <c r="AA80" i="8" s="1"/>
  <c r="AK17" i="8"/>
  <c r="AD78" i="8"/>
  <c r="AD80" i="8" s="1"/>
  <c r="AE14" i="8"/>
  <c r="AE20" i="8" s="1"/>
  <c r="AE24" i="8" s="1"/>
  <c r="Z78" i="8"/>
  <c r="Z80" i="8" s="1"/>
  <c r="AB14" i="8"/>
  <c r="AB20" i="8" s="1"/>
  <c r="AB24" i="8" s="1"/>
  <c r="AD15" i="8"/>
  <c r="AK13" i="8"/>
  <c r="AG78" i="8"/>
  <c r="AG80" i="8" s="1"/>
  <c r="AH14" i="8"/>
  <c r="AH20" i="8" s="1"/>
  <c r="AH24" i="8" s="1"/>
  <c r="AF14" i="8"/>
  <c r="AF20" i="8" s="1"/>
  <c r="AF24" i="8" s="1"/>
  <c r="AH78" i="8"/>
  <c r="AH80" i="8" s="1"/>
  <c r="AC21" i="8" l="1"/>
  <c r="AC28" i="8"/>
  <c r="AB21" i="8"/>
  <c r="AB28" i="8"/>
  <c r="AE28" i="8"/>
  <c r="AE21" i="8"/>
  <c r="AG28" i="8"/>
  <c r="AG21" i="8"/>
  <c r="AF28" i="8"/>
  <c r="AF21" i="8"/>
  <c r="AH28" i="8"/>
  <c r="AH21" i="8"/>
  <c r="AG15" i="8"/>
  <c r="AF15" i="8"/>
  <c r="AC15" i="8"/>
  <c r="AH15" i="8"/>
  <c r="AE15" i="8"/>
  <c r="AI14" i="9"/>
  <c r="AI20" i="9"/>
  <c r="AC13" i="10"/>
  <c r="AC14" i="10" s="1"/>
  <c r="AD13" i="10"/>
  <c r="AD14" i="10" s="1"/>
  <c r="AE14" i="10"/>
  <c r="AF13" i="10"/>
  <c r="AF20" i="10" s="1"/>
  <c r="AB13" i="10"/>
  <c r="AB14" i="10" s="1"/>
  <c r="Z12" i="10"/>
  <c r="Y12" i="10"/>
  <c r="AA12" i="10"/>
  <c r="AD25" i="8"/>
  <c r="AB15" i="8"/>
  <c r="AA13" i="10" l="1"/>
  <c r="Z13" i="10"/>
  <c r="AC25" i="8"/>
  <c r="AB25" i="8"/>
  <c r="AG25" i="8"/>
  <c r="AC29" i="8"/>
  <c r="AI24" i="9"/>
  <c r="AI28" i="9" s="1"/>
  <c r="AI21" i="9"/>
  <c r="Y13" i="10"/>
  <c r="AG13" i="10"/>
  <c r="AF14" i="10"/>
  <c r="AD29" i="8"/>
  <c r="AD32" i="8"/>
  <c r="AD35" i="8"/>
  <c r="AB32" i="8"/>
  <c r="AB35" i="8"/>
  <c r="AB29" i="8"/>
  <c r="AH25" i="8"/>
  <c r="AE25" i="8"/>
  <c r="AF25" i="8"/>
  <c r="AG14" i="10" l="1"/>
  <c r="AG20" i="10"/>
  <c r="AC35" i="8"/>
  <c r="AC32" i="8"/>
  <c r="AI25" i="9"/>
  <c r="AF29" i="8"/>
  <c r="AF35" i="8"/>
  <c r="AF32" i="8"/>
  <c r="AE35" i="8"/>
  <c r="AE29" i="8"/>
  <c r="AE32" i="8"/>
  <c r="AG29" i="8"/>
  <c r="AG32" i="8"/>
  <c r="AG35" i="8"/>
  <c r="AH29" i="8"/>
  <c r="AH32" i="8"/>
  <c r="AH35" i="8"/>
  <c r="AI29" i="9" l="1"/>
  <c r="AI35" i="9"/>
  <c r="AB65" i="8" l="1"/>
  <c r="AF65" i="8"/>
  <c r="AF71" i="8" s="1"/>
  <c r="AB71" i="8" l="1"/>
  <c r="AB78" i="8" s="1"/>
  <c r="Z116" i="8"/>
  <c r="AA116" i="8"/>
  <c r="Y116" i="8"/>
  <c r="AE116" i="8"/>
  <c r="AB116" i="8"/>
  <c r="AC116" i="8"/>
  <c r="AD116" i="8"/>
  <c r="AF116" i="8"/>
  <c r="AH116" i="8"/>
  <c r="AG116" i="8"/>
  <c r="H11" i="8" l="1"/>
  <c r="G11" i="8"/>
  <c r="F11" i="8"/>
  <c r="C8" i="9"/>
  <c r="J116" i="8"/>
  <c r="H116" i="8"/>
  <c r="G116" i="8"/>
  <c r="F116" i="8"/>
  <c r="J65" i="8"/>
  <c r="G65" i="8"/>
  <c r="F65" i="8"/>
  <c r="C60" i="9"/>
  <c r="AI11" i="8"/>
  <c r="U67" i="9"/>
  <c r="M67" i="9"/>
  <c r="AK34" i="9"/>
  <c r="AK27" i="9"/>
  <c r="J71" i="8" l="1"/>
  <c r="H61" i="9" s="1"/>
  <c r="H60" i="9"/>
  <c r="C61" i="9"/>
  <c r="G71" i="8"/>
  <c r="F71" i="8"/>
  <c r="N67" i="9"/>
  <c r="V67" i="9"/>
  <c r="D67" i="9"/>
  <c r="O67" i="9"/>
  <c r="AG61" i="9"/>
  <c r="AK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AF78" i="8"/>
  <c r="G14" i="8"/>
  <c r="G20" i="8" s="1"/>
  <c r="G24" i="8" s="1"/>
  <c r="F14" i="8"/>
  <c r="F20" i="8" s="1"/>
  <c r="F24" i="8" s="1"/>
  <c r="H14" i="8"/>
  <c r="H20" i="8" s="1"/>
  <c r="H24" i="8" s="1"/>
  <c r="AI65" i="8"/>
  <c r="AI71" i="8" s="1"/>
  <c r="AK77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F78" i="8" l="1"/>
  <c r="F80" i="8" s="1"/>
  <c r="F21" i="8"/>
  <c r="G21" i="8"/>
  <c r="G28" i="8"/>
  <c r="G89" i="8" s="1"/>
  <c r="Q89" i="8" s="1"/>
  <c r="J28" i="8"/>
  <c r="H28" i="8"/>
  <c r="H89" i="8" s="1"/>
  <c r="U89" i="8" s="1"/>
  <c r="H21" i="8"/>
  <c r="T67" i="9"/>
  <c r="AF47" i="8"/>
  <c r="J78" i="8"/>
  <c r="J80" i="8" s="1"/>
  <c r="AB47" i="8"/>
  <c r="G78" i="8"/>
  <c r="G80" i="8" s="1"/>
  <c r="H78" i="8"/>
  <c r="H80" i="8" s="1"/>
  <c r="AH61" i="9"/>
  <c r="P67" i="9"/>
  <c r="AK71" i="8"/>
  <c r="AK65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I47" i="8"/>
  <c r="AI56" i="8" s="1"/>
  <c r="G15" i="8"/>
  <c r="H15" i="8"/>
  <c r="F15" i="8"/>
  <c r="AI14" i="8"/>
  <c r="AI20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G89" i="8" l="1"/>
  <c r="AI89" i="8"/>
  <c r="AH89" i="8"/>
  <c r="AF89" i="8"/>
  <c r="AE89" i="8"/>
  <c r="AD89" i="8"/>
  <c r="AC89" i="8"/>
  <c r="AB89" i="8"/>
  <c r="Q110" i="8"/>
  <c r="Q137" i="8" s="1"/>
  <c r="AB56" i="8"/>
  <c r="AB80" i="8" s="1"/>
  <c r="AF56" i="8"/>
  <c r="AF80" i="8" s="1"/>
  <c r="AK20" i="8"/>
  <c r="AI24" i="8"/>
  <c r="J29" i="8"/>
  <c r="J35" i="8"/>
  <c r="F25" i="8"/>
  <c r="F28" i="8"/>
  <c r="F35" i="8" s="1"/>
  <c r="AI21" i="8"/>
  <c r="AK21" i="8" s="1"/>
  <c r="H25" i="8"/>
  <c r="G25" i="8"/>
  <c r="AK129" i="8"/>
  <c r="AI78" i="8"/>
  <c r="AK78" i="8" s="1"/>
  <c r="AK56" i="8"/>
  <c r="AK47" i="8"/>
  <c r="T14" i="9"/>
  <c r="P14" i="9"/>
  <c r="H32" i="8"/>
  <c r="H35" i="8"/>
  <c r="G35" i="8"/>
  <c r="G32" i="8"/>
  <c r="R20" i="9"/>
  <c r="R21" i="9" s="1"/>
  <c r="J20" i="9"/>
  <c r="J21" i="9" s="1"/>
  <c r="AK14" i="8"/>
  <c r="H29" i="8"/>
  <c r="H110" i="8"/>
  <c r="H137" i="8" s="1"/>
  <c r="G29" i="8"/>
  <c r="G110" i="8"/>
  <c r="G137" i="8" s="1"/>
  <c r="AI116" i="8"/>
  <c r="AK116" i="8" s="1"/>
  <c r="AI15" i="8"/>
  <c r="AK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I28" i="8" l="1"/>
  <c r="AK24" i="8"/>
  <c r="AE137" i="8"/>
  <c r="AD137" i="8"/>
  <c r="AC137" i="8"/>
  <c r="AB137" i="8"/>
  <c r="U110" i="8"/>
  <c r="U137" i="8" s="1"/>
  <c r="F29" i="8"/>
  <c r="F89" i="8"/>
  <c r="F32" i="8"/>
  <c r="J89" i="8"/>
  <c r="J110" i="8" s="1"/>
  <c r="J137" i="8" s="1"/>
  <c r="J32" i="8"/>
  <c r="AI80" i="8"/>
  <c r="R24" i="9"/>
  <c r="R28" i="9" s="1"/>
  <c r="J24" i="9"/>
  <c r="J28" i="9" s="1"/>
  <c r="AI25" i="8"/>
  <c r="AK25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AI137" i="8" l="1"/>
  <c r="AF137" i="8"/>
  <c r="AH137" i="8"/>
  <c r="AG137" i="8"/>
  <c r="F110" i="8"/>
  <c r="F137" i="8" s="1"/>
  <c r="AE110" i="8"/>
  <c r="AI35" i="8"/>
  <c r="R25" i="9"/>
  <c r="J25" i="9"/>
  <c r="AF110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AB110" i="8" l="1"/>
  <c r="AC110" i="8"/>
  <c r="AD110" i="8"/>
  <c r="AK28" i="8"/>
  <c r="AI32" i="8"/>
  <c r="AI29" i="8"/>
  <c r="AK29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K32" i="8"/>
  <c r="AK35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F134" i="8" l="1"/>
  <c r="F138" i="8" s="1"/>
  <c r="F140" i="8" s="1"/>
  <c r="J134" i="8"/>
  <c r="J138" i="8" s="1"/>
  <c r="J140" i="8" s="1"/>
  <c r="Y132" i="8" l="1"/>
  <c r="K132" i="8"/>
  <c r="K134" i="8" s="1"/>
  <c r="K138" i="8" s="1"/>
  <c r="K140" i="8" s="1"/>
  <c r="G132" i="8"/>
  <c r="G134" i="8" s="1"/>
  <c r="G138" i="8" s="1"/>
  <c r="G140" i="8" s="1"/>
  <c r="Z132" i="8" l="1"/>
  <c r="H132" i="8"/>
  <c r="H134" i="8" s="1"/>
  <c r="H138" i="8" s="1"/>
  <c r="H140" i="8" s="1"/>
  <c r="L132" i="8"/>
  <c r="L134" i="8" s="1"/>
  <c r="L138" i="8" s="1"/>
  <c r="L140" i="8" s="1"/>
  <c r="AA132" i="8" l="1"/>
  <c r="M132" i="8"/>
  <c r="M134" i="8" s="1"/>
  <c r="M138" i="8" s="1"/>
  <c r="M140" i="8" s="1"/>
  <c r="AB132" i="8" l="1"/>
  <c r="N132" i="8"/>
  <c r="N134" i="8" s="1"/>
  <c r="N138" i="8" s="1"/>
  <c r="N140" i="8" s="1"/>
  <c r="AC132" i="8" l="1"/>
  <c r="O132" i="8"/>
  <c r="O134" i="8" s="1"/>
  <c r="O138" i="8" s="1"/>
  <c r="O140" i="8" s="1"/>
  <c r="AD132" i="8" l="1"/>
  <c r="P132" i="8"/>
  <c r="P134" i="8" s="1"/>
  <c r="P138" i="8" s="1"/>
  <c r="P140" i="8" s="1"/>
  <c r="AE132" i="8" l="1"/>
  <c r="AE134" i="8" s="1"/>
  <c r="Q132" i="8"/>
  <c r="Q134" i="8" s="1"/>
  <c r="Q138" i="8" s="1"/>
  <c r="Q140" i="8" s="1"/>
  <c r="AF132" i="8" l="1"/>
  <c r="R132" i="8"/>
  <c r="R134" i="8" s="1"/>
  <c r="R138" i="8" s="1"/>
  <c r="R140" i="8" s="1"/>
  <c r="AG132" i="8" l="1"/>
  <c r="S132" i="8"/>
  <c r="S134" i="8" s="1"/>
  <c r="S138" i="8" s="1"/>
  <c r="S140" i="8" s="1"/>
  <c r="AH132" i="8" l="1"/>
  <c r="T132" i="8"/>
  <c r="T134" i="8" s="1"/>
  <c r="T138" i="8" s="1"/>
  <c r="T140" i="8" s="1"/>
  <c r="AI132" i="8" l="1"/>
  <c r="U132" i="8"/>
  <c r="U134" i="8" s="1"/>
  <c r="U138" i="8" s="1"/>
  <c r="U140" i="8" s="1"/>
  <c r="V132" i="8" l="1"/>
  <c r="V134" i="8" s="1"/>
  <c r="V138" i="8" s="1"/>
  <c r="V140" i="8" s="1"/>
  <c r="W132" i="8" l="1"/>
  <c r="W134" i="8" s="1"/>
  <c r="W138" i="8" s="1"/>
  <c r="W140" i="8" s="1"/>
  <c r="Y134" i="8" l="1"/>
  <c r="AD134" i="8" l="1"/>
  <c r="AD138" i="8" s="1"/>
  <c r="AD140" i="8" s="1"/>
  <c r="AE138" i="8" l="1"/>
  <c r="AE140" i="8" s="1"/>
  <c r="AF134" i="8" l="1"/>
  <c r="AF138" i="8" s="1"/>
  <c r="AF140" i="8" s="1"/>
  <c r="Z134" i="8"/>
  <c r="AG134" i="8" l="1"/>
  <c r="AA110" i="8"/>
  <c r="Y11" i="8"/>
  <c r="Y14" i="10" s="1"/>
  <c r="AA11" i="8"/>
  <c r="Z11" i="8"/>
  <c r="Z14" i="8" s="1"/>
  <c r="Z14" i="10" l="1"/>
  <c r="Z20" i="8"/>
  <c r="Z24" i="8" s="1"/>
  <c r="Z15" i="8"/>
  <c r="AA14" i="8"/>
  <c r="AA14" i="10"/>
  <c r="Y14" i="8"/>
  <c r="AA20" i="8" l="1"/>
  <c r="AA24" i="8" s="1"/>
  <c r="AA15" i="8"/>
  <c r="Y15" i="8"/>
  <c r="Y20" i="8"/>
  <c r="Y24" i="8" s="1"/>
  <c r="Z21" i="8"/>
  <c r="Z28" i="8" l="1"/>
  <c r="Z25" i="8"/>
  <c r="Y21" i="8"/>
  <c r="AA21" i="8"/>
  <c r="AA28" i="8" l="1"/>
  <c r="AA25" i="8"/>
  <c r="Y25" i="8"/>
  <c r="Y28" i="8"/>
  <c r="Z32" i="8"/>
  <c r="Z29" i="8"/>
  <c r="Z35" i="8"/>
  <c r="AG110" i="8" l="1"/>
  <c r="AH110" i="8"/>
  <c r="Z110" i="8"/>
  <c r="Z138" i="8" s="1"/>
  <c r="Z140" i="8" s="1"/>
  <c r="Y110" i="8"/>
  <c r="Y29" i="8"/>
  <c r="Y35" i="8"/>
  <c r="Y32" i="8"/>
  <c r="AA32" i="8"/>
  <c r="AA29" i="8"/>
  <c r="AA35" i="8"/>
  <c r="Y138" i="8" l="1"/>
  <c r="Y140" i="8" s="1"/>
  <c r="AG138" i="8"/>
  <c r="AG140" i="8" s="1"/>
  <c r="AI110" i="8"/>
  <c r="AK89" i="8"/>
  <c r="AA134" i="8"/>
  <c r="AA138" i="8" s="1"/>
  <c r="AA140" i="8" s="1"/>
  <c r="AH134" i="8" l="1"/>
  <c r="AH138" i="8" s="1"/>
  <c r="AH140" i="8" s="1"/>
  <c r="AK110" i="8"/>
  <c r="AB134" i="8"/>
  <c r="AB138" i="8" s="1"/>
  <c r="AB140" i="8" s="1"/>
  <c r="AI134" i="8" l="1"/>
  <c r="AI138" i="8" s="1"/>
  <c r="AI140" i="8" s="1"/>
  <c r="AC134" i="8"/>
  <c r="AC138" i="8" s="1"/>
  <c r="AC140" i="8" s="1"/>
</calcChain>
</file>

<file path=xl/sharedStrings.xml><?xml version="1.0" encoding="utf-8"?>
<sst xmlns="http://schemas.openxmlformats.org/spreadsheetml/2006/main" count="339" uniqueCount="192">
  <si>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</si>
  <si>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</si>
  <si>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</si>
  <si>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</si>
  <si>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</si>
  <si>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</si>
  <si>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</si>
  <si>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</si>
  <si>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</si>
  <si>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</si>
  <si>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</si>
  <si>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</si>
  <si>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</si>
  <si>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</si>
  <si>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</si>
  <si>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</si>
  <si>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</si>
  <si>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</si>
  <si>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</si>
  <si>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</si>
  <si>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</si>
  <si>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</si>
  <si>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</si>
  <si>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</si>
  <si>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</si>
  <si>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</si>
  <si>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</si>
  <si>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</si>
  <si>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</si>
  <si>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</si>
  <si>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</si>
  <si>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</si>
  <si>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</si>
  <si>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</si>
  <si>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</si>
  <si>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</si>
  <si>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</si>
  <si>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</si>
  <si>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</si>
  <si>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</si>
  <si>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</si>
  <si>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</si>
  <si>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</si>
  <si>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</si>
  <si>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</si>
  <si>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</si>
  <si>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</si>
  <si>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</si>
  <si>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</si>
  <si>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</si>
  <si>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</si>
  <si>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</si>
  <si>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</si>
  <si>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</si>
  <si>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</si>
  <si>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</si>
  <si>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</si>
  <si>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</si>
  <si>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</si>
  <si>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</si>
  <si>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</si>
  <si>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</si>
  <si>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</si>
  <si>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</si>
  <si>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</si>
  <si>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</si>
  <si>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</si>
  <si>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</si>
  <si>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</si>
  <si>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</si>
  <si>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</si>
  <si>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</si>
  <si>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</si>
  <si>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</si>
  <si>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</si>
  <si>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</si>
  <si>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</si>
  <si>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</si>
  <si>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</si>
  <si>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</si>
  <si>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</si>
  <si>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</si>
  <si>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</si>
  <si>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</si>
  <si>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</si>
  <si>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</si>
  <si>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</si>
  <si>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</si>
  <si>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</si>
  <si>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</si>
  <si>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</si>
  <si>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NM</t>
  </si>
  <si>
    <t>Cash paid for interest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</si>
  <si>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</si>
  <si>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</si>
  <si>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</si>
  <si>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</si>
  <si>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</si>
  <si>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</si>
  <si>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</si>
  <si>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</si>
  <si>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</si>
  <si>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</si>
  <si>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</si>
  <si>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</si>
  <si>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</si>
  <si>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</si>
  <si>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</si>
  <si>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</si>
  <si>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</si>
  <si>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</si>
  <si>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(+/-) Proceeds / (Purchases) of Equity, net</t>
  </si>
  <si>
    <t>(+/-) Other Financing Activities</t>
  </si>
  <si>
    <t>Cash and cash equivalents</t>
  </si>
  <si>
    <t>Property and equipment, net</t>
  </si>
  <si>
    <t>Goodwill</t>
  </si>
  <si>
    <t>Additional paid-in capital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</si>
  <si>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</si>
  <si>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</si>
  <si>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</si>
  <si>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</si>
  <si>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</si>
  <si>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</si>
  <si>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</si>
  <si>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</si>
  <si>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</si>
  <si>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</si>
  <si>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</si>
  <si>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</si>
  <si>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</si>
  <si>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</si>
  <si>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</si>
  <si>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</si>
  <si>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Deferred revenue</t>
  </si>
  <si>
    <t>Non-cash lease expense</t>
  </si>
  <si>
    <t>Supplemental disclosures of other cash flow information:</t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</si>
  <si>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</si>
  <si>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Revenue by Channel</t>
  </si>
  <si>
    <t>`</t>
  </si>
  <si>
    <t>Revenue Segment Anaysis</t>
  </si>
  <si>
    <t>Cosmetics</t>
  </si>
  <si>
    <t>Haircare products and styling tools</t>
  </si>
  <si>
    <t>Skincare</t>
  </si>
  <si>
    <t>Fragrance and bath</t>
  </si>
  <si>
    <t>Services</t>
  </si>
  <si>
    <t>Accessories and other</t>
  </si>
  <si>
    <t>Ulta Beauty Inc. (NASDAQ: ULTA)</t>
  </si>
  <si>
    <t>Selling, general and administrative expenses</t>
  </si>
  <si>
    <t>Pre-opening expenses</t>
  </si>
  <si>
    <t>Impairment, restructuring and other costs</t>
  </si>
  <si>
    <t>Interest Income (Expense), net</t>
  </si>
  <si>
    <t>Income tax expense</t>
  </si>
  <si>
    <t>Receivables, net</t>
  </si>
  <si>
    <t>Merchandise inventories, net</t>
  </si>
  <si>
    <t>Prepaid expenses and other current assets</t>
  </si>
  <si>
    <t>Prepaid income taxes</t>
  </si>
  <si>
    <t>Operating lease assets</t>
  </si>
  <si>
    <t>Other intangible assets, net</t>
  </si>
  <si>
    <t>Deferred compensation plan assets</t>
  </si>
  <si>
    <t>Other long-term assets</t>
  </si>
  <si>
    <t>Accrued liabilities</t>
  </si>
  <si>
    <t>Current operating lease liabilities</t>
  </si>
  <si>
    <t>Accrued income taxes</t>
  </si>
  <si>
    <t>Short-term debt</t>
  </si>
  <si>
    <t>Non-current operating lease liabilities</t>
  </si>
  <si>
    <t>Deferred income taxes</t>
  </si>
  <si>
    <t>Other long-term liabilities</t>
  </si>
  <si>
    <t>Treasury stock-common, at cost</t>
  </si>
  <si>
    <t>Retained earnings</t>
  </si>
  <si>
    <t>Stock-based compensation expense</t>
  </si>
  <si>
    <t>Loss on disposal of property and equipment</t>
  </si>
  <si>
    <t>Long-lived asset impairment charge</t>
  </si>
  <si>
    <t>Equity net loss of affiliate</t>
  </si>
  <si>
    <t>Receivables</t>
  </si>
  <si>
    <t>Merchandise inventories</t>
  </si>
  <si>
    <t>Income taxes</t>
  </si>
  <si>
    <t>Operating lease liabilities</t>
  </si>
  <si>
    <t>Other assets and liabilities</t>
  </si>
  <si>
    <t>Capital expenditures</t>
  </si>
  <si>
    <t>Acquisitions, net of cash acquired</t>
  </si>
  <si>
    <t>Other investments</t>
  </si>
  <si>
    <t>Borrowings from short-term debt</t>
  </si>
  <si>
    <t>Payments on short-term debt</t>
  </si>
  <si>
    <t>Borrowings from credit facility</t>
  </si>
  <si>
    <t>Payments on credit facility</t>
  </si>
  <si>
    <t>Proceeds from long-term debt</t>
  </si>
  <si>
    <t>Payments on long-term debt</t>
  </si>
  <si>
    <t>Debt issuance costs</t>
  </si>
  <si>
    <t>Repurchase of common shares</t>
  </si>
  <si>
    <t>Stock options exercised</t>
  </si>
  <si>
    <t>Purchase of treasury shares</t>
  </si>
  <si>
    <t>Income taxes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</si>
</sst>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8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9" xfId="0" applyNumberFormat="1" applyFont="1" applyBorder="1" applyAlignment="1">
      <alignment horizontal="right" vertical="top"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41" fontId="6" fillId="0" borderId="11" xfId="0" applyNumberFormat="1" applyFont="1" applyBorder="1" applyAlignment="1">
      <alignment horizontal="right" vertical="top" wrapText="1"/>
    </xf>
    <xf numFmtId="41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center" wrapText="1"/>
    </xf>
    <xf numFmtId="0" fontId="8" fillId="5" borderId="13" xfId="0" applyFont="1" applyFill="1" applyBorder="1" applyAlignment="1">
      <alignment horizontal="right" vertical="center" wrapText="1"/>
    </xf>
    <xf numFmtId="41" fontId="8" fillId="0" borderId="13" xfId="0" applyNumberFormat="1" applyFont="1" applyBorder="1" applyAlignment="1">
      <alignment horizontal="right" vertical="top" wrapText="1"/>
    </xf>
    <xf numFmtId="0" fontId="4" fillId="0" borderId="13" xfId="0" applyFont="1" applyBorder="1"/>
    <xf numFmtId="0" fontId="21" fillId="0" borderId="14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9" fillId="2" borderId="0" xfId="0" applyFont="1" applyFill="1" applyAlignment="1">
      <alignment horizontal="center" vertical="center" wrapText="1"/>
    </xf>
    <xf numFmtId="0" fontId="6" fillId="0" borderId="0" xfId="0" applyFont="1" applyBorder="1" applyAlignment="1">
      <alignment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K160"/>
  <sheetViews>
    <sheetView showGridLines="0" tabSelected="1" zoomScaleNormal="10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3.75" style="5" bestFit="1" customWidth="1"/>
    <col min="3" max="3" width="8.625" style="5" bestFit="1" customWidth="1"/>
    <col min="4" max="5" width="9.75" style="5" bestFit="1" customWidth="1"/>
    <col min="6" max="8" width="8.875" style="5" bestFit="1" customWidth="1"/>
    <col min="9" max="9" width="1.5" style="5" customWidth="1"/>
    <col min="10" max="19" width="8.625" style="5" customWidth="1" outlineLevel="1"/>
    <col min="20" max="23" width="8.625" style="5" bestFit="1" customWidth="1"/>
    <col min="24" max="24" width="1.5" style="5" customWidth="1"/>
    <col min="25" max="30" width="9.75" style="5" hidden="1" customWidth="1" outlineLevel="1"/>
    <col min="31" max="31" width="8.875" style="5" bestFit="1" customWidth="1" collapsed="1"/>
    <col min="32" max="34" width="8.875" style="5" hidden="1" customWidth="1" outlineLevel="1"/>
    <col min="35" max="35" width="8.875" style="5" bestFit="1" customWidth="1" collapsed="1"/>
    <col min="36" max="36" width="1.25" style="5" customWidth="1"/>
    <col min="37" max="37" width="8" style="5" bestFit="1" customWidth="1"/>
    <col min="38" max="38" width="1.375" style="5" customWidth="1"/>
    <col min="39" max="16384" width="9" style="5"/>
  </cols>
  <sheetData>
    <row r="2" spans="1:37" ht="12.75" customHeight="1">
      <c r="B2" s="1" t="s">
        <v>146</v>
      </c>
      <c r="C2" s="91"/>
      <c r="D2" s="91"/>
      <c r="E2" s="91"/>
      <c r="F2" s="91"/>
      <c r="G2" s="91"/>
      <c r="H2" s="91"/>
      <c r="I2" s="3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3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3"/>
      <c r="AK2" s="1"/>
    </row>
    <row r="3" spans="1:37" ht="12.75" customHeight="1">
      <c r="B3" s="6" t="s">
        <v>98</v>
      </c>
      <c r="C3" s="7"/>
      <c r="D3" s="7"/>
      <c r="E3" s="7"/>
      <c r="F3" s="7"/>
      <c r="G3" s="7"/>
      <c r="H3" s="7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3"/>
      <c r="AK3" s="1"/>
    </row>
    <row r="4" spans="1:37" ht="12.75" customHeight="1">
      <c r="B4" s="6" t="s">
        <v>132</v>
      </c>
      <c r="C4" s="3"/>
      <c r="D4" s="3"/>
      <c r="E4" s="3"/>
      <c r="F4" s="3"/>
      <c r="G4" s="8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1"/>
    </row>
    <row r="6" spans="1:37" ht="12.75" customHeight="1">
      <c r="A6" s="5" t="s">
        <v>19</v>
      </c>
      <c r="B6" s="1" t="s">
        <v>96</v>
      </c>
      <c r="C6" s="2" t="s">
        <v>0</v>
      </c>
      <c r="D6" s="2"/>
      <c r="E6" s="2"/>
      <c r="F6" s="2"/>
      <c r="G6" s="2"/>
      <c r="H6" s="2"/>
      <c r="I6" s="3"/>
      <c r="J6" s="2" t="s">
        <v>1</v>
      </c>
      <c r="K6" s="2"/>
      <c r="L6" s="2"/>
      <c r="M6" s="2"/>
      <c r="N6" s="2"/>
      <c r="O6" s="2"/>
      <c r="P6" s="2"/>
      <c r="Q6" s="2"/>
      <c r="R6" s="2"/>
      <c r="S6" s="2"/>
      <c r="T6" s="2" t="s">
        <v>1</v>
      </c>
      <c r="U6" s="2"/>
      <c r="V6" s="2"/>
      <c r="W6" s="2"/>
      <c r="X6" s="3"/>
      <c r="Y6" s="2"/>
      <c r="Z6" s="2"/>
      <c r="AA6" s="2"/>
      <c r="AB6" s="2"/>
      <c r="AC6" s="2"/>
      <c r="AD6" s="2"/>
      <c r="AE6" s="2" t="s">
        <v>10</v>
      </c>
      <c r="AF6" s="2"/>
      <c r="AG6" s="2"/>
      <c r="AH6" s="2"/>
      <c r="AI6" s="2"/>
      <c r="AJ6" s="36"/>
      <c r="AK6" s="141" t="s">
        <v>26</v>
      </c>
    </row>
    <row r="7" spans="1:37" ht="12.75" customHeight="1">
      <c r="B7" s="6" t="s">
        <v>99</v>
      </c>
      <c r="C7" s="7">
        <v>2019</v>
      </c>
      <c r="D7" s="7">
        <v>2020</v>
      </c>
      <c r="E7" s="7">
        <v>2021</v>
      </c>
      <c r="F7" s="7">
        <v>2022</v>
      </c>
      <c r="G7" s="7">
        <v>2023</v>
      </c>
      <c r="H7" s="7">
        <v>2024</v>
      </c>
      <c r="I7" s="3"/>
      <c r="J7" s="4" t="s">
        <v>28</v>
      </c>
      <c r="K7" s="4" t="s">
        <v>29</v>
      </c>
      <c r="L7" s="4" t="s">
        <v>30</v>
      </c>
      <c r="M7" s="4" t="s">
        <v>31</v>
      </c>
      <c r="N7" s="4" t="s">
        <v>6</v>
      </c>
      <c r="O7" s="4" t="s">
        <v>7</v>
      </c>
      <c r="P7" s="4" t="s">
        <v>8</v>
      </c>
      <c r="Q7" s="4" t="s">
        <v>9</v>
      </c>
      <c r="R7" s="4" t="s">
        <v>2</v>
      </c>
      <c r="S7" s="4" t="s">
        <v>3</v>
      </c>
      <c r="T7" s="4" t="s">
        <v>4</v>
      </c>
      <c r="U7" s="4" t="s">
        <v>5</v>
      </c>
      <c r="V7" s="4" t="s">
        <v>32</v>
      </c>
      <c r="W7" s="4" t="s">
        <v>33</v>
      </c>
      <c r="X7" s="4"/>
      <c r="Y7" s="4" t="str">
        <f t="shared" ref="Y7:AH8" si="0">M7</f>
        <v>4Q22</v>
      </c>
      <c r="Z7" s="4" t="str">
        <f t="shared" si="0"/>
        <v>1Q23</v>
      </c>
      <c r="AA7" s="4" t="str">
        <f t="shared" si="0"/>
        <v>2Q23</v>
      </c>
      <c r="AB7" s="4" t="str">
        <f t="shared" si="0"/>
        <v>3Q23</v>
      </c>
      <c r="AC7" s="4" t="str">
        <f t="shared" si="0"/>
        <v>4Q23</v>
      </c>
      <c r="AD7" s="4" t="str">
        <f t="shared" si="0"/>
        <v>1Q24</v>
      </c>
      <c r="AE7" s="4" t="str">
        <f t="shared" si="0"/>
        <v>2Q24</v>
      </c>
      <c r="AF7" s="4" t="str">
        <f t="shared" si="0"/>
        <v>3Q24</v>
      </c>
      <c r="AG7" s="4" t="str">
        <f t="shared" si="0"/>
        <v>4Q24</v>
      </c>
      <c r="AH7" s="4" t="str">
        <f t="shared" si="0"/>
        <v>1Q25</v>
      </c>
      <c r="AI7" s="4" t="str">
        <f>W7</f>
        <v>2Q25</v>
      </c>
      <c r="AJ7" s="36"/>
      <c r="AK7" s="141"/>
    </row>
    <row r="8" spans="1:37" ht="12.75" customHeight="1">
      <c r="B8" s="6" t="s">
        <v>100</v>
      </c>
      <c r="C8" s="3">
        <v>43497</v>
      </c>
      <c r="D8" s="3">
        <v>43861</v>
      </c>
      <c r="E8" s="3">
        <v>44225</v>
      </c>
      <c r="F8" s="3">
        <v>44954</v>
      </c>
      <c r="G8" s="81">
        <v>45325</v>
      </c>
      <c r="H8" s="3">
        <v>45689</v>
      </c>
      <c r="I8" s="3"/>
      <c r="J8" s="3">
        <v>44681</v>
      </c>
      <c r="K8" s="3">
        <v>44772</v>
      </c>
      <c r="L8" s="3">
        <v>44863</v>
      </c>
      <c r="M8" s="3">
        <v>44954</v>
      </c>
      <c r="N8" s="3">
        <v>45045</v>
      </c>
      <c r="O8" s="3">
        <v>45136</v>
      </c>
      <c r="P8" s="3">
        <v>45227</v>
      </c>
      <c r="Q8" s="3">
        <v>45325</v>
      </c>
      <c r="R8" s="3">
        <v>45416</v>
      </c>
      <c r="S8" s="3">
        <v>45507</v>
      </c>
      <c r="T8" s="3">
        <v>45598</v>
      </c>
      <c r="U8" s="3">
        <v>45689</v>
      </c>
      <c r="V8" s="3">
        <v>45780</v>
      </c>
      <c r="W8" s="3">
        <v>45871</v>
      </c>
      <c r="X8" s="3"/>
      <c r="Y8" s="3">
        <f t="shared" si="0"/>
        <v>44954</v>
      </c>
      <c r="Z8" s="3">
        <f t="shared" si="0"/>
        <v>45045</v>
      </c>
      <c r="AA8" s="3">
        <f t="shared" si="0"/>
        <v>45136</v>
      </c>
      <c r="AB8" s="3">
        <f t="shared" si="0"/>
        <v>45227</v>
      </c>
      <c r="AC8" s="3">
        <f t="shared" si="0"/>
        <v>45325</v>
      </c>
      <c r="AD8" s="3">
        <f t="shared" si="0"/>
        <v>45416</v>
      </c>
      <c r="AE8" s="3">
        <f t="shared" si="0"/>
        <v>45507</v>
      </c>
      <c r="AF8" s="3">
        <f t="shared" si="0"/>
        <v>45598</v>
      </c>
      <c r="AG8" s="3">
        <f t="shared" si="0"/>
        <v>45689</v>
      </c>
      <c r="AH8" s="3">
        <f t="shared" si="0"/>
        <v>45780</v>
      </c>
      <c r="AI8" s="3">
        <f>W8</f>
        <v>45871</v>
      </c>
      <c r="AJ8" s="36"/>
      <c r="AK8" s="141"/>
    </row>
    <row r="9" spans="1:37" ht="5.0999999999999996" customHeight="1">
      <c r="AK9" s="90"/>
    </row>
    <row r="10" spans="1:37" ht="12.75" customHeight="1">
      <c r="B10" s="9" t="s">
        <v>77</v>
      </c>
      <c r="C10" s="86">
        <v>7398068</v>
      </c>
      <c r="D10" s="86">
        <v>6090433.4700000007</v>
      </c>
      <c r="E10" s="86">
        <v>8630889</v>
      </c>
      <c r="F10" s="86">
        <v>10208580</v>
      </c>
      <c r="G10" s="86">
        <v>11207302.999999998</v>
      </c>
      <c r="H10" s="86">
        <v>11295654</v>
      </c>
      <c r="I10" s="11"/>
      <c r="J10" s="86">
        <v>2345900.9999999995</v>
      </c>
      <c r="K10" s="86">
        <v>2297113</v>
      </c>
      <c r="L10" s="86">
        <v>2338793.0000000005</v>
      </c>
      <c r="M10" s="30">
        <f>SUM(F10-SUM(J10:L10))</f>
        <v>3226773</v>
      </c>
      <c r="N10" s="86">
        <v>2634263.0000000005</v>
      </c>
      <c r="O10" s="86">
        <v>2529809</v>
      </c>
      <c r="P10" s="86">
        <v>2488933</v>
      </c>
      <c r="Q10" s="30">
        <f>SUM(G10-SUM(N10:P10))</f>
        <v>3554297.9999999981</v>
      </c>
      <c r="R10" s="86">
        <v>2725847.9999999995</v>
      </c>
      <c r="S10" s="86">
        <v>2552087</v>
      </c>
      <c r="T10" s="86">
        <v>2530100</v>
      </c>
      <c r="U10" s="30">
        <f>SUM(H10-SUM(R10:T10))</f>
        <v>3487619</v>
      </c>
      <c r="V10" s="86">
        <v>2848367</v>
      </c>
      <c r="W10" s="86">
        <v>2788469</v>
      </c>
      <c r="X10" s="30"/>
      <c r="Y10" s="30">
        <f t="shared" ref="Y10:AH10" si="1">SUM(J10:M10)</f>
        <v>10208580</v>
      </c>
      <c r="Z10" s="30">
        <f t="shared" si="1"/>
        <v>10496942</v>
      </c>
      <c r="AA10" s="30">
        <f t="shared" si="1"/>
        <v>10729638</v>
      </c>
      <c r="AB10" s="30">
        <f t="shared" si="1"/>
        <v>10879778</v>
      </c>
      <c r="AC10" s="30">
        <f t="shared" si="1"/>
        <v>11207302.999999998</v>
      </c>
      <c r="AD10" s="30">
        <f t="shared" si="1"/>
        <v>11298887.999999998</v>
      </c>
      <c r="AE10" s="30">
        <f t="shared" si="1"/>
        <v>11321165.999999998</v>
      </c>
      <c r="AF10" s="30">
        <f t="shared" si="1"/>
        <v>11362332.999999998</v>
      </c>
      <c r="AG10" s="30">
        <f t="shared" si="1"/>
        <v>11295654</v>
      </c>
      <c r="AH10" s="30">
        <f t="shared" si="1"/>
        <v>11418173</v>
      </c>
      <c r="AI10" s="30">
        <f>SUM(T10:W10)</f>
        <v>11654555</v>
      </c>
      <c r="AJ10" s="38"/>
      <c r="AK10" s="70">
        <f>SUM(AI10/AE10)-1</f>
        <v>2.9448291810225458E-2</v>
      </c>
    </row>
    <row r="11" spans="1:37" ht="12.75" customHeight="1">
      <c r="B11" s="12" t="s">
        <v>12</v>
      </c>
      <c r="C11" s="13">
        <f t="shared" ref="C11:E11" si="2">+SUM(C10:C10)</f>
        <v>7398068</v>
      </c>
      <c r="D11" s="13">
        <f t="shared" si="2"/>
        <v>6090433.4700000007</v>
      </c>
      <c r="E11" s="13">
        <f t="shared" si="2"/>
        <v>8630889</v>
      </c>
      <c r="F11" s="13">
        <f t="shared" ref="F11:H11" si="3">+SUM(F10:F10)</f>
        <v>10208580</v>
      </c>
      <c r="G11" s="13">
        <f t="shared" si="3"/>
        <v>11207302.999999998</v>
      </c>
      <c r="H11" s="13">
        <f t="shared" si="3"/>
        <v>11295654</v>
      </c>
      <c r="I11" s="11"/>
      <c r="J11" s="13">
        <f t="shared" ref="J11:W11" si="4">+SUM(J10:J10)</f>
        <v>2345900.9999999995</v>
      </c>
      <c r="K11" s="13">
        <f t="shared" si="4"/>
        <v>2297113</v>
      </c>
      <c r="L11" s="13">
        <f t="shared" si="4"/>
        <v>2338793.0000000005</v>
      </c>
      <c r="M11" s="13">
        <f t="shared" si="4"/>
        <v>3226773</v>
      </c>
      <c r="N11" s="13">
        <f t="shared" si="4"/>
        <v>2634263.0000000005</v>
      </c>
      <c r="O11" s="13">
        <f t="shared" si="4"/>
        <v>2529809</v>
      </c>
      <c r="P11" s="13">
        <f t="shared" si="4"/>
        <v>2488933</v>
      </c>
      <c r="Q11" s="13">
        <f t="shared" si="4"/>
        <v>3554297.9999999981</v>
      </c>
      <c r="R11" s="13">
        <f t="shared" si="4"/>
        <v>2725847.9999999995</v>
      </c>
      <c r="S11" s="13">
        <f t="shared" si="4"/>
        <v>2552087</v>
      </c>
      <c r="T11" s="13">
        <f t="shared" si="4"/>
        <v>2530100</v>
      </c>
      <c r="U11" s="13">
        <f t="shared" si="4"/>
        <v>3487619</v>
      </c>
      <c r="V11" s="13">
        <f t="shared" si="4"/>
        <v>2848367</v>
      </c>
      <c r="W11" s="13">
        <f t="shared" si="4"/>
        <v>2788469</v>
      </c>
      <c r="Y11" s="13">
        <f t="shared" ref="Y11:AI11" si="5">+SUM(Y10:Y10)</f>
        <v>10208580</v>
      </c>
      <c r="Z11" s="13">
        <f t="shared" si="5"/>
        <v>10496942</v>
      </c>
      <c r="AA11" s="13">
        <f t="shared" si="5"/>
        <v>10729638</v>
      </c>
      <c r="AB11" s="13">
        <f t="shared" si="5"/>
        <v>10879778</v>
      </c>
      <c r="AC11" s="13">
        <f t="shared" si="5"/>
        <v>11207302.999999998</v>
      </c>
      <c r="AD11" s="13">
        <f t="shared" si="5"/>
        <v>11298887.999999998</v>
      </c>
      <c r="AE11" s="13">
        <f t="shared" si="5"/>
        <v>11321165.999999998</v>
      </c>
      <c r="AF11" s="13">
        <f t="shared" si="5"/>
        <v>11362332.999999998</v>
      </c>
      <c r="AG11" s="13">
        <f t="shared" si="5"/>
        <v>11295654</v>
      </c>
      <c r="AH11" s="13">
        <f t="shared" si="5"/>
        <v>11418173</v>
      </c>
      <c r="AI11" s="13">
        <f t="shared" si="5"/>
        <v>11654555</v>
      </c>
      <c r="AJ11" s="38"/>
      <c r="AK11" s="71">
        <f t="shared" ref="AK11:AK28" si="6">SUM(AI11/AE11)-1</f>
        <v>2.9448291810225458E-2</v>
      </c>
    </row>
    <row r="12" spans="1:37" s="18" customFormat="1" ht="5.0999999999999996" customHeight="1">
      <c r="B12" s="16"/>
      <c r="C12" s="17"/>
      <c r="D12" s="17"/>
      <c r="E12" s="17"/>
      <c r="F12" s="17"/>
      <c r="G12" s="17"/>
      <c r="H12" s="1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AK12" s="70"/>
    </row>
    <row r="13" spans="1:37" ht="12.75" customHeight="1">
      <c r="B13" s="9" t="s">
        <v>13</v>
      </c>
      <c r="C13" s="79">
        <v>-4717004</v>
      </c>
      <c r="D13" s="79">
        <v>-4202794</v>
      </c>
      <c r="E13" s="79">
        <v>-5262335</v>
      </c>
      <c r="F13" s="79">
        <v>-6164070</v>
      </c>
      <c r="G13" s="79">
        <v>-6826203</v>
      </c>
      <c r="H13" s="79">
        <v>-6908401</v>
      </c>
      <c r="I13" s="22"/>
      <c r="J13" s="79">
        <v>-1404875</v>
      </c>
      <c r="K13" s="79">
        <v>-1368949</v>
      </c>
      <c r="L13" s="79">
        <v>-1375976</v>
      </c>
      <c r="M13" s="30">
        <f>SUM(F13-SUM(J13:L13))</f>
        <v>-2014270</v>
      </c>
      <c r="N13" s="86">
        <v>-1579406</v>
      </c>
      <c r="O13" s="86">
        <v>-1536197</v>
      </c>
      <c r="P13" s="86">
        <v>-1496866</v>
      </c>
      <c r="Q13" s="30">
        <f>SUM(G13-SUM(N13:P13))</f>
        <v>-2213734</v>
      </c>
      <c r="R13" s="79">
        <v>-1656068</v>
      </c>
      <c r="S13" s="79">
        <v>-1573910</v>
      </c>
      <c r="T13" s="79">
        <v>-1524456</v>
      </c>
      <c r="U13" s="30">
        <f>SUM(H13-SUM(R13:T13))</f>
        <v>-2153967</v>
      </c>
      <c r="V13" s="79">
        <v>-1734148</v>
      </c>
      <c r="W13" s="79">
        <v>-1696773</v>
      </c>
      <c r="Y13" s="30">
        <f t="shared" ref="Y13:AD13" si="7">SUM(K13:N13)</f>
        <v>-6338601</v>
      </c>
      <c r="Z13" s="30">
        <f t="shared" si="7"/>
        <v>-6505849</v>
      </c>
      <c r="AA13" s="30">
        <f t="shared" si="7"/>
        <v>-6626739</v>
      </c>
      <c r="AB13" s="30">
        <f t="shared" si="7"/>
        <v>-6826203</v>
      </c>
      <c r="AC13" s="30">
        <f t="shared" si="7"/>
        <v>-6902865</v>
      </c>
      <c r="AD13" s="30">
        <f t="shared" si="7"/>
        <v>-6940578</v>
      </c>
      <c r="AE13" s="30">
        <f t="shared" ref="AE13" si="8">SUM(P13:S13)</f>
        <v>-6940578</v>
      </c>
      <c r="AF13" s="30">
        <f t="shared" ref="AF13" si="9">SUM(Q13:T13)</f>
        <v>-6968168</v>
      </c>
      <c r="AG13" s="30">
        <f t="shared" ref="AG13" si="10">SUM(R13:U13)</f>
        <v>-6908401</v>
      </c>
      <c r="AH13" s="30">
        <f t="shared" ref="AH13" si="11">SUM(S13:V13)</f>
        <v>-6986481</v>
      </c>
      <c r="AI13" s="30">
        <f>SUM(T13:W13)</f>
        <v>-7109344</v>
      </c>
      <c r="AJ13" s="11"/>
      <c r="AK13" s="70">
        <f t="shared" si="6"/>
        <v>2.4315842282876199E-2</v>
      </c>
    </row>
    <row r="14" spans="1:37" ht="12.75" customHeight="1">
      <c r="B14" s="23" t="s">
        <v>24</v>
      </c>
      <c r="C14" s="24">
        <f t="shared" ref="C14:E14" si="12">+SUM(C11+SUM(C13:C13))</f>
        <v>2681064</v>
      </c>
      <c r="D14" s="24">
        <f t="shared" ref="D14" si="13">+SUM(D11+SUM(D13:D13))</f>
        <v>1887639.4700000007</v>
      </c>
      <c r="E14" s="24">
        <f t="shared" si="12"/>
        <v>3368554</v>
      </c>
      <c r="F14" s="24">
        <f t="shared" ref="F14:H14" si="14">+SUM(F11+SUM(F13:F13))</f>
        <v>4044510</v>
      </c>
      <c r="G14" s="24">
        <f t="shared" si="14"/>
        <v>4381099.9999999981</v>
      </c>
      <c r="H14" s="24">
        <f t="shared" si="14"/>
        <v>4387253</v>
      </c>
      <c r="J14" s="24">
        <f t="shared" ref="J14:W14" si="15">+SUM(J11+SUM(J13:J13))</f>
        <v>941025.99999999953</v>
      </c>
      <c r="K14" s="24">
        <f t="shared" si="15"/>
        <v>928164</v>
      </c>
      <c r="L14" s="24">
        <f t="shared" si="15"/>
        <v>962817.00000000047</v>
      </c>
      <c r="M14" s="24">
        <f t="shared" si="15"/>
        <v>1212503</v>
      </c>
      <c r="N14" s="24">
        <f t="shared" si="15"/>
        <v>1054857.0000000005</v>
      </c>
      <c r="O14" s="24">
        <f t="shared" si="15"/>
        <v>993612</v>
      </c>
      <c r="P14" s="24">
        <f t="shared" si="15"/>
        <v>992067</v>
      </c>
      <c r="Q14" s="24">
        <f t="shared" si="15"/>
        <v>1340563.9999999981</v>
      </c>
      <c r="R14" s="24">
        <f t="shared" si="15"/>
        <v>1069779.9999999995</v>
      </c>
      <c r="S14" s="24">
        <f t="shared" si="15"/>
        <v>978177</v>
      </c>
      <c r="T14" s="24">
        <f t="shared" si="15"/>
        <v>1005644</v>
      </c>
      <c r="U14" s="24">
        <f t="shared" si="15"/>
        <v>1333652</v>
      </c>
      <c r="V14" s="24">
        <f t="shared" si="15"/>
        <v>1114219</v>
      </c>
      <c r="W14" s="24">
        <f t="shared" si="15"/>
        <v>1091696</v>
      </c>
      <c r="Y14" s="24">
        <f t="shared" ref="Y14:AI14" si="16">+SUM(Y11+SUM(Y13:Y13))</f>
        <v>3869979</v>
      </c>
      <c r="Z14" s="24">
        <f t="shared" si="16"/>
        <v>3991093</v>
      </c>
      <c r="AA14" s="24">
        <f t="shared" si="16"/>
        <v>4102899</v>
      </c>
      <c r="AB14" s="24">
        <f t="shared" si="16"/>
        <v>4053575</v>
      </c>
      <c r="AC14" s="24">
        <f t="shared" si="16"/>
        <v>4304437.9999999981</v>
      </c>
      <c r="AD14" s="24">
        <f t="shared" si="16"/>
        <v>4358309.9999999981</v>
      </c>
      <c r="AE14" s="24">
        <f t="shared" si="16"/>
        <v>4380587.9999999981</v>
      </c>
      <c r="AF14" s="24">
        <f t="shared" si="16"/>
        <v>4394164.9999999981</v>
      </c>
      <c r="AG14" s="24">
        <f t="shared" si="16"/>
        <v>4387253</v>
      </c>
      <c r="AH14" s="24">
        <f t="shared" si="16"/>
        <v>4431692</v>
      </c>
      <c r="AI14" s="24">
        <f t="shared" si="16"/>
        <v>4545211</v>
      </c>
      <c r="AJ14" s="40"/>
      <c r="AK14" s="71">
        <f t="shared" si="6"/>
        <v>3.7580114815637167E-2</v>
      </c>
    </row>
    <row r="15" spans="1:37" ht="12.75" customHeight="1">
      <c r="B15" s="14" t="s">
        <v>38</v>
      </c>
      <c r="C15" s="15">
        <f t="shared" ref="C15:E15" si="17">C14/C11</f>
        <v>0.36240056187642505</v>
      </c>
      <c r="D15" s="15">
        <f t="shared" ref="D15" si="18">D14/D11</f>
        <v>0.30993515967263335</v>
      </c>
      <c r="E15" s="15">
        <f t="shared" si="17"/>
        <v>0.3902905019401825</v>
      </c>
      <c r="F15" s="15">
        <f t="shared" ref="F15:H15" si="19">F14/F11</f>
        <v>0.39618732477974411</v>
      </c>
      <c r="G15" s="15">
        <f t="shared" si="19"/>
        <v>0.39091474550121458</v>
      </c>
      <c r="H15" s="15">
        <f t="shared" si="19"/>
        <v>0.38840185791809839</v>
      </c>
      <c r="I15" s="25"/>
      <c r="J15" s="15">
        <f t="shared" ref="J15:W15" si="20">J14/J11</f>
        <v>0.40113627983448563</v>
      </c>
      <c r="K15" s="15">
        <f t="shared" si="20"/>
        <v>0.40405674426987265</v>
      </c>
      <c r="L15" s="15">
        <f t="shared" si="20"/>
        <v>0.41167260206439832</v>
      </c>
      <c r="M15" s="15">
        <f t="shared" si="20"/>
        <v>0.37576334003042666</v>
      </c>
      <c r="N15" s="15">
        <f t="shared" si="20"/>
        <v>0.40043723804343007</v>
      </c>
      <c r="O15" s="15">
        <f t="shared" si="20"/>
        <v>0.39276166698750775</v>
      </c>
      <c r="P15" s="15">
        <f t="shared" si="20"/>
        <v>0.39859128389554882</v>
      </c>
      <c r="Q15" s="15">
        <f t="shared" si="20"/>
        <v>0.3771670242618933</v>
      </c>
      <c r="R15" s="15">
        <f t="shared" si="20"/>
        <v>0.3924576865621266</v>
      </c>
      <c r="S15" s="15">
        <f t="shared" si="20"/>
        <v>0.38328513095360778</v>
      </c>
      <c r="T15" s="15">
        <f t="shared" si="20"/>
        <v>0.39747203667839215</v>
      </c>
      <c r="U15" s="15">
        <f t="shared" si="20"/>
        <v>0.38239612755865821</v>
      </c>
      <c r="V15" s="15">
        <f t="shared" si="20"/>
        <v>0.39117817331825566</v>
      </c>
      <c r="W15" s="15">
        <f t="shared" si="20"/>
        <v>0.39150372480382606</v>
      </c>
      <c r="X15" s="26"/>
      <c r="Y15" s="15">
        <f t="shared" ref="Y15:AI15" si="21">Y14/Y11</f>
        <v>0.37909082360132357</v>
      </c>
      <c r="Z15" s="15">
        <f t="shared" si="21"/>
        <v>0.38021482828046493</v>
      </c>
      <c r="AA15" s="15">
        <f t="shared" si="21"/>
        <v>0.38238932198830938</v>
      </c>
      <c r="AB15" s="15">
        <f t="shared" si="21"/>
        <v>0.37257883386958812</v>
      </c>
      <c r="AC15" s="15">
        <f t="shared" si="21"/>
        <v>0.38407438435455871</v>
      </c>
      <c r="AD15" s="15">
        <f t="shared" si="21"/>
        <v>0.3857291089176208</v>
      </c>
      <c r="AE15" s="15">
        <f t="shared" si="21"/>
        <v>0.38693788254672695</v>
      </c>
      <c r="AF15" s="15">
        <f t="shared" si="21"/>
        <v>0.38673087648460919</v>
      </c>
      <c r="AG15" s="15">
        <f t="shared" si="21"/>
        <v>0.38840185791809839</v>
      </c>
      <c r="AH15" s="15">
        <f t="shared" si="21"/>
        <v>0.38812619146688354</v>
      </c>
      <c r="AI15" s="15">
        <f t="shared" si="21"/>
        <v>0.38999438416996618</v>
      </c>
      <c r="AJ15" s="40"/>
      <c r="AK15" s="72">
        <f>SUM(AI15-AE15)*1000</f>
        <v>3.0565016232392272</v>
      </c>
    </row>
    <row r="16" spans="1:37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40"/>
      <c r="AK16" s="70"/>
    </row>
    <row r="17" spans="2:37" ht="12.75" customHeight="1">
      <c r="B17" s="9" t="s">
        <v>147</v>
      </c>
      <c r="C17" s="79">
        <v>-1760716</v>
      </c>
      <c r="D17" s="79">
        <v>-1583017</v>
      </c>
      <c r="E17" s="79">
        <v>-2061545</v>
      </c>
      <c r="F17" s="79">
        <v>-2395299</v>
      </c>
      <c r="G17" s="79">
        <v>-2694561</v>
      </c>
      <c r="H17" s="79">
        <v>-2808592</v>
      </c>
      <c r="I17" s="30"/>
      <c r="J17" s="79">
        <v>-500970</v>
      </c>
      <c r="K17" s="79">
        <v>-534459</v>
      </c>
      <c r="L17" s="79">
        <v>-597164</v>
      </c>
      <c r="M17" s="30">
        <f t="shared" ref="M17:M19" si="22">SUM(F17-SUM(J17:L17))</f>
        <v>-762706</v>
      </c>
      <c r="N17" s="79">
        <v>-612129</v>
      </c>
      <c r="O17" s="79">
        <v>-600692</v>
      </c>
      <c r="P17" s="79">
        <v>-661380</v>
      </c>
      <c r="Q17" s="30">
        <f t="shared" ref="Q17:Q19" si="23">SUM(G17-SUM(N17:P17))</f>
        <v>-820360</v>
      </c>
      <c r="R17" s="79">
        <v>-665913</v>
      </c>
      <c r="S17" s="79">
        <v>-644821</v>
      </c>
      <c r="T17" s="79">
        <v>-682259</v>
      </c>
      <c r="U17" s="30">
        <f t="shared" ref="U17:U19" si="24">SUM(H17-SUM(R17:T17))</f>
        <v>-815599</v>
      </c>
      <c r="V17" s="79">
        <v>-710613</v>
      </c>
      <c r="W17" s="79">
        <v>-741737</v>
      </c>
      <c r="Y17" s="30">
        <f t="shared" ref="Y17:AD19" si="25">SUM(K17:N17)</f>
        <v>-2506458</v>
      </c>
      <c r="Z17" s="30">
        <f t="shared" si="25"/>
        <v>-2572691</v>
      </c>
      <c r="AA17" s="30">
        <f t="shared" si="25"/>
        <v>-2636907</v>
      </c>
      <c r="AB17" s="30">
        <f t="shared" si="25"/>
        <v>-2694561</v>
      </c>
      <c r="AC17" s="30">
        <f t="shared" si="25"/>
        <v>-2748345</v>
      </c>
      <c r="AD17" s="30">
        <f t="shared" si="25"/>
        <v>-2792474</v>
      </c>
      <c r="AE17" s="30">
        <f t="shared" ref="AE17:AE19" si="26">SUM(P17:S17)</f>
        <v>-2792474</v>
      </c>
      <c r="AF17" s="30">
        <f t="shared" ref="AF17:AF19" si="27">SUM(Q17:T17)</f>
        <v>-2813353</v>
      </c>
      <c r="AG17" s="30">
        <f t="shared" ref="AG17:AG19" si="28">SUM(R17:U17)</f>
        <v>-2808592</v>
      </c>
      <c r="AH17" s="30">
        <f t="shared" ref="AH17:AH19" si="29">SUM(S17:V17)</f>
        <v>-2853292</v>
      </c>
      <c r="AI17" s="30">
        <f t="shared" ref="AI17:AI19" si="30">SUM(T17:W17)</f>
        <v>-2950208</v>
      </c>
      <c r="AJ17" s="11"/>
      <c r="AK17" s="70">
        <f t="shared" si="6"/>
        <v>5.6485396103956642E-2</v>
      </c>
    </row>
    <row r="18" spans="2:37" ht="12.75" customHeight="1">
      <c r="B18" s="9" t="s">
        <v>148</v>
      </c>
      <c r="C18" s="79">
        <v>-19254</v>
      </c>
      <c r="D18" s="79">
        <v>-15000</v>
      </c>
      <c r="E18" s="79">
        <v>-9517</v>
      </c>
      <c r="F18" s="79">
        <v>-10601</v>
      </c>
      <c r="G18" s="79">
        <v>-8510</v>
      </c>
      <c r="H18" s="79">
        <v>-13689</v>
      </c>
      <c r="I18" s="30"/>
      <c r="J18" s="79">
        <v>-2348</v>
      </c>
      <c r="K18" s="79">
        <v>-2277</v>
      </c>
      <c r="L18" s="79">
        <v>-3797</v>
      </c>
      <c r="M18" s="30">
        <f t="shared" si="22"/>
        <v>-2179</v>
      </c>
      <c r="N18" s="79">
        <v>-658</v>
      </c>
      <c r="O18" s="79">
        <v>-1278</v>
      </c>
      <c r="P18" s="79">
        <v>-3460</v>
      </c>
      <c r="Q18" s="30">
        <f t="shared" si="23"/>
        <v>-3114</v>
      </c>
      <c r="R18" s="79">
        <v>-2919</v>
      </c>
      <c r="S18" s="79">
        <v>-4155</v>
      </c>
      <c r="T18" s="79">
        <v>-4883</v>
      </c>
      <c r="U18" s="30">
        <f t="shared" si="24"/>
        <v>-1732</v>
      </c>
      <c r="V18" s="79">
        <v>-1829</v>
      </c>
      <c r="W18" s="79">
        <v>-5105</v>
      </c>
      <c r="Y18" s="30">
        <f t="shared" si="25"/>
        <v>-8911</v>
      </c>
      <c r="Z18" s="30">
        <f t="shared" si="25"/>
        <v>-7912</v>
      </c>
      <c r="AA18" s="30">
        <f t="shared" si="25"/>
        <v>-7575</v>
      </c>
      <c r="AB18" s="30">
        <f t="shared" si="25"/>
        <v>-8510</v>
      </c>
      <c r="AC18" s="30">
        <f t="shared" si="25"/>
        <v>-10771</v>
      </c>
      <c r="AD18" s="30">
        <f t="shared" si="25"/>
        <v>-13648</v>
      </c>
      <c r="AE18" s="30">
        <f t="shared" si="26"/>
        <v>-13648</v>
      </c>
      <c r="AF18" s="30">
        <f t="shared" si="27"/>
        <v>-15071</v>
      </c>
      <c r="AG18" s="30">
        <f t="shared" si="28"/>
        <v>-13689</v>
      </c>
      <c r="AH18" s="30">
        <f t="shared" si="29"/>
        <v>-12599</v>
      </c>
      <c r="AI18" s="30">
        <f t="shared" si="30"/>
        <v>-13549</v>
      </c>
      <c r="AJ18" s="11"/>
      <c r="AK18" s="70">
        <f t="shared" si="6"/>
        <v>-7.2538100820632723E-3</v>
      </c>
    </row>
    <row r="19" spans="2:37" ht="12.75" customHeight="1">
      <c r="B19" s="9" t="s">
        <v>149</v>
      </c>
      <c r="C19" s="79">
        <v>0</v>
      </c>
      <c r="D19" s="79">
        <v>-114322</v>
      </c>
      <c r="E19" s="79">
        <v>0</v>
      </c>
      <c r="F19" s="79">
        <v>0</v>
      </c>
      <c r="G19" s="79">
        <v>0</v>
      </c>
      <c r="H19" s="79">
        <v>0</v>
      </c>
      <c r="I19" s="30"/>
      <c r="J19" s="79">
        <v>0</v>
      </c>
      <c r="K19" s="79">
        <v>0</v>
      </c>
      <c r="L19" s="79">
        <v>0</v>
      </c>
      <c r="M19" s="30">
        <f t="shared" si="22"/>
        <v>0</v>
      </c>
      <c r="N19" s="79">
        <v>0</v>
      </c>
      <c r="O19" s="79">
        <v>0</v>
      </c>
      <c r="P19" s="79">
        <v>0</v>
      </c>
      <c r="Q19" s="30">
        <f t="shared" si="23"/>
        <v>0</v>
      </c>
      <c r="R19" s="79">
        <v>0</v>
      </c>
      <c r="S19" s="79">
        <v>0</v>
      </c>
      <c r="T19" s="79">
        <v>0</v>
      </c>
      <c r="U19" s="30">
        <f t="shared" si="24"/>
        <v>0</v>
      </c>
      <c r="V19" s="79">
        <v>0</v>
      </c>
      <c r="W19" s="79">
        <v>0</v>
      </c>
      <c r="Y19" s="30">
        <f t="shared" si="25"/>
        <v>0</v>
      </c>
      <c r="Z19" s="30">
        <f t="shared" si="25"/>
        <v>0</v>
      </c>
      <c r="AA19" s="30">
        <f t="shared" si="25"/>
        <v>0</v>
      </c>
      <c r="AB19" s="30">
        <f t="shared" si="25"/>
        <v>0</v>
      </c>
      <c r="AC19" s="30">
        <f t="shared" si="25"/>
        <v>0</v>
      </c>
      <c r="AD19" s="30">
        <f t="shared" si="25"/>
        <v>0</v>
      </c>
      <c r="AE19" s="30">
        <f t="shared" si="26"/>
        <v>0</v>
      </c>
      <c r="AF19" s="30">
        <f t="shared" si="27"/>
        <v>0</v>
      </c>
      <c r="AG19" s="30">
        <f t="shared" si="28"/>
        <v>0</v>
      </c>
      <c r="AH19" s="30">
        <f t="shared" si="29"/>
        <v>0</v>
      </c>
      <c r="AI19" s="30">
        <f t="shared" si="30"/>
        <v>0</v>
      </c>
      <c r="AJ19" s="11"/>
      <c r="AK19" s="70" t="e">
        <f t="shared" si="6"/>
        <v>#DIV/0!</v>
      </c>
    </row>
    <row r="20" spans="2:37" ht="12.75" customHeight="1">
      <c r="B20" s="23" t="s">
        <v>101</v>
      </c>
      <c r="C20" s="24">
        <f t="shared" ref="C20:E20" si="31">+SUM(C14+SUM(C17:C19))</f>
        <v>901094</v>
      </c>
      <c r="D20" s="24">
        <f t="shared" si="31"/>
        <v>175300.47000000067</v>
      </c>
      <c r="E20" s="24">
        <f t="shared" si="31"/>
        <v>1297492</v>
      </c>
      <c r="F20" s="24">
        <f>+SUM(F14+SUM(F17:F19))</f>
        <v>1638610</v>
      </c>
      <c r="G20" s="24">
        <f>+SUM(G14+SUM(G17:G19))</f>
        <v>1678028.9999999981</v>
      </c>
      <c r="H20" s="24">
        <f>+SUM(H14+SUM(H17:H19))</f>
        <v>1564972</v>
      </c>
      <c r="I20" s="30"/>
      <c r="J20" s="24">
        <f t="shared" ref="J20:W20" si="32">+SUM(J14+SUM(J17:J19))</f>
        <v>437707.99999999953</v>
      </c>
      <c r="K20" s="24">
        <f t="shared" si="32"/>
        <v>391428</v>
      </c>
      <c r="L20" s="24">
        <f t="shared" si="32"/>
        <v>361856.00000000047</v>
      </c>
      <c r="M20" s="24">
        <f t="shared" si="32"/>
        <v>447618</v>
      </c>
      <c r="N20" s="24">
        <f t="shared" si="32"/>
        <v>442070.00000000047</v>
      </c>
      <c r="O20" s="24">
        <f t="shared" si="32"/>
        <v>391642</v>
      </c>
      <c r="P20" s="24">
        <f t="shared" si="32"/>
        <v>327227</v>
      </c>
      <c r="Q20" s="24">
        <f t="shared" si="32"/>
        <v>517089.99999999814</v>
      </c>
      <c r="R20" s="24">
        <f t="shared" si="32"/>
        <v>400947.99999999953</v>
      </c>
      <c r="S20" s="24">
        <f t="shared" si="32"/>
        <v>329201</v>
      </c>
      <c r="T20" s="24">
        <f t="shared" si="32"/>
        <v>318502</v>
      </c>
      <c r="U20" s="24">
        <f t="shared" si="32"/>
        <v>516321</v>
      </c>
      <c r="V20" s="24">
        <f t="shared" si="32"/>
        <v>401777</v>
      </c>
      <c r="W20" s="24">
        <f t="shared" si="32"/>
        <v>344854</v>
      </c>
      <c r="Y20" s="24">
        <f t="shared" ref="Y20:AI20" si="33">+SUM(Y14+SUM(Y17:Y19))</f>
        <v>1354610</v>
      </c>
      <c r="Z20" s="24">
        <f t="shared" si="33"/>
        <v>1410490</v>
      </c>
      <c r="AA20" s="24">
        <f t="shared" si="33"/>
        <v>1458417</v>
      </c>
      <c r="AB20" s="24">
        <f t="shared" si="33"/>
        <v>1350504</v>
      </c>
      <c r="AC20" s="24">
        <f t="shared" si="33"/>
        <v>1545321.9999999981</v>
      </c>
      <c r="AD20" s="24">
        <f t="shared" si="33"/>
        <v>1552187.9999999981</v>
      </c>
      <c r="AE20" s="24">
        <f t="shared" si="33"/>
        <v>1574465.9999999981</v>
      </c>
      <c r="AF20" s="24">
        <f t="shared" si="33"/>
        <v>1565740.9999999981</v>
      </c>
      <c r="AG20" s="24">
        <f t="shared" si="33"/>
        <v>1564972</v>
      </c>
      <c r="AH20" s="24">
        <f t="shared" si="33"/>
        <v>1565801</v>
      </c>
      <c r="AI20" s="24">
        <f t="shared" si="33"/>
        <v>1581454</v>
      </c>
      <c r="AJ20" s="11"/>
      <c r="AK20" s="71">
        <f t="shared" si="6"/>
        <v>4.4383302021142601E-3</v>
      </c>
    </row>
    <row r="21" spans="2:37" ht="12.75" customHeight="1">
      <c r="B21" s="14" t="s">
        <v>40</v>
      </c>
      <c r="C21" s="15">
        <f t="shared" ref="C21:E21" si="34">C20/C11</f>
        <v>0.12180125946395734</v>
      </c>
      <c r="D21" s="15">
        <f t="shared" si="34"/>
        <v>2.8782921751544992E-2</v>
      </c>
      <c r="E21" s="15">
        <f t="shared" si="34"/>
        <v>0.15033121153568305</v>
      </c>
      <c r="F21" s="15">
        <f>F20/F11</f>
        <v>0.16051301944050986</v>
      </c>
      <c r="G21" s="15">
        <f>G20/G11</f>
        <v>0.14972638823095963</v>
      </c>
      <c r="H21" s="15">
        <f>H20/H11</f>
        <v>0.13854638252906826</v>
      </c>
      <c r="I21" s="30"/>
      <c r="J21" s="15">
        <f t="shared" ref="J21:W21" si="35">J20/J11</f>
        <v>0.18658417384194798</v>
      </c>
      <c r="K21" s="15">
        <f t="shared" si="35"/>
        <v>0.17039997596983691</v>
      </c>
      <c r="L21" s="15">
        <f t="shared" si="35"/>
        <v>0.15471912221389425</v>
      </c>
      <c r="M21" s="15">
        <f t="shared" si="35"/>
        <v>0.13872001532180914</v>
      </c>
      <c r="N21" s="15">
        <f t="shared" si="35"/>
        <v>0.16781543832183818</v>
      </c>
      <c r="O21" s="15">
        <f t="shared" si="35"/>
        <v>0.15481089679102256</v>
      </c>
      <c r="P21" s="15">
        <f t="shared" si="35"/>
        <v>0.1314728038078968</v>
      </c>
      <c r="Q21" s="15">
        <f t="shared" si="35"/>
        <v>0.14548301802493724</v>
      </c>
      <c r="R21" s="15">
        <f t="shared" si="35"/>
        <v>0.14709110706099518</v>
      </c>
      <c r="S21" s="15">
        <f t="shared" si="35"/>
        <v>0.12899285956944256</v>
      </c>
      <c r="T21" s="15">
        <f t="shared" si="35"/>
        <v>0.12588514287972807</v>
      </c>
      <c r="U21" s="15">
        <f t="shared" si="35"/>
        <v>0.14804398072151803</v>
      </c>
      <c r="V21" s="15">
        <f t="shared" si="35"/>
        <v>0.14105520812451486</v>
      </c>
      <c r="W21" s="15">
        <f t="shared" si="35"/>
        <v>0.12367144838260709</v>
      </c>
      <c r="Y21" s="15">
        <f t="shared" ref="Y21:AI21" si="36">Y20/Y11</f>
        <v>0.13269328349290499</v>
      </c>
      <c r="Z21" s="15">
        <f t="shared" si="36"/>
        <v>0.13437151505648026</v>
      </c>
      <c r="AA21" s="15">
        <f t="shared" si="36"/>
        <v>0.13592415699392654</v>
      </c>
      <c r="AB21" s="15">
        <f t="shared" si="36"/>
        <v>0.12412973867665314</v>
      </c>
      <c r="AC21" s="15">
        <f t="shared" si="36"/>
        <v>0.13788526998868492</v>
      </c>
      <c r="AD21" s="15">
        <f t="shared" si="36"/>
        <v>0.13737528861247217</v>
      </c>
      <c r="AE21" s="15">
        <f t="shared" si="36"/>
        <v>0.13907277748599378</v>
      </c>
      <c r="AF21" s="15">
        <f t="shared" si="36"/>
        <v>0.1378010132250127</v>
      </c>
      <c r="AG21" s="15">
        <f t="shared" si="36"/>
        <v>0.13854638252906826</v>
      </c>
      <c r="AH21" s="15">
        <f t="shared" si="36"/>
        <v>0.13713235909107349</v>
      </c>
      <c r="AI21" s="15">
        <f t="shared" si="36"/>
        <v>0.13569406982934998</v>
      </c>
      <c r="AJ21" s="11"/>
      <c r="AK21" s="72">
        <f>SUM(AI21-AE21)*1000</f>
        <v>-3.3787076566438037</v>
      </c>
    </row>
    <row r="22" spans="2:37" ht="5.0999999999999996" customHeight="1">
      <c r="B22" s="14"/>
      <c r="C22" s="15"/>
      <c r="D22" s="15"/>
      <c r="E22" s="15"/>
      <c r="F22" s="15"/>
      <c r="G22" s="15"/>
      <c r="H22" s="15"/>
      <c r="I22" s="30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11"/>
      <c r="AK22" s="70"/>
    </row>
    <row r="23" spans="2:37" ht="12.75" customHeight="1">
      <c r="B23" s="9" t="s">
        <v>150</v>
      </c>
      <c r="C23" s="79">
        <v>5056</v>
      </c>
      <c r="D23" s="79">
        <v>-5735</v>
      </c>
      <c r="E23" s="79">
        <v>1663</v>
      </c>
      <c r="F23" s="79">
        <v>-4934</v>
      </c>
      <c r="G23" s="79">
        <v>-17622</v>
      </c>
      <c r="H23" s="79">
        <v>15094</v>
      </c>
      <c r="I23" s="30"/>
      <c r="J23" s="79">
        <v>-401</v>
      </c>
      <c r="K23" s="79">
        <v>108</v>
      </c>
      <c r="L23" s="79">
        <v>849</v>
      </c>
      <c r="M23" s="30">
        <f t="shared" ref="M23" si="37">SUM(F23-SUM(J23:L23))</f>
        <v>-5490</v>
      </c>
      <c r="N23" s="79">
        <v>7348</v>
      </c>
      <c r="O23" s="79">
        <v>4449</v>
      </c>
      <c r="P23" s="79">
        <v>2497</v>
      </c>
      <c r="Q23" s="30">
        <f>SUM(G23-SUM(N23:P23))</f>
        <v>-31916</v>
      </c>
      <c r="R23" s="79">
        <v>6900</v>
      </c>
      <c r="S23" s="79">
        <v>4526</v>
      </c>
      <c r="T23" s="79">
        <v>-1674</v>
      </c>
      <c r="U23" s="30">
        <f>SUM(H23-SUM(R23:T23))</f>
        <v>5342</v>
      </c>
      <c r="V23" s="79">
        <v>3547</v>
      </c>
      <c r="W23" s="79">
        <v>1413</v>
      </c>
      <c r="Y23" s="30">
        <f t="shared" ref="Y23:AD23" si="38">SUM(K23:N23)</f>
        <v>2815</v>
      </c>
      <c r="Z23" s="30">
        <f t="shared" si="38"/>
        <v>7156</v>
      </c>
      <c r="AA23" s="30">
        <f t="shared" si="38"/>
        <v>8804</v>
      </c>
      <c r="AB23" s="30">
        <f t="shared" si="38"/>
        <v>-17622</v>
      </c>
      <c r="AC23" s="30">
        <f t="shared" si="38"/>
        <v>-18070</v>
      </c>
      <c r="AD23" s="30">
        <f t="shared" si="38"/>
        <v>-17993</v>
      </c>
      <c r="AE23" s="30">
        <f t="shared" ref="AE23" si="39">SUM(P23:S23)</f>
        <v>-17993</v>
      </c>
      <c r="AF23" s="30">
        <f t="shared" ref="AF23" si="40">SUM(Q23:T23)</f>
        <v>-22164</v>
      </c>
      <c r="AG23" s="30">
        <f t="shared" ref="AG23" si="41">SUM(R23:U23)</f>
        <v>15094</v>
      </c>
      <c r="AH23" s="30">
        <f t="shared" ref="AH23" si="42">SUM(S23:V23)</f>
        <v>11741</v>
      </c>
      <c r="AI23" s="30">
        <f t="shared" ref="AI23" si="43">SUM(T23:W23)</f>
        <v>8628</v>
      </c>
      <c r="AJ23" s="11"/>
      <c r="AK23" s="70">
        <f t="shared" si="6"/>
        <v>-1.4795198132607126</v>
      </c>
    </row>
    <row r="24" spans="2:37" ht="12.75" customHeight="1">
      <c r="B24" s="23" t="s">
        <v>102</v>
      </c>
      <c r="C24" s="24">
        <f>SUM(C20+SUM(C23:C23))</f>
        <v>906150</v>
      </c>
      <c r="D24" s="24">
        <f>SUM(D20+SUM(D23:D23))</f>
        <v>169565.47000000067</v>
      </c>
      <c r="E24" s="24">
        <f>SUM(E20+SUM(E23:E23))</f>
        <v>1299155</v>
      </c>
      <c r="F24" s="24">
        <f>SUM(F20+SUM(F23:F23))</f>
        <v>1633676</v>
      </c>
      <c r="G24" s="24">
        <f>SUM(G20+SUM(G23:G23))</f>
        <v>1660406.9999999981</v>
      </c>
      <c r="H24" s="24">
        <f>SUM(H20+SUM(H23:H23))</f>
        <v>1580066</v>
      </c>
      <c r="J24" s="24">
        <f>SUM(J20+SUM(J23:J23))</f>
        <v>437306.99999999953</v>
      </c>
      <c r="K24" s="24">
        <f>SUM(K20+SUM(K23:K23))</f>
        <v>391536</v>
      </c>
      <c r="L24" s="24">
        <f>SUM(L20+SUM(L23:L23))</f>
        <v>362705.00000000047</v>
      </c>
      <c r="M24" s="24">
        <f>SUM(M20+SUM(M23:M23))</f>
        <v>442128</v>
      </c>
      <c r="N24" s="24">
        <f>SUM(N20+SUM(N23:N23))</f>
        <v>449418.00000000047</v>
      </c>
      <c r="O24" s="24">
        <f>SUM(O20+SUM(O23:O23))</f>
        <v>396091</v>
      </c>
      <c r="P24" s="24">
        <f>SUM(P20+SUM(P23:P23))</f>
        <v>329724</v>
      </c>
      <c r="Q24" s="24">
        <f>SUM(Q20+SUM(Q23:Q23))</f>
        <v>485173.99999999814</v>
      </c>
      <c r="R24" s="24">
        <f>SUM(R20+SUM(R23:R23))</f>
        <v>407847.99999999953</v>
      </c>
      <c r="S24" s="24">
        <f>SUM(S20+SUM(S23:S23))</f>
        <v>333727</v>
      </c>
      <c r="T24" s="24">
        <f>SUM(T20+SUM(T23:T23))</f>
        <v>316828</v>
      </c>
      <c r="U24" s="24">
        <f>SUM(U20+SUM(U23:U23))</f>
        <v>521663</v>
      </c>
      <c r="V24" s="24">
        <f>SUM(V20+SUM(V23:V23))</f>
        <v>405324</v>
      </c>
      <c r="W24" s="24">
        <f>SUM(W20+SUM(W23:W23))</f>
        <v>346267</v>
      </c>
      <c r="Y24" s="24">
        <f>SUM(Y20+SUM(Y23:Y23))</f>
        <v>1357425</v>
      </c>
      <c r="Z24" s="24">
        <f>SUM(Z20+SUM(Z23:Z23))</f>
        <v>1417646</v>
      </c>
      <c r="AA24" s="24">
        <f>SUM(AA20+SUM(AA23:AA23))</f>
        <v>1467221</v>
      </c>
      <c r="AB24" s="24">
        <f>SUM(AB20+SUM(AB23:AB23))</f>
        <v>1332882</v>
      </c>
      <c r="AC24" s="24">
        <f>SUM(AC20+SUM(AC23:AC23))</f>
        <v>1527251.9999999981</v>
      </c>
      <c r="AD24" s="24">
        <f>SUM(AD20+SUM(AD23:AD23))</f>
        <v>1534194.9999999981</v>
      </c>
      <c r="AE24" s="24">
        <f>SUM(AE20+SUM(AE23:AE23))</f>
        <v>1556472.9999999981</v>
      </c>
      <c r="AF24" s="24">
        <f>SUM(AF20+SUM(AF23:AF23))</f>
        <v>1543576.9999999981</v>
      </c>
      <c r="AG24" s="24">
        <f>SUM(AG20+SUM(AG23:AG23))</f>
        <v>1580066</v>
      </c>
      <c r="AH24" s="24">
        <f>SUM(AH20+SUM(AH23:AH23))</f>
        <v>1577542</v>
      </c>
      <c r="AI24" s="24">
        <f>SUM(AI20+SUM(AI23:AI23))</f>
        <v>1590082</v>
      </c>
      <c r="AJ24" s="40"/>
      <c r="AK24" s="71">
        <f t="shared" si="6"/>
        <v>2.1593050441608641E-2</v>
      </c>
    </row>
    <row r="25" spans="2:37" ht="12.75" customHeight="1">
      <c r="B25" s="14" t="s">
        <v>103</v>
      </c>
      <c r="C25" s="15">
        <f>C24/C11</f>
        <v>0.12248468113566947</v>
      </c>
      <c r="D25" s="15">
        <f>D24/D11</f>
        <v>2.7841281057454956E-2</v>
      </c>
      <c r="E25" s="15">
        <f>E24/E11</f>
        <v>0.15052389157130858</v>
      </c>
      <c r="F25" s="15">
        <f>F24/F11</f>
        <v>0.16002970050682858</v>
      </c>
      <c r="G25" s="15">
        <f>G24/G11</f>
        <v>0.14815402064171893</v>
      </c>
      <c r="H25" s="15">
        <f>H24/H11</f>
        <v>0.13988264867178121</v>
      </c>
      <c r="I25" s="25"/>
      <c r="J25" s="15">
        <f>J24/J11</f>
        <v>0.18641323738725532</v>
      </c>
      <c r="K25" s="15">
        <f>K24/K11</f>
        <v>0.17044699150629508</v>
      </c>
      <c r="L25" s="15">
        <f>L24/L11</f>
        <v>0.15508212997045928</v>
      </c>
      <c r="M25" s="15">
        <f>M24/M11</f>
        <v>0.13701862510935847</v>
      </c>
      <c r="N25" s="15">
        <f>N24/N11</f>
        <v>0.1706048333063177</v>
      </c>
      <c r="O25" s="15">
        <f>O24/O11</f>
        <v>0.15656952758093595</v>
      </c>
      <c r="P25" s="15">
        <f>P24/P11</f>
        <v>0.13247604495581039</v>
      </c>
      <c r="Q25" s="15">
        <f>Q24/Q11</f>
        <v>0.13650346707000888</v>
      </c>
      <c r="R25" s="15">
        <f>R24/R11</f>
        <v>0.14962242942379753</v>
      </c>
      <c r="S25" s="15">
        <f>S24/S11</f>
        <v>0.13076631008268919</v>
      </c>
      <c r="T25" s="15">
        <f>T24/T11</f>
        <v>0.12522350895221532</v>
      </c>
      <c r="U25" s="15">
        <f>U24/U11</f>
        <v>0.14957568472932392</v>
      </c>
      <c r="V25" s="15">
        <f>V24/V11</f>
        <v>0.14230048304870827</v>
      </c>
      <c r="W25" s="15">
        <f>W24/W11</f>
        <v>0.12417817806115113</v>
      </c>
      <c r="X25" s="26"/>
      <c r="Y25" s="15">
        <f>Y24/Y11</f>
        <v>0.13296903193196311</v>
      </c>
      <c r="Z25" s="15">
        <f>Z24/Z11</f>
        <v>0.13505323740952366</v>
      </c>
      <c r="AA25" s="15">
        <f>AA24/AA11</f>
        <v>0.13674468793821376</v>
      </c>
      <c r="AB25" s="15">
        <f>AB24/AB11</f>
        <v>0.12251003650993614</v>
      </c>
      <c r="AC25" s="15">
        <f>AC24/AC11</f>
        <v>0.13627292846459121</v>
      </c>
      <c r="AD25" s="15">
        <f>AD24/AD11</f>
        <v>0.13578283101841512</v>
      </c>
      <c r="AE25" s="15">
        <f>AE24/AE11</f>
        <v>0.13748345355946537</v>
      </c>
      <c r="AF25" s="15">
        <f>AF24/AF11</f>
        <v>0.13585035749260282</v>
      </c>
      <c r="AG25" s="15">
        <f>AG24/AG11</f>
        <v>0.13988264867178121</v>
      </c>
      <c r="AH25" s="15">
        <f>AH24/AH11</f>
        <v>0.13816063217819524</v>
      </c>
      <c r="AI25" s="15">
        <f>AI24/AI11</f>
        <v>0.13643438123549118</v>
      </c>
      <c r="AJ25" s="41"/>
      <c r="AK25" s="72">
        <f>SUM(AI25-AE25)*1000</f>
        <v>-1.0490723239741928</v>
      </c>
    </row>
    <row r="26" spans="2:37" ht="5.0999999999999996" customHeight="1">
      <c r="B26" s="27"/>
      <c r="C26" s="42"/>
      <c r="D26" s="42"/>
      <c r="E26" s="42"/>
      <c r="F26" s="42"/>
      <c r="G26" s="42"/>
      <c r="H26" s="42"/>
      <c r="I26" s="28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1"/>
      <c r="AK26" s="70"/>
    </row>
    <row r="27" spans="2:37" ht="12.75" customHeight="1">
      <c r="B27" s="43" t="s">
        <v>151</v>
      </c>
      <c r="C27" s="79">
        <v>-200205</v>
      </c>
      <c r="D27" s="79">
        <v>-55250</v>
      </c>
      <c r="E27" s="79">
        <v>-309992</v>
      </c>
      <c r="F27" s="79">
        <v>-401136</v>
      </c>
      <c r="G27" s="79">
        <v>-404646</v>
      </c>
      <c r="H27" s="79">
        <v>-378948</v>
      </c>
      <c r="I27" s="30"/>
      <c r="J27" s="79">
        <v>-105912</v>
      </c>
      <c r="K27" s="79">
        <v>-95859</v>
      </c>
      <c r="L27" s="79">
        <v>-88120</v>
      </c>
      <c r="M27" s="30">
        <f t="shared" ref="M27" si="44">SUM(F27-SUM(J27:L27))</f>
        <v>-111245</v>
      </c>
      <c r="N27" s="79">
        <v>-102367</v>
      </c>
      <c r="O27" s="79">
        <v>-95989</v>
      </c>
      <c r="P27" s="79">
        <v>-80241</v>
      </c>
      <c r="Q27" s="30">
        <f>SUM(G27-SUM(N27:P27))</f>
        <v>-126049</v>
      </c>
      <c r="R27" s="79">
        <v>-94735</v>
      </c>
      <c r="S27" s="79">
        <v>-81171</v>
      </c>
      <c r="T27" s="79">
        <v>-77997</v>
      </c>
      <c r="U27" s="30">
        <f>SUM(H27-SUM(R27:T27))</f>
        <v>-125045</v>
      </c>
      <c r="V27" s="79">
        <v>-99644</v>
      </c>
      <c r="W27" s="79">
        <v>-84795</v>
      </c>
      <c r="X27" s="30"/>
      <c r="Y27" s="30">
        <f t="shared" ref="Y27:AD27" si="45">SUM(K27:N27)</f>
        <v>-397591</v>
      </c>
      <c r="Z27" s="30">
        <f t="shared" si="45"/>
        <v>-397721</v>
      </c>
      <c r="AA27" s="30">
        <f t="shared" si="45"/>
        <v>-389842</v>
      </c>
      <c r="AB27" s="30">
        <f t="shared" si="45"/>
        <v>-404646</v>
      </c>
      <c r="AC27" s="30">
        <f t="shared" si="45"/>
        <v>-397014</v>
      </c>
      <c r="AD27" s="30">
        <f t="shared" si="45"/>
        <v>-382196</v>
      </c>
      <c r="AE27" s="30">
        <f t="shared" ref="AE27" si="46">SUM(P27:S27)</f>
        <v>-382196</v>
      </c>
      <c r="AF27" s="30">
        <f t="shared" ref="AF27" si="47">SUM(Q27:T27)</f>
        <v>-379952</v>
      </c>
      <c r="AG27" s="30">
        <f t="shared" ref="AG27" si="48">SUM(R27:U27)</f>
        <v>-378948</v>
      </c>
      <c r="AH27" s="30">
        <f t="shared" ref="AH27" si="49">SUM(S27:V27)</f>
        <v>-383857</v>
      </c>
      <c r="AI27" s="30">
        <f>SUM(T27:W27)</f>
        <v>-387481</v>
      </c>
      <c r="AJ27" s="41"/>
      <c r="AK27" s="70">
        <f t="shared" si="6"/>
        <v>1.3827983547708422E-2</v>
      </c>
    </row>
    <row r="28" spans="2:37" ht="12.75" customHeight="1">
      <c r="B28" s="12" t="s">
        <v>67</v>
      </c>
      <c r="C28" s="13">
        <f t="shared" ref="C28:E28" si="50">SUM(C24+C27)</f>
        <v>705945</v>
      </c>
      <c r="D28" s="13">
        <f t="shared" ref="D28" si="51">SUM(D24+D27)</f>
        <v>114315.47000000067</v>
      </c>
      <c r="E28" s="13">
        <f t="shared" si="50"/>
        <v>989163</v>
      </c>
      <c r="F28" s="13">
        <f t="shared" ref="F28:H28" si="52">SUM(F24+F27)</f>
        <v>1232540</v>
      </c>
      <c r="G28" s="13">
        <f t="shared" si="52"/>
        <v>1255760.9999999981</v>
      </c>
      <c r="H28" s="13">
        <f t="shared" si="52"/>
        <v>1201118</v>
      </c>
      <c r="I28" s="11"/>
      <c r="J28" s="13">
        <f t="shared" ref="J28:W28" si="53">SUM(J24+J27)</f>
        <v>331394.99999999953</v>
      </c>
      <c r="K28" s="13">
        <f t="shared" si="53"/>
        <v>295677</v>
      </c>
      <c r="L28" s="13">
        <f t="shared" si="53"/>
        <v>274585.00000000047</v>
      </c>
      <c r="M28" s="13">
        <f t="shared" si="53"/>
        <v>330883</v>
      </c>
      <c r="N28" s="13">
        <f t="shared" si="53"/>
        <v>347051.00000000047</v>
      </c>
      <c r="O28" s="13">
        <f t="shared" si="53"/>
        <v>300102</v>
      </c>
      <c r="P28" s="13">
        <f t="shared" si="53"/>
        <v>249483</v>
      </c>
      <c r="Q28" s="13">
        <f t="shared" si="53"/>
        <v>359124.99999999814</v>
      </c>
      <c r="R28" s="13">
        <f t="shared" si="53"/>
        <v>313112.99999999953</v>
      </c>
      <c r="S28" s="13">
        <f t="shared" si="53"/>
        <v>252556</v>
      </c>
      <c r="T28" s="13">
        <f t="shared" si="53"/>
        <v>238831</v>
      </c>
      <c r="U28" s="13">
        <f t="shared" si="53"/>
        <v>396618</v>
      </c>
      <c r="V28" s="13">
        <f t="shared" si="53"/>
        <v>305680</v>
      </c>
      <c r="W28" s="13">
        <f t="shared" si="53"/>
        <v>261472</v>
      </c>
      <c r="X28" s="30"/>
      <c r="Y28" s="13">
        <f t="shared" ref="Y28:AI28" si="54">SUM(Y24+Y27)</f>
        <v>959834</v>
      </c>
      <c r="Z28" s="13">
        <f t="shared" si="54"/>
        <v>1019925</v>
      </c>
      <c r="AA28" s="13">
        <f t="shared" si="54"/>
        <v>1077379</v>
      </c>
      <c r="AB28" s="13">
        <f t="shared" si="54"/>
        <v>928236</v>
      </c>
      <c r="AC28" s="13">
        <f t="shared" si="54"/>
        <v>1130237.9999999981</v>
      </c>
      <c r="AD28" s="13">
        <f t="shared" si="54"/>
        <v>1151998.9999999981</v>
      </c>
      <c r="AE28" s="13">
        <f t="shared" si="54"/>
        <v>1174276.9999999981</v>
      </c>
      <c r="AF28" s="13">
        <f t="shared" si="54"/>
        <v>1163624.9999999981</v>
      </c>
      <c r="AG28" s="13">
        <f t="shared" si="54"/>
        <v>1201118</v>
      </c>
      <c r="AH28" s="13">
        <f t="shared" si="54"/>
        <v>1193685</v>
      </c>
      <c r="AI28" s="13">
        <f t="shared" si="54"/>
        <v>1202601</v>
      </c>
      <c r="AJ28" s="34"/>
      <c r="AK28" s="71">
        <f t="shared" si="6"/>
        <v>2.4120373642677162E-2</v>
      </c>
    </row>
    <row r="29" spans="2:37" ht="12.75" customHeight="1">
      <c r="B29" s="14" t="s">
        <v>82</v>
      </c>
      <c r="C29" s="15">
        <f>C28/C11</f>
        <v>9.5422886083231462E-2</v>
      </c>
      <c r="D29" s="15">
        <f>D28/D11</f>
        <v>1.8769677160598006E-2</v>
      </c>
      <c r="E29" s="15">
        <f>E28/E11</f>
        <v>0.11460731333701546</v>
      </c>
      <c r="F29" s="15">
        <f>F28/F11</f>
        <v>0.12073569487627074</v>
      </c>
      <c r="G29" s="15">
        <f>G28/G11</f>
        <v>0.11204845626106462</v>
      </c>
      <c r="H29" s="15">
        <f>H28/H11</f>
        <v>0.10633452476501139</v>
      </c>
      <c r="I29" s="25"/>
      <c r="J29" s="15">
        <f>J28/J11</f>
        <v>0.14126555212687986</v>
      </c>
      <c r="K29" s="15">
        <f>K28/K11</f>
        <v>0.12871678493831171</v>
      </c>
      <c r="L29" s="15">
        <f>L28/L11</f>
        <v>0.11740457577904517</v>
      </c>
      <c r="M29" s="15">
        <f>M28/M11</f>
        <v>0.10254300503940005</v>
      </c>
      <c r="N29" s="15">
        <f>N28/N11</f>
        <v>0.13174500799654415</v>
      </c>
      <c r="O29" s="15">
        <f>O28/O11</f>
        <v>0.11862634689021978</v>
      </c>
      <c r="P29" s="15">
        <f>P28/P11</f>
        <v>0.10023692883657374</v>
      </c>
      <c r="Q29" s="15">
        <f>Q28/Q11</f>
        <v>0.10103964270863004</v>
      </c>
      <c r="R29" s="15">
        <f>R28/R11</f>
        <v>0.11486810709914845</v>
      </c>
      <c r="S29" s="15">
        <f>S28/S11</f>
        <v>9.8960576187253804E-2</v>
      </c>
      <c r="T29" s="15">
        <f>T28/T11</f>
        <v>9.4395873680882175E-2</v>
      </c>
      <c r="U29" s="15">
        <f>U28/U11</f>
        <v>0.11372171100111567</v>
      </c>
      <c r="V29" s="15">
        <f>V28/V11</f>
        <v>0.10731763147094459</v>
      </c>
      <c r="W29" s="15">
        <f>W28/W11</f>
        <v>9.3769018052558592E-2</v>
      </c>
      <c r="X29" s="26"/>
      <c r="Y29" s="15">
        <f>Y28/Y11</f>
        <v>9.4022283216666766E-2</v>
      </c>
      <c r="Z29" s="15">
        <f>Z28/Z11</f>
        <v>9.7164012147537823E-2</v>
      </c>
      <c r="AA29" s="15">
        <f>AA28/AA11</f>
        <v>0.10041149570936131</v>
      </c>
      <c r="AB29" s="15">
        <f>AB28/AB11</f>
        <v>8.5317549677943791E-2</v>
      </c>
      <c r="AC29" s="15">
        <f>AC28/AC11</f>
        <v>0.10084834861696862</v>
      </c>
      <c r="AD29" s="15">
        <f>AD28/AD11</f>
        <v>0.10195684743489787</v>
      </c>
      <c r="AE29" s="15">
        <f>AE28/AE11</f>
        <v>0.10372403337253409</v>
      </c>
      <c r="AF29" s="15">
        <f>AF28/AF11</f>
        <v>0.10241074610293488</v>
      </c>
      <c r="AG29" s="15">
        <f>AG28/AG11</f>
        <v>0.10633452476501139</v>
      </c>
      <c r="AH29" s="15">
        <f>AH28/AH11</f>
        <v>0.10454255685213387</v>
      </c>
      <c r="AI29" s="15">
        <f>AI28/AI11</f>
        <v>0.10318720877802713</v>
      </c>
      <c r="AJ29" s="41"/>
      <c r="AK29" s="72">
        <f>SUM(AI29-AE29)*1000</f>
        <v>-0.53682459450696274</v>
      </c>
    </row>
    <row r="30" spans="2:37" ht="5.0999999999999996" customHeight="1">
      <c r="B30" s="14"/>
      <c r="C30" s="15"/>
      <c r="D30" s="15"/>
      <c r="E30" s="15"/>
      <c r="F30" s="15"/>
      <c r="G30" s="15"/>
      <c r="H30" s="15"/>
      <c r="I30" s="2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26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41"/>
      <c r="AK30" s="72"/>
    </row>
    <row r="31" spans="2:37" ht="12.75" customHeight="1">
      <c r="B31" s="43" t="s">
        <v>83</v>
      </c>
      <c r="C31" s="79"/>
      <c r="D31" s="79"/>
      <c r="E31" s="79"/>
      <c r="F31" s="79"/>
      <c r="G31" s="79"/>
      <c r="H31" s="79"/>
      <c r="I31" s="25"/>
      <c r="J31" s="79"/>
      <c r="K31" s="79"/>
      <c r="L31" s="79"/>
      <c r="M31" s="30">
        <f>F31</f>
        <v>0</v>
      </c>
      <c r="N31" s="79"/>
      <c r="O31" s="79"/>
      <c r="P31" s="79"/>
      <c r="Q31" s="30">
        <f>G31</f>
        <v>0</v>
      </c>
      <c r="R31" s="79"/>
      <c r="S31" s="79"/>
      <c r="T31" s="79"/>
      <c r="U31" s="30">
        <f>H31</f>
        <v>0</v>
      </c>
      <c r="V31" s="79"/>
      <c r="W31" s="79"/>
      <c r="X31" s="30"/>
      <c r="Y31" s="30">
        <f t="shared" ref="Y31:AH31" si="55">M31</f>
        <v>0</v>
      </c>
      <c r="Z31" s="30">
        <f t="shared" si="55"/>
        <v>0</v>
      </c>
      <c r="AA31" s="30">
        <f t="shared" si="55"/>
        <v>0</v>
      </c>
      <c r="AB31" s="30">
        <f t="shared" si="55"/>
        <v>0</v>
      </c>
      <c r="AC31" s="30">
        <f t="shared" si="55"/>
        <v>0</v>
      </c>
      <c r="AD31" s="30">
        <f t="shared" si="55"/>
        <v>0</v>
      </c>
      <c r="AE31" s="30">
        <f t="shared" si="55"/>
        <v>0</v>
      </c>
      <c r="AF31" s="30">
        <f t="shared" si="55"/>
        <v>0</v>
      </c>
      <c r="AG31" s="30">
        <f t="shared" si="55"/>
        <v>0</v>
      </c>
      <c r="AH31" s="30">
        <f t="shared" si="55"/>
        <v>0</v>
      </c>
      <c r="AI31" s="30">
        <f>W31</f>
        <v>0</v>
      </c>
      <c r="AJ31" s="41"/>
      <c r="AK31" s="70" t="e">
        <f t="shared" ref="AK31" si="56">SUM(AI31/AE31)-1</f>
        <v>#DIV/0!</v>
      </c>
    </row>
    <row r="32" spans="2:37" ht="12.75" customHeight="1">
      <c r="B32" s="12" t="s">
        <v>84</v>
      </c>
      <c r="C32" s="73" t="e">
        <f t="shared" ref="C32:E32" si="57">C28/C31</f>
        <v>#DIV/0!</v>
      </c>
      <c r="D32" s="73" t="e">
        <f t="shared" si="57"/>
        <v>#DIV/0!</v>
      </c>
      <c r="E32" s="73" t="e">
        <f t="shared" si="57"/>
        <v>#DIV/0!</v>
      </c>
      <c r="F32" s="73" t="e">
        <f t="shared" ref="F32:H32" si="58">F28/F31</f>
        <v>#DIV/0!</v>
      </c>
      <c r="G32" s="73" t="e">
        <f t="shared" si="58"/>
        <v>#DIV/0!</v>
      </c>
      <c r="H32" s="73" t="e">
        <f t="shared" si="58"/>
        <v>#DIV/0!</v>
      </c>
      <c r="I32" s="11"/>
      <c r="J32" s="73" t="e">
        <f t="shared" ref="J32:W32" si="59">J28/J31</f>
        <v>#DIV/0!</v>
      </c>
      <c r="K32" s="73" t="e">
        <f t="shared" si="59"/>
        <v>#DIV/0!</v>
      </c>
      <c r="L32" s="73" t="e">
        <f t="shared" si="59"/>
        <v>#DIV/0!</v>
      </c>
      <c r="M32" s="73" t="e">
        <f t="shared" si="59"/>
        <v>#DIV/0!</v>
      </c>
      <c r="N32" s="73" t="e">
        <f t="shared" si="59"/>
        <v>#DIV/0!</v>
      </c>
      <c r="O32" s="73" t="e">
        <f t="shared" si="59"/>
        <v>#DIV/0!</v>
      </c>
      <c r="P32" s="73" t="e">
        <f t="shared" si="59"/>
        <v>#DIV/0!</v>
      </c>
      <c r="Q32" s="73" t="e">
        <f>Q28/Q31</f>
        <v>#DIV/0!</v>
      </c>
      <c r="R32" s="73" t="e">
        <f t="shared" si="59"/>
        <v>#DIV/0!</v>
      </c>
      <c r="S32" s="73" t="e">
        <f t="shared" si="59"/>
        <v>#DIV/0!</v>
      </c>
      <c r="T32" s="73" t="e">
        <f t="shared" si="59"/>
        <v>#DIV/0!</v>
      </c>
      <c r="U32" s="73" t="e">
        <f>U28/U31</f>
        <v>#DIV/0!</v>
      </c>
      <c r="V32" s="73" t="e">
        <f t="shared" si="59"/>
        <v>#DIV/0!</v>
      </c>
      <c r="W32" s="73" t="e">
        <f t="shared" si="59"/>
        <v>#DIV/0!</v>
      </c>
      <c r="X32" s="26"/>
      <c r="Y32" s="73" t="e">
        <f t="shared" ref="Y32:AI32" si="60">Y28/Y31</f>
        <v>#DIV/0!</v>
      </c>
      <c r="Z32" s="73" t="e">
        <f t="shared" si="60"/>
        <v>#DIV/0!</v>
      </c>
      <c r="AA32" s="73" t="e">
        <f t="shared" si="60"/>
        <v>#DIV/0!</v>
      </c>
      <c r="AB32" s="73" t="e">
        <f t="shared" si="60"/>
        <v>#DIV/0!</v>
      </c>
      <c r="AC32" s="73" t="e">
        <f t="shared" si="60"/>
        <v>#DIV/0!</v>
      </c>
      <c r="AD32" s="73" t="e">
        <f t="shared" si="60"/>
        <v>#DIV/0!</v>
      </c>
      <c r="AE32" s="73" t="e">
        <f t="shared" si="60"/>
        <v>#DIV/0!</v>
      </c>
      <c r="AF32" s="73" t="e">
        <f t="shared" si="60"/>
        <v>#DIV/0!</v>
      </c>
      <c r="AG32" s="73" t="e">
        <f t="shared" si="60"/>
        <v>#DIV/0!</v>
      </c>
      <c r="AH32" s="73" t="e">
        <f t="shared" si="60"/>
        <v>#DIV/0!</v>
      </c>
      <c r="AI32" s="73" t="e">
        <f t="shared" si="60"/>
        <v>#DIV/0!</v>
      </c>
      <c r="AJ32" s="34"/>
      <c r="AK32" s="71" t="e">
        <f>SUM(AI32/AE32)-1</f>
        <v>#DIV/0!</v>
      </c>
    </row>
    <row r="33" spans="1:37" ht="5.0999999999999996" customHeight="1">
      <c r="B33" s="14"/>
      <c r="C33" s="15"/>
      <c r="D33" s="15"/>
      <c r="E33" s="15"/>
      <c r="F33" s="15"/>
      <c r="G33" s="15"/>
      <c r="H33" s="1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26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41"/>
      <c r="AK33" s="72"/>
    </row>
    <row r="34" spans="1:37" ht="12.75" customHeight="1">
      <c r="B34" s="43" t="s">
        <v>85</v>
      </c>
      <c r="C34" s="79"/>
      <c r="D34" s="79"/>
      <c r="E34" s="79"/>
      <c r="F34" s="79"/>
      <c r="G34" s="79"/>
      <c r="H34" s="79"/>
      <c r="I34" s="25"/>
      <c r="J34" s="79"/>
      <c r="K34" s="79"/>
      <c r="L34" s="79"/>
      <c r="M34" s="79">
        <f>F34</f>
        <v>0</v>
      </c>
      <c r="N34" s="79"/>
      <c r="O34" s="79"/>
      <c r="P34" s="79"/>
      <c r="Q34" s="30">
        <f>G34</f>
        <v>0</v>
      </c>
      <c r="R34" s="79"/>
      <c r="S34" s="79"/>
      <c r="T34" s="79"/>
      <c r="U34" s="30">
        <f>H34</f>
        <v>0</v>
      </c>
      <c r="V34" s="79"/>
      <c r="W34" s="79"/>
      <c r="X34" s="30"/>
      <c r="Y34" s="30">
        <f t="shared" ref="Y34:AD34" si="61">N34</f>
        <v>0</v>
      </c>
      <c r="Z34" s="30">
        <f t="shared" si="61"/>
        <v>0</v>
      </c>
      <c r="AA34" s="30">
        <f t="shared" si="61"/>
        <v>0</v>
      </c>
      <c r="AB34" s="30">
        <f t="shared" si="61"/>
        <v>0</v>
      </c>
      <c r="AC34" s="30">
        <f t="shared" si="61"/>
        <v>0</v>
      </c>
      <c r="AD34" s="30">
        <f t="shared" si="61"/>
        <v>0</v>
      </c>
      <c r="AE34" s="30">
        <f t="shared" ref="AE34" si="62">S34</f>
        <v>0</v>
      </c>
      <c r="AF34" s="30">
        <f t="shared" ref="AF34" si="63">T34</f>
        <v>0</v>
      </c>
      <c r="AG34" s="30">
        <f t="shared" ref="AG34" si="64">U34</f>
        <v>0</v>
      </c>
      <c r="AH34" s="30">
        <f t="shared" ref="AH34" si="65">V34</f>
        <v>0</v>
      </c>
      <c r="AI34" s="30">
        <f>W34</f>
        <v>0</v>
      </c>
      <c r="AJ34" s="41"/>
      <c r="AK34" s="70" t="e">
        <f t="shared" ref="AK34" si="66">SUM(AI34/AE34)-1</f>
        <v>#DIV/0!</v>
      </c>
    </row>
    <row r="35" spans="1:37" ht="12.75" customHeight="1">
      <c r="B35" s="12" t="s">
        <v>86</v>
      </c>
      <c r="C35" s="73" t="e">
        <f t="shared" ref="C35:E35" si="67">C28/C34</f>
        <v>#DIV/0!</v>
      </c>
      <c r="D35" s="73" t="e">
        <f t="shared" si="67"/>
        <v>#DIV/0!</v>
      </c>
      <c r="E35" s="73" t="e">
        <f t="shared" si="67"/>
        <v>#DIV/0!</v>
      </c>
      <c r="F35" s="73" t="e">
        <f t="shared" ref="F35:H35" si="68">F28/F34</f>
        <v>#DIV/0!</v>
      </c>
      <c r="G35" s="73" t="e">
        <f t="shared" si="68"/>
        <v>#DIV/0!</v>
      </c>
      <c r="H35" s="73" t="e">
        <f t="shared" si="68"/>
        <v>#DIV/0!</v>
      </c>
      <c r="I35" s="25"/>
      <c r="J35" s="73" t="e">
        <f t="shared" ref="J35:W35" si="69">J28/J34</f>
        <v>#DIV/0!</v>
      </c>
      <c r="K35" s="73" t="e">
        <f t="shared" si="69"/>
        <v>#DIV/0!</v>
      </c>
      <c r="L35" s="73" t="e">
        <f t="shared" si="69"/>
        <v>#DIV/0!</v>
      </c>
      <c r="M35" s="73" t="e">
        <f t="shared" si="69"/>
        <v>#DIV/0!</v>
      </c>
      <c r="N35" s="73" t="e">
        <f t="shared" si="69"/>
        <v>#DIV/0!</v>
      </c>
      <c r="O35" s="73" t="e">
        <f t="shared" si="69"/>
        <v>#DIV/0!</v>
      </c>
      <c r="P35" s="73" t="e">
        <f t="shared" si="69"/>
        <v>#DIV/0!</v>
      </c>
      <c r="Q35" s="73" t="e">
        <f t="shared" si="69"/>
        <v>#DIV/0!</v>
      </c>
      <c r="R35" s="73" t="e">
        <f t="shared" si="69"/>
        <v>#DIV/0!</v>
      </c>
      <c r="S35" s="73" t="e">
        <f t="shared" si="69"/>
        <v>#DIV/0!</v>
      </c>
      <c r="T35" s="73" t="e">
        <f t="shared" si="69"/>
        <v>#DIV/0!</v>
      </c>
      <c r="U35" s="73" t="e">
        <f t="shared" si="69"/>
        <v>#DIV/0!</v>
      </c>
      <c r="V35" s="73" t="e">
        <f t="shared" si="69"/>
        <v>#DIV/0!</v>
      </c>
      <c r="W35" s="73" t="e">
        <f t="shared" si="69"/>
        <v>#DIV/0!</v>
      </c>
      <c r="X35" s="30"/>
      <c r="Y35" s="73" t="e">
        <f t="shared" ref="Y35:AI35" si="70">Y28/Y34</f>
        <v>#DIV/0!</v>
      </c>
      <c r="Z35" s="73" t="e">
        <f t="shared" si="70"/>
        <v>#DIV/0!</v>
      </c>
      <c r="AA35" s="73" t="e">
        <f t="shared" si="70"/>
        <v>#DIV/0!</v>
      </c>
      <c r="AB35" s="73" t="e">
        <f t="shared" si="70"/>
        <v>#DIV/0!</v>
      </c>
      <c r="AC35" s="73" t="e">
        <f t="shared" si="70"/>
        <v>#DIV/0!</v>
      </c>
      <c r="AD35" s="73" t="e">
        <f t="shared" si="70"/>
        <v>#DIV/0!</v>
      </c>
      <c r="AE35" s="73" t="e">
        <f t="shared" si="70"/>
        <v>#DIV/0!</v>
      </c>
      <c r="AF35" s="73" t="e">
        <f t="shared" si="70"/>
        <v>#DIV/0!</v>
      </c>
      <c r="AG35" s="73" t="e">
        <f t="shared" si="70"/>
        <v>#DIV/0!</v>
      </c>
      <c r="AH35" s="73" t="e">
        <f t="shared" si="70"/>
        <v>#DIV/0!</v>
      </c>
      <c r="AI35" s="73" t="e">
        <f t="shared" si="70"/>
        <v>#DIV/0!</v>
      </c>
      <c r="AJ35" s="34"/>
      <c r="AK35" s="71" t="e">
        <f>SUM(AI35/AE35)-1</f>
        <v>#DIV/0!</v>
      </c>
    </row>
    <row r="36" spans="1:37">
      <c r="B36" s="14"/>
      <c r="C36" s="15"/>
      <c r="D36" s="15"/>
      <c r="E36" s="15"/>
      <c r="F36" s="15"/>
      <c r="G36" s="15"/>
      <c r="H36" s="79"/>
      <c r="I36" s="2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26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41"/>
    </row>
    <row r="37" spans="1:37" ht="12.75" customHeight="1">
      <c r="A37" s="5" t="s">
        <v>19</v>
      </c>
      <c r="B37" s="96" t="s">
        <v>97</v>
      </c>
      <c r="C37" s="97" t="s">
        <v>0</v>
      </c>
      <c r="D37" s="97"/>
      <c r="E37" s="97"/>
      <c r="F37" s="97" t="s">
        <v>0</v>
      </c>
      <c r="G37" s="97"/>
      <c r="H37" s="97"/>
      <c r="I37" s="98"/>
      <c r="J37" s="97" t="s">
        <v>1</v>
      </c>
      <c r="K37" s="97"/>
      <c r="L37" s="97"/>
      <c r="M37" s="97"/>
      <c r="N37" s="97"/>
      <c r="O37" s="97"/>
      <c r="P37" s="97"/>
      <c r="Q37" s="97"/>
      <c r="R37" s="97"/>
      <c r="S37" s="97"/>
      <c r="T37" s="97" t="s">
        <v>1</v>
      </c>
      <c r="U37" s="97"/>
      <c r="V37" s="97"/>
      <c r="W37" s="97"/>
      <c r="X37" s="96"/>
      <c r="Y37" s="97"/>
      <c r="Z37" s="97"/>
      <c r="AA37" s="97"/>
      <c r="AB37" s="97"/>
      <c r="AC37" s="97"/>
      <c r="AD37" s="97"/>
      <c r="AE37" s="97" t="s">
        <v>10</v>
      </c>
      <c r="AF37" s="97"/>
      <c r="AG37" s="97"/>
      <c r="AH37" s="97"/>
      <c r="AI37" s="97"/>
      <c r="AJ37" s="98"/>
      <c r="AK37" s="142" t="s">
        <v>26</v>
      </c>
    </row>
    <row r="38" spans="1:37" ht="12.75" customHeight="1">
      <c r="B38" s="100" t="str">
        <f>B7</f>
        <v>Fiscal Period</v>
      </c>
      <c r="C38" s="99">
        <f>C7</f>
        <v>2019</v>
      </c>
      <c r="D38" s="99">
        <f>D7</f>
        <v>2020</v>
      </c>
      <c r="E38" s="99">
        <f>E7</f>
        <v>2021</v>
      </c>
      <c r="F38" s="99">
        <f>F7</f>
        <v>2022</v>
      </c>
      <c r="G38" s="99">
        <f>G7</f>
        <v>2023</v>
      </c>
      <c r="H38" s="99">
        <f>H7</f>
        <v>2024</v>
      </c>
      <c r="I38" s="98"/>
      <c r="J38" s="99" t="str">
        <f>J7</f>
        <v>1Q22</v>
      </c>
      <c r="K38" s="99" t="str">
        <f>K7</f>
        <v>2Q22</v>
      </c>
      <c r="L38" s="99" t="str">
        <f>L7</f>
        <v>3Q22</v>
      </c>
      <c r="M38" s="99" t="str">
        <f>M7</f>
        <v>4Q22</v>
      </c>
      <c r="N38" s="99" t="str">
        <f>N7</f>
        <v>1Q23</v>
      </c>
      <c r="O38" s="99" t="str">
        <f>O7</f>
        <v>2Q23</v>
      </c>
      <c r="P38" s="99" t="str">
        <f>P7</f>
        <v>3Q23</v>
      </c>
      <c r="Q38" s="99" t="str">
        <f>Q7</f>
        <v>4Q23</v>
      </c>
      <c r="R38" s="99" t="str">
        <f>R7</f>
        <v>1Q24</v>
      </c>
      <c r="S38" s="99" t="str">
        <f>S7</f>
        <v>2Q24</v>
      </c>
      <c r="T38" s="99" t="str">
        <f>T7</f>
        <v>3Q24</v>
      </c>
      <c r="U38" s="99" t="str">
        <f>U7</f>
        <v>4Q24</v>
      </c>
      <c r="V38" s="99" t="str">
        <f>V7</f>
        <v>1Q25</v>
      </c>
      <c r="W38" s="99" t="str">
        <f>W7</f>
        <v>2Q25</v>
      </c>
      <c r="X38" s="101"/>
      <c r="Y38" s="99" t="str">
        <f>Y7</f>
        <v>4Q22</v>
      </c>
      <c r="Z38" s="99" t="str">
        <f>Z7</f>
        <v>1Q23</v>
      </c>
      <c r="AA38" s="99" t="str">
        <f>AA7</f>
        <v>2Q23</v>
      </c>
      <c r="AB38" s="99" t="str">
        <f>AB7</f>
        <v>3Q23</v>
      </c>
      <c r="AC38" s="99" t="str">
        <f>AC7</f>
        <v>4Q23</v>
      </c>
      <c r="AD38" s="99" t="str">
        <f>AD7</f>
        <v>1Q24</v>
      </c>
      <c r="AE38" s="99" t="str">
        <f>AE7</f>
        <v>2Q24</v>
      </c>
      <c r="AF38" s="99" t="str">
        <f>AF7</f>
        <v>3Q24</v>
      </c>
      <c r="AG38" s="99" t="str">
        <f>AG7</f>
        <v>4Q24</v>
      </c>
      <c r="AH38" s="99" t="str">
        <f>AH7</f>
        <v>1Q25</v>
      </c>
      <c r="AI38" s="99" t="str">
        <f>AI7</f>
        <v>2Q25</v>
      </c>
      <c r="AJ38" s="98"/>
      <c r="AK38" s="142"/>
    </row>
    <row r="39" spans="1:37" ht="12.75" customHeight="1">
      <c r="B39" s="100" t="str">
        <f>B8</f>
        <v>Fiscal Period End Date</v>
      </c>
      <c r="C39" s="102">
        <f>C8</f>
        <v>43497</v>
      </c>
      <c r="D39" s="102">
        <f>D8</f>
        <v>43861</v>
      </c>
      <c r="E39" s="102">
        <f>E8</f>
        <v>44225</v>
      </c>
      <c r="F39" s="102">
        <f>F8</f>
        <v>44954</v>
      </c>
      <c r="G39" s="102">
        <f>G8</f>
        <v>45325</v>
      </c>
      <c r="H39" s="102">
        <f>H8</f>
        <v>45689</v>
      </c>
      <c r="I39" s="98"/>
      <c r="J39" s="102">
        <f>J8</f>
        <v>44681</v>
      </c>
      <c r="K39" s="102">
        <f>K8</f>
        <v>44772</v>
      </c>
      <c r="L39" s="102">
        <f>L8</f>
        <v>44863</v>
      </c>
      <c r="M39" s="102">
        <f>M8</f>
        <v>44954</v>
      </c>
      <c r="N39" s="102">
        <f>N8</f>
        <v>45045</v>
      </c>
      <c r="O39" s="102">
        <f>O8</f>
        <v>45136</v>
      </c>
      <c r="P39" s="102">
        <f>P8</f>
        <v>45227</v>
      </c>
      <c r="Q39" s="102">
        <f>Q8</f>
        <v>45325</v>
      </c>
      <c r="R39" s="102">
        <f>R8</f>
        <v>45416</v>
      </c>
      <c r="S39" s="102">
        <f>S8</f>
        <v>45507</v>
      </c>
      <c r="T39" s="102">
        <f>T8</f>
        <v>45598</v>
      </c>
      <c r="U39" s="102">
        <f>U8</f>
        <v>45689</v>
      </c>
      <c r="V39" s="102">
        <f>V8</f>
        <v>45780</v>
      </c>
      <c r="W39" s="102">
        <f>W8</f>
        <v>45871</v>
      </c>
      <c r="X39" s="103"/>
      <c r="Y39" s="102">
        <f>Y8</f>
        <v>44954</v>
      </c>
      <c r="Z39" s="102">
        <f>Z8</f>
        <v>45045</v>
      </c>
      <c r="AA39" s="102">
        <f>AA8</f>
        <v>45136</v>
      </c>
      <c r="AB39" s="102">
        <f>AB8</f>
        <v>45227</v>
      </c>
      <c r="AC39" s="102">
        <f>AC8</f>
        <v>45325</v>
      </c>
      <c r="AD39" s="102">
        <f>AD8</f>
        <v>45416</v>
      </c>
      <c r="AE39" s="102">
        <f>AE8</f>
        <v>45507</v>
      </c>
      <c r="AF39" s="102">
        <f>AF8</f>
        <v>45598</v>
      </c>
      <c r="AG39" s="102">
        <f>AG8</f>
        <v>45689</v>
      </c>
      <c r="AH39" s="102">
        <f>AH8</f>
        <v>45780</v>
      </c>
      <c r="AI39" s="102">
        <f>AI8</f>
        <v>45871</v>
      </c>
      <c r="AJ39" s="98"/>
      <c r="AK39" s="142"/>
    </row>
    <row r="40" spans="1:37" ht="5.0999999999999996" customHeight="1">
      <c r="B40" s="45"/>
      <c r="C40" s="46"/>
      <c r="D40" s="46"/>
      <c r="E40" s="46"/>
      <c r="F40" s="46"/>
      <c r="G40" s="46"/>
      <c r="H40" s="46"/>
    </row>
    <row r="41" spans="1:37">
      <c r="B41" s="74" t="s">
        <v>104</v>
      </c>
      <c r="C41" s="46"/>
      <c r="D41" s="46"/>
      <c r="E41" s="46"/>
      <c r="F41" s="46"/>
      <c r="G41" s="46"/>
      <c r="H41" s="46"/>
    </row>
    <row r="42" spans="1:37" ht="12.75" customHeight="1">
      <c r="B42" s="110" t="s">
        <v>113</v>
      </c>
      <c r="C42" s="111">
        <v>409251</v>
      </c>
      <c r="D42" s="111">
        <v>1046051</v>
      </c>
      <c r="E42" s="111">
        <v>431560</v>
      </c>
      <c r="F42" s="111">
        <v>737877</v>
      </c>
      <c r="G42" s="111">
        <v>766594</v>
      </c>
      <c r="H42" s="111">
        <v>703201</v>
      </c>
      <c r="J42" s="111">
        <v>654486</v>
      </c>
      <c r="K42" s="111">
        <v>434226</v>
      </c>
      <c r="L42" s="111">
        <v>250628</v>
      </c>
      <c r="M42" s="87">
        <f>F42</f>
        <v>737877</v>
      </c>
      <c r="N42" s="111">
        <v>636449</v>
      </c>
      <c r="O42" s="111">
        <v>388627</v>
      </c>
      <c r="P42" s="111">
        <v>121811</v>
      </c>
      <c r="Q42" s="87">
        <f t="shared" ref="Q42:Q46" si="71">G42</f>
        <v>766594</v>
      </c>
      <c r="R42" s="111">
        <v>524596</v>
      </c>
      <c r="S42" s="111">
        <v>413962</v>
      </c>
      <c r="T42" s="111">
        <v>177782</v>
      </c>
      <c r="U42" s="87">
        <f t="shared" ref="U42:U46" si="72">H42</f>
        <v>703201</v>
      </c>
      <c r="V42" s="111">
        <v>454629</v>
      </c>
      <c r="W42" s="111">
        <v>242745</v>
      </c>
      <c r="X42" s="87"/>
      <c r="Y42" s="87">
        <f t="shared" ref="Y42:AH46" si="73">M42</f>
        <v>737877</v>
      </c>
      <c r="Z42" s="87">
        <f t="shared" si="73"/>
        <v>636449</v>
      </c>
      <c r="AA42" s="87">
        <f t="shared" si="73"/>
        <v>388627</v>
      </c>
      <c r="AB42" s="87">
        <f t="shared" si="73"/>
        <v>121811</v>
      </c>
      <c r="AC42" s="87">
        <f t="shared" si="73"/>
        <v>766594</v>
      </c>
      <c r="AD42" s="87">
        <f t="shared" si="73"/>
        <v>524596</v>
      </c>
      <c r="AE42" s="87">
        <f t="shared" si="73"/>
        <v>413962</v>
      </c>
      <c r="AF42" s="87">
        <f t="shared" si="73"/>
        <v>177782</v>
      </c>
      <c r="AG42" s="87">
        <f t="shared" si="73"/>
        <v>703201</v>
      </c>
      <c r="AH42" s="87">
        <f t="shared" si="73"/>
        <v>454629</v>
      </c>
      <c r="AI42" s="87">
        <f>W42</f>
        <v>242745</v>
      </c>
      <c r="AJ42" s="11"/>
      <c r="AK42" s="70">
        <f t="shared" ref="AK42:AK46" si="74">SUM(AI42/AE42)-1</f>
        <v>-0.41360559664896779</v>
      </c>
    </row>
    <row r="43" spans="1:37" ht="12.75" customHeight="1">
      <c r="B43" s="110" t="s">
        <v>152</v>
      </c>
      <c r="C43" s="111">
        <v>136168</v>
      </c>
      <c r="D43" s="111">
        <v>193109</v>
      </c>
      <c r="E43" s="111">
        <v>233682</v>
      </c>
      <c r="F43" s="111">
        <v>199422</v>
      </c>
      <c r="G43" s="111">
        <v>207939</v>
      </c>
      <c r="H43" s="111">
        <v>223334</v>
      </c>
      <c r="J43" s="111">
        <v>192754</v>
      </c>
      <c r="K43" s="111">
        <v>180514</v>
      </c>
      <c r="L43" s="111">
        <v>200304</v>
      </c>
      <c r="M43" s="87">
        <f t="shared" ref="M43:M46" si="75">F43</f>
        <v>199422</v>
      </c>
      <c r="N43" s="111">
        <v>190282</v>
      </c>
      <c r="O43" s="111">
        <v>174444</v>
      </c>
      <c r="P43" s="111">
        <v>202868</v>
      </c>
      <c r="Q43" s="87">
        <f t="shared" si="71"/>
        <v>207939</v>
      </c>
      <c r="R43" s="111">
        <v>203463</v>
      </c>
      <c r="S43" s="111">
        <v>200863</v>
      </c>
      <c r="T43" s="111">
        <v>213621</v>
      </c>
      <c r="U43" s="87">
        <f t="shared" si="72"/>
        <v>223334</v>
      </c>
      <c r="V43" s="111">
        <v>225146</v>
      </c>
      <c r="W43" s="111">
        <v>224412</v>
      </c>
      <c r="X43" s="87"/>
      <c r="Y43" s="87"/>
      <c r="Z43" s="87"/>
      <c r="AA43" s="87"/>
      <c r="AB43" s="87"/>
      <c r="AC43" s="87"/>
      <c r="AD43" s="87"/>
      <c r="AE43" s="87">
        <f t="shared" ref="AE43" si="76">S43</f>
        <v>200863</v>
      </c>
      <c r="AF43" s="87">
        <f t="shared" ref="AF43" si="77">T43</f>
        <v>213621</v>
      </c>
      <c r="AG43" s="87">
        <f t="shared" ref="AG43" si="78">U43</f>
        <v>223334</v>
      </c>
      <c r="AH43" s="87">
        <f t="shared" ref="AH43" si="79">V43</f>
        <v>225146</v>
      </c>
      <c r="AI43" s="87">
        <f t="shared" ref="AI43" si="80">W43</f>
        <v>224412</v>
      </c>
      <c r="AJ43" s="11"/>
      <c r="AK43" s="70"/>
    </row>
    <row r="44" spans="1:37" ht="12.75" customHeight="1">
      <c r="B44" s="110" t="s">
        <v>153</v>
      </c>
      <c r="C44" s="111">
        <v>1214329</v>
      </c>
      <c r="D44" s="111">
        <v>1168215</v>
      </c>
      <c r="E44" s="111">
        <v>1499218</v>
      </c>
      <c r="F44" s="111">
        <v>1603451</v>
      </c>
      <c r="G44" s="111">
        <v>1742136</v>
      </c>
      <c r="H44" s="111">
        <v>1968214</v>
      </c>
      <c r="J44" s="111">
        <v>1570552</v>
      </c>
      <c r="K44" s="111">
        <v>1666130</v>
      </c>
      <c r="L44" s="111">
        <v>2114669</v>
      </c>
      <c r="M44" s="87">
        <f t="shared" si="75"/>
        <v>1603451</v>
      </c>
      <c r="N44" s="111">
        <v>1751235</v>
      </c>
      <c r="O44" s="111">
        <v>1815539</v>
      </c>
      <c r="P44" s="111">
        <v>2321306</v>
      </c>
      <c r="Q44" s="87">
        <f t="shared" si="71"/>
        <v>1742136</v>
      </c>
      <c r="R44" s="111">
        <v>1906040</v>
      </c>
      <c r="S44" s="111">
        <v>1998286</v>
      </c>
      <c r="T44" s="111">
        <v>2365186</v>
      </c>
      <c r="U44" s="87">
        <f t="shared" si="72"/>
        <v>1968214</v>
      </c>
      <c r="V44" s="111">
        <v>2121519</v>
      </c>
      <c r="W44" s="111">
        <v>2407051</v>
      </c>
      <c r="X44" s="87"/>
      <c r="Y44" s="87">
        <f t="shared" si="73"/>
        <v>1603451</v>
      </c>
      <c r="Z44" s="87">
        <f t="shared" si="73"/>
        <v>1751235</v>
      </c>
      <c r="AA44" s="87">
        <f t="shared" si="73"/>
        <v>1815539</v>
      </c>
      <c r="AB44" s="87">
        <f t="shared" si="73"/>
        <v>2321306</v>
      </c>
      <c r="AC44" s="87">
        <f t="shared" si="73"/>
        <v>1742136</v>
      </c>
      <c r="AD44" s="87">
        <f t="shared" si="73"/>
        <v>1906040</v>
      </c>
      <c r="AE44" s="87">
        <f t="shared" si="73"/>
        <v>1998286</v>
      </c>
      <c r="AF44" s="87">
        <f t="shared" si="73"/>
        <v>2365186</v>
      </c>
      <c r="AG44" s="87">
        <f t="shared" si="73"/>
        <v>1968214</v>
      </c>
      <c r="AH44" s="87">
        <f t="shared" si="73"/>
        <v>2121519</v>
      </c>
      <c r="AI44" s="87">
        <f t="shared" ref="AI44:AI46" si="81">W44</f>
        <v>2407051</v>
      </c>
      <c r="AJ44" s="11"/>
      <c r="AK44" s="70">
        <f t="shared" si="74"/>
        <v>0.20455780603977614</v>
      </c>
    </row>
    <row r="45" spans="1:37" ht="12.75" customHeight="1">
      <c r="B45" s="110" t="s">
        <v>154</v>
      </c>
      <c r="C45" s="111">
        <v>138116</v>
      </c>
      <c r="D45" s="111">
        <v>107402</v>
      </c>
      <c r="E45" s="111">
        <v>110814</v>
      </c>
      <c r="F45" s="111">
        <v>130246</v>
      </c>
      <c r="G45" s="111">
        <v>115598</v>
      </c>
      <c r="H45" s="111">
        <v>129113</v>
      </c>
      <c r="J45" s="111">
        <v>114075</v>
      </c>
      <c r="K45" s="111">
        <v>123014</v>
      </c>
      <c r="L45" s="111">
        <v>137642</v>
      </c>
      <c r="M45" s="87">
        <f t="shared" si="75"/>
        <v>130246</v>
      </c>
      <c r="N45" s="111">
        <v>108014</v>
      </c>
      <c r="O45" s="111">
        <v>110524</v>
      </c>
      <c r="P45" s="111">
        <v>117282</v>
      </c>
      <c r="Q45" s="87">
        <f t="shared" si="71"/>
        <v>115598</v>
      </c>
      <c r="R45" s="111">
        <v>126529</v>
      </c>
      <c r="S45" s="111">
        <v>132023</v>
      </c>
      <c r="T45" s="111">
        <v>135514</v>
      </c>
      <c r="U45" s="87">
        <f t="shared" si="72"/>
        <v>129113</v>
      </c>
      <c r="V45" s="111">
        <v>138396</v>
      </c>
      <c r="W45" s="111">
        <v>165963</v>
      </c>
      <c r="X45" s="87"/>
      <c r="Y45" s="87">
        <f t="shared" si="73"/>
        <v>130246</v>
      </c>
      <c r="Z45" s="87">
        <f t="shared" si="73"/>
        <v>108014</v>
      </c>
      <c r="AA45" s="87">
        <f t="shared" si="73"/>
        <v>110524</v>
      </c>
      <c r="AB45" s="87">
        <f t="shared" si="73"/>
        <v>117282</v>
      </c>
      <c r="AC45" s="87">
        <f t="shared" si="73"/>
        <v>115598</v>
      </c>
      <c r="AD45" s="87">
        <f t="shared" si="73"/>
        <v>126529</v>
      </c>
      <c r="AE45" s="87">
        <f t="shared" si="73"/>
        <v>132023</v>
      </c>
      <c r="AF45" s="87">
        <f t="shared" si="73"/>
        <v>135514</v>
      </c>
      <c r="AG45" s="87">
        <f t="shared" si="73"/>
        <v>129113</v>
      </c>
      <c r="AH45" s="87">
        <f t="shared" si="73"/>
        <v>138396</v>
      </c>
      <c r="AI45" s="87">
        <f t="shared" si="81"/>
        <v>165963</v>
      </c>
      <c r="AJ45" s="11"/>
      <c r="AK45" s="70">
        <f t="shared" si="74"/>
        <v>0.25707641850283669</v>
      </c>
    </row>
    <row r="46" spans="1:37" ht="12.75" customHeight="1">
      <c r="B46" s="110" t="s">
        <v>155</v>
      </c>
      <c r="C46" s="111">
        <v>16997</v>
      </c>
      <c r="D46" s="111">
        <v>0</v>
      </c>
      <c r="E46" s="111">
        <v>5909</v>
      </c>
      <c r="F46" s="111">
        <v>38308</v>
      </c>
      <c r="G46" s="111">
        <v>4251</v>
      </c>
      <c r="H46" s="111">
        <v>4946</v>
      </c>
      <c r="J46" s="111">
        <v>0</v>
      </c>
      <c r="K46" s="111">
        <v>39029</v>
      </c>
      <c r="L46" s="111">
        <v>42572</v>
      </c>
      <c r="M46" s="87">
        <f t="shared" si="75"/>
        <v>38308</v>
      </c>
      <c r="N46" s="111">
        <v>0</v>
      </c>
      <c r="O46" s="111">
        <v>30114</v>
      </c>
      <c r="P46" s="111">
        <v>28773</v>
      </c>
      <c r="Q46" s="87">
        <f t="shared" si="71"/>
        <v>4251</v>
      </c>
      <c r="R46" s="111">
        <v>0</v>
      </c>
      <c r="S46" s="111">
        <v>53607</v>
      </c>
      <c r="T46" s="111">
        <v>62759</v>
      </c>
      <c r="U46" s="87">
        <f t="shared" si="72"/>
        <v>4946</v>
      </c>
      <c r="V46" s="111">
        <v>0</v>
      </c>
      <c r="W46" s="111">
        <v>28877</v>
      </c>
      <c r="X46" s="87"/>
      <c r="Y46" s="87">
        <f t="shared" si="73"/>
        <v>38308</v>
      </c>
      <c r="Z46" s="87">
        <f t="shared" si="73"/>
        <v>0</v>
      </c>
      <c r="AA46" s="87">
        <f t="shared" si="73"/>
        <v>30114</v>
      </c>
      <c r="AB46" s="87">
        <f t="shared" si="73"/>
        <v>28773</v>
      </c>
      <c r="AC46" s="87">
        <f t="shared" si="73"/>
        <v>4251</v>
      </c>
      <c r="AD46" s="87">
        <f t="shared" si="73"/>
        <v>0</v>
      </c>
      <c r="AE46" s="87">
        <f t="shared" si="73"/>
        <v>53607</v>
      </c>
      <c r="AF46" s="87">
        <f t="shared" si="73"/>
        <v>62759</v>
      </c>
      <c r="AG46" s="87">
        <f t="shared" si="73"/>
        <v>4946</v>
      </c>
      <c r="AH46" s="87">
        <f t="shared" si="73"/>
        <v>0</v>
      </c>
      <c r="AI46" s="87">
        <f t="shared" si="81"/>
        <v>28877</v>
      </c>
      <c r="AJ46" s="11"/>
      <c r="AK46" s="70">
        <f t="shared" si="74"/>
        <v>-0.46132034995429705</v>
      </c>
    </row>
    <row r="47" spans="1:37" ht="12.75" customHeight="1">
      <c r="B47" s="23" t="s">
        <v>22</v>
      </c>
      <c r="C47" s="24">
        <f t="shared" ref="C47:E47" si="82">SUM(C42:C46)</f>
        <v>1914861</v>
      </c>
      <c r="D47" s="24">
        <f t="shared" si="82"/>
        <v>2514777</v>
      </c>
      <c r="E47" s="24">
        <f t="shared" si="82"/>
        <v>2281183</v>
      </c>
      <c r="F47" s="24">
        <f>SUM(F42:F46)</f>
        <v>2709304</v>
      </c>
      <c r="G47" s="24">
        <f>SUM(G42:G46)</f>
        <v>2836518</v>
      </c>
      <c r="H47" s="24">
        <f>SUM(H42:H46)</f>
        <v>3028808</v>
      </c>
      <c r="I47" s="47"/>
      <c r="J47" s="24">
        <f t="shared" ref="J47:W47" si="83">SUM(J42:J46)</f>
        <v>2531867</v>
      </c>
      <c r="K47" s="24">
        <f t="shared" si="83"/>
        <v>2442913</v>
      </c>
      <c r="L47" s="24">
        <f t="shared" si="83"/>
        <v>2745815</v>
      </c>
      <c r="M47" s="24">
        <f t="shared" si="83"/>
        <v>2709304</v>
      </c>
      <c r="N47" s="24">
        <f t="shared" si="83"/>
        <v>2685980</v>
      </c>
      <c r="O47" s="24">
        <f t="shared" si="83"/>
        <v>2519248</v>
      </c>
      <c r="P47" s="24">
        <f t="shared" si="83"/>
        <v>2792040</v>
      </c>
      <c r="Q47" s="24">
        <f t="shared" si="83"/>
        <v>2836518</v>
      </c>
      <c r="R47" s="24">
        <f t="shared" si="83"/>
        <v>2760628</v>
      </c>
      <c r="S47" s="24">
        <f t="shared" si="83"/>
        <v>2798741</v>
      </c>
      <c r="T47" s="24">
        <f t="shared" si="83"/>
        <v>2954862</v>
      </c>
      <c r="U47" s="24">
        <f t="shared" si="83"/>
        <v>3028808</v>
      </c>
      <c r="V47" s="24">
        <f t="shared" si="83"/>
        <v>2939690</v>
      </c>
      <c r="W47" s="24">
        <f t="shared" si="83"/>
        <v>3069048</v>
      </c>
      <c r="X47" s="47"/>
      <c r="Y47" s="24">
        <f t="shared" ref="Y47:AI47" si="84">SUM(Y42:Y46)</f>
        <v>2509882</v>
      </c>
      <c r="Z47" s="24">
        <f t="shared" si="84"/>
        <v>2495698</v>
      </c>
      <c r="AA47" s="24">
        <f t="shared" si="84"/>
        <v>2344804</v>
      </c>
      <c r="AB47" s="24">
        <f t="shared" si="84"/>
        <v>2589172</v>
      </c>
      <c r="AC47" s="24">
        <f t="shared" si="84"/>
        <v>2628579</v>
      </c>
      <c r="AD47" s="24">
        <f t="shared" si="84"/>
        <v>2557165</v>
      </c>
      <c r="AE47" s="24">
        <f t="shared" si="84"/>
        <v>2798741</v>
      </c>
      <c r="AF47" s="24">
        <f t="shared" si="84"/>
        <v>2954862</v>
      </c>
      <c r="AG47" s="24">
        <f t="shared" si="84"/>
        <v>3028808</v>
      </c>
      <c r="AH47" s="24">
        <f t="shared" si="84"/>
        <v>2939690</v>
      </c>
      <c r="AI47" s="24">
        <f t="shared" si="84"/>
        <v>3069048</v>
      </c>
      <c r="AJ47" s="40"/>
      <c r="AK47" s="71">
        <f>SUM(AI47/AE47)-1</f>
        <v>9.6581641530959716E-2</v>
      </c>
    </row>
    <row r="48" spans="1:37" ht="5.0999999999999996" customHeight="1">
      <c r="B48" s="23"/>
      <c r="C48" s="48"/>
      <c r="D48" s="48"/>
      <c r="E48" s="48"/>
      <c r="F48" s="48"/>
      <c r="G48" s="39"/>
      <c r="H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37"/>
    </row>
    <row r="49" spans="2:37" ht="12.75" customHeight="1">
      <c r="B49" s="74" t="s">
        <v>105</v>
      </c>
      <c r="C49" s="79"/>
      <c r="D49" s="79"/>
      <c r="E49" s="79"/>
      <c r="F49" s="79"/>
      <c r="G49" s="79"/>
      <c r="H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11"/>
      <c r="AK49" s="70"/>
    </row>
    <row r="50" spans="2:37" ht="12.75" customHeight="1">
      <c r="B50" s="9" t="s">
        <v>114</v>
      </c>
      <c r="C50" s="79">
        <v>1226029</v>
      </c>
      <c r="D50" s="79">
        <v>995795</v>
      </c>
      <c r="E50" s="79">
        <v>914476</v>
      </c>
      <c r="F50" s="79">
        <v>1009273</v>
      </c>
      <c r="G50" s="79">
        <v>1182335</v>
      </c>
      <c r="H50" s="79">
        <v>1239295</v>
      </c>
      <c r="J50" s="111">
        <v>909543</v>
      </c>
      <c r="K50" s="111">
        <v>912017</v>
      </c>
      <c r="L50" s="111">
        <v>967039</v>
      </c>
      <c r="M50" s="87">
        <f t="shared" ref="M50:M55" si="85">F50</f>
        <v>1009273</v>
      </c>
      <c r="N50" s="111">
        <v>1019978</v>
      </c>
      <c r="O50" s="111">
        <v>1073144</v>
      </c>
      <c r="P50" s="111">
        <v>1117874</v>
      </c>
      <c r="Q50" s="87">
        <f t="shared" ref="Q50:Q55" si="86">G50</f>
        <v>1182335</v>
      </c>
      <c r="R50" s="111">
        <v>1195658</v>
      </c>
      <c r="S50" s="111">
        <v>1225850</v>
      </c>
      <c r="T50" s="111">
        <v>1264419</v>
      </c>
      <c r="U50" s="87">
        <f t="shared" ref="U50:U55" si="87">H50</f>
        <v>1239295</v>
      </c>
      <c r="V50" s="111">
        <v>1251287</v>
      </c>
      <c r="W50" s="111">
        <v>1332503</v>
      </c>
      <c r="X50" s="87"/>
      <c r="Y50" s="87">
        <f t="shared" ref="Y50" si="88">M50</f>
        <v>1009273</v>
      </c>
      <c r="Z50" s="87">
        <f t="shared" ref="Z50" si="89">N50</f>
        <v>1019978</v>
      </c>
      <c r="AA50" s="87">
        <f t="shared" ref="AA50" si="90">O50</f>
        <v>1073144</v>
      </c>
      <c r="AB50" s="87">
        <f t="shared" ref="AB50" si="91">P50</f>
        <v>1117874</v>
      </c>
      <c r="AC50" s="87">
        <f t="shared" ref="AC50" si="92">Q50</f>
        <v>1182335</v>
      </c>
      <c r="AD50" s="87">
        <f t="shared" ref="AD50" si="93">R50</f>
        <v>1195658</v>
      </c>
      <c r="AE50" s="87">
        <f t="shared" ref="AE50" si="94">S50</f>
        <v>1225850</v>
      </c>
      <c r="AF50" s="87">
        <f t="shared" ref="AF50" si="95">T50</f>
        <v>1264419</v>
      </c>
      <c r="AG50" s="87">
        <f t="shared" ref="AG50" si="96">U50</f>
        <v>1239295</v>
      </c>
      <c r="AH50" s="87">
        <f t="shared" ref="AH50" si="97">V50</f>
        <v>1251287</v>
      </c>
      <c r="AI50" s="87">
        <f>W50</f>
        <v>1332503</v>
      </c>
      <c r="AJ50" s="11"/>
      <c r="AK50" s="70">
        <f t="shared" ref="AK50:AK55" si="98">SUM(AI50/AE50)-1</f>
        <v>8.7003303829995549E-2</v>
      </c>
    </row>
    <row r="51" spans="2:37" ht="12.75" customHeight="1">
      <c r="B51" s="9" t="s">
        <v>156</v>
      </c>
      <c r="C51" s="79">
        <v>0</v>
      </c>
      <c r="D51" s="79">
        <v>1504614</v>
      </c>
      <c r="E51" s="79">
        <v>1482256</v>
      </c>
      <c r="F51" s="79">
        <v>1561263</v>
      </c>
      <c r="G51" s="79">
        <v>1574530</v>
      </c>
      <c r="H51" s="79">
        <v>1609870</v>
      </c>
      <c r="J51" s="111">
        <v>1488040</v>
      </c>
      <c r="K51" s="111">
        <v>1509246</v>
      </c>
      <c r="L51" s="111">
        <v>1556940</v>
      </c>
      <c r="M51" s="87">
        <f t="shared" si="85"/>
        <v>1561263</v>
      </c>
      <c r="N51" s="111">
        <v>1559560</v>
      </c>
      <c r="O51" s="111">
        <v>1549146</v>
      </c>
      <c r="P51" s="111">
        <v>1578316</v>
      </c>
      <c r="Q51" s="87">
        <f t="shared" si="86"/>
        <v>1574530</v>
      </c>
      <c r="R51" s="111">
        <v>1561767</v>
      </c>
      <c r="S51" s="111">
        <v>1599735</v>
      </c>
      <c r="T51" s="111">
        <v>1619055</v>
      </c>
      <c r="U51" s="87">
        <f t="shared" si="87"/>
        <v>1609870</v>
      </c>
      <c r="V51" s="111">
        <v>1658834</v>
      </c>
      <c r="W51" s="111">
        <v>1682151</v>
      </c>
      <c r="Y51" s="30">
        <f t="shared" ref="Y51:AD55" si="99">N51</f>
        <v>1559560</v>
      </c>
      <c r="Z51" s="30">
        <f t="shared" si="99"/>
        <v>1549146</v>
      </c>
      <c r="AA51" s="30">
        <f t="shared" si="99"/>
        <v>1578316</v>
      </c>
      <c r="AB51" s="30">
        <f t="shared" si="99"/>
        <v>1574530</v>
      </c>
      <c r="AC51" s="30">
        <f t="shared" si="99"/>
        <v>1561767</v>
      </c>
      <c r="AD51" s="30">
        <f t="shared" si="99"/>
        <v>1599735</v>
      </c>
      <c r="AE51" s="87">
        <f t="shared" ref="AE51:AE55" si="100">S51</f>
        <v>1599735</v>
      </c>
      <c r="AF51" s="87">
        <f t="shared" ref="AF51:AF55" si="101">T51</f>
        <v>1619055</v>
      </c>
      <c r="AG51" s="87">
        <f t="shared" ref="AG51:AG55" si="102">U51</f>
        <v>1609870</v>
      </c>
      <c r="AH51" s="87">
        <f t="shared" ref="AH51:AH55" si="103">V51</f>
        <v>1658834</v>
      </c>
      <c r="AI51" s="87">
        <f t="shared" ref="AI51:AI55" si="104">W51</f>
        <v>1682151</v>
      </c>
      <c r="AJ51" s="11"/>
      <c r="AK51" s="70">
        <f t="shared" si="98"/>
        <v>5.1518532756987812E-2</v>
      </c>
    </row>
    <row r="52" spans="2:37" ht="12.75" customHeight="1">
      <c r="B52" s="9" t="s">
        <v>115</v>
      </c>
      <c r="C52" s="79">
        <v>10870</v>
      </c>
      <c r="D52" s="79">
        <v>10870</v>
      </c>
      <c r="E52" s="79">
        <v>10870</v>
      </c>
      <c r="F52" s="79">
        <v>10870</v>
      </c>
      <c r="G52" s="79">
        <v>10870</v>
      </c>
      <c r="H52" s="79">
        <v>10870</v>
      </c>
      <c r="J52" s="111">
        <v>10870</v>
      </c>
      <c r="K52" s="111">
        <v>10870</v>
      </c>
      <c r="L52" s="111">
        <v>10870</v>
      </c>
      <c r="M52" s="87">
        <f t="shared" si="85"/>
        <v>10870</v>
      </c>
      <c r="N52" s="111">
        <v>10870</v>
      </c>
      <c r="O52" s="111">
        <v>10870</v>
      </c>
      <c r="P52" s="111">
        <v>10870</v>
      </c>
      <c r="Q52" s="87">
        <f t="shared" si="86"/>
        <v>10870</v>
      </c>
      <c r="R52" s="111">
        <v>10870</v>
      </c>
      <c r="S52" s="111">
        <v>10870</v>
      </c>
      <c r="T52" s="111">
        <v>10870</v>
      </c>
      <c r="U52" s="87">
        <f t="shared" si="87"/>
        <v>10870</v>
      </c>
      <c r="V52" s="111">
        <v>10870</v>
      </c>
      <c r="W52" s="111">
        <v>392606</v>
      </c>
      <c r="Y52" s="30">
        <f t="shared" si="99"/>
        <v>10870</v>
      </c>
      <c r="Z52" s="30">
        <f t="shared" si="99"/>
        <v>10870</v>
      </c>
      <c r="AA52" s="30">
        <f t="shared" si="99"/>
        <v>10870</v>
      </c>
      <c r="AB52" s="30">
        <f t="shared" si="99"/>
        <v>10870</v>
      </c>
      <c r="AC52" s="30">
        <f t="shared" si="99"/>
        <v>10870</v>
      </c>
      <c r="AD52" s="30">
        <f t="shared" si="99"/>
        <v>10870</v>
      </c>
      <c r="AE52" s="87">
        <f t="shared" si="100"/>
        <v>10870</v>
      </c>
      <c r="AF52" s="87">
        <f t="shared" si="101"/>
        <v>10870</v>
      </c>
      <c r="AG52" s="87">
        <f t="shared" si="102"/>
        <v>10870</v>
      </c>
      <c r="AH52" s="87">
        <f t="shared" si="103"/>
        <v>10870</v>
      </c>
      <c r="AI52" s="87">
        <f t="shared" si="104"/>
        <v>392606</v>
      </c>
      <c r="AJ52" s="11"/>
      <c r="AK52" s="70">
        <f t="shared" si="98"/>
        <v>35.118307267709291</v>
      </c>
    </row>
    <row r="53" spans="2:37" ht="12.75" customHeight="1">
      <c r="B53" s="9" t="s">
        <v>157</v>
      </c>
      <c r="C53" s="79">
        <v>4317</v>
      </c>
      <c r="D53" s="79">
        <v>2465</v>
      </c>
      <c r="E53" s="79">
        <v>1538</v>
      </c>
      <c r="F53" s="79">
        <v>1312</v>
      </c>
      <c r="G53" s="79">
        <v>510</v>
      </c>
      <c r="H53" s="79">
        <v>204</v>
      </c>
      <c r="J53" s="111">
        <v>1307</v>
      </c>
      <c r="K53" s="111">
        <v>1075</v>
      </c>
      <c r="L53" s="111">
        <v>844</v>
      </c>
      <c r="M53" s="87">
        <f t="shared" si="85"/>
        <v>1312</v>
      </c>
      <c r="N53" s="111">
        <v>1015</v>
      </c>
      <c r="O53" s="111">
        <v>718</v>
      </c>
      <c r="P53" s="111">
        <v>591</v>
      </c>
      <c r="Q53" s="87">
        <f t="shared" si="86"/>
        <v>510</v>
      </c>
      <c r="R53" s="111">
        <v>434</v>
      </c>
      <c r="S53" s="111">
        <v>357</v>
      </c>
      <c r="T53" s="111">
        <v>281</v>
      </c>
      <c r="U53" s="87">
        <f t="shared" si="87"/>
        <v>204</v>
      </c>
      <c r="V53" s="111">
        <v>0</v>
      </c>
      <c r="W53" s="111">
        <v>5466</v>
      </c>
      <c r="Y53" s="30">
        <f t="shared" si="99"/>
        <v>1015</v>
      </c>
      <c r="Z53" s="30">
        <f t="shared" si="99"/>
        <v>718</v>
      </c>
      <c r="AA53" s="30">
        <f t="shared" si="99"/>
        <v>591</v>
      </c>
      <c r="AB53" s="30">
        <f t="shared" si="99"/>
        <v>510</v>
      </c>
      <c r="AC53" s="30">
        <f t="shared" si="99"/>
        <v>434</v>
      </c>
      <c r="AD53" s="30">
        <f t="shared" si="99"/>
        <v>357</v>
      </c>
      <c r="AE53" s="87">
        <f t="shared" si="100"/>
        <v>357</v>
      </c>
      <c r="AF53" s="87">
        <f t="shared" si="101"/>
        <v>281</v>
      </c>
      <c r="AG53" s="87">
        <f t="shared" si="102"/>
        <v>204</v>
      </c>
      <c r="AH53" s="87">
        <f t="shared" si="103"/>
        <v>0</v>
      </c>
      <c r="AI53" s="87">
        <f t="shared" si="104"/>
        <v>5466</v>
      </c>
      <c r="AJ53" s="11"/>
      <c r="AK53" s="70">
        <f t="shared" si="98"/>
        <v>14.3109243697479</v>
      </c>
    </row>
    <row r="54" spans="2:37" ht="12.75" customHeight="1">
      <c r="B54" s="9" t="s">
        <v>158</v>
      </c>
      <c r="C54" s="79">
        <v>20511</v>
      </c>
      <c r="D54" s="79">
        <v>33223</v>
      </c>
      <c r="E54" s="79">
        <v>38409</v>
      </c>
      <c r="F54" s="79">
        <v>35382</v>
      </c>
      <c r="G54" s="79">
        <v>43516</v>
      </c>
      <c r="H54" s="79">
        <v>47951</v>
      </c>
      <c r="J54" s="111">
        <v>35978</v>
      </c>
      <c r="K54" s="111">
        <v>33393</v>
      </c>
      <c r="L54" s="111">
        <v>31529</v>
      </c>
      <c r="M54" s="87">
        <f t="shared" si="85"/>
        <v>35382</v>
      </c>
      <c r="N54" s="111">
        <v>37002</v>
      </c>
      <c r="O54" s="111">
        <v>40087</v>
      </c>
      <c r="P54" s="111">
        <v>38371</v>
      </c>
      <c r="Q54" s="87">
        <f t="shared" si="86"/>
        <v>43516</v>
      </c>
      <c r="R54" s="111">
        <v>45718</v>
      </c>
      <c r="S54" s="111">
        <v>46280</v>
      </c>
      <c r="T54" s="111">
        <v>48872</v>
      </c>
      <c r="U54" s="87">
        <f t="shared" si="87"/>
        <v>47951</v>
      </c>
      <c r="V54" s="111">
        <v>47467</v>
      </c>
      <c r="W54" s="111">
        <v>50550</v>
      </c>
      <c r="Y54" s="30">
        <f t="shared" si="99"/>
        <v>37002</v>
      </c>
      <c r="Z54" s="30">
        <f t="shared" si="99"/>
        <v>40087</v>
      </c>
      <c r="AA54" s="30">
        <f t="shared" si="99"/>
        <v>38371</v>
      </c>
      <c r="AB54" s="30">
        <f t="shared" si="99"/>
        <v>43516</v>
      </c>
      <c r="AC54" s="30">
        <f t="shared" si="99"/>
        <v>45718</v>
      </c>
      <c r="AD54" s="30">
        <f t="shared" si="99"/>
        <v>46280</v>
      </c>
      <c r="AE54" s="87">
        <f t="shared" si="100"/>
        <v>46280</v>
      </c>
      <c r="AF54" s="87">
        <f t="shared" si="101"/>
        <v>48872</v>
      </c>
      <c r="AG54" s="87">
        <f t="shared" si="102"/>
        <v>47951</v>
      </c>
      <c r="AH54" s="87">
        <f t="shared" si="103"/>
        <v>47467</v>
      </c>
      <c r="AI54" s="87">
        <f t="shared" si="104"/>
        <v>50550</v>
      </c>
      <c r="AJ54" s="11"/>
      <c r="AK54" s="70">
        <f t="shared" si="98"/>
        <v>9.2264477095937769E-2</v>
      </c>
    </row>
    <row r="55" spans="2:37" ht="12.75" customHeight="1">
      <c r="B55" s="9" t="s">
        <v>159</v>
      </c>
      <c r="C55" s="79">
        <v>14584</v>
      </c>
      <c r="D55" s="79">
        <v>28225</v>
      </c>
      <c r="E55" s="79">
        <v>35647</v>
      </c>
      <c r="F55" s="79">
        <v>43007</v>
      </c>
      <c r="G55" s="79">
        <v>58732</v>
      </c>
      <c r="H55" s="79">
        <v>64695</v>
      </c>
      <c r="J55" s="111">
        <v>34431</v>
      </c>
      <c r="K55" s="111">
        <v>36480</v>
      </c>
      <c r="L55" s="111">
        <v>18512</v>
      </c>
      <c r="M55" s="87">
        <f t="shared" si="85"/>
        <v>43007</v>
      </c>
      <c r="N55" s="111">
        <v>61314</v>
      </c>
      <c r="O55" s="111">
        <v>55547</v>
      </c>
      <c r="P55" s="111">
        <v>56946</v>
      </c>
      <c r="Q55" s="87">
        <f t="shared" si="86"/>
        <v>58732</v>
      </c>
      <c r="R55" s="111">
        <v>56864</v>
      </c>
      <c r="S55" s="111">
        <v>55575</v>
      </c>
      <c r="T55" s="111">
        <v>60127</v>
      </c>
      <c r="U55" s="87">
        <f t="shared" si="87"/>
        <v>64695</v>
      </c>
      <c r="V55" s="111">
        <v>78541</v>
      </c>
      <c r="W55" s="111">
        <v>98324</v>
      </c>
      <c r="Y55" s="30">
        <f t="shared" si="99"/>
        <v>61314</v>
      </c>
      <c r="Z55" s="30">
        <f t="shared" si="99"/>
        <v>55547</v>
      </c>
      <c r="AA55" s="30">
        <f t="shared" si="99"/>
        <v>56946</v>
      </c>
      <c r="AB55" s="30">
        <f t="shared" si="99"/>
        <v>58732</v>
      </c>
      <c r="AC55" s="30">
        <f t="shared" si="99"/>
        <v>56864</v>
      </c>
      <c r="AD55" s="30">
        <f t="shared" si="99"/>
        <v>55575</v>
      </c>
      <c r="AE55" s="87">
        <f t="shared" si="100"/>
        <v>55575</v>
      </c>
      <c r="AF55" s="87">
        <f t="shared" si="101"/>
        <v>60127</v>
      </c>
      <c r="AG55" s="87">
        <f t="shared" si="102"/>
        <v>64695</v>
      </c>
      <c r="AH55" s="87">
        <f t="shared" si="103"/>
        <v>78541</v>
      </c>
      <c r="AI55" s="87">
        <f t="shared" si="104"/>
        <v>98324</v>
      </c>
      <c r="AJ55" s="11"/>
      <c r="AK55" s="70">
        <f t="shared" si="98"/>
        <v>0.76921277552856493</v>
      </c>
    </row>
    <row r="56" spans="2:37" ht="12.75" customHeight="1">
      <c r="B56" s="12" t="s">
        <v>23</v>
      </c>
      <c r="C56" s="13">
        <f t="shared" ref="C56:E56" si="105">SUM(C50:C55)+C47</f>
        <v>3191172</v>
      </c>
      <c r="D56" s="13">
        <f t="shared" si="105"/>
        <v>5089969</v>
      </c>
      <c r="E56" s="13">
        <f t="shared" si="105"/>
        <v>4764379</v>
      </c>
      <c r="F56" s="13">
        <f>SUM(F50:F55)+F47</f>
        <v>5370411</v>
      </c>
      <c r="G56" s="13">
        <f>SUM(G50:G55)+G47</f>
        <v>5707011</v>
      </c>
      <c r="H56" s="13">
        <f>SUM(H50:H55)+H47</f>
        <v>6001693</v>
      </c>
      <c r="J56" s="13">
        <f t="shared" ref="J56:W56" si="106">SUM(J50:J55)+J47</f>
        <v>5012036</v>
      </c>
      <c r="K56" s="13">
        <f t="shared" si="106"/>
        <v>4945994</v>
      </c>
      <c r="L56" s="13">
        <f t="shared" si="106"/>
        <v>5331549</v>
      </c>
      <c r="M56" s="13">
        <f t="shared" si="106"/>
        <v>5370411</v>
      </c>
      <c r="N56" s="13">
        <f t="shared" si="106"/>
        <v>5375719</v>
      </c>
      <c r="O56" s="13">
        <f t="shared" si="106"/>
        <v>5248760</v>
      </c>
      <c r="P56" s="13">
        <f t="shared" si="106"/>
        <v>5595008</v>
      </c>
      <c r="Q56" s="13">
        <f t="shared" si="106"/>
        <v>5707011</v>
      </c>
      <c r="R56" s="13">
        <f t="shared" si="106"/>
        <v>5631939</v>
      </c>
      <c r="S56" s="13">
        <f t="shared" si="106"/>
        <v>5737408</v>
      </c>
      <c r="T56" s="13">
        <f t="shared" si="106"/>
        <v>5958486</v>
      </c>
      <c r="U56" s="13">
        <f t="shared" si="106"/>
        <v>6001693</v>
      </c>
      <c r="V56" s="13">
        <f t="shared" si="106"/>
        <v>5986689</v>
      </c>
      <c r="W56" s="13">
        <f t="shared" si="106"/>
        <v>6630648</v>
      </c>
      <c r="Y56" s="13">
        <f t="shared" ref="Y56:AI56" si="107">SUM(Y50:Y55)+Y47</f>
        <v>5188916</v>
      </c>
      <c r="Z56" s="13">
        <f t="shared" si="107"/>
        <v>5172044</v>
      </c>
      <c r="AA56" s="13">
        <f t="shared" si="107"/>
        <v>5103042</v>
      </c>
      <c r="AB56" s="13">
        <f t="shared" si="107"/>
        <v>5395204</v>
      </c>
      <c r="AC56" s="13">
        <f t="shared" si="107"/>
        <v>5486567</v>
      </c>
      <c r="AD56" s="13">
        <f t="shared" si="107"/>
        <v>5465640</v>
      </c>
      <c r="AE56" s="13">
        <f t="shared" si="107"/>
        <v>5737408</v>
      </c>
      <c r="AF56" s="13">
        <f t="shared" si="107"/>
        <v>5958486</v>
      </c>
      <c r="AG56" s="13">
        <f t="shared" si="107"/>
        <v>6001693</v>
      </c>
      <c r="AH56" s="13">
        <f t="shared" si="107"/>
        <v>5986689</v>
      </c>
      <c r="AI56" s="13">
        <f t="shared" si="107"/>
        <v>6630648</v>
      </c>
      <c r="AJ56" s="40"/>
      <c r="AK56" s="71">
        <f>SUM(AI56/AE56)-1</f>
        <v>0.15568702800986101</v>
      </c>
    </row>
    <row r="57" spans="2:37" ht="12.75" customHeight="1">
      <c r="B57" s="23"/>
      <c r="C57" s="49"/>
      <c r="D57" s="49"/>
      <c r="E57" s="49"/>
      <c r="F57" s="49"/>
      <c r="G57" s="39"/>
      <c r="H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37"/>
    </row>
    <row r="58" spans="2:37" ht="12.75" customHeight="1">
      <c r="B58" s="74" t="s">
        <v>58</v>
      </c>
      <c r="C58" s="49"/>
      <c r="D58" s="49"/>
      <c r="E58" s="49"/>
      <c r="F58" s="49"/>
      <c r="G58" s="39"/>
      <c r="H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37"/>
    </row>
    <row r="59" spans="2:37" ht="12.75" customHeight="1">
      <c r="B59" s="110" t="s">
        <v>14</v>
      </c>
      <c r="C59" s="79">
        <v>404016</v>
      </c>
      <c r="D59" s="79">
        <v>477052</v>
      </c>
      <c r="E59" s="79">
        <v>552730</v>
      </c>
      <c r="F59" s="79">
        <v>559527</v>
      </c>
      <c r="G59" s="79">
        <v>544001</v>
      </c>
      <c r="H59" s="79">
        <v>563761</v>
      </c>
      <c r="J59" s="111">
        <v>585500</v>
      </c>
      <c r="K59" s="111">
        <v>586851</v>
      </c>
      <c r="L59" s="111">
        <v>647117</v>
      </c>
      <c r="M59" s="87">
        <f>E59</f>
        <v>552730</v>
      </c>
      <c r="N59" s="111">
        <v>621272</v>
      </c>
      <c r="O59" s="111">
        <v>521315</v>
      </c>
      <c r="P59" s="111">
        <v>597373</v>
      </c>
      <c r="Q59" s="87">
        <f t="shared" ref="Q59:Q64" si="108">G59</f>
        <v>544001</v>
      </c>
      <c r="R59" s="111">
        <v>463777</v>
      </c>
      <c r="S59" s="111">
        <v>566904</v>
      </c>
      <c r="T59" s="111">
        <v>593219</v>
      </c>
      <c r="U59" s="87">
        <f t="shared" ref="U59:U64" si="109">H59</f>
        <v>563761</v>
      </c>
      <c r="V59" s="111">
        <v>537518</v>
      </c>
      <c r="W59" s="111">
        <v>708655</v>
      </c>
      <c r="Y59" s="30">
        <f t="shared" ref="Y59:AD60" si="110">N59</f>
        <v>621272</v>
      </c>
      <c r="Z59" s="30">
        <f t="shared" si="110"/>
        <v>521315</v>
      </c>
      <c r="AA59" s="30">
        <f t="shared" si="110"/>
        <v>597373</v>
      </c>
      <c r="AB59" s="30">
        <f t="shared" si="110"/>
        <v>544001</v>
      </c>
      <c r="AC59" s="30">
        <f t="shared" si="110"/>
        <v>463777</v>
      </c>
      <c r="AD59" s="30">
        <f t="shared" si="110"/>
        <v>566904</v>
      </c>
      <c r="AE59" s="87">
        <f t="shared" ref="AE59:AE64" si="111">S59</f>
        <v>566904</v>
      </c>
      <c r="AF59" s="87">
        <f t="shared" ref="AF59:AF64" si="112">T59</f>
        <v>593219</v>
      </c>
      <c r="AG59" s="87">
        <f t="shared" ref="AG59:AG64" si="113">U59</f>
        <v>563761</v>
      </c>
      <c r="AH59" s="87">
        <f t="shared" ref="AH59:AH64" si="114">V59</f>
        <v>537518</v>
      </c>
      <c r="AI59" s="87">
        <f t="shared" ref="AI59:AI64" si="115">W59</f>
        <v>708655</v>
      </c>
      <c r="AJ59" s="11"/>
      <c r="AK59" s="70">
        <f t="shared" ref="AK59" si="116">SUM(AI59/AE59)-1</f>
        <v>0.25004409917728565</v>
      </c>
    </row>
    <row r="60" spans="2:37" ht="12.75" customHeight="1">
      <c r="B60" s="110" t="s">
        <v>160</v>
      </c>
      <c r="C60" s="79">
        <v>220666</v>
      </c>
      <c r="D60" s="79">
        <v>296334</v>
      </c>
      <c r="E60" s="79">
        <v>364797</v>
      </c>
      <c r="F60" s="79">
        <v>444278</v>
      </c>
      <c r="G60" s="79">
        <v>382468</v>
      </c>
      <c r="H60" s="79">
        <v>380241</v>
      </c>
      <c r="J60" s="111">
        <v>305000</v>
      </c>
      <c r="K60" s="111">
        <v>323939</v>
      </c>
      <c r="L60" s="111">
        <v>462773</v>
      </c>
      <c r="M60" s="87">
        <f t="shared" ref="M60:M64" si="117">E60</f>
        <v>364797</v>
      </c>
      <c r="N60" s="111">
        <v>308583</v>
      </c>
      <c r="O60" s="111">
        <v>328247</v>
      </c>
      <c r="P60" s="111">
        <v>405443</v>
      </c>
      <c r="Q60" s="87">
        <f t="shared" si="108"/>
        <v>382468</v>
      </c>
      <c r="R60" s="111">
        <v>332692</v>
      </c>
      <c r="S60" s="111">
        <v>348042</v>
      </c>
      <c r="T60" s="111">
        <v>333463</v>
      </c>
      <c r="U60" s="87">
        <f t="shared" si="109"/>
        <v>380241</v>
      </c>
      <c r="V60" s="111">
        <v>346960</v>
      </c>
      <c r="W60" s="111">
        <v>460232</v>
      </c>
      <c r="Y60" s="30">
        <f t="shared" si="110"/>
        <v>308583</v>
      </c>
      <c r="Z60" s="30">
        <f t="shared" si="110"/>
        <v>328247</v>
      </c>
      <c r="AA60" s="30">
        <f t="shared" si="110"/>
        <v>405443</v>
      </c>
      <c r="AB60" s="30">
        <f t="shared" si="110"/>
        <v>382468</v>
      </c>
      <c r="AC60" s="30">
        <f t="shared" si="110"/>
        <v>332692</v>
      </c>
      <c r="AD60" s="30">
        <f t="shared" si="110"/>
        <v>348042</v>
      </c>
      <c r="AE60" s="87">
        <f t="shared" si="111"/>
        <v>348042</v>
      </c>
      <c r="AF60" s="87">
        <f t="shared" si="112"/>
        <v>333463</v>
      </c>
      <c r="AG60" s="87">
        <f t="shared" si="113"/>
        <v>380241</v>
      </c>
      <c r="AH60" s="87">
        <f t="shared" si="114"/>
        <v>346960</v>
      </c>
      <c r="AI60" s="87">
        <f t="shared" si="115"/>
        <v>460232</v>
      </c>
      <c r="AJ60" s="11"/>
      <c r="AK60" s="70">
        <f t="shared" ref="AK60:AK64" si="118">SUM(AI60/AE60)-1</f>
        <v>0.3223461536251373</v>
      </c>
    </row>
    <row r="61" spans="2:37" ht="12.75" customHeight="1">
      <c r="B61" s="110" t="s">
        <v>133</v>
      </c>
      <c r="C61" s="79">
        <v>199054</v>
      </c>
      <c r="D61" s="79">
        <v>274383</v>
      </c>
      <c r="E61" s="79">
        <v>353579</v>
      </c>
      <c r="F61" s="79">
        <v>394677</v>
      </c>
      <c r="G61" s="79">
        <v>436591</v>
      </c>
      <c r="H61" s="79">
        <v>500585</v>
      </c>
      <c r="J61" s="111">
        <v>324694</v>
      </c>
      <c r="K61" s="111">
        <v>316571</v>
      </c>
      <c r="L61" s="111">
        <v>312132</v>
      </c>
      <c r="M61" s="87">
        <f t="shared" si="117"/>
        <v>353579</v>
      </c>
      <c r="N61" s="111">
        <v>357217</v>
      </c>
      <c r="O61" s="111">
        <v>354253</v>
      </c>
      <c r="P61" s="111">
        <v>350937</v>
      </c>
      <c r="Q61" s="87">
        <f t="shared" si="108"/>
        <v>436591</v>
      </c>
      <c r="R61" s="111">
        <v>398729</v>
      </c>
      <c r="S61" s="111">
        <v>394987</v>
      </c>
      <c r="T61" s="111">
        <v>405040</v>
      </c>
      <c r="U61" s="87">
        <f t="shared" si="109"/>
        <v>500585</v>
      </c>
      <c r="V61" s="111">
        <v>462843</v>
      </c>
      <c r="W61" s="111">
        <v>460232</v>
      </c>
      <c r="Y61" s="30"/>
      <c r="Z61" s="30"/>
      <c r="AA61" s="30"/>
      <c r="AB61" s="30"/>
      <c r="AC61" s="30"/>
      <c r="AD61" s="30"/>
      <c r="AE61" s="87">
        <f t="shared" si="111"/>
        <v>394987</v>
      </c>
      <c r="AF61" s="87">
        <f t="shared" si="112"/>
        <v>405040</v>
      </c>
      <c r="AG61" s="87">
        <f t="shared" si="113"/>
        <v>500585</v>
      </c>
      <c r="AH61" s="87">
        <f t="shared" si="114"/>
        <v>462843</v>
      </c>
      <c r="AI61" s="87">
        <f t="shared" si="115"/>
        <v>460232</v>
      </c>
      <c r="AJ61" s="11"/>
      <c r="AK61" s="70">
        <f t="shared" si="118"/>
        <v>0.16518265158093803</v>
      </c>
    </row>
    <row r="62" spans="2:37" ht="12.75" customHeight="1">
      <c r="B62" s="110" t="s">
        <v>161</v>
      </c>
      <c r="C62" s="79">
        <v>0</v>
      </c>
      <c r="D62" s="79">
        <v>253415</v>
      </c>
      <c r="E62" s="79">
        <v>274118</v>
      </c>
      <c r="F62" s="79">
        <v>283293</v>
      </c>
      <c r="G62" s="79">
        <v>283821</v>
      </c>
      <c r="H62" s="79">
        <v>288114</v>
      </c>
      <c r="J62" s="111">
        <v>276440</v>
      </c>
      <c r="K62" s="111">
        <v>274693</v>
      </c>
      <c r="L62" s="111">
        <v>275749</v>
      </c>
      <c r="M62" s="87">
        <f t="shared" si="117"/>
        <v>274118</v>
      </c>
      <c r="N62" s="111">
        <v>288133</v>
      </c>
      <c r="O62" s="111">
        <v>287359</v>
      </c>
      <c r="P62" s="111">
        <v>287786</v>
      </c>
      <c r="Q62" s="87">
        <f t="shared" si="108"/>
        <v>283821</v>
      </c>
      <c r="R62" s="111">
        <v>284815</v>
      </c>
      <c r="S62" s="111">
        <v>281301</v>
      </c>
      <c r="T62" s="111">
        <v>284985</v>
      </c>
      <c r="U62" s="87">
        <f t="shared" si="109"/>
        <v>288114</v>
      </c>
      <c r="V62" s="111">
        <v>285764</v>
      </c>
      <c r="W62" s="111">
        <v>282593</v>
      </c>
      <c r="Y62" s="30"/>
      <c r="Z62" s="30"/>
      <c r="AA62" s="30"/>
      <c r="AB62" s="30"/>
      <c r="AC62" s="30"/>
      <c r="AD62" s="30"/>
      <c r="AE62" s="87">
        <f t="shared" si="111"/>
        <v>281301</v>
      </c>
      <c r="AF62" s="87">
        <f t="shared" si="112"/>
        <v>284985</v>
      </c>
      <c r="AG62" s="87">
        <f t="shared" si="113"/>
        <v>288114</v>
      </c>
      <c r="AH62" s="87">
        <f t="shared" si="114"/>
        <v>285764</v>
      </c>
      <c r="AI62" s="87">
        <f t="shared" si="115"/>
        <v>282593</v>
      </c>
      <c r="AJ62" s="11"/>
      <c r="AK62" s="70">
        <f t="shared" si="118"/>
        <v>4.5929449237649411E-3</v>
      </c>
    </row>
    <row r="63" spans="2:37" ht="12.75" customHeight="1">
      <c r="B63" s="110" t="s">
        <v>162</v>
      </c>
      <c r="C63" s="79">
        <v>0</v>
      </c>
      <c r="D63" s="79">
        <v>42529</v>
      </c>
      <c r="E63" s="79">
        <v>12786</v>
      </c>
      <c r="F63" s="79">
        <v>0</v>
      </c>
      <c r="G63" s="79">
        <v>11310</v>
      </c>
      <c r="H63" s="79">
        <v>46777</v>
      </c>
      <c r="J63" s="111">
        <v>108113</v>
      </c>
      <c r="K63" s="111">
        <v>0</v>
      </c>
      <c r="L63" s="111">
        <v>0</v>
      </c>
      <c r="M63" s="87">
        <f t="shared" si="117"/>
        <v>12786</v>
      </c>
      <c r="N63" s="111">
        <v>58695</v>
      </c>
      <c r="O63" s="111">
        <v>0</v>
      </c>
      <c r="P63" s="111">
        <v>0</v>
      </c>
      <c r="Q63" s="87">
        <f t="shared" si="108"/>
        <v>11310</v>
      </c>
      <c r="R63" s="111">
        <v>92711</v>
      </c>
      <c r="S63" s="111">
        <v>0</v>
      </c>
      <c r="T63" s="111">
        <v>0</v>
      </c>
      <c r="U63" s="87">
        <f t="shared" si="109"/>
        <v>46777</v>
      </c>
      <c r="V63" s="111">
        <v>130765</v>
      </c>
      <c r="W63" s="111">
        <v>0</v>
      </c>
      <c r="Y63" s="30">
        <f t="shared" ref="Y63:AD64" si="119">N63</f>
        <v>58695</v>
      </c>
      <c r="Z63" s="30">
        <f t="shared" si="119"/>
        <v>0</v>
      </c>
      <c r="AA63" s="30">
        <f t="shared" si="119"/>
        <v>0</v>
      </c>
      <c r="AB63" s="30">
        <f t="shared" si="119"/>
        <v>11310</v>
      </c>
      <c r="AC63" s="30">
        <f t="shared" si="119"/>
        <v>92711</v>
      </c>
      <c r="AD63" s="30">
        <f t="shared" si="119"/>
        <v>0</v>
      </c>
      <c r="AE63" s="87">
        <f t="shared" si="111"/>
        <v>0</v>
      </c>
      <c r="AF63" s="87">
        <f t="shared" si="112"/>
        <v>0</v>
      </c>
      <c r="AG63" s="87">
        <f t="shared" si="113"/>
        <v>46777</v>
      </c>
      <c r="AH63" s="87">
        <f t="shared" si="114"/>
        <v>130765</v>
      </c>
      <c r="AI63" s="87">
        <f t="shared" si="115"/>
        <v>0</v>
      </c>
      <c r="AJ63" s="11"/>
      <c r="AK63" s="70" t="e">
        <f t="shared" si="118"/>
        <v>#DIV/0!</v>
      </c>
    </row>
    <row r="64" spans="2:37" ht="12.75" customHeight="1">
      <c r="B64" s="110" t="s">
        <v>163</v>
      </c>
      <c r="C64" s="79">
        <v>0</v>
      </c>
      <c r="D64" s="79">
        <v>0</v>
      </c>
      <c r="E64" s="79">
        <v>0</v>
      </c>
      <c r="F64" s="79">
        <v>0</v>
      </c>
      <c r="G64" s="79">
        <v>0</v>
      </c>
      <c r="H64" s="79">
        <v>0</v>
      </c>
      <c r="J64" s="111">
        <v>0</v>
      </c>
      <c r="K64" s="111">
        <v>0</v>
      </c>
      <c r="L64" s="111">
        <v>0</v>
      </c>
      <c r="M64" s="87">
        <f t="shared" si="117"/>
        <v>0</v>
      </c>
      <c r="N64" s="111">
        <v>0</v>
      </c>
      <c r="O64" s="111">
        <v>0</v>
      </c>
      <c r="P64" s="111">
        <v>195400</v>
      </c>
      <c r="Q64" s="87">
        <f t="shared" si="108"/>
        <v>0</v>
      </c>
      <c r="R64" s="111">
        <v>0</v>
      </c>
      <c r="S64" s="111">
        <v>0</v>
      </c>
      <c r="T64" s="111">
        <v>199700</v>
      </c>
      <c r="U64" s="87">
        <f t="shared" si="109"/>
        <v>0</v>
      </c>
      <c r="V64" s="111">
        <v>0</v>
      </c>
      <c r="W64" s="111">
        <v>289101</v>
      </c>
      <c r="Y64" s="30">
        <f t="shared" si="119"/>
        <v>0</v>
      </c>
      <c r="Z64" s="30">
        <f t="shared" si="119"/>
        <v>0</v>
      </c>
      <c r="AA64" s="30">
        <f t="shared" si="119"/>
        <v>195400</v>
      </c>
      <c r="AB64" s="30">
        <f t="shared" si="119"/>
        <v>0</v>
      </c>
      <c r="AC64" s="30">
        <f t="shared" si="119"/>
        <v>0</v>
      </c>
      <c r="AD64" s="30">
        <f t="shared" si="119"/>
        <v>0</v>
      </c>
      <c r="AE64" s="87">
        <f t="shared" si="111"/>
        <v>0</v>
      </c>
      <c r="AF64" s="87">
        <f t="shared" si="112"/>
        <v>199700</v>
      </c>
      <c r="AG64" s="87">
        <f t="shared" si="113"/>
        <v>0</v>
      </c>
      <c r="AH64" s="87">
        <f t="shared" si="114"/>
        <v>0</v>
      </c>
      <c r="AI64" s="87">
        <f t="shared" si="115"/>
        <v>289101</v>
      </c>
      <c r="AJ64" s="11"/>
      <c r="AK64" s="70" t="e">
        <f t="shared" si="118"/>
        <v>#DIV/0!</v>
      </c>
    </row>
    <row r="65" spans="2:37" ht="12.75" customHeight="1">
      <c r="B65" s="23" t="s">
        <v>20</v>
      </c>
      <c r="C65" s="24">
        <f t="shared" ref="C65:E65" si="120">SUM(C59:C64)</f>
        <v>823736</v>
      </c>
      <c r="D65" s="24">
        <f t="shared" si="120"/>
        <v>1343713</v>
      </c>
      <c r="E65" s="24">
        <f t="shared" si="120"/>
        <v>1558010</v>
      </c>
      <c r="F65" s="24">
        <f>SUM(F59:F64)</f>
        <v>1681775</v>
      </c>
      <c r="G65" s="24">
        <f>SUM(G59:G64)</f>
        <v>1658191</v>
      </c>
      <c r="H65" s="24">
        <f>SUM(H59:H64)</f>
        <v>1779478</v>
      </c>
      <c r="J65" s="24">
        <f t="shared" ref="J65:W65" si="121">SUM(J59:J64)</f>
        <v>1599747</v>
      </c>
      <c r="K65" s="24">
        <f t="shared" si="121"/>
        <v>1502054</v>
      </c>
      <c r="L65" s="24">
        <f t="shared" si="121"/>
        <v>1697771</v>
      </c>
      <c r="M65" s="24">
        <f t="shared" si="121"/>
        <v>1558010</v>
      </c>
      <c r="N65" s="24">
        <f t="shared" si="121"/>
        <v>1633900</v>
      </c>
      <c r="O65" s="24">
        <f t="shared" si="121"/>
        <v>1491174</v>
      </c>
      <c r="P65" s="24">
        <f t="shared" si="121"/>
        <v>1836939</v>
      </c>
      <c r="Q65" s="24">
        <f t="shared" si="121"/>
        <v>1658191</v>
      </c>
      <c r="R65" s="24">
        <f t="shared" si="121"/>
        <v>1572724</v>
      </c>
      <c r="S65" s="24">
        <f t="shared" si="121"/>
        <v>1591234</v>
      </c>
      <c r="T65" s="24">
        <f t="shared" si="121"/>
        <v>1816407</v>
      </c>
      <c r="U65" s="24">
        <f t="shared" si="121"/>
        <v>1779478</v>
      </c>
      <c r="V65" s="24">
        <f t="shared" si="121"/>
        <v>1763850</v>
      </c>
      <c r="W65" s="24">
        <f t="shared" si="121"/>
        <v>2200813</v>
      </c>
      <c r="X65" s="47"/>
      <c r="Y65" s="24">
        <f t="shared" ref="Y65:AI65" si="122">SUM(Y59:Y64)</f>
        <v>988550</v>
      </c>
      <c r="Z65" s="24">
        <f t="shared" si="122"/>
        <v>849562</v>
      </c>
      <c r="AA65" s="24">
        <f t="shared" si="122"/>
        <v>1198216</v>
      </c>
      <c r="AB65" s="24">
        <f t="shared" si="122"/>
        <v>937779</v>
      </c>
      <c r="AC65" s="24">
        <f t="shared" si="122"/>
        <v>889180</v>
      </c>
      <c r="AD65" s="24">
        <f t="shared" si="122"/>
        <v>914946</v>
      </c>
      <c r="AE65" s="24">
        <f t="shared" si="122"/>
        <v>1591234</v>
      </c>
      <c r="AF65" s="24">
        <f t="shared" si="122"/>
        <v>1816407</v>
      </c>
      <c r="AG65" s="24">
        <f t="shared" si="122"/>
        <v>1779478</v>
      </c>
      <c r="AH65" s="24">
        <f t="shared" si="122"/>
        <v>1763850</v>
      </c>
      <c r="AI65" s="24">
        <f t="shared" si="122"/>
        <v>2200813</v>
      </c>
      <c r="AJ65" s="40"/>
      <c r="AK65" s="71">
        <f>SUM(AI65/AE65)-1</f>
        <v>0.38308570581071044</v>
      </c>
    </row>
    <row r="66" spans="2:37" ht="5.0999999999999996" customHeight="1">
      <c r="B66" s="23"/>
      <c r="C66" s="49"/>
      <c r="D66" s="49"/>
      <c r="E66" s="49"/>
      <c r="F66" s="49"/>
      <c r="G66" s="39"/>
      <c r="H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37"/>
    </row>
    <row r="67" spans="2:37">
      <c r="B67" s="74" t="s">
        <v>107</v>
      </c>
      <c r="C67" s="49"/>
      <c r="D67" s="49"/>
      <c r="E67" s="49"/>
      <c r="F67" s="49"/>
      <c r="G67" s="39"/>
      <c r="H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37"/>
    </row>
    <row r="68" spans="2:37" ht="12.75" customHeight="1">
      <c r="B68" s="110" t="s">
        <v>164</v>
      </c>
      <c r="C68" s="79">
        <v>0</v>
      </c>
      <c r="D68" s="79">
        <v>1643386</v>
      </c>
      <c r="E68" s="79">
        <v>1572638</v>
      </c>
      <c r="F68" s="79">
        <v>1619883</v>
      </c>
      <c r="G68" s="79">
        <v>1627271</v>
      </c>
      <c r="H68" s="79">
        <v>1635120</v>
      </c>
      <c r="J68" s="111">
        <v>1568356</v>
      </c>
      <c r="K68" s="111">
        <v>1582003</v>
      </c>
      <c r="L68" s="111">
        <v>1621252</v>
      </c>
      <c r="M68" s="87">
        <f t="shared" ref="M68:M70" si="123">E68</f>
        <v>1572638</v>
      </c>
      <c r="N68" s="111">
        <v>1610256</v>
      </c>
      <c r="O68" s="111">
        <v>1593040</v>
      </c>
      <c r="P68" s="111">
        <v>1616747</v>
      </c>
      <c r="Q68" s="87">
        <f>G68</f>
        <v>1627271</v>
      </c>
      <c r="R68" s="111">
        <v>1607953</v>
      </c>
      <c r="S68" s="111">
        <v>1647698</v>
      </c>
      <c r="T68" s="111">
        <v>1656317</v>
      </c>
      <c r="U68" s="87">
        <f t="shared" ref="U68:U70" si="124">H68</f>
        <v>1635120</v>
      </c>
      <c r="V68" s="111">
        <v>1689439</v>
      </c>
      <c r="W68" s="111">
        <v>1716133</v>
      </c>
      <c r="Y68" s="30">
        <f t="shared" ref="Y68:AD69" si="125">N68</f>
        <v>1610256</v>
      </c>
      <c r="Z68" s="30">
        <f t="shared" si="125"/>
        <v>1593040</v>
      </c>
      <c r="AA68" s="30">
        <f t="shared" si="125"/>
        <v>1616747</v>
      </c>
      <c r="AB68" s="30">
        <f t="shared" si="125"/>
        <v>1627271</v>
      </c>
      <c r="AC68" s="30">
        <f t="shared" si="125"/>
        <v>1607953</v>
      </c>
      <c r="AD68" s="30">
        <f t="shared" si="125"/>
        <v>1647698</v>
      </c>
      <c r="AE68" s="87">
        <f t="shared" ref="AE68:AE70" si="126">S68</f>
        <v>1647698</v>
      </c>
      <c r="AF68" s="87">
        <f t="shared" ref="AF68:AF70" si="127">T68</f>
        <v>1656317</v>
      </c>
      <c r="AG68" s="87">
        <f t="shared" ref="AG68:AG70" si="128">U68</f>
        <v>1635120</v>
      </c>
      <c r="AH68" s="87">
        <f t="shared" ref="AH68:AH70" si="129">V68</f>
        <v>1689439</v>
      </c>
      <c r="AI68" s="87">
        <f t="shared" ref="AI68:AI70" si="130">W68</f>
        <v>1716133</v>
      </c>
      <c r="AJ68" s="40"/>
      <c r="AK68" s="70">
        <f t="shared" ref="AK68:AK70" si="131">SUM(AI68/AE68)-1</f>
        <v>4.1533703384964982E-2</v>
      </c>
    </row>
    <row r="69" spans="2:37" ht="12.75" customHeight="1">
      <c r="B69" s="110" t="s">
        <v>165</v>
      </c>
      <c r="C69" s="79">
        <v>83864</v>
      </c>
      <c r="D69" s="79">
        <v>65359</v>
      </c>
      <c r="E69" s="79">
        <v>39693</v>
      </c>
      <c r="F69" s="79">
        <v>55346</v>
      </c>
      <c r="G69" s="79">
        <v>85921</v>
      </c>
      <c r="H69" s="79">
        <v>42593</v>
      </c>
      <c r="J69" s="111">
        <v>40702</v>
      </c>
      <c r="K69" s="111">
        <v>40029</v>
      </c>
      <c r="L69" s="111">
        <v>38627</v>
      </c>
      <c r="M69" s="87">
        <f t="shared" si="123"/>
        <v>39693</v>
      </c>
      <c r="N69" s="111">
        <v>57490</v>
      </c>
      <c r="O69" s="111">
        <v>56012</v>
      </c>
      <c r="P69" s="111">
        <v>56874</v>
      </c>
      <c r="Q69" s="87">
        <f>G69</f>
        <v>85921</v>
      </c>
      <c r="R69" s="111">
        <v>89556</v>
      </c>
      <c r="S69" s="111">
        <v>88461</v>
      </c>
      <c r="T69" s="111">
        <v>91729</v>
      </c>
      <c r="U69" s="87">
        <f t="shared" si="124"/>
        <v>42593</v>
      </c>
      <c r="V69" s="111">
        <v>46013</v>
      </c>
      <c r="W69" s="111">
        <v>49158</v>
      </c>
      <c r="Y69" s="30">
        <f t="shared" si="125"/>
        <v>57490</v>
      </c>
      <c r="Z69" s="30">
        <f t="shared" si="125"/>
        <v>56012</v>
      </c>
      <c r="AA69" s="30">
        <f t="shared" si="125"/>
        <v>56874</v>
      </c>
      <c r="AB69" s="30">
        <f t="shared" si="125"/>
        <v>85921</v>
      </c>
      <c r="AC69" s="30">
        <f t="shared" si="125"/>
        <v>89556</v>
      </c>
      <c r="AD69" s="30">
        <f t="shared" si="125"/>
        <v>88461</v>
      </c>
      <c r="AE69" s="87">
        <f t="shared" si="126"/>
        <v>88461</v>
      </c>
      <c r="AF69" s="87">
        <f t="shared" si="127"/>
        <v>91729</v>
      </c>
      <c r="AG69" s="87">
        <f t="shared" si="128"/>
        <v>42593</v>
      </c>
      <c r="AH69" s="87">
        <f t="shared" si="129"/>
        <v>46013</v>
      </c>
      <c r="AI69" s="87">
        <f t="shared" si="130"/>
        <v>49158</v>
      </c>
      <c r="AJ69" s="40"/>
      <c r="AK69" s="70">
        <f t="shared" si="131"/>
        <v>-0.44429748702818195</v>
      </c>
    </row>
    <row r="70" spans="2:37" ht="12.75" customHeight="1">
      <c r="B70" s="110" t="s">
        <v>166</v>
      </c>
      <c r="C70" s="79">
        <v>455340</v>
      </c>
      <c r="D70" s="79">
        <v>41523</v>
      </c>
      <c r="E70" s="79">
        <v>62528</v>
      </c>
      <c r="F70" s="79">
        <v>58806</v>
      </c>
      <c r="G70" s="79">
        <v>61318</v>
      </c>
      <c r="H70" s="79">
        <v>56149</v>
      </c>
      <c r="J70" s="111">
        <v>57611</v>
      </c>
      <c r="K70" s="111">
        <v>52840</v>
      </c>
      <c r="L70" s="111">
        <v>51644</v>
      </c>
      <c r="M70" s="87">
        <f t="shared" si="123"/>
        <v>62528</v>
      </c>
      <c r="N70" s="111">
        <v>56005</v>
      </c>
      <c r="O70" s="111">
        <v>56657</v>
      </c>
      <c r="P70" s="111">
        <v>55906</v>
      </c>
      <c r="Q70" s="87">
        <f>G70</f>
        <v>61318</v>
      </c>
      <c r="R70" s="111">
        <v>60963</v>
      </c>
      <c r="S70" s="111">
        <v>61855</v>
      </c>
      <c r="T70" s="111">
        <v>65024</v>
      </c>
      <c r="U70" s="87">
        <f t="shared" si="124"/>
        <v>56149</v>
      </c>
      <c r="V70" s="111">
        <v>57084</v>
      </c>
      <c r="W70" s="111">
        <v>60729</v>
      </c>
      <c r="Y70" s="30"/>
      <c r="Z70" s="30"/>
      <c r="AA70" s="30"/>
      <c r="AB70" s="30"/>
      <c r="AC70" s="30"/>
      <c r="AD70" s="30"/>
      <c r="AE70" s="87">
        <f t="shared" si="126"/>
        <v>61855</v>
      </c>
      <c r="AF70" s="87">
        <f t="shared" si="127"/>
        <v>65024</v>
      </c>
      <c r="AG70" s="87">
        <f t="shared" si="128"/>
        <v>56149</v>
      </c>
      <c r="AH70" s="87">
        <f t="shared" si="129"/>
        <v>57084</v>
      </c>
      <c r="AI70" s="87">
        <f t="shared" si="130"/>
        <v>60729</v>
      </c>
      <c r="AJ70" s="40"/>
      <c r="AK70" s="70">
        <f t="shared" si="131"/>
        <v>-1.8203863875192017E-2</v>
      </c>
    </row>
    <row r="71" spans="2:37" ht="12.75" customHeight="1">
      <c r="B71" s="12" t="s">
        <v>18</v>
      </c>
      <c r="C71" s="13">
        <f>SUM(C68:C70)+C65</f>
        <v>1362940</v>
      </c>
      <c r="D71" s="13">
        <f>SUM(D68:D70)+D65</f>
        <v>3093981</v>
      </c>
      <c r="E71" s="32">
        <f>SUM(E68:E70)+E65</f>
        <v>3232869</v>
      </c>
      <c r="F71" s="13">
        <f>SUM(F68:F70)+F65</f>
        <v>3415810</v>
      </c>
      <c r="G71" s="13">
        <f>SUM(G68:G70)+G65</f>
        <v>3432701</v>
      </c>
      <c r="H71" s="13">
        <f>SUM(H68:H70)+H65</f>
        <v>3513340</v>
      </c>
      <c r="J71" s="13">
        <f>SUM(J68:J70)+J65</f>
        <v>3266416</v>
      </c>
      <c r="K71" s="13">
        <f>SUM(K68:K70)+K65</f>
        <v>3176926</v>
      </c>
      <c r="L71" s="13">
        <f>SUM(L68:L70)+L65</f>
        <v>3409294</v>
      </c>
      <c r="M71" s="13">
        <f>SUM(M68:M70)+M65</f>
        <v>3232869</v>
      </c>
      <c r="N71" s="13">
        <f>SUM(N68:N70)+N65</f>
        <v>3357651</v>
      </c>
      <c r="O71" s="13">
        <f>SUM(O68:O70)+O65</f>
        <v>3196883</v>
      </c>
      <c r="P71" s="13">
        <f>SUM(P68:P70)+P65</f>
        <v>3566466</v>
      </c>
      <c r="Q71" s="13">
        <f>SUM(Q68:Q70)+Q65</f>
        <v>3432701</v>
      </c>
      <c r="R71" s="13">
        <f>SUM(R68:R70)+R65</f>
        <v>3331196</v>
      </c>
      <c r="S71" s="13">
        <f>SUM(S68:S70)+S65</f>
        <v>3389248</v>
      </c>
      <c r="T71" s="13">
        <f>SUM(T68:T70)+T65</f>
        <v>3629477</v>
      </c>
      <c r="U71" s="13">
        <f>SUM(U68:U70)+U65</f>
        <v>3513340</v>
      </c>
      <c r="V71" s="13">
        <f>SUM(V68:V70)+V65</f>
        <v>3556386</v>
      </c>
      <c r="W71" s="13">
        <f>SUM(W68:W70)+W65</f>
        <v>4026833</v>
      </c>
      <c r="Y71" s="13">
        <f>SUM(Y68:Y70)+Y65</f>
        <v>2656296</v>
      </c>
      <c r="Z71" s="13">
        <f>SUM(Z68:Z70)+Z65</f>
        <v>2498614</v>
      </c>
      <c r="AA71" s="13">
        <f>SUM(AA68:AA70)+AA65</f>
        <v>2871837</v>
      </c>
      <c r="AB71" s="13">
        <f>SUM(AB68:AB70)+AB65</f>
        <v>2650971</v>
      </c>
      <c r="AC71" s="13">
        <f>SUM(AC68:AC70)+AC65</f>
        <v>2586689</v>
      </c>
      <c r="AD71" s="13">
        <f>SUM(AD68:AD70)+AD65</f>
        <v>2651105</v>
      </c>
      <c r="AE71" s="13">
        <f>SUM(AE68:AE70)+AE65</f>
        <v>3389248</v>
      </c>
      <c r="AF71" s="13">
        <f>SUM(AF68:AF70)+AF65</f>
        <v>3629477</v>
      </c>
      <c r="AG71" s="13">
        <f>SUM(AG68:AG70)+AG65</f>
        <v>3513340</v>
      </c>
      <c r="AH71" s="13">
        <f>SUM(AH68:AH70)+AH65</f>
        <v>3556386</v>
      </c>
      <c r="AI71" s="13">
        <f>SUM(AI68:AI70)+AI65</f>
        <v>4026833</v>
      </c>
      <c r="AJ71" s="40"/>
      <c r="AK71" s="71">
        <f>SUM(AI71/AE71)-1</f>
        <v>0.18811990152387792</v>
      </c>
    </row>
    <row r="72" spans="2:37" ht="5.0999999999999996" customHeight="1">
      <c r="B72" s="23"/>
      <c r="C72" s="48"/>
      <c r="D72" s="48"/>
      <c r="E72" s="48"/>
      <c r="F72" s="48"/>
      <c r="G72" s="39"/>
      <c r="H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37"/>
    </row>
    <row r="73" spans="2:37" ht="12.75" customHeight="1">
      <c r="B73" s="9" t="s">
        <v>21</v>
      </c>
      <c r="C73" s="79">
        <v>592</v>
      </c>
      <c r="D73" s="79">
        <v>569</v>
      </c>
      <c r="E73" s="79">
        <v>530</v>
      </c>
      <c r="F73" s="79">
        <v>511</v>
      </c>
      <c r="G73" s="79">
        <v>491</v>
      </c>
      <c r="H73" s="79">
        <v>468</v>
      </c>
      <c r="J73" s="111">
        <v>528</v>
      </c>
      <c r="K73" s="111">
        <v>521</v>
      </c>
      <c r="L73" s="111">
        <v>517</v>
      </c>
      <c r="M73" s="87">
        <f t="shared" ref="M73:M76" si="132">E73</f>
        <v>530</v>
      </c>
      <c r="N73" s="111">
        <v>507</v>
      </c>
      <c r="O73" s="111">
        <v>501</v>
      </c>
      <c r="P73" s="111">
        <v>495</v>
      </c>
      <c r="Q73" s="87">
        <f>G73</f>
        <v>491</v>
      </c>
      <c r="R73" s="111">
        <v>487</v>
      </c>
      <c r="S73" s="111">
        <v>481</v>
      </c>
      <c r="T73" s="111">
        <v>474</v>
      </c>
      <c r="U73" s="87">
        <f t="shared" ref="U73:U76" si="133">H73</f>
        <v>468</v>
      </c>
      <c r="V73" s="111">
        <v>459</v>
      </c>
      <c r="W73" s="111">
        <v>458</v>
      </c>
      <c r="Y73" s="30">
        <f t="shared" ref="Y73:AD73" si="134">N73</f>
        <v>507</v>
      </c>
      <c r="Z73" s="30">
        <f t="shared" si="134"/>
        <v>501</v>
      </c>
      <c r="AA73" s="30">
        <f t="shared" si="134"/>
        <v>495</v>
      </c>
      <c r="AB73" s="30">
        <f t="shared" si="134"/>
        <v>491</v>
      </c>
      <c r="AC73" s="30">
        <f t="shared" si="134"/>
        <v>487</v>
      </c>
      <c r="AD73" s="30">
        <f t="shared" si="134"/>
        <v>481</v>
      </c>
      <c r="AE73" s="87">
        <f t="shared" ref="AE73:AE76" si="135">S73</f>
        <v>481</v>
      </c>
      <c r="AF73" s="87">
        <f t="shared" ref="AF73:AF76" si="136">T73</f>
        <v>474</v>
      </c>
      <c r="AG73" s="87">
        <f t="shared" ref="AG73:AG76" si="137">U73</f>
        <v>468</v>
      </c>
      <c r="AH73" s="87">
        <f t="shared" ref="AH73:AH76" si="138">V73</f>
        <v>459</v>
      </c>
      <c r="AI73" s="87">
        <f t="shared" ref="AI73:AI76" si="139">W73</f>
        <v>458</v>
      </c>
      <c r="AJ73" s="11"/>
      <c r="AK73" s="70">
        <f t="shared" ref="AK73:AK76" si="140">SUM(AI73/AE73)-1</f>
        <v>-4.7817047817047764E-2</v>
      </c>
    </row>
    <row r="74" spans="2:37" ht="12.75" customHeight="1">
      <c r="B74" s="9" t="s">
        <v>167</v>
      </c>
      <c r="C74" s="79">
        <v>-24908</v>
      </c>
      <c r="D74" s="79">
        <v>-37801</v>
      </c>
      <c r="E74" s="79">
        <v>-53478</v>
      </c>
      <c r="F74" s="79">
        <v>-60470</v>
      </c>
      <c r="G74" s="79">
        <v>-83032</v>
      </c>
      <c r="H74" s="79">
        <v>-106793</v>
      </c>
      <c r="J74" s="111">
        <v>-58650</v>
      </c>
      <c r="K74" s="111">
        <v>-59803</v>
      </c>
      <c r="L74" s="111">
        <v>-60218</v>
      </c>
      <c r="M74" s="87">
        <f t="shared" si="132"/>
        <v>-53478</v>
      </c>
      <c r="N74" s="111">
        <v>-82129</v>
      </c>
      <c r="O74" s="111">
        <v>-82229</v>
      </c>
      <c r="P74" s="111">
        <v>-82798</v>
      </c>
      <c r="Q74" s="87">
        <f>G74</f>
        <v>-83032</v>
      </c>
      <c r="R74" s="111">
        <v>-106315</v>
      </c>
      <c r="S74" s="111">
        <v>-106491</v>
      </c>
      <c r="T74" s="111">
        <v>-106598</v>
      </c>
      <c r="U74" s="87">
        <f t="shared" si="133"/>
        <v>-106793</v>
      </c>
      <c r="V74" s="111">
        <v>-119704</v>
      </c>
      <c r="W74" s="111">
        <v>-120031</v>
      </c>
      <c r="Y74" s="30"/>
      <c r="Z74" s="30"/>
      <c r="AA74" s="30"/>
      <c r="AB74" s="30"/>
      <c r="AC74" s="30"/>
      <c r="AD74" s="30"/>
      <c r="AE74" s="87">
        <f t="shared" si="135"/>
        <v>-106491</v>
      </c>
      <c r="AF74" s="87">
        <f t="shared" si="136"/>
        <v>-106598</v>
      </c>
      <c r="AG74" s="87">
        <f t="shared" si="137"/>
        <v>-106793</v>
      </c>
      <c r="AH74" s="87">
        <f t="shared" si="138"/>
        <v>-119704</v>
      </c>
      <c r="AI74" s="87">
        <f t="shared" si="139"/>
        <v>-120031</v>
      </c>
      <c r="AJ74" s="11"/>
      <c r="AK74" s="70">
        <f t="shared" si="140"/>
        <v>0.12714689504277366</v>
      </c>
    </row>
    <row r="75" spans="2:37" ht="12.75" customHeight="1">
      <c r="B75" s="9" t="s">
        <v>116</v>
      </c>
      <c r="C75" s="79">
        <v>738671</v>
      </c>
      <c r="D75" s="79">
        <v>847303</v>
      </c>
      <c r="E75" s="79">
        <v>934945</v>
      </c>
      <c r="F75" s="79">
        <v>1023997</v>
      </c>
      <c r="G75" s="79">
        <v>1075104</v>
      </c>
      <c r="H75" s="79">
        <v>1120769</v>
      </c>
      <c r="J75" s="111">
        <v>951802</v>
      </c>
      <c r="K75" s="111">
        <v>982339</v>
      </c>
      <c r="L75" s="111">
        <v>998816</v>
      </c>
      <c r="M75" s="87">
        <f t="shared" si="132"/>
        <v>934945</v>
      </c>
      <c r="N75" s="111">
        <v>1040378</v>
      </c>
      <c r="O75" s="111">
        <v>1049679</v>
      </c>
      <c r="P75" s="111">
        <v>1058969</v>
      </c>
      <c r="Q75" s="87">
        <f>G75</f>
        <v>1075104</v>
      </c>
      <c r="R75" s="111">
        <v>1091822</v>
      </c>
      <c r="S75" s="111">
        <v>1099197</v>
      </c>
      <c r="T75" s="111">
        <v>1104952</v>
      </c>
      <c r="U75" s="87">
        <f t="shared" si="133"/>
        <v>1120769</v>
      </c>
      <c r="V75" s="111">
        <v>1129309</v>
      </c>
      <c r="W75" s="111">
        <v>1151858</v>
      </c>
      <c r="Y75" s="30"/>
      <c r="Z75" s="30"/>
      <c r="AA75" s="30"/>
      <c r="AB75" s="30"/>
      <c r="AC75" s="30"/>
      <c r="AD75" s="30"/>
      <c r="AE75" s="87">
        <f t="shared" si="135"/>
        <v>1099197</v>
      </c>
      <c r="AF75" s="87">
        <f t="shared" si="136"/>
        <v>1104952</v>
      </c>
      <c r="AG75" s="87">
        <f t="shared" si="137"/>
        <v>1120769</v>
      </c>
      <c r="AH75" s="87">
        <f t="shared" si="138"/>
        <v>1129309</v>
      </c>
      <c r="AI75" s="87">
        <f t="shared" si="139"/>
        <v>1151858</v>
      </c>
      <c r="AJ75" s="11"/>
      <c r="AK75" s="70">
        <f t="shared" si="140"/>
        <v>4.7908609648679823E-2</v>
      </c>
    </row>
    <row r="76" spans="2:37" ht="12.75" customHeight="1">
      <c r="B76" s="9" t="s">
        <v>168</v>
      </c>
      <c r="C76" s="79">
        <v>1105863</v>
      </c>
      <c r="D76" s="79">
        <v>1189422</v>
      </c>
      <c r="E76" s="79">
        <v>653376</v>
      </c>
      <c r="F76" s="79">
        <v>995773</v>
      </c>
      <c r="G76" s="79">
        <v>1286765</v>
      </c>
      <c r="H76" s="79">
        <v>1473909</v>
      </c>
      <c r="J76" s="111">
        <v>851940</v>
      </c>
      <c r="K76" s="111">
        <v>846011</v>
      </c>
      <c r="L76" s="111">
        <v>983140</v>
      </c>
      <c r="M76" s="87">
        <f t="shared" si="132"/>
        <v>653376</v>
      </c>
      <c r="N76" s="111">
        <v>1059312</v>
      </c>
      <c r="O76" s="111">
        <v>1083926</v>
      </c>
      <c r="P76" s="111">
        <v>1051876</v>
      </c>
      <c r="Q76" s="87">
        <f>G76</f>
        <v>1286765</v>
      </c>
      <c r="R76" s="111">
        <v>1314749</v>
      </c>
      <c r="S76" s="111">
        <v>1354973</v>
      </c>
      <c r="T76" s="111">
        <v>1330181</v>
      </c>
      <c r="U76" s="87">
        <f t="shared" si="133"/>
        <v>1473909</v>
      </c>
      <c r="V76" s="111">
        <v>1420239</v>
      </c>
      <c r="W76" s="111">
        <v>1571575</v>
      </c>
      <c r="Y76" s="30">
        <f t="shared" ref="Y76:AD76" si="141">N76</f>
        <v>1059312</v>
      </c>
      <c r="Z76" s="30">
        <f t="shared" si="141"/>
        <v>1083926</v>
      </c>
      <c r="AA76" s="30">
        <f t="shared" si="141"/>
        <v>1051876</v>
      </c>
      <c r="AB76" s="30">
        <f t="shared" si="141"/>
        <v>1286765</v>
      </c>
      <c r="AC76" s="30">
        <f t="shared" si="141"/>
        <v>1314749</v>
      </c>
      <c r="AD76" s="30">
        <f t="shared" si="141"/>
        <v>1354973</v>
      </c>
      <c r="AE76" s="87">
        <f t="shared" si="135"/>
        <v>1354973</v>
      </c>
      <c r="AF76" s="87">
        <f t="shared" si="136"/>
        <v>1330181</v>
      </c>
      <c r="AG76" s="87">
        <f t="shared" si="137"/>
        <v>1473909</v>
      </c>
      <c r="AH76" s="87">
        <f t="shared" si="138"/>
        <v>1420239</v>
      </c>
      <c r="AI76" s="87">
        <f t="shared" si="139"/>
        <v>1571575</v>
      </c>
      <c r="AJ76" s="11"/>
      <c r="AK76" s="70">
        <f t="shared" si="140"/>
        <v>0.15985705988237409</v>
      </c>
    </row>
    <row r="77" spans="2:37" ht="12.75" customHeight="1">
      <c r="B77" s="12" t="s">
        <v>17</v>
      </c>
      <c r="C77" s="13">
        <f>SUM(C73:C76)</f>
        <v>1820218</v>
      </c>
      <c r="D77" s="13">
        <f>SUM(D73:D76)</f>
        <v>1999493</v>
      </c>
      <c r="E77" s="13">
        <f>SUM(E73:E76)</f>
        <v>1535373</v>
      </c>
      <c r="F77" s="13">
        <f>SUM(F73:F76)</f>
        <v>1959811</v>
      </c>
      <c r="G77" s="13">
        <f>SUM(G73:G76)</f>
        <v>2279328</v>
      </c>
      <c r="H77" s="13">
        <f>SUM(H73:H76)</f>
        <v>2488353</v>
      </c>
      <c r="I77" s="50"/>
      <c r="J77" s="13">
        <f>SUM(J73:J76)</f>
        <v>1745620</v>
      </c>
      <c r="K77" s="13">
        <f>SUM(K73:K76)</f>
        <v>1769068</v>
      </c>
      <c r="L77" s="13">
        <f>SUM(L73:L76)</f>
        <v>1922255</v>
      </c>
      <c r="M77" s="13">
        <f>SUM(M73:M76)</f>
        <v>1535373</v>
      </c>
      <c r="N77" s="13">
        <f>SUM(N73:N76)</f>
        <v>2018068</v>
      </c>
      <c r="O77" s="13">
        <f>SUM(O73:O76)</f>
        <v>2051877</v>
      </c>
      <c r="P77" s="13">
        <f>SUM(P73:P76)</f>
        <v>2028542</v>
      </c>
      <c r="Q77" s="13">
        <f>SUM(Q73:Q76)</f>
        <v>2279328</v>
      </c>
      <c r="R77" s="13">
        <f>SUM(R73:R76)</f>
        <v>2300743</v>
      </c>
      <c r="S77" s="13">
        <f>SUM(S73:S76)</f>
        <v>2348160</v>
      </c>
      <c r="T77" s="13">
        <f>SUM(T73:T76)</f>
        <v>2329009</v>
      </c>
      <c r="U77" s="13">
        <f>SUM(U73:U76)</f>
        <v>2488353</v>
      </c>
      <c r="V77" s="13">
        <f>SUM(V73:V76)</f>
        <v>2430303</v>
      </c>
      <c r="W77" s="13">
        <f>SUM(W73:W76)</f>
        <v>2603860</v>
      </c>
      <c r="Y77" s="13">
        <f>SUM(Y73:Y76)</f>
        <v>1059819</v>
      </c>
      <c r="Z77" s="13">
        <f>SUM(Z73:Z76)</f>
        <v>1084427</v>
      </c>
      <c r="AA77" s="13">
        <f>SUM(AA73:AA76)</f>
        <v>1052371</v>
      </c>
      <c r="AB77" s="13">
        <f>SUM(AB73:AB76)</f>
        <v>1287256</v>
      </c>
      <c r="AC77" s="13">
        <f>SUM(AC73:AC76)</f>
        <v>1315236</v>
      </c>
      <c r="AD77" s="13">
        <f>SUM(AD73:AD76)</f>
        <v>1355454</v>
      </c>
      <c r="AE77" s="13">
        <f>SUM(AE73:AE76)</f>
        <v>2348160</v>
      </c>
      <c r="AF77" s="13">
        <f>SUM(AF73:AF76)</f>
        <v>2329009</v>
      </c>
      <c r="AG77" s="13">
        <f>SUM(AG73:AG76)</f>
        <v>2488353</v>
      </c>
      <c r="AH77" s="13">
        <f>SUM(AH73:AH76)</f>
        <v>2430303</v>
      </c>
      <c r="AI77" s="13">
        <f>SUM(AI73:AI76)</f>
        <v>2603860</v>
      </c>
      <c r="AJ77" s="40"/>
      <c r="AK77" s="71">
        <f>SUM(AI77/AE77)-1</f>
        <v>0.10889377214499874</v>
      </c>
    </row>
    <row r="78" spans="2:37" ht="12.75" customHeight="1">
      <c r="B78" s="23" t="s">
        <v>68</v>
      </c>
      <c r="C78" s="30">
        <f>SUM(C77+C71)</f>
        <v>3183158</v>
      </c>
      <c r="D78" s="30">
        <f>SUM(D77+D71)</f>
        <v>5093474</v>
      </c>
      <c r="E78" s="30">
        <f>SUM(E77+E71)</f>
        <v>4768242</v>
      </c>
      <c r="F78" s="30">
        <f>SUM(F77+F71)</f>
        <v>5375621</v>
      </c>
      <c r="G78" s="30">
        <f>SUM(G77+G71)</f>
        <v>5712029</v>
      </c>
      <c r="H78" s="30">
        <f>SUM(H77+H71)</f>
        <v>6001693</v>
      </c>
      <c r="I78" s="30"/>
      <c r="J78" s="30">
        <f>SUM(J77+J71)</f>
        <v>5012036</v>
      </c>
      <c r="K78" s="30">
        <f>SUM(K77+K71)</f>
        <v>4945994</v>
      </c>
      <c r="L78" s="30">
        <f>SUM(L77+L71)</f>
        <v>5331549</v>
      </c>
      <c r="M78" s="30">
        <f>SUM(M77+M71)</f>
        <v>4768242</v>
      </c>
      <c r="N78" s="30">
        <f>SUM(N77+N71)</f>
        <v>5375719</v>
      </c>
      <c r="O78" s="30">
        <f>SUM(O77+O71)</f>
        <v>5248760</v>
      </c>
      <c r="P78" s="30">
        <f>SUM(P77+P71)</f>
        <v>5595008</v>
      </c>
      <c r="Q78" s="30">
        <f>SUM(Q77+Q71)</f>
        <v>5712029</v>
      </c>
      <c r="R78" s="30">
        <f>SUM(R77+R71)</f>
        <v>5631939</v>
      </c>
      <c r="S78" s="30">
        <f>SUM(S77+S71)</f>
        <v>5737408</v>
      </c>
      <c r="T78" s="30">
        <f>SUM(T77+T71)</f>
        <v>5958486</v>
      </c>
      <c r="U78" s="30">
        <f>SUM(U77+U71)</f>
        <v>6001693</v>
      </c>
      <c r="V78" s="30">
        <f>SUM(V77+V71)</f>
        <v>5986689</v>
      </c>
      <c r="W78" s="30">
        <f>SUM(W77+W71)</f>
        <v>6630693</v>
      </c>
      <c r="X78" s="30"/>
      <c r="Y78" s="30">
        <f>SUM(Y77+Y71)</f>
        <v>3716115</v>
      </c>
      <c r="Z78" s="30">
        <f>SUM(Z77+Z71)</f>
        <v>3583041</v>
      </c>
      <c r="AA78" s="30">
        <f>SUM(AA77+AA71)</f>
        <v>3924208</v>
      </c>
      <c r="AB78" s="30">
        <f>SUM(AB77+AB71)</f>
        <v>3938227</v>
      </c>
      <c r="AC78" s="30">
        <f>SUM(AC77+AC71)</f>
        <v>3901925</v>
      </c>
      <c r="AD78" s="30">
        <f>SUM(AD77+AD71)</f>
        <v>4006559</v>
      </c>
      <c r="AE78" s="30">
        <f>SUM(AE77+AE71)</f>
        <v>5737408</v>
      </c>
      <c r="AF78" s="30">
        <f>SUM(AF77+AF71)</f>
        <v>5958486</v>
      </c>
      <c r="AG78" s="30">
        <f>SUM(AG77+AG71)</f>
        <v>6001693</v>
      </c>
      <c r="AH78" s="30">
        <f>SUM(AH77+AH71)</f>
        <v>5986689</v>
      </c>
      <c r="AI78" s="30">
        <f>SUM(AI77+AI71)</f>
        <v>6630693</v>
      </c>
      <c r="AJ78" s="11"/>
      <c r="AK78" s="71">
        <f>SUM(AI78/AE78)-1</f>
        <v>0.1556948712728814</v>
      </c>
    </row>
    <row r="79" spans="2:37" ht="5.0999999999999996" customHeight="1">
      <c r="B79" s="23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11"/>
    </row>
    <row r="80" spans="2:37" ht="12.75" customHeight="1">
      <c r="B80" s="64" t="s">
        <v>79</v>
      </c>
      <c r="C80" s="65">
        <f>C78-C56</f>
        <v>-8014</v>
      </c>
      <c r="D80" s="65">
        <f>D78-D56</f>
        <v>3505</v>
      </c>
      <c r="E80" s="65">
        <f>E78-E56</f>
        <v>3863</v>
      </c>
      <c r="F80" s="65">
        <f>F78-F56</f>
        <v>5210</v>
      </c>
      <c r="G80" s="65">
        <f>G78-G56</f>
        <v>5018</v>
      </c>
      <c r="H80" s="65">
        <f>H78-H56</f>
        <v>0</v>
      </c>
      <c r="I80" s="66"/>
      <c r="J80" s="65">
        <f>J78-J56</f>
        <v>0</v>
      </c>
      <c r="K80" s="65">
        <f>K78-K56</f>
        <v>0</v>
      </c>
      <c r="L80" s="65">
        <f>L78-L56</f>
        <v>0</v>
      </c>
      <c r="M80" s="65">
        <f>M78-M56</f>
        <v>-602169</v>
      </c>
      <c r="N80" s="65">
        <f>N78-N56</f>
        <v>0</v>
      </c>
      <c r="O80" s="65">
        <f>O78-O56</f>
        <v>0</v>
      </c>
      <c r="P80" s="65">
        <f>P78-P56</f>
        <v>0</v>
      </c>
      <c r="Q80" s="65">
        <f>Q78-Q56</f>
        <v>5018</v>
      </c>
      <c r="R80" s="65">
        <f>R78-R56</f>
        <v>0</v>
      </c>
      <c r="S80" s="65">
        <f>S78-S56</f>
        <v>0</v>
      </c>
      <c r="T80" s="65">
        <f>T78-T56</f>
        <v>0</v>
      </c>
      <c r="U80" s="65">
        <f>U78-U56</f>
        <v>0</v>
      </c>
      <c r="V80" s="65">
        <f>V78-V56</f>
        <v>0</v>
      </c>
      <c r="W80" s="65">
        <f>W78-W56</f>
        <v>45</v>
      </c>
      <c r="X80" s="26"/>
      <c r="Y80" s="65">
        <f>Y78-Y56</f>
        <v>-1472801</v>
      </c>
      <c r="Z80" s="65">
        <f>Z78-Z56</f>
        <v>-1589003</v>
      </c>
      <c r="AA80" s="65">
        <f>AA78-AA56</f>
        <v>-1178834</v>
      </c>
      <c r="AB80" s="65">
        <f>AB78-AB56</f>
        <v>-1456977</v>
      </c>
      <c r="AC80" s="65">
        <f>AC78-AC56</f>
        <v>-1584642</v>
      </c>
      <c r="AD80" s="65">
        <f>AD78-AD56</f>
        <v>-1459081</v>
      </c>
      <c r="AE80" s="65">
        <f>AE78-AE56</f>
        <v>0</v>
      </c>
      <c r="AF80" s="65">
        <f>AF78-AF56</f>
        <v>0</v>
      </c>
      <c r="AG80" s="65">
        <f>AG78-AG56</f>
        <v>0</v>
      </c>
      <c r="AH80" s="65">
        <f>AH78-AH56</f>
        <v>0</v>
      </c>
      <c r="AI80" s="65">
        <f>AI78-AI56</f>
        <v>45</v>
      </c>
    </row>
    <row r="81" spans="1:37" ht="5.0999999999999996" customHeight="1" thickBot="1">
      <c r="B81" s="106"/>
      <c r="C81" s="107"/>
      <c r="D81" s="107"/>
      <c r="E81" s="107"/>
      <c r="F81" s="107"/>
      <c r="G81" s="107"/>
      <c r="H81" s="107"/>
      <c r="I81" s="108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9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  <c r="AI81" s="107"/>
      <c r="AJ81" s="68"/>
      <c r="AK81" s="68"/>
    </row>
    <row r="82" spans="1:37" ht="12.75" customHeight="1">
      <c r="B82" s="144" t="s">
        <v>136</v>
      </c>
      <c r="C82" s="144"/>
      <c r="D82" s="144"/>
      <c r="E82" s="144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</row>
    <row r="83" spans="1:37">
      <c r="B83" s="63"/>
      <c r="C83" s="22"/>
      <c r="D83" s="22"/>
      <c r="E83" s="22"/>
      <c r="F83" s="22"/>
      <c r="G83" s="22"/>
      <c r="H83" s="22"/>
      <c r="I83" s="51"/>
    </row>
    <row r="84" spans="1:37" ht="12.75" customHeight="1">
      <c r="A84" s="5" t="s">
        <v>19</v>
      </c>
      <c r="B84" s="88" t="s">
        <v>16</v>
      </c>
      <c r="C84" s="92" t="s">
        <v>0</v>
      </c>
      <c r="D84" s="92"/>
      <c r="E84" s="92"/>
      <c r="F84" s="92" t="s">
        <v>0</v>
      </c>
      <c r="G84" s="92"/>
      <c r="H84" s="92"/>
      <c r="I84" s="93"/>
      <c r="J84" s="92" t="s">
        <v>1</v>
      </c>
      <c r="K84" s="92"/>
      <c r="L84" s="92"/>
      <c r="M84" s="92"/>
      <c r="N84" s="92"/>
      <c r="O84" s="92"/>
      <c r="P84" s="92"/>
      <c r="Q84" s="92"/>
      <c r="R84" s="92"/>
      <c r="S84" s="92"/>
      <c r="T84" s="92" t="s">
        <v>1</v>
      </c>
      <c r="U84" s="92"/>
      <c r="V84" s="92"/>
      <c r="W84" s="92"/>
      <c r="X84" s="88"/>
      <c r="Y84" s="92"/>
      <c r="Z84" s="92"/>
      <c r="AA84" s="92"/>
      <c r="AB84" s="92"/>
      <c r="AC84" s="92"/>
      <c r="AD84" s="92"/>
      <c r="AE84" s="92" t="s">
        <v>10</v>
      </c>
      <c r="AF84" s="92"/>
      <c r="AG84" s="92"/>
      <c r="AH84" s="92"/>
      <c r="AI84" s="92"/>
      <c r="AJ84" s="93"/>
      <c r="AK84" s="143" t="s">
        <v>26</v>
      </c>
    </row>
    <row r="85" spans="1:37" ht="12.75" customHeight="1">
      <c r="B85" s="89" t="str">
        <f>B7</f>
        <v>Fiscal Period</v>
      </c>
      <c r="C85" s="94">
        <f>C7</f>
        <v>2019</v>
      </c>
      <c r="D85" s="94">
        <f>D7</f>
        <v>2020</v>
      </c>
      <c r="E85" s="94">
        <f>E7</f>
        <v>2021</v>
      </c>
      <c r="F85" s="94">
        <f>F7</f>
        <v>2022</v>
      </c>
      <c r="G85" s="94">
        <f>G7</f>
        <v>2023</v>
      </c>
      <c r="H85" s="94">
        <f>H7</f>
        <v>2024</v>
      </c>
      <c r="I85" s="93"/>
      <c r="J85" s="94" t="str">
        <f>J7</f>
        <v>1Q22</v>
      </c>
      <c r="K85" s="94" t="str">
        <f>K7</f>
        <v>2Q22</v>
      </c>
      <c r="L85" s="94" t="str">
        <f>L7</f>
        <v>3Q22</v>
      </c>
      <c r="M85" s="94" t="str">
        <f>M7</f>
        <v>4Q22</v>
      </c>
      <c r="N85" s="94" t="str">
        <f>N7</f>
        <v>1Q23</v>
      </c>
      <c r="O85" s="94" t="str">
        <f>O7</f>
        <v>2Q23</v>
      </c>
      <c r="P85" s="94" t="str">
        <f>P7</f>
        <v>3Q23</v>
      </c>
      <c r="Q85" s="94" t="str">
        <f>Q7</f>
        <v>4Q23</v>
      </c>
      <c r="R85" s="94" t="str">
        <f>R7</f>
        <v>1Q24</v>
      </c>
      <c r="S85" s="94" t="str">
        <f>S7</f>
        <v>2Q24</v>
      </c>
      <c r="T85" s="94" t="str">
        <f>T7</f>
        <v>3Q24</v>
      </c>
      <c r="U85" s="94" t="str">
        <f>U7</f>
        <v>4Q24</v>
      </c>
      <c r="V85" s="94" t="str">
        <f>V7</f>
        <v>1Q25</v>
      </c>
      <c r="W85" s="94" t="str">
        <f>W7</f>
        <v>2Q25</v>
      </c>
      <c r="X85" s="94"/>
      <c r="Y85" s="94" t="str">
        <f>Y7</f>
        <v>4Q22</v>
      </c>
      <c r="Z85" s="94" t="str">
        <f>Z7</f>
        <v>1Q23</v>
      </c>
      <c r="AA85" s="94" t="str">
        <f>AA7</f>
        <v>2Q23</v>
      </c>
      <c r="AB85" s="94" t="str">
        <f>AB7</f>
        <v>3Q23</v>
      </c>
      <c r="AC85" s="94" t="str">
        <f>AC7</f>
        <v>4Q23</v>
      </c>
      <c r="AD85" s="94" t="str">
        <f>AD7</f>
        <v>1Q24</v>
      </c>
      <c r="AE85" s="94" t="str">
        <f>AE7</f>
        <v>2Q24</v>
      </c>
      <c r="AF85" s="94" t="str">
        <f>AF7</f>
        <v>3Q24</v>
      </c>
      <c r="AG85" s="94" t="str">
        <f>AG7</f>
        <v>4Q24</v>
      </c>
      <c r="AH85" s="94" t="str">
        <f>AH7</f>
        <v>1Q25</v>
      </c>
      <c r="AI85" s="94" t="str">
        <f>AI7</f>
        <v>2Q25</v>
      </c>
      <c r="AJ85" s="93"/>
      <c r="AK85" s="143"/>
    </row>
    <row r="86" spans="1:37" ht="12.75" customHeight="1">
      <c r="B86" s="89" t="str">
        <f>B8</f>
        <v>Fiscal Period End Date</v>
      </c>
      <c r="C86" s="95">
        <f>C8</f>
        <v>43497</v>
      </c>
      <c r="D86" s="95">
        <f>D8</f>
        <v>43861</v>
      </c>
      <c r="E86" s="95">
        <f>E8</f>
        <v>44225</v>
      </c>
      <c r="F86" s="95">
        <f>F8</f>
        <v>44954</v>
      </c>
      <c r="G86" s="95">
        <f>G8</f>
        <v>45325</v>
      </c>
      <c r="H86" s="95">
        <f>H8</f>
        <v>45689</v>
      </c>
      <c r="I86" s="93"/>
      <c r="J86" s="95">
        <f>J8</f>
        <v>44681</v>
      </c>
      <c r="K86" s="95">
        <f>K8</f>
        <v>44772</v>
      </c>
      <c r="L86" s="95">
        <f>L8</f>
        <v>44863</v>
      </c>
      <c r="M86" s="95">
        <f>M8</f>
        <v>44954</v>
      </c>
      <c r="N86" s="95">
        <f>N8</f>
        <v>45045</v>
      </c>
      <c r="O86" s="95">
        <f>O8</f>
        <v>45136</v>
      </c>
      <c r="P86" s="95">
        <f>P8</f>
        <v>45227</v>
      </c>
      <c r="Q86" s="95">
        <f>Q8</f>
        <v>45325</v>
      </c>
      <c r="R86" s="95">
        <f>R8</f>
        <v>45416</v>
      </c>
      <c r="S86" s="95">
        <f>S8</f>
        <v>45507</v>
      </c>
      <c r="T86" s="95">
        <f>T8</f>
        <v>45598</v>
      </c>
      <c r="U86" s="95">
        <f>U8</f>
        <v>45689</v>
      </c>
      <c r="V86" s="95">
        <f>V8</f>
        <v>45780</v>
      </c>
      <c r="W86" s="95">
        <f>W8</f>
        <v>45871</v>
      </c>
      <c r="X86" s="95"/>
      <c r="Y86" s="95">
        <f>Y8</f>
        <v>44954</v>
      </c>
      <c r="Z86" s="95">
        <f>Z8</f>
        <v>45045</v>
      </c>
      <c r="AA86" s="95">
        <f>AA8</f>
        <v>45136</v>
      </c>
      <c r="AB86" s="95">
        <f>AB8</f>
        <v>45227</v>
      </c>
      <c r="AC86" s="95">
        <f>AC8</f>
        <v>45325</v>
      </c>
      <c r="AD86" s="95">
        <f>AD8</f>
        <v>45416</v>
      </c>
      <c r="AE86" s="95">
        <f>AE8</f>
        <v>45507</v>
      </c>
      <c r="AF86" s="95">
        <f>AF8</f>
        <v>45598</v>
      </c>
      <c r="AG86" s="95">
        <f>AG8</f>
        <v>45689</v>
      </c>
      <c r="AH86" s="95">
        <f>AH8</f>
        <v>45780</v>
      </c>
      <c r="AI86" s="95">
        <f>AI8</f>
        <v>45871</v>
      </c>
      <c r="AJ86" s="93"/>
      <c r="AK86" s="143"/>
    </row>
    <row r="87" spans="1:37" ht="5.0999999999999996" customHeight="1">
      <c r="B87" s="52"/>
      <c r="C87" s="46"/>
      <c r="D87" s="46"/>
      <c r="E87" s="46"/>
      <c r="F87" s="46"/>
      <c r="G87" s="46"/>
      <c r="H87" s="46"/>
    </row>
    <row r="88" spans="1:37" ht="12.75" customHeight="1">
      <c r="B88" s="53" t="s">
        <v>69</v>
      </c>
      <c r="C88" s="54"/>
      <c r="D88" s="54"/>
      <c r="E88" s="54"/>
      <c r="F88" s="54"/>
      <c r="G88" s="54"/>
      <c r="H88" s="54"/>
    </row>
    <row r="89" spans="1:37" ht="12.75" customHeight="1">
      <c r="B89" s="55" t="s">
        <v>70</v>
      </c>
      <c r="C89" s="30">
        <f t="shared" ref="C89:E89" si="142">C28</f>
        <v>705945</v>
      </c>
      <c r="D89" s="30">
        <f t="shared" si="142"/>
        <v>114315.47000000067</v>
      </c>
      <c r="E89" s="30">
        <f t="shared" si="142"/>
        <v>989163</v>
      </c>
      <c r="F89" s="30">
        <f>F28</f>
        <v>1232540</v>
      </c>
      <c r="G89" s="30">
        <f>G28</f>
        <v>1255760.9999999981</v>
      </c>
      <c r="H89" s="30">
        <f>H28</f>
        <v>1201118</v>
      </c>
      <c r="I89" s="30"/>
      <c r="J89" s="30">
        <f>J28</f>
        <v>331394.99999999953</v>
      </c>
      <c r="K89" s="104">
        <f>K28</f>
        <v>295677</v>
      </c>
      <c r="L89" s="30">
        <f>L28</f>
        <v>274585.00000000047</v>
      </c>
      <c r="M89" s="30">
        <f>M28</f>
        <v>330883</v>
      </c>
      <c r="N89" s="30">
        <f>N28</f>
        <v>347051.00000000047</v>
      </c>
      <c r="O89" s="104">
        <f>O28</f>
        <v>300102</v>
      </c>
      <c r="P89" s="30">
        <f>P28</f>
        <v>249483</v>
      </c>
      <c r="Q89" s="30">
        <f t="shared" ref="Q89" si="143">SUM(G89-SUM(N89:P89))</f>
        <v>359124.99999999767</v>
      </c>
      <c r="R89" s="30">
        <f>R28</f>
        <v>313112.99999999953</v>
      </c>
      <c r="S89" s="30">
        <f>S28</f>
        <v>252556</v>
      </c>
      <c r="T89" s="30">
        <f>T28</f>
        <v>238831</v>
      </c>
      <c r="U89" s="30">
        <f>SUM(H89-SUM(R89:T89))</f>
        <v>396618.00000000047</v>
      </c>
      <c r="V89" s="30">
        <f>V28</f>
        <v>305680</v>
      </c>
      <c r="W89" s="30">
        <f>W28</f>
        <v>261472</v>
      </c>
      <c r="Y89" s="30">
        <f t="shared" ref="Y89:AD89" si="144">SUM(K89:N89)</f>
        <v>1248196.0000000009</v>
      </c>
      <c r="Z89" s="30">
        <f t="shared" si="144"/>
        <v>1252621.0000000009</v>
      </c>
      <c r="AA89" s="30">
        <f t="shared" si="144"/>
        <v>1227519.0000000005</v>
      </c>
      <c r="AB89" s="30">
        <f t="shared" si="144"/>
        <v>1255760.9999999981</v>
      </c>
      <c r="AC89" s="30">
        <f t="shared" si="144"/>
        <v>1221822.9999999972</v>
      </c>
      <c r="AD89" s="30">
        <f t="shared" si="144"/>
        <v>1174276.9999999972</v>
      </c>
      <c r="AE89" s="30">
        <f t="shared" ref="AE89" si="145">SUM(P89:S89)</f>
        <v>1174276.9999999972</v>
      </c>
      <c r="AF89" s="30">
        <f t="shared" ref="AF89" si="146">SUM(Q89:T89)</f>
        <v>1163624.9999999972</v>
      </c>
      <c r="AG89" s="30">
        <f t="shared" ref="AG89" si="147">SUM(R89:U89)</f>
        <v>1201118</v>
      </c>
      <c r="AH89" s="30">
        <f t="shared" ref="AH89" si="148">SUM(S89:V89)</f>
        <v>1193685.0000000005</v>
      </c>
      <c r="AI89" s="30">
        <f>SUM(T89:W89)</f>
        <v>1202601.0000000005</v>
      </c>
      <c r="AJ89" s="11"/>
      <c r="AK89" s="70">
        <f>SUM(AI89/AE89)-1</f>
        <v>2.4120373642678272E-2</v>
      </c>
    </row>
    <row r="90" spans="1:37" ht="5.0999999999999996" customHeight="1"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11"/>
      <c r="AK90" s="70"/>
    </row>
    <row r="91" spans="1:37" ht="12.75" customHeight="1">
      <c r="B91" s="34" t="s">
        <v>78</v>
      </c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79"/>
      <c r="O91" s="79"/>
      <c r="P91" s="79"/>
      <c r="Q91" s="30"/>
      <c r="R91" s="79"/>
      <c r="S91" s="79"/>
      <c r="T91" s="79"/>
      <c r="U91" s="30"/>
      <c r="V91" s="79"/>
      <c r="W91" s="79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57"/>
      <c r="AK91" s="70"/>
    </row>
    <row r="92" spans="1:37" ht="12.75" customHeight="1">
      <c r="B92" s="58" t="s">
        <v>71</v>
      </c>
      <c r="C92" s="79">
        <v>295599</v>
      </c>
      <c r="D92" s="79">
        <v>297772</v>
      </c>
      <c r="E92" s="79">
        <v>268460</v>
      </c>
      <c r="F92" s="79">
        <v>241372</v>
      </c>
      <c r="G92" s="79">
        <v>243840</v>
      </c>
      <c r="H92" s="79">
        <v>267042</v>
      </c>
      <c r="I92" s="30"/>
      <c r="J92" s="79">
        <v>62839</v>
      </c>
      <c r="K92" s="87">
        <f>123721-J92</f>
        <v>60882</v>
      </c>
      <c r="L92" s="87">
        <f>182182-K92-J92</f>
        <v>58461</v>
      </c>
      <c r="M92" s="87">
        <f t="shared" ref="M92:M97" si="149">SUM(F92-SUM(J92:L92))</f>
        <v>59190</v>
      </c>
      <c r="N92" s="79">
        <v>57949</v>
      </c>
      <c r="O92" s="87">
        <f>119862-N92</f>
        <v>61913</v>
      </c>
      <c r="P92" s="87">
        <f>181273-O92-N92</f>
        <v>61411</v>
      </c>
      <c r="Q92" s="87">
        <f t="shared" ref="Q92:Q97" si="150">SUM(G92-SUM(N92:P92))</f>
        <v>62567</v>
      </c>
      <c r="R92" s="79">
        <v>64739</v>
      </c>
      <c r="S92" s="87">
        <f>130053-R92</f>
        <v>65314</v>
      </c>
      <c r="T92" s="87">
        <f>197075-S92-R92</f>
        <v>67022</v>
      </c>
      <c r="U92" s="87">
        <f t="shared" ref="U92:U96" si="151">SUM(H92-SUM(R92:T92))</f>
        <v>69967</v>
      </c>
      <c r="V92" s="79">
        <v>72033</v>
      </c>
      <c r="W92" s="87">
        <f>143198-V92</f>
        <v>71165</v>
      </c>
      <c r="Y92" s="30">
        <f t="shared" ref="Y92:AD95" si="152">SUM(K92:N92)</f>
        <v>236482</v>
      </c>
      <c r="Z92" s="30">
        <f t="shared" si="152"/>
        <v>237513</v>
      </c>
      <c r="AA92" s="30">
        <f t="shared" si="152"/>
        <v>240463</v>
      </c>
      <c r="AB92" s="30">
        <f t="shared" si="152"/>
        <v>243840</v>
      </c>
      <c r="AC92" s="30">
        <f t="shared" si="152"/>
        <v>250630</v>
      </c>
      <c r="AD92" s="30">
        <f t="shared" si="152"/>
        <v>254031</v>
      </c>
      <c r="AE92" s="30">
        <f t="shared" ref="AE92" si="153">SUM(P92:S92)</f>
        <v>254031</v>
      </c>
      <c r="AF92" s="30">
        <f t="shared" ref="AF92" si="154">SUM(Q92:T92)</f>
        <v>259642</v>
      </c>
      <c r="AG92" s="30">
        <f t="shared" ref="AG92" si="155">SUM(R92:U92)</f>
        <v>267042</v>
      </c>
      <c r="AH92" s="30">
        <f t="shared" ref="AH92" si="156">SUM(S92:V92)</f>
        <v>274336</v>
      </c>
      <c r="AI92" s="30">
        <f>SUM(T92:W92)</f>
        <v>280187</v>
      </c>
      <c r="AJ92" s="11"/>
      <c r="AK92" s="70">
        <f t="shared" ref="AK92:AK101" si="157">SUM(AI92/AE92)-1</f>
        <v>0.10296381150332046</v>
      </c>
    </row>
    <row r="93" spans="1:37" ht="12.75" customHeight="1">
      <c r="B93" s="58" t="s">
        <v>134</v>
      </c>
      <c r="C93" s="79">
        <v>278820</v>
      </c>
      <c r="D93" s="79">
        <v>268071</v>
      </c>
      <c r="E93" s="79">
        <v>276229</v>
      </c>
      <c r="F93" s="79">
        <v>301912</v>
      </c>
      <c r="G93" s="79">
        <v>332754</v>
      </c>
      <c r="H93" s="79">
        <v>310636</v>
      </c>
      <c r="I93" s="30"/>
      <c r="J93" s="79">
        <v>72192</v>
      </c>
      <c r="K93" s="87">
        <f>146251-J93</f>
        <v>74059</v>
      </c>
      <c r="L93" s="87">
        <f>222548-K93-J93</f>
        <v>76297</v>
      </c>
      <c r="M93" s="87">
        <f t="shared" si="149"/>
        <v>79364</v>
      </c>
      <c r="N93" s="79">
        <v>75478</v>
      </c>
      <c r="O93" s="87">
        <f>152867-N93</f>
        <v>77389</v>
      </c>
      <c r="P93" s="87">
        <f>232772-O93-N93</f>
        <v>79905</v>
      </c>
      <c r="Q93" s="87">
        <f t="shared" si="150"/>
        <v>99982</v>
      </c>
      <c r="R93" s="79">
        <v>77938</v>
      </c>
      <c r="S93" s="87">
        <f>163481-R93</f>
        <v>85543</v>
      </c>
      <c r="T93" s="87">
        <f>235950-S93-R93</f>
        <v>72469</v>
      </c>
      <c r="U93" s="87">
        <f t="shared" si="151"/>
        <v>74686</v>
      </c>
      <c r="V93" s="79">
        <v>91105</v>
      </c>
      <c r="W93" s="87">
        <f>183528-V93</f>
        <v>92423</v>
      </c>
      <c r="Y93" s="30">
        <f t="shared" si="152"/>
        <v>305198</v>
      </c>
      <c r="Z93" s="30">
        <f t="shared" si="152"/>
        <v>308528</v>
      </c>
      <c r="AA93" s="30">
        <f t="shared" si="152"/>
        <v>312136</v>
      </c>
      <c r="AB93" s="30">
        <f t="shared" si="152"/>
        <v>332754</v>
      </c>
      <c r="AC93" s="30">
        <f t="shared" si="152"/>
        <v>335214</v>
      </c>
      <c r="AD93" s="30">
        <f t="shared" si="152"/>
        <v>343368</v>
      </c>
      <c r="AE93" s="30">
        <f t="shared" ref="AE93:AE98" si="158">SUM(P93:S93)</f>
        <v>343368</v>
      </c>
      <c r="AF93" s="30">
        <f t="shared" ref="AF93:AF98" si="159">SUM(Q93:T93)</f>
        <v>335932</v>
      </c>
      <c r="AG93" s="30">
        <f t="shared" ref="AG93:AG98" si="160">SUM(R93:U93)</f>
        <v>310636</v>
      </c>
      <c r="AH93" s="30">
        <f t="shared" ref="AH93:AH98" si="161">SUM(S93:V93)</f>
        <v>323803</v>
      </c>
      <c r="AI93" s="30">
        <f t="shared" ref="AI93:AI98" si="162">SUM(T93:W93)</f>
        <v>330683</v>
      </c>
      <c r="AJ93" s="11"/>
      <c r="AK93" s="70">
        <f t="shared" si="157"/>
        <v>-3.6942871787702947E-2</v>
      </c>
    </row>
    <row r="94" spans="1:37" ht="12.75" customHeight="1">
      <c r="B94" s="58" t="s">
        <v>165</v>
      </c>
      <c r="C94" s="79">
        <v>5503</v>
      </c>
      <c r="D94" s="79">
        <v>-24008</v>
      </c>
      <c r="E94" s="79">
        <v>-25666</v>
      </c>
      <c r="F94" s="79">
        <v>15653</v>
      </c>
      <c r="G94" s="79">
        <v>30575</v>
      </c>
      <c r="H94" s="79">
        <v>-43328</v>
      </c>
      <c r="I94" s="30"/>
      <c r="J94" s="79">
        <v>1009</v>
      </c>
      <c r="K94" s="87">
        <f>336-J94</f>
        <v>-673</v>
      </c>
      <c r="L94" s="87">
        <f>-1066-K94-J94</f>
        <v>-1402</v>
      </c>
      <c r="M94" s="87">
        <f t="shared" si="149"/>
        <v>16719</v>
      </c>
      <c r="N94" s="79">
        <v>2144</v>
      </c>
      <c r="O94" s="87">
        <f>666-N94</f>
        <v>-1478</v>
      </c>
      <c r="P94" s="87">
        <f>1528-O94-N94</f>
        <v>862</v>
      </c>
      <c r="Q94" s="87">
        <f t="shared" si="150"/>
        <v>29047</v>
      </c>
      <c r="R94" s="79">
        <v>3635</v>
      </c>
      <c r="S94" s="87">
        <f>2540-R94</f>
        <v>-1095</v>
      </c>
      <c r="T94" s="87">
        <f>5808-S94-R94</f>
        <v>3268</v>
      </c>
      <c r="U94" s="87">
        <f t="shared" si="151"/>
        <v>-49136</v>
      </c>
      <c r="V94" s="79">
        <v>3420</v>
      </c>
      <c r="W94" s="87">
        <f>2232-V94</f>
        <v>-1188</v>
      </c>
      <c r="Y94" s="30">
        <f t="shared" si="152"/>
        <v>16788</v>
      </c>
      <c r="Z94" s="30">
        <f t="shared" si="152"/>
        <v>15983</v>
      </c>
      <c r="AA94" s="30">
        <f t="shared" si="152"/>
        <v>18247</v>
      </c>
      <c r="AB94" s="30">
        <f t="shared" si="152"/>
        <v>30575</v>
      </c>
      <c r="AC94" s="30">
        <f t="shared" si="152"/>
        <v>32066</v>
      </c>
      <c r="AD94" s="30">
        <f t="shared" si="152"/>
        <v>32449</v>
      </c>
      <c r="AE94" s="30">
        <f t="shared" si="158"/>
        <v>32449</v>
      </c>
      <c r="AF94" s="30">
        <f t="shared" si="159"/>
        <v>34855</v>
      </c>
      <c r="AG94" s="30">
        <f t="shared" si="160"/>
        <v>-43328</v>
      </c>
      <c r="AH94" s="30">
        <f t="shared" si="161"/>
        <v>-43543</v>
      </c>
      <c r="AI94" s="30">
        <f t="shared" si="162"/>
        <v>-43636</v>
      </c>
      <c r="AJ94" s="11"/>
      <c r="AK94" s="70">
        <f t="shared" si="157"/>
        <v>-2.3447563869456687</v>
      </c>
    </row>
    <row r="95" spans="1:37" ht="12.75" customHeight="1">
      <c r="B95" s="58" t="s">
        <v>169</v>
      </c>
      <c r="C95" s="79">
        <v>25045</v>
      </c>
      <c r="D95" s="79">
        <v>27583</v>
      </c>
      <c r="E95" s="79">
        <v>47259</v>
      </c>
      <c r="F95" s="79">
        <v>43044</v>
      </c>
      <c r="G95" s="79">
        <v>48246</v>
      </c>
      <c r="H95" s="79">
        <v>42787</v>
      </c>
      <c r="I95" s="30"/>
      <c r="J95" s="79">
        <v>10356</v>
      </c>
      <c r="K95" s="87">
        <f>22875-J95</f>
        <v>12519</v>
      </c>
      <c r="L95" s="87">
        <f>32554-K95-J95</f>
        <v>9679</v>
      </c>
      <c r="M95" s="87">
        <f t="shared" si="149"/>
        <v>10490</v>
      </c>
      <c r="N95" s="79">
        <v>9721</v>
      </c>
      <c r="O95" s="87">
        <f>21539-N95</f>
        <v>11818</v>
      </c>
      <c r="P95" s="87">
        <f>33477-O95-N95</f>
        <v>11938</v>
      </c>
      <c r="Q95" s="87">
        <f t="shared" si="150"/>
        <v>14769</v>
      </c>
      <c r="R95" s="79">
        <v>10082</v>
      </c>
      <c r="S95" s="87">
        <f>19272-R95</f>
        <v>9190</v>
      </c>
      <c r="T95" s="87">
        <f>27691-S95-R95</f>
        <v>8419</v>
      </c>
      <c r="U95" s="87">
        <f t="shared" si="151"/>
        <v>15096</v>
      </c>
      <c r="V95" s="79">
        <v>11418</v>
      </c>
      <c r="W95" s="87">
        <f>20338-V95</f>
        <v>8920</v>
      </c>
      <c r="Y95" s="30">
        <f t="shared" si="152"/>
        <v>42409</v>
      </c>
      <c r="Z95" s="30">
        <f t="shared" si="152"/>
        <v>41708</v>
      </c>
      <c r="AA95" s="30">
        <f t="shared" si="152"/>
        <v>43967</v>
      </c>
      <c r="AB95" s="30">
        <f t="shared" si="152"/>
        <v>48246</v>
      </c>
      <c r="AC95" s="30">
        <f t="shared" si="152"/>
        <v>48607</v>
      </c>
      <c r="AD95" s="30">
        <f t="shared" si="152"/>
        <v>45979</v>
      </c>
      <c r="AE95" s="30">
        <f t="shared" si="158"/>
        <v>45979</v>
      </c>
      <c r="AF95" s="30">
        <f t="shared" si="159"/>
        <v>42460</v>
      </c>
      <c r="AG95" s="30">
        <f t="shared" si="160"/>
        <v>42787</v>
      </c>
      <c r="AH95" s="30">
        <f t="shared" si="161"/>
        <v>44123</v>
      </c>
      <c r="AI95" s="30">
        <f t="shared" si="162"/>
        <v>43853</v>
      </c>
      <c r="AJ95" s="11"/>
      <c r="AK95" s="70">
        <f t="shared" si="157"/>
        <v>-4.6238500184866971E-2</v>
      </c>
    </row>
    <row r="96" spans="1:37" ht="12.75" customHeight="1">
      <c r="B96" s="58" t="s">
        <v>170</v>
      </c>
      <c r="C96" s="79">
        <v>5850</v>
      </c>
      <c r="D96" s="79">
        <v>6827</v>
      </c>
      <c r="E96" s="79">
        <v>5358</v>
      </c>
      <c r="F96" s="79">
        <v>6688</v>
      </c>
      <c r="G96" s="79">
        <v>11419</v>
      </c>
      <c r="H96" s="79">
        <v>11566</v>
      </c>
      <c r="I96" s="30"/>
      <c r="J96" s="79">
        <v>1002</v>
      </c>
      <c r="K96" s="87">
        <f>2277-J96</f>
        <v>1275</v>
      </c>
      <c r="L96" s="87">
        <f>3892-K96-J96</f>
        <v>1615</v>
      </c>
      <c r="M96" s="87">
        <f t="shared" si="149"/>
        <v>2796</v>
      </c>
      <c r="N96" s="79">
        <v>1451</v>
      </c>
      <c r="O96" s="87">
        <f>3878-N96</f>
        <v>2427</v>
      </c>
      <c r="P96" s="87">
        <f>6310-O96-N96</f>
        <v>2432</v>
      </c>
      <c r="Q96" s="87">
        <f t="shared" si="150"/>
        <v>5109</v>
      </c>
      <c r="R96" s="79">
        <v>2975</v>
      </c>
      <c r="S96" s="87">
        <f>5204-R96</f>
        <v>2229</v>
      </c>
      <c r="T96" s="87">
        <f>7280-S96-R96</f>
        <v>2076</v>
      </c>
      <c r="U96" s="87">
        <f t="shared" si="151"/>
        <v>4286</v>
      </c>
      <c r="V96" s="79">
        <v>892</v>
      </c>
      <c r="W96" s="87">
        <f>4689-V96</f>
        <v>3797</v>
      </c>
      <c r="Y96" s="30"/>
      <c r="Z96" s="30"/>
      <c r="AA96" s="30"/>
      <c r="AB96" s="30"/>
      <c r="AC96" s="30"/>
      <c r="AD96" s="30"/>
      <c r="AE96" s="30">
        <f t="shared" si="158"/>
        <v>12745</v>
      </c>
      <c r="AF96" s="30">
        <f t="shared" si="159"/>
        <v>12389</v>
      </c>
      <c r="AG96" s="30">
        <f t="shared" si="160"/>
        <v>11566</v>
      </c>
      <c r="AH96" s="30">
        <f t="shared" si="161"/>
        <v>9483</v>
      </c>
      <c r="AI96" s="30">
        <f t="shared" si="162"/>
        <v>11051</v>
      </c>
      <c r="AJ96" s="11"/>
      <c r="AK96" s="70">
        <f t="shared" si="157"/>
        <v>-0.13291486857591217</v>
      </c>
    </row>
    <row r="97" spans="2:37" ht="12.75" customHeight="1">
      <c r="B97" s="58" t="s">
        <v>171</v>
      </c>
      <c r="C97" s="79">
        <v>0</v>
      </c>
      <c r="D97" s="79">
        <v>72533</v>
      </c>
      <c r="E97" s="79">
        <v>0</v>
      </c>
      <c r="F97" s="79">
        <v>0</v>
      </c>
      <c r="G97" s="79">
        <v>0</v>
      </c>
      <c r="H97" s="79">
        <v>0</v>
      </c>
      <c r="I97" s="30"/>
      <c r="J97" s="79">
        <v>0</v>
      </c>
      <c r="K97" s="87">
        <v>0</v>
      </c>
      <c r="L97" s="87">
        <v>0</v>
      </c>
      <c r="M97" s="87">
        <f t="shared" si="149"/>
        <v>0</v>
      </c>
      <c r="N97" s="79">
        <v>0</v>
      </c>
      <c r="O97" s="87">
        <v>0</v>
      </c>
      <c r="P97" s="87">
        <v>0</v>
      </c>
      <c r="Q97" s="87">
        <f t="shared" si="150"/>
        <v>0</v>
      </c>
      <c r="R97" s="79">
        <v>0</v>
      </c>
      <c r="S97" s="87">
        <v>0</v>
      </c>
      <c r="T97" s="87">
        <v>0</v>
      </c>
      <c r="U97" s="87">
        <v>0</v>
      </c>
      <c r="V97" s="79">
        <v>0</v>
      </c>
      <c r="W97" s="87">
        <v>0</v>
      </c>
      <c r="Y97" s="30"/>
      <c r="Z97" s="30"/>
      <c r="AA97" s="30"/>
      <c r="AB97" s="30"/>
      <c r="AC97" s="30"/>
      <c r="AD97" s="30"/>
      <c r="AE97" s="30">
        <f t="shared" si="158"/>
        <v>0</v>
      </c>
      <c r="AF97" s="30">
        <f t="shared" si="159"/>
        <v>0</v>
      </c>
      <c r="AG97" s="30">
        <f t="shared" si="160"/>
        <v>0</v>
      </c>
      <c r="AH97" s="30">
        <f t="shared" si="161"/>
        <v>0</v>
      </c>
      <c r="AI97" s="30">
        <f t="shared" si="162"/>
        <v>0</v>
      </c>
      <c r="AJ97" s="11"/>
      <c r="AK97" s="70" t="e">
        <f t="shared" si="157"/>
        <v>#DIV/0!</v>
      </c>
    </row>
    <row r="98" spans="2:37" ht="12.75" customHeight="1">
      <c r="B98" s="58" t="s">
        <v>172</v>
      </c>
      <c r="C98" s="79">
        <v>0</v>
      </c>
      <c r="D98" s="79">
        <v>0</v>
      </c>
      <c r="E98" s="79">
        <v>0</v>
      </c>
      <c r="F98" s="79">
        <v>0</v>
      </c>
      <c r="G98" s="79">
        <v>0</v>
      </c>
      <c r="H98" s="79">
        <v>0</v>
      </c>
      <c r="I98" s="30"/>
      <c r="J98" s="79">
        <v>0</v>
      </c>
      <c r="K98" s="87">
        <v>0</v>
      </c>
      <c r="L98" s="87">
        <v>0</v>
      </c>
      <c r="M98" s="87">
        <v>0</v>
      </c>
      <c r="N98" s="79">
        <v>0</v>
      </c>
      <c r="O98" s="87">
        <v>0</v>
      </c>
      <c r="P98" s="87">
        <v>0</v>
      </c>
      <c r="Q98" s="87">
        <v>0</v>
      </c>
      <c r="R98" s="79">
        <v>0</v>
      </c>
      <c r="S98" s="87">
        <v>0</v>
      </c>
      <c r="T98" s="87">
        <v>0</v>
      </c>
      <c r="U98" s="87">
        <v>0</v>
      </c>
      <c r="V98" s="79">
        <v>628</v>
      </c>
      <c r="W98" s="87">
        <f>1225-V98</f>
        <v>597</v>
      </c>
      <c r="Y98" s="30"/>
      <c r="Z98" s="30"/>
      <c r="AA98" s="30"/>
      <c r="AB98" s="30"/>
      <c r="AC98" s="30"/>
      <c r="AD98" s="30"/>
      <c r="AE98" s="30">
        <f t="shared" si="158"/>
        <v>0</v>
      </c>
      <c r="AF98" s="30">
        <f t="shared" si="159"/>
        <v>0</v>
      </c>
      <c r="AG98" s="30">
        <f t="shared" si="160"/>
        <v>0</v>
      </c>
      <c r="AH98" s="30">
        <f t="shared" si="161"/>
        <v>628</v>
      </c>
      <c r="AI98" s="30">
        <f t="shared" si="162"/>
        <v>1225</v>
      </c>
      <c r="AJ98" s="11"/>
      <c r="AK98" s="70" t="e">
        <f t="shared" si="157"/>
        <v>#DIV/0!</v>
      </c>
    </row>
    <row r="99" spans="2:37" ht="5.0999999999999996" customHeight="1">
      <c r="B99" s="8"/>
      <c r="C99" s="79"/>
      <c r="D99" s="79"/>
      <c r="E99" s="79"/>
      <c r="F99" s="79"/>
      <c r="G99" s="79"/>
      <c r="H99" s="79"/>
      <c r="I99" s="30"/>
      <c r="J99" s="79"/>
      <c r="K99" s="30"/>
      <c r="L99" s="30"/>
      <c r="M99" s="30"/>
      <c r="N99" s="79"/>
      <c r="O99" s="30"/>
      <c r="P99" s="30"/>
      <c r="Q99" s="30"/>
      <c r="R99" s="79"/>
      <c r="S99" s="30"/>
      <c r="T99" s="30"/>
      <c r="U99" s="30"/>
      <c r="V99" s="79"/>
      <c r="W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11"/>
      <c r="AK99" s="70"/>
    </row>
    <row r="100" spans="2:37" ht="12.75" customHeight="1">
      <c r="B100" s="34" t="s">
        <v>15</v>
      </c>
      <c r="C100" s="79"/>
      <c r="D100" s="79"/>
      <c r="E100" s="79"/>
      <c r="F100" s="79"/>
      <c r="G100" s="79"/>
      <c r="H100" s="79"/>
      <c r="I100" s="30"/>
      <c r="J100" s="79"/>
      <c r="K100" s="30"/>
      <c r="L100" s="30"/>
      <c r="M100" s="30"/>
      <c r="N100" s="79"/>
      <c r="O100" s="30"/>
      <c r="P100" s="30"/>
      <c r="Q100" s="30"/>
      <c r="R100" s="79"/>
      <c r="S100" s="30"/>
      <c r="T100" s="30"/>
      <c r="U100" s="30"/>
      <c r="V100" s="79"/>
      <c r="W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57"/>
      <c r="AK100" s="70"/>
    </row>
    <row r="101" spans="2:37" ht="12.75" customHeight="1">
      <c r="B101" s="58" t="s">
        <v>173</v>
      </c>
      <c r="C101" s="79">
        <v>-20637</v>
      </c>
      <c r="D101" s="79">
        <v>-53772</v>
      </c>
      <c r="E101" s="79">
        <v>-40573</v>
      </c>
      <c r="F101" s="79">
        <v>34260</v>
      </c>
      <c r="G101" s="79">
        <v>-8517</v>
      </c>
      <c r="H101" s="79">
        <v>-15395</v>
      </c>
      <c r="I101" s="30"/>
      <c r="J101" s="79">
        <v>40928</v>
      </c>
      <c r="K101" s="87">
        <f>53168-J101</f>
        <v>12240</v>
      </c>
      <c r="L101" s="87">
        <f>33378-K101-J101</f>
        <v>-19790</v>
      </c>
      <c r="M101" s="87">
        <f t="shared" ref="M101:M109" si="163">SUM(F101-SUM(J101:L101))</f>
        <v>882</v>
      </c>
      <c r="N101" s="79">
        <v>9140</v>
      </c>
      <c r="O101" s="87">
        <f>24978-N101</f>
        <v>15838</v>
      </c>
      <c r="P101" s="87">
        <f>-3446-O101-N101</f>
        <v>-28424</v>
      </c>
      <c r="Q101" s="87">
        <f t="shared" ref="Q101:Q109" si="164">SUM(G101-SUM(N101:P101))</f>
        <v>-5071</v>
      </c>
      <c r="R101" s="79">
        <v>4476</v>
      </c>
      <c r="S101" s="87">
        <f>7076-R101</f>
        <v>2600</v>
      </c>
      <c r="T101" s="87">
        <f>-5682-S101-R101</f>
        <v>-12758</v>
      </c>
      <c r="U101" s="87">
        <f t="shared" ref="U101:U109" si="165">SUM(H101-SUM(R101:T101))</f>
        <v>-9713</v>
      </c>
      <c r="V101" s="79">
        <v>-1812</v>
      </c>
      <c r="W101" s="87">
        <f>-198-V101</f>
        <v>1614</v>
      </c>
      <c r="Y101" s="30">
        <f t="shared" ref="Y101:AD109" si="166">SUM(K101:N101)</f>
        <v>2472</v>
      </c>
      <c r="Z101" s="30">
        <f t="shared" si="166"/>
        <v>6070</v>
      </c>
      <c r="AA101" s="30">
        <f t="shared" si="166"/>
        <v>-2564</v>
      </c>
      <c r="AB101" s="30">
        <f t="shared" si="166"/>
        <v>-8517</v>
      </c>
      <c r="AC101" s="30">
        <f t="shared" si="166"/>
        <v>-13181</v>
      </c>
      <c r="AD101" s="30">
        <f t="shared" si="166"/>
        <v>-26419</v>
      </c>
      <c r="AE101" s="30">
        <f t="shared" ref="AE101:AE109" si="167">SUM(P101:S101)</f>
        <v>-26419</v>
      </c>
      <c r="AF101" s="30">
        <f t="shared" ref="AF101:AF109" si="168">SUM(Q101:T101)</f>
        <v>-10753</v>
      </c>
      <c r="AG101" s="30">
        <f t="shared" ref="AG101:AG109" si="169">SUM(R101:U101)</f>
        <v>-15395</v>
      </c>
      <c r="AH101" s="30">
        <f t="shared" ref="AH101:AH109" si="170">SUM(S101:V101)</f>
        <v>-21683</v>
      </c>
      <c r="AI101" s="30">
        <f t="shared" ref="AI101:AI109" si="171">SUM(T101:W101)</f>
        <v>-22669</v>
      </c>
      <c r="AJ101" s="57"/>
      <c r="AK101" s="70">
        <f t="shared" si="157"/>
        <v>-0.14194329838373898</v>
      </c>
    </row>
    <row r="102" spans="2:37" ht="12.75" customHeight="1">
      <c r="B102" s="58" t="s">
        <v>174</v>
      </c>
      <c r="C102" s="79">
        <v>-79372</v>
      </c>
      <c r="D102" s="79">
        <v>125486</v>
      </c>
      <c r="E102" s="79">
        <v>-331003</v>
      </c>
      <c r="F102" s="79">
        <v>-104233</v>
      </c>
      <c r="G102" s="79">
        <v>-138685</v>
      </c>
      <c r="H102" s="79">
        <v>-226078</v>
      </c>
      <c r="I102" s="30"/>
      <c r="J102" s="79">
        <v>-71334</v>
      </c>
      <c r="K102" s="87">
        <f>-166912-J102</f>
        <v>-95578</v>
      </c>
      <c r="L102" s="87">
        <f>-615451-K102-J102</f>
        <v>-448539</v>
      </c>
      <c r="M102" s="87">
        <f t="shared" si="163"/>
        <v>511218</v>
      </c>
      <c r="N102" s="79">
        <v>-147784</v>
      </c>
      <c r="O102" s="87">
        <f>-212088-N102</f>
        <v>-64304</v>
      </c>
      <c r="P102" s="87">
        <f>-717855-O102-N102</f>
        <v>-505767</v>
      </c>
      <c r="Q102" s="87">
        <f t="shared" si="164"/>
        <v>579170</v>
      </c>
      <c r="R102" s="79">
        <v>-163904</v>
      </c>
      <c r="S102" s="87">
        <f>-256150-R102</f>
        <v>-92246</v>
      </c>
      <c r="T102" s="87">
        <f>-623050-S102-R102</f>
        <v>-366900</v>
      </c>
      <c r="U102" s="87">
        <f t="shared" si="165"/>
        <v>396972</v>
      </c>
      <c r="V102" s="79">
        <v>-153305</v>
      </c>
      <c r="W102" s="87">
        <f>-366091-V102</f>
        <v>-212786</v>
      </c>
      <c r="Y102" s="30">
        <f t="shared" si="166"/>
        <v>-180683</v>
      </c>
      <c r="Z102" s="30">
        <f t="shared" si="166"/>
        <v>-149409</v>
      </c>
      <c r="AA102" s="30">
        <f t="shared" si="166"/>
        <v>-206637</v>
      </c>
      <c r="AB102" s="30">
        <f t="shared" si="166"/>
        <v>-138685</v>
      </c>
      <c r="AC102" s="30">
        <f t="shared" si="166"/>
        <v>-154805</v>
      </c>
      <c r="AD102" s="30">
        <f t="shared" si="166"/>
        <v>-182747</v>
      </c>
      <c r="AE102" s="30">
        <f t="shared" si="167"/>
        <v>-182747</v>
      </c>
      <c r="AF102" s="30">
        <f t="shared" si="168"/>
        <v>-43880</v>
      </c>
      <c r="AG102" s="30">
        <f t="shared" si="169"/>
        <v>-226078</v>
      </c>
      <c r="AH102" s="30">
        <f t="shared" si="170"/>
        <v>-215479</v>
      </c>
      <c r="AI102" s="30">
        <f t="shared" si="171"/>
        <v>-336019</v>
      </c>
      <c r="AJ102" s="57"/>
      <c r="AK102" s="70">
        <f t="shared" ref="AK102:AK109" si="172">SUM(AI102/AE102)-1</f>
        <v>0.8387114425955009</v>
      </c>
    </row>
    <row r="103" spans="2:37" ht="12.75" customHeight="1">
      <c r="B103" s="58" t="s">
        <v>154</v>
      </c>
      <c r="C103" s="79">
        <v>9289</v>
      </c>
      <c r="D103" s="79">
        <v>-4363</v>
      </c>
      <c r="E103" s="79">
        <v>-3412</v>
      </c>
      <c r="F103" s="79">
        <v>-19432</v>
      </c>
      <c r="G103" s="79">
        <v>14648</v>
      </c>
      <c r="H103" s="79">
        <v>-13515</v>
      </c>
      <c r="I103" s="30"/>
      <c r="J103" s="79">
        <v>-3261</v>
      </c>
      <c r="K103" s="87">
        <f>-12200-J103</f>
        <v>-8939</v>
      </c>
      <c r="L103" s="87">
        <f>-26828-K103-J103</f>
        <v>-14628</v>
      </c>
      <c r="M103" s="87">
        <f t="shared" si="163"/>
        <v>7396</v>
      </c>
      <c r="N103" s="79">
        <v>22232</v>
      </c>
      <c r="O103" s="87">
        <f>19722-N103</f>
        <v>-2510</v>
      </c>
      <c r="P103" s="87">
        <f>12964-O103-N103</f>
        <v>-6758</v>
      </c>
      <c r="Q103" s="87">
        <f t="shared" si="164"/>
        <v>1684</v>
      </c>
      <c r="R103" s="79">
        <v>-10931</v>
      </c>
      <c r="S103" s="87">
        <f>-16425-R103</f>
        <v>-5494</v>
      </c>
      <c r="T103" s="87">
        <f>-19916-S103-R103</f>
        <v>-3491</v>
      </c>
      <c r="U103" s="87">
        <f t="shared" si="165"/>
        <v>6401</v>
      </c>
      <c r="V103" s="79">
        <v>-9283</v>
      </c>
      <c r="W103" s="87">
        <f>-21657-V103</f>
        <v>-12374</v>
      </c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57"/>
      <c r="AK103" s="70"/>
    </row>
    <row r="104" spans="2:37" ht="12.75" customHeight="1">
      <c r="B104" s="58" t="s">
        <v>175</v>
      </c>
      <c r="C104" s="79">
        <v>610</v>
      </c>
      <c r="D104" s="79">
        <v>58916</v>
      </c>
      <c r="E104" s="79">
        <v>-35652</v>
      </c>
      <c r="F104" s="79">
        <v>-45182</v>
      </c>
      <c r="G104" s="79">
        <v>45367</v>
      </c>
      <c r="H104" s="79">
        <v>34772</v>
      </c>
      <c r="I104" s="30"/>
      <c r="J104" s="79">
        <v>101236</v>
      </c>
      <c r="K104" s="87">
        <f>-45906-J104</f>
        <v>-147142</v>
      </c>
      <c r="L104" s="87">
        <f>-49446-K104-J104</f>
        <v>-3540</v>
      </c>
      <c r="M104" s="87">
        <f t="shared" si="163"/>
        <v>4264</v>
      </c>
      <c r="N104" s="79">
        <v>97003</v>
      </c>
      <c r="O104" s="87">
        <f>8194-N104</f>
        <v>-88809</v>
      </c>
      <c r="P104" s="87">
        <f>9535-O104-N104</f>
        <v>1341</v>
      </c>
      <c r="Q104" s="87">
        <f t="shared" si="164"/>
        <v>35832</v>
      </c>
      <c r="R104" s="79">
        <v>85652</v>
      </c>
      <c r="S104" s="87">
        <f>-60666-R104</f>
        <v>-146318</v>
      </c>
      <c r="T104" s="87">
        <f>-69818-S104-R104</f>
        <v>-9152</v>
      </c>
      <c r="U104" s="87">
        <f t="shared" si="165"/>
        <v>104590</v>
      </c>
      <c r="V104" s="79">
        <v>88934</v>
      </c>
      <c r="W104" s="87">
        <f>-70406-V104</f>
        <v>-159340</v>
      </c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57"/>
      <c r="AK104" s="70"/>
    </row>
    <row r="105" spans="2:37" ht="12.75" customHeight="1">
      <c r="B105" s="58" t="s">
        <v>14</v>
      </c>
      <c r="C105" s="79">
        <v>9993</v>
      </c>
      <c r="D105" s="79">
        <v>62324</v>
      </c>
      <c r="E105" s="79">
        <v>66156</v>
      </c>
      <c r="F105" s="79">
        <v>8309</v>
      </c>
      <c r="G105" s="79">
        <v>-20873</v>
      </c>
      <c r="H105" s="79">
        <v>30297</v>
      </c>
      <c r="I105" s="30"/>
      <c r="J105" s="79">
        <v>42586</v>
      </c>
      <c r="K105" s="87">
        <f>40051-J105</f>
        <v>-2535</v>
      </c>
      <c r="L105" s="87">
        <f>94214-K105-J105</f>
        <v>54163</v>
      </c>
      <c r="M105" s="87">
        <f t="shared" si="163"/>
        <v>-85905</v>
      </c>
      <c r="N105" s="79">
        <v>62257</v>
      </c>
      <c r="O105" s="87">
        <f>-38752-N105</f>
        <v>-101009</v>
      </c>
      <c r="P105" s="87">
        <f>41817-O105-N105</f>
        <v>80569</v>
      </c>
      <c r="Q105" s="87">
        <f t="shared" si="164"/>
        <v>-62690</v>
      </c>
      <c r="R105" s="79">
        <v>-74069</v>
      </c>
      <c r="S105" s="87">
        <f>29715-R105</f>
        <v>103784</v>
      </c>
      <c r="T105" s="87">
        <f>54210-S105-R105</f>
        <v>24495</v>
      </c>
      <c r="U105" s="87">
        <f t="shared" si="165"/>
        <v>-23913</v>
      </c>
      <c r="V105" s="79">
        <v>-24920</v>
      </c>
      <c r="W105" s="87">
        <f>98115-V105</f>
        <v>123035</v>
      </c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57"/>
      <c r="AK105" s="70"/>
    </row>
    <row r="106" spans="2:37" ht="12.75" customHeight="1">
      <c r="B106" s="58" t="s">
        <v>160</v>
      </c>
      <c r="C106" s="79">
        <v>28183</v>
      </c>
      <c r="D106" s="79">
        <v>58599</v>
      </c>
      <c r="E106" s="79">
        <v>58598</v>
      </c>
      <c r="F106" s="79">
        <v>48249</v>
      </c>
      <c r="G106" s="79">
        <v>-62238</v>
      </c>
      <c r="H106" s="79">
        <v>6303</v>
      </c>
      <c r="I106" s="30"/>
      <c r="J106" s="79">
        <v>-57214</v>
      </c>
      <c r="K106" s="87">
        <f>-49364-J106</f>
        <v>7850</v>
      </c>
      <c r="L106" s="87">
        <f>64164-K106-J106</f>
        <v>113528</v>
      </c>
      <c r="M106" s="87">
        <f t="shared" si="163"/>
        <v>-15915</v>
      </c>
      <c r="N106" s="79">
        <v>-98515</v>
      </c>
      <c r="O106" s="87">
        <f>-102763-N106</f>
        <v>-4248</v>
      </c>
      <c r="P106" s="87">
        <f>-34955-O106-N106</f>
        <v>67808</v>
      </c>
      <c r="Q106" s="87">
        <f t="shared" si="164"/>
        <v>-27283</v>
      </c>
      <c r="R106" s="79">
        <v>-43846</v>
      </c>
      <c r="S106" s="87">
        <f>-33634-R106</f>
        <v>10212</v>
      </c>
      <c r="T106" s="87">
        <f>-45777-S106-R106</f>
        <v>-12143</v>
      </c>
      <c r="U106" s="87">
        <f t="shared" si="165"/>
        <v>52080</v>
      </c>
      <c r="V106" s="79">
        <v>-32716</v>
      </c>
      <c r="W106" s="87">
        <f>-3881-V106</f>
        <v>28835</v>
      </c>
      <c r="Y106" s="30">
        <f t="shared" si="166"/>
        <v>6948</v>
      </c>
      <c r="Z106" s="30">
        <f t="shared" si="166"/>
        <v>-5150</v>
      </c>
      <c r="AA106" s="30">
        <f t="shared" si="166"/>
        <v>-50870</v>
      </c>
      <c r="AB106" s="30">
        <f t="shared" si="166"/>
        <v>-62238</v>
      </c>
      <c r="AC106" s="30">
        <f t="shared" si="166"/>
        <v>-7569</v>
      </c>
      <c r="AD106" s="30">
        <f t="shared" si="166"/>
        <v>6891</v>
      </c>
      <c r="AE106" s="30">
        <f t="shared" si="167"/>
        <v>6891</v>
      </c>
      <c r="AF106" s="30">
        <f t="shared" si="168"/>
        <v>-73060</v>
      </c>
      <c r="AG106" s="30">
        <f t="shared" si="169"/>
        <v>6303</v>
      </c>
      <c r="AH106" s="30">
        <f t="shared" si="170"/>
        <v>17433</v>
      </c>
      <c r="AI106" s="30">
        <f t="shared" si="171"/>
        <v>36056</v>
      </c>
      <c r="AJ106" s="57"/>
      <c r="AK106" s="70">
        <f t="shared" si="172"/>
        <v>4.232332027281962</v>
      </c>
    </row>
    <row r="107" spans="2:37" ht="12.75" customHeight="1">
      <c r="B107" s="58" t="s">
        <v>133</v>
      </c>
      <c r="C107" s="79">
        <v>38481</v>
      </c>
      <c r="D107" s="79">
        <v>36848</v>
      </c>
      <c r="E107" s="79">
        <v>79196</v>
      </c>
      <c r="F107" s="79">
        <v>41098</v>
      </c>
      <c r="G107" s="79">
        <v>41914</v>
      </c>
      <c r="H107" s="79">
        <v>63994</v>
      </c>
      <c r="I107" s="30"/>
      <c r="J107" s="79">
        <v>-28885</v>
      </c>
      <c r="K107" s="87">
        <f>-37008-J107</f>
        <v>-8123</v>
      </c>
      <c r="L107" s="87">
        <f>-41447-K107-J107</f>
        <v>-4439</v>
      </c>
      <c r="M107" s="87">
        <f t="shared" si="163"/>
        <v>82545</v>
      </c>
      <c r="N107" s="79">
        <v>-37460</v>
      </c>
      <c r="O107" s="87">
        <f>-40424-N107</f>
        <v>-2964</v>
      </c>
      <c r="P107" s="87">
        <f>-43740-O107-N107</f>
        <v>-3316</v>
      </c>
      <c r="Q107" s="87">
        <f t="shared" si="164"/>
        <v>85654</v>
      </c>
      <c r="R107" s="79">
        <v>-37862</v>
      </c>
      <c r="S107" s="87">
        <f>-41604-R107</f>
        <v>-3742</v>
      </c>
      <c r="T107" s="87">
        <f>-31551-S107-R107</f>
        <v>10053</v>
      </c>
      <c r="U107" s="87">
        <f t="shared" si="165"/>
        <v>95545</v>
      </c>
      <c r="V107" s="79">
        <v>-37742</v>
      </c>
      <c r="W107" s="87">
        <f>-44418-V107</f>
        <v>-6676</v>
      </c>
      <c r="Y107" s="30">
        <f t="shared" si="166"/>
        <v>32523</v>
      </c>
      <c r="Z107" s="30">
        <f t="shared" si="166"/>
        <v>37682</v>
      </c>
      <c r="AA107" s="30">
        <f t="shared" si="166"/>
        <v>38805</v>
      </c>
      <c r="AB107" s="30">
        <f t="shared" si="166"/>
        <v>41914</v>
      </c>
      <c r="AC107" s="30">
        <f t="shared" si="166"/>
        <v>41512</v>
      </c>
      <c r="AD107" s="30">
        <f t="shared" si="166"/>
        <v>40734</v>
      </c>
      <c r="AE107" s="30">
        <f t="shared" si="167"/>
        <v>40734</v>
      </c>
      <c r="AF107" s="30">
        <f t="shared" si="168"/>
        <v>54103</v>
      </c>
      <c r="AG107" s="30">
        <f t="shared" si="169"/>
        <v>63994</v>
      </c>
      <c r="AH107" s="30">
        <f t="shared" si="170"/>
        <v>64114</v>
      </c>
      <c r="AI107" s="30">
        <f t="shared" si="171"/>
        <v>61180</v>
      </c>
      <c r="AJ107" s="57"/>
      <c r="AK107" s="70">
        <f t="shared" si="172"/>
        <v>0.50193941179358759</v>
      </c>
    </row>
    <row r="108" spans="2:37" ht="12.75" customHeight="1">
      <c r="B108" s="58" t="s">
        <v>176</v>
      </c>
      <c r="C108" s="79">
        <v>-256910</v>
      </c>
      <c r="D108" s="79">
        <v>-297513</v>
      </c>
      <c r="E108" s="79">
        <v>-303914</v>
      </c>
      <c r="F108" s="79">
        <v>-324500</v>
      </c>
      <c r="G108" s="79">
        <v>-338105</v>
      </c>
      <c r="H108" s="79">
        <v>-333835</v>
      </c>
      <c r="I108" s="30"/>
      <c r="J108" s="79">
        <v>-79936</v>
      </c>
      <c r="K108" s="87">
        <f>-163302-J108</f>
        <v>-83366</v>
      </c>
      <c r="L108" s="87">
        <f>-246988-K108-J108</f>
        <v>-83686</v>
      </c>
      <c r="M108" s="87">
        <f t="shared" si="163"/>
        <v>-77512</v>
      </c>
      <c r="N108" s="79">
        <v>-78562</v>
      </c>
      <c r="O108" s="87">
        <f>-163527-N108</f>
        <v>-84965</v>
      </c>
      <c r="P108" s="87">
        <f>-248469-O108-N108</f>
        <v>-84942</v>
      </c>
      <c r="Q108" s="87">
        <f t="shared" si="164"/>
        <v>-89636</v>
      </c>
      <c r="R108" s="79">
        <v>-83500</v>
      </c>
      <c r="S108" s="87">
        <f>-170779-R108</f>
        <v>-87279</v>
      </c>
      <c r="T108" s="87">
        <f>-250267-S108-R108</f>
        <v>-79488</v>
      </c>
      <c r="U108" s="87">
        <f t="shared" si="165"/>
        <v>-83568</v>
      </c>
      <c r="V108" s="79">
        <v>-88100</v>
      </c>
      <c r="W108" s="87">
        <f>-180316-V108</f>
        <v>-92216</v>
      </c>
      <c r="Y108" s="30">
        <f t="shared" si="166"/>
        <v>-323126</v>
      </c>
      <c r="Z108" s="30">
        <f t="shared" si="166"/>
        <v>-324725</v>
      </c>
      <c r="AA108" s="30">
        <f t="shared" si="166"/>
        <v>-325981</v>
      </c>
      <c r="AB108" s="30">
        <f t="shared" si="166"/>
        <v>-338105</v>
      </c>
      <c r="AC108" s="30">
        <f t="shared" si="166"/>
        <v>-343043</v>
      </c>
      <c r="AD108" s="30">
        <f t="shared" si="166"/>
        <v>-345357</v>
      </c>
      <c r="AE108" s="30">
        <f t="shared" si="167"/>
        <v>-345357</v>
      </c>
      <c r="AF108" s="30">
        <f t="shared" si="168"/>
        <v>-339903</v>
      </c>
      <c r="AG108" s="30">
        <f t="shared" si="169"/>
        <v>-333835</v>
      </c>
      <c r="AH108" s="30">
        <f t="shared" si="170"/>
        <v>-338435</v>
      </c>
      <c r="AI108" s="30">
        <f t="shared" si="171"/>
        <v>-343372</v>
      </c>
      <c r="AJ108" s="57"/>
      <c r="AK108" s="70">
        <f t="shared" si="172"/>
        <v>-5.7476755936610724E-3</v>
      </c>
    </row>
    <row r="109" spans="2:37" ht="12.75" customHeight="1">
      <c r="B109" s="58" t="s">
        <v>177</v>
      </c>
      <c r="C109" s="79">
        <v>54894</v>
      </c>
      <c r="D109" s="79">
        <v>-783</v>
      </c>
      <c r="E109" s="79">
        <v>12392</v>
      </c>
      <c r="F109" s="79">
        <v>-7731</v>
      </c>
      <c r="G109" s="79">
        <v>-15084</v>
      </c>
      <c r="H109" s="79">
        <v>2241</v>
      </c>
      <c r="I109" s="30"/>
      <c r="J109" s="79">
        <v>3390</v>
      </c>
      <c r="K109" s="87">
        <f>-392-J109</f>
        <v>-3782</v>
      </c>
      <c r="L109" s="87">
        <f>20063-K109-J109</f>
        <v>20455</v>
      </c>
      <c r="M109" s="87">
        <f t="shared" si="163"/>
        <v>-27794</v>
      </c>
      <c r="N109" s="79">
        <v>-17204</v>
      </c>
      <c r="O109" s="87">
        <f>-12497-N109</f>
        <v>4707</v>
      </c>
      <c r="P109" s="87">
        <f>-9836-O109-N109</f>
        <v>2661</v>
      </c>
      <c r="Q109" s="87">
        <f t="shared" si="164"/>
        <v>-5248</v>
      </c>
      <c r="R109" s="79">
        <v>10842</v>
      </c>
      <c r="S109" s="87">
        <f>15127-R109</f>
        <v>4285</v>
      </c>
      <c r="T109" s="87">
        <f>12240-S109-R109</f>
        <v>-2887</v>
      </c>
      <c r="U109" s="87">
        <f t="shared" si="165"/>
        <v>-9999</v>
      </c>
      <c r="V109" s="79">
        <v>-5583</v>
      </c>
      <c r="W109" s="87">
        <f>-15742-V109</f>
        <v>-10159</v>
      </c>
      <c r="Y109" s="30">
        <f t="shared" si="166"/>
        <v>-28325</v>
      </c>
      <c r="Z109" s="30">
        <f t="shared" si="166"/>
        <v>-19836</v>
      </c>
      <c r="AA109" s="30">
        <f t="shared" si="166"/>
        <v>-37630</v>
      </c>
      <c r="AB109" s="30">
        <f t="shared" si="166"/>
        <v>-15084</v>
      </c>
      <c r="AC109" s="30">
        <f t="shared" si="166"/>
        <v>12962</v>
      </c>
      <c r="AD109" s="30">
        <f t="shared" si="166"/>
        <v>12540</v>
      </c>
      <c r="AE109" s="30">
        <f t="shared" si="167"/>
        <v>12540</v>
      </c>
      <c r="AF109" s="30">
        <f t="shared" si="168"/>
        <v>6992</v>
      </c>
      <c r="AG109" s="30">
        <f t="shared" si="169"/>
        <v>2241</v>
      </c>
      <c r="AH109" s="30">
        <f t="shared" si="170"/>
        <v>-14184</v>
      </c>
      <c r="AI109" s="30">
        <f t="shared" si="171"/>
        <v>-28628</v>
      </c>
      <c r="AJ109" s="57"/>
      <c r="AK109" s="70">
        <f t="shared" si="172"/>
        <v>-3.2829346092503986</v>
      </c>
    </row>
    <row r="110" spans="2:37" ht="12.75" customHeight="1">
      <c r="B110" s="12" t="s">
        <v>72</v>
      </c>
      <c r="C110" s="13">
        <f>SUM(C89:C109)</f>
        <v>1101293</v>
      </c>
      <c r="D110" s="13">
        <f>SUM(D89:D109)</f>
        <v>748835.47000000067</v>
      </c>
      <c r="E110" s="13">
        <f>SUM(E89:E109)</f>
        <v>1062591</v>
      </c>
      <c r="F110" s="13">
        <f>SUM(F89:F109)</f>
        <v>1472047</v>
      </c>
      <c r="G110" s="13">
        <f>SUM(G89:G109)</f>
        <v>1441021.9999999981</v>
      </c>
      <c r="H110" s="13">
        <f>SUM(H89:H109)</f>
        <v>1338605</v>
      </c>
      <c r="J110" s="13">
        <f>SUM(J89:J109)</f>
        <v>426302.99999999953</v>
      </c>
      <c r="K110" s="13">
        <f>SUM(K89:K109)</f>
        <v>114364</v>
      </c>
      <c r="L110" s="13">
        <f>SUM(L89:L109)</f>
        <v>32759.000000000466</v>
      </c>
      <c r="M110" s="13">
        <f>SUM(M89:M109)</f>
        <v>898621</v>
      </c>
      <c r="N110" s="32">
        <f>SUM(N89:N109)</f>
        <v>304901.00000000047</v>
      </c>
      <c r="O110" s="13">
        <f>SUM(O89:O109)</f>
        <v>123907</v>
      </c>
      <c r="P110" s="13">
        <f>SUM(P89:P109)</f>
        <v>-70797</v>
      </c>
      <c r="Q110" s="13">
        <f>SUM(Q89:Q109)</f>
        <v>1083010.9999999977</v>
      </c>
      <c r="R110" s="13">
        <f>SUM(R89:R109)</f>
        <v>159339.99999999953</v>
      </c>
      <c r="S110" s="13">
        <f>SUM(S89:S109)</f>
        <v>199539</v>
      </c>
      <c r="T110" s="13">
        <f>SUM(T89:T109)</f>
        <v>-60186</v>
      </c>
      <c r="U110" s="13">
        <f>SUM(U89:U109)</f>
        <v>1039912.0000000005</v>
      </c>
      <c r="V110" s="13">
        <f>SUM(V89:V109)</f>
        <v>220649</v>
      </c>
      <c r="W110" s="13">
        <f>SUM(W89:W109)</f>
        <v>97119</v>
      </c>
      <c r="Y110" s="13">
        <f>SUM(Y89:Y109)</f>
        <v>1358882.0000000009</v>
      </c>
      <c r="Z110" s="13">
        <f>SUM(Z89:Z109)</f>
        <v>1400985.0000000009</v>
      </c>
      <c r="AA110" s="13">
        <f>SUM(AA89:AA109)</f>
        <v>1257455.0000000005</v>
      </c>
      <c r="AB110" s="13">
        <f>SUM(AB89:AB109)</f>
        <v>1390460.9999999981</v>
      </c>
      <c r="AC110" s="13">
        <f>SUM(AC89:AC109)</f>
        <v>1424215.9999999972</v>
      </c>
      <c r="AD110" s="13">
        <f>SUM(AD89:AD109)</f>
        <v>1355745.9999999972</v>
      </c>
      <c r="AE110" s="13">
        <f>SUM(AE89:AE109)</f>
        <v>1368490.9999999972</v>
      </c>
      <c r="AF110" s="13">
        <f>SUM(AF89:AF109)</f>
        <v>1442401.9999999972</v>
      </c>
      <c r="AG110" s="13">
        <f>SUM(AG89:AG109)</f>
        <v>1287051</v>
      </c>
      <c r="AH110" s="13">
        <f>SUM(AH89:AH109)</f>
        <v>1294281.0000000005</v>
      </c>
      <c r="AI110" s="13">
        <f>SUM(AI89:AI109)</f>
        <v>1192512.0000000005</v>
      </c>
      <c r="AJ110" s="40"/>
      <c r="AK110" s="71">
        <f>SUM(AI110/AE110)-1</f>
        <v>-0.12859346535709559</v>
      </c>
    </row>
    <row r="111" spans="2:37" ht="12.75" customHeight="1">
      <c r="B111" s="51"/>
      <c r="C111" s="59"/>
      <c r="D111" s="59"/>
      <c r="E111" s="59"/>
      <c r="F111" s="59"/>
      <c r="G111" s="59"/>
      <c r="H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37"/>
    </row>
    <row r="112" spans="2:37" ht="12.75" customHeight="1">
      <c r="B112" s="138" t="s">
        <v>73</v>
      </c>
      <c r="C112" s="56"/>
      <c r="D112" s="56"/>
      <c r="E112" s="56"/>
      <c r="F112" s="56"/>
      <c r="G112" s="56"/>
      <c r="H112" s="56"/>
      <c r="J112" s="56"/>
      <c r="K112" s="56"/>
      <c r="L112" s="56"/>
      <c r="M112" s="30"/>
      <c r="N112" s="79"/>
      <c r="O112" s="79"/>
      <c r="P112" s="79"/>
      <c r="Q112" s="30"/>
      <c r="R112" s="79"/>
      <c r="S112" s="79"/>
      <c r="T112" s="79"/>
      <c r="U112" s="30"/>
      <c r="V112" s="79"/>
      <c r="W112" s="79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7"/>
      <c r="AK112" s="37"/>
    </row>
    <row r="113" spans="2:37" ht="12.75" customHeight="1">
      <c r="B113" s="58" t="s">
        <v>178</v>
      </c>
      <c r="C113" s="79">
        <v>-298534</v>
      </c>
      <c r="D113" s="79">
        <v>-151866</v>
      </c>
      <c r="E113" s="79">
        <v>-172187</v>
      </c>
      <c r="F113" s="79">
        <v>-312126</v>
      </c>
      <c r="G113" s="79">
        <v>-435267</v>
      </c>
      <c r="H113" s="79">
        <v>-374458</v>
      </c>
      <c r="I113" s="30"/>
      <c r="J113" s="79">
        <v>-71076</v>
      </c>
      <c r="K113" s="87">
        <f>-120500-J113</f>
        <v>-49424</v>
      </c>
      <c r="L113" s="87">
        <f>-203961-K113-J113</f>
        <v>-83461</v>
      </c>
      <c r="M113" s="87">
        <f t="shared" ref="M113:M115" si="173">SUM(F113-SUM(J113:L113))</f>
        <v>-108165</v>
      </c>
      <c r="N113" s="79">
        <v>-109766</v>
      </c>
      <c r="O113" s="87">
        <f>-204748-N113</f>
        <v>-94982</v>
      </c>
      <c r="P113" s="87">
        <f>-311030-O113-N113</f>
        <v>-106282</v>
      </c>
      <c r="Q113" s="87">
        <f>SUM(G113-SUM(N113:P113))</f>
        <v>-124237</v>
      </c>
      <c r="R113" s="79">
        <v>-91024</v>
      </c>
      <c r="S113" s="87">
        <f>-186301-R113</f>
        <v>-95277</v>
      </c>
      <c r="T113" s="87">
        <f>-300536-S113-R113</f>
        <v>-114235</v>
      </c>
      <c r="U113" s="87">
        <f t="shared" ref="U113:U115" si="174">SUM(H113-SUM(R113:T113))</f>
        <v>-73922</v>
      </c>
      <c r="V113" s="79">
        <v>-79031</v>
      </c>
      <c r="W113" s="87">
        <f>-155988-V113</f>
        <v>-76957</v>
      </c>
      <c r="X113" s="30"/>
      <c r="Y113" s="30">
        <f t="shared" ref="Y113:AD115" si="175">SUM(K113:N113)</f>
        <v>-350816</v>
      </c>
      <c r="Z113" s="30">
        <f t="shared" si="175"/>
        <v>-396374</v>
      </c>
      <c r="AA113" s="30">
        <f t="shared" si="175"/>
        <v>-419195</v>
      </c>
      <c r="AB113" s="30">
        <f t="shared" si="175"/>
        <v>-435267</v>
      </c>
      <c r="AC113" s="30">
        <f t="shared" si="175"/>
        <v>-416525</v>
      </c>
      <c r="AD113" s="30">
        <f t="shared" si="175"/>
        <v>-416820</v>
      </c>
      <c r="AE113" s="30">
        <f t="shared" ref="AE113:AE115" si="176">SUM(P113:S113)</f>
        <v>-416820</v>
      </c>
      <c r="AF113" s="30">
        <f t="shared" ref="AF113:AF115" si="177">SUM(Q113:T113)</f>
        <v>-424773</v>
      </c>
      <c r="AG113" s="30">
        <f t="shared" ref="AG113:AG115" si="178">SUM(R113:U113)</f>
        <v>-374458</v>
      </c>
      <c r="AH113" s="30">
        <f t="shared" ref="AH113:AH115" si="179">SUM(S113:V113)</f>
        <v>-362465</v>
      </c>
      <c r="AI113" s="30">
        <f t="shared" ref="AI113:AI115" si="180">SUM(T113:W113)</f>
        <v>-344145</v>
      </c>
      <c r="AJ113" s="57"/>
      <c r="AK113" s="70">
        <f t="shared" ref="AK113:AK115" si="181">SUM(AI113/AE113)-1</f>
        <v>-0.17435583705196489</v>
      </c>
    </row>
    <row r="114" spans="2:37" ht="12.75" customHeight="1">
      <c r="B114" s="58" t="s">
        <v>179</v>
      </c>
      <c r="C114" s="79">
        <v>0</v>
      </c>
      <c r="D114" s="79">
        <v>0</v>
      </c>
      <c r="E114" s="79">
        <v>0</v>
      </c>
      <c r="F114" s="79">
        <v>0</v>
      </c>
      <c r="G114" s="79">
        <v>0</v>
      </c>
      <c r="H114" s="79">
        <v>0</v>
      </c>
      <c r="I114" s="30"/>
      <c r="J114" s="79">
        <v>0</v>
      </c>
      <c r="K114" s="87">
        <v>0</v>
      </c>
      <c r="L114" s="87">
        <v>0</v>
      </c>
      <c r="M114" s="87">
        <v>0</v>
      </c>
      <c r="N114" s="79">
        <v>0</v>
      </c>
      <c r="O114" s="87">
        <v>0</v>
      </c>
      <c r="P114" s="87">
        <v>0</v>
      </c>
      <c r="Q114" s="87">
        <v>0</v>
      </c>
      <c r="R114" s="79">
        <v>0</v>
      </c>
      <c r="S114" s="87">
        <v>0</v>
      </c>
      <c r="T114" s="87">
        <v>0</v>
      </c>
      <c r="U114" s="87">
        <v>0</v>
      </c>
      <c r="V114" s="79">
        <v>0</v>
      </c>
      <c r="W114" s="87">
        <f>-386793-V114</f>
        <v>-386793</v>
      </c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57"/>
      <c r="AK114" s="70"/>
    </row>
    <row r="115" spans="2:37" ht="12.75" customHeight="1">
      <c r="B115" s="58" t="s">
        <v>180</v>
      </c>
      <c r="C115" s="79">
        <v>-172946</v>
      </c>
      <c r="D115" s="79">
        <v>103115</v>
      </c>
      <c r="E115" s="79">
        <v>-4297</v>
      </c>
      <c r="F115" s="79">
        <v>-2458</v>
      </c>
      <c r="G115" s="79">
        <v>-6158</v>
      </c>
      <c r="H115" s="79">
        <v>-8631</v>
      </c>
      <c r="I115" s="30"/>
      <c r="J115" s="79">
        <v>-797</v>
      </c>
      <c r="K115" s="87">
        <f>-1249-J115</f>
        <v>-452</v>
      </c>
      <c r="L115" s="87">
        <f>-3068-K115-J115</f>
        <v>-1819</v>
      </c>
      <c r="M115" s="87">
        <f t="shared" si="173"/>
        <v>610</v>
      </c>
      <c r="N115" s="79">
        <v>-314</v>
      </c>
      <c r="O115" s="87">
        <f>-1687-N115</f>
        <v>-1373</v>
      </c>
      <c r="P115" s="87">
        <f>-4870-O115-N115</f>
        <v>-3183</v>
      </c>
      <c r="Q115" s="87">
        <f>SUM(G115-SUM(N115:P115))</f>
        <v>-1288</v>
      </c>
      <c r="R115" s="79">
        <v>-2563</v>
      </c>
      <c r="S115" s="87">
        <f>-5091-R115</f>
        <v>-2528</v>
      </c>
      <c r="T115" s="87">
        <f>-6108-S115-R115</f>
        <v>-1017</v>
      </c>
      <c r="U115" s="87">
        <f t="shared" si="174"/>
        <v>-2523</v>
      </c>
      <c r="V115" s="79">
        <v>-7346</v>
      </c>
      <c r="W115" s="87">
        <f>-17130-V115</f>
        <v>-9784</v>
      </c>
      <c r="X115" s="30"/>
      <c r="Y115" s="30">
        <f t="shared" si="175"/>
        <v>-1975</v>
      </c>
      <c r="Z115" s="30">
        <f t="shared" si="175"/>
        <v>-2896</v>
      </c>
      <c r="AA115" s="30">
        <f t="shared" si="175"/>
        <v>-4260</v>
      </c>
      <c r="AB115" s="30">
        <f t="shared" si="175"/>
        <v>-6158</v>
      </c>
      <c r="AC115" s="30">
        <f t="shared" si="175"/>
        <v>-8407</v>
      </c>
      <c r="AD115" s="30">
        <f t="shared" si="175"/>
        <v>-9562</v>
      </c>
      <c r="AE115" s="30">
        <f t="shared" si="176"/>
        <v>-9562</v>
      </c>
      <c r="AF115" s="30">
        <f t="shared" si="177"/>
        <v>-7396</v>
      </c>
      <c r="AG115" s="30">
        <f t="shared" si="178"/>
        <v>-8631</v>
      </c>
      <c r="AH115" s="30">
        <f t="shared" si="179"/>
        <v>-13414</v>
      </c>
      <c r="AI115" s="30">
        <f t="shared" si="180"/>
        <v>-20670</v>
      </c>
      <c r="AJ115" s="57"/>
      <c r="AK115" s="70">
        <f t="shared" si="181"/>
        <v>1.1616816565572057</v>
      </c>
    </row>
    <row r="116" spans="2:37" ht="12.75" customHeight="1">
      <c r="B116" s="12" t="s">
        <v>74</v>
      </c>
      <c r="C116" s="13">
        <f t="shared" ref="C116:E116" si="182">SUM(C113:C115)</f>
        <v>-471480</v>
      </c>
      <c r="D116" s="13">
        <f t="shared" si="182"/>
        <v>-48751</v>
      </c>
      <c r="E116" s="13">
        <f t="shared" si="182"/>
        <v>-176484</v>
      </c>
      <c r="F116" s="13">
        <f>SUM(F113:F115)</f>
        <v>-314584</v>
      </c>
      <c r="G116" s="13">
        <f>SUM(G113:G115)</f>
        <v>-441425</v>
      </c>
      <c r="H116" s="13">
        <f>SUM(H113:H115)</f>
        <v>-383089</v>
      </c>
      <c r="J116" s="13">
        <f t="shared" ref="J116:W116" si="183">SUM(J113:J115)</f>
        <v>-71873</v>
      </c>
      <c r="K116" s="13">
        <f t="shared" si="183"/>
        <v>-49876</v>
      </c>
      <c r="L116" s="13">
        <f t="shared" si="183"/>
        <v>-85280</v>
      </c>
      <c r="M116" s="13">
        <f t="shared" si="183"/>
        <v>-107555</v>
      </c>
      <c r="N116" s="13">
        <f t="shared" si="183"/>
        <v>-110080</v>
      </c>
      <c r="O116" s="13">
        <f t="shared" si="183"/>
        <v>-96355</v>
      </c>
      <c r="P116" s="13">
        <f t="shared" si="183"/>
        <v>-109465</v>
      </c>
      <c r="Q116" s="13">
        <f t="shared" si="183"/>
        <v>-125525</v>
      </c>
      <c r="R116" s="13">
        <f t="shared" si="183"/>
        <v>-93587</v>
      </c>
      <c r="S116" s="13">
        <f t="shared" si="183"/>
        <v>-97805</v>
      </c>
      <c r="T116" s="13">
        <f t="shared" si="183"/>
        <v>-115252</v>
      </c>
      <c r="U116" s="13">
        <f t="shared" si="183"/>
        <v>-76445</v>
      </c>
      <c r="V116" s="13">
        <f t="shared" si="183"/>
        <v>-86377</v>
      </c>
      <c r="W116" s="13">
        <f t="shared" si="183"/>
        <v>-473534</v>
      </c>
      <c r="Y116" s="13">
        <f t="shared" ref="Y116:AI116" si="184">SUM(Y113:Y115)</f>
        <v>-352791</v>
      </c>
      <c r="Z116" s="13">
        <f t="shared" si="184"/>
        <v>-399270</v>
      </c>
      <c r="AA116" s="13">
        <f t="shared" si="184"/>
        <v>-423455</v>
      </c>
      <c r="AB116" s="13">
        <f t="shared" si="184"/>
        <v>-441425</v>
      </c>
      <c r="AC116" s="13">
        <f t="shared" si="184"/>
        <v>-424932</v>
      </c>
      <c r="AD116" s="13">
        <f t="shared" si="184"/>
        <v>-426382</v>
      </c>
      <c r="AE116" s="13">
        <f t="shared" si="184"/>
        <v>-426382</v>
      </c>
      <c r="AF116" s="13">
        <f t="shared" si="184"/>
        <v>-432169</v>
      </c>
      <c r="AG116" s="13">
        <f t="shared" si="184"/>
        <v>-383089</v>
      </c>
      <c r="AH116" s="13">
        <f t="shared" si="184"/>
        <v>-375879</v>
      </c>
      <c r="AI116" s="13">
        <f t="shared" si="184"/>
        <v>-364815</v>
      </c>
      <c r="AJ116" s="40"/>
      <c r="AK116" s="71">
        <f>SUM(AI116/AE116)-1</f>
        <v>-0.14439399411795062</v>
      </c>
    </row>
    <row r="117" spans="2:37" ht="5.0999999999999996" customHeight="1">
      <c r="B117" s="50"/>
      <c r="C117" s="59"/>
      <c r="D117" s="59"/>
      <c r="E117" s="59"/>
      <c r="F117" s="59"/>
      <c r="G117" s="59"/>
      <c r="H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37"/>
    </row>
    <row r="118" spans="2:37" ht="12.75" customHeight="1">
      <c r="B118" s="138" t="s">
        <v>75</v>
      </c>
      <c r="C118" s="60"/>
      <c r="D118" s="60"/>
      <c r="E118" s="60"/>
      <c r="F118" s="60"/>
      <c r="G118" s="60"/>
      <c r="H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61"/>
      <c r="AK118" s="37"/>
    </row>
    <row r="119" spans="2:37" ht="12.75" customHeight="1">
      <c r="B119" s="80" t="s">
        <v>181</v>
      </c>
      <c r="C119" s="79">
        <v>0</v>
      </c>
      <c r="D119" s="79">
        <v>0</v>
      </c>
      <c r="E119" s="79">
        <v>0</v>
      </c>
      <c r="F119" s="79">
        <v>0</v>
      </c>
      <c r="G119" s="79">
        <v>0</v>
      </c>
      <c r="H119" s="79">
        <v>0</v>
      </c>
      <c r="J119" s="79">
        <v>0</v>
      </c>
      <c r="K119" s="87">
        <v>0</v>
      </c>
      <c r="L119" s="87">
        <v>0</v>
      </c>
      <c r="M119" s="87">
        <v>0</v>
      </c>
      <c r="N119" s="79">
        <v>0</v>
      </c>
      <c r="O119" s="87">
        <v>0</v>
      </c>
      <c r="P119" s="87">
        <v>0</v>
      </c>
      <c r="Q119" s="87">
        <v>0</v>
      </c>
      <c r="R119" s="79">
        <v>0</v>
      </c>
      <c r="S119" s="87">
        <v>0</v>
      </c>
      <c r="T119" s="87">
        <v>0</v>
      </c>
      <c r="U119" s="87">
        <v>0</v>
      </c>
      <c r="V119" s="79">
        <v>0</v>
      </c>
      <c r="W119" s="87">
        <f>593641-V119</f>
        <v>593641</v>
      </c>
      <c r="X119" s="30"/>
      <c r="Y119" s="30"/>
      <c r="Z119" s="30"/>
      <c r="AA119" s="30"/>
      <c r="AB119" s="30"/>
      <c r="AC119" s="30"/>
      <c r="AD119" s="30"/>
      <c r="AE119" s="30">
        <f t="shared" ref="AE119:AE128" si="185">SUM(P119:S119)</f>
        <v>0</v>
      </c>
      <c r="AF119" s="30">
        <f t="shared" ref="AF119:AF128" si="186">SUM(Q119:T119)</f>
        <v>0</v>
      </c>
      <c r="AG119" s="30">
        <f t="shared" ref="AG119:AG128" si="187">SUM(R119:U119)</f>
        <v>0</v>
      </c>
      <c r="AH119" s="30">
        <f t="shared" ref="AH119:AH128" si="188">SUM(S119:V119)</f>
        <v>0</v>
      </c>
      <c r="AI119" s="30">
        <f t="shared" ref="AI119:AI128" si="189">SUM(T119:W119)</f>
        <v>593641</v>
      </c>
      <c r="AJ119" s="61"/>
      <c r="AK119" s="70" t="e">
        <f t="shared" ref="AK119:AK120" si="190">SUM(AI119/AE119)-1</f>
        <v>#DIV/0!</v>
      </c>
    </row>
    <row r="120" spans="2:37" ht="12.75" customHeight="1">
      <c r="B120" s="80" t="s">
        <v>182</v>
      </c>
      <c r="C120" s="79">
        <v>0</v>
      </c>
      <c r="D120" s="79">
        <v>0</v>
      </c>
      <c r="E120" s="79">
        <v>0</v>
      </c>
      <c r="F120" s="79">
        <v>0</v>
      </c>
      <c r="G120" s="79">
        <v>0</v>
      </c>
      <c r="H120" s="79">
        <v>0</v>
      </c>
      <c r="I120" s="30"/>
      <c r="J120" s="79">
        <v>0</v>
      </c>
      <c r="K120" s="87">
        <v>0</v>
      </c>
      <c r="L120" s="87">
        <v>0</v>
      </c>
      <c r="M120" s="87">
        <v>0</v>
      </c>
      <c r="N120" s="79">
        <v>0</v>
      </c>
      <c r="O120" s="87">
        <v>0</v>
      </c>
      <c r="P120" s="87">
        <v>0</v>
      </c>
      <c r="Q120" s="87">
        <v>0</v>
      </c>
      <c r="R120" s="79">
        <v>0</v>
      </c>
      <c r="S120" s="87">
        <v>0</v>
      </c>
      <c r="T120" s="87">
        <v>0</v>
      </c>
      <c r="U120" s="87">
        <v>0</v>
      </c>
      <c r="V120" s="79">
        <v>0</v>
      </c>
      <c r="W120" s="87">
        <f>-333100-V120</f>
        <v>-333100</v>
      </c>
      <c r="X120" s="30"/>
      <c r="Y120" s="30"/>
      <c r="Z120" s="30"/>
      <c r="AA120" s="30"/>
      <c r="AB120" s="30"/>
      <c r="AC120" s="30"/>
      <c r="AD120" s="30"/>
      <c r="AE120" s="30">
        <f t="shared" si="185"/>
        <v>0</v>
      </c>
      <c r="AF120" s="30">
        <f t="shared" si="186"/>
        <v>0</v>
      </c>
      <c r="AG120" s="30">
        <f t="shared" si="187"/>
        <v>0</v>
      </c>
      <c r="AH120" s="30">
        <f t="shared" si="188"/>
        <v>0</v>
      </c>
      <c r="AI120" s="30">
        <f t="shared" si="189"/>
        <v>-333100</v>
      </c>
      <c r="AJ120" s="61"/>
      <c r="AK120" s="70" t="e">
        <f t="shared" si="190"/>
        <v>#DIV/0!</v>
      </c>
    </row>
    <row r="121" spans="2:37" ht="12.75" customHeight="1">
      <c r="B121" s="80" t="s">
        <v>183</v>
      </c>
      <c r="C121" s="79">
        <v>0</v>
      </c>
      <c r="D121" s="79">
        <v>0</v>
      </c>
      <c r="E121" s="79">
        <v>0</v>
      </c>
      <c r="F121" s="79">
        <v>0</v>
      </c>
      <c r="G121" s="79">
        <v>195400</v>
      </c>
      <c r="H121" s="79">
        <v>199700</v>
      </c>
      <c r="I121" s="30"/>
      <c r="J121" s="79">
        <v>0</v>
      </c>
      <c r="K121" s="87">
        <v>0</v>
      </c>
      <c r="L121" s="87">
        <v>0</v>
      </c>
      <c r="M121" s="87">
        <f t="shared" ref="M121:M128" si="191">SUM(F121-SUM(J121:L121))</f>
        <v>0</v>
      </c>
      <c r="N121" s="79">
        <v>0</v>
      </c>
      <c r="O121" s="87">
        <v>0</v>
      </c>
      <c r="P121" s="87">
        <f>195400-O121-N121</f>
        <v>195400</v>
      </c>
      <c r="Q121" s="87">
        <v>0</v>
      </c>
      <c r="R121" s="79">
        <v>0</v>
      </c>
      <c r="S121" s="87">
        <v>0</v>
      </c>
      <c r="T121" s="87">
        <f>199700-S121-R121</f>
        <v>199700</v>
      </c>
      <c r="U121" s="87">
        <f t="shared" ref="U121:U128" si="192">SUM(H121-SUM(R121:T121))</f>
        <v>0</v>
      </c>
      <c r="V121" s="79">
        <v>0</v>
      </c>
      <c r="W121" s="87">
        <v>0</v>
      </c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61"/>
      <c r="AK121" s="70"/>
    </row>
    <row r="122" spans="2:37" ht="12.75" customHeight="1">
      <c r="B122" s="80" t="s">
        <v>184</v>
      </c>
      <c r="C122" s="79">
        <v>0</v>
      </c>
      <c r="D122" s="79">
        <v>0</v>
      </c>
      <c r="E122" s="79">
        <v>0</v>
      </c>
      <c r="F122" s="79">
        <v>0</v>
      </c>
      <c r="G122" s="79">
        <v>-195400</v>
      </c>
      <c r="H122" s="79">
        <v>-199700</v>
      </c>
      <c r="I122" s="30"/>
      <c r="J122" s="79">
        <v>0</v>
      </c>
      <c r="K122" s="87">
        <v>0</v>
      </c>
      <c r="L122" s="87">
        <v>0</v>
      </c>
      <c r="M122" s="87">
        <f>SUM(F122-SUM(J122:L122))</f>
        <v>0</v>
      </c>
      <c r="N122" s="79">
        <v>0</v>
      </c>
      <c r="O122" s="87">
        <v>0</v>
      </c>
      <c r="P122" s="87">
        <v>0</v>
      </c>
      <c r="Q122" s="87">
        <f>SUM(G122-SUM(N122:P122))</f>
        <v>-195400</v>
      </c>
      <c r="R122" s="79">
        <v>0</v>
      </c>
      <c r="S122" s="87">
        <v>0</v>
      </c>
      <c r="T122" s="87">
        <v>0</v>
      </c>
      <c r="U122" s="87">
        <f t="shared" si="192"/>
        <v>-199700</v>
      </c>
      <c r="V122" s="79">
        <v>0</v>
      </c>
      <c r="W122" s="87">
        <v>0</v>
      </c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61"/>
      <c r="AK122" s="70"/>
    </row>
    <row r="123" spans="2:37" ht="12.75" customHeight="1">
      <c r="B123" s="80" t="s">
        <v>185</v>
      </c>
      <c r="C123" s="79">
        <v>0</v>
      </c>
      <c r="D123" s="79">
        <v>800000</v>
      </c>
      <c r="E123" s="79">
        <v>0</v>
      </c>
      <c r="F123" s="79">
        <v>0</v>
      </c>
      <c r="G123" s="79">
        <v>0</v>
      </c>
      <c r="H123" s="79"/>
      <c r="I123" s="30"/>
      <c r="J123" s="79">
        <v>0</v>
      </c>
      <c r="K123" s="87">
        <v>0</v>
      </c>
      <c r="L123" s="87">
        <v>0</v>
      </c>
      <c r="M123" s="87">
        <f>SUM(F123-SUM(J123:L123))</f>
        <v>0</v>
      </c>
      <c r="N123" s="79">
        <v>0</v>
      </c>
      <c r="O123" s="87">
        <v>0</v>
      </c>
      <c r="P123" s="87">
        <v>0</v>
      </c>
      <c r="Q123" s="87">
        <f>SUM(G123-SUM(N123:P123))</f>
        <v>0</v>
      </c>
      <c r="R123" s="79">
        <v>0</v>
      </c>
      <c r="S123" s="87">
        <v>0</v>
      </c>
      <c r="T123" s="87">
        <v>0</v>
      </c>
      <c r="U123" s="87">
        <f t="shared" si="192"/>
        <v>0</v>
      </c>
      <c r="V123" s="79">
        <v>0</v>
      </c>
      <c r="W123" s="87">
        <v>0</v>
      </c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61"/>
      <c r="AK123" s="70"/>
    </row>
    <row r="124" spans="2:37" ht="12.75" customHeight="1">
      <c r="B124" s="80" t="s">
        <v>186</v>
      </c>
      <c r="C124" s="79">
        <v>0</v>
      </c>
      <c r="D124" s="79">
        <v>-800000</v>
      </c>
      <c r="E124" s="79">
        <v>0</v>
      </c>
      <c r="F124" s="79">
        <v>0</v>
      </c>
      <c r="G124" s="79">
        <v>0</v>
      </c>
      <c r="H124" s="79"/>
      <c r="I124" s="30"/>
      <c r="J124" s="79">
        <v>0</v>
      </c>
      <c r="K124" s="87">
        <v>0</v>
      </c>
      <c r="L124" s="87">
        <v>0</v>
      </c>
      <c r="M124" s="87">
        <f t="shared" ref="M124" si="193">SUM(F124-SUM(J124:L124))</f>
        <v>0</v>
      </c>
      <c r="N124" s="79">
        <v>0</v>
      </c>
      <c r="O124" s="87">
        <v>0</v>
      </c>
      <c r="P124" s="87">
        <v>0</v>
      </c>
      <c r="Q124" s="87">
        <f>SUM(G124-SUM(N124:P124))</f>
        <v>0</v>
      </c>
      <c r="R124" s="79">
        <v>0</v>
      </c>
      <c r="S124" s="87">
        <v>0</v>
      </c>
      <c r="T124" s="87">
        <v>0</v>
      </c>
      <c r="U124" s="87">
        <f t="shared" si="192"/>
        <v>0</v>
      </c>
      <c r="V124" s="79">
        <v>0</v>
      </c>
      <c r="W124" s="87">
        <v>0</v>
      </c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61"/>
      <c r="AK124" s="70"/>
    </row>
    <row r="125" spans="2:37" ht="12.75" customHeight="1">
      <c r="B125" s="80" t="s">
        <v>187</v>
      </c>
      <c r="C125" s="79">
        <v>0</v>
      </c>
      <c r="D125" s="79">
        <v>-1915</v>
      </c>
      <c r="E125" s="79">
        <v>0</v>
      </c>
      <c r="F125" s="79">
        <v>0</v>
      </c>
      <c r="G125" s="79">
        <v>0</v>
      </c>
      <c r="H125" s="79">
        <v>-4159</v>
      </c>
      <c r="I125" s="30"/>
      <c r="J125" s="79">
        <v>0</v>
      </c>
      <c r="K125" s="87">
        <v>0</v>
      </c>
      <c r="L125" s="87">
        <v>0</v>
      </c>
      <c r="M125" s="87">
        <f>SUM(F125-SUM(J125:L125))</f>
        <v>0</v>
      </c>
      <c r="N125" s="79">
        <v>0</v>
      </c>
      <c r="O125" s="87">
        <v>0</v>
      </c>
      <c r="P125" s="87">
        <v>0</v>
      </c>
      <c r="Q125" s="87">
        <f>SUM(G125-SUM(N125:P125))</f>
        <v>0</v>
      </c>
      <c r="R125" s="79">
        <v>-3950</v>
      </c>
      <c r="S125" s="87">
        <f>-4088-R125</f>
        <v>-138</v>
      </c>
      <c r="T125" s="87">
        <f>-4159-S125-R125</f>
        <v>-71</v>
      </c>
      <c r="U125" s="87">
        <f t="shared" si="192"/>
        <v>0</v>
      </c>
      <c r="V125" s="79">
        <v>0</v>
      </c>
      <c r="W125" s="87">
        <v>0</v>
      </c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61"/>
      <c r="AK125" s="70"/>
    </row>
    <row r="126" spans="2:37" ht="12.75" customHeight="1">
      <c r="B126" s="80" t="s">
        <v>188</v>
      </c>
      <c r="C126" s="79">
        <v>-680979</v>
      </c>
      <c r="D126" s="79">
        <v>-114895</v>
      </c>
      <c r="E126" s="79">
        <v>-1521925</v>
      </c>
      <c r="F126" s="79">
        <v>-900033</v>
      </c>
      <c r="G126" s="79">
        <v>-995738</v>
      </c>
      <c r="H126" s="79">
        <v>-1003328</v>
      </c>
      <c r="I126" s="30"/>
      <c r="J126" s="79">
        <v>-132834</v>
      </c>
      <c r="K126" s="87">
        <f>-434448-J126</f>
        <v>-301614</v>
      </c>
      <c r="L126" s="87">
        <f>-571908-K126-J126</f>
        <v>-137460</v>
      </c>
      <c r="M126" s="87">
        <f t="shared" si="191"/>
        <v>-328125</v>
      </c>
      <c r="N126" s="79">
        <v>-283517</v>
      </c>
      <c r="O126" s="87">
        <f>-559011-N126</f>
        <v>-275494</v>
      </c>
      <c r="P126" s="87">
        <f>-840551-O126-N126</f>
        <v>-281540</v>
      </c>
      <c r="Q126" s="87">
        <f t="shared" ref="Q126:Q128" si="194">SUM(G126-SUM(N126:P126))</f>
        <v>-155187</v>
      </c>
      <c r="R126" s="79">
        <v>-289431</v>
      </c>
      <c r="S126" s="87">
        <f>-501768-R126</f>
        <v>-212337</v>
      </c>
      <c r="T126" s="87">
        <f>-765384-S126-R126</f>
        <v>-263616</v>
      </c>
      <c r="U126" s="87">
        <f t="shared" si="192"/>
        <v>-237944</v>
      </c>
      <c r="V126" s="79">
        <v>-369786</v>
      </c>
      <c r="W126" s="87">
        <f>-479242-V126</f>
        <v>-109456</v>
      </c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61"/>
      <c r="AK126" s="70"/>
    </row>
    <row r="127" spans="2:37" ht="12.75" customHeight="1">
      <c r="B127" s="80" t="s">
        <v>189</v>
      </c>
      <c r="C127" s="79">
        <v>43780</v>
      </c>
      <c r="D127" s="79">
        <v>12229</v>
      </c>
      <c r="E127" s="79">
        <v>40386</v>
      </c>
      <c r="F127" s="79">
        <v>46011</v>
      </c>
      <c r="G127" s="79">
        <v>12176</v>
      </c>
      <c r="H127" s="79">
        <v>12339</v>
      </c>
      <c r="I127" s="30"/>
      <c r="J127" s="79">
        <v>6502</v>
      </c>
      <c r="K127" s="87">
        <f>24521-J127</f>
        <v>18019</v>
      </c>
      <c r="L127" s="87">
        <f>31319-K127-J127</f>
        <v>6798</v>
      </c>
      <c r="M127" s="87">
        <f t="shared" si="191"/>
        <v>14692</v>
      </c>
      <c r="N127" s="79">
        <v>8927</v>
      </c>
      <c r="O127" s="87">
        <f>9147-N127</f>
        <v>220</v>
      </c>
      <c r="P127" s="87">
        <f>9302-O127-N127</f>
        <v>155</v>
      </c>
      <c r="Q127" s="87">
        <f t="shared" si="194"/>
        <v>2874</v>
      </c>
      <c r="R127" s="79">
        <v>8913</v>
      </c>
      <c r="S127" s="87">
        <f>9196-R127</f>
        <v>283</v>
      </c>
      <c r="T127" s="87">
        <f>9200-S127-R127</f>
        <v>4</v>
      </c>
      <c r="U127" s="87">
        <f t="shared" si="192"/>
        <v>3139</v>
      </c>
      <c r="V127" s="79">
        <v>481</v>
      </c>
      <c r="W127" s="87">
        <f>14851-V127</f>
        <v>14370</v>
      </c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61"/>
      <c r="AK127" s="70"/>
    </row>
    <row r="128" spans="2:37" ht="12.75" customHeight="1">
      <c r="B128" s="80" t="s">
        <v>190</v>
      </c>
      <c r="C128" s="79">
        <v>-9540</v>
      </c>
      <c r="D128" s="79">
        <v>-3353</v>
      </c>
      <c r="E128" s="79">
        <v>-15677</v>
      </c>
      <c r="F128" s="79">
        <v>-6992</v>
      </c>
      <c r="G128" s="79">
        <v>-22562</v>
      </c>
      <c r="H128" s="79">
        <v>-23761</v>
      </c>
      <c r="I128" s="30"/>
      <c r="J128" s="79">
        <v>-5172</v>
      </c>
      <c r="K128" s="87">
        <f>-6325-J128</f>
        <v>-1153</v>
      </c>
      <c r="L128" s="87">
        <f>-6740-K128-J128</f>
        <v>-415</v>
      </c>
      <c r="M128" s="87">
        <f t="shared" si="191"/>
        <v>-252</v>
      </c>
      <c r="N128" s="79">
        <v>-21659</v>
      </c>
      <c r="O128" s="87">
        <f>-21759-N128</f>
        <v>-100</v>
      </c>
      <c r="P128" s="87">
        <f>-22328-O128-N128</f>
        <v>-569</v>
      </c>
      <c r="Q128" s="87">
        <f t="shared" si="194"/>
        <v>-234</v>
      </c>
      <c r="R128" s="79">
        <v>-23283</v>
      </c>
      <c r="S128" s="87">
        <f>-23459-R128</f>
        <v>-176</v>
      </c>
      <c r="T128" s="87">
        <f>-23566-S128-R128</f>
        <v>-107</v>
      </c>
      <c r="U128" s="87">
        <f t="shared" si="192"/>
        <v>-195</v>
      </c>
      <c r="V128" s="79">
        <v>-12911</v>
      </c>
      <c r="W128" s="87">
        <f>-13238-V128</f>
        <v>-327</v>
      </c>
      <c r="X128" s="30"/>
      <c r="Y128" s="30">
        <f t="shared" ref="Y128:AD128" si="195">SUM(K128:N128)</f>
        <v>-23479</v>
      </c>
      <c r="Z128" s="30">
        <f t="shared" si="195"/>
        <v>-22426</v>
      </c>
      <c r="AA128" s="30">
        <f t="shared" si="195"/>
        <v>-22580</v>
      </c>
      <c r="AB128" s="30">
        <f t="shared" si="195"/>
        <v>-22562</v>
      </c>
      <c r="AC128" s="30">
        <f t="shared" si="195"/>
        <v>-24186</v>
      </c>
      <c r="AD128" s="30">
        <f t="shared" si="195"/>
        <v>-24262</v>
      </c>
      <c r="AE128" s="30">
        <f t="shared" si="185"/>
        <v>-24262</v>
      </c>
      <c r="AF128" s="30">
        <f t="shared" si="186"/>
        <v>-23800</v>
      </c>
      <c r="AG128" s="30">
        <f t="shared" si="187"/>
        <v>-23761</v>
      </c>
      <c r="AH128" s="30">
        <f t="shared" si="188"/>
        <v>-13389</v>
      </c>
      <c r="AI128" s="30">
        <f t="shared" si="189"/>
        <v>-13540</v>
      </c>
      <c r="AJ128" s="61"/>
      <c r="AK128" s="70">
        <f t="shared" ref="AK128" si="196">SUM(AI128/AE128)-1</f>
        <v>-0.4419256450416289</v>
      </c>
    </row>
    <row r="129" spans="2:37" ht="12.75" customHeight="1">
      <c r="B129" s="12" t="s">
        <v>76</v>
      </c>
      <c r="C129" s="32">
        <f>SUM(C119:C128)</f>
        <v>-646739</v>
      </c>
      <c r="D129" s="32">
        <f>SUM(D119:D128)</f>
        <v>-107934</v>
      </c>
      <c r="E129" s="32">
        <f>SUM(E119:E128)</f>
        <v>-1497216</v>
      </c>
      <c r="F129" s="32">
        <f>SUM(F119:F128)</f>
        <v>-861014</v>
      </c>
      <c r="G129" s="32">
        <f>SUM(G119:G128)</f>
        <v>-1006124</v>
      </c>
      <c r="H129" s="32">
        <f>SUM(H119:H128)</f>
        <v>-1018909</v>
      </c>
      <c r="J129" s="32">
        <f>SUM(J119:J128)</f>
        <v>-131504</v>
      </c>
      <c r="K129" s="32">
        <f>SUM(K119:K128)</f>
        <v>-284748</v>
      </c>
      <c r="L129" s="32">
        <f>SUM(L119:L128)</f>
        <v>-131077</v>
      </c>
      <c r="M129" s="32">
        <f>SUM(M119:M128)</f>
        <v>-313685</v>
      </c>
      <c r="N129" s="32">
        <f>SUM(N119:N128)</f>
        <v>-296249</v>
      </c>
      <c r="O129" s="32">
        <f>SUM(O119:O128)</f>
        <v>-275374</v>
      </c>
      <c r="P129" s="32">
        <f>SUM(P119:P128)</f>
        <v>-86554</v>
      </c>
      <c r="Q129" s="32">
        <f>SUM(Q119:Q128)</f>
        <v>-347947</v>
      </c>
      <c r="R129" s="32">
        <f>SUM(R119:R128)</f>
        <v>-307751</v>
      </c>
      <c r="S129" s="32">
        <f>SUM(S119:S128)</f>
        <v>-212368</v>
      </c>
      <c r="T129" s="32">
        <f>SUM(T119:T128)</f>
        <v>-64090</v>
      </c>
      <c r="U129" s="32">
        <f>SUM(U119:U128)</f>
        <v>-434700</v>
      </c>
      <c r="V129" s="32">
        <f>SUM(V119:V128)</f>
        <v>-382216</v>
      </c>
      <c r="W129" s="32">
        <f>SUM(W119:W128)</f>
        <v>165128</v>
      </c>
      <c r="X129" s="30"/>
      <c r="Y129" s="32">
        <f>SUM(Y119:Y128)</f>
        <v>-23479</v>
      </c>
      <c r="Z129" s="32">
        <f>SUM(Z119:Z128)</f>
        <v>-22426</v>
      </c>
      <c r="AA129" s="32">
        <f>SUM(AA119:AA128)</f>
        <v>-22580</v>
      </c>
      <c r="AB129" s="32">
        <f>SUM(AB119:AB128)</f>
        <v>-22562</v>
      </c>
      <c r="AC129" s="32">
        <f>SUM(AC119:AC128)</f>
        <v>-24186</v>
      </c>
      <c r="AD129" s="32">
        <f>SUM(AD119:AD128)</f>
        <v>-24262</v>
      </c>
      <c r="AE129" s="32">
        <f>SUM(AE119:AE128)</f>
        <v>-24262</v>
      </c>
      <c r="AF129" s="32">
        <f>SUM(AF119:AF128)</f>
        <v>-23800</v>
      </c>
      <c r="AG129" s="32">
        <f>SUM(AG119:AG128)</f>
        <v>-23761</v>
      </c>
      <c r="AH129" s="32">
        <f>SUM(AH119:AH128)</f>
        <v>-13389</v>
      </c>
      <c r="AI129" s="32">
        <f>SUM(AI119:AI128)</f>
        <v>247001</v>
      </c>
      <c r="AJ129" s="40"/>
      <c r="AK129" s="71">
        <f>SUM(AI129/AE129)-1</f>
        <v>-11.180570439370209</v>
      </c>
    </row>
    <row r="130" spans="2:37" ht="5.0999999999999996" customHeight="1">
      <c r="B130" s="8"/>
      <c r="C130" s="62"/>
      <c r="D130" s="62"/>
      <c r="E130" s="62"/>
      <c r="F130" s="62"/>
      <c r="G130" s="62"/>
      <c r="H130" s="62"/>
      <c r="I130" s="30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44"/>
    </row>
    <row r="131" spans="2:37" ht="5.0999999999999996" customHeight="1">
      <c r="B131" s="67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11"/>
      <c r="AK131" s="44"/>
    </row>
    <row r="132" spans="2:37">
      <c r="B132" s="129" t="s">
        <v>81</v>
      </c>
      <c r="C132" s="121"/>
      <c r="D132" s="121"/>
      <c r="E132" s="121"/>
      <c r="F132" s="121"/>
      <c r="G132" s="121">
        <f t="shared" ref="G132:H132" si="197">F138</f>
        <v>296449</v>
      </c>
      <c r="H132" s="121">
        <f t="shared" si="197"/>
        <v>289921.99999999814</v>
      </c>
      <c r="I132" s="121"/>
      <c r="J132" s="121"/>
      <c r="K132" s="121">
        <f>J138</f>
        <v>222925.99999999953</v>
      </c>
      <c r="L132" s="121">
        <f t="shared" ref="L132:W132" si="198">K138</f>
        <v>2665.9999999995343</v>
      </c>
      <c r="M132" s="121">
        <f t="shared" si="198"/>
        <v>-180932</v>
      </c>
      <c r="N132" s="121">
        <f t="shared" si="198"/>
        <v>296449</v>
      </c>
      <c r="O132" s="121">
        <f t="shared" si="198"/>
        <v>195021.00000000047</v>
      </c>
      <c r="P132" s="121">
        <f t="shared" si="198"/>
        <v>-52800.999999999534</v>
      </c>
      <c r="Q132" s="121">
        <f t="shared" si="198"/>
        <v>-319616.99999999953</v>
      </c>
      <c r="R132" s="121">
        <f t="shared" si="198"/>
        <v>289921.99999999814</v>
      </c>
      <c r="S132" s="121">
        <f t="shared" si="198"/>
        <v>47923.999999997672</v>
      </c>
      <c r="T132" s="121">
        <f t="shared" si="198"/>
        <v>-62710.000000002328</v>
      </c>
      <c r="U132" s="121">
        <f t="shared" si="198"/>
        <v>-302238.00000000233</v>
      </c>
      <c r="V132" s="121">
        <f t="shared" si="198"/>
        <v>226528.99999999814</v>
      </c>
      <c r="W132" s="121">
        <f t="shared" si="198"/>
        <v>-21415.000000001863</v>
      </c>
      <c r="X132" s="121"/>
      <c r="Y132" s="121">
        <f t="shared" ref="Y132:AI132" si="199">J138</f>
        <v>222925.99999999953</v>
      </c>
      <c r="Z132" s="121">
        <f t="shared" si="199"/>
        <v>2665.9999999995343</v>
      </c>
      <c r="AA132" s="121">
        <f t="shared" si="199"/>
        <v>-180932</v>
      </c>
      <c r="AB132" s="121">
        <f t="shared" si="199"/>
        <v>296449</v>
      </c>
      <c r="AC132" s="121">
        <f t="shared" si="199"/>
        <v>195021.00000000047</v>
      </c>
      <c r="AD132" s="121">
        <f t="shared" si="199"/>
        <v>-52800.999999999534</v>
      </c>
      <c r="AE132" s="121">
        <f t="shared" si="199"/>
        <v>-319616.99999999953</v>
      </c>
      <c r="AF132" s="121">
        <f t="shared" si="199"/>
        <v>289921.99999999814</v>
      </c>
      <c r="AG132" s="121">
        <f t="shared" si="199"/>
        <v>47923.999999997672</v>
      </c>
      <c r="AH132" s="121">
        <f t="shared" si="199"/>
        <v>-62710.000000002328</v>
      </c>
      <c r="AI132" s="123">
        <f t="shared" si="199"/>
        <v>-302238.00000000233</v>
      </c>
      <c r="AJ132" s="11"/>
      <c r="AK132" s="44"/>
    </row>
    <row r="133" spans="2:37">
      <c r="B133" s="130" t="s">
        <v>108</v>
      </c>
      <c r="C133" s="30"/>
      <c r="D133" s="30"/>
      <c r="E133" s="30"/>
      <c r="F133" s="30"/>
      <c r="G133" s="30">
        <v>0</v>
      </c>
      <c r="H133" s="30">
        <v>0</v>
      </c>
      <c r="I133" s="30"/>
      <c r="J133" s="30"/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/>
      <c r="Y133" s="30">
        <f t="shared" ref="Y133:AH133" si="200">SUM(K133:N133)</f>
        <v>0</v>
      </c>
      <c r="Z133" s="30">
        <f t="shared" si="200"/>
        <v>0</v>
      </c>
      <c r="AA133" s="30">
        <f t="shared" si="200"/>
        <v>0</v>
      </c>
      <c r="AB133" s="30">
        <f t="shared" si="200"/>
        <v>0</v>
      </c>
      <c r="AC133" s="30">
        <f t="shared" si="200"/>
        <v>0</v>
      </c>
      <c r="AD133" s="30">
        <f t="shared" si="200"/>
        <v>0</v>
      </c>
      <c r="AE133" s="30">
        <f t="shared" si="200"/>
        <v>0</v>
      </c>
      <c r="AF133" s="30">
        <f t="shared" si="200"/>
        <v>0</v>
      </c>
      <c r="AG133" s="30">
        <f t="shared" si="200"/>
        <v>0</v>
      </c>
      <c r="AH133" s="30">
        <f t="shared" si="200"/>
        <v>0</v>
      </c>
      <c r="AI133" s="124">
        <f>SUM(U133:W133)</f>
        <v>0</v>
      </c>
      <c r="AJ133" s="11"/>
      <c r="AK133" s="44"/>
    </row>
    <row r="134" spans="2:37">
      <c r="B134" s="131" t="s">
        <v>93</v>
      </c>
      <c r="C134" s="83">
        <f t="shared" ref="C134:E134" si="201">SUM(C132:C133)</f>
        <v>0</v>
      </c>
      <c r="D134" s="83">
        <f t="shared" si="201"/>
        <v>0</v>
      </c>
      <c r="E134" s="83">
        <f t="shared" si="201"/>
        <v>0</v>
      </c>
      <c r="F134" s="83">
        <f t="shared" ref="F134:H134" si="202">SUM(F132:F133)</f>
        <v>0</v>
      </c>
      <c r="G134" s="83">
        <f t="shared" si="202"/>
        <v>296449</v>
      </c>
      <c r="H134" s="83">
        <f t="shared" si="202"/>
        <v>289921.99999999814</v>
      </c>
      <c r="I134" s="30"/>
      <c r="J134" s="83">
        <f t="shared" ref="J134:W134" si="203">SUM(J132:J133)</f>
        <v>0</v>
      </c>
      <c r="K134" s="83">
        <f t="shared" si="203"/>
        <v>222925.99999999953</v>
      </c>
      <c r="L134" s="83">
        <f t="shared" si="203"/>
        <v>2665.9999999995343</v>
      </c>
      <c r="M134" s="83">
        <f t="shared" si="203"/>
        <v>-180932</v>
      </c>
      <c r="N134" s="83">
        <f t="shared" si="203"/>
        <v>296449</v>
      </c>
      <c r="O134" s="83">
        <f t="shared" si="203"/>
        <v>195021.00000000047</v>
      </c>
      <c r="P134" s="83">
        <f t="shared" si="203"/>
        <v>-52800.999999999534</v>
      </c>
      <c r="Q134" s="83">
        <f t="shared" si="203"/>
        <v>-319616.99999999953</v>
      </c>
      <c r="R134" s="83">
        <f t="shared" si="203"/>
        <v>289921.99999999814</v>
      </c>
      <c r="S134" s="83">
        <f t="shared" si="203"/>
        <v>47923.999999997672</v>
      </c>
      <c r="T134" s="83">
        <f t="shared" si="203"/>
        <v>-62710.000000002328</v>
      </c>
      <c r="U134" s="83">
        <f t="shared" si="203"/>
        <v>-302238.00000000233</v>
      </c>
      <c r="V134" s="83">
        <f t="shared" si="203"/>
        <v>226528.99999999814</v>
      </c>
      <c r="W134" s="83">
        <f t="shared" si="203"/>
        <v>-21415.000000001863</v>
      </c>
      <c r="X134" s="30"/>
      <c r="Y134" s="120">
        <f t="shared" ref="Y134:AI134" si="204">SUM(Y132:Y133)</f>
        <v>222925.99999999953</v>
      </c>
      <c r="Z134" s="120">
        <f t="shared" si="204"/>
        <v>2665.9999999995343</v>
      </c>
      <c r="AA134" s="120">
        <f t="shared" si="204"/>
        <v>-180932</v>
      </c>
      <c r="AB134" s="120">
        <f t="shared" si="204"/>
        <v>296449</v>
      </c>
      <c r="AC134" s="120">
        <f t="shared" si="204"/>
        <v>195021.00000000047</v>
      </c>
      <c r="AD134" s="120">
        <f t="shared" si="204"/>
        <v>-52800.999999999534</v>
      </c>
      <c r="AE134" s="120">
        <f t="shared" ref="AE134" si="205">SUM(AE132:AE133)</f>
        <v>-319616.99999999953</v>
      </c>
      <c r="AF134" s="120">
        <f t="shared" ref="AF134" si="206">SUM(AF132:AF133)</f>
        <v>289921.99999999814</v>
      </c>
      <c r="AG134" s="120">
        <f t="shared" ref="AG134" si="207">SUM(AG132:AG133)</f>
        <v>47923.999999997672</v>
      </c>
      <c r="AH134" s="120">
        <f t="shared" ref="AH134" si="208">SUM(AH132:AH133)</f>
        <v>-62710.000000002328</v>
      </c>
      <c r="AI134" s="125">
        <f t="shared" si="204"/>
        <v>-302238.00000000233</v>
      </c>
      <c r="AJ134" s="11"/>
      <c r="AK134" s="44"/>
    </row>
    <row r="135" spans="2:37">
      <c r="B135" s="132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124"/>
      <c r="AJ135" s="11"/>
      <c r="AK135" s="44"/>
    </row>
    <row r="136" spans="2:37">
      <c r="B136" s="130" t="s">
        <v>109</v>
      </c>
      <c r="C136" s="79"/>
      <c r="D136" s="79"/>
      <c r="E136" s="79"/>
      <c r="F136" s="79"/>
      <c r="G136" s="79"/>
      <c r="H136" s="79"/>
      <c r="I136" s="30"/>
      <c r="J136" s="79"/>
      <c r="K136" s="79"/>
      <c r="L136" s="79"/>
      <c r="M136" s="30">
        <f>F136</f>
        <v>0</v>
      </c>
      <c r="N136" s="79"/>
      <c r="O136" s="79"/>
      <c r="P136" s="79"/>
      <c r="Q136" s="30">
        <f>G136</f>
        <v>0</v>
      </c>
      <c r="R136" s="79"/>
      <c r="S136" s="79"/>
      <c r="T136" s="79"/>
      <c r="U136" s="30">
        <f>H136</f>
        <v>0</v>
      </c>
      <c r="V136" s="79"/>
      <c r="W136" s="79"/>
      <c r="X136" s="30"/>
      <c r="Y136" s="30">
        <f t="shared" ref="Y136:AH137" si="209">SUM(K136:N136)</f>
        <v>0</v>
      </c>
      <c r="Z136" s="30">
        <f t="shared" si="209"/>
        <v>0</v>
      </c>
      <c r="AA136" s="30">
        <f t="shared" si="209"/>
        <v>0</v>
      </c>
      <c r="AB136" s="30">
        <f t="shared" si="209"/>
        <v>0</v>
      </c>
      <c r="AC136" s="30">
        <f t="shared" si="209"/>
        <v>0</v>
      </c>
      <c r="AD136" s="30">
        <f t="shared" si="209"/>
        <v>0</v>
      </c>
      <c r="AE136" s="30">
        <f t="shared" si="209"/>
        <v>0</v>
      </c>
      <c r="AF136" s="30">
        <f t="shared" si="209"/>
        <v>0</v>
      </c>
      <c r="AG136" s="30">
        <f t="shared" si="209"/>
        <v>0</v>
      </c>
      <c r="AH136" s="30">
        <f t="shared" si="209"/>
        <v>0</v>
      </c>
      <c r="AI136" s="124">
        <f>SUM(U136:W136)</f>
        <v>0</v>
      </c>
      <c r="AJ136" s="11"/>
      <c r="AK136" s="44"/>
    </row>
    <row r="137" spans="2:37">
      <c r="B137" s="132" t="s">
        <v>80</v>
      </c>
      <c r="C137" s="30">
        <f>+C129+C116+C110</f>
        <v>-16926</v>
      </c>
      <c r="D137" s="30"/>
      <c r="E137" s="30">
        <f>+E129+E116+E110</f>
        <v>-611109</v>
      </c>
      <c r="F137" s="30">
        <f>+F129+F116+F110</f>
        <v>296449</v>
      </c>
      <c r="G137" s="30">
        <f>+G129+G116+G110</f>
        <v>-6527.0000000018626</v>
      </c>
      <c r="H137" s="30">
        <f>+H129+H116+H110</f>
        <v>-63393</v>
      </c>
      <c r="I137" s="30"/>
      <c r="J137" s="30">
        <f>+J129+J116+J110</f>
        <v>222925.99999999953</v>
      </c>
      <c r="K137" s="30">
        <f>+K129+K116+K110</f>
        <v>-220260</v>
      </c>
      <c r="L137" s="30">
        <f>+L129+L116+L110</f>
        <v>-183597.99999999953</v>
      </c>
      <c r="M137" s="30">
        <f>+M129+M116+M110</f>
        <v>477381</v>
      </c>
      <c r="N137" s="30">
        <f>+N129+N116+N110</f>
        <v>-101427.99999999953</v>
      </c>
      <c r="O137" s="30">
        <f>+O129+O116+O110</f>
        <v>-247822</v>
      </c>
      <c r="P137" s="30">
        <f>+P129+P116+P110</f>
        <v>-266816</v>
      </c>
      <c r="Q137" s="30">
        <f>+Q129+Q116+Q110</f>
        <v>609538.99999999767</v>
      </c>
      <c r="R137" s="30">
        <f>+R129+R116+R110</f>
        <v>-241998.00000000047</v>
      </c>
      <c r="S137" s="30">
        <f>+S129+S116+S110</f>
        <v>-110634</v>
      </c>
      <c r="T137" s="30">
        <f>+T129+T116+T110</f>
        <v>-239528</v>
      </c>
      <c r="U137" s="30">
        <f>+U129+U116+U110</f>
        <v>528767.00000000047</v>
      </c>
      <c r="V137" s="30">
        <f>+V129+V116+V110</f>
        <v>-247944</v>
      </c>
      <c r="W137" s="30">
        <f>+W129+W116+W110</f>
        <v>-211287</v>
      </c>
      <c r="X137" s="30"/>
      <c r="Y137" s="30">
        <f t="shared" si="209"/>
        <v>-27904.999999999069</v>
      </c>
      <c r="Z137" s="30">
        <f t="shared" si="209"/>
        <v>-55466.999999999069</v>
      </c>
      <c r="AA137" s="30">
        <f t="shared" si="209"/>
        <v>-138684.99999999953</v>
      </c>
      <c r="AB137" s="30">
        <f t="shared" si="209"/>
        <v>-6527.0000000018626</v>
      </c>
      <c r="AC137" s="30">
        <f t="shared" si="209"/>
        <v>-147097.00000000279</v>
      </c>
      <c r="AD137" s="30">
        <f t="shared" si="209"/>
        <v>-9909.000000002794</v>
      </c>
      <c r="AE137" s="30">
        <f t="shared" si="209"/>
        <v>17378.999999997206</v>
      </c>
      <c r="AF137" s="30">
        <f t="shared" si="209"/>
        <v>-63393</v>
      </c>
      <c r="AG137" s="30">
        <f t="shared" si="209"/>
        <v>-69338.999999999534</v>
      </c>
      <c r="AH137" s="30">
        <f t="shared" si="209"/>
        <v>-169991.99999999953</v>
      </c>
      <c r="AI137" s="124">
        <f>SUM(U137:W137)</f>
        <v>69536.000000000466</v>
      </c>
      <c r="AJ137" s="11"/>
      <c r="AK137" s="44"/>
    </row>
    <row r="138" spans="2:37">
      <c r="B138" s="131" t="s">
        <v>94</v>
      </c>
      <c r="C138" s="83">
        <f t="shared" ref="C138:E138" si="210">SUM(C134:C137)</f>
        <v>-16926</v>
      </c>
      <c r="D138" s="83">
        <f t="shared" si="210"/>
        <v>0</v>
      </c>
      <c r="E138" s="83">
        <f t="shared" si="210"/>
        <v>-611109</v>
      </c>
      <c r="F138" s="83">
        <f t="shared" ref="F138:H138" si="211">SUM(F134:F137)</f>
        <v>296449</v>
      </c>
      <c r="G138" s="83">
        <f t="shared" si="211"/>
        <v>289921.99999999814</v>
      </c>
      <c r="H138" s="83">
        <f t="shared" si="211"/>
        <v>226528.99999999814</v>
      </c>
      <c r="I138" s="30"/>
      <c r="J138" s="82">
        <f t="shared" ref="J138:W138" si="212">SUM(J134:J137)</f>
        <v>222925.99999999953</v>
      </c>
      <c r="K138" s="82">
        <f t="shared" si="212"/>
        <v>2665.9999999995343</v>
      </c>
      <c r="L138" s="82">
        <f t="shared" si="212"/>
        <v>-180932</v>
      </c>
      <c r="M138" s="82">
        <f t="shared" si="212"/>
        <v>296449</v>
      </c>
      <c r="N138" s="82">
        <f t="shared" si="212"/>
        <v>195021.00000000047</v>
      </c>
      <c r="O138" s="82">
        <f t="shared" si="212"/>
        <v>-52800.999999999534</v>
      </c>
      <c r="P138" s="82">
        <f t="shared" si="212"/>
        <v>-319616.99999999953</v>
      </c>
      <c r="Q138" s="82">
        <f t="shared" si="212"/>
        <v>289921.99999999814</v>
      </c>
      <c r="R138" s="82">
        <f t="shared" si="212"/>
        <v>47923.999999997672</v>
      </c>
      <c r="S138" s="82">
        <f t="shared" si="212"/>
        <v>-62710.000000002328</v>
      </c>
      <c r="T138" s="82">
        <f t="shared" si="212"/>
        <v>-302238.00000000233</v>
      </c>
      <c r="U138" s="82">
        <f t="shared" si="212"/>
        <v>226528.99999999814</v>
      </c>
      <c r="V138" s="82">
        <f t="shared" si="212"/>
        <v>-21415.000000001863</v>
      </c>
      <c r="W138" s="82">
        <f t="shared" si="212"/>
        <v>-232702.00000000186</v>
      </c>
      <c r="X138" s="30"/>
      <c r="Y138" s="82">
        <f t="shared" ref="Y138:AI138" si="213">SUM(Y134:Y137)</f>
        <v>195021.00000000047</v>
      </c>
      <c r="Z138" s="82">
        <f t="shared" si="213"/>
        <v>-52800.999999999534</v>
      </c>
      <c r="AA138" s="82">
        <f t="shared" si="213"/>
        <v>-319616.99999999953</v>
      </c>
      <c r="AB138" s="82">
        <f t="shared" si="213"/>
        <v>289921.99999999814</v>
      </c>
      <c r="AC138" s="82">
        <f t="shared" si="213"/>
        <v>47923.999999997672</v>
      </c>
      <c r="AD138" s="82">
        <f t="shared" si="213"/>
        <v>-62710.000000002328</v>
      </c>
      <c r="AE138" s="82">
        <f t="shared" si="213"/>
        <v>-302238.00000000233</v>
      </c>
      <c r="AF138" s="82">
        <f t="shared" si="213"/>
        <v>226528.99999999814</v>
      </c>
      <c r="AG138" s="82">
        <f t="shared" si="213"/>
        <v>-21415.000000001863</v>
      </c>
      <c r="AH138" s="82">
        <f t="shared" si="213"/>
        <v>-232702.00000000186</v>
      </c>
      <c r="AI138" s="126">
        <f t="shared" si="213"/>
        <v>-232702.00000000186</v>
      </c>
      <c r="AJ138" s="11"/>
      <c r="AK138" s="44"/>
    </row>
    <row r="139" spans="2:37" ht="5.0999999999999996" customHeight="1">
      <c r="B139" s="133"/>
      <c r="C139" s="62"/>
      <c r="D139" s="62"/>
      <c r="E139" s="62"/>
      <c r="F139" s="62"/>
      <c r="G139" s="62"/>
      <c r="H139" s="62"/>
      <c r="I139" s="30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22"/>
      <c r="AJ139" s="11"/>
      <c r="AK139" s="44"/>
    </row>
    <row r="140" spans="2:37">
      <c r="B140" s="134" t="s">
        <v>79</v>
      </c>
      <c r="C140" s="127">
        <f>C138-C42</f>
        <v>-426177</v>
      </c>
      <c r="D140" s="127">
        <f>D138-D42</f>
        <v>-1046051</v>
      </c>
      <c r="E140" s="127">
        <f>E138-E42</f>
        <v>-1042669</v>
      </c>
      <c r="F140" s="127">
        <f>F138-F42</f>
        <v>-441428</v>
      </c>
      <c r="G140" s="127">
        <f>G138-G42</f>
        <v>-476672.00000000186</v>
      </c>
      <c r="H140" s="127">
        <f>H138-H42</f>
        <v>-476672.00000000186</v>
      </c>
      <c r="I140" s="128"/>
      <c r="J140" s="127">
        <f>J138-J42</f>
        <v>-431560.00000000047</v>
      </c>
      <c r="K140" s="127">
        <f>K138-K42</f>
        <v>-431560.00000000047</v>
      </c>
      <c r="L140" s="127">
        <f>L138-L42</f>
        <v>-431560</v>
      </c>
      <c r="M140" s="127">
        <f>M138-M42</f>
        <v>-441428</v>
      </c>
      <c r="N140" s="127">
        <f>N138-N42</f>
        <v>-441427.99999999953</v>
      </c>
      <c r="O140" s="127">
        <f>O138-O42</f>
        <v>-441427.99999999953</v>
      </c>
      <c r="P140" s="127">
        <f>P138-P42</f>
        <v>-441427.99999999953</v>
      </c>
      <c r="Q140" s="127">
        <f>Q138-Q42</f>
        <v>-476672.00000000186</v>
      </c>
      <c r="R140" s="127">
        <f>R138-R42</f>
        <v>-476672.00000000233</v>
      </c>
      <c r="S140" s="127">
        <f>S138-S42</f>
        <v>-476672.00000000233</v>
      </c>
      <c r="T140" s="127">
        <f>T138-T42</f>
        <v>-480020.00000000233</v>
      </c>
      <c r="U140" s="127">
        <f>U138-U42</f>
        <v>-476672.00000000186</v>
      </c>
      <c r="V140" s="127">
        <f>V138-V42</f>
        <v>-476044.00000000186</v>
      </c>
      <c r="W140" s="127">
        <f>W138-W42</f>
        <v>-475447.00000000186</v>
      </c>
      <c r="X140" s="127"/>
      <c r="Y140" s="127">
        <f>Y138-Y42</f>
        <v>-542855.99999999953</v>
      </c>
      <c r="Z140" s="127">
        <f>Z138-Z42</f>
        <v>-689249.99999999953</v>
      </c>
      <c r="AA140" s="127">
        <f>AA138-AA42</f>
        <v>-708243.99999999953</v>
      </c>
      <c r="AB140" s="127">
        <f>AB138-AB42</f>
        <v>168110.99999999814</v>
      </c>
      <c r="AC140" s="127">
        <f>AC138-AC42</f>
        <v>-718670.00000000233</v>
      </c>
      <c r="AD140" s="127">
        <f>AD138-AD42</f>
        <v>-587306.00000000233</v>
      </c>
      <c r="AE140" s="127">
        <f>AE138-AE42</f>
        <v>-716200.00000000233</v>
      </c>
      <c r="AF140" s="127">
        <f>AF138-AF42</f>
        <v>48746.999999998137</v>
      </c>
      <c r="AG140" s="127">
        <f>AG138-AG42</f>
        <v>-724616.00000000186</v>
      </c>
      <c r="AH140" s="127">
        <f>AH138-AH42</f>
        <v>-687331.00000000186</v>
      </c>
      <c r="AI140" s="127">
        <f>AI138-AI42</f>
        <v>-475447.00000000186</v>
      </c>
      <c r="AJ140" s="11"/>
      <c r="AK140" s="44"/>
    </row>
    <row r="141" spans="2:37" ht="5.0999999999999996" customHeight="1">
      <c r="B141" s="8"/>
      <c r="C141" s="62"/>
      <c r="D141" s="62"/>
      <c r="E141" s="62"/>
      <c r="F141" s="62"/>
      <c r="G141" s="62"/>
      <c r="H141" s="62"/>
      <c r="I141" s="30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44"/>
    </row>
    <row r="142" spans="2:37">
      <c r="B142" s="8"/>
      <c r="C142" s="62"/>
      <c r="D142" s="62"/>
      <c r="E142" s="62"/>
      <c r="F142" s="62"/>
      <c r="G142" s="62"/>
      <c r="H142" s="62"/>
      <c r="I142" s="30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44"/>
    </row>
    <row r="143" spans="2:37">
      <c r="B143" s="138" t="s">
        <v>135</v>
      </c>
      <c r="C143" s="62"/>
      <c r="D143" s="62"/>
      <c r="E143" s="62"/>
      <c r="F143" s="62"/>
      <c r="G143" s="62"/>
      <c r="H143" s="62"/>
      <c r="I143" s="30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44"/>
    </row>
    <row r="144" spans="2:37">
      <c r="B144" s="80" t="s">
        <v>92</v>
      </c>
      <c r="C144" s="62">
        <v>0</v>
      </c>
      <c r="D144" s="62">
        <v>6987</v>
      </c>
      <c r="E144" s="62">
        <v>2132</v>
      </c>
      <c r="F144" s="62">
        <v>2138</v>
      </c>
      <c r="G144" s="62">
        <v>3327</v>
      </c>
      <c r="H144" s="62">
        <v>4159</v>
      </c>
      <c r="I144" s="30"/>
      <c r="J144" s="79">
        <v>0</v>
      </c>
      <c r="K144" s="87">
        <v>1057</v>
      </c>
      <c r="L144" s="87">
        <f>1598-K144-J144</f>
        <v>541</v>
      </c>
      <c r="M144" s="87">
        <f t="shared" ref="M144:M145" si="214">SUM(F144-SUM(J144:L144))</f>
        <v>540</v>
      </c>
      <c r="N144" s="79">
        <v>0</v>
      </c>
      <c r="O144" s="87">
        <v>0</v>
      </c>
      <c r="P144" s="87">
        <v>0</v>
      </c>
      <c r="Q144" s="87">
        <f>SUM(G144-SUM(N144:P144))</f>
        <v>3327</v>
      </c>
      <c r="R144" s="79">
        <v>0</v>
      </c>
      <c r="S144" s="87">
        <v>0</v>
      </c>
      <c r="T144" s="87">
        <v>0</v>
      </c>
      <c r="U144" s="87">
        <f t="shared" ref="U144:U145" si="215">SUM(H144-SUM(R144:T144))</f>
        <v>4159</v>
      </c>
      <c r="V144" s="79">
        <v>0</v>
      </c>
      <c r="W144" s="87">
        <v>0</v>
      </c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44"/>
    </row>
    <row r="145" spans="2:37">
      <c r="B145" s="80" t="s">
        <v>191</v>
      </c>
      <c r="C145" s="62">
        <v>133861</v>
      </c>
      <c r="D145" s="62">
        <v>19454</v>
      </c>
      <c r="E145" s="62">
        <v>370646</v>
      </c>
      <c r="F145" s="62">
        <v>429846</v>
      </c>
      <c r="G145" s="62">
        <v>328215</v>
      </c>
      <c r="H145" s="62">
        <v>386059</v>
      </c>
      <c r="I145" s="30"/>
      <c r="J145" s="79">
        <v>524</v>
      </c>
      <c r="K145" s="87">
        <f>246641-J145</f>
        <v>246117</v>
      </c>
      <c r="L145" s="87">
        <f>339290-K145-J145</f>
        <v>92649</v>
      </c>
      <c r="M145" s="87">
        <f t="shared" si="214"/>
        <v>90556</v>
      </c>
      <c r="N145" s="79">
        <v>2818</v>
      </c>
      <c r="O145" s="87">
        <f>189166-N145</f>
        <v>186348</v>
      </c>
      <c r="P145" s="87">
        <f>266802-O145-N145</f>
        <v>77636</v>
      </c>
      <c r="Q145" s="87">
        <f>SUM(G145-SUM(N145:P145))</f>
        <v>61413</v>
      </c>
      <c r="R145" s="79">
        <v>5057</v>
      </c>
      <c r="S145" s="87">
        <f>233249-R145</f>
        <v>228192</v>
      </c>
      <c r="T145" s="87">
        <f>316790-S145-R145</f>
        <v>83541</v>
      </c>
      <c r="U145" s="87">
        <f t="shared" si="215"/>
        <v>69269</v>
      </c>
      <c r="V145" s="79">
        <v>7016</v>
      </c>
      <c r="W145" s="87">
        <f>252013-V145</f>
        <v>244997</v>
      </c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44"/>
    </row>
    <row r="146" spans="2:37" ht="5.0999999999999996" customHeight="1" thickBot="1">
      <c r="B146" s="68"/>
      <c r="C146" s="69"/>
      <c r="D146" s="69"/>
      <c r="E146" s="69"/>
      <c r="F146" s="69"/>
      <c r="G146" s="69"/>
      <c r="H146" s="69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K146" s="44"/>
    </row>
    <row r="147" spans="2:37" ht="12.75" customHeight="1">
      <c r="B147" s="140" t="s">
        <v>117</v>
      </c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K147" s="44"/>
    </row>
    <row r="148" spans="2:37" ht="12.75" customHeight="1">
      <c r="B148" s="139" t="s">
        <v>118</v>
      </c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9"/>
      <c r="AG148" s="139"/>
      <c r="AH148" s="139"/>
      <c r="AI148" s="139"/>
    </row>
    <row r="149" spans="2:37" ht="12.75" customHeight="1">
      <c r="C149" s="54"/>
      <c r="D149" s="54"/>
      <c r="E149" s="54"/>
      <c r="F149" s="54"/>
      <c r="G149" s="54"/>
      <c r="H149" s="54"/>
    </row>
    <row r="150" spans="2:37" ht="12.75" customHeight="1">
      <c r="C150" s="54"/>
      <c r="D150" s="54"/>
      <c r="E150" s="54"/>
      <c r="F150" s="54"/>
      <c r="G150" s="54"/>
      <c r="H150" s="54"/>
    </row>
    <row r="151" spans="2:37" ht="12.75" customHeight="1">
      <c r="C151" s="54"/>
      <c r="D151" s="54"/>
      <c r="E151" s="54"/>
      <c r="F151" s="54"/>
      <c r="G151" s="54"/>
      <c r="H151" s="54"/>
    </row>
    <row r="152" spans="2:37" ht="12.75" customHeight="1">
      <c r="C152" s="54"/>
      <c r="D152" s="54"/>
      <c r="E152" s="54"/>
      <c r="F152" s="54"/>
      <c r="G152" s="54"/>
      <c r="H152" s="54"/>
    </row>
    <row r="153" spans="2:37" ht="12.75" customHeight="1">
      <c r="C153" s="54"/>
      <c r="D153" s="54"/>
      <c r="E153" s="54"/>
      <c r="F153" s="54"/>
      <c r="G153" s="54"/>
      <c r="H153" s="5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</row>
    <row r="154" spans="2:37" ht="12.75" customHeight="1">
      <c r="C154" s="54"/>
      <c r="D154" s="54"/>
      <c r="E154" s="54"/>
      <c r="F154" s="54"/>
      <c r="G154" s="54"/>
      <c r="H154" s="54"/>
    </row>
    <row r="155" spans="2:37" ht="12.75" customHeight="1">
      <c r="C155" s="54"/>
      <c r="D155" s="54"/>
      <c r="E155" s="54"/>
      <c r="F155" s="54"/>
      <c r="G155" s="54"/>
      <c r="H155" s="5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</row>
    <row r="156" spans="2:37"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</row>
    <row r="157" spans="2:37"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</row>
    <row r="159" spans="2:37"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</row>
    <row r="160" spans="2:37"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</row>
  </sheetData>
  <mergeCells count="6">
    <mergeCell ref="B148:AI148"/>
    <mergeCell ref="B147:AI147"/>
    <mergeCell ref="AK6:AK8"/>
    <mergeCell ref="AK37:AK39"/>
    <mergeCell ref="AK84:AK86"/>
    <mergeCell ref="B82:AK82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I14:AI16 AI29 I47" formulaRange="1"/>
    <ignoredError sqref="AK116:AK118 AK110:AK112 C32:H35 J32:W35 AE32:AI35" evalError="1"/>
    <ignoredError sqref="R90:W91 V89:W89 R89:T89 Q89 U8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G20"/>
  <sheetViews>
    <sheetView showGridLines="0" zoomScaleNormal="100" workbookViewId="0">
      <selection activeCell="AE1" sqref="AE1:AH1048576"/>
    </sheetView>
  </sheetViews>
  <sheetFormatPr defaultRowHeight="12" outlineLevelCol="1"/>
  <cols>
    <col min="1" max="1" width="1.5" style="8" customWidth="1"/>
    <col min="2" max="2" width="46.5" style="8" bestFit="1" customWidth="1"/>
    <col min="3" max="8" width="8.625" style="8" bestFit="1" customWidth="1"/>
    <col min="9" max="9" width="1.5" style="8" customWidth="1"/>
    <col min="10" max="12" width="7.875" style="8" customWidth="1" outlineLevel="1"/>
    <col min="13" max="13" width="8.75" style="8" customWidth="1" outlineLevel="1"/>
    <col min="14" max="16" width="8" style="8" customWidth="1" outlineLevel="1"/>
    <col min="17" max="17" width="8.75" style="8" customWidth="1" outlineLevel="1"/>
    <col min="18" max="18" width="8.5" style="8" customWidth="1" outlineLevel="1"/>
    <col min="19" max="19" width="8.25" style="8" bestFit="1" customWidth="1"/>
    <col min="20" max="20" width="8.5" style="8" bestFit="1" customWidth="1"/>
    <col min="21" max="23" width="9.125" style="8" bestFit="1" customWidth="1"/>
    <col min="24" max="24" width="1.5" style="8" customWidth="1"/>
    <col min="25" max="30" width="8.75" style="8" hidden="1" customWidth="1" outlineLevel="1"/>
    <col min="31" max="31" width="8.75" style="8" customWidth="1" collapsed="1"/>
    <col min="32" max="33" width="8.75" style="8" customWidth="1"/>
    <col min="34" max="16384" width="9" style="8"/>
  </cols>
  <sheetData>
    <row r="2" spans="1:33" s="5" customFormat="1" ht="12.75" customHeight="1">
      <c r="B2" s="1" t="s">
        <v>146</v>
      </c>
      <c r="C2" s="2" t="s">
        <v>0</v>
      </c>
      <c r="D2" s="2"/>
      <c r="E2" s="2"/>
      <c r="F2" s="2"/>
      <c r="G2" s="2"/>
      <c r="H2" s="2"/>
      <c r="I2" s="3"/>
      <c r="J2" s="2" t="s">
        <v>1</v>
      </c>
      <c r="K2" s="2"/>
      <c r="L2" s="2"/>
      <c r="M2" s="2"/>
      <c r="N2" s="2"/>
      <c r="O2" s="2"/>
      <c r="P2" s="2"/>
      <c r="Q2" s="2"/>
      <c r="R2" s="2" t="s">
        <v>1</v>
      </c>
      <c r="S2" s="2" t="s">
        <v>1</v>
      </c>
      <c r="T2" s="2"/>
      <c r="U2" s="2"/>
      <c r="V2" s="2"/>
      <c r="W2" s="2"/>
      <c r="X2" s="3"/>
      <c r="Y2" s="2" t="s">
        <v>10</v>
      </c>
      <c r="Z2" s="2"/>
      <c r="AA2" s="2"/>
      <c r="AB2" s="2"/>
      <c r="AC2" s="2" t="s">
        <v>10</v>
      </c>
      <c r="AD2" s="2"/>
      <c r="AE2" s="2" t="s">
        <v>10</v>
      </c>
      <c r="AF2" s="2"/>
      <c r="AG2" s="2"/>
    </row>
    <row r="3" spans="1:33" s="5" customFormat="1" ht="12.75" customHeight="1">
      <c r="B3" s="6" t="s">
        <v>87</v>
      </c>
      <c r="C3" s="7">
        <f>'Historical Financials'!C7</f>
        <v>2019</v>
      </c>
      <c r="D3" s="7">
        <f>'Historical Financials'!D7</f>
        <v>2020</v>
      </c>
      <c r="E3" s="7">
        <f>'Historical Financials'!E7</f>
        <v>2021</v>
      </c>
      <c r="F3" s="7">
        <f>'Historical Financials'!F7</f>
        <v>2022</v>
      </c>
      <c r="G3" s="7">
        <f>'Historical Financials'!G7</f>
        <v>2023</v>
      </c>
      <c r="H3" s="7">
        <f>'Historical Financials'!H7</f>
        <v>2024</v>
      </c>
      <c r="I3" s="3"/>
      <c r="J3" s="7" t="str">
        <f>'Historical Financials'!J7</f>
        <v>1Q22</v>
      </c>
      <c r="K3" s="7" t="str">
        <f>'Historical Financials'!K7</f>
        <v>2Q22</v>
      </c>
      <c r="L3" s="7" t="str">
        <f>'Historical Financials'!L7</f>
        <v>3Q22</v>
      </c>
      <c r="M3" s="7" t="str">
        <f>'Historical Financials'!M7</f>
        <v>4Q22</v>
      </c>
      <c r="N3" s="7" t="str">
        <f>'Historical Financials'!N7</f>
        <v>1Q23</v>
      </c>
      <c r="O3" s="7" t="str">
        <f>'Historical Financials'!O7</f>
        <v>2Q23</v>
      </c>
      <c r="P3" s="7" t="str">
        <f>'Historical Financials'!P7</f>
        <v>3Q23</v>
      </c>
      <c r="Q3" s="7" t="str">
        <f>'Historical Financials'!Q7</f>
        <v>4Q23</v>
      </c>
      <c r="R3" s="7" t="str">
        <f>'Historical Financials'!R7</f>
        <v>1Q24</v>
      </c>
      <c r="S3" s="7" t="str">
        <f>'Historical Financials'!S7</f>
        <v>2Q24</v>
      </c>
      <c r="T3" s="7" t="str">
        <f>'Historical Financials'!T7</f>
        <v>3Q24</v>
      </c>
      <c r="U3" s="7" t="str">
        <f>'Historical Financials'!U7</f>
        <v>4Q24</v>
      </c>
      <c r="V3" s="7" t="str">
        <f>'Historical Financials'!V7</f>
        <v>1Q25</v>
      </c>
      <c r="W3" s="7" t="str">
        <f>'Historical Financials'!W7</f>
        <v>2Q25</v>
      </c>
      <c r="X3" s="4"/>
      <c r="Y3" s="4" t="str">
        <f t="shared" ref="Y3:AD4" si="0">N3</f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ref="AE3:AG4" si="1">U3</f>
        <v>4Q24</v>
      </c>
      <c r="AF3" s="4" t="str">
        <f t="shared" si="1"/>
        <v>1Q25</v>
      </c>
      <c r="AG3" s="4" t="str">
        <f t="shared" si="1"/>
        <v>2Q25</v>
      </c>
    </row>
    <row r="4" spans="1:33" s="5" customFormat="1" ht="12.75" customHeight="1">
      <c r="B4" s="6" t="s">
        <v>132</v>
      </c>
      <c r="C4" s="3">
        <f>'Historical Financials'!C8</f>
        <v>43497</v>
      </c>
      <c r="D4" s="3">
        <f>'Historical Financials'!D8</f>
        <v>43861</v>
      </c>
      <c r="E4" s="3">
        <f>'Historical Financials'!E8</f>
        <v>44225</v>
      </c>
      <c r="F4" s="3">
        <f>'Historical Financials'!F8</f>
        <v>44954</v>
      </c>
      <c r="G4" s="3">
        <f>'Historical Financials'!G8</f>
        <v>45325</v>
      </c>
      <c r="H4" s="3">
        <f>'Historical Financials'!H8</f>
        <v>45689</v>
      </c>
      <c r="I4" s="3"/>
      <c r="J4" s="3">
        <f>'Historical Financials'!J8</f>
        <v>44681</v>
      </c>
      <c r="K4" s="3">
        <f>'Historical Financials'!K8</f>
        <v>44772</v>
      </c>
      <c r="L4" s="3">
        <f>'Historical Financials'!L8</f>
        <v>44863</v>
      </c>
      <c r="M4" s="3">
        <f>'Historical Financials'!M8</f>
        <v>44954</v>
      </c>
      <c r="N4" s="3">
        <f>'Historical Financials'!N8</f>
        <v>45045</v>
      </c>
      <c r="O4" s="3">
        <f>'Historical Financials'!O8</f>
        <v>45136</v>
      </c>
      <c r="P4" s="3">
        <f>'Historical Financials'!P8</f>
        <v>45227</v>
      </c>
      <c r="Q4" s="3">
        <f>'Historical Financials'!Q8</f>
        <v>45325</v>
      </c>
      <c r="R4" s="3">
        <f>'Historical Financials'!R8</f>
        <v>45416</v>
      </c>
      <c r="S4" s="3">
        <f>'Historical Financials'!S8</f>
        <v>45507</v>
      </c>
      <c r="T4" s="3">
        <f>'Historical Financials'!T8</f>
        <v>45598</v>
      </c>
      <c r="U4" s="3">
        <f>'Historical Financials'!U8</f>
        <v>45689</v>
      </c>
      <c r="V4" s="3">
        <f>'Historical Financials'!V8</f>
        <v>45780</v>
      </c>
      <c r="W4" s="3">
        <f>'Historical Financials'!W8</f>
        <v>45871</v>
      </c>
      <c r="X4" s="3"/>
      <c r="Y4" s="3">
        <f t="shared" si="0"/>
        <v>45045</v>
      </c>
      <c r="Z4" s="3">
        <f t="shared" si="0"/>
        <v>45136</v>
      </c>
      <c r="AA4" s="3">
        <f t="shared" si="0"/>
        <v>45227</v>
      </c>
      <c r="AB4" s="3">
        <f t="shared" si="0"/>
        <v>45325</v>
      </c>
      <c r="AC4" s="3">
        <f t="shared" si="0"/>
        <v>45416</v>
      </c>
      <c r="AD4" s="3">
        <f t="shared" si="0"/>
        <v>45507</v>
      </c>
      <c r="AE4" s="3">
        <f t="shared" si="1"/>
        <v>45689</v>
      </c>
      <c r="AF4" s="3">
        <f t="shared" si="1"/>
        <v>45780</v>
      </c>
      <c r="AG4" s="3">
        <f t="shared" si="1"/>
        <v>45871</v>
      </c>
    </row>
    <row r="5" spans="1:33" ht="5.0999999999999996" customHeight="1"/>
    <row r="6" spans="1:33" ht="12.75" customHeight="1">
      <c r="A6" s="77" t="s">
        <v>19</v>
      </c>
      <c r="B6" s="74" t="s">
        <v>139</v>
      </c>
      <c r="C6" s="10"/>
      <c r="D6" s="10"/>
      <c r="E6" s="10"/>
      <c r="F6" s="10"/>
      <c r="G6" s="10"/>
      <c r="H6" s="10"/>
      <c r="I6" s="10"/>
      <c r="J6" s="86"/>
      <c r="K6" s="86"/>
      <c r="L6" s="86"/>
      <c r="M6" s="30"/>
      <c r="N6" s="86"/>
      <c r="O6" s="86"/>
      <c r="P6" s="86"/>
      <c r="Q6" s="30"/>
      <c r="R6" s="86"/>
      <c r="S6" s="86"/>
      <c r="T6" s="86"/>
      <c r="U6" s="30"/>
      <c r="V6" s="86"/>
      <c r="W6" s="86"/>
      <c r="X6" s="5"/>
      <c r="Y6" s="11"/>
      <c r="Z6" s="11"/>
      <c r="AA6" s="11"/>
      <c r="AB6" s="11"/>
      <c r="AC6" s="11"/>
      <c r="AD6" s="11"/>
      <c r="AE6" s="11"/>
      <c r="AF6" s="11"/>
      <c r="AG6" s="11"/>
    </row>
    <row r="7" spans="1:33" ht="12.75" customHeight="1">
      <c r="A7" s="77"/>
      <c r="B7" s="147" t="s">
        <v>140</v>
      </c>
      <c r="C7" s="78">
        <v>3773014.68</v>
      </c>
      <c r="D7" s="78">
        <v>3075976.5</v>
      </c>
      <c r="E7" s="78">
        <v>3711282.27</v>
      </c>
      <c r="F7" s="78">
        <v>4287603.5999999996</v>
      </c>
      <c r="G7" s="78">
        <v>4594994.2299999995</v>
      </c>
      <c r="H7" s="78">
        <v>4405305.0600000005</v>
      </c>
      <c r="I7" s="10"/>
      <c r="J7" s="86">
        <v>1032196.4400000001</v>
      </c>
      <c r="K7" s="86">
        <v>964787.46</v>
      </c>
      <c r="L7" s="86">
        <v>1029068.92</v>
      </c>
      <c r="M7" s="30">
        <f>SUM(F7-SUM(J7:L7))</f>
        <v>1261550.7799999998</v>
      </c>
      <c r="N7" s="86">
        <v>1159075.72</v>
      </c>
      <c r="O7" s="86">
        <v>1011923.6000000001</v>
      </c>
      <c r="P7" s="86">
        <v>1045351.86</v>
      </c>
      <c r="Q7" s="30">
        <f>SUM(G7-SUM(N7:P7))</f>
        <v>1378643.0499999993</v>
      </c>
      <c r="R7" s="86">
        <v>1144856.1599999999</v>
      </c>
      <c r="S7" s="86">
        <v>995313.93</v>
      </c>
      <c r="T7" s="86">
        <v>1037340.9999999999</v>
      </c>
      <c r="U7" s="30">
        <v>1360171.4100000001</v>
      </c>
      <c r="V7" s="86">
        <v>1139346.8</v>
      </c>
      <c r="W7" s="86">
        <v>1059618.22</v>
      </c>
      <c r="X7" s="5"/>
      <c r="Y7" s="11"/>
      <c r="Z7" s="11"/>
      <c r="AA7" s="11"/>
      <c r="AB7" s="11"/>
      <c r="AC7" s="11"/>
      <c r="AD7" s="11"/>
      <c r="AE7" s="30">
        <f t="shared" ref="AE7:AE10" si="2">SUM(R7:U7)</f>
        <v>4537682.5</v>
      </c>
      <c r="AF7" s="30">
        <f t="shared" ref="AF7:AF10" si="3">SUM(S7:V7)</f>
        <v>4532173.1399999997</v>
      </c>
      <c r="AG7" s="30">
        <f t="shared" ref="AG7:AG10" si="4">SUM(T7:W7)</f>
        <v>4596477.43</v>
      </c>
    </row>
    <row r="8" spans="1:33" ht="12.75" customHeight="1">
      <c r="A8" s="77"/>
      <c r="B8" s="147" t="s">
        <v>141</v>
      </c>
      <c r="C8" s="78">
        <v>1405632.92</v>
      </c>
      <c r="D8" s="78">
        <v>1168871.07</v>
      </c>
      <c r="E8" s="78">
        <v>1726177.8</v>
      </c>
      <c r="F8" s="78">
        <v>2143801.7999999998</v>
      </c>
      <c r="G8" s="78">
        <v>2129387.5699999998</v>
      </c>
      <c r="H8" s="78">
        <v>2598000.42</v>
      </c>
      <c r="I8" s="10"/>
      <c r="J8" s="86">
        <v>469180.2</v>
      </c>
      <c r="K8" s="86">
        <v>505364.86</v>
      </c>
      <c r="L8" s="86">
        <v>491146.52999999997</v>
      </c>
      <c r="M8" s="30">
        <f t="shared" ref="M8:M12" si="5">SUM(F8-SUM(J8:L8))</f>
        <v>678110.20999999973</v>
      </c>
      <c r="N8" s="86">
        <v>474167.33999999997</v>
      </c>
      <c r="O8" s="86">
        <v>531259.89</v>
      </c>
      <c r="P8" s="86">
        <v>472897.27</v>
      </c>
      <c r="Q8" s="30">
        <f t="shared" ref="Q8:Q12" si="6">SUM(G8-SUM(N8:P8))</f>
        <v>651063.06999999983</v>
      </c>
      <c r="R8" s="86">
        <v>517911.12</v>
      </c>
      <c r="S8" s="86">
        <v>510417.4</v>
      </c>
      <c r="T8" s="86">
        <v>506020</v>
      </c>
      <c r="U8" s="30">
        <v>802152.37</v>
      </c>
      <c r="V8" s="86">
        <v>712091.75</v>
      </c>
      <c r="W8" s="86">
        <v>697117.25</v>
      </c>
      <c r="X8" s="5"/>
      <c r="Y8" s="11"/>
      <c r="Z8" s="11"/>
      <c r="AA8" s="11"/>
      <c r="AB8" s="11"/>
      <c r="AC8" s="11"/>
      <c r="AD8" s="11"/>
      <c r="AE8" s="30">
        <f t="shared" si="2"/>
        <v>2336500.89</v>
      </c>
      <c r="AF8" s="30">
        <f t="shared" si="3"/>
        <v>2530681.52</v>
      </c>
      <c r="AG8" s="30">
        <f t="shared" si="4"/>
        <v>2717381.37</v>
      </c>
    </row>
    <row r="9" spans="1:33" ht="12.75" customHeight="1">
      <c r="A9" s="77"/>
      <c r="B9" s="147" t="s">
        <v>142</v>
      </c>
      <c r="C9" s="78">
        <v>854476.85400000005</v>
      </c>
      <c r="D9" s="78">
        <v>710550.57150000008</v>
      </c>
      <c r="E9" s="78">
        <v>1467251.1300000001</v>
      </c>
      <c r="F9" s="78">
        <v>1735458.6</v>
      </c>
      <c r="G9" s="78">
        <v>2129387.5699999998</v>
      </c>
      <c r="H9" s="78">
        <v>2146174.2600000002</v>
      </c>
      <c r="I9" s="10"/>
      <c r="J9" s="86">
        <v>422262.18</v>
      </c>
      <c r="K9" s="86">
        <v>390509.21</v>
      </c>
      <c r="L9" s="86">
        <v>374206.88</v>
      </c>
      <c r="M9" s="30">
        <f t="shared" si="5"/>
        <v>548480.33000000007</v>
      </c>
      <c r="N9" s="86">
        <v>500509.97000000003</v>
      </c>
      <c r="O9" s="86">
        <v>505961.80000000005</v>
      </c>
      <c r="P9" s="86">
        <v>472897.27</v>
      </c>
      <c r="Q9" s="30">
        <f t="shared" si="6"/>
        <v>650018.5299999998</v>
      </c>
      <c r="R9" s="86">
        <v>626945.04</v>
      </c>
      <c r="S9" s="86">
        <v>612500.88</v>
      </c>
      <c r="T9" s="86">
        <v>581923</v>
      </c>
      <c r="U9" s="30">
        <v>662647.61</v>
      </c>
      <c r="V9" s="86">
        <v>512706.06</v>
      </c>
      <c r="W9" s="86">
        <v>529809.11</v>
      </c>
      <c r="X9" s="5"/>
      <c r="Y9" s="11"/>
      <c r="Z9" s="11"/>
      <c r="AA9" s="11"/>
      <c r="AB9" s="11"/>
      <c r="AC9" s="11"/>
      <c r="AD9" s="11"/>
      <c r="AE9" s="30">
        <f t="shared" si="2"/>
        <v>2484016.5299999998</v>
      </c>
      <c r="AF9" s="30">
        <f t="shared" si="3"/>
        <v>2369777.5499999998</v>
      </c>
      <c r="AG9" s="30">
        <f t="shared" si="4"/>
        <v>2287085.7799999998</v>
      </c>
    </row>
    <row r="10" spans="1:33" ht="12.75" customHeight="1">
      <c r="A10" s="77"/>
      <c r="B10" s="147" t="s">
        <v>143</v>
      </c>
      <c r="C10" s="78">
        <v>699117.42599999998</v>
      </c>
      <c r="D10" s="78">
        <v>581359.55850000004</v>
      </c>
      <c r="E10" s="78">
        <v>1208324.4600000002</v>
      </c>
      <c r="F10" s="78">
        <v>1429201.2000000002</v>
      </c>
      <c r="G10" s="78">
        <v>1681095.45</v>
      </c>
      <c r="H10" s="78">
        <v>1468435.02</v>
      </c>
      <c r="I10" s="10"/>
      <c r="J10" s="86">
        <v>281508.12</v>
      </c>
      <c r="K10" s="86">
        <v>275653.56</v>
      </c>
      <c r="L10" s="86">
        <v>280655.15999999997</v>
      </c>
      <c r="M10" s="30">
        <f t="shared" si="5"/>
        <v>591384.36000000034</v>
      </c>
      <c r="N10" s="86">
        <v>316111.56</v>
      </c>
      <c r="O10" s="86">
        <v>303577.08</v>
      </c>
      <c r="P10" s="86">
        <v>323561.29000000004</v>
      </c>
      <c r="Q10" s="30">
        <f t="shared" si="6"/>
        <v>737845.5199999999</v>
      </c>
      <c r="R10" s="86">
        <v>272584.8</v>
      </c>
      <c r="S10" s="86">
        <v>280729.57</v>
      </c>
      <c r="T10" s="86">
        <v>253010</v>
      </c>
      <c r="U10" s="30">
        <v>453390.47000000003</v>
      </c>
      <c r="V10" s="86">
        <v>313320.37</v>
      </c>
      <c r="W10" s="86">
        <v>334616.27999999997</v>
      </c>
      <c r="X10" s="5"/>
      <c r="Y10" s="11"/>
      <c r="Z10" s="11"/>
      <c r="AA10" s="11"/>
      <c r="AB10" s="11"/>
      <c r="AC10" s="11"/>
      <c r="AD10" s="11"/>
      <c r="AE10" s="30">
        <f t="shared" si="2"/>
        <v>1259714.8400000001</v>
      </c>
      <c r="AF10" s="30">
        <f t="shared" si="3"/>
        <v>1300450.4100000001</v>
      </c>
      <c r="AG10" s="30">
        <f t="shared" si="4"/>
        <v>1354337.1199999999</v>
      </c>
    </row>
    <row r="11" spans="1:33" ht="12.75" customHeight="1">
      <c r="B11" s="9" t="s">
        <v>144</v>
      </c>
      <c r="C11" s="78">
        <v>369903.4</v>
      </c>
      <c r="D11" s="78">
        <v>307597.65000000002</v>
      </c>
      <c r="E11" s="78">
        <v>258926.66999999998</v>
      </c>
      <c r="F11" s="78">
        <v>306257.39999999997</v>
      </c>
      <c r="G11" s="78">
        <v>336219.08999999997</v>
      </c>
      <c r="H11" s="78">
        <v>451826.16000000003</v>
      </c>
      <c r="I11" s="78"/>
      <c r="J11" s="86">
        <v>70377.03</v>
      </c>
      <c r="K11" s="86">
        <v>91884.52</v>
      </c>
      <c r="L11" s="86">
        <v>93551.72</v>
      </c>
      <c r="M11" s="30">
        <f t="shared" si="5"/>
        <v>50444.129999999976</v>
      </c>
      <c r="N11" s="86">
        <v>105370.52</v>
      </c>
      <c r="O11" s="86">
        <v>101192.36</v>
      </c>
      <c r="P11" s="86">
        <v>99557.32</v>
      </c>
      <c r="Q11" s="30">
        <f t="shared" si="6"/>
        <v>30098.889999999956</v>
      </c>
      <c r="R11" s="86">
        <v>109033.92</v>
      </c>
      <c r="S11" s="86">
        <v>102083.48</v>
      </c>
      <c r="T11" s="86">
        <v>101204</v>
      </c>
      <c r="U11" s="30">
        <v>139504.76</v>
      </c>
      <c r="V11" s="86">
        <v>113934.68000000001</v>
      </c>
      <c r="W11" s="86">
        <v>111538.76000000001</v>
      </c>
      <c r="X11" s="30"/>
      <c r="Y11" s="30">
        <f t="shared" ref="Y11:AD12" si="7">SUM(K11:N11)</f>
        <v>341250.88999999996</v>
      </c>
      <c r="Z11" s="30">
        <f t="shared" si="7"/>
        <v>350558.73</v>
      </c>
      <c r="AA11" s="30">
        <f t="shared" si="7"/>
        <v>356564.32999999996</v>
      </c>
      <c r="AB11" s="30">
        <f t="shared" si="7"/>
        <v>336219.08999999997</v>
      </c>
      <c r="AC11" s="30">
        <f t="shared" si="7"/>
        <v>339882.48999999993</v>
      </c>
      <c r="AD11" s="30">
        <f t="shared" si="7"/>
        <v>340773.60999999993</v>
      </c>
      <c r="AE11" s="30">
        <f t="shared" ref="AE11:AG12" si="8">SUM(R11:U11)</f>
        <v>451826.16000000003</v>
      </c>
      <c r="AF11" s="30">
        <f t="shared" si="8"/>
        <v>456726.92</v>
      </c>
      <c r="AG11" s="30">
        <f t="shared" si="8"/>
        <v>466182.2</v>
      </c>
    </row>
    <row r="12" spans="1:33" ht="12.75" customHeight="1">
      <c r="B12" s="9" t="s">
        <v>145</v>
      </c>
      <c r="C12" s="78">
        <v>295922.72000000003</v>
      </c>
      <c r="D12" s="78">
        <v>246078.12</v>
      </c>
      <c r="E12" s="78">
        <v>258926.66999999998</v>
      </c>
      <c r="F12" s="78">
        <v>306257.39999999997</v>
      </c>
      <c r="G12" s="78">
        <v>336219.08999999997</v>
      </c>
      <c r="H12" s="78">
        <v>225913.08000000002</v>
      </c>
      <c r="I12" s="78"/>
      <c r="J12" s="86">
        <v>70377.03</v>
      </c>
      <c r="K12" s="86">
        <v>68913.39</v>
      </c>
      <c r="L12" s="86">
        <v>70163.789999999994</v>
      </c>
      <c r="M12" s="30">
        <f t="shared" si="5"/>
        <v>96803.19</v>
      </c>
      <c r="N12" s="86">
        <v>79027.89</v>
      </c>
      <c r="O12" s="86">
        <v>75894.27</v>
      </c>
      <c r="P12" s="86">
        <v>74667.989999999991</v>
      </c>
      <c r="Q12" s="30">
        <f t="shared" si="6"/>
        <v>106628.93999999997</v>
      </c>
      <c r="R12" s="86">
        <v>54516.959999999999</v>
      </c>
      <c r="S12" s="86">
        <v>51041.74</v>
      </c>
      <c r="T12" s="86">
        <v>50602</v>
      </c>
      <c r="U12" s="30">
        <v>69752.38</v>
      </c>
      <c r="V12" s="86">
        <v>56967.340000000004</v>
      </c>
      <c r="W12" s="86">
        <v>55769.380000000005</v>
      </c>
      <c r="X12" s="5"/>
      <c r="Y12" s="11">
        <f t="shared" si="7"/>
        <v>314908.26</v>
      </c>
      <c r="Z12" s="11">
        <f t="shared" si="7"/>
        <v>321889.14</v>
      </c>
      <c r="AA12" s="11">
        <f t="shared" si="7"/>
        <v>326393.34000000003</v>
      </c>
      <c r="AB12" s="11">
        <f t="shared" si="7"/>
        <v>336219.08999999997</v>
      </c>
      <c r="AC12" s="11">
        <f t="shared" si="7"/>
        <v>311708.15999999997</v>
      </c>
      <c r="AD12" s="11">
        <f t="shared" si="7"/>
        <v>286855.62999999995</v>
      </c>
      <c r="AE12" s="30">
        <f t="shared" si="8"/>
        <v>225913.08000000002</v>
      </c>
      <c r="AF12" s="30">
        <f t="shared" si="8"/>
        <v>228363.46</v>
      </c>
      <c r="AG12" s="30">
        <f t="shared" si="8"/>
        <v>233091.1</v>
      </c>
    </row>
    <row r="13" spans="1:33" ht="12.75" customHeight="1">
      <c r="B13" s="12" t="s">
        <v>88</v>
      </c>
      <c r="C13" s="32">
        <f>SUM(C7:C12)</f>
        <v>7398068</v>
      </c>
      <c r="D13" s="32">
        <f t="shared" ref="D13:H13" si="9">SUM(D7:D12)</f>
        <v>6090433.4700000007</v>
      </c>
      <c r="E13" s="32">
        <f t="shared" si="9"/>
        <v>8630889</v>
      </c>
      <c r="F13" s="32">
        <f t="shared" si="9"/>
        <v>10208580</v>
      </c>
      <c r="G13" s="32">
        <f t="shared" si="9"/>
        <v>11207302.999999998</v>
      </c>
      <c r="H13" s="32">
        <f t="shared" si="9"/>
        <v>11295654</v>
      </c>
      <c r="I13" s="11"/>
      <c r="J13" s="32">
        <f t="shared" ref="J13" si="10">SUM(J7:J12)</f>
        <v>2345900.9999999995</v>
      </c>
      <c r="K13" s="32">
        <f t="shared" ref="K13" si="11">SUM(K7:K12)</f>
        <v>2297113</v>
      </c>
      <c r="L13" s="32">
        <f t="shared" ref="L13" si="12">SUM(L7:L12)</f>
        <v>2338793.0000000005</v>
      </c>
      <c r="M13" s="32">
        <f t="shared" ref="M13" si="13">SUM(M7:M12)</f>
        <v>3226772.9999999995</v>
      </c>
      <c r="N13" s="32">
        <f t="shared" ref="N13" si="14">SUM(N7:N12)</f>
        <v>2634263.0000000005</v>
      </c>
      <c r="O13" s="32">
        <f t="shared" ref="O13" si="15">SUM(O7:O12)</f>
        <v>2529809</v>
      </c>
      <c r="P13" s="32">
        <f t="shared" ref="P13" si="16">SUM(P7:P12)</f>
        <v>2488933</v>
      </c>
      <c r="Q13" s="32">
        <f t="shared" ref="Q13" si="17">SUM(Q7:Q12)</f>
        <v>3554297.9999999991</v>
      </c>
      <c r="R13" s="32">
        <f t="shared" ref="R13" si="18">SUM(R7:R12)</f>
        <v>2725847.9999999995</v>
      </c>
      <c r="S13" s="32">
        <f t="shared" ref="S13" si="19">SUM(S7:S12)</f>
        <v>2552087</v>
      </c>
      <c r="T13" s="32">
        <f t="shared" ref="T13" si="20">SUM(T7:T12)</f>
        <v>2530100</v>
      </c>
      <c r="U13" s="32">
        <f t="shared" ref="U13" si="21">SUM(U7:U12)</f>
        <v>3487619</v>
      </c>
      <c r="V13" s="32">
        <f t="shared" ref="V13" si="22">SUM(V7:V12)</f>
        <v>2848367</v>
      </c>
      <c r="W13" s="32">
        <f t="shared" ref="W13" si="23">SUM(W7:W12)</f>
        <v>2788469</v>
      </c>
      <c r="X13" s="5"/>
      <c r="Y13" s="32">
        <f t="shared" ref="Y13:AG13" si="24">SUM(Y11:Y12)</f>
        <v>656159.14999999991</v>
      </c>
      <c r="Z13" s="32">
        <f t="shared" si="24"/>
        <v>672447.87</v>
      </c>
      <c r="AA13" s="32">
        <f t="shared" si="24"/>
        <v>682957.66999999993</v>
      </c>
      <c r="AB13" s="32">
        <f t="shared" si="24"/>
        <v>672438.17999999993</v>
      </c>
      <c r="AC13" s="32">
        <f t="shared" si="24"/>
        <v>651590.64999999991</v>
      </c>
      <c r="AD13" s="32">
        <f t="shared" si="24"/>
        <v>627629.23999999987</v>
      </c>
      <c r="AE13" s="32">
        <f t="shared" si="24"/>
        <v>677739.24</v>
      </c>
      <c r="AF13" s="32">
        <f t="shared" si="24"/>
        <v>685090.38</v>
      </c>
      <c r="AG13" s="32">
        <f t="shared" si="24"/>
        <v>699273.3</v>
      </c>
    </row>
    <row r="14" spans="1:33">
      <c r="B14" s="75" t="s">
        <v>79</v>
      </c>
      <c r="C14" s="76">
        <f>C13-'Historical Financials'!C11</f>
        <v>0</v>
      </c>
      <c r="D14" s="76">
        <f>D13-'Historical Financials'!D11</f>
        <v>0</v>
      </c>
      <c r="E14" s="76">
        <f>E13-'Historical Financials'!E11</f>
        <v>0</v>
      </c>
      <c r="F14" s="76">
        <f>F13-'Historical Financials'!F11</f>
        <v>0</v>
      </c>
      <c r="G14" s="76">
        <f>G13-'Historical Financials'!G11</f>
        <v>0</v>
      </c>
      <c r="H14" s="76">
        <f>H13-'Historical Financials'!H11</f>
        <v>0</v>
      </c>
      <c r="I14" s="11"/>
      <c r="J14" s="76">
        <f>J13-'Historical Financials'!J11</f>
        <v>0</v>
      </c>
      <c r="K14" s="76">
        <f>K13-'Historical Financials'!K11</f>
        <v>0</v>
      </c>
      <c r="L14" s="76">
        <f>L13-'Historical Financials'!L11</f>
        <v>0</v>
      </c>
      <c r="M14" s="76">
        <f>M13-'Historical Financials'!M11</f>
        <v>0</v>
      </c>
      <c r="N14" s="76">
        <f>N13-'Historical Financials'!N11</f>
        <v>0</v>
      </c>
      <c r="O14" s="76">
        <f>O13-'Historical Financials'!O11</f>
        <v>0</v>
      </c>
      <c r="P14" s="76">
        <f>P13-'Historical Financials'!P11</f>
        <v>0</v>
      </c>
      <c r="Q14" s="76">
        <f>Q13-'Historical Financials'!Q11</f>
        <v>0</v>
      </c>
      <c r="R14" s="76">
        <f>R13-'Historical Financials'!R11</f>
        <v>0</v>
      </c>
      <c r="S14" s="76">
        <f>S13-'Historical Financials'!S11</f>
        <v>0</v>
      </c>
      <c r="T14" s="76">
        <f>T13-'Historical Financials'!T11</f>
        <v>0</v>
      </c>
      <c r="U14" s="76">
        <f>U13-'Historical Financials'!U11</f>
        <v>0</v>
      </c>
      <c r="V14" s="76">
        <f>V13-'Historical Financials'!V11</f>
        <v>0</v>
      </c>
      <c r="W14" s="76">
        <f>W13-'Historical Financials'!W11</f>
        <v>0</v>
      </c>
      <c r="X14" s="76"/>
      <c r="Y14" s="76">
        <f>Y13-'Historical Financials'!Y11</f>
        <v>-9552420.8499999996</v>
      </c>
      <c r="Z14" s="76">
        <f>Z13-'Historical Financials'!Z11</f>
        <v>-9824494.1300000008</v>
      </c>
      <c r="AA14" s="76">
        <f>AA13-'Historical Financials'!AA11</f>
        <v>-10046680.33</v>
      </c>
      <c r="AB14" s="76">
        <f>AB13-'Historical Financials'!AB11</f>
        <v>-10207339.82</v>
      </c>
      <c r="AC14" s="76">
        <f>AC13-'Historical Financials'!AC11</f>
        <v>-10555712.349999998</v>
      </c>
      <c r="AD14" s="76">
        <f>AD13-'Historical Financials'!AD11</f>
        <v>-10671258.759999998</v>
      </c>
      <c r="AE14" s="76">
        <f>AE13-'Historical Financials'!AF11</f>
        <v>-10684593.759999998</v>
      </c>
      <c r="AF14" s="76">
        <f>AF13-'Historical Financials'!AG11</f>
        <v>-10610563.619999999</v>
      </c>
      <c r="AG14" s="76">
        <f>AG13-'Historical Financials'!AH11</f>
        <v>-10718899.699999999</v>
      </c>
    </row>
    <row r="15" spans="1:33">
      <c r="B15" s="16"/>
      <c r="C15" s="17"/>
      <c r="D15" s="17"/>
      <c r="E15" s="17"/>
      <c r="F15" s="17"/>
      <c r="G15" s="17"/>
      <c r="H15" s="17"/>
      <c r="I15" s="18"/>
      <c r="J15" s="19"/>
      <c r="K15" s="19"/>
      <c r="L15" s="19"/>
      <c r="M15" s="20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 ht="12.75" customHeight="1">
      <c r="A16" s="77" t="s">
        <v>19</v>
      </c>
      <c r="B16" s="74" t="s">
        <v>137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/>
      <c r="Y16" s="11"/>
      <c r="Z16" s="11"/>
      <c r="AA16" s="11"/>
      <c r="AB16" s="11"/>
      <c r="AC16" s="11"/>
      <c r="AD16" s="11"/>
      <c r="AE16" s="11"/>
      <c r="AF16" s="11"/>
      <c r="AG16" s="11"/>
    </row>
    <row r="17" spans="2:33" ht="12.75" customHeight="1">
      <c r="B17" s="9"/>
      <c r="C17" s="78"/>
      <c r="D17" s="78"/>
      <c r="E17" s="78"/>
      <c r="F17" s="78"/>
      <c r="G17" s="78"/>
      <c r="H17" s="78"/>
      <c r="I17" s="78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30"/>
      <c r="V17" s="86"/>
      <c r="W17" s="86"/>
      <c r="X17" s="5"/>
      <c r="Y17" s="11">
        <f t="shared" ref="Y17:AD18" si="25">SUM(K17:N17)</f>
        <v>0</v>
      </c>
      <c r="Z17" s="11">
        <f t="shared" si="25"/>
        <v>0</v>
      </c>
      <c r="AA17" s="11">
        <f t="shared" si="25"/>
        <v>0</v>
      </c>
      <c r="AB17" s="11">
        <f t="shared" si="25"/>
        <v>0</v>
      </c>
      <c r="AC17" s="11">
        <f t="shared" si="25"/>
        <v>0</v>
      </c>
      <c r="AD17" s="11">
        <f t="shared" si="25"/>
        <v>0</v>
      </c>
      <c r="AE17" s="30">
        <f t="shared" ref="AE17:AG18" si="26">SUM(R17:U17)</f>
        <v>0</v>
      </c>
      <c r="AF17" s="30">
        <f t="shared" si="26"/>
        <v>0</v>
      </c>
      <c r="AG17" s="30">
        <f t="shared" si="26"/>
        <v>0</v>
      </c>
    </row>
    <row r="18" spans="2:33" ht="12.75" customHeight="1">
      <c r="B18" s="9"/>
      <c r="C18" s="78"/>
      <c r="D18" s="78"/>
      <c r="E18" s="78"/>
      <c r="F18" s="78"/>
      <c r="G18" s="78"/>
      <c r="H18" s="78"/>
      <c r="I18" s="78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30"/>
      <c r="V18" s="86"/>
      <c r="W18" s="86"/>
      <c r="X18" s="5"/>
      <c r="Y18" s="11">
        <f t="shared" si="25"/>
        <v>0</v>
      </c>
      <c r="Z18" s="11">
        <f t="shared" si="25"/>
        <v>0</v>
      </c>
      <c r="AA18" s="11">
        <f t="shared" si="25"/>
        <v>0</v>
      </c>
      <c r="AB18" s="11">
        <f t="shared" si="25"/>
        <v>0</v>
      </c>
      <c r="AC18" s="11">
        <f t="shared" si="25"/>
        <v>0</v>
      </c>
      <c r="AD18" s="11">
        <f t="shared" si="25"/>
        <v>0</v>
      </c>
      <c r="AE18" s="30">
        <f t="shared" si="26"/>
        <v>0</v>
      </c>
      <c r="AF18" s="30">
        <f t="shared" si="26"/>
        <v>0</v>
      </c>
      <c r="AG18" s="30">
        <f t="shared" si="26"/>
        <v>0</v>
      </c>
    </row>
    <row r="19" spans="2:33" ht="12.75" customHeight="1">
      <c r="B19" s="12" t="s">
        <v>110</v>
      </c>
      <c r="C19" s="32">
        <f t="shared" ref="C19:E19" si="27">SUM(C17:C18)</f>
        <v>0</v>
      </c>
      <c r="D19" s="32">
        <f t="shared" si="27"/>
        <v>0</v>
      </c>
      <c r="E19" s="32">
        <f t="shared" si="27"/>
        <v>0</v>
      </c>
      <c r="F19" s="32">
        <f t="shared" ref="F19:H19" si="28">SUM(F17:F18)</f>
        <v>0</v>
      </c>
      <c r="G19" s="32">
        <f t="shared" si="28"/>
        <v>0</v>
      </c>
      <c r="H19" s="32">
        <f t="shared" si="28"/>
        <v>0</v>
      </c>
      <c r="I19" s="11"/>
      <c r="J19" s="32"/>
      <c r="K19" s="32"/>
      <c r="L19" s="32"/>
      <c r="M19" s="32"/>
      <c r="N19" s="32"/>
      <c r="O19" s="32"/>
      <c r="P19" s="32"/>
      <c r="Q19" s="32"/>
      <c r="R19" s="32">
        <f t="shared" ref="R19:W19" si="29">SUM(R17:R18)</f>
        <v>0</v>
      </c>
      <c r="S19" s="32">
        <f t="shared" si="29"/>
        <v>0</v>
      </c>
      <c r="T19" s="32">
        <f t="shared" si="29"/>
        <v>0</v>
      </c>
      <c r="U19" s="32">
        <f t="shared" si="29"/>
        <v>0</v>
      </c>
      <c r="V19" s="32">
        <f t="shared" si="29"/>
        <v>0</v>
      </c>
      <c r="W19" s="32">
        <f t="shared" si="29"/>
        <v>0</v>
      </c>
      <c r="X19" s="5"/>
      <c r="Y19" s="32">
        <f t="shared" ref="Y19:AG19" si="30">SUM(Y17:Y18)</f>
        <v>0</v>
      </c>
      <c r="Z19" s="32">
        <f t="shared" si="30"/>
        <v>0</v>
      </c>
      <c r="AA19" s="32">
        <f t="shared" si="30"/>
        <v>0</v>
      </c>
      <c r="AB19" s="32">
        <f t="shared" si="30"/>
        <v>0</v>
      </c>
      <c r="AC19" s="32">
        <f t="shared" si="30"/>
        <v>0</v>
      </c>
      <c r="AD19" s="32">
        <f t="shared" si="30"/>
        <v>0</v>
      </c>
      <c r="AE19" s="32">
        <f t="shared" si="30"/>
        <v>0</v>
      </c>
      <c r="AF19" s="32">
        <f t="shared" si="30"/>
        <v>0</v>
      </c>
      <c r="AG19" s="32">
        <f t="shared" si="30"/>
        <v>0</v>
      </c>
    </row>
    <row r="20" spans="2:33" ht="12.75" customHeight="1">
      <c r="B20" s="75" t="s">
        <v>79</v>
      </c>
      <c r="C20" s="76">
        <f t="shared" ref="C20:E20" si="31">+C19-C13</f>
        <v>-7398068</v>
      </c>
      <c r="D20" s="76">
        <f t="shared" si="31"/>
        <v>-6090433.4700000007</v>
      </c>
      <c r="E20" s="76">
        <f t="shared" si="31"/>
        <v>-8630889</v>
      </c>
      <c r="F20" s="76">
        <f t="shared" ref="F20:H20" si="32">+F19-F13</f>
        <v>-10208580</v>
      </c>
      <c r="G20" s="76">
        <f t="shared" si="32"/>
        <v>-11207302.999999998</v>
      </c>
      <c r="H20" s="76">
        <f t="shared" si="32"/>
        <v>-11295654</v>
      </c>
      <c r="I20" s="11"/>
      <c r="J20" s="119"/>
      <c r="K20" s="119"/>
      <c r="L20" s="119"/>
      <c r="M20" s="119"/>
      <c r="N20" s="119"/>
      <c r="O20" s="119"/>
      <c r="P20" s="119"/>
      <c r="Q20" s="119"/>
      <c r="R20" s="76">
        <f t="shared" ref="R20" si="33">+R19-R13</f>
        <v>-2725847.9999999995</v>
      </c>
      <c r="S20" s="76">
        <f t="shared" ref="S20" si="34">+S19-S13</f>
        <v>-2552087</v>
      </c>
      <c r="T20" s="76">
        <f t="shared" ref="T20" si="35">+T19-T13</f>
        <v>-2530100</v>
      </c>
      <c r="U20" s="76">
        <f t="shared" ref="U20" si="36">+U19-U13</f>
        <v>-3487619</v>
      </c>
      <c r="V20" s="76">
        <f t="shared" ref="V20" si="37">+V19-V13</f>
        <v>-2848367</v>
      </c>
      <c r="W20" s="76">
        <f t="shared" ref="W20" si="38">+W19-W13</f>
        <v>-2788469</v>
      </c>
      <c r="X20" s="76"/>
      <c r="Y20" s="76">
        <f>Y19-'Historical Financials'!Y17</f>
        <v>2506458</v>
      </c>
      <c r="Z20" s="76">
        <f>Z19-'Historical Financials'!Z17</f>
        <v>2572691</v>
      </c>
      <c r="AA20" s="76">
        <f>AA19-'Historical Financials'!AA17</f>
        <v>2636907</v>
      </c>
      <c r="AB20" s="76">
        <f>AB19-'Historical Financials'!AB17</f>
        <v>2694561</v>
      </c>
      <c r="AC20" s="76">
        <f>AC19-'Historical Financials'!AC17</f>
        <v>2748345</v>
      </c>
      <c r="AD20" s="76">
        <f>AD19-'Historical Financials'!AD17</f>
        <v>2792474</v>
      </c>
      <c r="AE20" s="76">
        <f t="shared" ref="AE20" si="39">+AE19-AE13</f>
        <v>-677739.24</v>
      </c>
      <c r="AF20" s="76">
        <f t="shared" ref="AF20" si="40">+AF19-AF13</f>
        <v>-685090.38</v>
      </c>
      <c r="AG20" s="76">
        <f t="shared" ref="AG20" si="41">+AG19-AG13</f>
        <v>-699273.3</v>
      </c>
    </row>
  </sheetData>
  <dataValidations disablePrompts="1"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Normal="100" workbookViewId="0">
      <selection activeCell="B3" sqref="B3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8" bestFit="1" customWidth="1"/>
    <col min="38" max="16384" width="9" style="8"/>
  </cols>
  <sheetData>
    <row r="2" spans="2:37" s="5" customFormat="1" ht="12.75" customHeight="1">
      <c r="B2" s="1" t="s">
        <v>146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10</v>
      </c>
      <c r="Y2" s="2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  <c r="AJ2" s="3"/>
      <c r="AK2" s="146" t="s">
        <v>26</v>
      </c>
    </row>
    <row r="3" spans="2:37" s="5" customFormat="1" ht="12.75" customHeight="1">
      <c r="B3" s="6" t="s">
        <v>27</v>
      </c>
      <c r="C3" s="7" t="e">
        <f>'Historical Financials'!#REF!</f>
        <v>#REF!</v>
      </c>
      <c r="D3" s="7">
        <f>'Historical Financials'!F7</f>
        <v>2022</v>
      </c>
      <c r="E3" s="7">
        <f>'Historical Financials'!G7</f>
        <v>2023</v>
      </c>
      <c r="F3" s="7">
        <f>'Historical Financials'!H7</f>
        <v>2024</v>
      </c>
      <c r="G3" s="3"/>
      <c r="H3" s="7" t="str">
        <f>'Historical Financials'!J7</f>
        <v>1Q22</v>
      </c>
      <c r="I3" s="7" t="str">
        <f>'Historical Financials'!K7</f>
        <v>2Q22</v>
      </c>
      <c r="J3" s="7" t="str">
        <f>'Historical Financials'!L7</f>
        <v>3Q22</v>
      </c>
      <c r="K3" s="7" t="str">
        <f>'Historical Financials'!M7</f>
        <v>4Q22</v>
      </c>
      <c r="L3" s="7" t="str">
        <f>'Historical Financials'!N7</f>
        <v>1Q23</v>
      </c>
      <c r="M3" s="7" t="str">
        <f>'Historical Financials'!O7</f>
        <v>2Q23</v>
      </c>
      <c r="N3" s="7" t="str">
        <f>'Historical Financials'!P7</f>
        <v>3Q23</v>
      </c>
      <c r="O3" s="7" t="str">
        <f>'Historical Financials'!Q7</f>
        <v>4Q23</v>
      </c>
      <c r="P3" s="7" t="str">
        <f>'Historical Financials'!R7</f>
        <v>1Q24</v>
      </c>
      <c r="Q3" s="7" t="str">
        <f>'Historical Financials'!S7</f>
        <v>2Q24</v>
      </c>
      <c r="R3" s="7" t="str">
        <f>'Historical Financials'!T7</f>
        <v>3Q24</v>
      </c>
      <c r="S3" s="7" t="str">
        <f>'Historical Financials'!U7</f>
        <v>4Q24</v>
      </c>
      <c r="T3" s="7" t="str">
        <f>'Historical Financials'!V7</f>
        <v>1Q25</v>
      </c>
      <c r="U3" s="7" t="str">
        <f>'Historical Financials'!W7</f>
        <v>2Q25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e">
        <f>V3</f>
        <v>#REF!</v>
      </c>
      <c r="AJ3" s="3"/>
      <c r="AK3" s="146"/>
    </row>
    <row r="4" spans="2:37" s="5" customFormat="1" ht="12.75" customHeight="1">
      <c r="B4" s="6" t="s">
        <v>132</v>
      </c>
      <c r="C4" s="3" t="e">
        <f>'Historical Financials'!#REF!</f>
        <v>#REF!</v>
      </c>
      <c r="D4" s="3">
        <f>'Historical Financials'!F8</f>
        <v>44954</v>
      </c>
      <c r="E4" s="3">
        <f>'Historical Financials'!G8</f>
        <v>45325</v>
      </c>
      <c r="F4" s="3">
        <f>'Historical Financials'!H8</f>
        <v>45689</v>
      </c>
      <c r="G4" s="3"/>
      <c r="H4" s="3">
        <f>'Historical Financials'!J8</f>
        <v>44681</v>
      </c>
      <c r="I4" s="3">
        <f>'Historical Financials'!K8</f>
        <v>44772</v>
      </c>
      <c r="J4" s="3">
        <f>'Historical Financials'!L8</f>
        <v>44863</v>
      </c>
      <c r="K4" s="3">
        <f>'Historical Financials'!M8</f>
        <v>44954</v>
      </c>
      <c r="L4" s="3">
        <f>'Historical Financials'!N8</f>
        <v>45045</v>
      </c>
      <c r="M4" s="3">
        <f>'Historical Financials'!O8</f>
        <v>45136</v>
      </c>
      <c r="N4" s="3">
        <f>'Historical Financials'!P8</f>
        <v>45227</v>
      </c>
      <c r="O4" s="3">
        <f>'Historical Financials'!Q8</f>
        <v>45325</v>
      </c>
      <c r="P4" s="3">
        <f>'Historical Financials'!R8</f>
        <v>45416</v>
      </c>
      <c r="Q4" s="3">
        <f>'Historical Financials'!S8</f>
        <v>45507</v>
      </c>
      <c r="R4" s="3">
        <f>'Historical Financials'!T8</f>
        <v>45598</v>
      </c>
      <c r="S4" s="3">
        <f>'Historical Financials'!U8</f>
        <v>45689</v>
      </c>
      <c r="T4" s="3">
        <f>'Historical Financials'!V8</f>
        <v>45780</v>
      </c>
      <c r="U4" s="3">
        <f>'Historical Financials'!W8</f>
        <v>45871</v>
      </c>
      <c r="V4" s="3" t="e">
        <f>'Historical Financials'!#REF!</f>
        <v>#REF!</v>
      </c>
      <c r="W4" s="3"/>
      <c r="X4" s="3">
        <f t="shared" si="0"/>
        <v>44954</v>
      </c>
      <c r="Y4" s="3">
        <f t="shared" si="0"/>
        <v>45045</v>
      </c>
      <c r="Z4" s="3">
        <f t="shared" si="0"/>
        <v>45136</v>
      </c>
      <c r="AA4" s="3">
        <f t="shared" si="0"/>
        <v>45227</v>
      </c>
      <c r="AB4" s="3">
        <f t="shared" si="0"/>
        <v>45325</v>
      </c>
      <c r="AC4" s="3">
        <f t="shared" si="0"/>
        <v>45416</v>
      </c>
      <c r="AD4" s="3">
        <f t="shared" si="0"/>
        <v>45507</v>
      </c>
      <c r="AE4" s="3">
        <f t="shared" si="0"/>
        <v>45598</v>
      </c>
      <c r="AF4" s="3">
        <f t="shared" si="0"/>
        <v>45689</v>
      </c>
      <c r="AG4" s="3">
        <f t="shared" si="0"/>
        <v>45780</v>
      </c>
      <c r="AH4" s="3">
        <f t="shared" si="0"/>
        <v>45871</v>
      </c>
      <c r="AI4" s="3" t="e">
        <f>V4</f>
        <v>#REF!</v>
      </c>
      <c r="AJ4" s="3"/>
      <c r="AK4" s="146"/>
    </row>
    <row r="5" spans="2:37" ht="5.0999999999999996" customHeight="1">
      <c r="AK5" s="114"/>
    </row>
    <row r="6" spans="2:37" ht="12.75" customHeight="1">
      <c r="B6" s="9"/>
      <c r="C6" s="135"/>
      <c r="D6" s="85"/>
      <c r="E6" s="85"/>
      <c r="F6" s="85"/>
      <c r="G6" s="10"/>
      <c r="H6" s="135"/>
      <c r="I6" s="135"/>
      <c r="J6" s="135"/>
      <c r="K6" s="135"/>
      <c r="L6" s="135"/>
      <c r="M6" s="135"/>
      <c r="N6" s="135"/>
      <c r="O6" s="135"/>
      <c r="P6" s="85">
        <f>'Revenue Drivers'!R11</f>
        <v>109033.92</v>
      </c>
      <c r="Q6" s="85">
        <f>'Revenue Drivers'!S11</f>
        <v>102083.48</v>
      </c>
      <c r="R6" s="85"/>
      <c r="S6" s="85"/>
      <c r="T6" s="85"/>
      <c r="U6" s="85"/>
      <c r="V6" s="85"/>
      <c r="W6" s="5"/>
      <c r="X6" s="135"/>
      <c r="Y6" s="135"/>
      <c r="Z6" s="135"/>
      <c r="AA6" s="135"/>
      <c r="AB6" s="135"/>
      <c r="AC6" s="10">
        <f t="shared" ref="AB6:AH8" si="1">SUM(M6:P6)</f>
        <v>109033.92</v>
      </c>
      <c r="AD6" s="10">
        <f t="shared" si="1"/>
        <v>211117.4</v>
      </c>
      <c r="AE6" s="10">
        <f t="shared" si="1"/>
        <v>211117.4</v>
      </c>
      <c r="AF6" s="10">
        <f t="shared" si="1"/>
        <v>211117.4</v>
      </c>
      <c r="AG6" s="10">
        <f t="shared" si="1"/>
        <v>102083.48</v>
      </c>
      <c r="AH6" s="10">
        <f t="shared" si="1"/>
        <v>0</v>
      </c>
      <c r="AI6" s="10">
        <f>SUM(S6:V6)</f>
        <v>0</v>
      </c>
      <c r="AK6" s="115">
        <f>SUM(AI6/AE6)-1</f>
        <v>-1</v>
      </c>
    </row>
    <row r="7" spans="2:37" ht="12.75" customHeight="1">
      <c r="B7" s="9"/>
      <c r="C7" s="135"/>
      <c r="D7" s="85"/>
      <c r="E7" s="85"/>
      <c r="F7" s="85"/>
      <c r="G7" s="10"/>
      <c r="H7" s="135"/>
      <c r="I7" s="135"/>
      <c r="J7" s="135"/>
      <c r="K7" s="135"/>
      <c r="L7" s="135"/>
      <c r="M7" s="135"/>
      <c r="N7" s="135"/>
      <c r="O7" s="135"/>
      <c r="P7" s="85">
        <f>'Revenue Drivers'!R12</f>
        <v>54516.959999999999</v>
      </c>
      <c r="Q7" s="85">
        <f>'Revenue Drivers'!S12</f>
        <v>51041.74</v>
      </c>
      <c r="R7" s="85"/>
      <c r="S7" s="85"/>
      <c r="T7" s="85"/>
      <c r="U7" s="85"/>
      <c r="V7" s="85"/>
      <c r="W7" s="5"/>
      <c r="X7" s="135"/>
      <c r="Y7" s="135"/>
      <c r="Z7" s="135"/>
      <c r="AA7" s="135"/>
      <c r="AB7" s="135"/>
      <c r="AC7" s="10">
        <f t="shared" si="1"/>
        <v>54516.959999999999</v>
      </c>
      <c r="AD7" s="10">
        <f t="shared" si="1"/>
        <v>105558.7</v>
      </c>
      <c r="AE7" s="10">
        <f t="shared" si="1"/>
        <v>105558.7</v>
      </c>
      <c r="AF7" s="10">
        <f t="shared" si="1"/>
        <v>105558.7</v>
      </c>
      <c r="AG7" s="10">
        <f t="shared" si="1"/>
        <v>51041.74</v>
      </c>
      <c r="AH7" s="10">
        <f t="shared" si="1"/>
        <v>0</v>
      </c>
      <c r="AI7" s="10">
        <f>SUM(S7:V7)</f>
        <v>0</v>
      </c>
      <c r="AK7" s="115">
        <f>SUM(AI7/AE7)-1</f>
        <v>-1</v>
      </c>
    </row>
    <row r="8" spans="2:37" ht="12.75" customHeight="1">
      <c r="B8" s="12" t="s">
        <v>12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Financials'!J11</f>
        <v>2345900.9999999995</v>
      </c>
      <c r="I8" s="13">
        <f>'Historical Financials'!K11</f>
        <v>2297113</v>
      </c>
      <c r="J8" s="13">
        <f>'Historical Financials'!L11</f>
        <v>2338793.0000000005</v>
      </c>
      <c r="K8" s="13">
        <f>'Historical Financials'!M11</f>
        <v>3226773</v>
      </c>
      <c r="L8" s="13">
        <f>'Historical Financials'!N11</f>
        <v>2634263.0000000005</v>
      </c>
      <c r="M8" s="13">
        <f>'Historical Financials'!O11</f>
        <v>2529809</v>
      </c>
      <c r="N8" s="13">
        <f>'Historical Financials'!P11</f>
        <v>2488933</v>
      </c>
      <c r="O8" s="13">
        <f>'Historical Financials'!Q11</f>
        <v>3554297.9999999981</v>
      </c>
      <c r="P8" s="13">
        <f t="shared" ref="P8:V8" si="2">SUM(P6:P7)</f>
        <v>163550.88</v>
      </c>
      <c r="Q8" s="13">
        <f t="shared" si="2"/>
        <v>153125.22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10208580</v>
      </c>
      <c r="Y8" s="13">
        <f t="shared" ref="Y8" si="4">SUM(I8:L8)</f>
        <v>10496942</v>
      </c>
      <c r="Z8" s="13">
        <f t="shared" ref="Z8" si="5">SUM(J8:M8)</f>
        <v>10729638</v>
      </c>
      <c r="AA8" s="13">
        <f t="shared" ref="AA8" si="6">SUM(K8:N8)</f>
        <v>10879778</v>
      </c>
      <c r="AB8" s="13">
        <f t="shared" si="1"/>
        <v>11207302.999999998</v>
      </c>
      <c r="AC8" s="13">
        <f t="shared" ref="AC8:AH8" si="7">SUM(AC6:AC7)</f>
        <v>163550.88</v>
      </c>
      <c r="AD8" s="13">
        <f t="shared" si="7"/>
        <v>316676.09999999998</v>
      </c>
      <c r="AE8" s="13">
        <f t="shared" si="7"/>
        <v>316676.09999999998</v>
      </c>
      <c r="AF8" s="13">
        <f t="shared" si="7"/>
        <v>316676.09999999998</v>
      </c>
      <c r="AG8" s="13">
        <f t="shared" si="7"/>
        <v>153125.22</v>
      </c>
      <c r="AH8" s="13">
        <f t="shared" si="7"/>
        <v>0</v>
      </c>
      <c r="AI8" s="13">
        <f>SUM(AI6:AI7)</f>
        <v>0</v>
      </c>
      <c r="AK8" s="116">
        <f>SUM(AI8/AE8)-1</f>
        <v>-1</v>
      </c>
    </row>
    <row r="9" spans="2:37" ht="12.75" customHeight="1">
      <c r="B9" s="14" t="s">
        <v>34</v>
      </c>
      <c r="C9" s="135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5"/>
      <c r="I9" s="135"/>
      <c r="J9" s="135"/>
      <c r="K9" s="135"/>
      <c r="L9" s="135"/>
      <c r="M9" s="15">
        <f>SUM(M8/I8)-1</f>
        <v>0.10129932658950613</v>
      </c>
      <c r="N9" s="15">
        <f t="shared" ref="N9:V9" si="8">SUM(N8/J8)-1</f>
        <v>6.4195505972524991E-2</v>
      </c>
      <c r="O9" s="15">
        <f t="shared" si="8"/>
        <v>0.10150233685480758</v>
      </c>
      <c r="P9" s="15">
        <f t="shared" si="8"/>
        <v>-0.93791398960544181</v>
      </c>
      <c r="Q9" s="15">
        <f t="shared" si="8"/>
        <v>-0.93947162809524354</v>
      </c>
      <c r="R9" s="15">
        <f t="shared" si="8"/>
        <v>-1</v>
      </c>
      <c r="S9" s="15">
        <f t="shared" si="8"/>
        <v>-1</v>
      </c>
      <c r="T9" s="15">
        <f t="shared" si="8"/>
        <v>-1</v>
      </c>
      <c r="U9" s="15">
        <f t="shared" si="8"/>
        <v>-1</v>
      </c>
      <c r="V9" s="15" t="e">
        <f t="shared" si="8"/>
        <v>#DIV/0!</v>
      </c>
      <c r="W9" s="5"/>
      <c r="X9" s="105"/>
      <c r="Y9" s="105"/>
      <c r="Z9" s="105"/>
      <c r="AA9" s="105"/>
      <c r="AB9" s="15">
        <f t="shared" ref="AB9:AI9" si="9">SUM(AB8/X8)-1</f>
        <v>9.7831725861970753E-2</v>
      </c>
      <c r="AC9" s="15">
        <f t="shared" si="9"/>
        <v>-0.9844191879882731</v>
      </c>
      <c r="AD9" s="15">
        <f t="shared" si="9"/>
        <v>-0.97048585422919209</v>
      </c>
      <c r="AE9" s="15">
        <f t="shared" si="9"/>
        <v>-0.97089314690060768</v>
      </c>
      <c r="AF9" s="15">
        <f t="shared" si="9"/>
        <v>-0.97174377278815427</v>
      </c>
      <c r="AG9" s="15">
        <f t="shared" si="9"/>
        <v>-6.3745667403318218E-2</v>
      </c>
      <c r="AH9" s="15">
        <f t="shared" si="9"/>
        <v>-1</v>
      </c>
      <c r="AI9" s="15">
        <f t="shared" si="9"/>
        <v>-1</v>
      </c>
      <c r="AK9" s="117">
        <f>SUM(AI9-AE9)*10000</f>
        <v>-291.06853099392316</v>
      </c>
    </row>
    <row r="10" spans="2:37" ht="12.75" customHeight="1">
      <c r="B10" s="14" t="s">
        <v>35</v>
      </c>
      <c r="C10" s="15" t="s">
        <v>36</v>
      </c>
      <c r="D10" s="15" t="s">
        <v>36</v>
      </c>
      <c r="E10" s="15" t="s">
        <v>36</v>
      </c>
      <c r="F10" s="15" t="s">
        <v>36</v>
      </c>
      <c r="G10" s="11"/>
      <c r="H10" s="135"/>
      <c r="I10" s="135"/>
      <c r="J10" s="15">
        <f>SUM(J8/I8)-1</f>
        <v>1.8144514440517456E-2</v>
      </c>
      <c r="K10" s="15">
        <f t="shared" ref="K10:V10" si="10">SUM(K8/J8)-1</f>
        <v>0.37967447311497837</v>
      </c>
      <c r="L10" s="15">
        <f t="shared" si="10"/>
        <v>-0.18362308101623492</v>
      </c>
      <c r="M10" s="15">
        <f t="shared" si="10"/>
        <v>-3.9652077260319274E-2</v>
      </c>
      <c r="N10" s="15">
        <f t="shared" si="10"/>
        <v>-1.6157741552820792E-2</v>
      </c>
      <c r="O10" s="15">
        <f t="shared" si="10"/>
        <v>0.42804085124026958</v>
      </c>
      <c r="P10" s="15">
        <f t="shared" si="10"/>
        <v>-0.95398504008386464</v>
      </c>
      <c r="Q10" s="15">
        <f t="shared" si="10"/>
        <v>-6.3745667403318218E-2</v>
      </c>
      <c r="R10" s="15">
        <f t="shared" si="10"/>
        <v>-1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36</v>
      </c>
      <c r="Y10" s="15" t="s">
        <v>36</v>
      </c>
      <c r="Z10" s="15" t="s">
        <v>36</v>
      </c>
      <c r="AA10" s="15" t="s">
        <v>36</v>
      </c>
      <c r="AB10" s="15" t="s">
        <v>36</v>
      </c>
      <c r="AC10" s="15" t="s">
        <v>36</v>
      </c>
      <c r="AD10" s="15" t="s">
        <v>36</v>
      </c>
      <c r="AE10" s="15" t="s">
        <v>36</v>
      </c>
      <c r="AF10" s="15" t="s">
        <v>36</v>
      </c>
      <c r="AG10" s="15" t="s">
        <v>36</v>
      </c>
      <c r="AH10" s="15" t="s">
        <v>36</v>
      </c>
      <c r="AI10" s="15" t="s">
        <v>36</v>
      </c>
      <c r="AK10" s="114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4"/>
    </row>
    <row r="12" spans="2:37" ht="12.75" customHeight="1">
      <c r="B12" s="21" t="s">
        <v>37</v>
      </c>
      <c r="C12" s="85" t="e">
        <f>'Historical Financials'!#REF!</f>
        <v>#REF!</v>
      </c>
      <c r="D12" s="85"/>
      <c r="E12" s="85"/>
      <c r="F12" s="85"/>
      <c r="G12" s="10"/>
      <c r="H12" s="85">
        <f>'Historical Financials'!J13</f>
        <v>-1404875</v>
      </c>
      <c r="I12" s="85">
        <f>'Historical Financials'!K13</f>
        <v>-1368949</v>
      </c>
      <c r="J12" s="85">
        <f>'Historical Financials'!L13</f>
        <v>-1375976</v>
      </c>
      <c r="K12" s="85">
        <f>'Historical Financials'!M13</f>
        <v>-2014270</v>
      </c>
      <c r="L12" s="85">
        <f>'Historical Financials'!N13</f>
        <v>-1579406</v>
      </c>
      <c r="M12" s="85">
        <f>'Historical Financials'!O13</f>
        <v>-1536197</v>
      </c>
      <c r="N12" s="85">
        <f>'Historical Financials'!P13</f>
        <v>-1496866</v>
      </c>
      <c r="O12" s="85">
        <f>'Historical Financials'!Q13</f>
        <v>-2213734</v>
      </c>
      <c r="P12" s="85">
        <f>'Historical Financials'!R13</f>
        <v>-1656068</v>
      </c>
      <c r="Q12" s="85">
        <f>'Historical Financials'!S13</f>
        <v>-1573910</v>
      </c>
      <c r="R12" s="85"/>
      <c r="S12" s="85"/>
      <c r="T12" s="85"/>
      <c r="U12" s="85"/>
      <c r="V12" s="85"/>
      <c r="W12" s="5"/>
      <c r="X12" s="10">
        <f>SUM(G12:K12)</f>
        <v>-6164070</v>
      </c>
      <c r="Y12" s="10">
        <f t="shared" ref="Y12:AH12" si="11">SUM(I12:L12)</f>
        <v>-6338601</v>
      </c>
      <c r="Z12" s="10">
        <f t="shared" si="11"/>
        <v>-6505849</v>
      </c>
      <c r="AA12" s="10">
        <f t="shared" si="11"/>
        <v>-6626739</v>
      </c>
      <c r="AB12" s="10">
        <f t="shared" si="11"/>
        <v>-6826203</v>
      </c>
      <c r="AC12" s="10">
        <f t="shared" si="11"/>
        <v>-6902865</v>
      </c>
      <c r="AD12" s="10">
        <f t="shared" si="11"/>
        <v>-6940578</v>
      </c>
      <c r="AE12" s="10">
        <f t="shared" si="11"/>
        <v>-5443712</v>
      </c>
      <c r="AF12" s="10">
        <f t="shared" si="11"/>
        <v>-3229978</v>
      </c>
      <c r="AG12" s="10">
        <f t="shared" si="11"/>
        <v>-1573910</v>
      </c>
      <c r="AH12" s="10">
        <f t="shared" si="11"/>
        <v>0</v>
      </c>
      <c r="AI12" s="10">
        <f>SUM(S12:V12)</f>
        <v>0</v>
      </c>
      <c r="AK12" s="115">
        <f>SUM(AI12/AE12)-1</f>
        <v>-1</v>
      </c>
    </row>
    <row r="13" spans="2:37" ht="12.75" customHeight="1">
      <c r="B13" s="23" t="s">
        <v>24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941025.99999999953</v>
      </c>
      <c r="I13" s="24">
        <f t="shared" ref="I13:V13" si="13">+I8+I12</f>
        <v>928164</v>
      </c>
      <c r="J13" s="24">
        <f t="shared" si="13"/>
        <v>962817.00000000047</v>
      </c>
      <c r="K13" s="24">
        <f t="shared" si="13"/>
        <v>1212503</v>
      </c>
      <c r="L13" s="24">
        <f t="shared" si="13"/>
        <v>1054857.0000000005</v>
      </c>
      <c r="M13" s="24">
        <f t="shared" si="13"/>
        <v>993612</v>
      </c>
      <c r="N13" s="24">
        <f t="shared" si="13"/>
        <v>992067</v>
      </c>
      <c r="O13" s="24">
        <f t="shared" si="13"/>
        <v>1340563.9999999981</v>
      </c>
      <c r="P13" s="24">
        <f t="shared" si="13"/>
        <v>-1492517.12</v>
      </c>
      <c r="Q13" s="24">
        <f t="shared" si="13"/>
        <v>-1420784.78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4044510</v>
      </c>
      <c r="Y13" s="24">
        <f t="shared" si="14"/>
        <v>4158341</v>
      </c>
      <c r="Z13" s="24">
        <f t="shared" si="14"/>
        <v>4223789</v>
      </c>
      <c r="AA13" s="24">
        <f t="shared" si="14"/>
        <v>4253039</v>
      </c>
      <c r="AB13" s="24">
        <f t="shared" si="14"/>
        <v>4381099.9999999981</v>
      </c>
      <c r="AC13" s="24">
        <f t="shared" si="14"/>
        <v>-6739314.1200000001</v>
      </c>
      <c r="AD13" s="24">
        <f t="shared" si="14"/>
        <v>-6623901.9000000004</v>
      </c>
      <c r="AE13" s="24">
        <f t="shared" si="14"/>
        <v>-5127035.9000000004</v>
      </c>
      <c r="AF13" s="24">
        <f t="shared" si="14"/>
        <v>-2913301.9</v>
      </c>
      <c r="AG13" s="24">
        <f t="shared" si="14"/>
        <v>-1420784.78</v>
      </c>
      <c r="AH13" s="24">
        <f t="shared" si="14"/>
        <v>0</v>
      </c>
      <c r="AI13" s="24">
        <f>+AI8+AI12</f>
        <v>0</v>
      </c>
      <c r="AK13" s="116">
        <f>SUM(AI13/AE13)-1</f>
        <v>-1</v>
      </c>
    </row>
    <row r="14" spans="2:37" ht="12.75" customHeight="1">
      <c r="B14" s="14" t="s">
        <v>38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>
        <f t="shared" ref="H14" si="15">H13/H8</f>
        <v>0.40113627983448563</v>
      </c>
      <c r="I14" s="15">
        <f t="shared" ref="I14:V14" si="16">I13/I8</f>
        <v>0.40405674426987265</v>
      </c>
      <c r="J14" s="15">
        <f t="shared" si="16"/>
        <v>0.41167260206439832</v>
      </c>
      <c r="K14" s="15">
        <f t="shared" si="16"/>
        <v>0.37576334003042666</v>
      </c>
      <c r="L14" s="15">
        <f t="shared" si="16"/>
        <v>0.40043723804343007</v>
      </c>
      <c r="M14" s="15">
        <f t="shared" si="16"/>
        <v>0.39276166698750775</v>
      </c>
      <c r="N14" s="15">
        <f t="shared" si="16"/>
        <v>0.39859128389554882</v>
      </c>
      <c r="O14" s="15">
        <f t="shared" si="16"/>
        <v>0.3771670242618933</v>
      </c>
      <c r="P14" s="15">
        <f t="shared" si="16"/>
        <v>-9.1257052239645553</v>
      </c>
      <c r="Q14" s="15">
        <f t="shared" si="16"/>
        <v>-9.2785811507732046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>
        <f t="shared" ref="X14:AH14" si="17">X13/X8</f>
        <v>0.39618732477974411</v>
      </c>
      <c r="Y14" s="15">
        <f t="shared" si="17"/>
        <v>0.39614784953560761</v>
      </c>
      <c r="Z14" s="15">
        <f t="shared" si="17"/>
        <v>0.3936562445070374</v>
      </c>
      <c r="AA14" s="15">
        <f t="shared" si="17"/>
        <v>0.39091229618839651</v>
      </c>
      <c r="AB14" s="15">
        <f t="shared" si="17"/>
        <v>0.39091474550121458</v>
      </c>
      <c r="AC14" s="15">
        <f t="shared" si="17"/>
        <v>-41.206223531172682</v>
      </c>
      <c r="AD14" s="15">
        <f t="shared" si="17"/>
        <v>-20.916961842084074</v>
      </c>
      <c r="AE14" s="15">
        <f t="shared" si="17"/>
        <v>-16.190157387943078</v>
      </c>
      <c r="AF14" s="15">
        <f t="shared" si="17"/>
        <v>-9.1996266848050734</v>
      </c>
      <c r="AG14" s="15">
        <f t="shared" si="17"/>
        <v>-9.2785811507732046</v>
      </c>
      <c r="AH14" s="15" t="e">
        <f t="shared" si="17"/>
        <v>#DIV/0!</v>
      </c>
      <c r="AI14" s="15" t="e">
        <f>AI13/AI8</f>
        <v>#DIV/0!</v>
      </c>
      <c r="AK14" s="117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4"/>
    </row>
    <row r="16" spans="2:37" ht="12.75" customHeight="1">
      <c r="B16" s="21" t="s">
        <v>119</v>
      </c>
      <c r="C16" s="85" t="e">
        <f>'Historical Financials'!#REF!</f>
        <v>#REF!</v>
      </c>
      <c r="D16" s="85"/>
      <c r="E16" s="85"/>
      <c r="F16" s="85"/>
      <c r="G16" s="85"/>
      <c r="H16" s="85">
        <f>'Historical Financials'!J17</f>
        <v>-500970</v>
      </c>
      <c r="I16" s="85">
        <f>'Historical Financials'!K17</f>
        <v>-534459</v>
      </c>
      <c r="J16" s="85">
        <f>'Historical Financials'!L17</f>
        <v>-597164</v>
      </c>
      <c r="K16" s="85">
        <f>'Historical Financials'!M17</f>
        <v>-762706</v>
      </c>
      <c r="L16" s="85">
        <f>'Historical Financials'!N17</f>
        <v>-612129</v>
      </c>
      <c r="M16" s="85">
        <f>'Historical Financials'!O17</f>
        <v>-600692</v>
      </c>
      <c r="N16" s="85">
        <f>'Historical Financials'!P17</f>
        <v>-661380</v>
      </c>
      <c r="O16" s="85">
        <f>'Historical Financials'!Q17</f>
        <v>-820360</v>
      </c>
      <c r="P16" s="85">
        <f>'Historical Financials'!R17</f>
        <v>-665913</v>
      </c>
      <c r="Q16" s="85">
        <f>'Historical Financials'!S17</f>
        <v>-644821</v>
      </c>
      <c r="R16" s="85"/>
      <c r="S16" s="85"/>
      <c r="T16" s="85"/>
      <c r="U16" s="85"/>
      <c r="V16" s="85"/>
      <c r="W16" s="5"/>
      <c r="X16" s="10">
        <f t="shared" ref="X16:X19" si="18">SUM(G16:K16)</f>
        <v>-2395299</v>
      </c>
      <c r="Y16" s="10">
        <f t="shared" ref="Y16:Y19" si="19">SUM(I16:L16)</f>
        <v>-2506458</v>
      </c>
      <c r="Z16" s="10">
        <f t="shared" ref="Z16:Z19" si="20">SUM(J16:M16)</f>
        <v>-2572691</v>
      </c>
      <c r="AA16" s="10">
        <f t="shared" ref="AA16:AA19" si="21">SUM(K16:N16)</f>
        <v>-2636907</v>
      </c>
      <c r="AB16" s="10">
        <f t="shared" ref="AB16:AB19" si="22">SUM(L16:O16)</f>
        <v>-2694561</v>
      </c>
      <c r="AC16" s="10">
        <f t="shared" ref="AC16:AC19" si="23">SUM(M16:P16)</f>
        <v>-2748345</v>
      </c>
      <c r="AD16" s="10">
        <f t="shared" ref="AD16:AD19" si="24">SUM(N16:Q16)</f>
        <v>-2792474</v>
      </c>
      <c r="AE16" s="10">
        <f t="shared" ref="AE16:AE19" si="25">SUM(O16:R16)</f>
        <v>-2131094</v>
      </c>
      <c r="AF16" s="10">
        <f t="shared" ref="AF16:AF19" si="26">SUM(P16:S16)</f>
        <v>-1310734</v>
      </c>
      <c r="AG16" s="10">
        <f t="shared" ref="AG16:AG19" si="27">SUM(Q16:T16)</f>
        <v>-644821</v>
      </c>
      <c r="AH16" s="10">
        <f t="shared" ref="AH16:AH19" si="28">SUM(R16:U16)</f>
        <v>0</v>
      </c>
      <c r="AI16" s="10">
        <f t="shared" ref="AI16:AI19" si="29">SUM(S16:V16)</f>
        <v>0</v>
      </c>
      <c r="AK16" s="115">
        <f>SUM(AI16/AE16)-1</f>
        <v>-1</v>
      </c>
    </row>
    <row r="17" spans="2:37" ht="12.75" customHeight="1">
      <c r="B17" s="21" t="s">
        <v>120</v>
      </c>
      <c r="C17" s="85" t="e">
        <f>'Historical Financials'!#REF!</f>
        <v>#REF!</v>
      </c>
      <c r="D17" s="85"/>
      <c r="E17" s="85"/>
      <c r="F17" s="85"/>
      <c r="G17" s="85"/>
      <c r="H17" s="85">
        <f>'Historical Financials'!J18</f>
        <v>-2348</v>
      </c>
      <c r="I17" s="85">
        <f>'Historical Financials'!K18</f>
        <v>-2277</v>
      </c>
      <c r="J17" s="85">
        <f>'Historical Financials'!L18</f>
        <v>-3797</v>
      </c>
      <c r="K17" s="85">
        <f>'Historical Financials'!M18</f>
        <v>-2179</v>
      </c>
      <c r="L17" s="85">
        <f>'Historical Financials'!N18</f>
        <v>-658</v>
      </c>
      <c r="M17" s="85">
        <f>'Historical Financials'!O18</f>
        <v>-1278</v>
      </c>
      <c r="N17" s="85">
        <f>'Historical Financials'!P18</f>
        <v>-3460</v>
      </c>
      <c r="O17" s="85">
        <f>'Historical Financials'!Q18</f>
        <v>-3114</v>
      </c>
      <c r="P17" s="85">
        <f>'Historical Financials'!R18</f>
        <v>-2919</v>
      </c>
      <c r="Q17" s="85">
        <f>'Historical Financials'!S18</f>
        <v>-4155</v>
      </c>
      <c r="R17" s="85"/>
      <c r="S17" s="85"/>
      <c r="T17" s="85"/>
      <c r="U17" s="85"/>
      <c r="V17" s="85"/>
      <c r="W17" s="5"/>
      <c r="X17" s="10">
        <f t="shared" si="18"/>
        <v>-10601</v>
      </c>
      <c r="Y17" s="10">
        <f t="shared" si="19"/>
        <v>-8911</v>
      </c>
      <c r="Z17" s="10">
        <f t="shared" si="20"/>
        <v>-7912</v>
      </c>
      <c r="AA17" s="10">
        <f t="shared" si="21"/>
        <v>-7575</v>
      </c>
      <c r="AB17" s="10">
        <f t="shared" si="22"/>
        <v>-8510</v>
      </c>
      <c r="AC17" s="10">
        <f t="shared" si="23"/>
        <v>-10771</v>
      </c>
      <c r="AD17" s="10">
        <f t="shared" si="24"/>
        <v>-13648</v>
      </c>
      <c r="AE17" s="10">
        <f t="shared" si="25"/>
        <v>-10188</v>
      </c>
      <c r="AF17" s="10">
        <f t="shared" si="26"/>
        <v>-7074</v>
      </c>
      <c r="AG17" s="10">
        <f t="shared" si="27"/>
        <v>-4155</v>
      </c>
      <c r="AH17" s="10">
        <f t="shared" si="28"/>
        <v>0</v>
      </c>
      <c r="AI17" s="10">
        <f t="shared" si="29"/>
        <v>0</v>
      </c>
      <c r="AK17" s="115">
        <f t="shared" ref="AK17:AK18" si="30">SUM(AI17/AE17)-1</f>
        <v>-1</v>
      </c>
    </row>
    <row r="18" spans="2:37" ht="12.75" customHeight="1">
      <c r="B18" s="21" t="s">
        <v>121</v>
      </c>
      <c r="C18" s="85" t="e">
        <f>'Historical Financials'!#REF!</f>
        <v>#REF!</v>
      </c>
      <c r="D18" s="85"/>
      <c r="E18" s="85"/>
      <c r="F18" s="85"/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/>
      <c r="S18" s="85"/>
      <c r="T18" s="85"/>
      <c r="U18" s="85"/>
      <c r="V18" s="85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5" t="e">
        <f t="shared" si="30"/>
        <v>#REF!</v>
      </c>
    </row>
    <row r="19" spans="2:37" ht="12.75" customHeight="1">
      <c r="B19" s="21" t="s">
        <v>122</v>
      </c>
      <c r="C19" s="85" t="e">
        <f>'Historical Financials'!#REF!</f>
        <v>#REF!</v>
      </c>
      <c r="D19" s="85"/>
      <c r="E19" s="85"/>
      <c r="F19" s="85"/>
      <c r="G19" s="85"/>
      <c r="H19" s="85">
        <f>'Historical Financials'!J19</f>
        <v>0</v>
      </c>
      <c r="I19" s="85">
        <f>'Historical Financials'!K19</f>
        <v>0</v>
      </c>
      <c r="J19" s="85">
        <f>'Historical Financials'!L19</f>
        <v>0</v>
      </c>
      <c r="K19" s="85">
        <f>'Historical Financials'!M19</f>
        <v>0</v>
      </c>
      <c r="L19" s="85">
        <f>'Historical Financials'!N19</f>
        <v>0</v>
      </c>
      <c r="M19" s="85">
        <f>'Historical Financials'!O19</f>
        <v>0</v>
      </c>
      <c r="N19" s="85">
        <f>'Historical Financials'!P19</f>
        <v>0</v>
      </c>
      <c r="O19" s="85">
        <f>'Historical Financials'!Q19</f>
        <v>0</v>
      </c>
      <c r="P19" s="85">
        <f>'Historical Financials'!R19</f>
        <v>0</v>
      </c>
      <c r="Q19" s="85">
        <f>'Historical Financials'!S19</f>
        <v>0</v>
      </c>
      <c r="R19" s="85"/>
      <c r="S19" s="85"/>
      <c r="T19" s="85"/>
      <c r="U19" s="85"/>
      <c r="V19" s="85"/>
      <c r="W19" s="5"/>
      <c r="X19" s="10">
        <f t="shared" si="18"/>
        <v>0</v>
      </c>
      <c r="Y19" s="10">
        <f t="shared" si="19"/>
        <v>0</v>
      </c>
      <c r="Z19" s="10">
        <f t="shared" si="20"/>
        <v>0</v>
      </c>
      <c r="AA19" s="10">
        <f t="shared" si="21"/>
        <v>0</v>
      </c>
      <c r="AB19" s="10">
        <f t="shared" si="22"/>
        <v>0</v>
      </c>
      <c r="AC19" s="10">
        <f t="shared" si="23"/>
        <v>0</v>
      </c>
      <c r="AD19" s="10">
        <f t="shared" si="24"/>
        <v>0</v>
      </c>
      <c r="AE19" s="10">
        <f t="shared" si="25"/>
        <v>0</v>
      </c>
      <c r="AF19" s="10">
        <f t="shared" si="26"/>
        <v>0</v>
      </c>
      <c r="AG19" s="10">
        <f t="shared" si="27"/>
        <v>0</v>
      </c>
      <c r="AH19" s="10">
        <f t="shared" si="28"/>
        <v>0</v>
      </c>
      <c r="AI19" s="10">
        <f t="shared" si="29"/>
        <v>0</v>
      </c>
      <c r="AK19" s="115" t="e">
        <f>SUM(AI19/AE19)-1</f>
        <v>#DIV/0!</v>
      </c>
    </row>
    <row r="20" spans="2:37" ht="12.75" customHeight="1">
      <c r="B20" s="12" t="s">
        <v>39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6" t="e">
        <f>SUM(AI20/AE20)-1</f>
        <v>#REF!</v>
      </c>
    </row>
    <row r="21" spans="2:37" ht="12.75" customHeight="1">
      <c r="B21" s="14" t="s">
        <v>40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7" t="e">
        <f>SUM(AI21-AE21)*10000</f>
        <v>#DIV/0!</v>
      </c>
    </row>
    <row r="22" spans="2:37" ht="5.0999999999999996" customHeight="1">
      <c r="AK22" s="114"/>
    </row>
    <row r="23" spans="2:37" ht="12.75" customHeight="1">
      <c r="B23" s="29" t="s">
        <v>41</v>
      </c>
      <c r="C23" s="112" t="e">
        <f>-C19</f>
        <v>#REF!</v>
      </c>
      <c r="D23" s="112"/>
      <c r="E23" s="112"/>
      <c r="F23" s="112"/>
      <c r="G23" s="136"/>
      <c r="H23" s="112">
        <f t="shared" ref="H23:Q23" si="37">-H19</f>
        <v>0</v>
      </c>
      <c r="I23" s="112">
        <f t="shared" si="37"/>
        <v>0</v>
      </c>
      <c r="J23" s="112">
        <f t="shared" si="37"/>
        <v>0</v>
      </c>
      <c r="K23" s="112">
        <f t="shared" si="37"/>
        <v>0</v>
      </c>
      <c r="L23" s="112">
        <f t="shared" si="37"/>
        <v>0</v>
      </c>
      <c r="M23" s="112">
        <f t="shared" si="37"/>
        <v>0</v>
      </c>
      <c r="N23" s="112">
        <f t="shared" si="37"/>
        <v>0</v>
      </c>
      <c r="O23" s="112">
        <f t="shared" si="37"/>
        <v>0</v>
      </c>
      <c r="P23" s="112">
        <f t="shared" si="37"/>
        <v>0</v>
      </c>
      <c r="Q23" s="112">
        <f t="shared" si="37"/>
        <v>0</v>
      </c>
      <c r="R23" s="112"/>
      <c r="S23" s="112"/>
      <c r="T23" s="112"/>
      <c r="U23" s="112"/>
      <c r="V23" s="112"/>
      <c r="X23" s="10">
        <f>SUM(G23:K23)</f>
        <v>0</v>
      </c>
      <c r="Y23" s="10">
        <f t="shared" ref="Y23:AH23" si="38">SUM(I23:L23)</f>
        <v>0</v>
      </c>
      <c r="Z23" s="10">
        <f t="shared" si="38"/>
        <v>0</v>
      </c>
      <c r="AA23" s="10">
        <f t="shared" si="38"/>
        <v>0</v>
      </c>
      <c r="AB23" s="10">
        <f t="shared" si="38"/>
        <v>0</v>
      </c>
      <c r="AC23" s="10">
        <f t="shared" si="38"/>
        <v>0</v>
      </c>
      <c r="AD23" s="10">
        <f t="shared" si="38"/>
        <v>0</v>
      </c>
      <c r="AE23" s="10">
        <f t="shared" si="38"/>
        <v>0</v>
      </c>
      <c r="AF23" s="10">
        <f t="shared" si="38"/>
        <v>0</v>
      </c>
      <c r="AG23" s="10">
        <f t="shared" si="38"/>
        <v>0</v>
      </c>
      <c r="AH23" s="10">
        <f t="shared" si="38"/>
        <v>0</v>
      </c>
      <c r="AI23" s="10">
        <f>SUM(S23:V23)</f>
        <v>0</v>
      </c>
      <c r="AK23" s="115" t="e">
        <f>SUM(AI23/AE23)-1</f>
        <v>#DIV/0!</v>
      </c>
    </row>
    <row r="24" spans="2:37" ht="12.75" customHeight="1">
      <c r="B24" s="23" t="s">
        <v>11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6" t="e">
        <f>SUM(AI24/AE24)-1</f>
        <v>#REF!</v>
      </c>
    </row>
    <row r="25" spans="2:37" ht="12.75" customHeight="1">
      <c r="B25" s="14" t="s">
        <v>42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7" t="e">
        <f>SUM(AI25-AE25)*10000</f>
        <v>#DIV/0!</v>
      </c>
    </row>
    <row r="26" spans="2:37" ht="5.0999999999999996" customHeight="1">
      <c r="AK26" s="114"/>
    </row>
    <row r="27" spans="2:37" ht="12.75" customHeight="1">
      <c r="B27" s="29" t="s">
        <v>43</v>
      </c>
      <c r="C27" s="85" t="e">
        <f>'Historical Financials'!#REF!</f>
        <v>#REF!</v>
      </c>
      <c r="D27" s="85"/>
      <c r="E27" s="85"/>
      <c r="F27" s="85"/>
      <c r="H27" s="85">
        <f>'Historical Financials'!J93</f>
        <v>72192</v>
      </c>
      <c r="I27" s="85">
        <f>'Historical Financials'!K93</f>
        <v>74059</v>
      </c>
      <c r="J27" s="85">
        <f>'Historical Financials'!L93</f>
        <v>76297</v>
      </c>
      <c r="K27" s="85">
        <f>'Historical Financials'!M93</f>
        <v>79364</v>
      </c>
      <c r="L27" s="85">
        <f>'Historical Financials'!N93</f>
        <v>75478</v>
      </c>
      <c r="M27" s="85">
        <f>'Historical Financials'!O93</f>
        <v>77389</v>
      </c>
      <c r="N27" s="85">
        <f>'Historical Financials'!P93</f>
        <v>79905</v>
      </c>
      <c r="O27" s="85">
        <f>'Historical Financials'!Q93</f>
        <v>99982</v>
      </c>
      <c r="P27" s="85">
        <f>'Historical Financials'!R93</f>
        <v>77938</v>
      </c>
      <c r="Q27" s="85">
        <f>'Historical Financials'!S93</f>
        <v>85543</v>
      </c>
      <c r="R27" s="85"/>
      <c r="S27" s="85"/>
      <c r="T27" s="85"/>
      <c r="U27" s="85"/>
      <c r="V27" s="85"/>
      <c r="X27" s="10">
        <f>SUM(G27:K27)</f>
        <v>301912</v>
      </c>
      <c r="Y27" s="10">
        <f t="shared" ref="Y27" si="45">SUM(I27:L27)</f>
        <v>305198</v>
      </c>
      <c r="Z27" s="10">
        <f t="shared" ref="Z27" si="46">SUM(J27:M27)</f>
        <v>308528</v>
      </c>
      <c r="AA27" s="10">
        <f t="shared" ref="AA27" si="47">SUM(K27:N27)</f>
        <v>312136</v>
      </c>
      <c r="AB27" s="10">
        <f t="shared" ref="AB27" si="48">SUM(L27:O27)</f>
        <v>332754</v>
      </c>
      <c r="AC27" s="10">
        <f t="shared" ref="AC27" si="49">SUM(M27:P27)</f>
        <v>335214</v>
      </c>
      <c r="AD27" s="10">
        <f t="shared" ref="AD27" si="50">SUM(N27:Q27)</f>
        <v>343368</v>
      </c>
      <c r="AE27" s="10">
        <f t="shared" ref="AE27" si="51">SUM(O27:R27)</f>
        <v>263463</v>
      </c>
      <c r="AF27" s="10">
        <f t="shared" ref="AF27" si="52">SUM(P27:S27)</f>
        <v>163481</v>
      </c>
      <c r="AG27" s="10">
        <f t="shared" ref="AG27" si="53">SUM(Q27:T27)</f>
        <v>85543</v>
      </c>
      <c r="AH27" s="10">
        <f t="shared" ref="AH27" si="54">SUM(R27:U27)</f>
        <v>0</v>
      </c>
      <c r="AI27" s="10">
        <f t="shared" ref="AI27" si="55">SUM(S27:V27)</f>
        <v>0</v>
      </c>
      <c r="AK27" s="115">
        <f>SUM(AI27/AE27)-1</f>
        <v>-1</v>
      </c>
    </row>
    <row r="28" spans="2:37" ht="12.75" customHeight="1">
      <c r="B28" s="12" t="s">
        <v>44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6" t="e">
        <f>SUM(AI28/AE28)-1</f>
        <v>#REF!</v>
      </c>
    </row>
    <row r="29" spans="2:37" ht="12.75" customHeight="1">
      <c r="B29" s="14" t="s">
        <v>45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7" t="e">
        <f>SUM(AI29-AE29)*10000</f>
        <v>#DIV/0!</v>
      </c>
    </row>
    <row r="30" spans="2:37" ht="5.0999999999999996" customHeight="1">
      <c r="AK30" s="114"/>
    </row>
    <row r="31" spans="2:37" ht="12.75" customHeight="1">
      <c r="B31" s="21" t="s">
        <v>46</v>
      </c>
      <c r="C31" s="85" t="e">
        <f>SUM('Historical Financials'!#REF!+'Historical Financials'!#REF!)</f>
        <v>#REF!</v>
      </c>
      <c r="D31" s="85"/>
      <c r="E31" s="85"/>
      <c r="F31" s="85"/>
      <c r="H31" s="85">
        <f>SUM('Historical Financials'!J113+'Historical Financials'!J115)</f>
        <v>-71873</v>
      </c>
      <c r="I31" s="85">
        <f>SUM('Historical Financials'!K113+'Historical Financials'!K115)</f>
        <v>-49876</v>
      </c>
      <c r="J31" s="85">
        <f>SUM('Historical Financials'!L113+'Historical Financials'!L115)</f>
        <v>-85280</v>
      </c>
      <c r="K31" s="85">
        <f>SUM('Historical Financials'!M113+'Historical Financials'!M115)</f>
        <v>-107555</v>
      </c>
      <c r="L31" s="85">
        <f>SUM('Historical Financials'!N113+'Historical Financials'!N115)</f>
        <v>-110080</v>
      </c>
      <c r="M31" s="85">
        <f>SUM('Historical Financials'!O113+'Historical Financials'!O115)</f>
        <v>-96355</v>
      </c>
      <c r="N31" s="85">
        <f>SUM('Historical Financials'!P113+'Historical Financials'!P115)</f>
        <v>-109465</v>
      </c>
      <c r="O31" s="85">
        <f>SUM('Historical Financials'!Q113+'Historical Financials'!Q115)</f>
        <v>-125525</v>
      </c>
      <c r="P31" s="85">
        <f>SUM('Historical Financials'!R113+'Historical Financials'!R115)</f>
        <v>-93587</v>
      </c>
      <c r="Q31" s="85">
        <f>SUM('Historical Financials'!S113+'Historical Financials'!S115)</f>
        <v>-97805</v>
      </c>
      <c r="R31" s="85"/>
      <c r="S31" s="85"/>
      <c r="T31" s="85"/>
      <c r="U31" s="85"/>
      <c r="V31" s="85"/>
      <c r="X31" s="10">
        <f t="shared" ref="X31:X34" si="60">SUM(G31:K31)</f>
        <v>-314584</v>
      </c>
      <c r="Y31" s="10">
        <f t="shared" ref="Y31:Y34" si="61">SUM(I31:L31)</f>
        <v>-352791</v>
      </c>
      <c r="Z31" s="10">
        <f t="shared" ref="Z31:Z34" si="62">SUM(J31:M31)</f>
        <v>-399270</v>
      </c>
      <c r="AA31" s="10">
        <f t="shared" ref="AA31:AA34" si="63">SUM(K31:N31)</f>
        <v>-423455</v>
      </c>
      <c r="AB31" s="10">
        <f t="shared" ref="AB31:AB34" si="64">SUM(L31:O31)</f>
        <v>-441425</v>
      </c>
      <c r="AC31" s="10">
        <f t="shared" ref="AC31:AC34" si="65">SUM(M31:P31)</f>
        <v>-424932</v>
      </c>
      <c r="AD31" s="10">
        <f t="shared" ref="AD31:AD34" si="66">SUM(N31:Q31)</f>
        <v>-426382</v>
      </c>
      <c r="AE31" s="10">
        <f t="shared" ref="AE31:AE34" si="67">SUM(O31:R31)</f>
        <v>-316917</v>
      </c>
      <c r="AF31" s="10">
        <f t="shared" ref="AF31:AF34" si="68">SUM(P31:S31)</f>
        <v>-191392</v>
      </c>
      <c r="AG31" s="10">
        <f t="shared" ref="AG31:AG34" si="69">SUM(Q31:T31)</f>
        <v>-97805</v>
      </c>
      <c r="AH31" s="10">
        <f t="shared" ref="AH31:AH34" si="70">SUM(R31:U31)</f>
        <v>0</v>
      </c>
      <c r="AI31" s="10">
        <f t="shared" ref="AI31:AI34" si="71">SUM(S31:V31)</f>
        <v>0</v>
      </c>
      <c r="AK31" s="115">
        <f>SUM(AI31/AE31)-1</f>
        <v>-1</v>
      </c>
    </row>
    <row r="32" spans="2:37" ht="12.75" customHeight="1">
      <c r="B32" s="21" t="s">
        <v>47</v>
      </c>
      <c r="C32" s="85" t="e">
        <f>'Historical Financials'!#REF!</f>
        <v>#REF!</v>
      </c>
      <c r="D32" s="85"/>
      <c r="E32" s="85"/>
      <c r="F32" s="85"/>
      <c r="H32" s="85">
        <f>'Historical Financials'!J27</f>
        <v>-105912</v>
      </c>
      <c r="I32" s="85">
        <f>'Historical Financials'!K27</f>
        <v>-95859</v>
      </c>
      <c r="J32" s="85">
        <f>'Historical Financials'!L27</f>
        <v>-88120</v>
      </c>
      <c r="K32" s="85">
        <f>'Historical Financials'!M27</f>
        <v>-111245</v>
      </c>
      <c r="L32" s="85">
        <f>'Historical Financials'!N27</f>
        <v>-102367</v>
      </c>
      <c r="M32" s="85">
        <f>'Historical Financials'!O27</f>
        <v>-95989</v>
      </c>
      <c r="N32" s="85">
        <f>'Historical Financials'!P27</f>
        <v>-80241</v>
      </c>
      <c r="O32" s="85">
        <f>'Historical Financials'!Q27</f>
        <v>-126049</v>
      </c>
      <c r="P32" s="85">
        <f>'Historical Financials'!R27</f>
        <v>-94735</v>
      </c>
      <c r="Q32" s="85">
        <f>'Historical Financials'!S27</f>
        <v>-81171</v>
      </c>
      <c r="R32" s="85"/>
      <c r="S32" s="85"/>
      <c r="T32" s="85"/>
      <c r="U32" s="85"/>
      <c r="V32" s="85"/>
      <c r="X32" s="10">
        <f t="shared" si="60"/>
        <v>-401136</v>
      </c>
      <c r="Y32" s="10">
        <f t="shared" si="61"/>
        <v>-397591</v>
      </c>
      <c r="Z32" s="10">
        <f t="shared" si="62"/>
        <v>-397721</v>
      </c>
      <c r="AA32" s="10">
        <f t="shared" si="63"/>
        <v>-389842</v>
      </c>
      <c r="AB32" s="10">
        <f t="shared" si="64"/>
        <v>-404646</v>
      </c>
      <c r="AC32" s="10">
        <f t="shared" si="65"/>
        <v>-397014</v>
      </c>
      <c r="AD32" s="10">
        <f t="shared" si="66"/>
        <v>-382196</v>
      </c>
      <c r="AE32" s="10">
        <f t="shared" si="67"/>
        <v>-301955</v>
      </c>
      <c r="AF32" s="10">
        <f t="shared" si="68"/>
        <v>-175906</v>
      </c>
      <c r="AG32" s="10">
        <f t="shared" si="69"/>
        <v>-81171</v>
      </c>
      <c r="AH32" s="10">
        <f t="shared" si="70"/>
        <v>0</v>
      </c>
      <c r="AI32" s="10">
        <f t="shared" si="71"/>
        <v>0</v>
      </c>
      <c r="AK32" s="115">
        <f>SUM(AI32/AE32)-1</f>
        <v>-1</v>
      </c>
    </row>
    <row r="33" spans="1:37" ht="12.75" customHeight="1">
      <c r="B33" s="21" t="s">
        <v>95</v>
      </c>
      <c r="C33" s="78">
        <v>0</v>
      </c>
      <c r="D33" s="78"/>
      <c r="E33" s="78"/>
      <c r="F33" s="78"/>
      <c r="H33" s="78">
        <v>0</v>
      </c>
      <c r="I33" s="78">
        <v>0</v>
      </c>
      <c r="J33" s="78">
        <v>0</v>
      </c>
      <c r="K33" s="112">
        <f>D33</f>
        <v>0</v>
      </c>
      <c r="L33" s="78">
        <v>0</v>
      </c>
      <c r="M33" s="78">
        <v>0</v>
      </c>
      <c r="N33" s="78">
        <v>0</v>
      </c>
      <c r="O33" s="112">
        <f>E33</f>
        <v>0</v>
      </c>
      <c r="P33" s="78">
        <v>0</v>
      </c>
      <c r="Q33" s="78">
        <v>0</v>
      </c>
      <c r="R33" s="78"/>
      <c r="S33" s="112"/>
      <c r="T33" s="78"/>
      <c r="U33" s="78"/>
      <c r="V33" s="78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5" t="e">
        <f>SUM(AI33/AE33)-1</f>
        <v>#DIV/0!</v>
      </c>
    </row>
    <row r="34" spans="1:37" ht="12.75" customHeight="1">
      <c r="B34" s="21" t="s">
        <v>48</v>
      </c>
      <c r="C34" s="85" t="e">
        <f>SUM('Historical Financials'!#REF!)</f>
        <v>#REF!</v>
      </c>
      <c r="D34" s="85"/>
      <c r="E34" s="85"/>
      <c r="F34" s="85"/>
      <c r="H34" s="85">
        <f>SUM('Historical Financials'!J101:J109)</f>
        <v>-52490</v>
      </c>
      <c r="I34" s="85">
        <f>SUM('Historical Financials'!K101:K109)</f>
        <v>-329375</v>
      </c>
      <c r="J34" s="85">
        <f>SUM('Historical Financials'!L101:L109)</f>
        <v>-386476</v>
      </c>
      <c r="K34" s="85">
        <f>SUM('Historical Financials'!M101:M109)</f>
        <v>399179</v>
      </c>
      <c r="L34" s="85">
        <f>SUM('Historical Financials'!N101:N109)</f>
        <v>-188893</v>
      </c>
      <c r="M34" s="85">
        <f>SUM('Historical Financials'!O101:O109)</f>
        <v>-328264</v>
      </c>
      <c r="N34" s="85">
        <f>SUM('Historical Financials'!P101:P109)</f>
        <v>-476828</v>
      </c>
      <c r="O34" s="85">
        <f>SUM('Historical Financials'!Q101:Q109)</f>
        <v>512412</v>
      </c>
      <c r="P34" s="85">
        <f>SUM('Historical Financials'!R101:R109)</f>
        <v>-313142</v>
      </c>
      <c r="Q34" s="85">
        <f>SUM('Historical Financials'!S101:S109)</f>
        <v>-214198</v>
      </c>
      <c r="R34" s="85"/>
      <c r="S34" s="85"/>
      <c r="T34" s="85"/>
      <c r="U34" s="85"/>
      <c r="V34" s="85"/>
      <c r="X34" s="10">
        <f t="shared" si="60"/>
        <v>-369162</v>
      </c>
      <c r="Y34" s="10">
        <f t="shared" si="61"/>
        <v>-505565</v>
      </c>
      <c r="Z34" s="10">
        <f t="shared" si="62"/>
        <v>-504454</v>
      </c>
      <c r="AA34" s="10">
        <f t="shared" si="63"/>
        <v>-594806</v>
      </c>
      <c r="AB34" s="10">
        <f t="shared" si="64"/>
        <v>-481573</v>
      </c>
      <c r="AC34" s="10">
        <f t="shared" si="65"/>
        <v>-605822</v>
      </c>
      <c r="AD34" s="10">
        <f t="shared" si="66"/>
        <v>-491756</v>
      </c>
      <c r="AE34" s="10">
        <f t="shared" si="67"/>
        <v>-14928</v>
      </c>
      <c r="AF34" s="10">
        <f t="shared" si="68"/>
        <v>-527340</v>
      </c>
      <c r="AG34" s="10">
        <f t="shared" si="69"/>
        <v>-214198</v>
      </c>
      <c r="AH34" s="10">
        <f t="shared" si="70"/>
        <v>0</v>
      </c>
      <c r="AI34" s="10">
        <f t="shared" si="71"/>
        <v>0</v>
      </c>
      <c r="AK34" s="115">
        <f>SUM(AI34/AE34)-1</f>
        <v>-1</v>
      </c>
    </row>
    <row r="35" spans="1:37" ht="12.75" customHeight="1">
      <c r="B35" s="12" t="s">
        <v>49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6" t="e">
        <f>SUM(AI35/AE35)-1</f>
        <v>#REF!</v>
      </c>
    </row>
    <row r="36" spans="1:37" ht="5.0999999999999996" customHeight="1"/>
    <row r="37" spans="1:37" ht="12.75" customHeight="1">
      <c r="B37" s="29" t="s">
        <v>111</v>
      </c>
      <c r="C37" s="85" t="e">
        <f>'Historical Financials'!#REF!</f>
        <v>#REF!</v>
      </c>
      <c r="D37" s="85"/>
      <c r="E37" s="85"/>
      <c r="F37" s="85"/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/>
      <c r="S37" s="85"/>
      <c r="T37" s="85"/>
      <c r="U37" s="85"/>
      <c r="V37" s="85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123</v>
      </c>
      <c r="C38" s="85" t="e">
        <f>SUM('Historical Financials'!#REF!)</f>
        <v>#REF!</v>
      </c>
      <c r="D38" s="85"/>
      <c r="E38" s="85"/>
      <c r="F38" s="85"/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/>
      <c r="S38" s="85"/>
      <c r="T38" s="85"/>
      <c r="U38" s="85"/>
      <c r="V38" s="85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124</v>
      </c>
      <c r="C39" s="85" t="e">
        <f>'Historical Financials'!#REF!</f>
        <v>#REF!</v>
      </c>
      <c r="D39" s="85"/>
      <c r="E39" s="85"/>
      <c r="F39" s="85"/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/>
      <c r="S39" s="85"/>
      <c r="T39" s="85"/>
      <c r="U39" s="85"/>
      <c r="V39" s="85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125</v>
      </c>
      <c r="C40" s="85" t="e">
        <f>'Historical Financials'!#REF!</f>
        <v>#REF!</v>
      </c>
      <c r="D40" s="85"/>
      <c r="E40" s="85"/>
      <c r="F40" s="85"/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/>
      <c r="S40" s="85"/>
      <c r="T40" s="85"/>
      <c r="U40" s="85"/>
      <c r="V40" s="85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112</v>
      </c>
      <c r="C41" s="85" t="e">
        <f>'Historical Financials'!#REF!</f>
        <v>#REF!</v>
      </c>
      <c r="D41" s="85"/>
      <c r="E41" s="85"/>
      <c r="F41" s="85"/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/>
      <c r="S41" s="85"/>
      <c r="T41" s="85"/>
      <c r="U41" s="85"/>
      <c r="V41" s="85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126</v>
      </c>
      <c r="C42" s="85" t="e">
        <f>'Historical Financials'!#REF!</f>
        <v>#REF!</v>
      </c>
      <c r="D42" s="85"/>
      <c r="E42" s="85"/>
      <c r="F42" s="85"/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/>
      <c r="S42" s="85"/>
      <c r="T42" s="85"/>
      <c r="U42" s="85"/>
      <c r="V42" s="85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89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I43:Q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50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51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52</v>
      </c>
      <c r="C48" s="85" t="e">
        <f>'Historical Financials'!#REF!</f>
        <v>#REF!</v>
      </c>
      <c r="D48" s="85"/>
      <c r="E48" s="85"/>
      <c r="F48" s="85"/>
      <c r="G48" s="30"/>
      <c r="H48" s="85">
        <f>'Historical Financials'!J42</f>
        <v>654486</v>
      </c>
      <c r="I48" s="85">
        <f>'Historical Financials'!K42</f>
        <v>434226</v>
      </c>
      <c r="J48" s="85">
        <f>'Historical Financials'!L42</f>
        <v>250628</v>
      </c>
      <c r="K48" s="85">
        <f>'Historical Financials'!M42</f>
        <v>737877</v>
      </c>
      <c r="L48" s="85">
        <f>'Historical Financials'!N42</f>
        <v>636449</v>
      </c>
      <c r="M48" s="85">
        <f>'Historical Financials'!O42</f>
        <v>388627</v>
      </c>
      <c r="N48" s="85">
        <f>'Historical Financials'!P42</f>
        <v>121811</v>
      </c>
      <c r="O48" s="85">
        <f>'Historical Financials'!Q42</f>
        <v>766594</v>
      </c>
      <c r="P48" s="85">
        <f>'Historical Financials'!R42</f>
        <v>524596</v>
      </c>
      <c r="Q48" s="85">
        <f>'Historical Financials'!S42</f>
        <v>413962</v>
      </c>
      <c r="R48" s="85"/>
      <c r="S48" s="85"/>
      <c r="T48" s="85"/>
      <c r="U48" s="85"/>
      <c r="V48" s="85"/>
      <c r="X48" s="10">
        <f t="shared" ref="X48:AH48" si="91">K48</f>
        <v>737877</v>
      </c>
      <c r="Y48" s="10">
        <f t="shared" si="91"/>
        <v>636449</v>
      </c>
      <c r="Z48" s="10">
        <f t="shared" si="91"/>
        <v>388627</v>
      </c>
      <c r="AA48" s="10">
        <f t="shared" si="91"/>
        <v>121811</v>
      </c>
      <c r="AB48" s="10">
        <f t="shared" si="91"/>
        <v>766594</v>
      </c>
      <c r="AC48" s="10">
        <f t="shared" si="91"/>
        <v>524596</v>
      </c>
      <c r="AD48" s="10">
        <f t="shared" si="91"/>
        <v>413962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106</v>
      </c>
      <c r="C49" s="85" t="e">
        <f>'Historical Financials'!#REF!</f>
        <v>#REF!</v>
      </c>
      <c r="D49" s="85"/>
      <c r="E49" s="85"/>
      <c r="F49" s="85"/>
      <c r="G49" s="30"/>
      <c r="H49" s="85">
        <f>'Historical Financials'!J46</f>
        <v>0</v>
      </c>
      <c r="I49" s="85">
        <f>'Historical Financials'!K46</f>
        <v>39029</v>
      </c>
      <c r="J49" s="85">
        <f>'Historical Financials'!L46</f>
        <v>42572</v>
      </c>
      <c r="K49" s="85">
        <f>'Historical Financials'!M46</f>
        <v>38308</v>
      </c>
      <c r="L49" s="85">
        <f>'Historical Financials'!N46</f>
        <v>0</v>
      </c>
      <c r="M49" s="85">
        <f>'Historical Financials'!O46</f>
        <v>30114</v>
      </c>
      <c r="N49" s="85">
        <f>'Historical Financials'!P46</f>
        <v>28773</v>
      </c>
      <c r="O49" s="85">
        <f>'Historical Financials'!Q46</f>
        <v>4251</v>
      </c>
      <c r="P49" s="85">
        <f>'Historical Financials'!R46</f>
        <v>0</v>
      </c>
      <c r="Q49" s="85">
        <f>'Historical Financials'!S46</f>
        <v>53607</v>
      </c>
      <c r="R49" s="85"/>
      <c r="S49" s="85"/>
      <c r="T49" s="85"/>
      <c r="U49" s="85"/>
      <c r="V49" s="85"/>
      <c r="X49" s="10">
        <f t="shared" ref="X49:X51" si="92">K49</f>
        <v>38308</v>
      </c>
      <c r="Y49" s="10">
        <f t="shared" ref="Y49:Y51" si="93">L49</f>
        <v>0</v>
      </c>
      <c r="Z49" s="10">
        <f t="shared" ref="Z49:Z51" si="94">M49</f>
        <v>30114</v>
      </c>
      <c r="AA49" s="10">
        <f t="shared" ref="AA49:AA51" si="95">N49</f>
        <v>28773</v>
      </c>
      <c r="AB49" s="10">
        <f t="shared" ref="AB49:AB51" si="96">O49</f>
        <v>4251</v>
      </c>
      <c r="AC49" s="10">
        <f t="shared" ref="AC49:AC51" si="97">P49</f>
        <v>0</v>
      </c>
      <c r="AD49" s="10">
        <f t="shared" ref="AD49:AD51" si="98">Q49</f>
        <v>53607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127</v>
      </c>
      <c r="C50" s="85" t="e">
        <f>'Historical Financials'!#REF!</f>
        <v>#REF!</v>
      </c>
      <c r="D50" s="85"/>
      <c r="E50" s="85"/>
      <c r="F50" s="85"/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/>
      <c r="S50" s="85"/>
      <c r="T50" s="85"/>
      <c r="U50" s="85"/>
      <c r="V50" s="85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128</v>
      </c>
      <c r="C51" s="85" t="e">
        <f>'Historical Financials'!#REF!</f>
        <v>#REF!</v>
      </c>
      <c r="D51" s="85"/>
      <c r="E51" s="85"/>
      <c r="F51" s="85"/>
      <c r="G51" s="30"/>
      <c r="H51" s="85">
        <f>'Historical Financials'!J50</f>
        <v>909543</v>
      </c>
      <c r="I51" s="85">
        <f>'Historical Financials'!K50</f>
        <v>912017</v>
      </c>
      <c r="J51" s="85">
        <f>'Historical Financials'!L50</f>
        <v>967039</v>
      </c>
      <c r="K51" s="85">
        <f>'Historical Financials'!M50</f>
        <v>1009273</v>
      </c>
      <c r="L51" s="85">
        <f>'Historical Financials'!N50</f>
        <v>1019978</v>
      </c>
      <c r="M51" s="85">
        <f>'Historical Financials'!O50</f>
        <v>1073144</v>
      </c>
      <c r="N51" s="85">
        <f>'Historical Financials'!P50</f>
        <v>1117874</v>
      </c>
      <c r="O51" s="85">
        <f>'Historical Financials'!Q50</f>
        <v>1182335</v>
      </c>
      <c r="P51" s="85">
        <f>'Historical Financials'!R50</f>
        <v>1195658</v>
      </c>
      <c r="Q51" s="85">
        <f>'Historical Financials'!S50</f>
        <v>1225850</v>
      </c>
      <c r="R51" s="85"/>
      <c r="S51" s="85"/>
      <c r="T51" s="85"/>
      <c r="U51" s="85"/>
      <c r="V51" s="85"/>
      <c r="X51" s="10">
        <f t="shared" si="92"/>
        <v>1009273</v>
      </c>
      <c r="Y51" s="10">
        <f t="shared" si="93"/>
        <v>1019978</v>
      </c>
      <c r="Z51" s="10">
        <f t="shared" si="94"/>
        <v>1073144</v>
      </c>
      <c r="AA51" s="10">
        <f t="shared" si="95"/>
        <v>1117874</v>
      </c>
      <c r="AB51" s="10">
        <f t="shared" si="96"/>
        <v>1182335</v>
      </c>
      <c r="AC51" s="10">
        <f t="shared" si="97"/>
        <v>1195658</v>
      </c>
      <c r="AD51" s="10">
        <f t="shared" si="98"/>
        <v>1225850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53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54</v>
      </c>
    </row>
    <row r="55" spans="2:35" ht="12.75" customHeight="1">
      <c r="B55" s="8" t="s">
        <v>55</v>
      </c>
      <c r="C55" s="85" t="e">
        <f>'Historical Financials'!#REF!</f>
        <v>#REF!</v>
      </c>
      <c r="D55" s="85"/>
      <c r="E55" s="85"/>
      <c r="F55" s="85"/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/>
      <c r="S55" s="85"/>
      <c r="T55" s="85"/>
      <c r="U55" s="85"/>
      <c r="V55" s="85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56</v>
      </c>
      <c r="C56" s="85" t="e">
        <f>'Historical Financials'!#REF!</f>
        <v>#REF!</v>
      </c>
      <c r="D56" s="85"/>
      <c r="E56" s="85"/>
      <c r="F56" s="85"/>
      <c r="G56" s="85"/>
      <c r="H56" s="85">
        <f>'Historical Financials'!J59</f>
        <v>585500</v>
      </c>
      <c r="I56" s="85">
        <f>'Historical Financials'!K59</f>
        <v>586851</v>
      </c>
      <c r="J56" s="85">
        <f>'Historical Financials'!L59</f>
        <v>647117</v>
      </c>
      <c r="K56" s="85">
        <f>'Historical Financials'!M59</f>
        <v>552730</v>
      </c>
      <c r="L56" s="85">
        <f>'Historical Financials'!N59</f>
        <v>621272</v>
      </c>
      <c r="M56" s="85">
        <f>'Historical Financials'!O59</f>
        <v>521315</v>
      </c>
      <c r="N56" s="85">
        <f>'Historical Financials'!P59</f>
        <v>597373</v>
      </c>
      <c r="O56" s="85">
        <f>'Historical Financials'!Q59</f>
        <v>544001</v>
      </c>
      <c r="P56" s="85">
        <f>'Historical Financials'!R59</f>
        <v>463777</v>
      </c>
      <c r="Q56" s="85">
        <f>'Historical Financials'!S59</f>
        <v>566904</v>
      </c>
      <c r="R56" s="85"/>
      <c r="S56" s="85"/>
      <c r="T56" s="85"/>
      <c r="U56" s="85"/>
      <c r="V56" s="85"/>
      <c r="X56" s="10">
        <f t="shared" si="105"/>
        <v>552730</v>
      </c>
      <c r="Y56" s="10">
        <f t="shared" si="106"/>
        <v>621272</v>
      </c>
      <c r="Z56" s="10">
        <f t="shared" si="107"/>
        <v>521315</v>
      </c>
      <c r="AA56" s="10">
        <f t="shared" si="108"/>
        <v>597373</v>
      </c>
      <c r="AB56" s="10">
        <f t="shared" si="109"/>
        <v>544001</v>
      </c>
      <c r="AC56" s="10">
        <f t="shared" si="110"/>
        <v>463777</v>
      </c>
      <c r="AD56" s="10">
        <f t="shared" si="111"/>
        <v>566904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129</v>
      </c>
      <c r="C57" s="85" t="e">
        <f>'Historical Financials'!#REF!</f>
        <v>#REF!</v>
      </c>
      <c r="D57" s="85"/>
      <c r="E57" s="85"/>
      <c r="F57" s="85"/>
      <c r="G57" s="85"/>
      <c r="H57" s="85">
        <f>'Historical Financials'!J64</f>
        <v>0</v>
      </c>
      <c r="I57" s="85">
        <f>'Historical Financials'!K64</f>
        <v>0</v>
      </c>
      <c r="J57" s="85">
        <f>'Historical Financials'!L64</f>
        <v>0</v>
      </c>
      <c r="K57" s="85">
        <f>'Historical Financials'!M64</f>
        <v>0</v>
      </c>
      <c r="L57" s="85">
        <f>'Historical Financials'!N64</f>
        <v>0</v>
      </c>
      <c r="M57" s="85">
        <f>'Historical Financials'!O64</f>
        <v>0</v>
      </c>
      <c r="N57" s="85">
        <f>'Historical Financials'!P64</f>
        <v>195400</v>
      </c>
      <c r="O57" s="85">
        <f>'Historical Financials'!Q64</f>
        <v>0</v>
      </c>
      <c r="P57" s="85">
        <f>'Historical Financials'!R64</f>
        <v>0</v>
      </c>
      <c r="Q57" s="85">
        <f>'Historical Financials'!S64</f>
        <v>0</v>
      </c>
      <c r="R57" s="85"/>
      <c r="S57" s="85"/>
      <c r="T57" s="85"/>
      <c r="U57" s="85"/>
      <c r="V57" s="85"/>
      <c r="X57" s="10">
        <f t="shared" si="105"/>
        <v>0</v>
      </c>
      <c r="Y57" s="10">
        <f t="shared" si="106"/>
        <v>0</v>
      </c>
      <c r="Z57" s="10">
        <f t="shared" si="107"/>
        <v>0</v>
      </c>
      <c r="AA57" s="10">
        <f t="shared" si="108"/>
        <v>195400</v>
      </c>
      <c r="AB57" s="10">
        <f t="shared" si="109"/>
        <v>0</v>
      </c>
      <c r="AC57" s="10">
        <f t="shared" si="110"/>
        <v>0</v>
      </c>
      <c r="AD57" s="10">
        <f t="shared" si="111"/>
        <v>0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130</v>
      </c>
      <c r="C58" s="85" t="e">
        <f>'Historical Financials'!#REF!</f>
        <v>#REF!</v>
      </c>
      <c r="D58" s="85"/>
      <c r="E58" s="85"/>
      <c r="F58" s="85"/>
      <c r="G58" s="85"/>
      <c r="H58" s="85" t="e">
        <f>'Historical Financials'!#REF!</f>
        <v>#REF!</v>
      </c>
      <c r="I58" s="85" t="e">
        <f>'Historical Financials'!#REF!</f>
        <v>#REF!</v>
      </c>
      <c r="J58" s="85" t="e">
        <f>'Historical Financials'!#REF!</f>
        <v>#REF!</v>
      </c>
      <c r="K58" s="85" t="e">
        <f>'Historical Financials'!#REF!</f>
        <v>#REF!</v>
      </c>
      <c r="L58" s="85" t="e">
        <f>'Historical Financials'!#REF!</f>
        <v>#REF!</v>
      </c>
      <c r="M58" s="85" t="e">
        <f>'Historical Financials'!#REF!</f>
        <v>#REF!</v>
      </c>
      <c r="N58" s="85" t="e">
        <f>'Historical Financials'!#REF!</f>
        <v>#REF!</v>
      </c>
      <c r="O58" s="85" t="e">
        <f>'Historical Financials'!#REF!</f>
        <v>#REF!</v>
      </c>
      <c r="P58" s="85" t="e">
        <f>'Historical Financials'!#REF!</f>
        <v>#REF!</v>
      </c>
      <c r="Q58" s="85" t="e">
        <f>'Historical Financials'!#REF!</f>
        <v>#REF!</v>
      </c>
      <c r="R58" s="85"/>
      <c r="S58" s="85"/>
      <c r="T58" s="85"/>
      <c r="U58" s="85"/>
      <c r="V58" s="85"/>
      <c r="X58" s="10" t="e">
        <f t="shared" ref="X58" si="117">K58</f>
        <v>#REF!</v>
      </c>
      <c r="Y58" s="10" t="e">
        <f t="shared" ref="Y58" si="118">L58</f>
        <v>#REF!</v>
      </c>
      <c r="Z58" s="10" t="e">
        <f t="shared" ref="Z58" si="119">M58</f>
        <v>#REF!</v>
      </c>
      <c r="AA58" s="10" t="e">
        <f t="shared" ref="AA58" si="120">N58</f>
        <v>#REF!</v>
      </c>
      <c r="AB58" s="10" t="e">
        <f t="shared" ref="AB58" si="121">O58</f>
        <v>#REF!</v>
      </c>
      <c r="AC58" s="10" t="e">
        <f t="shared" ref="AC58" si="122">P58</f>
        <v>#REF!</v>
      </c>
      <c r="AD58" s="10" t="e">
        <f t="shared" ref="AD58" si="123">Q58</f>
        <v>#REF!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57</v>
      </c>
      <c r="C59" s="85" t="e">
        <f>'Historical Financials'!#REF!</f>
        <v>#REF!</v>
      </c>
      <c r="D59" s="85"/>
      <c r="E59" s="85"/>
      <c r="F59" s="85"/>
      <c r="G59" s="85"/>
      <c r="H59" s="85">
        <f>'Historical Financials'!J52</f>
        <v>10870</v>
      </c>
      <c r="I59" s="85">
        <f>'Historical Financials'!K52</f>
        <v>10870</v>
      </c>
      <c r="J59" s="85">
        <f>'Historical Financials'!L52</f>
        <v>10870</v>
      </c>
      <c r="K59" s="85">
        <f>'Historical Financials'!M52</f>
        <v>10870</v>
      </c>
      <c r="L59" s="85">
        <f>'Historical Financials'!N52</f>
        <v>10870</v>
      </c>
      <c r="M59" s="85">
        <f>'Historical Financials'!O52</f>
        <v>10870</v>
      </c>
      <c r="N59" s="85">
        <f>'Historical Financials'!P52</f>
        <v>10870</v>
      </c>
      <c r="O59" s="85">
        <f>'Historical Financials'!Q52</f>
        <v>10870</v>
      </c>
      <c r="P59" s="85">
        <f>'Historical Financials'!R52</f>
        <v>10870</v>
      </c>
      <c r="Q59" s="85">
        <f>'Historical Financials'!S52</f>
        <v>10870</v>
      </c>
      <c r="R59" s="85"/>
      <c r="S59" s="85"/>
      <c r="T59" s="85"/>
      <c r="U59" s="85"/>
      <c r="V59" s="85"/>
      <c r="X59" s="10">
        <f t="shared" si="105"/>
        <v>10870</v>
      </c>
      <c r="Y59" s="10">
        <f t="shared" si="106"/>
        <v>10870</v>
      </c>
      <c r="Z59" s="10">
        <f t="shared" si="107"/>
        <v>10870</v>
      </c>
      <c r="AA59" s="10">
        <f t="shared" si="108"/>
        <v>10870</v>
      </c>
      <c r="AB59" s="10">
        <f t="shared" si="109"/>
        <v>10870</v>
      </c>
      <c r="AC59" s="10">
        <f t="shared" si="110"/>
        <v>10870</v>
      </c>
      <c r="AD59" s="10">
        <f t="shared" si="111"/>
        <v>10870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58</v>
      </c>
      <c r="C60" s="85" t="e">
        <f>'Historical Financials'!#REF!</f>
        <v>#REF!</v>
      </c>
      <c r="D60" s="85"/>
      <c r="E60" s="85"/>
      <c r="F60" s="85"/>
      <c r="G60" s="85"/>
      <c r="H60" s="85">
        <f>'Historical Financials'!J65</f>
        <v>1599747</v>
      </c>
      <c r="I60" s="85">
        <f>'Historical Financials'!K65</f>
        <v>1502054</v>
      </c>
      <c r="J60" s="85">
        <f>'Historical Financials'!L65</f>
        <v>1697771</v>
      </c>
      <c r="K60" s="85">
        <f>'Historical Financials'!M65</f>
        <v>1558010</v>
      </c>
      <c r="L60" s="85">
        <f>'Historical Financials'!N65</f>
        <v>1633900</v>
      </c>
      <c r="M60" s="85">
        <f>'Historical Financials'!O65</f>
        <v>1491174</v>
      </c>
      <c r="N60" s="85">
        <f>'Historical Financials'!P65</f>
        <v>1836939</v>
      </c>
      <c r="O60" s="85">
        <f>'Historical Financials'!Q65</f>
        <v>1658191</v>
      </c>
      <c r="P60" s="85">
        <f>'Historical Financials'!R65</f>
        <v>1572724</v>
      </c>
      <c r="Q60" s="85">
        <f>'Historical Financials'!S65</f>
        <v>1591234</v>
      </c>
      <c r="R60" s="85"/>
      <c r="S60" s="85"/>
      <c r="T60" s="85"/>
      <c r="U60" s="85"/>
      <c r="V60" s="85"/>
      <c r="X60" s="10">
        <f t="shared" si="105"/>
        <v>1558010</v>
      </c>
      <c r="Y60" s="10">
        <f t="shared" si="106"/>
        <v>1633900</v>
      </c>
      <c r="Z60" s="10">
        <f t="shared" si="107"/>
        <v>1491174</v>
      </c>
      <c r="AA60" s="10">
        <f t="shared" si="108"/>
        <v>1836939</v>
      </c>
      <c r="AB60" s="10">
        <f t="shared" si="109"/>
        <v>1658191</v>
      </c>
      <c r="AC60" s="10">
        <f t="shared" si="110"/>
        <v>1572724</v>
      </c>
      <c r="AD60" s="10">
        <f t="shared" si="111"/>
        <v>1591234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18</v>
      </c>
      <c r="C61" s="85" t="e">
        <f>'Historical Financials'!#REF!</f>
        <v>#REF!</v>
      </c>
      <c r="D61" s="85"/>
      <c r="E61" s="85"/>
      <c r="F61" s="85"/>
      <c r="G61" s="85"/>
      <c r="H61" s="85">
        <f>'Historical Financials'!J71</f>
        <v>3266416</v>
      </c>
      <c r="I61" s="85">
        <f>'Historical Financials'!K71</f>
        <v>3176926</v>
      </c>
      <c r="J61" s="85">
        <f>'Historical Financials'!L71</f>
        <v>3409294</v>
      </c>
      <c r="K61" s="85">
        <f>'Historical Financials'!M71</f>
        <v>3232869</v>
      </c>
      <c r="L61" s="85">
        <f>'Historical Financials'!N71</f>
        <v>3357651</v>
      </c>
      <c r="M61" s="85">
        <f>'Historical Financials'!O71</f>
        <v>3196883</v>
      </c>
      <c r="N61" s="85">
        <f>'Historical Financials'!P71</f>
        <v>3566466</v>
      </c>
      <c r="O61" s="85">
        <f>'Historical Financials'!Q71</f>
        <v>3432701</v>
      </c>
      <c r="P61" s="85">
        <f>'Historical Financials'!R71</f>
        <v>3331196</v>
      </c>
      <c r="Q61" s="85">
        <f>'Historical Financials'!S71</f>
        <v>3389248</v>
      </c>
      <c r="R61" s="85"/>
      <c r="S61" s="85"/>
      <c r="T61" s="85"/>
      <c r="U61" s="85"/>
      <c r="V61" s="85"/>
      <c r="X61" s="10">
        <f t="shared" si="105"/>
        <v>3232869</v>
      </c>
      <c r="Y61" s="10">
        <f t="shared" si="106"/>
        <v>3357651</v>
      </c>
      <c r="Z61" s="10">
        <f t="shared" si="107"/>
        <v>3196883</v>
      </c>
      <c r="AA61" s="10">
        <f t="shared" si="108"/>
        <v>3566466</v>
      </c>
      <c r="AB61" s="10">
        <f t="shared" si="109"/>
        <v>3432701</v>
      </c>
      <c r="AC61" s="10">
        <f t="shared" si="110"/>
        <v>3331196</v>
      </c>
      <c r="AD61" s="10">
        <f t="shared" si="111"/>
        <v>3389248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131</v>
      </c>
      <c r="C63" s="78">
        <v>0</v>
      </c>
      <c r="D63" s="78"/>
      <c r="E63" s="78"/>
      <c r="F63" s="78"/>
      <c r="H63" s="78">
        <v>0</v>
      </c>
      <c r="I63" s="78">
        <v>0</v>
      </c>
      <c r="J63" s="78">
        <v>0</v>
      </c>
      <c r="K63" s="112">
        <f>D63</f>
        <v>0</v>
      </c>
      <c r="L63" s="78">
        <v>0</v>
      </c>
      <c r="M63" s="78">
        <v>0</v>
      </c>
      <c r="N63" s="78">
        <v>0</v>
      </c>
      <c r="O63" s="112">
        <f>E63</f>
        <v>0</v>
      </c>
      <c r="P63" s="78">
        <v>0</v>
      </c>
      <c r="Q63" s="78">
        <v>0</v>
      </c>
      <c r="R63" s="78"/>
      <c r="S63" s="112"/>
      <c r="T63" s="78"/>
      <c r="U63" s="78"/>
      <c r="V63" s="78"/>
      <c r="W63" s="113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25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59</v>
      </c>
      <c r="C66" s="85" t="e">
        <f>'Historical Financials'!#REF!</f>
        <v>#REF!</v>
      </c>
      <c r="D66" s="85"/>
      <c r="E66" s="85"/>
      <c r="F66" s="85"/>
      <c r="H66" s="85">
        <f>'Historical Financials'!J77</f>
        <v>1745620</v>
      </c>
      <c r="I66" s="85">
        <f>'Historical Financials'!K77</f>
        <v>1769068</v>
      </c>
      <c r="J66" s="85">
        <f>'Historical Financials'!L77</f>
        <v>1922255</v>
      </c>
      <c r="K66" s="85">
        <f>'Historical Financials'!M77</f>
        <v>1535373</v>
      </c>
      <c r="L66" s="85">
        <f>'Historical Financials'!N77</f>
        <v>2018068</v>
      </c>
      <c r="M66" s="85">
        <f>'Historical Financials'!O77</f>
        <v>2051877</v>
      </c>
      <c r="N66" s="85">
        <f>'Historical Financials'!P77</f>
        <v>2028542</v>
      </c>
      <c r="O66" s="85">
        <f>'Historical Financials'!Q77</f>
        <v>2279328</v>
      </c>
      <c r="P66" s="85">
        <f>'Historical Financials'!R77</f>
        <v>2300743</v>
      </c>
      <c r="Q66" s="85">
        <f>'Historical Financials'!S77</f>
        <v>2348160</v>
      </c>
      <c r="R66" s="85"/>
      <c r="S66" s="85"/>
      <c r="T66" s="85"/>
      <c r="U66" s="85"/>
      <c r="V66" s="85"/>
      <c r="X66" s="10">
        <f t="shared" ref="X66:AH66" si="132">K66</f>
        <v>1535373</v>
      </c>
      <c r="Y66" s="10">
        <f t="shared" si="132"/>
        <v>2018068</v>
      </c>
      <c r="Z66" s="10">
        <f t="shared" si="132"/>
        <v>2051877</v>
      </c>
      <c r="AA66" s="10">
        <f t="shared" si="132"/>
        <v>2028542</v>
      </c>
      <c r="AB66" s="10">
        <f t="shared" si="132"/>
        <v>2279328</v>
      </c>
      <c r="AC66" s="10">
        <f t="shared" si="132"/>
        <v>2300743</v>
      </c>
      <c r="AD66" s="10">
        <f t="shared" si="132"/>
        <v>2348160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60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1745620</v>
      </c>
      <c r="I67" s="13">
        <f t="shared" ref="I67:R67" si="134">SUM(I64:I66)</f>
        <v>1769068</v>
      </c>
      <c r="J67" s="13">
        <f t="shared" si="134"/>
        <v>1922255</v>
      </c>
      <c r="K67" s="13">
        <f t="shared" si="134"/>
        <v>1535373</v>
      </c>
      <c r="L67" s="13">
        <f t="shared" si="134"/>
        <v>2018068</v>
      </c>
      <c r="M67" s="13">
        <f t="shared" si="134"/>
        <v>2051877</v>
      </c>
      <c r="N67" s="13">
        <f t="shared" si="134"/>
        <v>2028542</v>
      </c>
      <c r="O67" s="13">
        <f t="shared" si="134"/>
        <v>2279328</v>
      </c>
      <c r="P67" s="13">
        <f t="shared" si="134"/>
        <v>2300743</v>
      </c>
      <c r="Q67" s="13">
        <f t="shared" si="134"/>
        <v>2348160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1535373</v>
      </c>
      <c r="Y67" s="13">
        <f t="shared" si="135"/>
        <v>2018068</v>
      </c>
      <c r="Z67" s="13">
        <f t="shared" si="135"/>
        <v>2051877</v>
      </c>
      <c r="AA67" s="13">
        <f t="shared" si="135"/>
        <v>2028542</v>
      </c>
      <c r="AB67" s="13">
        <f t="shared" si="135"/>
        <v>2279328</v>
      </c>
      <c r="AC67" s="13">
        <f t="shared" si="135"/>
        <v>2300743</v>
      </c>
      <c r="AD67" s="13">
        <f t="shared" si="135"/>
        <v>2348160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90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61</v>
      </c>
      <c r="C71" s="137" t="s">
        <v>91</v>
      </c>
      <c r="D71" s="137"/>
      <c r="E71" s="137"/>
      <c r="F71" s="137"/>
      <c r="H71" s="135"/>
      <c r="I71" s="135"/>
      <c r="J71" s="135"/>
      <c r="K71" s="135"/>
      <c r="L71" s="137" t="s">
        <v>91</v>
      </c>
      <c r="M71" s="137" t="s">
        <v>91</v>
      </c>
      <c r="N71" s="137" t="s">
        <v>91</v>
      </c>
      <c r="O71" s="137" t="s">
        <v>91</v>
      </c>
      <c r="P71" s="137" t="s">
        <v>91</v>
      </c>
      <c r="Q71" s="137" t="s">
        <v>91</v>
      </c>
      <c r="R71" s="137"/>
      <c r="S71" s="137"/>
      <c r="T71" s="137"/>
      <c r="U71" s="137"/>
      <c r="V71" s="137"/>
      <c r="W71" s="137"/>
      <c r="X71" s="137" t="s">
        <v>91</v>
      </c>
      <c r="Y71" s="137" t="s">
        <v>91</v>
      </c>
      <c r="Z71" s="137" t="s">
        <v>91</v>
      </c>
      <c r="AA71" s="137" t="s">
        <v>91</v>
      </c>
      <c r="AB71" s="137" t="s">
        <v>91</v>
      </c>
      <c r="AC71" s="137" t="s">
        <v>91</v>
      </c>
      <c r="AD71" s="137" t="s">
        <v>91</v>
      </c>
      <c r="AE71" s="137"/>
      <c r="AF71" s="137"/>
      <c r="AG71" s="137"/>
      <c r="AH71" s="137"/>
      <c r="AI71" s="137"/>
    </row>
    <row r="72" spans="1:35" ht="12.75" customHeight="1">
      <c r="B72" s="8" t="s">
        <v>62</v>
      </c>
      <c r="C72" s="137" t="s">
        <v>91</v>
      </c>
      <c r="D72" s="137"/>
      <c r="E72" s="137"/>
      <c r="F72" s="137"/>
      <c r="H72" s="135"/>
      <c r="I72" s="135"/>
      <c r="J72" s="135"/>
      <c r="K72" s="135"/>
      <c r="L72" s="137" t="s">
        <v>91</v>
      </c>
      <c r="M72" s="137" t="s">
        <v>91</v>
      </c>
      <c r="N72" s="137" t="s">
        <v>91</v>
      </c>
      <c r="O72" s="137" t="s">
        <v>91</v>
      </c>
      <c r="P72" s="137" t="s">
        <v>91</v>
      </c>
      <c r="Q72" s="137" t="s">
        <v>91</v>
      </c>
      <c r="R72" s="137"/>
      <c r="S72" s="137"/>
      <c r="T72" s="137"/>
      <c r="U72" s="137"/>
      <c r="V72" s="137"/>
      <c r="W72" s="137"/>
      <c r="X72" s="137" t="s">
        <v>91</v>
      </c>
      <c r="Y72" s="137" t="s">
        <v>91</v>
      </c>
      <c r="Z72" s="137" t="s">
        <v>91</v>
      </c>
      <c r="AA72" s="137" t="s">
        <v>91</v>
      </c>
      <c r="AB72" s="137" t="s">
        <v>91</v>
      </c>
      <c r="AC72" s="137" t="s">
        <v>91</v>
      </c>
      <c r="AD72" s="137" t="s">
        <v>91</v>
      </c>
      <c r="AE72" s="137"/>
      <c r="AF72" s="137"/>
      <c r="AG72" s="137"/>
      <c r="AH72" s="137"/>
      <c r="AI72" s="137"/>
    </row>
    <row r="73" spans="1:35" ht="12.75" customHeight="1">
      <c r="B73" s="8" t="s">
        <v>63</v>
      </c>
      <c r="C73" s="137" t="s">
        <v>91</v>
      </c>
      <c r="D73" s="137"/>
      <c r="E73" s="137"/>
      <c r="F73" s="137"/>
      <c r="H73" s="135"/>
      <c r="I73" s="135"/>
      <c r="J73" s="135"/>
      <c r="K73" s="135"/>
      <c r="L73" s="137" t="s">
        <v>91</v>
      </c>
      <c r="M73" s="137" t="s">
        <v>91</v>
      </c>
      <c r="N73" s="137" t="s">
        <v>91</v>
      </c>
      <c r="O73" s="137" t="s">
        <v>91</v>
      </c>
      <c r="P73" s="137" t="s">
        <v>91</v>
      </c>
      <c r="Q73" s="137" t="s">
        <v>91</v>
      </c>
      <c r="R73" s="137"/>
      <c r="S73" s="137"/>
      <c r="T73" s="137"/>
      <c r="U73" s="137"/>
      <c r="V73" s="137"/>
      <c r="X73" s="137" t="s">
        <v>91</v>
      </c>
      <c r="Y73" s="137" t="s">
        <v>91</v>
      </c>
      <c r="Z73" s="137" t="s">
        <v>91</v>
      </c>
      <c r="AA73" s="137" t="s">
        <v>91</v>
      </c>
      <c r="AB73" s="137" t="s">
        <v>91</v>
      </c>
      <c r="AC73" s="137" t="s">
        <v>91</v>
      </c>
      <c r="AD73" s="137" t="s">
        <v>91</v>
      </c>
      <c r="AE73" s="137"/>
      <c r="AF73" s="137"/>
      <c r="AG73" s="137"/>
      <c r="AH73" s="137"/>
      <c r="AI73" s="137"/>
    </row>
    <row r="74" spans="1:35" ht="12.75" customHeight="1">
      <c r="B74" s="8" t="s">
        <v>64</v>
      </c>
      <c r="C74" s="137" t="s">
        <v>91</v>
      </c>
      <c r="D74" s="137"/>
      <c r="E74" s="137"/>
      <c r="F74" s="137"/>
      <c r="H74" s="135"/>
      <c r="I74" s="135"/>
      <c r="J74" s="135"/>
      <c r="K74" s="135"/>
      <c r="L74" s="137" t="s">
        <v>91</v>
      </c>
      <c r="M74" s="137" t="s">
        <v>91</v>
      </c>
      <c r="N74" s="137" t="s">
        <v>91</v>
      </c>
      <c r="O74" s="137" t="s">
        <v>91</v>
      </c>
      <c r="P74" s="137" t="s">
        <v>91</v>
      </c>
      <c r="Q74" s="137" t="s">
        <v>91</v>
      </c>
      <c r="R74" s="137"/>
      <c r="S74" s="137"/>
      <c r="T74" s="137"/>
      <c r="U74" s="137"/>
      <c r="V74" s="137"/>
      <c r="X74" s="137" t="s">
        <v>91</v>
      </c>
      <c r="Y74" s="137" t="s">
        <v>91</v>
      </c>
      <c r="Z74" s="137" t="s">
        <v>91</v>
      </c>
      <c r="AA74" s="137" t="s">
        <v>91</v>
      </c>
      <c r="AB74" s="137" t="s">
        <v>91</v>
      </c>
      <c r="AC74" s="137" t="s">
        <v>91</v>
      </c>
      <c r="AD74" s="137" t="s">
        <v>91</v>
      </c>
      <c r="AE74" s="137"/>
      <c r="AF74" s="137"/>
      <c r="AG74" s="137"/>
      <c r="AH74" s="137"/>
      <c r="AI74" s="137"/>
    </row>
    <row r="75" spans="1:35" ht="12.75" customHeight="1">
      <c r="B75" s="8" t="s">
        <v>65</v>
      </c>
      <c r="C75" s="137" t="s">
        <v>91</v>
      </c>
      <c r="D75" s="137"/>
      <c r="E75" s="137"/>
      <c r="F75" s="137"/>
      <c r="H75" s="135"/>
      <c r="I75" s="135"/>
      <c r="J75" s="135"/>
      <c r="K75" s="135"/>
      <c r="L75" s="137" t="s">
        <v>91</v>
      </c>
      <c r="M75" s="137" t="s">
        <v>91</v>
      </c>
      <c r="N75" s="137" t="s">
        <v>91</v>
      </c>
      <c r="O75" s="137" t="s">
        <v>91</v>
      </c>
      <c r="P75" s="137" t="s">
        <v>91</v>
      </c>
      <c r="Q75" s="137" t="s">
        <v>91</v>
      </c>
      <c r="R75" s="137"/>
      <c r="S75" s="137"/>
      <c r="T75" s="137"/>
      <c r="U75" s="137"/>
      <c r="V75" s="137"/>
      <c r="X75" s="137" t="s">
        <v>91</v>
      </c>
      <c r="Y75" s="137" t="s">
        <v>91</v>
      </c>
      <c r="Z75" s="137" t="s">
        <v>91</v>
      </c>
      <c r="AA75" s="137" t="s">
        <v>91</v>
      </c>
      <c r="AB75" s="137" t="s">
        <v>91</v>
      </c>
      <c r="AC75" s="137" t="s">
        <v>91</v>
      </c>
      <c r="AD75" s="137" t="s">
        <v>91</v>
      </c>
      <c r="AE75" s="137"/>
      <c r="AF75" s="137"/>
      <c r="AG75" s="137"/>
      <c r="AH75" s="137"/>
      <c r="AI75" s="137"/>
    </row>
    <row r="76" spans="1:35" ht="12.75" customHeight="1">
      <c r="A76" s="8" t="s">
        <v>138</v>
      </c>
      <c r="B76" s="8" t="s">
        <v>66</v>
      </c>
      <c r="C76" s="137" t="s">
        <v>91</v>
      </c>
      <c r="D76" s="137"/>
      <c r="E76" s="137"/>
      <c r="F76" s="137"/>
      <c r="H76" s="135"/>
      <c r="I76" s="135"/>
      <c r="J76" s="135"/>
      <c r="K76" s="135"/>
      <c r="L76" s="137" t="s">
        <v>91</v>
      </c>
      <c r="M76" s="137" t="s">
        <v>91</v>
      </c>
      <c r="N76" s="137" t="s">
        <v>91</v>
      </c>
      <c r="O76" s="137" t="s">
        <v>91</v>
      </c>
      <c r="P76" s="137" t="s">
        <v>91</v>
      </c>
      <c r="Q76" s="137" t="s">
        <v>91</v>
      </c>
      <c r="R76" s="137"/>
      <c r="S76" s="137"/>
      <c r="T76" s="137"/>
      <c r="U76" s="137"/>
      <c r="V76" s="137"/>
      <c r="X76" s="137" t="s">
        <v>91</v>
      </c>
      <c r="Y76" s="137" t="s">
        <v>91</v>
      </c>
      <c r="Z76" s="137" t="s">
        <v>91</v>
      </c>
      <c r="AA76" s="137" t="s">
        <v>91</v>
      </c>
      <c r="AB76" s="137" t="s">
        <v>91</v>
      </c>
      <c r="AC76" s="137" t="s">
        <v>91</v>
      </c>
      <c r="AD76" s="137" t="s">
        <v>91</v>
      </c>
      <c r="AE76" s="137"/>
      <c r="AF76" s="137"/>
      <c r="AG76" s="137"/>
      <c r="AH76" s="137"/>
      <c r="AI76" s="137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2025-11-10T03:01:30Z</dcterms:modified>
</cp:coreProperties>
</file>