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146DC175-10E4-4CA3-B4DF-99B73DE2AA30}" xr6:coauthVersionLast="47" xr6:coauthVersionMax="47" xr10:uidLastSave="{00000000-0000-0000-0000-000000000000}"/>
  <bookViews>
    <workbookView xWindow="25695" yWindow="0" windowWidth="26010" windowHeight="20985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9" i="9" l="1"/>
  <c r="N68" i="9"/>
  <c r="N70" i="9" s="1"/>
  <c r="N67" i="9"/>
  <c r="N66" i="9"/>
  <c r="N65" i="9"/>
  <c r="J69" i="9"/>
  <c r="J68" i="9"/>
  <c r="J67" i="9"/>
  <c r="J66" i="9"/>
  <c r="J65" i="9"/>
  <c r="X65" i="9" s="1"/>
  <c r="Q63" i="9"/>
  <c r="P63" i="9"/>
  <c r="O63" i="9"/>
  <c r="N63" i="9"/>
  <c r="M63" i="9"/>
  <c r="L63" i="9"/>
  <c r="K63" i="9"/>
  <c r="J63" i="9"/>
  <c r="I63" i="9"/>
  <c r="H63" i="9"/>
  <c r="Q62" i="9"/>
  <c r="P62" i="9"/>
  <c r="O62" i="9"/>
  <c r="N62" i="9"/>
  <c r="M62" i="9"/>
  <c r="L62" i="9"/>
  <c r="K62" i="9"/>
  <c r="J62" i="9"/>
  <c r="I62" i="9"/>
  <c r="H62" i="9"/>
  <c r="G63" i="9"/>
  <c r="G62" i="9"/>
  <c r="E63" i="9"/>
  <c r="D63" i="9"/>
  <c r="E62" i="9"/>
  <c r="D62" i="9"/>
  <c r="C63" i="9"/>
  <c r="C62" i="9"/>
  <c r="Q72" i="9"/>
  <c r="P72" i="9"/>
  <c r="O72" i="9"/>
  <c r="N72" i="9"/>
  <c r="M72" i="9"/>
  <c r="L72" i="9"/>
  <c r="K72" i="9"/>
  <c r="J72" i="9"/>
  <c r="I72" i="9"/>
  <c r="H72" i="9"/>
  <c r="G72" i="9"/>
  <c r="E72" i="9"/>
  <c r="D72" i="9"/>
  <c r="C72" i="9"/>
  <c r="Q59" i="9"/>
  <c r="P59" i="9"/>
  <c r="O59" i="9"/>
  <c r="N59" i="9"/>
  <c r="M59" i="9"/>
  <c r="L59" i="9"/>
  <c r="K59" i="9"/>
  <c r="J59" i="9"/>
  <c r="I59" i="9"/>
  <c r="H59" i="9"/>
  <c r="Q58" i="9"/>
  <c r="P58" i="9"/>
  <c r="O58" i="9"/>
  <c r="N58" i="9"/>
  <c r="M58" i="9"/>
  <c r="L58" i="9"/>
  <c r="K58" i="9"/>
  <c r="J58" i="9"/>
  <c r="I58" i="9"/>
  <c r="H58" i="9"/>
  <c r="Q57" i="9"/>
  <c r="P57" i="9"/>
  <c r="O57" i="9"/>
  <c r="N57" i="9"/>
  <c r="M57" i="9"/>
  <c r="L57" i="9"/>
  <c r="K57" i="9"/>
  <c r="J57" i="9"/>
  <c r="I57" i="9"/>
  <c r="H57" i="9"/>
  <c r="Q56" i="9"/>
  <c r="P56" i="9"/>
  <c r="O56" i="9"/>
  <c r="N56" i="9"/>
  <c r="M56" i="9"/>
  <c r="L56" i="9"/>
  <c r="K56" i="9"/>
  <c r="J56" i="9"/>
  <c r="I56" i="9"/>
  <c r="H56" i="9"/>
  <c r="Q55" i="9"/>
  <c r="P55" i="9"/>
  <c r="O55" i="9"/>
  <c r="N55" i="9"/>
  <c r="M55" i="9"/>
  <c r="L55" i="9"/>
  <c r="K55" i="9"/>
  <c r="J55" i="9"/>
  <c r="I55" i="9"/>
  <c r="H55" i="9"/>
  <c r="G59" i="9"/>
  <c r="G58" i="9"/>
  <c r="G57" i="9"/>
  <c r="G56" i="9"/>
  <c r="G55" i="9"/>
  <c r="E59" i="9"/>
  <c r="D59" i="9"/>
  <c r="E58" i="9"/>
  <c r="D58" i="9"/>
  <c r="E57" i="9"/>
  <c r="D57" i="9"/>
  <c r="E56" i="9"/>
  <c r="D56" i="9"/>
  <c r="E55" i="9"/>
  <c r="D55" i="9"/>
  <c r="C59" i="9"/>
  <c r="C58" i="9"/>
  <c r="C57" i="9"/>
  <c r="C56" i="9"/>
  <c r="C55" i="9"/>
  <c r="Q49" i="9"/>
  <c r="P49" i="9"/>
  <c r="O49" i="9"/>
  <c r="N49" i="9"/>
  <c r="M49" i="9"/>
  <c r="L49" i="9"/>
  <c r="K49" i="9"/>
  <c r="J49" i="9"/>
  <c r="I49" i="9"/>
  <c r="H49" i="9"/>
  <c r="G49" i="9"/>
  <c r="E49" i="9"/>
  <c r="D49" i="9"/>
  <c r="C49" i="9"/>
  <c r="Q35" i="9"/>
  <c r="P35" i="9"/>
  <c r="O35" i="9"/>
  <c r="N35" i="9"/>
  <c r="M35" i="9"/>
  <c r="L35" i="9"/>
  <c r="K35" i="9"/>
  <c r="J35" i="9"/>
  <c r="I35" i="9"/>
  <c r="H35" i="9"/>
  <c r="G35" i="9"/>
  <c r="E35" i="9"/>
  <c r="D35" i="9"/>
  <c r="C35" i="9"/>
  <c r="Q34" i="9"/>
  <c r="P34" i="9"/>
  <c r="O34" i="9"/>
  <c r="N34" i="9"/>
  <c r="M34" i="9"/>
  <c r="L34" i="9"/>
  <c r="K34" i="9"/>
  <c r="J34" i="9"/>
  <c r="I34" i="9"/>
  <c r="H34" i="9"/>
  <c r="Q33" i="9"/>
  <c r="P33" i="9"/>
  <c r="O33" i="9"/>
  <c r="N33" i="9"/>
  <c r="M33" i="9"/>
  <c r="L33" i="9"/>
  <c r="K33" i="9"/>
  <c r="J33" i="9"/>
  <c r="I33" i="9"/>
  <c r="H33" i="9"/>
  <c r="G34" i="9"/>
  <c r="G33" i="9"/>
  <c r="E34" i="9"/>
  <c r="D34" i="9"/>
  <c r="E33" i="9"/>
  <c r="D33" i="9"/>
  <c r="C34" i="9"/>
  <c r="C33" i="9"/>
  <c r="Q32" i="9"/>
  <c r="P32" i="9"/>
  <c r="O32" i="9"/>
  <c r="N32" i="9"/>
  <c r="M32" i="9"/>
  <c r="L32" i="9"/>
  <c r="K32" i="9"/>
  <c r="J32" i="9"/>
  <c r="I32" i="9"/>
  <c r="H32" i="9"/>
  <c r="G32" i="9"/>
  <c r="E32" i="9"/>
  <c r="D32" i="9"/>
  <c r="C32" i="9"/>
  <c r="Q27" i="9"/>
  <c r="P27" i="9"/>
  <c r="O27" i="9"/>
  <c r="N27" i="9"/>
  <c r="M27" i="9"/>
  <c r="L27" i="9"/>
  <c r="K27" i="9"/>
  <c r="J27" i="9"/>
  <c r="I27" i="9"/>
  <c r="H27" i="9"/>
  <c r="G27" i="9"/>
  <c r="E27" i="9"/>
  <c r="D27" i="9"/>
  <c r="C27" i="9"/>
  <c r="Q23" i="9"/>
  <c r="P23" i="9"/>
  <c r="O23" i="9"/>
  <c r="N23" i="9"/>
  <c r="M23" i="9"/>
  <c r="L23" i="9"/>
  <c r="K23" i="9"/>
  <c r="J23" i="9"/>
  <c r="I23" i="9"/>
  <c r="H23" i="9"/>
  <c r="G23" i="9"/>
  <c r="E23" i="9"/>
  <c r="D23" i="9"/>
  <c r="C23" i="9"/>
  <c r="Q19" i="9"/>
  <c r="Q28" i="9" s="1"/>
  <c r="P19" i="9"/>
  <c r="P28" i="9" s="1"/>
  <c r="O19" i="9"/>
  <c r="O28" i="9" s="1"/>
  <c r="N19" i="9"/>
  <c r="N28" i="9" s="1"/>
  <c r="M19" i="9"/>
  <c r="M28" i="9" s="1"/>
  <c r="L19" i="9"/>
  <c r="L28" i="9" s="1"/>
  <c r="K19" i="9"/>
  <c r="K28" i="9" s="1"/>
  <c r="J19" i="9"/>
  <c r="J28" i="9" s="1"/>
  <c r="I19" i="9"/>
  <c r="I28" i="9" s="1"/>
  <c r="H19" i="9"/>
  <c r="H28" i="9" s="1"/>
  <c r="G19" i="9"/>
  <c r="G28" i="9" s="1"/>
  <c r="Q18" i="9"/>
  <c r="P18" i="9"/>
  <c r="O18" i="9"/>
  <c r="N18" i="9"/>
  <c r="M18" i="9"/>
  <c r="L18" i="9"/>
  <c r="K18" i="9"/>
  <c r="J18" i="9"/>
  <c r="I18" i="9"/>
  <c r="H18" i="9"/>
  <c r="G18" i="9"/>
  <c r="E19" i="9"/>
  <c r="E28" i="9" s="1"/>
  <c r="D19" i="9"/>
  <c r="D28" i="9" s="1"/>
  <c r="C19" i="9"/>
  <c r="C28" i="9" s="1"/>
  <c r="E18" i="9"/>
  <c r="D18" i="9"/>
  <c r="C18" i="9"/>
  <c r="Q14" i="9"/>
  <c r="P14" i="9"/>
  <c r="O14" i="9"/>
  <c r="N14" i="9"/>
  <c r="M14" i="9"/>
  <c r="L14" i="9"/>
  <c r="K14" i="9"/>
  <c r="J14" i="9"/>
  <c r="I14" i="9"/>
  <c r="H14" i="9"/>
  <c r="G14" i="9"/>
  <c r="E14" i="9"/>
  <c r="D14" i="9"/>
  <c r="C14" i="9"/>
  <c r="Q9" i="9"/>
  <c r="P9" i="9"/>
  <c r="O9" i="9"/>
  <c r="N9" i="9"/>
  <c r="M9" i="9"/>
  <c r="L9" i="9"/>
  <c r="K9" i="9"/>
  <c r="J9" i="9"/>
  <c r="I9" i="9"/>
  <c r="H9" i="9"/>
  <c r="G9" i="9"/>
  <c r="Q8" i="9"/>
  <c r="P8" i="9"/>
  <c r="O8" i="9"/>
  <c r="N8" i="9"/>
  <c r="M8" i="9"/>
  <c r="L8" i="9"/>
  <c r="K8" i="9"/>
  <c r="J8" i="9"/>
  <c r="I8" i="9"/>
  <c r="H8" i="9"/>
  <c r="G8" i="9"/>
  <c r="Q7" i="9"/>
  <c r="P7" i="9"/>
  <c r="O7" i="9"/>
  <c r="N7" i="9"/>
  <c r="M7" i="9"/>
  <c r="L7" i="9"/>
  <c r="K7" i="9"/>
  <c r="J7" i="9"/>
  <c r="I7" i="9"/>
  <c r="H7" i="9"/>
  <c r="G7" i="9"/>
  <c r="Q6" i="9"/>
  <c r="P6" i="9"/>
  <c r="O6" i="9"/>
  <c r="N6" i="9"/>
  <c r="M6" i="9"/>
  <c r="L6" i="9"/>
  <c r="K6" i="9"/>
  <c r="J6" i="9"/>
  <c r="I6" i="9"/>
  <c r="H6" i="9"/>
  <c r="G6" i="9"/>
  <c r="E9" i="9"/>
  <c r="D9" i="9"/>
  <c r="C9" i="9"/>
  <c r="E8" i="9"/>
  <c r="D8" i="9"/>
  <c r="C8" i="9"/>
  <c r="E7" i="9"/>
  <c r="D7" i="9"/>
  <c r="C7" i="9"/>
  <c r="E6" i="9"/>
  <c r="D6" i="9"/>
  <c r="C6" i="9"/>
  <c r="B9" i="9"/>
  <c r="B8" i="9"/>
  <c r="B7" i="9"/>
  <c r="B6" i="9"/>
  <c r="Q70" i="9"/>
  <c r="P70" i="9"/>
  <c r="O70" i="9"/>
  <c r="M70" i="9"/>
  <c r="L70" i="9"/>
  <c r="K70" i="9"/>
  <c r="I70" i="9"/>
  <c r="H70" i="9"/>
  <c r="G70" i="9"/>
  <c r="D70" i="9"/>
  <c r="C70" i="9"/>
  <c r="E70" i="9"/>
  <c r="E12" i="10"/>
  <c r="E11" i="10"/>
  <c r="E10" i="10"/>
  <c r="E9" i="10"/>
  <c r="D12" i="10"/>
  <c r="D11" i="10"/>
  <c r="D10" i="10"/>
  <c r="D9" i="10"/>
  <c r="C12" i="10"/>
  <c r="C11" i="10"/>
  <c r="C10" i="10"/>
  <c r="C9" i="10"/>
  <c r="B19" i="10"/>
  <c r="B18" i="10"/>
  <c r="B17" i="10"/>
  <c r="B16" i="10"/>
  <c r="N141" i="8"/>
  <c r="J141" i="8"/>
  <c r="N140" i="8"/>
  <c r="J140" i="8"/>
  <c r="N132" i="8"/>
  <c r="J132" i="8"/>
  <c r="G129" i="8"/>
  <c r="G128" i="8"/>
  <c r="N114" i="8"/>
  <c r="J114" i="8"/>
  <c r="J115" i="8" s="1"/>
  <c r="Q115" i="8"/>
  <c r="P115" i="8"/>
  <c r="O115" i="8"/>
  <c r="M115" i="8"/>
  <c r="L115" i="8"/>
  <c r="K115" i="8"/>
  <c r="I115" i="8"/>
  <c r="H115" i="8"/>
  <c r="G115" i="8"/>
  <c r="E115" i="8"/>
  <c r="D115" i="8"/>
  <c r="C115" i="8"/>
  <c r="Y121" i="8"/>
  <c r="X121" i="8"/>
  <c r="W121" i="8"/>
  <c r="V121" i="8"/>
  <c r="U121" i="8"/>
  <c r="T121" i="8"/>
  <c r="S121" i="8"/>
  <c r="N121" i="8"/>
  <c r="AG121" i="8" s="1"/>
  <c r="J121" i="8"/>
  <c r="Z121" i="8" s="1"/>
  <c r="N123" i="8"/>
  <c r="AD123" i="8" s="1"/>
  <c r="N96" i="8"/>
  <c r="J96" i="8"/>
  <c r="D71" i="8"/>
  <c r="J71" i="8" s="1"/>
  <c r="D64" i="8"/>
  <c r="J64" i="8" s="1"/>
  <c r="D57" i="8"/>
  <c r="J57" i="8" s="1"/>
  <c r="D49" i="8"/>
  <c r="J49" i="8" s="1"/>
  <c r="J18" i="8"/>
  <c r="AC18" i="8" s="1"/>
  <c r="N18" i="8"/>
  <c r="AF18" i="8" s="1"/>
  <c r="Y18" i="8"/>
  <c r="X18" i="8"/>
  <c r="W18" i="8"/>
  <c r="V18" i="8"/>
  <c r="U18" i="8"/>
  <c r="T18" i="8"/>
  <c r="S18" i="8"/>
  <c r="N47" i="8"/>
  <c r="J47" i="8"/>
  <c r="N46" i="8"/>
  <c r="J46" i="8"/>
  <c r="N56" i="8"/>
  <c r="J56" i="8"/>
  <c r="N55" i="8"/>
  <c r="J55" i="8"/>
  <c r="N54" i="8"/>
  <c r="J54" i="8"/>
  <c r="N53" i="8"/>
  <c r="J53" i="8"/>
  <c r="N69" i="8"/>
  <c r="J69" i="8"/>
  <c r="N68" i="8"/>
  <c r="J68" i="8"/>
  <c r="N76" i="8"/>
  <c r="J76" i="8"/>
  <c r="N75" i="8"/>
  <c r="J75" i="8"/>
  <c r="N74" i="8"/>
  <c r="J74" i="8"/>
  <c r="T19" i="9"/>
  <c r="B2" i="10"/>
  <c r="N38" i="8"/>
  <c r="AD38" i="8" s="1"/>
  <c r="J38" i="8"/>
  <c r="Z38" i="8" s="1"/>
  <c r="J35" i="8"/>
  <c r="Z35" i="8" s="1"/>
  <c r="N28" i="8"/>
  <c r="J28" i="8"/>
  <c r="N24" i="8"/>
  <c r="J24" i="8"/>
  <c r="N23" i="8"/>
  <c r="J23" i="8"/>
  <c r="N22" i="8"/>
  <c r="J22" i="8"/>
  <c r="N17" i="8"/>
  <c r="J17" i="8"/>
  <c r="N49" i="8"/>
  <c r="N48" i="8"/>
  <c r="J48" i="8"/>
  <c r="N57" i="8"/>
  <c r="N64" i="8"/>
  <c r="N63" i="8"/>
  <c r="J63" i="8"/>
  <c r="N62" i="8"/>
  <c r="J62" i="8"/>
  <c r="N61" i="8"/>
  <c r="J61" i="8"/>
  <c r="N71" i="8"/>
  <c r="N70" i="8"/>
  <c r="J70" i="8"/>
  <c r="N100" i="8"/>
  <c r="J100" i="8"/>
  <c r="N99" i="8"/>
  <c r="J99" i="8"/>
  <c r="N98" i="8"/>
  <c r="J98" i="8"/>
  <c r="N97" i="8"/>
  <c r="J97" i="8"/>
  <c r="N95" i="8"/>
  <c r="J95" i="8"/>
  <c r="N94" i="8"/>
  <c r="J94" i="8"/>
  <c r="N107" i="8"/>
  <c r="J107" i="8"/>
  <c r="N106" i="8"/>
  <c r="J106" i="8"/>
  <c r="N105" i="8"/>
  <c r="J105" i="8"/>
  <c r="N104" i="8"/>
  <c r="J104" i="8"/>
  <c r="N103" i="8"/>
  <c r="J103" i="8"/>
  <c r="N113" i="8"/>
  <c r="J113" i="8"/>
  <c r="N112" i="8"/>
  <c r="J112" i="8"/>
  <c r="N111" i="8"/>
  <c r="J111" i="8"/>
  <c r="AF35" i="8"/>
  <c r="AE35" i="8"/>
  <c r="AC35" i="8"/>
  <c r="AB35" i="8"/>
  <c r="AA35" i="8"/>
  <c r="Y35" i="8"/>
  <c r="X35" i="8"/>
  <c r="W35" i="8"/>
  <c r="U35" i="8"/>
  <c r="T35" i="8"/>
  <c r="S35" i="8"/>
  <c r="AG35" i="8"/>
  <c r="AF38" i="8"/>
  <c r="AE38" i="8"/>
  <c r="AC38" i="8"/>
  <c r="AB38" i="8"/>
  <c r="AA38" i="8"/>
  <c r="Y38" i="8"/>
  <c r="X38" i="8"/>
  <c r="W38" i="8"/>
  <c r="U38" i="8"/>
  <c r="T38" i="8"/>
  <c r="S38" i="8"/>
  <c r="AG38" i="8"/>
  <c r="V38" i="8"/>
  <c r="V35" i="8"/>
  <c r="N35" i="8"/>
  <c r="AD35" i="8" s="1"/>
  <c r="AE65" i="9"/>
  <c r="AD65" i="9"/>
  <c r="AC65" i="9"/>
  <c r="AA65" i="9"/>
  <c r="Z65" i="9"/>
  <c r="Y65" i="9"/>
  <c r="W65" i="9"/>
  <c r="V65" i="9"/>
  <c r="U65" i="9"/>
  <c r="S65" i="9"/>
  <c r="AB65" i="9"/>
  <c r="T65" i="9"/>
  <c r="J70" i="9" l="1"/>
  <c r="AE28" i="9"/>
  <c r="AD28" i="9"/>
  <c r="U19" i="9"/>
  <c r="AA28" i="9"/>
  <c r="AB28" i="9"/>
  <c r="X19" i="9"/>
  <c r="AB19" i="9"/>
  <c r="AC28" i="9"/>
  <c r="AA19" i="9"/>
  <c r="AE19" i="9"/>
  <c r="W19" i="9"/>
  <c r="AD19" i="9"/>
  <c r="V19" i="9"/>
  <c r="Y19" i="9"/>
  <c r="Z19" i="9"/>
  <c r="AC19" i="9"/>
  <c r="E13" i="10"/>
  <c r="D13" i="10"/>
  <c r="C13" i="10"/>
  <c r="N115" i="8"/>
  <c r="AE121" i="8"/>
  <c r="AA121" i="8"/>
  <c r="AB121" i="8"/>
  <c r="AC121" i="8"/>
  <c r="AI121" i="8" s="1"/>
  <c r="AD121" i="8"/>
  <c r="AF121" i="8"/>
  <c r="AF123" i="8"/>
  <c r="AG123" i="8"/>
  <c r="AE123" i="8"/>
  <c r="AA18" i="8"/>
  <c r="AB18" i="8"/>
  <c r="Z18" i="8"/>
  <c r="AG18" i="8"/>
  <c r="AE18" i="8"/>
  <c r="AD18" i="8"/>
  <c r="S19" i="9"/>
  <c r="AI38" i="8"/>
  <c r="AG19" i="9" l="1"/>
  <c r="AE63" i="9"/>
  <c r="AD63" i="9"/>
  <c r="AC63" i="9"/>
  <c r="AA63" i="9"/>
  <c r="AE62" i="9"/>
  <c r="AD62" i="9"/>
  <c r="AC62" i="9"/>
  <c r="AA62" i="9"/>
  <c r="AE57" i="9"/>
  <c r="AD57" i="9"/>
  <c r="AC57" i="9"/>
  <c r="AA57" i="9"/>
  <c r="N12" i="10"/>
  <c r="Y12" i="10" s="1"/>
  <c r="N11" i="10"/>
  <c r="Y11" i="10" s="1"/>
  <c r="N10" i="10"/>
  <c r="N9" i="10"/>
  <c r="J12" i="10"/>
  <c r="J11" i="10"/>
  <c r="J10" i="10"/>
  <c r="J9" i="10"/>
  <c r="AG133" i="8"/>
  <c r="Q129" i="8"/>
  <c r="AE133" i="8"/>
  <c r="AG129" i="8"/>
  <c r="M129" i="8"/>
  <c r="L129" i="8"/>
  <c r="J129" i="8"/>
  <c r="I129" i="8"/>
  <c r="W133" i="8"/>
  <c r="Y129" i="8"/>
  <c r="X129" i="8"/>
  <c r="Y113" i="8"/>
  <c r="W112" i="8"/>
  <c r="X111" i="8"/>
  <c r="G126" i="8"/>
  <c r="H126" i="8"/>
  <c r="I126" i="8"/>
  <c r="Y118" i="8"/>
  <c r="X119" i="8"/>
  <c r="W120" i="8"/>
  <c r="V122" i="8"/>
  <c r="Y124" i="8"/>
  <c r="Y125" i="8"/>
  <c r="H129" i="8"/>
  <c r="O129" i="8"/>
  <c r="K129" i="8"/>
  <c r="N122" i="8"/>
  <c r="AG122" i="8" s="1"/>
  <c r="J122" i="8"/>
  <c r="AC122" i="8" s="1"/>
  <c r="U122" i="8"/>
  <c r="N120" i="8"/>
  <c r="AG120" i="8" s="1"/>
  <c r="J120" i="8"/>
  <c r="AB120" i="8" s="1"/>
  <c r="T120" i="8"/>
  <c r="N119" i="8"/>
  <c r="AE119" i="8" s="1"/>
  <c r="J119" i="8"/>
  <c r="AC119" i="8" s="1"/>
  <c r="U119" i="8"/>
  <c r="N118" i="8"/>
  <c r="AF118" i="8" s="1"/>
  <c r="J118" i="8"/>
  <c r="AB118" i="8" s="1"/>
  <c r="U118" i="8"/>
  <c r="AG100" i="8"/>
  <c r="AA100" i="8"/>
  <c r="Y100" i="8"/>
  <c r="T100" i="8"/>
  <c r="AF99" i="8"/>
  <c r="AB99" i="8"/>
  <c r="V99" i="8"/>
  <c r="U99" i="8"/>
  <c r="AF98" i="8"/>
  <c r="AC98" i="8"/>
  <c r="V98" i="8"/>
  <c r="U98" i="8"/>
  <c r="AF97" i="8"/>
  <c r="AC97" i="8"/>
  <c r="W97" i="8"/>
  <c r="T97" i="8"/>
  <c r="AE95" i="8"/>
  <c r="AC95" i="8"/>
  <c r="X95" i="8"/>
  <c r="U95" i="8"/>
  <c r="AB62" i="9"/>
  <c r="AB57" i="9"/>
  <c r="AB63" i="9"/>
  <c r="N78" i="8"/>
  <c r="J78" i="8"/>
  <c r="N77" i="8"/>
  <c r="J77" i="8"/>
  <c r="AG113" i="8"/>
  <c r="AC113" i="8"/>
  <c r="U113" i="8"/>
  <c r="AD112" i="8"/>
  <c r="AA112" i="8"/>
  <c r="U112" i="8"/>
  <c r="AE111" i="8"/>
  <c r="AC111" i="8"/>
  <c r="U111" i="8"/>
  <c r="N125" i="8"/>
  <c r="AE125" i="8" s="1"/>
  <c r="J125" i="8"/>
  <c r="AC125" i="8" s="1"/>
  <c r="T125" i="8"/>
  <c r="N124" i="8"/>
  <c r="AG124" i="8" s="1"/>
  <c r="J124" i="8"/>
  <c r="AB124" i="8" s="1"/>
  <c r="U124" i="8"/>
  <c r="S9" i="10" l="1"/>
  <c r="T9" i="10"/>
  <c r="T10" i="10"/>
  <c r="S10" i="10"/>
  <c r="U11" i="10"/>
  <c r="AA11" i="10" s="1"/>
  <c r="T11" i="10"/>
  <c r="S11" i="10"/>
  <c r="U12" i="10"/>
  <c r="AA12" i="10" s="1"/>
  <c r="T12" i="10"/>
  <c r="S12" i="10"/>
  <c r="P129" i="8"/>
  <c r="AI122" i="8"/>
  <c r="T133" i="8"/>
  <c r="AA42" i="9"/>
  <c r="Z140" i="8"/>
  <c r="AG98" i="8"/>
  <c r="AI98" i="8" s="1"/>
  <c r="AB100" i="8"/>
  <c r="U133" i="8"/>
  <c r="AC100" i="8"/>
  <c r="AI100" i="8" s="1"/>
  <c r="Z118" i="8"/>
  <c r="AB129" i="8"/>
  <c r="X140" i="8"/>
  <c r="Y119" i="8"/>
  <c r="AD129" i="8"/>
  <c r="AG111" i="8"/>
  <c r="AC120" i="8"/>
  <c r="AI120" i="8" s="1"/>
  <c r="X97" i="8"/>
  <c r="W113" i="8"/>
  <c r="S122" i="8"/>
  <c r="AB98" i="8"/>
  <c r="AE122" i="8"/>
  <c r="S95" i="8"/>
  <c r="Y97" i="8"/>
  <c r="AC99" i="8"/>
  <c r="AE100" i="8"/>
  <c r="S112" i="8"/>
  <c r="AE113" i="8"/>
  <c r="AD119" i="8"/>
  <c r="W122" i="8"/>
  <c r="AC124" i="8"/>
  <c r="AI124" i="8" s="1"/>
  <c r="V133" i="8"/>
  <c r="AD113" i="8"/>
  <c r="Y95" i="8"/>
  <c r="AE97" i="8"/>
  <c r="AD99" i="8"/>
  <c r="X112" i="8"/>
  <c r="AF113" i="8"/>
  <c r="S118" i="8"/>
  <c r="AF119" i="8"/>
  <c r="X122" i="8"/>
  <c r="AD124" i="8"/>
  <c r="AA133" i="8"/>
  <c r="Z95" i="8"/>
  <c r="S98" i="8"/>
  <c r="W111" i="8"/>
  <c r="Y112" i="8"/>
  <c r="T118" i="8"/>
  <c r="AG119" i="8"/>
  <c r="AI119" i="8" s="1"/>
  <c r="Y122" i="8"/>
  <c r="AF124" i="8"/>
  <c r="AB133" i="8"/>
  <c r="AA95" i="8"/>
  <c r="W98" i="8"/>
  <c r="U100" i="8"/>
  <c r="Y111" i="8"/>
  <c r="AE112" i="8"/>
  <c r="V118" i="8"/>
  <c r="Z120" i="8"/>
  <c r="AD122" i="8"/>
  <c r="V125" i="8"/>
  <c r="AD133" i="8"/>
  <c r="AD95" i="8"/>
  <c r="V100" i="8"/>
  <c r="Z111" i="8"/>
  <c r="W125" i="8"/>
  <c r="X124" i="8"/>
  <c r="AF95" i="8"/>
  <c r="AD98" i="8"/>
  <c r="W100" i="8"/>
  <c r="AB111" i="8"/>
  <c r="X113" i="8"/>
  <c r="AE118" i="8"/>
  <c r="AE120" i="8"/>
  <c r="V124" i="8"/>
  <c r="AB125" i="8"/>
  <c r="AA129" i="8"/>
  <c r="AG95" i="8"/>
  <c r="AI95" i="8" s="1"/>
  <c r="AE98" i="8"/>
  <c r="AF111" i="8"/>
  <c r="Z113" i="8"/>
  <c r="AG118" i="8"/>
  <c r="AF120" i="8"/>
  <c r="W124" i="8"/>
  <c r="AB42" i="9"/>
  <c r="AC42" i="9"/>
  <c r="E10" i="9"/>
  <c r="AD42" i="9"/>
  <c r="AE42" i="9"/>
  <c r="C10" i="9"/>
  <c r="D10" i="9"/>
  <c r="J10" i="9"/>
  <c r="H10" i="9"/>
  <c r="I10" i="9"/>
  <c r="G10" i="9"/>
  <c r="P10" i="9"/>
  <c r="O10" i="9"/>
  <c r="Q10" i="9"/>
  <c r="M10" i="9"/>
  <c r="L10" i="9"/>
  <c r="N10" i="9"/>
  <c r="K10" i="9"/>
  <c r="W12" i="10"/>
  <c r="V12" i="10"/>
  <c r="X12" i="10"/>
  <c r="V11" i="10"/>
  <c r="W11" i="10"/>
  <c r="X11" i="10"/>
  <c r="Y140" i="8"/>
  <c r="S140" i="8"/>
  <c r="X120" i="8"/>
  <c r="W99" i="8"/>
  <c r="S111" i="8"/>
  <c r="AF112" i="8"/>
  <c r="Z119" i="8"/>
  <c r="U129" i="8"/>
  <c r="Z97" i="8"/>
  <c r="X99" i="8"/>
  <c r="T111" i="8"/>
  <c r="AG112" i="8"/>
  <c r="AA119" i="8"/>
  <c r="AB95" i="8"/>
  <c r="AA97" i="8"/>
  <c r="Z98" i="8"/>
  <c r="Y99" i="8"/>
  <c r="X100" i="8"/>
  <c r="T112" i="8"/>
  <c r="S113" i="8"/>
  <c r="AC118" i="8"/>
  <c r="AB119" i="8"/>
  <c r="AA120" i="8"/>
  <c r="Z122" i="8"/>
  <c r="X125" i="8"/>
  <c r="W129" i="8"/>
  <c r="T129" i="8"/>
  <c r="X98" i="8"/>
  <c r="AA118" i="8"/>
  <c r="Y120" i="8"/>
  <c r="Y98" i="8"/>
  <c r="V129" i="8"/>
  <c r="AB97" i="8"/>
  <c r="AA98" i="8"/>
  <c r="Z99" i="8"/>
  <c r="V111" i="8"/>
  <c r="T113" i="8"/>
  <c r="AD118" i="8"/>
  <c r="AA122" i="8"/>
  <c r="Z124" i="8"/>
  <c r="X133" i="8"/>
  <c r="U125" i="8"/>
  <c r="AA99" i="8"/>
  <c r="Z100" i="8"/>
  <c r="V112" i="8"/>
  <c r="AB122" i="8"/>
  <c r="AA124" i="8"/>
  <c r="Z125" i="8"/>
  <c r="Y133" i="8"/>
  <c r="AD97" i="8"/>
  <c r="V113" i="8"/>
  <c r="AD120" i="8"/>
  <c r="AA125" i="8"/>
  <c r="Z133" i="8"/>
  <c r="Z129" i="8"/>
  <c r="S119" i="8"/>
  <c r="T95" i="8"/>
  <c r="S97" i="8"/>
  <c r="AG97" i="8"/>
  <c r="AI97" i="8" s="1"/>
  <c r="AE99" i="8"/>
  <c r="AD100" i="8"/>
  <c r="AA111" i="8"/>
  <c r="Z112" i="8"/>
  <c r="T119" i="8"/>
  <c r="S120" i="8"/>
  <c r="AF122" i="8"/>
  <c r="AE124" i="8"/>
  <c r="AD125" i="8"/>
  <c r="AC133" i="8"/>
  <c r="AC129" i="8"/>
  <c r="V95" i="8"/>
  <c r="U97" i="8"/>
  <c r="T98" i="8"/>
  <c r="S99" i="8"/>
  <c r="AG99" i="8"/>
  <c r="AF100" i="8"/>
  <c r="AB112" i="8"/>
  <c r="AA113" i="8"/>
  <c r="W118" i="8"/>
  <c r="V119" i="8"/>
  <c r="U120" i="8"/>
  <c r="T122" i="8"/>
  <c r="S124" i="8"/>
  <c r="AF125" i="8"/>
  <c r="AE129" i="8"/>
  <c r="W95" i="8"/>
  <c r="V97" i="8"/>
  <c r="T99" i="8"/>
  <c r="S100" i="8"/>
  <c r="AD111" i="8"/>
  <c r="AC112" i="8"/>
  <c r="AB113" i="8"/>
  <c r="X118" i="8"/>
  <c r="W119" i="8"/>
  <c r="V120" i="8"/>
  <c r="T124" i="8"/>
  <c r="S125" i="8"/>
  <c r="AG125" i="8"/>
  <c r="AF133" i="8"/>
  <c r="AF129" i="8"/>
  <c r="S133" i="8"/>
  <c r="S129" i="8"/>
  <c r="D129" i="8"/>
  <c r="E129" i="8"/>
  <c r="N129" i="8"/>
  <c r="AE14" i="9"/>
  <c r="AB13" i="8"/>
  <c r="X13" i="8"/>
  <c r="Z42" i="9" l="1"/>
  <c r="AE140" i="8"/>
  <c r="AF140" i="8"/>
  <c r="AC140" i="8"/>
  <c r="AI118" i="8"/>
  <c r="W140" i="8"/>
  <c r="V140" i="8"/>
  <c r="AB140" i="8"/>
  <c r="AA140" i="8"/>
  <c r="AG140" i="8"/>
  <c r="AD140" i="8"/>
  <c r="AI99" i="8"/>
  <c r="AD13" i="8"/>
  <c r="Z13" i="8"/>
  <c r="AB14" i="9"/>
  <c r="AD14" i="9"/>
  <c r="AA13" i="8"/>
  <c r="Y13" i="8"/>
  <c r="AC13" i="8"/>
  <c r="AA14" i="9"/>
  <c r="AC14" i="9"/>
  <c r="T140" i="8"/>
  <c r="U140" i="8"/>
  <c r="W13" i="8"/>
  <c r="U13" i="8"/>
  <c r="S13" i="8"/>
  <c r="V13" i="8"/>
  <c r="AE13" i="8"/>
  <c r="AG13" i="8"/>
  <c r="AF13" i="8"/>
  <c r="T13" i="8"/>
  <c r="AI13" i="8" l="1"/>
  <c r="T28" i="8"/>
  <c r="U28" i="8"/>
  <c r="S28" i="8"/>
  <c r="U23" i="8"/>
  <c r="T23" i="8"/>
  <c r="S23" i="8"/>
  <c r="X23" i="8"/>
  <c r="V23" i="8"/>
  <c r="Y23" i="8"/>
  <c r="W23" i="8"/>
  <c r="AA23" i="8"/>
  <c r="Z23" i="8"/>
  <c r="AB23" i="8"/>
  <c r="AC23" i="8"/>
  <c r="AG23" i="8"/>
  <c r="AF23" i="8"/>
  <c r="AE23" i="8"/>
  <c r="AD23" i="8"/>
  <c r="W24" i="8"/>
  <c r="Y24" i="8"/>
  <c r="X24" i="8"/>
  <c r="V24" i="8"/>
  <c r="Z24" i="8"/>
  <c r="AC24" i="8"/>
  <c r="AB24" i="8"/>
  <c r="AA24" i="8"/>
  <c r="Y28" i="8"/>
  <c r="V28" i="8"/>
  <c r="X28" i="8"/>
  <c r="W28" i="8"/>
  <c r="U24" i="8"/>
  <c r="S24" i="8"/>
  <c r="T24" i="8"/>
  <c r="U22" i="8"/>
  <c r="T22" i="8"/>
  <c r="S22" i="8"/>
  <c r="Z28" i="8"/>
  <c r="AC28" i="8"/>
  <c r="AB28" i="8"/>
  <c r="AA28" i="8"/>
  <c r="AG24" i="8"/>
  <c r="AE24" i="8"/>
  <c r="AD24" i="8"/>
  <c r="AF24" i="8"/>
  <c r="Y22" i="8"/>
  <c r="W22" i="8"/>
  <c r="X22" i="8"/>
  <c r="V22" i="8"/>
  <c r="AG28" i="8"/>
  <c r="AF28" i="8"/>
  <c r="AE28" i="8"/>
  <c r="AD28" i="8"/>
  <c r="AB22" i="8"/>
  <c r="AA22" i="8"/>
  <c r="Z22" i="8"/>
  <c r="AC22" i="8"/>
  <c r="U10" i="8"/>
  <c r="S10" i="8"/>
  <c r="T10" i="8"/>
  <c r="AG22" i="8"/>
  <c r="AE22" i="8"/>
  <c r="AF22" i="8"/>
  <c r="AD22" i="8"/>
  <c r="AB51" i="9" l="1"/>
  <c r="AE51" i="9"/>
  <c r="AD51" i="9"/>
  <c r="AC51" i="9"/>
  <c r="AA51" i="9"/>
  <c r="AE50" i="9"/>
  <c r="AD50" i="9"/>
  <c r="AC50" i="9"/>
  <c r="AA50" i="9"/>
  <c r="N8" i="8"/>
  <c r="J8" i="8"/>
  <c r="D52" i="9" l="1"/>
  <c r="P52" i="9"/>
  <c r="C52" i="9"/>
  <c r="I52" i="9"/>
  <c r="E52" i="9"/>
  <c r="M52" i="9"/>
  <c r="H52" i="9"/>
  <c r="G52" i="9"/>
  <c r="K52" i="9"/>
  <c r="L52" i="9"/>
  <c r="O52" i="9"/>
  <c r="Q52" i="9"/>
  <c r="AE41" i="9" l="1"/>
  <c r="AI125" i="8" l="1"/>
  <c r="AI112" i="8"/>
  <c r="AI113" i="8"/>
  <c r="AC41" i="9"/>
  <c r="AB41" i="9"/>
  <c r="AA41" i="9"/>
  <c r="AD41" i="9"/>
  <c r="AC70" i="8" l="1"/>
  <c r="AB70" i="8"/>
  <c r="AA70" i="8"/>
  <c r="X70" i="8"/>
  <c r="Y70" i="8"/>
  <c r="U70" i="8"/>
  <c r="T70" i="8"/>
  <c r="S70" i="8"/>
  <c r="I50" i="8"/>
  <c r="B2" i="9"/>
  <c r="AA9" i="9"/>
  <c r="AA7" i="9"/>
  <c r="Q65" i="8"/>
  <c r="P65" i="8"/>
  <c r="O65" i="8"/>
  <c r="M65" i="8"/>
  <c r="L65" i="8"/>
  <c r="K65" i="8"/>
  <c r="I65" i="8"/>
  <c r="H65" i="8"/>
  <c r="G65" i="8"/>
  <c r="E65" i="8"/>
  <c r="D65" i="8"/>
  <c r="C65" i="8"/>
  <c r="V10" i="10"/>
  <c r="AA105" i="8"/>
  <c r="AD104" i="8"/>
  <c r="W104" i="8"/>
  <c r="V79" i="8"/>
  <c r="V78" i="8"/>
  <c r="V77" i="8"/>
  <c r="V74" i="8"/>
  <c r="AE69" i="9"/>
  <c r="AE70" i="9" s="1"/>
  <c r="AE55" i="9"/>
  <c r="AE49" i="9"/>
  <c r="AE52" i="9" s="1"/>
  <c r="Q4" i="9"/>
  <c r="AE4" i="9" s="1"/>
  <c r="Q3" i="9"/>
  <c r="AE3" i="9" s="1"/>
  <c r="U79" i="8"/>
  <c r="T79" i="8"/>
  <c r="S79" i="8"/>
  <c r="U78" i="8"/>
  <c r="T78" i="8"/>
  <c r="S78" i="8"/>
  <c r="U77" i="8"/>
  <c r="T77" i="8"/>
  <c r="S77" i="8"/>
  <c r="U74" i="8"/>
  <c r="T74" i="8"/>
  <c r="S74" i="8"/>
  <c r="U71" i="8"/>
  <c r="T71" i="8"/>
  <c r="S71" i="8"/>
  <c r="U68" i="8"/>
  <c r="T68" i="8"/>
  <c r="S68" i="8"/>
  <c r="U64" i="8"/>
  <c r="T64" i="8"/>
  <c r="S64" i="8"/>
  <c r="U63" i="8"/>
  <c r="U61" i="8"/>
  <c r="T61" i="8"/>
  <c r="S61" i="8"/>
  <c r="U57" i="8"/>
  <c r="T57" i="8"/>
  <c r="S57" i="8"/>
  <c r="U53" i="8"/>
  <c r="T53" i="8"/>
  <c r="S53" i="8"/>
  <c r="U49" i="8"/>
  <c r="T49" i="8"/>
  <c r="S49" i="8"/>
  <c r="U48" i="8"/>
  <c r="T48" i="8"/>
  <c r="S48" i="8"/>
  <c r="U46" i="8"/>
  <c r="T46" i="8"/>
  <c r="S46" i="8"/>
  <c r="U8" i="8"/>
  <c r="U88" i="8" s="1"/>
  <c r="T8" i="8"/>
  <c r="T88" i="8" s="1"/>
  <c r="S8" i="8"/>
  <c r="S88" i="8" s="1"/>
  <c r="U7" i="8"/>
  <c r="U87" i="8" s="1"/>
  <c r="T7" i="8"/>
  <c r="T87" i="8" s="1"/>
  <c r="S7" i="8"/>
  <c r="S87" i="8" s="1"/>
  <c r="AG70" i="8"/>
  <c r="AF70" i="8"/>
  <c r="AE70" i="8"/>
  <c r="W70" i="8"/>
  <c r="AG68" i="8"/>
  <c r="AE68" i="8"/>
  <c r="AC68" i="8"/>
  <c r="AB68" i="8"/>
  <c r="AA68" i="8"/>
  <c r="Y68" i="8"/>
  <c r="X68" i="8"/>
  <c r="W68" i="8"/>
  <c r="AF68" i="8"/>
  <c r="AD70" i="8"/>
  <c r="Z70" i="8"/>
  <c r="AG79" i="8"/>
  <c r="AG78" i="8"/>
  <c r="AG77" i="8"/>
  <c r="AG74" i="8"/>
  <c r="AG71" i="8"/>
  <c r="AG64" i="8"/>
  <c r="AG63" i="8"/>
  <c r="AG62" i="8"/>
  <c r="AG61" i="8"/>
  <c r="AG57" i="8"/>
  <c r="AG53" i="8"/>
  <c r="AG49" i="8"/>
  <c r="AG48" i="8"/>
  <c r="AG46" i="8"/>
  <c r="AG8" i="8"/>
  <c r="AG88" i="8" s="1"/>
  <c r="AG7" i="8"/>
  <c r="AG87" i="8" s="1"/>
  <c r="P4" i="10"/>
  <c r="X4" i="10" s="1"/>
  <c r="O4" i="10"/>
  <c r="W4" i="10" s="1"/>
  <c r="N4" i="10"/>
  <c r="V4" i="10" s="1"/>
  <c r="M4" i="10"/>
  <c r="U4" i="10" s="1"/>
  <c r="L4" i="10"/>
  <c r="T4" i="10" s="1"/>
  <c r="K4" i="10"/>
  <c r="S4" i="10" s="1"/>
  <c r="J4" i="10"/>
  <c r="I4" i="10"/>
  <c r="H4" i="10"/>
  <c r="G4" i="10"/>
  <c r="P3" i="10"/>
  <c r="X3" i="10" s="1"/>
  <c r="O3" i="10"/>
  <c r="W3" i="10" s="1"/>
  <c r="N3" i="10"/>
  <c r="V3" i="10" s="1"/>
  <c r="M3" i="10"/>
  <c r="U3" i="10" s="1"/>
  <c r="L3" i="10"/>
  <c r="T3" i="10" s="1"/>
  <c r="K3" i="10"/>
  <c r="S3" i="10" s="1"/>
  <c r="J3" i="10"/>
  <c r="I3" i="10"/>
  <c r="H3" i="10"/>
  <c r="G3" i="10"/>
  <c r="Q4" i="10"/>
  <c r="Y4" i="10" s="1"/>
  <c r="Q3" i="10"/>
  <c r="Y3" i="10" s="1"/>
  <c r="Q88" i="8"/>
  <c r="Q87" i="8"/>
  <c r="Q80" i="8"/>
  <c r="Q43" i="8"/>
  <c r="Q42" i="8"/>
  <c r="Q11" i="8"/>
  <c r="AF71" i="8"/>
  <c r="AF62" i="8"/>
  <c r="AE62" i="8"/>
  <c r="AC62" i="8"/>
  <c r="AB62" i="8"/>
  <c r="AA62" i="8"/>
  <c r="AF64" i="8"/>
  <c r="AE64" i="8"/>
  <c r="AC64" i="8"/>
  <c r="AB64" i="8"/>
  <c r="AA64" i="8"/>
  <c r="Y64" i="8"/>
  <c r="X64" i="8"/>
  <c r="W64" i="8"/>
  <c r="Y62" i="8"/>
  <c r="X62" i="8"/>
  <c r="W62" i="8"/>
  <c r="AD62" i="8"/>
  <c r="Z62" i="8"/>
  <c r="V62" i="8"/>
  <c r="X69" i="9"/>
  <c r="T69" i="9"/>
  <c r="O126" i="8"/>
  <c r="E126" i="8"/>
  <c r="D126" i="8"/>
  <c r="C126" i="8"/>
  <c r="AF53" i="8"/>
  <c r="AE53" i="8"/>
  <c r="AC53" i="8"/>
  <c r="AB53" i="8"/>
  <c r="AA53" i="8"/>
  <c r="Y53" i="8"/>
  <c r="X53" i="8"/>
  <c r="W53" i="8"/>
  <c r="AD53" i="8"/>
  <c r="Z53" i="8"/>
  <c r="V53" i="8"/>
  <c r="AF63" i="8"/>
  <c r="AE63" i="8"/>
  <c r="AC63" i="8"/>
  <c r="AB63" i="8"/>
  <c r="AA63" i="8"/>
  <c r="Y63" i="8"/>
  <c r="X63" i="8"/>
  <c r="W63" i="8"/>
  <c r="AD63" i="8"/>
  <c r="Z63" i="8"/>
  <c r="V63" i="8"/>
  <c r="T62" i="8"/>
  <c r="AD55" i="9"/>
  <c r="AC55" i="9"/>
  <c r="AA55" i="9"/>
  <c r="Z55" i="9"/>
  <c r="Y55" i="9"/>
  <c r="W55" i="9"/>
  <c r="V55" i="9"/>
  <c r="U55" i="9"/>
  <c r="S55" i="9"/>
  <c r="AD49" i="9"/>
  <c r="AD52" i="9" s="1"/>
  <c r="AC49" i="9"/>
  <c r="AC52" i="9" s="1"/>
  <c r="AA49" i="9"/>
  <c r="AA52" i="9" s="1"/>
  <c r="Z49" i="9"/>
  <c r="Y49" i="9"/>
  <c r="W49" i="9"/>
  <c r="V49" i="9"/>
  <c r="U49" i="9"/>
  <c r="S49" i="9"/>
  <c r="AC69" i="9"/>
  <c r="AC70" i="9" s="1"/>
  <c r="AA69" i="9"/>
  <c r="AA70" i="9" s="1"/>
  <c r="Z69" i="9"/>
  <c r="Y69" i="9"/>
  <c r="W69" i="9"/>
  <c r="V69" i="9"/>
  <c r="U69" i="9"/>
  <c r="S69" i="9"/>
  <c r="AD69" i="9"/>
  <c r="AD70" i="9" s="1"/>
  <c r="P4" i="9"/>
  <c r="AD4" i="9" s="1"/>
  <c r="O4" i="9"/>
  <c r="AC4" i="9" s="1"/>
  <c r="N4" i="9"/>
  <c r="AB4" i="9" s="1"/>
  <c r="M4" i="9"/>
  <c r="AA4" i="9" s="1"/>
  <c r="L4" i="9"/>
  <c r="Z4" i="9" s="1"/>
  <c r="K4" i="9"/>
  <c r="Y4" i="9" s="1"/>
  <c r="J4" i="9"/>
  <c r="X4" i="9" s="1"/>
  <c r="I4" i="9"/>
  <c r="W4" i="9" s="1"/>
  <c r="H4" i="9"/>
  <c r="V4" i="9" s="1"/>
  <c r="G4" i="9"/>
  <c r="U4" i="9" s="1"/>
  <c r="T4" i="9"/>
  <c r="S4" i="9"/>
  <c r="P3" i="9"/>
  <c r="AD3" i="9" s="1"/>
  <c r="O3" i="9"/>
  <c r="AC3" i="9" s="1"/>
  <c r="N3" i="9"/>
  <c r="AB3" i="9" s="1"/>
  <c r="M3" i="9"/>
  <c r="AA3" i="9" s="1"/>
  <c r="L3" i="9"/>
  <c r="Z3" i="9" s="1"/>
  <c r="K3" i="9"/>
  <c r="Y3" i="9" s="1"/>
  <c r="J3" i="9"/>
  <c r="X3" i="9" s="1"/>
  <c r="I3" i="9"/>
  <c r="W3" i="9" s="1"/>
  <c r="H3" i="9"/>
  <c r="V3" i="9" s="1"/>
  <c r="G3" i="9"/>
  <c r="U3" i="9" s="1"/>
  <c r="T3" i="9"/>
  <c r="S3" i="9"/>
  <c r="E4" i="9"/>
  <c r="D4" i="9"/>
  <c r="C4" i="9"/>
  <c r="E3" i="9"/>
  <c r="D3" i="9"/>
  <c r="C3" i="9"/>
  <c r="N10" i="8"/>
  <c r="J10" i="8"/>
  <c r="U17" i="8"/>
  <c r="AD57" i="8"/>
  <c r="AD71" i="8"/>
  <c r="AD78" i="8"/>
  <c r="AD77" i="8"/>
  <c r="AD74" i="8"/>
  <c r="N79" i="8"/>
  <c r="AD79" i="8" s="1"/>
  <c r="J79" i="8"/>
  <c r="Z79" i="8" s="1"/>
  <c r="Z78" i="8"/>
  <c r="Z77" i="8"/>
  <c r="Z74" i="8"/>
  <c r="Z71" i="8"/>
  <c r="Z57" i="8"/>
  <c r="V71" i="8"/>
  <c r="V57" i="8"/>
  <c r="AF79" i="8"/>
  <c r="AE79" i="8"/>
  <c r="AC79" i="8"/>
  <c r="AB79" i="8"/>
  <c r="AA79" i="8"/>
  <c r="Y79" i="8"/>
  <c r="X79" i="8"/>
  <c r="W79" i="8"/>
  <c r="AF78" i="8"/>
  <c r="AE78" i="8"/>
  <c r="AC78" i="8"/>
  <c r="AB78" i="8"/>
  <c r="AA78" i="8"/>
  <c r="Y78" i="8"/>
  <c r="X78" i="8"/>
  <c r="W78" i="8"/>
  <c r="AF77" i="8"/>
  <c r="AE77" i="8"/>
  <c r="AC77" i="8"/>
  <c r="AB77" i="8"/>
  <c r="AA77" i="8"/>
  <c r="Y77" i="8"/>
  <c r="X77" i="8"/>
  <c r="W77" i="8"/>
  <c r="AF74" i="8"/>
  <c r="AE74" i="8"/>
  <c r="AC74" i="8"/>
  <c r="AB74" i="8"/>
  <c r="AA74" i="8"/>
  <c r="Y74" i="8"/>
  <c r="X74" i="8"/>
  <c r="W74" i="8"/>
  <c r="AE71" i="8"/>
  <c r="AC71" i="8"/>
  <c r="AB71" i="8"/>
  <c r="AA71" i="8"/>
  <c r="Y71" i="8"/>
  <c r="X71" i="8"/>
  <c r="W71" i="8"/>
  <c r="AF61" i="8"/>
  <c r="AE61" i="8"/>
  <c r="AC61" i="8"/>
  <c r="AB61" i="8"/>
  <c r="AA61" i="8"/>
  <c r="Y61" i="8"/>
  <c r="X61" i="8"/>
  <c r="W61" i="8"/>
  <c r="AF57" i="8"/>
  <c r="AE57" i="8"/>
  <c r="AC57" i="8"/>
  <c r="AB57" i="8"/>
  <c r="AA57" i="8"/>
  <c r="Y57" i="8"/>
  <c r="X57" i="8"/>
  <c r="W57" i="8"/>
  <c r="AF49" i="8"/>
  <c r="AE49" i="8"/>
  <c r="AC49" i="8"/>
  <c r="AB49" i="8"/>
  <c r="AA49" i="8"/>
  <c r="Y49" i="8"/>
  <c r="X49" i="8"/>
  <c r="W49" i="8"/>
  <c r="AF48" i="8"/>
  <c r="AE48" i="8"/>
  <c r="AC48" i="8"/>
  <c r="AB48" i="8"/>
  <c r="AA48" i="8"/>
  <c r="Y48" i="8"/>
  <c r="X48" i="8"/>
  <c r="W48" i="8"/>
  <c r="AE46" i="8"/>
  <c r="AC46" i="8"/>
  <c r="AB46" i="8"/>
  <c r="AA46" i="8"/>
  <c r="Y46" i="8"/>
  <c r="X46" i="8"/>
  <c r="W46" i="8"/>
  <c r="I80" i="8"/>
  <c r="P88" i="8"/>
  <c r="O88" i="8"/>
  <c r="N88" i="8"/>
  <c r="M88" i="8"/>
  <c r="L88" i="8"/>
  <c r="K88" i="8"/>
  <c r="J88" i="8"/>
  <c r="I88" i="8"/>
  <c r="H88" i="8"/>
  <c r="G88" i="8"/>
  <c r="P87" i="8"/>
  <c r="O87" i="8"/>
  <c r="N87" i="8"/>
  <c r="M87" i="8"/>
  <c r="L87" i="8"/>
  <c r="K87" i="8"/>
  <c r="J87" i="8"/>
  <c r="I87" i="8"/>
  <c r="H87" i="8"/>
  <c r="G87" i="8"/>
  <c r="M80" i="8"/>
  <c r="L80" i="8"/>
  <c r="K80" i="8"/>
  <c r="H80" i="8"/>
  <c r="G80" i="8"/>
  <c r="P43" i="8"/>
  <c r="O43" i="8"/>
  <c r="N43" i="8"/>
  <c r="M43" i="8"/>
  <c r="L43" i="8"/>
  <c r="K43" i="8"/>
  <c r="J43" i="8"/>
  <c r="I43" i="8"/>
  <c r="H43" i="8"/>
  <c r="G43" i="8"/>
  <c r="P42" i="8"/>
  <c r="O42" i="8"/>
  <c r="N42" i="8"/>
  <c r="M42" i="8"/>
  <c r="L42" i="8"/>
  <c r="K42" i="8"/>
  <c r="J42" i="8"/>
  <c r="I42" i="8"/>
  <c r="H42" i="8"/>
  <c r="G42" i="8"/>
  <c r="E43" i="8"/>
  <c r="D43" i="8"/>
  <c r="C43" i="8"/>
  <c r="E42" i="8"/>
  <c r="D42" i="8"/>
  <c r="C42" i="8"/>
  <c r="AF46" i="8"/>
  <c r="L11" i="8"/>
  <c r="K11" i="8"/>
  <c r="I11" i="8"/>
  <c r="H11" i="8"/>
  <c r="G11" i="8"/>
  <c r="P11" i="8"/>
  <c r="P14" i="8" s="1"/>
  <c r="P19" i="8" s="1"/>
  <c r="AA8" i="8"/>
  <c r="Z8" i="8"/>
  <c r="Y8" i="8"/>
  <c r="X8" i="8"/>
  <c r="W8" i="8"/>
  <c r="V8" i="8"/>
  <c r="AA7" i="8"/>
  <c r="Z7" i="8"/>
  <c r="Y7" i="8"/>
  <c r="X7" i="8"/>
  <c r="W7" i="8"/>
  <c r="V7" i="8"/>
  <c r="AE8" i="8"/>
  <c r="AD8" i="8"/>
  <c r="AC8" i="8"/>
  <c r="AB8" i="8"/>
  <c r="AE7" i="8"/>
  <c r="AD7" i="8"/>
  <c r="AC7" i="8"/>
  <c r="AB7" i="8"/>
  <c r="AF8" i="8"/>
  <c r="AF7" i="8"/>
  <c r="D4" i="10"/>
  <c r="C4" i="10"/>
  <c r="D3" i="10"/>
  <c r="C3" i="10"/>
  <c r="E4" i="10"/>
  <c r="E3" i="10"/>
  <c r="AI70" i="8" l="1"/>
  <c r="U10" i="10"/>
  <c r="AA8" i="9"/>
  <c r="W10" i="10"/>
  <c r="W10" i="8"/>
  <c r="Y10" i="8"/>
  <c r="X10" i="8"/>
  <c r="V10" i="8"/>
  <c r="Z10" i="8"/>
  <c r="AB10" i="8"/>
  <c r="AC10" i="8"/>
  <c r="AA10" i="8"/>
  <c r="AF10" i="8"/>
  <c r="AE10" i="8"/>
  <c r="AD10" i="8"/>
  <c r="I14" i="8"/>
  <c r="K14" i="8"/>
  <c r="H14" i="8"/>
  <c r="G14" i="8"/>
  <c r="L14" i="8"/>
  <c r="L19" i="8" s="1"/>
  <c r="Q14" i="8"/>
  <c r="Q19" i="8" s="1"/>
  <c r="AI46" i="8"/>
  <c r="AI48" i="8"/>
  <c r="AI64" i="8"/>
  <c r="AI71" i="8"/>
  <c r="AI49" i="8"/>
  <c r="AI74" i="8"/>
  <c r="V70" i="8"/>
  <c r="AI53" i="8"/>
  <c r="AI77" i="8"/>
  <c r="AA43" i="9"/>
  <c r="AI57" i="8"/>
  <c r="AI78" i="8"/>
  <c r="AI79" i="8"/>
  <c r="AI61" i="8"/>
  <c r="AI62" i="8"/>
  <c r="AA40" i="9"/>
  <c r="AI63" i="8"/>
  <c r="AI68" i="8"/>
  <c r="V68" i="8"/>
  <c r="Z68" i="8"/>
  <c r="AD68" i="8"/>
  <c r="V49" i="8"/>
  <c r="Z49" i="8"/>
  <c r="AD48" i="8"/>
  <c r="AB50" i="9"/>
  <c r="W103" i="8"/>
  <c r="S72" i="9"/>
  <c r="U72" i="9"/>
  <c r="AD49" i="8"/>
  <c r="AF17" i="8"/>
  <c r="Q72" i="8"/>
  <c r="Y72" i="9"/>
  <c r="V61" i="8"/>
  <c r="T55" i="9"/>
  <c r="AA17" i="8"/>
  <c r="Z18" i="9"/>
  <c r="AE72" i="9"/>
  <c r="AE141" i="8"/>
  <c r="V48" i="8"/>
  <c r="V72" i="9"/>
  <c r="W72" i="9"/>
  <c r="AD61" i="8"/>
  <c r="AB55" i="9"/>
  <c r="Z72" i="9"/>
  <c r="AA72" i="9"/>
  <c r="V46" i="8"/>
  <c r="Z46" i="8"/>
  <c r="J52" i="9"/>
  <c r="Z61" i="8"/>
  <c r="X55" i="9"/>
  <c r="Y17" i="8"/>
  <c r="T18" i="9"/>
  <c r="T50" i="8"/>
  <c r="T58" i="8" s="1"/>
  <c r="I58" i="8"/>
  <c r="S50" i="8"/>
  <c r="S58" i="8" s="1"/>
  <c r="T63" i="8"/>
  <c r="T65" i="8" s="1"/>
  <c r="T72" i="8" s="1"/>
  <c r="AE65" i="8"/>
  <c r="S63" i="8"/>
  <c r="X10" i="10"/>
  <c r="Y10" i="10"/>
  <c r="AA10" i="10" s="1"/>
  <c r="AF65" i="8"/>
  <c r="AG65" i="8"/>
  <c r="AC65" i="8"/>
  <c r="J65" i="8"/>
  <c r="N65" i="8"/>
  <c r="U94" i="8"/>
  <c r="U103" i="8"/>
  <c r="U141" i="8"/>
  <c r="S132" i="8"/>
  <c r="T80" i="8"/>
  <c r="U104" i="8"/>
  <c r="S80" i="8"/>
  <c r="U50" i="8"/>
  <c r="U58" i="8" s="1"/>
  <c r="U80" i="8"/>
  <c r="S11" i="8"/>
  <c r="S14" i="8" s="1"/>
  <c r="T11" i="8"/>
  <c r="T14" i="8" s="1"/>
  <c r="S17" i="8"/>
  <c r="S62" i="8"/>
  <c r="S94" i="8"/>
  <c r="S103" i="8"/>
  <c r="S104" i="8"/>
  <c r="S141" i="8"/>
  <c r="U11" i="8"/>
  <c r="U14" i="8" s="1"/>
  <c r="T17" i="8"/>
  <c r="T94" i="8"/>
  <c r="T103" i="8"/>
  <c r="T104" i="8"/>
  <c r="T132" i="8"/>
  <c r="T141" i="8"/>
  <c r="U62" i="8"/>
  <c r="U65" i="8" s="1"/>
  <c r="U72" i="8" s="1"/>
  <c r="S42" i="8"/>
  <c r="S43" i="8"/>
  <c r="T42" i="8"/>
  <c r="T43" i="8"/>
  <c r="U42" i="8"/>
  <c r="U43" i="8"/>
  <c r="U132" i="8"/>
  <c r="AC107" i="8"/>
  <c r="Z107" i="8"/>
  <c r="AA107" i="8"/>
  <c r="AE107" i="8"/>
  <c r="AB107" i="8"/>
  <c r="T107" i="8"/>
  <c r="V106" i="8"/>
  <c r="Y106" i="8"/>
  <c r="X106" i="8"/>
  <c r="W106" i="8"/>
  <c r="AA106" i="8"/>
  <c r="T106" i="8"/>
  <c r="AG106" i="8"/>
  <c r="Z106" i="8"/>
  <c r="AB106" i="8"/>
  <c r="I72" i="8"/>
  <c r="AG103" i="8"/>
  <c r="AG105" i="8"/>
  <c r="Q50" i="8"/>
  <c r="AG80" i="8"/>
  <c r="AG50" i="8"/>
  <c r="AG10" i="8"/>
  <c r="H72" i="8"/>
  <c r="AG17" i="8"/>
  <c r="AG104" i="8"/>
  <c r="AG42" i="8"/>
  <c r="AG43" i="8"/>
  <c r="Z64" i="8"/>
  <c r="X70" i="9"/>
  <c r="V64" i="8"/>
  <c r="AD64" i="8"/>
  <c r="T70" i="9"/>
  <c r="G72" i="8"/>
  <c r="Z70" i="9"/>
  <c r="S70" i="9"/>
  <c r="W70" i="9"/>
  <c r="Y70" i="9"/>
  <c r="V70" i="9"/>
  <c r="U70" i="9"/>
  <c r="AB69" i="9"/>
  <c r="AB70" i="9" s="1"/>
  <c r="H50" i="8"/>
  <c r="H58" i="8" s="1"/>
  <c r="P126" i="8"/>
  <c r="K126" i="8"/>
  <c r="L126" i="8"/>
  <c r="P50" i="8"/>
  <c r="P58" i="8" s="1"/>
  <c r="M50" i="8"/>
  <c r="M58" i="8" s="1"/>
  <c r="G50" i="8"/>
  <c r="G58" i="8" s="1"/>
  <c r="L50" i="8"/>
  <c r="L58" i="8" s="1"/>
  <c r="K50" i="8"/>
  <c r="K58" i="8" s="1"/>
  <c r="E72" i="8"/>
  <c r="AC141" i="8"/>
  <c r="Z52" i="9"/>
  <c r="V23" i="9"/>
  <c r="S52" i="9"/>
  <c r="W58" i="9"/>
  <c r="AF105" i="8"/>
  <c r="Y52" i="9"/>
  <c r="S33" i="9"/>
  <c r="S58" i="9"/>
  <c r="V52" i="9"/>
  <c r="U52" i="9"/>
  <c r="W52" i="9"/>
  <c r="S18" i="9"/>
  <c r="AF103" i="8"/>
  <c r="AC103" i="8"/>
  <c r="Y94" i="8"/>
  <c r="AD141" i="8"/>
  <c r="AC104" i="8"/>
  <c r="AA141" i="8"/>
  <c r="AB141" i="8"/>
  <c r="Y105" i="8"/>
  <c r="Z141" i="8"/>
  <c r="W94" i="8"/>
  <c r="V94" i="8"/>
  <c r="V104" i="8"/>
  <c r="X105" i="8"/>
  <c r="X94" i="8"/>
  <c r="Y103" i="8"/>
  <c r="AE104" i="8"/>
  <c r="Z103" i="8"/>
  <c r="AB105" i="8"/>
  <c r="AA103" i="8"/>
  <c r="X104" i="8"/>
  <c r="AF104" i="8"/>
  <c r="AC105" i="8"/>
  <c r="AB103" i="8"/>
  <c r="Y104" i="8"/>
  <c r="V105" i="8"/>
  <c r="AD105" i="8"/>
  <c r="W105" i="8"/>
  <c r="AE105" i="8"/>
  <c r="V103" i="8"/>
  <c r="AD103" i="8"/>
  <c r="AE103" i="8"/>
  <c r="X103" i="8"/>
  <c r="Z105" i="8"/>
  <c r="V17" i="8"/>
  <c r="J11" i="8"/>
  <c r="J14" i="8" s="1"/>
  <c r="J19" i="8" s="1"/>
  <c r="AB17" i="8"/>
  <c r="AC17" i="8"/>
  <c r="Z17" i="8"/>
  <c r="AD17" i="8"/>
  <c r="AE17" i="8"/>
  <c r="W17" i="8"/>
  <c r="X17" i="8"/>
  <c r="J80" i="8"/>
  <c r="J50" i="8"/>
  <c r="J58" i="8" s="1"/>
  <c r="N50" i="8"/>
  <c r="N58" i="8" s="1"/>
  <c r="Z48" i="8"/>
  <c r="AD46" i="8"/>
  <c r="I15" i="8" l="1"/>
  <c r="I19" i="8"/>
  <c r="I25" i="8" s="1"/>
  <c r="I29" i="8" s="1"/>
  <c r="I32" i="8" s="1"/>
  <c r="I91" i="8" s="1"/>
  <c r="G15" i="8"/>
  <c r="G19" i="8"/>
  <c r="H15" i="8"/>
  <c r="H19" i="8"/>
  <c r="H25" i="8" s="1"/>
  <c r="H29" i="8" s="1"/>
  <c r="H32" i="8" s="1"/>
  <c r="H91" i="8" s="1"/>
  <c r="K19" i="8"/>
  <c r="K25" i="8" s="1"/>
  <c r="K29" i="8" s="1"/>
  <c r="K32" i="8" s="1"/>
  <c r="K91" i="8" s="1"/>
  <c r="Q81" i="8"/>
  <c r="AE59" i="9"/>
  <c r="S6" i="9"/>
  <c r="AC9" i="9"/>
  <c r="AD9" i="9"/>
  <c r="AB9" i="9"/>
  <c r="AE9" i="9"/>
  <c r="AG9" i="9" s="1"/>
  <c r="AC8" i="9"/>
  <c r="AD8" i="9"/>
  <c r="AE8" i="9"/>
  <c r="AG8" i="9" s="1"/>
  <c r="AB8" i="9"/>
  <c r="AB7" i="9"/>
  <c r="AC7" i="9"/>
  <c r="AD7" i="9"/>
  <c r="AE7" i="9"/>
  <c r="AG7" i="9" s="1"/>
  <c r="Q13" i="10"/>
  <c r="Q14" i="10" s="1"/>
  <c r="Q15" i="8"/>
  <c r="L15" i="8"/>
  <c r="K15" i="8"/>
  <c r="Q20" i="8"/>
  <c r="Q25" i="8"/>
  <c r="Q29" i="8" s="1"/>
  <c r="Q32" i="8" s="1"/>
  <c r="Q91" i="8" s="1"/>
  <c r="AD65" i="8"/>
  <c r="AI111" i="8"/>
  <c r="AI104" i="8"/>
  <c r="AI17" i="8"/>
  <c r="AD43" i="9"/>
  <c r="AE43" i="9"/>
  <c r="AB43" i="9"/>
  <c r="AC43" i="9"/>
  <c r="AB40" i="9"/>
  <c r="AD40" i="9"/>
  <c r="AC40" i="9"/>
  <c r="AE40" i="9"/>
  <c r="AG58" i="8"/>
  <c r="AI105" i="8"/>
  <c r="AG72" i="8"/>
  <c r="AG81" i="8" s="1"/>
  <c r="AI65" i="8"/>
  <c r="AI103" i="8"/>
  <c r="AI28" i="8"/>
  <c r="AI24" i="8"/>
  <c r="AI22" i="8"/>
  <c r="AG11" i="8"/>
  <c r="AG14" i="8" s="1"/>
  <c r="AG19" i="8" s="1"/>
  <c r="AI10" i="8"/>
  <c r="N52" i="9"/>
  <c r="AB49" i="9"/>
  <c r="AB52" i="9" s="1"/>
  <c r="Z73" i="9"/>
  <c r="Z82" i="9" s="1"/>
  <c r="Y73" i="9"/>
  <c r="Y82" i="9" s="1"/>
  <c r="Q73" i="9"/>
  <c r="Q82" i="9" s="1"/>
  <c r="AE34" i="9"/>
  <c r="AA34" i="9"/>
  <c r="T72" i="9"/>
  <c r="T73" i="9" s="1"/>
  <c r="T82" i="9" s="1"/>
  <c r="W73" i="9"/>
  <c r="W82" i="9" s="1"/>
  <c r="U59" i="9"/>
  <c r="W59" i="9"/>
  <c r="AA73" i="9"/>
  <c r="AA82" i="9" s="1"/>
  <c r="H81" i="8"/>
  <c r="H83" i="8" s="1"/>
  <c r="V59" i="9"/>
  <c r="S59" i="9"/>
  <c r="S73" i="9"/>
  <c r="S82" i="9" s="1"/>
  <c r="AE73" i="9"/>
  <c r="AE82" i="9" s="1"/>
  <c r="X72" i="9"/>
  <c r="X73" i="9" s="1"/>
  <c r="X82" i="9" s="1"/>
  <c r="T58" i="9"/>
  <c r="V73" i="9"/>
  <c r="V82" i="9" s="1"/>
  <c r="U73" i="9"/>
  <c r="U82" i="9" s="1"/>
  <c r="S65" i="8"/>
  <c r="S72" i="8" s="1"/>
  <c r="S81" i="8" s="1"/>
  <c r="S83" i="8" s="1"/>
  <c r="S15" i="8"/>
  <c r="U19" i="8"/>
  <c r="U25" i="8" s="1"/>
  <c r="T81" i="8"/>
  <c r="T83" i="8" s="1"/>
  <c r="U81" i="8"/>
  <c r="U83" i="8" s="1"/>
  <c r="U15" i="8"/>
  <c r="AD18" i="9"/>
  <c r="AE18" i="9"/>
  <c r="Q58" i="8"/>
  <c r="AE58" i="9"/>
  <c r="AE32" i="9"/>
  <c r="S115" i="8"/>
  <c r="U105" i="8"/>
  <c r="U106" i="8"/>
  <c r="S106" i="8"/>
  <c r="U107" i="8"/>
  <c r="S107" i="8"/>
  <c r="AD132" i="8"/>
  <c r="AF132" i="8"/>
  <c r="AG132" i="8"/>
  <c r="X132" i="8"/>
  <c r="AE132" i="8"/>
  <c r="I81" i="8"/>
  <c r="I83" i="8" s="1"/>
  <c r="AC106" i="8"/>
  <c r="AI106" i="8" s="1"/>
  <c r="Q126" i="8"/>
  <c r="AD107" i="8"/>
  <c r="Y107" i="8"/>
  <c r="X107" i="8"/>
  <c r="W107" i="8"/>
  <c r="AG107" i="8"/>
  <c r="AI107" i="8" s="1"/>
  <c r="AF107" i="8"/>
  <c r="V107" i="8"/>
  <c r="AE106" i="8"/>
  <c r="AD106" i="8"/>
  <c r="AF106" i="8"/>
  <c r="G81" i="8"/>
  <c r="G83" i="8" s="1"/>
  <c r="Z27" i="9"/>
  <c r="T38" i="9"/>
  <c r="M126" i="8"/>
  <c r="S38" i="9"/>
  <c r="AE38" i="9"/>
  <c r="T49" i="9"/>
  <c r="T52" i="9" s="1"/>
  <c r="X49" i="9"/>
  <c r="X52" i="9" s="1"/>
  <c r="V58" i="9"/>
  <c r="AD58" i="9"/>
  <c r="AA58" i="9"/>
  <c r="Z58" i="9"/>
  <c r="U58" i="9"/>
  <c r="Y58" i="9"/>
  <c r="L72" i="8"/>
  <c r="K72" i="8"/>
  <c r="J72" i="8"/>
  <c r="M72" i="8"/>
  <c r="AC18" i="9"/>
  <c r="S27" i="9"/>
  <c r="AB18" i="9"/>
  <c r="S23" i="9"/>
  <c r="U23" i="9"/>
  <c r="Y33" i="9"/>
  <c r="W35" i="9"/>
  <c r="AA18" i="9"/>
  <c r="AB33" i="9"/>
  <c r="AC32" i="9"/>
  <c r="AE35" i="9"/>
  <c r="X58" i="9"/>
  <c r="S35" i="9"/>
  <c r="Z33" i="9"/>
  <c r="W34" i="9"/>
  <c r="Y141" i="8"/>
  <c r="T23" i="9"/>
  <c r="AD32" i="9"/>
  <c r="AB58" i="9"/>
  <c r="W18" i="9"/>
  <c r="V18" i="9"/>
  <c r="Y18" i="9"/>
  <c r="X18" i="9"/>
  <c r="AA33" i="9"/>
  <c r="AB32" i="9"/>
  <c r="U18" i="9"/>
  <c r="AG94" i="8"/>
  <c r="X33" i="9"/>
  <c r="X141" i="8"/>
  <c r="Z104" i="8"/>
  <c r="AB104" i="8"/>
  <c r="AA104" i="8"/>
  <c r="V141" i="8"/>
  <c r="W141" i="8"/>
  <c r="W32" i="9"/>
  <c r="L20" i="8"/>
  <c r="L25" i="8"/>
  <c r="L29" i="8" s="1"/>
  <c r="L32" i="8" s="1"/>
  <c r="L91" i="8" s="1"/>
  <c r="K20" i="8" l="1"/>
  <c r="I20" i="8"/>
  <c r="H20" i="8"/>
  <c r="Q83" i="8"/>
  <c r="T59" i="9"/>
  <c r="S10" i="9"/>
  <c r="S15" i="9" s="1"/>
  <c r="S20" i="9" s="1"/>
  <c r="S24" i="9" s="1"/>
  <c r="Q15" i="9"/>
  <c r="Q20" i="9" s="1"/>
  <c r="Q24" i="9" s="1"/>
  <c r="Q29" i="9" s="1"/>
  <c r="Q26" i="8"/>
  <c r="G25" i="8"/>
  <c r="G29" i="8" s="1"/>
  <c r="G32" i="8" s="1"/>
  <c r="G91" i="8" s="1"/>
  <c r="G20" i="8"/>
  <c r="AI23" i="8"/>
  <c r="AG83" i="8"/>
  <c r="AG20" i="8"/>
  <c r="AC34" i="9"/>
  <c r="AD34" i="9"/>
  <c r="AB34" i="9"/>
  <c r="AG34" i="9"/>
  <c r="Y34" i="9"/>
  <c r="Z34" i="9"/>
  <c r="X34" i="9"/>
  <c r="AD33" i="9"/>
  <c r="AF141" i="8"/>
  <c r="X59" i="9"/>
  <c r="K81" i="8"/>
  <c r="K83" i="8" s="1"/>
  <c r="Y59" i="9"/>
  <c r="AC33" i="9"/>
  <c r="AA59" i="9"/>
  <c r="L81" i="8"/>
  <c r="L83" i="8" s="1"/>
  <c r="Z59" i="9"/>
  <c r="T6" i="9"/>
  <c r="T10" i="9" s="1"/>
  <c r="Z6" i="9"/>
  <c r="J15" i="8"/>
  <c r="AD115" i="8"/>
  <c r="AF115" i="8"/>
  <c r="AE115" i="8"/>
  <c r="AG115" i="8"/>
  <c r="U20" i="8"/>
  <c r="S19" i="8"/>
  <c r="S25" i="8" s="1"/>
  <c r="S32" i="8" s="1"/>
  <c r="T105" i="8"/>
  <c r="AG18" i="9"/>
  <c r="T115" i="8"/>
  <c r="S105" i="8"/>
  <c r="U126" i="8"/>
  <c r="T15" i="8"/>
  <c r="T19" i="8"/>
  <c r="U115" i="8"/>
  <c r="U32" i="8"/>
  <c r="U26" i="8"/>
  <c r="U29" i="8" s="1"/>
  <c r="W132" i="8"/>
  <c r="X126" i="8"/>
  <c r="AB132" i="8"/>
  <c r="Y132" i="8"/>
  <c r="V132" i="8"/>
  <c r="AD35" i="9"/>
  <c r="L26" i="8"/>
  <c r="AG15" i="8"/>
  <c r="AF126" i="8"/>
  <c r="AG126" i="8"/>
  <c r="X27" i="9"/>
  <c r="AB115" i="8"/>
  <c r="Y27" i="9"/>
  <c r="AA27" i="9"/>
  <c r="AD126" i="8"/>
  <c r="Z39" i="9"/>
  <c r="Y39" i="9"/>
  <c r="AA39" i="9"/>
  <c r="X39" i="9"/>
  <c r="S39" i="9"/>
  <c r="W39" i="9"/>
  <c r="V126" i="8"/>
  <c r="AC38" i="9"/>
  <c r="AD38" i="9"/>
  <c r="W38" i="9"/>
  <c r="AB126" i="8"/>
  <c r="W126" i="8"/>
  <c r="AB38" i="9"/>
  <c r="U38" i="9"/>
  <c r="V38" i="9"/>
  <c r="AE126" i="8"/>
  <c r="N126" i="8"/>
  <c r="M81" i="8"/>
  <c r="M83" i="8" s="1"/>
  <c r="J81" i="8"/>
  <c r="J83" i="8" s="1"/>
  <c r="AB94" i="8"/>
  <c r="AC35" i="9"/>
  <c r="Z94" i="8"/>
  <c r="AC94" i="8"/>
  <c r="AI94" i="8" s="1"/>
  <c r="AA94" i="8"/>
  <c r="AB35" i="9"/>
  <c r="AC115" i="8"/>
  <c r="AA115" i="8"/>
  <c r="Z115" i="8"/>
  <c r="V32" i="9"/>
  <c r="U32" i="9"/>
  <c r="S32" i="9"/>
  <c r="T32" i="9"/>
  <c r="V34" i="9"/>
  <c r="U34" i="9"/>
  <c r="S34" i="9"/>
  <c r="T34" i="9"/>
  <c r="V35" i="9"/>
  <c r="T35" i="9"/>
  <c r="U35" i="9"/>
  <c r="W33" i="9"/>
  <c r="U33" i="9"/>
  <c r="V33" i="9"/>
  <c r="T33" i="9"/>
  <c r="Z32" i="9"/>
  <c r="Y32" i="9"/>
  <c r="AA32" i="9"/>
  <c r="AG32" i="9" s="1"/>
  <c r="X32" i="9"/>
  <c r="AF94" i="8"/>
  <c r="AE94" i="8"/>
  <c r="AD94" i="8"/>
  <c r="AA35" i="9"/>
  <c r="AG35" i="9" s="1"/>
  <c r="X35" i="9"/>
  <c r="Y35" i="9"/>
  <c r="Z23" i="9"/>
  <c r="X23" i="9"/>
  <c r="Y23" i="9"/>
  <c r="W23" i="9"/>
  <c r="AA23" i="9"/>
  <c r="Z35" i="9"/>
  <c r="Y115" i="8"/>
  <c r="W115" i="8"/>
  <c r="X115" i="8"/>
  <c r="V115" i="8"/>
  <c r="J20" i="8"/>
  <c r="J25" i="8"/>
  <c r="J29" i="8" s="1"/>
  <c r="J32" i="8" s="1"/>
  <c r="J91" i="8" s="1"/>
  <c r="H26" i="8"/>
  <c r="I26" i="8"/>
  <c r="K26" i="8"/>
  <c r="U39" i="8" l="1"/>
  <c r="U36" i="8"/>
  <c r="S39" i="8"/>
  <c r="S36" i="8"/>
  <c r="Z10" i="9"/>
  <c r="Z15" i="9" s="1"/>
  <c r="Q16" i="9"/>
  <c r="Q21" i="9"/>
  <c r="T15" i="9"/>
  <c r="T20" i="9" s="1"/>
  <c r="T24" i="9" s="1"/>
  <c r="W6" i="9"/>
  <c r="AA6" i="9"/>
  <c r="Y6" i="9"/>
  <c r="X6" i="9"/>
  <c r="X10" i="9" s="1"/>
  <c r="V6" i="9"/>
  <c r="X9" i="10"/>
  <c r="U6" i="9"/>
  <c r="G26" i="8"/>
  <c r="AG25" i="8"/>
  <c r="AG29" i="8" s="1"/>
  <c r="AG32" i="8" s="1"/>
  <c r="AG91" i="8" s="1"/>
  <c r="AI35" i="8"/>
  <c r="AI115" i="8"/>
  <c r="AE33" i="9"/>
  <c r="AG33" i="9" s="1"/>
  <c r="AG141" i="8"/>
  <c r="Y9" i="10"/>
  <c r="V9" i="10"/>
  <c r="W9" i="10"/>
  <c r="U9" i="10"/>
  <c r="S126" i="8"/>
  <c r="S26" i="8"/>
  <c r="S29" i="8" s="1"/>
  <c r="S20" i="8"/>
  <c r="T126" i="8"/>
  <c r="AD27" i="9"/>
  <c r="AE27" i="9"/>
  <c r="AD23" i="9"/>
  <c r="AE23" i="9"/>
  <c r="AD39" i="9"/>
  <c r="AE39" i="9"/>
  <c r="Q25" i="9"/>
  <c r="T20" i="8"/>
  <c r="T25" i="8"/>
  <c r="S33" i="8"/>
  <c r="U33" i="8"/>
  <c r="Z132" i="8"/>
  <c r="Y126" i="8"/>
  <c r="AC132" i="8"/>
  <c r="AA132" i="8"/>
  <c r="AC27" i="9"/>
  <c r="J26" i="8"/>
  <c r="AB27" i="9"/>
  <c r="W27" i="9"/>
  <c r="V27" i="9"/>
  <c r="U27" i="9"/>
  <c r="T27" i="9"/>
  <c r="Z126" i="8"/>
  <c r="AB39" i="9"/>
  <c r="AC39" i="9"/>
  <c r="T39" i="9"/>
  <c r="U39" i="9"/>
  <c r="J126" i="8"/>
  <c r="AC126" i="8"/>
  <c r="AI126" i="8" s="1"/>
  <c r="AA38" i="9"/>
  <c r="AA126" i="8"/>
  <c r="V39" i="9"/>
  <c r="S16" i="9"/>
  <c r="AC23" i="9"/>
  <c r="AB23" i="9"/>
  <c r="AG27" i="9" l="1"/>
  <c r="AG26" i="8"/>
  <c r="U10" i="9"/>
  <c r="U15" i="9" s="1"/>
  <c r="V10" i="9"/>
  <c r="Z11" i="9" s="1"/>
  <c r="AA10" i="9"/>
  <c r="AA15" i="9" s="1"/>
  <c r="W10" i="9"/>
  <c r="W15" i="9" s="1"/>
  <c r="Y10" i="9"/>
  <c r="Y15" i="9" s="1"/>
  <c r="T16" i="9"/>
  <c r="AG23" i="9"/>
  <c r="X15" i="9"/>
  <c r="X20" i="9" s="1"/>
  <c r="X24" i="9" s="1"/>
  <c r="X11" i="9"/>
  <c r="AB6" i="9"/>
  <c r="AD6" i="9"/>
  <c r="AD10" i="9" s="1"/>
  <c r="AE6" i="9"/>
  <c r="AE10" i="9" s="1"/>
  <c r="AC6" i="9"/>
  <c r="AC10" i="9" s="1"/>
  <c r="Z16" i="9"/>
  <c r="Z20" i="9"/>
  <c r="Q30" i="9"/>
  <c r="Q36" i="9"/>
  <c r="Q44" i="9" s="1"/>
  <c r="T26" i="8"/>
  <c r="T29" i="8" s="1"/>
  <c r="T32" i="8"/>
  <c r="T29" i="9"/>
  <c r="T79" i="9" s="1"/>
  <c r="T21" i="9"/>
  <c r="T25" i="9"/>
  <c r="X38" i="9"/>
  <c r="Y38" i="9"/>
  <c r="Z38" i="9"/>
  <c r="S29" i="9"/>
  <c r="S79" i="9" s="1"/>
  <c r="S21" i="9"/>
  <c r="T39" i="8" l="1"/>
  <c r="T36" i="8"/>
  <c r="Y11" i="9"/>
  <c r="AA11" i="9"/>
  <c r="W11" i="9"/>
  <c r="V15" i="9"/>
  <c r="V16" i="9" s="1"/>
  <c r="Y20" i="9"/>
  <c r="Y24" i="9" s="1"/>
  <c r="Y29" i="9" s="1"/>
  <c r="Y80" i="9" s="1" a="1"/>
  <c r="Y80" i="9" s="1"/>
  <c r="Y16" i="9"/>
  <c r="AA20" i="9"/>
  <c r="AA21" i="9" s="1"/>
  <c r="AA16" i="9"/>
  <c r="W20" i="9"/>
  <c r="W21" i="9" s="1"/>
  <c r="W16" i="9"/>
  <c r="U16" i="9"/>
  <c r="U20" i="9"/>
  <c r="U24" i="9" s="1"/>
  <c r="U29" i="9" s="1"/>
  <c r="AB10" i="9"/>
  <c r="AB15" i="9" s="1"/>
  <c r="X16" i="9"/>
  <c r="Z21" i="9"/>
  <c r="Z24" i="9"/>
  <c r="Z29" i="9" s="1"/>
  <c r="Z79" i="9" s="1"/>
  <c r="X21" i="9"/>
  <c r="AC11" i="9"/>
  <c r="AC15" i="9"/>
  <c r="AC20" i="9" s="1"/>
  <c r="AC24" i="9" s="1"/>
  <c r="AC29" i="9" s="1"/>
  <c r="AG6" i="9"/>
  <c r="AE15" i="9"/>
  <c r="Q45" i="9"/>
  <c r="T33" i="8"/>
  <c r="T30" i="9"/>
  <c r="T80" i="9" a="1"/>
  <c r="T80" i="9" s="1"/>
  <c r="T81" i="9" a="1"/>
  <c r="T81" i="9" s="1"/>
  <c r="T77" i="9"/>
  <c r="T78" i="9"/>
  <c r="T36" i="9"/>
  <c r="X25" i="9"/>
  <c r="X29" i="9"/>
  <c r="S25" i="9"/>
  <c r="V20" i="9" l="1"/>
  <c r="V24" i="9" s="1"/>
  <c r="Y21" i="9"/>
  <c r="AA24" i="9"/>
  <c r="AB11" i="9"/>
  <c r="U21" i="9"/>
  <c r="W24" i="9"/>
  <c r="W29" i="9" s="1"/>
  <c r="U25" i="9"/>
  <c r="U79" i="9"/>
  <c r="U36" i="9"/>
  <c r="U78" i="9"/>
  <c r="U81" i="9" a="1"/>
  <c r="U81" i="9" s="1"/>
  <c r="U77" i="9"/>
  <c r="U30" i="9"/>
  <c r="U80" i="9" a="1"/>
  <c r="U80" i="9" s="1"/>
  <c r="AC16" i="9"/>
  <c r="AB20" i="9"/>
  <c r="AB24" i="9" s="1"/>
  <c r="AB29" i="9" s="1"/>
  <c r="AB16" i="9"/>
  <c r="AG10" i="9"/>
  <c r="AE11" i="9"/>
  <c r="AG11" i="9" s="1"/>
  <c r="Y25" i="9"/>
  <c r="Y77" i="9"/>
  <c r="Y81" i="9" a="1"/>
  <c r="Y81" i="9" s="1"/>
  <c r="Y78" i="9"/>
  <c r="Y30" i="9"/>
  <c r="Y79" i="9"/>
  <c r="Y36" i="9"/>
  <c r="Z81" i="9" a="1"/>
  <c r="Z81" i="9" s="1"/>
  <c r="Z25" i="9"/>
  <c r="AC21" i="9"/>
  <c r="X81" i="9" a="1"/>
  <c r="X81" i="9" s="1"/>
  <c r="X79" i="9"/>
  <c r="X80" i="9" a="1"/>
  <c r="X80" i="9" s="1"/>
  <c r="X78" i="9"/>
  <c r="Z78" i="9"/>
  <c r="Z77" i="9"/>
  <c r="Z80" i="9" a="1"/>
  <c r="Z80" i="9" s="1"/>
  <c r="X30" i="9"/>
  <c r="Z36" i="9"/>
  <c r="X36" i="9"/>
  <c r="Z30" i="9"/>
  <c r="X77" i="9"/>
  <c r="S30" i="9"/>
  <c r="S77" i="9"/>
  <c r="S78" i="9"/>
  <c r="S81" i="9" a="1"/>
  <c r="S81" i="9" s="1"/>
  <c r="S36" i="9"/>
  <c r="S80" i="9" a="1"/>
  <c r="S80" i="9" s="1"/>
  <c r="B88" i="8"/>
  <c r="B87" i="8"/>
  <c r="E88" i="8"/>
  <c r="D88" i="8"/>
  <c r="C88" i="8"/>
  <c r="E87" i="8"/>
  <c r="D87" i="8"/>
  <c r="C87" i="8"/>
  <c r="B43" i="8"/>
  <c r="B42" i="8"/>
  <c r="AF43" i="8"/>
  <c r="AE43" i="8"/>
  <c r="AD43" i="8"/>
  <c r="AB43" i="8"/>
  <c r="AA43" i="8"/>
  <c r="Z43" i="8"/>
  <c r="X43" i="8"/>
  <c r="W43" i="8"/>
  <c r="V43" i="8"/>
  <c r="AC43" i="8"/>
  <c r="Y43" i="8"/>
  <c r="AF42" i="8"/>
  <c r="AE42" i="8"/>
  <c r="AD42" i="8"/>
  <c r="AC42" i="8"/>
  <c r="AB42" i="8"/>
  <c r="AA42" i="8"/>
  <c r="Z42" i="8"/>
  <c r="Y42" i="8"/>
  <c r="X42" i="8"/>
  <c r="W42" i="8"/>
  <c r="V42" i="8"/>
  <c r="AA29" i="9" l="1"/>
  <c r="AA79" i="9" s="1"/>
  <c r="V21" i="9"/>
  <c r="AA77" i="9"/>
  <c r="AA78" i="9"/>
  <c r="AA25" i="9"/>
  <c r="W25" i="9"/>
  <c r="V29" i="9"/>
  <c r="V25" i="9"/>
  <c r="AE20" i="9"/>
  <c r="AE24" i="9" s="1"/>
  <c r="AE29" i="9" s="1"/>
  <c r="AE16" i="9"/>
  <c r="AG16" i="9" s="1"/>
  <c r="AG15" i="9"/>
  <c r="AB21" i="9"/>
  <c r="W79" i="9"/>
  <c r="W36" i="9"/>
  <c r="W77" i="9"/>
  <c r="W80" i="9" a="1"/>
  <c r="W80" i="9" s="1"/>
  <c r="W81" i="9" a="1"/>
  <c r="W81" i="9" s="1"/>
  <c r="W30" i="9"/>
  <c r="W78" i="9"/>
  <c r="AC25" i="9"/>
  <c r="V87" i="8"/>
  <c r="Y87" i="8"/>
  <c r="Z87" i="8"/>
  <c r="Z88" i="8"/>
  <c r="AC87" i="8"/>
  <c r="AD87" i="8"/>
  <c r="Y88" i="8"/>
  <c r="AD88" i="8"/>
  <c r="AE88" i="8"/>
  <c r="AB87" i="8"/>
  <c r="W87" i="8"/>
  <c r="AE87" i="8"/>
  <c r="AB88" i="8"/>
  <c r="AA88" i="8"/>
  <c r="X87" i="8"/>
  <c r="AF87" i="8"/>
  <c r="AC88" i="8"/>
  <c r="V88" i="8"/>
  <c r="W88" i="8"/>
  <c r="AA87" i="8"/>
  <c r="X88" i="8"/>
  <c r="AF88" i="8"/>
  <c r="AA81" i="9" l="1" a="1"/>
  <c r="AA81" i="9" s="1"/>
  <c r="AA80" i="9" a="1"/>
  <c r="AA80" i="9" s="1"/>
  <c r="AA30" i="9"/>
  <c r="AA36" i="9"/>
  <c r="V79" i="9"/>
  <c r="V77" i="9"/>
  <c r="V78" i="9"/>
  <c r="V30" i="9"/>
  <c r="V81" i="9" a="1"/>
  <c r="V81" i="9" s="1"/>
  <c r="V80" i="9" a="1"/>
  <c r="V80" i="9" s="1"/>
  <c r="V36" i="9"/>
  <c r="AB25" i="9"/>
  <c r="AE21" i="9"/>
  <c r="AG21" i="9" s="1"/>
  <c r="AG20" i="9"/>
  <c r="AC79" i="9"/>
  <c r="AC30" i="9"/>
  <c r="AC81" i="9" a="1"/>
  <c r="AC81" i="9" s="1"/>
  <c r="AC36" i="9"/>
  <c r="AC80" i="9" a="1"/>
  <c r="AC80" i="9" s="1"/>
  <c r="AC77" i="9"/>
  <c r="AC78" i="9"/>
  <c r="AG24" i="9" l="1"/>
  <c r="AE25" i="9"/>
  <c r="AG25" i="9" s="1"/>
  <c r="AB79" i="9"/>
  <c r="AB78" i="9"/>
  <c r="AB36" i="9"/>
  <c r="AB80" i="9" a="1"/>
  <c r="AB80" i="9" s="1"/>
  <c r="AB30" i="9"/>
  <c r="AB81" i="9" a="1"/>
  <c r="AB81" i="9" s="1"/>
  <c r="AB77" i="9"/>
  <c r="AE79" i="9" l="1"/>
  <c r="AG29" i="9"/>
  <c r="AE80" i="9" a="1"/>
  <c r="AE80" i="9" s="1"/>
  <c r="AE30" i="9"/>
  <c r="AG30" i="9" s="1"/>
  <c r="AE78" i="9"/>
  <c r="AE77" i="9"/>
  <c r="AE81" i="9" a="1"/>
  <c r="AE81" i="9" s="1"/>
  <c r="AE36" i="9"/>
  <c r="AG36" i="9" s="1"/>
  <c r="P13" i="10" l="1"/>
  <c r="P14" i="10" s="1"/>
  <c r="O13" i="10"/>
  <c r="N13" i="10"/>
  <c r="M13" i="10"/>
  <c r="L13" i="10"/>
  <c r="L14" i="10" s="1"/>
  <c r="K13" i="10"/>
  <c r="K14" i="10" s="1"/>
  <c r="J13" i="10"/>
  <c r="J14" i="10" s="1"/>
  <c r="I13" i="10"/>
  <c r="I14" i="10" s="1"/>
  <c r="H13" i="10"/>
  <c r="H14" i="10" s="1"/>
  <c r="G13" i="10"/>
  <c r="G14" i="10" s="1"/>
  <c r="N80" i="8"/>
  <c r="P80" i="8"/>
  <c r="AD72" i="9" l="1"/>
  <c r="AB72" i="9"/>
  <c r="AB73" i="9" s="1"/>
  <c r="AB82" i="9" s="1"/>
  <c r="O50" i="8"/>
  <c r="O58" i="8" s="1"/>
  <c r="D15" i="9"/>
  <c r="K15" i="9"/>
  <c r="I15" i="9"/>
  <c r="L15" i="9"/>
  <c r="G15" i="9"/>
  <c r="O15" i="9"/>
  <c r="E15" i="9"/>
  <c r="C15" i="9"/>
  <c r="N15" i="9"/>
  <c r="J15" i="9"/>
  <c r="H15" i="9"/>
  <c r="O80" i="8"/>
  <c r="Q11" i="9" l="1"/>
  <c r="M15" i="9"/>
  <c r="Q12" i="9"/>
  <c r="P15" i="9"/>
  <c r="AC72" i="9"/>
  <c r="AC73" i="9" s="1"/>
  <c r="AC82" i="9" s="1"/>
  <c r="AC58" i="9"/>
  <c r="AD73" i="9"/>
  <c r="AD82" i="9" s="1"/>
  <c r="AD15" i="9"/>
  <c r="AA11" i="8" l="1"/>
  <c r="D50" i="8"/>
  <c r="D58" i="8" s="1"/>
  <c r="C50" i="8"/>
  <c r="C58" i="8" s="1"/>
  <c r="E50" i="8"/>
  <c r="E58" i="8" s="1"/>
  <c r="AA14" i="8" l="1"/>
  <c r="V65" i="8"/>
  <c r="V72" i="8" s="1"/>
  <c r="V50" i="8"/>
  <c r="V58" i="8" s="1"/>
  <c r="V80" i="8"/>
  <c r="X80" i="8"/>
  <c r="AB11" i="8"/>
  <c r="AB50" i="8"/>
  <c r="AB58" i="8" s="1"/>
  <c r="AB80" i="8"/>
  <c r="Y80" i="8"/>
  <c r="Z50" i="8"/>
  <c r="Z58" i="8" s="1"/>
  <c r="AB65" i="8"/>
  <c r="AB72" i="8" s="1"/>
  <c r="AA65" i="8"/>
  <c r="AA72" i="8" s="1"/>
  <c r="W65" i="8"/>
  <c r="W72" i="8" s="1"/>
  <c r="Y11" i="8"/>
  <c r="W50" i="8"/>
  <c r="W58" i="8" s="1"/>
  <c r="AA50" i="8"/>
  <c r="AA58" i="8" s="1"/>
  <c r="Z80" i="8"/>
  <c r="Z11" i="8"/>
  <c r="X50" i="8"/>
  <c r="X58" i="8" s="1"/>
  <c r="X65" i="8"/>
  <c r="X72" i="8" s="1"/>
  <c r="Z65" i="8"/>
  <c r="Z72" i="8" s="1"/>
  <c r="AA80" i="8"/>
  <c r="W80" i="8"/>
  <c r="AD80" i="8"/>
  <c r="AD50" i="8"/>
  <c r="AD58" i="8" s="1"/>
  <c r="AE80" i="8"/>
  <c r="AD11" i="8"/>
  <c r="AD14" i="8" s="1"/>
  <c r="AD19" i="8" s="1"/>
  <c r="AD72" i="8"/>
  <c r="AE72" i="8"/>
  <c r="AC11" i="8"/>
  <c r="AC14" i="8" s="1"/>
  <c r="AC19" i="8" s="1"/>
  <c r="AE11" i="8"/>
  <c r="AE14" i="8" s="1"/>
  <c r="AE19" i="8" s="1"/>
  <c r="AE50" i="8"/>
  <c r="AE58" i="8" s="1"/>
  <c r="Z14" i="8" l="1"/>
  <c r="Y14" i="8"/>
  <c r="AB14" i="8"/>
  <c r="AI11" i="8"/>
  <c r="AA19" i="8"/>
  <c r="AA25" i="8" s="1"/>
  <c r="AA32" i="8" s="1"/>
  <c r="AD20" i="9"/>
  <c r="AD24" i="9" s="1"/>
  <c r="AD29" i="9" s="1"/>
  <c r="U13" i="10"/>
  <c r="U14" i="10" s="1"/>
  <c r="V13" i="10"/>
  <c r="V14" i="10" s="1"/>
  <c r="V81" i="8"/>
  <c r="V83" i="8" s="1"/>
  <c r="AB81" i="8"/>
  <c r="AB83" i="8" s="1"/>
  <c r="Z81" i="8"/>
  <c r="Z83" i="8" s="1"/>
  <c r="X81" i="8"/>
  <c r="X83" i="8" s="1"/>
  <c r="AA81" i="8"/>
  <c r="AA83" i="8" s="1"/>
  <c r="W81" i="8"/>
  <c r="W83" i="8" s="1"/>
  <c r="AA15" i="8"/>
  <c r="AD81" i="8"/>
  <c r="AD83" i="8" s="1"/>
  <c r="AI14" i="8"/>
  <c r="AE81" i="8"/>
  <c r="AE83" i="8" s="1"/>
  <c r="AA39" i="8" l="1"/>
  <c r="AA36" i="8"/>
  <c r="Y19" i="8"/>
  <c r="Y25" i="8" s="1"/>
  <c r="Y32" i="8" s="1"/>
  <c r="AD25" i="8"/>
  <c r="AD29" i="8" s="1"/>
  <c r="AD32" i="8" s="1"/>
  <c r="AD91" i="8" s="1"/>
  <c r="Z19" i="8"/>
  <c r="Z20" i="8" s="1"/>
  <c r="AB19" i="8"/>
  <c r="AB25" i="8" s="1"/>
  <c r="AB32" i="8" s="1"/>
  <c r="AA20" i="8"/>
  <c r="AE20" i="8"/>
  <c r="AD15" i="8"/>
  <c r="AC15" i="8"/>
  <c r="AI15" i="8" s="1"/>
  <c r="Z15" i="8"/>
  <c r="AE15" i="8"/>
  <c r="AB15" i="8"/>
  <c r="AD16" i="9"/>
  <c r="S13" i="10"/>
  <c r="S14" i="10" s="1"/>
  <c r="T13" i="10"/>
  <c r="T14" i="10" s="1"/>
  <c r="W13" i="10"/>
  <c r="W14" i="10" s="1"/>
  <c r="Y13" i="10"/>
  <c r="Y14" i="10" s="1"/>
  <c r="AA26" i="8"/>
  <c r="AA29" i="8" s="1"/>
  <c r="Y15" i="8"/>
  <c r="AB39" i="8" l="1"/>
  <c r="AB36" i="8"/>
  <c r="Y36" i="8"/>
  <c r="Y39" i="8"/>
  <c r="AC25" i="8"/>
  <c r="AC29" i="8" s="1"/>
  <c r="AI19" i="8"/>
  <c r="Y20" i="8"/>
  <c r="AD20" i="8"/>
  <c r="AC20" i="8"/>
  <c r="AI20" i="8" s="1"/>
  <c r="AB20" i="8"/>
  <c r="Z25" i="8"/>
  <c r="Z32" i="8" s="1"/>
  <c r="AE25" i="8"/>
  <c r="AE29" i="8" s="1"/>
  <c r="AE32" i="8" s="1"/>
  <c r="AE91" i="8" s="1"/>
  <c r="Y26" i="8"/>
  <c r="Y29" i="8" s="1"/>
  <c r="AD26" i="8"/>
  <c r="AD79" i="9"/>
  <c r="AD21" i="9"/>
  <c r="X13" i="10"/>
  <c r="AA13" i="10"/>
  <c r="AA9" i="10"/>
  <c r="AA33" i="8"/>
  <c r="Y33" i="8"/>
  <c r="AB26" i="8"/>
  <c r="AB29" i="8" s="1"/>
  <c r="AC32" i="8" l="1"/>
  <c r="AC91" i="8" s="1"/>
  <c r="AI29" i="8"/>
  <c r="AC26" i="8"/>
  <c r="AI26" i="8" s="1"/>
  <c r="Z33" i="8"/>
  <c r="Z39" i="8"/>
  <c r="Z36" i="8"/>
  <c r="AI25" i="8"/>
  <c r="Z26" i="8"/>
  <c r="Z29" i="8" s="1"/>
  <c r="AE26" i="8"/>
  <c r="AD25" i="9"/>
  <c r="AB33" i="8"/>
  <c r="AD81" i="9" l="1" a="1"/>
  <c r="AD81" i="9" s="1"/>
  <c r="AD30" i="9"/>
  <c r="AD80" i="9" a="1"/>
  <c r="AD80" i="9" s="1"/>
  <c r="AD77" i="9"/>
  <c r="AD78" i="9"/>
  <c r="AD36" i="9"/>
  <c r="Y65" i="8" l="1"/>
  <c r="AC72" i="8"/>
  <c r="AI72" i="8" s="1"/>
  <c r="Y72" i="8" l="1"/>
  <c r="Y81" i="8" s="1"/>
  <c r="M11" i="8" l="1"/>
  <c r="E11" i="8"/>
  <c r="E14" i="8" s="1"/>
  <c r="E19" i="8" s="1"/>
  <c r="D11" i="8"/>
  <c r="D14" i="8" s="1"/>
  <c r="D19" i="8" s="1"/>
  <c r="C11" i="8"/>
  <c r="C14" i="8" s="1"/>
  <c r="C19" i="8" s="1"/>
  <c r="E80" i="8"/>
  <c r="D80" i="8"/>
  <c r="C80" i="8"/>
  <c r="P72" i="8"/>
  <c r="N72" i="8"/>
  <c r="AF11" i="8"/>
  <c r="AF14" i="8" s="1"/>
  <c r="AF19" i="8" s="1"/>
  <c r="O73" i="9"/>
  <c r="O82" i="9" s="1"/>
  <c r="G73" i="9"/>
  <c r="G82" i="9" s="1"/>
  <c r="M14" i="8" l="1"/>
  <c r="M19" i="8" s="1"/>
  <c r="X14" i="10"/>
  <c r="C14" i="10"/>
  <c r="M14" i="10"/>
  <c r="E14" i="10"/>
  <c r="D14" i="10"/>
  <c r="D72" i="8"/>
  <c r="C72" i="8"/>
  <c r="H73" i="9"/>
  <c r="H82" i="9" s="1"/>
  <c r="P73" i="9"/>
  <c r="P82" i="9" s="1"/>
  <c r="C73" i="9"/>
  <c r="C82" i="9" s="1"/>
  <c r="I73" i="9"/>
  <c r="I82" i="9" s="1"/>
  <c r="AB59" i="9"/>
  <c r="AD59" i="9"/>
  <c r="E73" i="9"/>
  <c r="E82" i="9" s="1"/>
  <c r="I20" i="9"/>
  <c r="I24" i="9" s="1"/>
  <c r="I29" i="9" s="1"/>
  <c r="O11" i="9"/>
  <c r="D73" i="9"/>
  <c r="D82" i="9" s="1"/>
  <c r="O12" i="9"/>
  <c r="AC80" i="8"/>
  <c r="O72" i="8"/>
  <c r="AF72" i="8"/>
  <c r="AF80" i="8"/>
  <c r="E20" i="9"/>
  <c r="E24" i="9" s="1"/>
  <c r="E29" i="9" s="1"/>
  <c r="E11" i="9"/>
  <c r="C20" i="9"/>
  <c r="C24" i="9" s="1"/>
  <c r="C29" i="9" s="1"/>
  <c r="D20" i="9"/>
  <c r="D24" i="9" s="1"/>
  <c r="D29" i="9" s="1"/>
  <c r="D11" i="9"/>
  <c r="K73" i="9"/>
  <c r="K82" i="9" s="1"/>
  <c r="L73" i="9"/>
  <c r="L82" i="9" s="1"/>
  <c r="M73" i="9"/>
  <c r="M82" i="9" s="1"/>
  <c r="AC81" i="8" l="1"/>
  <c r="AI81" i="8" s="1"/>
  <c r="AI80" i="8"/>
  <c r="C81" i="8"/>
  <c r="C83" i="8" s="1"/>
  <c r="P25" i="8"/>
  <c r="P29" i="8" s="1"/>
  <c r="P32" i="8" s="1"/>
  <c r="P91" i="8" s="1"/>
  <c r="E25" i="8"/>
  <c r="E29" i="8" s="1"/>
  <c r="M20" i="8"/>
  <c r="C25" i="8"/>
  <c r="C29" i="8" s="1"/>
  <c r="D20" i="8"/>
  <c r="M15" i="8"/>
  <c r="N73" i="9"/>
  <c r="N82" i="9" s="1"/>
  <c r="N81" i="8"/>
  <c r="N83" i="8" s="1"/>
  <c r="AC50" i="8"/>
  <c r="AI50" i="8" s="1"/>
  <c r="Y50" i="8"/>
  <c r="P81" i="8"/>
  <c r="P83" i="8" s="1"/>
  <c r="D81" i="8"/>
  <c r="D83" i="8" s="1"/>
  <c r="E81" i="8"/>
  <c r="E83" i="8" s="1"/>
  <c r="AC59" i="9"/>
  <c r="J73" i="9"/>
  <c r="J82" i="9" s="1"/>
  <c r="J12" i="9"/>
  <c r="N11" i="9"/>
  <c r="K11" i="9"/>
  <c r="L12" i="9"/>
  <c r="N20" i="9"/>
  <c r="N24" i="9" s="1"/>
  <c r="N29" i="9" s="1"/>
  <c r="I12" i="9"/>
  <c r="K12" i="9"/>
  <c r="H12" i="9"/>
  <c r="L20" i="9"/>
  <c r="L24" i="9" s="1"/>
  <c r="L29" i="9" s="1"/>
  <c r="J20" i="9"/>
  <c r="J24" i="9" s="1"/>
  <c r="J29" i="9" s="1"/>
  <c r="L11" i="9"/>
  <c r="AF50" i="8"/>
  <c r="AF58" i="8" s="1"/>
  <c r="D15" i="8"/>
  <c r="E15" i="8"/>
  <c r="C15" i="8"/>
  <c r="P15" i="8"/>
  <c r="I16" i="9"/>
  <c r="D16" i="9"/>
  <c r="M11" i="9"/>
  <c r="M20" i="9"/>
  <c r="M24" i="9" s="1"/>
  <c r="M29" i="9" s="1"/>
  <c r="M12" i="9"/>
  <c r="O20" i="9"/>
  <c r="O24" i="9" s="1"/>
  <c r="O29" i="9" s="1"/>
  <c r="AD11" i="9"/>
  <c r="H20" i="9"/>
  <c r="H24" i="9" s="1"/>
  <c r="H29" i="9" s="1"/>
  <c r="N12" i="9"/>
  <c r="P11" i="9"/>
  <c r="P20" i="9"/>
  <c r="P24" i="9" s="1"/>
  <c r="P29" i="9" s="1"/>
  <c r="P12" i="9"/>
  <c r="G20" i="9"/>
  <c r="G24" i="9" s="1"/>
  <c r="G29" i="9" s="1"/>
  <c r="E16" i="9"/>
  <c r="K20" i="9"/>
  <c r="K24" i="9" s="1"/>
  <c r="K29" i="9" s="1"/>
  <c r="C16" i="9"/>
  <c r="C32" i="8" l="1"/>
  <c r="C91" i="8"/>
  <c r="E32" i="8"/>
  <c r="E91" i="8"/>
  <c r="L16" i="9"/>
  <c r="L21" i="9"/>
  <c r="P20" i="8"/>
  <c r="E20" i="8"/>
  <c r="D25" i="8"/>
  <c r="D29" i="8" s="1"/>
  <c r="M25" i="8"/>
  <c r="M29" i="8" s="1"/>
  <c r="M32" i="8" s="1"/>
  <c r="M91" i="8" s="1"/>
  <c r="C20" i="8"/>
  <c r="Y58" i="8"/>
  <c r="Y83" i="8" s="1"/>
  <c r="AC58" i="8"/>
  <c r="AF25" i="8"/>
  <c r="AF29" i="8" s="1"/>
  <c r="AF32" i="8" s="1"/>
  <c r="AF91" i="8" s="1"/>
  <c r="C26" i="8"/>
  <c r="P26" i="8"/>
  <c r="AF20" i="8"/>
  <c r="E26" i="8"/>
  <c r="AF81" i="8"/>
  <c r="O81" i="8"/>
  <c r="O83" i="8" s="1"/>
  <c r="N16" i="9"/>
  <c r="J16" i="9"/>
  <c r="AF15" i="8"/>
  <c r="C79" i="9"/>
  <c r="C21" i="9"/>
  <c r="K16" i="9"/>
  <c r="D79" i="9"/>
  <c r="D21" i="9"/>
  <c r="I21" i="9"/>
  <c r="P16" i="9"/>
  <c r="M16" i="9"/>
  <c r="N21" i="9"/>
  <c r="J21" i="9"/>
  <c r="E21" i="9"/>
  <c r="E79" i="9"/>
  <c r="O16" i="9"/>
  <c r="G16" i="9"/>
  <c r="H16" i="9"/>
  <c r="D32" i="8" l="1"/>
  <c r="D91" i="8"/>
  <c r="AC83" i="8"/>
  <c r="AI58" i="8"/>
  <c r="D26" i="8"/>
  <c r="M26" i="8"/>
  <c r="AF83" i="8"/>
  <c r="AF26" i="8"/>
  <c r="E25" i="9"/>
  <c r="H21" i="9"/>
  <c r="N25" i="9"/>
  <c r="D25" i="9"/>
  <c r="I25" i="9"/>
  <c r="M21" i="9"/>
  <c r="C25" i="9"/>
  <c r="O21" i="9"/>
  <c r="K21" i="9"/>
  <c r="G21" i="9"/>
  <c r="J25" i="9"/>
  <c r="P21" i="9"/>
  <c r="Q81" i="9" l="1" a="1"/>
  <c r="Q81" i="9" s="1"/>
  <c r="Q77" i="9"/>
  <c r="Q78" i="9"/>
  <c r="Q79" i="9" a="1"/>
  <c r="Q79" i="9" s="1"/>
  <c r="Q80" i="9" a="1"/>
  <c r="Q80" i="9" s="1"/>
  <c r="K79" i="9" a="1"/>
  <c r="K79" i="9" s="1"/>
  <c r="J79" i="9" a="1"/>
  <c r="J79" i="9" s="1"/>
  <c r="P79" i="9" a="1"/>
  <c r="P79" i="9" s="1"/>
  <c r="H79" i="9" a="1"/>
  <c r="H79" i="9" s="1"/>
  <c r="O79" i="9" a="1"/>
  <c r="O79" i="9" s="1"/>
  <c r="N79" i="9" a="1"/>
  <c r="N79" i="9" s="1"/>
  <c r="G79" i="9" a="1"/>
  <c r="G79" i="9" s="1"/>
  <c r="L79" i="9" a="1"/>
  <c r="L79" i="9" s="1"/>
  <c r="I79" i="9" a="1"/>
  <c r="I79" i="9" s="1"/>
  <c r="M79" i="9" a="1"/>
  <c r="M79" i="9" s="1"/>
  <c r="L25" i="9"/>
  <c r="G25" i="9"/>
  <c r="K25" i="9"/>
  <c r="L81" i="9" a="1"/>
  <c r="L81" i="9" s="1"/>
  <c r="H25" i="9"/>
  <c r="D81" i="9" a="1"/>
  <c r="D81" i="9" s="1"/>
  <c r="D80" i="9" a="1"/>
  <c r="D80" i="9" s="1"/>
  <c r="D30" i="9"/>
  <c r="D36" i="9"/>
  <c r="D44" i="9" s="1"/>
  <c r="D77" i="9"/>
  <c r="D78" i="9"/>
  <c r="E80" i="9" a="1"/>
  <c r="E80" i="9" s="1"/>
  <c r="E81" i="9" a="1"/>
  <c r="E81" i="9" s="1"/>
  <c r="E30" i="9"/>
  <c r="E78" i="9"/>
  <c r="E36" i="9"/>
  <c r="E44" i="9" s="1"/>
  <c r="E77" i="9"/>
  <c r="L30" i="9"/>
  <c r="L36" i="9"/>
  <c r="L44" i="9" s="1"/>
  <c r="P25" i="9"/>
  <c r="O25" i="9"/>
  <c r="J36" i="9"/>
  <c r="J44" i="9" s="1"/>
  <c r="J30" i="9"/>
  <c r="I36" i="9"/>
  <c r="I44" i="9" s="1"/>
  <c r="I30" i="9"/>
  <c r="M25" i="9"/>
  <c r="C81" i="9" a="1"/>
  <c r="C81" i="9" s="1"/>
  <c r="C36" i="9"/>
  <c r="C30" i="9"/>
  <c r="C80" i="9" a="1"/>
  <c r="C80" i="9" s="1"/>
  <c r="C78" i="9"/>
  <c r="C77" i="9"/>
  <c r="N30" i="9"/>
  <c r="N36" i="9"/>
  <c r="N44" i="9" s="1"/>
  <c r="U91" i="8" l="1"/>
  <c r="U108" i="8" s="1"/>
  <c r="T91" i="8"/>
  <c r="T108" i="8" s="1"/>
  <c r="S91" i="8"/>
  <c r="S108" i="8" s="1"/>
  <c r="V91" i="8"/>
  <c r="L80" i="9" a="1"/>
  <c r="L80" i="9" s="1"/>
  <c r="O80" i="9" a="1"/>
  <c r="O80" i="9" s="1"/>
  <c r="M80" i="9" a="1"/>
  <c r="M80" i="9" s="1"/>
  <c r="O78" i="9"/>
  <c r="H81" i="9" a="1"/>
  <c r="H81" i="9" s="1"/>
  <c r="H80" i="9" a="1"/>
  <c r="H80" i="9" s="1"/>
  <c r="H77" i="9"/>
  <c r="H78" i="9"/>
  <c r="G80" i="9" a="1"/>
  <c r="G80" i="9" s="1"/>
  <c r="K36" i="9"/>
  <c r="K44" i="9" s="1"/>
  <c r="N80" i="9" a="1"/>
  <c r="N80" i="9" s="1"/>
  <c r="N81" i="9" a="1"/>
  <c r="N81" i="9" s="1"/>
  <c r="K30" i="9"/>
  <c r="N77" i="9"/>
  <c r="N78" i="9"/>
  <c r="L78" i="9"/>
  <c r="M77" i="9"/>
  <c r="E45" i="9"/>
  <c r="L77" i="9"/>
  <c r="I80" i="9" a="1"/>
  <c r="I80" i="9" s="1"/>
  <c r="I81" i="9" a="1"/>
  <c r="I81" i="9" s="1"/>
  <c r="I77" i="9"/>
  <c r="I78" i="9"/>
  <c r="D45" i="9"/>
  <c r="G77" i="9"/>
  <c r="O36" i="9"/>
  <c r="O44" i="9" s="1"/>
  <c r="O30" i="9"/>
  <c r="K81" i="9" a="1"/>
  <c r="K81" i="9" s="1"/>
  <c r="H36" i="9"/>
  <c r="H44" i="9" s="1"/>
  <c r="H30" i="9"/>
  <c r="K80" i="9" a="1"/>
  <c r="K80" i="9" s="1"/>
  <c r="K77" i="9"/>
  <c r="K78" i="9"/>
  <c r="M81" i="9" a="1"/>
  <c r="M81" i="9" s="1"/>
  <c r="O77" i="9"/>
  <c r="G81" i="9" a="1"/>
  <c r="G81" i="9" s="1"/>
  <c r="C45" i="9"/>
  <c r="P81" i="9" a="1"/>
  <c r="P81" i="9" s="1"/>
  <c r="P80" i="9" a="1"/>
  <c r="P80" i="9" s="1"/>
  <c r="P77" i="9"/>
  <c r="M30" i="9"/>
  <c r="M36" i="9"/>
  <c r="M44" i="9" s="1"/>
  <c r="P78" i="9"/>
  <c r="N45" i="9"/>
  <c r="O81" i="9" a="1"/>
  <c r="O81" i="9" s="1"/>
  <c r="J80" i="9" a="1"/>
  <c r="J80" i="9" s="1"/>
  <c r="J81" i="9" a="1"/>
  <c r="J81" i="9" s="1"/>
  <c r="G36" i="9"/>
  <c r="G30" i="9"/>
  <c r="J77" i="9"/>
  <c r="J78" i="9"/>
  <c r="M78" i="9"/>
  <c r="P30" i="9"/>
  <c r="P36" i="9"/>
  <c r="P44" i="9" s="1"/>
  <c r="G78" i="9"/>
  <c r="AE44" i="9" l="1"/>
  <c r="AE45" i="9" s="1"/>
  <c r="U134" i="8"/>
  <c r="S134" i="8"/>
  <c r="T134" i="8"/>
  <c r="V134" i="8"/>
  <c r="Y44" i="9"/>
  <c r="Y45" i="9" s="1"/>
  <c r="U44" i="9"/>
  <c r="U45" i="9" s="1"/>
  <c r="AB44" i="9"/>
  <c r="AB45" i="9" s="1"/>
  <c r="AA44" i="9"/>
  <c r="AA45" i="9" s="1"/>
  <c r="X44" i="9"/>
  <c r="X45" i="9" s="1"/>
  <c r="AD44" i="9"/>
  <c r="AD45" i="9" s="1"/>
  <c r="W44" i="9"/>
  <c r="W45" i="9" s="1"/>
  <c r="Z44" i="9"/>
  <c r="Z45" i="9" s="1"/>
  <c r="V44" i="9"/>
  <c r="V45" i="9" s="1"/>
  <c r="AC44" i="9"/>
  <c r="AC45" i="9" s="1"/>
  <c r="O45" i="9"/>
  <c r="P45" i="9"/>
  <c r="M45" i="9"/>
  <c r="L45" i="9"/>
  <c r="G45" i="9"/>
  <c r="I45" i="9"/>
  <c r="J45" i="9"/>
  <c r="T44" i="9" l="1"/>
  <c r="T45" i="9" s="1"/>
  <c r="S44" i="9"/>
  <c r="S45" i="9" s="1"/>
  <c r="H45" i="9"/>
  <c r="K45" i="9"/>
  <c r="C130" i="8" l="1"/>
  <c r="S128" i="8" l="1"/>
  <c r="S130" i="8" s="1"/>
  <c r="S135" i="8" s="1"/>
  <c r="S137" i="8" s="1"/>
  <c r="T128" i="8" l="1"/>
  <c r="T130" i="8" s="1"/>
  <c r="T135" i="8" s="1"/>
  <c r="T137" i="8" s="1"/>
  <c r="U128" i="8" l="1"/>
  <c r="U130" i="8" s="1"/>
  <c r="U135" i="8" s="1"/>
  <c r="U137" i="8" s="1"/>
  <c r="V128" i="8" l="1"/>
  <c r="W128" i="8" l="1"/>
  <c r="X128" i="8" l="1"/>
  <c r="Y128" i="8" l="1"/>
  <c r="Z128" i="8" l="1"/>
  <c r="V130" i="8"/>
  <c r="G130" i="8"/>
  <c r="W130" i="8" l="1"/>
  <c r="O11" i="8" l="1"/>
  <c r="O14" i="8" l="1"/>
  <c r="O19" i="8" s="1"/>
  <c r="O14" i="10"/>
  <c r="O25" i="8" l="1"/>
  <c r="O29" i="8" s="1"/>
  <c r="O32" i="8" s="1"/>
  <c r="O91" i="8" s="1"/>
  <c r="O15" i="8"/>
  <c r="O20" i="8" l="1"/>
  <c r="O26" i="8"/>
  <c r="V11" i="8" l="1"/>
  <c r="V14" i="8" s="1"/>
  <c r="X11" i="8"/>
  <c r="X14" i="8" s="1"/>
  <c r="N11" i="8"/>
  <c r="W11" i="8"/>
  <c r="W14" i="8" l="1"/>
  <c r="N14" i="8"/>
  <c r="N19" i="8" s="1"/>
  <c r="N14" i="10"/>
  <c r="X19" i="8"/>
  <c r="V19" i="8"/>
  <c r="N15" i="8" l="1"/>
  <c r="N25" i="8"/>
  <c r="N29" i="8" s="1"/>
  <c r="N32" i="8" s="1"/>
  <c r="N91" i="8" s="1"/>
  <c r="W19" i="8"/>
  <c r="W20" i="8" s="1"/>
  <c r="W15" i="8"/>
  <c r="X25" i="8"/>
  <c r="X32" i="8" s="1"/>
  <c r="X15" i="8"/>
  <c r="V15" i="8"/>
  <c r="V25" i="8"/>
  <c r="V32" i="8" s="1"/>
  <c r="V39" i="8" l="1"/>
  <c r="V36" i="8"/>
  <c r="X39" i="8"/>
  <c r="X36" i="8"/>
  <c r="W25" i="8"/>
  <c r="W32" i="8" s="1"/>
  <c r="N20" i="8"/>
  <c r="N26" i="8"/>
  <c r="V20" i="8"/>
  <c r="X20" i="8"/>
  <c r="W39" i="8" l="1"/>
  <c r="W36" i="8"/>
  <c r="W26" i="8"/>
  <c r="W29" i="8" s="1"/>
  <c r="X26" i="8"/>
  <c r="X29" i="8" s="1"/>
  <c r="V26" i="8"/>
  <c r="V29" i="8" s="1"/>
  <c r="W33" i="8"/>
  <c r="V108" i="8" l="1"/>
  <c r="V33" i="8"/>
  <c r="X33" i="8"/>
  <c r="V135" i="8" l="1"/>
  <c r="V137" i="8" s="1"/>
  <c r="X130" i="8"/>
  <c r="X135" i="8" s="1"/>
  <c r="X137" i="8" s="1"/>
  <c r="Y130" i="8" l="1"/>
  <c r="Y135" i="8" s="1"/>
  <c r="Y137" i="8" s="1"/>
  <c r="Z130" i="8" l="1"/>
  <c r="Z135" i="8" s="1"/>
  <c r="Z137" i="8" s="1"/>
  <c r="W135" i="8" l="1"/>
  <c r="W137" i="8" s="1"/>
  <c r="E33" i="8"/>
  <c r="E36" i="8"/>
  <c r="E39" i="8"/>
  <c r="E108" i="8"/>
  <c r="E134" i="8" s="1"/>
  <c r="C33" i="8"/>
  <c r="D33" i="8"/>
  <c r="C36" i="8"/>
  <c r="D36" i="8"/>
  <c r="C39" i="8"/>
  <c r="D39" i="8"/>
  <c r="C108" i="8"/>
  <c r="C134" i="8" s="1"/>
  <c r="C135" i="8" s="1"/>
  <c r="D108" i="8"/>
  <c r="D134" i="8" s="1"/>
  <c r="D128" i="8" l="1"/>
  <c r="D130" i="8" s="1"/>
  <c r="D135" i="8" s="1"/>
  <c r="D137" i="8" s="1"/>
  <c r="C137" i="8"/>
  <c r="G33" i="8"/>
  <c r="H33" i="8"/>
  <c r="I33" i="8"/>
  <c r="J33" i="8"/>
  <c r="K33" i="8"/>
  <c r="L33" i="8"/>
  <c r="M33" i="8"/>
  <c r="N33" i="8"/>
  <c r="O33" i="8"/>
  <c r="P33" i="8"/>
  <c r="Q33" i="8"/>
  <c r="G36" i="8"/>
  <c r="H36" i="8"/>
  <c r="I36" i="8"/>
  <c r="J36" i="8"/>
  <c r="K36" i="8"/>
  <c r="L36" i="8"/>
  <c r="M36" i="8"/>
  <c r="N36" i="8"/>
  <c r="O36" i="8"/>
  <c r="P36" i="8"/>
  <c r="Q36" i="8"/>
  <c r="G39" i="8"/>
  <c r="H39" i="8"/>
  <c r="I39" i="8"/>
  <c r="J39" i="8"/>
  <c r="K39" i="8"/>
  <c r="L39" i="8"/>
  <c r="M39" i="8"/>
  <c r="N39" i="8"/>
  <c r="O39" i="8"/>
  <c r="P39" i="8"/>
  <c r="Q39" i="8"/>
  <c r="AA91" i="8"/>
  <c r="AA108" i="8" s="1"/>
  <c r="AB91" i="8"/>
  <c r="AB108" i="8" s="1"/>
  <c r="M108" i="8"/>
  <c r="M134" i="8" s="1"/>
  <c r="O108" i="8"/>
  <c r="O134" i="8" s="1"/>
  <c r="P108" i="8"/>
  <c r="P134" i="8" s="1"/>
  <c r="Q108" i="8"/>
  <c r="Q134" i="8" s="1"/>
  <c r="J108" i="8"/>
  <c r="J134" i="8" s="1"/>
  <c r="K108" i="8"/>
  <c r="K134" i="8" s="1"/>
  <c r="E128" i="8" l="1"/>
  <c r="E130" i="8" s="1"/>
  <c r="E135" i="8" s="1"/>
  <c r="E137" i="8" s="1"/>
  <c r="AD108" i="8"/>
  <c r="AC108" i="8"/>
  <c r="I108" i="8"/>
  <c r="I134" i="8" s="1"/>
  <c r="H108" i="8"/>
  <c r="H134" i="8" s="1"/>
  <c r="AA134" i="8" s="1"/>
  <c r="W91" i="8"/>
  <c r="W108" i="8" s="1"/>
  <c r="X91" i="8"/>
  <c r="X108" i="8" s="1"/>
  <c r="Y91" i="8"/>
  <c r="Y108" i="8" s="1"/>
  <c r="Z91" i="8"/>
  <c r="Z108" i="8" s="1"/>
  <c r="G108" i="8"/>
  <c r="G134" i="8" s="1"/>
  <c r="AF108" i="8"/>
  <c r="AE108" i="8"/>
  <c r="N108" i="8"/>
  <c r="N134" i="8" s="1"/>
  <c r="L108" i="8"/>
  <c r="L134" i="8" s="1"/>
  <c r="W134" i="8" l="1"/>
  <c r="X134" i="8"/>
  <c r="Y134" i="8"/>
  <c r="Z134" i="8"/>
  <c r="G135" i="8"/>
  <c r="AG108" i="8"/>
  <c r="AI108" i="8" s="1"/>
  <c r="AI91" i="8"/>
  <c r="AD134" i="8"/>
  <c r="AE134" i="8"/>
  <c r="AC134" i="8"/>
  <c r="AB134" i="8"/>
  <c r="AF134" i="8"/>
  <c r="AG134" i="8"/>
  <c r="H128" i="8" l="1"/>
  <c r="H130" i="8" s="1"/>
  <c r="H135" i="8" s="1"/>
  <c r="G137" i="8"/>
  <c r="AA128" i="8"/>
  <c r="AA130" i="8" s="1"/>
  <c r="AA135" i="8" s="1"/>
  <c r="AA137" i="8" s="1"/>
  <c r="I128" i="8" l="1"/>
  <c r="I130" i="8" s="1"/>
  <c r="I135" i="8" s="1"/>
  <c r="AB128" i="8"/>
  <c r="AB130" i="8" s="1"/>
  <c r="AB135" i="8" s="1"/>
  <c r="AB137" i="8" s="1"/>
  <c r="H137" i="8"/>
  <c r="AC128" i="8" l="1"/>
  <c r="AC130" i="8" s="1"/>
  <c r="AC135" i="8" s="1"/>
  <c r="AC137" i="8" s="1"/>
  <c r="I137" i="8"/>
  <c r="J128" i="8"/>
  <c r="J130" i="8" s="1"/>
  <c r="J135" i="8" s="1"/>
  <c r="AD128" i="8" l="1"/>
  <c r="AD130" i="8" s="1"/>
  <c r="AD135" i="8" s="1"/>
  <c r="AD137" i="8" s="1"/>
  <c r="J137" i="8"/>
  <c r="K128" i="8"/>
  <c r="K130" i="8" s="1"/>
  <c r="K135" i="8" s="1"/>
  <c r="L128" i="8" l="1"/>
  <c r="L130" i="8" s="1"/>
  <c r="L135" i="8" s="1"/>
  <c r="AE128" i="8"/>
  <c r="AE130" i="8" s="1"/>
  <c r="AE135" i="8" s="1"/>
  <c r="AE137" i="8" s="1"/>
  <c r="K137" i="8"/>
  <c r="M128" i="8" l="1"/>
  <c r="M130" i="8" s="1"/>
  <c r="M135" i="8" s="1"/>
  <c r="AF128" i="8"/>
  <c r="AF130" i="8" s="1"/>
  <c r="AF135" i="8" s="1"/>
  <c r="AF137" i="8" s="1"/>
  <c r="L137" i="8"/>
  <c r="N128" i="8" l="1"/>
  <c r="N130" i="8" s="1"/>
  <c r="N135" i="8" s="1"/>
  <c r="AG128" i="8"/>
  <c r="AG130" i="8" s="1"/>
  <c r="AG135" i="8" s="1"/>
  <c r="AG137" i="8" s="1"/>
  <c r="M137" i="8"/>
  <c r="O128" i="8" l="1"/>
  <c r="O130" i="8" s="1"/>
  <c r="O135" i="8" s="1"/>
  <c r="N137" i="8"/>
  <c r="P128" i="8" l="1"/>
  <c r="P130" i="8" s="1"/>
  <c r="P135" i="8" s="1"/>
  <c r="O137" i="8"/>
  <c r="Q128" i="8" l="1"/>
  <c r="Q130" i="8" s="1"/>
  <c r="Q135" i="8" s="1"/>
  <c r="Q137" i="8" s="1"/>
  <c r="P137" i="8"/>
  <c r="AI32" i="8"/>
  <c r="AC33" i="8"/>
  <c r="AD33" i="8"/>
  <c r="AE33" i="8"/>
  <c r="AF33" i="8"/>
  <c r="AG33" i="8"/>
  <c r="AI33" i="8" s="1"/>
  <c r="AC36" i="8"/>
  <c r="AD36" i="8"/>
  <c r="AE36" i="8"/>
  <c r="AF36" i="8"/>
  <c r="AG36" i="8"/>
  <c r="AI36" i="8" s="1"/>
  <c r="AC39" i="8"/>
  <c r="AD39" i="8"/>
  <c r="AE39" i="8"/>
  <c r="AF39" i="8"/>
  <c r="AG39" i="8"/>
  <c r="AI39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<sst xmlns="http://schemas.openxmlformats.org/spreadsheetml/2006/main" count="235" uniqueCount="186">
  <si>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</si>
  <si>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</si>
  <si>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</si>
  <si>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</si>
  <si>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</si>
  <si>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</si>
  <si>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</si>
  <si>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</si>
  <si>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</si>
  <si>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</si>
  <si>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</si>
  <si>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</si>
  <si>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</si>
  <si>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Accounts payable</t>
  </si>
  <si>
    <t>Changes in assets and liabilities:</t>
  </si>
  <si>
    <t>Cash-Flows Statement</t>
  </si>
  <si>
    <t>Other current assets</t>
  </si>
  <si>
    <t>Total stockholders' equity</t>
  </si>
  <si>
    <t>Total Liabilities</t>
  </si>
  <si>
    <t>X</t>
  </si>
  <si>
    <t>Total Current Liabilities</t>
  </si>
  <si>
    <t>Common stock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</si>
  <si>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</si>
  <si>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</si>
  <si>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</si>
  <si>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</si>
  <si>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</si>
  <si>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</si>
  <si>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</si>
  <si>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</si>
  <si>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</si>
  <si>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</si>
  <si>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</si>
  <si>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</si>
  <si>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</si>
  <si>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</si>
  <si>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</si>
  <si>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</si>
  <si>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</si>
  <si>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</si>
  <si>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</si>
  <si>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</si>
  <si>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</si>
  <si>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</si>
  <si>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</si>
  <si>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</si>
  <si>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</si>
  <si>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</si>
  <si>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</si>
  <si>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</si>
  <si>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</si>
  <si>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</si>
  <si>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</si>
  <si>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</si>
  <si>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</si>
  <si>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Cash flows from investing activities:</t>
  </si>
  <si>
    <t>Cash flows from financing activities: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</si>
  <si>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</si>
  <si>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</si>
  <si>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</si>
  <si>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</si>
  <si>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</si>
  <si>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</si>
  <si>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Net Margin (%)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</si>
  <si>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</si>
  <si>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</si>
  <si>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</si>
  <si>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</si>
  <si>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</si>
  <si>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</si>
  <si>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</si>
  <si>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</si>
  <si>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</si>
  <si>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</si>
  <si>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</si>
  <si>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</si>
  <si>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</si>
  <si>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</si>
  <si>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</si>
  <si>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</si>
  <si>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Earning Before Taxes</t>
  </si>
  <si>
    <t>EBT Margin (%)</t>
  </si>
  <si>
    <t>Current Assets</t>
  </si>
  <si>
    <t>Non-Current Assets</t>
  </si>
  <si>
    <t>Non-Current Liabilities</t>
  </si>
  <si>
    <t>Unrestricted Cash BOP</t>
  </si>
  <si>
    <t>EOP FX Adjustment</t>
  </si>
  <si>
    <t>Deferred income taxes</t>
  </si>
  <si>
    <t>Retained earnings</t>
  </si>
  <si>
    <t>Purchases of property and equipment</t>
  </si>
  <si>
    <t>Disaggregated Revenues</t>
  </si>
  <si>
    <t>Offerings Drivers</t>
  </si>
  <si>
    <t>Variance Check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</si>
  <si>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</si>
  <si>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</si>
  <si>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</si>
  <si>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</si>
  <si>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</si>
  <si>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</si>
  <si>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</si>
  <si>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</si>
  <si>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</si>
  <si>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Cash and cash equivalents</t>
  </si>
  <si>
    <t>Long-term debt</t>
  </si>
  <si>
    <t>Repurchases of common stock</t>
  </si>
  <si>
    <t>Interest paid</t>
  </si>
  <si>
    <t>BOP Restricted Cash Adjustment</t>
  </si>
  <si>
    <t>$ in thousands except per share</t>
  </si>
  <si>
    <t>(+/-) Proceeds / (Purchases) of ST Investments</t>
  </si>
  <si>
    <t>(-) Proceeds From Equity Issuances / (Share Repurchases)</t>
  </si>
  <si>
    <t>(-) 'Proceeds from issuance of Debt / (Repayment), net</t>
  </si>
  <si>
    <t>(+/-) Changes in Additions to content assets</t>
  </si>
  <si>
    <t>(+/-) Changes in Other Financing Activities</t>
  </si>
  <si>
    <t>Summary Debt:</t>
  </si>
  <si>
    <t>CPLTD</t>
  </si>
  <si>
    <t>LTD</t>
  </si>
  <si>
    <t>Cost of Revenue</t>
  </si>
  <si>
    <t>XXX</t>
  </si>
  <si>
    <t>(-) Cost of Revenues</t>
  </si>
  <si>
    <t>(+) Depreciation and Amortization</t>
  </si>
  <si>
    <t>Advance Autoparts (NASDAQ: AAP)</t>
  </si>
  <si>
    <t>Interest expense</t>
  </si>
  <si>
    <t>Loss on early redemptions of senior unsecured notes</t>
  </si>
  <si>
    <t>Other income (expense), net</t>
  </si>
  <si>
    <t>Net Income</t>
  </si>
  <si>
    <t>Receivables, net</t>
  </si>
  <si>
    <t>Inventories, net</t>
  </si>
  <si>
    <t xml:space="preserve">Property and equipment, </t>
  </si>
  <si>
    <t>Operating lease right-of-use assets</t>
  </si>
  <si>
    <t>Goodwill</t>
  </si>
  <si>
    <t>Other intangible assets, net</t>
  </si>
  <si>
    <t>Other assets</t>
  </si>
  <si>
    <t>Non-current operating lease liabilities</t>
  </si>
  <si>
    <t>Other long-term liabilities</t>
  </si>
  <si>
    <t>Accrued expenses</t>
  </si>
  <si>
    <t>Current portion of long-term debt</t>
  </si>
  <si>
    <t>Other current liabilities</t>
  </si>
  <si>
    <t>Preferred stock</t>
  </si>
  <si>
    <t>Additional paid-in capital</t>
  </si>
  <si>
    <t>Accumulated other comprehensive loss</t>
  </si>
  <si>
    <t>Treasury stock</t>
  </si>
  <si>
    <t>Depreciation and amortization</t>
  </si>
  <si>
    <t>Share-based compensation</t>
  </si>
  <si>
    <t>Loss on early redemption of senior unsecured notes</t>
  </si>
  <si>
    <t>Provision for deferred income taxes</t>
  </si>
  <si>
    <t>Other, net</t>
  </si>
  <si>
    <t>Inventories</t>
  </si>
  <si>
    <t>Other assets and liabilities, net</t>
  </si>
  <si>
    <t>Purchase of intangible asset</t>
  </si>
  <si>
    <t>Proceeds from sales of property and equipment</t>
  </si>
  <si>
    <t>Payments on senior unsecured notes</t>
  </si>
  <si>
    <t>Borrowings under credit facilities</t>
  </si>
  <si>
    <t>Payments on credit facilities</t>
  </si>
  <si>
    <t>Proceeds from issuance of senior unsecured notes, net</t>
  </si>
  <si>
    <t>Dividends paid</t>
  </si>
  <si>
    <t>Selling, general and administrative expense</t>
  </si>
  <si>
    <t>Restructuring and related expenses</t>
  </si>
  <si>
    <t>Benefit (Provision) for income taxes</t>
  </si>
  <si>
    <t xml:space="preserve">Net (loss) income from continuing operations	</t>
  </si>
  <si>
    <t>Net income from discontinued operations</t>
  </si>
  <si>
    <t xml:space="preserve">Write-down on receivables	</t>
  </si>
  <si>
    <t>Loss on sale and impairment of long-lived assets</t>
  </si>
  <si>
    <t>Net income (loss) from Continuing Operations</t>
  </si>
  <si>
    <t>Net Cash Used in Continuing Operating Activities</t>
  </si>
  <si>
    <t>Net Cash Provided by Continuing Financing Activities</t>
  </si>
  <si>
    <t>Net Cash Used in Continuing Investing Activities</t>
  </si>
  <si>
    <t>Net Cash Used in Discontinued Investing Activities</t>
  </si>
  <si>
    <t>Net Cash Used in Discontinued Operating Activities</t>
  </si>
  <si>
    <t xml:space="preserve">Purchase of noncontrolling interests	</t>
  </si>
  <si>
    <t>EOP Discontinued Operations Cash Adjustment</t>
  </si>
  <si>
    <t xml:space="preserve">Income taxes paid </t>
  </si>
  <si>
    <t xml:space="preserve">Parts and Batteries </t>
  </si>
  <si>
    <t xml:space="preserve">Accessories and Chemicals </t>
  </si>
  <si>
    <t xml:space="preserve">Engine Maintenance </t>
  </si>
  <si>
    <t xml:space="preserve">Other </t>
  </si>
  <si>
    <t>5.90% Senior Unsecured Notes</t>
  </si>
  <si>
    <t>1.75% Senior Unsecured Notes</t>
  </si>
  <si>
    <t>5.95% Senior Unsecured Notes</t>
  </si>
  <si>
    <t>3.90% Senior Unsecured Notes</t>
  </si>
  <si>
    <t>3.50% Senior Unsecured Notes</t>
  </si>
  <si>
    <t>(-) Selling, general and administrative expense</t>
  </si>
  <si>
    <t>(-) Restructuring and related expenses</t>
  </si>
  <si>
    <t>(+) Share-Based Compensation (SBC)</t>
  </si>
  <si>
    <t>(+) Restructuring and Related Expenses</t>
  </si>
  <si>
    <t>Accounts Receivables</t>
  </si>
  <si>
    <t>Property and Equipment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</si>
</sst>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3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sz val="8"/>
      <color rgb="FF0000CC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81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6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41" fontId="8" fillId="5" borderId="2" xfId="0" applyNumberFormat="1" applyFont="1" applyFill="1" applyBorder="1" applyAlignment="1">
      <alignment horizontal="right" vertical="top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8" fillId="5" borderId="9" xfId="0" applyFont="1" applyFill="1" applyBorder="1" applyAlignment="1">
      <alignment horizontal="right" vertical="center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4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7" fillId="0" borderId="9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5" borderId="0" xfId="0" applyNumberFormat="1" applyFont="1" applyFill="1" applyAlignment="1">
      <alignment horizontal="right" vertical="top" wrapText="1"/>
    </xf>
    <xf numFmtId="41" fontId="6" fillId="0" borderId="10" xfId="0" applyNumberFormat="1" applyFont="1" applyBorder="1" applyAlignment="1">
      <alignment horizontal="right" vertical="top" wrapText="1"/>
    </xf>
    <xf numFmtId="41" fontId="8" fillId="5" borderId="10" xfId="0" applyNumberFormat="1" applyFont="1" applyFill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1" fontId="6" fillId="5" borderId="10" xfId="0" applyNumberFormat="1" applyFont="1" applyFill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7" fillId="0" borderId="8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4" fillId="0" borderId="0" xfId="0" applyFont="1" applyBorder="1"/>
    <xf numFmtId="0" fontId="4" fillId="0" borderId="0" xfId="0" applyFont="1" applyFill="1" applyAlignment="1">
      <alignment wrapText="1"/>
    </xf>
    <xf numFmtId="0" fontId="8" fillId="0" borderId="0" xfId="0" applyFont="1" applyFill="1" applyBorder="1" applyAlignment="1">
      <alignment vertical="top" wrapText="1"/>
    </xf>
    <xf numFmtId="5" fontId="8" fillId="0" borderId="0" xfId="0" applyNumberFormat="1" applyFont="1" applyFill="1" applyBorder="1" applyAlignment="1">
      <alignment horizontal="right" vertical="top" wrapText="1"/>
    </xf>
    <xf numFmtId="37" fontId="4" fillId="0" borderId="0" xfId="0" applyNumberFormat="1" applyFont="1" applyFill="1" applyAlignment="1">
      <alignment wrapText="1"/>
    </xf>
    <xf numFmtId="41" fontId="6" fillId="0" borderId="0" xfId="0" applyNumberFormat="1" applyFont="1" applyFill="1" applyAlignment="1">
      <alignment horizontal="right" vertical="top" wrapText="1"/>
    </xf>
    <xf numFmtId="0" fontId="15" fillId="0" borderId="0" xfId="0" applyFont="1" applyFill="1"/>
    <xf numFmtId="166" fontId="9" fillId="0" borderId="0" xfId="1" applyNumberFormat="1" applyFont="1" applyFill="1" applyBorder="1" applyAlignment="1">
      <alignment horizontal="right" vertical="center" wrapText="1"/>
    </xf>
    <xf numFmtId="41" fontId="11" fillId="0" borderId="0" xfId="0" applyNumberFormat="1" applyFont="1" applyFill="1" applyAlignment="1">
      <alignment horizontal="right" wrapText="1"/>
    </xf>
    <xf numFmtId="9" fontId="31" fillId="0" borderId="0" xfId="1" applyFont="1" applyBorder="1"/>
    <xf numFmtId="9" fontId="31" fillId="0" borderId="6" xfId="1" applyFont="1" applyBorder="1"/>
    <xf numFmtId="0" fontId="4" fillId="0" borderId="6" xfId="0" applyFont="1" applyBorder="1"/>
    <xf numFmtId="9" fontId="31" fillId="0" borderId="2" xfId="1" applyFont="1" applyBorder="1"/>
    <xf numFmtId="0" fontId="4" fillId="0" borderId="2" xfId="0" applyFont="1" applyBorder="1"/>
    <xf numFmtId="0" fontId="23" fillId="9" borderId="15" xfId="0" applyFont="1" applyFill="1" applyBorder="1"/>
    <xf numFmtId="0" fontId="23" fillId="9" borderId="16" xfId="0" applyFont="1" applyFill="1" applyBorder="1"/>
    <xf numFmtId="0" fontId="23" fillId="9" borderId="17" xfId="0" applyFont="1" applyFill="1" applyBorder="1"/>
    <xf numFmtId="0" fontId="4" fillId="0" borderId="18" xfId="0" applyFont="1" applyBorder="1"/>
    <xf numFmtId="0" fontId="4" fillId="0" borderId="19" xfId="0" applyFont="1" applyBorder="1"/>
    <xf numFmtId="0" fontId="4" fillId="0" borderId="20" xfId="0" applyFont="1" applyBorder="1"/>
    <xf numFmtId="9" fontId="32" fillId="0" borderId="2" xfId="1" applyFont="1" applyBorder="1"/>
    <xf numFmtId="9" fontId="32" fillId="0" borderId="0" xfId="1" applyFont="1" applyBorder="1"/>
    <xf numFmtId="9" fontId="32" fillId="0" borderId="6" xfId="1" applyFont="1" applyBorder="1"/>
    <xf numFmtId="41" fontId="6" fillId="0" borderId="0" xfId="0" applyNumberFormat="1" applyFont="1" applyAlignment="1">
      <alignment vertical="center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B03C"/>
      <color rgb="FF0000C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I156"/>
  <sheetViews>
    <sheetView showGridLines="0" tabSelected="1" zoomScale="145" zoomScaleNormal="145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5" width="9" style="5" bestFit="1" customWidth="1"/>
    <col min="6" max="6" width="1.5" style="5" customWidth="1"/>
    <col min="7" max="10" width="8.875" style="5" customWidth="1" outlineLevel="2"/>
    <col min="11" max="12" width="8.875" style="5" customWidth="1" outlineLevel="1"/>
    <col min="13" max="17" width="8.875" style="5" bestFit="1" customWidth="1"/>
    <col min="18" max="18" width="1.5" style="5" customWidth="1"/>
    <col min="19" max="28" width="8.75" style="5" hidden="1" customWidth="1" outlineLevel="1"/>
    <col min="29" max="29" width="9" style="5" bestFit="1" customWidth="1" collapsed="1"/>
    <col min="30" max="32" width="9" style="5" hidden="1" customWidth="1" outlineLevel="1"/>
    <col min="33" max="33" width="9" style="5" bestFit="1" customWidth="1" collapsed="1"/>
    <col min="34" max="34" width="1.25" style="5" customWidth="1"/>
    <col min="35" max="35" width="8" style="5" bestFit="1" customWidth="1"/>
    <col min="36" max="36" width="1.375" style="5" customWidth="1"/>
    <col min="37" max="16384" width="9" style="5"/>
  </cols>
  <sheetData>
    <row r="2" spans="1:35" ht="12.75" customHeight="1">
      <c r="B2" s="1" t="s">
        <v>120</v>
      </c>
      <c r="C2" s="103"/>
      <c r="D2" s="103"/>
      <c r="E2" s="103"/>
      <c r="F2" s="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3"/>
      <c r="AI2" s="1"/>
    </row>
    <row r="3" spans="1:35" ht="12.75" customHeight="1">
      <c r="B3" s="6" t="s">
        <v>76</v>
      </c>
      <c r="C3" s="7"/>
      <c r="D3" s="7"/>
      <c r="E3" s="7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3"/>
      <c r="AI3" s="1"/>
    </row>
    <row r="4" spans="1:35" ht="12.75" customHeight="1">
      <c r="B4" s="6" t="s">
        <v>107</v>
      </c>
      <c r="C4" s="3"/>
      <c r="D4" s="86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1"/>
    </row>
    <row r="6" spans="1:35" ht="12.75" customHeight="1">
      <c r="A6" s="5" t="s">
        <v>19</v>
      </c>
      <c r="B6" s="1" t="s">
        <v>74</v>
      </c>
      <c r="C6" s="2" t="s">
        <v>0</v>
      </c>
      <c r="D6" s="2"/>
      <c r="E6" s="2"/>
      <c r="F6" s="3"/>
      <c r="G6" s="2" t="s">
        <v>1</v>
      </c>
      <c r="H6" s="2"/>
      <c r="I6" s="2"/>
      <c r="J6" s="2"/>
      <c r="K6" s="2"/>
      <c r="L6" s="2"/>
      <c r="M6" s="2" t="s">
        <v>1</v>
      </c>
      <c r="N6" s="2"/>
      <c r="O6" s="2"/>
      <c r="P6" s="2"/>
      <c r="Q6" s="2"/>
      <c r="R6" s="3"/>
      <c r="S6" s="2"/>
      <c r="T6" s="2"/>
      <c r="U6" s="2"/>
      <c r="V6" s="2"/>
      <c r="W6" s="2"/>
      <c r="X6" s="2"/>
      <c r="Y6" s="2"/>
      <c r="Z6" s="2"/>
      <c r="AA6" s="2"/>
      <c r="AB6" s="2" t="s">
        <v>10</v>
      </c>
      <c r="AC6" s="2" t="s">
        <v>10</v>
      </c>
      <c r="AD6" s="2"/>
      <c r="AE6" s="2"/>
      <c r="AF6" s="2"/>
      <c r="AG6" s="2"/>
      <c r="AH6" s="38"/>
      <c r="AI6" s="153" t="s">
        <v>26</v>
      </c>
    </row>
    <row r="7" spans="1:35" ht="12.75" customHeight="1">
      <c r="B7" s="6" t="s">
        <v>77</v>
      </c>
      <c r="C7" s="7">
        <v>2022</v>
      </c>
      <c r="D7" s="7">
        <v>2023</v>
      </c>
      <c r="E7" s="7">
        <v>2024</v>
      </c>
      <c r="F7" s="3"/>
      <c r="G7" s="4" t="s">
        <v>6</v>
      </c>
      <c r="H7" s="4" t="s">
        <v>7</v>
      </c>
      <c r="I7" s="4" t="s">
        <v>8</v>
      </c>
      <c r="J7" s="4" t="s">
        <v>9</v>
      </c>
      <c r="K7" s="4" t="s">
        <v>2</v>
      </c>
      <c r="L7" s="4" t="s">
        <v>3</v>
      </c>
      <c r="M7" s="4" t="s">
        <v>4</v>
      </c>
      <c r="N7" s="4" t="s">
        <v>5</v>
      </c>
      <c r="O7" s="4" t="s">
        <v>28</v>
      </c>
      <c r="P7" s="4" t="s">
        <v>29</v>
      </c>
      <c r="Q7" s="4" t="s">
        <v>62</v>
      </c>
      <c r="R7" s="3"/>
      <c r="S7" s="4" t="e">
        <f>#REF!</f>
        <v>#REF!</v>
      </c>
      <c r="T7" s="4" t="e">
        <f>#REF!</f>
        <v>#REF!</v>
      </c>
      <c r="U7" s="4" t="e">
        <f>#REF!</f>
        <v>#REF!</v>
      </c>
      <c r="V7" s="4" t="e">
        <f>#REF!</f>
        <v>#REF!</v>
      </c>
      <c r="W7" s="4" t="str">
        <f t="shared" ref="W7:AG8" si="0">G7</f>
        <v>1Q23</v>
      </c>
      <c r="X7" s="4" t="str">
        <f t="shared" si="0"/>
        <v>2Q23</v>
      </c>
      <c r="Y7" s="4" t="str">
        <f t="shared" si="0"/>
        <v>3Q23</v>
      </c>
      <c r="Z7" s="4" t="str">
        <f t="shared" si="0"/>
        <v>4Q23</v>
      </c>
      <c r="AA7" s="4" t="str">
        <f t="shared" si="0"/>
        <v>1Q24</v>
      </c>
      <c r="AB7" s="4" t="str">
        <f t="shared" si="0"/>
        <v>2Q24</v>
      </c>
      <c r="AC7" s="4" t="str">
        <f t="shared" si="0"/>
        <v>3Q24</v>
      </c>
      <c r="AD7" s="4" t="str">
        <f t="shared" si="0"/>
        <v>4Q24</v>
      </c>
      <c r="AE7" s="4" t="str">
        <f t="shared" si="0"/>
        <v>1Q25</v>
      </c>
      <c r="AF7" s="4" t="str">
        <f t="shared" si="0"/>
        <v>2Q25</v>
      </c>
      <c r="AG7" s="4" t="str">
        <f t="shared" si="0"/>
        <v>3Q25</v>
      </c>
      <c r="AH7" s="38"/>
      <c r="AI7" s="153"/>
    </row>
    <row r="8" spans="1:35" ht="12.75" customHeight="1">
      <c r="B8" s="6" t="s">
        <v>78</v>
      </c>
      <c r="C8" s="3">
        <v>44926</v>
      </c>
      <c r="D8" s="86">
        <v>45290</v>
      </c>
      <c r="E8" s="3">
        <v>45654</v>
      </c>
      <c r="F8" s="3"/>
      <c r="G8" s="3"/>
      <c r="H8" s="3"/>
      <c r="I8" s="3"/>
      <c r="J8" s="3">
        <f>D8</f>
        <v>45290</v>
      </c>
      <c r="K8" s="3"/>
      <c r="L8" s="3"/>
      <c r="M8" s="3"/>
      <c r="N8" s="3">
        <f>E8</f>
        <v>45654</v>
      </c>
      <c r="O8" s="3"/>
      <c r="P8" s="3"/>
      <c r="Q8" s="3"/>
      <c r="R8" s="3"/>
      <c r="S8" s="3" t="e">
        <f>#REF!</f>
        <v>#REF!</v>
      </c>
      <c r="T8" s="3" t="e">
        <f>#REF!</f>
        <v>#REF!</v>
      </c>
      <c r="U8" s="3" t="e">
        <f>#REF!</f>
        <v>#REF!</v>
      </c>
      <c r="V8" s="3" t="e">
        <f>#REF!</f>
        <v>#REF!</v>
      </c>
      <c r="W8" s="3">
        <f t="shared" si="0"/>
        <v>0</v>
      </c>
      <c r="X8" s="3">
        <f t="shared" si="0"/>
        <v>0</v>
      </c>
      <c r="Y8" s="3">
        <f t="shared" si="0"/>
        <v>0</v>
      </c>
      <c r="Z8" s="3">
        <f t="shared" si="0"/>
        <v>45290</v>
      </c>
      <c r="AA8" s="3">
        <f t="shared" si="0"/>
        <v>0</v>
      </c>
      <c r="AB8" s="3">
        <f t="shared" si="0"/>
        <v>0</v>
      </c>
      <c r="AC8" s="3">
        <f t="shared" si="0"/>
        <v>0</v>
      </c>
      <c r="AD8" s="3">
        <f t="shared" si="0"/>
        <v>45654</v>
      </c>
      <c r="AE8" s="3">
        <f t="shared" si="0"/>
        <v>0</v>
      </c>
      <c r="AF8" s="3">
        <f t="shared" si="0"/>
        <v>0</v>
      </c>
      <c r="AG8" s="3">
        <f t="shared" si="0"/>
        <v>0</v>
      </c>
      <c r="AH8" s="38"/>
      <c r="AI8" s="153"/>
    </row>
    <row r="9" spans="1:35" ht="5.0999999999999996" customHeight="1">
      <c r="AI9" s="102"/>
    </row>
    <row r="10" spans="1:35" ht="12.75" customHeight="1">
      <c r="B10" s="9" t="s">
        <v>57</v>
      </c>
      <c r="C10" s="97">
        <v>9148874</v>
      </c>
      <c r="D10" s="97">
        <v>9209075</v>
      </c>
      <c r="E10" s="97">
        <v>9094327</v>
      </c>
      <c r="F10" s="11"/>
      <c r="G10" s="97"/>
      <c r="H10" s="97"/>
      <c r="I10" s="97"/>
      <c r="J10" s="32">
        <f>SUM(D10-SUM(G10:I10))</f>
        <v>9209075</v>
      </c>
      <c r="K10" s="97"/>
      <c r="L10" s="97"/>
      <c r="M10" s="97"/>
      <c r="N10" s="32">
        <f>SUM(E10-SUM(K10:M10))</f>
        <v>9094327</v>
      </c>
      <c r="O10" s="83"/>
      <c r="P10" s="83"/>
      <c r="Q10" s="83"/>
      <c r="S10" s="32" t="e">
        <f>SUM(#REF!)</f>
        <v>#REF!</v>
      </c>
      <c r="T10" s="32" t="e">
        <f>SUM(#REF!)</f>
        <v>#REF!</v>
      </c>
      <c r="U10" s="32" t="e">
        <f>SUM(#REF!)</f>
        <v>#REF!</v>
      </c>
      <c r="V10" s="32" t="e">
        <f>SUM(#REF!)</f>
        <v>#REF!</v>
      </c>
      <c r="W10" s="32">
        <f>SUM(G10:G10)</f>
        <v>0</v>
      </c>
      <c r="X10" s="32">
        <f>SUM(G10:H10)</f>
        <v>0</v>
      </c>
      <c r="Y10" s="32">
        <f>SUM(G10:I10)</f>
        <v>0</v>
      </c>
      <c r="Z10" s="32">
        <f t="shared" ref="Z10:AG10" si="1">SUM(G10:J10)</f>
        <v>9209075</v>
      </c>
      <c r="AA10" s="32">
        <f t="shared" si="1"/>
        <v>9209075</v>
      </c>
      <c r="AB10" s="32">
        <f t="shared" si="1"/>
        <v>9209075</v>
      </c>
      <c r="AC10" s="32">
        <f t="shared" si="1"/>
        <v>9209075</v>
      </c>
      <c r="AD10" s="32">
        <f t="shared" si="1"/>
        <v>9094327</v>
      </c>
      <c r="AE10" s="32">
        <f t="shared" si="1"/>
        <v>9094327</v>
      </c>
      <c r="AF10" s="32">
        <f t="shared" si="1"/>
        <v>9094327</v>
      </c>
      <c r="AG10" s="32">
        <f t="shared" si="1"/>
        <v>9094327</v>
      </c>
      <c r="AH10" s="40"/>
      <c r="AI10" s="12">
        <f>SUM(AG10/AC10)-1</f>
        <v>-1.2460317675770938E-2</v>
      </c>
    </row>
    <row r="11" spans="1:35" ht="12.75" customHeight="1">
      <c r="B11" s="13" t="s">
        <v>12</v>
      </c>
      <c r="C11" s="14">
        <f t="shared" ref="C11:E11" si="2">+SUM(C10:C10)</f>
        <v>9148874</v>
      </c>
      <c r="D11" s="14">
        <f t="shared" si="2"/>
        <v>9209075</v>
      </c>
      <c r="E11" s="14">
        <f t="shared" si="2"/>
        <v>9094327</v>
      </c>
      <c r="F11" s="11"/>
      <c r="G11" s="14">
        <f t="shared" ref="G11:P11" si="3">+SUM(G10:G10)</f>
        <v>0</v>
      </c>
      <c r="H11" s="14">
        <f t="shared" si="3"/>
        <v>0</v>
      </c>
      <c r="I11" s="14">
        <f t="shared" si="3"/>
        <v>0</v>
      </c>
      <c r="J11" s="14">
        <f t="shared" si="3"/>
        <v>9209075</v>
      </c>
      <c r="K11" s="14">
        <f t="shared" si="3"/>
        <v>0</v>
      </c>
      <c r="L11" s="14">
        <f t="shared" si="3"/>
        <v>0</v>
      </c>
      <c r="M11" s="14">
        <f t="shared" si="3"/>
        <v>0</v>
      </c>
      <c r="N11" s="14">
        <f t="shared" si="3"/>
        <v>9094327</v>
      </c>
      <c r="O11" s="14">
        <f t="shared" si="3"/>
        <v>0</v>
      </c>
      <c r="P11" s="14">
        <f t="shared" si="3"/>
        <v>0</v>
      </c>
      <c r="Q11" s="14">
        <f>+SUM(Q10:Q10)</f>
        <v>0</v>
      </c>
      <c r="S11" s="14" t="e">
        <f t="shared" ref="S11:U11" si="4">+SUM(S10:S10)</f>
        <v>#REF!</v>
      </c>
      <c r="T11" s="14" t="e">
        <f t="shared" si="4"/>
        <v>#REF!</v>
      </c>
      <c r="U11" s="14" t="e">
        <f t="shared" si="4"/>
        <v>#REF!</v>
      </c>
      <c r="V11" s="14" t="e">
        <f t="shared" ref="V11:AF11" si="5">+SUM(V10:V10)</f>
        <v>#REF!</v>
      </c>
      <c r="W11" s="14">
        <f t="shared" si="5"/>
        <v>0</v>
      </c>
      <c r="X11" s="14">
        <f t="shared" si="5"/>
        <v>0</v>
      </c>
      <c r="Y11" s="14">
        <f t="shared" si="5"/>
        <v>0</v>
      </c>
      <c r="Z11" s="14">
        <f t="shared" si="5"/>
        <v>9209075</v>
      </c>
      <c r="AA11" s="14">
        <f t="shared" si="5"/>
        <v>9209075</v>
      </c>
      <c r="AB11" s="14">
        <f t="shared" si="5"/>
        <v>9209075</v>
      </c>
      <c r="AC11" s="14">
        <f t="shared" si="5"/>
        <v>9209075</v>
      </c>
      <c r="AD11" s="14">
        <f t="shared" si="5"/>
        <v>9094327</v>
      </c>
      <c r="AE11" s="14">
        <f t="shared" si="5"/>
        <v>9094327</v>
      </c>
      <c r="AF11" s="14">
        <f t="shared" si="5"/>
        <v>9094327</v>
      </c>
      <c r="AG11" s="14">
        <f>+SUM(AG10:AG10)</f>
        <v>9094327</v>
      </c>
      <c r="AH11" s="40"/>
      <c r="AI11" s="15">
        <f>SUM(AG11/AC11)-1</f>
        <v>-1.2460317675770938E-2</v>
      </c>
    </row>
    <row r="12" spans="1:35" s="20" customFormat="1" ht="5.0999999999999996" customHeight="1">
      <c r="B12" s="18"/>
      <c r="C12" s="19"/>
      <c r="D12" s="19"/>
      <c r="E12" s="19"/>
      <c r="G12" s="21"/>
      <c r="H12" s="21"/>
      <c r="I12" s="21"/>
      <c r="J12" s="21"/>
      <c r="K12" s="21"/>
      <c r="L12" s="21"/>
      <c r="M12" s="21"/>
      <c r="N12" s="21"/>
      <c r="O12" s="22"/>
      <c r="P12" s="21"/>
      <c r="Q12" s="21"/>
      <c r="AI12" s="76"/>
    </row>
    <row r="13" spans="1:35" ht="12.75" customHeight="1">
      <c r="B13" s="9" t="s">
        <v>116</v>
      </c>
      <c r="C13" s="83">
        <v>-4916004</v>
      </c>
      <c r="D13" s="83">
        <v>-5348966</v>
      </c>
      <c r="E13" s="83">
        <v>-5685807</v>
      </c>
      <c r="F13" s="24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S13" s="32" t="e">
        <f>SUM(#REF!)</f>
        <v>#REF!</v>
      </c>
      <c r="T13" s="32" t="e">
        <f>SUM(#REF!)</f>
        <v>#REF!</v>
      </c>
      <c r="U13" s="32" t="e">
        <f>SUM(#REF!)</f>
        <v>#REF!</v>
      </c>
      <c r="V13" s="32" t="e">
        <f>SUM(#REF!)</f>
        <v>#REF!</v>
      </c>
      <c r="W13" s="32">
        <f>SUM(G13:G13)</f>
        <v>0</v>
      </c>
      <c r="X13" s="32">
        <f>SUM(G13:H13)</f>
        <v>0</v>
      </c>
      <c r="Y13" s="32">
        <f>SUM(G13:I13)</f>
        <v>0</v>
      </c>
      <c r="Z13" s="32">
        <f t="shared" ref="Z13" si="6">SUM(G13:J13)</f>
        <v>0</v>
      </c>
      <c r="AA13" s="32">
        <f t="shared" ref="AA13" si="7">SUM(H13:K13)</f>
        <v>0</v>
      </c>
      <c r="AB13" s="32">
        <f t="shared" ref="AB13" si="8">SUM(I13:L13)</f>
        <v>0</v>
      </c>
      <c r="AC13" s="32">
        <f t="shared" ref="AC13" si="9">SUM(J13:M13)</f>
        <v>0</v>
      </c>
      <c r="AD13" s="32">
        <f t="shared" ref="AD13" si="10">SUM(K13:N13)</f>
        <v>0</v>
      </c>
      <c r="AE13" s="32">
        <f t="shared" ref="AE13" si="11">SUM(L13:O13)</f>
        <v>0</v>
      </c>
      <c r="AF13" s="32">
        <f t="shared" ref="AF13" si="12">SUM(M13:P13)</f>
        <v>0</v>
      </c>
      <c r="AG13" s="32">
        <f>SUM(N13:Q13)</f>
        <v>0</v>
      </c>
      <c r="AH13" s="11"/>
      <c r="AI13" s="12" t="e">
        <f t="shared" ref="AI13" si="13">SUM(AG13/AC13)-1</f>
        <v>#DIV/0!</v>
      </c>
    </row>
    <row r="14" spans="1:35" ht="12.75" customHeight="1">
      <c r="B14" s="25" t="s">
        <v>24</v>
      </c>
      <c r="C14" s="26">
        <f>+SUM(C11+SUM(C13:C13))</f>
        <v>4232870</v>
      </c>
      <c r="D14" s="26">
        <f>+SUM(D11+SUM(D13:D13))</f>
        <v>3860109</v>
      </c>
      <c r="E14" s="26">
        <f>+SUM(E11+SUM(E13:E13))</f>
        <v>3408520</v>
      </c>
      <c r="G14" s="26">
        <f t="shared" ref="G14:Q14" si="14">+SUM(G11+SUM(G13:G13))</f>
        <v>0</v>
      </c>
      <c r="H14" s="26">
        <f t="shared" si="14"/>
        <v>0</v>
      </c>
      <c r="I14" s="26">
        <f t="shared" si="14"/>
        <v>0</v>
      </c>
      <c r="J14" s="26">
        <f t="shared" si="14"/>
        <v>9209075</v>
      </c>
      <c r="K14" s="26">
        <f t="shared" si="14"/>
        <v>0</v>
      </c>
      <c r="L14" s="26">
        <f t="shared" si="14"/>
        <v>0</v>
      </c>
      <c r="M14" s="26">
        <f t="shared" si="14"/>
        <v>0</v>
      </c>
      <c r="N14" s="26">
        <f t="shared" si="14"/>
        <v>9094327</v>
      </c>
      <c r="O14" s="26">
        <f t="shared" si="14"/>
        <v>0</v>
      </c>
      <c r="P14" s="26">
        <f t="shared" si="14"/>
        <v>0</v>
      </c>
      <c r="Q14" s="26">
        <f t="shared" si="14"/>
        <v>0</v>
      </c>
      <c r="S14" s="26" t="e">
        <f t="shared" ref="S14:AG14" si="15">+SUM(S11+SUM(S13:S13))</f>
        <v>#REF!</v>
      </c>
      <c r="T14" s="26" t="e">
        <f t="shared" si="15"/>
        <v>#REF!</v>
      </c>
      <c r="U14" s="26" t="e">
        <f t="shared" si="15"/>
        <v>#REF!</v>
      </c>
      <c r="V14" s="26" t="e">
        <f t="shared" si="15"/>
        <v>#REF!</v>
      </c>
      <c r="W14" s="26">
        <f t="shared" si="15"/>
        <v>0</v>
      </c>
      <c r="X14" s="26">
        <f t="shared" si="15"/>
        <v>0</v>
      </c>
      <c r="Y14" s="26">
        <f t="shared" si="15"/>
        <v>0</v>
      </c>
      <c r="Z14" s="26">
        <f t="shared" si="15"/>
        <v>9209075</v>
      </c>
      <c r="AA14" s="26">
        <f t="shared" si="15"/>
        <v>9209075</v>
      </c>
      <c r="AB14" s="26">
        <f t="shared" si="15"/>
        <v>9209075</v>
      </c>
      <c r="AC14" s="26">
        <f t="shared" si="15"/>
        <v>9209075</v>
      </c>
      <c r="AD14" s="26">
        <f t="shared" si="15"/>
        <v>9094327</v>
      </c>
      <c r="AE14" s="26">
        <f t="shared" si="15"/>
        <v>9094327</v>
      </c>
      <c r="AF14" s="26">
        <f t="shared" si="15"/>
        <v>9094327</v>
      </c>
      <c r="AG14" s="26">
        <f t="shared" si="15"/>
        <v>9094327</v>
      </c>
      <c r="AH14" s="42"/>
      <c r="AI14" s="77">
        <f>SUM(AG14/AC14)-1</f>
        <v>-1.2460317675770938E-2</v>
      </c>
    </row>
    <row r="15" spans="1:35" ht="12.75" customHeight="1">
      <c r="B15" s="16" t="s">
        <v>33</v>
      </c>
      <c r="C15" s="17">
        <f>C14/C11</f>
        <v>0.46266567885840376</v>
      </c>
      <c r="D15" s="17">
        <f>D14/D11</f>
        <v>0.41916359677817805</v>
      </c>
      <c r="E15" s="17">
        <f>E14/E11</f>
        <v>0.3747962878396609</v>
      </c>
      <c r="F15" s="27"/>
      <c r="G15" s="17" t="e">
        <f t="shared" ref="G15:Q15" si="16">G14/G11</f>
        <v>#DIV/0!</v>
      </c>
      <c r="H15" s="17" t="e">
        <f t="shared" si="16"/>
        <v>#DIV/0!</v>
      </c>
      <c r="I15" s="17" t="e">
        <f t="shared" si="16"/>
        <v>#DIV/0!</v>
      </c>
      <c r="J15" s="17">
        <f t="shared" si="16"/>
        <v>1</v>
      </c>
      <c r="K15" s="17" t="e">
        <f t="shared" si="16"/>
        <v>#DIV/0!</v>
      </c>
      <c r="L15" s="17" t="e">
        <f t="shared" si="16"/>
        <v>#DIV/0!</v>
      </c>
      <c r="M15" s="17" t="e">
        <f t="shared" si="16"/>
        <v>#DIV/0!</v>
      </c>
      <c r="N15" s="17">
        <f t="shared" si="16"/>
        <v>1</v>
      </c>
      <c r="O15" s="17" t="e">
        <f t="shared" si="16"/>
        <v>#DIV/0!</v>
      </c>
      <c r="P15" s="17" t="e">
        <f t="shared" si="16"/>
        <v>#DIV/0!</v>
      </c>
      <c r="Q15" s="17" t="e">
        <f t="shared" si="16"/>
        <v>#DIV/0!</v>
      </c>
      <c r="R15" s="28"/>
      <c r="S15" s="17" t="e">
        <f t="shared" ref="S15:AG15" si="17">S14/S11</f>
        <v>#REF!</v>
      </c>
      <c r="T15" s="17" t="e">
        <f t="shared" si="17"/>
        <v>#REF!</v>
      </c>
      <c r="U15" s="17" t="e">
        <f t="shared" si="17"/>
        <v>#REF!</v>
      </c>
      <c r="V15" s="17" t="e">
        <f t="shared" si="17"/>
        <v>#REF!</v>
      </c>
      <c r="W15" s="17" t="e">
        <f t="shared" si="17"/>
        <v>#DIV/0!</v>
      </c>
      <c r="X15" s="17" t="e">
        <f t="shared" si="17"/>
        <v>#DIV/0!</v>
      </c>
      <c r="Y15" s="17" t="e">
        <f t="shared" si="17"/>
        <v>#DIV/0!</v>
      </c>
      <c r="Z15" s="17">
        <f t="shared" si="17"/>
        <v>1</v>
      </c>
      <c r="AA15" s="17">
        <f t="shared" si="17"/>
        <v>1</v>
      </c>
      <c r="AB15" s="17">
        <f t="shared" si="17"/>
        <v>1</v>
      </c>
      <c r="AC15" s="17">
        <f t="shared" si="17"/>
        <v>1</v>
      </c>
      <c r="AD15" s="17">
        <f t="shared" si="17"/>
        <v>1</v>
      </c>
      <c r="AE15" s="17">
        <f t="shared" si="17"/>
        <v>1</v>
      </c>
      <c r="AF15" s="17">
        <f t="shared" si="17"/>
        <v>1</v>
      </c>
      <c r="AG15" s="17">
        <f t="shared" si="17"/>
        <v>1</v>
      </c>
      <c r="AH15" s="42"/>
      <c r="AI15" s="78">
        <f>SUM(AG15-AC15)*1000</f>
        <v>0</v>
      </c>
    </row>
    <row r="16" spans="1:35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42"/>
      <c r="AI16" s="76"/>
    </row>
    <row r="17" spans="2:35" ht="12.75" customHeight="1">
      <c r="B17" s="9" t="s">
        <v>155</v>
      </c>
      <c r="C17" s="83">
        <v>-3708252</v>
      </c>
      <c r="D17" s="83">
        <v>-3805235</v>
      </c>
      <c r="E17" s="83">
        <v>-3812924</v>
      </c>
      <c r="F17" s="32"/>
      <c r="G17" s="97"/>
      <c r="H17" s="97"/>
      <c r="I17" s="97"/>
      <c r="J17" s="32">
        <f t="shared" ref="J17:J18" si="18">SUM(D17-SUM(G17:I17))</f>
        <v>-3805235</v>
      </c>
      <c r="K17" s="97"/>
      <c r="L17" s="97"/>
      <c r="M17" s="97"/>
      <c r="N17" s="32">
        <f t="shared" ref="N17:N18" si="19">SUM(E17-SUM(K17:M17))</f>
        <v>-3812924</v>
      </c>
      <c r="O17" s="83"/>
      <c r="P17" s="83"/>
      <c r="Q17" s="83"/>
      <c r="S17" s="32" t="e">
        <f>SUM(#REF!)</f>
        <v>#REF!</v>
      </c>
      <c r="T17" s="32" t="e">
        <f>SUM(#REF!)</f>
        <v>#REF!</v>
      </c>
      <c r="U17" s="32" t="e">
        <f>SUM(#REF!)</f>
        <v>#REF!</v>
      </c>
      <c r="V17" s="32" t="e">
        <f>SUM(#REF!)</f>
        <v>#REF!</v>
      </c>
      <c r="W17" s="32">
        <f>SUM(G17:G17)</f>
        <v>0</v>
      </c>
      <c r="X17" s="32">
        <f>SUM(G17:H17)</f>
        <v>0</v>
      </c>
      <c r="Y17" s="32">
        <f>SUM(G17:I17)</f>
        <v>0</v>
      </c>
      <c r="Z17" s="32">
        <f t="shared" ref="Z17:AG17" si="20">SUM(G17:J17)</f>
        <v>-3805235</v>
      </c>
      <c r="AA17" s="32">
        <f t="shared" si="20"/>
        <v>-3805235</v>
      </c>
      <c r="AB17" s="32">
        <f t="shared" si="20"/>
        <v>-3805235</v>
      </c>
      <c r="AC17" s="32">
        <f t="shared" si="20"/>
        <v>-3805235</v>
      </c>
      <c r="AD17" s="32">
        <f t="shared" si="20"/>
        <v>-3812924</v>
      </c>
      <c r="AE17" s="32">
        <f t="shared" si="20"/>
        <v>-3812924</v>
      </c>
      <c r="AF17" s="32">
        <f t="shared" si="20"/>
        <v>-3812924</v>
      </c>
      <c r="AG17" s="32">
        <f t="shared" si="20"/>
        <v>-3812924</v>
      </c>
      <c r="AH17" s="11"/>
      <c r="AI17" s="76">
        <f>SUM(AG17/AC17)-1</f>
        <v>2.0206373587965398E-3</v>
      </c>
    </row>
    <row r="18" spans="2:35" ht="12.75" customHeight="1">
      <c r="B18" s="9" t="s">
        <v>156</v>
      </c>
      <c r="C18" s="83">
        <v>0</v>
      </c>
      <c r="D18" s="83">
        <v>-15987</v>
      </c>
      <c r="E18" s="83">
        <v>-308902</v>
      </c>
      <c r="F18" s="32"/>
      <c r="G18" s="97"/>
      <c r="H18" s="97"/>
      <c r="I18" s="97"/>
      <c r="J18" s="32">
        <f t="shared" si="18"/>
        <v>-15987</v>
      </c>
      <c r="K18" s="97"/>
      <c r="L18" s="97"/>
      <c r="M18" s="97"/>
      <c r="N18" s="32">
        <f t="shared" si="19"/>
        <v>-308902</v>
      </c>
      <c r="O18" s="83"/>
      <c r="P18" s="83"/>
      <c r="Q18" s="83"/>
      <c r="S18" s="32" t="e">
        <f>SUM(#REF!)</f>
        <v>#REF!</v>
      </c>
      <c r="T18" s="32" t="e">
        <f>SUM(#REF!)</f>
        <v>#REF!</v>
      </c>
      <c r="U18" s="32" t="e">
        <f>SUM(#REF!)</f>
        <v>#REF!</v>
      </c>
      <c r="V18" s="32" t="e">
        <f>SUM(#REF!)</f>
        <v>#REF!</v>
      </c>
      <c r="W18" s="32">
        <f>SUM(G18:G18)</f>
        <v>0</v>
      </c>
      <c r="X18" s="32">
        <f>SUM(G18:H18)</f>
        <v>0</v>
      </c>
      <c r="Y18" s="32">
        <f>SUM(G18:I18)</f>
        <v>0</v>
      </c>
      <c r="Z18" s="32">
        <f t="shared" ref="Z18" si="21">SUM(G18:J18)</f>
        <v>-15987</v>
      </c>
      <c r="AA18" s="32">
        <f t="shared" ref="AA18" si="22">SUM(H18:K18)</f>
        <v>-15987</v>
      </c>
      <c r="AB18" s="32">
        <f t="shared" ref="AB18" si="23">SUM(I18:L18)</f>
        <v>-15987</v>
      </c>
      <c r="AC18" s="32">
        <f t="shared" ref="AC18" si="24">SUM(J18:M18)</f>
        <v>-15987</v>
      </c>
      <c r="AD18" s="32">
        <f t="shared" ref="AD18" si="25">SUM(K18:N18)</f>
        <v>-308902</v>
      </c>
      <c r="AE18" s="32">
        <f t="shared" ref="AE18" si="26">SUM(L18:O18)</f>
        <v>-308902</v>
      </c>
      <c r="AF18" s="32">
        <f t="shared" ref="AF18" si="27">SUM(M18:P18)</f>
        <v>-308902</v>
      </c>
      <c r="AG18" s="32">
        <f t="shared" ref="AG18" si="28">SUM(N18:Q18)</f>
        <v>-308902</v>
      </c>
      <c r="AH18" s="11"/>
      <c r="AI18" s="76"/>
    </row>
    <row r="19" spans="2:35" ht="12.75" customHeight="1">
      <c r="B19" s="25" t="s">
        <v>79</v>
      </c>
      <c r="C19" s="26">
        <f>+SUM(C14+SUM(C17:C18))</f>
        <v>524618</v>
      </c>
      <c r="D19" s="26">
        <f t="shared" ref="D19:E19" si="29">+SUM(D14+SUM(D17:D18))</f>
        <v>38887</v>
      </c>
      <c r="E19" s="26">
        <f t="shared" si="29"/>
        <v>-713306</v>
      </c>
      <c r="F19" s="32"/>
      <c r="G19" s="26">
        <f t="shared" ref="G19" si="30">+SUM(G14+SUM(G17:G18))</f>
        <v>0</v>
      </c>
      <c r="H19" s="26">
        <f t="shared" ref="H19" si="31">+SUM(H14+SUM(H17:H18))</f>
        <v>0</v>
      </c>
      <c r="I19" s="26">
        <f t="shared" ref="I19" si="32">+SUM(I14+SUM(I17:I18))</f>
        <v>0</v>
      </c>
      <c r="J19" s="26">
        <f t="shared" ref="J19" si="33">+SUM(J14+SUM(J17:J18))</f>
        <v>5387853</v>
      </c>
      <c r="K19" s="26">
        <f t="shared" ref="K19" si="34">+SUM(K14+SUM(K17:K18))</f>
        <v>0</v>
      </c>
      <c r="L19" s="26">
        <f t="shared" ref="L19" si="35">+SUM(L14+SUM(L17:L18))</f>
        <v>0</v>
      </c>
      <c r="M19" s="26">
        <f t="shared" ref="M19" si="36">+SUM(M14+SUM(M17:M18))</f>
        <v>0</v>
      </c>
      <c r="N19" s="26">
        <f t="shared" ref="N19" si="37">+SUM(N14+SUM(N17:N18))</f>
        <v>4972501</v>
      </c>
      <c r="O19" s="26">
        <f t="shared" ref="O19" si="38">+SUM(O14+SUM(O17:O18))</f>
        <v>0</v>
      </c>
      <c r="P19" s="26">
        <f t="shared" ref="P19" si="39">+SUM(P14+SUM(P17:P18))</f>
        <v>0</v>
      </c>
      <c r="Q19" s="26">
        <f t="shared" ref="Q19" si="40">+SUM(Q14+SUM(Q17:Q18))</f>
        <v>0</v>
      </c>
      <c r="S19" s="26" t="e">
        <f>+SUM(S14+SUM(S17:S17))</f>
        <v>#REF!</v>
      </c>
      <c r="T19" s="26" t="e">
        <f>+SUM(T14+SUM(T17:T17))</f>
        <v>#REF!</v>
      </c>
      <c r="U19" s="26" t="e">
        <f>+SUM(U14+SUM(U17:U17))</f>
        <v>#REF!</v>
      </c>
      <c r="V19" s="26" t="e">
        <f>+SUM(V14+SUM(V17:V17))</f>
        <v>#REF!</v>
      </c>
      <c r="W19" s="26">
        <f>+SUM(W14+SUM(W17:W17))</f>
        <v>0</v>
      </c>
      <c r="X19" s="26">
        <f>+SUM(X14+SUM(X17:X17))</f>
        <v>0</v>
      </c>
      <c r="Y19" s="26">
        <f>+SUM(Y14+SUM(Y17:Y17))</f>
        <v>0</v>
      </c>
      <c r="Z19" s="26">
        <f>+SUM(Z14+SUM(Z17:Z17))</f>
        <v>5403840</v>
      </c>
      <c r="AA19" s="26">
        <f>+SUM(AA14+SUM(AA17:AA17))</f>
        <v>5403840</v>
      </c>
      <c r="AB19" s="26">
        <f>+SUM(AB14+SUM(AB17:AB17))</f>
        <v>5403840</v>
      </c>
      <c r="AC19" s="26">
        <f t="shared" ref="AC19" si="41">+SUM(AC14+SUM(AC17:AC18))</f>
        <v>5387853</v>
      </c>
      <c r="AD19" s="26">
        <f t="shared" ref="AD19" si="42">+SUM(AD14+SUM(AD17:AD18))</f>
        <v>4972501</v>
      </c>
      <c r="AE19" s="26">
        <f t="shared" ref="AE19" si="43">+SUM(AE14+SUM(AE17:AE18))</f>
        <v>4972501</v>
      </c>
      <c r="AF19" s="26">
        <f t="shared" ref="AF19" si="44">+SUM(AF14+SUM(AF17:AF18))</f>
        <v>4972501</v>
      </c>
      <c r="AG19" s="26">
        <f t="shared" ref="AG19" si="45">+SUM(AG14+SUM(AG17:AG18))</f>
        <v>4972501</v>
      </c>
      <c r="AH19" s="11"/>
      <c r="AI19" s="77">
        <f>SUM(AG19/AC19)-1</f>
        <v>-7.7090447716372412E-2</v>
      </c>
    </row>
    <row r="20" spans="2:35" ht="12.75" customHeight="1">
      <c r="B20" s="16" t="s">
        <v>35</v>
      </c>
      <c r="C20" s="17">
        <f>C19/C11</f>
        <v>5.7342357103180128E-2</v>
      </c>
      <c r="D20" s="17">
        <f>D19/D11</f>
        <v>4.2226825169737461E-3</v>
      </c>
      <c r="E20" s="17">
        <f>E19/E11</f>
        <v>-7.8434171104689768E-2</v>
      </c>
      <c r="F20" s="32"/>
      <c r="G20" s="17" t="e">
        <f>G19/G11</f>
        <v>#DIV/0!</v>
      </c>
      <c r="H20" s="17" t="e">
        <f>H19/H11</f>
        <v>#DIV/0!</v>
      </c>
      <c r="I20" s="17" t="e">
        <f>I19/I11</f>
        <v>#DIV/0!</v>
      </c>
      <c r="J20" s="17">
        <f>J19/J11</f>
        <v>0.58505908573879573</v>
      </c>
      <c r="K20" s="17" t="e">
        <f>K19/K11</f>
        <v>#DIV/0!</v>
      </c>
      <c r="L20" s="17" t="e">
        <f>L19/L11</f>
        <v>#DIV/0!</v>
      </c>
      <c r="M20" s="17" t="e">
        <f>M19/M11</f>
        <v>#DIV/0!</v>
      </c>
      <c r="N20" s="17">
        <f>N19/N11</f>
        <v>0.54676954105564934</v>
      </c>
      <c r="O20" s="17" t="e">
        <f>O19/O11</f>
        <v>#DIV/0!</v>
      </c>
      <c r="P20" s="17" t="e">
        <f>P19/P11</f>
        <v>#DIV/0!</v>
      </c>
      <c r="Q20" s="17" t="e">
        <f>Q19/Q11</f>
        <v>#DIV/0!</v>
      </c>
      <c r="S20" s="17" t="e">
        <f>S19/S11</f>
        <v>#REF!</v>
      </c>
      <c r="T20" s="17" t="e">
        <f>T19/T11</f>
        <v>#REF!</v>
      </c>
      <c r="U20" s="17" t="e">
        <f>U19/U11</f>
        <v>#REF!</v>
      </c>
      <c r="V20" s="17" t="e">
        <f>V19/V11</f>
        <v>#REF!</v>
      </c>
      <c r="W20" s="17" t="e">
        <f>W19/W11</f>
        <v>#DIV/0!</v>
      </c>
      <c r="X20" s="17" t="e">
        <f>X19/X11</f>
        <v>#DIV/0!</v>
      </c>
      <c r="Y20" s="17" t="e">
        <f>Y19/Y11</f>
        <v>#DIV/0!</v>
      </c>
      <c r="Z20" s="17">
        <f>Z19/Z11</f>
        <v>0.58679509071215075</v>
      </c>
      <c r="AA20" s="17">
        <f>AA19/AA11</f>
        <v>0.58679509071215075</v>
      </c>
      <c r="AB20" s="17">
        <f>AB19/AB11</f>
        <v>0.58679509071215075</v>
      </c>
      <c r="AC20" s="17">
        <f>AC19/AC11</f>
        <v>0.58505908573879573</v>
      </c>
      <c r="AD20" s="17">
        <f>AD19/AD11</f>
        <v>0.54676954105564934</v>
      </c>
      <c r="AE20" s="17">
        <f>AE19/AE11</f>
        <v>0.54676954105564934</v>
      </c>
      <c r="AF20" s="17">
        <f>AF19/AF11</f>
        <v>0.54676954105564934</v>
      </c>
      <c r="AG20" s="17">
        <f>AG19/AG11</f>
        <v>0.54676954105564934</v>
      </c>
      <c r="AH20" s="11"/>
      <c r="AI20" s="78">
        <f>SUM(AG20-AC20)*1000</f>
        <v>-38.289544683146381</v>
      </c>
    </row>
    <row r="21" spans="2:35" ht="5.0999999999999996" customHeight="1">
      <c r="B21" s="16"/>
      <c r="C21" s="17"/>
      <c r="D21" s="17"/>
      <c r="E21" s="17"/>
      <c r="F21" s="32"/>
      <c r="G21" s="83"/>
      <c r="H21" s="83"/>
      <c r="I21" s="83"/>
      <c r="J21" s="83"/>
      <c r="K21" s="83"/>
      <c r="L21" s="83"/>
      <c r="M21" s="83"/>
      <c r="N21" s="83"/>
      <c r="O21" s="32"/>
      <c r="P21" s="83"/>
      <c r="Q21" s="83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11"/>
      <c r="AI21" s="76"/>
    </row>
    <row r="22" spans="2:35" ht="12.75" customHeight="1">
      <c r="B22" s="9" t="s">
        <v>121</v>
      </c>
      <c r="C22" s="83">
        <v>-50841</v>
      </c>
      <c r="D22" s="83">
        <v>-87989</v>
      </c>
      <c r="E22" s="83">
        <v>-81033</v>
      </c>
      <c r="F22" s="32"/>
      <c r="G22" s="97"/>
      <c r="H22" s="97"/>
      <c r="I22" s="97"/>
      <c r="J22" s="32">
        <f t="shared" ref="J22:J24" si="46">SUM(D22-SUM(G22:I22))</f>
        <v>-87989</v>
      </c>
      <c r="K22" s="97"/>
      <c r="L22" s="97"/>
      <c r="M22" s="97"/>
      <c r="N22" s="32">
        <f t="shared" ref="N22:N24" si="47">SUM(E22-SUM(K22:M22))</f>
        <v>-81033</v>
      </c>
      <c r="O22" s="83"/>
      <c r="P22" s="83"/>
      <c r="Q22" s="83"/>
      <c r="S22" s="32" t="e">
        <f>SUM(#REF!)</f>
        <v>#REF!</v>
      </c>
      <c r="T22" s="32" t="e">
        <f>SUM(#REF!)</f>
        <v>#REF!</v>
      </c>
      <c r="U22" s="32" t="e">
        <f>SUM(#REF!)</f>
        <v>#REF!</v>
      </c>
      <c r="V22" s="32" t="e">
        <f>SUM(#REF!)</f>
        <v>#REF!</v>
      </c>
      <c r="W22" s="32">
        <f>SUM(G22:G22)</f>
        <v>0</v>
      </c>
      <c r="X22" s="32">
        <f>SUM(G22:H22)</f>
        <v>0</v>
      </c>
      <c r="Y22" s="32">
        <f>SUM(G22:I22)</f>
        <v>0</v>
      </c>
      <c r="Z22" s="32">
        <f t="shared" ref="Z22:Z24" si="48">SUM(G22:J22)</f>
        <v>-87989</v>
      </c>
      <c r="AA22" s="32">
        <f t="shared" ref="AA22:AA24" si="49">SUM(H22:K22)</f>
        <v>-87989</v>
      </c>
      <c r="AB22" s="32">
        <f t="shared" ref="AB22:AB24" si="50">SUM(I22:L22)</f>
        <v>-87989</v>
      </c>
      <c r="AC22" s="32">
        <f t="shared" ref="AC22:AC24" si="51">SUM(J22:M22)</f>
        <v>-87989</v>
      </c>
      <c r="AD22" s="32">
        <f t="shared" ref="AD22:AD24" si="52">SUM(K22:N22)</f>
        <v>-81033</v>
      </c>
      <c r="AE22" s="32">
        <f t="shared" ref="AE22:AE24" si="53">SUM(L22:O22)</f>
        <v>-81033</v>
      </c>
      <c r="AF22" s="32">
        <f t="shared" ref="AF22:AF24" si="54">SUM(M22:P22)</f>
        <v>-81033</v>
      </c>
      <c r="AG22" s="32">
        <f t="shared" ref="AG22:AG24" si="55">SUM(N22:Q22)</f>
        <v>-81033</v>
      </c>
      <c r="AH22" s="11"/>
      <c r="AI22" s="76">
        <f>SUM(AG22/AC22)-1</f>
        <v>-7.9055336462512393E-2</v>
      </c>
    </row>
    <row r="23" spans="2:35" ht="12.75" customHeight="1">
      <c r="B23" s="9" t="s">
        <v>122</v>
      </c>
      <c r="C23" s="83">
        <v>-7408</v>
      </c>
      <c r="D23" s="83">
        <v>0</v>
      </c>
      <c r="E23" s="83">
        <v>0</v>
      </c>
      <c r="F23" s="32"/>
      <c r="G23" s="97"/>
      <c r="H23" s="97"/>
      <c r="I23" s="97"/>
      <c r="J23" s="32">
        <f t="shared" si="46"/>
        <v>0</v>
      </c>
      <c r="K23" s="97"/>
      <c r="L23" s="97"/>
      <c r="M23" s="97"/>
      <c r="N23" s="32">
        <f t="shared" si="47"/>
        <v>0</v>
      </c>
      <c r="O23" s="83"/>
      <c r="P23" s="83"/>
      <c r="Q23" s="83"/>
      <c r="S23" s="32" t="e">
        <f>SUM(#REF!)</f>
        <v>#REF!</v>
      </c>
      <c r="T23" s="32" t="e">
        <f>SUM(#REF!)</f>
        <v>#REF!</v>
      </c>
      <c r="U23" s="32" t="e">
        <f>SUM(#REF!)</f>
        <v>#REF!</v>
      </c>
      <c r="V23" s="32" t="e">
        <f>SUM(#REF!)</f>
        <v>#REF!</v>
      </c>
      <c r="W23" s="32">
        <f>SUM(G23:G23)</f>
        <v>0</v>
      </c>
      <c r="X23" s="32">
        <f>SUM(G23:H23)</f>
        <v>0</v>
      </c>
      <c r="Y23" s="32">
        <f>SUM(G23:I23)</f>
        <v>0</v>
      </c>
      <c r="Z23" s="32">
        <f t="shared" si="48"/>
        <v>0</v>
      </c>
      <c r="AA23" s="32">
        <f t="shared" si="49"/>
        <v>0</v>
      </c>
      <c r="AB23" s="32">
        <f t="shared" si="50"/>
        <v>0</v>
      </c>
      <c r="AC23" s="32">
        <f t="shared" si="51"/>
        <v>0</v>
      </c>
      <c r="AD23" s="32">
        <f t="shared" si="52"/>
        <v>0</v>
      </c>
      <c r="AE23" s="32">
        <f t="shared" si="53"/>
        <v>0</v>
      </c>
      <c r="AF23" s="32">
        <f t="shared" si="54"/>
        <v>0</v>
      </c>
      <c r="AG23" s="32">
        <f t="shared" si="55"/>
        <v>0</v>
      </c>
      <c r="AH23" s="11"/>
      <c r="AI23" s="76" t="e">
        <f>SUM(AG23/AC23)-1</f>
        <v>#DIV/0!</v>
      </c>
    </row>
    <row r="24" spans="2:35" ht="12.75" customHeight="1">
      <c r="B24" s="9" t="s">
        <v>123</v>
      </c>
      <c r="C24" s="83">
        <v>-6176</v>
      </c>
      <c r="D24" s="83">
        <v>1924</v>
      </c>
      <c r="E24" s="83">
        <v>26241</v>
      </c>
      <c r="F24" s="32"/>
      <c r="G24" s="97"/>
      <c r="H24" s="97"/>
      <c r="I24" s="97"/>
      <c r="J24" s="32">
        <f t="shared" si="46"/>
        <v>1924</v>
      </c>
      <c r="K24" s="97"/>
      <c r="L24" s="97"/>
      <c r="M24" s="97"/>
      <c r="N24" s="32">
        <f t="shared" si="47"/>
        <v>26241</v>
      </c>
      <c r="O24" s="83"/>
      <c r="P24" s="83"/>
      <c r="Q24" s="83"/>
      <c r="S24" s="32" t="e">
        <f>SUM(#REF!)</f>
        <v>#REF!</v>
      </c>
      <c r="T24" s="32" t="e">
        <f>SUM(#REF!)</f>
        <v>#REF!</v>
      </c>
      <c r="U24" s="32" t="e">
        <f>SUM(#REF!)</f>
        <v>#REF!</v>
      </c>
      <c r="V24" s="32" t="e">
        <f>SUM(#REF!)</f>
        <v>#REF!</v>
      </c>
      <c r="W24" s="32">
        <f>SUM(G24:G24)</f>
        <v>0</v>
      </c>
      <c r="X24" s="32">
        <f>SUM(G24:H24)</f>
        <v>0</v>
      </c>
      <c r="Y24" s="32">
        <f>SUM(G24:I24)</f>
        <v>0</v>
      </c>
      <c r="Z24" s="32">
        <f t="shared" si="48"/>
        <v>1924</v>
      </c>
      <c r="AA24" s="32">
        <f t="shared" si="49"/>
        <v>1924</v>
      </c>
      <c r="AB24" s="32">
        <f t="shared" si="50"/>
        <v>1924</v>
      </c>
      <c r="AC24" s="32">
        <f t="shared" si="51"/>
        <v>1924</v>
      </c>
      <c r="AD24" s="32">
        <f t="shared" si="52"/>
        <v>26241</v>
      </c>
      <c r="AE24" s="32">
        <f t="shared" si="53"/>
        <v>26241</v>
      </c>
      <c r="AF24" s="32">
        <f t="shared" si="54"/>
        <v>26241</v>
      </c>
      <c r="AG24" s="32">
        <f t="shared" si="55"/>
        <v>26241</v>
      </c>
      <c r="AH24" s="11"/>
      <c r="AI24" s="76">
        <f>SUM(AG24/AC24)-1</f>
        <v>12.638773388773389</v>
      </c>
    </row>
    <row r="25" spans="2:35" ht="12.75" customHeight="1">
      <c r="B25" s="25" t="s">
        <v>80</v>
      </c>
      <c r="C25" s="26">
        <f t="shared" ref="C25:E25" si="56">SUM(C19+SUM(C22:C24))</f>
        <v>460193</v>
      </c>
      <c r="D25" s="26">
        <f t="shared" si="56"/>
        <v>-47178</v>
      </c>
      <c r="E25" s="26">
        <f t="shared" si="56"/>
        <v>-768098</v>
      </c>
      <c r="G25" s="26">
        <f t="shared" ref="G25:Q25" si="57">SUM(G19+SUM(G22:G24))</f>
        <v>0</v>
      </c>
      <c r="H25" s="26">
        <f t="shared" si="57"/>
        <v>0</v>
      </c>
      <c r="I25" s="26">
        <f t="shared" si="57"/>
        <v>0</v>
      </c>
      <c r="J25" s="26">
        <f t="shared" si="57"/>
        <v>5301788</v>
      </c>
      <c r="K25" s="26">
        <f t="shared" si="57"/>
        <v>0</v>
      </c>
      <c r="L25" s="26">
        <f t="shared" si="57"/>
        <v>0</v>
      </c>
      <c r="M25" s="26">
        <f t="shared" si="57"/>
        <v>0</v>
      </c>
      <c r="N25" s="26">
        <f t="shared" si="57"/>
        <v>4917709</v>
      </c>
      <c r="O25" s="26">
        <f t="shared" si="57"/>
        <v>0</v>
      </c>
      <c r="P25" s="26">
        <f t="shared" si="57"/>
        <v>0</v>
      </c>
      <c r="Q25" s="26">
        <f t="shared" si="57"/>
        <v>0</v>
      </c>
      <c r="S25" s="26" t="e">
        <f t="shared" ref="S25:AG25" si="58">SUM(S19+SUM(S22:S24))</f>
        <v>#REF!</v>
      </c>
      <c r="T25" s="26" t="e">
        <f t="shared" si="58"/>
        <v>#REF!</v>
      </c>
      <c r="U25" s="26" t="e">
        <f t="shared" si="58"/>
        <v>#REF!</v>
      </c>
      <c r="V25" s="26" t="e">
        <f t="shared" si="58"/>
        <v>#REF!</v>
      </c>
      <c r="W25" s="26">
        <f t="shared" si="58"/>
        <v>0</v>
      </c>
      <c r="X25" s="26">
        <f t="shared" si="58"/>
        <v>0</v>
      </c>
      <c r="Y25" s="26">
        <f t="shared" si="58"/>
        <v>0</v>
      </c>
      <c r="Z25" s="26">
        <f t="shared" si="58"/>
        <v>5317775</v>
      </c>
      <c r="AA25" s="26">
        <f t="shared" si="58"/>
        <v>5317775</v>
      </c>
      <c r="AB25" s="26">
        <f t="shared" si="58"/>
        <v>5317775</v>
      </c>
      <c r="AC25" s="26">
        <f t="shared" si="58"/>
        <v>5301788</v>
      </c>
      <c r="AD25" s="26">
        <f t="shared" si="58"/>
        <v>4917709</v>
      </c>
      <c r="AE25" s="26">
        <f t="shared" si="58"/>
        <v>4917709</v>
      </c>
      <c r="AF25" s="26">
        <f t="shared" si="58"/>
        <v>4917709</v>
      </c>
      <c r="AG25" s="26">
        <f t="shared" si="58"/>
        <v>4917709</v>
      </c>
      <c r="AH25" s="42"/>
      <c r="AI25" s="77">
        <f>SUM(AG25/AC25)-1</f>
        <v>-7.244329648790182E-2</v>
      </c>
    </row>
    <row r="26" spans="2:35" ht="12.75" customHeight="1">
      <c r="B26" s="16" t="s">
        <v>81</v>
      </c>
      <c r="C26" s="17">
        <f>C25/C11</f>
        <v>5.0300506925770316E-2</v>
      </c>
      <c r="D26" s="17">
        <f>D25/D11</f>
        <v>-5.1229900940105277E-3</v>
      </c>
      <c r="E26" s="17">
        <f>E25/E11</f>
        <v>-8.4459025940017335E-2</v>
      </c>
      <c r="F26" s="27"/>
      <c r="G26" s="17" t="e">
        <f>G25/G11</f>
        <v>#DIV/0!</v>
      </c>
      <c r="H26" s="17" t="e">
        <f>H25/H11</f>
        <v>#DIV/0!</v>
      </c>
      <c r="I26" s="17" t="e">
        <f>I25/I11</f>
        <v>#DIV/0!</v>
      </c>
      <c r="J26" s="17">
        <f>J25/J11</f>
        <v>0.57571341312781144</v>
      </c>
      <c r="K26" s="17" t="e">
        <f>K25/K11</f>
        <v>#DIV/0!</v>
      </c>
      <c r="L26" s="17" t="e">
        <f>L25/L11</f>
        <v>#DIV/0!</v>
      </c>
      <c r="M26" s="17" t="e">
        <f>M25/M11</f>
        <v>#DIV/0!</v>
      </c>
      <c r="N26" s="17">
        <f>N25/N11</f>
        <v>0.54074468622032179</v>
      </c>
      <c r="O26" s="17" t="e">
        <f>O25/O11</f>
        <v>#DIV/0!</v>
      </c>
      <c r="P26" s="17" t="e">
        <f>P25/P11</f>
        <v>#DIV/0!</v>
      </c>
      <c r="Q26" s="17" t="e">
        <f>Q25/Q11</f>
        <v>#DIV/0!</v>
      </c>
      <c r="R26" s="28"/>
      <c r="S26" s="17" t="e">
        <f>S25/S11</f>
        <v>#REF!</v>
      </c>
      <c r="T26" s="17" t="e">
        <f>T25/T11</f>
        <v>#REF!</v>
      </c>
      <c r="U26" s="17" t="e">
        <f>U25/U11</f>
        <v>#REF!</v>
      </c>
      <c r="V26" s="17" t="e">
        <f>V25/V11</f>
        <v>#REF!</v>
      </c>
      <c r="W26" s="17" t="e">
        <f>W25/W11</f>
        <v>#DIV/0!</v>
      </c>
      <c r="X26" s="17" t="e">
        <f>X25/X11</f>
        <v>#DIV/0!</v>
      </c>
      <c r="Y26" s="17" t="e">
        <f>Y25/Y11</f>
        <v>#DIV/0!</v>
      </c>
      <c r="Z26" s="17">
        <f>Z25/Z11</f>
        <v>0.57744941810116657</v>
      </c>
      <c r="AA26" s="17">
        <f>AA25/AA11</f>
        <v>0.57744941810116657</v>
      </c>
      <c r="AB26" s="17">
        <f>AB25/AB11</f>
        <v>0.57744941810116657</v>
      </c>
      <c r="AC26" s="17">
        <f>AC25/AC11</f>
        <v>0.57571341312781144</v>
      </c>
      <c r="AD26" s="17">
        <f>AD25/AD11</f>
        <v>0.54074468622032179</v>
      </c>
      <c r="AE26" s="17">
        <f>AE25/AE11</f>
        <v>0.54074468622032179</v>
      </c>
      <c r="AF26" s="17">
        <f>AF25/AF11</f>
        <v>0.54074468622032179</v>
      </c>
      <c r="AG26" s="17">
        <f>AG25/AG11</f>
        <v>0.54074468622032179</v>
      </c>
      <c r="AH26" s="43"/>
      <c r="AI26" s="78">
        <f>SUM(AG26-AC26)*1000</f>
        <v>-34.968726907489646</v>
      </c>
    </row>
    <row r="27" spans="2:35" ht="5.0999999999999996" customHeight="1">
      <c r="B27" s="29"/>
      <c r="C27" s="44"/>
      <c r="D27" s="44"/>
      <c r="E27" s="44"/>
      <c r="F27" s="30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3"/>
      <c r="AI27" s="76"/>
    </row>
    <row r="28" spans="2:35" ht="12.75" customHeight="1">
      <c r="B28" s="45" t="s">
        <v>157</v>
      </c>
      <c r="C28" s="83">
        <v>-99657</v>
      </c>
      <c r="D28" s="83">
        <v>17154</v>
      </c>
      <c r="E28" s="83">
        <v>181143</v>
      </c>
      <c r="F28" s="32"/>
      <c r="G28" s="97"/>
      <c r="H28" s="97"/>
      <c r="I28" s="97"/>
      <c r="J28" s="32">
        <f>SUM(D28-SUM(G28:I28))</f>
        <v>17154</v>
      </c>
      <c r="K28" s="97"/>
      <c r="L28" s="97"/>
      <c r="M28" s="97"/>
      <c r="N28" s="32">
        <f>SUM(E28-SUM(K28:M28))</f>
        <v>181143</v>
      </c>
      <c r="O28" s="83"/>
      <c r="P28" s="83"/>
      <c r="Q28" s="83"/>
      <c r="R28" s="32"/>
      <c r="S28" s="32" t="e">
        <f>SUM(#REF!)</f>
        <v>#REF!</v>
      </c>
      <c r="T28" s="32" t="e">
        <f>SUM(#REF!)</f>
        <v>#REF!</v>
      </c>
      <c r="U28" s="32" t="e">
        <f>SUM(#REF!)</f>
        <v>#REF!</v>
      </c>
      <c r="V28" s="32" t="e">
        <f>SUM(#REF!)</f>
        <v>#REF!</v>
      </c>
      <c r="W28" s="32">
        <f>SUM(G28:G28)</f>
        <v>0</v>
      </c>
      <c r="X28" s="32">
        <f>SUM(G28:H28)</f>
        <v>0</v>
      </c>
      <c r="Y28" s="32">
        <f>SUM(G28:I28)</f>
        <v>0</v>
      </c>
      <c r="Z28" s="32">
        <f t="shared" ref="Z28" si="59">SUM(G28:J28)</f>
        <v>17154</v>
      </c>
      <c r="AA28" s="32">
        <f t="shared" ref="AA28" si="60">SUM(H28:K28)</f>
        <v>17154</v>
      </c>
      <c r="AB28" s="32">
        <f t="shared" ref="AB28" si="61">SUM(I28:L28)</f>
        <v>17154</v>
      </c>
      <c r="AC28" s="32">
        <f t="shared" ref="AC28" si="62">SUM(J28:M28)</f>
        <v>17154</v>
      </c>
      <c r="AD28" s="32">
        <f t="shared" ref="AD28" si="63">SUM(K28:N28)</f>
        <v>181143</v>
      </c>
      <c r="AE28" s="32">
        <f t="shared" ref="AE28" si="64">SUM(L28:O28)</f>
        <v>181143</v>
      </c>
      <c r="AF28" s="32">
        <f t="shared" ref="AF28" si="65">SUM(M28:P28)</f>
        <v>181143</v>
      </c>
      <c r="AG28" s="32">
        <f>SUM(N28:Q28)</f>
        <v>181143</v>
      </c>
      <c r="AH28" s="43"/>
      <c r="AI28" s="76">
        <f>SUM(AG28/AC28)-1</f>
        <v>9.5598111227701992</v>
      </c>
    </row>
    <row r="29" spans="2:35" ht="12.75" customHeight="1">
      <c r="B29" s="13" t="s">
        <v>158</v>
      </c>
      <c r="C29" s="14">
        <f>SUM(C25+SUM(C28))</f>
        <v>360536</v>
      </c>
      <c r="D29" s="14">
        <f t="shared" ref="D29:E29" si="66">SUM(D25+SUM(D28))</f>
        <v>-30024</v>
      </c>
      <c r="E29" s="14">
        <f t="shared" si="66"/>
        <v>-586955</v>
      </c>
      <c r="F29" s="11"/>
      <c r="G29" s="14">
        <f t="shared" ref="G29" si="67">SUM(G25+SUM(G28))</f>
        <v>0</v>
      </c>
      <c r="H29" s="14">
        <f t="shared" ref="H29" si="68">SUM(H25+SUM(H28))</f>
        <v>0</v>
      </c>
      <c r="I29" s="14">
        <f t="shared" ref="I29" si="69">SUM(I25+SUM(I28))</f>
        <v>0</v>
      </c>
      <c r="J29" s="14">
        <f t="shared" ref="J29" si="70">SUM(J25+SUM(J28))</f>
        <v>5318942</v>
      </c>
      <c r="K29" s="14">
        <f t="shared" ref="K29" si="71">SUM(K25+SUM(K28))</f>
        <v>0</v>
      </c>
      <c r="L29" s="14">
        <f t="shared" ref="L29" si="72">SUM(L25+SUM(L28))</f>
        <v>0</v>
      </c>
      <c r="M29" s="14">
        <f t="shared" ref="M29" si="73">SUM(M25+SUM(M28))</f>
        <v>0</v>
      </c>
      <c r="N29" s="14">
        <f t="shared" ref="N29" si="74">SUM(N25+SUM(N28))</f>
        <v>5098852</v>
      </c>
      <c r="O29" s="14">
        <f t="shared" ref="O29" si="75">SUM(O25+SUM(O28))</f>
        <v>0</v>
      </c>
      <c r="P29" s="14">
        <f t="shared" ref="P29" si="76">SUM(P25+SUM(P28))</f>
        <v>0</v>
      </c>
      <c r="Q29" s="14">
        <f t="shared" ref="Q29" si="77">SUM(Q25+SUM(Q28))</f>
        <v>0</v>
      </c>
      <c r="R29" s="32"/>
      <c r="S29" s="14" t="e">
        <f t="shared" ref="S29:AB29" si="78">SUM(S23+SUM(S26:S26))</f>
        <v>#REF!</v>
      </c>
      <c r="T29" s="14" t="e">
        <f t="shared" si="78"/>
        <v>#REF!</v>
      </c>
      <c r="U29" s="14" t="e">
        <f t="shared" si="78"/>
        <v>#REF!</v>
      </c>
      <c r="V29" s="14" t="e">
        <f t="shared" si="78"/>
        <v>#REF!</v>
      </c>
      <c r="W29" s="14" t="e">
        <f t="shared" si="78"/>
        <v>#DIV/0!</v>
      </c>
      <c r="X29" s="14" t="e">
        <f t="shared" si="78"/>
        <v>#DIV/0!</v>
      </c>
      <c r="Y29" s="14" t="e">
        <f t="shared" si="78"/>
        <v>#DIV/0!</v>
      </c>
      <c r="Z29" s="14">
        <f t="shared" si="78"/>
        <v>0.57744941810116657</v>
      </c>
      <c r="AA29" s="14">
        <f t="shared" si="78"/>
        <v>0.57744941810116657</v>
      </c>
      <c r="AB29" s="14">
        <f t="shared" si="78"/>
        <v>0.57744941810116657</v>
      </c>
      <c r="AC29" s="14">
        <f t="shared" ref="AC29" si="79">SUM(AC25+SUM(AC28))</f>
        <v>5318942</v>
      </c>
      <c r="AD29" s="14">
        <f t="shared" ref="AD29" si="80">SUM(AD25+SUM(AD28))</f>
        <v>5098852</v>
      </c>
      <c r="AE29" s="14">
        <f t="shared" ref="AE29" si="81">SUM(AE25+SUM(AE28))</f>
        <v>5098852</v>
      </c>
      <c r="AF29" s="14">
        <f t="shared" ref="AF29" si="82">SUM(AF25+SUM(AF28))</f>
        <v>5098852</v>
      </c>
      <c r="AG29" s="14">
        <f t="shared" ref="AG29" si="83">SUM(AG25+SUM(AG28))</f>
        <v>5098852</v>
      </c>
      <c r="AH29" s="36"/>
      <c r="AI29" s="77">
        <f>SUM(AG29/AC29)-1</f>
        <v>-4.1378529790322971E-2</v>
      </c>
    </row>
    <row r="30" spans="2:35" s="158" customFormat="1" ht="5.0999999999999996" customHeight="1">
      <c r="B30" s="159"/>
      <c r="C30" s="160"/>
      <c r="D30" s="160"/>
      <c r="E30" s="160"/>
      <c r="F30" s="161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2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3"/>
      <c r="AI30" s="164"/>
    </row>
    <row r="31" spans="2:35" ht="12.75" customHeight="1">
      <c r="B31" s="45" t="s">
        <v>159</v>
      </c>
      <c r="C31" s="83">
        <v>103866</v>
      </c>
      <c r="D31" s="83">
        <v>59759</v>
      </c>
      <c r="E31" s="83">
        <v>251167</v>
      </c>
      <c r="F31" s="32"/>
      <c r="G31" s="97"/>
      <c r="H31" s="97"/>
      <c r="I31" s="97"/>
      <c r="J31" s="32"/>
      <c r="K31" s="97"/>
      <c r="L31" s="97"/>
      <c r="M31" s="97"/>
      <c r="N31" s="32"/>
      <c r="O31" s="83"/>
      <c r="P31" s="83"/>
      <c r="Q31" s="83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43"/>
      <c r="AI31" s="76"/>
    </row>
    <row r="32" spans="2:35" ht="12.75" customHeight="1">
      <c r="B32" s="13" t="s">
        <v>124</v>
      </c>
      <c r="C32" s="14">
        <f>SUM(C29+C31)</f>
        <v>464402</v>
      </c>
      <c r="D32" s="14">
        <f t="shared" ref="D32:E32" si="84">SUM(D29+D31)</f>
        <v>29735</v>
      </c>
      <c r="E32" s="14">
        <f t="shared" si="84"/>
        <v>-335788</v>
      </c>
      <c r="F32" s="11"/>
      <c r="G32" s="14">
        <f t="shared" ref="G32" si="85">SUM(G29+G31)</f>
        <v>0</v>
      </c>
      <c r="H32" s="14">
        <f t="shared" ref="H32" si="86">SUM(H29+H31)</f>
        <v>0</v>
      </c>
      <c r="I32" s="14">
        <f t="shared" ref="I32" si="87">SUM(I29+I31)</f>
        <v>0</v>
      </c>
      <c r="J32" s="14">
        <f t="shared" ref="J32" si="88">SUM(J29+J31)</f>
        <v>5318942</v>
      </c>
      <c r="K32" s="14">
        <f t="shared" ref="K32" si="89">SUM(K29+K31)</f>
        <v>0</v>
      </c>
      <c r="L32" s="14">
        <f t="shared" ref="L32" si="90">SUM(L29+L31)</f>
        <v>0</v>
      </c>
      <c r="M32" s="14">
        <f t="shared" ref="M32" si="91">SUM(M29+M31)</f>
        <v>0</v>
      </c>
      <c r="N32" s="14">
        <f t="shared" ref="N32" si="92">SUM(N29+N31)</f>
        <v>5098852</v>
      </c>
      <c r="O32" s="14">
        <f t="shared" ref="O32" si="93">SUM(O29+O31)</f>
        <v>0</v>
      </c>
      <c r="P32" s="14">
        <f t="shared" ref="P32" si="94">SUM(P29+P31)</f>
        <v>0</v>
      </c>
      <c r="Q32" s="14">
        <f t="shared" ref="Q32" si="95">SUM(Q29+Q31)</f>
        <v>0</v>
      </c>
      <c r="R32" s="32"/>
      <c r="S32" s="14" t="e">
        <f>SUM(S25+SUM(S28:S28))</f>
        <v>#REF!</v>
      </c>
      <c r="T32" s="14" t="e">
        <f>SUM(T25+SUM(T28:T28))</f>
        <v>#REF!</v>
      </c>
      <c r="U32" s="14" t="e">
        <f>SUM(U25+SUM(U28:U28))</f>
        <v>#REF!</v>
      </c>
      <c r="V32" s="14" t="e">
        <f>SUM(V25+SUM(V28:V28))</f>
        <v>#REF!</v>
      </c>
      <c r="W32" s="14">
        <f>SUM(W25+SUM(W28:W28))</f>
        <v>0</v>
      </c>
      <c r="X32" s="14">
        <f>SUM(X25+SUM(X28:X28))</f>
        <v>0</v>
      </c>
      <c r="Y32" s="14">
        <f>SUM(Y25+SUM(Y28:Y28))</f>
        <v>0</v>
      </c>
      <c r="Z32" s="14">
        <f>SUM(Z25+SUM(Z28:Z28))</f>
        <v>5334929</v>
      </c>
      <c r="AA32" s="14">
        <f>SUM(AA25+SUM(AA28:AA28))</f>
        <v>5334929</v>
      </c>
      <c r="AB32" s="14">
        <f>SUM(AB25+SUM(AB28:AB28))</f>
        <v>5334929</v>
      </c>
      <c r="AC32" s="14">
        <f t="shared" ref="AC32" si="96">SUM(AC29+AC31)</f>
        <v>5318942</v>
      </c>
      <c r="AD32" s="14">
        <f t="shared" ref="AD32" si="97">SUM(AD29+AD31)</f>
        <v>5098852</v>
      </c>
      <c r="AE32" s="14">
        <f t="shared" ref="AE32" si="98">SUM(AE29+AE31)</f>
        <v>5098852</v>
      </c>
      <c r="AF32" s="14">
        <f t="shared" ref="AF32" si="99">SUM(AF29+AF31)</f>
        <v>5098852</v>
      </c>
      <c r="AG32" s="14">
        <f t="shared" ref="AG32" si="100">SUM(AG29+AG31)</f>
        <v>5098852</v>
      </c>
      <c r="AH32" s="36"/>
      <c r="AI32" s="77">
        <f>SUM(AG32/AC32)-1</f>
        <v>-4.1378529790322971E-2</v>
      </c>
    </row>
    <row r="33" spans="1:35" ht="12.75" customHeight="1">
      <c r="B33" s="16" t="s">
        <v>63</v>
      </c>
      <c r="C33" s="17">
        <f>C32/C11</f>
        <v>5.076056354038759E-2</v>
      </c>
      <c r="D33" s="17">
        <f>D32/D11</f>
        <v>3.2288802078384638E-3</v>
      </c>
      <c r="E33" s="17">
        <f>E32/E11</f>
        <v>-3.6922798135584967E-2</v>
      </c>
      <c r="F33" s="27"/>
      <c r="G33" s="17" t="e">
        <f>G32/G11</f>
        <v>#DIV/0!</v>
      </c>
      <c r="H33" s="17" t="e">
        <f>H32/H11</f>
        <v>#DIV/0!</v>
      </c>
      <c r="I33" s="17" t="e">
        <f>I32/I11</f>
        <v>#DIV/0!</v>
      </c>
      <c r="J33" s="17">
        <f>J32/J11</f>
        <v>0.57757614092620591</v>
      </c>
      <c r="K33" s="17" t="e">
        <f>K32/K11</f>
        <v>#DIV/0!</v>
      </c>
      <c r="L33" s="17" t="e">
        <f>L32/L11</f>
        <v>#DIV/0!</v>
      </c>
      <c r="M33" s="17" t="e">
        <f>M32/M11</f>
        <v>#DIV/0!</v>
      </c>
      <c r="N33" s="17">
        <f>N32/N11</f>
        <v>0.56066292755912561</v>
      </c>
      <c r="O33" s="17" t="e">
        <f>O32/O11</f>
        <v>#DIV/0!</v>
      </c>
      <c r="P33" s="17" t="e">
        <f>P32/P11</f>
        <v>#DIV/0!</v>
      </c>
      <c r="Q33" s="17" t="e">
        <f>Q32/Q11</f>
        <v>#DIV/0!</v>
      </c>
      <c r="R33" s="28"/>
      <c r="S33" s="17" t="e">
        <f>S32/S11</f>
        <v>#REF!</v>
      </c>
      <c r="T33" s="17" t="e">
        <f>T32/T11</f>
        <v>#REF!</v>
      </c>
      <c r="U33" s="17" t="e">
        <f>U32/U11</f>
        <v>#REF!</v>
      </c>
      <c r="V33" s="17" t="e">
        <f>V32/V11</f>
        <v>#REF!</v>
      </c>
      <c r="W33" s="17" t="e">
        <f>W32/W11</f>
        <v>#DIV/0!</v>
      </c>
      <c r="X33" s="17" t="e">
        <f>X32/X11</f>
        <v>#DIV/0!</v>
      </c>
      <c r="Y33" s="17" t="e">
        <f>Y32/Y11</f>
        <v>#DIV/0!</v>
      </c>
      <c r="Z33" s="17">
        <f>Z32/Z11</f>
        <v>0.57931214589956104</v>
      </c>
      <c r="AA33" s="17">
        <f>AA32/AA11</f>
        <v>0.57931214589956104</v>
      </c>
      <c r="AB33" s="17">
        <f>AB32/AB11</f>
        <v>0.57931214589956104</v>
      </c>
      <c r="AC33" s="17">
        <f>AC32/AC11</f>
        <v>0.57757614092620591</v>
      </c>
      <c r="AD33" s="17">
        <f>AD32/AD11</f>
        <v>0.56066292755912561</v>
      </c>
      <c r="AE33" s="17">
        <f>AE32/AE11</f>
        <v>0.56066292755912561</v>
      </c>
      <c r="AF33" s="17">
        <f>AF32/AF11</f>
        <v>0.56066292755912561</v>
      </c>
      <c r="AG33" s="17">
        <f>AG32/AG11</f>
        <v>0.56066292755912561</v>
      </c>
      <c r="AH33" s="43"/>
      <c r="AI33" s="78">
        <f>SUM(AG33-AC33)*1000</f>
        <v>-16.913213367080292</v>
      </c>
    </row>
    <row r="34" spans="1:35" ht="5.0999999999999996" customHeight="1">
      <c r="B34" s="16"/>
      <c r="C34" s="17"/>
      <c r="D34" s="17"/>
      <c r="E34" s="17"/>
      <c r="F34" s="2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28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43"/>
      <c r="AI34" s="78"/>
    </row>
    <row r="35" spans="1:35" ht="12.75" customHeight="1">
      <c r="B35" s="45" t="s">
        <v>94</v>
      </c>
      <c r="C35" s="83">
        <v>60351</v>
      </c>
      <c r="D35" s="83">
        <v>59432</v>
      </c>
      <c r="E35" s="83">
        <v>59647</v>
      </c>
      <c r="F35" s="27"/>
      <c r="G35" s="83"/>
      <c r="H35" s="83"/>
      <c r="I35" s="83"/>
      <c r="J35" s="32">
        <f>D35</f>
        <v>59432</v>
      </c>
      <c r="K35" s="83"/>
      <c r="L35" s="83"/>
      <c r="M35" s="83"/>
      <c r="N35" s="32">
        <f>E35</f>
        <v>59647</v>
      </c>
      <c r="O35" s="83"/>
      <c r="P35" s="83"/>
      <c r="Q35" s="83"/>
      <c r="R35" s="136"/>
      <c r="S35" s="32" t="e">
        <f>#REF!</f>
        <v>#REF!</v>
      </c>
      <c r="T35" s="32" t="e">
        <f>#REF!</f>
        <v>#REF!</v>
      </c>
      <c r="U35" s="32" t="e">
        <f>#REF!</f>
        <v>#REF!</v>
      </c>
      <c r="V35" s="32" t="e">
        <f>#REF!</f>
        <v>#REF!</v>
      </c>
      <c r="W35" s="32">
        <f t="shared" ref="W35:AF35" si="101">G35</f>
        <v>0</v>
      </c>
      <c r="X35" s="32">
        <f t="shared" si="101"/>
        <v>0</v>
      </c>
      <c r="Y35" s="32">
        <f t="shared" si="101"/>
        <v>0</v>
      </c>
      <c r="Z35" s="32">
        <f t="shared" si="101"/>
        <v>59432</v>
      </c>
      <c r="AA35" s="32">
        <f t="shared" si="101"/>
        <v>0</v>
      </c>
      <c r="AB35" s="32">
        <f t="shared" si="101"/>
        <v>0</v>
      </c>
      <c r="AC35" s="32">
        <f t="shared" si="101"/>
        <v>0</v>
      </c>
      <c r="AD35" s="32">
        <f t="shared" si="101"/>
        <v>59647</v>
      </c>
      <c r="AE35" s="32">
        <f t="shared" si="101"/>
        <v>0</v>
      </c>
      <c r="AF35" s="32">
        <f t="shared" si="101"/>
        <v>0</v>
      </c>
      <c r="AG35" s="32">
        <f>Q35</f>
        <v>0</v>
      </c>
      <c r="AH35" s="43"/>
      <c r="AI35" s="76" t="e">
        <f>SUM(AG35/AC35)-1</f>
        <v>#DIV/0!</v>
      </c>
    </row>
    <row r="36" spans="1:35" ht="12.75" customHeight="1">
      <c r="B36" s="13" t="s">
        <v>64</v>
      </c>
      <c r="C36" s="151">
        <f t="shared" ref="C36:D36" si="102">C32/C35</f>
        <v>7.6950174810690788</v>
      </c>
      <c r="D36" s="151">
        <f t="shared" si="102"/>
        <v>0.5003196930946292</v>
      </c>
      <c r="E36" s="151">
        <f>E32/E35</f>
        <v>-5.6295874059047399</v>
      </c>
      <c r="F36" s="27"/>
      <c r="G36" s="151" t="e">
        <f t="shared" ref="G36:L36" si="103">G32/G35</f>
        <v>#DIV/0!</v>
      </c>
      <c r="H36" s="151" t="e">
        <f t="shared" si="103"/>
        <v>#DIV/0!</v>
      </c>
      <c r="I36" s="151" t="e">
        <f t="shared" si="103"/>
        <v>#DIV/0!</v>
      </c>
      <c r="J36" s="151">
        <f t="shared" si="103"/>
        <v>89.496264638578538</v>
      </c>
      <c r="K36" s="151" t="e">
        <f t="shared" si="103"/>
        <v>#DIV/0!</v>
      </c>
      <c r="L36" s="151" t="e">
        <f t="shared" si="103"/>
        <v>#DIV/0!</v>
      </c>
      <c r="M36" s="151" t="e">
        <f>M32/M35</f>
        <v>#DIV/0!</v>
      </c>
      <c r="N36" s="151">
        <f t="shared" ref="N36:Q36" si="104">N32/N35</f>
        <v>85.48379633510487</v>
      </c>
      <c r="O36" s="151" t="e">
        <f t="shared" si="104"/>
        <v>#DIV/0!</v>
      </c>
      <c r="P36" s="151" t="e">
        <f t="shared" si="104"/>
        <v>#DIV/0!</v>
      </c>
      <c r="Q36" s="151" t="e">
        <f t="shared" si="104"/>
        <v>#DIV/0!</v>
      </c>
      <c r="R36" s="136"/>
      <c r="S36" s="151" t="e">
        <f t="shared" ref="S36" si="105">S32/S35</f>
        <v>#REF!</v>
      </c>
      <c r="T36" s="151" t="e">
        <f t="shared" ref="T36" si="106">T32/T35</f>
        <v>#REF!</v>
      </c>
      <c r="U36" s="151" t="e">
        <f t="shared" ref="U36" si="107">U32/U35</f>
        <v>#REF!</v>
      </c>
      <c r="V36" s="151" t="e">
        <f t="shared" ref="V36" si="108">V32/V35</f>
        <v>#REF!</v>
      </c>
      <c r="W36" s="151" t="e">
        <f t="shared" ref="W36" si="109">W32/W35</f>
        <v>#DIV/0!</v>
      </c>
      <c r="X36" s="151" t="e">
        <f t="shared" ref="X36" si="110">X32/X35</f>
        <v>#DIV/0!</v>
      </c>
      <c r="Y36" s="151" t="e">
        <f t="shared" ref="Y36" si="111">Y32/Y35</f>
        <v>#DIV/0!</v>
      </c>
      <c r="Z36" s="151">
        <f t="shared" ref="Z36" si="112">Z32/Z35</f>
        <v>89.76526113878046</v>
      </c>
      <c r="AA36" s="151" t="e">
        <f t="shared" ref="AA36" si="113">AA32/AA35</f>
        <v>#DIV/0!</v>
      </c>
      <c r="AB36" s="151" t="e">
        <f t="shared" ref="AB36" si="114">AB32/AB35</f>
        <v>#DIV/0!</v>
      </c>
      <c r="AC36" s="151" t="e">
        <f t="shared" ref="AC36" si="115">AC32/AC35</f>
        <v>#DIV/0!</v>
      </c>
      <c r="AD36" s="151">
        <f t="shared" ref="AD36" si="116">AD32/AD35</f>
        <v>85.48379633510487</v>
      </c>
      <c r="AE36" s="151" t="e">
        <f t="shared" ref="AE36" si="117">AE32/AE35</f>
        <v>#DIV/0!</v>
      </c>
      <c r="AF36" s="151" t="e">
        <f t="shared" ref="AF36" si="118">AF32/AF35</f>
        <v>#DIV/0!</v>
      </c>
      <c r="AG36" s="151" t="e">
        <f t="shared" ref="AG36" si="119">AG32/AG35</f>
        <v>#DIV/0!</v>
      </c>
      <c r="AH36" s="43"/>
      <c r="AI36" s="77" t="e">
        <f>SUM(AG36/AC36)-1</f>
        <v>#DIV/0!</v>
      </c>
    </row>
    <row r="37" spans="1:35" ht="12.75" customHeight="1">
      <c r="B37" s="25"/>
      <c r="C37" s="49"/>
      <c r="D37" s="49"/>
      <c r="E37" s="49"/>
      <c r="F37" s="150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43"/>
      <c r="AI37" s="76"/>
    </row>
    <row r="38" spans="1:35" ht="12.75" customHeight="1">
      <c r="B38" s="45" t="s">
        <v>65</v>
      </c>
      <c r="C38" s="83">
        <v>60717</v>
      </c>
      <c r="D38" s="83">
        <v>59608</v>
      </c>
      <c r="E38" s="83">
        <v>59902</v>
      </c>
      <c r="F38" s="150"/>
      <c r="G38" s="83"/>
      <c r="H38" s="83"/>
      <c r="I38" s="83"/>
      <c r="J38" s="32">
        <f>D38</f>
        <v>59608</v>
      </c>
      <c r="K38" s="83"/>
      <c r="L38" s="83"/>
      <c r="M38" s="83"/>
      <c r="N38" s="32">
        <f>E38</f>
        <v>59902</v>
      </c>
      <c r="O38" s="83"/>
      <c r="P38" s="83"/>
      <c r="Q38" s="83"/>
      <c r="R38" s="136"/>
      <c r="S38" s="32" t="e">
        <f>#REF!</f>
        <v>#REF!</v>
      </c>
      <c r="T38" s="32" t="e">
        <f>#REF!</f>
        <v>#REF!</v>
      </c>
      <c r="U38" s="32" t="e">
        <f>#REF!</f>
        <v>#REF!</v>
      </c>
      <c r="V38" s="32" t="e">
        <f>#REF!</f>
        <v>#REF!</v>
      </c>
      <c r="W38" s="32">
        <f t="shared" ref="W38:AF38" si="120">G38</f>
        <v>0</v>
      </c>
      <c r="X38" s="32">
        <f t="shared" si="120"/>
        <v>0</v>
      </c>
      <c r="Y38" s="32">
        <f t="shared" si="120"/>
        <v>0</v>
      </c>
      <c r="Z38" s="32">
        <f t="shared" si="120"/>
        <v>59608</v>
      </c>
      <c r="AA38" s="32">
        <f t="shared" si="120"/>
        <v>0</v>
      </c>
      <c r="AB38" s="32">
        <f t="shared" si="120"/>
        <v>0</v>
      </c>
      <c r="AC38" s="32">
        <f t="shared" si="120"/>
        <v>0</v>
      </c>
      <c r="AD38" s="32">
        <f t="shared" si="120"/>
        <v>59902</v>
      </c>
      <c r="AE38" s="32">
        <f t="shared" si="120"/>
        <v>0</v>
      </c>
      <c r="AF38" s="32">
        <f t="shared" si="120"/>
        <v>0</v>
      </c>
      <c r="AG38" s="32">
        <f>Q38</f>
        <v>0</v>
      </c>
      <c r="AH38" s="43"/>
      <c r="AI38" s="76" t="e">
        <f>SUM(AG38/AC38)-1</f>
        <v>#DIV/0!</v>
      </c>
    </row>
    <row r="39" spans="1:35" ht="12.75" customHeight="1">
      <c r="B39" s="13" t="s">
        <v>93</v>
      </c>
      <c r="C39" s="151">
        <f t="shared" ref="C39:D39" si="121">C32/C38</f>
        <v>7.6486321787967126</v>
      </c>
      <c r="D39" s="151">
        <f t="shared" si="121"/>
        <v>0.49884243725674404</v>
      </c>
      <c r="E39" s="151">
        <f>E32/E38</f>
        <v>-5.6056225167774034</v>
      </c>
      <c r="F39" s="27"/>
      <c r="G39" s="151" t="e">
        <f t="shared" ref="G39:L39" si="122">G32/G38</f>
        <v>#DIV/0!</v>
      </c>
      <c r="H39" s="151" t="e">
        <f t="shared" si="122"/>
        <v>#DIV/0!</v>
      </c>
      <c r="I39" s="151" t="e">
        <f t="shared" si="122"/>
        <v>#DIV/0!</v>
      </c>
      <c r="J39" s="151">
        <f t="shared" si="122"/>
        <v>89.232015836800429</v>
      </c>
      <c r="K39" s="151" t="e">
        <f t="shared" si="122"/>
        <v>#DIV/0!</v>
      </c>
      <c r="L39" s="151" t="e">
        <f t="shared" si="122"/>
        <v>#DIV/0!</v>
      </c>
      <c r="M39" s="151" t="e">
        <f>M32/M38</f>
        <v>#DIV/0!</v>
      </c>
      <c r="N39" s="151">
        <f t="shared" ref="N39:Q39" si="123">N32/N38</f>
        <v>85.119895829855437</v>
      </c>
      <c r="O39" s="151" t="e">
        <f t="shared" si="123"/>
        <v>#DIV/0!</v>
      </c>
      <c r="P39" s="151" t="e">
        <f t="shared" si="123"/>
        <v>#DIV/0!</v>
      </c>
      <c r="Q39" s="151" t="e">
        <f t="shared" si="123"/>
        <v>#DIV/0!</v>
      </c>
      <c r="R39" s="136"/>
      <c r="S39" s="151" t="e">
        <f t="shared" ref="S39" si="124">S32/S38</f>
        <v>#REF!</v>
      </c>
      <c r="T39" s="151" t="e">
        <f t="shared" ref="T39" si="125">T32/T38</f>
        <v>#REF!</v>
      </c>
      <c r="U39" s="151" t="e">
        <f t="shared" ref="U39" si="126">U32/U38</f>
        <v>#REF!</v>
      </c>
      <c r="V39" s="151" t="e">
        <f t="shared" ref="V39" si="127">V32/V38</f>
        <v>#REF!</v>
      </c>
      <c r="W39" s="151" t="e">
        <f t="shared" ref="W39" si="128">W32/W38</f>
        <v>#DIV/0!</v>
      </c>
      <c r="X39" s="151" t="e">
        <f t="shared" ref="X39" si="129">X32/X38</f>
        <v>#DIV/0!</v>
      </c>
      <c r="Y39" s="151" t="e">
        <f t="shared" ref="Y39" si="130">Y32/Y38</f>
        <v>#DIV/0!</v>
      </c>
      <c r="Z39" s="151">
        <f t="shared" ref="Z39" si="131">Z32/Z38</f>
        <v>89.500218091531337</v>
      </c>
      <c r="AA39" s="151" t="e">
        <f t="shared" ref="AA39" si="132">AA32/AA38</f>
        <v>#DIV/0!</v>
      </c>
      <c r="AB39" s="151" t="e">
        <f t="shared" ref="AB39" si="133">AB32/AB38</f>
        <v>#DIV/0!</v>
      </c>
      <c r="AC39" s="151" t="e">
        <f t="shared" ref="AC39" si="134">AC32/AC38</f>
        <v>#DIV/0!</v>
      </c>
      <c r="AD39" s="151">
        <f t="shared" ref="AD39" si="135">AD32/AD38</f>
        <v>85.119895829855437</v>
      </c>
      <c r="AE39" s="151" t="e">
        <f t="shared" ref="AE39" si="136">AE32/AE38</f>
        <v>#DIV/0!</v>
      </c>
      <c r="AF39" s="151" t="e">
        <f t="shared" ref="AF39" si="137">AF32/AF38</f>
        <v>#DIV/0!</v>
      </c>
      <c r="AG39" s="151" t="e">
        <f t="shared" ref="AG39" si="138">AG32/AG38</f>
        <v>#DIV/0!</v>
      </c>
      <c r="AH39" s="43"/>
      <c r="AI39" s="77" t="e">
        <f>SUM(AG39/AC39)-1</f>
        <v>#DIV/0!</v>
      </c>
    </row>
    <row r="40" spans="1:35">
      <c r="B40" s="16"/>
      <c r="C40" s="17"/>
      <c r="D40" s="17"/>
      <c r="E40" s="17"/>
      <c r="F40" s="2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28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43"/>
    </row>
    <row r="41" spans="1:35" ht="12.75" customHeight="1">
      <c r="A41" s="5" t="s">
        <v>19</v>
      </c>
      <c r="B41" s="108" t="s">
        <v>75</v>
      </c>
      <c r="C41" s="109"/>
      <c r="D41" s="109"/>
      <c r="E41" s="109"/>
      <c r="F41" s="110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8"/>
      <c r="S41" s="109"/>
      <c r="T41" s="109"/>
      <c r="U41" s="109"/>
      <c r="V41" s="109"/>
      <c r="W41" s="109"/>
      <c r="X41" s="109"/>
      <c r="Y41" s="109"/>
      <c r="Z41" s="109"/>
      <c r="AA41" s="109"/>
      <c r="AB41" s="109" t="s">
        <v>10</v>
      </c>
      <c r="AC41" s="109"/>
      <c r="AD41" s="109"/>
      <c r="AE41" s="109"/>
      <c r="AF41" s="109"/>
      <c r="AG41" s="109"/>
      <c r="AH41" s="110"/>
      <c r="AI41" s="154" t="s">
        <v>26</v>
      </c>
    </row>
    <row r="42" spans="1:35" ht="12.75" customHeight="1">
      <c r="B42" s="112" t="str">
        <f>B7</f>
        <v>Fiscal Period</v>
      </c>
      <c r="C42" s="111">
        <f>C7</f>
        <v>2022</v>
      </c>
      <c r="D42" s="111">
        <f>D7</f>
        <v>2023</v>
      </c>
      <c r="E42" s="111">
        <f>E7</f>
        <v>2024</v>
      </c>
      <c r="F42" s="110"/>
      <c r="G42" s="111" t="str">
        <f t="shared" ref="G42:Q42" si="139">G7</f>
        <v>1Q23</v>
      </c>
      <c r="H42" s="111" t="str">
        <f t="shared" si="139"/>
        <v>2Q23</v>
      </c>
      <c r="I42" s="111" t="str">
        <f t="shared" si="139"/>
        <v>3Q23</v>
      </c>
      <c r="J42" s="111" t="str">
        <f t="shared" si="139"/>
        <v>4Q23</v>
      </c>
      <c r="K42" s="111" t="str">
        <f t="shared" si="139"/>
        <v>1Q24</v>
      </c>
      <c r="L42" s="111" t="str">
        <f t="shared" si="139"/>
        <v>2Q24</v>
      </c>
      <c r="M42" s="111" t="str">
        <f t="shared" si="139"/>
        <v>3Q24</v>
      </c>
      <c r="N42" s="111" t="str">
        <f t="shared" si="139"/>
        <v>4Q24</v>
      </c>
      <c r="O42" s="111" t="str">
        <f t="shared" si="139"/>
        <v>1Q25</v>
      </c>
      <c r="P42" s="111" t="str">
        <f t="shared" si="139"/>
        <v>2Q25</v>
      </c>
      <c r="Q42" s="111" t="str">
        <f t="shared" si="139"/>
        <v>3Q25</v>
      </c>
      <c r="R42" s="113"/>
      <c r="S42" s="111" t="e">
        <f t="shared" ref="S42:AG42" si="140">S7</f>
        <v>#REF!</v>
      </c>
      <c r="T42" s="111" t="e">
        <f t="shared" si="140"/>
        <v>#REF!</v>
      </c>
      <c r="U42" s="111" t="e">
        <f t="shared" si="140"/>
        <v>#REF!</v>
      </c>
      <c r="V42" s="111" t="e">
        <f t="shared" si="140"/>
        <v>#REF!</v>
      </c>
      <c r="W42" s="111" t="str">
        <f t="shared" si="140"/>
        <v>1Q23</v>
      </c>
      <c r="X42" s="111" t="str">
        <f t="shared" si="140"/>
        <v>2Q23</v>
      </c>
      <c r="Y42" s="111" t="str">
        <f t="shared" si="140"/>
        <v>3Q23</v>
      </c>
      <c r="Z42" s="111" t="str">
        <f t="shared" si="140"/>
        <v>4Q23</v>
      </c>
      <c r="AA42" s="111" t="str">
        <f t="shared" si="140"/>
        <v>1Q24</v>
      </c>
      <c r="AB42" s="111" t="str">
        <f t="shared" si="140"/>
        <v>2Q24</v>
      </c>
      <c r="AC42" s="111" t="str">
        <f t="shared" si="140"/>
        <v>3Q24</v>
      </c>
      <c r="AD42" s="111" t="str">
        <f t="shared" si="140"/>
        <v>4Q24</v>
      </c>
      <c r="AE42" s="111" t="str">
        <f t="shared" si="140"/>
        <v>1Q25</v>
      </c>
      <c r="AF42" s="111" t="str">
        <f t="shared" si="140"/>
        <v>2Q25</v>
      </c>
      <c r="AG42" s="111" t="str">
        <f t="shared" si="140"/>
        <v>3Q25</v>
      </c>
      <c r="AH42" s="110"/>
      <c r="AI42" s="154"/>
    </row>
    <row r="43" spans="1:35" ht="12.75" customHeight="1">
      <c r="B43" s="112" t="str">
        <f>B8</f>
        <v>Fiscal Period End Date</v>
      </c>
      <c r="C43" s="114">
        <f>C8</f>
        <v>44926</v>
      </c>
      <c r="D43" s="114">
        <f>D8</f>
        <v>45290</v>
      </c>
      <c r="E43" s="114">
        <f>E8</f>
        <v>45654</v>
      </c>
      <c r="F43" s="110"/>
      <c r="G43" s="114">
        <f t="shared" ref="G43:Q43" si="141">G8</f>
        <v>0</v>
      </c>
      <c r="H43" s="114">
        <f t="shared" si="141"/>
        <v>0</v>
      </c>
      <c r="I43" s="114">
        <f t="shared" si="141"/>
        <v>0</v>
      </c>
      <c r="J43" s="114">
        <f t="shared" si="141"/>
        <v>45290</v>
      </c>
      <c r="K43" s="114">
        <f t="shared" si="141"/>
        <v>0</v>
      </c>
      <c r="L43" s="114">
        <f t="shared" si="141"/>
        <v>0</v>
      </c>
      <c r="M43" s="114">
        <f t="shared" si="141"/>
        <v>0</v>
      </c>
      <c r="N43" s="114">
        <f t="shared" si="141"/>
        <v>45654</v>
      </c>
      <c r="O43" s="114">
        <f t="shared" si="141"/>
        <v>0</v>
      </c>
      <c r="P43" s="114">
        <f t="shared" si="141"/>
        <v>0</v>
      </c>
      <c r="Q43" s="114">
        <f t="shared" si="141"/>
        <v>0</v>
      </c>
      <c r="R43" s="115"/>
      <c r="S43" s="114" t="e">
        <f t="shared" ref="S43:AG43" si="142">S8</f>
        <v>#REF!</v>
      </c>
      <c r="T43" s="114" t="e">
        <f t="shared" si="142"/>
        <v>#REF!</v>
      </c>
      <c r="U43" s="114" t="e">
        <f t="shared" si="142"/>
        <v>#REF!</v>
      </c>
      <c r="V43" s="114" t="e">
        <f t="shared" si="142"/>
        <v>#REF!</v>
      </c>
      <c r="W43" s="114">
        <f t="shared" si="142"/>
        <v>0</v>
      </c>
      <c r="X43" s="114">
        <f t="shared" si="142"/>
        <v>0</v>
      </c>
      <c r="Y43" s="114">
        <f t="shared" si="142"/>
        <v>0</v>
      </c>
      <c r="Z43" s="114">
        <f t="shared" si="142"/>
        <v>45290</v>
      </c>
      <c r="AA43" s="114">
        <f t="shared" si="142"/>
        <v>0</v>
      </c>
      <c r="AB43" s="114">
        <f t="shared" si="142"/>
        <v>0</v>
      </c>
      <c r="AC43" s="114">
        <f t="shared" si="142"/>
        <v>0</v>
      </c>
      <c r="AD43" s="114">
        <f t="shared" si="142"/>
        <v>45654</v>
      </c>
      <c r="AE43" s="114">
        <f t="shared" si="142"/>
        <v>0</v>
      </c>
      <c r="AF43" s="114">
        <f t="shared" si="142"/>
        <v>0</v>
      </c>
      <c r="AG43" s="114">
        <f t="shared" si="142"/>
        <v>0</v>
      </c>
      <c r="AH43" s="110"/>
      <c r="AI43" s="154"/>
    </row>
    <row r="44" spans="1:35" ht="5.0999999999999996" customHeight="1">
      <c r="B44" s="47"/>
      <c r="C44" s="48"/>
      <c r="D44" s="48"/>
      <c r="E44" s="48"/>
    </row>
    <row r="45" spans="1:35">
      <c r="B45" s="79" t="s">
        <v>82</v>
      </c>
      <c r="C45" s="48"/>
      <c r="D45" s="48"/>
      <c r="E45" s="48"/>
    </row>
    <row r="46" spans="1:35" s="124" customFormat="1" ht="12.75" customHeight="1">
      <c r="B46" s="116" t="s">
        <v>102</v>
      </c>
      <c r="C46" s="125">
        <v>270805</v>
      </c>
      <c r="D46" s="125">
        <v>488049</v>
      </c>
      <c r="E46" s="125">
        <v>1869417</v>
      </c>
      <c r="G46" s="83"/>
      <c r="H46" s="83"/>
      <c r="I46" s="83"/>
      <c r="J46" s="32">
        <f t="shared" ref="J46:J47" si="143">D46</f>
        <v>488049</v>
      </c>
      <c r="K46" s="83"/>
      <c r="L46" s="83"/>
      <c r="M46" s="83"/>
      <c r="N46" s="32">
        <f t="shared" ref="N46:N47" si="144">E46</f>
        <v>1869417</v>
      </c>
      <c r="O46" s="83"/>
      <c r="P46" s="83"/>
      <c r="Q46" s="83"/>
      <c r="S46" s="98" t="e">
        <f>#REF!</f>
        <v>#REF!</v>
      </c>
      <c r="T46" s="98" t="e">
        <f>#REF!</f>
        <v>#REF!</v>
      </c>
      <c r="U46" s="98" t="e">
        <f>#REF!</f>
        <v>#REF!</v>
      </c>
      <c r="V46" s="98" t="e">
        <f>#REF!</f>
        <v>#REF!</v>
      </c>
      <c r="W46" s="98">
        <f t="shared" ref="W46:AG49" si="145">G46</f>
        <v>0</v>
      </c>
      <c r="X46" s="98">
        <f t="shared" si="145"/>
        <v>0</v>
      </c>
      <c r="Y46" s="98">
        <f t="shared" si="145"/>
        <v>0</v>
      </c>
      <c r="Z46" s="98">
        <f t="shared" si="145"/>
        <v>488049</v>
      </c>
      <c r="AA46" s="98">
        <f t="shared" si="145"/>
        <v>0</v>
      </c>
      <c r="AB46" s="98">
        <f t="shared" si="145"/>
        <v>0</v>
      </c>
      <c r="AC46" s="98">
        <f t="shared" si="145"/>
        <v>0</v>
      </c>
      <c r="AD46" s="98">
        <f t="shared" si="145"/>
        <v>1869417</v>
      </c>
      <c r="AE46" s="98">
        <f t="shared" si="145"/>
        <v>0</v>
      </c>
      <c r="AF46" s="98">
        <f t="shared" si="145"/>
        <v>0</v>
      </c>
      <c r="AG46" s="98">
        <f t="shared" si="145"/>
        <v>0</v>
      </c>
      <c r="AH46" s="126"/>
      <c r="AI46" s="76" t="e">
        <f>SUM(AG46/AC46)-1</f>
        <v>#DIV/0!</v>
      </c>
    </row>
    <row r="47" spans="1:35" s="124" customFormat="1" ht="12.75" customHeight="1">
      <c r="B47" s="116" t="s">
        <v>125</v>
      </c>
      <c r="C47" s="125">
        <v>684048</v>
      </c>
      <c r="D47" s="125">
        <v>609528</v>
      </c>
      <c r="E47" s="125">
        <v>544040</v>
      </c>
      <c r="G47" s="83"/>
      <c r="H47" s="83"/>
      <c r="I47" s="83"/>
      <c r="J47" s="32">
        <f t="shared" si="143"/>
        <v>609528</v>
      </c>
      <c r="K47" s="83"/>
      <c r="L47" s="83"/>
      <c r="M47" s="83"/>
      <c r="N47" s="32">
        <f t="shared" si="144"/>
        <v>544040</v>
      </c>
      <c r="O47" s="83"/>
      <c r="P47" s="83"/>
      <c r="Q47" s="83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126"/>
      <c r="AI47" s="76"/>
    </row>
    <row r="48" spans="1:35" s="124" customFormat="1" ht="12.75" customHeight="1">
      <c r="B48" s="116" t="s">
        <v>126</v>
      </c>
      <c r="C48" s="125">
        <v>4896269</v>
      </c>
      <c r="D48" s="125">
        <v>3893569</v>
      </c>
      <c r="E48" s="125">
        <v>3612081</v>
      </c>
      <c r="G48" s="83"/>
      <c r="H48" s="83"/>
      <c r="I48" s="83"/>
      <c r="J48" s="32">
        <f t="shared" ref="J48:J49" si="146">D48</f>
        <v>3893569</v>
      </c>
      <c r="K48" s="83"/>
      <c r="L48" s="83"/>
      <c r="M48" s="83"/>
      <c r="N48" s="32">
        <f t="shared" ref="N48:N49" si="147">E48</f>
        <v>3612081</v>
      </c>
      <c r="O48" s="83"/>
      <c r="P48" s="83"/>
      <c r="Q48" s="83"/>
      <c r="S48" s="98" t="e">
        <f>#REF!</f>
        <v>#REF!</v>
      </c>
      <c r="T48" s="98" t="e">
        <f>#REF!</f>
        <v>#REF!</v>
      </c>
      <c r="U48" s="98" t="e">
        <f>#REF!</f>
        <v>#REF!</v>
      </c>
      <c r="V48" s="98" t="e">
        <f>#REF!</f>
        <v>#REF!</v>
      </c>
      <c r="W48" s="98">
        <f t="shared" si="145"/>
        <v>0</v>
      </c>
      <c r="X48" s="98">
        <f t="shared" si="145"/>
        <v>0</v>
      </c>
      <c r="Y48" s="98">
        <f t="shared" si="145"/>
        <v>0</v>
      </c>
      <c r="Z48" s="98">
        <f t="shared" si="145"/>
        <v>3893569</v>
      </c>
      <c r="AA48" s="98">
        <f t="shared" si="145"/>
        <v>0</v>
      </c>
      <c r="AB48" s="98">
        <f t="shared" si="145"/>
        <v>0</v>
      </c>
      <c r="AC48" s="98">
        <f t="shared" si="145"/>
        <v>0</v>
      </c>
      <c r="AD48" s="98">
        <f t="shared" si="145"/>
        <v>3612081</v>
      </c>
      <c r="AE48" s="98">
        <f t="shared" si="145"/>
        <v>0</v>
      </c>
      <c r="AF48" s="98">
        <f t="shared" si="145"/>
        <v>0</v>
      </c>
      <c r="AG48" s="98">
        <f t="shared" si="145"/>
        <v>0</v>
      </c>
      <c r="AH48" s="126"/>
      <c r="AI48" s="76" t="e">
        <f>SUM(AG48/AC48)-1</f>
        <v>#DIV/0!</v>
      </c>
    </row>
    <row r="49" spans="2:35" s="124" customFormat="1" ht="12.75" customHeight="1">
      <c r="B49" s="116" t="s">
        <v>16</v>
      </c>
      <c r="C49" s="125">
        <v>163695</v>
      </c>
      <c r="D49" s="125">
        <f>180402+1205473</f>
        <v>1385875</v>
      </c>
      <c r="E49" s="125">
        <v>118002</v>
      </c>
      <c r="G49" s="83"/>
      <c r="H49" s="83"/>
      <c r="I49" s="83"/>
      <c r="J49" s="32">
        <f t="shared" si="146"/>
        <v>1385875</v>
      </c>
      <c r="K49" s="83"/>
      <c r="L49" s="83"/>
      <c r="M49" s="83"/>
      <c r="N49" s="32">
        <f t="shared" si="147"/>
        <v>118002</v>
      </c>
      <c r="O49" s="83"/>
      <c r="P49" s="83"/>
      <c r="Q49" s="83"/>
      <c r="S49" s="98" t="e">
        <f>#REF!</f>
        <v>#REF!</v>
      </c>
      <c r="T49" s="98" t="e">
        <f>#REF!</f>
        <v>#REF!</v>
      </c>
      <c r="U49" s="98" t="e">
        <f>#REF!</f>
        <v>#REF!</v>
      </c>
      <c r="V49" s="98" t="e">
        <f>#REF!</f>
        <v>#REF!</v>
      </c>
      <c r="W49" s="98">
        <f t="shared" si="145"/>
        <v>0</v>
      </c>
      <c r="X49" s="98">
        <f t="shared" si="145"/>
        <v>0</v>
      </c>
      <c r="Y49" s="98">
        <f t="shared" si="145"/>
        <v>0</v>
      </c>
      <c r="Z49" s="98">
        <f t="shared" si="145"/>
        <v>1385875</v>
      </c>
      <c r="AA49" s="98">
        <f t="shared" si="145"/>
        <v>0</v>
      </c>
      <c r="AB49" s="98">
        <f t="shared" si="145"/>
        <v>0</v>
      </c>
      <c r="AC49" s="98">
        <f t="shared" si="145"/>
        <v>0</v>
      </c>
      <c r="AD49" s="98">
        <f t="shared" si="145"/>
        <v>118002</v>
      </c>
      <c r="AE49" s="98">
        <f t="shared" si="145"/>
        <v>0</v>
      </c>
      <c r="AF49" s="98">
        <f t="shared" si="145"/>
        <v>0</v>
      </c>
      <c r="AG49" s="98">
        <f t="shared" si="145"/>
        <v>0</v>
      </c>
      <c r="AH49" s="126"/>
      <c r="AI49" s="76" t="e">
        <f>SUM(AG49/AC49)-1</f>
        <v>#DIV/0!</v>
      </c>
    </row>
    <row r="50" spans="2:35" ht="12.75" customHeight="1">
      <c r="B50" s="25" t="s">
        <v>22</v>
      </c>
      <c r="C50" s="26">
        <f>SUM(C46:C49)</f>
        <v>6014817</v>
      </c>
      <c r="D50" s="26">
        <f>SUM(D46:D49)</f>
        <v>6377021</v>
      </c>
      <c r="E50" s="26">
        <f>SUM(E46:E49)</f>
        <v>6143540</v>
      </c>
      <c r="F50" s="49"/>
      <c r="G50" s="26">
        <f>SUM(G46:G49)</f>
        <v>0</v>
      </c>
      <c r="H50" s="26">
        <f>SUM(H46:H49)</f>
        <v>0</v>
      </c>
      <c r="I50" s="26">
        <f>SUM(I46:I49)</f>
        <v>0</v>
      </c>
      <c r="J50" s="26">
        <f>SUM(J46:J49)</f>
        <v>6377021</v>
      </c>
      <c r="K50" s="26">
        <f>SUM(K46:K49)</f>
        <v>0</v>
      </c>
      <c r="L50" s="26">
        <f>SUM(L46:L49)</f>
        <v>0</v>
      </c>
      <c r="M50" s="26">
        <f>SUM(M46:M49)</f>
        <v>0</v>
      </c>
      <c r="N50" s="26">
        <f>SUM(N46:N49)</f>
        <v>6143540</v>
      </c>
      <c r="O50" s="26">
        <f>SUM(O46:O49)</f>
        <v>0</v>
      </c>
      <c r="P50" s="26">
        <f>SUM(P46:P49)</f>
        <v>0</v>
      </c>
      <c r="Q50" s="26">
        <f>SUM(Q46:Q49)</f>
        <v>0</v>
      </c>
      <c r="R50" s="49"/>
      <c r="S50" s="26" t="e">
        <f>SUM(S46:S49)</f>
        <v>#REF!</v>
      </c>
      <c r="T50" s="26" t="e">
        <f>SUM(T46:T49)</f>
        <v>#REF!</v>
      </c>
      <c r="U50" s="26" t="e">
        <f>SUM(U46:U49)</f>
        <v>#REF!</v>
      </c>
      <c r="V50" s="26" t="e">
        <f>SUM(V46:V49)</f>
        <v>#REF!</v>
      </c>
      <c r="W50" s="26">
        <f>SUM(W46:W49)</f>
        <v>0</v>
      </c>
      <c r="X50" s="26">
        <f>SUM(X46:X49)</f>
        <v>0</v>
      </c>
      <c r="Y50" s="26">
        <f>SUM(Y46:Y49)</f>
        <v>0</v>
      </c>
      <c r="Z50" s="26">
        <f>SUM(Z46:Z49)</f>
        <v>5767493</v>
      </c>
      <c r="AA50" s="26">
        <f>SUM(AA46:AA49)</f>
        <v>0</v>
      </c>
      <c r="AB50" s="26">
        <f>SUM(AB46:AB49)</f>
        <v>0</v>
      </c>
      <c r="AC50" s="26">
        <f>SUM(AC46:AC49)</f>
        <v>0</v>
      </c>
      <c r="AD50" s="26">
        <f>SUM(AD46:AD49)</f>
        <v>5599500</v>
      </c>
      <c r="AE50" s="26">
        <f>SUM(AE46:AE49)</f>
        <v>0</v>
      </c>
      <c r="AF50" s="26">
        <f>SUM(AF46:AF49)</f>
        <v>0</v>
      </c>
      <c r="AG50" s="26">
        <f>SUM(AG46:AG49)</f>
        <v>0</v>
      </c>
      <c r="AH50" s="42"/>
      <c r="AI50" s="77" t="e">
        <f>SUM(AG50/AC50)-1</f>
        <v>#DIV/0!</v>
      </c>
    </row>
    <row r="51" spans="2:35" ht="5.0999999999999996" customHeight="1">
      <c r="B51" s="25"/>
      <c r="C51" s="50"/>
      <c r="D51" s="41"/>
      <c r="E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39"/>
    </row>
    <row r="52" spans="2:35" ht="12.75" customHeight="1">
      <c r="B52" s="79" t="s">
        <v>83</v>
      </c>
      <c r="C52" s="83"/>
      <c r="D52" s="83"/>
      <c r="E52" s="83"/>
      <c r="G52" s="83"/>
      <c r="H52" s="83"/>
      <c r="I52" s="83"/>
      <c r="J52" s="83"/>
      <c r="K52" s="83"/>
      <c r="L52" s="83"/>
      <c r="M52" s="83"/>
      <c r="N52" s="83"/>
      <c r="O52" s="32"/>
      <c r="P52" s="83"/>
      <c r="Q52" s="83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11"/>
      <c r="AI52" s="76"/>
    </row>
    <row r="53" spans="2:35" ht="12.75" customHeight="1">
      <c r="B53" s="9" t="s">
        <v>127</v>
      </c>
      <c r="C53" s="83">
        <v>1690139</v>
      </c>
      <c r="D53" s="83">
        <v>1555985</v>
      </c>
      <c r="E53" s="83">
        <v>1334338</v>
      </c>
      <c r="G53" s="83"/>
      <c r="H53" s="83"/>
      <c r="I53" s="83"/>
      <c r="J53" s="32">
        <f t="shared" ref="J53:J56" si="148">D53</f>
        <v>1555985</v>
      </c>
      <c r="K53" s="83"/>
      <c r="L53" s="83"/>
      <c r="M53" s="83"/>
      <c r="N53" s="32">
        <f t="shared" ref="N53:N56" si="149">E53</f>
        <v>1334338</v>
      </c>
      <c r="O53" s="83"/>
      <c r="P53" s="83"/>
      <c r="Q53" s="83"/>
      <c r="S53" s="32" t="e">
        <f>#REF!</f>
        <v>#REF!</v>
      </c>
      <c r="T53" s="32" t="e">
        <f>#REF!</f>
        <v>#REF!</v>
      </c>
      <c r="U53" s="32" t="e">
        <f>#REF!</f>
        <v>#REF!</v>
      </c>
      <c r="V53" s="32" t="e">
        <f>#REF!</f>
        <v>#REF!</v>
      </c>
      <c r="W53" s="32">
        <f t="shared" ref="W53:AG57" si="150">G53</f>
        <v>0</v>
      </c>
      <c r="X53" s="32">
        <f t="shared" si="150"/>
        <v>0</v>
      </c>
      <c r="Y53" s="32">
        <f t="shared" si="150"/>
        <v>0</v>
      </c>
      <c r="Z53" s="32">
        <f t="shared" si="150"/>
        <v>1555985</v>
      </c>
      <c r="AA53" s="32">
        <f t="shared" si="150"/>
        <v>0</v>
      </c>
      <c r="AB53" s="32">
        <f t="shared" si="150"/>
        <v>0</v>
      </c>
      <c r="AC53" s="32">
        <f t="shared" si="150"/>
        <v>0</v>
      </c>
      <c r="AD53" s="32">
        <f t="shared" si="150"/>
        <v>1334338</v>
      </c>
      <c r="AE53" s="32">
        <f t="shared" si="150"/>
        <v>0</v>
      </c>
      <c r="AF53" s="32">
        <f t="shared" si="150"/>
        <v>0</v>
      </c>
      <c r="AG53" s="32">
        <f t="shared" si="150"/>
        <v>0</v>
      </c>
      <c r="AH53" s="11"/>
      <c r="AI53" s="76" t="e">
        <f t="shared" ref="AI53:AI58" si="151">SUM(AG53/AC53)-1</f>
        <v>#DIV/0!</v>
      </c>
    </row>
    <row r="54" spans="2:35" ht="12.75" customHeight="1">
      <c r="B54" s="9" t="s">
        <v>128</v>
      </c>
      <c r="C54" s="83">
        <v>2607690</v>
      </c>
      <c r="D54" s="83">
        <v>2347073</v>
      </c>
      <c r="E54" s="83">
        <v>2242602</v>
      </c>
      <c r="G54" s="83"/>
      <c r="H54" s="83"/>
      <c r="I54" s="83"/>
      <c r="J54" s="32">
        <f t="shared" si="148"/>
        <v>2347073</v>
      </c>
      <c r="K54" s="83"/>
      <c r="L54" s="83"/>
      <c r="M54" s="83"/>
      <c r="N54" s="32">
        <f t="shared" si="149"/>
        <v>2242602</v>
      </c>
      <c r="O54" s="83"/>
      <c r="P54" s="83"/>
      <c r="Q54" s="83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11"/>
      <c r="AI54" s="76"/>
    </row>
    <row r="55" spans="2:35" ht="12.75" customHeight="1">
      <c r="B55" s="9" t="s">
        <v>129</v>
      </c>
      <c r="C55" s="83">
        <v>990471</v>
      </c>
      <c r="D55" s="83">
        <v>601159</v>
      </c>
      <c r="E55" s="83">
        <v>598217</v>
      </c>
      <c r="G55" s="83"/>
      <c r="H55" s="83"/>
      <c r="I55" s="83"/>
      <c r="J55" s="32">
        <f t="shared" si="148"/>
        <v>601159</v>
      </c>
      <c r="K55" s="83"/>
      <c r="L55" s="83"/>
      <c r="M55" s="83"/>
      <c r="N55" s="32">
        <f t="shared" si="149"/>
        <v>598217</v>
      </c>
      <c r="O55" s="83"/>
      <c r="P55" s="83"/>
      <c r="Q55" s="83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11"/>
      <c r="AI55" s="76"/>
    </row>
    <row r="56" spans="2:35" ht="12.75" customHeight="1">
      <c r="B56" s="9" t="s">
        <v>130</v>
      </c>
      <c r="C56" s="83">
        <v>620901</v>
      </c>
      <c r="D56" s="83">
        <v>419161</v>
      </c>
      <c r="E56" s="83">
        <v>405751</v>
      </c>
      <c r="G56" s="83"/>
      <c r="H56" s="83"/>
      <c r="I56" s="83"/>
      <c r="J56" s="32">
        <f t="shared" si="148"/>
        <v>419161</v>
      </c>
      <c r="K56" s="83"/>
      <c r="L56" s="83"/>
      <c r="M56" s="83"/>
      <c r="N56" s="32">
        <f t="shared" si="149"/>
        <v>405751</v>
      </c>
      <c r="O56" s="83"/>
      <c r="P56" s="83"/>
      <c r="Q56" s="83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11"/>
      <c r="AI56" s="76"/>
    </row>
    <row r="57" spans="2:35" ht="12.75" customHeight="1">
      <c r="B57" s="9" t="s">
        <v>131</v>
      </c>
      <c r="C57" s="83">
        <v>62429</v>
      </c>
      <c r="D57" s="83">
        <f>85988+889939</f>
        <v>975927</v>
      </c>
      <c r="E57" s="83">
        <v>73661</v>
      </c>
      <c r="G57" s="83"/>
      <c r="H57" s="83"/>
      <c r="I57" s="83"/>
      <c r="J57" s="32">
        <f t="shared" ref="J57" si="152">D57</f>
        <v>975927</v>
      </c>
      <c r="K57" s="83"/>
      <c r="L57" s="83"/>
      <c r="M57" s="83"/>
      <c r="N57" s="32">
        <f t="shared" ref="N57" si="153">E57</f>
        <v>73661</v>
      </c>
      <c r="O57" s="83"/>
      <c r="P57" s="83"/>
      <c r="Q57" s="83"/>
      <c r="S57" s="32" t="e">
        <f>#REF!</f>
        <v>#REF!</v>
      </c>
      <c r="T57" s="32" t="e">
        <f>#REF!</f>
        <v>#REF!</v>
      </c>
      <c r="U57" s="32" t="e">
        <f>#REF!</f>
        <v>#REF!</v>
      </c>
      <c r="V57" s="32" t="e">
        <f>#REF!</f>
        <v>#REF!</v>
      </c>
      <c r="W57" s="32">
        <f t="shared" si="150"/>
        <v>0</v>
      </c>
      <c r="X57" s="32">
        <f t="shared" si="150"/>
        <v>0</v>
      </c>
      <c r="Y57" s="32">
        <f t="shared" si="150"/>
        <v>0</v>
      </c>
      <c r="Z57" s="32">
        <f t="shared" si="150"/>
        <v>975927</v>
      </c>
      <c r="AA57" s="32">
        <f t="shared" si="150"/>
        <v>0</v>
      </c>
      <c r="AB57" s="32">
        <f t="shared" si="150"/>
        <v>0</v>
      </c>
      <c r="AC57" s="32">
        <f t="shared" si="150"/>
        <v>0</v>
      </c>
      <c r="AD57" s="32">
        <f t="shared" si="150"/>
        <v>73661</v>
      </c>
      <c r="AE57" s="32">
        <f t="shared" si="150"/>
        <v>0</v>
      </c>
      <c r="AF57" s="32">
        <f t="shared" si="150"/>
        <v>0</v>
      </c>
      <c r="AG57" s="32">
        <f t="shared" si="150"/>
        <v>0</v>
      </c>
      <c r="AH57" s="11"/>
      <c r="AI57" s="76" t="e">
        <f t="shared" si="151"/>
        <v>#DIV/0!</v>
      </c>
    </row>
    <row r="58" spans="2:35" ht="12.75" customHeight="1">
      <c r="B58" s="13" t="s">
        <v>23</v>
      </c>
      <c r="C58" s="14">
        <f>SUM(C53:C57)+C50</f>
        <v>11986447</v>
      </c>
      <c r="D58" s="14">
        <f>SUM(D53:D57)+D50</f>
        <v>12276326</v>
      </c>
      <c r="E58" s="14">
        <f>SUM(E53:E57)+E50</f>
        <v>10798109</v>
      </c>
      <c r="G58" s="14">
        <f>SUM(G53:G57)+G50</f>
        <v>0</v>
      </c>
      <c r="H58" s="14">
        <f>SUM(H53:H57)+H50</f>
        <v>0</v>
      </c>
      <c r="I58" s="14">
        <f>SUM(I53:I57)+I50</f>
        <v>0</v>
      </c>
      <c r="J58" s="14">
        <f>SUM(J53:J57)+J50</f>
        <v>12276326</v>
      </c>
      <c r="K58" s="14">
        <f>SUM(K53:K57)+K50</f>
        <v>0</v>
      </c>
      <c r="L58" s="14">
        <f>SUM(L53:L57)+L50</f>
        <v>0</v>
      </c>
      <c r="M58" s="14">
        <f>SUM(M53:M57)+M50</f>
        <v>0</v>
      </c>
      <c r="N58" s="14">
        <f>SUM(N53:N57)+N50</f>
        <v>10798109</v>
      </c>
      <c r="O58" s="14">
        <f>SUM(O53:O57)+O50</f>
        <v>0</v>
      </c>
      <c r="P58" s="14">
        <f>SUM(P53:P57)+P50</f>
        <v>0</v>
      </c>
      <c r="Q58" s="14">
        <f>SUM(Q53:Q57)+Q50</f>
        <v>0</v>
      </c>
      <c r="S58" s="14" t="e">
        <f>SUM(S53:S57)+S50</f>
        <v>#REF!</v>
      </c>
      <c r="T58" s="14" t="e">
        <f>SUM(T53:T57)+T50</f>
        <v>#REF!</v>
      </c>
      <c r="U58" s="14" t="e">
        <f>SUM(U53:U57)+U50</f>
        <v>#REF!</v>
      </c>
      <c r="V58" s="14" t="e">
        <f>SUM(V53:V57)+V50</f>
        <v>#REF!</v>
      </c>
      <c r="W58" s="14">
        <f>SUM(W53:W57)+W50</f>
        <v>0</v>
      </c>
      <c r="X58" s="14">
        <f>SUM(X53:X57)+X50</f>
        <v>0</v>
      </c>
      <c r="Y58" s="14">
        <f>SUM(Y53:Y57)+Y50</f>
        <v>0</v>
      </c>
      <c r="Z58" s="14">
        <f>SUM(Z53:Z57)+Z50</f>
        <v>8299405</v>
      </c>
      <c r="AA58" s="14">
        <f>SUM(AA53:AA57)+AA50</f>
        <v>0</v>
      </c>
      <c r="AB58" s="14">
        <f>SUM(AB53:AB57)+AB50</f>
        <v>0</v>
      </c>
      <c r="AC58" s="14">
        <f>SUM(AC53:AC57)+AC50</f>
        <v>0</v>
      </c>
      <c r="AD58" s="14">
        <f>SUM(AD53:AD57)+AD50</f>
        <v>7007499</v>
      </c>
      <c r="AE58" s="14">
        <f>SUM(AE53:AE57)+AE50</f>
        <v>0</v>
      </c>
      <c r="AF58" s="14">
        <f>SUM(AF53:AF57)+AF50</f>
        <v>0</v>
      </c>
      <c r="AG58" s="34">
        <f>SUM(AG53:AG57)+AG50</f>
        <v>0</v>
      </c>
      <c r="AH58" s="42"/>
      <c r="AI58" s="77" t="e">
        <f t="shared" si="151"/>
        <v>#DIV/0!</v>
      </c>
    </row>
    <row r="59" spans="2:35" ht="12.75" customHeight="1">
      <c r="B59" s="25"/>
      <c r="C59" s="51"/>
      <c r="D59" s="41"/>
      <c r="E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39"/>
    </row>
    <row r="60" spans="2:35" ht="12.75" customHeight="1">
      <c r="B60" s="79" t="s">
        <v>49</v>
      </c>
      <c r="C60" s="51"/>
      <c r="D60" s="41"/>
      <c r="E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39"/>
    </row>
    <row r="61" spans="2:35" ht="12.75" customHeight="1">
      <c r="B61" s="122" t="s">
        <v>13</v>
      </c>
      <c r="C61" s="123">
        <v>4178907</v>
      </c>
      <c r="D61" s="123">
        <v>3526079</v>
      </c>
      <c r="E61" s="123">
        <v>3407889</v>
      </c>
      <c r="G61" s="83"/>
      <c r="H61" s="83"/>
      <c r="I61" s="83"/>
      <c r="J61" s="32">
        <f t="shared" ref="J61:J64" si="154">D61</f>
        <v>3526079</v>
      </c>
      <c r="K61" s="83"/>
      <c r="L61" s="83"/>
      <c r="M61" s="83"/>
      <c r="N61" s="32">
        <f t="shared" ref="N61:N64" si="155">E61</f>
        <v>3407889</v>
      </c>
      <c r="O61" s="83"/>
      <c r="P61" s="83"/>
      <c r="Q61" s="83"/>
      <c r="S61" s="99" t="e">
        <f>#REF!</f>
        <v>#REF!</v>
      </c>
      <c r="T61" s="99" t="e">
        <f>#REF!</f>
        <v>#REF!</v>
      </c>
      <c r="U61" s="99" t="e">
        <f>#REF!</f>
        <v>#REF!</v>
      </c>
      <c r="V61" s="99" t="e">
        <f>#REF!</f>
        <v>#REF!</v>
      </c>
      <c r="W61" s="99">
        <f t="shared" ref="W61:AG64" si="156">G61</f>
        <v>0</v>
      </c>
      <c r="X61" s="99">
        <f t="shared" si="156"/>
        <v>0</v>
      </c>
      <c r="Y61" s="99">
        <f t="shared" si="156"/>
        <v>0</v>
      </c>
      <c r="Z61" s="99">
        <f t="shared" si="156"/>
        <v>3526079</v>
      </c>
      <c r="AA61" s="99">
        <f t="shared" si="156"/>
        <v>0</v>
      </c>
      <c r="AB61" s="99">
        <f t="shared" si="156"/>
        <v>0</v>
      </c>
      <c r="AC61" s="99">
        <f t="shared" si="156"/>
        <v>0</v>
      </c>
      <c r="AD61" s="99">
        <f t="shared" si="156"/>
        <v>3407889</v>
      </c>
      <c r="AE61" s="99">
        <f t="shared" si="156"/>
        <v>0</v>
      </c>
      <c r="AF61" s="99">
        <f t="shared" si="156"/>
        <v>0</v>
      </c>
      <c r="AG61" s="99">
        <f t="shared" si="156"/>
        <v>0</v>
      </c>
      <c r="AH61" s="11"/>
      <c r="AI61" s="76" t="e">
        <f t="shared" ref="AI61:AI65" si="157">SUM(AG61/AC61)-1</f>
        <v>#DIV/0!</v>
      </c>
    </row>
    <row r="62" spans="2:35" ht="12.75" customHeight="1">
      <c r="B62" s="122" t="s">
        <v>134</v>
      </c>
      <c r="C62" s="123">
        <v>629464</v>
      </c>
      <c r="D62" s="123">
        <v>616067</v>
      </c>
      <c r="E62" s="123">
        <v>784635</v>
      </c>
      <c r="G62" s="83"/>
      <c r="H62" s="83"/>
      <c r="I62" s="83"/>
      <c r="J62" s="32">
        <f t="shared" si="154"/>
        <v>616067</v>
      </c>
      <c r="K62" s="83"/>
      <c r="L62" s="83"/>
      <c r="M62" s="83"/>
      <c r="N62" s="32">
        <f t="shared" si="155"/>
        <v>784635</v>
      </c>
      <c r="O62" s="83"/>
      <c r="P62" s="83"/>
      <c r="Q62" s="83"/>
      <c r="S62" s="99" t="e">
        <f>#REF!</f>
        <v>#REF!</v>
      </c>
      <c r="T62" s="99" t="e">
        <f>#REF!</f>
        <v>#REF!</v>
      </c>
      <c r="U62" s="99" t="e">
        <f>#REF!</f>
        <v>#REF!</v>
      </c>
      <c r="V62" s="99" t="e">
        <f>#REF!</f>
        <v>#REF!</v>
      </c>
      <c r="W62" s="99">
        <f t="shared" si="156"/>
        <v>0</v>
      </c>
      <c r="X62" s="99">
        <f t="shared" si="156"/>
        <v>0</v>
      </c>
      <c r="Y62" s="99">
        <f t="shared" si="156"/>
        <v>0</v>
      </c>
      <c r="Z62" s="99">
        <f t="shared" si="156"/>
        <v>616067</v>
      </c>
      <c r="AA62" s="99">
        <f t="shared" si="156"/>
        <v>0</v>
      </c>
      <c r="AB62" s="99">
        <f t="shared" si="156"/>
        <v>0</v>
      </c>
      <c r="AC62" s="99">
        <f t="shared" si="156"/>
        <v>0</v>
      </c>
      <c r="AD62" s="99">
        <f t="shared" si="156"/>
        <v>784635</v>
      </c>
      <c r="AE62" s="99">
        <f t="shared" si="156"/>
        <v>0</v>
      </c>
      <c r="AF62" s="99">
        <f t="shared" si="156"/>
        <v>0</v>
      </c>
      <c r="AG62" s="99">
        <f t="shared" si="156"/>
        <v>0</v>
      </c>
      <c r="AH62" s="11"/>
      <c r="AI62" s="76" t="e">
        <f t="shared" si="157"/>
        <v>#DIV/0!</v>
      </c>
    </row>
    <row r="63" spans="2:35" ht="12.75" customHeight="1">
      <c r="B63" s="122" t="s">
        <v>135</v>
      </c>
      <c r="C63" s="165">
        <v>185000</v>
      </c>
      <c r="D63" s="165">
        <v>0</v>
      </c>
      <c r="E63" s="165">
        <v>0</v>
      </c>
      <c r="G63" s="83"/>
      <c r="H63" s="83"/>
      <c r="I63" s="83"/>
      <c r="J63" s="32">
        <f t="shared" si="154"/>
        <v>0</v>
      </c>
      <c r="K63" s="83"/>
      <c r="L63" s="83"/>
      <c r="M63" s="83"/>
      <c r="N63" s="32">
        <f t="shared" si="155"/>
        <v>0</v>
      </c>
      <c r="O63" s="83"/>
      <c r="P63" s="83"/>
      <c r="Q63" s="83"/>
      <c r="S63" s="99" t="e">
        <f>#REF!</f>
        <v>#REF!</v>
      </c>
      <c r="T63" s="99" t="e">
        <f>#REF!</f>
        <v>#REF!</v>
      </c>
      <c r="U63" s="99" t="e">
        <f>#REF!</f>
        <v>#REF!</v>
      </c>
      <c r="V63" s="99" t="e">
        <f>#REF!</f>
        <v>#REF!</v>
      </c>
      <c r="W63" s="99">
        <f t="shared" si="156"/>
        <v>0</v>
      </c>
      <c r="X63" s="99">
        <f t="shared" si="156"/>
        <v>0</v>
      </c>
      <c r="Y63" s="99">
        <f t="shared" si="156"/>
        <v>0</v>
      </c>
      <c r="Z63" s="99">
        <f t="shared" si="156"/>
        <v>0</v>
      </c>
      <c r="AA63" s="99">
        <f t="shared" si="156"/>
        <v>0</v>
      </c>
      <c r="AB63" s="99">
        <f t="shared" si="156"/>
        <v>0</v>
      </c>
      <c r="AC63" s="99">
        <f t="shared" si="156"/>
        <v>0</v>
      </c>
      <c r="AD63" s="99">
        <f t="shared" si="156"/>
        <v>0</v>
      </c>
      <c r="AE63" s="99">
        <f t="shared" si="156"/>
        <v>0</v>
      </c>
      <c r="AF63" s="99">
        <f t="shared" si="156"/>
        <v>0</v>
      </c>
      <c r="AG63" s="99">
        <f t="shared" si="156"/>
        <v>0</v>
      </c>
      <c r="AH63" s="11"/>
      <c r="AI63" s="76" t="e">
        <f t="shared" si="157"/>
        <v>#DIV/0!</v>
      </c>
    </row>
    <row r="64" spans="2:35" ht="12.75" customHeight="1">
      <c r="B64" s="122" t="s">
        <v>136</v>
      </c>
      <c r="C64" s="123">
        <v>427480</v>
      </c>
      <c r="D64" s="123">
        <f>768851+396408</f>
        <v>1165259</v>
      </c>
      <c r="E64" s="123">
        <v>472833</v>
      </c>
      <c r="G64" s="83"/>
      <c r="H64" s="83"/>
      <c r="I64" s="83"/>
      <c r="J64" s="32">
        <f t="shared" si="154"/>
        <v>1165259</v>
      </c>
      <c r="K64" s="83"/>
      <c r="L64" s="83"/>
      <c r="M64" s="83"/>
      <c r="N64" s="32">
        <f t="shared" si="155"/>
        <v>472833</v>
      </c>
      <c r="O64" s="83"/>
      <c r="P64" s="83"/>
      <c r="Q64" s="83"/>
      <c r="S64" s="99" t="e">
        <f>#REF!</f>
        <v>#REF!</v>
      </c>
      <c r="T64" s="99" t="e">
        <f>#REF!</f>
        <v>#REF!</v>
      </c>
      <c r="U64" s="99" t="e">
        <f>#REF!</f>
        <v>#REF!</v>
      </c>
      <c r="V64" s="99" t="e">
        <f>#REF!</f>
        <v>#REF!</v>
      </c>
      <c r="W64" s="99">
        <f t="shared" si="156"/>
        <v>0</v>
      </c>
      <c r="X64" s="99">
        <f t="shared" si="156"/>
        <v>0</v>
      </c>
      <c r="Y64" s="99">
        <f t="shared" si="156"/>
        <v>0</v>
      </c>
      <c r="Z64" s="99">
        <f t="shared" si="156"/>
        <v>1165259</v>
      </c>
      <c r="AA64" s="99">
        <f t="shared" si="156"/>
        <v>0</v>
      </c>
      <c r="AB64" s="99">
        <f t="shared" si="156"/>
        <v>0</v>
      </c>
      <c r="AC64" s="99">
        <f t="shared" si="156"/>
        <v>0</v>
      </c>
      <c r="AD64" s="99">
        <f t="shared" si="156"/>
        <v>472833</v>
      </c>
      <c r="AE64" s="99">
        <f t="shared" si="156"/>
        <v>0</v>
      </c>
      <c r="AF64" s="99">
        <f t="shared" si="156"/>
        <v>0</v>
      </c>
      <c r="AG64" s="99">
        <f t="shared" si="156"/>
        <v>0</v>
      </c>
      <c r="AH64" s="11"/>
      <c r="AI64" s="76" t="e">
        <f t="shared" si="157"/>
        <v>#DIV/0!</v>
      </c>
    </row>
    <row r="65" spans="2:35" ht="12.75" customHeight="1">
      <c r="B65" s="25" t="s">
        <v>20</v>
      </c>
      <c r="C65" s="26">
        <f>SUM(C61:C64)</f>
        <v>5420851</v>
      </c>
      <c r="D65" s="26">
        <f>SUM(D61:D64)</f>
        <v>5307405</v>
      </c>
      <c r="E65" s="26">
        <f>SUM(E61:E64)</f>
        <v>4665357</v>
      </c>
      <c r="G65" s="26">
        <f>SUM(G61:G64)</f>
        <v>0</v>
      </c>
      <c r="H65" s="26">
        <f>SUM(H61:H64)</f>
        <v>0</v>
      </c>
      <c r="I65" s="26">
        <f>SUM(I61:I64)</f>
        <v>0</v>
      </c>
      <c r="J65" s="26">
        <f>SUM(J61:J64)</f>
        <v>5307405</v>
      </c>
      <c r="K65" s="26">
        <f>SUM(K61:K64)</f>
        <v>0</v>
      </c>
      <c r="L65" s="26">
        <f>SUM(L61:L64)</f>
        <v>0</v>
      </c>
      <c r="M65" s="26">
        <f>SUM(M61:M64)</f>
        <v>0</v>
      </c>
      <c r="N65" s="26">
        <f>SUM(N61:N64)</f>
        <v>4665357</v>
      </c>
      <c r="O65" s="26">
        <f>SUM(O61:O64)</f>
        <v>0</v>
      </c>
      <c r="P65" s="26">
        <f>SUM(P61:P64)</f>
        <v>0</v>
      </c>
      <c r="Q65" s="26">
        <f>SUM(Q61:Q64)</f>
        <v>0</v>
      </c>
      <c r="R65" s="49"/>
      <c r="S65" s="26" t="e">
        <f>SUM(S61:S64)</f>
        <v>#REF!</v>
      </c>
      <c r="T65" s="26" t="e">
        <f>SUM(T61:T64)</f>
        <v>#REF!</v>
      </c>
      <c r="U65" s="26" t="e">
        <f>SUM(U61:U64)</f>
        <v>#REF!</v>
      </c>
      <c r="V65" s="26" t="e">
        <f>SUM(V61:V64)</f>
        <v>#REF!</v>
      </c>
      <c r="W65" s="26">
        <f>SUM(W61:W64)</f>
        <v>0</v>
      </c>
      <c r="X65" s="26">
        <f>SUM(X61:X64)</f>
        <v>0</v>
      </c>
      <c r="Y65" s="26">
        <f>SUM(Y61:Y64)</f>
        <v>0</v>
      </c>
      <c r="Z65" s="26">
        <f>SUM(Z61:Z64)</f>
        <v>5307405</v>
      </c>
      <c r="AA65" s="26">
        <f>SUM(AA61:AA64)</f>
        <v>0</v>
      </c>
      <c r="AB65" s="26">
        <f>SUM(AB61:AB64)</f>
        <v>0</v>
      </c>
      <c r="AC65" s="26">
        <f>SUM(AC61:AC64)</f>
        <v>0</v>
      </c>
      <c r="AD65" s="26">
        <f>SUM(AD61:AD64)</f>
        <v>4665357</v>
      </c>
      <c r="AE65" s="26">
        <f>SUM(AE61:AE64)</f>
        <v>0</v>
      </c>
      <c r="AF65" s="26">
        <f>SUM(AF61:AF64)</f>
        <v>0</v>
      </c>
      <c r="AG65" s="26">
        <f>SUM(AG61:AG64)</f>
        <v>0</v>
      </c>
      <c r="AH65" s="42"/>
      <c r="AI65" s="77" t="e">
        <f t="shared" si="157"/>
        <v>#DIV/0!</v>
      </c>
    </row>
    <row r="66" spans="2:35" ht="5.0999999999999996" customHeight="1">
      <c r="B66" s="25"/>
      <c r="C66" s="51"/>
      <c r="D66" s="41"/>
      <c r="E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39"/>
    </row>
    <row r="67" spans="2:35">
      <c r="B67" s="79" t="s">
        <v>84</v>
      </c>
      <c r="C67" s="51"/>
      <c r="D67" s="41"/>
      <c r="E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39"/>
    </row>
    <row r="68" spans="2:35" ht="12.75" customHeight="1">
      <c r="B68" s="122" t="s">
        <v>103</v>
      </c>
      <c r="C68" s="123">
        <v>1188283</v>
      </c>
      <c r="D68" s="123">
        <v>1786361</v>
      </c>
      <c r="E68" s="123">
        <v>1789161</v>
      </c>
      <c r="F68" s="52"/>
      <c r="G68" s="83"/>
      <c r="H68" s="83"/>
      <c r="I68" s="83"/>
      <c r="J68" s="32">
        <f t="shared" ref="J68:J69" si="158">D68</f>
        <v>1786361</v>
      </c>
      <c r="K68" s="83"/>
      <c r="L68" s="83"/>
      <c r="M68" s="83"/>
      <c r="N68" s="32">
        <f t="shared" ref="N68:N69" si="159">E68</f>
        <v>1789161</v>
      </c>
      <c r="O68" s="83"/>
      <c r="P68" s="83"/>
      <c r="Q68" s="83"/>
      <c r="R68" s="123"/>
      <c r="S68" s="99" t="e">
        <f>#REF!</f>
        <v>#REF!</v>
      </c>
      <c r="T68" s="99" t="e">
        <f>#REF!</f>
        <v>#REF!</v>
      </c>
      <c r="U68" s="99" t="e">
        <f>#REF!</f>
        <v>#REF!</v>
      </c>
      <c r="V68" s="99" t="e">
        <f>#REF!</f>
        <v>#REF!</v>
      </c>
      <c r="W68" s="99">
        <f t="shared" ref="W68:AG71" si="160">G68</f>
        <v>0</v>
      </c>
      <c r="X68" s="99">
        <f t="shared" si="160"/>
        <v>0</v>
      </c>
      <c r="Y68" s="99">
        <f t="shared" si="160"/>
        <v>0</v>
      </c>
      <c r="Z68" s="99">
        <f t="shared" si="160"/>
        <v>1786361</v>
      </c>
      <c r="AA68" s="99">
        <f t="shared" si="160"/>
        <v>0</v>
      </c>
      <c r="AB68" s="99">
        <f t="shared" si="160"/>
        <v>0</v>
      </c>
      <c r="AC68" s="99">
        <f t="shared" si="160"/>
        <v>0</v>
      </c>
      <c r="AD68" s="99">
        <f t="shared" si="160"/>
        <v>1789161</v>
      </c>
      <c r="AE68" s="99">
        <f t="shared" si="160"/>
        <v>0</v>
      </c>
      <c r="AF68" s="99">
        <f t="shared" si="160"/>
        <v>0</v>
      </c>
      <c r="AG68" s="99">
        <f t="shared" si="160"/>
        <v>0</v>
      </c>
      <c r="AH68" s="42"/>
      <c r="AI68" s="76" t="e">
        <f t="shared" ref="AI68:AI81" si="161">SUM(AG68/AC68)-1</f>
        <v>#DIV/0!</v>
      </c>
    </row>
    <row r="69" spans="2:35" ht="12.75" customHeight="1">
      <c r="B69" s="122" t="s">
        <v>132</v>
      </c>
      <c r="C69" s="123">
        <v>2278318</v>
      </c>
      <c r="D69" s="123">
        <v>2039908</v>
      </c>
      <c r="E69" s="123">
        <v>1897165</v>
      </c>
      <c r="F69" s="52"/>
      <c r="G69" s="83"/>
      <c r="H69" s="83"/>
      <c r="I69" s="83"/>
      <c r="J69" s="32">
        <f t="shared" si="158"/>
        <v>2039908</v>
      </c>
      <c r="K69" s="83"/>
      <c r="L69" s="83"/>
      <c r="M69" s="83"/>
      <c r="N69" s="32">
        <f t="shared" si="159"/>
        <v>1897165</v>
      </c>
      <c r="O69" s="83"/>
      <c r="P69" s="83"/>
      <c r="Q69" s="83"/>
      <c r="R69" s="123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42"/>
      <c r="AI69" s="76"/>
    </row>
    <row r="70" spans="2:35" ht="12.75" customHeight="1">
      <c r="B70" s="122" t="s">
        <v>87</v>
      </c>
      <c r="C70" s="123">
        <v>410749</v>
      </c>
      <c r="D70" s="123">
        <v>355635</v>
      </c>
      <c r="E70" s="123">
        <v>192671</v>
      </c>
      <c r="F70" s="52"/>
      <c r="G70" s="83"/>
      <c r="H70" s="83"/>
      <c r="I70" s="83"/>
      <c r="J70" s="32">
        <f t="shared" ref="J70:J71" si="162">D70</f>
        <v>355635</v>
      </c>
      <c r="K70" s="83"/>
      <c r="L70" s="83"/>
      <c r="M70" s="83"/>
      <c r="N70" s="32">
        <f t="shared" ref="N70:N71" si="163">E70</f>
        <v>192671</v>
      </c>
      <c r="O70" s="83"/>
      <c r="P70" s="83"/>
      <c r="Q70" s="83"/>
      <c r="R70" s="123"/>
      <c r="S70" s="99" t="e">
        <f>#REF!</f>
        <v>#REF!</v>
      </c>
      <c r="T70" s="99" t="e">
        <f>#REF!</f>
        <v>#REF!</v>
      </c>
      <c r="U70" s="99" t="e">
        <f>#REF!</f>
        <v>#REF!</v>
      </c>
      <c r="V70" s="99" t="e">
        <f>#REF!</f>
        <v>#REF!</v>
      </c>
      <c r="W70" s="99">
        <f t="shared" si="160"/>
        <v>0</v>
      </c>
      <c r="X70" s="99">
        <f t="shared" si="160"/>
        <v>0</v>
      </c>
      <c r="Y70" s="99">
        <f t="shared" si="160"/>
        <v>0</v>
      </c>
      <c r="Z70" s="99">
        <f t="shared" si="160"/>
        <v>355635</v>
      </c>
      <c r="AA70" s="99">
        <f t="shared" si="160"/>
        <v>0</v>
      </c>
      <c r="AB70" s="99">
        <f t="shared" si="160"/>
        <v>0</v>
      </c>
      <c r="AC70" s="99">
        <f t="shared" si="160"/>
        <v>0</v>
      </c>
      <c r="AD70" s="99">
        <f t="shared" si="160"/>
        <v>192671</v>
      </c>
      <c r="AE70" s="99">
        <f t="shared" si="160"/>
        <v>0</v>
      </c>
      <c r="AF70" s="99">
        <f t="shared" si="160"/>
        <v>0</v>
      </c>
      <c r="AG70" s="99">
        <f t="shared" si="160"/>
        <v>0</v>
      </c>
      <c r="AH70" s="42"/>
      <c r="AI70" s="76" t="e">
        <f t="shared" si="161"/>
        <v>#DIV/0!</v>
      </c>
    </row>
    <row r="71" spans="2:35" ht="12.75" customHeight="1">
      <c r="B71" s="122" t="s">
        <v>133</v>
      </c>
      <c r="C71" s="123">
        <v>89054</v>
      </c>
      <c r="D71" s="123">
        <f>83538+183751</f>
        <v>267289</v>
      </c>
      <c r="E71" s="123">
        <v>83813</v>
      </c>
      <c r="F71" s="52"/>
      <c r="G71" s="83"/>
      <c r="H71" s="83"/>
      <c r="I71" s="83"/>
      <c r="J71" s="32">
        <f t="shared" si="162"/>
        <v>267289</v>
      </c>
      <c r="K71" s="83"/>
      <c r="L71" s="83"/>
      <c r="M71" s="83"/>
      <c r="N71" s="32">
        <f t="shared" si="163"/>
        <v>83813</v>
      </c>
      <c r="O71" s="83"/>
      <c r="P71" s="83"/>
      <c r="Q71" s="83"/>
      <c r="S71" s="99" t="e">
        <f>#REF!</f>
        <v>#REF!</v>
      </c>
      <c r="T71" s="99" t="e">
        <f>#REF!</f>
        <v>#REF!</v>
      </c>
      <c r="U71" s="99" t="e">
        <f>#REF!</f>
        <v>#REF!</v>
      </c>
      <c r="V71" s="99" t="e">
        <f>#REF!</f>
        <v>#REF!</v>
      </c>
      <c r="W71" s="99">
        <f t="shared" si="160"/>
        <v>0</v>
      </c>
      <c r="X71" s="99">
        <f t="shared" si="160"/>
        <v>0</v>
      </c>
      <c r="Y71" s="99">
        <f t="shared" si="160"/>
        <v>0</v>
      </c>
      <c r="Z71" s="99">
        <f t="shared" si="160"/>
        <v>267289</v>
      </c>
      <c r="AA71" s="99">
        <f t="shared" si="160"/>
        <v>0</v>
      </c>
      <c r="AB71" s="99">
        <f t="shared" si="160"/>
        <v>0</v>
      </c>
      <c r="AC71" s="99">
        <f t="shared" si="160"/>
        <v>0</v>
      </c>
      <c r="AD71" s="99">
        <f t="shared" si="160"/>
        <v>83813</v>
      </c>
      <c r="AE71" s="99">
        <f t="shared" si="160"/>
        <v>0</v>
      </c>
      <c r="AF71" s="99">
        <f t="shared" si="160"/>
        <v>0</v>
      </c>
      <c r="AG71" s="99">
        <f t="shared" si="160"/>
        <v>0</v>
      </c>
      <c r="AH71" s="42"/>
      <c r="AI71" s="76" t="e">
        <f t="shared" si="161"/>
        <v>#DIV/0!</v>
      </c>
    </row>
    <row r="72" spans="2:35" ht="12.75" customHeight="1">
      <c r="B72" s="13" t="s">
        <v>18</v>
      </c>
      <c r="C72" s="14">
        <f t="shared" ref="C72:E72" si="164">SUM(C68:C71)+C65</f>
        <v>9387255</v>
      </c>
      <c r="D72" s="14">
        <f t="shared" si="164"/>
        <v>9756598</v>
      </c>
      <c r="E72" s="14">
        <f t="shared" si="164"/>
        <v>8628167</v>
      </c>
      <c r="G72" s="14">
        <f t="shared" ref="G72:Q72" si="165">SUM(G68:G71)+G65</f>
        <v>0</v>
      </c>
      <c r="H72" s="14">
        <f t="shared" si="165"/>
        <v>0</v>
      </c>
      <c r="I72" s="14">
        <f t="shared" si="165"/>
        <v>0</v>
      </c>
      <c r="J72" s="14">
        <f t="shared" si="165"/>
        <v>9756598</v>
      </c>
      <c r="K72" s="14">
        <f t="shared" si="165"/>
        <v>0</v>
      </c>
      <c r="L72" s="14">
        <f t="shared" si="165"/>
        <v>0</v>
      </c>
      <c r="M72" s="14">
        <f t="shared" si="165"/>
        <v>0</v>
      </c>
      <c r="N72" s="14">
        <f t="shared" si="165"/>
        <v>8628167</v>
      </c>
      <c r="O72" s="14">
        <f t="shared" si="165"/>
        <v>0</v>
      </c>
      <c r="P72" s="14">
        <f t="shared" si="165"/>
        <v>0</v>
      </c>
      <c r="Q72" s="14">
        <f t="shared" si="165"/>
        <v>0</v>
      </c>
      <c r="S72" s="14" t="e">
        <f t="shared" ref="S72:AG72" si="166">SUM(S68:S71)+S65</f>
        <v>#REF!</v>
      </c>
      <c r="T72" s="14" t="e">
        <f t="shared" si="166"/>
        <v>#REF!</v>
      </c>
      <c r="U72" s="14" t="e">
        <f t="shared" si="166"/>
        <v>#REF!</v>
      </c>
      <c r="V72" s="14" t="e">
        <f t="shared" si="166"/>
        <v>#REF!</v>
      </c>
      <c r="W72" s="14">
        <f t="shared" si="166"/>
        <v>0</v>
      </c>
      <c r="X72" s="14">
        <f t="shared" si="166"/>
        <v>0</v>
      </c>
      <c r="Y72" s="14">
        <f t="shared" si="166"/>
        <v>0</v>
      </c>
      <c r="Z72" s="14">
        <f t="shared" si="166"/>
        <v>7716690</v>
      </c>
      <c r="AA72" s="14">
        <f t="shared" si="166"/>
        <v>0</v>
      </c>
      <c r="AB72" s="14">
        <f t="shared" si="166"/>
        <v>0</v>
      </c>
      <c r="AC72" s="14">
        <f t="shared" si="166"/>
        <v>0</v>
      </c>
      <c r="AD72" s="14">
        <f t="shared" si="166"/>
        <v>6731002</v>
      </c>
      <c r="AE72" s="14">
        <f t="shared" si="166"/>
        <v>0</v>
      </c>
      <c r="AF72" s="14">
        <f t="shared" si="166"/>
        <v>0</v>
      </c>
      <c r="AG72" s="14">
        <f t="shared" si="166"/>
        <v>0</v>
      </c>
      <c r="AH72" s="42"/>
      <c r="AI72" s="77" t="e">
        <f t="shared" si="161"/>
        <v>#DIV/0!</v>
      </c>
    </row>
    <row r="73" spans="2:35" ht="5.0999999999999996" customHeight="1">
      <c r="B73" s="25"/>
      <c r="C73" s="50"/>
      <c r="D73" s="41"/>
      <c r="E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39"/>
    </row>
    <row r="74" spans="2:35" ht="12.75" customHeight="1">
      <c r="B74" s="9" t="s">
        <v>137</v>
      </c>
      <c r="C74" s="83">
        <v>0</v>
      </c>
      <c r="D74" s="83">
        <v>0</v>
      </c>
      <c r="E74" s="83">
        <v>0</v>
      </c>
      <c r="F74" s="32"/>
      <c r="G74" s="83"/>
      <c r="H74" s="83"/>
      <c r="I74" s="83"/>
      <c r="J74" s="32">
        <f t="shared" ref="J74:J77" si="167">D74</f>
        <v>0</v>
      </c>
      <c r="K74" s="83"/>
      <c r="L74" s="83"/>
      <c r="M74" s="83"/>
      <c r="N74" s="32">
        <f t="shared" ref="N74:N77" si="168">E74</f>
        <v>0</v>
      </c>
      <c r="O74" s="83"/>
      <c r="P74" s="83"/>
      <c r="Q74" s="83"/>
      <c r="S74" s="32" t="e">
        <f>#REF!</f>
        <v>#REF!</v>
      </c>
      <c r="T74" s="32" t="e">
        <f>#REF!</f>
        <v>#REF!</v>
      </c>
      <c r="U74" s="32" t="e">
        <f>#REF!</f>
        <v>#REF!</v>
      </c>
      <c r="V74" s="32" t="e">
        <f>#REF!</f>
        <v>#REF!</v>
      </c>
      <c r="W74" s="32">
        <f t="shared" ref="W74:AG79" si="169">G74</f>
        <v>0</v>
      </c>
      <c r="X74" s="32">
        <f t="shared" si="169"/>
        <v>0</v>
      </c>
      <c r="Y74" s="32">
        <f t="shared" si="169"/>
        <v>0</v>
      </c>
      <c r="Z74" s="32">
        <f t="shared" si="169"/>
        <v>0</v>
      </c>
      <c r="AA74" s="32">
        <f t="shared" si="169"/>
        <v>0</v>
      </c>
      <c r="AB74" s="32">
        <f t="shared" si="169"/>
        <v>0</v>
      </c>
      <c r="AC74" s="32">
        <f t="shared" si="169"/>
        <v>0</v>
      </c>
      <c r="AD74" s="32">
        <f t="shared" si="169"/>
        <v>0</v>
      </c>
      <c r="AE74" s="32">
        <f t="shared" si="169"/>
        <v>0</v>
      </c>
      <c r="AF74" s="32">
        <f t="shared" si="169"/>
        <v>0</v>
      </c>
      <c r="AG74" s="32">
        <f t="shared" si="169"/>
        <v>0</v>
      </c>
      <c r="AH74" s="11"/>
      <c r="AI74" s="76" t="e">
        <f t="shared" si="161"/>
        <v>#DIV/0!</v>
      </c>
    </row>
    <row r="75" spans="2:35" ht="12.75" customHeight="1">
      <c r="B75" s="9" t="s">
        <v>21</v>
      </c>
      <c r="C75" s="83">
        <v>8</v>
      </c>
      <c r="D75" s="83">
        <v>8</v>
      </c>
      <c r="E75" s="83">
        <v>8</v>
      </c>
      <c r="F75" s="32"/>
      <c r="G75" s="83"/>
      <c r="H75" s="83"/>
      <c r="I75" s="83"/>
      <c r="J75" s="32">
        <f t="shared" si="167"/>
        <v>8</v>
      </c>
      <c r="K75" s="83"/>
      <c r="L75" s="83"/>
      <c r="M75" s="83"/>
      <c r="N75" s="32">
        <f t="shared" si="168"/>
        <v>8</v>
      </c>
      <c r="O75" s="83"/>
      <c r="P75" s="83"/>
      <c r="Q75" s="83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11"/>
      <c r="AI75" s="76"/>
    </row>
    <row r="76" spans="2:35" ht="12.75" customHeight="1">
      <c r="B76" s="9" t="s">
        <v>138</v>
      </c>
      <c r="C76" s="83">
        <v>897560</v>
      </c>
      <c r="D76" s="83">
        <v>946099</v>
      </c>
      <c r="E76" s="83">
        <v>993691</v>
      </c>
      <c r="F76" s="32"/>
      <c r="G76" s="83"/>
      <c r="H76" s="83"/>
      <c r="I76" s="83"/>
      <c r="J76" s="32">
        <f t="shared" si="167"/>
        <v>946099</v>
      </c>
      <c r="K76" s="83"/>
      <c r="L76" s="83"/>
      <c r="M76" s="83"/>
      <c r="N76" s="32">
        <f t="shared" si="168"/>
        <v>993691</v>
      </c>
      <c r="O76" s="83"/>
      <c r="P76" s="83"/>
      <c r="Q76" s="83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11"/>
      <c r="AI76" s="76"/>
    </row>
    <row r="77" spans="2:35" ht="12.75" customHeight="1">
      <c r="B77" s="9" t="s">
        <v>140</v>
      </c>
      <c r="C77" s="83">
        <v>-2918768</v>
      </c>
      <c r="D77" s="83">
        <v>-2933286</v>
      </c>
      <c r="E77" s="83">
        <v>-2939787</v>
      </c>
      <c r="F77" s="32"/>
      <c r="G77" s="83"/>
      <c r="H77" s="83"/>
      <c r="I77" s="83"/>
      <c r="J77" s="32">
        <f>D77</f>
        <v>-2933286</v>
      </c>
      <c r="K77" s="83"/>
      <c r="L77" s="83"/>
      <c r="M77" s="83"/>
      <c r="N77" s="32">
        <f>E77</f>
        <v>-2939787</v>
      </c>
      <c r="O77" s="83"/>
      <c r="P77" s="83"/>
      <c r="Q77" s="83"/>
      <c r="S77" s="32" t="e">
        <f>#REF!</f>
        <v>#REF!</v>
      </c>
      <c r="T77" s="32" t="e">
        <f>#REF!</f>
        <v>#REF!</v>
      </c>
      <c r="U77" s="32" t="e">
        <f>#REF!</f>
        <v>#REF!</v>
      </c>
      <c r="V77" s="32" t="e">
        <f>#REF!</f>
        <v>#REF!</v>
      </c>
      <c r="W77" s="32">
        <f t="shared" si="169"/>
        <v>0</v>
      </c>
      <c r="X77" s="32">
        <f t="shared" si="169"/>
        <v>0</v>
      </c>
      <c r="Y77" s="32">
        <f t="shared" si="169"/>
        <v>0</v>
      </c>
      <c r="Z77" s="32">
        <f t="shared" si="169"/>
        <v>-2933286</v>
      </c>
      <c r="AA77" s="32">
        <f t="shared" si="169"/>
        <v>0</v>
      </c>
      <c r="AB77" s="32">
        <f t="shared" si="169"/>
        <v>0</v>
      </c>
      <c r="AC77" s="32">
        <f t="shared" si="169"/>
        <v>0</v>
      </c>
      <c r="AD77" s="32">
        <f t="shared" si="169"/>
        <v>-2939787</v>
      </c>
      <c r="AE77" s="32">
        <f t="shared" si="169"/>
        <v>0</v>
      </c>
      <c r="AF77" s="32">
        <f t="shared" si="169"/>
        <v>0</v>
      </c>
      <c r="AG77" s="32">
        <f t="shared" si="169"/>
        <v>0</v>
      </c>
      <c r="AH77" s="11"/>
      <c r="AI77" s="76" t="e">
        <f t="shared" si="161"/>
        <v>#DIV/0!</v>
      </c>
    </row>
    <row r="78" spans="2:35" ht="12.75" customHeight="1">
      <c r="B78" s="9" t="s">
        <v>139</v>
      </c>
      <c r="C78" s="83">
        <v>-44695</v>
      </c>
      <c r="D78" s="83">
        <v>-52232</v>
      </c>
      <c r="E78" s="83">
        <v>-47146</v>
      </c>
      <c r="F78" s="32"/>
      <c r="G78" s="83"/>
      <c r="H78" s="83"/>
      <c r="I78" s="83"/>
      <c r="J78" s="32">
        <f>D78</f>
        <v>-52232</v>
      </c>
      <c r="K78" s="83"/>
      <c r="L78" s="83"/>
      <c r="M78" s="83"/>
      <c r="N78" s="32">
        <f>E78</f>
        <v>-47146</v>
      </c>
      <c r="O78" s="83"/>
      <c r="P78" s="83"/>
      <c r="Q78" s="83"/>
      <c r="S78" s="32" t="e">
        <f>#REF!</f>
        <v>#REF!</v>
      </c>
      <c r="T78" s="32" t="e">
        <f>#REF!</f>
        <v>#REF!</v>
      </c>
      <c r="U78" s="32" t="e">
        <f>#REF!</f>
        <v>#REF!</v>
      </c>
      <c r="V78" s="32" t="e">
        <f>#REF!</f>
        <v>#REF!</v>
      </c>
      <c r="W78" s="32">
        <f t="shared" si="169"/>
        <v>0</v>
      </c>
      <c r="X78" s="32">
        <f t="shared" si="169"/>
        <v>0</v>
      </c>
      <c r="Y78" s="32">
        <f t="shared" si="169"/>
        <v>0</v>
      </c>
      <c r="Z78" s="32">
        <f t="shared" si="169"/>
        <v>-52232</v>
      </c>
      <c r="AA78" s="32">
        <f t="shared" si="169"/>
        <v>0</v>
      </c>
      <c r="AB78" s="32">
        <f t="shared" si="169"/>
        <v>0</v>
      </c>
      <c r="AC78" s="32">
        <f t="shared" si="169"/>
        <v>0</v>
      </c>
      <c r="AD78" s="32">
        <f t="shared" si="169"/>
        <v>-47146</v>
      </c>
      <c r="AE78" s="32">
        <f t="shared" si="169"/>
        <v>0</v>
      </c>
      <c r="AF78" s="32">
        <f t="shared" si="169"/>
        <v>0</v>
      </c>
      <c r="AG78" s="32">
        <f t="shared" si="169"/>
        <v>0</v>
      </c>
      <c r="AH78" s="11"/>
      <c r="AI78" s="76" t="e">
        <f t="shared" si="161"/>
        <v>#DIV/0!</v>
      </c>
    </row>
    <row r="79" spans="2:35" ht="12.75" customHeight="1">
      <c r="B79" s="9" t="s">
        <v>88</v>
      </c>
      <c r="C79" s="83">
        <v>4665087</v>
      </c>
      <c r="D79" s="83">
        <v>4559139</v>
      </c>
      <c r="E79" s="83">
        <v>4163176</v>
      </c>
      <c r="F79" s="32"/>
      <c r="G79" s="83"/>
      <c r="H79" s="83"/>
      <c r="I79" s="83"/>
      <c r="J79" s="32">
        <f>D79</f>
        <v>4559139</v>
      </c>
      <c r="K79" s="83"/>
      <c r="L79" s="83"/>
      <c r="M79" s="83"/>
      <c r="N79" s="32">
        <f>E79</f>
        <v>4163176</v>
      </c>
      <c r="O79" s="83"/>
      <c r="P79" s="83"/>
      <c r="Q79" s="83"/>
      <c r="S79" s="32" t="e">
        <f>#REF!</f>
        <v>#REF!</v>
      </c>
      <c r="T79" s="32" t="e">
        <f>#REF!</f>
        <v>#REF!</v>
      </c>
      <c r="U79" s="32" t="e">
        <f>#REF!</f>
        <v>#REF!</v>
      </c>
      <c r="V79" s="32" t="e">
        <f>#REF!</f>
        <v>#REF!</v>
      </c>
      <c r="W79" s="32">
        <f t="shared" si="169"/>
        <v>0</v>
      </c>
      <c r="X79" s="32">
        <f t="shared" si="169"/>
        <v>0</v>
      </c>
      <c r="Y79" s="32">
        <f t="shared" si="169"/>
        <v>0</v>
      </c>
      <c r="Z79" s="32">
        <f t="shared" si="169"/>
        <v>4559139</v>
      </c>
      <c r="AA79" s="32">
        <f t="shared" si="169"/>
        <v>0</v>
      </c>
      <c r="AB79" s="32">
        <f t="shared" si="169"/>
        <v>0</v>
      </c>
      <c r="AC79" s="32">
        <f t="shared" si="169"/>
        <v>0</v>
      </c>
      <c r="AD79" s="32">
        <f t="shared" si="169"/>
        <v>4163176</v>
      </c>
      <c r="AE79" s="32">
        <f t="shared" si="169"/>
        <v>0</v>
      </c>
      <c r="AF79" s="32">
        <f t="shared" si="169"/>
        <v>0</v>
      </c>
      <c r="AG79" s="32">
        <f t="shared" si="169"/>
        <v>0</v>
      </c>
      <c r="AH79" s="11"/>
      <c r="AI79" s="76" t="e">
        <f t="shared" si="161"/>
        <v>#DIV/0!</v>
      </c>
    </row>
    <row r="80" spans="2:35" ht="12.75" customHeight="1">
      <c r="B80" s="13" t="s">
        <v>17</v>
      </c>
      <c r="C80" s="14">
        <f t="shared" ref="C80:E80" si="170">SUM(C74:C79)</f>
        <v>2599192</v>
      </c>
      <c r="D80" s="14">
        <f t="shared" si="170"/>
        <v>2519728</v>
      </c>
      <c r="E80" s="14">
        <f t="shared" si="170"/>
        <v>2169942</v>
      </c>
      <c r="F80" s="53"/>
      <c r="G80" s="14">
        <f t="shared" ref="G80:Q80" si="171">SUM(G74:G79)</f>
        <v>0</v>
      </c>
      <c r="H80" s="14">
        <f t="shared" si="171"/>
        <v>0</v>
      </c>
      <c r="I80" s="14">
        <f t="shared" si="171"/>
        <v>0</v>
      </c>
      <c r="J80" s="14">
        <f t="shared" si="171"/>
        <v>2519728</v>
      </c>
      <c r="K80" s="14">
        <f t="shared" si="171"/>
        <v>0</v>
      </c>
      <c r="L80" s="14">
        <f t="shared" si="171"/>
        <v>0</v>
      </c>
      <c r="M80" s="14">
        <f t="shared" si="171"/>
        <v>0</v>
      </c>
      <c r="N80" s="14">
        <f t="shared" si="171"/>
        <v>2169942</v>
      </c>
      <c r="O80" s="14">
        <f t="shared" si="171"/>
        <v>0</v>
      </c>
      <c r="P80" s="14">
        <f t="shared" si="171"/>
        <v>0</v>
      </c>
      <c r="Q80" s="14">
        <f t="shared" si="171"/>
        <v>0</v>
      </c>
      <c r="S80" s="14" t="e">
        <f t="shared" ref="S80:AG80" si="172">SUM(S74:S79)</f>
        <v>#REF!</v>
      </c>
      <c r="T80" s="14" t="e">
        <f t="shared" si="172"/>
        <v>#REF!</v>
      </c>
      <c r="U80" s="14" t="e">
        <f t="shared" si="172"/>
        <v>#REF!</v>
      </c>
      <c r="V80" s="14" t="e">
        <f t="shared" si="172"/>
        <v>#REF!</v>
      </c>
      <c r="W80" s="14">
        <f t="shared" si="172"/>
        <v>0</v>
      </c>
      <c r="X80" s="14">
        <f t="shared" si="172"/>
        <v>0</v>
      </c>
      <c r="Y80" s="14">
        <f t="shared" si="172"/>
        <v>0</v>
      </c>
      <c r="Z80" s="14">
        <f t="shared" si="172"/>
        <v>1573621</v>
      </c>
      <c r="AA80" s="14">
        <f t="shared" si="172"/>
        <v>0</v>
      </c>
      <c r="AB80" s="14">
        <f t="shared" si="172"/>
        <v>0</v>
      </c>
      <c r="AC80" s="14">
        <f t="shared" si="172"/>
        <v>0</v>
      </c>
      <c r="AD80" s="14">
        <f t="shared" si="172"/>
        <v>1176243</v>
      </c>
      <c r="AE80" s="14">
        <f t="shared" si="172"/>
        <v>0</v>
      </c>
      <c r="AF80" s="14">
        <f t="shared" si="172"/>
        <v>0</v>
      </c>
      <c r="AG80" s="14">
        <f t="shared" si="172"/>
        <v>0</v>
      </c>
      <c r="AH80" s="42"/>
      <c r="AI80" s="76" t="e">
        <f t="shared" si="161"/>
        <v>#DIV/0!</v>
      </c>
    </row>
    <row r="81" spans="1:35" ht="12.75" customHeight="1">
      <c r="B81" s="25" t="s">
        <v>53</v>
      </c>
      <c r="C81" s="32">
        <f t="shared" ref="C81:E81" si="173">SUM(C80+C72)</f>
        <v>11986447</v>
      </c>
      <c r="D81" s="32">
        <f t="shared" si="173"/>
        <v>12276326</v>
      </c>
      <c r="E81" s="32">
        <f t="shared" si="173"/>
        <v>10798109</v>
      </c>
      <c r="F81" s="32"/>
      <c r="G81" s="32">
        <f t="shared" ref="G81:Q81" si="174">SUM(G80+G72)</f>
        <v>0</v>
      </c>
      <c r="H81" s="32">
        <f t="shared" si="174"/>
        <v>0</v>
      </c>
      <c r="I81" s="32">
        <f t="shared" si="174"/>
        <v>0</v>
      </c>
      <c r="J81" s="32">
        <f t="shared" si="174"/>
        <v>12276326</v>
      </c>
      <c r="K81" s="32">
        <f t="shared" si="174"/>
        <v>0</v>
      </c>
      <c r="L81" s="32">
        <f t="shared" si="174"/>
        <v>0</v>
      </c>
      <c r="M81" s="32">
        <f t="shared" si="174"/>
        <v>0</v>
      </c>
      <c r="N81" s="32">
        <f t="shared" si="174"/>
        <v>10798109</v>
      </c>
      <c r="O81" s="32">
        <f t="shared" si="174"/>
        <v>0</v>
      </c>
      <c r="P81" s="32">
        <f t="shared" si="174"/>
        <v>0</v>
      </c>
      <c r="Q81" s="32">
        <f t="shared" si="174"/>
        <v>0</v>
      </c>
      <c r="R81" s="32"/>
      <c r="S81" s="32" t="e">
        <f t="shared" ref="S81:AG81" si="175">SUM(S80+S72)</f>
        <v>#REF!</v>
      </c>
      <c r="T81" s="32" t="e">
        <f t="shared" si="175"/>
        <v>#REF!</v>
      </c>
      <c r="U81" s="32" t="e">
        <f t="shared" si="175"/>
        <v>#REF!</v>
      </c>
      <c r="V81" s="32" t="e">
        <f t="shared" si="175"/>
        <v>#REF!</v>
      </c>
      <c r="W81" s="32">
        <f t="shared" si="175"/>
        <v>0</v>
      </c>
      <c r="X81" s="32">
        <f t="shared" si="175"/>
        <v>0</v>
      </c>
      <c r="Y81" s="32">
        <f t="shared" si="175"/>
        <v>0</v>
      </c>
      <c r="Z81" s="32">
        <f t="shared" si="175"/>
        <v>9290311</v>
      </c>
      <c r="AA81" s="32">
        <f t="shared" si="175"/>
        <v>0</v>
      </c>
      <c r="AB81" s="32">
        <f t="shared" si="175"/>
        <v>0</v>
      </c>
      <c r="AC81" s="32">
        <f t="shared" si="175"/>
        <v>0</v>
      </c>
      <c r="AD81" s="32">
        <f t="shared" si="175"/>
        <v>7907245</v>
      </c>
      <c r="AE81" s="32">
        <f t="shared" si="175"/>
        <v>0</v>
      </c>
      <c r="AF81" s="32">
        <f t="shared" si="175"/>
        <v>0</v>
      </c>
      <c r="AG81" s="32">
        <f t="shared" si="175"/>
        <v>0</v>
      </c>
      <c r="AH81" s="11"/>
      <c r="AI81" s="77" t="e">
        <f t="shared" si="161"/>
        <v>#DIV/0!</v>
      </c>
    </row>
    <row r="82" spans="1:35" ht="5.0999999999999996" customHeight="1">
      <c r="B82" s="25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11"/>
    </row>
    <row r="83" spans="1:35" ht="12.75" customHeight="1">
      <c r="B83" s="146" t="s">
        <v>59</v>
      </c>
      <c r="C83" s="70">
        <f>C81-C58</f>
        <v>0</v>
      </c>
      <c r="D83" s="70">
        <f>D81-D58</f>
        <v>0</v>
      </c>
      <c r="E83" s="70">
        <f>E81-E58</f>
        <v>0</v>
      </c>
      <c r="F83" s="71"/>
      <c r="G83" s="70">
        <f>G81-G58</f>
        <v>0</v>
      </c>
      <c r="H83" s="70">
        <f>H81-H58</f>
        <v>0</v>
      </c>
      <c r="I83" s="70">
        <f>I81-I58</f>
        <v>0</v>
      </c>
      <c r="J83" s="70">
        <f>J81-J58</f>
        <v>0</v>
      </c>
      <c r="K83" s="70">
        <f>K81-K58</f>
        <v>0</v>
      </c>
      <c r="L83" s="70">
        <f>L81-L58</f>
        <v>0</v>
      </c>
      <c r="M83" s="70">
        <f>M81-M58</f>
        <v>0</v>
      </c>
      <c r="N83" s="70">
        <f>N81-N58</f>
        <v>0</v>
      </c>
      <c r="O83" s="70">
        <f>O81-O58</f>
        <v>0</v>
      </c>
      <c r="P83" s="70">
        <f>P81-P58</f>
        <v>0</v>
      </c>
      <c r="Q83" s="70">
        <f>Q81-Q58</f>
        <v>0</v>
      </c>
      <c r="R83" s="28"/>
      <c r="S83" s="70" t="e">
        <f>S81-S58</f>
        <v>#REF!</v>
      </c>
      <c r="T83" s="70" t="e">
        <f>T81-T58</f>
        <v>#REF!</v>
      </c>
      <c r="U83" s="70" t="e">
        <f>U81-U58</f>
        <v>#REF!</v>
      </c>
      <c r="V83" s="70" t="e">
        <f>V81-V58</f>
        <v>#REF!</v>
      </c>
      <c r="W83" s="70">
        <f>W81-W58</f>
        <v>0</v>
      </c>
      <c r="X83" s="70">
        <f>X81-X58</f>
        <v>0</v>
      </c>
      <c r="Y83" s="70">
        <f>Y81-Y58</f>
        <v>0</v>
      </c>
      <c r="Z83" s="70">
        <f>Z81-Z58</f>
        <v>990906</v>
      </c>
      <c r="AA83" s="70">
        <f>AA81-AA58</f>
        <v>0</v>
      </c>
      <c r="AB83" s="70">
        <f>AB81-AB58</f>
        <v>0</v>
      </c>
      <c r="AC83" s="70">
        <f>AC81-AC58</f>
        <v>0</v>
      </c>
      <c r="AD83" s="70">
        <f>AD81-AD58</f>
        <v>899746</v>
      </c>
      <c r="AE83" s="70">
        <f>AE81-AE58</f>
        <v>0</v>
      </c>
      <c r="AF83" s="70">
        <f>AF81-AF58</f>
        <v>0</v>
      </c>
      <c r="AG83" s="70">
        <f>AG81-AG58</f>
        <v>0</v>
      </c>
    </row>
    <row r="84" spans="1:35" ht="5.0999999999999996" customHeight="1" thickBot="1">
      <c r="B84" s="118"/>
      <c r="C84" s="119"/>
      <c r="D84" s="119"/>
      <c r="E84" s="119"/>
      <c r="F84" s="120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21"/>
      <c r="S84" s="119"/>
      <c r="T84" s="119"/>
      <c r="U84" s="119"/>
      <c r="V84" s="119"/>
      <c r="W84" s="119"/>
      <c r="X84" s="119"/>
      <c r="Y84" s="119"/>
      <c r="Z84" s="119"/>
      <c r="AA84" s="119"/>
      <c r="AB84" s="119"/>
      <c r="AC84" s="119"/>
      <c r="AD84" s="119"/>
      <c r="AE84" s="119"/>
      <c r="AF84" s="119"/>
      <c r="AG84" s="119"/>
      <c r="AH84" s="74"/>
      <c r="AI84" s="74"/>
    </row>
    <row r="85" spans="1:35">
      <c r="B85" s="69"/>
      <c r="C85" s="24"/>
      <c r="D85" s="24"/>
      <c r="E85" s="24"/>
      <c r="F85" s="54"/>
    </row>
    <row r="86" spans="1:35" ht="12.75" customHeight="1">
      <c r="A86" s="5" t="s">
        <v>19</v>
      </c>
      <c r="B86" s="100" t="s">
        <v>15</v>
      </c>
      <c r="C86" s="104"/>
      <c r="D86" s="104"/>
      <c r="E86" s="104"/>
      <c r="F86" s="105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0"/>
      <c r="S86" s="104"/>
      <c r="T86" s="104"/>
      <c r="U86" s="104"/>
      <c r="V86" s="104"/>
      <c r="W86" s="104"/>
      <c r="X86" s="104"/>
      <c r="Y86" s="104"/>
      <c r="Z86" s="104"/>
      <c r="AA86" s="104"/>
      <c r="AB86" s="104" t="s">
        <v>10</v>
      </c>
      <c r="AC86" s="104"/>
      <c r="AD86" s="104"/>
      <c r="AE86" s="104"/>
      <c r="AF86" s="104"/>
      <c r="AG86" s="104"/>
      <c r="AH86" s="105"/>
      <c r="AI86" s="155" t="s">
        <v>26</v>
      </c>
    </row>
    <row r="87" spans="1:35" ht="12.75" customHeight="1">
      <c r="B87" s="101" t="str">
        <f>B7</f>
        <v>Fiscal Period</v>
      </c>
      <c r="C87" s="106">
        <f>C7</f>
        <v>2022</v>
      </c>
      <c r="D87" s="106">
        <f>D7</f>
        <v>2023</v>
      </c>
      <c r="E87" s="106">
        <f>E7</f>
        <v>2024</v>
      </c>
      <c r="F87" s="105"/>
      <c r="G87" s="106" t="str">
        <f>G7</f>
        <v>1Q23</v>
      </c>
      <c r="H87" s="106" t="str">
        <f>H7</f>
        <v>2Q23</v>
      </c>
      <c r="I87" s="106" t="str">
        <f>I7</f>
        <v>3Q23</v>
      </c>
      <c r="J87" s="106" t="str">
        <f>J7</f>
        <v>4Q23</v>
      </c>
      <c r="K87" s="106" t="str">
        <f>K7</f>
        <v>1Q24</v>
      </c>
      <c r="L87" s="106" t="str">
        <f>L7</f>
        <v>2Q24</v>
      </c>
      <c r="M87" s="106" t="str">
        <f>M7</f>
        <v>3Q24</v>
      </c>
      <c r="N87" s="106" t="str">
        <f>N7</f>
        <v>4Q24</v>
      </c>
      <c r="O87" s="106" t="str">
        <f>O7</f>
        <v>1Q25</v>
      </c>
      <c r="P87" s="106" t="str">
        <f>P7</f>
        <v>2Q25</v>
      </c>
      <c r="Q87" s="106" t="str">
        <f>Q7</f>
        <v>3Q25</v>
      </c>
      <c r="R87" s="106"/>
      <c r="S87" s="106" t="e">
        <f>S7</f>
        <v>#REF!</v>
      </c>
      <c r="T87" s="106" t="e">
        <f>T7</f>
        <v>#REF!</v>
      </c>
      <c r="U87" s="106" t="e">
        <f>U7</f>
        <v>#REF!</v>
      </c>
      <c r="V87" s="106" t="e">
        <f>V7</f>
        <v>#REF!</v>
      </c>
      <c r="W87" s="106" t="str">
        <f>W7</f>
        <v>1Q23</v>
      </c>
      <c r="X87" s="106" t="str">
        <f>X7</f>
        <v>2Q23</v>
      </c>
      <c r="Y87" s="106" t="str">
        <f>Y7</f>
        <v>3Q23</v>
      </c>
      <c r="Z87" s="106" t="str">
        <f>Z7</f>
        <v>4Q23</v>
      </c>
      <c r="AA87" s="106" t="str">
        <f>AA7</f>
        <v>1Q24</v>
      </c>
      <c r="AB87" s="106" t="str">
        <f>AB7</f>
        <v>2Q24</v>
      </c>
      <c r="AC87" s="106" t="str">
        <f>AC7</f>
        <v>3Q24</v>
      </c>
      <c r="AD87" s="106" t="str">
        <f>AD7</f>
        <v>4Q24</v>
      </c>
      <c r="AE87" s="106" t="str">
        <f>AE7</f>
        <v>1Q25</v>
      </c>
      <c r="AF87" s="106" t="str">
        <f>AF7</f>
        <v>2Q25</v>
      </c>
      <c r="AG87" s="106" t="str">
        <f>AG7</f>
        <v>3Q25</v>
      </c>
      <c r="AH87" s="105"/>
      <c r="AI87" s="155"/>
    </row>
    <row r="88" spans="1:35" ht="12.75" customHeight="1">
      <c r="B88" s="101" t="str">
        <f>B8</f>
        <v>Fiscal Period End Date</v>
      </c>
      <c r="C88" s="107">
        <f>C8</f>
        <v>44926</v>
      </c>
      <c r="D88" s="107">
        <f>D8</f>
        <v>45290</v>
      </c>
      <c r="E88" s="107">
        <f>E8</f>
        <v>45654</v>
      </c>
      <c r="F88" s="105"/>
      <c r="G88" s="107">
        <f>G8</f>
        <v>0</v>
      </c>
      <c r="H88" s="107">
        <f>H8</f>
        <v>0</v>
      </c>
      <c r="I88" s="107">
        <f>I8</f>
        <v>0</v>
      </c>
      <c r="J88" s="107">
        <f>J8</f>
        <v>45290</v>
      </c>
      <c r="K88" s="107">
        <f>K8</f>
        <v>0</v>
      </c>
      <c r="L88" s="107">
        <f>L8</f>
        <v>0</v>
      </c>
      <c r="M88" s="107">
        <f>M8</f>
        <v>0</v>
      </c>
      <c r="N88" s="107">
        <f>N8</f>
        <v>45654</v>
      </c>
      <c r="O88" s="107">
        <f>O8</f>
        <v>0</v>
      </c>
      <c r="P88" s="107">
        <f>P8</f>
        <v>0</v>
      </c>
      <c r="Q88" s="107">
        <f>Q8</f>
        <v>0</v>
      </c>
      <c r="R88" s="107"/>
      <c r="S88" s="107" t="e">
        <f>S8</f>
        <v>#REF!</v>
      </c>
      <c r="T88" s="107" t="e">
        <f>T8</f>
        <v>#REF!</v>
      </c>
      <c r="U88" s="107" t="e">
        <f>U8</f>
        <v>#REF!</v>
      </c>
      <c r="V88" s="107" t="e">
        <f>V8</f>
        <v>#REF!</v>
      </c>
      <c r="W88" s="107">
        <f>W8</f>
        <v>0</v>
      </c>
      <c r="X88" s="107">
        <f>X8</f>
        <v>0</v>
      </c>
      <c r="Y88" s="107">
        <f>Y8</f>
        <v>0</v>
      </c>
      <c r="Z88" s="107">
        <f>Z8</f>
        <v>45290</v>
      </c>
      <c r="AA88" s="107">
        <f>AA8</f>
        <v>0</v>
      </c>
      <c r="AB88" s="107">
        <f>AB8</f>
        <v>0</v>
      </c>
      <c r="AC88" s="107">
        <f>AC8</f>
        <v>0</v>
      </c>
      <c r="AD88" s="107">
        <f>AD8</f>
        <v>45654</v>
      </c>
      <c r="AE88" s="107">
        <f>AE8</f>
        <v>0</v>
      </c>
      <c r="AF88" s="107">
        <f>AF8</f>
        <v>0</v>
      </c>
      <c r="AG88" s="107">
        <f>AG8</f>
        <v>0</v>
      </c>
      <c r="AH88" s="105"/>
      <c r="AI88" s="155"/>
    </row>
    <row r="89" spans="1:35" ht="5.0999999999999996" customHeight="1">
      <c r="B89" s="55"/>
      <c r="C89" s="48"/>
      <c r="D89" s="48"/>
      <c r="E89" s="48"/>
    </row>
    <row r="90" spans="1:35" ht="12.75" customHeight="1">
      <c r="B90" s="56" t="s">
        <v>54</v>
      </c>
      <c r="C90" s="57"/>
      <c r="D90" s="57"/>
      <c r="E90" s="57"/>
    </row>
    <row r="91" spans="1:35" ht="12.75" customHeight="1">
      <c r="B91" s="58" t="s">
        <v>162</v>
      </c>
      <c r="C91" s="32">
        <f>C29</f>
        <v>360536</v>
      </c>
      <c r="D91" s="32">
        <f t="shared" ref="D91:E91" si="176">D29</f>
        <v>-30024</v>
      </c>
      <c r="E91" s="32">
        <f t="shared" si="176"/>
        <v>-586955</v>
      </c>
      <c r="F91" s="32"/>
      <c r="G91" s="32">
        <f t="shared" ref="G91:Q91" si="177">G32</f>
        <v>0</v>
      </c>
      <c r="H91" s="32">
        <f t="shared" si="177"/>
        <v>0</v>
      </c>
      <c r="I91" s="32">
        <f t="shared" si="177"/>
        <v>0</v>
      </c>
      <c r="J91" s="32">
        <f t="shared" si="177"/>
        <v>5318942</v>
      </c>
      <c r="K91" s="32">
        <f t="shared" si="177"/>
        <v>0</v>
      </c>
      <c r="L91" s="32">
        <f t="shared" si="177"/>
        <v>0</v>
      </c>
      <c r="M91" s="32">
        <f t="shared" si="177"/>
        <v>0</v>
      </c>
      <c r="N91" s="32">
        <f t="shared" si="177"/>
        <v>5098852</v>
      </c>
      <c r="O91" s="32">
        <f t="shared" si="177"/>
        <v>0</v>
      </c>
      <c r="P91" s="32">
        <f t="shared" si="177"/>
        <v>0</v>
      </c>
      <c r="Q91" s="32">
        <f t="shared" si="177"/>
        <v>0</v>
      </c>
      <c r="S91" s="32" t="e">
        <f>SUM(#REF!)</f>
        <v>#REF!</v>
      </c>
      <c r="T91" s="32" t="e">
        <f>SUM(#REF!)</f>
        <v>#REF!</v>
      </c>
      <c r="U91" s="32" t="e">
        <f>SUM(#REF!)</f>
        <v>#REF!</v>
      </c>
      <c r="V91" s="32" t="e">
        <f>SUM(#REF!)</f>
        <v>#REF!</v>
      </c>
      <c r="W91" s="32">
        <f>SUM(G91:G91)</f>
        <v>0</v>
      </c>
      <c r="X91" s="32">
        <f>SUM(G91:H91)</f>
        <v>0</v>
      </c>
      <c r="Y91" s="32">
        <f>SUM(G91:I91)</f>
        <v>0</v>
      </c>
      <c r="Z91" s="32">
        <f t="shared" ref="Z91:AB91" si="178">SUM(G91:J91)</f>
        <v>5318942</v>
      </c>
      <c r="AA91" s="32">
        <f t="shared" si="178"/>
        <v>5318942</v>
      </c>
      <c r="AB91" s="32">
        <f t="shared" si="178"/>
        <v>5318942</v>
      </c>
      <c r="AC91" s="32">
        <f t="shared" ref="AC91:AG91" si="179">AC32</f>
        <v>5318942</v>
      </c>
      <c r="AD91" s="32">
        <f t="shared" si="179"/>
        <v>5098852</v>
      </c>
      <c r="AE91" s="32">
        <f t="shared" si="179"/>
        <v>5098852</v>
      </c>
      <c r="AF91" s="32">
        <f t="shared" si="179"/>
        <v>5098852</v>
      </c>
      <c r="AG91" s="32">
        <f t="shared" si="179"/>
        <v>5098852</v>
      </c>
      <c r="AH91" s="11"/>
      <c r="AI91" s="76">
        <f>SUM(AG91/AC91)-1</f>
        <v>-4.1378529790322971E-2</v>
      </c>
    </row>
    <row r="92" spans="1:35" ht="5.0999999999999996" customHeight="1"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11"/>
      <c r="AI92" s="76"/>
    </row>
    <row r="93" spans="1:35" ht="12.75" customHeight="1">
      <c r="B93" s="36" t="s">
        <v>58</v>
      </c>
      <c r="C93" s="32"/>
      <c r="D93" s="32"/>
      <c r="E93" s="32"/>
      <c r="F93" s="32"/>
      <c r="G93" s="83"/>
      <c r="H93" s="83"/>
      <c r="I93" s="83"/>
      <c r="J93" s="32"/>
      <c r="K93" s="83"/>
      <c r="L93" s="83"/>
      <c r="M93" s="83"/>
      <c r="N93" s="32"/>
      <c r="O93" s="83"/>
      <c r="P93" s="83"/>
      <c r="Q93" s="83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60"/>
      <c r="AI93" s="76"/>
    </row>
    <row r="94" spans="1:35" ht="12.75" customHeight="1">
      <c r="B94" s="61" t="s">
        <v>141</v>
      </c>
      <c r="C94" s="83">
        <v>248327</v>
      </c>
      <c r="D94" s="83">
        <v>269430</v>
      </c>
      <c r="E94" s="83">
        <v>291980</v>
      </c>
      <c r="F94" s="32"/>
      <c r="G94" s="83"/>
      <c r="H94" s="83"/>
      <c r="I94" s="83"/>
      <c r="J94" s="32">
        <f t="shared" ref="J94:J100" si="180">SUM(D94-SUM(G94:I94))</f>
        <v>269430</v>
      </c>
      <c r="K94" s="83"/>
      <c r="L94" s="83"/>
      <c r="M94" s="83"/>
      <c r="N94" s="32">
        <f t="shared" ref="N94:N100" si="181">SUM(E94-SUM(K94:M94))</f>
        <v>291980</v>
      </c>
      <c r="O94" s="83"/>
      <c r="P94" s="83"/>
      <c r="Q94" s="83"/>
      <c r="S94" s="32" t="e">
        <f>SUM(#REF!)</f>
        <v>#REF!</v>
      </c>
      <c r="T94" s="32" t="e">
        <f>SUM(#REF!)</f>
        <v>#REF!</v>
      </c>
      <c r="U94" s="32" t="e">
        <f>SUM(#REF!)</f>
        <v>#REF!</v>
      </c>
      <c r="V94" s="32" t="e">
        <f>SUM(#REF!)</f>
        <v>#REF!</v>
      </c>
      <c r="W94" s="32">
        <f t="shared" ref="W94:W100" si="182">SUM(G94:G94)</f>
        <v>0</v>
      </c>
      <c r="X94" s="32">
        <f t="shared" ref="X94:X100" si="183">SUM(G94:H94)</f>
        <v>0</v>
      </c>
      <c r="Y94" s="32">
        <f t="shared" ref="Y94:Y100" si="184">SUM(G94:I94)</f>
        <v>0</v>
      </c>
      <c r="Z94" s="32">
        <f t="shared" ref="Z94:AG94" si="185">SUM(G94:J94)</f>
        <v>269430</v>
      </c>
      <c r="AA94" s="32">
        <f t="shared" si="185"/>
        <v>269430</v>
      </c>
      <c r="AB94" s="32">
        <f t="shared" si="185"/>
        <v>269430</v>
      </c>
      <c r="AC94" s="32">
        <f t="shared" si="185"/>
        <v>269430</v>
      </c>
      <c r="AD94" s="32">
        <f t="shared" si="185"/>
        <v>291980</v>
      </c>
      <c r="AE94" s="32">
        <f t="shared" si="185"/>
        <v>291980</v>
      </c>
      <c r="AF94" s="32">
        <f t="shared" si="185"/>
        <v>291980</v>
      </c>
      <c r="AG94" s="32">
        <f t="shared" si="185"/>
        <v>291980</v>
      </c>
      <c r="AH94" s="11"/>
      <c r="AI94" s="76">
        <f t="shared" ref="AI94:AI108" si="186">SUM(AG94/AC94)-1</f>
        <v>8.369520840292477E-2</v>
      </c>
    </row>
    <row r="95" spans="1:35" ht="12.75" customHeight="1">
      <c r="B95" s="61" t="s">
        <v>142</v>
      </c>
      <c r="C95" s="83">
        <v>46482</v>
      </c>
      <c r="D95" s="83">
        <v>40905</v>
      </c>
      <c r="E95" s="83">
        <v>42193</v>
      </c>
      <c r="F95" s="32"/>
      <c r="G95" s="83"/>
      <c r="H95" s="83"/>
      <c r="I95" s="83"/>
      <c r="J95" s="32">
        <f t="shared" si="180"/>
        <v>40905</v>
      </c>
      <c r="K95" s="83"/>
      <c r="L95" s="83"/>
      <c r="M95" s="83"/>
      <c r="N95" s="32">
        <f t="shared" si="181"/>
        <v>42193</v>
      </c>
      <c r="O95" s="83"/>
      <c r="P95" s="83"/>
      <c r="Q95" s="83"/>
      <c r="S95" s="32" t="e">
        <f>SUM(#REF!)</f>
        <v>#REF!</v>
      </c>
      <c r="T95" s="32" t="e">
        <f>SUM(#REF!)</f>
        <v>#REF!</v>
      </c>
      <c r="U95" s="32" t="e">
        <f>SUM(#REF!)</f>
        <v>#REF!</v>
      </c>
      <c r="V95" s="32" t="e">
        <f>SUM(#REF!)</f>
        <v>#REF!</v>
      </c>
      <c r="W95" s="32">
        <f t="shared" si="182"/>
        <v>0</v>
      </c>
      <c r="X95" s="32">
        <f t="shared" si="183"/>
        <v>0</v>
      </c>
      <c r="Y95" s="32">
        <f t="shared" si="184"/>
        <v>0</v>
      </c>
      <c r="Z95" s="32">
        <f t="shared" ref="Z95:Z100" si="187">SUM(G95:J95)</f>
        <v>40905</v>
      </c>
      <c r="AA95" s="32">
        <f t="shared" ref="AA95:AA100" si="188">SUM(H95:K95)</f>
        <v>40905</v>
      </c>
      <c r="AB95" s="32">
        <f t="shared" ref="AB95:AB100" si="189">SUM(I95:L95)</f>
        <v>40905</v>
      </c>
      <c r="AC95" s="32">
        <f t="shared" ref="AC95:AC100" si="190">SUM(J95:M95)</f>
        <v>40905</v>
      </c>
      <c r="AD95" s="32">
        <f t="shared" ref="AD95:AD100" si="191">SUM(K95:N95)</f>
        <v>42193</v>
      </c>
      <c r="AE95" s="32">
        <f t="shared" ref="AE95:AE100" si="192">SUM(L95:O95)</f>
        <v>42193</v>
      </c>
      <c r="AF95" s="32">
        <f t="shared" ref="AF95:AF100" si="193">SUM(M95:P95)</f>
        <v>42193</v>
      </c>
      <c r="AG95" s="32">
        <f t="shared" ref="AG95:AG100" si="194">SUM(N95:Q95)</f>
        <v>42193</v>
      </c>
      <c r="AH95" s="11"/>
      <c r="AI95" s="76">
        <f t="shared" si="186"/>
        <v>3.1487593203764819E-2</v>
      </c>
    </row>
    <row r="96" spans="1:35" ht="12.75" customHeight="1">
      <c r="B96" s="61" t="s">
        <v>160</v>
      </c>
      <c r="C96" s="83">
        <v>0</v>
      </c>
      <c r="D96" s="83">
        <v>0</v>
      </c>
      <c r="E96" s="83">
        <v>34176</v>
      </c>
      <c r="F96" s="32"/>
      <c r="G96" s="83"/>
      <c r="H96" s="83"/>
      <c r="I96" s="83"/>
      <c r="J96" s="32">
        <f t="shared" ref="J96" si="195">SUM(D96-SUM(G96:I96))</f>
        <v>0</v>
      </c>
      <c r="K96" s="83"/>
      <c r="L96" s="83"/>
      <c r="M96" s="83"/>
      <c r="N96" s="32">
        <f t="shared" ref="N96" si="196">SUM(E96-SUM(K96:M96))</f>
        <v>34176</v>
      </c>
      <c r="O96" s="83"/>
      <c r="P96" s="83"/>
      <c r="Q96" s="83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11"/>
      <c r="AI96" s="76"/>
    </row>
    <row r="97" spans="2:35" ht="12.75" customHeight="1">
      <c r="B97" s="61" t="s">
        <v>161</v>
      </c>
      <c r="C97" s="83">
        <v>2345</v>
      </c>
      <c r="D97" s="83">
        <v>857</v>
      </c>
      <c r="E97" s="83">
        <v>157957</v>
      </c>
      <c r="F97" s="32"/>
      <c r="G97" s="83"/>
      <c r="H97" s="83"/>
      <c r="I97" s="83"/>
      <c r="J97" s="32">
        <f t="shared" si="180"/>
        <v>857</v>
      </c>
      <c r="K97" s="83"/>
      <c r="L97" s="83"/>
      <c r="M97" s="83"/>
      <c r="N97" s="32">
        <f t="shared" si="181"/>
        <v>157957</v>
      </c>
      <c r="O97" s="83"/>
      <c r="P97" s="83"/>
      <c r="Q97" s="83"/>
      <c r="S97" s="32" t="e">
        <f>SUM(#REF!)</f>
        <v>#REF!</v>
      </c>
      <c r="T97" s="32" t="e">
        <f>SUM(#REF!)</f>
        <v>#REF!</v>
      </c>
      <c r="U97" s="32" t="e">
        <f>SUM(#REF!)</f>
        <v>#REF!</v>
      </c>
      <c r="V97" s="32" t="e">
        <f>SUM(#REF!)</f>
        <v>#REF!</v>
      </c>
      <c r="W97" s="32">
        <f t="shared" si="182"/>
        <v>0</v>
      </c>
      <c r="X97" s="32">
        <f t="shared" si="183"/>
        <v>0</v>
      </c>
      <c r="Y97" s="32">
        <f t="shared" si="184"/>
        <v>0</v>
      </c>
      <c r="Z97" s="32">
        <f t="shared" si="187"/>
        <v>857</v>
      </c>
      <c r="AA97" s="32">
        <f t="shared" si="188"/>
        <v>857</v>
      </c>
      <c r="AB97" s="32">
        <f t="shared" si="189"/>
        <v>857</v>
      </c>
      <c r="AC97" s="32">
        <f t="shared" si="190"/>
        <v>857</v>
      </c>
      <c r="AD97" s="32">
        <f t="shared" si="191"/>
        <v>157957</v>
      </c>
      <c r="AE97" s="32">
        <f t="shared" si="192"/>
        <v>157957</v>
      </c>
      <c r="AF97" s="32">
        <f t="shared" si="193"/>
        <v>157957</v>
      </c>
      <c r="AG97" s="32">
        <f t="shared" si="194"/>
        <v>157957</v>
      </c>
      <c r="AH97" s="11"/>
      <c r="AI97" s="76">
        <f t="shared" si="186"/>
        <v>183.31388564760795</v>
      </c>
    </row>
    <row r="98" spans="2:35" ht="12.75" customHeight="1">
      <c r="B98" s="61" t="s">
        <v>143</v>
      </c>
      <c r="C98" s="83">
        <v>7408</v>
      </c>
      <c r="D98" s="83">
        <v>0</v>
      </c>
      <c r="E98" s="83">
        <v>0</v>
      </c>
      <c r="F98" s="32"/>
      <c r="G98" s="83"/>
      <c r="H98" s="83"/>
      <c r="I98" s="83"/>
      <c r="J98" s="32">
        <f t="shared" si="180"/>
        <v>0</v>
      </c>
      <c r="K98" s="83"/>
      <c r="L98" s="83"/>
      <c r="M98" s="83"/>
      <c r="N98" s="32">
        <f t="shared" si="181"/>
        <v>0</v>
      </c>
      <c r="O98" s="83"/>
      <c r="P98" s="83"/>
      <c r="Q98" s="83"/>
      <c r="S98" s="32" t="e">
        <f>SUM(#REF!)</f>
        <v>#REF!</v>
      </c>
      <c r="T98" s="32" t="e">
        <f>SUM(#REF!)</f>
        <v>#REF!</v>
      </c>
      <c r="U98" s="32" t="e">
        <f>SUM(#REF!)</f>
        <v>#REF!</v>
      </c>
      <c r="V98" s="32" t="e">
        <f>SUM(#REF!)</f>
        <v>#REF!</v>
      </c>
      <c r="W98" s="32">
        <f t="shared" si="182"/>
        <v>0</v>
      </c>
      <c r="X98" s="32">
        <f t="shared" si="183"/>
        <v>0</v>
      </c>
      <c r="Y98" s="32">
        <f t="shared" si="184"/>
        <v>0</v>
      </c>
      <c r="Z98" s="32">
        <f t="shared" si="187"/>
        <v>0</v>
      </c>
      <c r="AA98" s="32">
        <f t="shared" si="188"/>
        <v>0</v>
      </c>
      <c r="AB98" s="32">
        <f t="shared" si="189"/>
        <v>0</v>
      </c>
      <c r="AC98" s="32">
        <f t="shared" si="190"/>
        <v>0</v>
      </c>
      <c r="AD98" s="32">
        <f t="shared" si="191"/>
        <v>0</v>
      </c>
      <c r="AE98" s="32">
        <f t="shared" si="192"/>
        <v>0</v>
      </c>
      <c r="AF98" s="32">
        <f t="shared" si="193"/>
        <v>0</v>
      </c>
      <c r="AG98" s="32">
        <f t="shared" si="194"/>
        <v>0</v>
      </c>
      <c r="AH98" s="11"/>
      <c r="AI98" s="76" t="e">
        <f t="shared" si="186"/>
        <v>#DIV/0!</v>
      </c>
    </row>
    <row r="99" spans="2:35" ht="12.75" customHeight="1">
      <c r="B99" s="61" t="s">
        <v>144</v>
      </c>
      <c r="C99" s="83">
        <v>22811</v>
      </c>
      <c r="D99" s="83">
        <v>-37175</v>
      </c>
      <c r="E99" s="83">
        <v>-203276</v>
      </c>
      <c r="F99" s="32"/>
      <c r="G99" s="83"/>
      <c r="H99" s="83"/>
      <c r="I99" s="83"/>
      <c r="J99" s="32">
        <f t="shared" si="180"/>
        <v>-37175</v>
      </c>
      <c r="K99" s="83"/>
      <c r="L99" s="83"/>
      <c r="M99" s="83"/>
      <c r="N99" s="32">
        <f t="shared" si="181"/>
        <v>-203276</v>
      </c>
      <c r="O99" s="83"/>
      <c r="P99" s="83"/>
      <c r="Q99" s="83"/>
      <c r="S99" s="32" t="e">
        <f>SUM(#REF!)</f>
        <v>#REF!</v>
      </c>
      <c r="T99" s="32" t="e">
        <f>SUM(#REF!)</f>
        <v>#REF!</v>
      </c>
      <c r="U99" s="32" t="e">
        <f>SUM(#REF!)</f>
        <v>#REF!</v>
      </c>
      <c r="V99" s="32" t="e">
        <f>SUM(#REF!)</f>
        <v>#REF!</v>
      </c>
      <c r="W99" s="32">
        <f t="shared" si="182"/>
        <v>0</v>
      </c>
      <c r="X99" s="32">
        <f t="shared" si="183"/>
        <v>0</v>
      </c>
      <c r="Y99" s="32">
        <f t="shared" si="184"/>
        <v>0</v>
      </c>
      <c r="Z99" s="32">
        <f t="shared" si="187"/>
        <v>-37175</v>
      </c>
      <c r="AA99" s="32">
        <f t="shared" si="188"/>
        <v>-37175</v>
      </c>
      <c r="AB99" s="32">
        <f t="shared" si="189"/>
        <v>-37175</v>
      </c>
      <c r="AC99" s="32">
        <f t="shared" si="190"/>
        <v>-37175</v>
      </c>
      <c r="AD99" s="32">
        <f t="shared" si="191"/>
        <v>-203276</v>
      </c>
      <c r="AE99" s="32">
        <f t="shared" si="192"/>
        <v>-203276</v>
      </c>
      <c r="AF99" s="32">
        <f t="shared" si="193"/>
        <v>-203276</v>
      </c>
      <c r="AG99" s="32">
        <f t="shared" si="194"/>
        <v>-203276</v>
      </c>
      <c r="AH99" s="11"/>
      <c r="AI99" s="76">
        <f t="shared" si="186"/>
        <v>4.4680833893745797</v>
      </c>
    </row>
    <row r="100" spans="2:35" ht="12.75" customHeight="1">
      <c r="B100" s="61" t="s">
        <v>145</v>
      </c>
      <c r="C100" s="83">
        <v>2587</v>
      </c>
      <c r="D100" s="83">
        <v>3267</v>
      </c>
      <c r="E100" s="83">
        <v>3968</v>
      </c>
      <c r="F100" s="32"/>
      <c r="G100" s="83"/>
      <c r="H100" s="83"/>
      <c r="I100" s="83"/>
      <c r="J100" s="32">
        <f t="shared" si="180"/>
        <v>3267</v>
      </c>
      <c r="K100" s="83"/>
      <c r="L100" s="83"/>
      <c r="M100" s="83"/>
      <c r="N100" s="32">
        <f t="shared" si="181"/>
        <v>3968</v>
      </c>
      <c r="O100" s="83"/>
      <c r="P100" s="83"/>
      <c r="Q100" s="83"/>
      <c r="S100" s="32" t="e">
        <f>SUM(#REF!)</f>
        <v>#REF!</v>
      </c>
      <c r="T100" s="32" t="e">
        <f>SUM(#REF!)</f>
        <v>#REF!</v>
      </c>
      <c r="U100" s="32" t="e">
        <f>SUM(#REF!)</f>
        <v>#REF!</v>
      </c>
      <c r="V100" s="32" t="e">
        <f>SUM(#REF!)</f>
        <v>#REF!</v>
      </c>
      <c r="W100" s="32">
        <f t="shared" si="182"/>
        <v>0</v>
      </c>
      <c r="X100" s="32">
        <f t="shared" si="183"/>
        <v>0</v>
      </c>
      <c r="Y100" s="32">
        <f t="shared" si="184"/>
        <v>0</v>
      </c>
      <c r="Z100" s="32">
        <f t="shared" si="187"/>
        <v>3267</v>
      </c>
      <c r="AA100" s="32">
        <f t="shared" si="188"/>
        <v>3267</v>
      </c>
      <c r="AB100" s="32">
        <f t="shared" si="189"/>
        <v>3267</v>
      </c>
      <c r="AC100" s="32">
        <f t="shared" si="190"/>
        <v>3267</v>
      </c>
      <c r="AD100" s="32">
        <f t="shared" si="191"/>
        <v>3968</v>
      </c>
      <c r="AE100" s="32">
        <f t="shared" si="192"/>
        <v>3968</v>
      </c>
      <c r="AF100" s="32">
        <f t="shared" si="193"/>
        <v>3968</v>
      </c>
      <c r="AG100" s="32">
        <f t="shared" si="194"/>
        <v>3968</v>
      </c>
      <c r="AH100" s="11"/>
      <c r="AI100" s="76">
        <f t="shared" si="186"/>
        <v>0.2145699418426692</v>
      </c>
    </row>
    <row r="101" spans="2:35" ht="12.75" customHeight="1">
      <c r="B101" s="85" t="s">
        <v>167</v>
      </c>
      <c r="C101" s="83">
        <v>113933</v>
      </c>
      <c r="D101" s="83">
        <v>145587</v>
      </c>
      <c r="E101" s="83">
        <v>-55871</v>
      </c>
      <c r="F101" s="32"/>
      <c r="G101" s="83"/>
      <c r="H101" s="83"/>
      <c r="I101" s="83"/>
      <c r="J101" s="32"/>
      <c r="K101" s="83"/>
      <c r="L101" s="83"/>
      <c r="M101" s="83"/>
      <c r="N101" s="32"/>
      <c r="O101" s="83"/>
      <c r="P101" s="83"/>
      <c r="Q101" s="83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11"/>
      <c r="AI101" s="76"/>
    </row>
    <row r="102" spans="2:35" ht="12.75" customHeight="1">
      <c r="B102" s="36" t="s">
        <v>14</v>
      </c>
      <c r="C102" s="83"/>
      <c r="D102" s="83"/>
      <c r="E102" s="83"/>
      <c r="F102" s="32"/>
      <c r="G102" s="83"/>
      <c r="H102" s="83"/>
      <c r="I102" s="83"/>
      <c r="J102" s="32"/>
      <c r="K102" s="83"/>
      <c r="L102" s="83"/>
      <c r="M102" s="83"/>
      <c r="N102" s="32"/>
      <c r="O102" s="83"/>
      <c r="P102" s="83"/>
      <c r="Q102" s="83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60"/>
      <c r="AI102" s="76"/>
    </row>
    <row r="103" spans="2:35" ht="12.75" customHeight="1">
      <c r="B103" s="61" t="s">
        <v>125</v>
      </c>
      <c r="C103" s="83">
        <v>27420</v>
      </c>
      <c r="D103" s="83">
        <v>-114745</v>
      </c>
      <c r="E103" s="83">
        <v>28952</v>
      </c>
      <c r="F103" s="32"/>
      <c r="G103" s="83"/>
      <c r="H103" s="83"/>
      <c r="I103" s="83"/>
      <c r="J103" s="32">
        <f t="shared" ref="J103:J107" si="197">SUM(D103-SUM(G103:I103))</f>
        <v>-114745</v>
      </c>
      <c r="K103" s="83"/>
      <c r="L103" s="83"/>
      <c r="M103" s="83"/>
      <c r="N103" s="32">
        <f t="shared" ref="N103:N107" si="198">SUM(E103-SUM(K103:M103))</f>
        <v>28952</v>
      </c>
      <c r="O103" s="83"/>
      <c r="P103" s="83"/>
      <c r="Q103" s="83"/>
      <c r="S103" s="32" t="e">
        <f>SUM(#REF!)</f>
        <v>#REF!</v>
      </c>
      <c r="T103" s="32" t="e">
        <f>SUM(#REF!)</f>
        <v>#REF!</v>
      </c>
      <c r="U103" s="32" t="e">
        <f>SUM(#REF!)</f>
        <v>#REF!</v>
      </c>
      <c r="V103" s="32" t="e">
        <f>SUM(#REF!)</f>
        <v>#REF!</v>
      </c>
      <c r="W103" s="32">
        <f>SUM(G103:G103)</f>
        <v>0</v>
      </c>
      <c r="X103" s="32">
        <f>SUM(G103:H103)</f>
        <v>0</v>
      </c>
      <c r="Y103" s="32">
        <f>SUM(G103:I103)</f>
        <v>0</v>
      </c>
      <c r="Z103" s="32">
        <f t="shared" ref="Z103:AG107" si="199">SUM(G103:J103)</f>
        <v>-114745</v>
      </c>
      <c r="AA103" s="32">
        <f t="shared" si="199"/>
        <v>-114745</v>
      </c>
      <c r="AB103" s="32">
        <f t="shared" si="199"/>
        <v>-114745</v>
      </c>
      <c r="AC103" s="32">
        <f t="shared" si="199"/>
        <v>-114745</v>
      </c>
      <c r="AD103" s="32">
        <f t="shared" si="199"/>
        <v>28952</v>
      </c>
      <c r="AE103" s="32">
        <f t="shared" si="199"/>
        <v>28952</v>
      </c>
      <c r="AF103" s="32">
        <f t="shared" si="199"/>
        <v>28952</v>
      </c>
      <c r="AG103" s="32">
        <f t="shared" si="199"/>
        <v>28952</v>
      </c>
      <c r="AH103" s="60"/>
      <c r="AI103" s="76">
        <f t="shared" si="186"/>
        <v>-1.2523160050546864</v>
      </c>
    </row>
    <row r="104" spans="2:35" ht="12.75" customHeight="1">
      <c r="B104" s="61" t="s">
        <v>146</v>
      </c>
      <c r="C104" s="83">
        <v>-70969</v>
      </c>
      <c r="D104" s="83">
        <v>-64146</v>
      </c>
      <c r="E104" s="83">
        <v>270403</v>
      </c>
      <c r="F104" s="32"/>
      <c r="G104" s="83"/>
      <c r="H104" s="83"/>
      <c r="I104" s="83"/>
      <c r="J104" s="32">
        <f t="shared" si="197"/>
        <v>-64146</v>
      </c>
      <c r="K104" s="83"/>
      <c r="L104" s="83"/>
      <c r="M104" s="83"/>
      <c r="N104" s="32">
        <f t="shared" si="198"/>
        <v>270403</v>
      </c>
      <c r="O104" s="83"/>
      <c r="P104" s="83"/>
      <c r="Q104" s="83"/>
      <c r="S104" s="32" t="e">
        <f>SUM(#REF!)</f>
        <v>#REF!</v>
      </c>
      <c r="T104" s="32" t="e">
        <f>SUM(#REF!)</f>
        <v>#REF!</v>
      </c>
      <c r="U104" s="32" t="e">
        <f>SUM(#REF!)</f>
        <v>#REF!</v>
      </c>
      <c r="V104" s="32" t="e">
        <f>SUM(#REF!)</f>
        <v>#REF!</v>
      </c>
      <c r="W104" s="32">
        <f>SUM(G104:G104)</f>
        <v>0</v>
      </c>
      <c r="X104" s="32">
        <f>SUM(G104:H104)</f>
        <v>0</v>
      </c>
      <c r="Y104" s="32">
        <f>SUM(G104:I104)</f>
        <v>0</v>
      </c>
      <c r="Z104" s="32">
        <f t="shared" si="199"/>
        <v>-64146</v>
      </c>
      <c r="AA104" s="32">
        <f t="shared" si="199"/>
        <v>-64146</v>
      </c>
      <c r="AB104" s="32">
        <f t="shared" si="199"/>
        <v>-64146</v>
      </c>
      <c r="AC104" s="32">
        <f t="shared" si="199"/>
        <v>-64146</v>
      </c>
      <c r="AD104" s="32">
        <f t="shared" si="199"/>
        <v>270403</v>
      </c>
      <c r="AE104" s="32">
        <f t="shared" si="199"/>
        <v>270403</v>
      </c>
      <c r="AF104" s="32">
        <f t="shared" si="199"/>
        <v>270403</v>
      </c>
      <c r="AG104" s="32">
        <f t="shared" si="199"/>
        <v>270403</v>
      </c>
      <c r="AH104" s="60"/>
      <c r="AI104" s="76">
        <f t="shared" si="186"/>
        <v>-5.215430424344464</v>
      </c>
    </row>
    <row r="105" spans="2:35" ht="12.75" customHeight="1">
      <c r="B105" s="61" t="s">
        <v>13</v>
      </c>
      <c r="C105" s="83">
        <v>119334</v>
      </c>
      <c r="D105" s="83">
        <v>57518</v>
      </c>
      <c r="E105" s="83">
        <v>-110112</v>
      </c>
      <c r="F105" s="32"/>
      <c r="G105" s="83"/>
      <c r="H105" s="83"/>
      <c r="I105" s="83"/>
      <c r="J105" s="32">
        <f t="shared" si="197"/>
        <v>57518</v>
      </c>
      <c r="K105" s="83"/>
      <c r="L105" s="83"/>
      <c r="M105" s="83"/>
      <c r="N105" s="32">
        <f t="shared" si="198"/>
        <v>-110112</v>
      </c>
      <c r="O105" s="83"/>
      <c r="P105" s="83"/>
      <c r="Q105" s="83"/>
      <c r="S105" s="32" t="e">
        <f>SUM(#REF!)</f>
        <v>#REF!</v>
      </c>
      <c r="T105" s="32" t="e">
        <f>SUM(#REF!)</f>
        <v>#REF!</v>
      </c>
      <c r="U105" s="32" t="e">
        <f>SUM(#REF!)</f>
        <v>#REF!</v>
      </c>
      <c r="V105" s="32" t="e">
        <f>SUM(#REF!)</f>
        <v>#REF!</v>
      </c>
      <c r="W105" s="32">
        <f>SUM(G105:G105)</f>
        <v>0</v>
      </c>
      <c r="X105" s="32">
        <f>SUM(G105:H105)</f>
        <v>0</v>
      </c>
      <c r="Y105" s="32">
        <f>SUM(G105:I105)</f>
        <v>0</v>
      </c>
      <c r="Z105" s="32">
        <f t="shared" si="199"/>
        <v>57518</v>
      </c>
      <c r="AA105" s="32">
        <f t="shared" si="199"/>
        <v>57518</v>
      </c>
      <c r="AB105" s="32">
        <f t="shared" si="199"/>
        <v>57518</v>
      </c>
      <c r="AC105" s="32">
        <f t="shared" si="199"/>
        <v>57518</v>
      </c>
      <c r="AD105" s="32">
        <f t="shared" si="199"/>
        <v>-110112</v>
      </c>
      <c r="AE105" s="32">
        <f t="shared" si="199"/>
        <v>-110112</v>
      </c>
      <c r="AF105" s="32">
        <f t="shared" si="199"/>
        <v>-110112</v>
      </c>
      <c r="AG105" s="32">
        <f t="shared" si="199"/>
        <v>-110112</v>
      </c>
      <c r="AH105" s="60"/>
      <c r="AI105" s="76">
        <f t="shared" si="186"/>
        <v>-2.9143920164122536</v>
      </c>
    </row>
    <row r="106" spans="2:35" ht="12.75" customHeight="1">
      <c r="B106" s="61" t="s">
        <v>134</v>
      </c>
      <c r="C106" s="83">
        <v>-158632</v>
      </c>
      <c r="D106" s="83">
        <v>94698</v>
      </c>
      <c r="E106" s="83">
        <v>126588</v>
      </c>
      <c r="F106" s="32"/>
      <c r="G106" s="83"/>
      <c r="H106" s="83"/>
      <c r="I106" s="83"/>
      <c r="J106" s="32">
        <f t="shared" si="197"/>
        <v>94698</v>
      </c>
      <c r="K106" s="83"/>
      <c r="L106" s="83"/>
      <c r="M106" s="83"/>
      <c r="N106" s="32">
        <f t="shared" si="198"/>
        <v>126588</v>
      </c>
      <c r="O106" s="83"/>
      <c r="P106" s="83"/>
      <c r="Q106" s="83"/>
      <c r="S106" s="32" t="e">
        <f>SUM(#REF!)</f>
        <v>#REF!</v>
      </c>
      <c r="T106" s="32" t="e">
        <f>SUM(#REF!)</f>
        <v>#REF!</v>
      </c>
      <c r="U106" s="32" t="e">
        <f>SUM(#REF!)</f>
        <v>#REF!</v>
      </c>
      <c r="V106" s="32" t="e">
        <f>SUM(#REF!)</f>
        <v>#REF!</v>
      </c>
      <c r="W106" s="32">
        <f>SUM(G106:G106)</f>
        <v>0</v>
      </c>
      <c r="X106" s="32">
        <f>SUM(G106:H106)</f>
        <v>0</v>
      </c>
      <c r="Y106" s="32">
        <f>SUM(G106:I106)</f>
        <v>0</v>
      </c>
      <c r="Z106" s="32">
        <f t="shared" si="199"/>
        <v>94698</v>
      </c>
      <c r="AA106" s="32">
        <f t="shared" si="199"/>
        <v>94698</v>
      </c>
      <c r="AB106" s="32">
        <f t="shared" si="199"/>
        <v>94698</v>
      </c>
      <c r="AC106" s="32">
        <f t="shared" si="199"/>
        <v>94698</v>
      </c>
      <c r="AD106" s="32">
        <f t="shared" si="199"/>
        <v>126588</v>
      </c>
      <c r="AE106" s="32">
        <f t="shared" si="199"/>
        <v>126588</v>
      </c>
      <c r="AF106" s="32">
        <f t="shared" si="199"/>
        <v>126588</v>
      </c>
      <c r="AG106" s="32">
        <f t="shared" si="199"/>
        <v>126588</v>
      </c>
      <c r="AH106" s="60"/>
      <c r="AI106" s="76">
        <f t="shared" si="186"/>
        <v>0.33675473610847106</v>
      </c>
    </row>
    <row r="107" spans="2:35" ht="12.75" customHeight="1">
      <c r="B107" s="61" t="s">
        <v>147</v>
      </c>
      <c r="C107" s="83">
        <v>14989</v>
      </c>
      <c r="D107" s="83">
        <v>-78797</v>
      </c>
      <c r="E107" s="83">
        <v>84630</v>
      </c>
      <c r="F107" s="32"/>
      <c r="G107" s="83"/>
      <c r="H107" s="83"/>
      <c r="I107" s="83"/>
      <c r="J107" s="32">
        <f t="shared" si="197"/>
        <v>-78797</v>
      </c>
      <c r="K107" s="83"/>
      <c r="L107" s="83"/>
      <c r="M107" s="83"/>
      <c r="N107" s="32">
        <f t="shared" si="198"/>
        <v>84630</v>
      </c>
      <c r="O107" s="83"/>
      <c r="P107" s="83"/>
      <c r="Q107" s="83"/>
      <c r="S107" s="32" t="e">
        <f>SUM(#REF!)</f>
        <v>#REF!</v>
      </c>
      <c r="T107" s="32" t="e">
        <f>SUM(#REF!)</f>
        <v>#REF!</v>
      </c>
      <c r="U107" s="32" t="e">
        <f>SUM(#REF!)</f>
        <v>#REF!</v>
      </c>
      <c r="V107" s="32" t="e">
        <f>SUM(#REF!)</f>
        <v>#REF!</v>
      </c>
      <c r="W107" s="32">
        <f>SUM(G107:G107)</f>
        <v>0</v>
      </c>
      <c r="X107" s="32">
        <f>SUM(G107:H107)</f>
        <v>0</v>
      </c>
      <c r="Y107" s="32">
        <f>SUM(G107:I107)</f>
        <v>0</v>
      </c>
      <c r="Z107" s="32">
        <f t="shared" si="199"/>
        <v>-78797</v>
      </c>
      <c r="AA107" s="32">
        <f t="shared" si="199"/>
        <v>-78797</v>
      </c>
      <c r="AB107" s="32">
        <f t="shared" si="199"/>
        <v>-78797</v>
      </c>
      <c r="AC107" s="32">
        <f t="shared" si="199"/>
        <v>-78797</v>
      </c>
      <c r="AD107" s="32">
        <f t="shared" si="199"/>
        <v>84630</v>
      </c>
      <c r="AE107" s="32">
        <f t="shared" si="199"/>
        <v>84630</v>
      </c>
      <c r="AF107" s="32">
        <f t="shared" si="199"/>
        <v>84630</v>
      </c>
      <c r="AG107" s="32">
        <f t="shared" si="199"/>
        <v>84630</v>
      </c>
      <c r="AH107" s="60"/>
      <c r="AI107" s="76">
        <f t="shared" si="186"/>
        <v>-2.0740256608754137</v>
      </c>
    </row>
    <row r="108" spans="2:35" ht="12.75" customHeight="1">
      <c r="B108" s="13" t="s">
        <v>163</v>
      </c>
      <c r="C108" s="14">
        <f>SUM(C91:C107)</f>
        <v>736571</v>
      </c>
      <c r="D108" s="14">
        <f>SUM(D91:D107)</f>
        <v>287375</v>
      </c>
      <c r="E108" s="14">
        <f>SUM(E91:E107)</f>
        <v>84633</v>
      </c>
      <c r="G108" s="14">
        <f>SUM(G91:G107)</f>
        <v>0</v>
      </c>
      <c r="H108" s="14">
        <f>SUM(H91:H107)</f>
        <v>0</v>
      </c>
      <c r="I108" s="14">
        <f>SUM(I91:I107)</f>
        <v>0</v>
      </c>
      <c r="J108" s="14">
        <f>SUM(J91:J107)</f>
        <v>5490754</v>
      </c>
      <c r="K108" s="14">
        <f>SUM(K91:K107)</f>
        <v>0</v>
      </c>
      <c r="L108" s="14">
        <f>SUM(L91:L107)</f>
        <v>0</v>
      </c>
      <c r="M108" s="14">
        <f>SUM(M91:M107)</f>
        <v>0</v>
      </c>
      <c r="N108" s="14">
        <f>SUM(N91:N107)</f>
        <v>5826311</v>
      </c>
      <c r="O108" s="14">
        <f>SUM(O91:O107)</f>
        <v>0</v>
      </c>
      <c r="P108" s="14">
        <f>SUM(P91:P107)</f>
        <v>0</v>
      </c>
      <c r="Q108" s="14">
        <f>SUM(Q91:Q107)</f>
        <v>0</v>
      </c>
      <c r="S108" s="14" t="e">
        <f>SUM(S91:S107)</f>
        <v>#REF!</v>
      </c>
      <c r="T108" s="14" t="e">
        <f>SUM(T91:T107)</f>
        <v>#REF!</v>
      </c>
      <c r="U108" s="14" t="e">
        <f>SUM(U91:U107)</f>
        <v>#REF!</v>
      </c>
      <c r="V108" s="14" t="e">
        <f>SUM(V91:V107)</f>
        <v>#REF!</v>
      </c>
      <c r="W108" s="14">
        <f>SUM(W91:W107)</f>
        <v>0</v>
      </c>
      <c r="X108" s="14">
        <f>SUM(X91:X107)</f>
        <v>0</v>
      </c>
      <c r="Y108" s="14">
        <f>SUM(Y91:Y107)</f>
        <v>0</v>
      </c>
      <c r="Z108" s="14">
        <f>SUM(Z91:Z107)</f>
        <v>5490754</v>
      </c>
      <c r="AA108" s="14">
        <f>SUM(AA91:AA107)</f>
        <v>5490754</v>
      </c>
      <c r="AB108" s="14">
        <f>SUM(AB91:AB107)</f>
        <v>5490754</v>
      </c>
      <c r="AC108" s="14">
        <f>SUM(AC91:AC107)</f>
        <v>5490754</v>
      </c>
      <c r="AD108" s="14">
        <f>SUM(AD91:AD107)</f>
        <v>5792135</v>
      </c>
      <c r="AE108" s="14">
        <f>SUM(AE91:AE107)</f>
        <v>5792135</v>
      </c>
      <c r="AF108" s="14">
        <f>SUM(AF91:AF107)</f>
        <v>5792135</v>
      </c>
      <c r="AG108" s="14">
        <f>SUM(AG91:AG107)</f>
        <v>5792135</v>
      </c>
      <c r="AH108" s="42"/>
      <c r="AI108" s="77">
        <f t="shared" si="186"/>
        <v>5.4888818548417984E-2</v>
      </c>
    </row>
    <row r="109" spans="2:35" ht="12.75" customHeight="1">
      <c r="B109" s="54"/>
      <c r="C109" s="62"/>
      <c r="D109" s="62"/>
      <c r="E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39"/>
    </row>
    <row r="110" spans="2:35" ht="12.75" customHeight="1">
      <c r="B110" s="54" t="s">
        <v>55</v>
      </c>
      <c r="C110" s="59"/>
      <c r="D110" s="59"/>
      <c r="E110" s="59"/>
      <c r="G110" s="83"/>
      <c r="H110" s="83"/>
      <c r="I110" s="83"/>
      <c r="J110" s="32"/>
      <c r="K110" s="83"/>
      <c r="L110" s="83"/>
      <c r="M110" s="83"/>
      <c r="N110" s="32"/>
      <c r="O110" s="59"/>
      <c r="P110" s="59"/>
      <c r="Q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  <c r="AG110" s="59"/>
      <c r="AH110" s="60"/>
      <c r="AI110" s="39"/>
    </row>
    <row r="111" spans="2:35" ht="12.75" customHeight="1">
      <c r="B111" s="61" t="s">
        <v>89</v>
      </c>
      <c r="C111" s="83">
        <v>-398757</v>
      </c>
      <c r="D111" s="83">
        <v>-225672</v>
      </c>
      <c r="E111" s="83">
        <v>-180800</v>
      </c>
      <c r="F111" s="32"/>
      <c r="G111" s="83"/>
      <c r="H111" s="83"/>
      <c r="I111" s="83"/>
      <c r="J111" s="32">
        <f t="shared" ref="J111:J113" si="200">SUM(D111-SUM(G111:I111))</f>
        <v>-225672</v>
      </c>
      <c r="K111" s="83"/>
      <c r="L111" s="83"/>
      <c r="M111" s="83"/>
      <c r="N111" s="32">
        <f t="shared" ref="N111:N113" si="201">SUM(E111-SUM(K111:M111))</f>
        <v>-180800</v>
      </c>
      <c r="O111" s="83"/>
      <c r="P111" s="83"/>
      <c r="Q111" s="83"/>
      <c r="R111" s="32"/>
      <c r="S111" s="32" t="e">
        <f>SUM(#REF!)</f>
        <v>#REF!</v>
      </c>
      <c r="T111" s="32" t="e">
        <f>SUM(#REF!)</f>
        <v>#REF!</v>
      </c>
      <c r="U111" s="32" t="e">
        <f>SUM(#REF!)</f>
        <v>#REF!</v>
      </c>
      <c r="V111" s="32" t="e">
        <f>SUM(#REF!)</f>
        <v>#REF!</v>
      </c>
      <c r="W111" s="32">
        <f>SUM(G111:G111)</f>
        <v>0</v>
      </c>
      <c r="X111" s="32">
        <f>SUM(G111:H111)</f>
        <v>0</v>
      </c>
      <c r="Y111" s="32">
        <f>SUM(G111:I111)</f>
        <v>0</v>
      </c>
      <c r="Z111" s="32">
        <f t="shared" ref="Z111:Z113" si="202">SUM(G111:J111)</f>
        <v>-225672</v>
      </c>
      <c r="AA111" s="32">
        <f t="shared" ref="AA111:AA113" si="203">SUM(H111:K111)</f>
        <v>-225672</v>
      </c>
      <c r="AB111" s="32">
        <f t="shared" ref="AB111:AB113" si="204">SUM(I111:L111)</f>
        <v>-225672</v>
      </c>
      <c r="AC111" s="32">
        <f t="shared" ref="AC111:AC113" si="205">SUM(J111:M111)</f>
        <v>-225672</v>
      </c>
      <c r="AD111" s="32">
        <f t="shared" ref="AD111:AD113" si="206">SUM(K111:N111)</f>
        <v>-180800</v>
      </c>
      <c r="AE111" s="32">
        <f t="shared" ref="AE111:AE113" si="207">SUM(L111:O111)</f>
        <v>-180800</v>
      </c>
      <c r="AF111" s="32">
        <f t="shared" ref="AF111:AF113" si="208">SUM(M111:P111)</f>
        <v>-180800</v>
      </c>
      <c r="AG111" s="32">
        <f t="shared" ref="AG111:AG113" si="209">SUM(N111:Q111)</f>
        <v>-180800</v>
      </c>
      <c r="AH111" s="60"/>
      <c r="AI111" s="76">
        <f t="shared" ref="AI111:AI126" si="210">SUM(AG111/AC111)-1</f>
        <v>-0.19883725052288281</v>
      </c>
    </row>
    <row r="112" spans="2:35" ht="12.75" customHeight="1">
      <c r="B112" s="61" t="s">
        <v>148</v>
      </c>
      <c r="C112" s="83">
        <v>-1900</v>
      </c>
      <c r="D112" s="83">
        <v>0</v>
      </c>
      <c r="E112" s="83">
        <v>0</v>
      </c>
      <c r="F112" s="32"/>
      <c r="G112" s="83"/>
      <c r="H112" s="83"/>
      <c r="I112" s="83"/>
      <c r="J112" s="32">
        <f t="shared" si="200"/>
        <v>0</v>
      </c>
      <c r="K112" s="83"/>
      <c r="L112" s="83"/>
      <c r="M112" s="83"/>
      <c r="N112" s="32">
        <f t="shared" si="201"/>
        <v>0</v>
      </c>
      <c r="O112" s="83"/>
      <c r="P112" s="83"/>
      <c r="Q112" s="83"/>
      <c r="R112" s="32"/>
      <c r="S112" s="32" t="e">
        <f>SUM(#REF!)</f>
        <v>#REF!</v>
      </c>
      <c r="T112" s="32" t="e">
        <f>SUM(#REF!)</f>
        <v>#REF!</v>
      </c>
      <c r="U112" s="32" t="e">
        <f>SUM(#REF!)</f>
        <v>#REF!</v>
      </c>
      <c r="V112" s="32" t="e">
        <f>SUM(#REF!)</f>
        <v>#REF!</v>
      </c>
      <c r="W112" s="32">
        <f>SUM(G112:G112)</f>
        <v>0</v>
      </c>
      <c r="X112" s="32">
        <f>SUM(G112:H112)</f>
        <v>0</v>
      </c>
      <c r="Y112" s="32">
        <f>SUM(G112:I112)</f>
        <v>0</v>
      </c>
      <c r="Z112" s="32">
        <f t="shared" si="202"/>
        <v>0</v>
      </c>
      <c r="AA112" s="32">
        <f t="shared" si="203"/>
        <v>0</v>
      </c>
      <c r="AB112" s="32">
        <f t="shared" si="204"/>
        <v>0</v>
      </c>
      <c r="AC112" s="32">
        <f t="shared" si="205"/>
        <v>0</v>
      </c>
      <c r="AD112" s="32">
        <f t="shared" si="206"/>
        <v>0</v>
      </c>
      <c r="AE112" s="32">
        <f t="shared" si="207"/>
        <v>0</v>
      </c>
      <c r="AF112" s="32">
        <f t="shared" si="208"/>
        <v>0</v>
      </c>
      <c r="AG112" s="32">
        <f t="shared" si="209"/>
        <v>0</v>
      </c>
      <c r="AH112" s="60"/>
      <c r="AI112" s="76" t="e">
        <f t="shared" si="210"/>
        <v>#DIV/0!</v>
      </c>
    </row>
    <row r="113" spans="2:35" ht="12.75" customHeight="1">
      <c r="B113" s="61" t="s">
        <v>149</v>
      </c>
      <c r="C113" s="83">
        <v>1137</v>
      </c>
      <c r="D113" s="83">
        <v>6922</v>
      </c>
      <c r="E113" s="83">
        <v>13394</v>
      </c>
      <c r="F113" s="32"/>
      <c r="G113" s="83"/>
      <c r="H113" s="83"/>
      <c r="I113" s="83"/>
      <c r="J113" s="32">
        <f t="shared" si="200"/>
        <v>6922</v>
      </c>
      <c r="K113" s="83"/>
      <c r="L113" s="83"/>
      <c r="M113" s="83"/>
      <c r="N113" s="32">
        <f t="shared" si="201"/>
        <v>13394</v>
      </c>
      <c r="O113" s="83"/>
      <c r="P113" s="83"/>
      <c r="Q113" s="83"/>
      <c r="R113" s="32"/>
      <c r="S113" s="32" t="e">
        <f>SUM(#REF!)</f>
        <v>#REF!</v>
      </c>
      <c r="T113" s="32" t="e">
        <f>SUM(#REF!)</f>
        <v>#REF!</v>
      </c>
      <c r="U113" s="32" t="e">
        <f>SUM(#REF!)</f>
        <v>#REF!</v>
      </c>
      <c r="V113" s="32" t="e">
        <f>SUM(#REF!)</f>
        <v>#REF!</v>
      </c>
      <c r="W113" s="32">
        <f>SUM(G113:G113)</f>
        <v>0</v>
      </c>
      <c r="X113" s="32">
        <f>SUM(G113:H113)</f>
        <v>0</v>
      </c>
      <c r="Y113" s="32">
        <f>SUM(G113:I113)</f>
        <v>0</v>
      </c>
      <c r="Z113" s="32">
        <f t="shared" si="202"/>
        <v>6922</v>
      </c>
      <c r="AA113" s="32">
        <f t="shared" si="203"/>
        <v>6922</v>
      </c>
      <c r="AB113" s="32">
        <f t="shared" si="204"/>
        <v>6922</v>
      </c>
      <c r="AC113" s="32">
        <f t="shared" si="205"/>
        <v>6922</v>
      </c>
      <c r="AD113" s="32">
        <f t="shared" si="206"/>
        <v>13394</v>
      </c>
      <c r="AE113" s="32">
        <f t="shared" si="207"/>
        <v>13394</v>
      </c>
      <c r="AF113" s="32">
        <f t="shared" si="208"/>
        <v>13394</v>
      </c>
      <c r="AG113" s="32">
        <f t="shared" si="209"/>
        <v>13394</v>
      </c>
      <c r="AH113" s="60"/>
      <c r="AI113" s="76">
        <f t="shared" si="210"/>
        <v>0.93498988731580468</v>
      </c>
    </row>
    <row r="114" spans="2:35" ht="12.75" customHeight="1">
      <c r="B114" s="85" t="s">
        <v>166</v>
      </c>
      <c r="C114" s="83">
        <v>-24928</v>
      </c>
      <c r="D114" s="83">
        <v>-16739</v>
      </c>
      <c r="E114" s="83">
        <v>1522160</v>
      </c>
      <c r="F114" s="32"/>
      <c r="G114" s="83"/>
      <c r="H114" s="83"/>
      <c r="I114" s="83"/>
      <c r="J114" s="32">
        <f t="shared" ref="J114" si="211">SUM(D114-SUM(G114:I114))</f>
        <v>-16739</v>
      </c>
      <c r="K114" s="83"/>
      <c r="L114" s="83"/>
      <c r="M114" s="83"/>
      <c r="N114" s="32">
        <f t="shared" ref="N114" si="212">SUM(E114-SUM(K114:M114))</f>
        <v>1522160</v>
      </c>
      <c r="O114" s="83"/>
      <c r="P114" s="83"/>
      <c r="Q114" s="83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60"/>
      <c r="AI114" s="76"/>
    </row>
    <row r="115" spans="2:35" ht="12.75" customHeight="1">
      <c r="B115" s="13" t="s">
        <v>165</v>
      </c>
      <c r="C115" s="14">
        <f>SUM(C111:C114)</f>
        <v>-424448</v>
      </c>
      <c r="D115" s="14">
        <f t="shared" ref="D115:E115" si="213">SUM(D111:D114)</f>
        <v>-235489</v>
      </c>
      <c r="E115" s="14">
        <f t="shared" si="213"/>
        <v>1354754</v>
      </c>
      <c r="G115" s="14">
        <f t="shared" ref="G115" si="214">SUM(G111:G114)</f>
        <v>0</v>
      </c>
      <c r="H115" s="14">
        <f t="shared" ref="H115" si="215">SUM(H111:H114)</f>
        <v>0</v>
      </c>
      <c r="I115" s="14">
        <f t="shared" ref="I115" si="216">SUM(I111:I114)</f>
        <v>0</v>
      </c>
      <c r="J115" s="14">
        <f t="shared" ref="J115" si="217">SUM(J111:J114)</f>
        <v>-235489</v>
      </c>
      <c r="K115" s="14">
        <f t="shared" ref="K115" si="218">SUM(K111:K114)</f>
        <v>0</v>
      </c>
      <c r="L115" s="14">
        <f t="shared" ref="L115" si="219">SUM(L111:L114)</f>
        <v>0</v>
      </c>
      <c r="M115" s="14">
        <f t="shared" ref="M115" si="220">SUM(M111:M114)</f>
        <v>0</v>
      </c>
      <c r="N115" s="14">
        <f t="shared" ref="N115" si="221">SUM(N111:N114)</f>
        <v>1354754</v>
      </c>
      <c r="O115" s="14">
        <f t="shared" ref="O115" si="222">SUM(O111:O114)</f>
        <v>0</v>
      </c>
      <c r="P115" s="14">
        <f t="shared" ref="P115" si="223">SUM(P111:P114)</f>
        <v>0</v>
      </c>
      <c r="Q115" s="14">
        <f t="shared" ref="Q115" si="224">SUM(Q111:Q114)</f>
        <v>0</v>
      </c>
      <c r="S115" s="14" t="e">
        <f>SUM(S111:S113)</f>
        <v>#REF!</v>
      </c>
      <c r="T115" s="14" t="e">
        <f>SUM(T111:T113)</f>
        <v>#REF!</v>
      </c>
      <c r="U115" s="14" t="e">
        <f>SUM(U111:U113)</f>
        <v>#REF!</v>
      </c>
      <c r="V115" s="14" t="e">
        <f>SUM(V111:V113)</f>
        <v>#REF!</v>
      </c>
      <c r="W115" s="14">
        <f>SUM(W111:W113)</f>
        <v>0</v>
      </c>
      <c r="X115" s="14">
        <f>SUM(X111:X113)</f>
        <v>0</v>
      </c>
      <c r="Y115" s="14">
        <f>SUM(Y111:Y113)</f>
        <v>0</v>
      </c>
      <c r="Z115" s="14">
        <f>SUM(Z111:Z113)</f>
        <v>-218750</v>
      </c>
      <c r="AA115" s="14">
        <f>SUM(AA111:AA113)</f>
        <v>-218750</v>
      </c>
      <c r="AB115" s="14">
        <f>SUM(AB111:AB113)</f>
        <v>-218750</v>
      </c>
      <c r="AC115" s="14">
        <f>SUM(AC111:AC113)</f>
        <v>-218750</v>
      </c>
      <c r="AD115" s="14">
        <f>SUM(AD111:AD113)</f>
        <v>-167406</v>
      </c>
      <c r="AE115" s="14">
        <f>SUM(AE111:AE113)</f>
        <v>-167406</v>
      </c>
      <c r="AF115" s="14">
        <f>SUM(AF111:AF113)</f>
        <v>-167406</v>
      </c>
      <c r="AG115" s="14">
        <f>SUM(AG111:AG113)</f>
        <v>-167406</v>
      </c>
      <c r="AH115" s="42"/>
      <c r="AI115" s="77">
        <f t="shared" si="210"/>
        <v>-0.23471542857142857</v>
      </c>
    </row>
    <row r="116" spans="2:35" ht="5.0999999999999996" customHeight="1">
      <c r="B116" s="53"/>
      <c r="C116" s="62"/>
      <c r="D116" s="62"/>
      <c r="E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39"/>
    </row>
    <row r="117" spans="2:35" ht="12.75" customHeight="1">
      <c r="B117" s="54" t="s">
        <v>56</v>
      </c>
      <c r="C117" s="64"/>
      <c r="D117" s="64"/>
      <c r="E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65"/>
      <c r="AI117" s="76"/>
    </row>
    <row r="118" spans="2:35" ht="12.75" customHeight="1">
      <c r="B118" s="85" t="s">
        <v>151</v>
      </c>
      <c r="C118" s="83">
        <v>2035000</v>
      </c>
      <c r="D118" s="83">
        <v>4805000</v>
      </c>
      <c r="E118" s="83">
        <v>0</v>
      </c>
      <c r="G118" s="83"/>
      <c r="H118" s="83"/>
      <c r="I118" s="83"/>
      <c r="J118" s="32">
        <f t="shared" ref="J118:J125" si="225">SUM(D118-SUM(G118:I118))</f>
        <v>4805000</v>
      </c>
      <c r="K118" s="83"/>
      <c r="L118" s="83"/>
      <c r="M118" s="83"/>
      <c r="N118" s="32">
        <f t="shared" ref="N118:N125" si="226">SUM(E118-SUM(K118:M118))</f>
        <v>0</v>
      </c>
      <c r="O118" s="83"/>
      <c r="P118" s="83"/>
      <c r="Q118" s="83"/>
      <c r="R118" s="32"/>
      <c r="S118" s="32" t="e">
        <f>SUM(#REF!)</f>
        <v>#REF!</v>
      </c>
      <c r="T118" s="32" t="e">
        <f>SUM(#REF!)</f>
        <v>#REF!</v>
      </c>
      <c r="U118" s="32" t="e">
        <f>SUM(#REF!)</f>
        <v>#REF!</v>
      </c>
      <c r="V118" s="32" t="e">
        <f>SUM(#REF!)</f>
        <v>#REF!</v>
      </c>
      <c r="W118" s="32">
        <f t="shared" ref="W118:W125" si="227">SUM(G118:G118)</f>
        <v>0</v>
      </c>
      <c r="X118" s="32">
        <f t="shared" ref="X118:X125" si="228">SUM(G118:H118)</f>
        <v>0</v>
      </c>
      <c r="Y118" s="32">
        <f t="shared" ref="Y118:Y125" si="229">SUM(G118:I118)</f>
        <v>0</v>
      </c>
      <c r="Z118" s="32">
        <f t="shared" ref="Z118:Z125" si="230">SUM(G118:J118)</f>
        <v>4805000</v>
      </c>
      <c r="AA118" s="32">
        <f t="shared" ref="AA118:AA125" si="231">SUM(H118:K118)</f>
        <v>4805000</v>
      </c>
      <c r="AB118" s="32">
        <f t="shared" ref="AB118:AB125" si="232">SUM(I118:L118)</f>
        <v>4805000</v>
      </c>
      <c r="AC118" s="32">
        <f t="shared" ref="AC118:AC125" si="233">SUM(J118:M118)</f>
        <v>4805000</v>
      </c>
      <c r="AD118" s="32">
        <f t="shared" ref="AD118:AD125" si="234">SUM(K118:N118)</f>
        <v>0</v>
      </c>
      <c r="AE118" s="32">
        <f t="shared" ref="AE118:AE125" si="235">SUM(L118:O118)</f>
        <v>0</v>
      </c>
      <c r="AF118" s="32">
        <f t="shared" ref="AF118:AF125" si="236">SUM(M118:P118)</f>
        <v>0</v>
      </c>
      <c r="AG118" s="32">
        <f t="shared" ref="AG118:AG125" si="237">SUM(N118:Q118)</f>
        <v>0</v>
      </c>
      <c r="AH118" s="65"/>
      <c r="AI118" s="76">
        <f t="shared" si="210"/>
        <v>-1</v>
      </c>
    </row>
    <row r="119" spans="2:35" ht="12.75" customHeight="1">
      <c r="B119" s="85" t="s">
        <v>152</v>
      </c>
      <c r="C119" s="83">
        <v>-1850000</v>
      </c>
      <c r="D119" s="83">
        <v>-4990000</v>
      </c>
      <c r="E119" s="83">
        <v>0</v>
      </c>
      <c r="G119" s="83"/>
      <c r="H119" s="83"/>
      <c r="I119" s="83"/>
      <c r="J119" s="32">
        <f t="shared" si="225"/>
        <v>-4990000</v>
      </c>
      <c r="K119" s="83"/>
      <c r="L119" s="83"/>
      <c r="M119" s="83"/>
      <c r="N119" s="32">
        <f t="shared" si="226"/>
        <v>0</v>
      </c>
      <c r="O119" s="83"/>
      <c r="P119" s="83"/>
      <c r="Q119" s="83"/>
      <c r="R119" s="32"/>
      <c r="S119" s="32" t="e">
        <f>SUM(#REF!)</f>
        <v>#REF!</v>
      </c>
      <c r="T119" s="32" t="e">
        <f>SUM(#REF!)</f>
        <v>#REF!</v>
      </c>
      <c r="U119" s="32" t="e">
        <f>SUM(#REF!)</f>
        <v>#REF!</v>
      </c>
      <c r="V119" s="32" t="e">
        <f>SUM(#REF!)</f>
        <v>#REF!</v>
      </c>
      <c r="W119" s="32">
        <f t="shared" si="227"/>
        <v>0</v>
      </c>
      <c r="X119" s="32">
        <f t="shared" si="228"/>
        <v>0</v>
      </c>
      <c r="Y119" s="32">
        <f t="shared" si="229"/>
        <v>0</v>
      </c>
      <c r="Z119" s="32">
        <f t="shared" si="230"/>
        <v>-4990000</v>
      </c>
      <c r="AA119" s="32">
        <f t="shared" si="231"/>
        <v>-4990000</v>
      </c>
      <c r="AB119" s="32">
        <f t="shared" si="232"/>
        <v>-4990000</v>
      </c>
      <c r="AC119" s="32">
        <f t="shared" si="233"/>
        <v>-4990000</v>
      </c>
      <c r="AD119" s="32">
        <f t="shared" si="234"/>
        <v>0</v>
      </c>
      <c r="AE119" s="32">
        <f t="shared" si="235"/>
        <v>0</v>
      </c>
      <c r="AF119" s="32">
        <f t="shared" si="236"/>
        <v>0</v>
      </c>
      <c r="AG119" s="32">
        <f t="shared" si="237"/>
        <v>0</v>
      </c>
      <c r="AH119" s="65"/>
      <c r="AI119" s="76">
        <f t="shared" si="210"/>
        <v>-1</v>
      </c>
    </row>
    <row r="120" spans="2:35" ht="12.75" customHeight="1">
      <c r="B120" s="85" t="s">
        <v>153</v>
      </c>
      <c r="C120" s="83">
        <v>348618</v>
      </c>
      <c r="D120" s="83">
        <v>599571</v>
      </c>
      <c r="E120" s="83">
        <v>0</v>
      </c>
      <c r="G120" s="83"/>
      <c r="H120" s="83"/>
      <c r="I120" s="83"/>
      <c r="J120" s="32">
        <f t="shared" si="225"/>
        <v>599571</v>
      </c>
      <c r="K120" s="83"/>
      <c r="L120" s="83"/>
      <c r="M120" s="83"/>
      <c r="N120" s="32">
        <f t="shared" si="226"/>
        <v>0</v>
      </c>
      <c r="O120" s="83"/>
      <c r="P120" s="83"/>
      <c r="Q120" s="83"/>
      <c r="R120" s="32"/>
      <c r="S120" s="32" t="e">
        <f>SUM(#REF!)</f>
        <v>#REF!</v>
      </c>
      <c r="T120" s="32" t="e">
        <f>SUM(#REF!)</f>
        <v>#REF!</v>
      </c>
      <c r="U120" s="32" t="e">
        <f>SUM(#REF!)</f>
        <v>#REF!</v>
      </c>
      <c r="V120" s="32" t="e">
        <f>SUM(#REF!)</f>
        <v>#REF!</v>
      </c>
      <c r="W120" s="32">
        <f t="shared" si="227"/>
        <v>0</v>
      </c>
      <c r="X120" s="32">
        <f t="shared" si="228"/>
        <v>0</v>
      </c>
      <c r="Y120" s="32">
        <f t="shared" si="229"/>
        <v>0</v>
      </c>
      <c r="Z120" s="32">
        <f t="shared" si="230"/>
        <v>599571</v>
      </c>
      <c r="AA120" s="32">
        <f t="shared" si="231"/>
        <v>599571</v>
      </c>
      <c r="AB120" s="32">
        <f t="shared" si="232"/>
        <v>599571</v>
      </c>
      <c r="AC120" s="32">
        <f t="shared" si="233"/>
        <v>599571</v>
      </c>
      <c r="AD120" s="32">
        <f t="shared" si="234"/>
        <v>0</v>
      </c>
      <c r="AE120" s="32">
        <f t="shared" si="235"/>
        <v>0</v>
      </c>
      <c r="AF120" s="32">
        <f t="shared" si="236"/>
        <v>0</v>
      </c>
      <c r="AG120" s="32">
        <f t="shared" si="237"/>
        <v>0</v>
      </c>
      <c r="AH120" s="65"/>
      <c r="AI120" s="76">
        <f t="shared" si="210"/>
        <v>-1</v>
      </c>
    </row>
    <row r="121" spans="2:35" ht="12.75" customHeight="1">
      <c r="B121" s="85" t="s">
        <v>150</v>
      </c>
      <c r="C121" s="83">
        <v>-201081</v>
      </c>
      <c r="D121" s="83">
        <v>0</v>
      </c>
      <c r="E121" s="83">
        <v>0</v>
      </c>
      <c r="G121" s="83"/>
      <c r="H121" s="83"/>
      <c r="I121" s="83"/>
      <c r="J121" s="32">
        <f t="shared" ref="J121" si="238">SUM(D121-SUM(G121:I121))</f>
        <v>0</v>
      </c>
      <c r="K121" s="83"/>
      <c r="L121" s="83"/>
      <c r="M121" s="83"/>
      <c r="N121" s="32">
        <f t="shared" ref="N121" si="239">SUM(E121-SUM(K121:M121))</f>
        <v>0</v>
      </c>
      <c r="O121" s="83"/>
      <c r="P121" s="83"/>
      <c r="Q121" s="83"/>
      <c r="R121" s="32"/>
      <c r="S121" s="32" t="e">
        <f>SUM(#REF!)</f>
        <v>#REF!</v>
      </c>
      <c r="T121" s="32" t="e">
        <f>SUM(#REF!)</f>
        <v>#REF!</v>
      </c>
      <c r="U121" s="32" t="e">
        <f>SUM(#REF!)</f>
        <v>#REF!</v>
      </c>
      <c r="V121" s="32" t="e">
        <f>SUM(#REF!)</f>
        <v>#REF!</v>
      </c>
      <c r="W121" s="32">
        <f t="shared" ref="W121" si="240">SUM(G121:G121)</f>
        <v>0</v>
      </c>
      <c r="X121" s="32">
        <f t="shared" ref="X121" si="241">SUM(G121:H121)</f>
        <v>0</v>
      </c>
      <c r="Y121" s="32">
        <f t="shared" ref="Y121" si="242">SUM(G121:I121)</f>
        <v>0</v>
      </c>
      <c r="Z121" s="32">
        <f t="shared" ref="Z121" si="243">SUM(G121:J121)</f>
        <v>0</v>
      </c>
      <c r="AA121" s="32">
        <f t="shared" ref="AA121" si="244">SUM(H121:K121)</f>
        <v>0</v>
      </c>
      <c r="AB121" s="32">
        <f t="shared" ref="AB121" si="245">SUM(I121:L121)</f>
        <v>0</v>
      </c>
      <c r="AC121" s="32">
        <f t="shared" ref="AC121" si="246">SUM(J121:M121)</f>
        <v>0</v>
      </c>
      <c r="AD121" s="32">
        <f t="shared" ref="AD121" si="247">SUM(K121:N121)</f>
        <v>0</v>
      </c>
      <c r="AE121" s="32">
        <f t="shared" ref="AE121" si="248">SUM(L121:O121)</f>
        <v>0</v>
      </c>
      <c r="AF121" s="32">
        <f t="shared" ref="AF121" si="249">SUM(M121:P121)</f>
        <v>0</v>
      </c>
      <c r="AG121" s="32">
        <f t="shared" ref="AG121" si="250">SUM(N121:Q121)</f>
        <v>0</v>
      </c>
      <c r="AH121" s="65"/>
      <c r="AI121" s="76" t="e">
        <f t="shared" ref="AI121" si="251">SUM(AG121/AC121)-1</f>
        <v>#DIV/0!</v>
      </c>
    </row>
    <row r="122" spans="2:35" ht="12.75" customHeight="1">
      <c r="B122" s="85" t="s">
        <v>154</v>
      </c>
      <c r="C122" s="83">
        <v>-336230</v>
      </c>
      <c r="D122" s="83">
        <v>-209293</v>
      </c>
      <c r="E122" s="83">
        <v>-59855</v>
      </c>
      <c r="G122" s="83"/>
      <c r="H122" s="83"/>
      <c r="I122" s="83"/>
      <c r="J122" s="32">
        <f t="shared" si="225"/>
        <v>-209293</v>
      </c>
      <c r="K122" s="83"/>
      <c r="L122" s="83"/>
      <c r="M122" s="83"/>
      <c r="N122" s="32">
        <f t="shared" si="226"/>
        <v>-59855</v>
      </c>
      <c r="O122" s="83"/>
      <c r="P122" s="83"/>
      <c r="Q122" s="83"/>
      <c r="R122" s="32"/>
      <c r="S122" s="32" t="e">
        <f>SUM(#REF!)</f>
        <v>#REF!</v>
      </c>
      <c r="T122" s="32" t="e">
        <f>SUM(#REF!)</f>
        <v>#REF!</v>
      </c>
      <c r="U122" s="32" t="e">
        <f>SUM(#REF!)</f>
        <v>#REF!</v>
      </c>
      <c r="V122" s="32" t="e">
        <f>SUM(#REF!)</f>
        <v>#REF!</v>
      </c>
      <c r="W122" s="32">
        <f t="shared" si="227"/>
        <v>0</v>
      </c>
      <c r="X122" s="32">
        <f t="shared" si="228"/>
        <v>0</v>
      </c>
      <c r="Y122" s="32">
        <f t="shared" si="229"/>
        <v>0</v>
      </c>
      <c r="Z122" s="32">
        <f t="shared" si="230"/>
        <v>-209293</v>
      </c>
      <c r="AA122" s="32">
        <f t="shared" si="231"/>
        <v>-209293</v>
      </c>
      <c r="AB122" s="32">
        <f t="shared" si="232"/>
        <v>-209293</v>
      </c>
      <c r="AC122" s="32">
        <f t="shared" si="233"/>
        <v>-209293</v>
      </c>
      <c r="AD122" s="32">
        <f t="shared" si="234"/>
        <v>-59855</v>
      </c>
      <c r="AE122" s="32">
        <f t="shared" si="235"/>
        <v>-59855</v>
      </c>
      <c r="AF122" s="32">
        <f t="shared" si="236"/>
        <v>-59855</v>
      </c>
      <c r="AG122" s="32">
        <f t="shared" si="237"/>
        <v>-59855</v>
      </c>
      <c r="AH122" s="65"/>
      <c r="AI122" s="76">
        <f t="shared" si="210"/>
        <v>-0.71401336881787736</v>
      </c>
    </row>
    <row r="123" spans="2:35" ht="12.75" customHeight="1">
      <c r="B123" s="85" t="s">
        <v>168</v>
      </c>
      <c r="C123" s="83">
        <v>0</v>
      </c>
      <c r="D123" s="83">
        <v>0</v>
      </c>
      <c r="E123" s="83">
        <v>-9101</v>
      </c>
      <c r="G123" s="83"/>
      <c r="H123" s="83"/>
      <c r="I123" s="83"/>
      <c r="J123" s="32"/>
      <c r="K123" s="83"/>
      <c r="L123" s="83"/>
      <c r="M123" s="83"/>
      <c r="N123" s="32">
        <f t="shared" si="226"/>
        <v>-9101</v>
      </c>
      <c r="O123" s="83"/>
      <c r="P123" s="83"/>
      <c r="Q123" s="83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>
        <f t="shared" si="234"/>
        <v>-9101</v>
      </c>
      <c r="AE123" s="32">
        <f t="shared" si="235"/>
        <v>-9101</v>
      </c>
      <c r="AF123" s="32">
        <f t="shared" si="236"/>
        <v>-9101</v>
      </c>
      <c r="AG123" s="32">
        <f t="shared" si="237"/>
        <v>-9101</v>
      </c>
      <c r="AH123" s="65"/>
      <c r="AI123" s="76"/>
    </row>
    <row r="124" spans="2:35" ht="12.75" customHeight="1">
      <c r="B124" s="85" t="s">
        <v>104</v>
      </c>
      <c r="C124" s="83">
        <v>-618480</v>
      </c>
      <c r="D124" s="83">
        <v>-14518</v>
      </c>
      <c r="E124" s="83">
        <v>-6501</v>
      </c>
      <c r="G124" s="83"/>
      <c r="H124" s="83"/>
      <c r="I124" s="83"/>
      <c r="J124" s="32">
        <f t="shared" si="225"/>
        <v>-14518</v>
      </c>
      <c r="K124" s="83"/>
      <c r="L124" s="83"/>
      <c r="M124" s="83"/>
      <c r="N124" s="32">
        <f t="shared" si="226"/>
        <v>-6501</v>
      </c>
      <c r="O124" s="83"/>
      <c r="P124" s="83"/>
      <c r="Q124" s="83"/>
      <c r="R124" s="32"/>
      <c r="S124" s="32" t="e">
        <f>SUM(#REF!)</f>
        <v>#REF!</v>
      </c>
      <c r="T124" s="32" t="e">
        <f>SUM(#REF!)</f>
        <v>#REF!</v>
      </c>
      <c r="U124" s="32" t="e">
        <f>SUM(#REF!)</f>
        <v>#REF!</v>
      </c>
      <c r="V124" s="32" t="e">
        <f>SUM(#REF!)</f>
        <v>#REF!</v>
      </c>
      <c r="W124" s="32">
        <f t="shared" si="227"/>
        <v>0</v>
      </c>
      <c r="X124" s="32">
        <f t="shared" si="228"/>
        <v>0</v>
      </c>
      <c r="Y124" s="32">
        <f t="shared" si="229"/>
        <v>0</v>
      </c>
      <c r="Z124" s="32">
        <f t="shared" si="230"/>
        <v>-14518</v>
      </c>
      <c r="AA124" s="32">
        <f t="shared" si="231"/>
        <v>-14518</v>
      </c>
      <c r="AB124" s="32">
        <f t="shared" si="232"/>
        <v>-14518</v>
      </c>
      <c r="AC124" s="32">
        <f t="shared" si="233"/>
        <v>-14518</v>
      </c>
      <c r="AD124" s="32">
        <f t="shared" si="234"/>
        <v>-6501</v>
      </c>
      <c r="AE124" s="32">
        <f t="shared" si="235"/>
        <v>-6501</v>
      </c>
      <c r="AF124" s="32">
        <f t="shared" si="236"/>
        <v>-6501</v>
      </c>
      <c r="AG124" s="32">
        <f t="shared" si="237"/>
        <v>-6501</v>
      </c>
      <c r="AH124" s="65"/>
      <c r="AI124" s="76">
        <f t="shared" si="210"/>
        <v>-0.55221104835376766</v>
      </c>
    </row>
    <row r="125" spans="2:35" ht="12.75" customHeight="1">
      <c r="B125" s="85" t="s">
        <v>145</v>
      </c>
      <c r="C125" s="83">
        <v>1469</v>
      </c>
      <c r="D125" s="83">
        <v>-1493</v>
      </c>
      <c r="E125" s="83">
        <v>447</v>
      </c>
      <c r="G125" s="83"/>
      <c r="H125" s="83"/>
      <c r="I125" s="83"/>
      <c r="J125" s="32">
        <f t="shared" si="225"/>
        <v>-1493</v>
      </c>
      <c r="K125" s="83"/>
      <c r="L125" s="83"/>
      <c r="M125" s="83"/>
      <c r="N125" s="32">
        <f t="shared" si="226"/>
        <v>447</v>
      </c>
      <c r="O125" s="83"/>
      <c r="P125" s="83"/>
      <c r="Q125" s="83"/>
      <c r="R125" s="32"/>
      <c r="S125" s="32" t="e">
        <f>SUM(#REF!)</f>
        <v>#REF!</v>
      </c>
      <c r="T125" s="32" t="e">
        <f>SUM(#REF!)</f>
        <v>#REF!</v>
      </c>
      <c r="U125" s="32" t="e">
        <f>SUM(#REF!)</f>
        <v>#REF!</v>
      </c>
      <c r="V125" s="32" t="e">
        <f>SUM(#REF!)</f>
        <v>#REF!</v>
      </c>
      <c r="W125" s="32">
        <f t="shared" si="227"/>
        <v>0</v>
      </c>
      <c r="X125" s="32">
        <f t="shared" si="228"/>
        <v>0</v>
      </c>
      <c r="Y125" s="32">
        <f t="shared" si="229"/>
        <v>0</v>
      </c>
      <c r="Z125" s="32">
        <f t="shared" si="230"/>
        <v>-1493</v>
      </c>
      <c r="AA125" s="32">
        <f t="shared" si="231"/>
        <v>-1493</v>
      </c>
      <c r="AB125" s="32">
        <f t="shared" si="232"/>
        <v>-1493</v>
      </c>
      <c r="AC125" s="32">
        <f t="shared" si="233"/>
        <v>-1493</v>
      </c>
      <c r="AD125" s="32">
        <f t="shared" si="234"/>
        <v>447</v>
      </c>
      <c r="AE125" s="32">
        <f t="shared" si="235"/>
        <v>447</v>
      </c>
      <c r="AF125" s="32">
        <f t="shared" si="236"/>
        <v>447</v>
      </c>
      <c r="AG125" s="32">
        <f t="shared" si="237"/>
        <v>447</v>
      </c>
      <c r="AH125" s="65"/>
      <c r="AI125" s="76">
        <f t="shared" si="210"/>
        <v>-1.2993971868720697</v>
      </c>
    </row>
    <row r="126" spans="2:35" ht="12.75" customHeight="1">
      <c r="B126" s="13" t="s">
        <v>164</v>
      </c>
      <c r="C126" s="34">
        <f>SUM(C118:C125)</f>
        <v>-620704</v>
      </c>
      <c r="D126" s="34">
        <f>SUM(D118:D125)</f>
        <v>189267</v>
      </c>
      <c r="E126" s="34">
        <f>SUM(E118:E125)</f>
        <v>-75010</v>
      </c>
      <c r="F126" s="32"/>
      <c r="G126" s="34">
        <f>SUM(G118:G125)</f>
        <v>0</v>
      </c>
      <c r="H126" s="34">
        <f>SUM(H118:H125)</f>
        <v>0</v>
      </c>
      <c r="I126" s="34">
        <f>SUM(I118:I125)</f>
        <v>0</v>
      </c>
      <c r="J126" s="34">
        <f>SUM(J118:J125)</f>
        <v>189267</v>
      </c>
      <c r="K126" s="34">
        <f>SUM(K118:K125)</f>
        <v>0</v>
      </c>
      <c r="L126" s="34">
        <f>SUM(L118:L125)</f>
        <v>0</v>
      </c>
      <c r="M126" s="34">
        <f>SUM(M118:M125)</f>
        <v>0</v>
      </c>
      <c r="N126" s="34">
        <f>SUM(N118:N125)</f>
        <v>-75010</v>
      </c>
      <c r="O126" s="34">
        <f>SUM(O118:O125)</f>
        <v>0</v>
      </c>
      <c r="P126" s="34">
        <f>SUM(P118:P125)</f>
        <v>0</v>
      </c>
      <c r="Q126" s="34">
        <f>SUM(Q118:Q125)</f>
        <v>0</v>
      </c>
      <c r="R126" s="32"/>
      <c r="S126" s="34" t="e">
        <f>SUM(S118:S125)</f>
        <v>#REF!</v>
      </c>
      <c r="T126" s="34" t="e">
        <f>SUM(T118:T125)</f>
        <v>#REF!</v>
      </c>
      <c r="U126" s="34" t="e">
        <f>SUM(U118:U125)</f>
        <v>#REF!</v>
      </c>
      <c r="V126" s="34" t="e">
        <f>SUM(V118:V125)</f>
        <v>#REF!</v>
      </c>
      <c r="W126" s="34">
        <f>SUM(W118:W125)</f>
        <v>0</v>
      </c>
      <c r="X126" s="34">
        <f>SUM(X118:X125)</f>
        <v>0</v>
      </c>
      <c r="Y126" s="34">
        <f>SUM(Y118:Y125)</f>
        <v>0</v>
      </c>
      <c r="Z126" s="34">
        <f>SUM(Z118:Z125)</f>
        <v>189267</v>
      </c>
      <c r="AA126" s="34">
        <f>SUM(AA118:AA125)</f>
        <v>189267</v>
      </c>
      <c r="AB126" s="34">
        <f>SUM(AB118:AB125)</f>
        <v>189267</v>
      </c>
      <c r="AC126" s="34">
        <f>SUM(AC118:AC125)</f>
        <v>189267</v>
      </c>
      <c r="AD126" s="34">
        <f>SUM(AD118:AD125)</f>
        <v>-75010</v>
      </c>
      <c r="AE126" s="34">
        <f>SUM(AE118:AE125)</f>
        <v>-75010</v>
      </c>
      <c r="AF126" s="34">
        <f>SUM(AF118:AF125)</f>
        <v>-75010</v>
      </c>
      <c r="AG126" s="34">
        <f>SUM(AG118:AG125)</f>
        <v>-75010</v>
      </c>
      <c r="AH126" s="42"/>
      <c r="AI126" s="77">
        <f t="shared" si="210"/>
        <v>-1.3963184284634933</v>
      </c>
    </row>
    <row r="127" spans="2:35" ht="5.0999999999999996" customHeight="1">
      <c r="B127" s="7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11"/>
      <c r="AI127" s="46"/>
    </row>
    <row r="128" spans="2:35">
      <c r="B128" s="94" t="s">
        <v>85</v>
      </c>
      <c r="C128" s="95">
        <v>588050</v>
      </c>
      <c r="D128" s="95">
        <f t="shared" ref="D128:E128" si="252">C135</f>
        <v>270805</v>
      </c>
      <c r="E128" s="95">
        <f t="shared" si="252"/>
        <v>488049</v>
      </c>
      <c r="F128" s="95"/>
      <c r="G128" s="95">
        <f>D128</f>
        <v>270805</v>
      </c>
      <c r="H128" s="95">
        <f t="shared" ref="H128:Q128" si="253">G135</f>
        <v>270805</v>
      </c>
      <c r="I128" s="95">
        <f t="shared" si="253"/>
        <v>270805</v>
      </c>
      <c r="J128" s="95">
        <f t="shared" si="253"/>
        <v>270805</v>
      </c>
      <c r="K128" s="95">
        <f t="shared" si="253"/>
        <v>5706850</v>
      </c>
      <c r="L128" s="95">
        <f t="shared" si="253"/>
        <v>5706850</v>
      </c>
      <c r="M128" s="95">
        <f t="shared" si="253"/>
        <v>5706850</v>
      </c>
      <c r="N128" s="95">
        <f t="shared" si="253"/>
        <v>5706850</v>
      </c>
      <c r="O128" s="95">
        <f t="shared" si="253"/>
        <v>12814474</v>
      </c>
      <c r="P128" s="95">
        <f t="shared" si="253"/>
        <v>12814474</v>
      </c>
      <c r="Q128" s="95">
        <f t="shared" si="253"/>
        <v>12814474</v>
      </c>
      <c r="R128" s="95"/>
      <c r="S128" s="95" t="e">
        <f>#REF!</f>
        <v>#REF!</v>
      </c>
      <c r="T128" s="95" t="e">
        <f>#REF!</f>
        <v>#REF!</v>
      </c>
      <c r="U128" s="95" t="e">
        <f>#REF!</f>
        <v>#REF!</v>
      </c>
      <c r="V128" s="95" t="e">
        <f>#REF!</f>
        <v>#REF!</v>
      </c>
      <c r="W128" s="95" t="e">
        <f>#REF!</f>
        <v>#REF!</v>
      </c>
      <c r="X128" s="95" t="e">
        <f>#REF!</f>
        <v>#REF!</v>
      </c>
      <c r="Y128" s="95" t="e">
        <f>#REF!</f>
        <v>#REF!</v>
      </c>
      <c r="Z128" s="95" t="e">
        <f>#REF!</f>
        <v>#REF!</v>
      </c>
      <c r="AA128" s="95">
        <f t="shared" ref="AA128:AG128" si="254">G135</f>
        <v>270805</v>
      </c>
      <c r="AB128" s="95">
        <f t="shared" si="254"/>
        <v>270805</v>
      </c>
      <c r="AC128" s="95">
        <f t="shared" si="254"/>
        <v>270805</v>
      </c>
      <c r="AD128" s="95">
        <f t="shared" si="254"/>
        <v>5706850</v>
      </c>
      <c r="AE128" s="95">
        <f t="shared" si="254"/>
        <v>5706850</v>
      </c>
      <c r="AF128" s="95">
        <f t="shared" si="254"/>
        <v>5706850</v>
      </c>
      <c r="AG128" s="147">
        <f t="shared" si="254"/>
        <v>5706850</v>
      </c>
      <c r="AH128" s="11"/>
      <c r="AI128" s="46"/>
    </row>
    <row r="129" spans="2:35">
      <c r="B129" s="134" t="s">
        <v>106</v>
      </c>
      <c r="C129" s="32"/>
      <c r="D129" s="32">
        <f t="shared" ref="D129:E129" si="255">-C133</f>
        <v>0</v>
      </c>
      <c r="E129" s="32">
        <f t="shared" si="255"/>
        <v>15422</v>
      </c>
      <c r="F129" s="32"/>
      <c r="G129" s="32">
        <f>D129</f>
        <v>0</v>
      </c>
      <c r="H129" s="32">
        <f t="shared" ref="H129:Q129" si="256">-G133</f>
        <v>0</v>
      </c>
      <c r="I129" s="32">
        <f t="shared" si="256"/>
        <v>0</v>
      </c>
      <c r="J129" s="32">
        <f t="shared" si="256"/>
        <v>0</v>
      </c>
      <c r="K129" s="32">
        <f t="shared" si="256"/>
        <v>0</v>
      </c>
      <c r="L129" s="32">
        <f t="shared" si="256"/>
        <v>0</v>
      </c>
      <c r="M129" s="32">
        <f t="shared" si="256"/>
        <v>0</v>
      </c>
      <c r="N129" s="32">
        <f t="shared" si="256"/>
        <v>0</v>
      </c>
      <c r="O129" s="32">
        <f t="shared" si="256"/>
        <v>0</v>
      </c>
      <c r="P129" s="32">
        <f t="shared" si="256"/>
        <v>0</v>
      </c>
      <c r="Q129" s="32">
        <f t="shared" si="256"/>
        <v>0</v>
      </c>
      <c r="R129" s="32"/>
      <c r="S129" s="32" t="e">
        <f>-#REF!</f>
        <v>#REF!</v>
      </c>
      <c r="T129" s="32" t="e">
        <f>-#REF!</f>
        <v>#REF!</v>
      </c>
      <c r="U129" s="32" t="e">
        <f>-#REF!</f>
        <v>#REF!</v>
      </c>
      <c r="V129" s="32" t="e">
        <f>-#REF!</f>
        <v>#REF!</v>
      </c>
      <c r="W129" s="32" t="e">
        <f>-#REF!</f>
        <v>#REF!</v>
      </c>
      <c r="X129" s="32" t="e">
        <f>-#REF!</f>
        <v>#REF!</v>
      </c>
      <c r="Y129" s="32" t="e">
        <f>-#REF!</f>
        <v>#REF!</v>
      </c>
      <c r="Z129" s="32" t="e">
        <f>-#REF!</f>
        <v>#REF!</v>
      </c>
      <c r="AA129" s="32">
        <f t="shared" ref="AA129:AG129" si="257">-G133</f>
        <v>0</v>
      </c>
      <c r="AB129" s="32">
        <f t="shared" si="257"/>
        <v>0</v>
      </c>
      <c r="AC129" s="32">
        <f t="shared" si="257"/>
        <v>0</v>
      </c>
      <c r="AD129" s="32">
        <f t="shared" si="257"/>
        <v>0</v>
      </c>
      <c r="AE129" s="32">
        <f t="shared" si="257"/>
        <v>0</v>
      </c>
      <c r="AF129" s="32">
        <f t="shared" si="257"/>
        <v>0</v>
      </c>
      <c r="AG129" s="139">
        <f t="shared" si="257"/>
        <v>0</v>
      </c>
      <c r="AH129" s="11"/>
      <c r="AI129" s="46"/>
    </row>
    <row r="130" spans="2:35">
      <c r="B130" s="91" t="s">
        <v>70</v>
      </c>
      <c r="C130" s="87">
        <f t="shared" ref="C130:E130" si="258">SUM(C128:C129)</f>
        <v>588050</v>
      </c>
      <c r="D130" s="87">
        <f t="shared" si="258"/>
        <v>270805</v>
      </c>
      <c r="E130" s="87">
        <f t="shared" si="258"/>
        <v>503471</v>
      </c>
      <c r="F130" s="32"/>
      <c r="G130" s="87">
        <f t="shared" ref="G130:Q130" si="259">SUM(G128:G129)</f>
        <v>270805</v>
      </c>
      <c r="H130" s="87">
        <f t="shared" si="259"/>
        <v>270805</v>
      </c>
      <c r="I130" s="87">
        <f t="shared" si="259"/>
        <v>270805</v>
      </c>
      <c r="J130" s="87">
        <f t="shared" si="259"/>
        <v>270805</v>
      </c>
      <c r="K130" s="87">
        <f t="shared" si="259"/>
        <v>5706850</v>
      </c>
      <c r="L130" s="87">
        <f t="shared" si="259"/>
        <v>5706850</v>
      </c>
      <c r="M130" s="87">
        <f t="shared" si="259"/>
        <v>5706850</v>
      </c>
      <c r="N130" s="87">
        <f t="shared" si="259"/>
        <v>5706850</v>
      </c>
      <c r="O130" s="87">
        <f t="shared" si="259"/>
        <v>12814474</v>
      </c>
      <c r="P130" s="87">
        <f t="shared" si="259"/>
        <v>12814474</v>
      </c>
      <c r="Q130" s="87">
        <f t="shared" si="259"/>
        <v>12814474</v>
      </c>
      <c r="R130" s="32"/>
      <c r="S130" s="137" t="e">
        <f t="shared" ref="S130:AG130" si="260">SUM(S128:S129)</f>
        <v>#REF!</v>
      </c>
      <c r="T130" s="137" t="e">
        <f t="shared" si="260"/>
        <v>#REF!</v>
      </c>
      <c r="U130" s="137" t="e">
        <f t="shared" si="260"/>
        <v>#REF!</v>
      </c>
      <c r="V130" s="137" t="e">
        <f t="shared" si="260"/>
        <v>#REF!</v>
      </c>
      <c r="W130" s="137" t="e">
        <f t="shared" si="260"/>
        <v>#REF!</v>
      </c>
      <c r="X130" s="137" t="e">
        <f t="shared" si="260"/>
        <v>#REF!</v>
      </c>
      <c r="Y130" s="137" t="e">
        <f t="shared" si="260"/>
        <v>#REF!</v>
      </c>
      <c r="Z130" s="137" t="e">
        <f t="shared" si="260"/>
        <v>#REF!</v>
      </c>
      <c r="AA130" s="137">
        <f t="shared" si="260"/>
        <v>270805</v>
      </c>
      <c r="AB130" s="137">
        <f t="shared" si="260"/>
        <v>270805</v>
      </c>
      <c r="AC130" s="137">
        <f t="shared" si="260"/>
        <v>270805</v>
      </c>
      <c r="AD130" s="137">
        <f t="shared" si="260"/>
        <v>5706850</v>
      </c>
      <c r="AE130" s="137">
        <f t="shared" si="260"/>
        <v>5706850</v>
      </c>
      <c r="AF130" s="137">
        <f t="shared" si="260"/>
        <v>5706850</v>
      </c>
      <c r="AG130" s="140">
        <f t="shared" si="260"/>
        <v>5706850</v>
      </c>
      <c r="AH130" s="11"/>
      <c r="AI130" s="46"/>
    </row>
    <row r="131" spans="2:35" ht="5.0999999999999996" customHeight="1">
      <c r="B131" s="144"/>
      <c r="C131" s="72"/>
      <c r="D131" s="72"/>
      <c r="E131" s="72"/>
      <c r="F131" s="3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3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141"/>
      <c r="AH131" s="11"/>
      <c r="AI131" s="46"/>
    </row>
    <row r="132" spans="2:35">
      <c r="B132" s="134" t="s">
        <v>86</v>
      </c>
      <c r="C132" s="83">
        <v>-8664</v>
      </c>
      <c r="D132" s="83">
        <v>-8487</v>
      </c>
      <c r="E132" s="83">
        <v>1569</v>
      </c>
      <c r="F132" s="32"/>
      <c r="G132" s="83"/>
      <c r="H132" s="83"/>
      <c r="I132" s="83"/>
      <c r="J132" s="32">
        <f t="shared" ref="J132" si="261">SUM(D132-SUM(G132:I132))</f>
        <v>-8487</v>
      </c>
      <c r="K132" s="83"/>
      <c r="L132" s="83"/>
      <c r="M132" s="83"/>
      <c r="N132" s="32">
        <f t="shared" ref="N132" si="262">SUM(E132-SUM(K132:M132))</f>
        <v>1569</v>
      </c>
      <c r="O132" s="83"/>
      <c r="P132" s="83"/>
      <c r="Q132" s="83"/>
      <c r="R132" s="32"/>
      <c r="S132" s="32" t="e">
        <f>SUM(#REF!)</f>
        <v>#REF!</v>
      </c>
      <c r="T132" s="32" t="e">
        <f>SUM(#REF!)</f>
        <v>#REF!</v>
      </c>
      <c r="U132" s="32" t="e">
        <f>SUM(#REF!)</f>
        <v>#REF!</v>
      </c>
      <c r="V132" s="32" t="e">
        <f>SUM(#REF!)</f>
        <v>#REF!</v>
      </c>
      <c r="W132" s="32">
        <f>SUM(G132:G132)</f>
        <v>0</v>
      </c>
      <c r="X132" s="32">
        <f>SUM(G132:H132)</f>
        <v>0</v>
      </c>
      <c r="Y132" s="32">
        <f>SUM(G132:I132)</f>
        <v>0</v>
      </c>
      <c r="Z132" s="32">
        <f t="shared" ref="Z132:AG132" si="263">SUM(G132:J132)</f>
        <v>-8487</v>
      </c>
      <c r="AA132" s="32">
        <f t="shared" si="263"/>
        <v>-8487</v>
      </c>
      <c r="AB132" s="32">
        <f t="shared" si="263"/>
        <v>-8487</v>
      </c>
      <c r="AC132" s="32">
        <f t="shared" si="263"/>
        <v>-8487</v>
      </c>
      <c r="AD132" s="32">
        <f t="shared" si="263"/>
        <v>1569</v>
      </c>
      <c r="AE132" s="32">
        <f t="shared" si="263"/>
        <v>1569</v>
      </c>
      <c r="AF132" s="32">
        <f t="shared" si="263"/>
        <v>1569</v>
      </c>
      <c r="AG132" s="139">
        <f t="shared" si="263"/>
        <v>1569</v>
      </c>
      <c r="AH132" s="11"/>
      <c r="AI132" s="46"/>
    </row>
    <row r="133" spans="2:35">
      <c r="B133" s="134" t="s">
        <v>169</v>
      </c>
      <c r="C133" s="83">
        <v>0</v>
      </c>
      <c r="D133" s="83">
        <v>-15422</v>
      </c>
      <c r="E133" s="83">
        <v>0</v>
      </c>
      <c r="F133" s="32"/>
      <c r="G133" s="83"/>
      <c r="H133" s="83"/>
      <c r="I133" s="83"/>
      <c r="J133" s="32"/>
      <c r="K133" s="83"/>
      <c r="L133" s="83"/>
      <c r="M133" s="83"/>
      <c r="N133" s="32"/>
      <c r="O133" s="83"/>
      <c r="P133" s="83"/>
      <c r="Q133" s="83"/>
      <c r="R133" s="32"/>
      <c r="S133" s="32" t="e">
        <f>#REF!</f>
        <v>#REF!</v>
      </c>
      <c r="T133" s="32" t="e">
        <f>#REF!</f>
        <v>#REF!</v>
      </c>
      <c r="U133" s="32" t="e">
        <f>#REF!</f>
        <v>#REF!</v>
      </c>
      <c r="V133" s="32" t="e">
        <f>#REF!</f>
        <v>#REF!</v>
      </c>
      <c r="W133" s="32">
        <f t="shared" ref="W133:AG133" si="264">G133</f>
        <v>0</v>
      </c>
      <c r="X133" s="32">
        <f t="shared" si="264"/>
        <v>0</v>
      </c>
      <c r="Y133" s="32">
        <f t="shared" si="264"/>
        <v>0</v>
      </c>
      <c r="Z133" s="32">
        <f t="shared" si="264"/>
        <v>0</v>
      </c>
      <c r="AA133" s="32">
        <f t="shared" si="264"/>
        <v>0</v>
      </c>
      <c r="AB133" s="32">
        <f t="shared" si="264"/>
        <v>0</v>
      </c>
      <c r="AC133" s="32">
        <f t="shared" si="264"/>
        <v>0</v>
      </c>
      <c r="AD133" s="32">
        <f t="shared" si="264"/>
        <v>0</v>
      </c>
      <c r="AE133" s="32">
        <f t="shared" si="264"/>
        <v>0</v>
      </c>
      <c r="AF133" s="32">
        <f t="shared" si="264"/>
        <v>0</v>
      </c>
      <c r="AG133" s="139">
        <f t="shared" si="264"/>
        <v>0</v>
      </c>
      <c r="AH133" s="11"/>
      <c r="AI133" s="46"/>
    </row>
    <row r="134" spans="2:35">
      <c r="B134" s="134" t="s">
        <v>60</v>
      </c>
      <c r="C134" s="32">
        <f>+C126+C115+C108</f>
        <v>-308581</v>
      </c>
      <c r="D134" s="32">
        <f>+D126+D115+D108</f>
        <v>241153</v>
      </c>
      <c r="E134" s="32">
        <f>+E126+E115+E108</f>
        <v>1364377</v>
      </c>
      <c r="F134" s="32"/>
      <c r="G134" s="32">
        <f>+G126+G115+G108</f>
        <v>0</v>
      </c>
      <c r="H134" s="32">
        <f>+H126+H115+H108</f>
        <v>0</v>
      </c>
      <c r="I134" s="32">
        <f>+I126+I115+I108</f>
        <v>0</v>
      </c>
      <c r="J134" s="32">
        <f>+J126+J115+J108</f>
        <v>5444532</v>
      </c>
      <c r="K134" s="32">
        <f>+K126+K115+K108</f>
        <v>0</v>
      </c>
      <c r="L134" s="32">
        <f>+L126+L115+L108</f>
        <v>0</v>
      </c>
      <c r="M134" s="32">
        <f>+M126+M115+M108</f>
        <v>0</v>
      </c>
      <c r="N134" s="32">
        <f>+N126+N115+N108</f>
        <v>7106055</v>
      </c>
      <c r="O134" s="32">
        <f>+O126+O115+O108</f>
        <v>0</v>
      </c>
      <c r="P134" s="32">
        <f>+P126+P115+P108</f>
        <v>0</v>
      </c>
      <c r="Q134" s="32">
        <f>+Q126+Q115+Q108</f>
        <v>0</v>
      </c>
      <c r="R134" s="32"/>
      <c r="S134" s="32" t="e">
        <f>SUM(#REF!)</f>
        <v>#REF!</v>
      </c>
      <c r="T134" s="32" t="e">
        <f>SUM(#REF!)</f>
        <v>#REF!</v>
      </c>
      <c r="U134" s="32" t="e">
        <f>SUM(#REF!)</f>
        <v>#REF!</v>
      </c>
      <c r="V134" s="32" t="e">
        <f>SUM(#REF!)</f>
        <v>#REF!</v>
      </c>
      <c r="W134" s="32">
        <f>SUM(G134:G134)</f>
        <v>0</v>
      </c>
      <c r="X134" s="32">
        <f>SUM(G134:H134)</f>
        <v>0</v>
      </c>
      <c r="Y134" s="32">
        <f>SUM(G134:I134)</f>
        <v>0</v>
      </c>
      <c r="Z134" s="32">
        <f t="shared" ref="Z134:AG134" si="265">SUM(G134:J134)</f>
        <v>5444532</v>
      </c>
      <c r="AA134" s="32">
        <f t="shared" si="265"/>
        <v>5444532</v>
      </c>
      <c r="AB134" s="32">
        <f t="shared" si="265"/>
        <v>5444532</v>
      </c>
      <c r="AC134" s="32">
        <f t="shared" si="265"/>
        <v>5444532</v>
      </c>
      <c r="AD134" s="32">
        <f t="shared" si="265"/>
        <v>7106055</v>
      </c>
      <c r="AE134" s="32">
        <f t="shared" si="265"/>
        <v>7106055</v>
      </c>
      <c r="AF134" s="32">
        <f t="shared" si="265"/>
        <v>7106055</v>
      </c>
      <c r="AG134" s="139">
        <f t="shared" si="265"/>
        <v>7106055</v>
      </c>
      <c r="AH134" s="11"/>
      <c r="AI134" s="46"/>
    </row>
    <row r="135" spans="2:35">
      <c r="B135" s="91" t="s">
        <v>71</v>
      </c>
      <c r="C135" s="87">
        <f t="shared" ref="C135:E135" si="266">SUM(C130:C134)</f>
        <v>270805</v>
      </c>
      <c r="D135" s="87">
        <f t="shared" si="266"/>
        <v>488049</v>
      </c>
      <c r="E135" s="87">
        <f t="shared" si="266"/>
        <v>1869417</v>
      </c>
      <c r="F135" s="32"/>
      <c r="G135" s="87">
        <f t="shared" ref="G135:Q135" si="267">SUM(G130:G134)</f>
        <v>270805</v>
      </c>
      <c r="H135" s="87">
        <f t="shared" si="267"/>
        <v>270805</v>
      </c>
      <c r="I135" s="87">
        <f t="shared" si="267"/>
        <v>270805</v>
      </c>
      <c r="J135" s="87">
        <f t="shared" si="267"/>
        <v>5706850</v>
      </c>
      <c r="K135" s="87">
        <f t="shared" si="267"/>
        <v>5706850</v>
      </c>
      <c r="L135" s="87">
        <f t="shared" si="267"/>
        <v>5706850</v>
      </c>
      <c r="M135" s="87">
        <f t="shared" si="267"/>
        <v>5706850</v>
      </c>
      <c r="N135" s="87">
        <f t="shared" si="267"/>
        <v>12814474</v>
      </c>
      <c r="O135" s="87">
        <f t="shared" si="267"/>
        <v>12814474</v>
      </c>
      <c r="P135" s="87">
        <f t="shared" si="267"/>
        <v>12814474</v>
      </c>
      <c r="Q135" s="87">
        <f t="shared" si="267"/>
        <v>12814474</v>
      </c>
      <c r="R135" s="32"/>
      <c r="S135" s="138" t="e">
        <f t="shared" ref="S135:U135" si="268">SUM(S130:S134)</f>
        <v>#REF!</v>
      </c>
      <c r="T135" s="138" t="e">
        <f t="shared" si="268"/>
        <v>#REF!</v>
      </c>
      <c r="U135" s="138" t="e">
        <f t="shared" si="268"/>
        <v>#REF!</v>
      </c>
      <c r="V135" s="138" t="e">
        <f t="shared" ref="V135:AG135" si="269">SUM(V130:V134)</f>
        <v>#REF!</v>
      </c>
      <c r="W135" s="138" t="e">
        <f t="shared" si="269"/>
        <v>#REF!</v>
      </c>
      <c r="X135" s="138" t="e">
        <f t="shared" si="269"/>
        <v>#REF!</v>
      </c>
      <c r="Y135" s="138" t="e">
        <f t="shared" si="269"/>
        <v>#REF!</v>
      </c>
      <c r="Z135" s="138" t="e">
        <f t="shared" si="269"/>
        <v>#REF!</v>
      </c>
      <c r="AA135" s="138">
        <f t="shared" si="269"/>
        <v>5706850</v>
      </c>
      <c r="AB135" s="138">
        <f t="shared" si="269"/>
        <v>5706850</v>
      </c>
      <c r="AC135" s="138">
        <f t="shared" si="269"/>
        <v>5706850</v>
      </c>
      <c r="AD135" s="138">
        <f t="shared" si="269"/>
        <v>12814474</v>
      </c>
      <c r="AE135" s="138">
        <f t="shared" si="269"/>
        <v>12814474</v>
      </c>
      <c r="AF135" s="138">
        <f t="shared" si="269"/>
        <v>12814474</v>
      </c>
      <c r="AG135" s="142">
        <f t="shared" si="269"/>
        <v>12814474</v>
      </c>
      <c r="AH135" s="11"/>
      <c r="AI135" s="46"/>
    </row>
    <row r="136" spans="2:35" ht="5.0999999999999996" customHeight="1">
      <c r="B136" s="92"/>
      <c r="C136" s="66"/>
      <c r="D136" s="66"/>
      <c r="E136" s="66"/>
      <c r="F136" s="32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93"/>
      <c r="AH136" s="11"/>
      <c r="AI136" s="46"/>
    </row>
    <row r="137" spans="2:35">
      <c r="B137" s="145" t="s">
        <v>95</v>
      </c>
      <c r="C137" s="89">
        <f>C135-C46</f>
        <v>0</v>
      </c>
      <c r="D137" s="89">
        <f>D135-D46</f>
        <v>0</v>
      </c>
      <c r="E137" s="89">
        <f>E135-E46</f>
        <v>0</v>
      </c>
      <c r="F137" s="90"/>
      <c r="G137" s="89">
        <f>G135-G46</f>
        <v>270805</v>
      </c>
      <c r="H137" s="89">
        <f>H135-H46</f>
        <v>270805</v>
      </c>
      <c r="I137" s="89">
        <f>I135-I46</f>
        <v>270805</v>
      </c>
      <c r="J137" s="89">
        <f>J135-J46</f>
        <v>5218801</v>
      </c>
      <c r="K137" s="89">
        <f>K135-K46</f>
        <v>5706850</v>
      </c>
      <c r="L137" s="89">
        <f>L135-L46</f>
        <v>5706850</v>
      </c>
      <c r="M137" s="89">
        <f>M135-M46</f>
        <v>5706850</v>
      </c>
      <c r="N137" s="89">
        <f>N135-N46</f>
        <v>10945057</v>
      </c>
      <c r="O137" s="89">
        <f>O135-O46</f>
        <v>12814474</v>
      </c>
      <c r="P137" s="89">
        <f>P135-P46</f>
        <v>12814474</v>
      </c>
      <c r="Q137" s="89">
        <f>Q135-Q46</f>
        <v>12814474</v>
      </c>
      <c r="R137" s="89"/>
      <c r="S137" s="89" t="e">
        <f>S135-S46</f>
        <v>#REF!</v>
      </c>
      <c r="T137" s="89" t="e">
        <f>T135-T46</f>
        <v>#REF!</v>
      </c>
      <c r="U137" s="89" t="e">
        <f>U135-U46</f>
        <v>#REF!</v>
      </c>
      <c r="V137" s="89" t="e">
        <f>V135-V46</f>
        <v>#REF!</v>
      </c>
      <c r="W137" s="89" t="e">
        <f>W135-W46</f>
        <v>#REF!</v>
      </c>
      <c r="X137" s="89" t="e">
        <f>X135-X46</f>
        <v>#REF!</v>
      </c>
      <c r="Y137" s="89" t="e">
        <f>Y135-Y46</f>
        <v>#REF!</v>
      </c>
      <c r="Z137" s="89" t="e">
        <f>Z135-Z46</f>
        <v>#REF!</v>
      </c>
      <c r="AA137" s="89">
        <f>AA135-AA46</f>
        <v>5706850</v>
      </c>
      <c r="AB137" s="89">
        <f>AB135-AB46</f>
        <v>5706850</v>
      </c>
      <c r="AC137" s="89">
        <f>AC135-AC46</f>
        <v>5706850</v>
      </c>
      <c r="AD137" s="89">
        <f>AD135-AD46</f>
        <v>10945057</v>
      </c>
      <c r="AE137" s="89">
        <f>AE135-AE46</f>
        <v>12814474</v>
      </c>
      <c r="AF137" s="89">
        <f>AF135-AF46</f>
        <v>12814474</v>
      </c>
      <c r="AG137" s="143">
        <f>AG135-AG46</f>
        <v>12814474</v>
      </c>
      <c r="AH137" s="11"/>
      <c r="AI137" s="46"/>
    </row>
    <row r="138" spans="2:35" ht="5.0999999999999996" customHeight="1">
      <c r="B138" s="8"/>
      <c r="C138" s="66"/>
      <c r="D138" s="66"/>
      <c r="E138" s="66"/>
      <c r="F138" s="32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46"/>
    </row>
    <row r="139" spans="2:35" ht="12.75" customHeight="1">
      <c r="B139" s="73" t="s">
        <v>61</v>
      </c>
      <c r="C139" s="63"/>
      <c r="D139" s="63"/>
      <c r="E139" s="63"/>
      <c r="F139" s="11"/>
      <c r="G139" s="63"/>
      <c r="H139" s="63"/>
      <c r="I139" s="63"/>
      <c r="J139" s="63"/>
      <c r="K139" s="63"/>
      <c r="L139" s="63"/>
      <c r="M139" s="63"/>
      <c r="N139" s="63"/>
      <c r="O139" s="83"/>
      <c r="P139" s="63"/>
      <c r="Q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7"/>
      <c r="AI139" s="46"/>
    </row>
    <row r="140" spans="2:35" ht="12.75" customHeight="1">
      <c r="B140" s="8" t="s">
        <v>105</v>
      </c>
      <c r="C140" s="83">
        <v>46159</v>
      </c>
      <c r="D140" s="83">
        <v>73844</v>
      </c>
      <c r="E140" s="83">
        <v>75740</v>
      </c>
      <c r="F140" s="11"/>
      <c r="G140" s="83"/>
      <c r="H140" s="83"/>
      <c r="I140" s="83"/>
      <c r="J140" s="32">
        <f t="shared" ref="J140:J141" si="270">SUM(D140-SUM(G140:I140))</f>
        <v>73844</v>
      </c>
      <c r="K140" s="83"/>
      <c r="L140" s="83"/>
      <c r="M140" s="83"/>
      <c r="N140" s="32">
        <f t="shared" ref="N140:N141" si="271">SUM(E140-SUM(K140:M140))</f>
        <v>75740</v>
      </c>
      <c r="O140" s="83"/>
      <c r="P140" s="83"/>
      <c r="Q140" s="83"/>
      <c r="S140" s="32" t="e">
        <f>SUM(#REF!)</f>
        <v>#REF!</v>
      </c>
      <c r="T140" s="32" t="e">
        <f>SUM(#REF!)</f>
        <v>#REF!</v>
      </c>
      <c r="U140" s="32" t="e">
        <f>SUM(#REF!)</f>
        <v>#REF!</v>
      </c>
      <c r="V140" s="32" t="e">
        <f>SUM(#REF!)</f>
        <v>#REF!</v>
      </c>
      <c r="W140" s="32">
        <f>SUM(G140:G140)</f>
        <v>0</v>
      </c>
      <c r="X140" s="32">
        <f>SUM(G140:H140)</f>
        <v>0</v>
      </c>
      <c r="Y140" s="32">
        <f>SUM(G140:I140)</f>
        <v>0</v>
      </c>
      <c r="Z140" s="32">
        <f t="shared" ref="Z140" si="272">SUM(G140:J140)</f>
        <v>73844</v>
      </c>
      <c r="AA140" s="32">
        <f t="shared" ref="AA140" si="273">SUM(H140:K140)</f>
        <v>73844</v>
      </c>
      <c r="AB140" s="32">
        <f t="shared" ref="AB140" si="274">SUM(I140:L140)</f>
        <v>73844</v>
      </c>
      <c r="AC140" s="32">
        <f t="shared" ref="AC140" si="275">SUM(J140:M140)</f>
        <v>73844</v>
      </c>
      <c r="AD140" s="32">
        <f t="shared" ref="AD140" si="276">SUM(K140:N140)</f>
        <v>75740</v>
      </c>
      <c r="AE140" s="32">
        <f t="shared" ref="AE140" si="277">SUM(L140:O140)</f>
        <v>75740</v>
      </c>
      <c r="AF140" s="32">
        <f t="shared" ref="AF140" si="278">SUM(M140:P140)</f>
        <v>75740</v>
      </c>
      <c r="AG140" s="32">
        <f t="shared" ref="AG140" si="279">SUM(N140:Q140)</f>
        <v>75740</v>
      </c>
      <c r="AH140" s="67"/>
      <c r="AI140" s="46"/>
    </row>
    <row r="141" spans="2:35" ht="12.75" customHeight="1">
      <c r="B141" s="8" t="s">
        <v>170</v>
      </c>
      <c r="C141" s="83">
        <v>94605</v>
      </c>
      <c r="D141" s="83">
        <v>98792</v>
      </c>
      <c r="E141" s="83">
        <v>37037</v>
      </c>
      <c r="F141" s="32"/>
      <c r="G141" s="83"/>
      <c r="H141" s="83"/>
      <c r="I141" s="83"/>
      <c r="J141" s="32">
        <f t="shared" si="270"/>
        <v>98792</v>
      </c>
      <c r="K141" s="83"/>
      <c r="L141" s="83"/>
      <c r="M141" s="83"/>
      <c r="N141" s="32">
        <f t="shared" si="271"/>
        <v>37037</v>
      </c>
      <c r="O141" s="83"/>
      <c r="P141" s="83"/>
      <c r="Q141" s="83"/>
      <c r="R141" s="32"/>
      <c r="S141" s="32" t="e">
        <f>SUM(#REF!)</f>
        <v>#REF!</v>
      </c>
      <c r="T141" s="32" t="e">
        <f>SUM(#REF!)</f>
        <v>#REF!</v>
      </c>
      <c r="U141" s="32" t="e">
        <f>SUM(#REF!)</f>
        <v>#REF!</v>
      </c>
      <c r="V141" s="32" t="e">
        <f>SUM(#REF!)</f>
        <v>#REF!</v>
      </c>
      <c r="W141" s="32">
        <f>SUM(G141:G141)</f>
        <v>0</v>
      </c>
      <c r="X141" s="32">
        <f>SUM(G141:H141)</f>
        <v>0</v>
      </c>
      <c r="Y141" s="32">
        <f>SUM(G141:I141)</f>
        <v>0</v>
      </c>
      <c r="Z141" s="32">
        <f t="shared" ref="Z141:AG141" si="280">SUM(G141:J141)</f>
        <v>98792</v>
      </c>
      <c r="AA141" s="32">
        <f t="shared" si="280"/>
        <v>98792</v>
      </c>
      <c r="AB141" s="32">
        <f t="shared" si="280"/>
        <v>98792</v>
      </c>
      <c r="AC141" s="32">
        <f t="shared" si="280"/>
        <v>98792</v>
      </c>
      <c r="AD141" s="32">
        <f t="shared" si="280"/>
        <v>37037</v>
      </c>
      <c r="AE141" s="32">
        <f t="shared" si="280"/>
        <v>37037</v>
      </c>
      <c r="AF141" s="32">
        <f t="shared" si="280"/>
        <v>37037</v>
      </c>
      <c r="AG141" s="32">
        <f t="shared" si="280"/>
        <v>37037</v>
      </c>
      <c r="AH141" s="11"/>
      <c r="AI141" s="46"/>
    </row>
    <row r="142" spans="2:35" ht="5.0999999999999996" customHeight="1" thickBot="1">
      <c r="B142" s="74"/>
      <c r="C142" s="75"/>
      <c r="D142" s="75"/>
      <c r="E142" s="75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I142" s="46"/>
    </row>
    <row r="143" spans="2:35" ht="12.75" customHeight="1">
      <c r="B143" s="152"/>
      <c r="C143" s="152"/>
      <c r="D143" s="152"/>
      <c r="E143" s="152"/>
      <c r="F143" s="152"/>
      <c r="G143" s="152"/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2"/>
      <c r="AA143" s="152"/>
      <c r="AB143" s="152"/>
      <c r="AC143" s="152"/>
      <c r="AD143" s="152"/>
      <c r="AE143" s="152"/>
      <c r="AF143" s="152"/>
      <c r="AG143" s="133"/>
      <c r="AI143" s="46"/>
    </row>
    <row r="144" spans="2:35" ht="12.75" customHeight="1">
      <c r="B144" s="54"/>
      <c r="C144" s="68"/>
      <c r="D144" s="68"/>
      <c r="E144" s="68"/>
    </row>
    <row r="145" spans="3:12" ht="12.75" customHeight="1">
      <c r="C145" s="57"/>
      <c r="D145" s="57"/>
      <c r="E145" s="57"/>
    </row>
    <row r="146" spans="3:12" ht="12.75" customHeight="1">
      <c r="C146" s="57"/>
      <c r="D146" s="57"/>
      <c r="E146" s="57"/>
    </row>
    <row r="147" spans="3:12" ht="12.75" customHeight="1">
      <c r="C147" s="57"/>
      <c r="D147" s="57"/>
      <c r="E147" s="57"/>
    </row>
    <row r="148" spans="3:12" ht="12.75" customHeight="1">
      <c r="C148" s="57"/>
      <c r="D148" s="57"/>
      <c r="E148" s="57"/>
    </row>
    <row r="149" spans="3:12" ht="12.75" customHeight="1">
      <c r="C149" s="57"/>
      <c r="D149" s="57"/>
      <c r="E149" s="57"/>
      <c r="G149" s="88"/>
      <c r="H149" s="88"/>
      <c r="I149" s="88"/>
      <c r="J149" s="88"/>
      <c r="K149" s="88"/>
      <c r="L149" s="88"/>
    </row>
    <row r="150" spans="3:12" ht="12.75" customHeight="1">
      <c r="C150" s="57"/>
      <c r="D150" s="57"/>
      <c r="E150" s="57"/>
    </row>
    <row r="151" spans="3:12" ht="12.75" customHeight="1">
      <c r="C151" s="57"/>
      <c r="D151" s="57"/>
      <c r="E151" s="57"/>
      <c r="G151" s="88"/>
      <c r="H151" s="88"/>
      <c r="I151" s="88"/>
      <c r="J151" s="88"/>
      <c r="K151" s="88"/>
      <c r="L151" s="88"/>
    </row>
    <row r="152" spans="3:12">
      <c r="G152" s="88"/>
      <c r="H152" s="88"/>
      <c r="I152" s="88"/>
      <c r="J152" s="88"/>
      <c r="K152" s="88"/>
      <c r="L152" s="88"/>
    </row>
    <row r="153" spans="3:12">
      <c r="G153" s="88"/>
      <c r="H153" s="88"/>
      <c r="I153" s="88"/>
      <c r="J153" s="88"/>
      <c r="K153" s="88"/>
      <c r="L153" s="88"/>
    </row>
    <row r="155" spans="3:12">
      <c r="G155" s="88"/>
      <c r="H155" s="88"/>
      <c r="I155" s="88"/>
      <c r="J155" s="88"/>
      <c r="K155" s="88"/>
      <c r="L155" s="88"/>
    </row>
    <row r="156" spans="3:12">
      <c r="G156" s="88"/>
      <c r="H156" s="88"/>
      <c r="I156" s="88"/>
      <c r="J156" s="88"/>
      <c r="K156" s="88"/>
      <c r="L156" s="88"/>
    </row>
  </sheetData>
  <mergeCells count="4">
    <mergeCell ref="B143:AF143"/>
    <mergeCell ref="AI6:AI8"/>
    <mergeCell ref="AI41:AI43"/>
    <mergeCell ref="AI86:AI88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F15:AF16 AF33 F50 S20:AD21 S25:AD27" formulaRange="1"/>
    <ignoredError sqref="C15:E16 C20:E21 C25:E27 C33:E34 G15:Q16 G20:Q21 G33:Q34 G25:Q27 AI109:AI110 AI116 AG108:AI108 AG117:AI117 AG116:AH116 AG111:AI113 AG109:AH110 AG115:AI115 AG118:AI118" evalError="1"/>
    <ignoredError sqref="S132:AG13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A19"/>
  <sheetViews>
    <sheetView showGridLines="0" zoomScale="160" zoomScaleNormal="160" workbookViewId="0"/>
  </sheetViews>
  <sheetFormatPr defaultRowHeight="12" outlineLevelRow="1" outlineLevelCol="1"/>
  <cols>
    <col min="1" max="1" width="1.5" style="8" customWidth="1"/>
    <col min="2" max="2" width="23" style="8" bestFit="1" customWidth="1"/>
    <col min="3" max="5" width="8.625" style="8" bestFit="1" customWidth="1"/>
    <col min="6" max="6" width="1.5" style="8" customWidth="1"/>
    <col min="7" max="9" width="8" style="8" customWidth="1" outlineLevel="1"/>
    <col min="10" max="10" width="8.75" style="8" customWidth="1" outlineLevel="1"/>
    <col min="11" max="11" width="8.5" style="8" customWidth="1"/>
    <col min="12" max="12" width="8.25" style="8" bestFit="1" customWidth="1"/>
    <col min="13" max="13" width="8.5" style="8" bestFit="1" customWidth="1"/>
    <col min="14" max="17" width="9.125" style="8" bestFit="1" customWidth="1"/>
    <col min="18" max="18" width="1.5" style="8" customWidth="1"/>
    <col min="19" max="20" width="8.75" style="8" customWidth="1" outlineLevel="1"/>
    <col min="21" max="21" width="8.75" style="8" bestFit="1" customWidth="1"/>
    <col min="22" max="24" width="8.75" style="8" customWidth="1" outlineLevel="1"/>
    <col min="25" max="25" width="8.75" style="8" bestFit="1" customWidth="1"/>
    <col min="26" max="26" width="1.5" style="8" customWidth="1"/>
    <col min="27" max="27" width="9.875" style="8" bestFit="1" customWidth="1"/>
    <col min="28" max="16384" width="9" style="8"/>
  </cols>
  <sheetData>
    <row r="2" spans="1:27" s="5" customFormat="1" ht="12.75" customHeight="1">
      <c r="B2" s="1" t="str">
        <f>'Historical Financials'!B2</f>
        <v>Advance Autoparts (NASDAQ: AAP)</v>
      </c>
      <c r="C2" s="2" t="s">
        <v>0</v>
      </c>
      <c r="D2" s="2"/>
      <c r="E2" s="2"/>
      <c r="F2" s="3"/>
      <c r="G2" s="2"/>
      <c r="H2" s="2"/>
      <c r="I2" s="2"/>
      <c r="J2" s="2"/>
      <c r="K2" s="2" t="s">
        <v>1</v>
      </c>
      <c r="L2" s="2" t="s">
        <v>1</v>
      </c>
      <c r="M2" s="2"/>
      <c r="N2" s="2"/>
      <c r="O2" s="2"/>
      <c r="P2" s="2"/>
      <c r="Q2" s="2"/>
      <c r="R2" s="3"/>
      <c r="S2" s="2" t="s">
        <v>10</v>
      </c>
      <c r="T2" s="2"/>
      <c r="U2" s="2" t="s">
        <v>10</v>
      </c>
      <c r="V2" s="2"/>
      <c r="W2" s="2"/>
      <c r="X2" s="2"/>
      <c r="Y2" s="2"/>
      <c r="Z2" s="3"/>
      <c r="AA2" s="153" t="s">
        <v>26</v>
      </c>
    </row>
    <row r="3" spans="1:27" s="5" customFormat="1" ht="12.75" customHeight="1">
      <c r="B3" s="6" t="s">
        <v>66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4"/>
      <c r="S3" s="4" t="str">
        <f t="shared" ref="S3:Y4" si="0">K3</f>
        <v>1Q24</v>
      </c>
      <c r="T3" s="4" t="str">
        <f t="shared" si="0"/>
        <v>2Q24</v>
      </c>
      <c r="U3" s="4" t="str">
        <f t="shared" si="0"/>
        <v>3Q24</v>
      </c>
      <c r="V3" s="4" t="str">
        <f t="shared" si="0"/>
        <v>4Q24</v>
      </c>
      <c r="W3" s="4" t="str">
        <f t="shared" si="0"/>
        <v>1Q25</v>
      </c>
      <c r="X3" s="4" t="str">
        <f t="shared" si="0"/>
        <v>2Q25</v>
      </c>
      <c r="Y3" s="4" t="str">
        <f t="shared" si="0"/>
        <v>3Q25</v>
      </c>
      <c r="Z3" s="3"/>
      <c r="AA3" s="153"/>
    </row>
    <row r="4" spans="1:27" s="5" customFormat="1" ht="12.75" customHeight="1">
      <c r="B4" s="6" t="s">
        <v>107</v>
      </c>
      <c r="C4" s="3">
        <f>'Historical Financials'!C8</f>
        <v>44926</v>
      </c>
      <c r="D4" s="3">
        <f>'Historical Financials'!D8</f>
        <v>45290</v>
      </c>
      <c r="E4" s="3">
        <f>'Historical Financials'!E8</f>
        <v>45654</v>
      </c>
      <c r="F4" s="3"/>
      <c r="G4" s="3">
        <f>'Historical Financials'!G8</f>
        <v>0</v>
      </c>
      <c r="H4" s="3">
        <f>'Historical Financials'!H8</f>
        <v>0</v>
      </c>
      <c r="I4" s="3">
        <f>'Historical Financials'!I8</f>
        <v>0</v>
      </c>
      <c r="J4" s="3">
        <f>'Historical Financials'!J8</f>
        <v>45290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45654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/>
      <c r="S4" s="3">
        <f t="shared" si="0"/>
        <v>0</v>
      </c>
      <c r="T4" s="3">
        <f t="shared" si="0"/>
        <v>0</v>
      </c>
      <c r="U4" s="3">
        <f t="shared" si="0"/>
        <v>0</v>
      </c>
      <c r="V4" s="3">
        <f t="shared" si="0"/>
        <v>45654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/>
      <c r="AA4" s="153"/>
    </row>
    <row r="5" spans="1:27" ht="5.0999999999999996" customHeight="1"/>
    <row r="6" spans="1:27">
      <c r="A6" s="36" t="s">
        <v>19</v>
      </c>
      <c r="B6" s="1" t="s">
        <v>91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5.0999999999999996" customHeight="1"/>
    <row r="8" spans="1:27" ht="12.75" customHeight="1">
      <c r="A8" s="81"/>
      <c r="B8" s="79" t="s">
        <v>90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5"/>
      <c r="S8" s="11"/>
      <c r="T8" s="11"/>
      <c r="U8" s="11"/>
      <c r="V8" s="11"/>
      <c r="W8" s="11"/>
      <c r="X8" s="11"/>
      <c r="AA8" s="12"/>
    </row>
    <row r="9" spans="1:27" ht="12.75" customHeight="1">
      <c r="B9" s="9" t="s">
        <v>171</v>
      </c>
      <c r="C9" s="127">
        <f>C16*'Historical Financials'!$C$11</f>
        <v>5763790.6200000001</v>
      </c>
      <c r="D9" s="127">
        <f>D16*'Historical Financials'!$D$11</f>
        <v>5801717.25</v>
      </c>
      <c r="E9" s="127">
        <f>E16*'Historical Financials'!$E$11</f>
        <v>5729426.0099999998</v>
      </c>
      <c r="F9" s="82"/>
      <c r="G9" s="82"/>
      <c r="H9" s="82"/>
      <c r="I9" s="82"/>
      <c r="J9" s="127">
        <f>SUM(D9-SUM(G9:I9))</f>
        <v>5801717.25</v>
      </c>
      <c r="K9" s="82"/>
      <c r="L9" s="82"/>
      <c r="M9" s="82"/>
      <c r="N9" s="127">
        <f>SUM(E9-SUM(K9:M9))</f>
        <v>5729426.0099999998</v>
      </c>
      <c r="O9" s="82"/>
      <c r="P9" s="82"/>
      <c r="Q9" s="82"/>
      <c r="R9" s="11"/>
      <c r="S9" s="127">
        <f t="shared" ref="S9:Y12" si="1">SUM(H9:K9)</f>
        <v>5801717.25</v>
      </c>
      <c r="T9" s="127">
        <f t="shared" si="1"/>
        <v>5801717.25</v>
      </c>
      <c r="U9" s="127">
        <f t="shared" si="1"/>
        <v>5801717.25</v>
      </c>
      <c r="V9" s="127">
        <f t="shared" si="1"/>
        <v>5729426.0099999998</v>
      </c>
      <c r="W9" s="127">
        <f t="shared" si="1"/>
        <v>5729426.0099999998</v>
      </c>
      <c r="X9" s="127">
        <f t="shared" si="1"/>
        <v>5729426.0099999998</v>
      </c>
      <c r="Y9" s="127">
        <f t="shared" si="1"/>
        <v>5729426.0099999998</v>
      </c>
      <c r="AA9" s="12">
        <f t="shared" ref="AA9:AA13" si="2">SUM(Y9/U9)-1</f>
        <v>-1.2460317675770938E-2</v>
      </c>
    </row>
    <row r="10" spans="1:27" ht="12.75" customHeight="1">
      <c r="B10" s="9" t="s">
        <v>172</v>
      </c>
      <c r="C10" s="127">
        <f>C17*'Historical Financials'!$C$11</f>
        <v>2104241.02</v>
      </c>
      <c r="D10" s="127">
        <f>D17*'Historical Financials'!$D$11</f>
        <v>2025996.5</v>
      </c>
      <c r="E10" s="127">
        <f>E17*'Historical Financials'!$E$11</f>
        <v>2000751.94</v>
      </c>
      <c r="F10" s="82"/>
      <c r="G10" s="82"/>
      <c r="H10" s="82"/>
      <c r="I10" s="82"/>
      <c r="J10" s="127">
        <f>SUM(D10-SUM(G10:I10))</f>
        <v>2025996.5</v>
      </c>
      <c r="K10" s="82"/>
      <c r="L10" s="82"/>
      <c r="M10" s="82"/>
      <c r="N10" s="127">
        <f>SUM(E10-SUM(K10:M10))</f>
        <v>2000751.94</v>
      </c>
      <c r="O10" s="82"/>
      <c r="P10" s="82"/>
      <c r="Q10" s="82"/>
      <c r="R10" s="11"/>
      <c r="S10" s="127">
        <f t="shared" si="1"/>
        <v>2025996.5</v>
      </c>
      <c r="T10" s="127">
        <f t="shared" si="1"/>
        <v>2025996.5</v>
      </c>
      <c r="U10" s="127">
        <f t="shared" si="1"/>
        <v>2025996.5</v>
      </c>
      <c r="V10" s="127">
        <f t="shared" si="1"/>
        <v>2000751.94</v>
      </c>
      <c r="W10" s="127">
        <f t="shared" si="1"/>
        <v>2000751.94</v>
      </c>
      <c r="X10" s="127">
        <f t="shared" si="1"/>
        <v>2000751.94</v>
      </c>
      <c r="Y10" s="127">
        <f t="shared" si="1"/>
        <v>2000751.94</v>
      </c>
      <c r="AA10" s="12">
        <f t="shared" si="2"/>
        <v>-1.2460317675770938E-2</v>
      </c>
    </row>
    <row r="11" spans="1:27" ht="12.75" customHeight="1">
      <c r="B11" s="9" t="s">
        <v>173</v>
      </c>
      <c r="C11" s="127">
        <f>C18*'Historical Financials'!$C$11</f>
        <v>1189353.6200000001</v>
      </c>
      <c r="D11" s="127">
        <f>D18*'Historical Financials'!$D$11</f>
        <v>1289270.5000000002</v>
      </c>
      <c r="E11" s="127">
        <f>E18*'Historical Financials'!$E$11</f>
        <v>1273205.78</v>
      </c>
      <c r="F11" s="82"/>
      <c r="G11" s="82"/>
      <c r="H11" s="82"/>
      <c r="I11" s="82"/>
      <c r="J11" s="127">
        <f>SUM(D11-SUM(G11:I11))</f>
        <v>1289270.5000000002</v>
      </c>
      <c r="K11" s="82"/>
      <c r="L11" s="82"/>
      <c r="M11" s="82"/>
      <c r="N11" s="127">
        <f>SUM(E11-SUM(K11:M11))</f>
        <v>1273205.78</v>
      </c>
      <c r="O11" s="82"/>
      <c r="P11" s="82"/>
      <c r="Q11" s="82"/>
      <c r="R11" s="11"/>
      <c r="S11" s="127">
        <f t="shared" si="1"/>
        <v>1289270.5000000002</v>
      </c>
      <c r="T11" s="127">
        <f t="shared" si="1"/>
        <v>1289270.5000000002</v>
      </c>
      <c r="U11" s="127">
        <f t="shared" si="1"/>
        <v>1289270.5000000002</v>
      </c>
      <c r="V11" s="127">
        <f t="shared" si="1"/>
        <v>1273205.78</v>
      </c>
      <c r="W11" s="127">
        <f t="shared" si="1"/>
        <v>1273205.78</v>
      </c>
      <c r="X11" s="127">
        <f t="shared" si="1"/>
        <v>1273205.78</v>
      </c>
      <c r="Y11" s="127">
        <f t="shared" si="1"/>
        <v>1273205.78</v>
      </c>
      <c r="AA11" s="12">
        <f t="shared" si="2"/>
        <v>-1.2460317675771049E-2</v>
      </c>
    </row>
    <row r="12" spans="1:27" ht="12.75" customHeight="1">
      <c r="B12" s="9" t="s">
        <v>174</v>
      </c>
      <c r="C12" s="127">
        <f>C19*'Historical Financials'!$C$11</f>
        <v>91488.74</v>
      </c>
      <c r="D12" s="127">
        <f>D19*'Historical Financials'!$D$11</f>
        <v>92090.75</v>
      </c>
      <c r="E12" s="127">
        <f>E19*'Historical Financials'!$E$11</f>
        <v>90943.27</v>
      </c>
      <c r="F12" s="82"/>
      <c r="G12" s="82"/>
      <c r="H12" s="82"/>
      <c r="I12" s="82"/>
      <c r="J12" s="127">
        <f>SUM(D12-SUM(G12:I12))</f>
        <v>92090.75</v>
      </c>
      <c r="K12" s="82"/>
      <c r="L12" s="82"/>
      <c r="M12" s="82"/>
      <c r="N12" s="127">
        <f>SUM(E12-SUM(K12:M12))</f>
        <v>90943.27</v>
      </c>
      <c r="O12" s="82"/>
      <c r="P12" s="82"/>
      <c r="Q12" s="82"/>
      <c r="R12" s="11"/>
      <c r="S12" s="127">
        <f t="shared" si="1"/>
        <v>92090.75</v>
      </c>
      <c r="T12" s="127">
        <f t="shared" si="1"/>
        <v>92090.75</v>
      </c>
      <c r="U12" s="127">
        <f t="shared" si="1"/>
        <v>92090.75</v>
      </c>
      <c r="V12" s="127">
        <f t="shared" si="1"/>
        <v>90943.27</v>
      </c>
      <c r="W12" s="127">
        <f t="shared" si="1"/>
        <v>90943.27</v>
      </c>
      <c r="X12" s="127">
        <f t="shared" si="1"/>
        <v>90943.27</v>
      </c>
      <c r="Y12" s="127">
        <f t="shared" si="1"/>
        <v>90943.27</v>
      </c>
      <c r="AA12" s="12">
        <f t="shared" si="2"/>
        <v>-1.2460317675770827E-2</v>
      </c>
    </row>
    <row r="13" spans="1:27" ht="12.75" customHeight="1">
      <c r="B13" s="13" t="s">
        <v>67</v>
      </c>
      <c r="C13" s="14">
        <f t="shared" ref="C13:E13" si="3">SUM(C9:C12)</f>
        <v>9148874.0000000019</v>
      </c>
      <c r="D13" s="14">
        <f t="shared" si="3"/>
        <v>9209075</v>
      </c>
      <c r="E13" s="14">
        <f t="shared" si="3"/>
        <v>9094326.9999999981</v>
      </c>
      <c r="F13" s="11"/>
      <c r="G13" s="14">
        <f>SUM(G9:G12)</f>
        <v>0</v>
      </c>
      <c r="H13" s="14">
        <f>SUM(H9:H12)</f>
        <v>0</v>
      </c>
      <c r="I13" s="14">
        <f>SUM(I9:I12)</f>
        <v>0</v>
      </c>
      <c r="J13" s="14">
        <f>SUM(J9:J12)</f>
        <v>9209075</v>
      </c>
      <c r="K13" s="14">
        <f>SUM(K9:K12)</f>
        <v>0</v>
      </c>
      <c r="L13" s="14">
        <f>SUM(L9:L12)</f>
        <v>0</v>
      </c>
      <c r="M13" s="14">
        <f>SUM(M9:M12)</f>
        <v>0</v>
      </c>
      <c r="N13" s="14">
        <f>SUM(N9:N12)</f>
        <v>9094326.9999999981</v>
      </c>
      <c r="O13" s="14">
        <f>SUM(O9:O12)</f>
        <v>0</v>
      </c>
      <c r="P13" s="14">
        <f>SUM(P9:P12)</f>
        <v>0</v>
      </c>
      <c r="Q13" s="14">
        <f>SUM(Q9:Q12)</f>
        <v>0</v>
      </c>
      <c r="R13" s="5"/>
      <c r="S13" s="14">
        <f>SUM(S9:S12)</f>
        <v>9209075</v>
      </c>
      <c r="T13" s="14">
        <f>SUM(T9:T12)</f>
        <v>9209075</v>
      </c>
      <c r="U13" s="14">
        <f>SUM(U9:U12)</f>
        <v>9209075</v>
      </c>
      <c r="V13" s="14">
        <f>SUM(V9:V12)</f>
        <v>9094326.9999999981</v>
      </c>
      <c r="W13" s="14">
        <f>SUM(W9:W12)</f>
        <v>9094326.9999999981</v>
      </c>
      <c r="X13" s="14">
        <f>SUM(X9:X12)</f>
        <v>9094326.9999999981</v>
      </c>
      <c r="Y13" s="14">
        <f>SUM(Y9:Y12)</f>
        <v>9094326.9999999981</v>
      </c>
      <c r="AA13" s="15">
        <f t="shared" si="2"/>
        <v>-1.246031767577116E-2</v>
      </c>
    </row>
    <row r="14" spans="1:27" hidden="1" outlineLevel="1">
      <c r="B14" s="135" t="s">
        <v>92</v>
      </c>
      <c r="C14" s="80">
        <f>+C13-'Historical Financials'!C11</f>
        <v>0</v>
      </c>
      <c r="D14" s="80">
        <f>+D13-'Historical Financials'!D11</f>
        <v>0</v>
      </c>
      <c r="E14" s="80">
        <f>+E13-'Historical Financials'!E11</f>
        <v>0</v>
      </c>
      <c r="F14" s="11"/>
      <c r="G14" s="80">
        <f>G13-'Historical Financials'!G11</f>
        <v>0</v>
      </c>
      <c r="H14" s="80">
        <f>H13-'Historical Financials'!H11</f>
        <v>0</v>
      </c>
      <c r="I14" s="80">
        <f>I13-'Historical Financials'!I11</f>
        <v>0</v>
      </c>
      <c r="J14" s="80">
        <f>J13-'Historical Financials'!J11</f>
        <v>0</v>
      </c>
      <c r="K14" s="80">
        <f>K13-'Historical Financials'!K11</f>
        <v>0</v>
      </c>
      <c r="L14" s="80">
        <f>L13-'Historical Financials'!L11</f>
        <v>0</v>
      </c>
      <c r="M14" s="80">
        <f>M13-'Historical Financials'!M11</f>
        <v>0</v>
      </c>
      <c r="N14" s="80">
        <f>N13-'Historical Financials'!N11</f>
        <v>0</v>
      </c>
      <c r="O14" s="80">
        <f>O13-'Historical Financials'!O11</f>
        <v>0</v>
      </c>
      <c r="P14" s="80">
        <f>P13-'Historical Financials'!P11</f>
        <v>0</v>
      </c>
      <c r="Q14" s="80">
        <f>Q13-'Historical Financials'!Q11</f>
        <v>0</v>
      </c>
      <c r="R14" s="80"/>
      <c r="S14" s="80">
        <f>+S13-'Historical Financials'!AA11</f>
        <v>0</v>
      </c>
      <c r="T14" s="80">
        <f>+T13-'Historical Financials'!AB11</f>
        <v>0</v>
      </c>
      <c r="U14" s="80">
        <f>+U13-'Historical Financials'!AC11</f>
        <v>0</v>
      </c>
      <c r="V14" s="80">
        <f>+V13-'Historical Financials'!AD11</f>
        <v>0</v>
      </c>
      <c r="W14" s="80">
        <f>+W13-'Historical Financials'!AE11</f>
        <v>0</v>
      </c>
      <c r="X14" s="80">
        <f>+X13-'Historical Financials'!AF11</f>
        <v>0</v>
      </c>
      <c r="Y14" s="80">
        <f>Y13-'Historical Financials'!AG11</f>
        <v>0</v>
      </c>
    </row>
    <row r="15" spans="1:27" ht="5.0999999999999996" customHeight="1" collapsed="1">
      <c r="B15" s="18"/>
      <c r="C15" s="19"/>
      <c r="D15" s="19"/>
      <c r="E15" s="19"/>
      <c r="F15" s="20"/>
      <c r="G15" s="21"/>
      <c r="H15" s="21"/>
      <c r="I15" s="21"/>
      <c r="J15" s="22"/>
      <c r="K15" s="21"/>
      <c r="L15" s="21"/>
      <c r="M15" s="21"/>
      <c r="N15" s="21"/>
      <c r="O15" s="21"/>
      <c r="P15" s="21"/>
      <c r="Q15" s="21"/>
      <c r="R15" s="20"/>
      <c r="S15" s="20"/>
      <c r="T15" s="20"/>
      <c r="U15" s="20"/>
      <c r="V15" s="20"/>
      <c r="W15" s="20"/>
      <c r="X15" s="20"/>
      <c r="Y15" s="20"/>
    </row>
    <row r="16" spans="1:27">
      <c r="B16" s="171" t="str">
        <f>B9&amp;"(%)"</f>
        <v>Parts and Batteries (%)</v>
      </c>
      <c r="C16" s="177">
        <v>0.63</v>
      </c>
      <c r="D16" s="177">
        <v>0.63</v>
      </c>
      <c r="E16" s="177">
        <v>0.63</v>
      </c>
      <c r="F16" s="170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70"/>
      <c r="S16" s="170"/>
      <c r="T16" s="170"/>
      <c r="U16" s="170"/>
      <c r="V16" s="170"/>
      <c r="W16" s="170"/>
      <c r="X16" s="170"/>
      <c r="Y16" s="174"/>
    </row>
    <row r="17" spans="2:25">
      <c r="B17" s="172" t="str">
        <f t="shared" ref="B17:B19" si="4">B10&amp;"(%)"</f>
        <v>Accessories and Chemicals (%)</v>
      </c>
      <c r="C17" s="178">
        <v>0.23</v>
      </c>
      <c r="D17" s="178">
        <v>0.22</v>
      </c>
      <c r="E17" s="178">
        <v>0.22</v>
      </c>
      <c r="F17" s="157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157"/>
      <c r="S17" s="157"/>
      <c r="T17" s="157"/>
      <c r="U17" s="157"/>
      <c r="V17" s="157"/>
      <c r="W17" s="157"/>
      <c r="X17" s="157"/>
      <c r="Y17" s="175"/>
    </row>
    <row r="18" spans="2:25">
      <c r="B18" s="172" t="str">
        <f t="shared" si="4"/>
        <v>Engine Maintenance (%)</v>
      </c>
      <c r="C18" s="178">
        <v>0.13</v>
      </c>
      <c r="D18" s="178">
        <v>0.14000000000000001</v>
      </c>
      <c r="E18" s="178">
        <v>0.14000000000000001</v>
      </c>
      <c r="F18" s="157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157"/>
      <c r="S18" s="157"/>
      <c r="T18" s="157"/>
      <c r="U18" s="157"/>
      <c r="V18" s="157"/>
      <c r="W18" s="157"/>
      <c r="X18" s="157"/>
      <c r="Y18" s="175"/>
    </row>
    <row r="19" spans="2:25">
      <c r="B19" s="173" t="str">
        <f t="shared" si="4"/>
        <v>Other (%)</v>
      </c>
      <c r="C19" s="179">
        <v>0.01</v>
      </c>
      <c r="D19" s="179">
        <v>0.01</v>
      </c>
      <c r="E19" s="179">
        <v>0.01</v>
      </c>
      <c r="F19" s="168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8"/>
      <c r="S19" s="168"/>
      <c r="T19" s="168"/>
      <c r="U19" s="168"/>
      <c r="V19" s="168"/>
      <c r="W19" s="168"/>
      <c r="X19" s="168"/>
      <c r="Y19" s="176"/>
    </row>
  </sheetData>
  <mergeCells count="1">
    <mergeCell ref="AA2:AA4"/>
  </mergeCells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A9:AA12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G83"/>
  <sheetViews>
    <sheetView showGridLines="0" topLeftCell="D1" zoomScale="160" zoomScaleNormal="160" workbookViewId="0">
      <selection activeCell="L8" sqref="L7:L8"/>
    </sheetView>
  </sheetViews>
  <sheetFormatPr defaultRowHeight="12" outlineLevelCol="1"/>
  <cols>
    <col min="1" max="1" width="1.5" style="8" customWidth="1"/>
    <col min="2" max="2" width="41.625" style="8" customWidth="1"/>
    <col min="3" max="3" width="9" style="8" bestFit="1" customWidth="1"/>
    <col min="4" max="4" width="9.25" style="8" bestFit="1" customWidth="1"/>
    <col min="5" max="5" width="9" style="8"/>
    <col min="6" max="6" width="1.5" style="8" customWidth="1"/>
    <col min="7" max="8" width="8" style="8" customWidth="1" outlineLevel="1"/>
    <col min="9" max="12" width="8.875" style="8" customWidth="1" outlineLevel="1"/>
    <col min="13" max="17" width="8.875" style="8" bestFit="1" customWidth="1"/>
    <col min="18" max="18" width="1.625" style="8" customWidth="1"/>
    <col min="19" max="19" width="9" style="8" hidden="1" customWidth="1" outlineLevel="1"/>
    <col min="20" max="20" width="8.625" style="8" hidden="1" customWidth="1" outlineLevel="1"/>
    <col min="21" max="21" width="8.5" style="8" hidden="1" customWidth="1" outlineLevel="1"/>
    <col min="22" max="23" width="8.25" style="8" hidden="1" customWidth="1" outlineLevel="1"/>
    <col min="24" max="24" width="9.25" style="8" hidden="1" customWidth="1" outlineLevel="1"/>
    <col min="25" max="25" width="9.75" style="8" hidden="1" customWidth="1" outlineLevel="1"/>
    <col min="26" max="26" width="9" style="8" hidden="1" customWidth="1" outlineLevel="1"/>
    <col min="27" max="27" width="9" style="8" customWidth="1" collapsed="1"/>
    <col min="28" max="29" width="9" style="8" hidden="1" customWidth="1" outlineLevel="1"/>
    <col min="30" max="30" width="8.5" style="8" hidden="1" customWidth="1" outlineLevel="1"/>
    <col min="31" max="31" width="8.5" style="8" bestFit="1" customWidth="1" collapsed="1"/>
    <col min="32" max="32" width="1.5" style="8" customWidth="1"/>
    <col min="33" max="33" width="9.375" style="132" bestFit="1" customWidth="1"/>
    <col min="34" max="16384" width="9" style="8"/>
  </cols>
  <sheetData>
    <row r="2" spans="2:33" s="5" customFormat="1" ht="12.75" customHeight="1">
      <c r="B2" s="1" t="str">
        <f>'Historical Financials'!B2</f>
        <v>Advance Autoparts (NASDAQ: AAP)</v>
      </c>
      <c r="C2" s="2" t="s">
        <v>0</v>
      </c>
      <c r="D2" s="2"/>
      <c r="E2" s="2"/>
      <c r="F2" s="3"/>
      <c r="G2" s="2" t="s">
        <v>1</v>
      </c>
      <c r="H2" s="2"/>
      <c r="I2" s="2"/>
      <c r="J2" s="2"/>
      <c r="K2" s="2"/>
      <c r="L2" s="2"/>
      <c r="M2" s="2" t="s">
        <v>1</v>
      </c>
      <c r="N2" s="2"/>
      <c r="O2" s="2"/>
      <c r="P2" s="2"/>
      <c r="Q2" s="2"/>
      <c r="R2" s="3"/>
      <c r="S2" s="2" t="s">
        <v>10</v>
      </c>
      <c r="T2" s="2"/>
      <c r="U2" s="2"/>
      <c r="V2" s="2"/>
      <c r="W2" s="2"/>
      <c r="X2" s="2"/>
      <c r="Y2" s="2"/>
      <c r="Z2" s="2" t="s">
        <v>10</v>
      </c>
      <c r="AA2" s="2" t="s">
        <v>10</v>
      </c>
      <c r="AB2" s="2"/>
      <c r="AC2" s="2"/>
      <c r="AD2" s="2"/>
      <c r="AE2" s="2"/>
      <c r="AF2" s="3"/>
      <c r="AG2" s="156" t="s">
        <v>26</v>
      </c>
    </row>
    <row r="3" spans="2:33" s="5" customFormat="1" ht="12.75" customHeight="1">
      <c r="B3" s="6" t="s">
        <v>27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3"/>
      <c r="S3" s="4" t="e">
        <f>#REF!</f>
        <v>#REF!</v>
      </c>
      <c r="T3" s="4" t="e">
        <f>#REF!</f>
        <v>#REF!</v>
      </c>
      <c r="U3" s="4" t="str">
        <f t="shared" ref="U3:AE4" si="0">G3</f>
        <v>1Q23</v>
      </c>
      <c r="V3" s="4" t="str">
        <f t="shared" si="0"/>
        <v>2Q23</v>
      </c>
      <c r="W3" s="4" t="str">
        <f t="shared" si="0"/>
        <v>3Q23</v>
      </c>
      <c r="X3" s="4" t="str">
        <f t="shared" si="0"/>
        <v>4Q23</v>
      </c>
      <c r="Y3" s="4" t="str">
        <f t="shared" si="0"/>
        <v>1Q24</v>
      </c>
      <c r="Z3" s="4" t="str">
        <f t="shared" si="0"/>
        <v>2Q24</v>
      </c>
      <c r="AA3" s="4" t="str">
        <f t="shared" si="0"/>
        <v>3Q24</v>
      </c>
      <c r="AB3" s="4" t="str">
        <f t="shared" si="0"/>
        <v>4Q24</v>
      </c>
      <c r="AC3" s="4" t="str">
        <f t="shared" si="0"/>
        <v>1Q25</v>
      </c>
      <c r="AD3" s="4" t="str">
        <f t="shared" si="0"/>
        <v>2Q25</v>
      </c>
      <c r="AE3" s="4" t="str">
        <f t="shared" si="0"/>
        <v>3Q25</v>
      </c>
      <c r="AF3" s="3"/>
      <c r="AG3" s="156"/>
    </row>
    <row r="4" spans="2:33" s="5" customFormat="1" ht="12.75" customHeight="1">
      <c r="B4" s="6" t="s">
        <v>73</v>
      </c>
      <c r="C4" s="3">
        <f>'Historical Financials'!C8</f>
        <v>44926</v>
      </c>
      <c r="D4" s="3">
        <f>'Historical Financials'!D8</f>
        <v>45290</v>
      </c>
      <c r="E4" s="3">
        <f>'Historical Financials'!E8</f>
        <v>45654</v>
      </c>
      <c r="F4" s="3"/>
      <c r="G4" s="3">
        <f>'Historical Financials'!G8</f>
        <v>0</v>
      </c>
      <c r="H4" s="3">
        <f>'Historical Financials'!H8</f>
        <v>0</v>
      </c>
      <c r="I4" s="3">
        <f>'Historical Financials'!I8</f>
        <v>0</v>
      </c>
      <c r="J4" s="3">
        <f>'Historical Financials'!J8</f>
        <v>45290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45654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/>
      <c r="S4" s="3" t="e">
        <f>#REF!</f>
        <v>#REF!</v>
      </c>
      <c r="T4" s="3" t="e">
        <f>#REF!</f>
        <v>#REF!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45290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>
        <f t="shared" si="0"/>
        <v>45654</v>
      </c>
      <c r="AC4" s="3">
        <f t="shared" si="0"/>
        <v>0</v>
      </c>
      <c r="AD4" s="3">
        <f t="shared" si="0"/>
        <v>0</v>
      </c>
      <c r="AE4" s="3">
        <f t="shared" si="0"/>
        <v>0</v>
      </c>
      <c r="AF4" s="3"/>
      <c r="AG4" s="156"/>
    </row>
    <row r="5" spans="2:33" ht="5.0999999999999996" customHeight="1">
      <c r="AG5" s="128"/>
    </row>
    <row r="6" spans="2:33" ht="12.75" customHeight="1">
      <c r="B6" s="9" t="str">
        <f>'Revenue Drivers'!B9</f>
        <v xml:space="preserve">Parts and Batteries </v>
      </c>
      <c r="C6" s="96">
        <f>'Revenue Drivers'!C9</f>
        <v>5763790.6200000001</v>
      </c>
      <c r="D6" s="96">
        <f>'Revenue Drivers'!D9</f>
        <v>5801717.25</v>
      </c>
      <c r="E6" s="96">
        <f>'Revenue Drivers'!E9</f>
        <v>5729426.0099999998</v>
      </c>
      <c r="F6" s="10"/>
      <c r="G6" s="96">
        <f>'Revenue Drivers'!G9</f>
        <v>0</v>
      </c>
      <c r="H6" s="96">
        <f>'Revenue Drivers'!H9</f>
        <v>0</v>
      </c>
      <c r="I6" s="96">
        <f>'Revenue Drivers'!I9</f>
        <v>0</v>
      </c>
      <c r="J6" s="96">
        <f>'Revenue Drivers'!J9</f>
        <v>5801717.25</v>
      </c>
      <c r="K6" s="96">
        <f>'Revenue Drivers'!K9</f>
        <v>0</v>
      </c>
      <c r="L6" s="96">
        <f>'Revenue Drivers'!L9</f>
        <v>0</v>
      </c>
      <c r="M6" s="96">
        <f>'Revenue Drivers'!M9</f>
        <v>0</v>
      </c>
      <c r="N6" s="96">
        <f>'Revenue Drivers'!N9</f>
        <v>5729426.0099999998</v>
      </c>
      <c r="O6" s="96">
        <f>'Revenue Drivers'!O9</f>
        <v>0</v>
      </c>
      <c r="P6" s="96">
        <f>'Revenue Drivers'!P9</f>
        <v>0</v>
      </c>
      <c r="Q6" s="96">
        <f>'Revenue Drivers'!Q9</f>
        <v>0</v>
      </c>
      <c r="R6" s="5"/>
      <c r="S6" s="10">
        <f>SUM(F6:F6)</f>
        <v>0</v>
      </c>
      <c r="T6" s="10" t="e">
        <f>SUM(#REF!)</f>
        <v>#REF!</v>
      </c>
      <c r="U6" s="10">
        <f>SUM(G6:G6)</f>
        <v>0</v>
      </c>
      <c r="V6" s="10">
        <f>SUM(G6:H6)</f>
        <v>0</v>
      </c>
      <c r="W6" s="10">
        <f>SUM(G6:I6)</f>
        <v>0</v>
      </c>
      <c r="X6" s="10">
        <f t="shared" ref="X6:AE6" si="1">SUM(G6:J6)</f>
        <v>5801717.25</v>
      </c>
      <c r="Y6" s="10">
        <f t="shared" si="1"/>
        <v>5801717.25</v>
      </c>
      <c r="Z6" s="10">
        <f t="shared" si="1"/>
        <v>5801717.25</v>
      </c>
      <c r="AA6" s="149">
        <f t="shared" si="1"/>
        <v>5801717.25</v>
      </c>
      <c r="AB6" s="149">
        <f t="shared" si="1"/>
        <v>5729426.0099999998</v>
      </c>
      <c r="AC6" s="149">
        <f t="shared" si="1"/>
        <v>5729426.0099999998</v>
      </c>
      <c r="AD6" s="149">
        <f t="shared" si="1"/>
        <v>5729426.0099999998</v>
      </c>
      <c r="AE6" s="149">
        <f t="shared" si="1"/>
        <v>5729426.0099999998</v>
      </c>
      <c r="AG6" s="129">
        <f t="shared" ref="AG6:AG10" si="2">SUM(AE6/AA6)-1</f>
        <v>-1.2460317675770938E-2</v>
      </c>
    </row>
    <row r="7" spans="2:33" ht="12.75" customHeight="1">
      <c r="B7" s="9" t="str">
        <f>'Revenue Drivers'!B10</f>
        <v xml:space="preserve">Accessories and Chemicals </v>
      </c>
      <c r="C7" s="96">
        <f>'Revenue Drivers'!C10</f>
        <v>2104241.02</v>
      </c>
      <c r="D7" s="96">
        <f>'Revenue Drivers'!D10</f>
        <v>2025996.5</v>
      </c>
      <c r="E7" s="96">
        <f>'Revenue Drivers'!E10</f>
        <v>2000751.94</v>
      </c>
      <c r="F7" s="10"/>
      <c r="G7" s="96">
        <f>'Revenue Drivers'!G10</f>
        <v>0</v>
      </c>
      <c r="H7" s="96">
        <f>'Revenue Drivers'!H10</f>
        <v>0</v>
      </c>
      <c r="I7" s="96">
        <f>'Revenue Drivers'!I10</f>
        <v>0</v>
      </c>
      <c r="J7" s="96">
        <f>'Revenue Drivers'!J10</f>
        <v>2025996.5</v>
      </c>
      <c r="K7" s="96">
        <f>'Revenue Drivers'!K10</f>
        <v>0</v>
      </c>
      <c r="L7" s="96">
        <f>'Revenue Drivers'!L10</f>
        <v>0</v>
      </c>
      <c r="M7" s="96">
        <f>'Revenue Drivers'!M10</f>
        <v>0</v>
      </c>
      <c r="N7" s="96">
        <f>'Revenue Drivers'!N10</f>
        <v>2000751.94</v>
      </c>
      <c r="O7" s="96">
        <f>'Revenue Drivers'!O10</f>
        <v>0</v>
      </c>
      <c r="P7" s="96">
        <f>'Revenue Drivers'!P10</f>
        <v>0</v>
      </c>
      <c r="Q7" s="96">
        <f>'Revenue Drivers'!Q10</f>
        <v>0</v>
      </c>
      <c r="R7" s="5"/>
      <c r="S7" s="10"/>
      <c r="T7" s="10"/>
      <c r="U7" s="10"/>
      <c r="V7" s="10"/>
      <c r="W7" s="10"/>
      <c r="X7" s="10"/>
      <c r="Y7" s="10"/>
      <c r="Z7" s="10"/>
      <c r="AA7" s="149">
        <f t="shared" ref="AA7:AE9" si="3">SUM(J7:M7)</f>
        <v>2025996.5</v>
      </c>
      <c r="AB7" s="149">
        <f t="shared" si="3"/>
        <v>2000751.94</v>
      </c>
      <c r="AC7" s="149">
        <f t="shared" si="3"/>
        <v>2000751.94</v>
      </c>
      <c r="AD7" s="149">
        <f t="shared" si="3"/>
        <v>2000751.94</v>
      </c>
      <c r="AE7" s="149">
        <f t="shared" si="3"/>
        <v>2000751.94</v>
      </c>
      <c r="AG7" s="129">
        <f t="shared" si="2"/>
        <v>-1.2460317675770938E-2</v>
      </c>
    </row>
    <row r="8" spans="2:33" ht="12.75" customHeight="1">
      <c r="B8" s="9" t="str">
        <f>'Revenue Drivers'!B11</f>
        <v xml:space="preserve">Engine Maintenance </v>
      </c>
      <c r="C8" s="96">
        <f>'Revenue Drivers'!C11</f>
        <v>1189353.6200000001</v>
      </c>
      <c r="D8" s="96">
        <f>'Revenue Drivers'!D11</f>
        <v>1289270.5000000002</v>
      </c>
      <c r="E8" s="96">
        <f>'Revenue Drivers'!E11</f>
        <v>1273205.78</v>
      </c>
      <c r="F8" s="10"/>
      <c r="G8" s="96">
        <f>'Revenue Drivers'!G11</f>
        <v>0</v>
      </c>
      <c r="H8" s="96">
        <f>'Revenue Drivers'!H11</f>
        <v>0</v>
      </c>
      <c r="I8" s="96">
        <f>'Revenue Drivers'!I11</f>
        <v>0</v>
      </c>
      <c r="J8" s="96">
        <f>'Revenue Drivers'!J11</f>
        <v>1289270.5000000002</v>
      </c>
      <c r="K8" s="96">
        <f>'Revenue Drivers'!K11</f>
        <v>0</v>
      </c>
      <c r="L8" s="96">
        <f>'Revenue Drivers'!L11</f>
        <v>0</v>
      </c>
      <c r="M8" s="96">
        <f>'Revenue Drivers'!M11</f>
        <v>0</v>
      </c>
      <c r="N8" s="96">
        <f>'Revenue Drivers'!N11</f>
        <v>1273205.78</v>
      </c>
      <c r="O8" s="96">
        <f>'Revenue Drivers'!O11</f>
        <v>0</v>
      </c>
      <c r="P8" s="96">
        <f>'Revenue Drivers'!P11</f>
        <v>0</v>
      </c>
      <c r="Q8" s="96">
        <f>'Revenue Drivers'!Q11</f>
        <v>0</v>
      </c>
      <c r="R8" s="5"/>
      <c r="S8" s="10"/>
      <c r="T8" s="10"/>
      <c r="U8" s="10"/>
      <c r="V8" s="10"/>
      <c r="W8" s="10"/>
      <c r="X8" s="10"/>
      <c r="Y8" s="10"/>
      <c r="Z8" s="10"/>
      <c r="AA8" s="149">
        <f t="shared" si="3"/>
        <v>1289270.5000000002</v>
      </c>
      <c r="AB8" s="149">
        <f t="shared" si="3"/>
        <v>1273205.78</v>
      </c>
      <c r="AC8" s="149">
        <f t="shared" si="3"/>
        <v>1273205.78</v>
      </c>
      <c r="AD8" s="149">
        <f t="shared" si="3"/>
        <v>1273205.78</v>
      </c>
      <c r="AE8" s="149">
        <f t="shared" si="3"/>
        <v>1273205.78</v>
      </c>
      <c r="AG8" s="129">
        <f t="shared" si="2"/>
        <v>-1.2460317675771049E-2</v>
      </c>
    </row>
    <row r="9" spans="2:33" ht="12.75" customHeight="1">
      <c r="B9" s="9" t="str">
        <f>'Revenue Drivers'!B12</f>
        <v xml:space="preserve">Other </v>
      </c>
      <c r="C9" s="96">
        <f>'Revenue Drivers'!C12</f>
        <v>91488.74</v>
      </c>
      <c r="D9" s="96">
        <f>'Revenue Drivers'!D12</f>
        <v>92090.75</v>
      </c>
      <c r="E9" s="96">
        <f>'Revenue Drivers'!E12</f>
        <v>90943.27</v>
      </c>
      <c r="F9" s="10"/>
      <c r="G9" s="96">
        <f>'Revenue Drivers'!G12</f>
        <v>0</v>
      </c>
      <c r="H9" s="96">
        <f>'Revenue Drivers'!H12</f>
        <v>0</v>
      </c>
      <c r="I9" s="96">
        <f>'Revenue Drivers'!I12</f>
        <v>0</v>
      </c>
      <c r="J9" s="96">
        <f>'Revenue Drivers'!J12</f>
        <v>92090.75</v>
      </c>
      <c r="K9" s="96">
        <f>'Revenue Drivers'!K12</f>
        <v>0</v>
      </c>
      <c r="L9" s="96">
        <f>'Revenue Drivers'!L12</f>
        <v>0</v>
      </c>
      <c r="M9" s="96">
        <f>'Revenue Drivers'!M12</f>
        <v>0</v>
      </c>
      <c r="N9" s="96">
        <f>'Revenue Drivers'!N12</f>
        <v>90943.27</v>
      </c>
      <c r="O9" s="96">
        <f>'Revenue Drivers'!O12</f>
        <v>0</v>
      </c>
      <c r="P9" s="96">
        <f>'Revenue Drivers'!P12</f>
        <v>0</v>
      </c>
      <c r="Q9" s="96">
        <f>'Revenue Drivers'!Q12</f>
        <v>0</v>
      </c>
      <c r="R9" s="5"/>
      <c r="S9" s="10"/>
      <c r="T9" s="10"/>
      <c r="U9" s="10"/>
      <c r="V9" s="10"/>
      <c r="W9" s="10"/>
      <c r="X9" s="10"/>
      <c r="Y9" s="10"/>
      <c r="Z9" s="10"/>
      <c r="AA9" s="149">
        <f t="shared" si="3"/>
        <v>92090.75</v>
      </c>
      <c r="AB9" s="149">
        <f t="shared" si="3"/>
        <v>90943.27</v>
      </c>
      <c r="AC9" s="149">
        <f t="shared" si="3"/>
        <v>90943.27</v>
      </c>
      <c r="AD9" s="149">
        <f t="shared" si="3"/>
        <v>90943.27</v>
      </c>
      <c r="AE9" s="149">
        <f t="shared" si="3"/>
        <v>90943.27</v>
      </c>
      <c r="AG9" s="129">
        <f t="shared" si="2"/>
        <v>-1.2460317675770827E-2</v>
      </c>
    </row>
    <row r="10" spans="2:33" ht="12.75" customHeight="1">
      <c r="B10" s="13" t="s">
        <v>12</v>
      </c>
      <c r="C10" s="14">
        <f>SUM(C6:C9)</f>
        <v>9148874.0000000019</v>
      </c>
      <c r="D10" s="14">
        <f>SUM(D6:D9)</f>
        <v>9209075</v>
      </c>
      <c r="E10" s="14">
        <f>SUM(E6:E9)</f>
        <v>9094326.9999999981</v>
      </c>
      <c r="F10" s="10"/>
      <c r="G10" s="14">
        <f>SUM(G6:G9)</f>
        <v>0</v>
      </c>
      <c r="H10" s="14">
        <f>SUM(H6:H9)</f>
        <v>0</v>
      </c>
      <c r="I10" s="14">
        <f>SUM(I6:I9)</f>
        <v>0</v>
      </c>
      <c r="J10" s="14">
        <f>SUM(J6:J9)</f>
        <v>9209075</v>
      </c>
      <c r="K10" s="14">
        <f>SUM(K6:K9)</f>
        <v>0</v>
      </c>
      <c r="L10" s="14">
        <f>SUM(L6:L9)</f>
        <v>0</v>
      </c>
      <c r="M10" s="14">
        <f>SUM(M6:M9)</f>
        <v>0</v>
      </c>
      <c r="N10" s="14">
        <f>SUM(N6:N9)</f>
        <v>9094326.9999999981</v>
      </c>
      <c r="O10" s="14">
        <f>SUM(O6:O9)</f>
        <v>0</v>
      </c>
      <c r="P10" s="14">
        <f>SUM(P6:P9)</f>
        <v>0</v>
      </c>
      <c r="Q10" s="14">
        <f>SUM(Q6:Q9)</f>
        <v>0</v>
      </c>
      <c r="R10" s="5"/>
      <c r="S10" s="14">
        <f>SUM(S6:S9)</f>
        <v>0</v>
      </c>
      <c r="T10" s="14" t="e">
        <f>SUM(T6:T9)</f>
        <v>#REF!</v>
      </c>
      <c r="U10" s="14">
        <f>SUM(U6:U9)</f>
        <v>0</v>
      </c>
      <c r="V10" s="14">
        <f>SUM(V6:V9)</f>
        <v>0</v>
      </c>
      <c r="W10" s="14">
        <f>SUM(W6:W9)</f>
        <v>0</v>
      </c>
      <c r="X10" s="14">
        <f>SUM(X6:X9)</f>
        <v>5801717.25</v>
      </c>
      <c r="Y10" s="14">
        <f>SUM(Y6:Y9)</f>
        <v>5801717.25</v>
      </c>
      <c r="Z10" s="14">
        <f>SUM(Z6:Z9)</f>
        <v>5801717.25</v>
      </c>
      <c r="AA10" s="14">
        <f>SUM(AA6:AA9)</f>
        <v>9209075</v>
      </c>
      <c r="AB10" s="14">
        <f>SUM(AB6:AB9)</f>
        <v>9094326.9999999981</v>
      </c>
      <c r="AC10" s="14">
        <f>SUM(AC6:AC9)</f>
        <v>9094326.9999999981</v>
      </c>
      <c r="AD10" s="14">
        <f>SUM(AD6:AD9)</f>
        <v>9094326.9999999981</v>
      </c>
      <c r="AE10" s="14">
        <f>SUM(AE6:AE9)</f>
        <v>9094326.9999999981</v>
      </c>
      <c r="AG10" s="130">
        <f t="shared" si="2"/>
        <v>-1.246031767577116E-2</v>
      </c>
    </row>
    <row r="11" spans="2:33" ht="12.75" customHeight="1">
      <c r="B11" s="16" t="s">
        <v>30</v>
      </c>
      <c r="C11" s="17"/>
      <c r="D11" s="17">
        <f>SUM(D10/C10)-1</f>
        <v>6.58015401676737E-3</v>
      </c>
      <c r="E11" s="17">
        <f>SUM(E10/D10)-1</f>
        <v>-1.246031767577116E-2</v>
      </c>
      <c r="F11" s="11"/>
      <c r="G11" s="17"/>
      <c r="H11" s="17"/>
      <c r="I11" s="17"/>
      <c r="J11" s="17"/>
      <c r="K11" s="17" t="e">
        <f t="shared" ref="K11:Q11" si="4">SUM(K10/G10)-1</f>
        <v>#DIV/0!</v>
      </c>
      <c r="L11" s="17" t="e">
        <f t="shared" si="4"/>
        <v>#DIV/0!</v>
      </c>
      <c r="M11" s="17" t="e">
        <f t="shared" si="4"/>
        <v>#DIV/0!</v>
      </c>
      <c r="N11" s="17">
        <f t="shared" si="4"/>
        <v>-1.246031767577116E-2</v>
      </c>
      <c r="O11" s="17" t="e">
        <f t="shared" si="4"/>
        <v>#DIV/0!</v>
      </c>
      <c r="P11" s="17" t="e">
        <f t="shared" si="4"/>
        <v>#DIV/0!</v>
      </c>
      <c r="Q11" s="17" t="e">
        <f t="shared" si="4"/>
        <v>#DIV/0!</v>
      </c>
      <c r="R11" s="5"/>
      <c r="S11" s="117"/>
      <c r="T11" s="117"/>
      <c r="U11" s="117"/>
      <c r="V11" s="117"/>
      <c r="W11" s="17" t="e">
        <f t="shared" ref="W11:AE11" si="5">SUM(W10/S10)-1</f>
        <v>#DIV/0!</v>
      </c>
      <c r="X11" s="17" t="e">
        <f t="shared" si="5"/>
        <v>#REF!</v>
      </c>
      <c r="Y11" s="17" t="e">
        <f t="shared" si="5"/>
        <v>#DIV/0!</v>
      </c>
      <c r="Z11" s="17" t="e">
        <f t="shared" si="5"/>
        <v>#DIV/0!</v>
      </c>
      <c r="AA11" s="17" t="e">
        <f t="shared" si="5"/>
        <v>#DIV/0!</v>
      </c>
      <c r="AB11" s="17">
        <f t="shared" si="5"/>
        <v>0.56752330527655381</v>
      </c>
      <c r="AC11" s="17">
        <f t="shared" si="5"/>
        <v>0.56752330527655381</v>
      </c>
      <c r="AD11" s="17">
        <f t="shared" si="5"/>
        <v>0.56752330527655381</v>
      </c>
      <c r="AE11" s="17">
        <f t="shared" si="5"/>
        <v>-1.246031767577116E-2</v>
      </c>
      <c r="AG11" s="131" t="e">
        <f>SUM(AE11-AA11)*10000</f>
        <v>#DIV/0!</v>
      </c>
    </row>
    <row r="12" spans="2:33" ht="12.75" customHeight="1">
      <c r="B12" s="16" t="s">
        <v>31</v>
      </c>
      <c r="C12" s="17" t="s">
        <v>32</v>
      </c>
      <c r="D12" s="17" t="s">
        <v>32</v>
      </c>
      <c r="E12" s="17" t="s">
        <v>32</v>
      </c>
      <c r="F12" s="11"/>
      <c r="G12" s="17"/>
      <c r="H12" s="17" t="e">
        <f t="shared" ref="H12:Q12" si="6">SUM(H10/G10)-1</f>
        <v>#DIV/0!</v>
      </c>
      <c r="I12" s="17" t="e">
        <f t="shared" si="6"/>
        <v>#DIV/0!</v>
      </c>
      <c r="J12" s="17" t="e">
        <f t="shared" si="6"/>
        <v>#DIV/0!</v>
      </c>
      <c r="K12" s="17">
        <f t="shared" si="6"/>
        <v>-1</v>
      </c>
      <c r="L12" s="17" t="e">
        <f t="shared" si="6"/>
        <v>#DIV/0!</v>
      </c>
      <c r="M12" s="17" t="e">
        <f t="shared" si="6"/>
        <v>#DIV/0!</v>
      </c>
      <c r="N12" s="17" t="e">
        <f t="shared" si="6"/>
        <v>#DIV/0!</v>
      </c>
      <c r="O12" s="17">
        <f t="shared" si="6"/>
        <v>-1</v>
      </c>
      <c r="P12" s="17" t="e">
        <f t="shared" si="6"/>
        <v>#DIV/0!</v>
      </c>
      <c r="Q12" s="17" t="e">
        <f t="shared" si="6"/>
        <v>#DIV/0!</v>
      </c>
      <c r="R12" s="5"/>
      <c r="S12" s="17" t="s">
        <v>32</v>
      </c>
      <c r="T12" s="17" t="s">
        <v>32</v>
      </c>
      <c r="U12" s="17" t="s">
        <v>32</v>
      </c>
      <c r="V12" s="17" t="s">
        <v>32</v>
      </c>
      <c r="W12" s="17" t="s">
        <v>32</v>
      </c>
      <c r="X12" s="17" t="s">
        <v>32</v>
      </c>
      <c r="Y12" s="17" t="s">
        <v>32</v>
      </c>
      <c r="Z12" s="17" t="s">
        <v>32</v>
      </c>
      <c r="AA12" s="17" t="s">
        <v>32</v>
      </c>
      <c r="AB12" s="17" t="s">
        <v>32</v>
      </c>
      <c r="AC12" s="17" t="s">
        <v>32</v>
      </c>
      <c r="AD12" s="17" t="s">
        <v>32</v>
      </c>
      <c r="AE12" s="17" t="s">
        <v>32</v>
      </c>
      <c r="AG12" s="128"/>
    </row>
    <row r="13" spans="2:33" ht="5.0999999999999996" customHeight="1">
      <c r="B13" s="18"/>
      <c r="C13" s="19"/>
      <c r="D13" s="19"/>
      <c r="E13" s="19"/>
      <c r="F13" s="20"/>
      <c r="G13" s="21"/>
      <c r="H13" s="21"/>
      <c r="I13" s="21"/>
      <c r="J13" s="22"/>
      <c r="K13" s="21"/>
      <c r="L13" s="21"/>
      <c r="M13" s="21"/>
      <c r="N13" s="21"/>
      <c r="O13" s="21"/>
      <c r="P13" s="21"/>
      <c r="Q13" s="21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G13" s="128"/>
    </row>
    <row r="14" spans="2:33" ht="12.75" customHeight="1">
      <c r="B14" s="23" t="s">
        <v>118</v>
      </c>
      <c r="C14" s="96">
        <f>'Historical Financials'!C13</f>
        <v>-4916004</v>
      </c>
      <c r="D14" s="96">
        <f>'Historical Financials'!D13</f>
        <v>-5348966</v>
      </c>
      <c r="E14" s="96">
        <f>'Historical Financials'!E13</f>
        <v>-5685807</v>
      </c>
      <c r="F14" s="10"/>
      <c r="G14" s="96">
        <f>'Historical Financials'!G13</f>
        <v>0</v>
      </c>
      <c r="H14" s="96">
        <f>'Historical Financials'!H13</f>
        <v>0</v>
      </c>
      <c r="I14" s="96">
        <f>'Historical Financials'!I13</f>
        <v>0</v>
      </c>
      <c r="J14" s="96">
        <f>'Historical Financials'!J13</f>
        <v>0</v>
      </c>
      <c r="K14" s="96">
        <f>'Historical Financials'!K13</f>
        <v>0</v>
      </c>
      <c r="L14" s="96">
        <f>'Historical Financials'!L13</f>
        <v>0</v>
      </c>
      <c r="M14" s="96">
        <f>'Historical Financials'!M13</f>
        <v>0</v>
      </c>
      <c r="N14" s="96">
        <f>'Historical Financials'!N13</f>
        <v>0</v>
      </c>
      <c r="O14" s="96">
        <f>'Historical Financials'!O13</f>
        <v>0</v>
      </c>
      <c r="P14" s="96">
        <f>'Historical Financials'!P13</f>
        <v>0</v>
      </c>
      <c r="Q14" s="96">
        <f>'Historical Financials'!Q13</f>
        <v>0</v>
      </c>
      <c r="R14" s="5"/>
      <c r="S14" s="10"/>
      <c r="T14" s="10"/>
      <c r="U14" s="10"/>
      <c r="V14" s="10"/>
      <c r="W14" s="10"/>
      <c r="X14" s="10"/>
      <c r="Y14" s="10"/>
      <c r="Z14" s="10"/>
      <c r="AA14" s="149">
        <f t="shared" ref="AA14" si="7">SUM(J14:M14)</f>
        <v>0</v>
      </c>
      <c r="AB14" s="149">
        <f t="shared" ref="AB14" si="8">SUM(K14:N14)</f>
        <v>0</v>
      </c>
      <c r="AC14" s="149">
        <f t="shared" ref="AC14" si="9">SUM(L14:O14)</f>
        <v>0</v>
      </c>
      <c r="AD14" s="149">
        <f t="shared" ref="AD14" si="10">SUM(M14:P14)</f>
        <v>0</v>
      </c>
      <c r="AE14" s="149">
        <f t="shared" ref="AE14" si="11">SUM(N14:Q14)</f>
        <v>0</v>
      </c>
      <c r="AG14" s="129"/>
    </row>
    <row r="15" spans="2:33" ht="12.75" customHeight="1">
      <c r="B15" s="25" t="s">
        <v>24</v>
      </c>
      <c r="C15" s="26">
        <f>SUM(C10+SUM(C14:C14))</f>
        <v>4232870.0000000019</v>
      </c>
      <c r="D15" s="26">
        <f>SUM(D10+SUM(D14:D14))</f>
        <v>3860109</v>
      </c>
      <c r="E15" s="26">
        <f>SUM(E10+SUM(E14:E14))</f>
        <v>3408519.9999999981</v>
      </c>
      <c r="F15" s="5"/>
      <c r="G15" s="26">
        <f t="shared" ref="G15:Q15" si="12">SUM(G10+SUM(G14:G14))</f>
        <v>0</v>
      </c>
      <c r="H15" s="26">
        <f t="shared" si="12"/>
        <v>0</v>
      </c>
      <c r="I15" s="26">
        <f t="shared" si="12"/>
        <v>0</v>
      </c>
      <c r="J15" s="26">
        <f t="shared" si="12"/>
        <v>9209075</v>
      </c>
      <c r="K15" s="26">
        <f t="shared" si="12"/>
        <v>0</v>
      </c>
      <c r="L15" s="26">
        <f t="shared" si="12"/>
        <v>0</v>
      </c>
      <c r="M15" s="26">
        <f t="shared" si="12"/>
        <v>0</v>
      </c>
      <c r="N15" s="26">
        <f t="shared" si="12"/>
        <v>9094326.9999999981</v>
      </c>
      <c r="O15" s="26">
        <f t="shared" si="12"/>
        <v>0</v>
      </c>
      <c r="P15" s="26">
        <f t="shared" si="12"/>
        <v>0</v>
      </c>
      <c r="Q15" s="26">
        <f t="shared" si="12"/>
        <v>0</v>
      </c>
      <c r="R15" s="5"/>
      <c r="S15" s="26">
        <f t="shared" ref="S15:AE15" si="13">SUM(S10+SUM(S14:S14))</f>
        <v>0</v>
      </c>
      <c r="T15" s="26" t="e">
        <f t="shared" si="13"/>
        <v>#REF!</v>
      </c>
      <c r="U15" s="26">
        <f t="shared" si="13"/>
        <v>0</v>
      </c>
      <c r="V15" s="26">
        <f t="shared" si="13"/>
        <v>0</v>
      </c>
      <c r="W15" s="26">
        <f t="shared" si="13"/>
        <v>0</v>
      </c>
      <c r="X15" s="26">
        <f t="shared" si="13"/>
        <v>5801717.25</v>
      </c>
      <c r="Y15" s="26">
        <f t="shared" si="13"/>
        <v>5801717.25</v>
      </c>
      <c r="Z15" s="26">
        <f t="shared" si="13"/>
        <v>5801717.25</v>
      </c>
      <c r="AA15" s="26">
        <f t="shared" si="13"/>
        <v>9209075</v>
      </c>
      <c r="AB15" s="26">
        <f t="shared" si="13"/>
        <v>9094326.9999999981</v>
      </c>
      <c r="AC15" s="26">
        <f t="shared" si="13"/>
        <v>9094326.9999999981</v>
      </c>
      <c r="AD15" s="26">
        <f t="shared" si="13"/>
        <v>9094326.9999999981</v>
      </c>
      <c r="AE15" s="26">
        <f t="shared" si="13"/>
        <v>9094326.9999999981</v>
      </c>
      <c r="AG15" s="130">
        <f>SUM(AE15/AA15)-1</f>
        <v>-1.246031767577116E-2</v>
      </c>
    </row>
    <row r="16" spans="2:33" ht="12.75" customHeight="1">
      <c r="B16" s="16" t="s">
        <v>33</v>
      </c>
      <c r="C16" s="17">
        <f>C15/C10</f>
        <v>0.46266567885840387</v>
      </c>
      <c r="D16" s="17">
        <f>D15/D10</f>
        <v>0.41916359677817805</v>
      </c>
      <c r="E16" s="17">
        <f>E15/E10</f>
        <v>0.37479628783966079</v>
      </c>
      <c r="F16" s="27"/>
      <c r="G16" s="17" t="e">
        <f t="shared" ref="G16:Q16" si="14">G15/G10</f>
        <v>#DIV/0!</v>
      </c>
      <c r="H16" s="17" t="e">
        <f t="shared" si="14"/>
        <v>#DIV/0!</v>
      </c>
      <c r="I16" s="17" t="e">
        <f t="shared" si="14"/>
        <v>#DIV/0!</v>
      </c>
      <c r="J16" s="17">
        <f t="shared" si="14"/>
        <v>1</v>
      </c>
      <c r="K16" s="17" t="e">
        <f t="shared" si="14"/>
        <v>#DIV/0!</v>
      </c>
      <c r="L16" s="17" t="e">
        <f t="shared" si="14"/>
        <v>#DIV/0!</v>
      </c>
      <c r="M16" s="17" t="e">
        <f t="shared" si="14"/>
        <v>#DIV/0!</v>
      </c>
      <c r="N16" s="17">
        <f t="shared" si="14"/>
        <v>1</v>
      </c>
      <c r="O16" s="17" t="e">
        <f t="shared" si="14"/>
        <v>#DIV/0!</v>
      </c>
      <c r="P16" s="17" t="e">
        <f t="shared" si="14"/>
        <v>#DIV/0!</v>
      </c>
      <c r="Q16" s="17" t="e">
        <f t="shared" si="14"/>
        <v>#DIV/0!</v>
      </c>
      <c r="R16" s="28"/>
      <c r="S16" s="17" t="e">
        <f t="shared" ref="S16:AE16" si="15">S15/S10</f>
        <v>#DIV/0!</v>
      </c>
      <c r="T16" s="17" t="e">
        <f t="shared" si="15"/>
        <v>#REF!</v>
      </c>
      <c r="U16" s="17" t="e">
        <f t="shared" si="15"/>
        <v>#DIV/0!</v>
      </c>
      <c r="V16" s="17" t="e">
        <f t="shared" si="15"/>
        <v>#DIV/0!</v>
      </c>
      <c r="W16" s="17" t="e">
        <f t="shared" si="15"/>
        <v>#DIV/0!</v>
      </c>
      <c r="X16" s="17">
        <f t="shared" si="15"/>
        <v>1</v>
      </c>
      <c r="Y16" s="17">
        <f t="shared" si="15"/>
        <v>1</v>
      </c>
      <c r="Z16" s="17">
        <f t="shared" si="15"/>
        <v>1</v>
      </c>
      <c r="AA16" s="17">
        <f t="shared" si="15"/>
        <v>1</v>
      </c>
      <c r="AB16" s="17">
        <f t="shared" si="15"/>
        <v>1</v>
      </c>
      <c r="AC16" s="17">
        <f t="shared" si="15"/>
        <v>1</v>
      </c>
      <c r="AD16" s="17">
        <f t="shared" si="15"/>
        <v>1</v>
      </c>
      <c r="AE16" s="17">
        <f t="shared" si="15"/>
        <v>1</v>
      </c>
      <c r="AG16" s="131">
        <f>SUM(AE16-AA16)*10000</f>
        <v>0</v>
      </c>
    </row>
    <row r="17" spans="2:33" ht="5.0999999999999996" customHeight="1">
      <c r="B17" s="29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5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G17" s="128"/>
    </row>
    <row r="18" spans="2:33" ht="12.75" customHeight="1">
      <c r="B18" s="23" t="s">
        <v>180</v>
      </c>
      <c r="C18" s="148">
        <f>'Historical Financials'!C17</f>
        <v>-3708252</v>
      </c>
      <c r="D18" s="148">
        <f>'Historical Financials'!D17</f>
        <v>-3805235</v>
      </c>
      <c r="E18" s="148">
        <f>'Historical Financials'!E17</f>
        <v>-3812924</v>
      </c>
      <c r="F18" s="96"/>
      <c r="G18" s="148">
        <f>'Historical Financials'!G17</f>
        <v>0</v>
      </c>
      <c r="H18" s="148">
        <f>'Historical Financials'!H17</f>
        <v>0</v>
      </c>
      <c r="I18" s="148">
        <f>'Historical Financials'!I17</f>
        <v>0</v>
      </c>
      <c r="J18" s="148">
        <f>'Historical Financials'!J17</f>
        <v>-3805235</v>
      </c>
      <c r="K18" s="148">
        <f>'Historical Financials'!K17</f>
        <v>0</v>
      </c>
      <c r="L18" s="148">
        <f>'Historical Financials'!L17</f>
        <v>0</v>
      </c>
      <c r="M18" s="148">
        <f>'Historical Financials'!M17</f>
        <v>0</v>
      </c>
      <c r="N18" s="148">
        <f>'Historical Financials'!N17</f>
        <v>-3812924</v>
      </c>
      <c r="O18" s="148">
        <f>'Historical Financials'!O17</f>
        <v>0</v>
      </c>
      <c r="P18" s="148">
        <f>'Historical Financials'!P17</f>
        <v>0</v>
      </c>
      <c r="Q18" s="148">
        <f>'Historical Financials'!Q17</f>
        <v>0</v>
      </c>
      <c r="R18" s="5"/>
      <c r="S18" s="10">
        <f>SUM(F18:F18)</f>
        <v>0</v>
      </c>
      <c r="T18" s="10" t="e">
        <f>SUM(#REF!)</f>
        <v>#REF!</v>
      </c>
      <c r="U18" s="10">
        <f>SUM(G18:G18)</f>
        <v>0</v>
      </c>
      <c r="V18" s="10">
        <f>SUM(G18:H18)</f>
        <v>0</v>
      </c>
      <c r="W18" s="10">
        <f>SUM(G18:I18)</f>
        <v>0</v>
      </c>
      <c r="X18" s="10">
        <f t="shared" ref="X18:AE18" si="16">SUM(G18:J18)</f>
        <v>-3805235</v>
      </c>
      <c r="Y18" s="10">
        <f t="shared" si="16"/>
        <v>-3805235</v>
      </c>
      <c r="Z18" s="10">
        <f t="shared" si="16"/>
        <v>-3805235</v>
      </c>
      <c r="AA18" s="149">
        <f t="shared" si="16"/>
        <v>-3805235</v>
      </c>
      <c r="AB18" s="149">
        <f t="shared" si="16"/>
        <v>-3812924</v>
      </c>
      <c r="AC18" s="149">
        <f t="shared" si="16"/>
        <v>-3812924</v>
      </c>
      <c r="AD18" s="149">
        <f t="shared" si="16"/>
        <v>-3812924</v>
      </c>
      <c r="AE18" s="149">
        <f t="shared" si="16"/>
        <v>-3812924</v>
      </c>
      <c r="AG18" s="129">
        <f>SUM(AE18/AA18)-1</f>
        <v>2.0206373587965398E-3</v>
      </c>
    </row>
    <row r="19" spans="2:33" ht="12.75" customHeight="1">
      <c r="B19" s="23" t="s">
        <v>181</v>
      </c>
      <c r="C19" s="148">
        <f>'Historical Financials'!C18</f>
        <v>0</v>
      </c>
      <c r="D19" s="148">
        <f>'Historical Financials'!D18</f>
        <v>-15987</v>
      </c>
      <c r="E19" s="148">
        <f>'Historical Financials'!E18</f>
        <v>-308902</v>
      </c>
      <c r="F19" s="96"/>
      <c r="G19" s="148">
        <f>'Historical Financials'!G18</f>
        <v>0</v>
      </c>
      <c r="H19" s="148">
        <f>'Historical Financials'!H18</f>
        <v>0</v>
      </c>
      <c r="I19" s="148">
        <f>'Historical Financials'!I18</f>
        <v>0</v>
      </c>
      <c r="J19" s="148">
        <f>'Historical Financials'!J18</f>
        <v>-15987</v>
      </c>
      <c r="K19" s="148">
        <f>'Historical Financials'!K18</f>
        <v>0</v>
      </c>
      <c r="L19" s="148">
        <f>'Historical Financials'!L18</f>
        <v>0</v>
      </c>
      <c r="M19" s="148">
        <f>'Historical Financials'!M18</f>
        <v>0</v>
      </c>
      <c r="N19" s="148">
        <f>'Historical Financials'!N18</f>
        <v>-308902</v>
      </c>
      <c r="O19" s="148">
        <f>'Historical Financials'!O18</f>
        <v>0</v>
      </c>
      <c r="P19" s="148">
        <f>'Historical Financials'!P18</f>
        <v>0</v>
      </c>
      <c r="Q19" s="148">
        <f>'Historical Financials'!Q18</f>
        <v>0</v>
      </c>
      <c r="R19" s="5"/>
      <c r="S19" s="10">
        <f>SUM(F19:F19)</f>
        <v>0</v>
      </c>
      <c r="T19" s="10" t="e">
        <f>SUM(#REF!)</f>
        <v>#REF!</v>
      </c>
      <c r="U19" s="10">
        <f>SUM(G19:G19)</f>
        <v>0</v>
      </c>
      <c r="V19" s="10">
        <f>SUM(G19:H19)</f>
        <v>0</v>
      </c>
      <c r="W19" s="10">
        <f>SUM(G19:I19)</f>
        <v>0</v>
      </c>
      <c r="X19" s="10">
        <f t="shared" ref="X19" si="17">SUM(G19:J19)</f>
        <v>-15987</v>
      </c>
      <c r="Y19" s="10">
        <f t="shared" ref="Y19" si="18">SUM(H19:K19)</f>
        <v>-15987</v>
      </c>
      <c r="Z19" s="10">
        <f t="shared" ref="Z19" si="19">SUM(I19:L19)</f>
        <v>-15987</v>
      </c>
      <c r="AA19" s="149">
        <f t="shared" ref="AA19" si="20">SUM(J19:M19)</f>
        <v>-15987</v>
      </c>
      <c r="AB19" s="149">
        <f t="shared" ref="AB19" si="21">SUM(K19:N19)</f>
        <v>-308902</v>
      </c>
      <c r="AC19" s="149">
        <f t="shared" ref="AC19" si="22">SUM(L19:O19)</f>
        <v>-308902</v>
      </c>
      <c r="AD19" s="149">
        <f t="shared" ref="AD19" si="23">SUM(M19:P19)</f>
        <v>-308902</v>
      </c>
      <c r="AE19" s="149">
        <f t="shared" ref="AE19" si="24">SUM(N19:Q19)</f>
        <v>-308902</v>
      </c>
      <c r="AG19" s="129">
        <f>SUM(AE19/AA19)-1</f>
        <v>18.322074185275536</v>
      </c>
    </row>
    <row r="20" spans="2:33" ht="12.75" customHeight="1">
      <c r="B20" s="13" t="s">
        <v>34</v>
      </c>
      <c r="C20" s="14">
        <f>SUM(C15+SUM(C18:C19))</f>
        <v>524618.00000000186</v>
      </c>
      <c r="D20" s="14">
        <f>SUM(D15+SUM(D18:D19))</f>
        <v>38887</v>
      </c>
      <c r="E20" s="14">
        <f>SUM(E15+SUM(E18:E19))</f>
        <v>-713306.00000000186</v>
      </c>
      <c r="F20" s="11"/>
      <c r="G20" s="14">
        <f>SUM(G15+SUM(G18:G19))</f>
        <v>0</v>
      </c>
      <c r="H20" s="14">
        <f>SUM(H15+SUM(H18:H19))</f>
        <v>0</v>
      </c>
      <c r="I20" s="14">
        <f>SUM(I15+SUM(I18:I19))</f>
        <v>0</v>
      </c>
      <c r="J20" s="14">
        <f>SUM(J15+SUM(J18:J19))</f>
        <v>5387853</v>
      </c>
      <c r="K20" s="14">
        <f>SUM(K15+SUM(K18:K19))</f>
        <v>0</v>
      </c>
      <c r="L20" s="14">
        <f>SUM(L15+SUM(L18:L19))</f>
        <v>0</v>
      </c>
      <c r="M20" s="14">
        <f>SUM(M15+SUM(M18:M19))</f>
        <v>0</v>
      </c>
      <c r="N20" s="14">
        <f>SUM(N15+SUM(N18:N19))</f>
        <v>4972500.9999999981</v>
      </c>
      <c r="O20" s="14">
        <f>SUM(O15+SUM(O18:O19))</f>
        <v>0</v>
      </c>
      <c r="P20" s="14">
        <f>SUM(P15+SUM(P18:P19))</f>
        <v>0</v>
      </c>
      <c r="Q20" s="14">
        <f>SUM(Q15+SUM(Q18:Q19))</f>
        <v>0</v>
      </c>
      <c r="R20" s="5"/>
      <c r="S20" s="14">
        <f>SUM(S15+SUM(S18:S19))</f>
        <v>0</v>
      </c>
      <c r="T20" s="14" t="e">
        <f>SUM(T15+SUM(T18:T19))</f>
        <v>#REF!</v>
      </c>
      <c r="U20" s="14">
        <f>SUM(U15+SUM(U18:U19))</f>
        <v>0</v>
      </c>
      <c r="V20" s="14">
        <f>SUM(V15+SUM(V18:V19))</f>
        <v>0</v>
      </c>
      <c r="W20" s="14">
        <f>SUM(W15+SUM(W18:W19))</f>
        <v>0</v>
      </c>
      <c r="X20" s="14">
        <f>SUM(X15+SUM(X18:X19))</f>
        <v>1980495.25</v>
      </c>
      <c r="Y20" s="14">
        <f>SUM(Y15+SUM(Y18:Y19))</f>
        <v>1980495.25</v>
      </c>
      <c r="Z20" s="14">
        <f>SUM(Z15+SUM(Z18:Z19))</f>
        <v>1980495.25</v>
      </c>
      <c r="AA20" s="14">
        <f>SUM(AA15+SUM(AA18:AA19))</f>
        <v>5387853</v>
      </c>
      <c r="AB20" s="14">
        <f>SUM(AB15+SUM(AB18:AB19))</f>
        <v>4972500.9999999981</v>
      </c>
      <c r="AC20" s="14">
        <f>SUM(AC15+SUM(AC18:AC19))</f>
        <v>4972500.9999999981</v>
      </c>
      <c r="AD20" s="14">
        <f>SUM(AD15+SUM(AD18:AD19))</f>
        <v>4972500.9999999981</v>
      </c>
      <c r="AE20" s="14">
        <f>SUM(AE15+SUM(AE18:AE19))</f>
        <v>4972500.9999999981</v>
      </c>
      <c r="AG20" s="130">
        <f>SUM(AE20/AA20)-1</f>
        <v>-7.7090447716372745E-2</v>
      </c>
    </row>
    <row r="21" spans="2:33" ht="12.75" customHeight="1">
      <c r="B21" s="16" t="s">
        <v>35</v>
      </c>
      <c r="C21" s="17">
        <f>C20/C10</f>
        <v>5.7342357103180322E-2</v>
      </c>
      <c r="D21" s="17">
        <f>D20/D10</f>
        <v>4.2226825169737461E-3</v>
      </c>
      <c r="E21" s="17">
        <f>E20/E10</f>
        <v>-7.843417110468999E-2</v>
      </c>
      <c r="F21" s="27"/>
      <c r="G21" s="17" t="e">
        <f>G20/G10</f>
        <v>#DIV/0!</v>
      </c>
      <c r="H21" s="17" t="e">
        <f>H20/H10</f>
        <v>#DIV/0!</v>
      </c>
      <c r="I21" s="17" t="e">
        <f>I20/I10</f>
        <v>#DIV/0!</v>
      </c>
      <c r="J21" s="17">
        <f>J20/J10</f>
        <v>0.58505908573879573</v>
      </c>
      <c r="K21" s="17" t="e">
        <f>K20/K10</f>
        <v>#DIV/0!</v>
      </c>
      <c r="L21" s="17" t="e">
        <f>L20/L10</f>
        <v>#DIV/0!</v>
      </c>
      <c r="M21" s="17" t="e">
        <f>M20/M10</f>
        <v>#DIV/0!</v>
      </c>
      <c r="N21" s="17">
        <f>N20/N10</f>
        <v>0.54676954105564923</v>
      </c>
      <c r="O21" s="17" t="e">
        <f>O20/O10</f>
        <v>#DIV/0!</v>
      </c>
      <c r="P21" s="17" t="e">
        <f>P20/P10</f>
        <v>#DIV/0!</v>
      </c>
      <c r="Q21" s="17" t="e">
        <f>Q20/Q10</f>
        <v>#DIV/0!</v>
      </c>
      <c r="R21" s="28"/>
      <c r="S21" s="17" t="e">
        <f>S20/S10</f>
        <v>#DIV/0!</v>
      </c>
      <c r="T21" s="17" t="e">
        <f>T20/T10</f>
        <v>#REF!</v>
      </c>
      <c r="U21" s="17" t="e">
        <f>U20/U10</f>
        <v>#DIV/0!</v>
      </c>
      <c r="V21" s="17" t="e">
        <f>V20/V10</f>
        <v>#DIV/0!</v>
      </c>
      <c r="W21" s="17" t="e">
        <f>W20/W10</f>
        <v>#DIV/0!</v>
      </c>
      <c r="X21" s="17">
        <f>X20/X10</f>
        <v>0.34136362815681859</v>
      </c>
      <c r="Y21" s="17">
        <f>Y20/Y10</f>
        <v>0.34136362815681859</v>
      </c>
      <c r="Z21" s="17">
        <f>Z20/Z10</f>
        <v>0.34136362815681859</v>
      </c>
      <c r="AA21" s="17">
        <f>AA20/AA10</f>
        <v>0.58505908573879573</v>
      </c>
      <c r="AB21" s="17">
        <f>AB20/AB10</f>
        <v>0.54676954105564923</v>
      </c>
      <c r="AC21" s="17">
        <f>AC20/AC10</f>
        <v>0.54676954105564923</v>
      </c>
      <c r="AD21" s="17">
        <f>AD20/AD10</f>
        <v>0.54676954105564923</v>
      </c>
      <c r="AE21" s="17">
        <f>AE20/AE10</f>
        <v>0.54676954105564923</v>
      </c>
      <c r="AG21" s="131">
        <f>SUM(AE21-AA21)*10000</f>
        <v>-382.89544683146494</v>
      </c>
    </row>
    <row r="22" spans="2:33" ht="5.0999999999999996" customHeight="1">
      <c r="AG22" s="128"/>
    </row>
    <row r="23" spans="2:33" ht="12.75" customHeight="1">
      <c r="B23" s="31" t="s">
        <v>119</v>
      </c>
      <c r="C23" s="148">
        <f>'Historical Financials'!C94</f>
        <v>248327</v>
      </c>
      <c r="D23" s="148">
        <f>'Historical Financials'!D94</f>
        <v>269430</v>
      </c>
      <c r="E23" s="148">
        <f>'Historical Financials'!E94</f>
        <v>291980</v>
      </c>
      <c r="G23" s="148">
        <f>'Historical Financials'!G94</f>
        <v>0</v>
      </c>
      <c r="H23" s="148">
        <f>'Historical Financials'!H94</f>
        <v>0</v>
      </c>
      <c r="I23" s="148">
        <f>'Historical Financials'!I94</f>
        <v>0</v>
      </c>
      <c r="J23" s="148">
        <f>'Historical Financials'!J94</f>
        <v>269430</v>
      </c>
      <c r="K23" s="148">
        <f>'Historical Financials'!K94</f>
        <v>0</v>
      </c>
      <c r="L23" s="148">
        <f>'Historical Financials'!L94</f>
        <v>0</v>
      </c>
      <c r="M23" s="148">
        <f>'Historical Financials'!M94</f>
        <v>0</v>
      </c>
      <c r="N23" s="148">
        <f>'Historical Financials'!N94</f>
        <v>291980</v>
      </c>
      <c r="O23" s="148">
        <f>'Historical Financials'!O94</f>
        <v>0</v>
      </c>
      <c r="P23" s="148">
        <f>'Historical Financials'!P94</f>
        <v>0</v>
      </c>
      <c r="Q23" s="148">
        <f>'Historical Financials'!Q94</f>
        <v>0</v>
      </c>
      <c r="S23" s="10">
        <f>SUM(F23:F23)</f>
        <v>0</v>
      </c>
      <c r="T23" s="10" t="e">
        <f>SUM(#REF!)</f>
        <v>#REF!</v>
      </c>
      <c r="U23" s="10">
        <f>SUM(G23:G23)</f>
        <v>0</v>
      </c>
      <c r="V23" s="10">
        <f>SUM(G23:H23)</f>
        <v>0</v>
      </c>
      <c r="W23" s="10">
        <f>SUM(G23:I23)</f>
        <v>0</v>
      </c>
      <c r="X23" s="10">
        <f t="shared" ref="X23:AE23" si="25">SUM(G23:J23)</f>
        <v>269430</v>
      </c>
      <c r="Y23" s="10">
        <f t="shared" si="25"/>
        <v>269430</v>
      </c>
      <c r="Z23" s="10">
        <f t="shared" si="25"/>
        <v>269430</v>
      </c>
      <c r="AA23" s="10">
        <f t="shared" si="25"/>
        <v>269430</v>
      </c>
      <c r="AB23" s="10">
        <f t="shared" si="25"/>
        <v>291980</v>
      </c>
      <c r="AC23" s="10">
        <f t="shared" si="25"/>
        <v>291980</v>
      </c>
      <c r="AD23" s="10">
        <f t="shared" si="25"/>
        <v>291980</v>
      </c>
      <c r="AE23" s="10">
        <f t="shared" si="25"/>
        <v>291980</v>
      </c>
      <c r="AG23" s="129">
        <f>SUM(AE23/AA23)-1</f>
        <v>8.369520840292477E-2</v>
      </c>
    </row>
    <row r="24" spans="2:33" ht="12.75" customHeight="1">
      <c r="B24" s="25" t="s">
        <v>11</v>
      </c>
      <c r="C24" s="26">
        <f>SUM(C20+SUM(C23:C23))</f>
        <v>772945.00000000186</v>
      </c>
      <c r="D24" s="26">
        <f>SUM(D20+SUM(D23:D23))</f>
        <v>308317</v>
      </c>
      <c r="E24" s="26">
        <f>SUM(E20+SUM(E23:E23))</f>
        <v>-421326.00000000186</v>
      </c>
      <c r="G24" s="26">
        <f t="shared" ref="G24:Q24" si="26">SUM(G20+SUM(G23:G23))</f>
        <v>0</v>
      </c>
      <c r="H24" s="26">
        <f t="shared" si="26"/>
        <v>0</v>
      </c>
      <c r="I24" s="26">
        <f t="shared" si="26"/>
        <v>0</v>
      </c>
      <c r="J24" s="26">
        <f t="shared" si="26"/>
        <v>5657283</v>
      </c>
      <c r="K24" s="26">
        <f t="shared" si="26"/>
        <v>0</v>
      </c>
      <c r="L24" s="26">
        <f t="shared" si="26"/>
        <v>0</v>
      </c>
      <c r="M24" s="26">
        <f t="shared" si="26"/>
        <v>0</v>
      </c>
      <c r="N24" s="26">
        <f t="shared" si="26"/>
        <v>5264480.9999999981</v>
      </c>
      <c r="O24" s="26">
        <f t="shared" si="26"/>
        <v>0</v>
      </c>
      <c r="P24" s="26">
        <f t="shared" si="26"/>
        <v>0</v>
      </c>
      <c r="Q24" s="26">
        <f t="shared" si="26"/>
        <v>0</v>
      </c>
      <c r="S24" s="26">
        <f t="shared" ref="S24:AE24" si="27">SUM(S20+SUM(S23:S23))</f>
        <v>0</v>
      </c>
      <c r="T24" s="26" t="e">
        <f t="shared" si="27"/>
        <v>#REF!</v>
      </c>
      <c r="U24" s="26">
        <f t="shared" si="27"/>
        <v>0</v>
      </c>
      <c r="V24" s="26">
        <f t="shared" si="27"/>
        <v>0</v>
      </c>
      <c r="W24" s="26">
        <f t="shared" si="27"/>
        <v>0</v>
      </c>
      <c r="X24" s="26">
        <f t="shared" si="27"/>
        <v>2249925.25</v>
      </c>
      <c r="Y24" s="26">
        <f t="shared" si="27"/>
        <v>2249925.25</v>
      </c>
      <c r="Z24" s="26">
        <f t="shared" si="27"/>
        <v>2249925.25</v>
      </c>
      <c r="AA24" s="26">
        <f t="shared" si="27"/>
        <v>5657283</v>
      </c>
      <c r="AB24" s="26">
        <f t="shared" si="27"/>
        <v>5264480.9999999981</v>
      </c>
      <c r="AC24" s="26">
        <f t="shared" si="27"/>
        <v>5264480.9999999981</v>
      </c>
      <c r="AD24" s="26">
        <f t="shared" si="27"/>
        <v>5264480.9999999981</v>
      </c>
      <c r="AE24" s="26">
        <f t="shared" si="27"/>
        <v>5264480.9999999981</v>
      </c>
      <c r="AG24" s="130">
        <f>SUM(AE24/AA24)-1</f>
        <v>-6.9432976925496215E-2</v>
      </c>
    </row>
    <row r="25" spans="2:33" ht="12.75" customHeight="1">
      <c r="B25" s="16" t="s">
        <v>36</v>
      </c>
      <c r="C25" s="17">
        <f>C24/C10</f>
        <v>8.4485260153326164E-2</v>
      </c>
      <c r="D25" s="17">
        <f>D24/D10</f>
        <v>3.347969258584603E-2</v>
      </c>
      <c r="E25" s="17">
        <f>E24/E10</f>
        <v>-4.6328441895700685E-2</v>
      </c>
      <c r="G25" s="17" t="e">
        <f>G24/G10</f>
        <v>#DIV/0!</v>
      </c>
      <c r="H25" s="17" t="e">
        <f>H24/H10</f>
        <v>#DIV/0!</v>
      </c>
      <c r="I25" s="17" t="e">
        <f>I24/I10</f>
        <v>#DIV/0!</v>
      </c>
      <c r="J25" s="17">
        <f>J24/J10</f>
        <v>0.61431609580766799</v>
      </c>
      <c r="K25" s="17" t="e">
        <f>K24/K10</f>
        <v>#DIV/0!</v>
      </c>
      <c r="L25" s="17" t="e">
        <f>L24/L10</f>
        <v>#DIV/0!</v>
      </c>
      <c r="M25" s="17" t="e">
        <f>M24/M10</f>
        <v>#DIV/0!</v>
      </c>
      <c r="N25" s="17">
        <f>N24/N10</f>
        <v>0.57887527026463848</v>
      </c>
      <c r="O25" s="17" t="e">
        <f>O24/O10</f>
        <v>#DIV/0!</v>
      </c>
      <c r="P25" s="17" t="e">
        <f>P24/P10</f>
        <v>#DIV/0!</v>
      </c>
      <c r="Q25" s="17" t="e">
        <f>Q24/Q10</f>
        <v>#DIV/0!</v>
      </c>
      <c r="S25" s="17" t="e">
        <f>S24/S10</f>
        <v>#DIV/0!</v>
      </c>
      <c r="T25" s="17" t="e">
        <f>T24/T10</f>
        <v>#REF!</v>
      </c>
      <c r="U25" s="17" t="e">
        <f>U24/U10</f>
        <v>#DIV/0!</v>
      </c>
      <c r="V25" s="17" t="e">
        <f>V24/V10</f>
        <v>#DIV/0!</v>
      </c>
      <c r="W25" s="17" t="e">
        <f>W24/W10</f>
        <v>#DIV/0!</v>
      </c>
      <c r="X25" s="17">
        <f>X24/X10</f>
        <v>0.38780332667883805</v>
      </c>
      <c r="Y25" s="17">
        <f>Y24/Y10</f>
        <v>0.38780332667883805</v>
      </c>
      <c r="Z25" s="17">
        <f>Z24/Z10</f>
        <v>0.38780332667883805</v>
      </c>
      <c r="AA25" s="17">
        <f>AA24/AA10</f>
        <v>0.61431609580766799</v>
      </c>
      <c r="AB25" s="17">
        <f>AB24/AB10</f>
        <v>0.57887527026463848</v>
      </c>
      <c r="AC25" s="17">
        <f>AC24/AC10</f>
        <v>0.57887527026463848</v>
      </c>
      <c r="AD25" s="17">
        <f>AD24/AD10</f>
        <v>0.57887527026463848</v>
      </c>
      <c r="AE25" s="17">
        <f>AE24/AE10</f>
        <v>0.57887527026463848</v>
      </c>
      <c r="AG25" s="131">
        <f>SUM(AE25-AA25)*10000</f>
        <v>-354.40825543029518</v>
      </c>
    </row>
    <row r="26" spans="2:33" ht="5.0999999999999996" customHeight="1">
      <c r="AG26" s="128"/>
    </row>
    <row r="27" spans="2:33" ht="12.75" customHeight="1">
      <c r="B27" s="31" t="s">
        <v>182</v>
      </c>
      <c r="C27" s="148">
        <f>'Historical Financials'!C95</f>
        <v>46482</v>
      </c>
      <c r="D27" s="148">
        <f>'Historical Financials'!D95</f>
        <v>40905</v>
      </c>
      <c r="E27" s="148">
        <f>'Historical Financials'!E95</f>
        <v>42193</v>
      </c>
      <c r="G27" s="148">
        <f>'Historical Financials'!G95</f>
        <v>0</v>
      </c>
      <c r="H27" s="148">
        <f>'Historical Financials'!H95</f>
        <v>0</v>
      </c>
      <c r="I27" s="148">
        <f>'Historical Financials'!I95</f>
        <v>0</v>
      </c>
      <c r="J27" s="148">
        <f>'Historical Financials'!J95</f>
        <v>40905</v>
      </c>
      <c r="K27" s="148">
        <f>'Historical Financials'!K95</f>
        <v>0</v>
      </c>
      <c r="L27" s="148">
        <f>'Historical Financials'!L95</f>
        <v>0</v>
      </c>
      <c r="M27" s="148">
        <f>'Historical Financials'!M95</f>
        <v>0</v>
      </c>
      <c r="N27" s="148">
        <f>'Historical Financials'!N95</f>
        <v>42193</v>
      </c>
      <c r="O27" s="148">
        <f>'Historical Financials'!O95</f>
        <v>0</v>
      </c>
      <c r="P27" s="148">
        <f>'Historical Financials'!P95</f>
        <v>0</v>
      </c>
      <c r="Q27" s="148">
        <f>'Historical Financials'!Q95</f>
        <v>0</v>
      </c>
      <c r="S27" s="10">
        <f>SUM(F27:F27)</f>
        <v>0</v>
      </c>
      <c r="T27" s="10" t="e">
        <f>SUM(#REF!)</f>
        <v>#REF!</v>
      </c>
      <c r="U27" s="10">
        <f>SUM(G27:G27)</f>
        <v>0</v>
      </c>
      <c r="V27" s="10">
        <f>SUM(G27:H27)</f>
        <v>0</v>
      </c>
      <c r="W27" s="10">
        <f>SUM(G27:I27)</f>
        <v>0</v>
      </c>
      <c r="X27" s="10">
        <f t="shared" ref="X27:AE27" si="28">SUM(G27:J27)</f>
        <v>40905</v>
      </c>
      <c r="Y27" s="10">
        <f t="shared" si="28"/>
        <v>40905</v>
      </c>
      <c r="Z27" s="10">
        <f t="shared" si="28"/>
        <v>40905</v>
      </c>
      <c r="AA27" s="149">
        <f t="shared" si="28"/>
        <v>40905</v>
      </c>
      <c r="AB27" s="149">
        <f t="shared" si="28"/>
        <v>42193</v>
      </c>
      <c r="AC27" s="149">
        <f t="shared" si="28"/>
        <v>42193</v>
      </c>
      <c r="AD27" s="149">
        <f t="shared" si="28"/>
        <v>42193</v>
      </c>
      <c r="AE27" s="149">
        <f t="shared" si="28"/>
        <v>42193</v>
      </c>
      <c r="AG27" s="129">
        <f>SUM(AE27/AA27)-1</f>
        <v>3.1487593203764819E-2</v>
      </c>
    </row>
    <row r="28" spans="2:33" ht="12.75" customHeight="1">
      <c r="B28" s="31" t="s">
        <v>183</v>
      </c>
      <c r="C28" s="180">
        <f>-C19</f>
        <v>0</v>
      </c>
      <c r="D28" s="180">
        <f t="shared" ref="D28:Q28" si="29">-D19</f>
        <v>15987</v>
      </c>
      <c r="E28" s="180">
        <f t="shared" si="29"/>
        <v>308902</v>
      </c>
      <c r="G28" s="180">
        <f t="shared" si="29"/>
        <v>0</v>
      </c>
      <c r="H28" s="180">
        <f t="shared" si="29"/>
        <v>0</v>
      </c>
      <c r="I28" s="180">
        <f t="shared" si="29"/>
        <v>0</v>
      </c>
      <c r="J28" s="180">
        <f t="shared" si="29"/>
        <v>15987</v>
      </c>
      <c r="K28" s="180">
        <f t="shared" si="29"/>
        <v>0</v>
      </c>
      <c r="L28" s="180">
        <f t="shared" si="29"/>
        <v>0</v>
      </c>
      <c r="M28" s="180">
        <f t="shared" si="29"/>
        <v>0</v>
      </c>
      <c r="N28" s="180">
        <f t="shared" si="29"/>
        <v>308902</v>
      </c>
      <c r="O28" s="180">
        <f t="shared" si="29"/>
        <v>0</v>
      </c>
      <c r="P28" s="180">
        <f t="shared" si="29"/>
        <v>0</v>
      </c>
      <c r="Q28" s="180">
        <f t="shared" si="29"/>
        <v>0</v>
      </c>
      <c r="S28" s="10"/>
      <c r="T28" s="10"/>
      <c r="U28" s="10"/>
      <c r="V28" s="10"/>
      <c r="W28" s="10"/>
      <c r="X28" s="10"/>
      <c r="Y28" s="10"/>
      <c r="Z28" s="10"/>
      <c r="AA28" s="149">
        <f t="shared" ref="AA28" si="30">SUM(J28:M28)</f>
        <v>15987</v>
      </c>
      <c r="AB28" s="149">
        <f t="shared" ref="AB28" si="31">SUM(K28:N28)</f>
        <v>308902</v>
      </c>
      <c r="AC28" s="149">
        <f t="shared" ref="AC28" si="32">SUM(L28:O28)</f>
        <v>308902</v>
      </c>
      <c r="AD28" s="149">
        <f t="shared" ref="AD28" si="33">SUM(M28:P28)</f>
        <v>308902</v>
      </c>
      <c r="AE28" s="149">
        <f t="shared" ref="AE28" si="34">SUM(N28:Q28)</f>
        <v>308902</v>
      </c>
      <c r="AG28" s="129"/>
    </row>
    <row r="29" spans="2:33" ht="12.75" customHeight="1">
      <c r="B29" s="13" t="s">
        <v>37</v>
      </c>
      <c r="C29" s="14">
        <f>SUM(C24+SUM(C27:C28))</f>
        <v>819427.00000000186</v>
      </c>
      <c r="D29" s="14">
        <f t="shared" ref="D29:E29" si="35">SUM(D24+SUM(D27:D28))</f>
        <v>365209</v>
      </c>
      <c r="E29" s="14">
        <f t="shared" si="35"/>
        <v>-70231.000000001863</v>
      </c>
      <c r="F29" s="11"/>
      <c r="G29" s="14">
        <f t="shared" ref="G29" si="36">SUM(G24+SUM(G27:G28))</f>
        <v>0</v>
      </c>
      <c r="H29" s="14">
        <f t="shared" ref="H29" si="37">SUM(H24+SUM(H27:H28))</f>
        <v>0</v>
      </c>
      <c r="I29" s="14">
        <f t="shared" ref="I29" si="38">SUM(I24+SUM(I27:I28))</f>
        <v>0</v>
      </c>
      <c r="J29" s="14">
        <f t="shared" ref="J29" si="39">SUM(J24+SUM(J27:J28))</f>
        <v>5714175</v>
      </c>
      <c r="K29" s="14">
        <f t="shared" ref="K29" si="40">SUM(K24+SUM(K27:K28))</f>
        <v>0</v>
      </c>
      <c r="L29" s="14">
        <f t="shared" ref="L29" si="41">SUM(L24+SUM(L27:L28))</f>
        <v>0</v>
      </c>
      <c r="M29" s="14">
        <f t="shared" ref="M29" si="42">SUM(M24+SUM(M27:M28))</f>
        <v>0</v>
      </c>
      <c r="N29" s="14">
        <f t="shared" ref="N29" si="43">SUM(N24+SUM(N27:N28))</f>
        <v>5615575.9999999981</v>
      </c>
      <c r="O29" s="14">
        <f t="shared" ref="O29" si="44">SUM(O24+SUM(O27:O28))</f>
        <v>0</v>
      </c>
      <c r="P29" s="14">
        <f t="shared" ref="P29" si="45">SUM(P24+SUM(P27:P28))</f>
        <v>0</v>
      </c>
      <c r="Q29" s="14">
        <f t="shared" ref="Q29" si="46">SUM(Q24+SUM(Q27:Q28))</f>
        <v>0</v>
      </c>
      <c r="S29" s="14">
        <f t="shared" ref="S29:Z29" si="47">+SUM(S24+SUM(S27:S27))</f>
        <v>0</v>
      </c>
      <c r="T29" s="14" t="e">
        <f t="shared" si="47"/>
        <v>#REF!</v>
      </c>
      <c r="U29" s="14">
        <f t="shared" si="47"/>
        <v>0</v>
      </c>
      <c r="V29" s="14">
        <f t="shared" si="47"/>
        <v>0</v>
      </c>
      <c r="W29" s="14">
        <f t="shared" si="47"/>
        <v>0</v>
      </c>
      <c r="X29" s="14">
        <f t="shared" si="47"/>
        <v>2290830.25</v>
      </c>
      <c r="Y29" s="14">
        <f t="shared" si="47"/>
        <v>2290830.25</v>
      </c>
      <c r="Z29" s="14">
        <f t="shared" si="47"/>
        <v>2290830.25</v>
      </c>
      <c r="AA29" s="14">
        <f t="shared" ref="AA29" si="48">SUM(AA24+SUM(AA27:AA28))</f>
        <v>5714175</v>
      </c>
      <c r="AB29" s="14">
        <f t="shared" ref="AB29" si="49">SUM(AB24+SUM(AB27:AB28))</f>
        <v>5615575.9999999981</v>
      </c>
      <c r="AC29" s="14">
        <f t="shared" ref="AC29" si="50">SUM(AC24+SUM(AC27:AC28))</f>
        <v>5615575.9999999981</v>
      </c>
      <c r="AD29" s="14">
        <f t="shared" ref="AD29" si="51">SUM(AD24+SUM(AD27:AD28))</f>
        <v>5615575.9999999981</v>
      </c>
      <c r="AE29" s="14">
        <f t="shared" ref="AE29" si="52">SUM(AE24+SUM(AE27:AE28))</f>
        <v>5615575.9999999981</v>
      </c>
      <c r="AG29" s="130">
        <f>SUM(AE29/AA29)-1</f>
        <v>-1.7255159318712132E-2</v>
      </c>
    </row>
    <row r="30" spans="2:33" ht="12.75" customHeight="1">
      <c r="B30" s="16" t="s">
        <v>38</v>
      </c>
      <c r="C30" s="17">
        <f>C29/C10</f>
        <v>8.9565885375621268E-2</v>
      </c>
      <c r="D30" s="17">
        <f>D29/D10</f>
        <v>3.9657511747922564E-2</v>
      </c>
      <c r="E30" s="17">
        <f>E29/E10</f>
        <v>-7.7225065692053821E-3</v>
      </c>
      <c r="G30" s="17" t="e">
        <f>G29/G10</f>
        <v>#DIV/0!</v>
      </c>
      <c r="H30" s="17" t="e">
        <f>H29/H10</f>
        <v>#DIV/0!</v>
      </c>
      <c r="I30" s="17" t="e">
        <f>I29/I10</f>
        <v>#DIV/0!</v>
      </c>
      <c r="J30" s="17">
        <f>J29/J10</f>
        <v>0.62049391496974449</v>
      </c>
      <c r="K30" s="17" t="e">
        <f>K29/K10</f>
        <v>#DIV/0!</v>
      </c>
      <c r="L30" s="17" t="e">
        <f>L29/L10</f>
        <v>#DIV/0!</v>
      </c>
      <c r="M30" s="17" t="e">
        <f>M29/M10</f>
        <v>#DIV/0!</v>
      </c>
      <c r="N30" s="17">
        <f>N29/N10</f>
        <v>0.61748120559113384</v>
      </c>
      <c r="O30" s="17" t="e">
        <f>O29/O10</f>
        <v>#DIV/0!</v>
      </c>
      <c r="P30" s="17" t="e">
        <f>P29/P10</f>
        <v>#DIV/0!</v>
      </c>
      <c r="Q30" s="17" t="e">
        <f>Q29/Q10</f>
        <v>#DIV/0!</v>
      </c>
      <c r="S30" s="17" t="e">
        <f>S29/S10</f>
        <v>#DIV/0!</v>
      </c>
      <c r="T30" s="17" t="e">
        <f>T29/T10</f>
        <v>#REF!</v>
      </c>
      <c r="U30" s="17" t="e">
        <f>U29/U10</f>
        <v>#DIV/0!</v>
      </c>
      <c r="V30" s="17" t="e">
        <f>V29/V10</f>
        <v>#DIV/0!</v>
      </c>
      <c r="W30" s="17" t="e">
        <f>W29/W10</f>
        <v>#DIV/0!</v>
      </c>
      <c r="X30" s="17">
        <f>X29/X10</f>
        <v>0.39485382539109432</v>
      </c>
      <c r="Y30" s="17">
        <f>Y29/Y10</f>
        <v>0.39485382539109432</v>
      </c>
      <c r="Z30" s="17">
        <f>Z29/Z10</f>
        <v>0.39485382539109432</v>
      </c>
      <c r="AA30" s="17">
        <f>AA29/AA10</f>
        <v>0.62049391496974449</v>
      </c>
      <c r="AB30" s="17">
        <f>AB29/AB10</f>
        <v>0.61748120559113384</v>
      </c>
      <c r="AC30" s="17">
        <f>AC29/AC10</f>
        <v>0.61748120559113384</v>
      </c>
      <c r="AD30" s="17">
        <f>AD29/AD10</f>
        <v>0.61748120559113384</v>
      </c>
      <c r="AE30" s="17">
        <f>AE29/AE10</f>
        <v>0.61748120559113384</v>
      </c>
      <c r="AG30" s="131">
        <f>SUM(AE30-AA30)*10000</f>
        <v>-30.12709378610645</v>
      </c>
    </row>
    <row r="31" spans="2:33" ht="5.0999999999999996" customHeight="1">
      <c r="AG31" s="128"/>
    </row>
    <row r="32" spans="2:33" ht="12.75" customHeight="1">
      <c r="B32" s="23" t="s">
        <v>39</v>
      </c>
      <c r="C32" s="148">
        <f>'Historical Financials'!C111</f>
        <v>-398757</v>
      </c>
      <c r="D32" s="148">
        <f>'Historical Financials'!D111</f>
        <v>-225672</v>
      </c>
      <c r="E32" s="148">
        <f>'Historical Financials'!E111</f>
        <v>-180800</v>
      </c>
      <c r="G32" s="148">
        <f>'Historical Financials'!G111</f>
        <v>0</v>
      </c>
      <c r="H32" s="148">
        <f>'Historical Financials'!H111</f>
        <v>0</v>
      </c>
      <c r="I32" s="148">
        <f>'Historical Financials'!I111</f>
        <v>0</v>
      </c>
      <c r="J32" s="148">
        <f>'Historical Financials'!J111</f>
        <v>-225672</v>
      </c>
      <c r="K32" s="148">
        <f>'Historical Financials'!K111</f>
        <v>0</v>
      </c>
      <c r="L32" s="148">
        <f>'Historical Financials'!L111</f>
        <v>0</v>
      </c>
      <c r="M32" s="148">
        <f>'Historical Financials'!M111</f>
        <v>0</v>
      </c>
      <c r="N32" s="148">
        <f>'Historical Financials'!N111</f>
        <v>-180800</v>
      </c>
      <c r="O32" s="148">
        <f>'Historical Financials'!O111</f>
        <v>0</v>
      </c>
      <c r="P32" s="148">
        <f>'Historical Financials'!P111</f>
        <v>0</v>
      </c>
      <c r="Q32" s="148">
        <f>'Historical Financials'!Q111</f>
        <v>0</v>
      </c>
      <c r="S32" s="10">
        <f>SUM(F32:F32)</f>
        <v>0</v>
      </c>
      <c r="T32" s="10" t="e">
        <f>SUM(#REF!)</f>
        <v>#REF!</v>
      </c>
      <c r="U32" s="10">
        <f>SUM(G32:G32)</f>
        <v>0</v>
      </c>
      <c r="V32" s="10">
        <f>SUM(G32:H32)</f>
        <v>0</v>
      </c>
      <c r="W32" s="10">
        <f>SUM(G32:I32)</f>
        <v>0</v>
      </c>
      <c r="X32" s="10">
        <f t="shared" ref="X32:AE35" si="53">SUM(G32:J32)</f>
        <v>-225672</v>
      </c>
      <c r="Y32" s="10">
        <f t="shared" si="53"/>
        <v>-225672</v>
      </c>
      <c r="Z32" s="10">
        <f t="shared" si="53"/>
        <v>-225672</v>
      </c>
      <c r="AA32" s="149">
        <f t="shared" si="53"/>
        <v>-225672</v>
      </c>
      <c r="AB32" s="149">
        <f t="shared" si="53"/>
        <v>-180800</v>
      </c>
      <c r="AC32" s="149">
        <f t="shared" si="53"/>
        <v>-180800</v>
      </c>
      <c r="AD32" s="149">
        <f t="shared" si="53"/>
        <v>-180800</v>
      </c>
      <c r="AE32" s="149">
        <f t="shared" si="53"/>
        <v>-180800</v>
      </c>
      <c r="AG32" s="129">
        <f>SUM(AE32/AA32)-1</f>
        <v>-0.19883725052288281</v>
      </c>
    </row>
    <row r="33" spans="1:33" ht="12.75" customHeight="1">
      <c r="B33" s="23" t="s">
        <v>40</v>
      </c>
      <c r="C33" s="148">
        <f>-'Historical Financials'!C141</f>
        <v>-94605</v>
      </c>
      <c r="D33" s="148">
        <f>-'Historical Financials'!D141</f>
        <v>-98792</v>
      </c>
      <c r="E33" s="148">
        <f>-'Historical Financials'!E141</f>
        <v>-37037</v>
      </c>
      <c r="G33" s="148">
        <f>-'Historical Financials'!G141</f>
        <v>0</v>
      </c>
      <c r="H33" s="148">
        <f>-'Historical Financials'!H141</f>
        <v>0</v>
      </c>
      <c r="I33" s="148">
        <f>-'Historical Financials'!I141</f>
        <v>0</v>
      </c>
      <c r="J33" s="148">
        <f>-'Historical Financials'!J141</f>
        <v>-98792</v>
      </c>
      <c r="K33" s="148">
        <f>-'Historical Financials'!K141</f>
        <v>0</v>
      </c>
      <c r="L33" s="148">
        <f>-'Historical Financials'!L141</f>
        <v>0</v>
      </c>
      <c r="M33" s="148">
        <f>-'Historical Financials'!M141</f>
        <v>0</v>
      </c>
      <c r="N33" s="148">
        <f>-'Historical Financials'!N141</f>
        <v>-37037</v>
      </c>
      <c r="O33" s="148">
        <f>-'Historical Financials'!O141</f>
        <v>0</v>
      </c>
      <c r="P33" s="148">
        <f>-'Historical Financials'!P141</f>
        <v>0</v>
      </c>
      <c r="Q33" s="148">
        <f>-'Historical Financials'!Q141</f>
        <v>0</v>
      </c>
      <c r="S33" s="10">
        <f>SUM(F33:F33)</f>
        <v>0</v>
      </c>
      <c r="T33" s="10" t="e">
        <f>SUM(#REF!)</f>
        <v>#REF!</v>
      </c>
      <c r="U33" s="10">
        <f>SUM(G33:G33)</f>
        <v>0</v>
      </c>
      <c r="V33" s="10">
        <f>SUM(G33:H33)</f>
        <v>0</v>
      </c>
      <c r="W33" s="10">
        <f>SUM(G33:I33)</f>
        <v>0</v>
      </c>
      <c r="X33" s="10">
        <f t="shared" si="53"/>
        <v>-98792</v>
      </c>
      <c r="Y33" s="10">
        <f t="shared" si="53"/>
        <v>-98792</v>
      </c>
      <c r="Z33" s="10">
        <f t="shared" si="53"/>
        <v>-98792</v>
      </c>
      <c r="AA33" s="149">
        <f t="shared" si="53"/>
        <v>-98792</v>
      </c>
      <c r="AB33" s="149">
        <f t="shared" si="53"/>
        <v>-37037</v>
      </c>
      <c r="AC33" s="149">
        <f t="shared" si="53"/>
        <v>-37037</v>
      </c>
      <c r="AD33" s="149">
        <f t="shared" si="53"/>
        <v>-37037</v>
      </c>
      <c r="AE33" s="149">
        <f t="shared" si="53"/>
        <v>-37037</v>
      </c>
      <c r="AG33" s="129">
        <f>SUM(AE33/AA33)-1</f>
        <v>-0.6251012227710746</v>
      </c>
    </row>
    <row r="34" spans="1:33" ht="12.75" customHeight="1">
      <c r="B34" s="23" t="s">
        <v>72</v>
      </c>
      <c r="C34" s="148">
        <f>-'Historical Financials'!C140</f>
        <v>-46159</v>
      </c>
      <c r="D34" s="148">
        <f>-'Historical Financials'!D140</f>
        <v>-73844</v>
      </c>
      <c r="E34" s="148">
        <f>-'Historical Financials'!E140</f>
        <v>-75740</v>
      </c>
      <c r="G34" s="148">
        <f>-'Historical Financials'!G140</f>
        <v>0</v>
      </c>
      <c r="H34" s="148">
        <f>-'Historical Financials'!H140</f>
        <v>0</v>
      </c>
      <c r="I34" s="148">
        <f>-'Historical Financials'!I140</f>
        <v>0</v>
      </c>
      <c r="J34" s="148">
        <f>-'Historical Financials'!J140</f>
        <v>-73844</v>
      </c>
      <c r="K34" s="148">
        <f>-'Historical Financials'!K140</f>
        <v>0</v>
      </c>
      <c r="L34" s="148">
        <f>-'Historical Financials'!L140</f>
        <v>0</v>
      </c>
      <c r="M34" s="148">
        <f>-'Historical Financials'!M140</f>
        <v>0</v>
      </c>
      <c r="N34" s="148">
        <f>-'Historical Financials'!N140</f>
        <v>-75740</v>
      </c>
      <c r="O34" s="148">
        <f>-'Historical Financials'!O140</f>
        <v>0</v>
      </c>
      <c r="P34" s="148">
        <f>-'Historical Financials'!P140</f>
        <v>0</v>
      </c>
      <c r="Q34" s="148">
        <f>-'Historical Financials'!Q140</f>
        <v>0</v>
      </c>
      <c r="S34" s="10">
        <f>SUM(F34:F34)</f>
        <v>0</v>
      </c>
      <c r="T34" s="10" t="e">
        <f>SUM(#REF!)</f>
        <v>#REF!</v>
      </c>
      <c r="U34" s="10">
        <f>SUM(G34:G34)</f>
        <v>0</v>
      </c>
      <c r="V34" s="10">
        <f>SUM(G34:H34)</f>
        <v>0</v>
      </c>
      <c r="W34" s="10">
        <f>SUM(G34:I34)</f>
        <v>0</v>
      </c>
      <c r="X34" s="10">
        <f t="shared" si="53"/>
        <v>-73844</v>
      </c>
      <c r="Y34" s="10">
        <f t="shared" si="53"/>
        <v>-73844</v>
      </c>
      <c r="Z34" s="10">
        <f t="shared" si="53"/>
        <v>-73844</v>
      </c>
      <c r="AA34" s="149">
        <f t="shared" si="53"/>
        <v>-73844</v>
      </c>
      <c r="AB34" s="149">
        <f t="shared" si="53"/>
        <v>-75740</v>
      </c>
      <c r="AC34" s="149">
        <f t="shared" si="53"/>
        <v>-75740</v>
      </c>
      <c r="AD34" s="149">
        <f t="shared" si="53"/>
        <v>-75740</v>
      </c>
      <c r="AE34" s="149">
        <f t="shared" si="53"/>
        <v>-75740</v>
      </c>
      <c r="AG34" s="129">
        <f>SUM(AE34/AA34)-1</f>
        <v>2.5675748876008875E-2</v>
      </c>
    </row>
    <row r="35" spans="1:33" ht="12.75" customHeight="1">
      <c r="B35" s="23" t="s">
        <v>41</v>
      </c>
      <c r="C35" s="148">
        <f>SUM('Historical Financials'!C103:C107)</f>
        <v>-67858</v>
      </c>
      <c r="D35" s="148">
        <f>SUM('Historical Financials'!D103:D107)</f>
        <v>-105472</v>
      </c>
      <c r="E35" s="148">
        <f>SUM('Historical Financials'!E103:E107)</f>
        <v>400461</v>
      </c>
      <c r="G35" s="148">
        <f>SUM('Historical Financials'!G103:G107)</f>
        <v>0</v>
      </c>
      <c r="H35" s="148">
        <f>SUM('Historical Financials'!H103:H107)</f>
        <v>0</v>
      </c>
      <c r="I35" s="148">
        <f>SUM('Historical Financials'!I103:I107)</f>
        <v>0</v>
      </c>
      <c r="J35" s="148">
        <f>SUM('Historical Financials'!J103:J107)</f>
        <v>-105472</v>
      </c>
      <c r="K35" s="148">
        <f>SUM('Historical Financials'!K103:K107)</f>
        <v>0</v>
      </c>
      <c r="L35" s="148">
        <f>SUM('Historical Financials'!L103:L107)</f>
        <v>0</v>
      </c>
      <c r="M35" s="148">
        <f>SUM('Historical Financials'!M103:M107)</f>
        <v>0</v>
      </c>
      <c r="N35" s="148">
        <f>SUM('Historical Financials'!N103:N107)</f>
        <v>400461</v>
      </c>
      <c r="O35" s="148">
        <f>SUM('Historical Financials'!O103:O107)</f>
        <v>0</v>
      </c>
      <c r="P35" s="148">
        <f>SUM('Historical Financials'!P103:P107)</f>
        <v>0</v>
      </c>
      <c r="Q35" s="148">
        <f>SUM('Historical Financials'!Q103:Q107)</f>
        <v>0</v>
      </c>
      <c r="S35" s="10">
        <f>SUM(F35:F35)</f>
        <v>0</v>
      </c>
      <c r="T35" s="10" t="e">
        <f>SUM(#REF!)</f>
        <v>#REF!</v>
      </c>
      <c r="U35" s="10">
        <f>SUM(G35:G35)</f>
        <v>0</v>
      </c>
      <c r="V35" s="10">
        <f>SUM(G35:H35)</f>
        <v>0</v>
      </c>
      <c r="W35" s="10">
        <f>SUM(G35:I35)</f>
        <v>0</v>
      </c>
      <c r="X35" s="10">
        <f t="shared" si="53"/>
        <v>-105472</v>
      </c>
      <c r="Y35" s="10">
        <f t="shared" si="53"/>
        <v>-105472</v>
      </c>
      <c r="Z35" s="10">
        <f t="shared" si="53"/>
        <v>-105472</v>
      </c>
      <c r="AA35" s="149">
        <f t="shared" si="53"/>
        <v>-105472</v>
      </c>
      <c r="AB35" s="149">
        <f t="shared" si="53"/>
        <v>400461</v>
      </c>
      <c r="AC35" s="149">
        <f t="shared" si="53"/>
        <v>400461</v>
      </c>
      <c r="AD35" s="149">
        <f t="shared" si="53"/>
        <v>400461</v>
      </c>
      <c r="AE35" s="149">
        <f t="shared" si="53"/>
        <v>400461</v>
      </c>
      <c r="AG35" s="129">
        <f>SUM(AE35/AA35)-1</f>
        <v>-4.7968465564320386</v>
      </c>
    </row>
    <row r="36" spans="1:33" ht="12.75" customHeight="1">
      <c r="B36" s="13" t="s">
        <v>42</v>
      </c>
      <c r="C36" s="14">
        <f>SUM(C29+SUM(C32:C35))</f>
        <v>212048.00000000186</v>
      </c>
      <c r="D36" s="14">
        <f>SUM(D29+SUM(D32:D35))</f>
        <v>-138571</v>
      </c>
      <c r="E36" s="14">
        <f>SUM(E29+SUM(E32:E35))</f>
        <v>36652.999999998137</v>
      </c>
      <c r="G36" s="14">
        <f t="shared" ref="G36:P36" si="54">SUM(G29+SUM(G32:G35))</f>
        <v>0</v>
      </c>
      <c r="H36" s="14">
        <f t="shared" si="54"/>
        <v>0</v>
      </c>
      <c r="I36" s="14">
        <f t="shared" si="54"/>
        <v>0</v>
      </c>
      <c r="J36" s="14">
        <f t="shared" si="54"/>
        <v>5210395</v>
      </c>
      <c r="K36" s="14">
        <f t="shared" si="54"/>
        <v>0</v>
      </c>
      <c r="L36" s="14">
        <f t="shared" si="54"/>
        <v>0</v>
      </c>
      <c r="M36" s="14">
        <f t="shared" si="54"/>
        <v>0</v>
      </c>
      <c r="N36" s="14">
        <f t="shared" si="54"/>
        <v>5722459.9999999981</v>
      </c>
      <c r="O36" s="14">
        <f t="shared" si="54"/>
        <v>0</v>
      </c>
      <c r="P36" s="14">
        <f t="shared" si="54"/>
        <v>0</v>
      </c>
      <c r="Q36" s="14">
        <f>SUM(Q29+SUM(Q32:Q35))</f>
        <v>0</v>
      </c>
      <c r="S36" s="14">
        <f t="shared" ref="S36:AC36" si="55">SUM(S29+SUM(S32:S35))</f>
        <v>0</v>
      </c>
      <c r="T36" s="14" t="e">
        <f t="shared" si="55"/>
        <v>#REF!</v>
      </c>
      <c r="U36" s="14">
        <f t="shared" si="55"/>
        <v>0</v>
      </c>
      <c r="V36" s="14">
        <f t="shared" si="55"/>
        <v>0</v>
      </c>
      <c r="W36" s="14">
        <f t="shared" si="55"/>
        <v>0</v>
      </c>
      <c r="X36" s="14">
        <f t="shared" si="55"/>
        <v>1787050.25</v>
      </c>
      <c r="Y36" s="14">
        <f t="shared" si="55"/>
        <v>1787050.25</v>
      </c>
      <c r="Z36" s="14">
        <f t="shared" si="55"/>
        <v>1787050.25</v>
      </c>
      <c r="AA36" s="14">
        <f t="shared" si="55"/>
        <v>5210395</v>
      </c>
      <c r="AB36" s="14">
        <f t="shared" si="55"/>
        <v>5722459.9999999981</v>
      </c>
      <c r="AC36" s="14">
        <f t="shared" si="55"/>
        <v>5722459.9999999981</v>
      </c>
      <c r="AD36" s="14">
        <f>SUM(AD29+SUM(AD32:AD35))</f>
        <v>5722459.9999999981</v>
      </c>
      <c r="AE36" s="14">
        <f>SUM(AE29+SUM(AE32:AE35))</f>
        <v>5722459.9999999981</v>
      </c>
      <c r="AG36" s="130">
        <f>SUM(AE36/AA36)-1</f>
        <v>9.8277577803601801E-2</v>
      </c>
    </row>
    <row r="37" spans="1:33" ht="5.0999999999999996" customHeight="1"/>
    <row r="38" spans="1:33" ht="12.75" customHeight="1">
      <c r="B38" s="31" t="s">
        <v>108</v>
      </c>
      <c r="C38" s="148"/>
      <c r="D38" s="148"/>
      <c r="E38" s="148"/>
      <c r="F38" s="32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S38" s="10">
        <f>SUM(F38:F38)</f>
        <v>0</v>
      </c>
      <c r="T38" s="10" t="e">
        <f>SUM(#REF!)</f>
        <v>#REF!</v>
      </c>
      <c r="U38" s="10">
        <f>SUM(G38:G38)</f>
        <v>0</v>
      </c>
      <c r="V38" s="10">
        <f>SUM(G38:H38)</f>
        <v>0</v>
      </c>
      <c r="W38" s="10">
        <f>SUM(G38:I38)</f>
        <v>0</v>
      </c>
      <c r="X38" s="10">
        <f t="shared" ref="X38:AE39" si="56">SUM(G38:J38)</f>
        <v>0</v>
      </c>
      <c r="Y38" s="10">
        <f t="shared" si="56"/>
        <v>0</v>
      </c>
      <c r="Z38" s="10">
        <f t="shared" si="56"/>
        <v>0</v>
      </c>
      <c r="AA38" s="149">
        <f t="shared" si="56"/>
        <v>0</v>
      </c>
      <c r="AB38" s="149">
        <f t="shared" si="56"/>
        <v>0</v>
      </c>
      <c r="AC38" s="149">
        <f t="shared" si="56"/>
        <v>0</v>
      </c>
      <c r="AD38" s="149">
        <f t="shared" si="56"/>
        <v>0</v>
      </c>
      <c r="AE38" s="149">
        <f t="shared" si="56"/>
        <v>0</v>
      </c>
    </row>
    <row r="39" spans="1:33" ht="12.75" customHeight="1">
      <c r="B39" s="31" t="s">
        <v>96</v>
      </c>
      <c r="C39" s="148"/>
      <c r="D39" s="148"/>
      <c r="E39" s="148"/>
      <c r="F39" s="32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S39" s="10">
        <f>SUM(F39:F39)</f>
        <v>0</v>
      </c>
      <c r="T39" s="10" t="e">
        <f>SUM(#REF!)</f>
        <v>#REF!</v>
      </c>
      <c r="U39" s="10">
        <f>SUM(G39:G39)</f>
        <v>0</v>
      </c>
      <c r="V39" s="10">
        <f>SUM(G39:H39)</f>
        <v>0</v>
      </c>
      <c r="W39" s="10">
        <f>SUM(G39:I39)</f>
        <v>0</v>
      </c>
      <c r="X39" s="10">
        <f t="shared" si="56"/>
        <v>0</v>
      </c>
      <c r="Y39" s="10">
        <f t="shared" si="56"/>
        <v>0</v>
      </c>
      <c r="Z39" s="10">
        <f t="shared" si="56"/>
        <v>0</v>
      </c>
      <c r="AA39" s="149">
        <f t="shared" si="56"/>
        <v>0</v>
      </c>
      <c r="AB39" s="149">
        <f t="shared" si="56"/>
        <v>0</v>
      </c>
      <c r="AC39" s="149">
        <f t="shared" si="56"/>
        <v>0</v>
      </c>
      <c r="AD39" s="149">
        <f t="shared" si="56"/>
        <v>0</v>
      </c>
      <c r="AE39" s="149">
        <f t="shared" si="56"/>
        <v>0</v>
      </c>
    </row>
    <row r="40" spans="1:33" ht="12.75" customHeight="1">
      <c r="B40" s="31" t="s">
        <v>109</v>
      </c>
      <c r="C40" s="148"/>
      <c r="D40" s="148"/>
      <c r="E40" s="148"/>
      <c r="F40" s="32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S40" s="10"/>
      <c r="T40" s="10"/>
      <c r="U40" s="10"/>
      <c r="V40" s="10"/>
      <c r="W40" s="10"/>
      <c r="X40" s="10"/>
      <c r="Y40" s="10"/>
      <c r="Z40" s="10"/>
      <c r="AA40" s="149">
        <f t="shared" ref="AA40:AE41" si="57">SUM(J40:M40)</f>
        <v>0</v>
      </c>
      <c r="AB40" s="149">
        <f t="shared" si="57"/>
        <v>0</v>
      </c>
      <c r="AC40" s="149">
        <f t="shared" si="57"/>
        <v>0</v>
      </c>
      <c r="AD40" s="149">
        <f t="shared" si="57"/>
        <v>0</v>
      </c>
      <c r="AE40" s="149">
        <f t="shared" si="57"/>
        <v>0</v>
      </c>
    </row>
    <row r="41" spans="1:33" ht="12.75" customHeight="1">
      <c r="B41" s="31" t="s">
        <v>110</v>
      </c>
      <c r="C41" s="148"/>
      <c r="D41" s="148"/>
      <c r="E41" s="148"/>
      <c r="F41" s="32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S41" s="10"/>
      <c r="T41" s="10"/>
      <c r="U41" s="10"/>
      <c r="V41" s="10"/>
      <c r="W41" s="10"/>
      <c r="X41" s="10"/>
      <c r="Y41" s="10"/>
      <c r="Z41" s="10"/>
      <c r="AA41" s="149">
        <f t="shared" si="57"/>
        <v>0</v>
      </c>
      <c r="AB41" s="149">
        <f t="shared" si="57"/>
        <v>0</v>
      </c>
      <c r="AC41" s="149">
        <f t="shared" si="57"/>
        <v>0</v>
      </c>
      <c r="AD41" s="149">
        <f t="shared" si="57"/>
        <v>0</v>
      </c>
      <c r="AE41" s="149">
        <f t="shared" si="57"/>
        <v>0</v>
      </c>
    </row>
    <row r="42" spans="1:33" ht="12.75" customHeight="1">
      <c r="B42" s="31" t="s">
        <v>111</v>
      </c>
      <c r="C42" s="148"/>
      <c r="D42" s="148"/>
      <c r="E42" s="148"/>
      <c r="F42" s="32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S42" s="10"/>
      <c r="T42" s="10"/>
      <c r="U42" s="10"/>
      <c r="V42" s="10"/>
      <c r="W42" s="10"/>
      <c r="X42" s="10"/>
      <c r="Y42" s="10"/>
      <c r="Z42" s="10">
        <f t="shared" ref="Z42:AE44" si="58">SUM(I42:L42)</f>
        <v>0</v>
      </c>
      <c r="AA42" s="149">
        <f t="shared" si="58"/>
        <v>0</v>
      </c>
      <c r="AB42" s="149">
        <f t="shared" si="58"/>
        <v>0</v>
      </c>
      <c r="AC42" s="149">
        <f t="shared" si="58"/>
        <v>0</v>
      </c>
      <c r="AD42" s="149">
        <f t="shared" si="58"/>
        <v>0</v>
      </c>
      <c r="AE42" s="149">
        <f t="shared" si="58"/>
        <v>0</v>
      </c>
    </row>
    <row r="43" spans="1:33" ht="12.75" customHeight="1">
      <c r="B43" s="31" t="s">
        <v>112</v>
      </c>
      <c r="C43" s="148"/>
      <c r="D43" s="148"/>
      <c r="E43" s="148"/>
      <c r="F43" s="32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S43" s="10"/>
      <c r="T43" s="10"/>
      <c r="U43" s="10"/>
      <c r="V43" s="10"/>
      <c r="W43" s="10"/>
      <c r="X43" s="10"/>
      <c r="Y43" s="10"/>
      <c r="Z43" s="10"/>
      <c r="AA43" s="149">
        <f>SUM(J43:M43)</f>
        <v>0</v>
      </c>
      <c r="AB43" s="149">
        <f>SUM(K43:N43)</f>
        <v>0</v>
      </c>
      <c r="AC43" s="149">
        <f>SUM(L43:O43)</f>
        <v>0</v>
      </c>
      <c r="AD43" s="149">
        <f>SUM(M43:P43)</f>
        <v>0</v>
      </c>
      <c r="AE43" s="149">
        <f>SUM(N43:Q43)</f>
        <v>0</v>
      </c>
    </row>
    <row r="44" spans="1:33" ht="12.75" customHeight="1">
      <c r="B44" s="31" t="s">
        <v>68</v>
      </c>
      <c r="C44" s="98"/>
      <c r="D44" s="98">
        <f>SUM(D49-C49)-SUM(D36:D42)</f>
        <v>355815</v>
      </c>
      <c r="E44" s="98">
        <f>SUM(E49-D49)-SUM(E36:E43)</f>
        <v>1344715.0000000019</v>
      </c>
      <c r="F44" s="32"/>
      <c r="G44" s="98"/>
      <c r="H44" s="98">
        <f t="shared" ref="H44:Q44" si="59">SUM(H49-G49)-SUM(H36:H43)</f>
        <v>0</v>
      </c>
      <c r="I44" s="98">
        <f t="shared" si="59"/>
        <v>0</v>
      </c>
      <c r="J44" s="98">
        <f t="shared" si="59"/>
        <v>-4722346</v>
      </c>
      <c r="K44" s="98">
        <f t="shared" si="59"/>
        <v>-488049</v>
      </c>
      <c r="L44" s="98">
        <f t="shared" si="59"/>
        <v>0</v>
      </c>
      <c r="M44" s="98">
        <f t="shared" si="59"/>
        <v>0</v>
      </c>
      <c r="N44" s="98">
        <f t="shared" si="59"/>
        <v>-3853042.9999999981</v>
      </c>
      <c r="O44" s="98">
        <f t="shared" si="59"/>
        <v>-1869417</v>
      </c>
      <c r="P44" s="98">
        <f t="shared" si="59"/>
        <v>0</v>
      </c>
      <c r="Q44" s="98">
        <f t="shared" si="59"/>
        <v>0</v>
      </c>
      <c r="S44" s="10">
        <f>SUM(F44:F44)</f>
        <v>0</v>
      </c>
      <c r="T44" s="10" t="e">
        <f>SUM(#REF!)</f>
        <v>#REF!</v>
      </c>
      <c r="U44" s="10">
        <f>SUM(G44:G44)</f>
        <v>0</v>
      </c>
      <c r="V44" s="10">
        <f>SUM(G44:H44)</f>
        <v>0</v>
      </c>
      <c r="W44" s="10">
        <f>SUM(G44:I44)</f>
        <v>0</v>
      </c>
      <c r="X44" s="10">
        <f t="shared" ref="X44:Y44" si="60">SUM(G44:J44)</f>
        <v>-4722346</v>
      </c>
      <c r="Y44" s="10">
        <f t="shared" si="60"/>
        <v>-5210395</v>
      </c>
      <c r="Z44" s="10">
        <f t="shared" si="58"/>
        <v>-5210395</v>
      </c>
      <c r="AA44" s="149">
        <f t="shared" si="58"/>
        <v>-5210395</v>
      </c>
      <c r="AB44" s="149">
        <f t="shared" si="58"/>
        <v>-4341091.9999999981</v>
      </c>
      <c r="AC44" s="149">
        <f t="shared" si="58"/>
        <v>-5722459.9999999981</v>
      </c>
      <c r="AD44" s="149">
        <f t="shared" si="58"/>
        <v>-5722459.9999999981</v>
      </c>
      <c r="AE44" s="149">
        <f t="shared" si="58"/>
        <v>-5722459.9999999981</v>
      </c>
    </row>
    <row r="45" spans="1:33" ht="12.75" customHeight="1">
      <c r="B45" s="13" t="s">
        <v>43</v>
      </c>
      <c r="C45" s="14">
        <f>SUM(C36+SUM(C38:C44))</f>
        <v>212048.00000000186</v>
      </c>
      <c r="D45" s="14">
        <f>SUM(D36+SUM(D38:D44))</f>
        <v>217244</v>
      </c>
      <c r="E45" s="14">
        <f>SUM(E36+SUM(E38:E44))</f>
        <v>1381368</v>
      </c>
      <c r="G45" s="14">
        <f t="shared" ref="G45:Q45" si="61">SUM(G36+SUM(G38:G44))</f>
        <v>0</v>
      </c>
      <c r="H45" s="14">
        <f t="shared" si="61"/>
        <v>0</v>
      </c>
      <c r="I45" s="14">
        <f t="shared" si="61"/>
        <v>0</v>
      </c>
      <c r="J45" s="14">
        <f t="shared" si="61"/>
        <v>488049</v>
      </c>
      <c r="K45" s="14">
        <f t="shared" si="61"/>
        <v>-488049</v>
      </c>
      <c r="L45" s="14">
        <f t="shared" si="61"/>
        <v>0</v>
      </c>
      <c r="M45" s="14">
        <f t="shared" si="61"/>
        <v>0</v>
      </c>
      <c r="N45" s="14">
        <f t="shared" si="61"/>
        <v>1869417</v>
      </c>
      <c r="O45" s="14">
        <f t="shared" si="61"/>
        <v>-1869417</v>
      </c>
      <c r="P45" s="14">
        <f t="shared" si="61"/>
        <v>0</v>
      </c>
      <c r="Q45" s="14">
        <f t="shared" si="61"/>
        <v>0</v>
      </c>
      <c r="S45" s="14">
        <f t="shared" ref="S45:AE45" si="62">SUM(S36+SUM(S38:S44))</f>
        <v>0</v>
      </c>
      <c r="T45" s="14" t="e">
        <f t="shared" si="62"/>
        <v>#REF!</v>
      </c>
      <c r="U45" s="14">
        <f t="shared" si="62"/>
        <v>0</v>
      </c>
      <c r="V45" s="14">
        <f t="shared" si="62"/>
        <v>0</v>
      </c>
      <c r="W45" s="14">
        <f t="shared" si="62"/>
        <v>0</v>
      </c>
      <c r="X45" s="14">
        <f t="shared" si="62"/>
        <v>-2935295.75</v>
      </c>
      <c r="Y45" s="14">
        <f t="shared" si="62"/>
        <v>-3423344.75</v>
      </c>
      <c r="Z45" s="14">
        <f t="shared" si="62"/>
        <v>-3423344.75</v>
      </c>
      <c r="AA45" s="14">
        <f t="shared" si="62"/>
        <v>0</v>
      </c>
      <c r="AB45" s="14">
        <f t="shared" si="62"/>
        <v>1381368</v>
      </c>
      <c r="AC45" s="14">
        <f t="shared" si="62"/>
        <v>0</v>
      </c>
      <c r="AD45" s="14">
        <f t="shared" si="62"/>
        <v>0</v>
      </c>
      <c r="AE45" s="14">
        <f t="shared" si="62"/>
        <v>0</v>
      </c>
    </row>
    <row r="46" spans="1:33" ht="5.0999999999999996" customHeight="1"/>
    <row r="47" spans="1:33" ht="12.75" customHeight="1">
      <c r="A47" s="5"/>
      <c r="B47" s="33" t="s">
        <v>44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</row>
    <row r="48" spans="1:33" ht="5.0999999999999996" customHeight="1"/>
    <row r="49" spans="2:31" ht="12.75" customHeight="1">
      <c r="B49" s="8" t="s">
        <v>45</v>
      </c>
      <c r="C49" s="96">
        <f>'Historical Financials'!C46</f>
        <v>270805</v>
      </c>
      <c r="D49" s="96">
        <f>'Historical Financials'!D46</f>
        <v>488049</v>
      </c>
      <c r="E49" s="96">
        <f>'Historical Financials'!E46</f>
        <v>1869417</v>
      </c>
      <c r="F49" s="32"/>
      <c r="G49" s="96">
        <f>'Historical Financials'!G46</f>
        <v>0</v>
      </c>
      <c r="H49" s="96">
        <f>'Historical Financials'!H46</f>
        <v>0</v>
      </c>
      <c r="I49" s="96">
        <f>'Historical Financials'!I46</f>
        <v>0</v>
      </c>
      <c r="J49" s="96">
        <f>'Historical Financials'!J46</f>
        <v>488049</v>
      </c>
      <c r="K49" s="96">
        <f>'Historical Financials'!K46</f>
        <v>0</v>
      </c>
      <c r="L49" s="96">
        <f>'Historical Financials'!L46</f>
        <v>0</v>
      </c>
      <c r="M49" s="96">
        <f>'Historical Financials'!M46</f>
        <v>0</v>
      </c>
      <c r="N49" s="96">
        <f>'Historical Financials'!N46</f>
        <v>1869417</v>
      </c>
      <c r="O49" s="96">
        <f>'Historical Financials'!O46</f>
        <v>0</v>
      </c>
      <c r="P49" s="96">
        <f>'Historical Financials'!P46</f>
        <v>0</v>
      </c>
      <c r="Q49" s="96">
        <f>'Historical Financials'!Q46</f>
        <v>0</v>
      </c>
      <c r="S49" s="10" t="e">
        <f>#REF!</f>
        <v>#REF!</v>
      </c>
      <c r="T49" s="10" t="e">
        <f>#REF!</f>
        <v>#REF!</v>
      </c>
      <c r="U49" s="10">
        <f t="shared" ref="U49:AE49" si="63">G49</f>
        <v>0</v>
      </c>
      <c r="V49" s="10">
        <f t="shared" si="63"/>
        <v>0</v>
      </c>
      <c r="W49" s="10">
        <f t="shared" si="63"/>
        <v>0</v>
      </c>
      <c r="X49" s="10">
        <f t="shared" si="63"/>
        <v>488049</v>
      </c>
      <c r="Y49" s="10">
        <f t="shared" si="63"/>
        <v>0</v>
      </c>
      <c r="Z49" s="10">
        <f t="shared" si="63"/>
        <v>0</v>
      </c>
      <c r="AA49" s="10">
        <f t="shared" si="63"/>
        <v>0</v>
      </c>
      <c r="AB49" s="10">
        <f t="shared" si="63"/>
        <v>1869417</v>
      </c>
      <c r="AC49" s="10">
        <f t="shared" si="63"/>
        <v>0</v>
      </c>
      <c r="AD49" s="10">
        <f t="shared" si="63"/>
        <v>0</v>
      </c>
      <c r="AE49" s="10">
        <f t="shared" si="63"/>
        <v>0</v>
      </c>
    </row>
    <row r="50" spans="2:31" ht="12.75" customHeight="1">
      <c r="B50" s="8" t="s">
        <v>117</v>
      </c>
      <c r="C50" s="96"/>
      <c r="D50" s="96"/>
      <c r="E50" s="96"/>
      <c r="F50" s="32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S50" s="10"/>
      <c r="T50" s="10"/>
      <c r="U50" s="10"/>
      <c r="V50" s="10"/>
      <c r="W50" s="10"/>
      <c r="X50" s="10"/>
      <c r="Y50" s="10"/>
      <c r="Z50" s="10"/>
      <c r="AA50" s="10">
        <f t="shared" ref="AA50:AE51" si="64">M50</f>
        <v>0</v>
      </c>
      <c r="AB50" s="10">
        <f t="shared" si="64"/>
        <v>0</v>
      </c>
      <c r="AC50" s="10">
        <f t="shared" si="64"/>
        <v>0</v>
      </c>
      <c r="AD50" s="10">
        <f t="shared" si="64"/>
        <v>0</v>
      </c>
      <c r="AE50" s="10">
        <f t="shared" si="64"/>
        <v>0</v>
      </c>
    </row>
    <row r="51" spans="2:31" ht="12.75" customHeight="1">
      <c r="B51" s="31" t="s">
        <v>117</v>
      </c>
      <c r="C51" s="82"/>
      <c r="D51" s="82"/>
      <c r="E51" s="82"/>
      <c r="F51" s="96"/>
      <c r="G51" s="82"/>
      <c r="H51" s="82"/>
      <c r="I51" s="82"/>
      <c r="J51" s="10"/>
      <c r="K51" s="82"/>
      <c r="L51" s="82"/>
      <c r="M51" s="82"/>
      <c r="N51" s="10"/>
      <c r="O51" s="82"/>
      <c r="P51" s="82"/>
      <c r="Q51" s="82"/>
      <c r="S51" s="10"/>
      <c r="T51" s="10"/>
      <c r="U51" s="10"/>
      <c r="V51" s="10"/>
      <c r="W51" s="10"/>
      <c r="X51" s="10"/>
      <c r="Y51" s="10"/>
      <c r="Z51" s="10"/>
      <c r="AA51" s="10">
        <f t="shared" si="64"/>
        <v>0</v>
      </c>
      <c r="AB51" s="10">
        <f t="shared" si="64"/>
        <v>0</v>
      </c>
      <c r="AC51" s="10">
        <f t="shared" si="64"/>
        <v>0</v>
      </c>
      <c r="AD51" s="10">
        <f t="shared" si="64"/>
        <v>0</v>
      </c>
      <c r="AE51" s="10">
        <f t="shared" si="64"/>
        <v>0</v>
      </c>
    </row>
    <row r="52" spans="2:31" ht="12.75" customHeight="1">
      <c r="B52" s="13" t="s">
        <v>46</v>
      </c>
      <c r="C52" s="14">
        <f>SUM(C49:C51)</f>
        <v>270805</v>
      </c>
      <c r="D52" s="14">
        <f>SUM(D49:D51)</f>
        <v>488049</v>
      </c>
      <c r="E52" s="14">
        <f>SUM(E49:E51)</f>
        <v>1869417</v>
      </c>
      <c r="F52" s="32"/>
      <c r="G52" s="14">
        <f t="shared" ref="G52:Q52" si="65">SUM(G49:G51)</f>
        <v>0</v>
      </c>
      <c r="H52" s="14">
        <f t="shared" si="65"/>
        <v>0</v>
      </c>
      <c r="I52" s="14">
        <f t="shared" si="65"/>
        <v>0</v>
      </c>
      <c r="J52" s="14">
        <f t="shared" si="65"/>
        <v>488049</v>
      </c>
      <c r="K52" s="14">
        <f t="shared" si="65"/>
        <v>0</v>
      </c>
      <c r="L52" s="14">
        <f t="shared" si="65"/>
        <v>0</v>
      </c>
      <c r="M52" s="14">
        <f t="shared" si="65"/>
        <v>0</v>
      </c>
      <c r="N52" s="14">
        <f t="shared" si="65"/>
        <v>1869417</v>
      </c>
      <c r="O52" s="14">
        <f t="shared" si="65"/>
        <v>0</v>
      </c>
      <c r="P52" s="14">
        <f t="shared" si="65"/>
        <v>0</v>
      </c>
      <c r="Q52" s="14">
        <f t="shared" si="65"/>
        <v>0</v>
      </c>
      <c r="S52" s="14" t="e">
        <f t="shared" ref="S52:Z52" si="66">SUM(S49:S49)</f>
        <v>#REF!</v>
      </c>
      <c r="T52" s="14" t="e">
        <f t="shared" si="66"/>
        <v>#REF!</v>
      </c>
      <c r="U52" s="14">
        <f t="shared" si="66"/>
        <v>0</v>
      </c>
      <c r="V52" s="14">
        <f t="shared" si="66"/>
        <v>0</v>
      </c>
      <c r="W52" s="14">
        <f t="shared" si="66"/>
        <v>0</v>
      </c>
      <c r="X52" s="14">
        <f t="shared" si="66"/>
        <v>488049</v>
      </c>
      <c r="Y52" s="14">
        <f t="shared" si="66"/>
        <v>0</v>
      </c>
      <c r="Z52" s="14">
        <f t="shared" si="66"/>
        <v>0</v>
      </c>
      <c r="AA52" s="14">
        <f>SUM(AA49:AA51)</f>
        <v>0</v>
      </c>
      <c r="AB52" s="14">
        <f>SUM(AB49:AB51)</f>
        <v>1869417</v>
      </c>
      <c r="AC52" s="14">
        <f>SUM(AC49:AC51)</f>
        <v>0</v>
      </c>
      <c r="AD52" s="14">
        <f>SUM(AD49:AD51)</f>
        <v>0</v>
      </c>
      <c r="AE52" s="14">
        <f>SUM(AE49:AE51)</f>
        <v>0</v>
      </c>
    </row>
    <row r="53" spans="2:31" ht="5.0999999999999996" customHeight="1"/>
    <row r="54" spans="2:31" ht="12.75" customHeight="1">
      <c r="B54" s="35" t="s">
        <v>47</v>
      </c>
    </row>
    <row r="55" spans="2:31" ht="12.75" customHeight="1">
      <c r="B55" s="8" t="s">
        <v>184</v>
      </c>
      <c r="C55" s="96">
        <f>'Historical Financials'!C47</f>
        <v>684048</v>
      </c>
      <c r="D55" s="96">
        <f>'Historical Financials'!D47</f>
        <v>609528</v>
      </c>
      <c r="E55" s="96">
        <f>'Historical Financials'!E47</f>
        <v>544040</v>
      </c>
      <c r="F55" s="96"/>
      <c r="G55" s="96">
        <f>'Historical Financials'!G47</f>
        <v>0</v>
      </c>
      <c r="H55" s="96">
        <f>'Historical Financials'!H47</f>
        <v>0</v>
      </c>
      <c r="I55" s="96">
        <f>'Historical Financials'!I47</f>
        <v>0</v>
      </c>
      <c r="J55" s="96">
        <f>'Historical Financials'!J47</f>
        <v>609528</v>
      </c>
      <c r="K55" s="96">
        <f>'Historical Financials'!K47</f>
        <v>0</v>
      </c>
      <c r="L55" s="96">
        <f>'Historical Financials'!L47</f>
        <v>0</v>
      </c>
      <c r="M55" s="96">
        <f>'Historical Financials'!M47</f>
        <v>0</v>
      </c>
      <c r="N55" s="96">
        <f>'Historical Financials'!N47</f>
        <v>544040</v>
      </c>
      <c r="O55" s="96">
        <f>'Historical Financials'!O47</f>
        <v>0</v>
      </c>
      <c r="P55" s="96">
        <f>'Historical Financials'!P47</f>
        <v>0</v>
      </c>
      <c r="Q55" s="96">
        <f>'Historical Financials'!Q47</f>
        <v>0</v>
      </c>
      <c r="S55" s="10" t="e">
        <f>#REF!</f>
        <v>#REF!</v>
      </c>
      <c r="T55" s="10" t="e">
        <f>#REF!</f>
        <v>#REF!</v>
      </c>
      <c r="U55" s="10">
        <f t="shared" ref="U55:AC59" si="67">G55</f>
        <v>0</v>
      </c>
      <c r="V55" s="10">
        <f t="shared" si="67"/>
        <v>0</v>
      </c>
      <c r="W55" s="10">
        <f t="shared" si="67"/>
        <v>0</v>
      </c>
      <c r="X55" s="10">
        <f t="shared" si="67"/>
        <v>609528</v>
      </c>
      <c r="Y55" s="10">
        <f t="shared" si="67"/>
        <v>0</v>
      </c>
      <c r="Z55" s="10">
        <f t="shared" si="67"/>
        <v>0</v>
      </c>
      <c r="AA55" s="10">
        <f t="shared" si="67"/>
        <v>0</v>
      </c>
      <c r="AB55" s="10">
        <f t="shared" si="67"/>
        <v>544040</v>
      </c>
      <c r="AC55" s="10">
        <f t="shared" si="67"/>
        <v>0</v>
      </c>
      <c r="AD55" s="10">
        <f t="shared" ref="AD55:AE59" si="68">P55</f>
        <v>0</v>
      </c>
      <c r="AE55" s="10">
        <f t="shared" si="68"/>
        <v>0</v>
      </c>
    </row>
    <row r="56" spans="2:31" ht="12.75" customHeight="1">
      <c r="B56" s="8" t="s">
        <v>185</v>
      </c>
      <c r="C56" s="96">
        <f>'Historical Financials'!C53</f>
        <v>1690139</v>
      </c>
      <c r="D56" s="96">
        <f>'Historical Financials'!D53</f>
        <v>1555985</v>
      </c>
      <c r="E56" s="96">
        <f>'Historical Financials'!E53</f>
        <v>1334338</v>
      </c>
      <c r="F56" s="96"/>
      <c r="G56" s="96">
        <f>'Historical Financials'!G53</f>
        <v>0</v>
      </c>
      <c r="H56" s="96">
        <f>'Historical Financials'!H53</f>
        <v>0</v>
      </c>
      <c r="I56" s="96">
        <f>'Historical Financials'!I53</f>
        <v>0</v>
      </c>
      <c r="J56" s="96">
        <f>'Historical Financials'!J53</f>
        <v>1555985</v>
      </c>
      <c r="K56" s="96">
        <f>'Historical Financials'!K53</f>
        <v>0</v>
      </c>
      <c r="L56" s="96">
        <f>'Historical Financials'!L53</f>
        <v>0</v>
      </c>
      <c r="M56" s="96">
        <f>'Historical Financials'!M53</f>
        <v>0</v>
      </c>
      <c r="N56" s="96">
        <f>'Historical Financials'!N53</f>
        <v>1334338</v>
      </c>
      <c r="O56" s="96">
        <f>'Historical Financials'!O53</f>
        <v>0</v>
      </c>
      <c r="P56" s="96">
        <f>'Historical Financials'!P53</f>
        <v>0</v>
      </c>
      <c r="Q56" s="96">
        <f>'Historical Financials'!Q53</f>
        <v>0</v>
      </c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</row>
    <row r="57" spans="2:31" ht="12.75" customHeight="1">
      <c r="B57" s="8" t="s">
        <v>48</v>
      </c>
      <c r="C57" s="96">
        <f>'Historical Financials'!C61</f>
        <v>4178907</v>
      </c>
      <c r="D57" s="96">
        <f>'Historical Financials'!D61</f>
        <v>3526079</v>
      </c>
      <c r="E57" s="96">
        <f>'Historical Financials'!E61</f>
        <v>3407889</v>
      </c>
      <c r="F57" s="96"/>
      <c r="G57" s="96">
        <f>'Historical Financials'!G61</f>
        <v>0</v>
      </c>
      <c r="H57" s="96">
        <f>'Historical Financials'!H61</f>
        <v>0</v>
      </c>
      <c r="I57" s="96">
        <f>'Historical Financials'!I61</f>
        <v>0</v>
      </c>
      <c r="J57" s="96">
        <f>'Historical Financials'!J61</f>
        <v>3526079</v>
      </c>
      <c r="K57" s="96">
        <f>'Historical Financials'!K61</f>
        <v>0</v>
      </c>
      <c r="L57" s="96">
        <f>'Historical Financials'!L61</f>
        <v>0</v>
      </c>
      <c r="M57" s="96">
        <f>'Historical Financials'!M61</f>
        <v>0</v>
      </c>
      <c r="N57" s="96">
        <f>'Historical Financials'!N61</f>
        <v>3407889</v>
      </c>
      <c r="O57" s="96">
        <f>'Historical Financials'!O61</f>
        <v>0</v>
      </c>
      <c r="P57" s="96">
        <f>'Historical Financials'!P61</f>
        <v>0</v>
      </c>
      <c r="Q57" s="96">
        <f>'Historical Financials'!Q61</f>
        <v>0</v>
      </c>
      <c r="S57" s="10"/>
      <c r="T57" s="10"/>
      <c r="U57" s="10"/>
      <c r="V57" s="10"/>
      <c r="W57" s="10"/>
      <c r="X57" s="10"/>
      <c r="Y57" s="10"/>
      <c r="Z57" s="10"/>
      <c r="AA57" s="10">
        <f t="shared" ref="AA57" si="69">M57</f>
        <v>0</v>
      </c>
      <c r="AB57" s="10">
        <f t="shared" ref="AB57" si="70">N57</f>
        <v>3407889</v>
      </c>
      <c r="AC57" s="10">
        <f t="shared" ref="AC57" si="71">O57</f>
        <v>0</v>
      </c>
      <c r="AD57" s="10">
        <f t="shared" ref="AD57" si="72">P57</f>
        <v>0</v>
      </c>
      <c r="AE57" s="10">
        <f t="shared" ref="AE57" si="73">Q57</f>
        <v>0</v>
      </c>
    </row>
    <row r="58" spans="2:31" ht="12.75" customHeight="1">
      <c r="B58" s="8" t="s">
        <v>49</v>
      </c>
      <c r="C58" s="96">
        <f>'Historical Financials'!C65</f>
        <v>5420851</v>
      </c>
      <c r="D58" s="96">
        <f>'Historical Financials'!D65</f>
        <v>5307405</v>
      </c>
      <c r="E58" s="96">
        <f>'Historical Financials'!E65</f>
        <v>4665357</v>
      </c>
      <c r="F58" s="96"/>
      <c r="G58" s="96">
        <f>'Historical Financials'!G65</f>
        <v>0</v>
      </c>
      <c r="H58" s="96">
        <f>'Historical Financials'!H65</f>
        <v>0</v>
      </c>
      <c r="I58" s="96">
        <f>'Historical Financials'!I65</f>
        <v>0</v>
      </c>
      <c r="J58" s="96">
        <f>'Historical Financials'!J65</f>
        <v>5307405</v>
      </c>
      <c r="K58" s="96">
        <f>'Historical Financials'!K65</f>
        <v>0</v>
      </c>
      <c r="L58" s="96">
        <f>'Historical Financials'!L65</f>
        <v>0</v>
      </c>
      <c r="M58" s="96">
        <f>'Historical Financials'!M65</f>
        <v>0</v>
      </c>
      <c r="N58" s="96">
        <f>'Historical Financials'!N65</f>
        <v>4665357</v>
      </c>
      <c r="O58" s="96">
        <f>'Historical Financials'!O65</f>
        <v>0</v>
      </c>
      <c r="P58" s="96">
        <f>'Historical Financials'!P65</f>
        <v>0</v>
      </c>
      <c r="Q58" s="96">
        <f>'Historical Financials'!Q65</f>
        <v>0</v>
      </c>
      <c r="S58" s="10" t="e">
        <f>#REF!</f>
        <v>#REF!</v>
      </c>
      <c r="T58" s="10" t="e">
        <f>#REF!</f>
        <v>#REF!</v>
      </c>
      <c r="U58" s="10">
        <f t="shared" si="67"/>
        <v>0</v>
      </c>
      <c r="V58" s="10">
        <f t="shared" si="67"/>
        <v>0</v>
      </c>
      <c r="W58" s="10">
        <f t="shared" si="67"/>
        <v>0</v>
      </c>
      <c r="X58" s="10">
        <f t="shared" si="67"/>
        <v>5307405</v>
      </c>
      <c r="Y58" s="10">
        <f t="shared" si="67"/>
        <v>0</v>
      </c>
      <c r="Z58" s="10">
        <f t="shared" si="67"/>
        <v>0</v>
      </c>
      <c r="AA58" s="10">
        <f t="shared" si="67"/>
        <v>0</v>
      </c>
      <c r="AB58" s="10">
        <f t="shared" si="67"/>
        <v>4665357</v>
      </c>
      <c r="AC58" s="10">
        <f t="shared" si="67"/>
        <v>0</v>
      </c>
      <c r="AD58" s="10">
        <f t="shared" si="68"/>
        <v>0</v>
      </c>
      <c r="AE58" s="10">
        <f t="shared" si="68"/>
        <v>0</v>
      </c>
    </row>
    <row r="59" spans="2:31" ht="12.75" customHeight="1">
      <c r="B59" s="8" t="s">
        <v>18</v>
      </c>
      <c r="C59" s="96">
        <f>'Historical Financials'!C72</f>
        <v>9387255</v>
      </c>
      <c r="D59" s="96">
        <f>'Historical Financials'!D72</f>
        <v>9756598</v>
      </c>
      <c r="E59" s="96">
        <f>'Historical Financials'!E72</f>
        <v>8628167</v>
      </c>
      <c r="F59" s="96"/>
      <c r="G59" s="96">
        <f>'Historical Financials'!G72</f>
        <v>0</v>
      </c>
      <c r="H59" s="96">
        <f>'Historical Financials'!H72</f>
        <v>0</v>
      </c>
      <c r="I59" s="96">
        <f>'Historical Financials'!I72</f>
        <v>0</v>
      </c>
      <c r="J59" s="96">
        <f>'Historical Financials'!J72</f>
        <v>9756598</v>
      </c>
      <c r="K59" s="96">
        <f>'Historical Financials'!K72</f>
        <v>0</v>
      </c>
      <c r="L59" s="96">
        <f>'Historical Financials'!L72</f>
        <v>0</v>
      </c>
      <c r="M59" s="96">
        <f>'Historical Financials'!M72</f>
        <v>0</v>
      </c>
      <c r="N59" s="96">
        <f>'Historical Financials'!N72</f>
        <v>8628167</v>
      </c>
      <c r="O59" s="96">
        <f>'Historical Financials'!O72</f>
        <v>0</v>
      </c>
      <c r="P59" s="96">
        <f>'Historical Financials'!P72</f>
        <v>0</v>
      </c>
      <c r="Q59" s="96">
        <f>'Historical Financials'!Q72</f>
        <v>0</v>
      </c>
      <c r="S59" s="10" t="e">
        <f>#REF!</f>
        <v>#REF!</v>
      </c>
      <c r="T59" s="10" t="e">
        <f>#REF!</f>
        <v>#REF!</v>
      </c>
      <c r="U59" s="10">
        <f t="shared" si="67"/>
        <v>0</v>
      </c>
      <c r="V59" s="10">
        <f t="shared" si="67"/>
        <v>0</v>
      </c>
      <c r="W59" s="10">
        <f t="shared" si="67"/>
        <v>0</v>
      </c>
      <c r="X59" s="10">
        <f t="shared" si="67"/>
        <v>9756598</v>
      </c>
      <c r="Y59" s="10">
        <f t="shared" si="67"/>
        <v>0</v>
      </c>
      <c r="Z59" s="10">
        <f t="shared" si="67"/>
        <v>0</v>
      </c>
      <c r="AA59" s="10">
        <f t="shared" si="67"/>
        <v>0</v>
      </c>
      <c r="AB59" s="10">
        <f t="shared" si="67"/>
        <v>8628167</v>
      </c>
      <c r="AC59" s="10">
        <f t="shared" si="67"/>
        <v>0</v>
      </c>
      <c r="AD59" s="10">
        <f t="shared" si="68"/>
        <v>0</v>
      </c>
      <c r="AE59" s="10">
        <f t="shared" si="68"/>
        <v>0</v>
      </c>
    </row>
    <row r="60" spans="2:31" ht="5.0999999999999996" customHeight="1">
      <c r="E60" s="10"/>
    </row>
    <row r="61" spans="2:31">
      <c r="B61" s="35" t="s">
        <v>113</v>
      </c>
      <c r="E61" s="10"/>
    </row>
    <row r="62" spans="2:31">
      <c r="B62" s="8" t="s">
        <v>114</v>
      </c>
      <c r="C62" s="96">
        <f>'Historical Financials'!C63</f>
        <v>185000</v>
      </c>
      <c r="D62" s="96">
        <f>'Historical Financials'!D63</f>
        <v>0</v>
      </c>
      <c r="E62" s="96">
        <f>'Historical Financials'!E63</f>
        <v>0</v>
      </c>
      <c r="G62" s="96">
        <f>'Historical Financials'!G63</f>
        <v>0</v>
      </c>
      <c r="H62" s="96">
        <f>'Historical Financials'!H63</f>
        <v>0</v>
      </c>
      <c r="I62" s="96">
        <f>'Historical Financials'!I63</f>
        <v>0</v>
      </c>
      <c r="J62" s="96">
        <f>'Historical Financials'!J63</f>
        <v>0</v>
      </c>
      <c r="K62" s="96">
        <f>'Historical Financials'!K63</f>
        <v>0</v>
      </c>
      <c r="L62" s="96">
        <f>'Historical Financials'!L63</f>
        <v>0</v>
      </c>
      <c r="M62" s="96">
        <f>'Historical Financials'!M63</f>
        <v>0</v>
      </c>
      <c r="N62" s="96">
        <f>'Historical Financials'!N63</f>
        <v>0</v>
      </c>
      <c r="O62" s="96">
        <f>'Historical Financials'!O63</f>
        <v>0</v>
      </c>
      <c r="P62" s="96">
        <f>'Historical Financials'!P63</f>
        <v>0</v>
      </c>
      <c r="Q62" s="96">
        <f>'Historical Financials'!Q63</f>
        <v>0</v>
      </c>
      <c r="AA62" s="10">
        <f t="shared" ref="AA62:AA63" si="74">M62</f>
        <v>0</v>
      </c>
      <c r="AB62" s="10">
        <f t="shared" ref="AB62:AB63" si="75">N62</f>
        <v>0</v>
      </c>
      <c r="AC62" s="10">
        <f t="shared" ref="AC62:AC63" si="76">O62</f>
        <v>0</v>
      </c>
      <c r="AD62" s="10">
        <f t="shared" ref="AD62:AD63" si="77">P62</f>
        <v>0</v>
      </c>
      <c r="AE62" s="10">
        <f t="shared" ref="AE62:AE63" si="78">Q62</f>
        <v>0</v>
      </c>
    </row>
    <row r="63" spans="2:31">
      <c r="B63" s="8" t="s">
        <v>115</v>
      </c>
      <c r="C63" s="96">
        <f>'Historical Financials'!C68</f>
        <v>1188283</v>
      </c>
      <c r="D63" s="96">
        <f>'Historical Financials'!D68</f>
        <v>1786361</v>
      </c>
      <c r="E63" s="96">
        <f>'Historical Financials'!E68</f>
        <v>1789161</v>
      </c>
      <c r="G63" s="96">
        <f>'Historical Financials'!G68</f>
        <v>0</v>
      </c>
      <c r="H63" s="96">
        <f>'Historical Financials'!H68</f>
        <v>0</v>
      </c>
      <c r="I63" s="96">
        <f>'Historical Financials'!I68</f>
        <v>0</v>
      </c>
      <c r="J63" s="96">
        <f>'Historical Financials'!J68</f>
        <v>1786361</v>
      </c>
      <c r="K63" s="96">
        <f>'Historical Financials'!K68</f>
        <v>0</v>
      </c>
      <c r="L63" s="96">
        <f>'Historical Financials'!L68</f>
        <v>0</v>
      </c>
      <c r="M63" s="96">
        <f>'Historical Financials'!M68</f>
        <v>0</v>
      </c>
      <c r="N63" s="96">
        <f>'Historical Financials'!N68</f>
        <v>1789161</v>
      </c>
      <c r="O63" s="96">
        <f>'Historical Financials'!O68</f>
        <v>0</v>
      </c>
      <c r="P63" s="96">
        <f>'Historical Financials'!P68</f>
        <v>0</v>
      </c>
      <c r="Q63" s="96">
        <f>'Historical Financials'!Q68</f>
        <v>0</v>
      </c>
      <c r="AA63" s="10">
        <f t="shared" si="74"/>
        <v>0</v>
      </c>
      <c r="AB63" s="10">
        <f t="shared" si="75"/>
        <v>1789161</v>
      </c>
      <c r="AC63" s="10">
        <f t="shared" si="76"/>
        <v>0</v>
      </c>
      <c r="AD63" s="10">
        <f t="shared" si="77"/>
        <v>0</v>
      </c>
      <c r="AE63" s="10">
        <f t="shared" si="78"/>
        <v>0</v>
      </c>
    </row>
    <row r="64" spans="2:31">
      <c r="E64" s="10"/>
    </row>
    <row r="65" spans="1:31">
      <c r="B65" s="31" t="s">
        <v>175</v>
      </c>
      <c r="C65" s="82"/>
      <c r="D65" s="82">
        <v>298369</v>
      </c>
      <c r="E65" s="82">
        <v>299110</v>
      </c>
      <c r="G65" s="82"/>
      <c r="H65" s="82"/>
      <c r="I65" s="82"/>
      <c r="J65" s="10">
        <f>D65</f>
        <v>298369</v>
      </c>
      <c r="K65" s="82"/>
      <c r="L65" s="82"/>
      <c r="M65" s="82"/>
      <c r="N65" s="10">
        <f>E65</f>
        <v>299110</v>
      </c>
      <c r="O65" s="82"/>
      <c r="P65" s="82"/>
      <c r="Q65" s="82"/>
      <c r="S65" s="10" t="e">
        <f>#REF!</f>
        <v>#REF!</v>
      </c>
      <c r="T65" s="10" t="e">
        <f>#REF!</f>
        <v>#REF!</v>
      </c>
      <c r="U65" s="10">
        <f t="shared" ref="U65" si="79">G65</f>
        <v>0</v>
      </c>
      <c r="V65" s="10">
        <f t="shared" ref="V65" si="80">H65</f>
        <v>0</v>
      </c>
      <c r="W65" s="10">
        <f t="shared" ref="W65" si="81">I65</f>
        <v>0</v>
      </c>
      <c r="X65" s="10">
        <f t="shared" ref="X65" si="82">J65</f>
        <v>298369</v>
      </c>
      <c r="Y65" s="10">
        <f t="shared" ref="Y65" si="83">K65</f>
        <v>0</v>
      </c>
      <c r="Z65" s="10">
        <f t="shared" ref="Z65" si="84">L65</f>
        <v>0</v>
      </c>
      <c r="AA65" s="10">
        <f t="shared" ref="AA65" si="85">M65</f>
        <v>0</v>
      </c>
      <c r="AB65" s="10">
        <f t="shared" ref="AB65" si="86">N65</f>
        <v>299110</v>
      </c>
      <c r="AC65" s="10">
        <f t="shared" ref="AC65" si="87">O65</f>
        <v>0</v>
      </c>
      <c r="AD65" s="10">
        <f t="shared" ref="AD65" si="88">P65</f>
        <v>0</v>
      </c>
      <c r="AE65" s="10">
        <f t="shared" ref="AE65" si="89">Q65</f>
        <v>0</v>
      </c>
    </row>
    <row r="66" spans="1:31">
      <c r="B66" s="31" t="s">
        <v>176</v>
      </c>
      <c r="C66" s="82"/>
      <c r="D66" s="82">
        <v>347514</v>
      </c>
      <c r="E66" s="82">
        <v>348084</v>
      </c>
      <c r="G66" s="82"/>
      <c r="H66" s="82"/>
      <c r="I66" s="82"/>
      <c r="J66" s="10">
        <f t="shared" ref="J66:J69" si="90">D66</f>
        <v>347514</v>
      </c>
      <c r="K66" s="82"/>
      <c r="L66" s="82"/>
      <c r="M66" s="82"/>
      <c r="N66" s="10">
        <f t="shared" ref="N66:N69" si="91">E66</f>
        <v>348084</v>
      </c>
      <c r="O66" s="82"/>
      <c r="P66" s="82"/>
      <c r="Q66" s="82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</row>
    <row r="67" spans="1:31">
      <c r="B67" s="31" t="s">
        <v>177</v>
      </c>
      <c r="C67" s="82"/>
      <c r="D67" s="82">
        <v>298116</v>
      </c>
      <c r="E67" s="82">
        <v>298571</v>
      </c>
      <c r="G67" s="82"/>
      <c r="H67" s="82"/>
      <c r="I67" s="82"/>
      <c r="J67" s="10">
        <f t="shared" si="90"/>
        <v>298116</v>
      </c>
      <c r="K67" s="82"/>
      <c r="L67" s="82"/>
      <c r="M67" s="82"/>
      <c r="N67" s="10">
        <f t="shared" si="91"/>
        <v>298571</v>
      </c>
      <c r="O67" s="82"/>
      <c r="P67" s="82"/>
      <c r="Q67" s="82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</row>
    <row r="68" spans="1:31">
      <c r="B68" s="31" t="s">
        <v>178</v>
      </c>
      <c r="C68" s="82"/>
      <c r="D68" s="82">
        <v>496149</v>
      </c>
      <c r="E68" s="82">
        <v>496741</v>
      </c>
      <c r="G68" s="82"/>
      <c r="H68" s="82"/>
      <c r="I68" s="82"/>
      <c r="J68" s="10">
        <f t="shared" si="90"/>
        <v>496149</v>
      </c>
      <c r="K68" s="82"/>
      <c r="L68" s="82"/>
      <c r="M68" s="82"/>
      <c r="N68" s="10">
        <f t="shared" si="91"/>
        <v>496741</v>
      </c>
      <c r="O68" s="82"/>
      <c r="P68" s="82"/>
      <c r="Q68" s="82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</row>
    <row r="69" spans="1:31" ht="12.75" customHeight="1">
      <c r="B69" s="31" t="s">
        <v>179</v>
      </c>
      <c r="C69" s="82"/>
      <c r="D69" s="82">
        <v>346213</v>
      </c>
      <c r="E69" s="82">
        <v>346655</v>
      </c>
      <c r="G69" s="96"/>
      <c r="H69" s="96"/>
      <c r="I69" s="96"/>
      <c r="J69" s="10">
        <f t="shared" si="90"/>
        <v>346213</v>
      </c>
      <c r="K69" s="96"/>
      <c r="L69" s="96"/>
      <c r="M69" s="96"/>
      <c r="N69" s="10">
        <f t="shared" si="91"/>
        <v>346655</v>
      </c>
      <c r="O69" s="96"/>
      <c r="P69" s="96"/>
      <c r="Q69" s="96"/>
      <c r="S69" s="10" t="e">
        <f>#REF!</f>
        <v>#REF!</v>
      </c>
      <c r="T69" s="10" t="e">
        <f>#REF!</f>
        <v>#REF!</v>
      </c>
      <c r="U69" s="10">
        <f t="shared" ref="U69:AE69" si="92">G69</f>
        <v>0</v>
      </c>
      <c r="V69" s="10">
        <f t="shared" si="92"/>
        <v>0</v>
      </c>
      <c r="W69" s="10">
        <f t="shared" si="92"/>
        <v>0</v>
      </c>
      <c r="X69" s="10">
        <f t="shared" si="92"/>
        <v>346213</v>
      </c>
      <c r="Y69" s="10">
        <f t="shared" si="92"/>
        <v>0</v>
      </c>
      <c r="Z69" s="10">
        <f t="shared" si="92"/>
        <v>0</v>
      </c>
      <c r="AA69" s="10">
        <f t="shared" si="92"/>
        <v>0</v>
      </c>
      <c r="AB69" s="10">
        <f t="shared" si="92"/>
        <v>346655</v>
      </c>
      <c r="AC69" s="10">
        <f t="shared" si="92"/>
        <v>0</v>
      </c>
      <c r="AD69" s="10">
        <f t="shared" si="92"/>
        <v>0</v>
      </c>
      <c r="AE69" s="10">
        <f t="shared" si="92"/>
        <v>0</v>
      </c>
    </row>
    <row r="70" spans="1:31" ht="12.75" customHeight="1">
      <c r="B70" s="13" t="s">
        <v>25</v>
      </c>
      <c r="C70" s="14">
        <f t="shared" ref="C70:D70" si="93">SUM(C65:C69)</f>
        <v>0</v>
      </c>
      <c r="D70" s="14">
        <f t="shared" si="93"/>
        <v>1786361</v>
      </c>
      <c r="E70" s="14">
        <f>SUM(E65:E69)</f>
        <v>1789161</v>
      </c>
      <c r="G70" s="14">
        <f t="shared" ref="G70:Q70" si="94">SUM(G65:G69)</f>
        <v>0</v>
      </c>
      <c r="H70" s="14">
        <f t="shared" si="94"/>
        <v>0</v>
      </c>
      <c r="I70" s="14">
        <f t="shared" si="94"/>
        <v>0</v>
      </c>
      <c r="J70" s="14">
        <f t="shared" si="94"/>
        <v>1786361</v>
      </c>
      <c r="K70" s="14">
        <f t="shared" si="94"/>
        <v>0</v>
      </c>
      <c r="L70" s="14">
        <f t="shared" si="94"/>
        <v>0</v>
      </c>
      <c r="M70" s="14">
        <f t="shared" si="94"/>
        <v>0</v>
      </c>
      <c r="N70" s="14">
        <f t="shared" si="94"/>
        <v>1789161</v>
      </c>
      <c r="O70" s="14">
        <f t="shared" si="94"/>
        <v>0</v>
      </c>
      <c r="P70" s="14">
        <f t="shared" si="94"/>
        <v>0</v>
      </c>
      <c r="Q70" s="14">
        <f t="shared" si="94"/>
        <v>0</v>
      </c>
      <c r="S70" s="14" t="e">
        <f t="shared" ref="S70:Z70" si="95">SUM(S69:S69)</f>
        <v>#REF!</v>
      </c>
      <c r="T70" s="14" t="e">
        <f t="shared" si="95"/>
        <v>#REF!</v>
      </c>
      <c r="U70" s="14">
        <f t="shared" si="95"/>
        <v>0</v>
      </c>
      <c r="V70" s="14">
        <f t="shared" si="95"/>
        <v>0</v>
      </c>
      <c r="W70" s="14">
        <f t="shared" si="95"/>
        <v>0</v>
      </c>
      <c r="X70" s="14">
        <f t="shared" si="95"/>
        <v>346213</v>
      </c>
      <c r="Y70" s="14">
        <f t="shared" si="95"/>
        <v>0</v>
      </c>
      <c r="Z70" s="14">
        <f t="shared" si="95"/>
        <v>0</v>
      </c>
      <c r="AA70" s="14">
        <f t="shared" ref="AA70" si="96">SUM(AA65:AA69)</f>
        <v>0</v>
      </c>
      <c r="AB70" s="14">
        <f t="shared" ref="AB70" si="97">SUM(AB65:AB69)</f>
        <v>645765</v>
      </c>
      <c r="AC70" s="14">
        <f t="shared" ref="AC70" si="98">SUM(AC65:AC69)</f>
        <v>0</v>
      </c>
      <c r="AD70" s="14">
        <f t="shared" ref="AD70" si="99">SUM(AD65:AD69)</f>
        <v>0</v>
      </c>
      <c r="AE70" s="14">
        <f t="shared" ref="AE70" si="100">SUM(AE65:AE69)</f>
        <v>0</v>
      </c>
    </row>
    <row r="71" spans="1:31" ht="5.0999999999999996" customHeight="1"/>
    <row r="72" spans="1:31" ht="12.75" customHeight="1">
      <c r="B72" s="8" t="s">
        <v>50</v>
      </c>
      <c r="C72" s="96">
        <f>'Historical Financials'!C80</f>
        <v>2599192</v>
      </c>
      <c r="D72" s="96">
        <f>'Historical Financials'!D80</f>
        <v>2519728</v>
      </c>
      <c r="E72" s="96">
        <f>'Historical Financials'!E80</f>
        <v>2169942</v>
      </c>
      <c r="G72" s="96">
        <f>'Historical Financials'!G80</f>
        <v>0</v>
      </c>
      <c r="H72" s="96">
        <f>'Historical Financials'!H80</f>
        <v>0</v>
      </c>
      <c r="I72" s="96">
        <f>'Historical Financials'!I80</f>
        <v>0</v>
      </c>
      <c r="J72" s="96">
        <f>'Historical Financials'!J80</f>
        <v>2519728</v>
      </c>
      <c r="K72" s="96">
        <f>'Historical Financials'!K80</f>
        <v>0</v>
      </c>
      <c r="L72" s="96">
        <f>'Historical Financials'!L80</f>
        <v>0</v>
      </c>
      <c r="M72" s="96">
        <f>'Historical Financials'!M80</f>
        <v>0</v>
      </c>
      <c r="N72" s="96">
        <f>'Historical Financials'!N80</f>
        <v>2169942</v>
      </c>
      <c r="O72" s="96">
        <f>'Historical Financials'!O80</f>
        <v>0</v>
      </c>
      <c r="P72" s="96">
        <f>'Historical Financials'!P80</f>
        <v>0</v>
      </c>
      <c r="Q72" s="96">
        <f>'Historical Financials'!Q80</f>
        <v>0</v>
      </c>
      <c r="S72" s="10" t="e">
        <f>#REF!</f>
        <v>#REF!</v>
      </c>
      <c r="T72" s="10" t="e">
        <f>#REF!</f>
        <v>#REF!</v>
      </c>
      <c r="U72" s="10">
        <f t="shared" ref="U72:AE72" si="101">G72</f>
        <v>0</v>
      </c>
      <c r="V72" s="10">
        <f t="shared" si="101"/>
        <v>0</v>
      </c>
      <c r="W72" s="10">
        <f t="shared" si="101"/>
        <v>0</v>
      </c>
      <c r="X72" s="10">
        <f t="shared" si="101"/>
        <v>2519728</v>
      </c>
      <c r="Y72" s="10">
        <f t="shared" si="101"/>
        <v>0</v>
      </c>
      <c r="Z72" s="10">
        <f t="shared" si="101"/>
        <v>0</v>
      </c>
      <c r="AA72" s="149">
        <f t="shared" si="101"/>
        <v>0</v>
      </c>
      <c r="AB72" s="149">
        <f t="shared" si="101"/>
        <v>2169942</v>
      </c>
      <c r="AC72" s="149">
        <f t="shared" si="101"/>
        <v>0</v>
      </c>
      <c r="AD72" s="149">
        <f t="shared" si="101"/>
        <v>0</v>
      </c>
      <c r="AE72" s="149">
        <f t="shared" si="101"/>
        <v>0</v>
      </c>
    </row>
    <row r="73" spans="1:31" ht="12.75" customHeight="1">
      <c r="B73" s="13" t="s">
        <v>51</v>
      </c>
      <c r="C73" s="14">
        <f>SUM(C70:C72)</f>
        <v>2599192</v>
      </c>
      <c r="D73" s="14">
        <f>SUM(D70:D72)</f>
        <v>4306089</v>
      </c>
      <c r="E73" s="14">
        <f>SUM(E70:E72)</f>
        <v>3959103</v>
      </c>
      <c r="G73" s="14">
        <f t="shared" ref="G73:L73" si="102">SUM(G70:G72)</f>
        <v>0</v>
      </c>
      <c r="H73" s="14">
        <f t="shared" si="102"/>
        <v>0</v>
      </c>
      <c r="I73" s="14">
        <f t="shared" si="102"/>
        <v>0</v>
      </c>
      <c r="J73" s="14">
        <f t="shared" si="102"/>
        <v>4306089</v>
      </c>
      <c r="K73" s="14">
        <f t="shared" si="102"/>
        <v>0</v>
      </c>
      <c r="L73" s="14">
        <f t="shared" si="102"/>
        <v>0</v>
      </c>
      <c r="M73" s="14">
        <f>SUM(M70:M72)</f>
        <v>0</v>
      </c>
      <c r="N73" s="14">
        <f>SUM(N70:N72)</f>
        <v>3959103</v>
      </c>
      <c r="O73" s="14">
        <f>SUM(O70:O72)</f>
        <v>0</v>
      </c>
      <c r="P73" s="14">
        <f>SUM(P70:P72)</f>
        <v>0</v>
      </c>
      <c r="Q73" s="14">
        <f>SUM(Q70:Q72)</f>
        <v>0</v>
      </c>
      <c r="S73" s="14" t="e">
        <f t="shared" ref="S73:AC73" si="103">SUM(S70:S72)</f>
        <v>#REF!</v>
      </c>
      <c r="T73" s="14" t="e">
        <f t="shared" si="103"/>
        <v>#REF!</v>
      </c>
      <c r="U73" s="14">
        <f t="shared" si="103"/>
        <v>0</v>
      </c>
      <c r="V73" s="14">
        <f t="shared" si="103"/>
        <v>0</v>
      </c>
      <c r="W73" s="14">
        <f t="shared" si="103"/>
        <v>0</v>
      </c>
      <c r="X73" s="14">
        <f t="shared" si="103"/>
        <v>2865941</v>
      </c>
      <c r="Y73" s="14">
        <f t="shared" si="103"/>
        <v>0</v>
      </c>
      <c r="Z73" s="14">
        <f t="shared" si="103"/>
        <v>0</v>
      </c>
      <c r="AA73" s="14">
        <f t="shared" si="103"/>
        <v>0</v>
      </c>
      <c r="AB73" s="14">
        <f t="shared" si="103"/>
        <v>2815707</v>
      </c>
      <c r="AC73" s="14">
        <f t="shared" si="103"/>
        <v>0</v>
      </c>
      <c r="AD73" s="14">
        <f>SUM(AD70:AD72)</f>
        <v>0</v>
      </c>
      <c r="AE73" s="14">
        <f>SUM(AE70:AE72)</f>
        <v>0</v>
      </c>
    </row>
    <row r="74" spans="1:31" ht="5.0999999999999996" customHeight="1"/>
    <row r="75" spans="1:31" ht="12.75" customHeight="1">
      <c r="A75" s="5"/>
      <c r="B75" s="33" t="s">
        <v>69</v>
      </c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</row>
    <row r="76" spans="1:31" ht="5.0999999999999996" customHeight="1"/>
    <row r="77" spans="1:31" ht="12.75" customHeight="1">
      <c r="B77" s="31" t="s">
        <v>97</v>
      </c>
      <c r="C77" s="84">
        <f>C70/C29</f>
        <v>0</v>
      </c>
      <c r="D77" s="84">
        <f>D70/D29</f>
        <v>4.8913389319540315</v>
      </c>
      <c r="E77" s="84">
        <f>E70/E29</f>
        <v>-25.475374122537804</v>
      </c>
      <c r="G77" s="84" t="e">
        <f>SUM(G70/SUM(G29:G29))</f>
        <v>#DIV/0!</v>
      </c>
      <c r="H77" s="84" t="e">
        <f>SUM(H70/SUM(G29:H29))</f>
        <v>#DIV/0!</v>
      </c>
      <c r="I77" s="84" t="e">
        <f>SUM(I70/SUM(G29:I29))</f>
        <v>#DIV/0!</v>
      </c>
      <c r="J77" s="84">
        <f>SUM(J70/SUM(G29:J29))</f>
        <v>0.31261923199761993</v>
      </c>
      <c r="K77" s="84">
        <f>SUM(K70/SUM(H29:K29))</f>
        <v>0</v>
      </c>
      <c r="L77" s="84">
        <f>SUM(L70/SUM(I29:L29))</f>
        <v>0</v>
      </c>
      <c r="M77" s="84">
        <f>SUM(M70/SUM(J29:M29))</f>
        <v>0</v>
      </c>
      <c r="N77" s="84">
        <f>SUM(N70/SUM(K29:N29))</f>
        <v>0.31860685350888324</v>
      </c>
      <c r="O77" s="84">
        <f>SUM(O70/SUM(L29:O29))</f>
        <v>0</v>
      </c>
      <c r="P77" s="84">
        <f>SUM(P70/SUM(M29:P29))</f>
        <v>0</v>
      </c>
      <c r="Q77" s="84">
        <f>SUM(Q70/SUM(N29:Q29))</f>
        <v>0</v>
      </c>
      <c r="R77" s="84"/>
      <c r="S77" s="84" t="e">
        <f>S70/S29</f>
        <v>#REF!</v>
      </c>
      <c r="T77" s="84" t="e">
        <f>T70/T29</f>
        <v>#REF!</v>
      </c>
      <c r="U77" s="84" t="e">
        <f>U70/U29</f>
        <v>#DIV/0!</v>
      </c>
      <c r="V77" s="84" t="e">
        <f>V70/V29</f>
        <v>#DIV/0!</v>
      </c>
      <c r="W77" s="84" t="e">
        <f>W70/W29</f>
        <v>#DIV/0!</v>
      </c>
      <c r="X77" s="84">
        <f>X70/X29</f>
        <v>0.15112992331055519</v>
      </c>
      <c r="Y77" s="84">
        <f>Y70/Y29</f>
        <v>0</v>
      </c>
      <c r="Z77" s="84">
        <f>Z70/Z29</f>
        <v>0</v>
      </c>
      <c r="AA77" s="84">
        <f>AA70/AA29</f>
        <v>0</v>
      </c>
      <c r="AB77" s="84">
        <f>AB70/AB29</f>
        <v>0.11499532728254416</v>
      </c>
      <c r="AC77" s="84">
        <f>AC70/AC29</f>
        <v>0</v>
      </c>
      <c r="AD77" s="84">
        <f>AD70/AD29</f>
        <v>0</v>
      </c>
      <c r="AE77" s="84">
        <f>AE70/AE29</f>
        <v>0</v>
      </c>
    </row>
    <row r="78" spans="1:31" ht="12.75" customHeight="1">
      <c r="B78" s="31" t="s">
        <v>98</v>
      </c>
      <c r="C78" s="84">
        <f>SUM(C70-C49)/C29</f>
        <v>-0.33048093362801007</v>
      </c>
      <c r="D78" s="84">
        <f>SUM(D70-D49)/D29</f>
        <v>3.5549835847418874</v>
      </c>
      <c r="E78" s="84">
        <f>SUM(E70-E49)/E29</f>
        <v>1.1427432330452061</v>
      </c>
      <c r="G78" s="84" t="e">
        <f>SUM(G70-G49)/SUM(G29:G29)</f>
        <v>#DIV/0!</v>
      </c>
      <c r="H78" s="84" t="e">
        <f>SUM(H70-H49)/SUM(G29:H29)</f>
        <v>#DIV/0!</v>
      </c>
      <c r="I78" s="84" t="e">
        <f>SUM(I70-I49)/SUM(G29:I29)</f>
        <v>#DIV/0!</v>
      </c>
      <c r="J78" s="84">
        <f>SUM(J70-J49)/SUM(G29:J29)</f>
        <v>0.22720900217441714</v>
      </c>
      <c r="K78" s="84">
        <f>SUM(K70-K49)/SUM(H29:K29)</f>
        <v>0</v>
      </c>
      <c r="L78" s="84">
        <f>SUM(L70-L49)/SUM(I29:L29)</f>
        <v>0</v>
      </c>
      <c r="M78" s="84">
        <f>SUM(M70-M49)/SUM(J29:M29)</f>
        <v>0</v>
      </c>
      <c r="N78" s="84">
        <f>SUM(N70-N49)/SUM(K29:N29)</f>
        <v>-1.4291677291875316E-2</v>
      </c>
      <c r="O78" s="84">
        <f>SUM(O70-O49)/SUM(L29:O29)</f>
        <v>0</v>
      </c>
      <c r="P78" s="84">
        <f>SUM(P70-P49)/SUM(M29:P29)</f>
        <v>0</v>
      </c>
      <c r="Q78" s="84">
        <f>SUM(Q70-Q49)/SUM(N29:Q29)</f>
        <v>0</v>
      </c>
      <c r="R78" s="84"/>
      <c r="S78" s="84" t="e">
        <f>SUM(S70-S49)/S29</f>
        <v>#REF!</v>
      </c>
      <c r="T78" s="84" t="e">
        <f>SUM(T70-T49)/T29</f>
        <v>#REF!</v>
      </c>
      <c r="U78" s="84" t="e">
        <f>SUM(U70-U49)/U29</f>
        <v>#DIV/0!</v>
      </c>
      <c r="V78" s="84" t="e">
        <f>SUM(V70-V49)/V29</f>
        <v>#DIV/0!</v>
      </c>
      <c r="W78" s="84" t="e">
        <f>SUM(W70-W49)/W29</f>
        <v>#DIV/0!</v>
      </c>
      <c r="X78" s="84">
        <f>SUM(X70-X49)/X29</f>
        <v>-6.1914670456267987E-2</v>
      </c>
      <c r="Y78" s="84">
        <f>SUM(Y70-Y49)/Y29</f>
        <v>0</v>
      </c>
      <c r="Z78" s="84">
        <f>SUM(Z70-Z49)/Z29</f>
        <v>0</v>
      </c>
      <c r="AA78" s="84">
        <f>SUM(AA70-AA49)/AA29</f>
        <v>0</v>
      </c>
      <c r="AB78" s="84">
        <f>SUM(AB70-AB49)/AB29</f>
        <v>-0.21790320351821441</v>
      </c>
      <c r="AC78" s="84">
        <f>SUM(AC70-AC49)/AC29</f>
        <v>0</v>
      </c>
      <c r="AD78" s="84">
        <f>SUM(AD70-AD49)/AD29</f>
        <v>0</v>
      </c>
      <c r="AE78" s="84">
        <f>SUM(AE70-AE49)/AE29</f>
        <v>0</v>
      </c>
    </row>
    <row r="79" spans="1:31" ht="12.75" customHeight="1">
      <c r="B79" s="31" t="s">
        <v>99</v>
      </c>
      <c r="C79" s="84">
        <f>C29/-C34</f>
        <v>17.752269329924864</v>
      </c>
      <c r="D79" s="84">
        <f>D29/-D34</f>
        <v>4.9456827907480632</v>
      </c>
      <c r="E79" s="84">
        <f>E29/-E34</f>
        <v>-0.92726432532349967</v>
      </c>
      <c r="G79" s="84" t="e" cm="1">
        <f t="array" ref="G79">SUM(G29:G29)/SUM(-G34:G34)</f>
        <v>#DIV/0!</v>
      </c>
      <c r="H79" s="84" t="e" cm="1">
        <f t="array" ref="H79">SUM(G29:H29)/SUM(-G34:H34)</f>
        <v>#DIV/0!</v>
      </c>
      <c r="I79" s="84" t="e" cm="1">
        <f t="array" ref="I79">SUM(G29:I29)/SUM(-G34:I34)</f>
        <v>#DIV/0!</v>
      </c>
      <c r="J79" s="84" cm="1">
        <f t="array" ref="J79">SUM(G29:J29)/SUM(-G34:J34)</f>
        <v>77.381710091544335</v>
      </c>
      <c r="K79" s="84" cm="1">
        <f t="array" ref="K79">SUM(H29:K29)/SUM(-H34:K34)</f>
        <v>77.381710091544335</v>
      </c>
      <c r="L79" s="84" cm="1">
        <f t="array" ref="L79">SUM(I29:L29)/SUM(-I34:L34)</f>
        <v>77.381710091544335</v>
      </c>
      <c r="M79" s="84" cm="1">
        <f t="array" ref="M79">SUM(J29:M29)/SUM(-J34:M34)</f>
        <v>77.381710091544335</v>
      </c>
      <c r="N79" s="84" cm="1">
        <f t="array" ref="N79">SUM(K29:N29)/SUM(-K34:N34)</f>
        <v>74.142804330604676</v>
      </c>
      <c r="O79" s="84" cm="1">
        <f t="array" ref="O79">SUM(L29:O29)/SUM(-L34:O34)</f>
        <v>74.142804330604676</v>
      </c>
      <c r="P79" s="84" cm="1">
        <f t="array" ref="P79">SUM(M29:P29)/SUM(-M34:P34)</f>
        <v>74.142804330604676</v>
      </c>
      <c r="Q79" s="84" cm="1">
        <f t="array" ref="Q79">SUM(N29:Q29)/SUM(-N34:Q34)</f>
        <v>74.142804330604676</v>
      </c>
      <c r="R79" s="84"/>
      <c r="S79" s="84" t="e">
        <f>S29/-S34</f>
        <v>#DIV/0!</v>
      </c>
      <c r="T79" s="84" t="e">
        <f>T29/-T34</f>
        <v>#REF!</v>
      </c>
      <c r="U79" s="84" t="e">
        <f>U29/-U34</f>
        <v>#DIV/0!</v>
      </c>
      <c r="V79" s="84" t="e">
        <f>V29/-V34</f>
        <v>#DIV/0!</v>
      </c>
      <c r="W79" s="84" t="e">
        <f>W29/-W34</f>
        <v>#DIV/0!</v>
      </c>
      <c r="X79" s="84">
        <f>X29/-X34</f>
        <v>31.022564460213424</v>
      </c>
      <c r="Y79" s="84">
        <f>Y29/-Y34</f>
        <v>31.022564460213424</v>
      </c>
      <c r="Z79" s="84">
        <f>Z29/-Z34</f>
        <v>31.022564460213424</v>
      </c>
      <c r="AA79" s="84">
        <f>AA29/-AA34</f>
        <v>77.381710091544335</v>
      </c>
      <c r="AB79" s="84">
        <f>AB29/-AB34</f>
        <v>74.142804330604676</v>
      </c>
      <c r="AC79" s="84">
        <f>AC29/-AC34</f>
        <v>74.142804330604676</v>
      </c>
      <c r="AD79" s="84">
        <f>AD29/-AD34</f>
        <v>74.142804330604676</v>
      </c>
      <c r="AE79" s="84">
        <f>AE29/-AE34</f>
        <v>74.142804330604676</v>
      </c>
    </row>
    <row r="80" spans="1:31" ht="12.75" customHeight="1">
      <c r="B80" s="31" t="s">
        <v>100</v>
      </c>
      <c r="C80" s="84" cm="1">
        <f t="array" ref="C80">SUM(C29+C32)/SUM(-C33:C34)</f>
        <v>2.9884771674576016</v>
      </c>
      <c r="D80" s="84" cm="1">
        <f t="array" ref="D80">SUM(D29+D32)/SUM(-D33:D34)</f>
        <v>0.80827289788920043</v>
      </c>
      <c r="E80" s="84" cm="1">
        <f t="array" ref="E80">SUM(E29+E32)/SUM(-E33:E34)</f>
        <v>-2.2259059914699084</v>
      </c>
      <c r="G80" s="84" t="e" cm="1">
        <f t="array" ref="G80">SUM(G29:G29+G32:G32)/SUM(-G33:G34)</f>
        <v>#DIV/0!</v>
      </c>
      <c r="H80" s="84" t="e" cm="1">
        <f t="array" ref="H80">SUM(G29:H29+G32:H32)/SUM(-G33:H34)</f>
        <v>#DIV/0!</v>
      </c>
      <c r="I80" s="84" t="e" cm="1">
        <f t="array" ref="I80">SUM(G29:I29+G32:I32)/SUM(-G33:I34)</f>
        <v>#DIV/0!</v>
      </c>
      <c r="J80" s="84" cm="1">
        <f t="array" ref="J80">SUM(G29:J29+G32:J32)/SUM(-G33:J34)</f>
        <v>31.792343427790264</v>
      </c>
      <c r="K80" s="84" cm="1">
        <f t="array" ref="K80">SUM(H29:K29+H32:K32)/SUM(-H33:K34)</f>
        <v>31.792343427790264</v>
      </c>
      <c r="L80" s="84" cm="1">
        <f t="array" ref="L80">SUM(I29:L29+I32:L32)/SUM(-I33:L34)</f>
        <v>31.792343427790264</v>
      </c>
      <c r="M80" s="84" cm="1">
        <f t="array" ref="M80">SUM(J29:M29+J32:M32)/SUM(-J33:M34)</f>
        <v>31.792343427790264</v>
      </c>
      <c r="N80" s="84" cm="1">
        <f t="array" ref="N80">SUM(K29:N29+K32:N32)/SUM(-K33:N34)</f>
        <v>48.190464367734542</v>
      </c>
      <c r="O80" s="84" cm="1">
        <f t="array" ref="O80">SUM(L29:O29+L32:O32)/SUM(-L33:O34)</f>
        <v>48.190464367734542</v>
      </c>
      <c r="P80" s="84" cm="1">
        <f t="array" ref="P80">SUM(M29:P29+M32:P32)/SUM(-M33:P34)</f>
        <v>48.190464367734542</v>
      </c>
      <c r="Q80" s="84" cm="1">
        <f t="array" ref="Q80">SUM(N29:Q29+N32:Q32)/SUM(-N33:Q34)</f>
        <v>48.190464367734542</v>
      </c>
      <c r="R80" s="84"/>
      <c r="S80" s="84" t="e" cm="1">
        <f t="array" ref="S80">SUM(S29+S32)/SUM(-S33:S34)</f>
        <v>#DIV/0!</v>
      </c>
      <c r="T80" s="84" t="e" cm="1">
        <f t="array" ref="T80">SUM(T29+T32)/SUM(-T33:T34)</f>
        <v>#REF!</v>
      </c>
      <c r="U80" s="84" t="e" cm="1">
        <f t="array" ref="U80">SUM(U29+U32)/SUM(-U33:U34)</f>
        <v>#DIV/0!</v>
      </c>
      <c r="V80" s="84" t="e" cm="1">
        <f t="array" ref="V80">SUM(V29+V32)/SUM(-V33:V34)</f>
        <v>#DIV/0!</v>
      </c>
      <c r="W80" s="84" t="e" cm="1">
        <f t="array" ref="W80">SUM(W29+W32)/SUM(-W33:W34)</f>
        <v>#DIV/0!</v>
      </c>
      <c r="X80" s="84" cm="1">
        <f t="array" ref="X80">SUM(X29+X32)/SUM(-X33:X34)</f>
        <v>11.962500579253458</v>
      </c>
      <c r="Y80" s="84" cm="1">
        <f t="array" ref="Y80">SUM(Y29+Y32)/SUM(-Y33:Y34)</f>
        <v>11.962500579253458</v>
      </c>
      <c r="Z80" s="84" cm="1">
        <f t="array" ref="Z80">SUM(Z29+Z32)/SUM(-Z33:Z34)</f>
        <v>11.962500579253458</v>
      </c>
      <c r="AA80" s="84" cm="1">
        <f t="array" ref="AA80">SUM(AA29+AA32)/SUM(-AA33:AA34)</f>
        <v>31.792343427790264</v>
      </c>
      <c r="AB80" s="84" cm="1">
        <f t="array" ref="AB80">SUM(AB29+AB32)/SUM(-AB33:AB34)</f>
        <v>48.190464367734542</v>
      </c>
      <c r="AC80" s="84" cm="1">
        <f t="array" ref="AC80">SUM(AC29+AC32)/SUM(-AC33:AC34)</f>
        <v>48.190464367734542</v>
      </c>
      <c r="AD80" s="84" cm="1">
        <f t="array" ref="AD80">SUM(AD29+AD32)/SUM(-AD33:AD34)</f>
        <v>48.190464367734542</v>
      </c>
      <c r="AE80" s="84" cm="1">
        <f t="array" ref="AE80">SUM(AE29+AE32)/SUM(-AE33:AE34)</f>
        <v>48.190464367734542</v>
      </c>
    </row>
    <row r="81" spans="2:31" ht="12.75" customHeight="1">
      <c r="B81" s="31" t="s">
        <v>101</v>
      </c>
      <c r="C81" s="84" cm="1">
        <f t="array" ref="C81">SUM(C29)/SUM(-C32:C34)</f>
        <v>1.5188046433781111</v>
      </c>
      <c r="D81" s="84" cm="1">
        <f t="array" ref="D81">SUM(D29)/SUM(-D32:D34)</f>
        <v>0.91690099119274526</v>
      </c>
      <c r="E81" s="84" cm="1">
        <f t="array" ref="E81">SUM(E29)/SUM(-E32:E34)</f>
        <v>-0.23922514365908046</v>
      </c>
      <c r="G81" s="84" t="e" cm="1">
        <f t="array" ref="G81">SUM(G29:G29)/SUM(-G32:G34)</f>
        <v>#DIV/0!</v>
      </c>
      <c r="H81" s="84" t="e" cm="1">
        <f t="array" ref="H81">SUM(G29:H29)/SUM(-G32:H34)</f>
        <v>#DIV/0!</v>
      </c>
      <c r="I81" s="84" t="e" cm="1">
        <f t="array" ref="I81">SUM(G29:I29)/SUM(-G32:I34)</f>
        <v>#DIV/0!</v>
      </c>
      <c r="J81" s="84" cm="1">
        <f t="array" ref="J81">SUM(G29:J29)/SUM(-G32:J34)</f>
        <v>14.346121594344076</v>
      </c>
      <c r="K81" s="84" cm="1">
        <f t="array" ref="K81">SUM(H29:K29)/SUM(-H32:K34)</f>
        <v>14.346121594344076</v>
      </c>
      <c r="L81" s="84" cm="1">
        <f t="array" ref="L81">SUM(I29:L29)/SUM(-I32:L34)</f>
        <v>14.346121594344076</v>
      </c>
      <c r="M81" s="84" cm="1">
        <f t="array" ref="M81">SUM(J29:M29)/SUM(-J32:M34)</f>
        <v>14.346121594344076</v>
      </c>
      <c r="N81" s="84" cm="1">
        <f t="array" ref="N81">SUM(K29:N29)/SUM(-K32:N34)</f>
        <v>19.128119709650274</v>
      </c>
      <c r="O81" s="84" cm="1">
        <f t="array" ref="O81">SUM(L29:O29)/SUM(-L32:O34)</f>
        <v>19.128119709650274</v>
      </c>
      <c r="P81" s="84" cm="1">
        <f t="array" ref="P81">SUM(M29:P29)/SUM(-M32:P34)</f>
        <v>19.128119709650274</v>
      </c>
      <c r="Q81" s="84" cm="1">
        <f t="array" ref="Q81">SUM(N29:Q29)/SUM(-N32:Q34)</f>
        <v>19.128119709650274</v>
      </c>
      <c r="R81" s="84"/>
      <c r="S81" s="84" t="e" cm="1">
        <f t="array" ref="S81">SUM(S29)/SUM(-S32:S34)</f>
        <v>#DIV/0!</v>
      </c>
      <c r="T81" s="84" t="e" cm="1">
        <f t="array" ref="T81">SUM(T29)/SUM(-T32:T34)</f>
        <v>#REF!</v>
      </c>
      <c r="U81" s="84" t="e" cm="1">
        <f t="array" ref="U81">SUM(U29)/SUM(-U32:U34)</f>
        <v>#DIV/0!</v>
      </c>
      <c r="V81" s="84" t="e" cm="1">
        <f t="array" ref="V81">SUM(V29)/SUM(-V32:V34)</f>
        <v>#DIV/0!</v>
      </c>
      <c r="W81" s="84" t="e" cm="1">
        <f t="array" ref="W81">SUM(W29)/SUM(-W32:W34)</f>
        <v>#DIV/0!</v>
      </c>
      <c r="X81" s="84" cm="1">
        <f t="array" ref="X81">SUM(X29)/SUM(-X32:X34)</f>
        <v>5.7514040641915303</v>
      </c>
      <c r="Y81" s="84" cm="1">
        <f t="array" ref="Y81">SUM(Y29)/SUM(-Y32:Y34)</f>
        <v>5.7514040641915303</v>
      </c>
      <c r="Z81" s="84" cm="1">
        <f t="array" ref="Z81">SUM(Z29)/SUM(-Z32:Z34)</f>
        <v>5.7514040641915303</v>
      </c>
      <c r="AA81" s="84" cm="1">
        <f t="array" ref="AA81">SUM(AA29)/SUM(-AA32:AA34)</f>
        <v>14.346121594344076</v>
      </c>
      <c r="AB81" s="84" cm="1">
        <f t="array" ref="AB81">SUM(AB29)/SUM(-AB32:AB34)</f>
        <v>19.128119709650274</v>
      </c>
      <c r="AC81" s="84" cm="1">
        <f t="array" ref="AC81">SUM(AC29)/SUM(-AC32:AC34)</f>
        <v>19.128119709650274</v>
      </c>
      <c r="AD81" s="84" cm="1">
        <f t="array" ref="AD81">SUM(AD29)/SUM(-AD32:AD34)</f>
        <v>19.128119709650274</v>
      </c>
      <c r="AE81" s="84" cm="1">
        <f t="array" ref="AE81">SUM(AE29)/SUM(-AE32:AE34)</f>
        <v>19.128119709650274</v>
      </c>
    </row>
    <row r="82" spans="2:31" ht="12.75" customHeight="1">
      <c r="B82" s="8" t="s">
        <v>52</v>
      </c>
      <c r="C82" s="84" t="e">
        <f>C73/C70</f>
        <v>#DIV/0!</v>
      </c>
      <c r="D82" s="84">
        <f>D73/D70</f>
        <v>2.4105368399780334</v>
      </c>
      <c r="E82" s="84">
        <f>E73/E70</f>
        <v>2.2128265706663628</v>
      </c>
      <c r="G82" s="84" t="e">
        <f t="shared" ref="G82:P82" si="104">G73/G70</f>
        <v>#DIV/0!</v>
      </c>
      <c r="H82" s="84" t="e">
        <f t="shared" si="104"/>
        <v>#DIV/0!</v>
      </c>
      <c r="I82" s="84" t="e">
        <f t="shared" si="104"/>
        <v>#DIV/0!</v>
      </c>
      <c r="J82" s="84">
        <f t="shared" si="104"/>
        <v>2.4105368399780334</v>
      </c>
      <c r="K82" s="84" t="e">
        <f t="shared" si="104"/>
        <v>#DIV/0!</v>
      </c>
      <c r="L82" s="84" t="e">
        <f t="shared" si="104"/>
        <v>#DIV/0!</v>
      </c>
      <c r="M82" s="84" t="e">
        <f t="shared" si="104"/>
        <v>#DIV/0!</v>
      </c>
      <c r="N82" s="84">
        <f t="shared" si="104"/>
        <v>2.2128265706663628</v>
      </c>
      <c r="O82" s="84" t="e">
        <f t="shared" si="104"/>
        <v>#DIV/0!</v>
      </c>
      <c r="P82" s="84" t="e">
        <f t="shared" si="104"/>
        <v>#DIV/0!</v>
      </c>
      <c r="Q82" s="84" t="e">
        <f>Q73/Q70</f>
        <v>#DIV/0!</v>
      </c>
      <c r="R82" s="84"/>
      <c r="S82" s="84" t="e">
        <f t="shared" ref="S82:AC82" si="105">S73/S70</f>
        <v>#REF!</v>
      </c>
      <c r="T82" s="84" t="e">
        <f t="shared" si="105"/>
        <v>#REF!</v>
      </c>
      <c r="U82" s="84" t="e">
        <f t="shared" si="105"/>
        <v>#DIV/0!</v>
      </c>
      <c r="V82" s="84" t="e">
        <f t="shared" si="105"/>
        <v>#DIV/0!</v>
      </c>
      <c r="W82" s="84" t="e">
        <f t="shared" si="105"/>
        <v>#DIV/0!</v>
      </c>
      <c r="X82" s="84">
        <f t="shared" si="105"/>
        <v>8.2779704979304647</v>
      </c>
      <c r="Y82" s="84" t="e">
        <f t="shared" si="105"/>
        <v>#DIV/0!</v>
      </c>
      <c r="Z82" s="84" t="e">
        <f t="shared" si="105"/>
        <v>#DIV/0!</v>
      </c>
      <c r="AA82" s="84" t="e">
        <f t="shared" si="105"/>
        <v>#DIV/0!</v>
      </c>
      <c r="AB82" s="84">
        <f t="shared" si="105"/>
        <v>4.3602657313418964</v>
      </c>
      <c r="AC82" s="84" t="e">
        <f t="shared" si="105"/>
        <v>#DIV/0!</v>
      </c>
      <c r="AD82" s="84" t="e">
        <f>AD73/AD70</f>
        <v>#DIV/0!</v>
      </c>
      <c r="AE82" s="84" t="e">
        <f>AE73/AE70</f>
        <v>#DIV/0!</v>
      </c>
    </row>
    <row r="83" spans="2:31" ht="5.0999999999999996" customHeight="1" thickBot="1"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</sheetData>
  <mergeCells count="1">
    <mergeCell ref="AG2:AG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36:F37 AF37:AG37 F32:F34 F39 AF39:AG39 AF35 AF36 F35 AF38:AG38 F38 G36:P37" formulaRange="1"/>
    <ignoredError sqref="C12:F13 F20 R23:AE23 F27 AG29:AG36 R27:AE27 AG10:AG13 F15 F23:F24 AG15:AG18 R18:AE18 F18 C77:AE82 G13:AE13 C21:AE22 C16:AE17 C25:AE26 C30:AE30 D11:F11 K11:AE11 H12:AE12 AG20:AG27 F29 R29:Z29" evalError="1"/>
    <ignoredError sqref="AA42:AE42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2025-12-20T02:59:52Z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