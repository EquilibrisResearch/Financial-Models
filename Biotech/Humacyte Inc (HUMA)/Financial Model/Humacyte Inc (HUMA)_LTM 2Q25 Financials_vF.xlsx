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Felix\Downloads\"/>
    </mc:Choice>
  </mc:AlternateContent>
  <xr:revisionPtr revIDLastSave="0" documentId="8_{17195B95-35E1-4062-BA1D-0A7FBDE6F615}" xr6:coauthVersionLast="47" xr6:coauthVersionMax="47" xr10:uidLastSave="{00000000-0000-0000-0000-000000000000}"/>
  <bookViews>
    <workbookView xWindow="-120" yWindow="-120" windowWidth="29040" windowHeight="15720" xr2:uid="{DD943627-84DE-4F35-8251-A0903E7D7A97}"/>
  </bookViews>
  <sheets>
    <sheet name="Background" sheetId="2" r:id="rId1"/>
    <sheet name="Base Financials" sheetId="1" r:id="rId2"/>
    <sheet name="FCF Analysis" sheetId="8" r:id="rId3"/>
    <sheet name="Cash Analysis" sheetId="7"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7" l="1"/>
  <c r="X3" i="7"/>
  <c r="Y3" i="7"/>
  <c r="Z3" i="7"/>
  <c r="AA3" i="7"/>
  <c r="AB3" i="7"/>
  <c r="AC3" i="7"/>
  <c r="AD3" i="7"/>
  <c r="AE3" i="7"/>
  <c r="AF3" i="7"/>
  <c r="AG3" i="7"/>
  <c r="W4" i="7"/>
  <c r="X4" i="7"/>
  <c r="Y4" i="7"/>
  <c r="Z4" i="7"/>
  <c r="AA4" i="7"/>
  <c r="AB4" i="7"/>
  <c r="AC4" i="7"/>
  <c r="AD4" i="7"/>
  <c r="AE4" i="7"/>
  <c r="AF4" i="7"/>
  <c r="AG4" i="7"/>
  <c r="C6" i="7"/>
  <c r="C21" i="7" s="1"/>
  <c r="D6" i="7"/>
  <c r="D7" i="7" s="1"/>
  <c r="D15" i="7" s="1"/>
  <c r="E6" i="7"/>
  <c r="F6" i="7"/>
  <c r="H6" i="7"/>
  <c r="I6" i="7"/>
  <c r="J6" i="7"/>
  <c r="L6" i="7"/>
  <c r="X6" i="7" s="1"/>
  <c r="M6" i="7"/>
  <c r="Y6" i="7" s="1"/>
  <c r="N6" i="7"/>
  <c r="Z6" i="7" s="1"/>
  <c r="P6" i="7"/>
  <c r="Q6" i="7"/>
  <c r="R6" i="7"/>
  <c r="T6" i="7"/>
  <c r="T7" i="7" s="1"/>
  <c r="T15" i="7" s="1"/>
  <c r="U6" i="7"/>
  <c r="AG6" i="7" s="1"/>
  <c r="AB6" i="7"/>
  <c r="AB7" i="7" s="1"/>
  <c r="AB15" i="7" s="1"/>
  <c r="AC6" i="7"/>
  <c r="AD6" i="7"/>
  <c r="AD7" i="7" s="1"/>
  <c r="AD15" i="7" s="1"/>
  <c r="C7" i="7"/>
  <c r="C15" i="7" s="1"/>
  <c r="E7" i="7"/>
  <c r="E15" i="7" s="1"/>
  <c r="F7" i="7"/>
  <c r="H7" i="7"/>
  <c r="H15" i="7" s="1"/>
  <c r="I7" i="7"/>
  <c r="J7" i="7"/>
  <c r="N7" i="7"/>
  <c r="N15" i="7" s="1"/>
  <c r="P7" i="7"/>
  <c r="P15" i="7" s="1"/>
  <c r="Q7" i="7"/>
  <c r="R7" i="7"/>
  <c r="AC7" i="7"/>
  <c r="C11" i="7"/>
  <c r="D11" i="7"/>
  <c r="E11" i="7"/>
  <c r="F11" i="7"/>
  <c r="H11" i="7"/>
  <c r="L11" i="7"/>
  <c r="P11" i="7"/>
  <c r="T11" i="7"/>
  <c r="F15" i="7"/>
  <c r="I15" i="7"/>
  <c r="J15" i="7"/>
  <c r="Q15" i="7"/>
  <c r="R15" i="7"/>
  <c r="AC15" i="7"/>
  <c r="C20" i="7"/>
  <c r="D20" i="7"/>
  <c r="E20" i="7"/>
  <c r="F20" i="7"/>
  <c r="H20" i="7"/>
  <c r="I20" i="7"/>
  <c r="J20" i="7"/>
  <c r="L20" i="7"/>
  <c r="M20" i="7"/>
  <c r="Y20" i="7" s="1"/>
  <c r="N20" i="7"/>
  <c r="P20" i="7"/>
  <c r="Q20" i="7"/>
  <c r="Q21" i="7" s="1"/>
  <c r="R20" i="7"/>
  <c r="AD20" i="7" s="1"/>
  <c r="T20" i="7"/>
  <c r="U20" i="7"/>
  <c r="AG20" i="7" s="1"/>
  <c r="X20" i="7"/>
  <c r="Z20" i="7"/>
  <c r="AB20" i="7"/>
  <c r="AC20" i="7"/>
  <c r="AC21" i="7" s="1"/>
  <c r="AF20" i="7"/>
  <c r="E21" i="7"/>
  <c r="F21" i="7"/>
  <c r="H21" i="7"/>
  <c r="I21" i="7"/>
  <c r="J21" i="7"/>
  <c r="N21" i="7"/>
  <c r="P21" i="7"/>
  <c r="T21" i="7"/>
  <c r="AF27" i="1"/>
  <c r="AD27" i="1"/>
  <c r="AC27" i="1"/>
  <c r="AB27" i="1"/>
  <c r="Z27" i="1"/>
  <c r="Y27" i="1"/>
  <c r="X27" i="1"/>
  <c r="AG27" i="1"/>
  <c r="S27" i="1"/>
  <c r="S20" i="7" s="1"/>
  <c r="AE20" i="7" s="1"/>
  <c r="O27" i="1"/>
  <c r="O20" i="7" s="1"/>
  <c r="AA20" i="7" s="1"/>
  <c r="K27" i="1"/>
  <c r="K20" i="7" s="1"/>
  <c r="W20" i="7" s="1"/>
  <c r="X7" i="7" l="1"/>
  <c r="X15" i="7" s="1"/>
  <c r="X21" i="7"/>
  <c r="R21" i="7"/>
  <c r="AF6" i="7"/>
  <c r="AA27" i="1"/>
  <c r="L7" i="7"/>
  <c r="L15" i="7" s="1"/>
  <c r="W27" i="1"/>
  <c r="AE27" i="1"/>
  <c r="L21" i="7"/>
  <c r="AG7" i="7"/>
  <c r="AG15" i="7" s="1"/>
  <c r="AG21" i="7"/>
  <c r="Y21" i="7"/>
  <c r="Y7" i="7"/>
  <c r="Y15" i="7" s="1"/>
  <c r="Z7" i="7"/>
  <c r="Z15" i="7" s="1"/>
  <c r="Z21" i="7"/>
  <c r="AD21" i="7"/>
  <c r="U21" i="7"/>
  <c r="M21" i="7"/>
  <c r="D21" i="7"/>
  <c r="U7" i="7"/>
  <c r="U15" i="7" s="1"/>
  <c r="M7" i="7"/>
  <c r="M15" i="7" s="1"/>
  <c r="AB21" i="7"/>
  <c r="AF21" i="7" l="1"/>
  <c r="AF7" i="7"/>
  <c r="AF15" i="7" s="1"/>
  <c r="C27" i="8" l="1"/>
  <c r="D27" i="8"/>
  <c r="E27" i="8"/>
  <c r="F27" i="8"/>
  <c r="H27" i="8"/>
  <c r="L27" i="8"/>
  <c r="P27" i="8"/>
  <c r="T27" i="8"/>
  <c r="C28" i="8"/>
  <c r="D28" i="8"/>
  <c r="E28" i="8"/>
  <c r="F28" i="8"/>
  <c r="H28" i="8"/>
  <c r="I28" i="8"/>
  <c r="J28" i="8"/>
  <c r="K28" i="8"/>
  <c r="L28" i="8"/>
  <c r="P28" i="8"/>
  <c r="T28" i="8"/>
  <c r="U70" i="8"/>
  <c r="AG70" i="8" s="1"/>
  <c r="T70" i="8"/>
  <c r="AF70" i="8" s="1"/>
  <c r="R70" i="8"/>
  <c r="Q70" i="8"/>
  <c r="P70" i="8"/>
  <c r="AB70" i="8" s="1"/>
  <c r="N70" i="8"/>
  <c r="M70" i="8"/>
  <c r="Y70" i="8" s="1"/>
  <c r="L70" i="8"/>
  <c r="X70" i="8" s="1"/>
  <c r="J70" i="8"/>
  <c r="I70" i="8"/>
  <c r="H70" i="8"/>
  <c r="U69" i="8"/>
  <c r="T69" i="8"/>
  <c r="R69" i="8"/>
  <c r="AD69" i="8" s="1"/>
  <c r="Q69" i="8"/>
  <c r="P69" i="8"/>
  <c r="AB69" i="8" s="1"/>
  <c r="N69" i="8"/>
  <c r="Z69" i="8" s="1"/>
  <c r="M69" i="8"/>
  <c r="Y69" i="8" s="1"/>
  <c r="L69" i="8"/>
  <c r="J69" i="8"/>
  <c r="I69" i="8"/>
  <c r="H69" i="8"/>
  <c r="U68" i="8"/>
  <c r="AG68" i="8" s="1"/>
  <c r="T68" i="8"/>
  <c r="AF68" i="8" s="1"/>
  <c r="R68" i="8"/>
  <c r="AD68" i="8" s="1"/>
  <c r="Q68" i="8"/>
  <c r="AC68" i="8" s="1"/>
  <c r="P68" i="8"/>
  <c r="N68" i="8"/>
  <c r="Z68" i="8" s="1"/>
  <c r="M68" i="8"/>
  <c r="L68" i="8"/>
  <c r="X68" i="8" s="1"/>
  <c r="J68" i="8"/>
  <c r="I68" i="8"/>
  <c r="H68" i="8"/>
  <c r="F70" i="8"/>
  <c r="E70" i="8"/>
  <c r="D70" i="8"/>
  <c r="F69" i="8"/>
  <c r="E69" i="8"/>
  <c r="D69" i="8"/>
  <c r="F68" i="8"/>
  <c r="E68" i="8"/>
  <c r="D68" i="8"/>
  <c r="C70" i="8"/>
  <c r="C69" i="8"/>
  <c r="C68" i="8"/>
  <c r="U66" i="8"/>
  <c r="AG66" i="8" s="1"/>
  <c r="T66" i="8"/>
  <c r="AF66" i="8" s="1"/>
  <c r="R66" i="8"/>
  <c r="AD66" i="8" s="1"/>
  <c r="Q66" i="8"/>
  <c r="AC66" i="8" s="1"/>
  <c r="P66" i="8"/>
  <c r="AB66" i="8" s="1"/>
  <c r="N66" i="8"/>
  <c r="Z66" i="8" s="1"/>
  <c r="M66" i="8"/>
  <c r="Y66" i="8" s="1"/>
  <c r="L66" i="8"/>
  <c r="X66" i="8" s="1"/>
  <c r="J66" i="8"/>
  <c r="I66" i="8"/>
  <c r="U65" i="8"/>
  <c r="AG65" i="8" s="1"/>
  <c r="T65" i="8"/>
  <c r="AF65" i="8" s="1"/>
  <c r="R65" i="8"/>
  <c r="AD65" i="8" s="1"/>
  <c r="Q65" i="8"/>
  <c r="AC65" i="8" s="1"/>
  <c r="P65" i="8"/>
  <c r="AB65" i="8" s="1"/>
  <c r="N65" i="8"/>
  <c r="M65" i="8"/>
  <c r="Y65" i="8" s="1"/>
  <c r="L65" i="8"/>
  <c r="J65" i="8"/>
  <c r="I65" i="8"/>
  <c r="H66" i="8"/>
  <c r="H65" i="8"/>
  <c r="F66" i="8"/>
  <c r="E66" i="8"/>
  <c r="D66" i="8"/>
  <c r="F65" i="8"/>
  <c r="E65" i="8"/>
  <c r="D65" i="8"/>
  <c r="C66" i="8"/>
  <c r="C65" i="8"/>
  <c r="U60" i="8"/>
  <c r="AG60" i="8" s="1"/>
  <c r="T60" i="8"/>
  <c r="AF60" i="8" s="1"/>
  <c r="R60" i="8"/>
  <c r="AD60" i="8" s="1"/>
  <c r="Q60" i="8"/>
  <c r="AC60" i="8" s="1"/>
  <c r="P60" i="8"/>
  <c r="N60" i="8"/>
  <c r="M60" i="8"/>
  <c r="L60" i="8"/>
  <c r="J60" i="8"/>
  <c r="I60" i="8"/>
  <c r="H60" i="8"/>
  <c r="U59" i="8"/>
  <c r="AG59" i="8" s="1"/>
  <c r="T59" i="8"/>
  <c r="AF59" i="8" s="1"/>
  <c r="R59" i="8"/>
  <c r="AD59" i="8" s="1"/>
  <c r="Q59" i="8"/>
  <c r="AC59" i="8" s="1"/>
  <c r="P59" i="8"/>
  <c r="N59" i="8"/>
  <c r="M59" i="8"/>
  <c r="L59" i="8"/>
  <c r="J59" i="8"/>
  <c r="I59" i="8"/>
  <c r="H59" i="8"/>
  <c r="U58" i="8"/>
  <c r="AG58" i="8" s="1"/>
  <c r="T58" i="8"/>
  <c r="AF58" i="8" s="1"/>
  <c r="R58" i="8"/>
  <c r="AD58" i="8" s="1"/>
  <c r="Q58" i="8"/>
  <c r="AC58" i="8" s="1"/>
  <c r="P58" i="8"/>
  <c r="N58" i="8"/>
  <c r="M58" i="8"/>
  <c r="L58" i="8"/>
  <c r="J58" i="8"/>
  <c r="I58" i="8"/>
  <c r="H58" i="8"/>
  <c r="U57" i="8"/>
  <c r="AG57" i="8" s="1"/>
  <c r="T57" i="8"/>
  <c r="AF57" i="8" s="1"/>
  <c r="R57" i="8"/>
  <c r="AD57" i="8" s="1"/>
  <c r="Q57" i="8"/>
  <c r="AC57" i="8" s="1"/>
  <c r="P57" i="8"/>
  <c r="AB57" i="8" s="1"/>
  <c r="N57" i="8"/>
  <c r="Z57" i="8" s="1"/>
  <c r="M57" i="8"/>
  <c r="Y57" i="8" s="1"/>
  <c r="L57" i="8"/>
  <c r="X57" i="8" s="1"/>
  <c r="J57" i="8"/>
  <c r="I57" i="8"/>
  <c r="H57" i="8"/>
  <c r="U56" i="8"/>
  <c r="AG56" i="8" s="1"/>
  <c r="T56" i="8"/>
  <c r="AF56" i="8" s="1"/>
  <c r="R56" i="8"/>
  <c r="AD56" i="8" s="1"/>
  <c r="Q56" i="8"/>
  <c r="P56" i="8"/>
  <c r="AB56" i="8" s="1"/>
  <c r="N56" i="8"/>
  <c r="Z56" i="8" s="1"/>
  <c r="M56" i="8"/>
  <c r="Y56" i="8" s="1"/>
  <c r="L56" i="8"/>
  <c r="X56" i="8" s="1"/>
  <c r="J56" i="8"/>
  <c r="I56" i="8"/>
  <c r="H56" i="8"/>
  <c r="U55" i="8"/>
  <c r="AG55" i="8" s="1"/>
  <c r="T55" i="8"/>
  <c r="AF55" i="8" s="1"/>
  <c r="R55" i="8"/>
  <c r="AD55" i="8" s="1"/>
  <c r="Q55" i="8"/>
  <c r="AC55" i="8" s="1"/>
  <c r="P55" i="8"/>
  <c r="AB55" i="8" s="1"/>
  <c r="N55" i="8"/>
  <c r="Z55" i="8" s="1"/>
  <c r="M55" i="8"/>
  <c r="Y55" i="8" s="1"/>
  <c r="L55" i="8"/>
  <c r="X55" i="8" s="1"/>
  <c r="J55" i="8"/>
  <c r="I55" i="8"/>
  <c r="H55" i="8"/>
  <c r="F60" i="8"/>
  <c r="E60" i="8"/>
  <c r="D60" i="8"/>
  <c r="F59" i="8"/>
  <c r="E59" i="8"/>
  <c r="D59" i="8"/>
  <c r="F58" i="8"/>
  <c r="E58" i="8"/>
  <c r="D58" i="8"/>
  <c r="F57" i="8"/>
  <c r="E57" i="8"/>
  <c r="D57" i="8"/>
  <c r="F56" i="8"/>
  <c r="E56" i="8"/>
  <c r="D56" i="8"/>
  <c r="F55" i="8"/>
  <c r="E55" i="8"/>
  <c r="D55" i="8"/>
  <c r="C60" i="8"/>
  <c r="C59" i="8"/>
  <c r="C58" i="8"/>
  <c r="C57" i="8"/>
  <c r="C56" i="8"/>
  <c r="C55" i="8"/>
  <c r="U50" i="8"/>
  <c r="T50" i="8"/>
  <c r="AF50" i="8" s="1"/>
  <c r="R50" i="8"/>
  <c r="AD50" i="8" s="1"/>
  <c r="Q50" i="8"/>
  <c r="AC50" i="8" s="1"/>
  <c r="P50" i="8"/>
  <c r="AB50" i="8" s="1"/>
  <c r="N50" i="8"/>
  <c r="Z50" i="8" s="1"/>
  <c r="M50" i="8"/>
  <c r="L50" i="8"/>
  <c r="X50" i="8" s="1"/>
  <c r="J50" i="8"/>
  <c r="I50" i="8"/>
  <c r="U49" i="8"/>
  <c r="AG49" i="8" s="1"/>
  <c r="T49" i="8"/>
  <c r="AF49" i="8" s="1"/>
  <c r="R49" i="8"/>
  <c r="AD49" i="8" s="1"/>
  <c r="Q49" i="8"/>
  <c r="P49" i="8"/>
  <c r="AB49" i="8" s="1"/>
  <c r="N49" i="8"/>
  <c r="Z49" i="8" s="1"/>
  <c r="M49" i="8"/>
  <c r="Y49" i="8" s="1"/>
  <c r="L49" i="8"/>
  <c r="X49" i="8" s="1"/>
  <c r="J49" i="8"/>
  <c r="I49" i="8"/>
  <c r="H50" i="8"/>
  <c r="H49" i="8"/>
  <c r="F50" i="8"/>
  <c r="E50" i="8"/>
  <c r="D50" i="8"/>
  <c r="F49" i="8"/>
  <c r="E49" i="8"/>
  <c r="D49" i="8"/>
  <c r="C50" i="8"/>
  <c r="C49" i="8"/>
  <c r="U43" i="8"/>
  <c r="T43" i="8"/>
  <c r="P43" i="8"/>
  <c r="L43" i="8"/>
  <c r="J43" i="8"/>
  <c r="I43" i="8"/>
  <c r="H43" i="8"/>
  <c r="F43" i="8"/>
  <c r="E43" i="8"/>
  <c r="D43" i="8"/>
  <c r="C43" i="8"/>
  <c r="U42" i="8"/>
  <c r="T42" i="8"/>
  <c r="P42" i="8"/>
  <c r="L42" i="8"/>
  <c r="J42" i="8"/>
  <c r="I42" i="8"/>
  <c r="H42" i="8"/>
  <c r="D42" i="8"/>
  <c r="C42" i="8"/>
  <c r="U41" i="8"/>
  <c r="T41" i="8"/>
  <c r="R41" i="8"/>
  <c r="Q41" i="8"/>
  <c r="P41" i="8"/>
  <c r="N41" i="8"/>
  <c r="M41" i="8"/>
  <c r="L41" i="8"/>
  <c r="J41" i="8"/>
  <c r="I41" i="8"/>
  <c r="H41" i="8"/>
  <c r="F41" i="8"/>
  <c r="E41" i="8"/>
  <c r="D41" i="8"/>
  <c r="T40" i="8"/>
  <c r="P40" i="8"/>
  <c r="L40" i="8"/>
  <c r="H40" i="8"/>
  <c r="F40" i="8"/>
  <c r="D40" i="8"/>
  <c r="L39" i="8"/>
  <c r="H39" i="8"/>
  <c r="E39" i="8"/>
  <c r="D39" i="8"/>
  <c r="C39" i="8"/>
  <c r="U33" i="8"/>
  <c r="T33" i="8"/>
  <c r="R33" i="8"/>
  <c r="Q33" i="8"/>
  <c r="P33" i="8"/>
  <c r="N33" i="8"/>
  <c r="M33" i="8"/>
  <c r="L33" i="8"/>
  <c r="J33" i="8"/>
  <c r="I33" i="8"/>
  <c r="H33" i="8"/>
  <c r="F33" i="8"/>
  <c r="E33" i="8"/>
  <c r="D33" i="8"/>
  <c r="C33" i="8"/>
  <c r="T32" i="8"/>
  <c r="P32" i="8"/>
  <c r="L32" i="8"/>
  <c r="H32" i="8"/>
  <c r="F32" i="8"/>
  <c r="E32" i="8"/>
  <c r="D32" i="8"/>
  <c r="C32" i="8"/>
  <c r="T26" i="8"/>
  <c r="P26" i="8"/>
  <c r="L26" i="8"/>
  <c r="H26" i="8"/>
  <c r="F26" i="8"/>
  <c r="E26" i="8"/>
  <c r="D26" i="8"/>
  <c r="C26" i="8"/>
  <c r="T22" i="8"/>
  <c r="P22" i="8"/>
  <c r="L22" i="8"/>
  <c r="H22" i="8"/>
  <c r="F22" i="8"/>
  <c r="E22" i="8"/>
  <c r="D22" i="8"/>
  <c r="C22" i="8"/>
  <c r="U18" i="8"/>
  <c r="T18" i="8"/>
  <c r="R18" i="8"/>
  <c r="Q18" i="8"/>
  <c r="P18" i="8"/>
  <c r="N18" i="8"/>
  <c r="M18" i="8"/>
  <c r="L18" i="8"/>
  <c r="J18" i="8"/>
  <c r="I18" i="8"/>
  <c r="H18" i="8"/>
  <c r="U17" i="8"/>
  <c r="T17" i="8"/>
  <c r="R17" i="8"/>
  <c r="Q17" i="8"/>
  <c r="P17" i="8"/>
  <c r="N17" i="8"/>
  <c r="M17" i="8"/>
  <c r="L17" i="8"/>
  <c r="J17" i="8"/>
  <c r="I17" i="8"/>
  <c r="H17" i="8"/>
  <c r="F18" i="8"/>
  <c r="E18" i="8"/>
  <c r="D18" i="8"/>
  <c r="C18" i="8"/>
  <c r="F17" i="8"/>
  <c r="E17" i="8"/>
  <c r="D17" i="8"/>
  <c r="C17" i="8"/>
  <c r="U13" i="8"/>
  <c r="T13" i="8"/>
  <c r="R13" i="8"/>
  <c r="Q13" i="8"/>
  <c r="P13" i="8"/>
  <c r="N13" i="8"/>
  <c r="M13" i="8"/>
  <c r="L13" i="8"/>
  <c r="J13" i="8"/>
  <c r="I13" i="8"/>
  <c r="H13" i="8"/>
  <c r="F13" i="8"/>
  <c r="E13" i="8"/>
  <c r="D13" i="8"/>
  <c r="C13" i="8"/>
  <c r="U8" i="8"/>
  <c r="T8" i="8"/>
  <c r="R8" i="8"/>
  <c r="Q8" i="8"/>
  <c r="P8" i="8"/>
  <c r="N8" i="8"/>
  <c r="M8" i="8"/>
  <c r="L8" i="8"/>
  <c r="J8" i="8"/>
  <c r="I8" i="8"/>
  <c r="H8" i="8"/>
  <c r="U7" i="8"/>
  <c r="T7" i="8"/>
  <c r="R7" i="8"/>
  <c r="Q7" i="8"/>
  <c r="P7" i="8"/>
  <c r="N7" i="8"/>
  <c r="M7" i="8"/>
  <c r="L7" i="8"/>
  <c r="J7" i="8"/>
  <c r="I7" i="8"/>
  <c r="H7" i="8"/>
  <c r="U6" i="8"/>
  <c r="T6" i="8"/>
  <c r="R6" i="8"/>
  <c r="Q6" i="8"/>
  <c r="P6" i="8"/>
  <c r="N6" i="8"/>
  <c r="M6" i="8"/>
  <c r="L6" i="8"/>
  <c r="J6" i="8"/>
  <c r="I6" i="8"/>
  <c r="H6" i="8"/>
  <c r="F8" i="8"/>
  <c r="E8" i="8"/>
  <c r="D8" i="8"/>
  <c r="C8" i="8"/>
  <c r="F7" i="8"/>
  <c r="E7" i="8"/>
  <c r="D7" i="8"/>
  <c r="C7" i="8"/>
  <c r="F6" i="8"/>
  <c r="E6" i="8"/>
  <c r="D6" i="8"/>
  <c r="C6" i="8"/>
  <c r="AD70" i="8"/>
  <c r="AC70" i="8"/>
  <c r="AB68" i="8"/>
  <c r="Y68" i="8"/>
  <c r="Z65" i="8"/>
  <c r="X65" i="8"/>
  <c r="AC56" i="8"/>
  <c r="AG35" i="8"/>
  <c r="AF35" i="8"/>
  <c r="AE35" i="8"/>
  <c r="AD35" i="8"/>
  <c r="AC35" i="8"/>
  <c r="AB35" i="8"/>
  <c r="AA35" i="8"/>
  <c r="Z35" i="8"/>
  <c r="Y35" i="8"/>
  <c r="X35" i="8"/>
  <c r="W35" i="8"/>
  <c r="AG4" i="8"/>
  <c r="AF4" i="8"/>
  <c r="AE4" i="8"/>
  <c r="AD4" i="8"/>
  <c r="AC4" i="8"/>
  <c r="AB4" i="8"/>
  <c r="AA4" i="8"/>
  <c r="Z4" i="8"/>
  <c r="Y4" i="8"/>
  <c r="X4" i="8"/>
  <c r="W4" i="8"/>
  <c r="AG3" i="8"/>
  <c r="AF3" i="8"/>
  <c r="AE3" i="8"/>
  <c r="AD3" i="8"/>
  <c r="AC3" i="8"/>
  <c r="AB3" i="8"/>
  <c r="AA3" i="8"/>
  <c r="Z3" i="8"/>
  <c r="Y3" i="8"/>
  <c r="X3" i="8"/>
  <c r="W3" i="8"/>
  <c r="U55" i="1"/>
  <c r="T55" i="1"/>
  <c r="AG62" i="1"/>
  <c r="AF62" i="1"/>
  <c r="AD62" i="1"/>
  <c r="AC62" i="1"/>
  <c r="AG54" i="1"/>
  <c r="AF54" i="1"/>
  <c r="AD54" i="1"/>
  <c r="AC54" i="1"/>
  <c r="AG53" i="1"/>
  <c r="AF53" i="1"/>
  <c r="AD53" i="1"/>
  <c r="AC53" i="1"/>
  <c r="L63" i="1"/>
  <c r="L55" i="1"/>
  <c r="J55" i="1"/>
  <c r="J63" i="1"/>
  <c r="I63" i="1"/>
  <c r="H63" i="1"/>
  <c r="D55" i="1"/>
  <c r="D63" i="1"/>
  <c r="C63" i="1"/>
  <c r="S62" i="1"/>
  <c r="AE62" i="1" s="1"/>
  <c r="O62" i="1"/>
  <c r="K62" i="1"/>
  <c r="S54" i="1"/>
  <c r="AE54" i="1" s="1"/>
  <c r="O54" i="1"/>
  <c r="K54" i="1"/>
  <c r="S53" i="1"/>
  <c r="AE53" i="1" s="1"/>
  <c r="O53" i="1"/>
  <c r="O58" i="8" s="1"/>
  <c r="K53" i="1"/>
  <c r="K58" i="8" s="1"/>
  <c r="AF117" i="1"/>
  <c r="AD117" i="1"/>
  <c r="AC117" i="1"/>
  <c r="AB117" i="1"/>
  <c r="Z117" i="1"/>
  <c r="Y117" i="1"/>
  <c r="X117" i="1"/>
  <c r="AF116" i="1"/>
  <c r="AD116" i="1"/>
  <c r="AC116" i="1"/>
  <c r="AB116" i="1"/>
  <c r="Z116" i="1"/>
  <c r="Y116" i="1"/>
  <c r="X116" i="1"/>
  <c r="AG117" i="1"/>
  <c r="AG116" i="1"/>
  <c r="Q111" i="1"/>
  <c r="R111" i="1" s="1"/>
  <c r="R42" i="8" s="1"/>
  <c r="M111" i="1"/>
  <c r="N111" i="1" s="1"/>
  <c r="N42" i="8" s="1"/>
  <c r="F111" i="1"/>
  <c r="F42" i="8" s="1"/>
  <c r="E111" i="1"/>
  <c r="E42" i="8" s="1"/>
  <c r="L113" i="1"/>
  <c r="H113" i="1"/>
  <c r="D113" i="1"/>
  <c r="C110" i="1"/>
  <c r="C41" i="8" s="1"/>
  <c r="S110" i="1"/>
  <c r="AG110" i="1" s="1"/>
  <c r="O110" i="1"/>
  <c r="AD110" i="1" s="1"/>
  <c r="K110" i="1"/>
  <c r="K41" i="8" s="1"/>
  <c r="AI54" i="1" l="1"/>
  <c r="O70" i="8"/>
  <c r="AA70" i="8" s="1"/>
  <c r="AI53" i="1"/>
  <c r="K70" i="8"/>
  <c r="W70" i="8" s="1"/>
  <c r="S41" i="8"/>
  <c r="AG41" i="8" s="1"/>
  <c r="Q42" i="8"/>
  <c r="S58" i="8"/>
  <c r="AE58" i="8" s="1"/>
  <c r="M42" i="8"/>
  <c r="O41" i="8"/>
  <c r="AD41" i="8" s="1"/>
  <c r="S70" i="8"/>
  <c r="AE70" i="8" s="1"/>
  <c r="E71" i="8"/>
  <c r="I71" i="8"/>
  <c r="M71" i="8"/>
  <c r="H71" i="8"/>
  <c r="F71" i="8"/>
  <c r="J71" i="8"/>
  <c r="L71" i="8"/>
  <c r="T71" i="8"/>
  <c r="N71" i="8"/>
  <c r="Q71" i="8"/>
  <c r="U71" i="8"/>
  <c r="X69" i="8"/>
  <c r="X71" i="8" s="1"/>
  <c r="Z70" i="8"/>
  <c r="Z71" i="8" s="1"/>
  <c r="D71" i="8"/>
  <c r="R71" i="8"/>
  <c r="P71" i="8"/>
  <c r="AF69" i="8"/>
  <c r="AF71" i="8" s="1"/>
  <c r="AC69" i="8"/>
  <c r="AC71" i="8" s="1"/>
  <c r="AG69" i="8"/>
  <c r="AG71" i="8" s="1"/>
  <c r="C71" i="8"/>
  <c r="U9" i="8"/>
  <c r="U14" i="8" s="1"/>
  <c r="F9" i="8"/>
  <c r="F14" i="8" s="1"/>
  <c r="T9" i="8"/>
  <c r="D9" i="8"/>
  <c r="D14" i="8" s="1"/>
  <c r="R9" i="8"/>
  <c r="R14" i="8" s="1"/>
  <c r="C9" i="8"/>
  <c r="E51" i="8"/>
  <c r="H51" i="8"/>
  <c r="E9" i="8"/>
  <c r="E14" i="8" s="1"/>
  <c r="M9" i="8"/>
  <c r="Z41" i="8"/>
  <c r="I51" i="8"/>
  <c r="Q51" i="8"/>
  <c r="J51" i="8"/>
  <c r="Y71" i="8"/>
  <c r="L9" i="8"/>
  <c r="C51" i="8"/>
  <c r="N9" i="8"/>
  <c r="J9" i="8"/>
  <c r="J14" i="8" s="1"/>
  <c r="F51" i="8"/>
  <c r="X41" i="8"/>
  <c r="AC49" i="8"/>
  <c r="AC51" i="8" s="1"/>
  <c r="AG34" i="8"/>
  <c r="X51" i="8"/>
  <c r="AF51" i="8"/>
  <c r="I9" i="8"/>
  <c r="Q9" i="8"/>
  <c r="D51" i="8"/>
  <c r="P51" i="8"/>
  <c r="AD71" i="8"/>
  <c r="AB51" i="8"/>
  <c r="H9" i="8"/>
  <c r="P9" i="8"/>
  <c r="Y41" i="8"/>
  <c r="AI35" i="8"/>
  <c r="W41" i="8"/>
  <c r="Y50" i="8"/>
  <c r="Y51" i="8" s="1"/>
  <c r="M51" i="8"/>
  <c r="AG50" i="8"/>
  <c r="AG51" i="8" s="1"/>
  <c r="U51" i="8"/>
  <c r="Z51" i="8"/>
  <c r="L51" i="8"/>
  <c r="N51" i="8"/>
  <c r="AD51" i="8"/>
  <c r="R51" i="8"/>
  <c r="T51" i="8"/>
  <c r="AB71" i="8"/>
  <c r="AC110" i="1"/>
  <c r="AI110" i="1" s="1"/>
  <c r="AE110" i="1"/>
  <c r="AF110" i="1"/>
  <c r="AE41" i="8" l="1"/>
  <c r="AF41" i="8"/>
  <c r="AA41" i="8"/>
  <c r="AC41" i="8"/>
  <c r="AI41" i="8" s="1"/>
  <c r="AB41" i="8"/>
  <c r="U11" i="8"/>
  <c r="T10" i="8"/>
  <c r="D10" i="8"/>
  <c r="C14" i="8"/>
  <c r="C15" i="8" s="1"/>
  <c r="R11" i="8"/>
  <c r="R10" i="8"/>
  <c r="AF34" i="8"/>
  <c r="U10" i="8"/>
  <c r="F10" i="8"/>
  <c r="E10" i="8"/>
  <c r="M14" i="8"/>
  <c r="M15" i="8" s="1"/>
  <c r="N10" i="8"/>
  <c r="M11" i="8"/>
  <c r="Q11" i="8"/>
  <c r="N11" i="8"/>
  <c r="H14" i="8"/>
  <c r="H19" i="8" s="1"/>
  <c r="N14" i="8"/>
  <c r="N19" i="8" s="1"/>
  <c r="L14" i="8"/>
  <c r="L15" i="8" s="1"/>
  <c r="Q14" i="8"/>
  <c r="Q19" i="8" s="1"/>
  <c r="I14" i="8"/>
  <c r="I19" i="8" s="1"/>
  <c r="Y34" i="8"/>
  <c r="Q10" i="8"/>
  <c r="W34" i="8"/>
  <c r="Z34" i="8"/>
  <c r="AB34" i="8"/>
  <c r="X34" i="8"/>
  <c r="AA34" i="8"/>
  <c r="J11" i="8"/>
  <c r="M10" i="8"/>
  <c r="D19" i="8"/>
  <c r="D23" i="8" s="1"/>
  <c r="D15" i="8"/>
  <c r="T14" i="8"/>
  <c r="T19" i="8" s="1"/>
  <c r="AE34" i="8"/>
  <c r="AC34" i="8"/>
  <c r="AI34" i="8" s="1"/>
  <c r="AD34" i="8"/>
  <c r="E15" i="8"/>
  <c r="E19" i="8"/>
  <c r="R15" i="8"/>
  <c r="R19" i="8"/>
  <c r="I11" i="8"/>
  <c r="F15" i="8"/>
  <c r="F19" i="8"/>
  <c r="J15" i="8"/>
  <c r="J19" i="8"/>
  <c r="U15" i="8"/>
  <c r="U19" i="8"/>
  <c r="L10" i="8"/>
  <c r="P10" i="8"/>
  <c r="P14" i="8"/>
  <c r="L19" i="8" l="1"/>
  <c r="L23" i="8" s="1"/>
  <c r="C19" i="8"/>
  <c r="C20" i="8" s="1"/>
  <c r="M19" i="8"/>
  <c r="N15" i="8"/>
  <c r="I15" i="8"/>
  <c r="H15" i="8"/>
  <c r="Q15" i="8"/>
  <c r="D20" i="8"/>
  <c r="T15" i="8"/>
  <c r="I20" i="8"/>
  <c r="N20" i="8"/>
  <c r="R20" i="8"/>
  <c r="E23" i="8"/>
  <c r="E20" i="8"/>
  <c r="T23" i="8"/>
  <c r="T20" i="8"/>
  <c r="F23" i="8"/>
  <c r="F20" i="8"/>
  <c r="D29" i="8"/>
  <c r="D24" i="8"/>
  <c r="P19" i="8"/>
  <c r="P15" i="8"/>
  <c r="U20" i="8"/>
  <c r="J20" i="8"/>
  <c r="H23" i="8"/>
  <c r="H20" i="8"/>
  <c r="Q20" i="8"/>
  <c r="L20" i="8" l="1"/>
  <c r="C23" i="8"/>
  <c r="C29" i="8" s="1"/>
  <c r="C78" i="8" s="1"/>
  <c r="M20" i="8"/>
  <c r="L29" i="8"/>
  <c r="L24" i="8"/>
  <c r="D82" i="8" a="1"/>
  <c r="D82" i="8" s="1"/>
  <c r="D81" i="8" a="1"/>
  <c r="D81" i="8" s="1"/>
  <c r="D78" i="8"/>
  <c r="D80" i="8"/>
  <c r="D79" i="8"/>
  <c r="D30" i="8"/>
  <c r="E29" i="8"/>
  <c r="E24" i="8"/>
  <c r="F29" i="8"/>
  <c r="F24" i="8"/>
  <c r="H24" i="8"/>
  <c r="H29" i="8"/>
  <c r="P20" i="8"/>
  <c r="P23" i="8"/>
  <c r="T29" i="8"/>
  <c r="T24" i="8"/>
  <c r="C80" i="8" l="1"/>
  <c r="C82" i="8" a="1"/>
  <c r="C82" i="8" s="1"/>
  <c r="C79" i="8"/>
  <c r="C24" i="8"/>
  <c r="C30" i="8"/>
  <c r="C81" i="8" a="1"/>
  <c r="C81" i="8" s="1"/>
  <c r="P24" i="8"/>
  <c r="P29" i="8"/>
  <c r="H30" i="8"/>
  <c r="F82" i="8" a="1"/>
  <c r="F82" i="8" s="1"/>
  <c r="F78" i="8"/>
  <c r="F80" i="8"/>
  <c r="F30" i="8"/>
  <c r="F79" i="8"/>
  <c r="F81" i="8" a="1"/>
  <c r="F81" i="8" s="1"/>
  <c r="E82" i="8" a="1"/>
  <c r="E82" i="8" s="1"/>
  <c r="E80" i="8"/>
  <c r="E81" i="8" a="1"/>
  <c r="E81" i="8" s="1"/>
  <c r="E30" i="8"/>
  <c r="E79" i="8"/>
  <c r="E78" i="8"/>
  <c r="T30" i="8"/>
  <c r="L30" i="8"/>
  <c r="P30" i="8" l="1"/>
  <c r="M109" i="1" l="1"/>
  <c r="E109" i="1"/>
  <c r="C109" i="1"/>
  <c r="U109" i="1"/>
  <c r="U40" i="8" s="1"/>
  <c r="Q109" i="1"/>
  <c r="Q40" i="8" s="1"/>
  <c r="I109" i="1"/>
  <c r="T108" i="1"/>
  <c r="T39" i="8" s="1"/>
  <c r="P108" i="1"/>
  <c r="P39" i="8" s="1"/>
  <c r="M108" i="1"/>
  <c r="M39" i="8" s="1"/>
  <c r="I108" i="1"/>
  <c r="I39" i="8" s="1"/>
  <c r="F108" i="1"/>
  <c r="I104" i="1"/>
  <c r="J104" i="1" s="1"/>
  <c r="T105" i="1"/>
  <c r="P105" i="1"/>
  <c r="L105" i="1"/>
  <c r="H105" i="1"/>
  <c r="F105" i="1"/>
  <c r="E105" i="1"/>
  <c r="C105" i="1"/>
  <c r="D104" i="1"/>
  <c r="D105" i="1" s="1"/>
  <c r="T99" i="1"/>
  <c r="P99" i="1"/>
  <c r="L99" i="1"/>
  <c r="H99" i="1"/>
  <c r="D99" i="1"/>
  <c r="D36" i="8" s="1"/>
  <c r="D37" i="8" s="1"/>
  <c r="E99" i="1"/>
  <c r="E36" i="8" s="1"/>
  <c r="E37" i="8" s="1"/>
  <c r="F99" i="1"/>
  <c r="F36" i="8" s="1"/>
  <c r="F37" i="8" s="1"/>
  <c r="C99" i="1"/>
  <c r="C36" i="8" s="1"/>
  <c r="C37" i="8" s="1"/>
  <c r="C92" i="1"/>
  <c r="L92" i="1"/>
  <c r="M92" i="1" s="1"/>
  <c r="N92" i="1" s="1"/>
  <c r="H92" i="1"/>
  <c r="I92" i="1" s="1"/>
  <c r="J92" i="1" s="1"/>
  <c r="E92" i="1"/>
  <c r="S92" i="1"/>
  <c r="K63" i="1"/>
  <c r="U63" i="1"/>
  <c r="AG63" i="1" s="1"/>
  <c r="T63" i="1"/>
  <c r="AF63" i="1" s="1"/>
  <c r="R63" i="1"/>
  <c r="AD63" i="1" s="1"/>
  <c r="Q63" i="1"/>
  <c r="AC63" i="1" s="1"/>
  <c r="P63" i="1"/>
  <c r="N63" i="1"/>
  <c r="M63" i="1"/>
  <c r="F63" i="1"/>
  <c r="S63" i="1" s="1"/>
  <c r="AE63" i="1" s="1"/>
  <c r="E63" i="1"/>
  <c r="O63" i="1" s="1"/>
  <c r="AG55" i="1"/>
  <c r="AF55" i="1"/>
  <c r="AD55" i="1"/>
  <c r="AC55" i="1"/>
  <c r="S55" i="1"/>
  <c r="AE55" i="1" s="1"/>
  <c r="I55" i="1"/>
  <c r="H55" i="1"/>
  <c r="O55" i="1"/>
  <c r="K55" i="1"/>
  <c r="C55" i="1"/>
  <c r="U40" i="1"/>
  <c r="U47" i="1" s="1"/>
  <c r="T40" i="1"/>
  <c r="T47" i="1" s="1"/>
  <c r="R40" i="1"/>
  <c r="Q40" i="1"/>
  <c r="P40" i="1"/>
  <c r="N40" i="1"/>
  <c r="M40" i="1"/>
  <c r="L40" i="1"/>
  <c r="J40" i="1"/>
  <c r="I40" i="1"/>
  <c r="H40" i="1"/>
  <c r="F40" i="1"/>
  <c r="F47" i="1" s="1"/>
  <c r="E40" i="1"/>
  <c r="D40" i="1"/>
  <c r="C40" i="1"/>
  <c r="S24" i="1"/>
  <c r="M24" i="1"/>
  <c r="K24" i="1"/>
  <c r="E24" i="1"/>
  <c r="C24" i="1"/>
  <c r="W94" i="1"/>
  <c r="W91" i="1"/>
  <c r="W88" i="1"/>
  <c r="W89" i="1"/>
  <c r="W4" i="1"/>
  <c r="W3" i="1"/>
  <c r="AA94" i="1"/>
  <c r="Z94" i="1"/>
  <c r="Y94" i="1"/>
  <c r="X94" i="1"/>
  <c r="X91" i="1"/>
  <c r="X88" i="1"/>
  <c r="X89" i="1"/>
  <c r="Z69" i="1"/>
  <c r="Y69" i="1"/>
  <c r="X69" i="1"/>
  <c r="Z68" i="1"/>
  <c r="Y68" i="1"/>
  <c r="X68" i="1"/>
  <c r="Z67" i="1"/>
  <c r="Y67" i="1"/>
  <c r="X67" i="1"/>
  <c r="Z61" i="1"/>
  <c r="Y61" i="1"/>
  <c r="X61" i="1"/>
  <c r="Z60" i="1"/>
  <c r="Y60" i="1"/>
  <c r="X60" i="1"/>
  <c r="Z59" i="1"/>
  <c r="Y59" i="1"/>
  <c r="X59" i="1"/>
  <c r="Z52" i="1"/>
  <c r="Y52" i="1"/>
  <c r="X52" i="1"/>
  <c r="Z51" i="1"/>
  <c r="Y51" i="1"/>
  <c r="X51" i="1"/>
  <c r="Z50" i="1"/>
  <c r="Y50" i="1"/>
  <c r="X50" i="1"/>
  <c r="Z46" i="1"/>
  <c r="Y46" i="1"/>
  <c r="X46" i="1"/>
  <c r="Z45" i="1"/>
  <c r="Y45" i="1"/>
  <c r="X45" i="1"/>
  <c r="Z44" i="1"/>
  <c r="Y44" i="1"/>
  <c r="X44" i="1"/>
  <c r="Z43" i="1"/>
  <c r="Y43" i="1"/>
  <c r="X43" i="1"/>
  <c r="Z36" i="1"/>
  <c r="Y36" i="1"/>
  <c r="X36" i="1"/>
  <c r="Z37" i="1"/>
  <c r="Y37" i="1"/>
  <c r="X37" i="1"/>
  <c r="Z38" i="1"/>
  <c r="Y38" i="1"/>
  <c r="X38" i="1"/>
  <c r="Z39" i="1"/>
  <c r="Y39" i="1"/>
  <c r="X39" i="1"/>
  <c r="Z35" i="1"/>
  <c r="Y35" i="1"/>
  <c r="X35" i="1"/>
  <c r="AA4" i="1"/>
  <c r="Z4" i="1"/>
  <c r="Y4" i="1"/>
  <c r="X4" i="1"/>
  <c r="AA3" i="1"/>
  <c r="Z3" i="1"/>
  <c r="Y3" i="1"/>
  <c r="X3" i="1"/>
  <c r="AC94" i="1"/>
  <c r="AB94" i="1"/>
  <c r="AC69" i="1"/>
  <c r="AB69" i="1"/>
  <c r="AC68" i="1"/>
  <c r="AB68" i="1"/>
  <c r="AC67" i="1"/>
  <c r="AB67" i="1"/>
  <c r="AC61" i="1"/>
  <c r="AB61" i="1"/>
  <c r="AC60" i="1"/>
  <c r="AB60" i="1"/>
  <c r="AC59" i="1"/>
  <c r="AB59" i="1"/>
  <c r="AC52" i="1"/>
  <c r="AB52" i="1"/>
  <c r="AC51" i="1"/>
  <c r="AB51" i="1"/>
  <c r="AC50" i="1"/>
  <c r="AB50" i="1"/>
  <c r="AC46" i="1"/>
  <c r="AB46" i="1"/>
  <c r="AC45" i="1"/>
  <c r="AB45" i="1"/>
  <c r="AC44" i="1"/>
  <c r="AB44" i="1"/>
  <c r="AC43" i="1"/>
  <c r="AB43" i="1"/>
  <c r="AC36" i="1"/>
  <c r="AB36" i="1"/>
  <c r="AC37" i="1"/>
  <c r="AB37" i="1"/>
  <c r="AC38" i="1"/>
  <c r="AB38" i="1"/>
  <c r="AC39" i="1"/>
  <c r="AB39" i="1"/>
  <c r="AC35" i="1"/>
  <c r="AB35" i="1"/>
  <c r="AC4" i="1"/>
  <c r="AB4" i="1"/>
  <c r="AC3" i="1"/>
  <c r="AB3" i="1"/>
  <c r="AF94" i="1"/>
  <c r="AE94" i="1"/>
  <c r="AD94" i="1"/>
  <c r="AF69" i="1"/>
  <c r="AD69" i="1"/>
  <c r="AF68" i="1"/>
  <c r="AD68" i="1"/>
  <c r="AF67" i="1"/>
  <c r="AD67" i="1"/>
  <c r="AF61" i="1"/>
  <c r="AD61" i="1"/>
  <c r="AF60" i="1"/>
  <c r="AD60" i="1"/>
  <c r="AF59" i="1"/>
  <c r="AD59" i="1"/>
  <c r="AF52" i="1"/>
  <c r="AD52" i="1"/>
  <c r="AF51" i="1"/>
  <c r="AD51" i="1"/>
  <c r="AF50" i="1"/>
  <c r="AD50" i="1"/>
  <c r="AF46" i="1"/>
  <c r="AD46" i="1"/>
  <c r="AF45" i="1"/>
  <c r="AD45" i="1"/>
  <c r="AF44" i="1"/>
  <c r="AD44" i="1"/>
  <c r="AF43" i="1"/>
  <c r="AD43" i="1"/>
  <c r="AF36" i="1"/>
  <c r="AD36" i="1"/>
  <c r="AF37" i="1"/>
  <c r="AD37" i="1"/>
  <c r="AF38" i="1"/>
  <c r="AD38" i="1"/>
  <c r="AF39" i="1"/>
  <c r="AD39" i="1"/>
  <c r="AF35" i="1"/>
  <c r="AD35" i="1"/>
  <c r="AF4" i="1"/>
  <c r="AE4" i="1"/>
  <c r="AD4" i="1"/>
  <c r="AF3" i="1"/>
  <c r="AE3" i="1"/>
  <c r="AD3" i="1"/>
  <c r="AG94" i="1"/>
  <c r="AG69" i="1"/>
  <c r="AG68" i="1"/>
  <c r="AG67" i="1"/>
  <c r="AG61" i="1"/>
  <c r="AG60" i="1"/>
  <c r="AG59" i="1"/>
  <c r="AG52" i="1"/>
  <c r="AG51" i="1"/>
  <c r="AG50" i="1"/>
  <c r="AG46" i="1"/>
  <c r="AG45" i="1"/>
  <c r="AG44" i="1"/>
  <c r="AG43" i="1"/>
  <c r="AG36" i="1"/>
  <c r="AG37" i="1"/>
  <c r="AG38" i="1"/>
  <c r="AG39" i="1"/>
  <c r="AG35" i="1"/>
  <c r="AG4" i="1"/>
  <c r="AG3" i="1"/>
  <c r="U103" i="1"/>
  <c r="U11" i="7" s="1"/>
  <c r="U98" i="1"/>
  <c r="U97" i="1"/>
  <c r="U96" i="1"/>
  <c r="U95" i="1"/>
  <c r="U90" i="1"/>
  <c r="U88" i="1"/>
  <c r="U28" i="8" s="1"/>
  <c r="U89" i="1"/>
  <c r="U87" i="1"/>
  <c r="U27" i="8" s="1"/>
  <c r="U86" i="1"/>
  <c r="U26" i="8" s="1"/>
  <c r="U85" i="1"/>
  <c r="U84" i="1"/>
  <c r="S117" i="1"/>
  <c r="AE117" i="1" s="1"/>
  <c r="S116" i="1"/>
  <c r="AE116" i="1" s="1"/>
  <c r="O117" i="1"/>
  <c r="AA117" i="1" s="1"/>
  <c r="O116" i="1"/>
  <c r="AA116" i="1" s="1"/>
  <c r="K117" i="1"/>
  <c r="W117" i="1" s="1"/>
  <c r="K116" i="1"/>
  <c r="W116" i="1" s="1"/>
  <c r="K96" i="1"/>
  <c r="Z96" i="1" s="1"/>
  <c r="S13" i="1"/>
  <c r="O13" i="1"/>
  <c r="K13" i="1"/>
  <c r="U11" i="1"/>
  <c r="U14" i="1" s="1"/>
  <c r="U18" i="1" s="1"/>
  <c r="T11" i="1"/>
  <c r="T14" i="1" s="1"/>
  <c r="T18" i="1" s="1"/>
  <c r="R11" i="1"/>
  <c r="R14" i="1" s="1"/>
  <c r="R18" i="1" s="1"/>
  <c r="Q11" i="1"/>
  <c r="Q14" i="1" s="1"/>
  <c r="Q18" i="1" s="1"/>
  <c r="P11" i="1"/>
  <c r="P14" i="1" s="1"/>
  <c r="P18" i="1" s="1"/>
  <c r="N11" i="1"/>
  <c r="N14" i="1" s="1"/>
  <c r="N18" i="1" s="1"/>
  <c r="M11" i="1"/>
  <c r="M14" i="1" s="1"/>
  <c r="M18" i="1" s="1"/>
  <c r="L11" i="1"/>
  <c r="L14" i="1" s="1"/>
  <c r="L18" i="1" s="1"/>
  <c r="J11" i="1"/>
  <c r="J14" i="1" s="1"/>
  <c r="J18" i="1" s="1"/>
  <c r="I11" i="1"/>
  <c r="I14" i="1" s="1"/>
  <c r="I18" i="1" s="1"/>
  <c r="H11" i="1"/>
  <c r="H14" i="1" s="1"/>
  <c r="H18" i="1" s="1"/>
  <c r="F11" i="1"/>
  <c r="F14" i="1" s="1"/>
  <c r="F18" i="1" s="1"/>
  <c r="E11" i="1"/>
  <c r="E14" i="1" s="1"/>
  <c r="E18" i="1" s="1"/>
  <c r="D11" i="1"/>
  <c r="D14" i="1" s="1"/>
  <c r="D18" i="1" s="1"/>
  <c r="C11" i="1"/>
  <c r="C14" i="1" s="1"/>
  <c r="C18" i="1" s="1"/>
  <c r="S9" i="1"/>
  <c r="O9" i="1"/>
  <c r="K9" i="1"/>
  <c r="S8" i="1"/>
  <c r="O8" i="1"/>
  <c r="K8" i="1"/>
  <c r="S38" i="1"/>
  <c r="AE38" i="1" s="1"/>
  <c r="O38" i="1"/>
  <c r="AA38" i="1" s="1"/>
  <c r="K38" i="1"/>
  <c r="W38" i="1" s="1"/>
  <c r="S120" i="1"/>
  <c r="AG120" i="1" s="1"/>
  <c r="S104" i="1"/>
  <c r="AG104" i="1" s="1"/>
  <c r="S91" i="1"/>
  <c r="AG91" i="1" s="1"/>
  <c r="S69" i="1"/>
  <c r="AE69" i="1" s="1"/>
  <c r="S68" i="1"/>
  <c r="AE68" i="1" s="1"/>
  <c r="S67" i="1"/>
  <c r="AE67" i="1" s="1"/>
  <c r="S61" i="1"/>
  <c r="AE61" i="1" s="1"/>
  <c r="S60" i="1"/>
  <c r="S59" i="1"/>
  <c r="S52" i="1"/>
  <c r="S51" i="1"/>
  <c r="AE51" i="1" s="1"/>
  <c r="S50" i="1"/>
  <c r="S46" i="1"/>
  <c r="AE46" i="1" s="1"/>
  <c r="S45" i="1"/>
  <c r="AE45" i="1" s="1"/>
  <c r="S44" i="1"/>
  <c r="S43" i="1"/>
  <c r="AE43" i="1" s="1"/>
  <c r="S36" i="1"/>
  <c r="S37" i="1"/>
  <c r="S39" i="1"/>
  <c r="AE39" i="1" s="1"/>
  <c r="S35" i="1"/>
  <c r="S6" i="7" s="1"/>
  <c r="S23" i="1"/>
  <c r="AG23" i="1" s="1"/>
  <c r="S22" i="1"/>
  <c r="AG22" i="1" s="1"/>
  <c r="S21" i="1"/>
  <c r="S20" i="1"/>
  <c r="AG20" i="1" s="1"/>
  <c r="S17" i="1"/>
  <c r="S16" i="1"/>
  <c r="S10" i="1"/>
  <c r="U70" i="1"/>
  <c r="U73" i="8" s="1"/>
  <c r="T70" i="1"/>
  <c r="T73" i="8" s="1"/>
  <c r="F70" i="1"/>
  <c r="F73" i="8" s="1"/>
  <c r="F74" i="8" s="1"/>
  <c r="F83" i="8" s="1"/>
  <c r="F56" i="1"/>
  <c r="F61" i="8" s="1"/>
  <c r="O10" i="1"/>
  <c r="K10" i="1"/>
  <c r="AE6" i="7" l="1"/>
  <c r="S21" i="7"/>
  <c r="S7" i="7"/>
  <c r="S15" i="7" s="1"/>
  <c r="AE35" i="1"/>
  <c r="S49" i="8"/>
  <c r="E113" i="1"/>
  <c r="E40" i="8"/>
  <c r="E44" i="8" s="1"/>
  <c r="AG10" i="1"/>
  <c r="S8" i="8"/>
  <c r="AG8" i="1"/>
  <c r="S6" i="8"/>
  <c r="U32" i="8"/>
  <c r="D44" i="8"/>
  <c r="D45" i="8" s="1"/>
  <c r="N109" i="1"/>
  <c r="N40" i="8" s="1"/>
  <c r="M40" i="8"/>
  <c r="C113" i="1"/>
  <c r="C40" i="8"/>
  <c r="AG16" i="1"/>
  <c r="S17" i="8"/>
  <c r="AE37" i="1"/>
  <c r="S50" i="8"/>
  <c r="AE50" i="8" s="1"/>
  <c r="AE52" i="1"/>
  <c r="S65" i="8"/>
  <c r="AE65" i="8" s="1"/>
  <c r="S68" i="8"/>
  <c r="W9" i="1"/>
  <c r="K7" i="8"/>
  <c r="I99" i="1"/>
  <c r="J99" i="1" s="1"/>
  <c r="H36" i="8"/>
  <c r="AG73" i="8"/>
  <c r="AG74" i="8" s="1"/>
  <c r="AG83" i="8" s="1"/>
  <c r="U74" i="8"/>
  <c r="U83" i="8" s="1"/>
  <c r="AE50" i="1"/>
  <c r="AE56" i="1" s="1"/>
  <c r="AE64" i="1" s="1"/>
  <c r="S56" i="8"/>
  <c r="AE56" i="8" s="1"/>
  <c r="AD8" i="1"/>
  <c r="O6" i="8"/>
  <c r="X10" i="1"/>
  <c r="K8" i="8"/>
  <c r="AG17" i="1"/>
  <c r="S18" i="8"/>
  <c r="AE36" i="1"/>
  <c r="AE40" i="1" s="1"/>
  <c r="AE47" i="1" s="1"/>
  <c r="S55" i="8"/>
  <c r="AE55" i="8" s="1"/>
  <c r="AE59" i="1"/>
  <c r="S69" i="8"/>
  <c r="AE69" i="8" s="1"/>
  <c r="S66" i="8"/>
  <c r="AE66" i="8" s="1"/>
  <c r="S59" i="8"/>
  <c r="AE59" i="8" s="1"/>
  <c r="AC9" i="1"/>
  <c r="AI9" i="1" s="1"/>
  <c r="O7" i="8"/>
  <c r="M99" i="1"/>
  <c r="N99" i="1" s="1"/>
  <c r="L36" i="8"/>
  <c r="AE60" i="1"/>
  <c r="S60" i="8"/>
  <c r="AE60" i="8" s="1"/>
  <c r="AG9" i="1"/>
  <c r="S7" i="8"/>
  <c r="W13" i="1"/>
  <c r="K13" i="8"/>
  <c r="Q99" i="1"/>
  <c r="R99" i="1" s="1"/>
  <c r="P36" i="8"/>
  <c r="J109" i="1"/>
  <c r="J40" i="8" s="1"/>
  <c r="I40" i="8"/>
  <c r="F113" i="1"/>
  <c r="F39" i="8"/>
  <c r="F44" i="8" s="1"/>
  <c r="F45" i="8" s="1"/>
  <c r="AD10" i="1"/>
  <c r="O8" i="8"/>
  <c r="AG21" i="1"/>
  <c r="S33" i="8"/>
  <c r="AE44" i="1"/>
  <c r="S57" i="8"/>
  <c r="AE57" i="8" s="1"/>
  <c r="AD13" i="1"/>
  <c r="O13" i="8"/>
  <c r="U99" i="1"/>
  <c r="U36" i="8" s="1"/>
  <c r="T36" i="8"/>
  <c r="T37" i="8" s="1"/>
  <c r="AF73" i="8"/>
  <c r="AF74" i="8" s="1"/>
  <c r="AF83" i="8" s="1"/>
  <c r="T74" i="8"/>
  <c r="T83" i="8" s="1"/>
  <c r="X8" i="1"/>
  <c r="K6" i="8"/>
  <c r="AG13" i="1"/>
  <c r="S13" i="8"/>
  <c r="U22" i="8"/>
  <c r="U23" i="8" s="1"/>
  <c r="C44" i="8"/>
  <c r="AE24" i="1"/>
  <c r="AF24" i="1"/>
  <c r="AG24" i="1"/>
  <c r="J108" i="1"/>
  <c r="I113" i="1"/>
  <c r="N108" i="1"/>
  <c r="Q108" i="1"/>
  <c r="Q39" i="8" s="1"/>
  <c r="P113" i="1"/>
  <c r="U108" i="1"/>
  <c r="T113" i="1"/>
  <c r="R109" i="1"/>
  <c r="R40" i="8" s="1"/>
  <c r="K109" i="1"/>
  <c r="K40" i="8" s="1"/>
  <c r="U105" i="1"/>
  <c r="K99" i="1"/>
  <c r="O92" i="1"/>
  <c r="K92" i="1"/>
  <c r="AI63" i="1"/>
  <c r="T56" i="1"/>
  <c r="F64" i="1"/>
  <c r="AI55" i="1"/>
  <c r="U56" i="1"/>
  <c r="AI43" i="1"/>
  <c r="Z40" i="1"/>
  <c r="Z47" i="1" s="1"/>
  <c r="AB40" i="1"/>
  <c r="AB47" i="1" s="1"/>
  <c r="AD40" i="1"/>
  <c r="AD47" i="1" s="1"/>
  <c r="AF40" i="1"/>
  <c r="AF47" i="1" s="1"/>
  <c r="X40" i="1"/>
  <c r="X47" i="1" s="1"/>
  <c r="Y40" i="1"/>
  <c r="Y47" i="1" s="1"/>
  <c r="AC40" i="1"/>
  <c r="AC47" i="1" s="1"/>
  <c r="AG40" i="1"/>
  <c r="S40" i="1"/>
  <c r="S47" i="1" s="1"/>
  <c r="O24" i="1"/>
  <c r="AI45" i="1"/>
  <c r="AI37" i="1"/>
  <c r="AI52" i="1"/>
  <c r="AI61" i="1"/>
  <c r="AI69" i="1"/>
  <c r="AI39" i="1"/>
  <c r="AI50" i="1"/>
  <c r="AI59" i="1"/>
  <c r="AI67" i="1"/>
  <c r="AI44" i="1"/>
  <c r="AI38" i="1"/>
  <c r="AI51" i="1"/>
  <c r="AI60" i="1"/>
  <c r="AI68" i="1"/>
  <c r="AI36" i="1"/>
  <c r="AI46" i="1"/>
  <c r="AI94" i="1"/>
  <c r="AI35" i="1"/>
  <c r="X70" i="1"/>
  <c r="W8" i="1"/>
  <c r="Z56" i="1"/>
  <c r="Z64" i="1" s="1"/>
  <c r="W10" i="1"/>
  <c r="Z70" i="1"/>
  <c r="W96" i="1"/>
  <c r="Y8" i="1"/>
  <c r="Y10" i="1"/>
  <c r="Z8" i="1"/>
  <c r="Z10" i="1"/>
  <c r="AA8" i="1"/>
  <c r="AA10" i="1"/>
  <c r="X9" i="1"/>
  <c r="X11" i="1" s="1"/>
  <c r="X13" i="1"/>
  <c r="X56" i="1"/>
  <c r="X64" i="1" s="1"/>
  <c r="X96" i="1"/>
  <c r="Y9" i="1"/>
  <c r="Y13" i="1"/>
  <c r="Y56" i="1"/>
  <c r="Y64" i="1" s="1"/>
  <c r="Y70" i="1"/>
  <c r="Y96" i="1"/>
  <c r="Z9" i="1"/>
  <c r="Z13" i="1"/>
  <c r="AA9" i="1"/>
  <c r="AA13" i="1"/>
  <c r="AC70" i="1"/>
  <c r="AB9" i="1"/>
  <c r="AB10" i="1"/>
  <c r="AC56" i="1"/>
  <c r="AC64" i="1" s="1"/>
  <c r="AF9" i="1"/>
  <c r="AC10" i="1"/>
  <c r="AD9" i="1"/>
  <c r="AB70" i="1"/>
  <c r="AB8" i="1"/>
  <c r="AB13" i="1"/>
  <c r="AE23" i="1"/>
  <c r="AC8" i="1"/>
  <c r="AC13" i="1"/>
  <c r="AB56" i="1"/>
  <c r="AB64" i="1" s="1"/>
  <c r="AE20" i="1"/>
  <c r="AF70" i="1"/>
  <c r="AF22" i="1"/>
  <c r="AE70" i="1"/>
  <c r="AF56" i="1"/>
  <c r="AF64" i="1" s="1"/>
  <c r="AF17" i="1"/>
  <c r="AD56" i="1"/>
  <c r="AD64" i="1" s="1"/>
  <c r="AD70" i="1"/>
  <c r="AF104" i="1"/>
  <c r="AE13" i="1"/>
  <c r="AE9" i="1"/>
  <c r="AF13" i="1"/>
  <c r="AE22" i="1"/>
  <c r="AE10" i="1"/>
  <c r="AE16" i="1"/>
  <c r="AF20" i="1"/>
  <c r="AF23" i="1"/>
  <c r="AF10" i="1"/>
  <c r="AF16" i="1"/>
  <c r="AE91" i="1"/>
  <c r="AE8" i="1"/>
  <c r="AE21" i="1"/>
  <c r="AF91" i="1"/>
  <c r="AE120" i="1"/>
  <c r="AF8" i="1"/>
  <c r="AE17" i="1"/>
  <c r="AF21" i="1"/>
  <c r="AE104" i="1"/>
  <c r="AF120" i="1"/>
  <c r="O96" i="1"/>
  <c r="AA96" i="1" s="1"/>
  <c r="S96" i="1"/>
  <c r="F25" i="1"/>
  <c r="F28" i="1" s="1"/>
  <c r="T25" i="1"/>
  <c r="T28" i="1" s="1"/>
  <c r="U25" i="1"/>
  <c r="U28" i="1" s="1"/>
  <c r="S11" i="1"/>
  <c r="K11" i="1"/>
  <c r="K14" i="1" s="1"/>
  <c r="O11" i="1"/>
  <c r="O14" i="1" s="1"/>
  <c r="S56" i="1"/>
  <c r="S70" i="1"/>
  <c r="S73" i="8" s="1"/>
  <c r="AE73" i="8" s="1"/>
  <c r="AG70" i="1"/>
  <c r="AE7" i="7" l="1"/>
  <c r="AE15" i="7" s="1"/>
  <c r="AE21" i="7"/>
  <c r="U81" i="1"/>
  <c r="U100" i="1" s="1"/>
  <c r="U10" i="7" s="1"/>
  <c r="U12" i="7" s="1"/>
  <c r="U16" i="7" s="1"/>
  <c r="U17" i="7" s="1"/>
  <c r="T81" i="1"/>
  <c r="T100" i="1" s="1"/>
  <c r="T10" i="7" s="1"/>
  <c r="T12" i="7" s="1"/>
  <c r="T16" i="7" s="1"/>
  <c r="T17" i="7" s="1"/>
  <c r="F81" i="1"/>
  <c r="F100" i="1" s="1"/>
  <c r="F10" i="7" s="1"/>
  <c r="F12" i="7" s="1"/>
  <c r="F16" i="7" s="1"/>
  <c r="F17" i="7" s="1"/>
  <c r="Z40" i="8"/>
  <c r="O109" i="1"/>
  <c r="O40" i="8" s="1"/>
  <c r="AD40" i="8" s="1"/>
  <c r="AG11" i="1"/>
  <c r="AI8" i="1"/>
  <c r="J113" i="1"/>
  <c r="J39" i="8"/>
  <c r="T44" i="8"/>
  <c r="T45" i="8" s="1"/>
  <c r="Z6" i="8"/>
  <c r="Y6" i="8"/>
  <c r="X6" i="8"/>
  <c r="W6" i="8"/>
  <c r="K9" i="8"/>
  <c r="E45" i="8"/>
  <c r="P37" i="8"/>
  <c r="Z7" i="8"/>
  <c r="X7" i="8"/>
  <c r="Y7" i="8"/>
  <c r="W7" i="8"/>
  <c r="AA8" i="8"/>
  <c r="AC8" i="8"/>
  <c r="AB8" i="8"/>
  <c r="AD8" i="8"/>
  <c r="AE18" i="8"/>
  <c r="AF18" i="8"/>
  <c r="AG18" i="8"/>
  <c r="U64" i="1"/>
  <c r="U61" i="8"/>
  <c r="AG61" i="8" s="1"/>
  <c r="U113" i="1"/>
  <c r="U39" i="8"/>
  <c r="AD13" i="8"/>
  <c r="AC13" i="8"/>
  <c r="AA13" i="8"/>
  <c r="AB13" i="8"/>
  <c r="AG7" i="8"/>
  <c r="AF7" i="8"/>
  <c r="AE7" i="8"/>
  <c r="L37" i="8"/>
  <c r="AD11" i="1"/>
  <c r="AD14" i="1" s="1"/>
  <c r="S99" i="1"/>
  <c r="AE99" i="1" s="1"/>
  <c r="Y8" i="8"/>
  <c r="X8" i="8"/>
  <c r="Z8" i="8"/>
  <c r="W8" i="8"/>
  <c r="AE6" i="8"/>
  <c r="AG6" i="8"/>
  <c r="AF6" i="8"/>
  <c r="S9" i="8"/>
  <c r="AE49" i="8"/>
  <c r="AE51" i="8" s="1"/>
  <c r="S51" i="8"/>
  <c r="U29" i="8"/>
  <c r="U24" i="8"/>
  <c r="X40" i="8"/>
  <c r="W40" i="8"/>
  <c r="H37" i="8"/>
  <c r="H44" i="8" s="1"/>
  <c r="AG33" i="8"/>
  <c r="AF33" i="8"/>
  <c r="AE33" i="8"/>
  <c r="W13" i="8"/>
  <c r="Y13" i="8"/>
  <c r="Z13" i="8"/>
  <c r="X13" i="8"/>
  <c r="AD7" i="8"/>
  <c r="AC7" i="8"/>
  <c r="AB7" i="8"/>
  <c r="AA7" i="8"/>
  <c r="AE68" i="8"/>
  <c r="AE71" i="8" s="1"/>
  <c r="S71" i="8"/>
  <c r="S64" i="1"/>
  <c r="S62" i="8" s="1"/>
  <c r="AE62" i="8" s="1"/>
  <c r="S61" i="8"/>
  <c r="AE61" i="8" s="1"/>
  <c r="AI10" i="1"/>
  <c r="F71" i="1"/>
  <c r="F73" i="1" s="1"/>
  <c r="F62" i="8"/>
  <c r="AI13" i="1"/>
  <c r="T64" i="1"/>
  <c r="T61" i="8"/>
  <c r="AF61" i="8" s="1"/>
  <c r="K108" i="1"/>
  <c r="K39" i="8" s="1"/>
  <c r="O108" i="1"/>
  <c r="O39" i="8" s="1"/>
  <c r="N39" i="8"/>
  <c r="AG13" i="8"/>
  <c r="AI13" i="8" s="1"/>
  <c r="AE13" i="8"/>
  <c r="AF13" i="8"/>
  <c r="Y40" i="8"/>
  <c r="AD6" i="8"/>
  <c r="AA6" i="8"/>
  <c r="AC6" i="8"/>
  <c r="AB6" i="8"/>
  <c r="O9" i="8"/>
  <c r="AF17" i="8"/>
  <c r="AE17" i="8"/>
  <c r="AG17" i="8"/>
  <c r="AG8" i="8"/>
  <c r="AF8" i="8"/>
  <c r="AE8" i="8"/>
  <c r="AD24" i="1"/>
  <c r="AC24" i="1"/>
  <c r="AI24" i="1" s="1"/>
  <c r="R108" i="1"/>
  <c r="R39" i="8" s="1"/>
  <c r="S109" i="1"/>
  <c r="S40" i="8" s="1"/>
  <c r="AF40" i="8" s="1"/>
  <c r="O99" i="1"/>
  <c r="AD99" i="1" s="1"/>
  <c r="F115" i="1"/>
  <c r="AF71" i="1"/>
  <c r="AF73" i="1" s="1"/>
  <c r="X14" i="1"/>
  <c r="AI70" i="1"/>
  <c r="Y11" i="1"/>
  <c r="Y14" i="1" s="1"/>
  <c r="X71" i="1"/>
  <c r="X73" i="1" s="1"/>
  <c r="Z71" i="1"/>
  <c r="Z73" i="1" s="1"/>
  <c r="AG14" i="1"/>
  <c r="W11" i="1"/>
  <c r="W14" i="1" s="1"/>
  <c r="AC11" i="1"/>
  <c r="AC14" i="1" s="1"/>
  <c r="Y71" i="1"/>
  <c r="Y73" i="1" s="1"/>
  <c r="AB11" i="1"/>
  <c r="AB14" i="1" s="1"/>
  <c r="AA11" i="1"/>
  <c r="AA14" i="1" s="1"/>
  <c r="AC71" i="1"/>
  <c r="AC73" i="1" s="1"/>
  <c r="Z11" i="1"/>
  <c r="Z14" i="1" s="1"/>
  <c r="AB71" i="1"/>
  <c r="AB73" i="1" s="1"/>
  <c r="AE71" i="1"/>
  <c r="AE73" i="1" s="1"/>
  <c r="AD96" i="1"/>
  <c r="AB96" i="1"/>
  <c r="AC96" i="1"/>
  <c r="AD71" i="1"/>
  <c r="AD73" i="1" s="1"/>
  <c r="AG96" i="1"/>
  <c r="AF96" i="1"/>
  <c r="AE96" i="1"/>
  <c r="AE11" i="1"/>
  <c r="AE14" i="1" s="1"/>
  <c r="AE18" i="1" s="1"/>
  <c r="AE25" i="1" s="1"/>
  <c r="AE28" i="1" s="1"/>
  <c r="AF11" i="1"/>
  <c r="AF14" i="1" s="1"/>
  <c r="AF18" i="1" s="1"/>
  <c r="AF25" i="1" s="1"/>
  <c r="AF28" i="1" s="1"/>
  <c r="S14" i="1"/>
  <c r="S18" i="1" s="1"/>
  <c r="S25" i="1" s="1"/>
  <c r="S28" i="1" s="1"/>
  <c r="AC109" i="1" l="1"/>
  <c r="AD109" i="1"/>
  <c r="S81" i="1"/>
  <c r="AA40" i="8"/>
  <c r="AB40" i="8"/>
  <c r="AC40" i="8"/>
  <c r="AF99" i="1"/>
  <c r="Z9" i="8"/>
  <c r="Z14" i="8" s="1"/>
  <c r="Z15" i="8" s="1"/>
  <c r="S108" i="1"/>
  <c r="AG108" i="1" s="1"/>
  <c r="S71" i="1"/>
  <c r="S73" i="1" s="1"/>
  <c r="AF9" i="8"/>
  <c r="AB9" i="8"/>
  <c r="AB14" i="8" s="1"/>
  <c r="AD39" i="8"/>
  <c r="AC9" i="8"/>
  <c r="AF108" i="1"/>
  <c r="S39" i="8"/>
  <c r="AF39" i="8" s="1"/>
  <c r="AA9" i="8"/>
  <c r="U37" i="8"/>
  <c r="U30" i="8"/>
  <c r="AG9" i="8"/>
  <c r="AI6" i="8"/>
  <c r="AI7" i="8"/>
  <c r="U71" i="1"/>
  <c r="U73" i="1" s="1"/>
  <c r="U62" i="8"/>
  <c r="AG62" i="8" s="1"/>
  <c r="AC108" i="1"/>
  <c r="AI8" i="8"/>
  <c r="AD9" i="8"/>
  <c r="Z39" i="8"/>
  <c r="AE9" i="8"/>
  <c r="AC39" i="8"/>
  <c r="AA39" i="8"/>
  <c r="AB39" i="8"/>
  <c r="S74" i="8"/>
  <c r="S83" i="8" s="1"/>
  <c r="K11" i="8"/>
  <c r="K14" i="8"/>
  <c r="L11" i="8"/>
  <c r="AE40" i="8"/>
  <c r="T71" i="1"/>
  <c r="T73" i="1" s="1"/>
  <c r="T62" i="8"/>
  <c r="AF62" i="8" s="1"/>
  <c r="AE74" i="8"/>
  <c r="AE83" i="8" s="1"/>
  <c r="H45" i="8"/>
  <c r="W9" i="8"/>
  <c r="W14" i="8" s="1"/>
  <c r="Y39" i="8"/>
  <c r="X39" i="8"/>
  <c r="W39" i="8"/>
  <c r="AG40" i="8"/>
  <c r="AI40" i="8" s="1"/>
  <c r="X9" i="8"/>
  <c r="X14" i="8" s="1"/>
  <c r="S14" i="8"/>
  <c r="T11" i="8"/>
  <c r="S10" i="8"/>
  <c r="S11" i="8"/>
  <c r="AG99" i="1"/>
  <c r="O14" i="8"/>
  <c r="O10" i="8"/>
  <c r="P11" i="8"/>
  <c r="O11" i="8"/>
  <c r="Y9" i="8"/>
  <c r="Y14" i="8" s="1"/>
  <c r="AF109" i="1"/>
  <c r="AE109" i="1"/>
  <c r="AG109" i="1"/>
  <c r="AI109" i="1" s="1"/>
  <c r="AE108" i="1"/>
  <c r="AD108" i="1"/>
  <c r="AC99" i="1"/>
  <c r="U115" i="1"/>
  <c r="T115" i="1"/>
  <c r="AI14" i="1"/>
  <c r="AI96" i="1"/>
  <c r="AI11" i="1"/>
  <c r="AI108" i="1" l="1"/>
  <c r="AF10" i="8"/>
  <c r="AG39" i="8"/>
  <c r="AF14" i="8"/>
  <c r="AF19" i="8" s="1"/>
  <c r="AI99" i="1"/>
  <c r="AI39" i="8"/>
  <c r="S15" i="8"/>
  <c r="S19" i="8"/>
  <c r="X15" i="8"/>
  <c r="AE10" i="8"/>
  <c r="AE14" i="8"/>
  <c r="O15" i="8"/>
  <c r="AB15" i="8"/>
  <c r="AD14" i="8"/>
  <c r="AD10" i="8"/>
  <c r="AC14" i="8"/>
  <c r="AC10" i="8"/>
  <c r="AI9" i="8"/>
  <c r="AG10" i="8"/>
  <c r="AG14" i="8"/>
  <c r="AB10" i="8"/>
  <c r="U44" i="8"/>
  <c r="U45" i="8" s="1"/>
  <c r="W15" i="8"/>
  <c r="AF15" i="8"/>
  <c r="AE39" i="8"/>
  <c r="Y15" i="8"/>
  <c r="K15" i="8"/>
  <c r="AA14" i="8"/>
  <c r="AA10" i="8"/>
  <c r="AI10" i="8" l="1"/>
  <c r="AF20" i="8"/>
  <c r="AD15" i="8"/>
  <c r="AA15" i="8"/>
  <c r="AE19" i="8"/>
  <c r="AE15" i="8"/>
  <c r="AC15" i="8"/>
  <c r="S20" i="8"/>
  <c r="AG19" i="8"/>
  <c r="AI14" i="8"/>
  <c r="AG15" i="8"/>
  <c r="AI15" i="8" l="1"/>
  <c r="AE20" i="8"/>
  <c r="AG20" i="8"/>
  <c r="M120" i="1" l="1"/>
  <c r="I120" i="1"/>
  <c r="R70" i="1"/>
  <c r="R73" i="8" s="1"/>
  <c r="Q70" i="1"/>
  <c r="Q73" i="8" s="1"/>
  <c r="P70" i="1"/>
  <c r="P73" i="8" s="1"/>
  <c r="N70" i="1"/>
  <c r="N73" i="8" s="1"/>
  <c r="M70" i="1"/>
  <c r="M73" i="8" s="1"/>
  <c r="L70" i="1"/>
  <c r="L73" i="8" s="1"/>
  <c r="J70" i="1"/>
  <c r="J73" i="8" s="1"/>
  <c r="J74" i="8" s="1"/>
  <c r="I70" i="1"/>
  <c r="I73" i="8" s="1"/>
  <c r="I74" i="8" s="1"/>
  <c r="H70" i="1"/>
  <c r="H73" i="8" s="1"/>
  <c r="H74" i="8" s="1"/>
  <c r="E70" i="1"/>
  <c r="E73" i="8" s="1"/>
  <c r="E74" i="8" s="1"/>
  <c r="E83" i="8" s="1"/>
  <c r="D70" i="1"/>
  <c r="D73" i="8" s="1"/>
  <c r="D74" i="8" s="1"/>
  <c r="D83" i="8" s="1"/>
  <c r="C70" i="1"/>
  <c r="C73" i="8" s="1"/>
  <c r="C74" i="8" s="1"/>
  <c r="C83" i="8" s="1"/>
  <c r="Q112" i="1"/>
  <c r="M112" i="1"/>
  <c r="K112" i="1"/>
  <c r="K111" i="1"/>
  <c r="Q103" i="1"/>
  <c r="Q11" i="7" s="1"/>
  <c r="M103" i="1"/>
  <c r="M11" i="7" s="1"/>
  <c r="M104" i="1"/>
  <c r="I103" i="1"/>
  <c r="I11" i="7" s="1"/>
  <c r="Q95" i="1"/>
  <c r="Q98" i="1"/>
  <c r="Q97" i="1"/>
  <c r="M98" i="1"/>
  <c r="M97" i="1"/>
  <c r="M95" i="1"/>
  <c r="I98" i="1"/>
  <c r="I97" i="1"/>
  <c r="I95" i="1"/>
  <c r="Q90" i="1"/>
  <c r="Q85" i="1"/>
  <c r="Q88" i="1"/>
  <c r="Q28" i="8" s="1"/>
  <c r="Q89" i="1"/>
  <c r="Q87" i="1"/>
  <c r="Q27" i="8" s="1"/>
  <c r="Q86" i="1"/>
  <c r="Q26" i="8" s="1"/>
  <c r="Q84" i="1"/>
  <c r="M90" i="1"/>
  <c r="M85" i="1"/>
  <c r="M91" i="1"/>
  <c r="M88" i="1"/>
  <c r="M28" i="8" s="1"/>
  <c r="M89" i="1"/>
  <c r="M87" i="1"/>
  <c r="M27" i="8" s="1"/>
  <c r="M86" i="1"/>
  <c r="M26" i="8" s="1"/>
  <c r="M84" i="1"/>
  <c r="M22" i="8" s="1"/>
  <c r="I90" i="1"/>
  <c r="I85" i="1"/>
  <c r="I87" i="1"/>
  <c r="I27" i="8" s="1"/>
  <c r="I86" i="1"/>
  <c r="I26" i="8" s="1"/>
  <c r="I84" i="1"/>
  <c r="I22" i="8" s="1"/>
  <c r="O22" i="1"/>
  <c r="AA22" i="1" s="1"/>
  <c r="O21" i="1"/>
  <c r="O23" i="1"/>
  <c r="AA23" i="1" s="1"/>
  <c r="O20" i="1"/>
  <c r="AA20" i="1" s="1"/>
  <c r="K22" i="1"/>
  <c r="W22" i="1" s="1"/>
  <c r="K21" i="1"/>
  <c r="K23" i="1"/>
  <c r="W23" i="1" s="1"/>
  <c r="K20" i="1"/>
  <c r="W20" i="1" s="1"/>
  <c r="O17" i="1"/>
  <c r="O16" i="1"/>
  <c r="K17" i="1"/>
  <c r="K16" i="1"/>
  <c r="M36" i="8" l="1"/>
  <c r="Q36" i="8"/>
  <c r="Q22" i="8"/>
  <c r="Q23" i="8" s="1"/>
  <c r="M32" i="8"/>
  <c r="I23" i="8"/>
  <c r="Q105" i="1"/>
  <c r="Q32" i="8"/>
  <c r="Z73" i="8"/>
  <c r="Z74" i="8" s="1"/>
  <c r="Z83" i="8" s="1"/>
  <c r="N74" i="8"/>
  <c r="N83" i="8" s="1"/>
  <c r="AA21" i="1"/>
  <c r="O33" i="8"/>
  <c r="AA17" i="1"/>
  <c r="O18" i="8"/>
  <c r="W111" i="1"/>
  <c r="K42" i="8"/>
  <c r="AB73" i="8"/>
  <c r="AB74" i="8" s="1"/>
  <c r="AB83" i="8" s="1"/>
  <c r="P74" i="8"/>
  <c r="P83" i="8" s="1"/>
  <c r="W16" i="1"/>
  <c r="K17" i="8"/>
  <c r="W112" i="1"/>
  <c r="K43" i="8"/>
  <c r="AC73" i="8"/>
  <c r="AC74" i="8" s="1"/>
  <c r="AC83" i="8" s="1"/>
  <c r="Q74" i="8"/>
  <c r="Q83" i="8" s="1"/>
  <c r="AA16" i="1"/>
  <c r="O17" i="8"/>
  <c r="X73" i="8"/>
  <c r="X74" i="8" s="1"/>
  <c r="X83" i="8" s="1"/>
  <c r="L74" i="8"/>
  <c r="L83" i="8" s="1"/>
  <c r="Y73" i="8"/>
  <c r="Y74" i="8" s="1"/>
  <c r="Y83" i="8" s="1"/>
  <c r="M74" i="8"/>
  <c r="M83" i="8" s="1"/>
  <c r="W21" i="1"/>
  <c r="K33" i="8"/>
  <c r="M113" i="1"/>
  <c r="M43" i="8"/>
  <c r="AD73" i="8"/>
  <c r="AD74" i="8" s="1"/>
  <c r="AD83" i="8" s="1"/>
  <c r="R74" i="8"/>
  <c r="R83" i="8" s="1"/>
  <c r="Q113" i="1"/>
  <c r="Q43" i="8"/>
  <c r="I36" i="8"/>
  <c r="W17" i="1"/>
  <c r="K18" i="8"/>
  <c r="M23" i="8"/>
  <c r="I105" i="1"/>
  <c r="I32" i="8"/>
  <c r="K113" i="1"/>
  <c r="M105" i="1"/>
  <c r="X21" i="1"/>
  <c r="Y21" i="1"/>
  <c r="Z21" i="1"/>
  <c r="Z16" i="1"/>
  <c r="Y16" i="1"/>
  <c r="X16" i="1"/>
  <c r="J86" i="1"/>
  <c r="J26" i="8" s="1"/>
  <c r="J97" i="1"/>
  <c r="X17" i="1"/>
  <c r="Y17" i="1"/>
  <c r="Z17" i="1"/>
  <c r="J98" i="1"/>
  <c r="K98" i="1" s="1"/>
  <c r="J87" i="1"/>
  <c r="J27" i="8" s="1"/>
  <c r="Y89" i="1"/>
  <c r="J120" i="1"/>
  <c r="J90" i="1"/>
  <c r="K90" i="1" s="1"/>
  <c r="Y91" i="1"/>
  <c r="J85" i="1"/>
  <c r="X112" i="1"/>
  <c r="Y112" i="1"/>
  <c r="Z20" i="1"/>
  <c r="Y20" i="1"/>
  <c r="X20" i="1"/>
  <c r="Z23" i="1"/>
  <c r="Y23" i="1"/>
  <c r="X23" i="1"/>
  <c r="Y88" i="1"/>
  <c r="Z22" i="1"/>
  <c r="Y22" i="1"/>
  <c r="X22" i="1"/>
  <c r="J103" i="1"/>
  <c r="J11" i="7" s="1"/>
  <c r="X111" i="1"/>
  <c r="Y111" i="1"/>
  <c r="AD21" i="1"/>
  <c r="AC21" i="1"/>
  <c r="AI21" i="1" s="1"/>
  <c r="AB21" i="1"/>
  <c r="N104" i="1"/>
  <c r="O104" i="1" s="1"/>
  <c r="AD104" i="1" s="1"/>
  <c r="N103" i="1"/>
  <c r="N11" i="7" s="1"/>
  <c r="N86" i="1"/>
  <c r="N26" i="8" s="1"/>
  <c r="N87" i="1"/>
  <c r="N27" i="8" s="1"/>
  <c r="AD16" i="1"/>
  <c r="AC16" i="1"/>
  <c r="AI16" i="1" s="1"/>
  <c r="AB16" i="1"/>
  <c r="AB17" i="1"/>
  <c r="AC17" i="1"/>
  <c r="AI17" i="1" s="1"/>
  <c r="N120" i="1"/>
  <c r="O120" i="1" s="1"/>
  <c r="AD120" i="1" s="1"/>
  <c r="AC20" i="1"/>
  <c r="AI20" i="1" s="1"/>
  <c r="AB20" i="1"/>
  <c r="AD22" i="1"/>
  <c r="AC22" i="1"/>
  <c r="AI22" i="1" s="1"/>
  <c r="AB22" i="1"/>
  <c r="N85" i="1"/>
  <c r="N97" i="1"/>
  <c r="O97" i="1" s="1"/>
  <c r="AB97" i="1" s="1"/>
  <c r="AD23" i="1"/>
  <c r="AC23" i="1"/>
  <c r="AI23" i="1" s="1"/>
  <c r="AB23" i="1"/>
  <c r="N84" i="1"/>
  <c r="N98" i="1"/>
  <c r="AD17" i="1"/>
  <c r="AD20" i="1"/>
  <c r="O18" i="1"/>
  <c r="K18" i="1"/>
  <c r="R90" i="1"/>
  <c r="R95" i="1"/>
  <c r="R112" i="1"/>
  <c r="R84" i="1"/>
  <c r="R85" i="1"/>
  <c r="R86" i="1"/>
  <c r="R26" i="8" s="1"/>
  <c r="R103" i="1"/>
  <c r="R11" i="7" s="1"/>
  <c r="R87" i="1"/>
  <c r="R27" i="8" s="1"/>
  <c r="R97" i="1"/>
  <c r="R98" i="1"/>
  <c r="R89" i="1"/>
  <c r="R88" i="1"/>
  <c r="R28" i="8" s="1"/>
  <c r="N90" i="1"/>
  <c r="N91" i="1"/>
  <c r="N88" i="1"/>
  <c r="N28" i="8" s="1"/>
  <c r="J95" i="1"/>
  <c r="N95" i="1"/>
  <c r="N89" i="1"/>
  <c r="Z89" i="1" s="1"/>
  <c r="N112" i="1"/>
  <c r="J84" i="1"/>
  <c r="O67" i="1"/>
  <c r="AA67" i="1" s="1"/>
  <c r="O68" i="1"/>
  <c r="AA68" i="1" s="1"/>
  <c r="O69" i="1"/>
  <c r="AA69" i="1" s="1"/>
  <c r="K67" i="1"/>
  <c r="W67" i="1" s="1"/>
  <c r="K68" i="1"/>
  <c r="W68" i="1" s="1"/>
  <c r="K69" i="1"/>
  <c r="W69" i="1" s="1"/>
  <c r="O61" i="1"/>
  <c r="AA61" i="1" s="1"/>
  <c r="O60" i="1"/>
  <c r="O59" i="1"/>
  <c r="K61" i="1"/>
  <c r="W61" i="1" s="1"/>
  <c r="K60" i="1"/>
  <c r="K59" i="1"/>
  <c r="O52" i="1"/>
  <c r="O51" i="1"/>
  <c r="AA51" i="1" s="1"/>
  <c r="O50" i="1"/>
  <c r="K51" i="1"/>
  <c r="W51" i="1" s="1"/>
  <c r="K52" i="1"/>
  <c r="K50" i="1"/>
  <c r="O46" i="1"/>
  <c r="AA46" i="1" s="1"/>
  <c r="O45" i="1"/>
  <c r="AA45" i="1" s="1"/>
  <c r="O44" i="1"/>
  <c r="O43" i="1"/>
  <c r="AA43" i="1" s="1"/>
  <c r="K46" i="1"/>
  <c r="W46" i="1" s="1"/>
  <c r="K45" i="1"/>
  <c r="W45" i="1" s="1"/>
  <c r="K44" i="1"/>
  <c r="K43" i="1"/>
  <c r="W43" i="1" s="1"/>
  <c r="O35" i="1"/>
  <c r="O6" i="7" s="1"/>
  <c r="O39" i="1"/>
  <c r="AA39" i="1" s="1"/>
  <c r="O37" i="1"/>
  <c r="O36" i="1"/>
  <c r="K35" i="1"/>
  <c r="K6" i="7" s="1"/>
  <c r="K39" i="1"/>
  <c r="W39" i="1" s="1"/>
  <c r="K37" i="1"/>
  <c r="K36" i="1"/>
  <c r="R47" i="1"/>
  <c r="Q47" i="1"/>
  <c r="P47" i="1"/>
  <c r="N47" i="1"/>
  <c r="M47" i="1"/>
  <c r="L47" i="1"/>
  <c r="J47" i="1"/>
  <c r="I47" i="1"/>
  <c r="H47" i="1"/>
  <c r="E47" i="1"/>
  <c r="D47" i="1"/>
  <c r="C47" i="1"/>
  <c r="C25" i="1"/>
  <c r="C28" i="1" s="1"/>
  <c r="R25" i="1"/>
  <c r="R28" i="1" s="1"/>
  <c r="Q25" i="1"/>
  <c r="Q28" i="1" s="1"/>
  <c r="P25" i="1"/>
  <c r="P28" i="1" s="1"/>
  <c r="N25" i="1"/>
  <c r="N28" i="1" s="1"/>
  <c r="M25" i="1"/>
  <c r="M28" i="1" s="1"/>
  <c r="L25" i="1"/>
  <c r="L28" i="1" s="1"/>
  <c r="J25" i="1"/>
  <c r="J28" i="1" s="1"/>
  <c r="I25" i="1"/>
  <c r="I28" i="1" s="1"/>
  <c r="H25" i="1"/>
  <c r="H28" i="1" s="1"/>
  <c r="E25" i="1"/>
  <c r="E28" i="1" s="1"/>
  <c r="D25" i="1"/>
  <c r="D28" i="1" s="1"/>
  <c r="R56" i="1"/>
  <c r="Q56" i="1"/>
  <c r="P56" i="1"/>
  <c r="N56" i="1"/>
  <c r="M56" i="1"/>
  <c r="L56" i="1"/>
  <c r="J56" i="1"/>
  <c r="I56" i="1"/>
  <c r="H56" i="1"/>
  <c r="E56" i="1"/>
  <c r="D56" i="1"/>
  <c r="C56" i="1"/>
  <c r="W18" i="1" l="1"/>
  <c r="AA6" i="7"/>
  <c r="O21" i="7"/>
  <c r="O7" i="7"/>
  <c r="O15" i="7" s="1"/>
  <c r="X11" i="7"/>
  <c r="W6" i="7"/>
  <c r="K7" i="7"/>
  <c r="K15" i="7" s="1"/>
  <c r="K21" i="7"/>
  <c r="AA18" i="1"/>
  <c r="AA25" i="1" s="1"/>
  <c r="AA28" i="1" s="1"/>
  <c r="P81" i="1"/>
  <c r="Q81" i="1"/>
  <c r="I81" i="1"/>
  <c r="J81" i="1"/>
  <c r="H81" i="1"/>
  <c r="H100" i="1" s="1"/>
  <c r="H10" i="7" s="1"/>
  <c r="H12" i="7" s="1"/>
  <c r="H16" i="7" s="1"/>
  <c r="H17" i="7" s="1"/>
  <c r="C81" i="1"/>
  <c r="C100" i="1" s="1"/>
  <c r="C10" i="7" s="1"/>
  <c r="C12" i="7" s="1"/>
  <c r="C16" i="7" s="1"/>
  <c r="C17" i="7" s="1"/>
  <c r="M81" i="1"/>
  <c r="L81" i="1"/>
  <c r="N81" i="1"/>
  <c r="R22" i="8"/>
  <c r="J36" i="8"/>
  <c r="J22" i="8"/>
  <c r="N22" i="8"/>
  <c r="N23" i="8" s="1"/>
  <c r="W25" i="1"/>
  <c r="W28" i="1" s="1"/>
  <c r="J32" i="8"/>
  <c r="X33" i="8"/>
  <c r="Y33" i="8"/>
  <c r="Z33" i="8"/>
  <c r="W33" i="8"/>
  <c r="AC17" i="8"/>
  <c r="AA17" i="8"/>
  <c r="AB17" i="8"/>
  <c r="AD17" i="8"/>
  <c r="O19" i="8"/>
  <c r="AD33" i="8"/>
  <c r="AC33" i="8"/>
  <c r="AI33" i="8" s="1"/>
  <c r="AB33" i="8"/>
  <c r="AA33" i="8"/>
  <c r="H64" i="1"/>
  <c r="H61" i="8"/>
  <c r="R64" i="1"/>
  <c r="R61" i="8"/>
  <c r="AD61" i="8" s="1"/>
  <c r="AA37" i="1"/>
  <c r="O50" i="8"/>
  <c r="AA50" i="8" s="1"/>
  <c r="AA44" i="1"/>
  <c r="O57" i="8"/>
  <c r="AA57" i="8" s="1"/>
  <c r="AA52" i="1"/>
  <c r="O65" i="8"/>
  <c r="AA65" i="8" s="1"/>
  <c r="O68" i="8"/>
  <c r="N36" i="8"/>
  <c r="N32" i="8"/>
  <c r="M24" i="8"/>
  <c r="M29" i="8"/>
  <c r="W59" i="1"/>
  <c r="K66" i="8"/>
  <c r="W66" i="8" s="1"/>
  <c r="K69" i="8"/>
  <c r="W69" i="8" s="1"/>
  <c r="K59" i="8"/>
  <c r="J64" i="1"/>
  <c r="J61" i="8"/>
  <c r="O49" i="8"/>
  <c r="W60" i="1"/>
  <c r="K60" i="8"/>
  <c r="X17" i="8"/>
  <c r="W17" i="8"/>
  <c r="Z17" i="8"/>
  <c r="Y17" i="8"/>
  <c r="K19" i="8"/>
  <c r="E64" i="1"/>
  <c r="E61" i="8"/>
  <c r="AA36" i="1"/>
  <c r="O55" i="8"/>
  <c r="AA55" i="8" s="1"/>
  <c r="R32" i="8"/>
  <c r="L64" i="1"/>
  <c r="L61" i="8"/>
  <c r="X61" i="8" s="1"/>
  <c r="W36" i="1"/>
  <c r="K55" i="8"/>
  <c r="W55" i="8" s="1"/>
  <c r="W50" i="1"/>
  <c r="K56" i="8"/>
  <c r="W56" i="8" s="1"/>
  <c r="W18" i="8"/>
  <c r="Z18" i="8"/>
  <c r="Y18" i="8"/>
  <c r="X18" i="8"/>
  <c r="W43" i="8"/>
  <c r="Y43" i="8"/>
  <c r="X43" i="8"/>
  <c r="W37" i="1"/>
  <c r="K50" i="8"/>
  <c r="W50" i="8" s="1"/>
  <c r="W44" i="1"/>
  <c r="K57" i="8"/>
  <c r="W57" i="8" s="1"/>
  <c r="W52" i="1"/>
  <c r="K65" i="8"/>
  <c r="W65" i="8" s="1"/>
  <c r="K68" i="8"/>
  <c r="AA59" i="1"/>
  <c r="O59" i="8"/>
  <c r="O66" i="8"/>
  <c r="AA66" i="8" s="1"/>
  <c r="O69" i="8"/>
  <c r="AA69" i="8" s="1"/>
  <c r="R23" i="8"/>
  <c r="AC18" i="8"/>
  <c r="AI18" i="8" s="1"/>
  <c r="AA18" i="8"/>
  <c r="AD18" i="8"/>
  <c r="AB18" i="8"/>
  <c r="I64" i="1"/>
  <c r="I61" i="8"/>
  <c r="M64" i="1"/>
  <c r="M61" i="8"/>
  <c r="Y61" i="8" s="1"/>
  <c r="C64" i="1"/>
  <c r="C61" i="8"/>
  <c r="N64" i="1"/>
  <c r="N61" i="8"/>
  <c r="Z61" i="8" s="1"/>
  <c r="AA60" i="1"/>
  <c r="O60" i="8"/>
  <c r="J23" i="8"/>
  <c r="R113" i="1"/>
  <c r="R43" i="8"/>
  <c r="Q29" i="8"/>
  <c r="Q24" i="8"/>
  <c r="Q64" i="1"/>
  <c r="Q61" i="8"/>
  <c r="AC61" i="8" s="1"/>
  <c r="D64" i="1"/>
  <c r="D61" i="8"/>
  <c r="P64" i="1"/>
  <c r="P61" i="8"/>
  <c r="AB61" i="8" s="1"/>
  <c r="K49" i="8"/>
  <c r="AA50" i="1"/>
  <c r="O56" i="8"/>
  <c r="AA56" i="8" s="1"/>
  <c r="Z112" i="1"/>
  <c r="N43" i="8"/>
  <c r="R36" i="8"/>
  <c r="Y42" i="8"/>
  <c r="Z42" i="8"/>
  <c r="X42" i="8"/>
  <c r="W42" i="8"/>
  <c r="I29" i="8"/>
  <c r="I24" i="8"/>
  <c r="Z111" i="1"/>
  <c r="N113" i="1"/>
  <c r="N105" i="1"/>
  <c r="R105" i="1"/>
  <c r="K104" i="1"/>
  <c r="X104" i="1" s="1"/>
  <c r="J105" i="1"/>
  <c r="AA35" i="1"/>
  <c r="O40" i="1"/>
  <c r="O47" i="1" s="1"/>
  <c r="W35" i="1"/>
  <c r="K40" i="1"/>
  <c r="K47" i="1" s="1"/>
  <c r="Z18" i="1"/>
  <c r="Z25" i="1" s="1"/>
  <c r="Z28" i="1" s="1"/>
  <c r="W70" i="1"/>
  <c r="W98" i="1"/>
  <c r="AA97" i="1"/>
  <c r="AA104" i="1"/>
  <c r="Y18" i="1"/>
  <c r="Y25" i="1" s="1"/>
  <c r="Y28" i="1" s="1"/>
  <c r="W90" i="1"/>
  <c r="Z90" i="1"/>
  <c r="L100" i="1"/>
  <c r="L10" i="7" s="1"/>
  <c r="Z98" i="1"/>
  <c r="Z88" i="1"/>
  <c r="X98" i="1"/>
  <c r="K85" i="1"/>
  <c r="AA120" i="1"/>
  <c r="Y98" i="1"/>
  <c r="K86" i="1"/>
  <c r="K87" i="1"/>
  <c r="Y90" i="1"/>
  <c r="AA70" i="1"/>
  <c r="K120" i="1"/>
  <c r="Z120" i="1" s="1"/>
  <c r="Z91" i="1"/>
  <c r="K103" i="1"/>
  <c r="K11" i="7" s="1"/>
  <c r="Z11" i="7" s="1"/>
  <c r="X90" i="1"/>
  <c r="K97" i="1"/>
  <c r="W97" i="1" s="1"/>
  <c r="X18" i="1"/>
  <c r="X25" i="1" s="1"/>
  <c r="X28" i="1" s="1"/>
  <c r="AC18" i="1"/>
  <c r="AC25" i="1" s="1"/>
  <c r="AC28" i="1" s="1"/>
  <c r="AB104" i="1"/>
  <c r="AD18" i="1"/>
  <c r="AD25" i="1" s="1"/>
  <c r="AD28" i="1" s="1"/>
  <c r="O85" i="1"/>
  <c r="AB85" i="1" s="1"/>
  <c r="O98" i="1"/>
  <c r="AB18" i="1"/>
  <c r="AB25" i="1" s="1"/>
  <c r="AB28" i="1" s="1"/>
  <c r="AC104" i="1"/>
  <c r="AI104" i="1" s="1"/>
  <c r="AB120" i="1"/>
  <c r="O86" i="1"/>
  <c r="O103" i="1"/>
  <c r="O11" i="7" s="1"/>
  <c r="AD11" i="7" s="1"/>
  <c r="AC97" i="1"/>
  <c r="AC120" i="1"/>
  <c r="O84" i="1"/>
  <c r="O87" i="1"/>
  <c r="O27" i="8" s="1"/>
  <c r="AA27" i="8" s="1"/>
  <c r="AD97" i="1"/>
  <c r="P100" i="1"/>
  <c r="P10" i="7" s="1"/>
  <c r="S111" i="1"/>
  <c r="S42" i="8" s="1"/>
  <c r="S112" i="1"/>
  <c r="S95" i="1"/>
  <c r="S90" i="1"/>
  <c r="AE90" i="1" s="1"/>
  <c r="S85" i="1"/>
  <c r="S97" i="1"/>
  <c r="AG97" i="1" s="1"/>
  <c r="S103" i="1"/>
  <c r="S11" i="7" s="1"/>
  <c r="AF11" i="7" s="1"/>
  <c r="S87" i="1"/>
  <c r="S27" i="8" s="1"/>
  <c r="AG27" i="8" s="1"/>
  <c r="S89" i="1"/>
  <c r="AG89" i="1" s="1"/>
  <c r="S88" i="1"/>
  <c r="S86" i="1"/>
  <c r="S84" i="1"/>
  <c r="S98" i="1"/>
  <c r="AG98" i="1" s="1"/>
  <c r="R81" i="1"/>
  <c r="AG81" i="1" s="1"/>
  <c r="E81" i="1"/>
  <c r="E100" i="1" s="1"/>
  <c r="E10" i="7" s="1"/>
  <c r="E12" i="7" s="1"/>
  <c r="E16" i="7" s="1"/>
  <c r="E17" i="7" s="1"/>
  <c r="C115" i="1"/>
  <c r="D81" i="1"/>
  <c r="D100" i="1" s="1"/>
  <c r="D10" i="7" s="1"/>
  <c r="D12" i="7" s="1"/>
  <c r="D16" i="7" s="1"/>
  <c r="D17" i="7" s="1"/>
  <c r="O88" i="1"/>
  <c r="O91" i="1"/>
  <c r="AB91" i="1" s="1"/>
  <c r="K95" i="1"/>
  <c r="O95" i="1"/>
  <c r="K84" i="1"/>
  <c r="O90" i="1"/>
  <c r="AB90" i="1" s="1"/>
  <c r="O111" i="1"/>
  <c r="O42" i="8" s="1"/>
  <c r="O89" i="1"/>
  <c r="AB89" i="1" s="1"/>
  <c r="O112" i="1"/>
  <c r="K70" i="1"/>
  <c r="K73" i="8" s="1"/>
  <c r="W73" i="8" s="1"/>
  <c r="O70" i="1"/>
  <c r="O73" i="8" s="1"/>
  <c r="AA73" i="8" s="1"/>
  <c r="K56" i="1"/>
  <c r="O56" i="1"/>
  <c r="I100" i="1"/>
  <c r="I10" i="7" s="1"/>
  <c r="Q100" i="1"/>
  <c r="Q10" i="7" s="1"/>
  <c r="Y11" i="7" l="1"/>
  <c r="AA21" i="7"/>
  <c r="AA7" i="7"/>
  <c r="AA15" i="7" s="1"/>
  <c r="W21" i="7"/>
  <c r="W7" i="7"/>
  <c r="W15" i="7" s="1"/>
  <c r="AG11" i="7"/>
  <c r="AC11" i="7"/>
  <c r="W11" i="7"/>
  <c r="I12" i="7"/>
  <c r="I16" i="7" s="1"/>
  <c r="I17" i="7" s="1"/>
  <c r="AE11" i="7"/>
  <c r="Q12" i="7"/>
  <c r="Q16" i="7" s="1"/>
  <c r="Q17" i="7" s="1"/>
  <c r="P12" i="7"/>
  <c r="P16" i="7" s="1"/>
  <c r="P17" i="7" s="1"/>
  <c r="L12" i="7"/>
  <c r="L16" i="7" s="1"/>
  <c r="L17" i="7" s="1"/>
  <c r="AB11" i="7"/>
  <c r="AA11" i="7"/>
  <c r="X19" i="8"/>
  <c r="X20" i="8" s="1"/>
  <c r="AF27" i="8"/>
  <c r="AA56" i="1"/>
  <c r="AA64" i="1" s="1"/>
  <c r="AA19" i="8"/>
  <c r="W40" i="1"/>
  <c r="W47" i="1" s="1"/>
  <c r="W56" i="1"/>
  <c r="W64" i="1" s="1"/>
  <c r="W71" i="1" s="1"/>
  <c r="W73" i="1" s="1"/>
  <c r="AA40" i="1"/>
  <c r="AA47" i="1" s="1"/>
  <c r="W68" i="8"/>
  <c r="W71" i="8" s="1"/>
  <c r="K71" i="8"/>
  <c r="E71" i="1"/>
  <c r="E73" i="1" s="1"/>
  <c r="E62" i="8"/>
  <c r="M37" i="8"/>
  <c r="M30" i="8"/>
  <c r="AA68" i="8"/>
  <c r="AA71" i="8" s="1"/>
  <c r="O71" i="8"/>
  <c r="R71" i="1"/>
  <c r="R73" i="1" s="1"/>
  <c r="R62" i="8"/>
  <c r="AD62" i="8" s="1"/>
  <c r="AD19" i="8"/>
  <c r="Z95" i="1"/>
  <c r="K36" i="8"/>
  <c r="AC84" i="1"/>
  <c r="O22" i="8"/>
  <c r="O23" i="8" s="1"/>
  <c r="Y103" i="1"/>
  <c r="K32" i="8"/>
  <c r="Z32" i="8" s="1"/>
  <c r="P71" i="1"/>
  <c r="P73" i="1" s="1"/>
  <c r="P62" i="8"/>
  <c r="AB62" i="8" s="1"/>
  <c r="N71" i="1"/>
  <c r="N73" i="1" s="1"/>
  <c r="N62" i="8"/>
  <c r="Z62" i="8" s="1"/>
  <c r="R24" i="8"/>
  <c r="R29" i="8"/>
  <c r="L71" i="1"/>
  <c r="L73" i="1" s="1"/>
  <c r="L62" i="8"/>
  <c r="X62" i="8" s="1"/>
  <c r="AB19" i="8"/>
  <c r="J71" i="1"/>
  <c r="J73" i="1" s="1"/>
  <c r="J62" i="8"/>
  <c r="H71" i="1"/>
  <c r="H73" i="1" s="1"/>
  <c r="H62" i="8"/>
  <c r="K64" i="1"/>
  <c r="K62" i="8" s="1"/>
  <c r="W62" i="8" s="1"/>
  <c r="K61" i="8"/>
  <c r="W61" i="8" s="1"/>
  <c r="W86" i="1"/>
  <c r="K26" i="8"/>
  <c r="AG86" i="1"/>
  <c r="S26" i="8"/>
  <c r="AE95" i="1"/>
  <c r="S36" i="8"/>
  <c r="AF36" i="8" s="1"/>
  <c r="D71" i="1"/>
  <c r="D73" i="1" s="1"/>
  <c r="D62" i="8"/>
  <c r="C71" i="1"/>
  <c r="C73" i="1" s="1"/>
  <c r="C62" i="8"/>
  <c r="AE27" i="8"/>
  <c r="AI17" i="8"/>
  <c r="AC19" i="8"/>
  <c r="AA20" i="8"/>
  <c r="AD112" i="1"/>
  <c r="O43" i="8"/>
  <c r="AD43" i="8" s="1"/>
  <c r="AB88" i="1"/>
  <c r="O28" i="8"/>
  <c r="AG88" i="1"/>
  <c r="S28" i="8"/>
  <c r="AE112" i="1"/>
  <c r="S43" i="8"/>
  <c r="AG43" i="8" s="1"/>
  <c r="O105" i="1"/>
  <c r="O32" i="8"/>
  <c r="K51" i="8"/>
  <c r="W49" i="8"/>
  <c r="W51" i="8" s="1"/>
  <c r="L44" i="8"/>
  <c r="J29" i="8"/>
  <c r="J24" i="8"/>
  <c r="Z43" i="8"/>
  <c r="K20" i="8"/>
  <c r="AB27" i="8"/>
  <c r="AE42" i="8"/>
  <c r="AG42" i="8"/>
  <c r="AF42" i="8"/>
  <c r="AB86" i="1"/>
  <c r="O26" i="8"/>
  <c r="Q71" i="1"/>
  <c r="Q73" i="1" s="1"/>
  <c r="Q62" i="8"/>
  <c r="AC62" i="8" s="1"/>
  <c r="M71" i="1"/>
  <c r="M73" i="1" s="1"/>
  <c r="M62" i="8"/>
  <c r="Y62" i="8" s="1"/>
  <c r="Y19" i="8"/>
  <c r="AB95" i="1"/>
  <c r="O36" i="8"/>
  <c r="AD36" i="8" s="1"/>
  <c r="I30" i="8"/>
  <c r="I37" i="8"/>
  <c r="N29" i="8"/>
  <c r="N24" i="8"/>
  <c r="AE84" i="1"/>
  <c r="S22" i="8"/>
  <c r="AD42" i="8"/>
  <c r="AC42" i="8"/>
  <c r="AB42" i="8"/>
  <c r="AA42" i="8"/>
  <c r="AC27" i="8"/>
  <c r="AI27" i="8" s="1"/>
  <c r="Z19" i="8"/>
  <c r="AD27" i="8"/>
  <c r="O64" i="1"/>
  <c r="O62" i="8" s="1"/>
  <c r="AA62" i="8" s="1"/>
  <c r="O61" i="8"/>
  <c r="AA61" i="8" s="1"/>
  <c r="Y84" i="1"/>
  <c r="K22" i="8"/>
  <c r="K23" i="8" s="1"/>
  <c r="S105" i="1"/>
  <c r="S32" i="8"/>
  <c r="AF32" i="8" s="1"/>
  <c r="W87" i="1"/>
  <c r="K27" i="8"/>
  <c r="AG36" i="8"/>
  <c r="AE36" i="8"/>
  <c r="Q37" i="8"/>
  <c r="Q30" i="8"/>
  <c r="I71" i="1"/>
  <c r="I73" i="1" s="1"/>
  <c r="I62" i="8"/>
  <c r="W19" i="8"/>
  <c r="AA49" i="8"/>
  <c r="AA51" i="8" s="1"/>
  <c r="O51" i="8"/>
  <c r="P44" i="8"/>
  <c r="O20" i="8"/>
  <c r="AG111" i="1"/>
  <c r="S113" i="1"/>
  <c r="AD111" i="1"/>
  <c r="O113" i="1"/>
  <c r="Z104" i="1"/>
  <c r="Y104" i="1"/>
  <c r="Y105" i="1" s="1"/>
  <c r="W104" i="1"/>
  <c r="K105" i="1"/>
  <c r="P115" i="1"/>
  <c r="H115" i="1"/>
  <c r="E115" i="1"/>
  <c r="L115" i="1"/>
  <c r="D115" i="1"/>
  <c r="Y97" i="1"/>
  <c r="AD85" i="1"/>
  <c r="AI97" i="1"/>
  <c r="W113" i="1"/>
  <c r="Y87" i="1"/>
  <c r="W103" i="1"/>
  <c r="AA111" i="1"/>
  <c r="Y85" i="1"/>
  <c r="W85" i="1"/>
  <c r="AC85" i="1"/>
  <c r="Y86" i="1"/>
  <c r="W95" i="1"/>
  <c r="W120" i="1"/>
  <c r="W84" i="1"/>
  <c r="X120" i="1"/>
  <c r="X84" i="1"/>
  <c r="AA71" i="1"/>
  <c r="Y95" i="1"/>
  <c r="AA85" i="1"/>
  <c r="AA86" i="1"/>
  <c r="Y120" i="1"/>
  <c r="Z103" i="1"/>
  <c r="X103" i="1"/>
  <c r="X95" i="1"/>
  <c r="AA95" i="1"/>
  <c r="AA88" i="1"/>
  <c r="Z86" i="1"/>
  <c r="X86" i="1"/>
  <c r="AA89" i="1"/>
  <c r="AC98" i="1"/>
  <c r="AI98" i="1" s="1"/>
  <c r="AA98" i="1"/>
  <c r="AB103" i="1"/>
  <c r="AB105" i="1" s="1"/>
  <c r="AA103" i="1"/>
  <c r="AA105" i="1" s="1"/>
  <c r="AA112" i="1"/>
  <c r="Z85" i="1"/>
  <c r="X85" i="1"/>
  <c r="AA91" i="1"/>
  <c r="AC87" i="1"/>
  <c r="AA87" i="1"/>
  <c r="Z84" i="1"/>
  <c r="Z97" i="1"/>
  <c r="X97" i="1"/>
  <c r="Z113" i="1"/>
  <c r="Z87" i="1"/>
  <c r="X87" i="1"/>
  <c r="AA84" i="1"/>
  <c r="AA90" i="1"/>
  <c r="AF84" i="1"/>
  <c r="AD103" i="1"/>
  <c r="AD87" i="1"/>
  <c r="AD86" i="1"/>
  <c r="AC86" i="1"/>
  <c r="AI86" i="1" s="1"/>
  <c r="AF88" i="1"/>
  <c r="AB87" i="1"/>
  <c r="AC91" i="1"/>
  <c r="AI91" i="1" s="1"/>
  <c r="AC89" i="1"/>
  <c r="AI89" i="1" s="1"/>
  <c r="AC95" i="1"/>
  <c r="AB98" i="1"/>
  <c r="AB111" i="1"/>
  <c r="AC90" i="1"/>
  <c r="AC111" i="1"/>
  <c r="AC88" i="1"/>
  <c r="AF89" i="1"/>
  <c r="AC112" i="1"/>
  <c r="AD98" i="1"/>
  <c r="AC103" i="1"/>
  <c r="AB112" i="1"/>
  <c r="AB84" i="1"/>
  <c r="AD84" i="1"/>
  <c r="AE88" i="1"/>
  <c r="AF86" i="1"/>
  <c r="AE98" i="1"/>
  <c r="AG84" i="1"/>
  <c r="AI84" i="1" s="1"/>
  <c r="AG87" i="1"/>
  <c r="AE87" i="1"/>
  <c r="AF81" i="1"/>
  <c r="AD95" i="1"/>
  <c r="AF103" i="1"/>
  <c r="AE97" i="1"/>
  <c r="AE111" i="1"/>
  <c r="AE113" i="1" s="1"/>
  <c r="AE89" i="1"/>
  <c r="AD90" i="1"/>
  <c r="AD89" i="1"/>
  <c r="AF98" i="1"/>
  <c r="AD91" i="1"/>
  <c r="AG85" i="1"/>
  <c r="AF85" i="1"/>
  <c r="AE81" i="1"/>
  <c r="AF97" i="1"/>
  <c r="AG90" i="1"/>
  <c r="AF90" i="1"/>
  <c r="AF111" i="1"/>
  <c r="AD88" i="1"/>
  <c r="AG95" i="1"/>
  <c r="AF95" i="1"/>
  <c r="AG112" i="1"/>
  <c r="AF112" i="1"/>
  <c r="AE86" i="1"/>
  <c r="AF87" i="1"/>
  <c r="AE103" i="1"/>
  <c r="AE85" i="1"/>
  <c r="AG103" i="1"/>
  <c r="AG105" i="1" s="1"/>
  <c r="AG18" i="1"/>
  <c r="S100" i="1"/>
  <c r="S10" i="7" s="1"/>
  <c r="S12" i="7" s="1"/>
  <c r="S16" i="7" s="1"/>
  <c r="S17" i="7" s="1"/>
  <c r="Q115" i="1"/>
  <c r="I115" i="1"/>
  <c r="K25" i="1"/>
  <c r="K28" i="1" s="1"/>
  <c r="O25" i="1"/>
  <c r="O28" i="1" s="1"/>
  <c r="J100" i="1"/>
  <c r="J10" i="7" s="1"/>
  <c r="R100" i="1"/>
  <c r="R10" i="7" s="1"/>
  <c r="AE10" i="7" s="1"/>
  <c r="AE12" i="7" s="1"/>
  <c r="AE16" i="7" s="1"/>
  <c r="AE17" i="7" s="1"/>
  <c r="AG56" i="1"/>
  <c r="AI56" i="1" s="1"/>
  <c r="X32" i="8" l="1"/>
  <c r="K71" i="1"/>
  <c r="K73" i="1" s="1"/>
  <c r="AE43" i="8"/>
  <c r="R12" i="7"/>
  <c r="R16" i="7" s="1"/>
  <c r="R17" i="7" s="1"/>
  <c r="AG10" i="7"/>
  <c r="AG12" i="7" s="1"/>
  <c r="AG16" i="7" s="1"/>
  <c r="AG17" i="7" s="1"/>
  <c r="J12" i="7"/>
  <c r="J16" i="7" s="1"/>
  <c r="J17" i="7" s="1"/>
  <c r="W32" i="8"/>
  <c r="AF10" i="7"/>
  <c r="AF12" i="7" s="1"/>
  <c r="AF16" i="7" s="1"/>
  <c r="AF17" i="7" s="1"/>
  <c r="AD113" i="1"/>
  <c r="O81" i="1"/>
  <c r="AA81" i="1" s="1"/>
  <c r="K81" i="1"/>
  <c r="W81" i="1" s="1"/>
  <c r="W100" i="1" s="1"/>
  <c r="AA73" i="1"/>
  <c r="AB36" i="8"/>
  <c r="AA36" i="8"/>
  <c r="AC36" i="8"/>
  <c r="AI36" i="8" s="1"/>
  <c r="AF43" i="8"/>
  <c r="AC43" i="8"/>
  <c r="AI43" i="8" s="1"/>
  <c r="O71" i="1"/>
  <c r="O73" i="1" s="1"/>
  <c r="K29" i="8"/>
  <c r="M79" i="8" s="1"/>
  <c r="K24" i="8"/>
  <c r="AG32" i="8"/>
  <c r="S23" i="8"/>
  <c r="AF22" i="8"/>
  <c r="AF23" i="8" s="1"/>
  <c r="AE22" i="8"/>
  <c r="AE23" i="8" s="1"/>
  <c r="AG22" i="8"/>
  <c r="AD28" i="8"/>
  <c r="AC28" i="8"/>
  <c r="O24" i="8"/>
  <c r="O29" i="8"/>
  <c r="O78" i="8" s="1"/>
  <c r="W20" i="8"/>
  <c r="Y20" i="8"/>
  <c r="AD26" i="8"/>
  <c r="AB26" i="8"/>
  <c r="AA26" i="8"/>
  <c r="AC26" i="8"/>
  <c r="AD32" i="8"/>
  <c r="AA32" i="8"/>
  <c r="AB32" i="8"/>
  <c r="AC20" i="8"/>
  <c r="AI20" i="8" s="1"/>
  <c r="AI19" i="8"/>
  <c r="AD22" i="8"/>
  <c r="AD23" i="8" s="1"/>
  <c r="AB22" i="8"/>
  <c r="AB23" i="8" s="1"/>
  <c r="AA22" i="8"/>
  <c r="AA23" i="8" s="1"/>
  <c r="AC22" i="8"/>
  <c r="AC23" i="8" s="1"/>
  <c r="O74" i="8"/>
  <c r="O83" i="8" s="1"/>
  <c r="I44" i="8"/>
  <c r="I45" i="8" s="1"/>
  <c r="Q44" i="8"/>
  <c r="Q45" i="8" s="1"/>
  <c r="Z22" i="8"/>
  <c r="Z23" i="8" s="1"/>
  <c r="X22" i="8"/>
  <c r="X23" i="8" s="1"/>
  <c r="Y22" i="8"/>
  <c r="Y23" i="8" s="1"/>
  <c r="W22" i="8"/>
  <c r="W23" i="8" s="1"/>
  <c r="Z20" i="8"/>
  <c r="AB20" i="8"/>
  <c r="AA74" i="8"/>
  <c r="AA83" i="8" s="1"/>
  <c r="N37" i="8"/>
  <c r="N30" i="8"/>
  <c r="Q81" i="8" a="1"/>
  <c r="Q81" i="8" s="1"/>
  <c r="AC32" i="8"/>
  <c r="Z36" i="8"/>
  <c r="X36" i="8"/>
  <c r="W36" i="8"/>
  <c r="Y36" i="8"/>
  <c r="K74" i="8"/>
  <c r="K83" i="8" s="1"/>
  <c r="Z26" i="8"/>
  <c r="X26" i="8"/>
  <c r="W26" i="8"/>
  <c r="Y26" i="8"/>
  <c r="AB43" i="8"/>
  <c r="AI42" i="8"/>
  <c r="J37" i="8"/>
  <c r="J30" i="8"/>
  <c r="M44" i="8"/>
  <c r="W74" i="8"/>
  <c r="W83" i="8" s="1"/>
  <c r="AI88" i="1"/>
  <c r="Z27" i="8"/>
  <c r="Y27" i="8"/>
  <c r="W27" i="8"/>
  <c r="X27" i="8"/>
  <c r="AA43" i="8"/>
  <c r="AE26" i="8"/>
  <c r="AF26" i="8"/>
  <c r="AG26" i="8"/>
  <c r="Y32" i="8"/>
  <c r="P45" i="8"/>
  <c r="L45" i="8"/>
  <c r="AF28" i="8"/>
  <c r="AE28" i="8"/>
  <c r="AG28" i="8"/>
  <c r="R37" i="8"/>
  <c r="R30" i="8"/>
  <c r="AD20" i="8"/>
  <c r="P78" i="8"/>
  <c r="AE32" i="8"/>
  <c r="AG113" i="1"/>
  <c r="AF113" i="1"/>
  <c r="AI111" i="1"/>
  <c r="AC113" i="1"/>
  <c r="AC105" i="1"/>
  <c r="AE105" i="1"/>
  <c r="AF105" i="1"/>
  <c r="AD105" i="1"/>
  <c r="AI90" i="1"/>
  <c r="AI87" i="1"/>
  <c r="Y113" i="1"/>
  <c r="X113" i="1"/>
  <c r="X105" i="1"/>
  <c r="AI85" i="1"/>
  <c r="Z105" i="1"/>
  <c r="W105" i="1"/>
  <c r="AI112" i="1"/>
  <c r="AG25" i="1"/>
  <c r="AG28" i="1" s="1"/>
  <c r="AI28" i="1" s="1"/>
  <c r="AI18" i="1"/>
  <c r="AI95" i="1"/>
  <c r="AG47" i="1"/>
  <c r="AI47" i="1" s="1"/>
  <c r="AI40" i="1"/>
  <c r="AI103" i="1"/>
  <c r="AA113" i="1"/>
  <c r="AB113" i="1"/>
  <c r="AD81" i="1"/>
  <c r="AC81" i="1"/>
  <c r="AI81" i="1" s="1"/>
  <c r="AB81" i="1"/>
  <c r="AF100" i="1"/>
  <c r="AE100" i="1"/>
  <c r="S115" i="1"/>
  <c r="R115" i="1"/>
  <c r="J115" i="1"/>
  <c r="AG64" i="1"/>
  <c r="AI64" i="1" s="1"/>
  <c r="M81" i="8" l="1" a="1"/>
  <c r="M81" i="8" s="1"/>
  <c r="K100" i="1"/>
  <c r="K10" i="7" s="1"/>
  <c r="M80" i="8" a="1"/>
  <c r="M80" i="8" s="1"/>
  <c r="K78" i="8"/>
  <c r="X81" i="1"/>
  <c r="X100" i="1" s="1"/>
  <c r="K79" i="8"/>
  <c r="Y81" i="1"/>
  <c r="Y100" i="1" s="1"/>
  <c r="Z81" i="1"/>
  <c r="Z100" i="1" s="1"/>
  <c r="M78" i="8"/>
  <c r="K82" i="8" a="1"/>
  <c r="K82" i="8" s="1"/>
  <c r="L79" i="8"/>
  <c r="M82" i="8" a="1"/>
  <c r="M82" i="8" s="1"/>
  <c r="Q78" i="8"/>
  <c r="P79" i="8"/>
  <c r="P80" i="8" a="1"/>
  <c r="P80" i="8" s="1"/>
  <c r="Q80" i="8" a="1"/>
  <c r="Q80" i="8" s="1"/>
  <c r="AI26" i="8"/>
  <c r="Q82" i="8" a="1"/>
  <c r="Q82" i="8" s="1"/>
  <c r="Q79" i="8"/>
  <c r="O82" i="8" a="1"/>
  <c r="O82" i="8" s="1"/>
  <c r="P82" i="8" a="1"/>
  <c r="P82" i="8" s="1"/>
  <c r="AB29" i="8"/>
  <c r="AB24" i="8"/>
  <c r="Y24" i="8"/>
  <c r="Y29" i="8"/>
  <c r="W24" i="8"/>
  <c r="W29" i="8"/>
  <c r="AC29" i="8"/>
  <c r="AC24" i="8"/>
  <c r="AI28" i="8"/>
  <c r="AA24" i="8"/>
  <c r="AA29" i="8"/>
  <c r="Z29" i="8"/>
  <c r="Z24" i="8"/>
  <c r="AI22" i="8"/>
  <c r="AG23" i="8"/>
  <c r="N82" i="8" a="1"/>
  <c r="N82" i="8" s="1"/>
  <c r="N78" i="8"/>
  <c r="N81" i="8" a="1"/>
  <c r="N81" i="8" s="1"/>
  <c r="K37" i="8"/>
  <c r="K30" i="8"/>
  <c r="N79" i="8"/>
  <c r="N80" i="8" a="1"/>
  <c r="N80" i="8" s="1"/>
  <c r="L78" i="8"/>
  <c r="L80" i="8" a="1"/>
  <c r="L80" i="8" s="1"/>
  <c r="K80" i="8" a="1"/>
  <c r="K80" i="8" s="1"/>
  <c r="L82" i="8" a="1"/>
  <c r="L82" i="8" s="1"/>
  <c r="K81" i="8" a="1"/>
  <c r="K81" i="8" s="1"/>
  <c r="L81" i="8" a="1"/>
  <c r="L81" i="8" s="1"/>
  <c r="J44" i="8"/>
  <c r="J45" i="8" s="1"/>
  <c r="O30" i="8"/>
  <c r="O37" i="8"/>
  <c r="R80" i="8" a="1"/>
  <c r="R80" i="8" s="1"/>
  <c r="R81" i="8" a="1"/>
  <c r="R81" i="8" s="1"/>
  <c r="R79" i="8"/>
  <c r="R78" i="8"/>
  <c r="R82" i="8" a="1"/>
  <c r="R82" i="8" s="1"/>
  <c r="P81" i="8" a="1"/>
  <c r="P81" i="8" s="1"/>
  <c r="AE24" i="8"/>
  <c r="AE29" i="8"/>
  <c r="O79" i="8"/>
  <c r="AF24" i="8"/>
  <c r="AF29" i="8"/>
  <c r="X29" i="8"/>
  <c r="X24" i="8"/>
  <c r="O81" i="8" a="1"/>
  <c r="O81" i="8" s="1"/>
  <c r="S24" i="8"/>
  <c r="S29" i="8"/>
  <c r="AD29" i="8"/>
  <c r="AD24" i="8"/>
  <c r="R44" i="8"/>
  <c r="R45" i="8" s="1"/>
  <c r="M45" i="8"/>
  <c r="N44" i="8"/>
  <c r="N45" i="8" s="1"/>
  <c r="AI32" i="8"/>
  <c r="O80" i="8" a="1"/>
  <c r="O80" i="8" s="1"/>
  <c r="AI105" i="1"/>
  <c r="AI113" i="1"/>
  <c r="AI25" i="1"/>
  <c r="AE115" i="1"/>
  <c r="AG115" i="1"/>
  <c r="AF115" i="1"/>
  <c r="K115" i="1"/>
  <c r="W115" i="1" s="1"/>
  <c r="AG71" i="1"/>
  <c r="K12" i="7" l="1"/>
  <c r="K16" i="7" s="1"/>
  <c r="K17" i="7" s="1"/>
  <c r="W10" i="7"/>
  <c r="W12" i="7" s="1"/>
  <c r="W16" i="7" s="1"/>
  <c r="W17" i="7" s="1"/>
  <c r="X10" i="7"/>
  <c r="X12" i="7" s="1"/>
  <c r="X16" i="7" s="1"/>
  <c r="X17" i="7" s="1"/>
  <c r="AD80" i="8"/>
  <c r="AD30" i="8"/>
  <c r="AD37" i="8"/>
  <c r="AD78" i="8"/>
  <c r="AD79" i="8"/>
  <c r="AD82" i="8" a="1"/>
  <c r="AD82" i="8" s="1"/>
  <c r="AD81" i="8" a="1"/>
  <c r="AD81" i="8" s="1"/>
  <c r="K44" i="8"/>
  <c r="Z44" i="8" s="1"/>
  <c r="Y82" i="8" a="1"/>
  <c r="Y82" i="8" s="1"/>
  <c r="Y81" i="8" a="1"/>
  <c r="Y81" i="8" s="1"/>
  <c r="Y30" i="8"/>
  <c r="Y78" i="8"/>
  <c r="Y79" i="8"/>
  <c r="Y37" i="8"/>
  <c r="Y80" i="8"/>
  <c r="Z82" i="8" a="1"/>
  <c r="Z82" i="8" s="1"/>
  <c r="Z81" i="8" a="1"/>
  <c r="Z81" i="8" s="1"/>
  <c r="Z80" i="8"/>
  <c r="Z37" i="8"/>
  <c r="Z79" i="8"/>
  <c r="Z30" i="8"/>
  <c r="Z78" i="8"/>
  <c r="AF30" i="8"/>
  <c r="AF81" i="8" a="1"/>
  <c r="AF81" i="8" s="1"/>
  <c r="AF37" i="8"/>
  <c r="AF79" i="8"/>
  <c r="AF78" i="8"/>
  <c r="AF82" i="8" a="1"/>
  <c r="AF82" i="8" s="1"/>
  <c r="AF80" i="8"/>
  <c r="W80" i="8"/>
  <c r="W37" i="8"/>
  <c r="W82" i="8" a="1"/>
  <c r="W82" i="8" s="1"/>
  <c r="W30" i="8"/>
  <c r="W81" i="8" a="1"/>
  <c r="W81" i="8" s="1"/>
  <c r="W78" i="8"/>
  <c r="W79" i="8"/>
  <c r="AE82" i="8" a="1"/>
  <c r="AE82" i="8" s="1"/>
  <c r="AE37" i="8"/>
  <c r="AE80" i="8"/>
  <c r="AE30" i="8"/>
  <c r="AE81" i="8" a="1"/>
  <c r="AE81" i="8" s="1"/>
  <c r="AE79" i="8"/>
  <c r="AE78" i="8"/>
  <c r="O44" i="8"/>
  <c r="AD44" i="8" s="1"/>
  <c r="AA81" i="8" a="1"/>
  <c r="AA81" i="8" s="1"/>
  <c r="AA80" i="8"/>
  <c r="AA82" i="8" a="1"/>
  <c r="AA82" i="8" s="1"/>
  <c r="AA37" i="8"/>
  <c r="AA30" i="8"/>
  <c r="AA78" i="8"/>
  <c r="AA79" i="8"/>
  <c r="AC81" i="8" a="1"/>
  <c r="AC81" i="8" s="1"/>
  <c r="AC82" i="8" a="1"/>
  <c r="AC82" i="8" s="1"/>
  <c r="AC37" i="8"/>
  <c r="AC80" i="8"/>
  <c r="AC30" i="8"/>
  <c r="AC78" i="8"/>
  <c r="AC79" i="8"/>
  <c r="S37" i="8"/>
  <c r="S30" i="8"/>
  <c r="T78" i="8"/>
  <c r="S81" i="8" a="1"/>
  <c r="S81" i="8" s="1"/>
  <c r="S80" i="8" a="1"/>
  <c r="S80" i="8" s="1"/>
  <c r="T80" i="8" a="1"/>
  <c r="T80" i="8" s="1"/>
  <c r="S78" i="8"/>
  <c r="T81" i="8" a="1"/>
  <c r="T81" i="8" s="1"/>
  <c r="S79" i="8"/>
  <c r="T82" i="8" a="1"/>
  <c r="T82" i="8" s="1"/>
  <c r="T79" i="8"/>
  <c r="S82" i="8" a="1"/>
  <c r="S82" i="8" s="1"/>
  <c r="U81" i="8" a="1"/>
  <c r="U81" i="8" s="1"/>
  <c r="U79" i="8"/>
  <c r="U82" i="8" a="1"/>
  <c r="U82" i="8" s="1"/>
  <c r="U80" i="8" a="1"/>
  <c r="U80" i="8" s="1"/>
  <c r="U78" i="8"/>
  <c r="AB44" i="8"/>
  <c r="X81" i="8" a="1"/>
  <c r="X81" i="8" s="1"/>
  <c r="X82" i="8" a="1"/>
  <c r="X82" i="8" s="1"/>
  <c r="X80" i="8"/>
  <c r="X37" i="8"/>
  <c r="X30" i="8"/>
  <c r="X78" i="8"/>
  <c r="X79" i="8"/>
  <c r="AG29" i="8"/>
  <c r="AI23" i="8"/>
  <c r="AG24" i="8"/>
  <c r="AI24" i="8" s="1"/>
  <c r="AB37" i="8"/>
  <c r="AB30" i="8"/>
  <c r="AB81" i="8" a="1"/>
  <c r="AB81" i="8" s="1"/>
  <c r="AB78" i="8"/>
  <c r="AB79" i="8"/>
  <c r="AB82" i="8" a="1"/>
  <c r="AB82" i="8" s="1"/>
  <c r="AB80" i="8"/>
  <c r="X115" i="1"/>
  <c r="AG73" i="1"/>
  <c r="AI71" i="1"/>
  <c r="AD45" i="8" l="1"/>
  <c r="O45" i="8"/>
  <c r="AA44" i="8"/>
  <c r="AA45" i="8"/>
  <c r="AC44" i="8"/>
  <c r="AB45" i="8"/>
  <c r="AG30" i="8"/>
  <c r="AI30" i="8" s="1"/>
  <c r="AG78" i="8"/>
  <c r="AI29" i="8"/>
  <c r="AG37" i="8"/>
  <c r="AG79" i="8"/>
  <c r="AG80" i="8"/>
  <c r="AG81" i="8" a="1"/>
  <c r="AG81" i="8" s="1"/>
  <c r="AG82" i="8" a="1"/>
  <c r="AG82" i="8" s="1"/>
  <c r="AC45" i="8"/>
  <c r="S44" i="8"/>
  <c r="S45" i="8" s="1"/>
  <c r="K45" i="8"/>
  <c r="Z45" i="8"/>
  <c r="Y44" i="8"/>
  <c r="Y45" i="8" s="1"/>
  <c r="W44" i="8"/>
  <c r="W45" i="8" s="1"/>
  <c r="X44" i="8"/>
  <c r="X45" i="8" s="1"/>
  <c r="AI37" i="8" l="1"/>
  <c r="AF44" i="8"/>
  <c r="AF45" i="8" s="1"/>
  <c r="AG44" i="8"/>
  <c r="AI44" i="8" s="1"/>
  <c r="AE44" i="8"/>
  <c r="AE45" i="8" s="1"/>
  <c r="AG45" i="8" l="1"/>
  <c r="AI45" i="8" s="1"/>
  <c r="M100" i="1"/>
  <c r="M10" i="7" s="1"/>
  <c r="N100" i="1"/>
  <c r="N10" i="7" s="1"/>
  <c r="AA100" i="1"/>
  <c r="M12" i="7" l="1"/>
  <c r="M16" i="7" s="1"/>
  <c r="M17" i="7" s="1"/>
  <c r="Z10" i="7"/>
  <c r="Z12" i="7" s="1"/>
  <c r="Z16" i="7" s="1"/>
  <c r="Z17" i="7" s="1"/>
  <c r="Y10" i="7"/>
  <c r="Y12" i="7" s="1"/>
  <c r="Y16" i="7" s="1"/>
  <c r="Y17" i="7" s="1"/>
  <c r="N12" i="7"/>
  <c r="N16" i="7" s="1"/>
  <c r="N17" i="7" s="1"/>
  <c r="AC10" i="7"/>
  <c r="AC12" i="7" s="1"/>
  <c r="AC16" i="7" s="1"/>
  <c r="AC17" i="7" s="1"/>
  <c r="M115" i="1"/>
  <c r="Y115" i="1" s="1"/>
  <c r="N115" i="1"/>
  <c r="AD100" i="1"/>
  <c r="AB100" i="1"/>
  <c r="AG100" i="1"/>
  <c r="O100" i="1"/>
  <c r="O10" i="7" s="1"/>
  <c r="O12" i="7" l="1"/>
  <c r="O16" i="7" s="1"/>
  <c r="O17" i="7" s="1"/>
  <c r="AD10" i="7"/>
  <c r="AD12" i="7" s="1"/>
  <c r="AD16" i="7" s="1"/>
  <c r="AD17" i="7" s="1"/>
  <c r="AA10" i="7"/>
  <c r="AA12" i="7" s="1"/>
  <c r="AA16" i="7" s="1"/>
  <c r="AA17" i="7" s="1"/>
  <c r="AB10" i="7"/>
  <c r="AB12" i="7" s="1"/>
  <c r="AB16" i="7" s="1"/>
  <c r="AB17" i="7" s="1"/>
  <c r="Z115" i="1"/>
  <c r="O115" i="1"/>
  <c r="AD115" i="1" s="1"/>
  <c r="AC100" i="1"/>
  <c r="AC115" i="1" l="1"/>
  <c r="AB115" i="1"/>
  <c r="AA115" i="1"/>
  <c r="AI100" i="1"/>
  <c r="C45"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tc={595AA782-D077-4D03-B0ED-86608924C272}</author>
    <author>tc={17247C81-DF88-4381-BBF5-F0312DC110BA}</author>
    <author>tc={CDEB9956-72B7-4A9E-874A-3F3147096467}</author>
  </authors>
  <commentList>
    <comment ref="F55" authorId="0" shapeId="0" xr:uid="{595AA782-D077-4D03-B0ED-86608924C272}">
      <text>
        <t>[Threaded comment]
Your version of Excel allows you to read this threaded comment; however, any edits to it will get removed if the file is opened in a newer version of Excel. Learn more: https://go.microsoft.com/fwlink/?linkid=870924
Comment:
    Other current liabilities</t>
      </text>
    </comment>
    <comment ref="B111" authorId="1" shapeId="0" xr:uid="{17247C81-DF88-4381-BBF5-F0312DC110BA}">
      <text>
        <t>[Threaded comment]
Your version of Excel allows you to read this threaded comment; however, any edits to it will get removed if the file is opened in a newer version of Excel. Learn more: https://go.microsoft.com/fwlink/?linkid=870924
Comment:
    Reflected as Debt</t>
      </text>
    </comment>
    <comment ref="B112" authorId="2" shapeId="0" xr:uid="{CDEB9956-72B7-4A9E-874A-3F3147096467}">
      <text>
        <t>[Threaded comment]
Your version of Excel allows you to read this threaded comment; however, any edits to it will get removed if the file is opened in a newer version of Excel. Learn more: https://go.microsoft.com/fwlink/?linkid=870924
Comment:
    This JDRF Agreement (now called the Breakthrough T1D Agreement) is a research funding and royalty arrangement between Humacyte, Inc. and the nonprofit Breakthrough T1D (formerly JDRF International).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<sst xmlns="http://schemas.openxmlformats.org/spreadsheetml/2006/main" count="309" uniqueCount="207">
  <si>
    <t>FYE</t>
  </si>
  <si>
    <t>Quarterly</t>
  </si>
  <si>
    <t>LTM</t>
  </si>
  <si>
    <t>X</t>
  </si>
  <si>
    <t xml:space="preserve">Income Statement </t>
  </si>
  <si>
    <t>1Q22</t>
  </si>
  <si>
    <t>2Q22</t>
  </si>
  <si>
    <t>3Q22</t>
  </si>
  <si>
    <t>4Q22</t>
  </si>
  <si>
    <t>1Q23</t>
  </si>
  <si>
    <t>2Q23</t>
  </si>
  <si>
    <t>3Q23</t>
  </si>
  <si>
    <t>4Q23</t>
  </si>
  <si>
    <t>1Q24</t>
  </si>
  <si>
    <t>2Q24</t>
  </si>
  <si>
    <t>3Q24</t>
  </si>
  <si>
    <t>Interest income</t>
  </si>
  <si>
    <t>Net loss</t>
  </si>
  <si>
    <t>Current Assets</t>
  </si>
  <si>
    <t>Cash and cash equivalents</t>
  </si>
  <si>
    <t>Prepaid expenses and other current assets</t>
  </si>
  <si>
    <t>Long-Term Assets</t>
  </si>
  <si>
    <t>Property and equipment, net</t>
  </si>
  <si>
    <t>Current Liabilities</t>
  </si>
  <si>
    <t>Long-Term Liabilities</t>
  </si>
  <si>
    <t>Additional paid-in capital</t>
  </si>
  <si>
    <t>Accumulated deficit</t>
  </si>
  <si>
    <t>Cash-Flows Statement</t>
  </si>
  <si>
    <t>Interest expense</t>
  </si>
  <si>
    <t>Company Name</t>
  </si>
  <si>
    <t xml:space="preserve">Ticker </t>
  </si>
  <si>
    <t>Pipeline</t>
  </si>
  <si>
    <t xml:space="preserve">Target </t>
  </si>
  <si>
    <t xml:space="preserve">Drug </t>
  </si>
  <si>
    <t>Indication</t>
  </si>
  <si>
    <t>Stage</t>
  </si>
  <si>
    <t>Data Release</t>
  </si>
  <si>
    <t>Total Debt</t>
  </si>
  <si>
    <t>Accounts payable</t>
  </si>
  <si>
    <t>Accrued expenses</t>
  </si>
  <si>
    <t>Total Liabilities</t>
  </si>
  <si>
    <t>Stock-based compensation expense</t>
  </si>
  <si>
    <t>Non-cash interest expense</t>
  </si>
  <si>
    <t>FCF Analysis</t>
  </si>
  <si>
    <t>Grant Revenue</t>
  </si>
  <si>
    <t>Humacyte Inc (NASDAQ: HUMA)</t>
  </si>
  <si>
    <t>Change in fair value of Contingent Earnout Liability</t>
  </si>
  <si>
    <t>Change in fair value of derivative liabilities</t>
  </si>
  <si>
    <t>Short-term investments</t>
  </si>
  <si>
    <t>Accounts receivable</t>
  </si>
  <si>
    <t>Restricted cash</t>
  </si>
  <si>
    <t>Finance lease right-of-use assets, net</t>
  </si>
  <si>
    <t>Other long-term assets</t>
  </si>
  <si>
    <t>Finance lease obligation, current portion</t>
  </si>
  <si>
    <t>Contingent Earnout Liability</t>
  </si>
  <si>
    <t>Finance lease obligation, net of current portion</t>
  </si>
  <si>
    <t>Stockholders’ Equity</t>
  </si>
  <si>
    <t>Depreciation expense</t>
  </si>
  <si>
    <t>Loss on disposal of property and equipment</t>
  </si>
  <si>
    <t>Amortization expense</t>
  </si>
  <si>
    <t>Non-cash operating lease costs</t>
  </si>
  <si>
    <t>Purchase of property and equipment</t>
  </si>
  <si>
    <t>Cash, cash equivalents and restricted cash at the beginning of the period</t>
  </si>
  <si>
    <t>Cash, cash equivalents and restricted cash at the end of the period</t>
  </si>
  <si>
    <t>Supplemental disclosure:</t>
  </si>
  <si>
    <t>Cash paid for interest on SVB loan</t>
  </si>
  <si>
    <t>Common Stock</t>
  </si>
  <si>
    <t>Changes in Operating Assets and Liabilities</t>
  </si>
  <si>
    <t>Adjustments to reconcile net loss to net cash from operating activities</t>
  </si>
  <si>
    <t>Total Assets</t>
  </si>
  <si>
    <t>Total Current Assets</t>
  </si>
  <si>
    <t>Cash flows from Investing Activities</t>
  </si>
  <si>
    <t>Cash flows from Financing Activities</t>
  </si>
  <si>
    <t>Net Cash Provided by Financing Activities</t>
  </si>
  <si>
    <t>Net Cash Used in Investing Activities</t>
  </si>
  <si>
    <t>Net Cash Used in Operating Activities</t>
  </si>
  <si>
    <t>HUMA</t>
  </si>
  <si>
    <t>ACELLULAR TISSUE ENGINEERED VESSELS:</t>
  </si>
  <si>
    <t>DIALYSIS (AV ACCESS)</t>
  </si>
  <si>
    <t>PERIPHERAL ARTERY DISEASE (PAD)</t>
  </si>
  <si>
    <t>CORONARY ARTERY BYPASS GRAFTING (CABG)</t>
  </si>
  <si>
    <t>TRAUMA</t>
  </si>
  <si>
    <t>PEDIATRIC HEART DISEASE</t>
  </si>
  <si>
    <t>N/A</t>
  </si>
  <si>
    <t>ADVANCED ORGAN SYSTEMS:</t>
  </si>
  <si>
    <t>BIOVASCULAR PANCREAS™ (TYPE 1 DIABETES)</t>
  </si>
  <si>
    <t>PRECLINICAL</t>
  </si>
  <si>
    <t>LUNG</t>
  </si>
  <si>
    <t>ADVANCED TISSUE CONSTRUCTS:</t>
  </si>
  <si>
    <t>TRACHEAL REPLACEMENT</t>
  </si>
  <si>
    <t>ESOPHAGEAL REPLACEMENT</t>
  </si>
  <si>
    <t>URINARY CONDUIT</t>
  </si>
  <si>
    <t>EBITDA</t>
  </si>
  <si>
    <t>Cash flows from Operating Activities</t>
  </si>
  <si>
    <t>3-Statement Model</t>
  </si>
  <si>
    <t>($ In Thousands)</t>
  </si>
  <si>
    <t>Total Revenue</t>
  </si>
  <si>
    <t>Operating Margin (%)</t>
  </si>
  <si>
    <t>Total Operating Profit (Loss)</t>
  </si>
  <si>
    <t xml:space="preserve">Balance Sheet </t>
  </si>
  <si>
    <t>Balance Check</t>
  </si>
  <si>
    <t>Net Change in Cash</t>
  </si>
  <si>
    <t>Variance</t>
  </si>
  <si>
    <t>4Q24</t>
  </si>
  <si>
    <t>1Q25</t>
  </si>
  <si>
    <t>2Q25</t>
  </si>
  <si>
    <t>Inventory</t>
  </si>
  <si>
    <t>Contract Revenue</t>
  </si>
  <si>
    <t>Product Revenue</t>
  </si>
  <si>
    <t>Gross Profit (Loss)</t>
  </si>
  <si>
    <t>Total Stockholders' Equity</t>
  </si>
  <si>
    <t>Total Liabilities and Stockholders' Equity</t>
  </si>
  <si>
    <t>Total Current Liabilities</t>
  </si>
  <si>
    <t>1) "Other Gains, Losses, and Adjustments Consist of: Change in fair value of common stock warrant liabilities, Gain on PPP loan forgiveness, Employee retention credit, Loss on extinguishment of debt, and Transaction costs expensed.</t>
  </si>
  <si>
    <r>
      <t xml:space="preserve">Other Gains, Losses, and Adjustments </t>
    </r>
    <r>
      <rPr>
        <vertAlign val="superscript"/>
        <sz val="9"/>
        <rFont val="Calibri"/>
        <family val="2"/>
      </rPr>
      <t>(1)</t>
    </r>
  </si>
  <si>
    <r>
      <t xml:space="preserve">Other Current liabilities </t>
    </r>
    <r>
      <rPr>
        <vertAlign val="superscript"/>
        <sz val="9"/>
        <rFont val="Calibri"/>
        <family val="2"/>
      </rPr>
      <t>(1)</t>
    </r>
  </si>
  <si>
    <t>Revenue interest liability, current portion</t>
  </si>
  <si>
    <r>
      <t xml:space="preserve">Other Non-Current Liabilities </t>
    </r>
    <r>
      <rPr>
        <vertAlign val="superscript"/>
        <sz val="9"/>
        <rFont val="Calibri"/>
        <family val="2"/>
      </rPr>
      <t>(2)</t>
    </r>
  </si>
  <si>
    <r>
      <t xml:space="preserve">Other Gains, Losses, and Adjustments </t>
    </r>
    <r>
      <rPr>
        <vertAlign val="superscript"/>
        <sz val="9"/>
        <color theme="1"/>
        <rFont val="Calibri"/>
        <family val="2"/>
        <scheme val="minor"/>
      </rPr>
      <t>(1)</t>
    </r>
  </si>
  <si>
    <t>1) "Other Gains, Losses, and Adjustments Consist of: Change in fair value of common stock warrant liabilities, Loss on extinguishment of debt. Amortization of SVB debt discount, Accrued interest on PPP loan obligation, Gain on PPP loan forgiveness, and Payment of liabilities assumed in Merger.</t>
  </si>
  <si>
    <t>Accounts Receivable</t>
  </si>
  <si>
    <r>
      <t xml:space="preserve">Other Liabilities </t>
    </r>
    <r>
      <rPr>
        <vertAlign val="superscript"/>
        <sz val="9"/>
        <rFont val="Calibri"/>
        <family val="2"/>
      </rPr>
      <t>(2)</t>
    </r>
  </si>
  <si>
    <t>2) "Other Liabilities consists of: Accrued expenses, Operating lease obligation, and Deferred payroll taxes.</t>
  </si>
  <si>
    <t>Proceeds (Purchase) of short-term investments (CDs)</t>
  </si>
  <si>
    <t>(+/-) Net Equity Issuances / (Share Repurchases)</t>
  </si>
  <si>
    <t>3) "Net Equity Issuances / (Share Repurchases)" consists of: Proceeds from issuance of stock in public offering, net of underwriting fees, Proceeds from issuance of stock and warrants in registered direct offerings, net of placement agent fees, Proceeds from issuance of stock under ATM Facility, net of issuance costs, Payments of costs related to public offering, Proceeds from sale of common stock under Common Stock Purchase Agreement, and Proceeds from the exercise of stock options.</t>
  </si>
  <si>
    <r>
      <t xml:space="preserve">Net Equity Issuances / (Share Repurchases) </t>
    </r>
    <r>
      <rPr>
        <vertAlign val="superscript"/>
        <sz val="9"/>
        <color theme="1"/>
        <rFont val="Calibri"/>
        <family val="2"/>
        <scheme val="minor"/>
      </rPr>
      <t>(3)</t>
    </r>
  </si>
  <si>
    <r>
      <t xml:space="preserve">Net Issuance / (Repayment) of Debt </t>
    </r>
    <r>
      <rPr>
        <vertAlign val="superscript"/>
        <sz val="9"/>
        <color theme="1"/>
        <rFont val="Calibri"/>
        <family val="2"/>
        <scheme val="minor"/>
      </rPr>
      <t>(4)</t>
    </r>
  </si>
  <si>
    <r>
      <t xml:space="preserve">Net Divestitures / (Acquisitions) </t>
    </r>
    <r>
      <rPr>
        <vertAlign val="superscript"/>
        <sz val="9"/>
        <color theme="1"/>
        <rFont val="Calibri"/>
        <family val="2"/>
        <scheme val="minor"/>
      </rPr>
      <t>(5)</t>
    </r>
  </si>
  <si>
    <t>4) "Net Issuance / (Repayment) of Debt" consists of: Principal payments on SVB loan, Payments for debt prepayment and extinguishment costs, and Payments of finance lease principal.</t>
  </si>
  <si>
    <t>5) "Net Divestitures / (Acquisitions)" consists of: Payment of transaction costs related to Merger, and Proceeds from Merger and PIPE financing, net of offering costs paid.</t>
  </si>
  <si>
    <t>6) On May 12, 2023, the Company and Global entered into the Purchase Agreement with the Purchasers, and another affiliate of Oberland, as agent for the Purchasers, to obtain financing with respect to the further development and commercialization of the Company’s ATEV, to repay the Company’s then-existing credit facility with SVB, and for other general corporate purposes. Pursuant to the Purchase Agreement, on May 12, 2023, the Purchasers purchased certain revenue interests (the “Revenue Interests”) from Global in exchange for an aggregate investment amount of up to $150.0 million (the “Investment Amount”) to be paid in multiple tranches. On May 12, 2023, the Company received an initial payment of $40.0 million, less certain transaction expenses, which was used to repay in full the Company’s then-existing obligations under the former loan agreement with SVB. In February 2024, the FDA accepted the Company’s Biologics License Application (“BLA”) for an indication in vascular trauma, and in accordance with the Purchase Agreement, on March 11, 2024, the Company drew a subsequent installment of $20.0 million.</t>
  </si>
  <si>
    <r>
      <t xml:space="preserve">Proceeds / (Payments) with revenue interest purchase agreement </t>
    </r>
    <r>
      <rPr>
        <vertAlign val="superscript"/>
        <sz val="9"/>
        <rFont val="Calibri"/>
        <family val="2"/>
      </rPr>
      <t>(6)</t>
    </r>
  </si>
  <si>
    <r>
      <t xml:space="preserve">Proceeds from JDRF Agreement </t>
    </r>
    <r>
      <rPr>
        <vertAlign val="superscript"/>
        <sz val="9"/>
        <rFont val="Calibri"/>
        <family val="2"/>
      </rPr>
      <t>(7)</t>
    </r>
  </si>
  <si>
    <t>7) On April 1, 2023, the Company entered into an Industry Discovery and Development Partnership Agreement with Breakthrough T1D (f/k/a JDRF International) (“JDRF,” and such agreement, the “JDRF Agreement”) to further develop and perform preclinical testing of the BVP, a product candidate designed to deliver insulin-producing islets using the ATEV as a means of treating patients with type 1 diabetes. According to the terms of the JDRF Agreement, JDRF will provide funding up to $0.8 million (“JDRF Award”) based on the achievement of certain research and development milestones related to the Company’s BVP. The JDRF Agreement refers to the total cumulative payments the Company has received from JDRF as of any point in time as the “Actual Award.”</t>
  </si>
  <si>
    <t xml:space="preserve">SVB loan payable, current portion	</t>
  </si>
  <si>
    <t>SVB loan payable	, Non-Current</t>
  </si>
  <si>
    <t>1) "Other Current Liabilities" Consists of: Other Current Liabilities, Deferred payroll tax, and Operating lease obligation, current portion.</t>
  </si>
  <si>
    <t>2) "Other Non-Current Liabilities" Consists of: Other long-term liabilities, Operating lease obligation, net of current portion, Common stock warrant liabilities, and Contingent derivative liability.</t>
  </si>
  <si>
    <t>Y/Y Growth (%)</t>
  </si>
  <si>
    <t>Q/Q Growth (%)</t>
  </si>
  <si>
    <t>Gross Profit</t>
  </si>
  <si>
    <t>Gross Margin (%)</t>
  </si>
  <si>
    <t>Earning before Interest &amp; Taxes (EBIT)</t>
  </si>
  <si>
    <t>(+) Depreciation and Amortization</t>
  </si>
  <si>
    <t>EBITDA Margin (%)</t>
  </si>
  <si>
    <t>Adj. EBITDA</t>
  </si>
  <si>
    <t>Adj. EBITDA Margin (%)</t>
  </si>
  <si>
    <t>(-) Capital Expenditures</t>
  </si>
  <si>
    <t>(-) Cash Interest</t>
  </si>
  <si>
    <t>(-) Cash Taxes</t>
  </si>
  <si>
    <t>(-) Mandatory Amortization</t>
  </si>
  <si>
    <t>(+/-) Changes in NWC</t>
  </si>
  <si>
    <t>Discretionary Cash-Flows</t>
  </si>
  <si>
    <t>(+/-) Other Adjustments</t>
  </si>
  <si>
    <t>Free-Cash Flows</t>
  </si>
  <si>
    <t>Capitalization</t>
  </si>
  <si>
    <t>Cash &amp; Cash Equivelants</t>
  </si>
  <si>
    <t>Total Liquidity</t>
  </si>
  <si>
    <t>Balance Sheet Metrics:</t>
  </si>
  <si>
    <t>Accounts Payable</t>
  </si>
  <si>
    <t>Property Plant, and Equiptment</t>
  </si>
  <si>
    <t>Summary Debt (BS):</t>
  </si>
  <si>
    <t>CPLTD</t>
  </si>
  <si>
    <t>LTD</t>
  </si>
  <si>
    <t>Total Shareholder Equity</t>
  </si>
  <si>
    <t>Total Book Capitalization</t>
  </si>
  <si>
    <t>Ratio Analysis</t>
  </si>
  <si>
    <t>Debt-to-Book Capitalization</t>
  </si>
  <si>
    <t>(-) Cost of Goods Sold</t>
  </si>
  <si>
    <t>Cost of Goods Sold</t>
  </si>
  <si>
    <t>(-) Research and Development (R&amp;D)</t>
  </si>
  <si>
    <t>Research and Development (R&amp;D)</t>
  </si>
  <si>
    <t>(-) General and Administrative (G&amp;A)</t>
  </si>
  <si>
    <t>General and Administrative (G&amp;A)</t>
  </si>
  <si>
    <t>(+/-) Change in Fair Value of Derivative Liabilities</t>
  </si>
  <si>
    <t>(+/-) Change in Fair Value of Contingent Earnout Liability</t>
  </si>
  <si>
    <t>(+) Share-based Compensation (SBC)</t>
  </si>
  <si>
    <t>(+/-) Net Issuance / (Repayment) of Debt</t>
  </si>
  <si>
    <t>(+/-) Net Divestitures / (Acquisitions)</t>
  </si>
  <si>
    <t>(+/-) Proceeds / (Payments) with Revenue Interest Purchase Agreement</t>
  </si>
  <si>
    <t>(+/-) Proceeds from JDRF Agreement</t>
  </si>
  <si>
    <t>Short-Term Investments</t>
  </si>
  <si>
    <t>Revenue interest liability, Non-Current</t>
  </si>
  <si>
    <t>Contingent Earnout Liability, Non-Current</t>
  </si>
  <si>
    <t>Revenue interest liability, Current</t>
  </si>
  <si>
    <t>Finance Lease Obligations</t>
  </si>
  <si>
    <t>Revenue Interest Liability</t>
  </si>
  <si>
    <t>SVB loan Payable</t>
  </si>
  <si>
    <t>LTM Total Leverage</t>
  </si>
  <si>
    <t xml:space="preserve">LTM Interest Coverage </t>
  </si>
  <si>
    <t>LTM Debt Service Coverage</t>
  </si>
  <si>
    <t>LTM Fixed Charge Coverage</t>
  </si>
  <si>
    <t xml:space="preserve">LTM Net Debt </t>
  </si>
  <si>
    <t>Cash Per Share</t>
  </si>
  <si>
    <t>Total Liquidity (Exclusive of ST Investments)</t>
  </si>
  <si>
    <t>Cash Per Shares Outstanding, Diluted</t>
  </si>
  <si>
    <t>Weighted-average shares outstanding, Diluted</t>
  </si>
  <si>
    <t>Cash Burn Rate</t>
  </si>
  <si>
    <t>CFO</t>
  </si>
  <si>
    <t>Capex</t>
  </si>
  <si>
    <t>Total Cash Burn Rate</t>
  </si>
  <si>
    <t>Cash Runway</t>
  </si>
  <si>
    <t>Monthly Cash Burn Rate</t>
  </si>
  <si>
    <t>Weighted-average shares outstanding, diluted</t>
  </si>
  <si>
    <t>Earnings (Net Loss) Per Share</t>
  </si>
  <si>
    <t>Cash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</si>
</sst>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7" formatCode="&quot;$&quot;#,##0.00_);\(&quot;$&quot;#,##0.00\)"/>
    <numFmt numFmtId="41" formatCode="_(* #,##0_);_(* \(#,##0\);_(* &quot;-&quot;_);_(@_)"/>
    <numFmt numFmtId="43" formatCode="_(* #,##0.00_);_(* \(#,##0.00\);_(* &quot;-&quot;??_);_(@_)"/>
    <numFmt numFmtId="164" formatCode="_(&quot;$ &quot;#,##0_);_(&quot;$ &quot;\(#,##0\)"/>
    <numFmt numFmtId="165" formatCode="&quot;$&quot;#,##0"/>
    <numFmt numFmtId="166" formatCode="_(* #,##0_);_(* \(#,##0\);_(* &quot;-&quot;??_);_(@_)"/>
    <numFmt numFmtId="168" formatCode="#,##0.0%;\(#,##0.0%\)"/>
    <numFmt numFmtId="173" formatCode="#,##0.0&quot;bps&quot;_);\(#,##0.0&quot;bps&quot;\)"/>
    <numFmt numFmtId="175" formatCode="_(* #,##0.00&quot;x&quot;_);_(* \(#,##0.00&quot;x&quot;\);_(* &quot;-&quot;_);_(@_)"/>
    <numFmt numFmtId="178" formatCode="#,##0\ &quot;Months&quot;"/>
  </numFmts>
  <fonts count="3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9"/>
      <color theme="1"/>
      <name val="Calibri"/>
      <family val="2"/>
      <scheme val="minor"/>
    </font>
    <font>
      <sz val="9"/>
      <color theme="1"/>
      <name val="Calibri"/>
      <family val="2"/>
      <scheme val="minor"/>
    </font>
    <font>
      <b/>
      <sz val="9"/>
      <color theme="0"/>
      <name val="Calibri"/>
      <family val="2"/>
    </font>
    <font>
      <i/>
      <sz val="9"/>
      <color theme="0"/>
      <name val="Calibri"/>
      <family val="2"/>
    </font>
    <font>
      <b/>
      <sz val="9"/>
      <color theme="0"/>
      <name val="Calibri"/>
      <family val="2"/>
      <scheme val="minor"/>
    </font>
    <font>
      <i/>
      <sz val="9"/>
      <color theme="0"/>
      <name val="Calibri"/>
      <family val="2"/>
      <scheme val="minor"/>
    </font>
    <font>
      <b/>
      <sz val="9"/>
      <color theme="1"/>
      <name val="Calibri"/>
      <family val="2"/>
      <scheme val="minor"/>
    </font>
    <font>
      <b/>
      <sz val="9"/>
      <name val="Calibri"/>
      <family val="2"/>
      <scheme val="minor"/>
    </font>
    <font>
      <sz val="9"/>
      <color rgb="FF0000CC"/>
      <name val="Calibri"/>
      <family val="2"/>
      <scheme val="minor"/>
    </font>
    <font>
      <sz val="9"/>
      <name val="Calibri"/>
      <family val="2"/>
      <scheme val="minor"/>
    </font>
    <font>
      <i/>
      <sz val="9"/>
      <name val="Calibri"/>
      <family val="2"/>
      <scheme val="minor"/>
    </font>
    <font>
      <sz val="9"/>
      <color rgb="FF0000E1"/>
      <name val="Calibri"/>
      <family val="2"/>
      <scheme val="minor"/>
    </font>
    <font>
      <b/>
      <sz val="9"/>
      <color rgb="FF0000CC"/>
      <name val="Calibri"/>
      <family val="2"/>
      <scheme val="minor"/>
    </font>
    <font>
      <b/>
      <sz val="9"/>
      <color indexed="8"/>
      <name val="Calibri"/>
      <family val="2"/>
      <scheme val="minor"/>
    </font>
    <font>
      <sz val="9"/>
      <color indexed="8"/>
      <name val="Calibri"/>
      <family val="2"/>
      <scheme val="minor"/>
    </font>
    <font>
      <b/>
      <i/>
      <sz val="9"/>
      <color theme="0"/>
      <name val="Calibri"/>
      <family val="2"/>
    </font>
    <font>
      <sz val="9"/>
      <color theme="1"/>
      <name val="Calibri"/>
      <family val="2"/>
    </font>
    <font>
      <b/>
      <sz val="9"/>
      <name val="Calibri"/>
      <family val="2"/>
    </font>
    <font>
      <sz val="9"/>
      <name val="Calibri"/>
      <family val="2"/>
    </font>
    <font>
      <i/>
      <sz val="8"/>
      <name val="Calibri"/>
      <family val="2"/>
    </font>
    <font>
      <sz val="9"/>
      <color rgb="FFFF0000"/>
      <name val="Calibri"/>
      <family val="2"/>
      <scheme val="minor"/>
    </font>
    <font>
      <sz val="8"/>
      <color rgb="FF000000"/>
      <name val="Times New Roman"/>
      <family val="1"/>
    </font>
    <font>
      <i/>
      <sz val="9"/>
      <name val="Calibri"/>
      <family val="2"/>
    </font>
    <font>
      <b/>
      <i/>
      <sz val="9"/>
      <name val="Calibri"/>
      <family val="2"/>
    </font>
    <font>
      <vertAlign val="superscript"/>
      <sz val="9"/>
      <name val="Calibri"/>
      <family val="2"/>
    </font>
    <font>
      <sz val="9"/>
      <color indexed="81"/>
      <name val="Tahoma"/>
      <family val="2"/>
    </font>
    <font>
      <vertAlign val="superscript"/>
      <sz val="9"/>
      <color theme="1"/>
      <name val="Calibri"/>
      <family val="2"/>
      <scheme val="minor"/>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s>
  <fills count="5">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lightGray"/>
    </fill>
  </fills>
  <borders count="16">
    <border>
      <left/>
      <right/>
      <top/>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thin">
        <color theme="0"/>
      </bottom>
      <diagonal/>
    </border>
    <border>
      <left/>
      <right/>
      <top style="thin">
        <color theme="0"/>
      </top>
      <bottom/>
      <diagonal/>
    </border>
    <border>
      <left/>
      <right/>
      <top style="medium">
        <color indexed="64"/>
      </top>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65">
    <xf numFmtId="0" fontId="0" fillId="0" borderId="0" xfId="0"/>
    <xf numFmtId="10" fontId="5" fillId="0" borderId="0" xfId="2" applyNumberFormat="1" applyFont="1" applyFill="1" applyAlignment="1">
      <alignment horizontal="center" wrapText="1"/>
    </xf>
    <xf numFmtId="0" fontId="2" fillId="2" borderId="3" xfId="0" applyFont="1" applyFill="1" applyBorder="1"/>
    <xf numFmtId="0" fontId="2" fillId="2" borderId="4" xfId="0" applyFont="1" applyFill="1" applyBorder="1"/>
    <xf numFmtId="0" fontId="0" fillId="0" borderId="5" xfId="0" applyBorder="1"/>
    <xf numFmtId="0" fontId="0" fillId="0" borderId="6" xfId="0" applyBorder="1"/>
    <xf numFmtId="0" fontId="2" fillId="2" borderId="7" xfId="0" applyFont="1" applyFill="1" applyBorder="1"/>
    <xf numFmtId="0" fontId="4" fillId="2" borderId="8" xfId="0" applyFont="1" applyFill="1" applyBorder="1"/>
    <xf numFmtId="0" fontId="4" fillId="2" borderId="9" xfId="0" applyFont="1" applyFill="1" applyBorder="1"/>
    <xf numFmtId="0" fontId="3" fillId="0" borderId="7" xfId="0" applyFont="1" applyBorder="1"/>
    <xf numFmtId="0" fontId="0" fillId="0" borderId="11" xfId="0" applyBorder="1"/>
    <xf numFmtId="0" fontId="0" fillId="0" borderId="1" xfId="0" applyBorder="1"/>
    <xf numFmtId="0" fontId="3" fillId="0" borderId="0" xfId="0" applyFont="1"/>
    <xf numFmtId="0" fontId="3" fillId="0" borderId="10" xfId="0" applyFont="1" applyBorder="1"/>
    <xf numFmtId="0" fontId="3" fillId="0" borderId="11" xfId="0" applyFont="1" applyBorder="1"/>
    <xf numFmtId="0" fontId="0" fillId="0" borderId="10" xfId="0" applyBorder="1" applyAlignment="1">
      <alignment horizontal="left" indent="1"/>
    </xf>
    <xf numFmtId="0" fontId="0" fillId="0" borderId="5" xfId="0" applyBorder="1" applyAlignment="1">
      <alignment horizontal="left" inden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0" fillId="0" borderId="0" xfId="0" applyAlignment="1">
      <alignment horizontal="center"/>
    </xf>
    <xf numFmtId="0" fontId="7" fillId="2" borderId="0" xfId="0" applyFont="1" applyFill="1" applyAlignment="1">
      <alignment vertical="center" wrapText="1"/>
    </xf>
    <xf numFmtId="0" fontId="8" fillId="2" borderId="0" xfId="0" applyFont="1" applyFill="1" applyAlignment="1">
      <alignment vertical="center" wrapText="1"/>
    </xf>
    <xf numFmtId="0" fontId="9" fillId="2" borderId="0" xfId="0" applyFont="1" applyFill="1" applyAlignment="1">
      <alignment vertical="center" wrapText="1"/>
    </xf>
    <xf numFmtId="0" fontId="10" fillId="2" borderId="0" xfId="0" applyFont="1" applyFill="1" applyAlignment="1">
      <alignment vertical="center" wrapText="1"/>
    </xf>
    <xf numFmtId="0" fontId="6" fillId="0" borderId="0" xfId="0" applyFont="1" applyAlignment="1">
      <alignment wrapText="1"/>
    </xf>
    <xf numFmtId="0" fontId="9" fillId="2" borderId="0" xfId="0" applyFont="1" applyFill="1" applyAlignment="1">
      <alignment wrapText="1"/>
    </xf>
    <xf numFmtId="0" fontId="6" fillId="2" borderId="0" xfId="0" applyFont="1" applyFill="1" applyAlignment="1">
      <alignment wrapText="1"/>
    </xf>
    <xf numFmtId="0" fontId="10" fillId="0" borderId="0" xfId="0" applyFont="1" applyAlignment="1">
      <alignment wrapText="1"/>
    </xf>
    <xf numFmtId="0" fontId="9" fillId="2" borderId="0" xfId="0" applyFont="1" applyFill="1" applyAlignment="1">
      <alignment horizontal="center" wrapText="1"/>
    </xf>
    <xf numFmtId="37" fontId="13" fillId="0" borderId="0" xfId="0" applyNumberFormat="1" applyFont="1" applyAlignment="1">
      <alignment horizontal="right" vertical="center"/>
    </xf>
    <xf numFmtId="37" fontId="6" fillId="0" borderId="0" xfId="0" applyNumberFormat="1" applyFont="1" applyAlignment="1">
      <alignment vertical="center"/>
    </xf>
    <xf numFmtId="37" fontId="14" fillId="0" borderId="0" xfId="0" applyNumberFormat="1" applyFont="1" applyAlignment="1">
      <alignment horizontal="right" vertical="center"/>
    </xf>
    <xf numFmtId="37" fontId="6" fillId="0" borderId="0" xfId="0" applyNumberFormat="1" applyFont="1" applyAlignment="1">
      <alignment wrapText="1"/>
    </xf>
    <xf numFmtId="164" fontId="6" fillId="0" borderId="0" xfId="0" applyNumberFormat="1" applyFont="1" applyAlignment="1">
      <alignment wrapText="1"/>
    </xf>
    <xf numFmtId="164" fontId="11" fillId="0" borderId="0" xfId="0" applyNumberFormat="1" applyFont="1" applyAlignment="1">
      <alignment wrapText="1"/>
    </xf>
    <xf numFmtId="0" fontId="15" fillId="0" borderId="0" xfId="0" applyFont="1" applyAlignment="1">
      <alignment horizontal="right" vertical="center" wrapText="1"/>
    </xf>
    <xf numFmtId="165" fontId="12" fillId="0" borderId="0" xfId="0" applyNumberFormat="1" applyFont="1" applyAlignment="1">
      <alignment horizontal="right" vertical="center"/>
    </xf>
    <xf numFmtId="9" fontId="14" fillId="0" borderId="0" xfId="2" applyFont="1" applyBorder="1" applyAlignment="1">
      <alignment horizontal="right" vertical="center"/>
    </xf>
    <xf numFmtId="0" fontId="6" fillId="0" borderId="0" xfId="0" applyFont="1" applyAlignment="1">
      <alignment vertical="center"/>
    </xf>
    <xf numFmtId="9" fontId="14" fillId="0" borderId="0" xfId="2" applyFont="1" applyBorder="1" applyAlignment="1">
      <alignment horizontal="right" vertical="center" wrapText="1"/>
    </xf>
    <xf numFmtId="0" fontId="12" fillId="0" borderId="0" xfId="0" applyFont="1" applyAlignment="1">
      <alignment vertical="top" wrapText="1"/>
    </xf>
    <xf numFmtId="37" fontId="13" fillId="0" borderId="0" xfId="0" applyNumberFormat="1" applyFont="1" applyAlignment="1">
      <alignment horizontal="right" vertical="top" wrapText="1"/>
    </xf>
    <xf numFmtId="37" fontId="14" fillId="0" borderId="0" xfId="0" applyNumberFormat="1" applyFont="1" applyAlignment="1">
      <alignment horizontal="right" vertical="top" wrapText="1"/>
    </xf>
    <xf numFmtId="37" fontId="6" fillId="0" borderId="0" xfId="0" applyNumberFormat="1" applyFont="1"/>
    <xf numFmtId="0" fontId="6" fillId="0" borderId="0" xfId="0" applyFont="1"/>
    <xf numFmtId="0" fontId="15" fillId="0" borderId="0" xfId="0" applyFont="1" applyAlignment="1">
      <alignment horizontal="right" vertical="center"/>
    </xf>
    <xf numFmtId="39" fontId="14" fillId="0" borderId="0" xfId="0" applyNumberFormat="1" applyFont="1" applyAlignment="1">
      <alignment horizontal="right" vertical="center"/>
    </xf>
    <xf numFmtId="9" fontId="14" fillId="0" borderId="0" xfId="2" applyFont="1" applyFill="1" applyBorder="1" applyAlignment="1">
      <alignment horizontal="right" vertical="center" wrapText="1"/>
    </xf>
    <xf numFmtId="0" fontId="9" fillId="2" borderId="0" xfId="0" applyFont="1" applyFill="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12" fillId="0" borderId="2" xfId="0" applyFont="1" applyBorder="1" applyAlignment="1">
      <alignment vertical="top" wrapText="1"/>
    </xf>
    <xf numFmtId="37" fontId="11" fillId="0" borderId="0" xfId="0" applyNumberFormat="1" applyFont="1" applyAlignment="1">
      <alignment vertical="center"/>
    </xf>
    <xf numFmtId="37" fontId="12" fillId="0" borderId="0" xfId="0" applyNumberFormat="1" applyFont="1" applyAlignment="1">
      <alignment horizontal="right" vertical="center"/>
    </xf>
    <xf numFmtId="37" fontId="12" fillId="0" borderId="0" xfId="0" applyNumberFormat="1" applyFont="1" applyAlignment="1">
      <alignment vertical="center"/>
    </xf>
    <xf numFmtId="0" fontId="11" fillId="0" borderId="0" xfId="0" applyFont="1" applyAlignment="1">
      <alignment wrapText="1"/>
    </xf>
    <xf numFmtId="37" fontId="17" fillId="0" borderId="0" xfId="0" applyNumberFormat="1" applyFont="1" applyAlignment="1">
      <alignment horizontal="right" vertical="center"/>
    </xf>
    <xf numFmtId="37" fontId="17" fillId="0" borderId="0" xfId="0" applyNumberFormat="1" applyFont="1" applyAlignment="1">
      <alignment horizontal="right" vertical="top" wrapText="1"/>
    </xf>
    <xf numFmtId="164" fontId="11" fillId="0" borderId="0" xfId="0" applyNumberFormat="1" applyFont="1" applyAlignment="1">
      <alignment vertical="center"/>
    </xf>
    <xf numFmtId="37" fontId="13" fillId="0" borderId="0" xfId="0" applyNumberFormat="1" applyFont="1" applyAlignment="1">
      <alignment vertical="center"/>
    </xf>
    <xf numFmtId="0" fontId="14" fillId="0" borderId="0" xfId="0" applyFont="1" applyAlignment="1">
      <alignment vertical="top" wrapText="1"/>
    </xf>
    <xf numFmtId="37" fontId="16" fillId="0" borderId="0" xfId="0" applyNumberFormat="1" applyFont="1" applyAlignment="1">
      <alignment wrapText="1"/>
    </xf>
    <xf numFmtId="0" fontId="16" fillId="0" borderId="0" xfId="0" applyFont="1" applyAlignment="1">
      <alignment wrapText="1"/>
    </xf>
    <xf numFmtId="37" fontId="14" fillId="0" borderId="0" xfId="0" applyNumberFormat="1" applyFont="1" applyAlignment="1">
      <alignment wrapText="1"/>
    </xf>
    <xf numFmtId="0" fontId="11" fillId="0" borderId="0" xfId="0" applyFont="1"/>
    <xf numFmtId="166" fontId="6" fillId="0" borderId="0" xfId="1" applyNumberFormat="1" applyFont="1" applyBorder="1" applyAlignment="1">
      <alignment wrapText="1"/>
    </xf>
    <xf numFmtId="37" fontId="13" fillId="0" borderId="0" xfId="1" applyNumberFormat="1" applyFont="1" applyBorder="1" applyAlignment="1">
      <alignment vertical="center"/>
    </xf>
    <xf numFmtId="37" fontId="13" fillId="0" borderId="0" xfId="1" applyNumberFormat="1" applyFont="1" applyFill="1" applyBorder="1" applyAlignment="1">
      <alignment wrapText="1"/>
    </xf>
    <xf numFmtId="37" fontId="12" fillId="0" borderId="0" xfId="1" applyNumberFormat="1" applyFont="1" applyBorder="1" applyAlignment="1">
      <alignment wrapText="1"/>
    </xf>
    <xf numFmtId="37" fontId="13" fillId="0" borderId="0" xfId="1" applyNumberFormat="1" applyFont="1" applyBorder="1" applyAlignment="1">
      <alignment wrapText="1"/>
    </xf>
    <xf numFmtId="37" fontId="14" fillId="0" borderId="0" xfId="1" applyNumberFormat="1" applyFont="1" applyBorder="1" applyAlignment="1">
      <alignment wrapText="1"/>
    </xf>
    <xf numFmtId="0" fontId="12" fillId="0" borderId="0" xfId="0" applyFont="1"/>
    <xf numFmtId="37" fontId="11" fillId="0" borderId="0" xfId="1" applyNumberFormat="1" applyFont="1" applyBorder="1" applyAlignment="1">
      <alignment wrapText="1"/>
    </xf>
    <xf numFmtId="37" fontId="11" fillId="0" borderId="0" xfId="1" applyNumberFormat="1" applyFont="1" applyFill="1" applyBorder="1" applyAlignment="1">
      <alignment wrapText="1"/>
    </xf>
    <xf numFmtId="37" fontId="16" fillId="0" borderId="0" xfId="1" applyNumberFormat="1" applyFont="1" applyBorder="1" applyAlignment="1">
      <alignment wrapText="1"/>
    </xf>
    <xf numFmtId="37" fontId="14" fillId="0" borderId="0" xfId="1" applyNumberFormat="1" applyFont="1" applyBorder="1" applyAlignment="1"/>
    <xf numFmtId="37" fontId="16" fillId="0" borderId="0" xfId="1" applyNumberFormat="1" applyFont="1" applyFill="1" applyBorder="1" applyAlignment="1">
      <alignment wrapText="1"/>
    </xf>
    <xf numFmtId="0" fontId="18" fillId="0" borderId="0" xfId="0" applyFont="1"/>
    <xf numFmtId="37" fontId="14" fillId="0" borderId="0" xfId="1" applyNumberFormat="1" applyFont="1" applyFill="1" applyBorder="1" applyAlignment="1">
      <alignment wrapText="1"/>
    </xf>
    <xf numFmtId="0" fontId="19" fillId="0" borderId="0" xfId="0" applyFont="1" applyAlignment="1">
      <alignment horizontal="left" indent="1"/>
    </xf>
    <xf numFmtId="0" fontId="19" fillId="0" borderId="0" xfId="0" applyFont="1"/>
    <xf numFmtId="0" fontId="7" fillId="2" borderId="12" xfId="0" applyFont="1" applyFill="1" applyBorder="1" applyAlignment="1">
      <alignment horizontal="centerContinuous" vertical="center" wrapText="1"/>
    </xf>
    <xf numFmtId="0" fontId="20" fillId="2" borderId="0" xfId="0" applyFont="1" applyFill="1" applyAlignment="1">
      <alignment horizontal="center" vertical="center" wrapText="1"/>
    </xf>
    <xf numFmtId="14" fontId="8" fillId="2" borderId="0" xfId="0" applyNumberFormat="1" applyFont="1" applyFill="1" applyAlignment="1">
      <alignment horizontal="center" vertical="center" wrapText="1"/>
    </xf>
    <xf numFmtId="0" fontId="7" fillId="2" borderId="0" xfId="0" applyFont="1" applyFill="1" applyAlignment="1">
      <alignment horizontal="center" vertical="center" wrapText="1"/>
    </xf>
    <xf numFmtId="0" fontId="21" fillId="0" borderId="0" xfId="0" applyFont="1" applyAlignment="1">
      <alignment wrapText="1"/>
    </xf>
    <xf numFmtId="0" fontId="7" fillId="2" borderId="0" xfId="0" applyFont="1" applyFill="1" applyAlignment="1">
      <alignment wrapText="1"/>
    </xf>
    <xf numFmtId="0" fontId="23" fillId="0" borderId="0" xfId="0" applyFont="1" applyAlignment="1">
      <alignment vertical="top" wrapText="1"/>
    </xf>
    <xf numFmtId="41" fontId="23" fillId="0" borderId="0" xfId="0" applyNumberFormat="1" applyFont="1" applyAlignment="1">
      <alignment horizontal="right" vertical="top" wrapText="1"/>
    </xf>
    <xf numFmtId="5" fontId="12" fillId="0" borderId="2" xfId="0" applyNumberFormat="1" applyFont="1" applyBorder="1" applyAlignment="1">
      <alignment horizontal="right" vertical="center"/>
    </xf>
    <xf numFmtId="0" fontId="23" fillId="0" borderId="0" xfId="0" applyFont="1" applyAlignment="1">
      <alignment vertical="top"/>
    </xf>
    <xf numFmtId="0" fontId="24" fillId="0" borderId="0" xfId="0" applyFont="1" applyAlignment="1">
      <alignment horizontal="left" vertical="center" wrapText="1" indent="1"/>
    </xf>
    <xf numFmtId="168" fontId="24" fillId="0" borderId="0" xfId="2" applyNumberFormat="1" applyFont="1" applyBorder="1" applyAlignment="1">
      <alignment horizontal="right" vertical="center" wrapText="1"/>
    </xf>
    <xf numFmtId="0" fontId="6" fillId="0" borderId="0" xfId="0" applyFont="1" applyFill="1" applyAlignment="1">
      <alignment wrapText="1"/>
    </xf>
    <xf numFmtId="0" fontId="25" fillId="0" borderId="0" xfId="0" applyFont="1" applyAlignment="1">
      <alignment vertical="top" wrapText="1"/>
    </xf>
    <xf numFmtId="43" fontId="25" fillId="0" borderId="0" xfId="0" applyNumberFormat="1" applyFont="1" applyAlignment="1">
      <alignment wrapText="1"/>
    </xf>
    <xf numFmtId="41" fontId="23" fillId="0" borderId="0" xfId="0" applyNumberFormat="1" applyFont="1" applyFill="1" applyAlignment="1">
      <alignment horizontal="right" vertical="top" wrapText="1"/>
    </xf>
    <xf numFmtId="5" fontId="11" fillId="0" borderId="2" xfId="0" applyNumberFormat="1" applyFont="1" applyBorder="1" applyAlignment="1">
      <alignment vertical="center"/>
    </xf>
    <xf numFmtId="5" fontId="11" fillId="0" borderId="0" xfId="0" applyNumberFormat="1" applyFont="1" applyBorder="1" applyAlignment="1">
      <alignment vertical="center"/>
    </xf>
    <xf numFmtId="0" fontId="11" fillId="0" borderId="0" xfId="0" applyFont="1" applyAlignment="1"/>
    <xf numFmtId="5" fontId="6" fillId="0" borderId="0" xfId="0" applyNumberFormat="1" applyFont="1" applyAlignment="1">
      <alignment wrapText="1"/>
    </xf>
    <xf numFmtId="0" fontId="7" fillId="2" borderId="0" xfId="0" applyFont="1" applyFill="1" applyAlignment="1">
      <alignment horizontal="center" vertical="center" wrapText="1"/>
    </xf>
    <xf numFmtId="3" fontId="26" fillId="0" borderId="0" xfId="0" applyNumberFormat="1" applyFont="1"/>
    <xf numFmtId="165" fontId="12" fillId="0" borderId="0" xfId="0" applyNumberFormat="1" applyFont="1" applyBorder="1" applyAlignment="1">
      <alignment vertical="center"/>
    </xf>
    <xf numFmtId="0" fontId="12" fillId="3" borderId="0" xfId="0" applyFont="1" applyFill="1" applyBorder="1" applyAlignment="1">
      <alignment vertical="top"/>
    </xf>
    <xf numFmtId="0" fontId="22" fillId="3" borderId="13" xfId="0" applyFont="1" applyFill="1" applyBorder="1" applyAlignment="1">
      <alignment vertical="top" wrapText="1"/>
    </xf>
    <xf numFmtId="5" fontId="22" fillId="3" borderId="2" xfId="0" applyNumberFormat="1" applyFont="1" applyFill="1" applyBorder="1" applyAlignment="1">
      <alignment horizontal="right" vertical="top" wrapText="1"/>
    </xf>
    <xf numFmtId="0" fontId="6" fillId="3" borderId="0" xfId="0" applyFont="1" applyFill="1" applyAlignment="1">
      <alignment wrapText="1"/>
    </xf>
    <xf numFmtId="168" fontId="27" fillId="3" borderId="0" xfId="2" applyNumberFormat="1" applyFont="1" applyFill="1" applyBorder="1" applyAlignment="1">
      <alignment horizontal="right" vertical="center" wrapText="1"/>
    </xf>
    <xf numFmtId="168" fontId="28" fillId="3" borderId="0" xfId="2" applyNumberFormat="1" applyFont="1" applyFill="1" applyBorder="1" applyAlignment="1">
      <alignment horizontal="right" vertical="center" wrapText="1"/>
    </xf>
    <xf numFmtId="0" fontId="15" fillId="0" borderId="1" xfId="0" applyFont="1" applyBorder="1" applyAlignment="1">
      <alignment horizontal="right" vertical="center"/>
    </xf>
    <xf numFmtId="39" fontId="14" fillId="0" borderId="1" xfId="0" applyNumberFormat="1" applyFont="1" applyBorder="1" applyAlignment="1">
      <alignment horizontal="right" vertical="center"/>
    </xf>
    <xf numFmtId="168" fontId="24" fillId="0" borderId="1" xfId="2" applyNumberFormat="1" applyFont="1" applyBorder="1" applyAlignment="1">
      <alignment horizontal="right" vertical="center" wrapText="1"/>
    </xf>
    <xf numFmtId="9" fontId="14" fillId="0" borderId="1" xfId="2" applyFont="1" applyBorder="1" applyAlignment="1">
      <alignment horizontal="right" vertical="center"/>
    </xf>
    <xf numFmtId="0" fontId="6" fillId="0" borderId="1" xfId="0" applyFont="1" applyBorder="1"/>
    <xf numFmtId="10" fontId="5" fillId="0" borderId="0" xfId="2" applyNumberFormat="1" applyFont="1" applyFill="1" applyBorder="1" applyAlignment="1">
      <alignment horizontal="center" wrapText="1"/>
    </xf>
    <xf numFmtId="0" fontId="23" fillId="0" borderId="0" xfId="0" applyFont="1" applyAlignment="1">
      <alignment vertical="center" wrapText="1"/>
    </xf>
    <xf numFmtId="0" fontId="23" fillId="0" borderId="0" xfId="0" applyFont="1" applyAlignment="1">
      <alignment vertical="center"/>
    </xf>
    <xf numFmtId="41" fontId="23" fillId="0" borderId="0" xfId="0" applyNumberFormat="1" applyFont="1" applyFill="1" applyAlignment="1">
      <alignment horizontal="right" vertical="center" wrapText="1"/>
    </xf>
    <xf numFmtId="41" fontId="23" fillId="0" borderId="0" xfId="0" applyNumberFormat="1" applyFont="1" applyAlignment="1">
      <alignment horizontal="right" vertical="center" wrapText="1"/>
    </xf>
    <xf numFmtId="0" fontId="25" fillId="0" borderId="1" xfId="0" applyFont="1" applyBorder="1" applyAlignment="1">
      <alignment vertical="top" wrapText="1"/>
    </xf>
    <xf numFmtId="43" fontId="25" fillId="0" borderId="1" xfId="0" applyNumberFormat="1" applyFont="1" applyBorder="1" applyAlignment="1">
      <alignment wrapText="1"/>
    </xf>
    <xf numFmtId="0" fontId="16" fillId="0" borderId="1" xfId="0" applyFont="1" applyBorder="1" applyAlignment="1">
      <alignment wrapText="1"/>
    </xf>
    <xf numFmtId="0" fontId="6" fillId="0" borderId="1" xfId="0" applyFont="1" applyBorder="1" applyAlignment="1">
      <alignment wrapText="1"/>
    </xf>
    <xf numFmtId="0" fontId="15" fillId="0" borderId="0" xfId="0" applyFont="1" applyBorder="1" applyAlignment="1">
      <alignment horizontal="left"/>
    </xf>
    <xf numFmtId="0" fontId="23" fillId="0" borderId="0" xfId="0" applyFont="1" applyAlignment="1">
      <alignment wrapText="1"/>
    </xf>
    <xf numFmtId="0" fontId="21" fillId="0" borderId="0" xfId="0" quotePrefix="1" applyFont="1"/>
    <xf numFmtId="0" fontId="15" fillId="0" borderId="0" xfId="0" applyFont="1" applyBorder="1" applyAlignment="1">
      <alignment horizontal="left" wrapText="1"/>
    </xf>
    <xf numFmtId="0" fontId="15" fillId="0" borderId="14" xfId="0" applyFont="1" applyBorder="1" applyAlignment="1">
      <alignment horizontal="left" wrapText="1"/>
    </xf>
    <xf numFmtId="0" fontId="14" fillId="0" borderId="0" xfId="0" applyFont="1"/>
    <xf numFmtId="37" fontId="14" fillId="0" borderId="0" xfId="0" applyNumberFormat="1" applyFont="1"/>
    <xf numFmtId="0" fontId="14" fillId="0" borderId="0" xfId="0" applyFont="1" applyAlignment="1">
      <alignment wrapText="1"/>
    </xf>
    <xf numFmtId="37" fontId="14" fillId="0" borderId="0" xfId="0" applyNumberFormat="1" applyFont="1" applyFill="1" applyAlignment="1">
      <alignment wrapText="1"/>
    </xf>
    <xf numFmtId="0" fontId="21" fillId="0" borderId="0" xfId="0" applyFont="1"/>
    <xf numFmtId="37" fontId="21" fillId="0" borderId="0" xfId="0" applyNumberFormat="1" applyFont="1" applyAlignment="1">
      <alignment wrapText="1"/>
    </xf>
    <xf numFmtId="5" fontId="22" fillId="4" borderId="0" xfId="0" applyNumberFormat="1" applyFont="1" applyFill="1" applyAlignment="1">
      <alignment horizontal="right" vertical="top" wrapText="1"/>
    </xf>
    <xf numFmtId="9" fontId="23" fillId="0" borderId="0" xfId="2" applyFont="1" applyAlignment="1">
      <alignment horizontal="left" vertical="top" wrapText="1" indent="1"/>
    </xf>
    <xf numFmtId="9" fontId="32" fillId="0" borderId="0" xfId="2" applyFont="1" applyAlignment="1">
      <alignment horizontal="right" vertical="top" wrapText="1"/>
    </xf>
    <xf numFmtId="9" fontId="21" fillId="0" borderId="0" xfId="2" applyFont="1" applyAlignment="1">
      <alignment wrapText="1"/>
    </xf>
    <xf numFmtId="9" fontId="33" fillId="0" borderId="0" xfId="2" applyFont="1" applyAlignment="1">
      <alignment horizontal="right" vertical="top" wrapText="1"/>
    </xf>
    <xf numFmtId="9" fontId="21" fillId="0" borderId="0" xfId="2" applyFont="1"/>
    <xf numFmtId="0" fontId="23" fillId="0" borderId="0" xfId="0" quotePrefix="1" applyFont="1" applyAlignment="1">
      <alignment vertical="top" wrapText="1"/>
    </xf>
    <xf numFmtId="0" fontId="22" fillId="0" borderId="0" xfId="0" applyFont="1" applyAlignment="1">
      <alignment vertical="top" wrapText="1"/>
    </xf>
    <xf numFmtId="5" fontId="22" fillId="0" borderId="2" xfId="0" applyNumberFormat="1" applyFont="1" applyBorder="1" applyAlignment="1">
      <alignment horizontal="right" vertical="top" wrapText="1"/>
    </xf>
    <xf numFmtId="9" fontId="34" fillId="0" borderId="0" xfId="2" applyFont="1" applyBorder="1" applyAlignment="1">
      <alignment horizontal="right" vertical="center" wrapText="1"/>
    </xf>
    <xf numFmtId="0" fontId="35" fillId="0" borderId="0" xfId="0" applyFont="1" applyAlignment="1">
      <alignment wrapText="1"/>
    </xf>
    <xf numFmtId="0" fontId="27" fillId="0" borderId="0" xfId="0" applyFont="1" applyAlignment="1">
      <alignment horizontal="left" vertical="center" wrapText="1" indent="1"/>
    </xf>
    <xf numFmtId="9" fontId="23" fillId="0" borderId="0" xfId="2" applyFont="1" applyBorder="1" applyAlignment="1">
      <alignment horizontal="right" vertical="center" wrapText="1"/>
    </xf>
    <xf numFmtId="0" fontId="36" fillId="0" borderId="15" xfId="0" applyFont="1" applyBorder="1"/>
    <xf numFmtId="0" fontId="36" fillId="0" borderId="0" xfId="0" applyFont="1"/>
    <xf numFmtId="0" fontId="36" fillId="4" borderId="0" xfId="0" applyFont="1" applyFill="1"/>
    <xf numFmtId="0" fontId="21" fillId="4" borderId="0" xfId="0" applyFont="1" applyFill="1"/>
    <xf numFmtId="0" fontId="21" fillId="0" borderId="1" xfId="0" applyFont="1" applyBorder="1"/>
    <xf numFmtId="5" fontId="23" fillId="0" borderId="0" xfId="0" applyNumberFormat="1" applyFont="1" applyAlignment="1">
      <alignment horizontal="right" vertical="top" wrapText="1"/>
    </xf>
    <xf numFmtId="175" fontId="21" fillId="0" borderId="0" xfId="0" applyNumberFormat="1" applyFont="1"/>
    <xf numFmtId="0" fontId="36" fillId="0" borderId="0" xfId="0" applyFont="1" applyBorder="1"/>
    <xf numFmtId="0" fontId="36" fillId="4" borderId="0" xfId="0" applyFont="1" applyFill="1" applyBorder="1"/>
    <xf numFmtId="0" fontId="21" fillId="3" borderId="0" xfId="0" applyFont="1" applyFill="1"/>
    <xf numFmtId="173" fontId="28" fillId="3" borderId="0" xfId="2" applyNumberFormat="1" applyFont="1" applyFill="1" applyBorder="1" applyAlignment="1">
      <alignment horizontal="right" vertical="center" wrapText="1"/>
    </xf>
    <xf numFmtId="173" fontId="27" fillId="3" borderId="0" xfId="2" applyNumberFormat="1" applyFont="1" applyFill="1" applyBorder="1" applyAlignment="1">
      <alignment horizontal="right" vertical="center" wrapText="1"/>
    </xf>
    <xf numFmtId="5" fontId="22" fillId="0" borderId="0" xfId="0" applyNumberFormat="1" applyFont="1" applyBorder="1" applyAlignment="1">
      <alignment horizontal="right" vertical="top" wrapText="1"/>
    </xf>
    <xf numFmtId="0" fontId="22" fillId="0" borderId="0" xfId="0" quotePrefix="1" applyFont="1" applyAlignment="1">
      <alignment vertical="top" wrapText="1"/>
    </xf>
    <xf numFmtId="168" fontId="27" fillId="0" borderId="0" xfId="2" applyNumberFormat="1" applyFont="1" applyFill="1" applyBorder="1" applyAlignment="1">
      <alignment horizontal="right" vertical="center" wrapText="1"/>
    </xf>
    <xf numFmtId="178" fontId="22" fillId="0" borderId="2" xfId="0" applyNumberFormat="1" applyFont="1" applyBorder="1" applyAlignment="1">
      <alignment horizontal="right" vertical="top" wrapText="1"/>
    </xf>
    <xf numFmtId="7" fontId="22" fillId="3" borderId="2" xfId="0" applyNumberFormat="1" applyFont="1" applyFill="1" applyBorder="1" applyAlignment="1">
      <alignment horizontal="right" vertical="top" wrapText="1"/>
    </xf>
  </cellXfs>
  <cellStyles count="3">
    <cellStyle name="Comma" xfId="1" builtinId="3"/>
    <cellStyle name="Normal" xfId="0" builtinId="0"/>
    <cellStyle name="Percent" xfId="2"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ichStyles" Target="richData/richStyle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externalLink" Target="externalLinks/externalLink1.xml"/><Relationship Id="rId15" Type="http://schemas.microsoft.com/office/2017/06/relationships/rdRichValueTypes" Target="richData/rdRichValueTypes.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x\AppData\Local\Temp\b84eccf7-1ec6-4503-8710-b3a5043a80a6_DCF-Modeling-Course-DL-Kit%20(5).zip.0a6\DCF%20Model.xlsx" TargetMode="External"/><Relationship Id="rId1" Type="http://schemas.openxmlformats.org/officeDocument/2006/relationships/externalLinkPath" Target="/Users/Felix/AppData/Local/Temp/b84eccf7-1ec6-4503-8710-b3a5043a80a6_DCF-Modeling-Course-DL-Kit%20(5).zip.0a6/DCF%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 "/>
      <sheetName val="Simple DCF Empty"/>
      <sheetName val="Simple DCF Done"/>
      <sheetName val="WACC Empty"/>
      <sheetName val="WACC Done"/>
      <sheetName val="Shares Empty"/>
      <sheetName val="Shares"/>
      <sheetName val="DCF 1-Pager"/>
      <sheetName val="2019 FSM Update Complete"/>
      <sheetName val="Integrated DCF Empty"/>
      <sheetName val="Integrated DCF"/>
    </sheetNames>
    <sheetDataSet>
      <sheetData sheetId="0"/>
      <sheetData sheetId="1">
        <row r="122">
          <cell r="B122" t="str">
            <v>DCF Value at 11.5x-13.5x Exit EBITDA Range at 9.0% WACC</v>
          </cell>
          <cell r="C122">
            <v>0</v>
          </cell>
          <cell r="D122">
            <v>0</v>
          </cell>
          <cell r="E122">
            <v>0</v>
          </cell>
          <cell r="G122" t="str">
            <v>LTM EBITDA Purchase Multiple at 2.0%-4.0% Perpetuity Growth at 9.0% WACC</v>
          </cell>
          <cell r="O122">
            <v>0</v>
          </cell>
          <cell r="P122">
            <v>0</v>
          </cell>
          <cell r="Q122">
            <v>0</v>
          </cell>
        </row>
        <row r="123">
          <cell r="B123" t="str">
            <v>DCF Value at 2.0%-4.0% Perpetuity Range at 9.0% WACC</v>
          </cell>
          <cell r="C123">
            <v>0</v>
          </cell>
          <cell r="D123">
            <v>0</v>
          </cell>
          <cell r="E123">
            <v>0</v>
          </cell>
          <cell r="G123" t="str">
            <v>LTM EBITDA Purchase Multiple at 0.0x-0.0x Exit EBITDA Multiple at 9.0% WACC</v>
          </cell>
          <cell r="O123">
            <v>0</v>
          </cell>
          <cell r="P123">
            <v>0</v>
          </cell>
          <cell r="Q123">
            <v>0</v>
          </cell>
        </row>
        <row r="124">
          <cell r="B124" t="str">
            <v>52 Week Market High/Low</v>
          </cell>
          <cell r="C124">
            <v>169.5</v>
          </cell>
          <cell r="D124">
            <v>158.35000000000002</v>
          </cell>
          <cell r="E124">
            <v>327.85</v>
          </cell>
          <cell r="G124" t="str">
            <v>LTM EBITDA Purchase Multiple at 8.0%-10.0% WACC at 12.5x Exit EBITDA</v>
          </cell>
          <cell r="O124">
            <v>0</v>
          </cell>
          <cell r="P124">
            <v>0</v>
          </cell>
          <cell r="Q124">
            <v>0</v>
          </cell>
        </row>
      </sheetData>
      <sheetData sheetId="2"/>
      <sheetData sheetId="3"/>
      <sheetData sheetId="4"/>
      <sheetData sheetId="5"/>
      <sheetData sheetId="6"/>
      <sheetData sheetId="7"/>
      <sheetData sheetId="8"/>
      <sheetData sheetId="9">
        <row r="128">
          <cell r="B128" t="str">
            <v>DCF Value at 11.0x-15.0x Exit EBITDA Range at 9.0% WACC</v>
          </cell>
          <cell r="C128">
            <v>20.680633001583054</v>
          </cell>
          <cell r="D128">
            <v>0</v>
          </cell>
          <cell r="E128">
            <v>20.680633001583054</v>
          </cell>
          <cell r="G128" t="str">
            <v>LTM EBITDA Purchase Multiple at 2.0%-4.0% Perpetuity Growth at 9.0% WACC</v>
          </cell>
          <cell r="O128" t="e">
            <v>#DIV/0!</v>
          </cell>
          <cell r="P128" t="e">
            <v>#DIV/0!</v>
          </cell>
          <cell r="Q128" t="e">
            <v>#DIV/0!</v>
          </cell>
        </row>
        <row r="129">
          <cell r="B129" t="str">
            <v>DCF Value at 2.0%-4.0% Perpetuity Range at 9.0% WACC</v>
          </cell>
          <cell r="C129">
            <v>20.680633001583054</v>
          </cell>
          <cell r="D129">
            <v>0</v>
          </cell>
          <cell r="E129">
            <v>20.680633001583054</v>
          </cell>
          <cell r="G129" t="e">
            <v>#DIV/0!</v>
          </cell>
          <cell r="O129" t="e">
            <v>#DIV/0!</v>
          </cell>
          <cell r="P129" t="e">
            <v>#DIV/0!</v>
          </cell>
          <cell r="Q129" t="e">
            <v>#DIV/0!</v>
          </cell>
        </row>
        <row r="130">
          <cell r="B130" t="str">
            <v>52 Week Market High/Low</v>
          </cell>
          <cell r="C130">
            <v>169.5</v>
          </cell>
          <cell r="D130">
            <v>158.35000000000002</v>
          </cell>
          <cell r="E130">
            <v>327.85</v>
          </cell>
          <cell r="G130" t="str">
            <v>LTM EBITDA Purchase Multiple at 7.0%-11.0% WACC at 13.0x Exit EBITDA</v>
          </cell>
          <cell r="O130" t="e">
            <v>#DIV/0!</v>
          </cell>
          <cell r="P130" t="e">
            <v>#DIV/0!</v>
          </cell>
          <cell r="Q130" t="e">
            <v>#DIV/0!</v>
          </cell>
        </row>
      </sheetData>
      <sheetData sheetId="10"/>
    </sheetDataSet>
  </externalBook>
</externalLink>
</file>

<file path=xl/persons/person.xml><?xml version="1.0" encoding="utf-8"?>
<personList xmlns="http://schemas.microsoft.com/office/spreadsheetml/2018/threadedcomments" xmlns:x="http://schemas.openxmlformats.org/spreadsheetml/2006/main">
  <person displayName="Felix Garcia" id="{7B93C8FC-74DA-4CB1-87F2-5D366297A44D}" userId="361af505b8eb0eeb"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https://www.bing.com/financeapi/forcetrigger?t=bwpvpr&amp;q=XNAS%3aHUMA&amp;form=skydnc</v>
    <v>Learn more on Bing</v>
  </rv>
  <rv s="1">
    <v>en-US</v>
    <v>bwpvpr</v>
    <v>268435456</v>
    <v>1</v>
    <v>Powered by Refinitiv</v>
    <v>0</v>
    <v>HUMACYTE, INC (XNAS:HUMA)</v>
    <v>2</v>
    <v>3</v>
    <v>Finance</v>
    <v>4</v>
    <v>6.77</v>
    <v>1.1499999999999999</v>
    <v>1.8865000000000001</v>
    <v>0.02</v>
    <v>1.7441999999999999E-2</v>
    <v>1.1765000000000001E-2</v>
    <v>0.03</v>
    <v>USD</v>
    <v>Humacyte, Inc. is a commercial-stage biotechnology platform company. The Company is engaged in developing a disruptive biotechnology platform to deliver universally implantable bioengineered human tissues, advanced tissue constructs, and organ systems designed to improve the lives of patients and transform the practice of medicine. The Company develops and manufactures acellular tissues to treat a range of diseases, injuries, and chronic conditions. It is using its proprietary, scientific technology platform to engineer and manufacture acellular tissue engineered vessels (ATEVs). The Company is also in late-stage clinical trials targeting other vascular applications, including arteriovenous (AV) access for hemodialysis and peripheral artery disease (PAD). The Company is also engaged in the preclinical development of coronary artery bypass grafts, pediatric heart surgery, treatment of type 1 diabetes, and multiple cell and tissue applications.</v>
    <v>218</v>
    <v>Nasdaq Stock Market</v>
    <v>XNAS</v>
    <v>XNAS</v>
    <v>2525 East North Carolina Highway 54, DURHAM, NC, 27713 US</v>
    <v>1.75</v>
    <v>Biotechnology &amp; Medical Research</v>
    <v>Stock</v>
    <v>45947.999451539064</v>
    <v>0</v>
    <v>1.6406000000000001</v>
    <v>317819700</v>
    <v>HUMACYTE, INC</v>
    <v>HUMACYTE, INC</v>
    <v>1.67</v>
    <v>0</v>
    <v>1.7</v>
    <v>1.72</v>
    <v>1.75</v>
    <v>184778900</v>
    <v>HUMA</v>
    <v>HUMACYTE, INC (XNAS:HUMA)</v>
    <v>4412880</v>
    <v>6602704</v>
    <v>2020</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5" dT="2025-10-19T19:56:37.26" personId="{7B93C8FC-74DA-4CB1-87F2-5D366297A44D}" id="{595AA782-D077-4D03-B0ED-86608924C272}">
    <text>Other current liabilities</text>
  </threadedComment>
  <threadedComment ref="B111" dT="2025-10-19T22:05:41.92" personId="{7B93C8FC-74DA-4CB1-87F2-5D366297A44D}" id="{17247C81-DF88-4381-BBF5-F0312DC110BA}">
    <text>Reflected as Debt</text>
  </threadedComment>
  <threadedComment ref="B112" dT="2025-10-19T22:09:44.93" personId="{7B93C8FC-74DA-4CB1-87F2-5D366297A44D}" id="{CDEB9956-72B7-4A9E-874A-3F3147096467}">
    <text>This JDRF Agreement (now called the Breakthrough T1D Agreement) is a research funding and royalty arrangement between Humacyte, Inc. and the nonprofit Breakthrough T1D (formerly JDRF International).</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022B6-927C-469C-B57D-F06A26CBF746}">
  <dimension ref="B1:F19"/>
  <sheetViews>
    <sheetView showGridLines="0" tabSelected="1" zoomScale="115" zoomScaleNormal="115" workbookViewId="0">
      <selection activeCell="B7" sqref="B7"/>
    </sheetView>
  </sheetViews>
  <sheetFormatPr defaultRowHeight="15" x14ac:dyDescent="0.25"/>
  <cols>
    <col min="1" max="1" width="3.140625" customWidth="1"/>
    <col min="2" max="2" width="44.85546875" bestFit="1" customWidth="1"/>
    <col min="3" max="3" width="20.5703125" customWidth="1"/>
    <col min="4" max="4" width="29.140625" bestFit="1" customWidth="1"/>
    <col min="5" max="5" width="12.140625" bestFit="1" customWidth="1"/>
    <col min="6" max="6" width="12.42578125" bestFit="1" customWidth="1"/>
  </cols>
  <sheetData>
    <row r="1" spans="2:6" ht="15.75" thickBot="1" x14ac:dyDescent="0.3"/>
    <row r="2" spans="2:6" x14ac:dyDescent="0.25">
      <c r="B2" s="2" t="s">
        <v>29</v>
      </c>
      <c r="C2" s="3" t="s">
        <v>30</v>
      </c>
    </row>
    <row r="3" spans="2:6" ht="15.75" thickBot="1" x14ac:dyDescent="0.3">
      <c r="B3" s="4" t="e" vm="1">
        <v>#VALUE!</v>
      </c>
      <c r="C3" s="5" t="s">
        <v>76</v>
      </c>
    </row>
    <row r="4" spans="2:6" ht="15.75" thickBot="1" x14ac:dyDescent="0.3"/>
    <row r="5" spans="2:6" ht="15.75" thickBot="1" x14ac:dyDescent="0.3">
      <c r="B5" s="6" t="s">
        <v>31</v>
      </c>
      <c r="C5" s="7"/>
      <c r="D5" s="7"/>
      <c r="E5" s="7"/>
      <c r="F5" s="8"/>
    </row>
    <row r="6" spans="2:6" ht="15.75" thickBot="1" x14ac:dyDescent="0.3">
      <c r="B6" s="9" t="s">
        <v>32</v>
      </c>
      <c r="C6" s="17" t="s">
        <v>33</v>
      </c>
      <c r="D6" s="17" t="s">
        <v>34</v>
      </c>
      <c r="E6" s="17" t="s">
        <v>35</v>
      </c>
      <c r="F6" s="18" t="s">
        <v>36</v>
      </c>
    </row>
    <row r="7" spans="2:6" x14ac:dyDescent="0.25">
      <c r="B7" s="13" t="s">
        <v>77</v>
      </c>
      <c r="C7" s="12"/>
      <c r="D7" s="12"/>
      <c r="E7" s="12"/>
      <c r="F7" s="14"/>
    </row>
    <row r="8" spans="2:6" x14ac:dyDescent="0.25">
      <c r="B8" s="15" t="s">
        <v>81</v>
      </c>
      <c r="C8" t="s">
        <v>83</v>
      </c>
      <c r="E8" s="19">
        <v>3</v>
      </c>
      <c r="F8" s="10"/>
    </row>
    <row r="9" spans="2:6" x14ac:dyDescent="0.25">
      <c r="B9" s="15" t="s">
        <v>78</v>
      </c>
      <c r="C9" t="s">
        <v>83</v>
      </c>
      <c r="E9" s="19">
        <v>3</v>
      </c>
      <c r="F9" s="10"/>
    </row>
    <row r="10" spans="2:6" x14ac:dyDescent="0.25">
      <c r="B10" s="15" t="s">
        <v>79</v>
      </c>
      <c r="C10" t="s">
        <v>83</v>
      </c>
      <c r="E10" s="19">
        <v>2</v>
      </c>
      <c r="F10" s="10"/>
    </row>
    <row r="11" spans="2:6" x14ac:dyDescent="0.25">
      <c r="B11" s="15" t="s">
        <v>80</v>
      </c>
      <c r="C11" t="s">
        <v>83</v>
      </c>
      <c r="E11" t="s">
        <v>86</v>
      </c>
      <c r="F11" s="10"/>
    </row>
    <row r="12" spans="2:6" x14ac:dyDescent="0.25">
      <c r="B12" s="15" t="s">
        <v>82</v>
      </c>
      <c r="C12" t="s">
        <v>83</v>
      </c>
      <c r="E12" t="s">
        <v>86</v>
      </c>
      <c r="F12" s="10"/>
    </row>
    <row r="13" spans="2:6" x14ac:dyDescent="0.25">
      <c r="B13" s="13" t="s">
        <v>84</v>
      </c>
      <c r="F13" s="10"/>
    </row>
    <row r="14" spans="2:6" x14ac:dyDescent="0.25">
      <c r="B14" s="15" t="s">
        <v>85</v>
      </c>
      <c r="C14" t="s">
        <v>83</v>
      </c>
      <c r="E14" t="s">
        <v>86</v>
      </c>
      <c r="F14" s="10"/>
    </row>
    <row r="15" spans="2:6" x14ac:dyDescent="0.25">
      <c r="B15" s="15" t="s">
        <v>87</v>
      </c>
      <c r="C15" t="s">
        <v>83</v>
      </c>
      <c r="E15" t="s">
        <v>86</v>
      </c>
      <c r="F15" s="10"/>
    </row>
    <row r="16" spans="2:6" x14ac:dyDescent="0.25">
      <c r="B16" s="13" t="s">
        <v>88</v>
      </c>
      <c r="F16" s="10"/>
    </row>
    <row r="17" spans="2:6" x14ac:dyDescent="0.25">
      <c r="B17" s="15" t="s">
        <v>91</v>
      </c>
      <c r="C17" t="s">
        <v>83</v>
      </c>
      <c r="E17" t="s">
        <v>86</v>
      </c>
      <c r="F17" s="10"/>
    </row>
    <row r="18" spans="2:6" x14ac:dyDescent="0.25">
      <c r="B18" s="15" t="s">
        <v>89</v>
      </c>
      <c r="C18" t="s">
        <v>83</v>
      </c>
      <c r="E18" t="s">
        <v>86</v>
      </c>
      <c r="F18" s="10"/>
    </row>
    <row r="19" spans="2:6" ht="15.75" thickBot="1" x14ac:dyDescent="0.3">
      <c r="B19" s="16" t="s">
        <v>90</v>
      </c>
      <c r="C19" s="11" t="s">
        <v>83</v>
      </c>
      <c r="D19" s="11"/>
      <c r="E19" s="11" t="s">
        <v>86</v>
      </c>
      <c r="F1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D900-3875-4BA8-844E-D33444418489}">
  <dimension ref="A2:AI133"/>
  <sheetViews>
    <sheetView showGridLines="0" zoomScale="130" zoomScaleNormal="130" workbookViewId="0">
      <selection activeCell="B27" sqref="B27"/>
    </sheetView>
  </sheetViews>
  <sheetFormatPr defaultRowHeight="12" outlineLevelCol="1" x14ac:dyDescent="0.2"/>
  <cols>
    <col min="1" max="1" width="2.42578125" style="24" customWidth="1"/>
    <col min="2" max="2" width="54.85546875" style="24" bestFit="1" customWidth="1"/>
    <col min="3" max="3" width="9.85546875" style="24" hidden="1" customWidth="1" outlineLevel="1"/>
    <col min="4" max="4" width="9.85546875" style="24" customWidth="1" collapsed="1"/>
    <col min="5" max="6" width="9.85546875" style="24" customWidth="1"/>
    <col min="7" max="7" width="1.7109375" style="24" customWidth="1"/>
    <col min="8" max="16" width="9.85546875" style="24" hidden="1" customWidth="1" outlineLevel="1"/>
    <col min="17" max="17" width="9.85546875" style="24" customWidth="1" collapsed="1"/>
    <col min="18" max="21" width="9.85546875" style="24" customWidth="1"/>
    <col min="22" max="22" width="1.7109375" style="24" customWidth="1"/>
    <col min="23" max="28" width="9.85546875" style="24" hidden="1" customWidth="1" outlineLevel="1"/>
    <col min="29" max="29" width="9.85546875" style="24" customWidth="1" collapsed="1"/>
    <col min="30" max="32" width="9.85546875" style="24" hidden="1" customWidth="1" outlineLevel="1"/>
    <col min="33" max="33" width="9.85546875" style="24" customWidth="1" collapsed="1"/>
    <col min="34" max="34" width="1.42578125" style="24" customWidth="1"/>
    <col min="35" max="35" width="11.5703125" style="24" bestFit="1" customWidth="1"/>
    <col min="36" max="36" width="1.5703125" style="24" customWidth="1"/>
    <col min="37" max="16384" width="9.140625" style="24"/>
  </cols>
  <sheetData>
    <row r="2" spans="1:35" x14ac:dyDescent="0.2">
      <c r="B2" s="22" t="s">
        <v>45</v>
      </c>
      <c r="C2" s="81"/>
      <c r="D2" s="81" t="s">
        <v>0</v>
      </c>
      <c r="E2" s="81"/>
      <c r="F2" s="81"/>
      <c r="G2" s="26"/>
      <c r="H2" s="81" t="s">
        <v>1</v>
      </c>
      <c r="I2" s="81"/>
      <c r="J2" s="81"/>
      <c r="K2" s="81"/>
      <c r="L2" s="81"/>
      <c r="M2" s="81"/>
      <c r="N2" s="81"/>
      <c r="O2" s="81"/>
      <c r="P2" s="81"/>
      <c r="Q2" s="81" t="s">
        <v>1</v>
      </c>
      <c r="R2" s="81"/>
      <c r="S2" s="81"/>
      <c r="T2" s="81"/>
      <c r="U2" s="81"/>
      <c r="V2" s="26"/>
      <c r="W2" s="81" t="s">
        <v>2</v>
      </c>
      <c r="X2" s="81"/>
      <c r="Y2" s="81"/>
      <c r="Z2" s="81"/>
      <c r="AA2" s="81"/>
      <c r="AB2" s="81"/>
      <c r="AC2" s="81" t="s">
        <v>2</v>
      </c>
      <c r="AD2" s="81"/>
      <c r="AE2" s="81"/>
      <c r="AF2" s="81"/>
      <c r="AG2" s="81"/>
      <c r="AH2" s="83"/>
      <c r="AI2" s="101" t="s">
        <v>102</v>
      </c>
    </row>
    <row r="3" spans="1:35" x14ac:dyDescent="0.2">
      <c r="B3" s="23" t="s">
        <v>94</v>
      </c>
      <c r="C3" s="84">
        <v>2021</v>
      </c>
      <c r="D3" s="84">
        <v>2022</v>
      </c>
      <c r="E3" s="84">
        <v>2023</v>
      </c>
      <c r="F3" s="84">
        <v>2024</v>
      </c>
      <c r="G3" s="26"/>
      <c r="H3" s="84" t="s">
        <v>5</v>
      </c>
      <c r="I3" s="84" t="s">
        <v>6</v>
      </c>
      <c r="J3" s="84" t="s">
        <v>7</v>
      </c>
      <c r="K3" s="84" t="s">
        <v>8</v>
      </c>
      <c r="L3" s="84" t="s">
        <v>9</v>
      </c>
      <c r="M3" s="84" t="s">
        <v>10</v>
      </c>
      <c r="N3" s="84" t="s">
        <v>11</v>
      </c>
      <c r="O3" s="84" t="s">
        <v>12</v>
      </c>
      <c r="P3" s="84" t="s">
        <v>13</v>
      </c>
      <c r="Q3" s="84" t="s">
        <v>14</v>
      </c>
      <c r="R3" s="84" t="s">
        <v>15</v>
      </c>
      <c r="S3" s="84" t="s">
        <v>103</v>
      </c>
      <c r="T3" s="84" t="s">
        <v>104</v>
      </c>
      <c r="U3" s="84" t="s">
        <v>105</v>
      </c>
      <c r="V3" s="26"/>
      <c r="W3" s="84" t="str">
        <f t="shared" ref="W3:X4" si="0">K3</f>
        <v>4Q22</v>
      </c>
      <c r="X3" s="84" t="str">
        <f t="shared" si="0"/>
        <v>1Q23</v>
      </c>
      <c r="Y3" s="84" t="str">
        <f t="shared" ref="Y3:Y4" si="1">M3</f>
        <v>2Q23</v>
      </c>
      <c r="Z3" s="84" t="str">
        <f t="shared" ref="Z3:Z4" si="2">N3</f>
        <v>3Q23</v>
      </c>
      <c r="AA3" s="84" t="str">
        <f t="shared" ref="AA3:AA4" si="3">O3</f>
        <v>4Q23</v>
      </c>
      <c r="AB3" s="84" t="str">
        <f t="shared" ref="AB3:AB4" si="4">P3</f>
        <v>1Q24</v>
      </c>
      <c r="AC3" s="84" t="str">
        <f t="shared" ref="AC3:AC4" si="5">Q3</f>
        <v>2Q24</v>
      </c>
      <c r="AD3" s="84" t="str">
        <f t="shared" ref="AD3:AF4" si="6">R3</f>
        <v>3Q24</v>
      </c>
      <c r="AE3" s="84" t="str">
        <f t="shared" si="6"/>
        <v>4Q24</v>
      </c>
      <c r="AF3" s="84" t="str">
        <f t="shared" si="6"/>
        <v>1Q25</v>
      </c>
      <c r="AG3" s="84" t="str">
        <f>U3</f>
        <v>2Q25</v>
      </c>
      <c r="AH3" s="83"/>
      <c r="AI3" s="101"/>
    </row>
    <row r="4" spans="1:35" x14ac:dyDescent="0.2">
      <c r="B4" s="23" t="s">
        <v>95</v>
      </c>
      <c r="C4" s="83">
        <v>44561</v>
      </c>
      <c r="D4" s="83">
        <v>44926</v>
      </c>
      <c r="E4" s="83">
        <v>45291</v>
      </c>
      <c r="F4" s="83">
        <v>45657</v>
      </c>
      <c r="G4" s="26"/>
      <c r="H4" s="83">
        <v>44651</v>
      </c>
      <c r="I4" s="83">
        <v>44742</v>
      </c>
      <c r="J4" s="83">
        <v>44834</v>
      </c>
      <c r="K4" s="83">
        <v>44926</v>
      </c>
      <c r="L4" s="83">
        <v>45016</v>
      </c>
      <c r="M4" s="83">
        <v>45107</v>
      </c>
      <c r="N4" s="83">
        <v>45199</v>
      </c>
      <c r="O4" s="83">
        <v>45291</v>
      </c>
      <c r="P4" s="83">
        <v>45382</v>
      </c>
      <c r="Q4" s="83">
        <v>45473</v>
      </c>
      <c r="R4" s="83">
        <v>45565</v>
      </c>
      <c r="S4" s="83">
        <v>45657</v>
      </c>
      <c r="T4" s="83">
        <v>45747</v>
      </c>
      <c r="U4" s="83">
        <v>45838</v>
      </c>
      <c r="V4" s="26"/>
      <c r="W4" s="83">
        <f t="shared" si="0"/>
        <v>44926</v>
      </c>
      <c r="X4" s="83">
        <f t="shared" si="0"/>
        <v>45016</v>
      </c>
      <c r="Y4" s="83">
        <f t="shared" si="1"/>
        <v>45107</v>
      </c>
      <c r="Z4" s="83">
        <f t="shared" si="2"/>
        <v>45199</v>
      </c>
      <c r="AA4" s="83">
        <f t="shared" si="3"/>
        <v>45291</v>
      </c>
      <c r="AB4" s="83">
        <f t="shared" si="4"/>
        <v>45382</v>
      </c>
      <c r="AC4" s="83">
        <f t="shared" si="5"/>
        <v>45473</v>
      </c>
      <c r="AD4" s="83">
        <f t="shared" si="6"/>
        <v>45565</v>
      </c>
      <c r="AE4" s="83">
        <f t="shared" si="6"/>
        <v>45657</v>
      </c>
      <c r="AF4" s="83">
        <f t="shared" si="6"/>
        <v>45747</v>
      </c>
      <c r="AG4" s="83">
        <f>U4</f>
        <v>45838</v>
      </c>
      <c r="AH4" s="83"/>
      <c r="AI4" s="101"/>
    </row>
    <row r="5" spans="1:35" x14ac:dyDescent="0.2">
      <c r="B5" s="27"/>
    </row>
    <row r="6" spans="1:35" x14ac:dyDescent="0.2">
      <c r="A6" s="85" t="s">
        <v>3</v>
      </c>
      <c r="B6" s="86" t="s">
        <v>4</v>
      </c>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row>
    <row r="7" spans="1:35" ht="5.0999999999999996" customHeight="1" x14ac:dyDescent="0.2">
      <c r="B7" s="27"/>
      <c r="AI7" s="108"/>
    </row>
    <row r="8" spans="1:35" x14ac:dyDescent="0.2">
      <c r="B8" s="116" t="s">
        <v>108</v>
      </c>
      <c r="C8" s="88">
        <v>0</v>
      </c>
      <c r="D8" s="88">
        <v>0</v>
      </c>
      <c r="E8" s="88">
        <v>0</v>
      </c>
      <c r="F8" s="88">
        <v>0</v>
      </c>
      <c r="G8" s="30"/>
      <c r="H8" s="88">
        <v>0</v>
      </c>
      <c r="I8" s="88">
        <v>0</v>
      </c>
      <c r="J8" s="88">
        <v>0</v>
      </c>
      <c r="K8" s="88">
        <f>SUM(D8-SUM(H8:J8))</f>
        <v>0</v>
      </c>
      <c r="L8" s="88">
        <v>0</v>
      </c>
      <c r="M8" s="88">
        <v>0</v>
      </c>
      <c r="N8" s="88">
        <v>0</v>
      </c>
      <c r="O8" s="88">
        <f>SUM(E8-SUM(L8:N8))</f>
        <v>0</v>
      </c>
      <c r="P8" s="88">
        <v>0</v>
      </c>
      <c r="Q8" s="88">
        <v>0</v>
      </c>
      <c r="R8" s="88">
        <v>0</v>
      </c>
      <c r="S8" s="88">
        <f>SUM(F8-SUM(P8:R8))</f>
        <v>0</v>
      </c>
      <c r="T8" s="88">
        <v>147</v>
      </c>
      <c r="U8" s="88">
        <v>100</v>
      </c>
      <c r="W8" s="88">
        <f>SUM(H8:K8)</f>
        <v>0</v>
      </c>
      <c r="X8" s="88">
        <f>SUM(I8:L8)</f>
        <v>0</v>
      </c>
      <c r="Y8" s="88">
        <f>SUM(J8:M8)</f>
        <v>0</v>
      </c>
      <c r="Z8" s="88">
        <f>SUM(K8:N8)</f>
        <v>0</v>
      </c>
      <c r="AA8" s="88">
        <f>SUM(L8:O8)</f>
        <v>0</v>
      </c>
      <c r="AB8" s="88">
        <f>SUM(M8:P8)</f>
        <v>0</v>
      </c>
      <c r="AC8" s="88">
        <f>SUM(N8:Q8)</f>
        <v>0</v>
      </c>
      <c r="AD8" s="88">
        <f>SUM(O8:R8)</f>
        <v>0</v>
      </c>
      <c r="AE8" s="88">
        <f>SUM(P8:S8)</f>
        <v>0</v>
      </c>
      <c r="AF8" s="88">
        <f>SUM(Q8:T8)</f>
        <v>147</v>
      </c>
      <c r="AG8" s="88">
        <f>SUM(R8:U8)</f>
        <v>247</v>
      </c>
      <c r="AI8" s="108" t="e">
        <f>SUM(AG8/AC8)-1</f>
        <v>#DIV/0!</v>
      </c>
    </row>
    <row r="9" spans="1:35" x14ac:dyDescent="0.2">
      <c r="B9" s="116" t="s">
        <v>107</v>
      </c>
      <c r="C9" s="88">
        <v>0</v>
      </c>
      <c r="D9" s="88">
        <v>0</v>
      </c>
      <c r="E9" s="88">
        <v>0</v>
      </c>
      <c r="F9" s="88">
        <v>0</v>
      </c>
      <c r="G9" s="30"/>
      <c r="H9" s="88">
        <v>0</v>
      </c>
      <c r="I9" s="88">
        <v>0</v>
      </c>
      <c r="J9" s="88">
        <v>0</v>
      </c>
      <c r="K9" s="88">
        <f>SUM(D9-SUM(H9:J9))</f>
        <v>0</v>
      </c>
      <c r="L9" s="88">
        <v>0</v>
      </c>
      <c r="M9" s="88">
        <v>0</v>
      </c>
      <c r="N9" s="88">
        <v>0</v>
      </c>
      <c r="O9" s="88">
        <f>SUM(E9-SUM(L9:N9))</f>
        <v>0</v>
      </c>
      <c r="P9" s="88">
        <v>0</v>
      </c>
      <c r="Q9" s="88">
        <v>0</v>
      </c>
      <c r="R9" s="88">
        <v>0</v>
      </c>
      <c r="S9" s="88">
        <f>SUM(F9-SUM(P9:R9))</f>
        <v>0</v>
      </c>
      <c r="T9" s="88">
        <v>370</v>
      </c>
      <c r="U9" s="88">
        <v>201</v>
      </c>
      <c r="W9" s="88">
        <f>SUM(H9:K9)</f>
        <v>0</v>
      </c>
      <c r="X9" s="88">
        <f>SUM(I9:L9)</f>
        <v>0</v>
      </c>
      <c r="Y9" s="88">
        <f>SUM(J9:M9)</f>
        <v>0</v>
      </c>
      <c r="Z9" s="88">
        <f>SUM(K9:N9)</f>
        <v>0</v>
      </c>
      <c r="AA9" s="88">
        <f>SUM(L9:O9)</f>
        <v>0</v>
      </c>
      <c r="AB9" s="88">
        <f>SUM(M9:P9)</f>
        <v>0</v>
      </c>
      <c r="AC9" s="88">
        <f>SUM(N9:Q9)</f>
        <v>0</v>
      </c>
      <c r="AD9" s="88">
        <f>SUM(O9:R9)</f>
        <v>0</v>
      </c>
      <c r="AE9" s="88">
        <f>SUM(P9:S9)</f>
        <v>0</v>
      </c>
      <c r="AF9" s="88">
        <f>SUM(Q9:T9)</f>
        <v>370</v>
      </c>
      <c r="AG9" s="88">
        <f>SUM(R9:U9)</f>
        <v>571</v>
      </c>
      <c r="AI9" s="108" t="e">
        <f t="shared" ref="AI9:AI25" si="7">SUM(AG9/AC9)-1</f>
        <v>#DIV/0!</v>
      </c>
    </row>
    <row r="10" spans="1:35" x14ac:dyDescent="0.2">
      <c r="B10" s="116" t="s">
        <v>44</v>
      </c>
      <c r="C10" s="88">
        <v>1263</v>
      </c>
      <c r="D10" s="88">
        <v>1565</v>
      </c>
      <c r="E10" s="88">
        <v>0</v>
      </c>
      <c r="F10" s="88">
        <v>0</v>
      </c>
      <c r="G10" s="30"/>
      <c r="H10" s="88">
        <v>233</v>
      </c>
      <c r="I10" s="88">
        <v>1301</v>
      </c>
      <c r="J10" s="88">
        <v>31</v>
      </c>
      <c r="K10" s="88">
        <f>SUM(D10-SUM(H10:J10))</f>
        <v>0</v>
      </c>
      <c r="L10" s="88">
        <v>0</v>
      </c>
      <c r="M10" s="88">
        <v>0</v>
      </c>
      <c r="N10" s="88">
        <v>0</v>
      </c>
      <c r="O10" s="88">
        <f>SUM(E10-SUM(L10:N10))</f>
        <v>0</v>
      </c>
      <c r="P10" s="88">
        <v>0</v>
      </c>
      <c r="Q10" s="88">
        <v>0</v>
      </c>
      <c r="R10" s="88">
        <v>0</v>
      </c>
      <c r="S10" s="88">
        <f>SUM(F10-SUM(P10:R10))</f>
        <v>0</v>
      </c>
      <c r="T10" s="88">
        <v>0</v>
      </c>
      <c r="U10" s="88">
        <v>0</v>
      </c>
      <c r="W10" s="88">
        <f>SUM(H10:K10)</f>
        <v>1565</v>
      </c>
      <c r="X10" s="88">
        <f>SUM(I10:L10)</f>
        <v>1332</v>
      </c>
      <c r="Y10" s="88">
        <f>SUM(J10:M10)</f>
        <v>31</v>
      </c>
      <c r="Z10" s="88">
        <f>SUM(K10:N10)</f>
        <v>0</v>
      </c>
      <c r="AA10" s="88">
        <f>SUM(L10:O10)</f>
        <v>0</v>
      </c>
      <c r="AB10" s="88">
        <f>SUM(M10:P10)</f>
        <v>0</v>
      </c>
      <c r="AC10" s="88">
        <f>SUM(N10:Q10)</f>
        <v>0</v>
      </c>
      <c r="AD10" s="88">
        <f>SUM(O10:R10)</f>
        <v>0</v>
      </c>
      <c r="AE10" s="88">
        <f>SUM(P10:S10)</f>
        <v>0</v>
      </c>
      <c r="AF10" s="88">
        <f>SUM(Q10:T10)</f>
        <v>0</v>
      </c>
      <c r="AG10" s="88">
        <f>SUM(R10:U10)</f>
        <v>0</v>
      </c>
      <c r="AI10" s="108" t="e">
        <f t="shared" si="7"/>
        <v>#DIV/0!</v>
      </c>
    </row>
    <row r="11" spans="1:35" x14ac:dyDescent="0.2">
      <c r="B11" s="105" t="s">
        <v>96</v>
      </c>
      <c r="C11" s="106">
        <f>SUM(C8:C10)</f>
        <v>1263</v>
      </c>
      <c r="D11" s="106">
        <f t="shared" ref="D11:F11" si="8">SUM(D8:D10)</f>
        <v>1565</v>
      </c>
      <c r="E11" s="106">
        <f t="shared" si="8"/>
        <v>0</v>
      </c>
      <c r="F11" s="106">
        <f t="shared" si="8"/>
        <v>0</v>
      </c>
      <c r="G11" s="93"/>
      <c r="H11" s="106">
        <f t="shared" ref="H11" si="9">SUM(H8:H10)</f>
        <v>233</v>
      </c>
      <c r="I11" s="106">
        <f t="shared" ref="I11" si="10">SUM(I8:I10)</f>
        <v>1301</v>
      </c>
      <c r="J11" s="106">
        <f t="shared" ref="J11" si="11">SUM(J8:J10)</f>
        <v>31</v>
      </c>
      <c r="K11" s="106">
        <f t="shared" ref="K11" si="12">SUM(K8:K10)</f>
        <v>0</v>
      </c>
      <c r="L11" s="106">
        <f t="shared" ref="L11" si="13">SUM(L8:L10)</f>
        <v>0</v>
      </c>
      <c r="M11" s="106">
        <f t="shared" ref="M11" si="14">SUM(M8:M10)</f>
        <v>0</v>
      </c>
      <c r="N11" s="106">
        <f t="shared" ref="N11" si="15">SUM(N8:N10)</f>
        <v>0</v>
      </c>
      <c r="O11" s="106">
        <f t="shared" ref="O11" si="16">SUM(O8:O10)</f>
        <v>0</v>
      </c>
      <c r="P11" s="106">
        <f t="shared" ref="P11" si="17">SUM(P8:P10)</f>
        <v>0</v>
      </c>
      <c r="Q11" s="106">
        <f t="shared" ref="Q11" si="18">SUM(Q8:Q10)</f>
        <v>0</v>
      </c>
      <c r="R11" s="106">
        <f t="shared" ref="R11" si="19">SUM(R8:R10)</f>
        <v>0</v>
      </c>
      <c r="S11" s="106">
        <f t="shared" ref="S11" si="20">SUM(S8:S10)</f>
        <v>0</v>
      </c>
      <c r="T11" s="106">
        <f t="shared" ref="T11" si="21">SUM(T8:T10)</f>
        <v>517</v>
      </c>
      <c r="U11" s="106">
        <f t="shared" ref="U11" si="22">SUM(U8:U10)</f>
        <v>301</v>
      </c>
      <c r="V11" s="93"/>
      <c r="W11" s="106">
        <f t="shared" ref="W11:X11" si="23">SUM(W8:W10)</f>
        <v>1565</v>
      </c>
      <c r="X11" s="106">
        <f t="shared" si="23"/>
        <v>1332</v>
      </c>
      <c r="Y11" s="106">
        <f t="shared" ref="Y11" si="24">SUM(Y8:Y10)</f>
        <v>31</v>
      </c>
      <c r="Z11" s="106">
        <f t="shared" ref="Z11" si="25">SUM(Z8:Z10)</f>
        <v>0</v>
      </c>
      <c r="AA11" s="106">
        <f t="shared" ref="AA11" si="26">SUM(AA8:AA10)</f>
        <v>0</v>
      </c>
      <c r="AB11" s="106">
        <f t="shared" ref="AB11" si="27">SUM(AB8:AB10)</f>
        <v>0</v>
      </c>
      <c r="AC11" s="106">
        <f t="shared" ref="AC11" si="28">SUM(AC8:AC10)</f>
        <v>0</v>
      </c>
      <c r="AD11" s="106">
        <f t="shared" ref="AD11" si="29">SUM(AD8:AD10)</f>
        <v>0</v>
      </c>
      <c r="AE11" s="106">
        <f t="shared" ref="AE11" si="30">SUM(AE8:AE10)</f>
        <v>0</v>
      </c>
      <c r="AF11" s="106">
        <f t="shared" ref="AF11" si="31">SUM(AF8:AF10)</f>
        <v>517</v>
      </c>
      <c r="AG11" s="106">
        <f t="shared" ref="AG11" si="32">SUM(AG8:AG10)</f>
        <v>818</v>
      </c>
      <c r="AI11" s="108" t="e">
        <f t="shared" si="7"/>
        <v>#DIV/0!</v>
      </c>
    </row>
    <row r="12" spans="1:35" ht="5.0999999999999996" customHeight="1" x14ac:dyDescent="0.2">
      <c r="B12" s="27"/>
      <c r="AI12" s="108"/>
    </row>
    <row r="13" spans="1:35" x14ac:dyDescent="0.2">
      <c r="B13" s="87" t="s">
        <v>170</v>
      </c>
      <c r="C13" s="88">
        <v>0</v>
      </c>
      <c r="D13" s="88">
        <v>0</v>
      </c>
      <c r="E13" s="88">
        <v>0</v>
      </c>
      <c r="F13" s="88">
        <v>0</v>
      </c>
      <c r="G13" s="30"/>
      <c r="H13" s="88">
        <v>0</v>
      </c>
      <c r="I13" s="88">
        <v>0</v>
      </c>
      <c r="J13" s="88">
        <v>0</v>
      </c>
      <c r="K13" s="88">
        <f>SUM(D13-SUM(H13:J13))</f>
        <v>0</v>
      </c>
      <c r="L13" s="88">
        <v>0</v>
      </c>
      <c r="M13" s="88">
        <v>0</v>
      </c>
      <c r="N13" s="88">
        <v>0</v>
      </c>
      <c r="O13" s="88">
        <f>SUM(E13-SUM(L13:N13))</f>
        <v>0</v>
      </c>
      <c r="P13" s="88">
        <v>0</v>
      </c>
      <c r="Q13" s="88">
        <v>0</v>
      </c>
      <c r="R13" s="88">
        <v>0</v>
      </c>
      <c r="S13" s="88">
        <f>SUM(F13-SUM(P13:R13))</f>
        <v>0</v>
      </c>
      <c r="T13" s="88">
        <v>-147</v>
      </c>
      <c r="U13" s="88">
        <v>-213</v>
      </c>
      <c r="W13" s="88">
        <f>SUM(H13:K13)</f>
        <v>0</v>
      </c>
      <c r="X13" s="88">
        <f>SUM(I13:L13)</f>
        <v>0</v>
      </c>
      <c r="Y13" s="88">
        <f>SUM(J13:M13)</f>
        <v>0</v>
      </c>
      <c r="Z13" s="88">
        <f>SUM(K13:N13)</f>
        <v>0</v>
      </c>
      <c r="AA13" s="88">
        <f>SUM(L13:O13)</f>
        <v>0</v>
      </c>
      <c r="AB13" s="88">
        <f>SUM(M13:P13)</f>
        <v>0</v>
      </c>
      <c r="AC13" s="88">
        <f>SUM(N13:Q13)</f>
        <v>0</v>
      </c>
      <c r="AD13" s="88">
        <f>SUM(O13:R13)</f>
        <v>0</v>
      </c>
      <c r="AE13" s="88">
        <f>SUM(P13:S13)</f>
        <v>0</v>
      </c>
      <c r="AF13" s="88">
        <f>SUM(Q13:T13)</f>
        <v>-147</v>
      </c>
      <c r="AG13" s="88">
        <f>SUM(R13:U13)</f>
        <v>-360</v>
      </c>
      <c r="AI13" s="108" t="e">
        <f t="shared" si="7"/>
        <v>#DIV/0!</v>
      </c>
    </row>
    <row r="14" spans="1:35" x14ac:dyDescent="0.2">
      <c r="B14" s="103" t="s">
        <v>109</v>
      </c>
      <c r="C14" s="89">
        <f t="shared" ref="C14" si="33">+SUM(C11+C13)</f>
        <v>1263</v>
      </c>
      <c r="D14" s="89">
        <f t="shared" ref="D14" si="34">+SUM(D11+D13)</f>
        <v>1565</v>
      </c>
      <c r="E14" s="89">
        <f t="shared" ref="E14" si="35">+SUM(E11+E13)</f>
        <v>0</v>
      </c>
      <c r="F14" s="89">
        <f t="shared" ref="F14" si="36">+SUM(F11+F13)</f>
        <v>0</v>
      </c>
      <c r="H14" s="89">
        <f t="shared" ref="H14:T14" si="37">+SUM(H11+H13)</f>
        <v>233</v>
      </c>
      <c r="I14" s="89">
        <f t="shared" si="37"/>
        <v>1301</v>
      </c>
      <c r="J14" s="89">
        <f t="shared" si="37"/>
        <v>31</v>
      </c>
      <c r="K14" s="89">
        <f t="shared" si="37"/>
        <v>0</v>
      </c>
      <c r="L14" s="89">
        <f t="shared" si="37"/>
        <v>0</v>
      </c>
      <c r="M14" s="89">
        <f t="shared" si="37"/>
        <v>0</v>
      </c>
      <c r="N14" s="89">
        <f t="shared" si="37"/>
        <v>0</v>
      </c>
      <c r="O14" s="89">
        <f t="shared" si="37"/>
        <v>0</v>
      </c>
      <c r="P14" s="89">
        <f t="shared" si="37"/>
        <v>0</v>
      </c>
      <c r="Q14" s="89">
        <f t="shared" si="37"/>
        <v>0</v>
      </c>
      <c r="R14" s="89">
        <f t="shared" si="37"/>
        <v>0</v>
      </c>
      <c r="S14" s="89">
        <f t="shared" si="37"/>
        <v>0</v>
      </c>
      <c r="T14" s="89">
        <f t="shared" si="37"/>
        <v>370</v>
      </c>
      <c r="U14" s="89">
        <f>+SUM(U11+U13)</f>
        <v>88</v>
      </c>
      <c r="W14" s="89">
        <f t="shared" ref="W14:AG14" si="38">+SUM(W11+W13)</f>
        <v>1565</v>
      </c>
      <c r="X14" s="89">
        <f t="shared" si="38"/>
        <v>1332</v>
      </c>
      <c r="Y14" s="89">
        <f t="shared" si="38"/>
        <v>31</v>
      </c>
      <c r="Z14" s="89">
        <f t="shared" si="38"/>
        <v>0</v>
      </c>
      <c r="AA14" s="89">
        <f t="shared" si="38"/>
        <v>0</v>
      </c>
      <c r="AB14" s="89">
        <f t="shared" si="38"/>
        <v>0</v>
      </c>
      <c r="AC14" s="89">
        <f t="shared" si="38"/>
        <v>0</v>
      </c>
      <c r="AD14" s="89">
        <f t="shared" si="38"/>
        <v>0</v>
      </c>
      <c r="AE14" s="89">
        <f t="shared" si="38"/>
        <v>0</v>
      </c>
      <c r="AF14" s="89">
        <f t="shared" si="38"/>
        <v>370</v>
      </c>
      <c r="AG14" s="89">
        <f t="shared" si="38"/>
        <v>458</v>
      </c>
      <c r="AI14" s="109" t="e">
        <f t="shared" si="7"/>
        <v>#DIV/0!</v>
      </c>
    </row>
    <row r="15" spans="1:35" ht="5.0999999999999996" customHeight="1" x14ac:dyDescent="0.2">
      <c r="B15" s="27"/>
      <c r="AI15" s="108"/>
    </row>
    <row r="16" spans="1:35" x14ac:dyDescent="0.2">
      <c r="B16" s="116" t="s">
        <v>172</v>
      </c>
      <c r="C16" s="118">
        <v>-61341</v>
      </c>
      <c r="D16" s="118">
        <v>-63260</v>
      </c>
      <c r="E16" s="118">
        <v>-76550</v>
      </c>
      <c r="F16" s="118">
        <v>-88599</v>
      </c>
      <c r="G16" s="118"/>
      <c r="H16" s="118">
        <v>-16314</v>
      </c>
      <c r="I16" s="118">
        <v>-14652</v>
      </c>
      <c r="J16" s="118">
        <v>-17337</v>
      </c>
      <c r="K16" s="118">
        <f>SUM(D16-SUM(H16:J16))</f>
        <v>-14957</v>
      </c>
      <c r="L16" s="118">
        <v>-17278</v>
      </c>
      <c r="M16" s="118">
        <v>-20540</v>
      </c>
      <c r="N16" s="118">
        <v>-18552</v>
      </c>
      <c r="O16" s="118">
        <f>SUM(E16-SUM(L16:N16))</f>
        <v>-20180</v>
      </c>
      <c r="P16" s="118">
        <v>-21264</v>
      </c>
      <c r="Q16" s="118">
        <v>-23753</v>
      </c>
      <c r="R16" s="118">
        <v>-22926</v>
      </c>
      <c r="S16" s="119">
        <f t="shared" ref="S16:S17" si="39">SUM(F16-SUM(P16:R16))</f>
        <v>-20656</v>
      </c>
      <c r="T16" s="118">
        <v>-15418</v>
      </c>
      <c r="U16" s="118">
        <v>-22006</v>
      </c>
      <c r="V16" s="118"/>
      <c r="W16" s="119">
        <f>SUM(H16:K16)</f>
        <v>-63260</v>
      </c>
      <c r="X16" s="119">
        <f>SUM(I16:L16)</f>
        <v>-64224</v>
      </c>
      <c r="Y16" s="119">
        <f>SUM(J16:M16)</f>
        <v>-70112</v>
      </c>
      <c r="Z16" s="119">
        <f>SUM(K16:N16)</f>
        <v>-71327</v>
      </c>
      <c r="AA16" s="119">
        <f>SUM(L16:O16)</f>
        <v>-76550</v>
      </c>
      <c r="AB16" s="119">
        <f>SUM(M16:P16)</f>
        <v>-80536</v>
      </c>
      <c r="AC16" s="119">
        <f>SUM(N16:Q16)</f>
        <v>-83749</v>
      </c>
      <c r="AD16" s="119">
        <f>SUM(O16:R16)</f>
        <v>-88123</v>
      </c>
      <c r="AE16" s="119">
        <f>SUM(P16:S16)</f>
        <v>-88599</v>
      </c>
      <c r="AF16" s="119">
        <f>SUM(Q16:T16)</f>
        <v>-82753</v>
      </c>
      <c r="AG16" s="119">
        <f>SUM(R16:U16)</f>
        <v>-81006</v>
      </c>
      <c r="AH16" s="33"/>
      <c r="AI16" s="108">
        <f t="shared" si="7"/>
        <v>-3.2752629882147888E-2</v>
      </c>
    </row>
    <row r="17" spans="1:35" x14ac:dyDescent="0.2">
      <c r="B17" s="116" t="s">
        <v>174</v>
      </c>
      <c r="C17" s="118">
        <v>-21130</v>
      </c>
      <c r="D17" s="118">
        <v>-22883</v>
      </c>
      <c r="E17" s="118">
        <v>-23497</v>
      </c>
      <c r="F17" s="118">
        <v>-25799</v>
      </c>
      <c r="G17" s="118"/>
      <c r="H17" s="118">
        <v>-5682</v>
      </c>
      <c r="I17" s="118">
        <v>-5180</v>
      </c>
      <c r="J17" s="118">
        <v>-6188</v>
      </c>
      <c r="K17" s="118">
        <f>SUM(D17-SUM(H17:J17))</f>
        <v>-5833</v>
      </c>
      <c r="L17" s="118">
        <v>-5234</v>
      </c>
      <c r="M17" s="118">
        <v>-6191</v>
      </c>
      <c r="N17" s="118">
        <v>-6070</v>
      </c>
      <c r="O17" s="118">
        <f>SUM(E17-SUM(L17:N17))</f>
        <v>-6002</v>
      </c>
      <c r="P17" s="118">
        <v>-5314</v>
      </c>
      <c r="Q17" s="118">
        <v>-5746</v>
      </c>
      <c r="R17" s="118">
        <v>-7307</v>
      </c>
      <c r="S17" s="119">
        <f t="shared" si="39"/>
        <v>-7432</v>
      </c>
      <c r="T17" s="118">
        <v>-8136</v>
      </c>
      <c r="U17" s="118">
        <v>-7809</v>
      </c>
      <c r="V17" s="118"/>
      <c r="W17" s="119">
        <f>SUM(H17:K17)</f>
        <v>-22883</v>
      </c>
      <c r="X17" s="119">
        <f>SUM(I17:L17)</f>
        <v>-22435</v>
      </c>
      <c r="Y17" s="119">
        <f>SUM(J17:M17)</f>
        <v>-23446</v>
      </c>
      <c r="Z17" s="119">
        <f>SUM(K17:N17)</f>
        <v>-23328</v>
      </c>
      <c r="AA17" s="119">
        <f>SUM(L17:O17)</f>
        <v>-23497</v>
      </c>
      <c r="AB17" s="119">
        <f>SUM(M17:P17)</f>
        <v>-23577</v>
      </c>
      <c r="AC17" s="119">
        <f>SUM(N17:Q17)</f>
        <v>-23132</v>
      </c>
      <c r="AD17" s="119">
        <f>SUM(O17:R17)</f>
        <v>-24369</v>
      </c>
      <c r="AE17" s="119">
        <f>SUM(P17:S17)</f>
        <v>-25799</v>
      </c>
      <c r="AF17" s="119">
        <f>SUM(Q17:T17)</f>
        <v>-28621</v>
      </c>
      <c r="AG17" s="119">
        <f>SUM(R17:U17)</f>
        <v>-30684</v>
      </c>
      <c r="AH17" s="32"/>
      <c r="AI17" s="108">
        <f t="shared" si="7"/>
        <v>0.32647414836589994</v>
      </c>
    </row>
    <row r="18" spans="1:35" x14ac:dyDescent="0.2">
      <c r="B18" s="105" t="s">
        <v>98</v>
      </c>
      <c r="C18" s="106">
        <f>+SUM(C14+SUM(C16:C17))</f>
        <v>-81208</v>
      </c>
      <c r="D18" s="106">
        <f t="shared" ref="D18:F18" si="40">+SUM(D14+SUM(D16:D17))</f>
        <v>-84578</v>
      </c>
      <c r="E18" s="106">
        <f t="shared" si="40"/>
        <v>-100047</v>
      </c>
      <c r="F18" s="106">
        <f t="shared" si="40"/>
        <v>-114398</v>
      </c>
      <c r="G18" s="93"/>
      <c r="H18" s="106">
        <f t="shared" ref="H18" si="41">+SUM(H14+SUM(H16:H17))</f>
        <v>-21763</v>
      </c>
      <c r="I18" s="106">
        <f t="shared" ref="I18" si="42">+SUM(I14+SUM(I16:I17))</f>
        <v>-18531</v>
      </c>
      <c r="J18" s="106">
        <f t="shared" ref="J18" si="43">+SUM(J14+SUM(J16:J17))</f>
        <v>-23494</v>
      </c>
      <c r="K18" s="106">
        <f t="shared" ref="K18" si="44">+SUM(K14+SUM(K16:K17))</f>
        <v>-20790</v>
      </c>
      <c r="L18" s="106">
        <f t="shared" ref="L18" si="45">+SUM(L14+SUM(L16:L17))</f>
        <v>-22512</v>
      </c>
      <c r="M18" s="106">
        <f t="shared" ref="M18" si="46">+SUM(M14+SUM(M16:M17))</f>
        <v>-26731</v>
      </c>
      <c r="N18" s="106">
        <f t="shared" ref="N18" si="47">+SUM(N14+SUM(N16:N17))</f>
        <v>-24622</v>
      </c>
      <c r="O18" s="106">
        <f t="shared" ref="O18" si="48">+SUM(O14+SUM(O16:O17))</f>
        <v>-26182</v>
      </c>
      <c r="P18" s="106">
        <f t="shared" ref="P18" si="49">+SUM(P14+SUM(P16:P17))</f>
        <v>-26578</v>
      </c>
      <c r="Q18" s="106">
        <f t="shared" ref="Q18" si="50">+SUM(Q14+SUM(Q16:Q17))</f>
        <v>-29499</v>
      </c>
      <c r="R18" s="106">
        <f t="shared" ref="R18" si="51">+SUM(R14+SUM(R16:R17))</f>
        <v>-30233</v>
      </c>
      <c r="S18" s="106">
        <f t="shared" ref="S18" si="52">+SUM(S14+SUM(S16:S17))</f>
        <v>-28088</v>
      </c>
      <c r="T18" s="106">
        <f t="shared" ref="T18" si="53">+SUM(T14+SUM(T16:T17))</f>
        <v>-23184</v>
      </c>
      <c r="U18" s="106">
        <f t="shared" ref="U18" si="54">+SUM(U14+SUM(U16:U17))</f>
        <v>-29727</v>
      </c>
      <c r="V18" s="93"/>
      <c r="W18" s="106">
        <f t="shared" ref="W18:X18" si="55">+SUM(W14+SUM(W16:W17))</f>
        <v>-84578</v>
      </c>
      <c r="X18" s="106">
        <f t="shared" si="55"/>
        <v>-85327</v>
      </c>
      <c r="Y18" s="106">
        <f t="shared" ref="Y18" si="56">+SUM(Y14+SUM(Y16:Y17))</f>
        <v>-93527</v>
      </c>
      <c r="Z18" s="106">
        <f t="shared" ref="Z18" si="57">+SUM(Z14+SUM(Z16:Z17))</f>
        <v>-94655</v>
      </c>
      <c r="AA18" s="106">
        <f t="shared" ref="AA18" si="58">+SUM(AA14+SUM(AA16:AA17))</f>
        <v>-100047</v>
      </c>
      <c r="AB18" s="106">
        <f t="shared" ref="AB18" si="59">+SUM(AB14+SUM(AB16:AB17))</f>
        <v>-104113</v>
      </c>
      <c r="AC18" s="106">
        <f t="shared" ref="AC18" si="60">+SUM(AC14+SUM(AC16:AC17))</f>
        <v>-106881</v>
      </c>
      <c r="AD18" s="106">
        <f t="shared" ref="AD18" si="61">+SUM(AD14+SUM(AD16:AD17))</f>
        <v>-112492</v>
      </c>
      <c r="AE18" s="106">
        <f t="shared" ref="AE18" si="62">+SUM(AE14+SUM(AE16:AE17))</f>
        <v>-114398</v>
      </c>
      <c r="AF18" s="106">
        <f t="shared" ref="AF18" si="63">+SUM(AF14+SUM(AF16:AF17))</f>
        <v>-111004</v>
      </c>
      <c r="AG18" s="106">
        <f t="shared" ref="AG18" si="64">+SUM(AG14+SUM(AG16:AG17))</f>
        <v>-111232</v>
      </c>
      <c r="AH18" s="34"/>
      <c r="AI18" s="109">
        <f t="shared" si="7"/>
        <v>4.0708825703352325E-2</v>
      </c>
    </row>
    <row r="19" spans="1:35" ht="5.0999999999999996" customHeight="1" x14ac:dyDescent="0.2">
      <c r="B19" s="35"/>
      <c r="C19" s="36"/>
      <c r="D19" s="37"/>
      <c r="E19" s="37"/>
      <c r="F19" s="37"/>
      <c r="G19" s="37"/>
      <c r="H19" s="38"/>
      <c r="I19" s="37"/>
      <c r="J19" s="37"/>
      <c r="K19" s="37"/>
      <c r="L19" s="37"/>
      <c r="M19" s="37"/>
      <c r="N19" s="37"/>
      <c r="O19" s="37"/>
      <c r="P19" s="37"/>
      <c r="Q19" s="37"/>
      <c r="R19" s="37"/>
      <c r="S19" s="37"/>
      <c r="T19" s="37"/>
      <c r="U19" s="37"/>
      <c r="W19" s="39"/>
      <c r="X19" s="39"/>
      <c r="Y19" s="39"/>
      <c r="Z19" s="39"/>
      <c r="AA19" s="39"/>
      <c r="AB19" s="39"/>
      <c r="AC19" s="39"/>
      <c r="AD19" s="39"/>
      <c r="AE19" s="39"/>
      <c r="AF19" s="39"/>
      <c r="AG19" s="39"/>
      <c r="AH19" s="34"/>
      <c r="AI19" s="108"/>
    </row>
    <row r="20" spans="1:35" x14ac:dyDescent="0.2">
      <c r="B20" s="116" t="s">
        <v>16</v>
      </c>
      <c r="C20" s="118">
        <v>16</v>
      </c>
      <c r="D20" s="118">
        <v>2629</v>
      </c>
      <c r="E20" s="118">
        <v>5467</v>
      </c>
      <c r="F20" s="118">
        <v>4104</v>
      </c>
      <c r="G20" s="118"/>
      <c r="H20" s="118">
        <v>31</v>
      </c>
      <c r="I20" s="118">
        <v>301</v>
      </c>
      <c r="J20" s="118">
        <v>883</v>
      </c>
      <c r="K20" s="118">
        <f>SUM(D20-SUM(H20:J20))</f>
        <v>1414</v>
      </c>
      <c r="L20" s="118">
        <v>1475</v>
      </c>
      <c r="M20" s="118">
        <v>1479</v>
      </c>
      <c r="N20" s="118">
        <v>1369</v>
      </c>
      <c r="O20" s="118">
        <f>SUM(E20-SUM(L20:N20))</f>
        <v>1144</v>
      </c>
      <c r="P20" s="118">
        <v>1031</v>
      </c>
      <c r="Q20" s="118">
        <v>1310</v>
      </c>
      <c r="R20" s="118">
        <v>911</v>
      </c>
      <c r="S20" s="119">
        <f t="shared" ref="S20:S24" si="65">SUM(F20-SUM(P20:R20))</f>
        <v>852</v>
      </c>
      <c r="T20" s="118">
        <v>662</v>
      </c>
      <c r="U20" s="118">
        <v>832</v>
      </c>
      <c r="V20" s="118"/>
      <c r="W20" s="119">
        <f>SUM(H20:K20)</f>
        <v>2629</v>
      </c>
      <c r="X20" s="119">
        <f>SUM(I20:L20)</f>
        <v>4073</v>
      </c>
      <c r="Y20" s="119">
        <f>SUM(J20:M20)</f>
        <v>5251</v>
      </c>
      <c r="Z20" s="119">
        <f>SUM(K20:N20)</f>
        <v>5737</v>
      </c>
      <c r="AA20" s="119">
        <f>SUM(L20:O20)</f>
        <v>5467</v>
      </c>
      <c r="AB20" s="119">
        <f>SUM(M20:P20)</f>
        <v>5023</v>
      </c>
      <c r="AC20" s="119">
        <f>SUM(N20:Q20)</f>
        <v>4854</v>
      </c>
      <c r="AD20" s="119">
        <f>SUM(O20:R20)</f>
        <v>4396</v>
      </c>
      <c r="AE20" s="119">
        <f>SUM(P20:S20)</f>
        <v>4104</v>
      </c>
      <c r="AF20" s="119">
        <f>SUM(Q20:T20)</f>
        <v>3735</v>
      </c>
      <c r="AG20" s="119">
        <f>SUM(R20:U20)</f>
        <v>3257</v>
      </c>
      <c r="AH20" s="32"/>
      <c r="AI20" s="108">
        <f t="shared" si="7"/>
        <v>-0.32900700453234444</v>
      </c>
    </row>
    <row r="21" spans="1:35" x14ac:dyDescent="0.2">
      <c r="B21" s="116" t="s">
        <v>28</v>
      </c>
      <c r="C21" s="118">
        <v>-4348</v>
      </c>
      <c r="D21" s="118">
        <v>-6200</v>
      </c>
      <c r="E21" s="118">
        <v>-6599</v>
      </c>
      <c r="F21" s="118">
        <v>-9277</v>
      </c>
      <c r="G21" s="118"/>
      <c r="H21" s="118">
        <v>-1432</v>
      </c>
      <c r="I21" s="118">
        <v>-1488</v>
      </c>
      <c r="J21" s="118">
        <v>-1641</v>
      </c>
      <c r="K21" s="118">
        <f>SUM(D21-SUM(H21:J21))</f>
        <v>-1639</v>
      </c>
      <c r="L21" s="118">
        <v>-1699</v>
      </c>
      <c r="M21" s="118">
        <v>-1710</v>
      </c>
      <c r="N21" s="118">
        <v>-1463</v>
      </c>
      <c r="O21" s="118">
        <f>SUM(E21-SUM(L21:N21))</f>
        <v>-1727</v>
      </c>
      <c r="P21" s="118">
        <v>-1816</v>
      </c>
      <c r="Q21" s="118">
        <v>-2515</v>
      </c>
      <c r="R21" s="118">
        <v>-2438</v>
      </c>
      <c r="S21" s="119">
        <f t="shared" si="65"/>
        <v>-2508</v>
      </c>
      <c r="T21" s="118">
        <v>-3000</v>
      </c>
      <c r="U21" s="118">
        <v>-2545</v>
      </c>
      <c r="V21" s="118"/>
      <c r="W21" s="119">
        <f>SUM(H21:K21)</f>
        <v>-6200</v>
      </c>
      <c r="X21" s="119">
        <f>SUM(I21:L21)</f>
        <v>-6467</v>
      </c>
      <c r="Y21" s="119">
        <f>SUM(J21:M21)</f>
        <v>-6689</v>
      </c>
      <c r="Z21" s="119">
        <f>SUM(K21:N21)</f>
        <v>-6511</v>
      </c>
      <c r="AA21" s="119">
        <f>SUM(L21:O21)</f>
        <v>-6599</v>
      </c>
      <c r="AB21" s="119">
        <f>SUM(M21:P21)</f>
        <v>-6716</v>
      </c>
      <c r="AC21" s="119">
        <f>SUM(N21:Q21)</f>
        <v>-7521</v>
      </c>
      <c r="AD21" s="119">
        <f>SUM(O21:R21)</f>
        <v>-8496</v>
      </c>
      <c r="AE21" s="119">
        <f>SUM(P21:S21)</f>
        <v>-9277</v>
      </c>
      <c r="AF21" s="119">
        <f>SUM(Q21:T21)</f>
        <v>-10461</v>
      </c>
      <c r="AG21" s="119">
        <f>SUM(R21:U21)</f>
        <v>-10491</v>
      </c>
      <c r="AH21" s="32"/>
      <c r="AI21" s="108">
        <f t="shared" si="7"/>
        <v>0.39489429597128045</v>
      </c>
    </row>
    <row r="22" spans="1:35" x14ac:dyDescent="0.2">
      <c r="B22" s="117" t="s">
        <v>46</v>
      </c>
      <c r="C22" s="118">
        <v>55772</v>
      </c>
      <c r="D22" s="118">
        <v>75767</v>
      </c>
      <c r="E22" s="118">
        <v>-10023</v>
      </c>
      <c r="F22" s="118">
        <v>-33045</v>
      </c>
      <c r="G22" s="118"/>
      <c r="H22" s="118">
        <v>3258</v>
      </c>
      <c r="I22" s="118">
        <v>56353</v>
      </c>
      <c r="J22" s="118">
        <v>-962</v>
      </c>
      <c r="K22" s="118">
        <f t="shared" ref="K22" si="66">SUM(D22-SUM(H22:J22))</f>
        <v>17118</v>
      </c>
      <c r="L22" s="118">
        <v>-14191</v>
      </c>
      <c r="M22" s="118">
        <v>3627</v>
      </c>
      <c r="N22" s="118">
        <v>-1144</v>
      </c>
      <c r="O22" s="118">
        <f t="shared" ref="O22" si="67">SUM(E22-SUM(L22:N22))</f>
        <v>1685</v>
      </c>
      <c r="P22" s="118">
        <v>-4593</v>
      </c>
      <c r="Q22" s="118">
        <v>-25571</v>
      </c>
      <c r="R22" s="118">
        <v>-8489</v>
      </c>
      <c r="S22" s="119">
        <f t="shared" si="65"/>
        <v>5608</v>
      </c>
      <c r="T22" s="118">
        <v>49731</v>
      </c>
      <c r="U22" s="118">
        <v>-5470</v>
      </c>
      <c r="V22" s="118"/>
      <c r="W22" s="119">
        <f>SUM(H22:K22)</f>
        <v>75767</v>
      </c>
      <c r="X22" s="119">
        <f>SUM(I22:L22)</f>
        <v>58318</v>
      </c>
      <c r="Y22" s="119">
        <f>SUM(J22:M22)</f>
        <v>5592</v>
      </c>
      <c r="Z22" s="119">
        <f>SUM(K22:N22)</f>
        <v>5410</v>
      </c>
      <c r="AA22" s="119">
        <f>SUM(L22:O22)</f>
        <v>-10023</v>
      </c>
      <c r="AB22" s="119">
        <f>SUM(M22:P22)</f>
        <v>-425</v>
      </c>
      <c r="AC22" s="119">
        <f>SUM(N22:Q22)</f>
        <v>-29623</v>
      </c>
      <c r="AD22" s="119">
        <f>SUM(O22:R22)</f>
        <v>-36968</v>
      </c>
      <c r="AE22" s="119">
        <f>SUM(P22:S22)</f>
        <v>-33045</v>
      </c>
      <c r="AF22" s="119">
        <f>SUM(Q22:T22)</f>
        <v>21279</v>
      </c>
      <c r="AG22" s="119">
        <f>SUM(R22:U22)</f>
        <v>41380</v>
      </c>
      <c r="AH22" s="32"/>
      <c r="AI22" s="108">
        <f t="shared" si="7"/>
        <v>-2.3968875535901155</v>
      </c>
    </row>
    <row r="23" spans="1:35" x14ac:dyDescent="0.2">
      <c r="B23" s="116" t="s">
        <v>47</v>
      </c>
      <c r="C23" s="118">
        <v>0</v>
      </c>
      <c r="D23" s="118">
        <v>417</v>
      </c>
      <c r="E23" s="118">
        <v>-260</v>
      </c>
      <c r="F23" s="118">
        <v>3915</v>
      </c>
      <c r="G23" s="118"/>
      <c r="H23" s="118">
        <v>0</v>
      </c>
      <c r="I23" s="118">
        <v>0</v>
      </c>
      <c r="J23" s="118">
        <v>0</v>
      </c>
      <c r="K23" s="118">
        <f>SUM(D23-SUM(H23:J23))</f>
        <v>417</v>
      </c>
      <c r="L23" s="118">
        <v>0</v>
      </c>
      <c r="M23" s="118">
        <v>-57</v>
      </c>
      <c r="N23" s="118">
        <v>-135</v>
      </c>
      <c r="O23" s="118">
        <f>SUM(E23-SUM(L23:N23))</f>
        <v>-68</v>
      </c>
      <c r="P23" s="118">
        <v>60</v>
      </c>
      <c r="Q23" s="118">
        <v>-388</v>
      </c>
      <c r="R23" s="118">
        <v>1047</v>
      </c>
      <c r="S23" s="119">
        <f>SUM(F23-SUM(P23:R23))</f>
        <v>3196</v>
      </c>
      <c r="T23" s="118">
        <v>14930</v>
      </c>
      <c r="U23" s="118">
        <v>-748</v>
      </c>
      <c r="V23" s="118"/>
      <c r="W23" s="119">
        <f>SUM(H23:K23)</f>
        <v>417</v>
      </c>
      <c r="X23" s="119">
        <f>SUM(I23:L23)</f>
        <v>417</v>
      </c>
      <c r="Y23" s="119">
        <f>SUM(J23:M23)</f>
        <v>360</v>
      </c>
      <c r="Z23" s="119">
        <f>SUM(K23:N23)</f>
        <v>225</v>
      </c>
      <c r="AA23" s="119">
        <f>SUM(L23:O23)</f>
        <v>-260</v>
      </c>
      <c r="AB23" s="119">
        <f>SUM(M23:P23)</f>
        <v>-200</v>
      </c>
      <c r="AC23" s="119">
        <f>SUM(N23:Q23)</f>
        <v>-531</v>
      </c>
      <c r="AD23" s="119">
        <f>SUM(O23:R23)</f>
        <v>651</v>
      </c>
      <c r="AE23" s="119">
        <f>SUM(P23:S23)</f>
        <v>3915</v>
      </c>
      <c r="AF23" s="119">
        <f>SUM(Q23:T23)</f>
        <v>18785</v>
      </c>
      <c r="AG23" s="119">
        <f>SUM(R23:U23)</f>
        <v>18425</v>
      </c>
      <c r="AH23" s="32"/>
      <c r="AI23" s="108">
        <f>SUM(AG23/AC23)-1</f>
        <v>-35.698681732580035</v>
      </c>
    </row>
    <row r="24" spans="1:35" ht="14.25" x14ac:dyDescent="0.2">
      <c r="B24" s="116" t="s">
        <v>114</v>
      </c>
      <c r="C24" s="118">
        <f>56+3284-49</f>
        <v>3291</v>
      </c>
      <c r="D24" s="118">
        <v>0</v>
      </c>
      <c r="E24" s="118">
        <f>3107-2421</f>
        <v>686</v>
      </c>
      <c r="F24" s="118">
        <v>0</v>
      </c>
      <c r="G24" s="118"/>
      <c r="H24" s="118">
        <v>74</v>
      </c>
      <c r="I24" s="118">
        <v>233</v>
      </c>
      <c r="J24" s="118">
        <v>-67</v>
      </c>
      <c r="K24" s="118">
        <f t="shared" ref="K24" si="68">SUM(D24-SUM(H24:J24))</f>
        <v>-240</v>
      </c>
      <c r="L24" s="118">
        <v>-42</v>
      </c>
      <c r="M24" s="118">
        <f>3107-2421</f>
        <v>686</v>
      </c>
      <c r="N24" s="118">
        <v>0</v>
      </c>
      <c r="O24" s="118">
        <f>SUM(E24-SUM(L24:N24))</f>
        <v>42</v>
      </c>
      <c r="P24" s="118">
        <v>0</v>
      </c>
      <c r="Q24" s="118">
        <v>0</v>
      </c>
      <c r="R24" s="118">
        <v>0</v>
      </c>
      <c r="S24" s="119">
        <f t="shared" si="65"/>
        <v>0</v>
      </c>
      <c r="T24" s="118">
        <v>0</v>
      </c>
      <c r="U24" s="118">
        <v>0</v>
      </c>
      <c r="V24" s="118"/>
      <c r="W24" s="119"/>
      <c r="X24" s="119"/>
      <c r="Y24" s="119"/>
      <c r="Z24" s="119"/>
      <c r="AA24" s="119"/>
      <c r="AB24" s="119"/>
      <c r="AC24" s="119">
        <f>SUM(N24:Q24)</f>
        <v>42</v>
      </c>
      <c r="AD24" s="119">
        <f>SUM(O24:R24)</f>
        <v>42</v>
      </c>
      <c r="AE24" s="119">
        <f>SUM(P24:S24)</f>
        <v>0</v>
      </c>
      <c r="AF24" s="119">
        <f>SUM(Q24:T24)</f>
        <v>0</v>
      </c>
      <c r="AG24" s="119">
        <f>SUM(R24:U24)</f>
        <v>0</v>
      </c>
      <c r="AH24" s="32"/>
      <c r="AI24" s="108">
        <f>SUM(AG24/AC24)-1</f>
        <v>-1</v>
      </c>
    </row>
    <row r="25" spans="1:35" x14ac:dyDescent="0.2">
      <c r="B25" s="104" t="s">
        <v>17</v>
      </c>
      <c r="C25" s="106">
        <f>SUM(C18+SUM(C20:C24))</f>
        <v>-26477</v>
      </c>
      <c r="D25" s="106">
        <f>SUM(D18+SUM(D20:D24))</f>
        <v>-11965</v>
      </c>
      <c r="E25" s="106">
        <f>SUM(E18+SUM(E20:E24))</f>
        <v>-110776</v>
      </c>
      <c r="F25" s="106">
        <f>SUM(F18+SUM(F20:F24))</f>
        <v>-148701</v>
      </c>
      <c r="G25" s="93"/>
      <c r="H25" s="106">
        <f>SUM(H18+SUM(H20:H24))</f>
        <v>-19832</v>
      </c>
      <c r="I25" s="106">
        <f>SUM(I18+SUM(I20:I24))</f>
        <v>36868</v>
      </c>
      <c r="J25" s="106">
        <f>SUM(J18+SUM(J20:J24))</f>
        <v>-25281</v>
      </c>
      <c r="K25" s="106">
        <f>SUM(K18+SUM(K20:K24))</f>
        <v>-3720</v>
      </c>
      <c r="L25" s="106">
        <f>SUM(L18+SUM(L20:L24))</f>
        <v>-36969</v>
      </c>
      <c r="M25" s="106">
        <f>SUM(M18+SUM(M20:M24))</f>
        <v>-22706</v>
      </c>
      <c r="N25" s="106">
        <f>SUM(N18+SUM(N20:N24))</f>
        <v>-25995</v>
      </c>
      <c r="O25" s="106">
        <f>SUM(O18+SUM(O20:O24))</f>
        <v>-25106</v>
      </c>
      <c r="P25" s="106">
        <f>SUM(P18+SUM(P20:P24))</f>
        <v>-31896</v>
      </c>
      <c r="Q25" s="106">
        <f>SUM(Q18+SUM(Q20:Q24))</f>
        <v>-56663</v>
      </c>
      <c r="R25" s="106">
        <f>SUM(R18+SUM(R20:R24))</f>
        <v>-39202</v>
      </c>
      <c r="S25" s="106">
        <f>SUM(S18+SUM(S20:S24))</f>
        <v>-20940</v>
      </c>
      <c r="T25" s="106">
        <f>SUM(T18+SUM(T20:T24))</f>
        <v>39139</v>
      </c>
      <c r="U25" s="106">
        <f>SUM(U18+SUM(U20:U24))</f>
        <v>-37658</v>
      </c>
      <c r="V25" s="93"/>
      <c r="W25" s="106">
        <f>SUM(W20:W24)-W18</f>
        <v>157191</v>
      </c>
      <c r="X25" s="106">
        <f>SUM(X20:X24)-X18</f>
        <v>141668</v>
      </c>
      <c r="Y25" s="106">
        <f>SUM(Y20:Y24)-Y18</f>
        <v>98041</v>
      </c>
      <c r="Z25" s="106">
        <f>SUM(Z20:Z24)-Z18</f>
        <v>99516</v>
      </c>
      <c r="AA25" s="106">
        <f>SUM(AA20:AA24)-AA18</f>
        <v>88632</v>
      </c>
      <c r="AB25" s="106">
        <f>SUM(AB20:AB24)-AB18</f>
        <v>101795</v>
      </c>
      <c r="AC25" s="106">
        <f>SUM(AC20:AC24)-AC18</f>
        <v>74102</v>
      </c>
      <c r="AD25" s="106">
        <f>SUM(AD20:AD24)-AD18</f>
        <v>72117</v>
      </c>
      <c r="AE25" s="106">
        <f>SUM(AE20:AE24)-AE18</f>
        <v>80095</v>
      </c>
      <c r="AF25" s="106">
        <f>SUM(AF20:AF24)-AF18</f>
        <v>144342</v>
      </c>
      <c r="AG25" s="106">
        <f>SUM(AG20:AG24)-AG18</f>
        <v>163803</v>
      </c>
      <c r="AH25" s="34"/>
      <c r="AI25" s="109">
        <f t="shared" si="7"/>
        <v>1.2105071388086692</v>
      </c>
    </row>
    <row r="26" spans="1:35" ht="5.0999999999999996" customHeight="1" x14ac:dyDescent="0.2">
      <c r="B26" s="45"/>
      <c r="C26" s="46"/>
      <c r="D26" s="92"/>
      <c r="E26" s="92"/>
      <c r="F26" s="92"/>
      <c r="G26" s="37"/>
      <c r="H26" s="44"/>
      <c r="I26" s="92"/>
      <c r="J26" s="92"/>
      <c r="K26" s="92"/>
      <c r="L26" s="92"/>
      <c r="M26" s="92"/>
      <c r="N26" s="92"/>
      <c r="O26" s="92"/>
      <c r="P26" s="92"/>
      <c r="Q26" s="92"/>
      <c r="R26" s="92"/>
      <c r="S26" s="92"/>
      <c r="T26" s="92"/>
      <c r="U26" s="92"/>
      <c r="V26" s="44"/>
      <c r="W26" s="92"/>
      <c r="X26" s="92"/>
      <c r="Y26" s="92"/>
      <c r="Z26" s="92"/>
      <c r="AA26" s="92"/>
      <c r="AB26" s="92"/>
      <c r="AC26" s="92"/>
      <c r="AD26" s="92"/>
      <c r="AE26" s="92"/>
      <c r="AF26" s="92"/>
      <c r="AG26" s="92"/>
      <c r="AH26" s="47"/>
      <c r="AI26" s="109"/>
    </row>
    <row r="27" spans="1:35" x14ac:dyDescent="0.2">
      <c r="B27" s="116" t="s">
        <v>204</v>
      </c>
      <c r="C27" s="118">
        <v>39970.398000000001</v>
      </c>
      <c r="D27" s="118">
        <v>103051.36599999999</v>
      </c>
      <c r="E27" s="118">
        <v>103420.238</v>
      </c>
      <c r="F27" s="118">
        <v>118479.09699999999</v>
      </c>
      <c r="G27" s="118"/>
      <c r="H27" s="118">
        <v>103004.088</v>
      </c>
      <c r="I27" s="118">
        <v>103908.44</v>
      </c>
      <c r="J27" s="118">
        <v>103031.98</v>
      </c>
      <c r="K27" s="118">
        <f>D27</f>
        <v>103051.36599999999</v>
      </c>
      <c r="L27" s="118">
        <v>103263.52800000001</v>
      </c>
      <c r="M27" s="118">
        <v>103361.501</v>
      </c>
      <c r="N27" s="118">
        <v>103444.246</v>
      </c>
      <c r="O27" s="118">
        <f>E27</f>
        <v>103420.238</v>
      </c>
      <c r="P27" s="118">
        <v>108246.008</v>
      </c>
      <c r="Q27" s="118">
        <v>119174.681</v>
      </c>
      <c r="R27" s="118">
        <v>119408.565</v>
      </c>
      <c r="S27" s="118">
        <f>F27</f>
        <v>118479.09699999999</v>
      </c>
      <c r="T27" s="118">
        <v>131759.302</v>
      </c>
      <c r="U27" s="118">
        <v>155437.28099999999</v>
      </c>
      <c r="V27" s="44"/>
      <c r="W27" s="118">
        <f t="shared" ref="V27:AF27" si="69">K27</f>
        <v>103051.36599999999</v>
      </c>
      <c r="X27" s="118">
        <f t="shared" si="69"/>
        <v>103263.52800000001</v>
      </c>
      <c r="Y27" s="118">
        <f t="shared" si="69"/>
        <v>103361.501</v>
      </c>
      <c r="Z27" s="118">
        <f t="shared" si="69"/>
        <v>103444.246</v>
      </c>
      <c r="AA27" s="118">
        <f t="shared" si="69"/>
        <v>103420.238</v>
      </c>
      <c r="AB27" s="118">
        <f t="shared" si="69"/>
        <v>108246.008</v>
      </c>
      <c r="AC27" s="118">
        <f t="shared" si="69"/>
        <v>119174.681</v>
      </c>
      <c r="AD27" s="118">
        <f t="shared" si="69"/>
        <v>119408.565</v>
      </c>
      <c r="AE27" s="118">
        <f t="shared" si="69"/>
        <v>118479.09699999999</v>
      </c>
      <c r="AF27" s="118">
        <f t="shared" si="69"/>
        <v>131759.302</v>
      </c>
      <c r="AG27" s="118">
        <f>U27</f>
        <v>155437.28099999999</v>
      </c>
      <c r="AH27" s="47"/>
      <c r="AI27" s="109"/>
    </row>
    <row r="28" spans="1:35" x14ac:dyDescent="0.2">
      <c r="B28" s="104" t="s">
        <v>205</v>
      </c>
      <c r="C28" s="164">
        <f>C25/C27</f>
        <v>-0.66241522038384504</v>
      </c>
      <c r="D28" s="164">
        <f>D25/D27</f>
        <v>-0.11610714602269319</v>
      </c>
      <c r="E28" s="164">
        <f>E25/E27</f>
        <v>-1.0711249765253876</v>
      </c>
      <c r="F28" s="164">
        <f>F25/F27</f>
        <v>-1.2550821517486752</v>
      </c>
      <c r="G28" s="93"/>
      <c r="H28" s="164">
        <f>H25/H27</f>
        <v>-0.19253604769550506</v>
      </c>
      <c r="I28" s="164">
        <f>I25/I27</f>
        <v>0.35481237135308741</v>
      </c>
      <c r="J28" s="164">
        <f>J25/J27</f>
        <v>-0.24537041800031409</v>
      </c>
      <c r="K28" s="164">
        <f>K25/K27</f>
        <v>-3.6098502566186269E-2</v>
      </c>
      <c r="L28" s="164">
        <f>L25/L27</f>
        <v>-0.35800636213010267</v>
      </c>
      <c r="M28" s="164">
        <f>M25/M27</f>
        <v>-0.21967560242763889</v>
      </c>
      <c r="N28" s="164">
        <f>N25/N27</f>
        <v>-0.25129478927228105</v>
      </c>
      <c r="O28" s="164">
        <f>O25/O27</f>
        <v>-0.24275712844520819</v>
      </c>
      <c r="P28" s="164">
        <f>P25/P27</f>
        <v>-0.29466213663971791</v>
      </c>
      <c r="Q28" s="164">
        <f>Q25/Q27</f>
        <v>-0.47546172999615582</v>
      </c>
      <c r="R28" s="164">
        <f>R25/R27</f>
        <v>-0.32830140785964557</v>
      </c>
      <c r="S28" s="164">
        <f>S25/S27</f>
        <v>-0.17674003710544825</v>
      </c>
      <c r="T28" s="164">
        <f>T25/T27</f>
        <v>0.29704923603799904</v>
      </c>
      <c r="U28" s="164">
        <f>U25/U27</f>
        <v>-0.2422713505905961</v>
      </c>
      <c r="V28" s="44"/>
      <c r="W28" s="164">
        <f>W25/W27</f>
        <v>1.5253655152906951</v>
      </c>
      <c r="X28" s="164">
        <f>X25/X27</f>
        <v>1.3719074173022636</v>
      </c>
      <c r="Y28" s="164">
        <f>Y25/Y27</f>
        <v>0.94852531214692781</v>
      </c>
      <c r="Z28" s="164">
        <f>Z25/Z27</f>
        <v>0.96202547602309363</v>
      </c>
      <c r="AA28" s="164">
        <f>AA25/AA27</f>
        <v>0.85700827723873541</v>
      </c>
      <c r="AB28" s="164">
        <f>AB25/AB27</f>
        <v>0.94040419485954618</v>
      </c>
      <c r="AC28" s="164">
        <f>AC25/AC27</f>
        <v>0.62179314748910464</v>
      </c>
      <c r="AD28" s="164">
        <f>AD25/AD27</f>
        <v>0.60395165120692973</v>
      </c>
      <c r="AE28" s="164">
        <f>AE25/AE27</f>
        <v>0.6760264217746359</v>
      </c>
      <c r="AF28" s="164">
        <f>AF25/AF27</f>
        <v>1.0954976066889002</v>
      </c>
      <c r="AG28" s="164">
        <f>AG25/AG27</f>
        <v>1.0538205438629618</v>
      </c>
      <c r="AH28" s="47"/>
      <c r="AI28" s="109">
        <f t="shared" ref="AI28" si="70">SUM(AG28/AC28)-1</f>
        <v>0.69480887352723242</v>
      </c>
    </row>
    <row r="29" spans="1:35" ht="5.0999999999999996" customHeight="1" thickBot="1" x14ac:dyDescent="0.25">
      <c r="B29" s="110"/>
      <c r="C29" s="111"/>
      <c r="D29" s="112"/>
      <c r="E29" s="112"/>
      <c r="F29" s="112"/>
      <c r="G29" s="113"/>
      <c r="H29" s="114"/>
      <c r="I29" s="112"/>
      <c r="J29" s="112"/>
      <c r="K29" s="112"/>
      <c r="L29" s="112"/>
      <c r="M29" s="112"/>
      <c r="N29" s="112"/>
      <c r="O29" s="112"/>
      <c r="P29" s="112"/>
      <c r="Q29" s="112"/>
      <c r="R29" s="112"/>
      <c r="S29" s="112"/>
      <c r="T29" s="112"/>
      <c r="U29" s="112"/>
      <c r="V29" s="114"/>
      <c r="W29" s="112"/>
      <c r="X29" s="112"/>
      <c r="Y29" s="112"/>
      <c r="Z29" s="112"/>
      <c r="AA29" s="112"/>
      <c r="AB29" s="112"/>
      <c r="AC29" s="112"/>
      <c r="AD29" s="112"/>
      <c r="AE29" s="112"/>
      <c r="AF29" s="112"/>
      <c r="AG29" s="112"/>
      <c r="AH29" s="47"/>
      <c r="AI29" s="115"/>
    </row>
    <row r="30" spans="1:35" ht="24.75" customHeight="1" x14ac:dyDescent="0.2">
      <c r="B30" s="128" t="s">
        <v>113</v>
      </c>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47"/>
      <c r="AI30" s="115"/>
    </row>
    <row r="31" spans="1:35" x14ac:dyDescent="0.2">
      <c r="B31" s="45"/>
      <c r="C31" s="46"/>
      <c r="D31" s="37"/>
      <c r="E31" s="37"/>
      <c r="F31" s="37"/>
      <c r="G31" s="37"/>
      <c r="H31" s="44"/>
      <c r="I31" s="37"/>
      <c r="J31" s="37"/>
      <c r="K31" s="37"/>
      <c r="L31" s="37"/>
      <c r="M31" s="37"/>
      <c r="N31" s="37"/>
      <c r="O31" s="37"/>
      <c r="P31" s="37"/>
      <c r="Q31" s="37"/>
      <c r="R31" s="37"/>
      <c r="S31" s="37"/>
      <c r="T31" s="37"/>
      <c r="U31" s="37"/>
      <c r="V31" s="44"/>
      <c r="W31" s="39"/>
      <c r="X31" s="39"/>
      <c r="Y31" s="39"/>
      <c r="Z31" s="39"/>
      <c r="AA31" s="39"/>
      <c r="AB31" s="39"/>
      <c r="AC31" s="39"/>
      <c r="AD31" s="39"/>
      <c r="AE31" s="39"/>
      <c r="AF31" s="39"/>
      <c r="AG31" s="39"/>
      <c r="AH31" s="47"/>
      <c r="AI31" s="1"/>
    </row>
    <row r="32" spans="1:35" x14ac:dyDescent="0.2">
      <c r="A32" s="24" t="s">
        <v>3</v>
      </c>
      <c r="B32" s="25" t="s">
        <v>99</v>
      </c>
      <c r="C32" s="48"/>
      <c r="D32" s="48"/>
      <c r="E32" s="48"/>
      <c r="F32" s="48"/>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row>
    <row r="33" spans="2:35" ht="3.75" customHeight="1" x14ac:dyDescent="0.2">
      <c r="B33" s="49"/>
      <c r="C33" s="50"/>
      <c r="D33" s="50"/>
      <c r="E33" s="50"/>
      <c r="F33" s="50"/>
    </row>
    <row r="34" spans="2:35" x14ac:dyDescent="0.2">
      <c r="B34" s="40" t="s">
        <v>18</v>
      </c>
      <c r="D34" s="41"/>
      <c r="E34" s="41"/>
      <c r="F34" s="41"/>
    </row>
    <row r="35" spans="2:35" x14ac:dyDescent="0.2">
      <c r="B35" s="87" t="s">
        <v>19</v>
      </c>
      <c r="C35" s="88">
        <v>217502</v>
      </c>
      <c r="D35" s="88">
        <v>149772</v>
      </c>
      <c r="E35" s="88">
        <v>80448</v>
      </c>
      <c r="F35" s="88">
        <v>44937</v>
      </c>
      <c r="G35" s="88"/>
      <c r="H35" s="88">
        <v>198222</v>
      </c>
      <c r="I35" s="88">
        <v>181035</v>
      </c>
      <c r="J35" s="88">
        <v>163731</v>
      </c>
      <c r="K35" s="88">
        <f t="shared" ref="K35:K46" si="71">D35</f>
        <v>149772</v>
      </c>
      <c r="L35" s="88">
        <v>129570</v>
      </c>
      <c r="M35" s="88">
        <v>114604</v>
      </c>
      <c r="N35" s="88">
        <v>99986</v>
      </c>
      <c r="O35" s="88">
        <f t="shared" ref="O35:O38" si="72">E35</f>
        <v>80448</v>
      </c>
      <c r="P35" s="88">
        <v>115505</v>
      </c>
      <c r="Q35" s="88">
        <v>93563</v>
      </c>
      <c r="R35" s="88">
        <v>20571</v>
      </c>
      <c r="S35" s="88">
        <f>F35</f>
        <v>44937</v>
      </c>
      <c r="T35" s="88">
        <v>62847</v>
      </c>
      <c r="U35" s="88">
        <v>38032</v>
      </c>
      <c r="V35" s="88"/>
      <c r="W35" s="88">
        <f t="shared" ref="W35:X38" si="73">K35</f>
        <v>149772</v>
      </c>
      <c r="X35" s="88">
        <f t="shared" si="73"/>
        <v>129570</v>
      </c>
      <c r="Y35" s="88">
        <f t="shared" ref="Y35:Y38" si="74">M35</f>
        <v>114604</v>
      </c>
      <c r="Z35" s="88">
        <f t="shared" ref="Z35:Z38" si="75">N35</f>
        <v>99986</v>
      </c>
      <c r="AA35" s="88">
        <f t="shared" ref="AA35:AA38" si="76">O35</f>
        <v>80448</v>
      </c>
      <c r="AB35" s="88">
        <f t="shared" ref="AB35:AB38" si="77">P35</f>
        <v>115505</v>
      </c>
      <c r="AC35" s="88">
        <f t="shared" ref="AC35:AC38" si="78">Q35</f>
        <v>93563</v>
      </c>
      <c r="AD35" s="88">
        <f t="shared" ref="AD35:AF38" si="79">R35</f>
        <v>20571</v>
      </c>
      <c r="AE35" s="88">
        <f t="shared" si="79"/>
        <v>44937</v>
      </c>
      <c r="AF35" s="88">
        <f t="shared" si="79"/>
        <v>62847</v>
      </c>
      <c r="AG35" s="88">
        <f>U35</f>
        <v>38032</v>
      </c>
      <c r="AH35" s="32"/>
      <c r="AI35" s="108">
        <f t="shared" ref="AI35:AI40" si="80">SUM(AG35/AC35)-1</f>
        <v>-0.59351453031647128</v>
      </c>
    </row>
    <row r="36" spans="2:35" x14ac:dyDescent="0.2">
      <c r="B36" s="87" t="s">
        <v>49</v>
      </c>
      <c r="C36" s="88">
        <v>176</v>
      </c>
      <c r="D36" s="88">
        <v>31</v>
      </c>
      <c r="E36" s="88">
        <v>0</v>
      </c>
      <c r="F36" s="88">
        <v>0</v>
      </c>
      <c r="G36" s="88"/>
      <c r="H36" s="88">
        <v>233</v>
      </c>
      <c r="I36" s="88">
        <v>1301</v>
      </c>
      <c r="J36" s="88">
        <v>31</v>
      </c>
      <c r="K36" s="88">
        <f>D36</f>
        <v>31</v>
      </c>
      <c r="L36" s="88">
        <v>0</v>
      </c>
      <c r="M36" s="88">
        <v>0</v>
      </c>
      <c r="N36" s="88">
        <v>0</v>
      </c>
      <c r="O36" s="88">
        <f>E36</f>
        <v>0</v>
      </c>
      <c r="P36" s="88">
        <v>0</v>
      </c>
      <c r="Q36" s="88">
        <v>0</v>
      </c>
      <c r="R36" s="88">
        <v>0</v>
      </c>
      <c r="S36" s="88">
        <f>F36</f>
        <v>0</v>
      </c>
      <c r="T36" s="88">
        <v>488</v>
      </c>
      <c r="U36" s="88">
        <v>394</v>
      </c>
      <c r="V36" s="88"/>
      <c r="W36" s="88">
        <f>K36</f>
        <v>31</v>
      </c>
      <c r="X36" s="88">
        <f>L36</f>
        <v>0</v>
      </c>
      <c r="Y36" s="88">
        <f>M36</f>
        <v>0</v>
      </c>
      <c r="Z36" s="88">
        <f>N36</f>
        <v>0</v>
      </c>
      <c r="AA36" s="88">
        <f>O36</f>
        <v>0</v>
      </c>
      <c r="AB36" s="88">
        <f>P36</f>
        <v>0</v>
      </c>
      <c r="AC36" s="88">
        <f>Q36</f>
        <v>0</v>
      </c>
      <c r="AD36" s="88">
        <f>R36</f>
        <v>0</v>
      </c>
      <c r="AE36" s="88">
        <f>S36</f>
        <v>0</v>
      </c>
      <c r="AF36" s="88">
        <f>T36</f>
        <v>488</v>
      </c>
      <c r="AG36" s="88">
        <f>U36</f>
        <v>394</v>
      </c>
      <c r="AH36" s="32"/>
      <c r="AI36" s="108" t="e">
        <f>SUM(AG36/AC36)-1</f>
        <v>#DIV/0!</v>
      </c>
    </row>
    <row r="37" spans="2:35" x14ac:dyDescent="0.2">
      <c r="B37" s="87" t="s">
        <v>48</v>
      </c>
      <c r="C37" s="88">
        <v>8000</v>
      </c>
      <c r="D37" s="88">
        <v>2107</v>
      </c>
      <c r="E37" s="88">
        <v>0</v>
      </c>
      <c r="F37" s="88">
        <v>0</v>
      </c>
      <c r="G37" s="88"/>
      <c r="H37" s="88">
        <v>8000</v>
      </c>
      <c r="I37" s="88">
        <v>8000</v>
      </c>
      <c r="J37" s="88">
        <v>8000</v>
      </c>
      <c r="K37" s="88">
        <f>D37</f>
        <v>2107</v>
      </c>
      <c r="L37" s="88">
        <v>2107</v>
      </c>
      <c r="M37" s="88">
        <v>0</v>
      </c>
      <c r="N37" s="88">
        <v>0</v>
      </c>
      <c r="O37" s="88">
        <f>E37</f>
        <v>0</v>
      </c>
      <c r="P37" s="88">
        <v>0</v>
      </c>
      <c r="Q37" s="88">
        <v>0</v>
      </c>
      <c r="R37" s="88">
        <v>0</v>
      </c>
      <c r="S37" s="88">
        <f>F37</f>
        <v>0</v>
      </c>
      <c r="T37" s="88">
        <v>0</v>
      </c>
      <c r="U37" s="88">
        <v>0</v>
      </c>
      <c r="V37" s="88"/>
      <c r="W37" s="88">
        <f>K37</f>
        <v>2107</v>
      </c>
      <c r="X37" s="88">
        <f>L37</f>
        <v>2107</v>
      </c>
      <c r="Y37" s="88">
        <f>M37</f>
        <v>0</v>
      </c>
      <c r="Z37" s="88">
        <f>N37</f>
        <v>0</v>
      </c>
      <c r="AA37" s="88">
        <f>O37</f>
        <v>0</v>
      </c>
      <c r="AB37" s="88">
        <f>P37</f>
        <v>0</v>
      </c>
      <c r="AC37" s="88">
        <f>Q37</f>
        <v>0</v>
      </c>
      <c r="AD37" s="88">
        <f>R37</f>
        <v>0</v>
      </c>
      <c r="AE37" s="88">
        <f>S37</f>
        <v>0</v>
      </c>
      <c r="AF37" s="88">
        <f>T37</f>
        <v>0</v>
      </c>
      <c r="AG37" s="88">
        <f>U37</f>
        <v>0</v>
      </c>
      <c r="AH37" s="32"/>
      <c r="AI37" s="108" t="e">
        <f>SUM(AG37/AC37)-1</f>
        <v>#DIV/0!</v>
      </c>
    </row>
    <row r="38" spans="2:35" x14ac:dyDescent="0.2">
      <c r="B38" s="87" t="s">
        <v>106</v>
      </c>
      <c r="C38" s="88">
        <v>0</v>
      </c>
      <c r="D38" s="88">
        <v>0</v>
      </c>
      <c r="E38" s="88">
        <v>0</v>
      </c>
      <c r="F38" s="88">
        <v>0</v>
      </c>
      <c r="G38" s="88"/>
      <c r="H38" s="88">
        <v>0</v>
      </c>
      <c r="I38" s="88">
        <v>0</v>
      </c>
      <c r="J38" s="88">
        <v>0</v>
      </c>
      <c r="K38" s="88">
        <f t="shared" si="71"/>
        <v>0</v>
      </c>
      <c r="L38" s="88">
        <v>0</v>
      </c>
      <c r="M38" s="88">
        <v>0</v>
      </c>
      <c r="N38" s="88">
        <v>0</v>
      </c>
      <c r="O38" s="88">
        <f t="shared" si="72"/>
        <v>0</v>
      </c>
      <c r="P38" s="88">
        <v>0</v>
      </c>
      <c r="Q38" s="88">
        <v>0</v>
      </c>
      <c r="R38" s="88">
        <v>0</v>
      </c>
      <c r="S38" s="88">
        <f t="shared" ref="S38" si="81">F38</f>
        <v>0</v>
      </c>
      <c r="T38" s="102">
        <v>8020</v>
      </c>
      <c r="U38" s="88">
        <v>11067</v>
      </c>
      <c r="V38" s="88"/>
      <c r="W38" s="88">
        <f t="shared" si="73"/>
        <v>0</v>
      </c>
      <c r="X38" s="88">
        <f t="shared" si="73"/>
        <v>0</v>
      </c>
      <c r="Y38" s="88">
        <f t="shared" si="74"/>
        <v>0</v>
      </c>
      <c r="Z38" s="88">
        <f t="shared" si="75"/>
        <v>0</v>
      </c>
      <c r="AA38" s="88">
        <f t="shared" si="76"/>
        <v>0</v>
      </c>
      <c r="AB38" s="88">
        <f t="shared" si="77"/>
        <v>0</v>
      </c>
      <c r="AC38" s="88">
        <f t="shared" si="78"/>
        <v>0</v>
      </c>
      <c r="AD38" s="88">
        <f t="shared" si="79"/>
        <v>0</v>
      </c>
      <c r="AE38" s="88">
        <f t="shared" si="79"/>
        <v>0</v>
      </c>
      <c r="AF38" s="88">
        <f t="shared" si="79"/>
        <v>8020</v>
      </c>
      <c r="AG38" s="88">
        <f t="shared" ref="AG38" si="82">U38</f>
        <v>11067</v>
      </c>
      <c r="AH38" s="32"/>
      <c r="AI38" s="108" t="e">
        <f t="shared" si="80"/>
        <v>#DIV/0!</v>
      </c>
    </row>
    <row r="39" spans="2:35" x14ac:dyDescent="0.2">
      <c r="B39" s="87" t="s">
        <v>20</v>
      </c>
      <c r="C39" s="88">
        <v>3662</v>
      </c>
      <c r="D39" s="88">
        <v>2298</v>
      </c>
      <c r="E39" s="88">
        <v>2830</v>
      </c>
      <c r="F39" s="88">
        <v>2922</v>
      </c>
      <c r="G39" s="88"/>
      <c r="H39" s="88">
        <v>2840</v>
      </c>
      <c r="I39" s="88">
        <v>2694</v>
      </c>
      <c r="J39" s="88">
        <v>2850</v>
      </c>
      <c r="K39" s="88">
        <f>D39</f>
        <v>2298</v>
      </c>
      <c r="L39" s="88">
        <v>2178</v>
      </c>
      <c r="M39" s="88">
        <v>5958</v>
      </c>
      <c r="N39" s="88">
        <v>2865</v>
      </c>
      <c r="O39" s="88">
        <f>E39</f>
        <v>2830</v>
      </c>
      <c r="P39" s="88">
        <v>2421</v>
      </c>
      <c r="Q39" s="88">
        <v>2547</v>
      </c>
      <c r="R39" s="88">
        <v>2434</v>
      </c>
      <c r="S39" s="88">
        <f>F39</f>
        <v>2922</v>
      </c>
      <c r="T39" s="88">
        <v>2350</v>
      </c>
      <c r="U39" s="88">
        <v>2237</v>
      </c>
      <c r="V39" s="88"/>
      <c r="W39" s="88">
        <f>K39</f>
        <v>2298</v>
      </c>
      <c r="X39" s="88">
        <f>L39</f>
        <v>2178</v>
      </c>
      <c r="Y39" s="88">
        <f>M39</f>
        <v>5958</v>
      </c>
      <c r="Z39" s="88">
        <f>N39</f>
        <v>2865</v>
      </c>
      <c r="AA39" s="88">
        <f>O39</f>
        <v>2830</v>
      </c>
      <c r="AB39" s="88">
        <f>P39</f>
        <v>2421</v>
      </c>
      <c r="AC39" s="88">
        <f>Q39</f>
        <v>2547</v>
      </c>
      <c r="AD39" s="88">
        <f>R39</f>
        <v>2434</v>
      </c>
      <c r="AE39" s="88">
        <f>S39</f>
        <v>2922</v>
      </c>
      <c r="AF39" s="88">
        <f>T39</f>
        <v>2350</v>
      </c>
      <c r="AG39" s="88">
        <f>U39</f>
        <v>2237</v>
      </c>
      <c r="AH39" s="32"/>
      <c r="AI39" s="108">
        <f>SUM(AG39/AC39)-1</f>
        <v>-0.12171181782489204</v>
      </c>
    </row>
    <row r="40" spans="2:35" x14ac:dyDescent="0.2">
      <c r="B40" s="51" t="s">
        <v>70</v>
      </c>
      <c r="C40" s="97">
        <f>SUM(C35:C39)</f>
        <v>229340</v>
      </c>
      <c r="D40" s="97">
        <f t="shared" ref="D40:F40" si="83">SUM(D35:D39)</f>
        <v>154208</v>
      </c>
      <c r="E40" s="97">
        <f t="shared" si="83"/>
        <v>83278</v>
      </c>
      <c r="F40" s="97">
        <f t="shared" si="83"/>
        <v>47859</v>
      </c>
      <c r="G40" s="30"/>
      <c r="H40" s="97">
        <f t="shared" ref="H40:U40" si="84">SUM(H35:H39)</f>
        <v>209295</v>
      </c>
      <c r="I40" s="97">
        <f t="shared" si="84"/>
        <v>193030</v>
      </c>
      <c r="J40" s="97">
        <f t="shared" si="84"/>
        <v>174612</v>
      </c>
      <c r="K40" s="97">
        <f t="shared" si="84"/>
        <v>154208</v>
      </c>
      <c r="L40" s="97">
        <f t="shared" si="84"/>
        <v>133855</v>
      </c>
      <c r="M40" s="97">
        <f t="shared" si="84"/>
        <v>120562</v>
      </c>
      <c r="N40" s="97">
        <f t="shared" si="84"/>
        <v>102851</v>
      </c>
      <c r="O40" s="97">
        <f t="shared" si="84"/>
        <v>83278</v>
      </c>
      <c r="P40" s="97">
        <f t="shared" si="84"/>
        <v>117926</v>
      </c>
      <c r="Q40" s="97">
        <f t="shared" si="84"/>
        <v>96110</v>
      </c>
      <c r="R40" s="97">
        <f t="shared" si="84"/>
        <v>23005</v>
      </c>
      <c r="S40" s="97">
        <f t="shared" si="84"/>
        <v>47859</v>
      </c>
      <c r="T40" s="97">
        <f t="shared" si="84"/>
        <v>73705</v>
      </c>
      <c r="U40" s="97">
        <f t="shared" si="84"/>
        <v>51730</v>
      </c>
      <c r="V40" s="30"/>
      <c r="W40" s="97">
        <f t="shared" ref="W40" si="85">SUM(W35:W39)</f>
        <v>154208</v>
      </c>
      <c r="X40" s="97">
        <f t="shared" ref="X40" si="86">SUM(X35:X39)</f>
        <v>133855</v>
      </c>
      <c r="Y40" s="97">
        <f t="shared" ref="Y40" si="87">SUM(Y35:Y39)</f>
        <v>120562</v>
      </c>
      <c r="Z40" s="97">
        <f t="shared" ref="Z40" si="88">SUM(Z35:Z39)</f>
        <v>102851</v>
      </c>
      <c r="AA40" s="97">
        <f t="shared" ref="AA40" si="89">SUM(AA35:AA39)</f>
        <v>83278</v>
      </c>
      <c r="AB40" s="97">
        <f t="shared" ref="AB40" si="90">SUM(AB35:AB39)</f>
        <v>117926</v>
      </c>
      <c r="AC40" s="97">
        <f t="shared" ref="AC40" si="91">SUM(AC35:AC39)</f>
        <v>96110</v>
      </c>
      <c r="AD40" s="97">
        <f t="shared" ref="AD40" si="92">SUM(AD35:AD39)</f>
        <v>23005</v>
      </c>
      <c r="AE40" s="97">
        <f t="shared" ref="AE40" si="93">SUM(AE35:AE39)</f>
        <v>47859</v>
      </c>
      <c r="AF40" s="97">
        <f t="shared" ref="AF40" si="94">SUM(AF35:AF39)</f>
        <v>73705</v>
      </c>
      <c r="AG40" s="97">
        <f t="shared" ref="AG40" si="95">SUM(AG35:AG39)</f>
        <v>51730</v>
      </c>
      <c r="AH40" s="34"/>
      <c r="AI40" s="109">
        <f t="shared" si="80"/>
        <v>-0.46176256372906044</v>
      </c>
    </row>
    <row r="41" spans="2:35" x14ac:dyDescent="0.2">
      <c r="B41" s="40"/>
      <c r="C41" s="52"/>
      <c r="D41" s="52"/>
      <c r="E41" s="53"/>
      <c r="F41" s="53"/>
      <c r="G41" s="30"/>
      <c r="H41" s="53"/>
      <c r="I41" s="53"/>
      <c r="J41" s="53"/>
      <c r="K41" s="53"/>
      <c r="L41" s="53"/>
      <c r="M41" s="53"/>
      <c r="N41" s="53"/>
      <c r="O41" s="53"/>
      <c r="P41" s="53"/>
      <c r="Q41" s="53"/>
      <c r="R41" s="53"/>
      <c r="S41" s="53"/>
      <c r="T41" s="53"/>
      <c r="U41" s="53"/>
      <c r="V41" s="30"/>
      <c r="W41" s="52"/>
      <c r="X41" s="52"/>
      <c r="Y41" s="52"/>
      <c r="Z41" s="52"/>
      <c r="AA41" s="52"/>
      <c r="AB41" s="52"/>
      <c r="AC41" s="52"/>
      <c r="AD41" s="52"/>
      <c r="AE41" s="52"/>
      <c r="AF41" s="52"/>
      <c r="AG41" s="52"/>
      <c r="AH41" s="34"/>
      <c r="AI41" s="108"/>
    </row>
    <row r="42" spans="2:35" x14ac:dyDescent="0.2">
      <c r="B42" s="40" t="s">
        <v>21</v>
      </c>
      <c r="C42" s="52"/>
      <c r="D42" s="52"/>
      <c r="E42" s="53"/>
      <c r="F42" s="53"/>
      <c r="G42" s="30"/>
      <c r="H42" s="53"/>
      <c r="I42" s="53"/>
      <c r="J42" s="53"/>
      <c r="K42" s="53"/>
      <c r="L42" s="53"/>
      <c r="M42" s="53"/>
      <c r="N42" s="53"/>
      <c r="O42" s="53"/>
      <c r="P42" s="53"/>
      <c r="Q42" s="53"/>
      <c r="R42" s="53"/>
      <c r="S42" s="53"/>
      <c r="T42" s="53"/>
      <c r="U42" s="53"/>
      <c r="V42" s="30"/>
      <c r="W42" s="52"/>
      <c r="X42" s="52"/>
      <c r="Y42" s="52"/>
      <c r="Z42" s="52"/>
      <c r="AA42" s="52"/>
      <c r="AB42" s="52"/>
      <c r="AC42" s="52"/>
      <c r="AD42" s="52"/>
      <c r="AE42" s="52"/>
      <c r="AF42" s="52"/>
      <c r="AG42" s="52"/>
      <c r="AH42" s="34"/>
      <c r="AI42" s="108"/>
    </row>
    <row r="43" spans="2:35" x14ac:dyDescent="0.2">
      <c r="B43" s="87" t="s">
        <v>50</v>
      </c>
      <c r="C43" s="88">
        <v>0</v>
      </c>
      <c r="D43" s="88">
        <v>0</v>
      </c>
      <c r="E43" s="88">
        <v>0</v>
      </c>
      <c r="F43" s="88">
        <v>50209</v>
      </c>
      <c r="G43" s="88"/>
      <c r="H43" s="88">
        <v>0</v>
      </c>
      <c r="I43" s="88">
        <v>0</v>
      </c>
      <c r="J43" s="88">
        <v>0</v>
      </c>
      <c r="K43" s="88">
        <f t="shared" si="71"/>
        <v>0</v>
      </c>
      <c r="L43" s="88">
        <v>0</v>
      </c>
      <c r="M43" s="88">
        <v>0</v>
      </c>
      <c r="N43" s="88">
        <v>0</v>
      </c>
      <c r="O43" s="88">
        <f t="shared" ref="O43:O46" si="96">E43</f>
        <v>0</v>
      </c>
      <c r="P43" s="88">
        <v>0</v>
      </c>
      <c r="Q43" s="88">
        <v>0</v>
      </c>
      <c r="R43" s="88">
        <v>50209</v>
      </c>
      <c r="S43" s="88">
        <f t="shared" ref="S43:S46" si="97">F43</f>
        <v>50209</v>
      </c>
      <c r="T43" s="88">
        <v>50209</v>
      </c>
      <c r="U43" s="88">
        <v>50209</v>
      </c>
      <c r="V43" s="88"/>
      <c r="W43" s="88">
        <f t="shared" ref="W43:X46" si="98">K43</f>
        <v>0</v>
      </c>
      <c r="X43" s="88">
        <f t="shared" si="98"/>
        <v>0</v>
      </c>
      <c r="Y43" s="88">
        <f t="shared" ref="Y43:Y46" si="99">M43</f>
        <v>0</v>
      </c>
      <c r="Z43" s="88">
        <f t="shared" ref="Z43:Z46" si="100">N43</f>
        <v>0</v>
      </c>
      <c r="AA43" s="88">
        <f t="shared" ref="AA43:AA46" si="101">O43</f>
        <v>0</v>
      </c>
      <c r="AB43" s="88">
        <f t="shared" ref="AB43:AB46" si="102">P43</f>
        <v>0</v>
      </c>
      <c r="AC43" s="88">
        <f t="shared" ref="AC43:AC46" si="103">Q43</f>
        <v>0</v>
      </c>
      <c r="AD43" s="88">
        <f t="shared" ref="AD43:AD46" si="104">R43</f>
        <v>50209</v>
      </c>
      <c r="AE43" s="88">
        <f t="shared" ref="AE43:AE46" si="105">S43</f>
        <v>50209</v>
      </c>
      <c r="AF43" s="88">
        <f t="shared" ref="AF43:AF46" si="106">T43</f>
        <v>50209</v>
      </c>
      <c r="AG43" s="88">
        <f t="shared" ref="AG43:AG46" si="107">U43</f>
        <v>50209</v>
      </c>
      <c r="AH43" s="88"/>
      <c r="AI43" s="108" t="e">
        <f t="shared" ref="AI43:AI47" si="108">SUM(AG43/AC43)-1</f>
        <v>#DIV/0!</v>
      </c>
    </row>
    <row r="44" spans="2:35" x14ac:dyDescent="0.2">
      <c r="B44" s="87" t="s">
        <v>22</v>
      </c>
      <c r="C44" s="88">
        <v>35034</v>
      </c>
      <c r="D44" s="88">
        <v>30039</v>
      </c>
      <c r="E44" s="88">
        <v>26791</v>
      </c>
      <c r="F44" s="88">
        <v>23063</v>
      </c>
      <c r="G44" s="88"/>
      <c r="H44" s="88">
        <v>33540</v>
      </c>
      <c r="I44" s="88">
        <v>32227</v>
      </c>
      <c r="J44" s="88">
        <v>31026</v>
      </c>
      <c r="K44" s="88">
        <f t="shared" si="71"/>
        <v>30039</v>
      </c>
      <c r="L44" s="88">
        <v>29593</v>
      </c>
      <c r="M44" s="88">
        <v>28543</v>
      </c>
      <c r="N44" s="88">
        <v>27851</v>
      </c>
      <c r="O44" s="88">
        <f t="shared" si="96"/>
        <v>26791</v>
      </c>
      <c r="P44" s="88">
        <v>25653</v>
      </c>
      <c r="Q44" s="88">
        <v>24820</v>
      </c>
      <c r="R44" s="88">
        <v>24250</v>
      </c>
      <c r="S44" s="88">
        <f t="shared" si="97"/>
        <v>23063</v>
      </c>
      <c r="T44" s="88">
        <v>22436</v>
      </c>
      <c r="U44" s="88">
        <v>21191</v>
      </c>
      <c r="V44" s="88"/>
      <c r="W44" s="88">
        <f t="shared" si="98"/>
        <v>30039</v>
      </c>
      <c r="X44" s="88">
        <f t="shared" si="98"/>
        <v>29593</v>
      </c>
      <c r="Y44" s="88">
        <f t="shared" si="99"/>
        <v>28543</v>
      </c>
      <c r="Z44" s="88">
        <f t="shared" si="100"/>
        <v>27851</v>
      </c>
      <c r="AA44" s="88">
        <f t="shared" si="101"/>
        <v>26791</v>
      </c>
      <c r="AB44" s="88">
        <f t="shared" si="102"/>
        <v>25653</v>
      </c>
      <c r="AC44" s="88">
        <f t="shared" si="103"/>
        <v>24820</v>
      </c>
      <c r="AD44" s="88">
        <f t="shared" si="104"/>
        <v>24250</v>
      </c>
      <c r="AE44" s="88">
        <f t="shared" si="105"/>
        <v>23063</v>
      </c>
      <c r="AF44" s="88">
        <f t="shared" si="106"/>
        <v>22436</v>
      </c>
      <c r="AG44" s="88">
        <f t="shared" si="107"/>
        <v>21191</v>
      </c>
      <c r="AH44" s="88"/>
      <c r="AI44" s="108">
        <f t="shared" si="108"/>
        <v>-0.14621273166800963</v>
      </c>
    </row>
    <row r="45" spans="2:35" x14ac:dyDescent="0.2">
      <c r="B45" s="87" t="s">
        <v>51</v>
      </c>
      <c r="C45" s="88">
        <v>21432</v>
      </c>
      <c r="D45" s="88">
        <v>19373</v>
      </c>
      <c r="E45" s="88">
        <v>17313</v>
      </c>
      <c r="F45" s="88">
        <v>15490</v>
      </c>
      <c r="G45" s="88"/>
      <c r="H45" s="88">
        <v>20917</v>
      </c>
      <c r="I45" s="88">
        <v>20403</v>
      </c>
      <c r="J45" s="88">
        <v>19888</v>
      </c>
      <c r="K45" s="88">
        <f t="shared" si="71"/>
        <v>19373</v>
      </c>
      <c r="L45" s="88">
        <v>18858</v>
      </c>
      <c r="M45" s="88">
        <v>18343</v>
      </c>
      <c r="N45" s="88">
        <v>17828</v>
      </c>
      <c r="O45" s="88">
        <f t="shared" si="96"/>
        <v>17313</v>
      </c>
      <c r="P45" s="88">
        <v>17059</v>
      </c>
      <c r="Q45" s="88">
        <v>16536</v>
      </c>
      <c r="R45" s="88">
        <v>16013</v>
      </c>
      <c r="S45" s="88">
        <f t="shared" si="97"/>
        <v>15490</v>
      </c>
      <c r="T45" s="88">
        <v>14966</v>
      </c>
      <c r="U45" s="88">
        <v>14443</v>
      </c>
      <c r="V45" s="88"/>
      <c r="W45" s="88">
        <f t="shared" si="98"/>
        <v>19373</v>
      </c>
      <c r="X45" s="88">
        <f t="shared" si="98"/>
        <v>18858</v>
      </c>
      <c r="Y45" s="88">
        <f t="shared" si="99"/>
        <v>18343</v>
      </c>
      <c r="Z45" s="88">
        <f t="shared" si="100"/>
        <v>17828</v>
      </c>
      <c r="AA45" s="88">
        <f t="shared" si="101"/>
        <v>17313</v>
      </c>
      <c r="AB45" s="88">
        <f t="shared" si="102"/>
        <v>17059</v>
      </c>
      <c r="AC45" s="88">
        <f t="shared" si="103"/>
        <v>16536</v>
      </c>
      <c r="AD45" s="88">
        <f t="shared" si="104"/>
        <v>16013</v>
      </c>
      <c r="AE45" s="88">
        <f t="shared" si="105"/>
        <v>15490</v>
      </c>
      <c r="AF45" s="88">
        <f t="shared" si="106"/>
        <v>14966</v>
      </c>
      <c r="AG45" s="88">
        <f t="shared" si="107"/>
        <v>14443</v>
      </c>
      <c r="AH45" s="88"/>
      <c r="AI45" s="108">
        <f t="shared" si="108"/>
        <v>-0.12657232704402521</v>
      </c>
    </row>
    <row r="46" spans="2:35" x14ac:dyDescent="0.2">
      <c r="B46" s="87" t="s">
        <v>52</v>
      </c>
      <c r="C46" s="88">
        <v>727</v>
      </c>
      <c r="D46" s="88">
        <v>682</v>
      </c>
      <c r="E46" s="88">
        <v>841</v>
      </c>
      <c r="F46" s="88">
        <v>1251</v>
      </c>
      <c r="G46" s="88"/>
      <c r="H46" s="88">
        <v>716</v>
      </c>
      <c r="I46" s="88">
        <v>705</v>
      </c>
      <c r="J46" s="88">
        <v>693</v>
      </c>
      <c r="K46" s="88">
        <f t="shared" si="71"/>
        <v>682</v>
      </c>
      <c r="L46" s="88">
        <v>670</v>
      </c>
      <c r="M46" s="88">
        <v>658</v>
      </c>
      <c r="N46" s="88">
        <v>855</v>
      </c>
      <c r="O46" s="88">
        <f t="shared" si="96"/>
        <v>841</v>
      </c>
      <c r="P46" s="88">
        <v>828</v>
      </c>
      <c r="Q46" s="88">
        <v>815</v>
      </c>
      <c r="R46" s="88">
        <v>1287</v>
      </c>
      <c r="S46" s="88">
        <f t="shared" si="97"/>
        <v>1251</v>
      </c>
      <c r="T46" s="88">
        <v>1237</v>
      </c>
      <c r="U46" s="88">
        <v>1222</v>
      </c>
      <c r="V46" s="88"/>
      <c r="W46" s="88">
        <f t="shared" si="98"/>
        <v>682</v>
      </c>
      <c r="X46" s="88">
        <f t="shared" si="98"/>
        <v>670</v>
      </c>
      <c r="Y46" s="88">
        <f t="shared" si="99"/>
        <v>658</v>
      </c>
      <c r="Z46" s="88">
        <f t="shared" si="100"/>
        <v>855</v>
      </c>
      <c r="AA46" s="88">
        <f t="shared" si="101"/>
        <v>841</v>
      </c>
      <c r="AB46" s="88">
        <f t="shared" si="102"/>
        <v>828</v>
      </c>
      <c r="AC46" s="88">
        <f t="shared" si="103"/>
        <v>815</v>
      </c>
      <c r="AD46" s="88">
        <f t="shared" si="104"/>
        <v>1287</v>
      </c>
      <c r="AE46" s="88">
        <f t="shared" si="105"/>
        <v>1251</v>
      </c>
      <c r="AF46" s="88">
        <f t="shared" si="106"/>
        <v>1237</v>
      </c>
      <c r="AG46" s="88">
        <f t="shared" si="107"/>
        <v>1222</v>
      </c>
      <c r="AH46" s="88"/>
      <c r="AI46" s="108">
        <f t="shared" si="108"/>
        <v>0.49938650306748467</v>
      </c>
    </row>
    <row r="47" spans="2:35" x14ac:dyDescent="0.2">
      <c r="B47" s="105" t="s">
        <v>69</v>
      </c>
      <c r="C47" s="106">
        <f>SUM(C43:C46)+C40</f>
        <v>286533</v>
      </c>
      <c r="D47" s="106">
        <f>SUM(D43:D46)+D40</f>
        <v>204302</v>
      </c>
      <c r="E47" s="106">
        <f>SUM(E43:E46)+E40</f>
        <v>128223</v>
      </c>
      <c r="F47" s="106">
        <f>SUM(F43:F46)+F40</f>
        <v>137872</v>
      </c>
      <c r="G47" s="88"/>
      <c r="H47" s="106">
        <f>SUM(H43:H46)+H40</f>
        <v>264468</v>
      </c>
      <c r="I47" s="106">
        <f>SUM(I43:I46)+I40</f>
        <v>246365</v>
      </c>
      <c r="J47" s="106">
        <f>SUM(J43:J46)+J40</f>
        <v>226219</v>
      </c>
      <c r="K47" s="106">
        <f>SUM(K43:K46)+K40</f>
        <v>204302</v>
      </c>
      <c r="L47" s="106">
        <f>SUM(L43:L46)+L40</f>
        <v>182976</v>
      </c>
      <c r="M47" s="106">
        <f>SUM(M43:M46)+M40</f>
        <v>168106</v>
      </c>
      <c r="N47" s="106">
        <f>SUM(N43:N46)+N40</f>
        <v>149385</v>
      </c>
      <c r="O47" s="106">
        <f>SUM(O43:O46)+O40</f>
        <v>128223</v>
      </c>
      <c r="P47" s="106">
        <f>SUM(P43:P46)+P40</f>
        <v>161466</v>
      </c>
      <c r="Q47" s="106">
        <f>SUM(Q43:Q46)+Q40</f>
        <v>138281</v>
      </c>
      <c r="R47" s="106">
        <f>SUM(R43:R46)+R40</f>
        <v>114764</v>
      </c>
      <c r="S47" s="106">
        <f>SUM(S43:S46)+S40</f>
        <v>137872</v>
      </c>
      <c r="T47" s="106">
        <f>SUM(T43:T46)+T40</f>
        <v>162553</v>
      </c>
      <c r="U47" s="106">
        <f>SUM(U43:U46)+U40</f>
        <v>138795</v>
      </c>
      <c r="V47" s="30"/>
      <c r="W47" s="106">
        <f t="shared" ref="W47:X47" si="109">SUM(W43:W46)+W40</f>
        <v>204302</v>
      </c>
      <c r="X47" s="106">
        <f t="shared" si="109"/>
        <v>182976</v>
      </c>
      <c r="Y47" s="106">
        <f t="shared" ref="Y47" si="110">SUM(Y43:Y46)+Y40</f>
        <v>168106</v>
      </c>
      <c r="Z47" s="106">
        <f t="shared" ref="Z47" si="111">SUM(Z43:Z46)+Z40</f>
        <v>149385</v>
      </c>
      <c r="AA47" s="106">
        <f t="shared" ref="AA47" si="112">SUM(AA43:AA46)+AA40</f>
        <v>128223</v>
      </c>
      <c r="AB47" s="106">
        <f t="shared" ref="AB47" si="113">SUM(AB43:AB46)+AB40</f>
        <v>161466</v>
      </c>
      <c r="AC47" s="106">
        <f t="shared" ref="AC47" si="114">SUM(AC43:AC46)+AC40</f>
        <v>138281</v>
      </c>
      <c r="AD47" s="106">
        <f t="shared" ref="AD47:AF47" si="115">SUM(AD43:AD46)+AD40</f>
        <v>114764</v>
      </c>
      <c r="AE47" s="106">
        <f t="shared" si="115"/>
        <v>137872</v>
      </c>
      <c r="AF47" s="106">
        <f t="shared" si="115"/>
        <v>162553</v>
      </c>
      <c r="AG47" s="106">
        <f>SUM(AG43:AG46)+AG40</f>
        <v>138795</v>
      </c>
      <c r="AH47" s="34"/>
      <c r="AI47" s="109">
        <f t="shared" si="108"/>
        <v>3.7170688670171703E-3</v>
      </c>
    </row>
    <row r="48" spans="2:35" x14ac:dyDescent="0.2">
      <c r="B48" s="40"/>
      <c r="C48" s="54"/>
      <c r="D48" s="54"/>
      <c r="E48" s="53"/>
      <c r="F48" s="53"/>
      <c r="G48" s="30"/>
      <c r="H48" s="53"/>
      <c r="I48" s="53"/>
      <c r="J48" s="53"/>
      <c r="K48" s="53"/>
      <c r="L48" s="53"/>
      <c r="M48" s="53"/>
      <c r="N48" s="53"/>
      <c r="O48" s="53"/>
      <c r="P48" s="53"/>
      <c r="Q48" s="53"/>
      <c r="R48" s="53"/>
      <c r="S48" s="53"/>
      <c r="T48" s="53"/>
      <c r="U48" s="53"/>
      <c r="V48" s="30"/>
      <c r="W48" s="52"/>
      <c r="X48" s="52"/>
      <c r="Y48" s="52"/>
      <c r="Z48" s="52"/>
      <c r="AA48" s="52"/>
      <c r="AB48" s="52"/>
      <c r="AC48" s="52"/>
      <c r="AD48" s="52"/>
      <c r="AE48" s="52"/>
      <c r="AF48" s="52"/>
      <c r="AG48" s="52"/>
      <c r="AH48" s="34"/>
      <c r="AI48" s="108"/>
    </row>
    <row r="49" spans="2:35" s="55" customFormat="1" x14ac:dyDescent="0.2">
      <c r="B49" s="40" t="s">
        <v>23</v>
      </c>
      <c r="C49" s="52"/>
      <c r="D49" s="52"/>
      <c r="E49" s="56"/>
      <c r="F49" s="56"/>
      <c r="G49" s="52"/>
      <c r="H49" s="56"/>
      <c r="I49" s="56"/>
      <c r="J49" s="56"/>
      <c r="K49" s="56"/>
      <c r="L49" s="56"/>
      <c r="M49" s="56"/>
      <c r="N49" s="56"/>
      <c r="O49" s="56"/>
      <c r="P49" s="56"/>
      <c r="Q49" s="56"/>
      <c r="R49" s="56"/>
      <c r="S49" s="56"/>
      <c r="T49" s="56"/>
      <c r="U49" s="56"/>
      <c r="V49" s="52"/>
      <c r="W49" s="56"/>
      <c r="X49" s="56"/>
      <c r="Y49" s="56"/>
      <c r="Z49" s="56"/>
      <c r="AA49" s="56"/>
      <c r="AB49" s="56"/>
      <c r="AC49" s="56"/>
      <c r="AD49" s="56"/>
      <c r="AE49" s="56"/>
      <c r="AF49" s="56"/>
      <c r="AG49" s="56"/>
      <c r="AH49" s="57"/>
      <c r="AI49" s="108"/>
    </row>
    <row r="50" spans="2:35" x14ac:dyDescent="0.2">
      <c r="B50" s="87" t="s">
        <v>38</v>
      </c>
      <c r="C50" s="88">
        <v>2094</v>
      </c>
      <c r="D50" s="88">
        <v>1595</v>
      </c>
      <c r="E50" s="88">
        <v>6490</v>
      </c>
      <c r="F50" s="88">
        <v>4490</v>
      </c>
      <c r="G50" s="88"/>
      <c r="H50" s="88">
        <v>3037</v>
      </c>
      <c r="I50" s="88">
        <v>2537</v>
      </c>
      <c r="J50" s="88">
        <v>3255</v>
      </c>
      <c r="K50" s="88">
        <f t="shared" ref="K50:K53" si="116">D50</f>
        <v>1595</v>
      </c>
      <c r="L50" s="88">
        <v>1954</v>
      </c>
      <c r="M50" s="88">
        <v>2362</v>
      </c>
      <c r="N50" s="88">
        <v>3018</v>
      </c>
      <c r="O50" s="88">
        <f t="shared" ref="O50:O53" si="117">E50</f>
        <v>6490</v>
      </c>
      <c r="P50" s="88">
        <v>3452</v>
      </c>
      <c r="Q50" s="88">
        <v>6005</v>
      </c>
      <c r="R50" s="88">
        <v>6903</v>
      </c>
      <c r="S50" s="88">
        <f t="shared" ref="S50:S55" si="118">F50</f>
        <v>4490</v>
      </c>
      <c r="T50" s="88">
        <v>5572</v>
      </c>
      <c r="U50" s="88">
        <v>6629</v>
      </c>
      <c r="V50" s="88"/>
      <c r="W50" s="88">
        <f t="shared" ref="W50:X52" si="119">K50</f>
        <v>1595</v>
      </c>
      <c r="X50" s="88">
        <f t="shared" si="119"/>
        <v>1954</v>
      </c>
      <c r="Y50" s="88">
        <f t="shared" ref="Y50:Y52" si="120">M50</f>
        <v>2362</v>
      </c>
      <c r="Z50" s="88">
        <f t="shared" ref="Z50:Z52" si="121">N50</f>
        <v>3018</v>
      </c>
      <c r="AA50" s="88">
        <f t="shared" ref="AA50:AA52" si="122">O50</f>
        <v>6490</v>
      </c>
      <c r="AB50" s="88">
        <f t="shared" ref="AB50:AB52" si="123">P50</f>
        <v>3452</v>
      </c>
      <c r="AC50" s="88">
        <f t="shared" ref="AC50:AC54" si="124">Q50</f>
        <v>6005</v>
      </c>
      <c r="AD50" s="88">
        <f t="shared" ref="AD50:AD54" si="125">R50</f>
        <v>6903</v>
      </c>
      <c r="AE50" s="88">
        <f t="shared" ref="AE50:AE54" si="126">S50</f>
        <v>4490</v>
      </c>
      <c r="AF50" s="88">
        <f t="shared" ref="AF50:AF54" si="127">T50</f>
        <v>5572</v>
      </c>
      <c r="AG50" s="88">
        <f t="shared" ref="AG50:AG54" si="128">U50</f>
        <v>6629</v>
      </c>
      <c r="AH50" s="32"/>
      <c r="AI50" s="108">
        <f t="shared" ref="AI50:AI71" si="129">SUM(AG50/AC50)-1</f>
        <v>0.1039134054954205</v>
      </c>
    </row>
    <row r="51" spans="2:35" x14ac:dyDescent="0.2">
      <c r="B51" s="87" t="s">
        <v>39</v>
      </c>
      <c r="C51" s="88">
        <v>6757</v>
      </c>
      <c r="D51" s="88">
        <v>7108</v>
      </c>
      <c r="E51" s="88">
        <v>9340</v>
      </c>
      <c r="F51" s="88">
        <v>11424</v>
      </c>
      <c r="G51" s="88"/>
      <c r="H51" s="88">
        <v>5460</v>
      </c>
      <c r="I51" s="88">
        <v>6186</v>
      </c>
      <c r="J51" s="88">
        <v>7959</v>
      </c>
      <c r="K51" s="88">
        <f t="shared" si="116"/>
        <v>7108</v>
      </c>
      <c r="L51" s="88">
        <v>6411</v>
      </c>
      <c r="M51" s="88">
        <v>6571</v>
      </c>
      <c r="N51" s="88">
        <v>9586</v>
      </c>
      <c r="O51" s="88">
        <f t="shared" si="117"/>
        <v>9340</v>
      </c>
      <c r="P51" s="88">
        <v>7917</v>
      </c>
      <c r="Q51" s="88">
        <v>8950</v>
      </c>
      <c r="R51" s="88">
        <v>11151</v>
      </c>
      <c r="S51" s="88">
        <f t="shared" si="118"/>
        <v>11424</v>
      </c>
      <c r="T51" s="88">
        <v>9701</v>
      </c>
      <c r="U51" s="88">
        <v>9186</v>
      </c>
      <c r="V51" s="88"/>
      <c r="W51" s="88">
        <f t="shared" si="119"/>
        <v>7108</v>
      </c>
      <c r="X51" s="88">
        <f t="shared" si="119"/>
        <v>6411</v>
      </c>
      <c r="Y51" s="88">
        <f t="shared" si="120"/>
        <v>6571</v>
      </c>
      <c r="Z51" s="88">
        <f t="shared" si="121"/>
        <v>9586</v>
      </c>
      <c r="AA51" s="88">
        <f t="shared" si="122"/>
        <v>9340</v>
      </c>
      <c r="AB51" s="88">
        <f t="shared" si="123"/>
        <v>7917</v>
      </c>
      <c r="AC51" s="88">
        <f t="shared" si="124"/>
        <v>8950</v>
      </c>
      <c r="AD51" s="88">
        <f t="shared" si="125"/>
        <v>11151</v>
      </c>
      <c r="AE51" s="88">
        <f t="shared" si="126"/>
        <v>11424</v>
      </c>
      <c r="AF51" s="88">
        <f t="shared" si="127"/>
        <v>9701</v>
      </c>
      <c r="AG51" s="88">
        <f t="shared" si="128"/>
        <v>9186</v>
      </c>
      <c r="AH51" s="32"/>
      <c r="AI51" s="108">
        <f t="shared" si="129"/>
        <v>2.6368715083798788E-2</v>
      </c>
    </row>
    <row r="52" spans="2:35" x14ac:dyDescent="0.2">
      <c r="B52" s="87" t="s">
        <v>53</v>
      </c>
      <c r="C52" s="88">
        <v>1981</v>
      </c>
      <c r="D52" s="88">
        <v>2256</v>
      </c>
      <c r="E52" s="88">
        <v>2560</v>
      </c>
      <c r="F52" s="88">
        <v>2917</v>
      </c>
      <c r="G52" s="88"/>
      <c r="H52" s="88">
        <v>2047</v>
      </c>
      <c r="I52" s="88">
        <v>2115</v>
      </c>
      <c r="J52" s="88">
        <v>2185</v>
      </c>
      <c r="K52" s="88">
        <f t="shared" si="116"/>
        <v>2256</v>
      </c>
      <c r="L52" s="88">
        <v>2329</v>
      </c>
      <c r="M52" s="88">
        <v>2404</v>
      </c>
      <c r="N52" s="88">
        <v>2481</v>
      </c>
      <c r="O52" s="88">
        <f t="shared" si="117"/>
        <v>2560</v>
      </c>
      <c r="P52" s="88">
        <v>2663</v>
      </c>
      <c r="Q52" s="88">
        <v>2746</v>
      </c>
      <c r="R52" s="88">
        <v>2831</v>
      </c>
      <c r="S52" s="88">
        <f t="shared" si="118"/>
        <v>2917</v>
      </c>
      <c r="T52" s="88">
        <v>3006</v>
      </c>
      <c r="U52" s="88">
        <v>3093</v>
      </c>
      <c r="V52" s="88"/>
      <c r="W52" s="88">
        <f t="shared" si="119"/>
        <v>2256</v>
      </c>
      <c r="X52" s="88">
        <f t="shared" si="119"/>
        <v>2329</v>
      </c>
      <c r="Y52" s="88">
        <f t="shared" si="120"/>
        <v>2404</v>
      </c>
      <c r="Z52" s="88">
        <f t="shared" si="121"/>
        <v>2481</v>
      </c>
      <c r="AA52" s="88">
        <f t="shared" si="122"/>
        <v>2560</v>
      </c>
      <c r="AB52" s="88">
        <f t="shared" si="123"/>
        <v>2663</v>
      </c>
      <c r="AC52" s="88">
        <f t="shared" si="124"/>
        <v>2746</v>
      </c>
      <c r="AD52" s="88">
        <f t="shared" si="125"/>
        <v>2831</v>
      </c>
      <c r="AE52" s="88">
        <f t="shared" si="126"/>
        <v>2917</v>
      </c>
      <c r="AF52" s="88">
        <f t="shared" si="127"/>
        <v>3006</v>
      </c>
      <c r="AG52" s="88">
        <f t="shared" si="128"/>
        <v>3093</v>
      </c>
      <c r="AH52" s="32"/>
      <c r="AI52" s="108">
        <f t="shared" si="129"/>
        <v>0.12636562272396223</v>
      </c>
    </row>
    <row r="53" spans="2:35" x14ac:dyDescent="0.2">
      <c r="B53" s="87" t="s">
        <v>116</v>
      </c>
      <c r="C53" s="88">
        <v>0</v>
      </c>
      <c r="D53" s="88">
        <v>0</v>
      </c>
      <c r="E53" s="88">
        <v>0</v>
      </c>
      <c r="F53" s="88">
        <v>0</v>
      </c>
      <c r="G53" s="88"/>
      <c r="H53" s="88">
        <v>0</v>
      </c>
      <c r="I53" s="88">
        <v>0</v>
      </c>
      <c r="J53" s="88">
        <v>0</v>
      </c>
      <c r="K53" s="88">
        <f t="shared" si="116"/>
        <v>0</v>
      </c>
      <c r="L53" s="88">
        <v>0</v>
      </c>
      <c r="M53" s="88">
        <v>0</v>
      </c>
      <c r="N53" s="88">
        <v>0</v>
      </c>
      <c r="O53" s="88">
        <f t="shared" si="117"/>
        <v>0</v>
      </c>
      <c r="P53" s="88">
        <v>0</v>
      </c>
      <c r="Q53" s="88">
        <v>0</v>
      </c>
      <c r="R53" s="88">
        <v>0</v>
      </c>
      <c r="S53" s="88">
        <f t="shared" si="118"/>
        <v>0</v>
      </c>
      <c r="T53" s="88">
        <v>1690</v>
      </c>
      <c r="U53" s="88">
        <v>2116</v>
      </c>
      <c r="V53" s="88"/>
      <c r="W53" s="88"/>
      <c r="X53" s="88"/>
      <c r="Y53" s="88"/>
      <c r="Z53" s="88"/>
      <c r="AA53" s="88"/>
      <c r="AB53" s="88"/>
      <c r="AC53" s="88">
        <f t="shared" si="124"/>
        <v>0</v>
      </c>
      <c r="AD53" s="88">
        <f t="shared" si="125"/>
        <v>0</v>
      </c>
      <c r="AE53" s="88">
        <f t="shared" si="126"/>
        <v>0</v>
      </c>
      <c r="AF53" s="88">
        <f t="shared" si="127"/>
        <v>1690</v>
      </c>
      <c r="AG53" s="88">
        <f t="shared" si="128"/>
        <v>2116</v>
      </c>
      <c r="AH53" s="32"/>
      <c r="AI53" s="108" t="e">
        <f t="shared" si="129"/>
        <v>#DIV/0!</v>
      </c>
    </row>
    <row r="54" spans="2:35" x14ac:dyDescent="0.2">
      <c r="B54" s="87" t="s">
        <v>135</v>
      </c>
      <c r="C54" s="88">
        <v>0</v>
      </c>
      <c r="D54" s="88">
        <v>8571</v>
      </c>
      <c r="E54" s="88">
        <v>0</v>
      </c>
      <c r="F54" s="88">
        <v>0</v>
      </c>
      <c r="G54" s="88"/>
      <c r="H54" s="88">
        <v>0</v>
      </c>
      <c r="I54" s="88">
        <v>0</v>
      </c>
      <c r="J54" s="88">
        <v>4286</v>
      </c>
      <c r="K54" s="88">
        <f t="shared" ref="K54" si="130">D54</f>
        <v>8571</v>
      </c>
      <c r="L54" s="88">
        <v>12857</v>
      </c>
      <c r="M54" s="88">
        <v>0</v>
      </c>
      <c r="N54" s="88">
        <v>0</v>
      </c>
      <c r="O54" s="88">
        <f t="shared" ref="O54" si="131">E54</f>
        <v>0</v>
      </c>
      <c r="P54" s="88">
        <v>0</v>
      </c>
      <c r="Q54" s="88">
        <v>0</v>
      </c>
      <c r="R54" s="88">
        <v>0</v>
      </c>
      <c r="S54" s="88">
        <f t="shared" ref="S54" si="132">F54</f>
        <v>0</v>
      </c>
      <c r="T54" s="88">
        <v>0</v>
      </c>
      <c r="U54" s="88">
        <v>0</v>
      </c>
      <c r="V54" s="88"/>
      <c r="W54" s="88"/>
      <c r="X54" s="88"/>
      <c r="Y54" s="88"/>
      <c r="Z54" s="88"/>
      <c r="AA54" s="88"/>
      <c r="AB54" s="88"/>
      <c r="AC54" s="88">
        <f t="shared" si="124"/>
        <v>0</v>
      </c>
      <c r="AD54" s="88">
        <f t="shared" si="125"/>
        <v>0</v>
      </c>
      <c r="AE54" s="88">
        <f t="shared" si="126"/>
        <v>0</v>
      </c>
      <c r="AF54" s="88">
        <f t="shared" si="127"/>
        <v>0</v>
      </c>
      <c r="AG54" s="88">
        <f t="shared" si="128"/>
        <v>0</v>
      </c>
      <c r="AH54" s="32"/>
      <c r="AI54" s="108" t="e">
        <f t="shared" si="129"/>
        <v>#DIV/0!</v>
      </c>
    </row>
    <row r="55" spans="2:35" ht="14.25" x14ac:dyDescent="0.2">
      <c r="B55" s="87" t="s">
        <v>115</v>
      </c>
      <c r="C55" s="88">
        <f>45+173</f>
        <v>218</v>
      </c>
      <c r="D55" s="88">
        <f>50</f>
        <v>50</v>
      </c>
      <c r="E55" s="88">
        <v>53</v>
      </c>
      <c r="F55" s="88">
        <v>1123</v>
      </c>
      <c r="G55" s="88"/>
      <c r="H55" s="88">
        <f>46+173</f>
        <v>219</v>
      </c>
      <c r="I55" s="88">
        <f>47+173</f>
        <v>220</v>
      </c>
      <c r="J55" s="88">
        <f>48+173</f>
        <v>221</v>
      </c>
      <c r="K55" s="88">
        <f t="shared" ref="K55" si="133">D55</f>
        <v>50</v>
      </c>
      <c r="L55" s="88">
        <f>50</f>
        <v>50</v>
      </c>
      <c r="M55" s="88">
        <v>51</v>
      </c>
      <c r="N55" s="88">
        <v>52</v>
      </c>
      <c r="O55" s="88">
        <f t="shared" ref="O55" si="134">E55</f>
        <v>53</v>
      </c>
      <c r="P55" s="88">
        <v>55</v>
      </c>
      <c r="Q55" s="88">
        <v>56</v>
      </c>
      <c r="R55" s="88">
        <v>57</v>
      </c>
      <c r="S55" s="88">
        <f t="shared" si="118"/>
        <v>1123</v>
      </c>
      <c r="T55" s="102">
        <f>60</f>
        <v>60</v>
      </c>
      <c r="U55" s="88">
        <f>61</f>
        <v>61</v>
      </c>
      <c r="V55" s="88"/>
      <c r="W55" s="88"/>
      <c r="X55" s="88"/>
      <c r="Y55" s="88"/>
      <c r="Z55" s="88"/>
      <c r="AA55" s="88"/>
      <c r="AB55" s="88"/>
      <c r="AC55" s="88">
        <f t="shared" ref="AC55" si="135">Q55</f>
        <v>56</v>
      </c>
      <c r="AD55" s="88">
        <f t="shared" ref="AD55" si="136">R55</f>
        <v>57</v>
      </c>
      <c r="AE55" s="88">
        <f t="shared" ref="AE55" si="137">S55</f>
        <v>1123</v>
      </c>
      <c r="AF55" s="88">
        <f t="shared" ref="AF55" si="138">T55</f>
        <v>60</v>
      </c>
      <c r="AG55" s="88">
        <f t="shared" ref="AG55" si="139">U55</f>
        <v>61</v>
      </c>
      <c r="AH55" s="32"/>
      <c r="AI55" s="108">
        <f t="shared" si="129"/>
        <v>8.9285714285714191E-2</v>
      </c>
    </row>
    <row r="56" spans="2:35" x14ac:dyDescent="0.2">
      <c r="B56" s="51" t="s">
        <v>112</v>
      </c>
      <c r="C56" s="97">
        <f>SUM(C50:C55)</f>
        <v>11050</v>
      </c>
      <c r="D56" s="97">
        <f>SUM(D50:D55)</f>
        <v>19580</v>
      </c>
      <c r="E56" s="97">
        <f>SUM(E50:E55)</f>
        <v>18443</v>
      </c>
      <c r="F56" s="97">
        <f>SUM(F50:F55)</f>
        <v>19954</v>
      </c>
      <c r="G56" s="30"/>
      <c r="H56" s="97">
        <f>SUM(H50:H55)</f>
        <v>10763</v>
      </c>
      <c r="I56" s="97">
        <f>SUM(I50:I55)</f>
        <v>11058</v>
      </c>
      <c r="J56" s="97">
        <f>SUM(J50:J55)</f>
        <v>17906</v>
      </c>
      <c r="K56" s="97">
        <f>SUM(K50:K55)</f>
        <v>19580</v>
      </c>
      <c r="L56" s="97">
        <f>SUM(L50:L55)</f>
        <v>23601</v>
      </c>
      <c r="M56" s="97">
        <f>SUM(M50:M55)</f>
        <v>11388</v>
      </c>
      <c r="N56" s="97">
        <f>SUM(N50:N55)</f>
        <v>15137</v>
      </c>
      <c r="O56" s="97">
        <f>SUM(O50:O55)</f>
        <v>18443</v>
      </c>
      <c r="P56" s="97">
        <f>SUM(P50:P55)</f>
        <v>14087</v>
      </c>
      <c r="Q56" s="97">
        <f>SUM(Q50:Q55)</f>
        <v>17757</v>
      </c>
      <c r="R56" s="97">
        <f>SUM(R50:R55)</f>
        <v>20942</v>
      </c>
      <c r="S56" s="97">
        <f>SUM(S50:S55)</f>
        <v>19954</v>
      </c>
      <c r="T56" s="97">
        <f>SUM(T50:T55)</f>
        <v>20029</v>
      </c>
      <c r="U56" s="97">
        <f>SUM(U50:U55)</f>
        <v>21085</v>
      </c>
      <c r="V56" s="30"/>
      <c r="W56" s="97">
        <f>SUM(W50:W55)</f>
        <v>10959</v>
      </c>
      <c r="X56" s="97">
        <f>SUM(X50:X55)</f>
        <v>10694</v>
      </c>
      <c r="Y56" s="97">
        <f>SUM(Y50:Y55)</f>
        <v>11337</v>
      </c>
      <c r="Z56" s="97">
        <f>SUM(Z50:Z55)</f>
        <v>15085</v>
      </c>
      <c r="AA56" s="97">
        <f>SUM(AA50:AA55)</f>
        <v>18390</v>
      </c>
      <c r="AB56" s="97">
        <f>SUM(AB50:AB55)</f>
        <v>14032</v>
      </c>
      <c r="AC56" s="97">
        <f>SUM(AC50:AC55)</f>
        <v>17757</v>
      </c>
      <c r="AD56" s="97">
        <f>SUM(AD50:AD55)</f>
        <v>20942</v>
      </c>
      <c r="AE56" s="97">
        <f>SUM(AE50:AE55)</f>
        <v>19954</v>
      </c>
      <c r="AF56" s="97">
        <f>SUM(AF50:AF55)</f>
        <v>20029</v>
      </c>
      <c r="AG56" s="97">
        <f>SUM(AG50:AG55)</f>
        <v>21085</v>
      </c>
      <c r="AH56" s="34"/>
      <c r="AI56" s="109">
        <f t="shared" si="129"/>
        <v>0.18741904601002424</v>
      </c>
    </row>
    <row r="57" spans="2:35" x14ac:dyDescent="0.2">
      <c r="B57" s="40"/>
      <c r="C57" s="54"/>
      <c r="D57" s="54"/>
      <c r="E57" s="53"/>
      <c r="F57" s="53"/>
      <c r="G57" s="30"/>
      <c r="H57" s="53"/>
      <c r="I57" s="53"/>
      <c r="J57" s="53"/>
      <c r="K57" s="53"/>
      <c r="L57" s="53"/>
      <c r="M57" s="53"/>
      <c r="N57" s="53"/>
      <c r="O57" s="53"/>
      <c r="P57" s="53"/>
      <c r="Q57" s="53"/>
      <c r="R57" s="53"/>
      <c r="S57" s="53"/>
      <c r="T57" s="53"/>
      <c r="U57" s="53"/>
      <c r="V57" s="30"/>
      <c r="W57" s="52"/>
      <c r="X57" s="52"/>
      <c r="Y57" s="52"/>
      <c r="Z57" s="52"/>
      <c r="AA57" s="52"/>
      <c r="AB57" s="52"/>
      <c r="AC57" s="52"/>
      <c r="AD57" s="52"/>
      <c r="AE57" s="52"/>
      <c r="AF57" s="52"/>
      <c r="AG57" s="52"/>
      <c r="AH57" s="34"/>
      <c r="AI57" s="108"/>
    </row>
    <row r="58" spans="2:35" x14ac:dyDescent="0.2">
      <c r="B58" s="40" t="s">
        <v>24</v>
      </c>
      <c r="C58" s="54"/>
      <c r="D58" s="54"/>
      <c r="E58" s="53"/>
      <c r="F58" s="53"/>
      <c r="G58" s="30"/>
      <c r="H58" s="53"/>
      <c r="I58" s="53"/>
      <c r="J58" s="53"/>
      <c r="K58" s="53"/>
      <c r="L58" s="53"/>
      <c r="M58" s="53"/>
      <c r="N58" s="53"/>
      <c r="O58" s="53"/>
      <c r="P58" s="53"/>
      <c r="Q58" s="53"/>
      <c r="R58" s="53"/>
      <c r="S58" s="53"/>
      <c r="T58" s="53"/>
      <c r="U58" s="53"/>
      <c r="V58" s="30"/>
      <c r="W58" s="52"/>
      <c r="X58" s="52"/>
      <c r="Y58" s="52"/>
      <c r="Z58" s="52"/>
      <c r="AA58" s="52"/>
      <c r="AB58" s="52"/>
      <c r="AC58" s="52"/>
      <c r="AD58" s="52"/>
      <c r="AE58" s="52"/>
      <c r="AF58" s="52"/>
      <c r="AG58" s="52"/>
      <c r="AH58" s="34"/>
      <c r="AI58" s="108"/>
    </row>
    <row r="59" spans="2:35" x14ac:dyDescent="0.2">
      <c r="B59" s="87" t="s">
        <v>183</v>
      </c>
      <c r="C59" s="88">
        <v>0</v>
      </c>
      <c r="D59" s="88">
        <v>0</v>
      </c>
      <c r="E59" s="88">
        <v>38600</v>
      </c>
      <c r="F59" s="88">
        <v>63354</v>
      </c>
      <c r="G59" s="88"/>
      <c r="H59" s="88">
        <v>0</v>
      </c>
      <c r="I59" s="88">
        <v>0</v>
      </c>
      <c r="J59" s="88">
        <v>0</v>
      </c>
      <c r="K59" s="88">
        <f t="shared" ref="K59:K62" si="140">D59</f>
        <v>0</v>
      </c>
      <c r="L59" s="88">
        <v>0</v>
      </c>
      <c r="M59" s="88">
        <v>36248</v>
      </c>
      <c r="N59" s="88">
        <v>37286</v>
      </c>
      <c r="O59" s="88">
        <f t="shared" ref="O59:O62" si="141">E59</f>
        <v>38600</v>
      </c>
      <c r="P59" s="88">
        <v>57959</v>
      </c>
      <c r="Q59" s="88">
        <v>60078</v>
      </c>
      <c r="R59" s="88">
        <v>62117</v>
      </c>
      <c r="S59" s="88">
        <f t="shared" ref="S59:S62" si="142">F59</f>
        <v>63354</v>
      </c>
      <c r="T59" s="88">
        <v>64672</v>
      </c>
      <c r="U59" s="88">
        <v>66425</v>
      </c>
      <c r="V59" s="88"/>
      <c r="W59" s="88">
        <f t="shared" ref="W59:X61" si="143">K59</f>
        <v>0</v>
      </c>
      <c r="X59" s="88">
        <f t="shared" si="143"/>
        <v>0</v>
      </c>
      <c r="Y59" s="88">
        <f t="shared" ref="Y59:Y61" si="144">M59</f>
        <v>36248</v>
      </c>
      <c r="Z59" s="88">
        <f t="shared" ref="Z59:Z61" si="145">N59</f>
        <v>37286</v>
      </c>
      <c r="AA59" s="88">
        <f t="shared" ref="AA59:AA61" si="146">O59</f>
        <v>38600</v>
      </c>
      <c r="AB59" s="88">
        <f t="shared" ref="AB59:AB61" si="147">P59</f>
        <v>57959</v>
      </c>
      <c r="AC59" s="88">
        <f t="shared" ref="AC59:AC61" si="148">Q59</f>
        <v>60078</v>
      </c>
      <c r="AD59" s="88">
        <f t="shared" ref="AD59:AD61" si="149">R59</f>
        <v>62117</v>
      </c>
      <c r="AE59" s="88">
        <f t="shared" ref="AE59:AE61" si="150">S59</f>
        <v>63354</v>
      </c>
      <c r="AF59" s="88">
        <f t="shared" ref="AF59:AF61" si="151">T59</f>
        <v>64672</v>
      </c>
      <c r="AG59" s="88">
        <f t="shared" ref="AG59:AG61" si="152">U59</f>
        <v>66425</v>
      </c>
      <c r="AH59" s="32"/>
      <c r="AI59" s="108">
        <f t="shared" si="129"/>
        <v>0.1056459935417291</v>
      </c>
    </row>
    <row r="60" spans="2:35" x14ac:dyDescent="0.2">
      <c r="B60" s="87" t="s">
        <v>54</v>
      </c>
      <c r="C60" s="88">
        <v>103660</v>
      </c>
      <c r="D60" s="88">
        <v>27893</v>
      </c>
      <c r="E60" s="88">
        <v>37916</v>
      </c>
      <c r="F60" s="88">
        <v>70961</v>
      </c>
      <c r="G60" s="88"/>
      <c r="H60" s="88">
        <v>100402</v>
      </c>
      <c r="I60" s="88">
        <v>44049</v>
      </c>
      <c r="J60" s="88">
        <v>45011</v>
      </c>
      <c r="K60" s="88">
        <f t="shared" si="140"/>
        <v>27893</v>
      </c>
      <c r="L60" s="88">
        <v>42084</v>
      </c>
      <c r="M60" s="88">
        <v>38457</v>
      </c>
      <c r="N60" s="88">
        <v>39601</v>
      </c>
      <c r="O60" s="88">
        <f t="shared" si="141"/>
        <v>37916</v>
      </c>
      <c r="P60" s="88">
        <v>42509</v>
      </c>
      <c r="Q60" s="88">
        <v>68080</v>
      </c>
      <c r="R60" s="88">
        <v>76569</v>
      </c>
      <c r="S60" s="88">
        <f t="shared" si="142"/>
        <v>70961</v>
      </c>
      <c r="T60" s="88">
        <v>21230</v>
      </c>
      <c r="U60" s="88">
        <v>26700</v>
      </c>
      <c r="V60" s="88"/>
      <c r="W60" s="88">
        <f t="shared" si="143"/>
        <v>27893</v>
      </c>
      <c r="X60" s="88">
        <f t="shared" si="143"/>
        <v>42084</v>
      </c>
      <c r="Y60" s="88">
        <f t="shared" si="144"/>
        <v>38457</v>
      </c>
      <c r="Z60" s="88">
        <f t="shared" si="145"/>
        <v>39601</v>
      </c>
      <c r="AA60" s="88">
        <f t="shared" si="146"/>
        <v>37916</v>
      </c>
      <c r="AB60" s="88">
        <f t="shared" si="147"/>
        <v>42509</v>
      </c>
      <c r="AC60" s="88">
        <f t="shared" si="148"/>
        <v>68080</v>
      </c>
      <c r="AD60" s="88">
        <f t="shared" si="149"/>
        <v>76569</v>
      </c>
      <c r="AE60" s="88">
        <f t="shared" si="150"/>
        <v>70961</v>
      </c>
      <c r="AF60" s="88">
        <f t="shared" si="151"/>
        <v>21230</v>
      </c>
      <c r="AG60" s="88">
        <f t="shared" si="152"/>
        <v>26700</v>
      </c>
      <c r="AH60" s="32"/>
      <c r="AI60" s="108">
        <f t="shared" si="129"/>
        <v>-0.60781433607520563</v>
      </c>
    </row>
    <row r="61" spans="2:35" x14ac:dyDescent="0.2">
      <c r="B61" s="87" t="s">
        <v>55</v>
      </c>
      <c r="C61" s="88">
        <v>21109</v>
      </c>
      <c r="D61" s="88">
        <v>18853</v>
      </c>
      <c r="E61" s="88">
        <v>16293</v>
      </c>
      <c r="F61" s="88">
        <v>13620</v>
      </c>
      <c r="G61" s="88"/>
      <c r="H61" s="88">
        <v>20581</v>
      </c>
      <c r="I61" s="88">
        <v>20018</v>
      </c>
      <c r="J61" s="88">
        <v>19442</v>
      </c>
      <c r="K61" s="88">
        <f t="shared" si="140"/>
        <v>18853</v>
      </c>
      <c r="L61" s="88">
        <v>18252</v>
      </c>
      <c r="M61" s="88">
        <v>17614</v>
      </c>
      <c r="N61" s="88">
        <v>16960</v>
      </c>
      <c r="O61" s="88">
        <f t="shared" si="141"/>
        <v>16293</v>
      </c>
      <c r="P61" s="88">
        <v>15850</v>
      </c>
      <c r="Q61" s="88">
        <v>15123</v>
      </c>
      <c r="R61" s="88">
        <v>14379</v>
      </c>
      <c r="S61" s="88">
        <f t="shared" si="142"/>
        <v>13620</v>
      </c>
      <c r="T61" s="88">
        <v>12844</v>
      </c>
      <c r="U61" s="88">
        <v>12030</v>
      </c>
      <c r="V61" s="88"/>
      <c r="W61" s="88">
        <f t="shared" si="143"/>
        <v>18853</v>
      </c>
      <c r="X61" s="88">
        <f t="shared" si="143"/>
        <v>18252</v>
      </c>
      <c r="Y61" s="88">
        <f t="shared" si="144"/>
        <v>17614</v>
      </c>
      <c r="Z61" s="88">
        <f t="shared" si="145"/>
        <v>16960</v>
      </c>
      <c r="AA61" s="88">
        <f t="shared" si="146"/>
        <v>16293</v>
      </c>
      <c r="AB61" s="88">
        <f t="shared" si="147"/>
        <v>15850</v>
      </c>
      <c r="AC61" s="88">
        <f t="shared" si="148"/>
        <v>15123</v>
      </c>
      <c r="AD61" s="88">
        <f t="shared" si="149"/>
        <v>14379</v>
      </c>
      <c r="AE61" s="88">
        <f t="shared" si="150"/>
        <v>13620</v>
      </c>
      <c r="AF61" s="88">
        <f t="shared" si="151"/>
        <v>12844</v>
      </c>
      <c r="AG61" s="88">
        <f t="shared" si="152"/>
        <v>12030</v>
      </c>
      <c r="AH61" s="32"/>
      <c r="AI61" s="108">
        <f t="shared" si="129"/>
        <v>-0.20452291212061102</v>
      </c>
    </row>
    <row r="62" spans="2:35" x14ac:dyDescent="0.2">
      <c r="B62" s="87" t="s">
        <v>136</v>
      </c>
      <c r="C62" s="88">
        <v>27361</v>
      </c>
      <c r="D62" s="88">
        <v>20336</v>
      </c>
      <c r="E62" s="88">
        <v>0</v>
      </c>
      <c r="F62" s="88">
        <v>0</v>
      </c>
      <c r="G62" s="88"/>
      <c r="H62" s="88">
        <v>27739</v>
      </c>
      <c r="I62" s="88">
        <v>28132</v>
      </c>
      <c r="J62" s="88">
        <v>24286</v>
      </c>
      <c r="K62" s="88">
        <f t="shared" si="140"/>
        <v>20336</v>
      </c>
      <c r="L62" s="88">
        <v>16410</v>
      </c>
      <c r="M62" s="88">
        <v>0</v>
      </c>
      <c r="N62" s="88">
        <v>0</v>
      </c>
      <c r="O62" s="88">
        <f t="shared" si="141"/>
        <v>0</v>
      </c>
      <c r="P62" s="88">
        <v>0</v>
      </c>
      <c r="Q62" s="88">
        <v>0</v>
      </c>
      <c r="R62" s="88">
        <v>0</v>
      </c>
      <c r="S62" s="88">
        <f t="shared" si="142"/>
        <v>0</v>
      </c>
      <c r="T62" s="88">
        <v>0</v>
      </c>
      <c r="U62" s="88">
        <v>0</v>
      </c>
      <c r="V62" s="88"/>
      <c r="W62" s="88"/>
      <c r="X62" s="88"/>
      <c r="Y62" s="88"/>
      <c r="Z62" s="88"/>
      <c r="AA62" s="88"/>
      <c r="AB62" s="88"/>
      <c r="AC62" s="88">
        <f t="shared" ref="AC62" si="153">Q62</f>
        <v>0</v>
      </c>
      <c r="AD62" s="88">
        <f t="shared" ref="AD62" si="154">R62</f>
        <v>0</v>
      </c>
      <c r="AE62" s="88">
        <f t="shared" ref="AE62" si="155">S62</f>
        <v>0</v>
      </c>
      <c r="AF62" s="88">
        <f t="shared" ref="AF62" si="156">T62</f>
        <v>0</v>
      </c>
      <c r="AG62" s="88">
        <f t="shared" ref="AG62" si="157">U62</f>
        <v>0</v>
      </c>
      <c r="AH62" s="32"/>
      <c r="AI62" s="108"/>
    </row>
    <row r="63" spans="2:35" ht="14.25" x14ac:dyDescent="0.2">
      <c r="B63" s="87" t="s">
        <v>117</v>
      </c>
      <c r="C63" s="88">
        <f>1179</f>
        <v>1179</v>
      </c>
      <c r="D63" s="88">
        <f>712</f>
        <v>712</v>
      </c>
      <c r="E63" s="88">
        <f>789+2636</f>
        <v>3425</v>
      </c>
      <c r="F63" s="88">
        <f>983+19254+2415</f>
        <v>22652</v>
      </c>
      <c r="G63" s="88"/>
      <c r="H63" s="88">
        <f>670+423</f>
        <v>1093</v>
      </c>
      <c r="I63" s="88">
        <f>658+190</f>
        <v>848</v>
      </c>
      <c r="J63" s="88">
        <f>645+257</f>
        <v>902</v>
      </c>
      <c r="K63" s="88">
        <f t="shared" ref="K63" si="158">D63</f>
        <v>712</v>
      </c>
      <c r="L63" s="88">
        <f>620+122</f>
        <v>742</v>
      </c>
      <c r="M63" s="88">
        <f>890+2392</f>
        <v>3282</v>
      </c>
      <c r="N63" s="88">
        <f>872+2536</f>
        <v>3408</v>
      </c>
      <c r="O63" s="88">
        <f t="shared" ref="O63" si="159">E63</f>
        <v>3425</v>
      </c>
      <c r="P63" s="88">
        <f>830+4079</f>
        <v>4909</v>
      </c>
      <c r="Q63" s="88">
        <f>1264+4266</f>
        <v>5530</v>
      </c>
      <c r="R63" s="88">
        <f>1373+3105</f>
        <v>4478</v>
      </c>
      <c r="S63" s="88">
        <f t="shared" ref="S63" si="160">F63</f>
        <v>22652</v>
      </c>
      <c r="T63" s="88">
        <f>951+3320+3464</f>
        <v>7735</v>
      </c>
      <c r="U63" s="88">
        <f>984+4358+3161</f>
        <v>8503</v>
      </c>
      <c r="V63" s="88"/>
      <c r="W63" s="88"/>
      <c r="X63" s="88"/>
      <c r="Y63" s="88"/>
      <c r="Z63" s="88"/>
      <c r="AA63" s="88"/>
      <c r="AB63" s="88"/>
      <c r="AC63" s="88">
        <f t="shared" ref="AC63" si="161">Q63</f>
        <v>5530</v>
      </c>
      <c r="AD63" s="88">
        <f t="shared" ref="AD63" si="162">R63</f>
        <v>4478</v>
      </c>
      <c r="AE63" s="88">
        <f t="shared" ref="AE63" si="163">S63</f>
        <v>22652</v>
      </c>
      <c r="AF63" s="88">
        <f t="shared" ref="AF63" si="164">T63</f>
        <v>7735</v>
      </c>
      <c r="AG63" s="88">
        <f t="shared" ref="AG63" si="165">U63</f>
        <v>8503</v>
      </c>
      <c r="AH63" s="32"/>
      <c r="AI63" s="108">
        <f t="shared" si="129"/>
        <v>0.53761301989150101</v>
      </c>
    </row>
    <row r="64" spans="2:35" x14ac:dyDescent="0.2">
      <c r="B64" s="105" t="s">
        <v>40</v>
      </c>
      <c r="C64" s="106">
        <f>SUM(C59:C63)+C56</f>
        <v>164359</v>
      </c>
      <c r="D64" s="106">
        <f>SUM(D59:D63)+D56</f>
        <v>87374</v>
      </c>
      <c r="E64" s="106">
        <f>SUM(E59:E63)+E56</f>
        <v>114677</v>
      </c>
      <c r="F64" s="106">
        <f>SUM(F59:F63)+F56</f>
        <v>190541</v>
      </c>
      <c r="G64" s="107"/>
      <c r="H64" s="106">
        <f>SUM(H59:H63)+H56</f>
        <v>160578</v>
      </c>
      <c r="I64" s="106">
        <f>SUM(I59:I63)+I56</f>
        <v>104105</v>
      </c>
      <c r="J64" s="106">
        <f>SUM(J59:J63)+J56</f>
        <v>107547</v>
      </c>
      <c r="K64" s="106">
        <f>SUM(K59:K63)+K56</f>
        <v>87374</v>
      </c>
      <c r="L64" s="106">
        <f>SUM(L59:L63)+L56</f>
        <v>101089</v>
      </c>
      <c r="M64" s="106">
        <f>SUM(M59:M63)+M56</f>
        <v>106989</v>
      </c>
      <c r="N64" s="106">
        <f>SUM(N59:N63)+N56</f>
        <v>112392</v>
      </c>
      <c r="O64" s="106">
        <f>SUM(O59:O63)+O56</f>
        <v>114677</v>
      </c>
      <c r="P64" s="106">
        <f>SUM(P59:P63)+P56</f>
        <v>135314</v>
      </c>
      <c r="Q64" s="106">
        <f>SUM(Q59:Q63)+Q56</f>
        <v>166568</v>
      </c>
      <c r="R64" s="106">
        <f>SUM(R59:R63)+R56</f>
        <v>178485</v>
      </c>
      <c r="S64" s="106">
        <f>SUM(S59:S63)+S56</f>
        <v>190541</v>
      </c>
      <c r="T64" s="106">
        <f>SUM(T59:T63)+T56</f>
        <v>126510</v>
      </c>
      <c r="U64" s="106">
        <f>SUM(U59:U63)+U56</f>
        <v>134743</v>
      </c>
      <c r="V64" s="107"/>
      <c r="W64" s="106">
        <f>SUM(W59:W63)+W56</f>
        <v>57705</v>
      </c>
      <c r="X64" s="106">
        <f>SUM(X59:X63)+X56</f>
        <v>71030</v>
      </c>
      <c r="Y64" s="106">
        <f>SUM(Y59:Y63)+Y56</f>
        <v>103656</v>
      </c>
      <c r="Z64" s="106">
        <f>SUM(Z59:Z63)+Z56</f>
        <v>108932</v>
      </c>
      <c r="AA64" s="106">
        <f>SUM(AA59:AA63)+AA56</f>
        <v>111199</v>
      </c>
      <c r="AB64" s="106">
        <f>SUM(AB59:AB63)+AB56</f>
        <v>130350</v>
      </c>
      <c r="AC64" s="106">
        <f>SUM(AC59:AC63)+AC56</f>
        <v>166568</v>
      </c>
      <c r="AD64" s="106">
        <f>SUM(AD59:AD63)+AD56</f>
        <v>178485</v>
      </c>
      <c r="AE64" s="106">
        <f>SUM(AE59:AE63)+AE56</f>
        <v>190541</v>
      </c>
      <c r="AF64" s="106">
        <f>SUM(AF59:AF63)+AF56</f>
        <v>126510</v>
      </c>
      <c r="AG64" s="106">
        <f>SUM(AG59:AG63)+AG56</f>
        <v>134743</v>
      </c>
      <c r="AH64" s="34"/>
      <c r="AI64" s="109">
        <f t="shared" si="129"/>
        <v>-0.19106310936074156</v>
      </c>
    </row>
    <row r="65" spans="1:35" x14ac:dyDescent="0.2">
      <c r="B65" s="40"/>
      <c r="C65" s="52"/>
      <c r="D65" s="52"/>
      <c r="E65" s="53"/>
      <c r="F65" s="53"/>
      <c r="G65" s="38"/>
      <c r="H65" s="53"/>
      <c r="I65" s="53"/>
      <c r="J65" s="53"/>
      <c r="K65" s="53"/>
      <c r="L65" s="53"/>
      <c r="M65" s="53"/>
      <c r="N65" s="53"/>
      <c r="O65" s="53"/>
      <c r="P65" s="53"/>
      <c r="Q65" s="53"/>
      <c r="R65" s="53"/>
      <c r="S65" s="53"/>
      <c r="T65" s="53"/>
      <c r="U65" s="53"/>
      <c r="V65" s="38"/>
      <c r="W65" s="58"/>
      <c r="X65" s="58"/>
      <c r="Y65" s="58"/>
      <c r="Z65" s="58"/>
      <c r="AA65" s="58"/>
      <c r="AB65" s="58"/>
      <c r="AC65" s="58"/>
      <c r="AD65" s="58"/>
      <c r="AE65" s="58"/>
      <c r="AF65" s="58"/>
      <c r="AG65" s="58"/>
      <c r="AH65" s="34"/>
      <c r="AI65" s="108"/>
    </row>
    <row r="66" spans="1:35" x14ac:dyDescent="0.2">
      <c r="B66" s="40" t="s">
        <v>56</v>
      </c>
      <c r="C66" s="30"/>
      <c r="D66" s="59"/>
      <c r="E66" s="29"/>
      <c r="F66" s="29"/>
      <c r="G66" s="38"/>
      <c r="H66" s="29"/>
      <c r="I66" s="29"/>
      <c r="J66" s="29"/>
      <c r="K66" s="29"/>
      <c r="L66" s="29"/>
      <c r="M66" s="29"/>
      <c r="N66" s="29"/>
      <c r="O66" s="29"/>
      <c r="P66" s="29"/>
      <c r="Q66" s="29"/>
      <c r="R66" s="29"/>
      <c r="S66" s="29"/>
      <c r="T66" s="29"/>
      <c r="U66" s="29"/>
      <c r="V66" s="38"/>
      <c r="W66" s="38"/>
      <c r="X66" s="38"/>
      <c r="Y66" s="38"/>
      <c r="Z66" s="38"/>
      <c r="AA66" s="38"/>
      <c r="AB66" s="38"/>
      <c r="AC66" s="38"/>
      <c r="AD66" s="38"/>
      <c r="AE66" s="38"/>
      <c r="AF66" s="38"/>
      <c r="AG66" s="38"/>
      <c r="AI66" s="108"/>
    </row>
    <row r="67" spans="1:35" x14ac:dyDescent="0.2">
      <c r="B67" s="87" t="s">
        <v>66</v>
      </c>
      <c r="C67" s="88">
        <v>10</v>
      </c>
      <c r="D67" s="88">
        <v>10</v>
      </c>
      <c r="E67" s="88">
        <v>10</v>
      </c>
      <c r="F67" s="88">
        <v>13</v>
      </c>
      <c r="G67" s="88"/>
      <c r="H67" s="88">
        <v>10</v>
      </c>
      <c r="I67" s="88">
        <v>10</v>
      </c>
      <c r="J67" s="88">
        <v>10</v>
      </c>
      <c r="K67" s="88">
        <f t="shared" ref="K67:K69" si="166">D67</f>
        <v>10</v>
      </c>
      <c r="L67" s="88">
        <v>10</v>
      </c>
      <c r="M67" s="88">
        <v>10</v>
      </c>
      <c r="N67" s="88">
        <v>10</v>
      </c>
      <c r="O67" s="88">
        <f t="shared" ref="O67:O69" si="167">E67</f>
        <v>10</v>
      </c>
      <c r="P67" s="88">
        <v>12</v>
      </c>
      <c r="Q67" s="88">
        <v>12</v>
      </c>
      <c r="R67" s="88">
        <v>12</v>
      </c>
      <c r="S67" s="88">
        <f t="shared" ref="S67:S69" si="168">F67</f>
        <v>13</v>
      </c>
      <c r="T67" s="88">
        <v>16</v>
      </c>
      <c r="U67" s="88">
        <v>16</v>
      </c>
      <c r="V67" s="88"/>
      <c r="W67" s="88">
        <f t="shared" ref="W67:X69" si="169">K67</f>
        <v>10</v>
      </c>
      <c r="X67" s="88">
        <f t="shared" si="169"/>
        <v>10</v>
      </c>
      <c r="Y67" s="88">
        <f t="shared" ref="Y67:Y69" si="170">M67</f>
        <v>10</v>
      </c>
      <c r="Z67" s="88">
        <f t="shared" ref="Z67:Z69" si="171">N67</f>
        <v>10</v>
      </c>
      <c r="AA67" s="88">
        <f t="shared" ref="AA67:AA69" si="172">O67</f>
        <v>10</v>
      </c>
      <c r="AB67" s="88">
        <f t="shared" ref="AB67:AB69" si="173">P67</f>
        <v>12</v>
      </c>
      <c r="AC67" s="88">
        <f t="shared" ref="AC67:AC69" si="174">Q67</f>
        <v>12</v>
      </c>
      <c r="AD67" s="88">
        <f t="shared" ref="AD67:AD69" si="175">R67</f>
        <v>12</v>
      </c>
      <c r="AE67" s="88">
        <f t="shared" ref="AE67:AE69" si="176">S67</f>
        <v>13</v>
      </c>
      <c r="AF67" s="88">
        <f t="shared" ref="AF67:AF69" si="177">T67</f>
        <v>16</v>
      </c>
      <c r="AG67" s="88">
        <f t="shared" ref="AG67:AG69" si="178">U67</f>
        <v>16</v>
      </c>
      <c r="AH67" s="32"/>
      <c r="AI67" s="108">
        <f t="shared" si="129"/>
        <v>0.33333333333333326</v>
      </c>
    </row>
    <row r="68" spans="1:35" x14ac:dyDescent="0.2">
      <c r="B68" s="87" t="s">
        <v>25</v>
      </c>
      <c r="C68" s="88">
        <v>536737</v>
      </c>
      <c r="D68" s="88">
        <v>543456</v>
      </c>
      <c r="E68" s="88">
        <v>550850</v>
      </c>
      <c r="F68" s="88">
        <v>633333</v>
      </c>
      <c r="G68" s="88"/>
      <c r="H68" s="88">
        <v>538285</v>
      </c>
      <c r="I68" s="88">
        <v>539787</v>
      </c>
      <c r="J68" s="88">
        <v>541480</v>
      </c>
      <c r="K68" s="88">
        <f t="shared" si="166"/>
        <v>543456</v>
      </c>
      <c r="L68" s="88">
        <v>545384</v>
      </c>
      <c r="M68" s="88">
        <v>547320</v>
      </c>
      <c r="N68" s="88">
        <v>549191</v>
      </c>
      <c r="O68" s="88">
        <f t="shared" si="167"/>
        <v>550850</v>
      </c>
      <c r="P68" s="88">
        <v>595350</v>
      </c>
      <c r="Q68" s="88">
        <v>597574</v>
      </c>
      <c r="R68" s="88">
        <v>601342</v>
      </c>
      <c r="S68" s="88">
        <f t="shared" si="168"/>
        <v>633333</v>
      </c>
      <c r="T68" s="88">
        <v>682903</v>
      </c>
      <c r="U68" s="88">
        <v>688570</v>
      </c>
      <c r="V68" s="88"/>
      <c r="W68" s="88">
        <f t="shared" si="169"/>
        <v>543456</v>
      </c>
      <c r="X68" s="88">
        <f t="shared" si="169"/>
        <v>545384</v>
      </c>
      <c r="Y68" s="88">
        <f t="shared" si="170"/>
        <v>547320</v>
      </c>
      <c r="Z68" s="88">
        <f t="shared" si="171"/>
        <v>549191</v>
      </c>
      <c r="AA68" s="88">
        <f t="shared" si="172"/>
        <v>550850</v>
      </c>
      <c r="AB68" s="88">
        <f t="shared" si="173"/>
        <v>595350</v>
      </c>
      <c r="AC68" s="88">
        <f t="shared" si="174"/>
        <v>597574</v>
      </c>
      <c r="AD68" s="88">
        <f t="shared" si="175"/>
        <v>601342</v>
      </c>
      <c r="AE68" s="88">
        <f t="shared" si="176"/>
        <v>633333</v>
      </c>
      <c r="AF68" s="88">
        <f t="shared" si="177"/>
        <v>682903</v>
      </c>
      <c r="AG68" s="88">
        <f t="shared" si="178"/>
        <v>688570</v>
      </c>
      <c r="AH68" s="32"/>
      <c r="AI68" s="108">
        <f t="shared" si="129"/>
        <v>0.15227570141940583</v>
      </c>
    </row>
    <row r="69" spans="1:35" x14ac:dyDescent="0.2">
      <c r="B69" s="87" t="s">
        <v>26</v>
      </c>
      <c r="C69" s="88">
        <v>-414573</v>
      </c>
      <c r="D69" s="88">
        <v>-426538</v>
      </c>
      <c r="E69" s="88">
        <v>-537314</v>
      </c>
      <c r="F69" s="88">
        <v>-686015</v>
      </c>
      <c r="G69" s="88"/>
      <c r="H69" s="88">
        <v>-434405</v>
      </c>
      <c r="I69" s="88">
        <v>-397537</v>
      </c>
      <c r="J69" s="88">
        <v>-422818</v>
      </c>
      <c r="K69" s="88">
        <f t="shared" si="166"/>
        <v>-426538</v>
      </c>
      <c r="L69" s="88">
        <v>-463507</v>
      </c>
      <c r="M69" s="88">
        <v>-486213</v>
      </c>
      <c r="N69" s="88">
        <v>-512208</v>
      </c>
      <c r="O69" s="88">
        <f t="shared" si="167"/>
        <v>-537314</v>
      </c>
      <c r="P69" s="88">
        <v>-569210</v>
      </c>
      <c r="Q69" s="88">
        <v>-625873</v>
      </c>
      <c r="R69" s="88">
        <v>-665075</v>
      </c>
      <c r="S69" s="88">
        <f t="shared" si="168"/>
        <v>-686015</v>
      </c>
      <c r="T69" s="88">
        <v>-646876</v>
      </c>
      <c r="U69" s="88">
        <v>-684534</v>
      </c>
      <c r="V69" s="88"/>
      <c r="W69" s="88">
        <f t="shared" si="169"/>
        <v>-426538</v>
      </c>
      <c r="X69" s="88">
        <f t="shared" si="169"/>
        <v>-463507</v>
      </c>
      <c r="Y69" s="88">
        <f t="shared" si="170"/>
        <v>-486213</v>
      </c>
      <c r="Z69" s="88">
        <f t="shared" si="171"/>
        <v>-512208</v>
      </c>
      <c r="AA69" s="88">
        <f t="shared" si="172"/>
        <v>-537314</v>
      </c>
      <c r="AB69" s="88">
        <f t="shared" si="173"/>
        <v>-569210</v>
      </c>
      <c r="AC69" s="88">
        <f t="shared" si="174"/>
        <v>-625873</v>
      </c>
      <c r="AD69" s="88">
        <f t="shared" si="175"/>
        <v>-665075</v>
      </c>
      <c r="AE69" s="88">
        <f t="shared" si="176"/>
        <v>-686015</v>
      </c>
      <c r="AF69" s="88">
        <f t="shared" si="177"/>
        <v>-646876</v>
      </c>
      <c r="AG69" s="88">
        <f t="shared" si="178"/>
        <v>-684534</v>
      </c>
      <c r="AH69" s="32"/>
      <c r="AI69" s="108">
        <f t="shared" si="129"/>
        <v>9.3726682569786446E-2</v>
      </c>
    </row>
    <row r="70" spans="1:35" x14ac:dyDescent="0.2">
      <c r="B70" s="105" t="s">
        <v>110</v>
      </c>
      <c r="C70" s="106">
        <f>SUM(C67:C69)</f>
        <v>122174</v>
      </c>
      <c r="D70" s="106">
        <f t="shared" ref="D70:E70" si="179">SUM(D67:D69)</f>
        <v>116928</v>
      </c>
      <c r="E70" s="106">
        <f t="shared" si="179"/>
        <v>13546</v>
      </c>
      <c r="F70" s="106">
        <f t="shared" ref="F70" si="180">SUM(F67:F69)</f>
        <v>-52669</v>
      </c>
      <c r="G70" s="107"/>
      <c r="H70" s="106">
        <f t="shared" ref="H70" si="181">SUM(H67:H69)</f>
        <v>103890</v>
      </c>
      <c r="I70" s="106">
        <f t="shared" ref="I70" si="182">SUM(I67:I69)</f>
        <v>142260</v>
      </c>
      <c r="J70" s="106">
        <f t="shared" ref="J70" si="183">SUM(J67:J69)</f>
        <v>118672</v>
      </c>
      <c r="K70" s="106">
        <f t="shared" ref="K70" si="184">SUM(K67:K69)</f>
        <v>116928</v>
      </c>
      <c r="L70" s="106">
        <f t="shared" ref="L70" si="185">SUM(L67:L69)</f>
        <v>81887</v>
      </c>
      <c r="M70" s="106">
        <f t="shared" ref="M70" si="186">SUM(M67:M69)</f>
        <v>61117</v>
      </c>
      <c r="N70" s="106">
        <f t="shared" ref="N70" si="187">SUM(N67:N69)</f>
        <v>36993</v>
      </c>
      <c r="O70" s="106">
        <f t="shared" ref="O70" si="188">SUM(O67:O69)</f>
        <v>13546</v>
      </c>
      <c r="P70" s="106">
        <f t="shared" ref="P70" si="189">SUM(P67:P69)</f>
        <v>26152</v>
      </c>
      <c r="Q70" s="106">
        <f t="shared" ref="Q70" si="190">SUM(Q67:Q69)</f>
        <v>-28287</v>
      </c>
      <c r="R70" s="106">
        <f t="shared" ref="R70:AF70" si="191">SUM(R67:R69)</f>
        <v>-63721</v>
      </c>
      <c r="S70" s="106">
        <f t="shared" ref="S70:U70" si="192">SUM(S67:S69)</f>
        <v>-52669</v>
      </c>
      <c r="T70" s="106">
        <f t="shared" si="192"/>
        <v>36043</v>
      </c>
      <c r="U70" s="106">
        <f t="shared" si="192"/>
        <v>4052</v>
      </c>
      <c r="V70" s="107"/>
      <c r="W70" s="106">
        <f t="shared" ref="W70" si="193">SUM(W67:W69)</f>
        <v>116928</v>
      </c>
      <c r="X70" s="106">
        <f t="shared" si="191"/>
        <v>81887</v>
      </c>
      <c r="Y70" s="106">
        <f t="shared" si="191"/>
        <v>61117</v>
      </c>
      <c r="Z70" s="106">
        <f t="shared" si="191"/>
        <v>36993</v>
      </c>
      <c r="AA70" s="106">
        <f t="shared" si="191"/>
        <v>13546</v>
      </c>
      <c r="AB70" s="106">
        <f t="shared" ref="AB70:AC70" si="194">SUM(AB67:AB69)</f>
        <v>26152</v>
      </c>
      <c r="AC70" s="106">
        <f t="shared" si="194"/>
        <v>-28287</v>
      </c>
      <c r="AD70" s="106">
        <f t="shared" si="191"/>
        <v>-63721</v>
      </c>
      <c r="AE70" s="106">
        <f t="shared" si="191"/>
        <v>-52669</v>
      </c>
      <c r="AF70" s="106">
        <f t="shared" si="191"/>
        <v>36043</v>
      </c>
      <c r="AG70" s="106">
        <f t="shared" ref="AG70" si="195">SUM(AG67:AG69)</f>
        <v>4052</v>
      </c>
      <c r="AH70" s="34"/>
      <c r="AI70" s="108">
        <f t="shared" si="129"/>
        <v>-1.1432460140700675</v>
      </c>
    </row>
    <row r="71" spans="1:35" x14ac:dyDescent="0.2">
      <c r="B71" s="40" t="s">
        <v>111</v>
      </c>
      <c r="C71" s="98">
        <f>SUM(C70+C64)</f>
        <v>286533</v>
      </c>
      <c r="D71" s="98">
        <f>SUM(D70+D64)</f>
        <v>204302</v>
      </c>
      <c r="E71" s="98">
        <f>SUM(E70+E64)</f>
        <v>128223</v>
      </c>
      <c r="F71" s="98">
        <f>SUM(F70+F64)</f>
        <v>137872</v>
      </c>
      <c r="G71" s="98"/>
      <c r="H71" s="98">
        <f>SUM(H70+H64)</f>
        <v>264468</v>
      </c>
      <c r="I71" s="98">
        <f>SUM(I70+I64)</f>
        <v>246365</v>
      </c>
      <c r="J71" s="98">
        <f>SUM(J70+J64)</f>
        <v>226219</v>
      </c>
      <c r="K71" s="98">
        <f>SUM(K70+K64)</f>
        <v>204302</v>
      </c>
      <c r="L71" s="98">
        <f>SUM(L70+L64)</f>
        <v>182976</v>
      </c>
      <c r="M71" s="98">
        <f>SUM(M70+M64)</f>
        <v>168106</v>
      </c>
      <c r="N71" s="98">
        <f>SUM(N70+N64)</f>
        <v>149385</v>
      </c>
      <c r="O71" s="98">
        <f>SUM(O70+O64)</f>
        <v>128223</v>
      </c>
      <c r="P71" s="98">
        <f>SUM(P70+P64)</f>
        <v>161466</v>
      </c>
      <c r="Q71" s="98">
        <f>SUM(Q70+Q64)</f>
        <v>138281</v>
      </c>
      <c r="R71" s="98">
        <f>SUM(R70+R64)</f>
        <v>114764</v>
      </c>
      <c r="S71" s="98">
        <f>SUM(S70+S64)</f>
        <v>137872</v>
      </c>
      <c r="T71" s="98">
        <f>SUM(T70+T64)</f>
        <v>162553</v>
      </c>
      <c r="U71" s="98">
        <f>SUM(U70+U64)</f>
        <v>138795</v>
      </c>
      <c r="V71" s="98"/>
      <c r="W71" s="98">
        <f t="shared" ref="W71:X71" si="196">SUM(W70+W64)</f>
        <v>174633</v>
      </c>
      <c r="X71" s="98">
        <f t="shared" si="196"/>
        <v>152917</v>
      </c>
      <c r="Y71" s="98">
        <f t="shared" ref="Y71" si="197">SUM(Y70+Y64)</f>
        <v>164773</v>
      </c>
      <c r="Z71" s="98">
        <f t="shared" ref="Z71" si="198">SUM(Z70+Z64)</f>
        <v>145925</v>
      </c>
      <c r="AA71" s="98">
        <f t="shared" ref="AA71" si="199">SUM(AA70+AA64)</f>
        <v>124745</v>
      </c>
      <c r="AB71" s="98">
        <f t="shared" ref="AB71" si="200">SUM(AB70+AB64)</f>
        <v>156502</v>
      </c>
      <c r="AC71" s="98">
        <f t="shared" ref="AC71" si="201">SUM(AC70+AC64)</f>
        <v>138281</v>
      </c>
      <c r="AD71" s="98">
        <f t="shared" ref="AD71:AF71" si="202">SUM(AD70+AD64)</f>
        <v>114764</v>
      </c>
      <c r="AE71" s="98">
        <f t="shared" si="202"/>
        <v>137872</v>
      </c>
      <c r="AF71" s="98">
        <f t="shared" si="202"/>
        <v>162553</v>
      </c>
      <c r="AG71" s="98">
        <f>SUM(AG70+AG64)</f>
        <v>138795</v>
      </c>
      <c r="AH71" s="32"/>
      <c r="AI71" s="109">
        <f t="shared" si="129"/>
        <v>3.7170688670171703E-3</v>
      </c>
    </row>
    <row r="72" spans="1:35" ht="5.0999999999999996" customHeight="1" x14ac:dyDescent="0.2">
      <c r="B72" s="60"/>
      <c r="C72" s="63"/>
      <c r="D72" s="63"/>
      <c r="E72" s="63"/>
      <c r="F72" s="63"/>
      <c r="G72" s="62"/>
      <c r="H72" s="63"/>
      <c r="I72" s="63"/>
      <c r="J72" s="63"/>
      <c r="K72" s="63"/>
      <c r="L72" s="63"/>
      <c r="M72" s="63"/>
      <c r="N72" s="63"/>
      <c r="O72" s="63"/>
      <c r="P72" s="63"/>
      <c r="Q72" s="63"/>
      <c r="R72" s="63"/>
      <c r="S72" s="63"/>
      <c r="T72" s="63"/>
      <c r="U72" s="63"/>
      <c r="W72" s="63"/>
      <c r="X72" s="63"/>
      <c r="Y72" s="63"/>
      <c r="Z72" s="63"/>
      <c r="AA72" s="63"/>
      <c r="AB72" s="63"/>
      <c r="AC72" s="63"/>
      <c r="AD72" s="63"/>
      <c r="AE72" s="63"/>
      <c r="AF72" s="63"/>
      <c r="AG72" s="63"/>
      <c r="AH72" s="32"/>
      <c r="AI72" s="1"/>
    </row>
    <row r="73" spans="1:35" x14ac:dyDescent="0.2">
      <c r="B73" s="94" t="s">
        <v>100</v>
      </c>
      <c r="C73" s="95">
        <f>C71-C47</f>
        <v>0</v>
      </c>
      <c r="D73" s="95">
        <f>D71-D47</f>
        <v>0</v>
      </c>
      <c r="E73" s="95">
        <f>E71-E47</f>
        <v>0</v>
      </c>
      <c r="F73" s="95">
        <f>F71-F47</f>
        <v>0</v>
      </c>
      <c r="G73" s="62"/>
      <c r="H73" s="95">
        <f>H71-H47</f>
        <v>0</v>
      </c>
      <c r="I73" s="95">
        <f>I71-I47</f>
        <v>0</v>
      </c>
      <c r="J73" s="95">
        <f>J71-J47</f>
        <v>0</v>
      </c>
      <c r="K73" s="95">
        <f>K71-K47</f>
        <v>0</v>
      </c>
      <c r="L73" s="95">
        <f>L71-L47</f>
        <v>0</v>
      </c>
      <c r="M73" s="95">
        <f>M71-M47</f>
        <v>0</v>
      </c>
      <c r="N73" s="95">
        <f>N71-N47</f>
        <v>0</v>
      </c>
      <c r="O73" s="95">
        <f>O71-O47</f>
        <v>0</v>
      </c>
      <c r="P73" s="95">
        <f>P71-P47</f>
        <v>0</v>
      </c>
      <c r="Q73" s="95">
        <f>Q71-Q47</f>
        <v>0</v>
      </c>
      <c r="R73" s="95">
        <f>R71-R47</f>
        <v>0</v>
      </c>
      <c r="S73" s="95">
        <f>S71-S47</f>
        <v>0</v>
      </c>
      <c r="T73" s="95">
        <f>T71-T47</f>
        <v>0</v>
      </c>
      <c r="U73" s="95">
        <f>U71-U47</f>
        <v>0</v>
      </c>
      <c r="W73" s="95">
        <f>W71-W47</f>
        <v>-29669</v>
      </c>
      <c r="X73" s="95">
        <f>X71-X47</f>
        <v>-30059</v>
      </c>
      <c r="Y73" s="95">
        <f>Y71-Y47</f>
        <v>-3333</v>
      </c>
      <c r="Z73" s="95">
        <f>Z71-Z47</f>
        <v>-3460</v>
      </c>
      <c r="AA73" s="95">
        <f>AA71-AA47</f>
        <v>-3478</v>
      </c>
      <c r="AB73" s="95">
        <f>AB71-AB47</f>
        <v>-4964</v>
      </c>
      <c r="AC73" s="95">
        <f>AC71-AC47</f>
        <v>0</v>
      </c>
      <c r="AD73" s="95">
        <f>AD71-AD47</f>
        <v>0</v>
      </c>
      <c r="AE73" s="95">
        <f>AE71-AE47</f>
        <v>0</v>
      </c>
      <c r="AF73" s="95">
        <f>AF71-AF47</f>
        <v>0</v>
      </c>
      <c r="AG73" s="95">
        <f>AG71-AG47</f>
        <v>0</v>
      </c>
      <c r="AH73" s="32"/>
      <c r="AI73" s="1"/>
    </row>
    <row r="74" spans="1:35" ht="5.0999999999999996" customHeight="1" thickBot="1" x14ac:dyDescent="0.25">
      <c r="B74" s="120"/>
      <c r="C74" s="121"/>
      <c r="D74" s="121"/>
      <c r="E74" s="121"/>
      <c r="F74" s="121"/>
      <c r="G74" s="122"/>
      <c r="H74" s="121"/>
      <c r="I74" s="121"/>
      <c r="J74" s="121"/>
      <c r="K74" s="121"/>
      <c r="L74" s="121"/>
      <c r="M74" s="121"/>
      <c r="N74" s="121"/>
      <c r="O74" s="121"/>
      <c r="P74" s="121"/>
      <c r="Q74" s="121"/>
      <c r="R74" s="121"/>
      <c r="S74" s="121"/>
      <c r="T74" s="121"/>
      <c r="U74" s="121"/>
      <c r="V74" s="123"/>
      <c r="W74" s="121"/>
      <c r="X74" s="121"/>
      <c r="Y74" s="121"/>
      <c r="Z74" s="121"/>
      <c r="AA74" s="121"/>
      <c r="AB74" s="121"/>
      <c r="AC74" s="121"/>
      <c r="AD74" s="121"/>
      <c r="AE74" s="121"/>
      <c r="AF74" s="121"/>
      <c r="AG74" s="121"/>
      <c r="AH74" s="32"/>
      <c r="AI74" s="1"/>
    </row>
    <row r="75" spans="1:35" x14ac:dyDescent="0.2">
      <c r="B75" s="128" t="s">
        <v>137</v>
      </c>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32"/>
      <c r="AI75" s="1"/>
    </row>
    <row r="76" spans="1:35" x14ac:dyDescent="0.2">
      <c r="B76" s="127" t="s">
        <v>138</v>
      </c>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32"/>
      <c r="AI76" s="1"/>
    </row>
    <row r="77" spans="1:35" x14ac:dyDescent="0.2">
      <c r="B77" s="40"/>
      <c r="C77" s="55"/>
      <c r="D77" s="42"/>
      <c r="E77" s="42"/>
      <c r="F77" s="42"/>
      <c r="G77" s="55"/>
    </row>
    <row r="78" spans="1:35" x14ac:dyDescent="0.2">
      <c r="A78" s="24" t="s">
        <v>3</v>
      </c>
      <c r="B78" s="25" t="s">
        <v>27</v>
      </c>
      <c r="C78" s="28"/>
      <c r="D78" s="28"/>
      <c r="E78" s="28"/>
      <c r="F78" s="28"/>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row>
    <row r="79" spans="1:35" ht="3" customHeight="1" x14ac:dyDescent="0.2">
      <c r="B79" s="27"/>
      <c r="C79" s="50"/>
      <c r="D79" s="50"/>
      <c r="E79" s="50"/>
      <c r="F79" s="50"/>
    </row>
    <row r="80" spans="1:35" x14ac:dyDescent="0.2">
      <c r="B80" s="64" t="s">
        <v>93</v>
      </c>
      <c r="C80" s="65"/>
      <c r="D80" s="65"/>
      <c r="E80" s="65"/>
      <c r="F80" s="65"/>
      <c r="K80" s="100"/>
    </row>
    <row r="81" spans="2:35" x14ac:dyDescent="0.2">
      <c r="B81" s="44" t="s">
        <v>17</v>
      </c>
      <c r="C81" s="88">
        <f>C25</f>
        <v>-26477</v>
      </c>
      <c r="D81" s="88">
        <f>D25</f>
        <v>-11965</v>
      </c>
      <c r="E81" s="88">
        <f>E25</f>
        <v>-110776</v>
      </c>
      <c r="F81" s="88">
        <f>F25</f>
        <v>-148701</v>
      </c>
      <c r="G81" s="88"/>
      <c r="H81" s="88">
        <f>H25</f>
        <v>-19832</v>
      </c>
      <c r="I81" s="88">
        <f>I25</f>
        <v>36868</v>
      </c>
      <c r="J81" s="88">
        <f>J25</f>
        <v>-25281</v>
      </c>
      <c r="K81" s="88">
        <f>K25</f>
        <v>-3720</v>
      </c>
      <c r="L81" s="88">
        <f>L25</f>
        <v>-36969</v>
      </c>
      <c r="M81" s="88">
        <f>M25</f>
        <v>-22706</v>
      </c>
      <c r="N81" s="88">
        <f>N25</f>
        <v>-25995</v>
      </c>
      <c r="O81" s="88">
        <f>O25</f>
        <v>-25106</v>
      </c>
      <c r="P81" s="88">
        <f>P25</f>
        <v>-31896</v>
      </c>
      <c r="Q81" s="88">
        <f>Q25</f>
        <v>-56663</v>
      </c>
      <c r="R81" s="88">
        <f>R25</f>
        <v>-39202</v>
      </c>
      <c r="S81" s="88">
        <f>S25</f>
        <v>-20940</v>
      </c>
      <c r="T81" s="88">
        <f>T25</f>
        <v>39139</v>
      </c>
      <c r="U81" s="88">
        <f>U25</f>
        <v>-37658</v>
      </c>
      <c r="V81" s="38"/>
      <c r="W81" s="88">
        <f>SUM(H81:K81)</f>
        <v>-11965</v>
      </c>
      <c r="X81" s="88">
        <f>SUM(I81:L81)</f>
        <v>-29102</v>
      </c>
      <c r="Y81" s="88">
        <f>SUM(J81:M81)</f>
        <v>-88676</v>
      </c>
      <c r="Z81" s="88">
        <f>SUM(K81:N81)</f>
        <v>-89390</v>
      </c>
      <c r="AA81" s="88">
        <f>SUM(L81:O81)</f>
        <v>-110776</v>
      </c>
      <c r="AB81" s="88">
        <f>SUM(M81:P81)</f>
        <v>-105703</v>
      </c>
      <c r="AC81" s="88">
        <f>SUM(N81:Q81)</f>
        <v>-139660</v>
      </c>
      <c r="AD81" s="88">
        <f>SUM(O81:R81)</f>
        <v>-152867</v>
      </c>
      <c r="AE81" s="88">
        <f>SUM(P81:S81)</f>
        <v>-148701</v>
      </c>
      <c r="AF81" s="88">
        <f>SUM(Q81:T81)</f>
        <v>-77666</v>
      </c>
      <c r="AG81" s="88">
        <f>SUM(R81:U81)</f>
        <v>-58661</v>
      </c>
      <c r="AH81" s="32"/>
      <c r="AI81" s="108">
        <f t="shared" ref="AI81:AI113" si="203">SUM(AG81/AC81)-1</f>
        <v>-0.57997279106401267</v>
      </c>
    </row>
    <row r="82" spans="2:35" ht="5.0999999999999996" customHeight="1" x14ac:dyDescent="0.2">
      <c r="B82" s="44"/>
      <c r="C82" s="88"/>
      <c r="D82" s="88"/>
      <c r="E82" s="88"/>
      <c r="F82" s="88"/>
      <c r="G82" s="88"/>
      <c r="H82" s="88"/>
      <c r="I82" s="88"/>
      <c r="J82" s="88"/>
      <c r="K82" s="88"/>
      <c r="L82" s="88"/>
      <c r="M82" s="66"/>
      <c r="N82" s="88"/>
      <c r="O82" s="88"/>
      <c r="P82" s="88"/>
      <c r="Q82" s="88"/>
      <c r="R82" s="88"/>
      <c r="S82" s="88"/>
      <c r="T82" s="88"/>
      <c r="U82" s="88"/>
      <c r="V82" s="38"/>
      <c r="W82" s="88"/>
      <c r="X82" s="88"/>
      <c r="Y82" s="88"/>
      <c r="Z82" s="88"/>
      <c r="AA82" s="88"/>
      <c r="AB82" s="88"/>
      <c r="AC82" s="88"/>
      <c r="AD82" s="88"/>
      <c r="AE82" s="88"/>
      <c r="AF82" s="88"/>
      <c r="AG82" s="88"/>
      <c r="AH82" s="32"/>
      <c r="AI82" s="108"/>
    </row>
    <row r="83" spans="2:35" x14ac:dyDescent="0.2">
      <c r="B83" s="99" t="s">
        <v>68</v>
      </c>
      <c r="C83" s="88"/>
      <c r="D83" s="88"/>
      <c r="E83" s="88"/>
      <c r="F83" s="88"/>
      <c r="G83" s="88"/>
      <c r="H83" s="88"/>
      <c r="I83" s="88"/>
      <c r="J83" s="88"/>
      <c r="K83" s="88"/>
      <c r="L83" s="88"/>
      <c r="M83" s="66"/>
      <c r="N83" s="88"/>
      <c r="O83" s="88"/>
      <c r="P83" s="88"/>
      <c r="Q83" s="88"/>
      <c r="R83" s="88"/>
      <c r="S83" s="88"/>
      <c r="T83" s="88"/>
      <c r="U83" s="88"/>
      <c r="V83" s="38"/>
      <c r="W83" s="88"/>
      <c r="X83" s="88"/>
      <c r="Y83" s="88"/>
      <c r="Z83" s="88"/>
      <c r="AA83" s="88"/>
      <c r="AB83" s="88"/>
      <c r="AC83" s="88"/>
      <c r="AD83" s="88"/>
      <c r="AE83" s="88"/>
      <c r="AF83" s="88"/>
      <c r="AG83" s="88"/>
      <c r="AH83" s="67"/>
      <c r="AI83" s="108"/>
    </row>
    <row r="84" spans="2:35" x14ac:dyDescent="0.2">
      <c r="B84" s="125" t="s">
        <v>57</v>
      </c>
      <c r="C84" s="88">
        <v>6181</v>
      </c>
      <c r="D84" s="88">
        <v>6151</v>
      </c>
      <c r="E84" s="88">
        <v>5659</v>
      </c>
      <c r="F84" s="88">
        <v>5104</v>
      </c>
      <c r="G84" s="88"/>
      <c r="H84" s="88">
        <v>1525</v>
      </c>
      <c r="I84" s="88">
        <f>3032-H84</f>
        <v>1507</v>
      </c>
      <c r="J84" s="88">
        <f>4552-I84-H84</f>
        <v>1520</v>
      </c>
      <c r="K84" s="88">
        <f t="shared" ref="K84:K86" si="204">SUM(D84-SUM(H84:J84))</f>
        <v>1599</v>
      </c>
      <c r="L84" s="88">
        <v>1558</v>
      </c>
      <c r="M84" s="88">
        <f>3026-L84</f>
        <v>1468</v>
      </c>
      <c r="N84" s="88">
        <f>4341-M84-L84</f>
        <v>1315</v>
      </c>
      <c r="O84" s="88">
        <f>SUM(E84-SUM(L84:N84))</f>
        <v>1318</v>
      </c>
      <c r="P84" s="88">
        <v>1274</v>
      </c>
      <c r="Q84" s="88">
        <f>2530-P84</f>
        <v>1256</v>
      </c>
      <c r="R84" s="88">
        <f>3819-Q84-P84</f>
        <v>1289</v>
      </c>
      <c r="S84" s="88">
        <f t="shared" ref="S84:S86" si="205">SUM(F84-SUM(P84:R84))</f>
        <v>1285</v>
      </c>
      <c r="T84" s="88">
        <v>1308</v>
      </c>
      <c r="U84" s="88">
        <f>2645-T84</f>
        <v>1337</v>
      </c>
      <c r="V84" s="38"/>
      <c r="W84" s="88">
        <f>SUM(H84:K84)</f>
        <v>6151</v>
      </c>
      <c r="X84" s="88">
        <f>SUM(I84:L84)</f>
        <v>6184</v>
      </c>
      <c r="Y84" s="88">
        <f>SUM(J84:M84)</f>
        <v>6145</v>
      </c>
      <c r="Z84" s="88">
        <f>SUM(K84:N84)</f>
        <v>5940</v>
      </c>
      <c r="AA84" s="88">
        <f>SUM(L84:O84)</f>
        <v>5659</v>
      </c>
      <c r="AB84" s="88">
        <f>SUM(M84:P84)</f>
        <v>5375</v>
      </c>
      <c r="AC84" s="88">
        <f>SUM(N84:Q84)</f>
        <v>5163</v>
      </c>
      <c r="AD84" s="88">
        <f>SUM(O84:R84)</f>
        <v>5137</v>
      </c>
      <c r="AE84" s="88">
        <f>SUM(P84:S84)</f>
        <v>5104</v>
      </c>
      <c r="AF84" s="88">
        <f>SUM(Q84:T84)</f>
        <v>5138</v>
      </c>
      <c r="AG84" s="88">
        <f>SUM(R84:U84)</f>
        <v>5219</v>
      </c>
      <c r="AH84" s="67"/>
      <c r="AI84" s="108">
        <f t="shared" si="203"/>
        <v>1.0846407127639068E-2</v>
      </c>
    </row>
    <row r="85" spans="2:35" x14ac:dyDescent="0.2">
      <c r="B85" s="125" t="s">
        <v>59</v>
      </c>
      <c r="C85" s="88">
        <v>2060</v>
      </c>
      <c r="D85" s="88">
        <v>2059</v>
      </c>
      <c r="E85" s="88">
        <v>2060</v>
      </c>
      <c r="F85" s="88">
        <v>2086</v>
      </c>
      <c r="G85" s="88"/>
      <c r="H85" s="88">
        <v>515</v>
      </c>
      <c r="I85" s="88">
        <f>1029-H85</f>
        <v>514</v>
      </c>
      <c r="J85" s="88">
        <f>1544-I85-H85</f>
        <v>515</v>
      </c>
      <c r="K85" s="88">
        <f>SUM(D85-SUM(H85:J85))</f>
        <v>515</v>
      </c>
      <c r="L85" s="88">
        <v>515</v>
      </c>
      <c r="M85" s="88">
        <f>1030-L85</f>
        <v>515</v>
      </c>
      <c r="N85" s="88">
        <f>1545-M85-L85</f>
        <v>515</v>
      </c>
      <c r="O85" s="88">
        <f>SUM(E85-SUM(L85:N85))</f>
        <v>515</v>
      </c>
      <c r="P85" s="88">
        <v>517</v>
      </c>
      <c r="Q85" s="88">
        <f>1040-P85</f>
        <v>523</v>
      </c>
      <c r="R85" s="88">
        <f>1563-Q85-P85</f>
        <v>523</v>
      </c>
      <c r="S85" s="88">
        <f t="shared" si="205"/>
        <v>523</v>
      </c>
      <c r="T85" s="88">
        <v>524</v>
      </c>
      <c r="U85" s="88">
        <f>1047-T85</f>
        <v>523</v>
      </c>
      <c r="V85" s="38"/>
      <c r="W85" s="88">
        <f>SUM(H85:K85)</f>
        <v>2059</v>
      </c>
      <c r="X85" s="88">
        <f>SUM(I85:L85)</f>
        <v>2059</v>
      </c>
      <c r="Y85" s="88">
        <f>SUM(J85:M85)</f>
        <v>2060</v>
      </c>
      <c r="Z85" s="88">
        <f>SUM(K85:N85)</f>
        <v>2060</v>
      </c>
      <c r="AA85" s="88">
        <f>SUM(L85:O85)</f>
        <v>2060</v>
      </c>
      <c r="AB85" s="88">
        <f>SUM(M85:P85)</f>
        <v>2062</v>
      </c>
      <c r="AC85" s="88">
        <f>SUM(N85:Q85)</f>
        <v>2070</v>
      </c>
      <c r="AD85" s="88">
        <f>SUM(O85:R85)</f>
        <v>2078</v>
      </c>
      <c r="AE85" s="88">
        <f>SUM(P85:S85)</f>
        <v>2086</v>
      </c>
      <c r="AF85" s="88">
        <f>SUM(Q85:T85)</f>
        <v>2093</v>
      </c>
      <c r="AG85" s="88">
        <f>SUM(R85:U85)</f>
        <v>2093</v>
      </c>
      <c r="AH85" s="67"/>
      <c r="AI85" s="108">
        <f t="shared" si="203"/>
        <v>1.1111111111111072E-2</v>
      </c>
    </row>
    <row r="86" spans="2:35" x14ac:dyDescent="0.2">
      <c r="B86" s="125" t="s">
        <v>41</v>
      </c>
      <c r="C86" s="88">
        <v>10146</v>
      </c>
      <c r="D86" s="88">
        <v>6184</v>
      </c>
      <c r="E86" s="88">
        <v>6828</v>
      </c>
      <c r="F86" s="88">
        <v>6137</v>
      </c>
      <c r="G86" s="88"/>
      <c r="H86" s="88">
        <v>1547</v>
      </c>
      <c r="I86" s="88">
        <f>3038-H86</f>
        <v>1491</v>
      </c>
      <c r="J86" s="88">
        <f>4514-I86-H86</f>
        <v>1476</v>
      </c>
      <c r="K86" s="88">
        <f t="shared" si="204"/>
        <v>1670</v>
      </c>
      <c r="L86" s="88">
        <v>1809</v>
      </c>
      <c r="M86" s="88">
        <f>3650-L86</f>
        <v>1841</v>
      </c>
      <c r="N86" s="88">
        <f>5422-M86-L86</f>
        <v>1772</v>
      </c>
      <c r="O86" s="88">
        <f t="shared" ref="O86" si="206">SUM(E86-SUM(L86:N86))</f>
        <v>1406</v>
      </c>
      <c r="P86" s="88">
        <v>1454</v>
      </c>
      <c r="Q86" s="88">
        <f>2891-P86</f>
        <v>1437</v>
      </c>
      <c r="R86" s="88">
        <f>4443-Q86-P86</f>
        <v>1552</v>
      </c>
      <c r="S86" s="88">
        <f t="shared" si="205"/>
        <v>1694</v>
      </c>
      <c r="T86" s="88">
        <v>2487</v>
      </c>
      <c r="U86" s="88">
        <f>4822-T86</f>
        <v>2335</v>
      </c>
      <c r="V86" s="38"/>
      <c r="W86" s="88">
        <f>SUM(H86:K86)</f>
        <v>6184</v>
      </c>
      <c r="X86" s="88">
        <f>SUM(I86:L86)</f>
        <v>6446</v>
      </c>
      <c r="Y86" s="88">
        <f>SUM(J86:M86)</f>
        <v>6796</v>
      </c>
      <c r="Z86" s="88">
        <f>SUM(K86:N86)</f>
        <v>7092</v>
      </c>
      <c r="AA86" s="88">
        <f>SUM(L86:O86)</f>
        <v>6828</v>
      </c>
      <c r="AB86" s="88">
        <f>SUM(M86:P86)</f>
        <v>6473</v>
      </c>
      <c r="AC86" s="88">
        <f>SUM(N86:Q86)</f>
        <v>6069</v>
      </c>
      <c r="AD86" s="88">
        <f>SUM(O86:R86)</f>
        <v>5849</v>
      </c>
      <c r="AE86" s="88">
        <f>SUM(P86:S86)</f>
        <v>6137</v>
      </c>
      <c r="AF86" s="88">
        <f>SUM(Q86:T86)</f>
        <v>7170</v>
      </c>
      <c r="AG86" s="88">
        <f>SUM(R86:U86)</f>
        <v>8068</v>
      </c>
      <c r="AH86" s="67"/>
      <c r="AI86" s="108">
        <f t="shared" si="203"/>
        <v>0.32937881034766847</v>
      </c>
    </row>
    <row r="87" spans="2:35" x14ac:dyDescent="0.2">
      <c r="B87" s="125" t="s">
        <v>46</v>
      </c>
      <c r="C87" s="88">
        <v>-55772</v>
      </c>
      <c r="D87" s="88">
        <v>-75767</v>
      </c>
      <c r="E87" s="88">
        <v>10023</v>
      </c>
      <c r="F87" s="88">
        <v>33045</v>
      </c>
      <c r="G87" s="88"/>
      <c r="H87" s="88">
        <v>-3258</v>
      </c>
      <c r="I87" s="88">
        <f>-59611-H87</f>
        <v>-56353</v>
      </c>
      <c r="J87" s="88">
        <f>-58649-I87-H87</f>
        <v>962</v>
      </c>
      <c r="K87" s="88">
        <f>SUM(D87-SUM(H87:J87))</f>
        <v>-17118</v>
      </c>
      <c r="L87" s="88">
        <v>14191</v>
      </c>
      <c r="M87" s="88">
        <f>10564-L87</f>
        <v>-3627</v>
      </c>
      <c r="N87" s="88">
        <f>11708-M87-L87</f>
        <v>1144</v>
      </c>
      <c r="O87" s="88">
        <f>SUM(E87-SUM(L87:N87))</f>
        <v>-1685</v>
      </c>
      <c r="P87" s="88">
        <v>4593</v>
      </c>
      <c r="Q87" s="88">
        <f>30164-P87</f>
        <v>25571</v>
      </c>
      <c r="R87" s="88">
        <f>38653-Q87-P87</f>
        <v>8489</v>
      </c>
      <c r="S87" s="88">
        <f>SUM(F87-SUM(P87:R87))</f>
        <v>-5608</v>
      </c>
      <c r="T87" s="88">
        <v>-49731</v>
      </c>
      <c r="U87" s="88">
        <f>-44261-T87</f>
        <v>5470</v>
      </c>
      <c r="V87" s="38"/>
      <c r="W87" s="88">
        <f>SUM(H87:K87)</f>
        <v>-75767</v>
      </c>
      <c r="X87" s="88">
        <f>SUM(I87:L87)</f>
        <v>-58318</v>
      </c>
      <c r="Y87" s="88">
        <f>SUM(J87:M87)</f>
        <v>-5592</v>
      </c>
      <c r="Z87" s="88">
        <f>SUM(K87:N87)</f>
        <v>-5410</v>
      </c>
      <c r="AA87" s="88">
        <f>SUM(L87:O87)</f>
        <v>10023</v>
      </c>
      <c r="AB87" s="88">
        <f>SUM(M87:P87)</f>
        <v>425</v>
      </c>
      <c r="AC87" s="88">
        <f>SUM(N87:Q87)</f>
        <v>29623</v>
      </c>
      <c r="AD87" s="88">
        <f>SUM(O87:R87)</f>
        <v>36968</v>
      </c>
      <c r="AE87" s="88">
        <f>SUM(P87:S87)</f>
        <v>33045</v>
      </c>
      <c r="AF87" s="88">
        <f>SUM(Q87:T87)</f>
        <v>-21279</v>
      </c>
      <c r="AG87" s="88">
        <f>SUM(R87:U87)</f>
        <v>-41380</v>
      </c>
      <c r="AH87" s="67"/>
      <c r="AI87" s="108">
        <f>SUM(AG87/AC87)-1</f>
        <v>-2.3968875535901155</v>
      </c>
    </row>
    <row r="88" spans="2:35" x14ac:dyDescent="0.2">
      <c r="B88" s="125" t="s">
        <v>47</v>
      </c>
      <c r="C88" s="88">
        <v>-56</v>
      </c>
      <c r="D88" s="88">
        <v>-417</v>
      </c>
      <c r="E88" s="88">
        <v>260</v>
      </c>
      <c r="F88" s="88">
        <v>-3915</v>
      </c>
      <c r="G88" s="88"/>
      <c r="H88" s="88">
        <v>0</v>
      </c>
      <c r="I88" s="88">
        <v>0</v>
      </c>
      <c r="J88" s="88">
        <v>0</v>
      </c>
      <c r="K88" s="88">
        <v>0</v>
      </c>
      <c r="L88" s="88">
        <v>0</v>
      </c>
      <c r="M88" s="88">
        <f>99-L88</f>
        <v>99</v>
      </c>
      <c r="N88" s="88">
        <f>234-M88-L88</f>
        <v>135</v>
      </c>
      <c r="O88" s="88">
        <f>SUM(E88-SUM(L88:N88))</f>
        <v>26</v>
      </c>
      <c r="P88" s="88">
        <v>-60</v>
      </c>
      <c r="Q88" s="88">
        <f>328-P88</f>
        <v>388</v>
      </c>
      <c r="R88" s="88">
        <f>-719-Q88-P88</f>
        <v>-1047</v>
      </c>
      <c r="S88" s="88">
        <f>SUM(F88-SUM(P88:R88))</f>
        <v>-3196</v>
      </c>
      <c r="T88" s="88">
        <v>-14930</v>
      </c>
      <c r="U88" s="88">
        <f>-14182-T88</f>
        <v>748</v>
      </c>
      <c r="V88" s="38"/>
      <c r="W88" s="88">
        <f>SUM(H88:K88)</f>
        <v>0</v>
      </c>
      <c r="X88" s="88">
        <f>SUM(I88:L88)</f>
        <v>0</v>
      </c>
      <c r="Y88" s="88">
        <f>SUM(J88:M88)</f>
        <v>99</v>
      </c>
      <c r="Z88" s="88">
        <f>SUM(K88:N88)</f>
        <v>234</v>
      </c>
      <c r="AA88" s="88">
        <f>SUM(L88:O88)</f>
        <v>260</v>
      </c>
      <c r="AB88" s="88">
        <f>SUM(M88:P88)</f>
        <v>200</v>
      </c>
      <c r="AC88" s="88">
        <f>SUM(N88:Q88)</f>
        <v>489</v>
      </c>
      <c r="AD88" s="88">
        <f>SUM(O88:R88)</f>
        <v>-693</v>
      </c>
      <c r="AE88" s="88">
        <f>SUM(P88:S88)</f>
        <v>-3915</v>
      </c>
      <c r="AF88" s="88">
        <f>SUM(Q88:T88)</f>
        <v>-18785</v>
      </c>
      <c r="AG88" s="88">
        <f>SUM(R88:U88)</f>
        <v>-18425</v>
      </c>
      <c r="AH88" s="67"/>
      <c r="AI88" s="108">
        <f>SUM(AG88/AC88)-1</f>
        <v>-38.67893660531697</v>
      </c>
    </row>
    <row r="89" spans="2:35" x14ac:dyDescent="0.2">
      <c r="B89" s="125" t="s">
        <v>42</v>
      </c>
      <c r="C89" s="88">
        <v>0</v>
      </c>
      <c r="D89" s="88">
        <v>0</v>
      </c>
      <c r="E89" s="88">
        <v>3099</v>
      </c>
      <c r="F89" s="88">
        <v>7754</v>
      </c>
      <c r="G89" s="88"/>
      <c r="H89" s="88">
        <v>0</v>
      </c>
      <c r="I89" s="88">
        <v>0</v>
      </c>
      <c r="J89" s="88">
        <v>0</v>
      </c>
      <c r="K89" s="88">
        <v>0</v>
      </c>
      <c r="L89" s="88">
        <v>0</v>
      </c>
      <c r="M89" s="88">
        <f>737-L89</f>
        <v>737</v>
      </c>
      <c r="N89" s="88">
        <f>1780-M89-L89</f>
        <v>1043</v>
      </c>
      <c r="O89" s="88">
        <f>SUM(E89-SUM(L89:N89))</f>
        <v>1319</v>
      </c>
      <c r="P89" s="88">
        <v>1418</v>
      </c>
      <c r="Q89" s="88">
        <f>3544-P89</f>
        <v>2126</v>
      </c>
      <c r="R89" s="88">
        <f>5606-Q89-P89</f>
        <v>2062</v>
      </c>
      <c r="S89" s="88">
        <f>SUM(F89-SUM(P89:R89))</f>
        <v>2148</v>
      </c>
      <c r="T89" s="88">
        <v>2152</v>
      </c>
      <c r="U89" s="88">
        <f>4367-T89</f>
        <v>2215</v>
      </c>
      <c r="V89" s="38"/>
      <c r="W89" s="88">
        <f>SUM(H89:K89)</f>
        <v>0</v>
      </c>
      <c r="X89" s="88">
        <f>SUM(I89:L89)</f>
        <v>0</v>
      </c>
      <c r="Y89" s="88">
        <f>SUM(J89:M89)</f>
        <v>737</v>
      </c>
      <c r="Z89" s="88">
        <f>SUM(K89:N89)</f>
        <v>1780</v>
      </c>
      <c r="AA89" s="88">
        <f>SUM(L89:O89)</f>
        <v>3099</v>
      </c>
      <c r="AB89" s="88">
        <f>SUM(M89:P89)</f>
        <v>4517</v>
      </c>
      <c r="AC89" s="88">
        <f>SUM(N89:Q89)</f>
        <v>5906</v>
      </c>
      <c r="AD89" s="88">
        <f>SUM(O89:R89)</f>
        <v>6925</v>
      </c>
      <c r="AE89" s="88">
        <f>SUM(P89:S89)</f>
        <v>7754</v>
      </c>
      <c r="AF89" s="88">
        <f>SUM(Q89:T89)</f>
        <v>8488</v>
      </c>
      <c r="AG89" s="88">
        <f>SUM(R89:U89)</f>
        <v>8577</v>
      </c>
      <c r="AH89" s="67"/>
      <c r="AI89" s="108">
        <f>SUM(AG89/AC89)-1</f>
        <v>0.45225194717236716</v>
      </c>
    </row>
    <row r="90" spans="2:35" x14ac:dyDescent="0.2">
      <c r="B90" s="125" t="s">
        <v>60</v>
      </c>
      <c r="C90" s="88">
        <v>42</v>
      </c>
      <c r="D90" s="88">
        <v>45</v>
      </c>
      <c r="E90" s="88">
        <v>50</v>
      </c>
      <c r="F90" s="88">
        <v>53</v>
      </c>
      <c r="G90" s="88"/>
      <c r="H90" s="88">
        <v>11</v>
      </c>
      <c r="I90" s="88">
        <f>22-H90</f>
        <v>11</v>
      </c>
      <c r="J90" s="88">
        <f>34-I90-H90</f>
        <v>12</v>
      </c>
      <c r="K90" s="88">
        <f>SUM(D90-SUM(H90:J90))</f>
        <v>11</v>
      </c>
      <c r="L90" s="88">
        <v>12</v>
      </c>
      <c r="M90" s="88">
        <f>24-L90</f>
        <v>12</v>
      </c>
      <c r="N90" s="88">
        <f>37-M90-L90</f>
        <v>13</v>
      </c>
      <c r="O90" s="88">
        <f>SUM(E90-SUM(L90:N90))</f>
        <v>13</v>
      </c>
      <c r="P90" s="88">
        <v>13</v>
      </c>
      <c r="Q90" s="88">
        <f>26-P90</f>
        <v>13</v>
      </c>
      <c r="R90" s="88">
        <f>39-Q90-P90</f>
        <v>13</v>
      </c>
      <c r="S90" s="88">
        <f>SUM(F90-SUM(P90:R90))</f>
        <v>14</v>
      </c>
      <c r="T90" s="88">
        <v>14</v>
      </c>
      <c r="U90" s="88">
        <f>29-T90</f>
        <v>15</v>
      </c>
      <c r="V90" s="38"/>
      <c r="W90" s="88">
        <f>SUM(H90:K90)</f>
        <v>45</v>
      </c>
      <c r="X90" s="88">
        <f>SUM(I90:L90)</f>
        <v>46</v>
      </c>
      <c r="Y90" s="88">
        <f>SUM(J90:M90)</f>
        <v>47</v>
      </c>
      <c r="Z90" s="88">
        <f>SUM(K90:N90)</f>
        <v>48</v>
      </c>
      <c r="AA90" s="88">
        <f>SUM(L90:O90)</f>
        <v>50</v>
      </c>
      <c r="AB90" s="88">
        <f>SUM(M90:P90)</f>
        <v>51</v>
      </c>
      <c r="AC90" s="88">
        <f>SUM(N90:Q90)</f>
        <v>52</v>
      </c>
      <c r="AD90" s="88">
        <f>SUM(O90:R90)</f>
        <v>52</v>
      </c>
      <c r="AE90" s="88">
        <f>SUM(P90:S90)</f>
        <v>53</v>
      </c>
      <c r="AF90" s="88">
        <f>SUM(Q90:T90)</f>
        <v>54</v>
      </c>
      <c r="AG90" s="88">
        <f>SUM(R90:U90)</f>
        <v>56</v>
      </c>
      <c r="AH90" s="67"/>
      <c r="AI90" s="108">
        <f>SUM(AG90/AC90)-1</f>
        <v>7.6923076923076872E-2</v>
      </c>
    </row>
    <row r="91" spans="2:35" x14ac:dyDescent="0.2">
      <c r="B91" s="125" t="s">
        <v>58</v>
      </c>
      <c r="C91" s="88">
        <v>0</v>
      </c>
      <c r="D91" s="88">
        <v>6</v>
      </c>
      <c r="E91" s="88">
        <v>18</v>
      </c>
      <c r="F91" s="88">
        <v>4</v>
      </c>
      <c r="G91" s="88"/>
      <c r="H91" s="88">
        <v>0</v>
      </c>
      <c r="I91" s="88">
        <v>0</v>
      </c>
      <c r="J91" s="88">
        <v>0</v>
      </c>
      <c r="K91" s="88">
        <v>0</v>
      </c>
      <c r="L91" s="88">
        <v>0</v>
      </c>
      <c r="M91" s="88">
        <f>9-L91</f>
        <v>9</v>
      </c>
      <c r="N91" s="88">
        <f>9-M91-L91</f>
        <v>0</v>
      </c>
      <c r="O91" s="88">
        <f>SUM(E91-SUM(L91:N91))</f>
        <v>9</v>
      </c>
      <c r="P91" s="88">
        <v>0</v>
      </c>
      <c r="Q91" s="88">
        <v>0</v>
      </c>
      <c r="R91" s="88">
        <v>0</v>
      </c>
      <c r="S91" s="88">
        <f>SUM(F91-SUM(P91:R91))</f>
        <v>4</v>
      </c>
      <c r="T91" s="88">
        <v>0</v>
      </c>
      <c r="U91" s="88">
        <v>0</v>
      </c>
      <c r="V91" s="38"/>
      <c r="W91" s="88">
        <f>SUM(H91:K91)</f>
        <v>0</v>
      </c>
      <c r="X91" s="88">
        <f>SUM(I91:L91)</f>
        <v>0</v>
      </c>
      <c r="Y91" s="88">
        <f>SUM(J91:M91)</f>
        <v>9</v>
      </c>
      <c r="Z91" s="88">
        <f>SUM(K91:N91)</f>
        <v>9</v>
      </c>
      <c r="AA91" s="88">
        <f>SUM(L91:O91)</f>
        <v>18</v>
      </c>
      <c r="AB91" s="88">
        <f>SUM(M91:P91)</f>
        <v>18</v>
      </c>
      <c r="AC91" s="88">
        <f>SUM(N91:Q91)</f>
        <v>9</v>
      </c>
      <c r="AD91" s="88">
        <f>SUM(O91:R91)</f>
        <v>9</v>
      </c>
      <c r="AE91" s="88">
        <f>SUM(P91:S91)</f>
        <v>4</v>
      </c>
      <c r="AF91" s="88">
        <f>SUM(Q91:T91)</f>
        <v>4</v>
      </c>
      <c r="AG91" s="88">
        <f>SUM(R91:U91)</f>
        <v>4</v>
      </c>
      <c r="AH91" s="67"/>
      <c r="AI91" s="108">
        <f>SUM(AG91/AC91)-1</f>
        <v>-0.55555555555555558</v>
      </c>
    </row>
    <row r="92" spans="2:35" ht="14.25" x14ac:dyDescent="0.2">
      <c r="B92" s="24" t="s">
        <v>118</v>
      </c>
      <c r="C92" s="88">
        <f>977+11-3284-14461</f>
        <v>-16757</v>
      </c>
      <c r="D92" s="88">
        <v>1546</v>
      </c>
      <c r="E92" s="88">
        <f>2421+482</f>
        <v>2903</v>
      </c>
      <c r="F92" s="88">
        <v>0</v>
      </c>
      <c r="H92" s="88">
        <f>-74+378</f>
        <v>304</v>
      </c>
      <c r="I92" s="88">
        <f>-307+771-H92</f>
        <v>160</v>
      </c>
      <c r="J92" s="88">
        <f>-240+1211-I92-H92</f>
        <v>507</v>
      </c>
      <c r="K92" s="88">
        <f t="shared" ref="K92" si="207">SUM(D92-SUM(H92:J92))</f>
        <v>575</v>
      </c>
      <c r="L92" s="88">
        <f>42+360</f>
        <v>402</v>
      </c>
      <c r="M92" s="88">
        <f>2421+482-L92</f>
        <v>2501</v>
      </c>
      <c r="N92" s="88">
        <f>0-M92-L92</f>
        <v>-2903</v>
      </c>
      <c r="O92" s="88">
        <f t="shared" ref="O92" si="208">SUM(E92-SUM(L92:N92))</f>
        <v>2903</v>
      </c>
      <c r="P92" s="88">
        <v>0</v>
      </c>
      <c r="Q92" s="88">
        <v>0</v>
      </c>
      <c r="R92" s="88">
        <v>0</v>
      </c>
      <c r="S92" s="88">
        <f t="shared" ref="S92" si="209">SUM(F92-SUM(P92:R92))</f>
        <v>0</v>
      </c>
      <c r="T92" s="88">
        <v>0</v>
      </c>
      <c r="U92" s="88">
        <v>0</v>
      </c>
      <c r="AI92" s="108"/>
    </row>
    <row r="93" spans="2:35" ht="5.0999999999999996" customHeight="1" x14ac:dyDescent="0.2">
      <c r="B93" s="44"/>
      <c r="C93" s="88"/>
      <c r="D93" s="88"/>
      <c r="E93" s="88"/>
      <c r="F93" s="88"/>
      <c r="G93" s="88"/>
      <c r="H93" s="88"/>
      <c r="I93" s="88"/>
      <c r="J93" s="88"/>
      <c r="K93" s="88"/>
      <c r="L93" s="88"/>
      <c r="M93" s="66"/>
      <c r="N93" s="66"/>
      <c r="O93" s="88"/>
      <c r="P93" s="88"/>
      <c r="Q93" s="88"/>
      <c r="R93" s="88"/>
      <c r="S93" s="88"/>
      <c r="T93" s="88"/>
      <c r="U93" s="88"/>
      <c r="V93" s="38"/>
      <c r="W93" s="88"/>
      <c r="X93" s="88"/>
      <c r="Y93" s="88"/>
      <c r="Z93" s="88"/>
      <c r="AA93" s="88"/>
      <c r="AB93" s="88"/>
      <c r="AC93" s="88"/>
      <c r="AD93" s="88"/>
      <c r="AE93" s="88"/>
      <c r="AF93" s="88"/>
      <c r="AG93" s="88"/>
      <c r="AH93" s="67"/>
      <c r="AI93" s="108"/>
    </row>
    <row r="94" spans="2:35" x14ac:dyDescent="0.2">
      <c r="B94" s="64" t="s">
        <v>67</v>
      </c>
      <c r="C94" s="88"/>
      <c r="D94" s="88"/>
      <c r="E94" s="88"/>
      <c r="F94" s="88"/>
      <c r="G94" s="88"/>
      <c r="H94" s="88"/>
      <c r="I94" s="88"/>
      <c r="J94" s="88"/>
      <c r="K94" s="88"/>
      <c r="L94" s="88"/>
      <c r="M94" s="66"/>
      <c r="N94" s="66"/>
      <c r="O94" s="88"/>
      <c r="P94" s="88"/>
      <c r="Q94" s="88"/>
      <c r="R94" s="88"/>
      <c r="S94" s="88"/>
      <c r="T94" s="88"/>
      <c r="U94" s="88"/>
      <c r="V94" s="38"/>
      <c r="W94" s="88">
        <f>SUM(H94:K94)</f>
        <v>0</v>
      </c>
      <c r="X94" s="88">
        <f>SUM(I94:L94)</f>
        <v>0</v>
      </c>
      <c r="Y94" s="88">
        <f>SUM(J94:M94)</f>
        <v>0</v>
      </c>
      <c r="Z94" s="88">
        <f>SUM(K94:N94)</f>
        <v>0</v>
      </c>
      <c r="AA94" s="88">
        <f>SUM(L94:O94)</f>
        <v>0</v>
      </c>
      <c r="AB94" s="88">
        <f>SUM(M94:P94)</f>
        <v>0</v>
      </c>
      <c r="AC94" s="88">
        <f>SUM(N94:Q94)</f>
        <v>0</v>
      </c>
      <c r="AD94" s="88">
        <f>SUM(O94:R94)</f>
        <v>0</v>
      </c>
      <c r="AE94" s="88">
        <f>SUM(P94:S94)</f>
        <v>0</v>
      </c>
      <c r="AF94" s="88">
        <f>SUM(Q94:T94)</f>
        <v>0</v>
      </c>
      <c r="AG94" s="88">
        <f>SUM(R94:U94)</f>
        <v>0</v>
      </c>
      <c r="AH94" s="67"/>
      <c r="AI94" s="108" t="e">
        <f t="shared" si="203"/>
        <v>#DIV/0!</v>
      </c>
    </row>
    <row r="95" spans="2:35" x14ac:dyDescent="0.2">
      <c r="B95" s="90" t="s">
        <v>120</v>
      </c>
      <c r="C95" s="88">
        <v>-63</v>
      </c>
      <c r="D95" s="88">
        <v>145</v>
      </c>
      <c r="E95" s="88">
        <v>31</v>
      </c>
      <c r="F95" s="88">
        <v>0</v>
      </c>
      <c r="G95" s="88"/>
      <c r="H95" s="88">
        <v>-57</v>
      </c>
      <c r="I95" s="88">
        <f>-1125-H95</f>
        <v>-1068</v>
      </c>
      <c r="J95" s="88">
        <f>145-I95-H95</f>
        <v>1270</v>
      </c>
      <c r="K95" s="88">
        <f t="shared" ref="K95:K98" si="210">SUM(D95-SUM(H95:J95))</f>
        <v>0</v>
      </c>
      <c r="L95" s="88">
        <v>31</v>
      </c>
      <c r="M95" s="88">
        <f>31-L95</f>
        <v>0</v>
      </c>
      <c r="N95" s="88">
        <f>31-M95-L95</f>
        <v>0</v>
      </c>
      <c r="O95" s="88">
        <f t="shared" ref="O95:O98" si="211">SUM(E95-SUM(L95:N95))</f>
        <v>0</v>
      </c>
      <c r="P95" s="88">
        <v>0</v>
      </c>
      <c r="Q95" s="88">
        <f>0-P95</f>
        <v>0</v>
      </c>
      <c r="R95" s="88">
        <f>0-Q95-P95</f>
        <v>0</v>
      </c>
      <c r="S95" s="88">
        <f t="shared" ref="S95:S98" si="212">SUM(F95-SUM(P95:R95))</f>
        <v>0</v>
      </c>
      <c r="T95" s="88">
        <v>-308</v>
      </c>
      <c r="U95" s="88">
        <f>-214-T95</f>
        <v>94</v>
      </c>
      <c r="V95" s="38"/>
      <c r="W95" s="88">
        <f>SUM(H95:K95)</f>
        <v>145</v>
      </c>
      <c r="X95" s="88">
        <f>SUM(I95:L95)</f>
        <v>233</v>
      </c>
      <c r="Y95" s="88">
        <f>SUM(J95:M95)</f>
        <v>1301</v>
      </c>
      <c r="Z95" s="88">
        <f>SUM(K95:N95)</f>
        <v>31</v>
      </c>
      <c r="AA95" s="88">
        <f>SUM(L95:O95)</f>
        <v>31</v>
      </c>
      <c r="AB95" s="88">
        <f>SUM(M95:P95)</f>
        <v>0</v>
      </c>
      <c r="AC95" s="88">
        <f>SUM(N95:Q95)</f>
        <v>0</v>
      </c>
      <c r="AD95" s="88">
        <f>SUM(O95:R95)</f>
        <v>0</v>
      </c>
      <c r="AE95" s="88">
        <f>SUM(P95:S95)</f>
        <v>0</v>
      </c>
      <c r="AF95" s="88">
        <f>SUM(Q95:T95)</f>
        <v>-308</v>
      </c>
      <c r="AG95" s="88">
        <f>SUM(R95:U95)</f>
        <v>-214</v>
      </c>
      <c r="AH95" s="32"/>
      <c r="AI95" s="108" t="e">
        <f t="shared" si="203"/>
        <v>#DIV/0!</v>
      </c>
    </row>
    <row r="96" spans="2:35" x14ac:dyDescent="0.2">
      <c r="B96" s="90" t="s">
        <v>106</v>
      </c>
      <c r="C96" s="88">
        <v>0</v>
      </c>
      <c r="D96" s="88">
        <v>0</v>
      </c>
      <c r="E96" s="88">
        <v>0</v>
      </c>
      <c r="F96" s="88">
        <v>0</v>
      </c>
      <c r="G96" s="88"/>
      <c r="H96" s="88">
        <v>0</v>
      </c>
      <c r="I96" s="88">
        <v>0</v>
      </c>
      <c r="J96" s="88">
        <v>0</v>
      </c>
      <c r="K96" s="88">
        <f t="shared" ref="K96" si="213">SUM(D96-SUM(H96:J96))</f>
        <v>0</v>
      </c>
      <c r="L96" s="88">
        <v>0</v>
      </c>
      <c r="M96" s="88">
        <v>0</v>
      </c>
      <c r="N96" s="88">
        <v>0</v>
      </c>
      <c r="O96" s="88">
        <f t="shared" ref="O96" si="214">SUM(E96-SUM(L96:N96))</f>
        <v>0</v>
      </c>
      <c r="P96" s="88">
        <v>0</v>
      </c>
      <c r="Q96" s="88">
        <v>0</v>
      </c>
      <c r="R96" s="88">
        <v>0</v>
      </c>
      <c r="S96" s="88">
        <f t="shared" ref="S96" si="215">SUM(F96-SUM(P96:R96))</f>
        <v>0</v>
      </c>
      <c r="T96" s="88">
        <v>-8020</v>
      </c>
      <c r="U96" s="88">
        <f>-10968-T96</f>
        <v>-2948</v>
      </c>
      <c r="V96" s="38"/>
      <c r="W96" s="88">
        <f>SUM(H96:K96)</f>
        <v>0</v>
      </c>
      <c r="X96" s="88">
        <f>SUM(I96:L96)</f>
        <v>0</v>
      </c>
      <c r="Y96" s="88">
        <f>SUM(J96:M96)</f>
        <v>0</v>
      </c>
      <c r="Z96" s="88">
        <f>SUM(K96:N96)</f>
        <v>0</v>
      </c>
      <c r="AA96" s="88">
        <f>SUM(L96:O96)</f>
        <v>0</v>
      </c>
      <c r="AB96" s="88">
        <f>SUM(M96:P96)</f>
        <v>0</v>
      </c>
      <c r="AC96" s="88">
        <f>SUM(N96:Q96)</f>
        <v>0</v>
      </c>
      <c r="AD96" s="88">
        <f>SUM(O96:R96)</f>
        <v>0</v>
      </c>
      <c r="AE96" s="88">
        <f>SUM(P96:S96)</f>
        <v>0</v>
      </c>
      <c r="AF96" s="88">
        <f>SUM(Q96:T96)</f>
        <v>-8020</v>
      </c>
      <c r="AG96" s="88">
        <f>SUM(R96:U96)</f>
        <v>-10968</v>
      </c>
      <c r="AH96" s="32"/>
      <c r="AI96" s="108" t="e">
        <f t="shared" si="203"/>
        <v>#DIV/0!</v>
      </c>
    </row>
    <row r="97" spans="1:35" x14ac:dyDescent="0.2">
      <c r="B97" s="90" t="s">
        <v>20</v>
      </c>
      <c r="C97" s="88">
        <v>-2174</v>
      </c>
      <c r="D97" s="88">
        <v>1364</v>
      </c>
      <c r="E97" s="88">
        <v>-388</v>
      </c>
      <c r="F97" s="88">
        <v>88</v>
      </c>
      <c r="G97" s="88"/>
      <c r="H97" s="88">
        <v>822</v>
      </c>
      <c r="I97" s="88">
        <f>968-H97</f>
        <v>146</v>
      </c>
      <c r="J97" s="88">
        <f>812-I97-H97</f>
        <v>-156</v>
      </c>
      <c r="K97" s="88">
        <f t="shared" si="210"/>
        <v>552</v>
      </c>
      <c r="L97" s="88">
        <v>120</v>
      </c>
      <c r="M97" s="88">
        <f>-3660-L97</f>
        <v>-3780</v>
      </c>
      <c r="N97" s="88">
        <f>-423-M97-L97</f>
        <v>3237</v>
      </c>
      <c r="O97" s="88">
        <f t="shared" si="211"/>
        <v>35</v>
      </c>
      <c r="P97" s="88">
        <v>409</v>
      </c>
      <c r="Q97" s="88">
        <f>283-P97</f>
        <v>-126</v>
      </c>
      <c r="R97" s="88">
        <f>396-Q97-P97</f>
        <v>113</v>
      </c>
      <c r="S97" s="88">
        <f t="shared" si="212"/>
        <v>-308</v>
      </c>
      <c r="T97" s="88">
        <v>392</v>
      </c>
      <c r="U97" s="88">
        <f>505-T97</f>
        <v>113</v>
      </c>
      <c r="V97" s="38"/>
      <c r="W97" s="88">
        <f>SUM(H97:K97)</f>
        <v>1364</v>
      </c>
      <c r="X97" s="88">
        <f>SUM(I97:L97)</f>
        <v>662</v>
      </c>
      <c r="Y97" s="88">
        <f>SUM(J97:M97)</f>
        <v>-3264</v>
      </c>
      <c r="Z97" s="88">
        <f>SUM(K97:N97)</f>
        <v>129</v>
      </c>
      <c r="AA97" s="88">
        <f>SUM(L97:O97)</f>
        <v>-388</v>
      </c>
      <c r="AB97" s="88">
        <f>SUM(M97:P97)</f>
        <v>-99</v>
      </c>
      <c r="AC97" s="88">
        <f>SUM(N97:Q97)</f>
        <v>3555</v>
      </c>
      <c r="AD97" s="88">
        <f>SUM(O97:R97)</f>
        <v>431</v>
      </c>
      <c r="AE97" s="88">
        <f>SUM(P97:S97)</f>
        <v>88</v>
      </c>
      <c r="AF97" s="88">
        <f>SUM(Q97:T97)</f>
        <v>71</v>
      </c>
      <c r="AG97" s="88">
        <f>SUM(R97:U97)</f>
        <v>310</v>
      </c>
      <c r="AH97" s="32"/>
      <c r="AI97" s="108">
        <f t="shared" si="203"/>
        <v>-0.91279887482419131</v>
      </c>
    </row>
    <row r="98" spans="1:35" x14ac:dyDescent="0.2">
      <c r="B98" s="90" t="s">
        <v>38</v>
      </c>
      <c r="C98" s="88">
        <v>-197</v>
      </c>
      <c r="D98" s="88">
        <v>-509</v>
      </c>
      <c r="E98" s="88">
        <v>4811</v>
      </c>
      <c r="F98" s="88">
        <v>-1962</v>
      </c>
      <c r="G98" s="88"/>
      <c r="H98" s="88">
        <v>934</v>
      </c>
      <c r="I98" s="88">
        <f>374-H98</f>
        <v>-560</v>
      </c>
      <c r="J98" s="88">
        <f>984-I98-H98</f>
        <v>610</v>
      </c>
      <c r="K98" s="88">
        <f t="shared" si="210"/>
        <v>-1493</v>
      </c>
      <c r="L98" s="88">
        <v>299</v>
      </c>
      <c r="M98" s="88">
        <f>766-L98</f>
        <v>467</v>
      </c>
      <c r="N98" s="88">
        <f>1292-M98-L98</f>
        <v>526</v>
      </c>
      <c r="O98" s="88">
        <f t="shared" si="211"/>
        <v>3519</v>
      </c>
      <c r="P98" s="88">
        <v>-2949</v>
      </c>
      <c r="Q98" s="88">
        <f>-638-P98</f>
        <v>2311</v>
      </c>
      <c r="R98" s="88">
        <f>475-Q98-P98</f>
        <v>1113</v>
      </c>
      <c r="S98" s="88">
        <f t="shared" si="212"/>
        <v>-2437</v>
      </c>
      <c r="T98" s="88">
        <v>653</v>
      </c>
      <c r="U98" s="88">
        <f>2147-T98</f>
        <v>1494</v>
      </c>
      <c r="V98" s="38"/>
      <c r="W98" s="88">
        <f>SUM(H98:K98)</f>
        <v>-509</v>
      </c>
      <c r="X98" s="88">
        <f>SUM(I98:L98)</f>
        <v>-1144</v>
      </c>
      <c r="Y98" s="88">
        <f>SUM(J98:M98)</f>
        <v>-117</v>
      </c>
      <c r="Z98" s="88">
        <f>SUM(K98:N98)</f>
        <v>-201</v>
      </c>
      <c r="AA98" s="88">
        <f>SUM(L98:O98)</f>
        <v>4811</v>
      </c>
      <c r="AB98" s="88">
        <f>SUM(M98:P98)</f>
        <v>1563</v>
      </c>
      <c r="AC98" s="88">
        <f>SUM(N98:Q98)</f>
        <v>3407</v>
      </c>
      <c r="AD98" s="88">
        <f>SUM(O98:R98)</f>
        <v>3994</v>
      </c>
      <c r="AE98" s="88">
        <f>SUM(P98:S98)</f>
        <v>-1962</v>
      </c>
      <c r="AF98" s="88">
        <f>SUM(Q98:T98)</f>
        <v>1640</v>
      </c>
      <c r="AG98" s="88">
        <f>SUM(R98:U98)</f>
        <v>823</v>
      </c>
      <c r="AH98" s="32"/>
      <c r="AI98" s="108">
        <f t="shared" si="203"/>
        <v>-0.75843850895215736</v>
      </c>
    </row>
    <row r="99" spans="1:35" ht="14.25" x14ac:dyDescent="0.2">
      <c r="B99" s="90" t="s">
        <v>121</v>
      </c>
      <c r="C99" s="88">
        <f>2035-42-116</f>
        <v>1877</v>
      </c>
      <c r="D99" s="88">
        <f>247-45-173</f>
        <v>29</v>
      </c>
      <c r="E99" s="88">
        <f>2167-50</f>
        <v>2117</v>
      </c>
      <c r="F99" s="88">
        <f>2238-53</f>
        <v>2185</v>
      </c>
      <c r="G99" s="88"/>
      <c r="H99" s="88">
        <f>-1297-11</f>
        <v>-1308</v>
      </c>
      <c r="I99" s="88">
        <f>-571-22-H99</f>
        <v>715</v>
      </c>
      <c r="J99" s="88">
        <f>1202-34-I99-H99</f>
        <v>1761</v>
      </c>
      <c r="K99" s="88">
        <f t="shared" ref="K99" si="216">SUM(D99-SUM(H99:J99))</f>
        <v>-1139</v>
      </c>
      <c r="L99" s="88">
        <f>-597-12</f>
        <v>-609</v>
      </c>
      <c r="M99" s="88">
        <f>-724-24-L99</f>
        <v>-139</v>
      </c>
      <c r="N99" s="88">
        <f>2577-37-M99-L99</f>
        <v>3288</v>
      </c>
      <c r="O99" s="88">
        <f t="shared" ref="O99" si="217">SUM(E99-SUM(L99:N99))</f>
        <v>-423</v>
      </c>
      <c r="P99" s="88">
        <f>-2107-13</f>
        <v>-2120</v>
      </c>
      <c r="Q99" s="88">
        <f>-221-26-P99</f>
        <v>1873</v>
      </c>
      <c r="R99" s="88">
        <f>1980-39-Q99-P99</f>
        <v>2188</v>
      </c>
      <c r="S99" s="88">
        <f t="shared" ref="S99" si="218">SUM(F99-SUM(P99:R99))</f>
        <v>244</v>
      </c>
      <c r="T99" s="88">
        <f>-2267-14</f>
        <v>-2281</v>
      </c>
      <c r="U99" s="88">
        <f>-2403-29-T99</f>
        <v>-151</v>
      </c>
      <c r="V99" s="38"/>
      <c r="W99" s="88"/>
      <c r="X99" s="88"/>
      <c r="Y99" s="88"/>
      <c r="Z99" s="88"/>
      <c r="AA99" s="88"/>
      <c r="AB99" s="88"/>
      <c r="AC99" s="88">
        <f>SUM(N99:Q99)</f>
        <v>2618</v>
      </c>
      <c r="AD99" s="88">
        <f>SUM(O99:R99)</f>
        <v>1518</v>
      </c>
      <c r="AE99" s="88">
        <f>SUM(P99:S99)</f>
        <v>2185</v>
      </c>
      <c r="AF99" s="88">
        <f>SUM(Q99:T99)</f>
        <v>2024</v>
      </c>
      <c r="AG99" s="88">
        <f>SUM(R99:U99)</f>
        <v>0</v>
      </c>
      <c r="AH99" s="32"/>
      <c r="AI99" s="108">
        <f t="shared" si="203"/>
        <v>-1</v>
      </c>
    </row>
    <row r="100" spans="1:35" x14ac:dyDescent="0.2">
      <c r="B100" s="105" t="s">
        <v>75</v>
      </c>
      <c r="C100" s="106">
        <f>SUM(C81:C99)</f>
        <v>-81190</v>
      </c>
      <c r="D100" s="106">
        <f>SUM(D81:D99)</f>
        <v>-71129</v>
      </c>
      <c r="E100" s="106">
        <f>SUM(E81:E99)</f>
        <v>-73305</v>
      </c>
      <c r="F100" s="106">
        <f>SUM(F81:F99)</f>
        <v>-98122</v>
      </c>
      <c r="G100" s="43"/>
      <c r="H100" s="106">
        <f>SUM(H81:H99)</f>
        <v>-18797</v>
      </c>
      <c r="I100" s="106">
        <f>SUM(I81:I99)</f>
        <v>-16569</v>
      </c>
      <c r="J100" s="106">
        <f>SUM(J81:J99)</f>
        <v>-16804</v>
      </c>
      <c r="K100" s="106">
        <f>SUM(K81:K99)</f>
        <v>-18548</v>
      </c>
      <c r="L100" s="106">
        <f>SUM(L81:L99)</f>
        <v>-18641</v>
      </c>
      <c r="M100" s="106">
        <f>SUM(M81:M99)</f>
        <v>-22603</v>
      </c>
      <c r="N100" s="106">
        <f>SUM(N81:N99)</f>
        <v>-15910</v>
      </c>
      <c r="O100" s="106">
        <f>SUM(O81:O99)</f>
        <v>-16151</v>
      </c>
      <c r="P100" s="106">
        <f>SUM(P81:P99)</f>
        <v>-27347</v>
      </c>
      <c r="Q100" s="106">
        <f>SUM(Q81:Q99)</f>
        <v>-21291</v>
      </c>
      <c r="R100" s="106">
        <f>SUM(R81:R99)</f>
        <v>-22907</v>
      </c>
      <c r="S100" s="106">
        <f>SUM(S81:S99)</f>
        <v>-26577</v>
      </c>
      <c r="T100" s="106">
        <f>SUM(T81:T99)</f>
        <v>-28601</v>
      </c>
      <c r="U100" s="106">
        <f>SUM(U81:U99)</f>
        <v>-26413</v>
      </c>
      <c r="V100" s="43"/>
      <c r="W100" s="106">
        <f>SUM(W81:W99)</f>
        <v>-72293</v>
      </c>
      <c r="X100" s="106">
        <f>SUM(X81:X99)</f>
        <v>-72934</v>
      </c>
      <c r="Y100" s="106">
        <f>SUM(Y81:Y99)</f>
        <v>-80455</v>
      </c>
      <c r="Z100" s="106">
        <f>SUM(Z81:Z99)</f>
        <v>-77678</v>
      </c>
      <c r="AA100" s="106">
        <f>SUM(AA81:AA99)</f>
        <v>-78325</v>
      </c>
      <c r="AB100" s="106">
        <f>SUM(AB81:AB99)</f>
        <v>-85118</v>
      </c>
      <c r="AC100" s="106">
        <f>SUM(AC81:AC99)</f>
        <v>-80699</v>
      </c>
      <c r="AD100" s="106">
        <f>SUM(AD81:AD99)</f>
        <v>-90599</v>
      </c>
      <c r="AE100" s="106">
        <f>SUM(AE81:AE99)</f>
        <v>-98122</v>
      </c>
      <c r="AF100" s="106">
        <f>SUM(AF81:AF99)</f>
        <v>-99376</v>
      </c>
      <c r="AG100" s="106">
        <f>SUM(AG81:AG99)</f>
        <v>-104498</v>
      </c>
      <c r="AH100" s="34"/>
      <c r="AI100" s="109">
        <f t="shared" si="203"/>
        <v>0.29491071760492704</v>
      </c>
    </row>
    <row r="101" spans="1:35" x14ac:dyDescent="0.2">
      <c r="B101" s="64"/>
      <c r="C101" s="68"/>
      <c r="D101" s="68"/>
      <c r="E101" s="68"/>
      <c r="F101" s="68"/>
      <c r="G101" s="32"/>
      <c r="H101" s="68"/>
      <c r="I101" s="68"/>
      <c r="J101" s="68"/>
      <c r="K101" s="68"/>
      <c r="L101" s="68"/>
      <c r="M101" s="68"/>
      <c r="N101" s="68"/>
      <c r="O101" s="68"/>
      <c r="P101" s="68"/>
      <c r="Q101" s="68"/>
      <c r="R101" s="68"/>
      <c r="S101" s="68"/>
      <c r="T101" s="68"/>
      <c r="U101" s="68"/>
      <c r="W101" s="34"/>
      <c r="X101" s="34"/>
      <c r="Y101" s="34"/>
      <c r="Z101" s="34"/>
      <c r="AA101" s="34"/>
      <c r="AB101" s="34"/>
      <c r="AC101" s="34"/>
      <c r="AD101" s="34"/>
      <c r="AE101" s="34"/>
      <c r="AF101" s="34"/>
      <c r="AG101" s="34"/>
      <c r="AH101" s="34"/>
      <c r="AI101" s="109"/>
    </row>
    <row r="102" spans="1:35" x14ac:dyDescent="0.2">
      <c r="B102" s="64" t="s">
        <v>71</v>
      </c>
      <c r="C102" s="69"/>
      <c r="D102" s="69"/>
      <c r="E102" s="69"/>
      <c r="F102" s="69"/>
      <c r="G102" s="32"/>
      <c r="H102" s="69"/>
      <c r="I102" s="69"/>
      <c r="J102" s="69"/>
      <c r="K102" s="70"/>
      <c r="L102" s="69"/>
      <c r="M102" s="69"/>
      <c r="N102" s="69"/>
      <c r="O102" s="70"/>
      <c r="P102" s="69"/>
      <c r="Q102" s="69"/>
      <c r="R102" s="69"/>
      <c r="S102" s="69"/>
      <c r="T102" s="69"/>
      <c r="U102" s="69"/>
      <c r="W102" s="69"/>
      <c r="X102" s="69"/>
      <c r="Y102" s="69"/>
      <c r="Z102" s="69"/>
      <c r="AA102" s="69"/>
      <c r="AB102" s="69"/>
      <c r="AC102" s="69"/>
      <c r="AD102" s="69"/>
      <c r="AE102" s="69"/>
      <c r="AF102" s="69"/>
      <c r="AG102" s="69"/>
      <c r="AH102" s="67"/>
      <c r="AI102" s="109"/>
    </row>
    <row r="103" spans="1:35" x14ac:dyDescent="0.2">
      <c r="B103" s="90" t="s">
        <v>61</v>
      </c>
      <c r="C103" s="88">
        <v>-220</v>
      </c>
      <c r="D103" s="88">
        <v>-1048</v>
      </c>
      <c r="E103" s="88">
        <v>-2280</v>
      </c>
      <c r="F103" s="88">
        <v>-1572</v>
      </c>
      <c r="G103" s="43"/>
      <c r="H103" s="88">
        <v>-22</v>
      </c>
      <c r="I103" s="88">
        <f>-156-H103</f>
        <v>-134</v>
      </c>
      <c r="J103" s="88">
        <f>-367-I103-H103</f>
        <v>-211</v>
      </c>
      <c r="K103" s="31">
        <f>SUM(D103-SUM(H103:J103))</f>
        <v>-681</v>
      </c>
      <c r="L103" s="88">
        <v>-1152</v>
      </c>
      <c r="M103" s="88">
        <f>-1637-L103</f>
        <v>-485</v>
      </c>
      <c r="N103" s="88">
        <f>-2130-M103-L103</f>
        <v>-493</v>
      </c>
      <c r="O103" s="88">
        <f>SUM(E103-SUM(L103:N103))</f>
        <v>-150</v>
      </c>
      <c r="P103" s="88">
        <v>-391</v>
      </c>
      <c r="Q103" s="88">
        <f>-575-P103</f>
        <v>-184</v>
      </c>
      <c r="R103" s="88">
        <f>-1509-Q103-P103</f>
        <v>-934</v>
      </c>
      <c r="S103" s="88">
        <f>SUM(F103-SUM(P103:R103))</f>
        <v>-63</v>
      </c>
      <c r="T103" s="88">
        <v>-228</v>
      </c>
      <c r="U103" s="88">
        <f>-796-T103</f>
        <v>-568</v>
      </c>
      <c r="W103" s="88">
        <f>SUM(H103:K103)</f>
        <v>-1048</v>
      </c>
      <c r="X103" s="88">
        <f>SUM(I103:L103)</f>
        <v>-2178</v>
      </c>
      <c r="Y103" s="88">
        <f>SUM(J103:M103)</f>
        <v>-2529</v>
      </c>
      <c r="Z103" s="88">
        <f>SUM(K103:N103)</f>
        <v>-2811</v>
      </c>
      <c r="AA103" s="88">
        <f>SUM(L103:O103)</f>
        <v>-2280</v>
      </c>
      <c r="AB103" s="88">
        <f>SUM(M103:P103)</f>
        <v>-1519</v>
      </c>
      <c r="AC103" s="88">
        <f>SUM(N103:Q103)</f>
        <v>-1218</v>
      </c>
      <c r="AD103" s="88">
        <f>SUM(O103:R103)</f>
        <v>-1659</v>
      </c>
      <c r="AE103" s="88">
        <f>SUM(P103:S103)</f>
        <v>-1572</v>
      </c>
      <c r="AF103" s="88">
        <f>SUM(Q103:T103)</f>
        <v>-1409</v>
      </c>
      <c r="AG103" s="88">
        <f>SUM(R103:U103)</f>
        <v>-1793</v>
      </c>
      <c r="AH103" s="67"/>
      <c r="AI103" s="108">
        <f>SUM(AG103/AC103)-1</f>
        <v>0.47208538587848925</v>
      </c>
    </row>
    <row r="104" spans="1:35" x14ac:dyDescent="0.2">
      <c r="B104" s="90" t="s">
        <v>123</v>
      </c>
      <c r="C104" s="88">
        <v>-8000</v>
      </c>
      <c r="D104" s="88">
        <f>16000-10107</f>
        <v>5893</v>
      </c>
      <c r="E104" s="88">
        <v>2107</v>
      </c>
      <c r="F104" s="88">
        <v>0</v>
      </c>
      <c r="G104" s="43"/>
      <c r="H104" s="88">
        <v>0</v>
      </c>
      <c r="I104" s="88">
        <f>8000-8000-H104</f>
        <v>0</v>
      </c>
      <c r="J104" s="88">
        <f>8000-8000-I104-H104</f>
        <v>0</v>
      </c>
      <c r="K104" s="31">
        <f t="shared" ref="K104" si="219">SUM(D104-SUM(H104:J104))</f>
        <v>5893</v>
      </c>
      <c r="L104" s="88">
        <v>0</v>
      </c>
      <c r="M104" s="88">
        <f>2107-L104</f>
        <v>2107</v>
      </c>
      <c r="N104" s="88">
        <f>2107-M104-L104</f>
        <v>0</v>
      </c>
      <c r="O104" s="88">
        <f t="shared" ref="O104" si="220">SUM(E104-SUM(L104:N104))</f>
        <v>0</v>
      </c>
      <c r="P104" s="88">
        <v>0</v>
      </c>
      <c r="Q104" s="88">
        <v>0</v>
      </c>
      <c r="R104" s="88">
        <v>0</v>
      </c>
      <c r="S104" s="88">
        <f t="shared" ref="S104" si="221">SUM(F104-SUM(P104:R104))</f>
        <v>0</v>
      </c>
      <c r="T104" s="88">
        <v>0</v>
      </c>
      <c r="U104" s="88">
        <v>0</v>
      </c>
      <c r="W104" s="88">
        <f>SUM(H104:K104)</f>
        <v>5893</v>
      </c>
      <c r="X104" s="88">
        <f>SUM(I104:L104)</f>
        <v>5893</v>
      </c>
      <c r="Y104" s="88">
        <f>SUM(J104:M104)</f>
        <v>8000</v>
      </c>
      <c r="Z104" s="88">
        <f>SUM(K104:N104)</f>
        <v>8000</v>
      </c>
      <c r="AA104" s="88">
        <f>SUM(L104:O104)</f>
        <v>2107</v>
      </c>
      <c r="AB104" s="88">
        <f>SUM(M104:P104)</f>
        <v>2107</v>
      </c>
      <c r="AC104" s="88">
        <f>SUM(N104:Q104)</f>
        <v>0</v>
      </c>
      <c r="AD104" s="88">
        <f>SUM(O104:R104)</f>
        <v>0</v>
      </c>
      <c r="AE104" s="88">
        <f>SUM(P104:S104)</f>
        <v>0</v>
      </c>
      <c r="AF104" s="88">
        <f>SUM(Q104:T104)</f>
        <v>0</v>
      </c>
      <c r="AG104" s="88">
        <f>SUM(R104:U104)</f>
        <v>0</v>
      </c>
      <c r="AH104" s="67"/>
      <c r="AI104" s="108" t="e">
        <f t="shared" si="203"/>
        <v>#DIV/0!</v>
      </c>
    </row>
    <row r="105" spans="1:35" x14ac:dyDescent="0.2">
      <c r="B105" s="105" t="s">
        <v>74</v>
      </c>
      <c r="C105" s="106">
        <f>SUM(C103:C104)</f>
        <v>-8220</v>
      </c>
      <c r="D105" s="106">
        <f>SUM(D103:D104)</f>
        <v>4845</v>
      </c>
      <c r="E105" s="106">
        <f>SUM(E103:E104)</f>
        <v>-173</v>
      </c>
      <c r="F105" s="106">
        <f>SUM(F103:F104)</f>
        <v>-1572</v>
      </c>
      <c r="G105" s="43"/>
      <c r="H105" s="106">
        <f>SUM(H103:H104)</f>
        <v>-22</v>
      </c>
      <c r="I105" s="106">
        <f>SUM(I103:I104)</f>
        <v>-134</v>
      </c>
      <c r="J105" s="106">
        <f>SUM(J103:J104)</f>
        <v>-211</v>
      </c>
      <c r="K105" s="106">
        <f>SUM(K103:K104)</f>
        <v>5212</v>
      </c>
      <c r="L105" s="106">
        <f>SUM(L103:L104)</f>
        <v>-1152</v>
      </c>
      <c r="M105" s="106">
        <f>SUM(M103:M104)</f>
        <v>1622</v>
      </c>
      <c r="N105" s="106">
        <f>SUM(N103:N104)</f>
        <v>-493</v>
      </c>
      <c r="O105" s="106">
        <f>SUM(O103:O104)</f>
        <v>-150</v>
      </c>
      <c r="P105" s="106">
        <f>SUM(P103:P104)</f>
        <v>-391</v>
      </c>
      <c r="Q105" s="106">
        <f>SUM(Q103:Q104)</f>
        <v>-184</v>
      </c>
      <c r="R105" s="106">
        <f>SUM(R103:R104)</f>
        <v>-934</v>
      </c>
      <c r="S105" s="106">
        <f>SUM(S103:S104)</f>
        <v>-63</v>
      </c>
      <c r="T105" s="106">
        <f>SUM(T103:T104)</f>
        <v>-228</v>
      </c>
      <c r="U105" s="106">
        <f>SUM(U103:U104)</f>
        <v>-568</v>
      </c>
      <c r="V105" s="43"/>
      <c r="W105" s="106">
        <f>SUM(W104:W104)</f>
        <v>5893</v>
      </c>
      <c r="X105" s="106">
        <f>SUM(X104:X104)</f>
        <v>5893</v>
      </c>
      <c r="Y105" s="106">
        <f>SUM(Y104:Y104)</f>
        <v>8000</v>
      </c>
      <c r="Z105" s="106">
        <f>SUM(Z104:Z104)</f>
        <v>8000</v>
      </c>
      <c r="AA105" s="106">
        <f>SUM(AA104:AA104)</f>
        <v>2107</v>
      </c>
      <c r="AB105" s="106">
        <f>SUM(AB104:AB104)</f>
        <v>2107</v>
      </c>
      <c r="AC105" s="106">
        <f>SUM(AC103:AC104)</f>
        <v>-1218</v>
      </c>
      <c r="AD105" s="106">
        <f>SUM(AD103:AD104)</f>
        <v>-1659</v>
      </c>
      <c r="AE105" s="106">
        <f>SUM(AE103:AE104)</f>
        <v>-1572</v>
      </c>
      <c r="AF105" s="106">
        <f>SUM(AF103:AF104)</f>
        <v>-1409</v>
      </c>
      <c r="AG105" s="106">
        <f>SUM(AG103:AG104)</f>
        <v>-1793</v>
      </c>
      <c r="AH105" s="34"/>
      <c r="AI105" s="109">
        <f t="shared" si="203"/>
        <v>0.47208538587848925</v>
      </c>
    </row>
    <row r="106" spans="1:35" x14ac:dyDescent="0.2">
      <c r="B106" s="71"/>
      <c r="C106" s="68"/>
      <c r="D106" s="68"/>
      <c r="E106" s="68"/>
      <c r="F106" s="68"/>
      <c r="G106" s="32"/>
      <c r="H106" s="68"/>
      <c r="I106" s="68"/>
      <c r="J106" s="68"/>
      <c r="K106" s="68"/>
      <c r="L106" s="68"/>
      <c r="M106" s="68"/>
      <c r="N106" s="68"/>
      <c r="O106" s="68"/>
      <c r="P106" s="68"/>
      <c r="Q106" s="68"/>
      <c r="R106" s="68"/>
      <c r="S106" s="68"/>
      <c r="T106" s="68"/>
      <c r="U106" s="68"/>
      <c r="W106" s="34"/>
      <c r="X106" s="34"/>
      <c r="Y106" s="34"/>
      <c r="Z106" s="34"/>
      <c r="AA106" s="34"/>
      <c r="AB106" s="34"/>
      <c r="AC106" s="34"/>
      <c r="AD106" s="34"/>
      <c r="AE106" s="34"/>
      <c r="AF106" s="34"/>
      <c r="AG106" s="34"/>
      <c r="AH106" s="34"/>
      <c r="AI106" s="108"/>
    </row>
    <row r="107" spans="1:35" x14ac:dyDescent="0.2">
      <c r="A107" s="24" t="s">
        <v>3</v>
      </c>
      <c r="B107" s="64" t="s">
        <v>72</v>
      </c>
      <c r="C107" s="72"/>
      <c r="D107" s="72"/>
      <c r="E107" s="72"/>
      <c r="F107" s="72"/>
      <c r="G107" s="32"/>
      <c r="H107" s="72"/>
      <c r="I107" s="72"/>
      <c r="J107" s="72"/>
      <c r="K107" s="72"/>
      <c r="L107" s="72"/>
      <c r="M107" s="72"/>
      <c r="N107" s="72"/>
      <c r="O107" s="72"/>
      <c r="P107" s="72"/>
      <c r="Q107" s="72"/>
      <c r="R107" s="72"/>
      <c r="S107" s="72"/>
      <c r="T107" s="72"/>
      <c r="U107" s="72"/>
      <c r="W107" s="72"/>
      <c r="X107" s="72"/>
      <c r="Y107" s="72"/>
      <c r="Z107" s="72"/>
      <c r="AA107" s="72"/>
      <c r="AB107" s="72"/>
      <c r="AC107" s="72"/>
      <c r="AD107" s="72"/>
      <c r="AE107" s="72"/>
      <c r="AF107" s="72"/>
      <c r="AG107" s="72"/>
      <c r="AH107" s="73"/>
      <c r="AI107" s="108"/>
    </row>
    <row r="108" spans="1:35" ht="14.25" x14ac:dyDescent="0.2">
      <c r="B108" s="44" t="s">
        <v>126</v>
      </c>
      <c r="C108" s="88">
        <v>598</v>
      </c>
      <c r="D108" s="88">
        <v>535</v>
      </c>
      <c r="E108" s="88">
        <v>566</v>
      </c>
      <c r="F108" s="88">
        <f>43396+43126+6809-350+2530+1511</f>
        <v>97022</v>
      </c>
      <c r="G108" s="32"/>
      <c r="H108" s="88">
        <v>1</v>
      </c>
      <c r="I108" s="88">
        <f>12-H108</f>
        <v>11</v>
      </c>
      <c r="J108" s="88">
        <f>229-I108-H108</f>
        <v>217</v>
      </c>
      <c r="K108" s="88">
        <f>SUM(D108-SUM(H108:J108))</f>
        <v>306</v>
      </c>
      <c r="L108" s="88">
        <v>119</v>
      </c>
      <c r="M108" s="88">
        <f>214-L108</f>
        <v>95</v>
      </c>
      <c r="N108" s="88">
        <f>313-M108-L108</f>
        <v>99</v>
      </c>
      <c r="O108" s="88">
        <f>SUM(E108-SUM(L108:N108))</f>
        <v>253</v>
      </c>
      <c r="P108" s="88">
        <f>43396+2</f>
        <v>43398</v>
      </c>
      <c r="Q108" s="88">
        <f>43396-350+789-P108</f>
        <v>437</v>
      </c>
      <c r="R108" s="88">
        <f>43396-350+1013+1284-Q108-P108</f>
        <v>1508</v>
      </c>
      <c r="S108" s="88">
        <f>SUM(F108-SUM(P108:R108))</f>
        <v>51679</v>
      </c>
      <c r="T108" s="88">
        <f>47000+370+56</f>
        <v>47426</v>
      </c>
      <c r="U108" s="88">
        <f>47000+3603-340+56 -T108</f>
        <v>2893</v>
      </c>
      <c r="W108" s="72"/>
      <c r="X108" s="72"/>
      <c r="Y108" s="72"/>
      <c r="Z108" s="72"/>
      <c r="AA108" s="72"/>
      <c r="AB108" s="72"/>
      <c r="AC108" s="88">
        <f t="shared" ref="AC108:AC110" si="222">SUM(N108:Q108)</f>
        <v>44187</v>
      </c>
      <c r="AD108" s="88">
        <f t="shared" ref="AD108:AD110" si="223">SUM(O108:R108)</f>
        <v>45596</v>
      </c>
      <c r="AE108" s="88">
        <f t="shared" ref="AE108:AE110" si="224">SUM(P108:S108)</f>
        <v>97022</v>
      </c>
      <c r="AF108" s="88">
        <f t="shared" ref="AF108:AF110" si="225">SUM(Q108:T108)</f>
        <v>101050</v>
      </c>
      <c r="AG108" s="88">
        <f t="shared" ref="AG108:AG110" si="226">SUM(R108:U108)</f>
        <v>103506</v>
      </c>
      <c r="AH108" s="73"/>
      <c r="AI108" s="108">
        <f t="shared" ref="AI108:AI109" si="227">SUM(AG108/AC108)-1</f>
        <v>1.3424536628420123</v>
      </c>
    </row>
    <row r="109" spans="1:35" ht="14.25" x14ac:dyDescent="0.2">
      <c r="B109" s="44" t="s">
        <v>127</v>
      </c>
      <c r="C109" s="88">
        <f>-1729+29659</f>
        <v>27930</v>
      </c>
      <c r="D109" s="88">
        <v>-1981</v>
      </c>
      <c r="E109" s="88">
        <f>-2256-31500-310</f>
        <v>-34066</v>
      </c>
      <c r="F109" s="88">
        <v>-2579</v>
      </c>
      <c r="G109" s="32"/>
      <c r="H109" s="88">
        <v>-462</v>
      </c>
      <c r="I109" s="88">
        <f>-957-H109</f>
        <v>-495</v>
      </c>
      <c r="J109" s="88">
        <f>-1463-I109-H109</f>
        <v>-506</v>
      </c>
      <c r="K109" s="88">
        <f>SUM(D109-SUM(H109:J109))</f>
        <v>-518</v>
      </c>
      <c r="L109" s="88">
        <v>-528</v>
      </c>
      <c r="M109" s="88">
        <f>-1091-31500-310-L109</f>
        <v>-32373</v>
      </c>
      <c r="N109" s="88">
        <f>-1668-31500-310-M109-L109</f>
        <v>-577</v>
      </c>
      <c r="O109" s="88">
        <f>SUM(E109-SUM(L109:N109))</f>
        <v>-588</v>
      </c>
      <c r="P109" s="88">
        <v>-603</v>
      </c>
      <c r="Q109" s="88">
        <f>-1247-P109</f>
        <v>-644</v>
      </c>
      <c r="R109" s="88">
        <f>-1906-Q109-P109</f>
        <v>-659</v>
      </c>
      <c r="S109" s="88">
        <f>SUM(F109-SUM(P109:R109))</f>
        <v>-673</v>
      </c>
      <c r="T109" s="88">
        <v>-687</v>
      </c>
      <c r="U109" s="88">
        <f>-1414-T109</f>
        <v>-727</v>
      </c>
      <c r="W109" s="72"/>
      <c r="X109" s="72"/>
      <c r="Y109" s="72"/>
      <c r="Z109" s="72"/>
      <c r="AA109" s="72"/>
      <c r="AB109" s="72"/>
      <c r="AC109" s="88">
        <f t="shared" si="222"/>
        <v>-2412</v>
      </c>
      <c r="AD109" s="88">
        <f t="shared" si="223"/>
        <v>-2494</v>
      </c>
      <c r="AE109" s="88">
        <f t="shared" si="224"/>
        <v>-2579</v>
      </c>
      <c r="AF109" s="88">
        <f t="shared" si="225"/>
        <v>-2663</v>
      </c>
      <c r="AG109" s="88">
        <f t="shared" si="226"/>
        <v>-2746</v>
      </c>
      <c r="AH109" s="73"/>
      <c r="AI109" s="108">
        <f t="shared" si="227"/>
        <v>0.13847429519071319</v>
      </c>
    </row>
    <row r="110" spans="1:35" ht="14.25" x14ac:dyDescent="0.2">
      <c r="B110" s="24" t="s">
        <v>128</v>
      </c>
      <c r="C110" s="88">
        <f>242400-3945</f>
        <v>238455</v>
      </c>
      <c r="D110" s="88">
        <v>0</v>
      </c>
      <c r="E110" s="88">
        <v>0</v>
      </c>
      <c r="F110" s="88">
        <v>0</v>
      </c>
      <c r="G110" s="32"/>
      <c r="H110" s="88">
        <v>0</v>
      </c>
      <c r="I110" s="88">
        <v>0</v>
      </c>
      <c r="J110" s="88">
        <v>0</v>
      </c>
      <c r="K110" s="88">
        <f>SUM(D110-SUM(H110:J110))</f>
        <v>0</v>
      </c>
      <c r="L110" s="88">
        <v>0</v>
      </c>
      <c r="M110" s="88">
        <v>0</v>
      </c>
      <c r="N110" s="88">
        <v>0</v>
      </c>
      <c r="O110" s="88">
        <f t="shared" ref="O110" si="228">SUM(E110-SUM(L110:N110))</f>
        <v>0</v>
      </c>
      <c r="P110" s="88">
        <v>0</v>
      </c>
      <c r="Q110" s="88">
        <v>0</v>
      </c>
      <c r="R110" s="88">
        <v>0</v>
      </c>
      <c r="S110" s="88">
        <f t="shared" ref="S110" si="229">SUM(F110-SUM(P110:R110))</f>
        <v>0</v>
      </c>
      <c r="T110" s="88">
        <v>0</v>
      </c>
      <c r="U110" s="88">
        <v>0</v>
      </c>
      <c r="AC110" s="88">
        <f t="shared" si="222"/>
        <v>0</v>
      </c>
      <c r="AD110" s="88">
        <f t="shared" si="223"/>
        <v>0</v>
      </c>
      <c r="AE110" s="88">
        <f t="shared" si="224"/>
        <v>0</v>
      </c>
      <c r="AF110" s="88">
        <f t="shared" si="225"/>
        <v>0</v>
      </c>
      <c r="AG110" s="88">
        <f t="shared" si="226"/>
        <v>0</v>
      </c>
      <c r="AI110" s="108" t="e">
        <f>SUM(AG110/AC110)-1</f>
        <v>#DIV/0!</v>
      </c>
    </row>
    <row r="111" spans="1:35" ht="14.25" x14ac:dyDescent="0.2">
      <c r="B111" s="90" t="s">
        <v>132</v>
      </c>
      <c r="C111" s="88">
        <v>0</v>
      </c>
      <c r="D111" s="88">
        <v>0</v>
      </c>
      <c r="E111" s="88">
        <f>39377-1450</f>
        <v>37927</v>
      </c>
      <c r="F111" s="88">
        <f>20000-500</f>
        <v>19500</v>
      </c>
      <c r="G111" s="32"/>
      <c r="H111" s="88">
        <v>0</v>
      </c>
      <c r="I111" s="88">
        <v>0</v>
      </c>
      <c r="J111" s="88">
        <v>0</v>
      </c>
      <c r="K111" s="88">
        <f>SUM(D111-SUM(H111:J111))</f>
        <v>0</v>
      </c>
      <c r="L111" s="88">
        <v>0</v>
      </c>
      <c r="M111" s="88">
        <f>39377-1164-L111</f>
        <v>38213</v>
      </c>
      <c r="N111" s="88">
        <f>39377-1450-M111-L111</f>
        <v>-286</v>
      </c>
      <c r="O111" s="88">
        <f>SUM(E111-SUM(L111:N111))</f>
        <v>0</v>
      </c>
      <c r="P111" s="88">
        <v>20000</v>
      </c>
      <c r="Q111" s="88">
        <f>20000-500-P111</f>
        <v>-500</v>
      </c>
      <c r="R111" s="88">
        <f>20000-500-Q111-P111</f>
        <v>0</v>
      </c>
      <c r="S111" s="88">
        <f>SUM(F111-SUM(P111:R111))</f>
        <v>0</v>
      </c>
      <c r="T111" s="88">
        <v>0</v>
      </c>
      <c r="U111" s="88">
        <v>0</v>
      </c>
      <c r="W111" s="88">
        <f>SUM(H111:K111)</f>
        <v>0</v>
      </c>
      <c r="X111" s="88">
        <f>SUM(I111:L111)</f>
        <v>0</v>
      </c>
      <c r="Y111" s="88">
        <f>SUM(J111:M111)</f>
        <v>38213</v>
      </c>
      <c r="Z111" s="88">
        <f>SUM(K111:N111)</f>
        <v>37927</v>
      </c>
      <c r="AA111" s="88">
        <f>SUM(L111:O111)</f>
        <v>37927</v>
      </c>
      <c r="AB111" s="88">
        <f>SUM(M111:P111)</f>
        <v>57927</v>
      </c>
      <c r="AC111" s="88">
        <f>SUM(N111:Q111)</f>
        <v>19214</v>
      </c>
      <c r="AD111" s="88">
        <f>SUM(O111:R111)</f>
        <v>19500</v>
      </c>
      <c r="AE111" s="88">
        <f>SUM(P111:S111)</f>
        <v>19500</v>
      </c>
      <c r="AF111" s="88">
        <f>SUM(Q111:T111)</f>
        <v>-500</v>
      </c>
      <c r="AG111" s="88">
        <f>SUM(R111:U111)</f>
        <v>0</v>
      </c>
      <c r="AH111" s="32"/>
      <c r="AI111" s="108">
        <f>SUM(AG111/AC111)-1</f>
        <v>-1</v>
      </c>
    </row>
    <row r="112" spans="1:35" ht="14.25" x14ac:dyDescent="0.2">
      <c r="B112" s="90" t="s">
        <v>133</v>
      </c>
      <c r="C112" s="88">
        <v>0</v>
      </c>
      <c r="D112" s="88">
        <v>0</v>
      </c>
      <c r="E112" s="88">
        <v>80</v>
      </c>
      <c r="F112" s="88">
        <v>240</v>
      </c>
      <c r="G112" s="32"/>
      <c r="H112" s="88">
        <v>0</v>
      </c>
      <c r="I112" s="88">
        <v>0</v>
      </c>
      <c r="J112" s="88">
        <v>0</v>
      </c>
      <c r="K112" s="88">
        <f>SUM(D112-SUM(H112:J112))</f>
        <v>0</v>
      </c>
      <c r="L112" s="88">
        <v>0</v>
      </c>
      <c r="M112" s="88">
        <f>80-L112</f>
        <v>80</v>
      </c>
      <c r="N112" s="88">
        <f>80-M112-L112</f>
        <v>0</v>
      </c>
      <c r="O112" s="88">
        <f>SUM(E112-SUM(L112:N112))</f>
        <v>0</v>
      </c>
      <c r="P112" s="88">
        <v>0</v>
      </c>
      <c r="Q112" s="88">
        <f>240-P112</f>
        <v>240</v>
      </c>
      <c r="R112" s="88">
        <f>240-Q112-P1223</f>
        <v>0</v>
      </c>
      <c r="S112" s="88">
        <f>SUM(F112-SUM(P112:R112))</f>
        <v>0</v>
      </c>
      <c r="T112" s="88">
        <v>0</v>
      </c>
      <c r="U112" s="88">
        <v>0</v>
      </c>
      <c r="W112" s="88">
        <f>SUM(H112:K112)</f>
        <v>0</v>
      </c>
      <c r="X112" s="88">
        <f>SUM(I112:L112)</f>
        <v>0</v>
      </c>
      <c r="Y112" s="88">
        <f>SUM(J112:M112)</f>
        <v>80</v>
      </c>
      <c r="Z112" s="88">
        <f>SUM(K112:N112)</f>
        <v>80</v>
      </c>
      <c r="AA112" s="88">
        <f>SUM(L112:O112)</f>
        <v>80</v>
      </c>
      <c r="AB112" s="88">
        <f>SUM(M112:P112)</f>
        <v>80</v>
      </c>
      <c r="AC112" s="88">
        <f>SUM(N112:Q112)</f>
        <v>240</v>
      </c>
      <c r="AD112" s="88">
        <f>SUM(O112:R112)</f>
        <v>240</v>
      </c>
      <c r="AE112" s="88">
        <f>SUM(P112:S112)</f>
        <v>240</v>
      </c>
      <c r="AF112" s="88">
        <f>SUM(Q112:T112)</f>
        <v>240</v>
      </c>
      <c r="AG112" s="88">
        <f>SUM(R112:U112)</f>
        <v>0</v>
      </c>
      <c r="AH112" s="32"/>
      <c r="AI112" s="108">
        <f>SUM(AG112/AC112)-1</f>
        <v>-1</v>
      </c>
    </row>
    <row r="113" spans="1:35" x14ac:dyDescent="0.2">
      <c r="B113" s="105" t="s">
        <v>73</v>
      </c>
      <c r="C113" s="106">
        <f>SUM(C108:C112)</f>
        <v>266983</v>
      </c>
      <c r="D113" s="106">
        <f>SUM(D108:D112)</f>
        <v>-1446</v>
      </c>
      <c r="E113" s="106">
        <f>SUM(E108:E112)</f>
        <v>4507</v>
      </c>
      <c r="F113" s="106">
        <f>SUM(F108:F112)</f>
        <v>114183</v>
      </c>
      <c r="G113" s="43"/>
      <c r="H113" s="106">
        <f>SUM(H108:H112)</f>
        <v>-461</v>
      </c>
      <c r="I113" s="106">
        <f>SUM(I108:I112)</f>
        <v>-484</v>
      </c>
      <c r="J113" s="106">
        <f>SUM(J108:J112)</f>
        <v>-289</v>
      </c>
      <c r="K113" s="106">
        <f>SUM(K108:K112)</f>
        <v>-212</v>
      </c>
      <c r="L113" s="106">
        <f>SUM(L108:L112)</f>
        <v>-409</v>
      </c>
      <c r="M113" s="106">
        <f>SUM(M108:M112)</f>
        <v>6015</v>
      </c>
      <c r="N113" s="106">
        <f>SUM(N108:N112)</f>
        <v>-764</v>
      </c>
      <c r="O113" s="106">
        <f>SUM(O108:O112)</f>
        <v>-335</v>
      </c>
      <c r="P113" s="106">
        <f>SUM(P108:P112)</f>
        <v>62795</v>
      </c>
      <c r="Q113" s="106">
        <f>SUM(Q108:Q112)</f>
        <v>-467</v>
      </c>
      <c r="R113" s="106">
        <f>SUM(R108:R112)</f>
        <v>849</v>
      </c>
      <c r="S113" s="106">
        <f>SUM(S108:S112)</f>
        <v>51006</v>
      </c>
      <c r="T113" s="106">
        <f>SUM(T108:T112)</f>
        <v>46739</v>
      </c>
      <c r="U113" s="106">
        <f>SUM(U108:U112)</f>
        <v>2166</v>
      </c>
      <c r="V113" s="43"/>
      <c r="W113" s="106">
        <f>SUM(W109:W112)</f>
        <v>0</v>
      </c>
      <c r="X113" s="106">
        <f>SUM(X109:X112)</f>
        <v>0</v>
      </c>
      <c r="Y113" s="106">
        <f>SUM(Y109:Y112)</f>
        <v>38293</v>
      </c>
      <c r="Z113" s="106">
        <f>SUM(Z109:Z112)</f>
        <v>38007</v>
      </c>
      <c r="AA113" s="106">
        <f>SUM(AA109:AA112)</f>
        <v>38007</v>
      </c>
      <c r="AB113" s="106">
        <f>SUM(AB109:AB112)</f>
        <v>58007</v>
      </c>
      <c r="AC113" s="106">
        <f>SUM(AC108:AC112)</f>
        <v>61229</v>
      </c>
      <c r="AD113" s="106">
        <f>SUM(AD108:AD112)</f>
        <v>62842</v>
      </c>
      <c r="AE113" s="106">
        <f>SUM(AE108:AE112)</f>
        <v>114183</v>
      </c>
      <c r="AF113" s="106">
        <f>SUM(AF108:AF112)</f>
        <v>98127</v>
      </c>
      <c r="AG113" s="106">
        <f>SUM(AG108:AG112)</f>
        <v>100760</v>
      </c>
      <c r="AH113" s="34"/>
      <c r="AI113" s="109">
        <f t="shared" si="203"/>
        <v>0.64562543892599922</v>
      </c>
    </row>
    <row r="114" spans="1:35" ht="5.0999999999999996" customHeight="1" x14ac:dyDescent="0.2">
      <c r="B114" s="64"/>
      <c r="C114" s="68"/>
      <c r="D114" s="68"/>
      <c r="E114" s="68"/>
      <c r="F114" s="68"/>
      <c r="G114" s="32"/>
      <c r="H114" s="68"/>
      <c r="I114" s="68"/>
      <c r="J114" s="68"/>
      <c r="K114" s="68"/>
      <c r="L114" s="68"/>
      <c r="M114" s="68"/>
      <c r="N114" s="68"/>
      <c r="O114" s="68"/>
      <c r="P114" s="68"/>
      <c r="Q114" s="68"/>
      <c r="R114" s="68"/>
      <c r="S114" s="68"/>
      <c r="T114" s="68"/>
      <c r="U114" s="68"/>
      <c r="W114" s="34"/>
      <c r="X114" s="34"/>
      <c r="Y114" s="34"/>
      <c r="Z114" s="34"/>
      <c r="AA114" s="34"/>
      <c r="AB114" s="34"/>
      <c r="AC114" s="34"/>
      <c r="AD114" s="34"/>
      <c r="AE114" s="34"/>
      <c r="AF114" s="34"/>
      <c r="AG114" s="34"/>
      <c r="AH114" s="34"/>
      <c r="AI114" s="1"/>
    </row>
    <row r="115" spans="1:35" x14ac:dyDescent="0.2">
      <c r="B115" s="44" t="s">
        <v>101</v>
      </c>
      <c r="C115" s="88">
        <f>+C113+C105+C100</f>
        <v>177573</v>
      </c>
      <c r="D115" s="88">
        <f>+D113+D105+D100</f>
        <v>-67730</v>
      </c>
      <c r="E115" s="88">
        <f>+E113+E105+E100</f>
        <v>-68971</v>
      </c>
      <c r="F115" s="88">
        <f>+F113+F105+F100</f>
        <v>14489</v>
      </c>
      <c r="G115" s="88"/>
      <c r="H115" s="88">
        <f>+H113+H105+H100</f>
        <v>-19280</v>
      </c>
      <c r="I115" s="88">
        <f>+I113+I105+I100</f>
        <v>-17187</v>
      </c>
      <c r="J115" s="88">
        <f>+J113+J105+J100</f>
        <v>-17304</v>
      </c>
      <c r="K115" s="88">
        <f>+K113+K105+K100</f>
        <v>-13548</v>
      </c>
      <c r="L115" s="88">
        <f>+L113+L105+L100</f>
        <v>-20202</v>
      </c>
      <c r="M115" s="88">
        <f>+M113+M105+M100</f>
        <v>-14966</v>
      </c>
      <c r="N115" s="88">
        <f>+N113+N105+N100</f>
        <v>-17167</v>
      </c>
      <c r="O115" s="88">
        <f>+O113+O105+O100</f>
        <v>-16636</v>
      </c>
      <c r="P115" s="88">
        <f>+P113+P105+P100</f>
        <v>35057</v>
      </c>
      <c r="Q115" s="88">
        <f>+Q113+Q105+Q100</f>
        <v>-21942</v>
      </c>
      <c r="R115" s="88">
        <f>+R113+R105+R100</f>
        <v>-22992</v>
      </c>
      <c r="S115" s="88">
        <f>+S113+S105+S100</f>
        <v>24366</v>
      </c>
      <c r="T115" s="88">
        <f>+T113+T105+T100</f>
        <v>17910</v>
      </c>
      <c r="U115" s="88">
        <f>+U113+U105+U100</f>
        <v>-24815</v>
      </c>
      <c r="W115" s="88">
        <f>SUM(H115:K115)</f>
        <v>-67319</v>
      </c>
      <c r="X115" s="88">
        <f>SUM(I115:L115)</f>
        <v>-68241</v>
      </c>
      <c r="Y115" s="88">
        <f>SUM(J115:M115)</f>
        <v>-66020</v>
      </c>
      <c r="Z115" s="88">
        <f>SUM(K115:N115)</f>
        <v>-65883</v>
      </c>
      <c r="AA115" s="88">
        <f>SUM(L115:O115)</f>
        <v>-68971</v>
      </c>
      <c r="AB115" s="88">
        <f>SUM(M115:P115)</f>
        <v>-13712</v>
      </c>
      <c r="AC115" s="88">
        <f>SUM(N115:Q115)</f>
        <v>-20688</v>
      </c>
      <c r="AD115" s="88">
        <f>SUM(O115:R115)</f>
        <v>-26513</v>
      </c>
      <c r="AE115" s="88">
        <f>SUM(P115:S115)</f>
        <v>14489</v>
      </c>
      <c r="AF115" s="88">
        <f>SUM(Q115:T115)</f>
        <v>-2658</v>
      </c>
      <c r="AG115" s="88">
        <f>SUM(R115:U115)</f>
        <v>-5531</v>
      </c>
      <c r="AH115" s="32"/>
      <c r="AI115" s="1"/>
    </row>
    <row r="116" spans="1:35" x14ac:dyDescent="0.2">
      <c r="B116" s="129" t="s">
        <v>62</v>
      </c>
      <c r="C116" s="75">
        <v>39929</v>
      </c>
      <c r="D116" s="75">
        <v>217502</v>
      </c>
      <c r="E116" s="75">
        <v>149772</v>
      </c>
      <c r="F116" s="75">
        <v>80801</v>
      </c>
      <c r="G116" s="130"/>
      <c r="H116" s="75">
        <v>217502</v>
      </c>
      <c r="I116" s="75">
        <v>217502</v>
      </c>
      <c r="J116" s="75">
        <v>217502</v>
      </c>
      <c r="K116" s="75">
        <f>D116</f>
        <v>217502</v>
      </c>
      <c r="L116" s="75">
        <v>149772</v>
      </c>
      <c r="M116" s="75">
        <v>149772</v>
      </c>
      <c r="N116" s="75">
        <v>149772</v>
      </c>
      <c r="O116" s="75">
        <f>E116</f>
        <v>149772</v>
      </c>
      <c r="P116" s="75">
        <v>80801</v>
      </c>
      <c r="Q116" s="75">
        <v>80801</v>
      </c>
      <c r="R116" s="75">
        <v>80801</v>
      </c>
      <c r="S116" s="75">
        <f>F116</f>
        <v>80801</v>
      </c>
      <c r="T116" s="75">
        <v>95290</v>
      </c>
      <c r="U116" s="75">
        <v>95290</v>
      </c>
      <c r="V116" s="131"/>
      <c r="W116" s="132">
        <f t="shared" ref="W116:AF117" si="230">K116</f>
        <v>217502</v>
      </c>
      <c r="X116" s="132">
        <f t="shared" si="230"/>
        <v>149772</v>
      </c>
      <c r="Y116" s="132">
        <f t="shared" si="230"/>
        <v>149772</v>
      </c>
      <c r="Z116" s="132">
        <f t="shared" si="230"/>
        <v>149772</v>
      </c>
      <c r="AA116" s="132">
        <f t="shared" si="230"/>
        <v>149772</v>
      </c>
      <c r="AB116" s="132">
        <f t="shared" si="230"/>
        <v>80801</v>
      </c>
      <c r="AC116" s="132">
        <f t="shared" si="230"/>
        <v>80801</v>
      </c>
      <c r="AD116" s="132">
        <f t="shared" si="230"/>
        <v>80801</v>
      </c>
      <c r="AE116" s="132">
        <f t="shared" si="230"/>
        <v>80801</v>
      </c>
      <c r="AF116" s="132">
        <f t="shared" si="230"/>
        <v>95290</v>
      </c>
      <c r="AG116" s="132">
        <f>U116</f>
        <v>95290</v>
      </c>
      <c r="AH116" s="32"/>
      <c r="AI116" s="1"/>
    </row>
    <row r="117" spans="1:35" x14ac:dyDescent="0.2">
      <c r="B117" s="129" t="s">
        <v>63</v>
      </c>
      <c r="C117" s="75">
        <v>217502</v>
      </c>
      <c r="D117" s="75">
        <v>149772</v>
      </c>
      <c r="E117" s="75">
        <v>80801</v>
      </c>
      <c r="F117" s="75">
        <v>95290</v>
      </c>
      <c r="G117" s="130"/>
      <c r="H117" s="75">
        <v>198222</v>
      </c>
      <c r="I117" s="75">
        <v>181035</v>
      </c>
      <c r="J117" s="75">
        <v>163731</v>
      </c>
      <c r="K117" s="75">
        <f>D117</f>
        <v>149772</v>
      </c>
      <c r="L117" s="75">
        <v>129570</v>
      </c>
      <c r="M117" s="75">
        <v>114604</v>
      </c>
      <c r="N117" s="75">
        <v>100340</v>
      </c>
      <c r="O117" s="75">
        <f>E117</f>
        <v>80801</v>
      </c>
      <c r="P117" s="75">
        <v>115858</v>
      </c>
      <c r="Q117" s="75">
        <v>93916</v>
      </c>
      <c r="R117" s="75">
        <v>70924</v>
      </c>
      <c r="S117" s="75">
        <f>F117</f>
        <v>95290</v>
      </c>
      <c r="T117" s="75">
        <v>113200</v>
      </c>
      <c r="U117" s="75">
        <v>88385</v>
      </c>
      <c r="V117" s="131"/>
      <c r="W117" s="132">
        <f t="shared" si="230"/>
        <v>149772</v>
      </c>
      <c r="X117" s="132">
        <f t="shared" si="230"/>
        <v>129570</v>
      </c>
      <c r="Y117" s="132">
        <f t="shared" si="230"/>
        <v>114604</v>
      </c>
      <c r="Z117" s="132">
        <f t="shared" si="230"/>
        <v>100340</v>
      </c>
      <c r="AA117" s="132">
        <f t="shared" si="230"/>
        <v>80801</v>
      </c>
      <c r="AB117" s="132">
        <f t="shared" si="230"/>
        <v>115858</v>
      </c>
      <c r="AC117" s="132">
        <f t="shared" si="230"/>
        <v>93916</v>
      </c>
      <c r="AD117" s="132">
        <f t="shared" si="230"/>
        <v>70924</v>
      </c>
      <c r="AE117" s="132">
        <f t="shared" si="230"/>
        <v>95290</v>
      </c>
      <c r="AF117" s="132">
        <f t="shared" si="230"/>
        <v>113200</v>
      </c>
      <c r="AG117" s="132">
        <f>U117</f>
        <v>88385</v>
      </c>
      <c r="AH117" s="32"/>
      <c r="AI117" s="1"/>
    </row>
    <row r="118" spans="1:35" ht="5.0999999999999996" customHeight="1" x14ac:dyDescent="0.2">
      <c r="B118" s="44"/>
      <c r="C118" s="76"/>
      <c r="D118" s="76"/>
      <c r="E118" s="76"/>
      <c r="F118" s="76"/>
      <c r="G118" s="32"/>
      <c r="H118" s="76"/>
      <c r="I118" s="76"/>
      <c r="J118" s="76"/>
      <c r="K118" s="76"/>
      <c r="L118" s="76"/>
      <c r="M118" s="76"/>
      <c r="N118" s="76"/>
      <c r="O118" s="76"/>
      <c r="P118" s="76"/>
      <c r="Q118" s="76"/>
      <c r="R118" s="76"/>
      <c r="S118" s="76"/>
      <c r="T118" s="76"/>
      <c r="U118" s="76"/>
      <c r="W118" s="32"/>
      <c r="X118" s="32"/>
      <c r="Y118" s="32"/>
      <c r="Z118" s="32"/>
      <c r="AA118" s="32"/>
      <c r="AB118" s="32"/>
      <c r="AC118" s="32"/>
      <c r="AD118" s="32"/>
      <c r="AE118" s="32"/>
      <c r="AF118" s="32"/>
      <c r="AG118" s="32"/>
      <c r="AH118" s="32"/>
      <c r="AI118" s="1"/>
    </row>
    <row r="119" spans="1:35" x14ac:dyDescent="0.2">
      <c r="B119" s="77" t="s">
        <v>64</v>
      </c>
      <c r="C119" s="70"/>
      <c r="D119" s="70"/>
      <c r="E119" s="70"/>
      <c r="F119" s="70"/>
      <c r="G119" s="32"/>
      <c r="H119" s="70"/>
      <c r="I119" s="70"/>
      <c r="J119" s="70"/>
      <c r="K119" s="70"/>
      <c r="L119" s="70"/>
      <c r="M119" s="70"/>
      <c r="N119" s="70"/>
      <c r="O119" s="70"/>
      <c r="P119" s="70"/>
      <c r="Q119" s="70"/>
      <c r="R119" s="70"/>
      <c r="S119" s="70"/>
      <c r="T119" s="70"/>
      <c r="U119" s="70"/>
      <c r="W119" s="70"/>
      <c r="X119" s="70"/>
      <c r="Y119" s="70"/>
      <c r="Z119" s="70"/>
      <c r="AA119" s="70"/>
      <c r="AB119" s="70"/>
      <c r="AC119" s="70"/>
      <c r="AD119" s="70"/>
      <c r="AE119" s="70"/>
      <c r="AF119" s="70"/>
      <c r="AG119" s="70"/>
      <c r="AH119" s="78"/>
    </row>
    <row r="120" spans="1:35" x14ac:dyDescent="0.2">
      <c r="B120" s="79" t="s">
        <v>65</v>
      </c>
      <c r="C120" s="96">
        <v>1123</v>
      </c>
      <c r="D120" s="96">
        <v>2668</v>
      </c>
      <c r="E120" s="96">
        <v>1613</v>
      </c>
      <c r="F120" s="96">
        <v>0</v>
      </c>
      <c r="G120" s="96"/>
      <c r="H120" s="96">
        <v>563</v>
      </c>
      <c r="I120" s="96">
        <f>1165-H120</f>
        <v>602</v>
      </c>
      <c r="J120" s="96">
        <f>1867-I120-H120</f>
        <v>702</v>
      </c>
      <c r="K120" s="96">
        <f t="shared" ref="K120" si="231">SUM(H120:J120)-D120</f>
        <v>-801</v>
      </c>
      <c r="L120" s="96">
        <v>881</v>
      </c>
      <c r="M120" s="96">
        <f>1613-L120</f>
        <v>732</v>
      </c>
      <c r="N120" s="96">
        <f>1613-M120-L120</f>
        <v>0</v>
      </c>
      <c r="O120" s="96">
        <f t="shared" ref="O120" si="232">SUM(L120:N120)-E120</f>
        <v>0</v>
      </c>
      <c r="P120" s="96">
        <v>0</v>
      </c>
      <c r="Q120" s="96">
        <v>0</v>
      </c>
      <c r="R120" s="96">
        <v>0</v>
      </c>
      <c r="S120" s="88">
        <f t="shared" ref="S120" si="233">SUM(F120-SUM(P120:R120))</f>
        <v>0</v>
      </c>
      <c r="T120" s="96">
        <v>0</v>
      </c>
      <c r="U120" s="96">
        <v>0</v>
      </c>
      <c r="V120" s="61"/>
      <c r="W120" s="88">
        <f>SUM(H120:K120)</f>
        <v>1066</v>
      </c>
      <c r="X120" s="88">
        <f>SUM(I120:L120)</f>
        <v>1384</v>
      </c>
      <c r="Y120" s="88">
        <f>SUM(J120:M120)</f>
        <v>1514</v>
      </c>
      <c r="Z120" s="88">
        <f>SUM(K120:N120)</f>
        <v>812</v>
      </c>
      <c r="AA120" s="88">
        <f>SUM(L120:O120)</f>
        <v>1613</v>
      </c>
      <c r="AB120" s="88">
        <f>SUM(M120:P120)</f>
        <v>732</v>
      </c>
      <c r="AC120" s="88">
        <f>SUM(N120:Q120)</f>
        <v>0</v>
      </c>
      <c r="AD120" s="88">
        <f>SUM(O120:R120)</f>
        <v>0</v>
      </c>
      <c r="AE120" s="88">
        <f>SUM(P120:S120)</f>
        <v>0</v>
      </c>
      <c r="AF120" s="88">
        <f>SUM(Q120:T120)</f>
        <v>0</v>
      </c>
      <c r="AG120" s="88">
        <f>SUM(R120:U120)</f>
        <v>0</v>
      </c>
      <c r="AH120" s="32"/>
      <c r="AI120" s="1"/>
    </row>
    <row r="121" spans="1:35" ht="5.0999999999999996" customHeight="1" thickBot="1" x14ac:dyDescent="0.25">
      <c r="B121" s="80"/>
      <c r="C121" s="74"/>
      <c r="D121" s="74"/>
      <c r="E121" s="74"/>
      <c r="F121" s="74"/>
      <c r="G121" s="61"/>
      <c r="H121" s="74"/>
      <c r="I121" s="74"/>
      <c r="J121" s="74"/>
      <c r="K121" s="74"/>
      <c r="L121" s="74"/>
      <c r="M121" s="74"/>
      <c r="N121" s="74"/>
      <c r="O121" s="74"/>
      <c r="P121" s="74"/>
      <c r="Q121" s="74"/>
      <c r="R121" s="74"/>
      <c r="S121" s="74"/>
      <c r="T121" s="74"/>
      <c r="U121" s="74"/>
      <c r="V121" s="61"/>
      <c r="W121" s="61"/>
      <c r="X121" s="61"/>
      <c r="Y121" s="61"/>
      <c r="Z121" s="61"/>
      <c r="AA121" s="61"/>
      <c r="AB121" s="61"/>
      <c r="AC121" s="61"/>
      <c r="AD121" s="61"/>
      <c r="AE121" s="61"/>
      <c r="AF121" s="61"/>
      <c r="AG121" s="61"/>
      <c r="AH121" s="32"/>
      <c r="AI121" s="1"/>
    </row>
    <row r="122" spans="1:35" ht="26.25" customHeight="1" x14ac:dyDescent="0.2">
      <c r="A122" s="24" t="s">
        <v>3</v>
      </c>
      <c r="B122" s="128" t="s">
        <v>119</v>
      </c>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c r="AA122" s="128"/>
      <c r="AB122" s="128"/>
      <c r="AC122" s="128"/>
      <c r="AD122" s="128"/>
      <c r="AE122" s="128"/>
      <c r="AF122" s="128"/>
      <c r="AG122" s="128"/>
    </row>
    <row r="123" spans="1:35" x14ac:dyDescent="0.2">
      <c r="B123" s="124" t="s">
        <v>122</v>
      </c>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row>
    <row r="124" spans="1:35" ht="36.75" customHeight="1" x14ac:dyDescent="0.2">
      <c r="B124" s="127" t="s">
        <v>125</v>
      </c>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row>
    <row r="125" spans="1:35" x14ac:dyDescent="0.2">
      <c r="B125" s="127" t="s">
        <v>129</v>
      </c>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7"/>
      <c r="AF125" s="127"/>
      <c r="AG125" s="127"/>
    </row>
    <row r="126" spans="1:35" x14ac:dyDescent="0.2">
      <c r="B126" s="127" t="s">
        <v>130</v>
      </c>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c r="AD126" s="127"/>
      <c r="AE126" s="127"/>
      <c r="AF126" s="127"/>
      <c r="AG126" s="127"/>
    </row>
    <row r="127" spans="1:35" ht="73.5" customHeight="1" x14ac:dyDescent="0.2">
      <c r="B127" s="127" t="s">
        <v>131</v>
      </c>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c r="AD127" s="127"/>
      <c r="AE127" s="127"/>
      <c r="AF127" s="127"/>
      <c r="AG127" s="127"/>
    </row>
    <row r="128" spans="1:35" ht="48.75" customHeight="1" x14ac:dyDescent="0.2">
      <c r="B128" s="127" t="s">
        <v>134</v>
      </c>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row>
    <row r="129" spans="3:6" x14ac:dyDescent="0.2">
      <c r="C129" s="65"/>
      <c r="D129" s="65"/>
      <c r="E129" s="65"/>
      <c r="F129" s="65"/>
    </row>
    <row r="130" spans="3:6" x14ac:dyDescent="0.2">
      <c r="C130" s="65"/>
      <c r="D130" s="65"/>
      <c r="E130" s="65"/>
      <c r="F130" s="65"/>
    </row>
    <row r="131" spans="3:6" x14ac:dyDescent="0.2">
      <c r="C131" s="65"/>
      <c r="D131" s="65"/>
      <c r="E131" s="65"/>
      <c r="F131" s="65"/>
    </row>
    <row r="132" spans="3:6" x14ac:dyDescent="0.2">
      <c r="C132" s="65"/>
      <c r="D132" s="65"/>
      <c r="E132" s="65"/>
      <c r="F132" s="65"/>
    </row>
    <row r="133" spans="3:6" x14ac:dyDescent="0.2">
      <c r="C133" s="65"/>
      <c r="D133" s="65"/>
      <c r="E133" s="65"/>
      <c r="F133" s="65"/>
    </row>
  </sheetData>
  <mergeCells count="11">
    <mergeCell ref="B126:AG126"/>
    <mergeCell ref="B127:AG127"/>
    <mergeCell ref="B128:AG128"/>
    <mergeCell ref="B122:AG122"/>
    <mergeCell ref="B123:AG123"/>
    <mergeCell ref="B124:AG124"/>
    <mergeCell ref="B125:AG125"/>
    <mergeCell ref="AI2:AI4"/>
    <mergeCell ref="B30:AG30"/>
    <mergeCell ref="B75:AG75"/>
    <mergeCell ref="B76:AG76"/>
  </mergeCells>
  <conditionalFormatting sqref="G8:G10">
    <cfRule type="timePeriod" dxfId="1" priority="2" timePeriod="lastWeek">
      <formula>AND(TODAY()-ROUNDDOWN(G8,0)&gt;=(WEEKDAY(TODAY())),TODAY()-ROUNDDOWN(G8,0)&lt;(WEEKDAY(TODAY())+7))</formula>
    </cfRule>
  </conditionalFormatting>
  <conditionalFormatting sqref="G13">
    <cfRule type="timePeriod" dxfId="0" priority="1" timePeriod="lastWeek">
      <formula>AND(TODAY()-ROUNDDOWN(G13,0)&gt;=(WEEKDAY(TODAY())),TODAY()-ROUNDDOWN(G13,0)&lt;(WEEKDAY(TODAY())+7))</formula>
    </cfRule>
  </conditionalFormatting>
  <pageMargins left="0.7" right="0.7" top="0.75" bottom="0.75" header="0.3" footer="0.3"/>
  <pageSetup orientation="portrait" r:id="rId1"/>
  <ignoredErrors>
    <ignoredError sqref="AI36:AI47 AI8:AI14" evalError="1"/>
    <ignoredError sqref="AH93:AH94" formulaRange="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E4E96-17D9-45DC-BA11-3524F502BF51}">
  <dimension ref="A2:AI84"/>
  <sheetViews>
    <sheetView showGridLines="0" topLeftCell="A50" zoomScaleNormal="100" workbookViewId="0">
      <selection activeCell="B17" sqref="B17"/>
    </sheetView>
  </sheetViews>
  <sheetFormatPr defaultRowHeight="12" outlineLevelCol="1" x14ac:dyDescent="0.2"/>
  <cols>
    <col min="1" max="1" width="1.7109375" style="133" customWidth="1"/>
    <col min="2" max="2" width="53.140625" style="133" bestFit="1" customWidth="1"/>
    <col min="3" max="3" width="9.42578125" style="133" customWidth="1" outlineLevel="1"/>
    <col min="4" max="4" width="9.85546875" style="133" bestFit="1" customWidth="1"/>
    <col min="5" max="5" width="9.42578125" style="133" bestFit="1" customWidth="1"/>
    <col min="6" max="6" width="10.28515625" style="133" bestFit="1" customWidth="1"/>
    <col min="7" max="7" width="1.7109375" style="133" customWidth="1"/>
    <col min="8" max="10" width="9" style="133" hidden="1" customWidth="1" outlineLevel="1"/>
    <col min="11" max="11" width="10" style="133" hidden="1" customWidth="1" outlineLevel="1"/>
    <col min="12" max="14" width="9.140625" style="133" hidden="1" customWidth="1" outlineLevel="1"/>
    <col min="15" max="15" width="10" style="133" hidden="1" customWidth="1" outlineLevel="1"/>
    <col min="16" max="16" width="9.7109375" style="133" hidden="1" customWidth="1" outlineLevel="1"/>
    <col min="17" max="17" width="9.42578125" style="133" bestFit="1" customWidth="1" collapsed="1"/>
    <col min="18" max="18" width="9.7109375" style="133" bestFit="1" customWidth="1"/>
    <col min="19" max="21" width="10.42578125" style="133" bestFit="1" customWidth="1"/>
    <col min="22" max="22" width="1.7109375" style="133" customWidth="1"/>
    <col min="23" max="28" width="10" style="133" hidden="1" customWidth="1" outlineLevel="1"/>
    <col min="29" max="29" width="10" style="133" bestFit="1" customWidth="1" collapsed="1"/>
    <col min="30" max="32" width="10" style="133" hidden="1" customWidth="1" outlineLevel="1"/>
    <col min="33" max="33" width="10" style="133" bestFit="1" customWidth="1" collapsed="1"/>
    <col min="34" max="34" width="1.7109375" style="133" customWidth="1"/>
    <col min="35" max="35" width="11.28515625" style="133" bestFit="1" customWidth="1"/>
    <col min="36" max="16384" width="9.140625" style="133"/>
  </cols>
  <sheetData>
    <row r="2" spans="2:35" s="85" customFormat="1" ht="12.75" customHeight="1" x14ac:dyDescent="0.2">
      <c r="B2" s="20" t="s">
        <v>45</v>
      </c>
      <c r="C2" s="81" t="s">
        <v>0</v>
      </c>
      <c r="D2" s="81" t="s">
        <v>0</v>
      </c>
      <c r="E2" s="81"/>
      <c r="F2" s="81"/>
      <c r="G2" s="83"/>
      <c r="H2" s="81" t="s">
        <v>1</v>
      </c>
      <c r="I2" s="81"/>
      <c r="J2" s="81"/>
      <c r="K2" s="81"/>
      <c r="L2" s="81"/>
      <c r="M2" s="81"/>
      <c r="N2" s="81"/>
      <c r="O2" s="81"/>
      <c r="P2" s="81" t="s">
        <v>1</v>
      </c>
      <c r="Q2" s="81" t="s">
        <v>1</v>
      </c>
      <c r="R2" s="81"/>
      <c r="S2" s="81"/>
      <c r="T2" s="81"/>
      <c r="U2" s="81"/>
      <c r="V2" s="83"/>
      <c r="W2" s="81" t="s">
        <v>2</v>
      </c>
      <c r="X2" s="81"/>
      <c r="Y2" s="81"/>
      <c r="Z2" s="81"/>
      <c r="AA2" s="81" t="s">
        <v>2</v>
      </c>
      <c r="AB2" s="81"/>
      <c r="AC2" s="81" t="s">
        <v>2</v>
      </c>
      <c r="AD2" s="81"/>
      <c r="AE2" s="81"/>
      <c r="AF2" s="81"/>
      <c r="AG2" s="81"/>
      <c r="AH2" s="83"/>
      <c r="AI2" s="101" t="s">
        <v>102</v>
      </c>
    </row>
    <row r="3" spans="2:35" s="85" customFormat="1" ht="12.75" customHeight="1" x14ac:dyDescent="0.2">
      <c r="B3" s="21" t="s">
        <v>43</v>
      </c>
      <c r="C3" s="82">
        <v>2021</v>
      </c>
      <c r="D3" s="82">
        <v>2022</v>
      </c>
      <c r="E3" s="82">
        <v>2023</v>
      </c>
      <c r="F3" s="82">
        <v>2024</v>
      </c>
      <c r="G3" s="83"/>
      <c r="H3" s="84" t="s">
        <v>5</v>
      </c>
      <c r="I3" s="84" t="s">
        <v>6</v>
      </c>
      <c r="J3" s="84" t="s">
        <v>7</v>
      </c>
      <c r="K3" s="84" t="s">
        <v>8</v>
      </c>
      <c r="L3" s="84" t="s">
        <v>9</v>
      </c>
      <c r="M3" s="84" t="s">
        <v>10</v>
      </c>
      <c r="N3" s="84" t="s">
        <v>11</v>
      </c>
      <c r="O3" s="84" t="s">
        <v>12</v>
      </c>
      <c r="P3" s="84" t="s">
        <v>13</v>
      </c>
      <c r="Q3" s="84" t="s">
        <v>14</v>
      </c>
      <c r="R3" s="84" t="s">
        <v>15</v>
      </c>
      <c r="S3" s="84" t="s">
        <v>103</v>
      </c>
      <c r="T3" s="84" t="s">
        <v>104</v>
      </c>
      <c r="U3" s="84" t="s">
        <v>105</v>
      </c>
      <c r="V3" s="83"/>
      <c r="W3" s="84" t="str">
        <f t="shared" ref="W3:AD4" si="0">K3</f>
        <v>4Q22</v>
      </c>
      <c r="X3" s="84" t="str">
        <f t="shared" si="0"/>
        <v>1Q23</v>
      </c>
      <c r="Y3" s="84" t="str">
        <f t="shared" si="0"/>
        <v>2Q23</v>
      </c>
      <c r="Z3" s="84" t="str">
        <f t="shared" si="0"/>
        <v>3Q23</v>
      </c>
      <c r="AA3" s="84" t="str">
        <f t="shared" si="0"/>
        <v>4Q23</v>
      </c>
      <c r="AB3" s="84" t="str">
        <f t="shared" si="0"/>
        <v>1Q24</v>
      </c>
      <c r="AC3" s="84" t="str">
        <f t="shared" si="0"/>
        <v>2Q24</v>
      </c>
      <c r="AD3" s="84" t="str">
        <f t="shared" si="0"/>
        <v>3Q24</v>
      </c>
      <c r="AE3" s="84" t="str">
        <f>S3</f>
        <v>4Q24</v>
      </c>
      <c r="AF3" s="84" t="str">
        <f t="shared" ref="AF3:AG4" si="1">T3</f>
        <v>1Q25</v>
      </c>
      <c r="AG3" s="84" t="str">
        <f t="shared" si="1"/>
        <v>2Q25</v>
      </c>
      <c r="AH3" s="83"/>
      <c r="AI3" s="101"/>
    </row>
    <row r="4" spans="2:35" s="85" customFormat="1" ht="12.75" customHeight="1" x14ac:dyDescent="0.2">
      <c r="B4" s="21" t="s">
        <v>95</v>
      </c>
      <c r="C4" s="83">
        <v>44561</v>
      </c>
      <c r="D4" s="83">
        <v>44926</v>
      </c>
      <c r="E4" s="83">
        <v>45291</v>
      </c>
      <c r="F4" s="83">
        <v>45657</v>
      </c>
      <c r="G4" s="83"/>
      <c r="H4" s="83">
        <v>44651</v>
      </c>
      <c r="I4" s="83">
        <v>44742</v>
      </c>
      <c r="J4" s="83">
        <v>44834</v>
      </c>
      <c r="K4" s="83">
        <v>44926</v>
      </c>
      <c r="L4" s="83">
        <v>45016</v>
      </c>
      <c r="M4" s="83">
        <v>45107</v>
      </c>
      <c r="N4" s="83">
        <v>45199</v>
      </c>
      <c r="O4" s="83">
        <v>45291</v>
      </c>
      <c r="P4" s="83">
        <v>45382</v>
      </c>
      <c r="Q4" s="83">
        <v>45473</v>
      </c>
      <c r="R4" s="83">
        <v>45565</v>
      </c>
      <c r="S4" s="83">
        <v>45657</v>
      </c>
      <c r="T4" s="83">
        <v>45747</v>
      </c>
      <c r="U4" s="83">
        <v>45838</v>
      </c>
      <c r="V4" s="83"/>
      <c r="W4" s="83">
        <f t="shared" si="0"/>
        <v>44926</v>
      </c>
      <c r="X4" s="83">
        <f t="shared" si="0"/>
        <v>45016</v>
      </c>
      <c r="Y4" s="83">
        <f t="shared" si="0"/>
        <v>45107</v>
      </c>
      <c r="Z4" s="83">
        <f t="shared" si="0"/>
        <v>45199</v>
      </c>
      <c r="AA4" s="83">
        <f t="shared" si="0"/>
        <v>45291</v>
      </c>
      <c r="AB4" s="83">
        <f t="shared" si="0"/>
        <v>45382</v>
      </c>
      <c r="AC4" s="83">
        <f t="shared" si="0"/>
        <v>45473</v>
      </c>
      <c r="AD4" s="83">
        <f t="shared" si="0"/>
        <v>45565</v>
      </c>
      <c r="AE4" s="83">
        <f>S4</f>
        <v>45657</v>
      </c>
      <c r="AF4" s="83">
        <f t="shared" si="1"/>
        <v>45747</v>
      </c>
      <c r="AG4" s="83">
        <f t="shared" si="1"/>
        <v>45838</v>
      </c>
      <c r="AH4" s="83"/>
      <c r="AI4" s="101"/>
    </row>
    <row r="5" spans="2:35" ht="5.0999999999999996" customHeight="1" x14ac:dyDescent="0.2">
      <c r="AI5" s="157"/>
    </row>
    <row r="6" spans="2:35" ht="12.75" customHeight="1" x14ac:dyDescent="0.2">
      <c r="B6" s="87" t="s">
        <v>108</v>
      </c>
      <c r="C6" s="88">
        <f>'Base Financials'!C8</f>
        <v>0</v>
      </c>
      <c r="D6" s="88">
        <f>'Base Financials'!D8</f>
        <v>0</v>
      </c>
      <c r="E6" s="88">
        <f>'Base Financials'!E8</f>
        <v>0</v>
      </c>
      <c r="F6" s="88">
        <f>'Base Financials'!F8</f>
        <v>0</v>
      </c>
      <c r="G6" s="88"/>
      <c r="H6" s="88">
        <f>'Base Financials'!H8</f>
        <v>0</v>
      </c>
      <c r="I6" s="88">
        <f>'Base Financials'!I8</f>
        <v>0</v>
      </c>
      <c r="J6" s="88">
        <f>'Base Financials'!J8</f>
        <v>0</v>
      </c>
      <c r="K6" s="88">
        <f>'Base Financials'!K8</f>
        <v>0</v>
      </c>
      <c r="L6" s="88">
        <f>'Base Financials'!L8</f>
        <v>0</v>
      </c>
      <c r="M6" s="88">
        <f>'Base Financials'!M8</f>
        <v>0</v>
      </c>
      <c r="N6" s="88">
        <f>'Base Financials'!N8</f>
        <v>0</v>
      </c>
      <c r="O6" s="88">
        <f>'Base Financials'!O8</f>
        <v>0</v>
      </c>
      <c r="P6" s="88">
        <f>'Base Financials'!P8</f>
        <v>0</v>
      </c>
      <c r="Q6" s="88">
        <f>'Base Financials'!Q8</f>
        <v>0</v>
      </c>
      <c r="R6" s="88">
        <f>'Base Financials'!R8</f>
        <v>0</v>
      </c>
      <c r="S6" s="88">
        <f>'Base Financials'!S8</f>
        <v>0</v>
      </c>
      <c r="T6" s="88">
        <f>'Base Financials'!T8</f>
        <v>147</v>
      </c>
      <c r="U6" s="88">
        <f>'Base Financials'!U8</f>
        <v>100</v>
      </c>
      <c r="V6" s="88"/>
      <c r="W6" s="88">
        <f t="shared" ref="W6:AG8" si="2">SUM(H6:K6)</f>
        <v>0</v>
      </c>
      <c r="X6" s="88">
        <f t="shared" si="2"/>
        <v>0</v>
      </c>
      <c r="Y6" s="88">
        <f t="shared" si="2"/>
        <v>0</v>
      </c>
      <c r="Z6" s="88">
        <f t="shared" si="2"/>
        <v>0</v>
      </c>
      <c r="AA6" s="88">
        <f t="shared" si="2"/>
        <v>0</v>
      </c>
      <c r="AB6" s="88">
        <f t="shared" si="2"/>
        <v>0</v>
      </c>
      <c r="AC6" s="88">
        <f t="shared" si="2"/>
        <v>0</v>
      </c>
      <c r="AD6" s="88">
        <f t="shared" si="2"/>
        <v>0</v>
      </c>
      <c r="AE6" s="88">
        <f t="shared" si="2"/>
        <v>0</v>
      </c>
      <c r="AF6" s="88">
        <f t="shared" si="2"/>
        <v>147</v>
      </c>
      <c r="AG6" s="88">
        <f t="shared" si="2"/>
        <v>247</v>
      </c>
      <c r="AI6" s="108" t="e">
        <f>SUM(AG6/AC6)-1</f>
        <v>#DIV/0!</v>
      </c>
    </row>
    <row r="7" spans="2:35" ht="12.75" customHeight="1" x14ac:dyDescent="0.2">
      <c r="B7" s="87" t="s">
        <v>107</v>
      </c>
      <c r="C7" s="88">
        <f>'Base Financials'!C9</f>
        <v>0</v>
      </c>
      <c r="D7" s="88">
        <f>'Base Financials'!D9</f>
        <v>0</v>
      </c>
      <c r="E7" s="88">
        <f>'Base Financials'!E9</f>
        <v>0</v>
      </c>
      <c r="F7" s="88">
        <f>'Base Financials'!F9</f>
        <v>0</v>
      </c>
      <c r="G7" s="88"/>
      <c r="H7" s="88">
        <f>'Base Financials'!H9</f>
        <v>0</v>
      </c>
      <c r="I7" s="88">
        <f>'Base Financials'!I9</f>
        <v>0</v>
      </c>
      <c r="J7" s="88">
        <f>'Base Financials'!J9</f>
        <v>0</v>
      </c>
      <c r="K7" s="88">
        <f>'Base Financials'!K9</f>
        <v>0</v>
      </c>
      <c r="L7" s="88">
        <f>'Base Financials'!L9</f>
        <v>0</v>
      </c>
      <c r="M7" s="88">
        <f>'Base Financials'!M9</f>
        <v>0</v>
      </c>
      <c r="N7" s="88">
        <f>'Base Financials'!N9</f>
        <v>0</v>
      </c>
      <c r="O7" s="88">
        <f>'Base Financials'!O9</f>
        <v>0</v>
      </c>
      <c r="P7" s="88">
        <f>'Base Financials'!P9</f>
        <v>0</v>
      </c>
      <c r="Q7" s="88">
        <f>'Base Financials'!Q9</f>
        <v>0</v>
      </c>
      <c r="R7" s="88">
        <f>'Base Financials'!R9</f>
        <v>0</v>
      </c>
      <c r="S7" s="88">
        <f>'Base Financials'!S9</f>
        <v>0</v>
      </c>
      <c r="T7" s="88">
        <f>'Base Financials'!T9</f>
        <v>370</v>
      </c>
      <c r="U7" s="88">
        <f>'Base Financials'!U9</f>
        <v>201</v>
      </c>
      <c r="V7" s="88"/>
      <c r="W7" s="88">
        <f t="shared" ref="W7:AD8" si="3">SUM(H7:K7)</f>
        <v>0</v>
      </c>
      <c r="X7" s="88">
        <f t="shared" si="3"/>
        <v>0</v>
      </c>
      <c r="Y7" s="88">
        <f t="shared" si="3"/>
        <v>0</v>
      </c>
      <c r="Z7" s="88">
        <f t="shared" si="3"/>
        <v>0</v>
      </c>
      <c r="AA7" s="88">
        <f t="shared" si="3"/>
        <v>0</v>
      </c>
      <c r="AB7" s="88">
        <f t="shared" si="3"/>
        <v>0</v>
      </c>
      <c r="AC7" s="88">
        <f t="shared" si="3"/>
        <v>0</v>
      </c>
      <c r="AD7" s="88">
        <f t="shared" si="3"/>
        <v>0</v>
      </c>
      <c r="AE7" s="88">
        <f t="shared" si="2"/>
        <v>0</v>
      </c>
      <c r="AF7" s="88">
        <f t="shared" si="2"/>
        <v>370</v>
      </c>
      <c r="AG7" s="88">
        <f t="shared" si="2"/>
        <v>571</v>
      </c>
      <c r="AI7" s="108" t="e">
        <f t="shared" ref="AI7:AI9" si="4">SUM(AG7/AC7)-1</f>
        <v>#DIV/0!</v>
      </c>
    </row>
    <row r="8" spans="2:35" ht="12.75" customHeight="1" x14ac:dyDescent="0.2">
      <c r="B8" s="87" t="s">
        <v>44</v>
      </c>
      <c r="C8" s="88">
        <f>'Base Financials'!C10</f>
        <v>1263</v>
      </c>
      <c r="D8" s="88">
        <f>'Base Financials'!D10</f>
        <v>1565</v>
      </c>
      <c r="E8" s="88">
        <f>'Base Financials'!E10</f>
        <v>0</v>
      </c>
      <c r="F8" s="88">
        <f>'Base Financials'!F10</f>
        <v>0</v>
      </c>
      <c r="G8" s="88"/>
      <c r="H8" s="88">
        <f>'Base Financials'!H10</f>
        <v>233</v>
      </c>
      <c r="I8" s="88">
        <f>'Base Financials'!I10</f>
        <v>1301</v>
      </c>
      <c r="J8" s="88">
        <f>'Base Financials'!J10</f>
        <v>31</v>
      </c>
      <c r="K8" s="88">
        <f>'Base Financials'!K10</f>
        <v>0</v>
      </c>
      <c r="L8" s="88">
        <f>'Base Financials'!L10</f>
        <v>0</v>
      </c>
      <c r="M8" s="88">
        <f>'Base Financials'!M10</f>
        <v>0</v>
      </c>
      <c r="N8" s="88">
        <f>'Base Financials'!N10</f>
        <v>0</v>
      </c>
      <c r="O8" s="88">
        <f>'Base Financials'!O10</f>
        <v>0</v>
      </c>
      <c r="P8" s="88">
        <f>'Base Financials'!P10</f>
        <v>0</v>
      </c>
      <c r="Q8" s="88">
        <f>'Base Financials'!Q10</f>
        <v>0</v>
      </c>
      <c r="R8" s="88">
        <f>'Base Financials'!R10</f>
        <v>0</v>
      </c>
      <c r="S8" s="88">
        <f>'Base Financials'!S10</f>
        <v>0</v>
      </c>
      <c r="T8" s="88">
        <f>'Base Financials'!T10</f>
        <v>0</v>
      </c>
      <c r="U8" s="88">
        <f>'Base Financials'!U10</f>
        <v>0</v>
      </c>
      <c r="V8" s="88"/>
      <c r="W8" s="88">
        <f t="shared" si="3"/>
        <v>1565</v>
      </c>
      <c r="X8" s="88">
        <f t="shared" si="3"/>
        <v>1332</v>
      </c>
      <c r="Y8" s="88">
        <f t="shared" si="3"/>
        <v>31</v>
      </c>
      <c r="Z8" s="88">
        <f t="shared" si="3"/>
        <v>0</v>
      </c>
      <c r="AA8" s="88">
        <f t="shared" si="3"/>
        <v>0</v>
      </c>
      <c r="AB8" s="88">
        <f t="shared" si="3"/>
        <v>0</v>
      </c>
      <c r="AC8" s="88">
        <f t="shared" si="3"/>
        <v>0</v>
      </c>
      <c r="AD8" s="88">
        <f t="shared" si="3"/>
        <v>0</v>
      </c>
      <c r="AE8" s="88">
        <f t="shared" si="2"/>
        <v>0</v>
      </c>
      <c r="AF8" s="88">
        <f t="shared" si="2"/>
        <v>0</v>
      </c>
      <c r="AG8" s="88">
        <f t="shared" si="2"/>
        <v>0</v>
      </c>
      <c r="AI8" s="108" t="e">
        <f t="shared" si="4"/>
        <v>#DIV/0!</v>
      </c>
    </row>
    <row r="9" spans="2:35" ht="12.75" customHeight="1" x14ac:dyDescent="0.2">
      <c r="B9" s="105" t="s">
        <v>96</v>
      </c>
      <c r="C9" s="106">
        <f>SUM(C6:C8)</f>
        <v>1263</v>
      </c>
      <c r="D9" s="106">
        <f>SUM(D6:D8)</f>
        <v>1565</v>
      </c>
      <c r="E9" s="106">
        <f>SUM(E6:E8)</f>
        <v>0</v>
      </c>
      <c r="F9" s="106">
        <f>SUM(F6:F8)</f>
        <v>0</v>
      </c>
      <c r="G9" s="134"/>
      <c r="H9" s="106">
        <f>SUM(H6:H8)</f>
        <v>233</v>
      </c>
      <c r="I9" s="106">
        <f>SUM(I6:I8)</f>
        <v>1301</v>
      </c>
      <c r="J9" s="106">
        <f>SUM(J6:J8)</f>
        <v>31</v>
      </c>
      <c r="K9" s="106">
        <f>SUM(K6:K8)</f>
        <v>0</v>
      </c>
      <c r="L9" s="106">
        <f>SUM(L6:L8)</f>
        <v>0</v>
      </c>
      <c r="M9" s="106">
        <f>SUM(M6:M8)</f>
        <v>0</v>
      </c>
      <c r="N9" s="106">
        <f>SUM(N6:N8)</f>
        <v>0</v>
      </c>
      <c r="O9" s="106">
        <f>SUM(O6:O8)</f>
        <v>0</v>
      </c>
      <c r="P9" s="106">
        <f>SUM(P6:P8)</f>
        <v>0</v>
      </c>
      <c r="Q9" s="106">
        <f>SUM(Q6:Q8)</f>
        <v>0</v>
      </c>
      <c r="R9" s="106">
        <f>SUM(R6:R8)</f>
        <v>0</v>
      </c>
      <c r="S9" s="106">
        <f>SUM(S6:S8)</f>
        <v>0</v>
      </c>
      <c r="T9" s="106">
        <f>SUM(T6:T8)</f>
        <v>517</v>
      </c>
      <c r="U9" s="106">
        <f>SUM(U6:U8)</f>
        <v>301</v>
      </c>
      <c r="V9" s="85"/>
      <c r="W9" s="106">
        <f>SUM(W6:W8)</f>
        <v>1565</v>
      </c>
      <c r="X9" s="106">
        <f>SUM(X6:X8)</f>
        <v>1332</v>
      </c>
      <c r="Y9" s="106">
        <f>SUM(Y6:Y8)</f>
        <v>31</v>
      </c>
      <c r="Z9" s="106">
        <f>SUM(Z6:Z8)</f>
        <v>0</v>
      </c>
      <c r="AA9" s="106">
        <f>SUM(AA6:AA8)</f>
        <v>0</v>
      </c>
      <c r="AB9" s="106">
        <f>SUM(AB6:AB8)</f>
        <v>0</v>
      </c>
      <c r="AC9" s="106">
        <f>SUM(AC6:AC8)</f>
        <v>0</v>
      </c>
      <c r="AD9" s="106">
        <f>SUM(AD6:AD8)</f>
        <v>0</v>
      </c>
      <c r="AE9" s="106">
        <f>SUM(AE6:AE8)</f>
        <v>0</v>
      </c>
      <c r="AF9" s="106">
        <f>SUM(AF6:AF8)</f>
        <v>517</v>
      </c>
      <c r="AG9" s="106">
        <f>SUM(AG6:AG8)</f>
        <v>818</v>
      </c>
      <c r="AI9" s="109" t="e">
        <f t="shared" si="4"/>
        <v>#DIV/0!</v>
      </c>
    </row>
    <row r="10" spans="2:35" ht="12.75" customHeight="1" x14ac:dyDescent="0.2">
      <c r="B10" s="91" t="s">
        <v>139</v>
      </c>
      <c r="C10" s="135"/>
      <c r="D10" s="92">
        <f>SUM(D9/C9)-1</f>
        <v>0.23911322248614408</v>
      </c>
      <c r="E10" s="92">
        <f t="shared" ref="E10:F10" si="5">SUM(E9/D9)-1</f>
        <v>-1</v>
      </c>
      <c r="F10" s="92" t="e">
        <f t="shared" si="5"/>
        <v>#DIV/0!</v>
      </c>
      <c r="G10" s="134"/>
      <c r="H10" s="135"/>
      <c r="I10" s="135"/>
      <c r="J10" s="135"/>
      <c r="K10" s="135"/>
      <c r="L10" s="92">
        <f>SUM(L9/H9)-1</f>
        <v>-1</v>
      </c>
      <c r="M10" s="92">
        <f t="shared" ref="M10:U10" si="6">SUM(M9/I9)-1</f>
        <v>-1</v>
      </c>
      <c r="N10" s="92">
        <f t="shared" si="6"/>
        <v>-1</v>
      </c>
      <c r="O10" s="92" t="e">
        <f t="shared" si="6"/>
        <v>#DIV/0!</v>
      </c>
      <c r="P10" s="92" t="e">
        <f t="shared" si="6"/>
        <v>#DIV/0!</v>
      </c>
      <c r="Q10" s="92" t="e">
        <f t="shared" si="6"/>
        <v>#DIV/0!</v>
      </c>
      <c r="R10" s="92" t="e">
        <f t="shared" si="6"/>
        <v>#DIV/0!</v>
      </c>
      <c r="S10" s="92" t="e">
        <f t="shared" si="6"/>
        <v>#DIV/0!</v>
      </c>
      <c r="T10" s="92" t="e">
        <f t="shared" si="6"/>
        <v>#DIV/0!</v>
      </c>
      <c r="U10" s="92" t="e">
        <f t="shared" si="6"/>
        <v>#DIV/0!</v>
      </c>
      <c r="V10" s="85"/>
      <c r="W10" s="135"/>
      <c r="X10" s="135"/>
      <c r="Y10" s="135"/>
      <c r="Z10" s="135"/>
      <c r="AA10" s="92">
        <f t="shared" ref="AA10:AD10" si="7">SUM(AA9/W9)-1</f>
        <v>-1</v>
      </c>
      <c r="AB10" s="92">
        <f t="shared" si="7"/>
        <v>-1</v>
      </c>
      <c r="AC10" s="92">
        <f t="shared" si="7"/>
        <v>-1</v>
      </c>
      <c r="AD10" s="92" t="e">
        <f t="shared" si="7"/>
        <v>#DIV/0!</v>
      </c>
      <c r="AE10" s="92" t="e">
        <f>SUM(AE9/AA9)-1</f>
        <v>#DIV/0!</v>
      </c>
      <c r="AF10" s="92" t="e">
        <f t="shared" ref="AF10:AG10" si="8">SUM(AF9/AB9)-1</f>
        <v>#DIV/0!</v>
      </c>
      <c r="AG10" s="92" t="e">
        <f t="shared" si="8"/>
        <v>#DIV/0!</v>
      </c>
      <c r="AI10" s="158" t="e">
        <f>SUM(AG10-AC10)*10000</f>
        <v>#DIV/0!</v>
      </c>
    </row>
    <row r="11" spans="2:35" ht="12.75" customHeight="1" x14ac:dyDescent="0.2">
      <c r="B11" s="91" t="s">
        <v>140</v>
      </c>
      <c r="C11" s="92" t="s">
        <v>83</v>
      </c>
      <c r="D11" s="92" t="s">
        <v>83</v>
      </c>
      <c r="E11" s="92" t="s">
        <v>83</v>
      </c>
      <c r="F11" s="92" t="s">
        <v>83</v>
      </c>
      <c r="G11" s="134"/>
      <c r="H11" s="135"/>
      <c r="I11" s="92">
        <f>SUM(I9/H9)-1</f>
        <v>4.5836909871244638</v>
      </c>
      <c r="J11" s="92">
        <f t="shared" ref="J11:U11" si="9">SUM(J9/I9)-1</f>
        <v>-0.97617217524980782</v>
      </c>
      <c r="K11" s="92">
        <f t="shared" si="9"/>
        <v>-1</v>
      </c>
      <c r="L11" s="92" t="e">
        <f t="shared" si="9"/>
        <v>#DIV/0!</v>
      </c>
      <c r="M11" s="92" t="e">
        <f t="shared" si="9"/>
        <v>#DIV/0!</v>
      </c>
      <c r="N11" s="92" t="e">
        <f t="shared" si="9"/>
        <v>#DIV/0!</v>
      </c>
      <c r="O11" s="92" t="e">
        <f t="shared" si="9"/>
        <v>#DIV/0!</v>
      </c>
      <c r="P11" s="92" t="e">
        <f t="shared" si="9"/>
        <v>#DIV/0!</v>
      </c>
      <c r="Q11" s="92" t="e">
        <f t="shared" si="9"/>
        <v>#DIV/0!</v>
      </c>
      <c r="R11" s="92" t="e">
        <f t="shared" si="9"/>
        <v>#DIV/0!</v>
      </c>
      <c r="S11" s="92" t="e">
        <f t="shared" si="9"/>
        <v>#DIV/0!</v>
      </c>
      <c r="T11" s="92" t="e">
        <f t="shared" si="9"/>
        <v>#DIV/0!</v>
      </c>
      <c r="U11" s="92">
        <f t="shared" si="9"/>
        <v>-0.41779497098646035</v>
      </c>
      <c r="V11" s="85"/>
      <c r="W11" s="92" t="s">
        <v>83</v>
      </c>
      <c r="X11" s="92" t="s">
        <v>83</v>
      </c>
      <c r="Y11" s="92" t="s">
        <v>83</v>
      </c>
      <c r="Z11" s="92" t="s">
        <v>83</v>
      </c>
      <c r="AA11" s="92" t="s">
        <v>83</v>
      </c>
      <c r="AB11" s="92" t="s">
        <v>83</v>
      </c>
      <c r="AC11" s="92" t="s">
        <v>83</v>
      </c>
      <c r="AD11" s="92" t="s">
        <v>83</v>
      </c>
      <c r="AE11" s="92" t="s">
        <v>83</v>
      </c>
      <c r="AF11" s="92" t="s">
        <v>83</v>
      </c>
      <c r="AG11" s="92" t="s">
        <v>83</v>
      </c>
      <c r="AI11" s="157"/>
    </row>
    <row r="12" spans="2:35" ht="5.0999999999999996" customHeight="1" x14ac:dyDescent="0.2">
      <c r="B12" s="136"/>
      <c r="C12" s="137"/>
      <c r="D12" s="137"/>
      <c r="E12" s="137"/>
      <c r="F12" s="137"/>
      <c r="G12" s="138"/>
      <c r="H12" s="139"/>
      <c r="I12" s="139"/>
      <c r="J12" s="139"/>
      <c r="K12" s="140"/>
      <c r="L12" s="139"/>
      <c r="M12" s="139"/>
      <c r="N12" s="139"/>
      <c r="O12" s="140"/>
      <c r="P12" s="139"/>
      <c r="Q12" s="139"/>
      <c r="R12" s="139"/>
      <c r="S12" s="139"/>
      <c r="T12" s="139"/>
      <c r="U12" s="139"/>
      <c r="V12" s="138"/>
      <c r="W12" s="138"/>
      <c r="X12" s="138"/>
      <c r="Y12" s="138"/>
      <c r="Z12" s="138"/>
      <c r="AA12" s="138"/>
      <c r="AB12" s="138"/>
      <c r="AC12" s="138"/>
      <c r="AD12" s="138"/>
      <c r="AE12" s="138"/>
      <c r="AF12" s="138"/>
      <c r="AG12" s="138"/>
      <c r="AI12" s="157"/>
    </row>
    <row r="13" spans="2:35" ht="12.75" customHeight="1" x14ac:dyDescent="0.2">
      <c r="B13" s="141" t="s">
        <v>169</v>
      </c>
      <c r="C13" s="88">
        <f>'Base Financials'!C13</f>
        <v>0</v>
      </c>
      <c r="D13" s="88">
        <f>'Base Financials'!D13</f>
        <v>0</v>
      </c>
      <c r="E13" s="88">
        <f>'Base Financials'!E13</f>
        <v>0</v>
      </c>
      <c r="F13" s="88">
        <f>'Base Financials'!F13</f>
        <v>0</v>
      </c>
      <c r="G13" s="88"/>
      <c r="H13" s="88">
        <f>'Base Financials'!H13</f>
        <v>0</v>
      </c>
      <c r="I13" s="88">
        <f>'Base Financials'!I13</f>
        <v>0</v>
      </c>
      <c r="J13" s="88">
        <f>'Base Financials'!J13</f>
        <v>0</v>
      </c>
      <c r="K13" s="88">
        <f>'Base Financials'!K13</f>
        <v>0</v>
      </c>
      <c r="L13" s="88">
        <f>'Base Financials'!L13</f>
        <v>0</v>
      </c>
      <c r="M13" s="88">
        <f>'Base Financials'!M13</f>
        <v>0</v>
      </c>
      <c r="N13" s="88">
        <f>'Base Financials'!N13</f>
        <v>0</v>
      </c>
      <c r="O13" s="88">
        <f>'Base Financials'!O13</f>
        <v>0</v>
      </c>
      <c r="P13" s="88">
        <f>'Base Financials'!P13</f>
        <v>0</v>
      </c>
      <c r="Q13" s="88">
        <f>'Base Financials'!Q13</f>
        <v>0</v>
      </c>
      <c r="R13" s="88">
        <f>'Base Financials'!R13</f>
        <v>0</v>
      </c>
      <c r="S13" s="88">
        <f>'Base Financials'!S13</f>
        <v>0</v>
      </c>
      <c r="T13" s="88">
        <f>'Base Financials'!T13</f>
        <v>-147</v>
      </c>
      <c r="U13" s="88">
        <f>'Base Financials'!U13</f>
        <v>-213</v>
      </c>
      <c r="V13" s="88"/>
      <c r="W13" s="88">
        <f t="shared" ref="W13" si="10">SUM(H13:K13)</f>
        <v>0</v>
      </c>
      <c r="X13" s="88">
        <f t="shared" ref="X13:AG13" si="11">SUM(I13:L13)</f>
        <v>0</v>
      </c>
      <c r="Y13" s="88">
        <f t="shared" si="11"/>
        <v>0</v>
      </c>
      <c r="Z13" s="88">
        <f t="shared" si="11"/>
        <v>0</v>
      </c>
      <c r="AA13" s="88">
        <f t="shared" si="11"/>
        <v>0</v>
      </c>
      <c r="AB13" s="88">
        <f t="shared" si="11"/>
        <v>0</v>
      </c>
      <c r="AC13" s="88">
        <f t="shared" si="11"/>
        <v>0</v>
      </c>
      <c r="AD13" s="88">
        <f t="shared" si="11"/>
        <v>0</v>
      </c>
      <c r="AE13" s="88">
        <f t="shared" si="11"/>
        <v>0</v>
      </c>
      <c r="AF13" s="88">
        <f t="shared" si="11"/>
        <v>-147</v>
      </c>
      <c r="AG13" s="88">
        <f t="shared" si="11"/>
        <v>-360</v>
      </c>
      <c r="AI13" s="108" t="e">
        <f t="shared" ref="AI13:AI19" si="12">SUM(AG13/AC13)-1</f>
        <v>#DIV/0!</v>
      </c>
    </row>
    <row r="14" spans="2:35" ht="12.75" customHeight="1" x14ac:dyDescent="0.2">
      <c r="B14" s="142" t="s">
        <v>141</v>
      </c>
      <c r="C14" s="143">
        <f>+C9+C13</f>
        <v>1263</v>
      </c>
      <c r="D14" s="143">
        <f>+D9+D13</f>
        <v>1565</v>
      </c>
      <c r="E14" s="143">
        <f>+E9+E13</f>
        <v>0</v>
      </c>
      <c r="F14" s="143">
        <f>+F9+F13</f>
        <v>0</v>
      </c>
      <c r="G14" s="85"/>
      <c r="H14" s="143">
        <f>+H9+H13</f>
        <v>233</v>
      </c>
      <c r="I14" s="143">
        <f>+I9+I13</f>
        <v>1301</v>
      </c>
      <c r="J14" s="143">
        <f>+J9+J13</f>
        <v>31</v>
      </c>
      <c r="K14" s="143">
        <f>+K9+K13</f>
        <v>0</v>
      </c>
      <c r="L14" s="143">
        <f>+L9+L13</f>
        <v>0</v>
      </c>
      <c r="M14" s="143">
        <f>+M9+M13</f>
        <v>0</v>
      </c>
      <c r="N14" s="143">
        <f>+N9+N13</f>
        <v>0</v>
      </c>
      <c r="O14" s="143">
        <f>+O9+O13</f>
        <v>0</v>
      </c>
      <c r="P14" s="143">
        <f>+P9+P13</f>
        <v>0</v>
      </c>
      <c r="Q14" s="143">
        <f>+Q9+Q13</f>
        <v>0</v>
      </c>
      <c r="R14" s="143">
        <f>+R9+R13</f>
        <v>0</v>
      </c>
      <c r="S14" s="143">
        <f>+S9+S13</f>
        <v>0</v>
      </c>
      <c r="T14" s="143">
        <f>+T9+T13</f>
        <v>370</v>
      </c>
      <c r="U14" s="143">
        <f>+U9+U13</f>
        <v>88</v>
      </c>
      <c r="V14" s="85"/>
      <c r="W14" s="143">
        <f>+W9+W13</f>
        <v>1565</v>
      </c>
      <c r="X14" s="143">
        <f>+X9+X13</f>
        <v>1332</v>
      </c>
      <c r="Y14" s="143">
        <f>+Y9+Y13</f>
        <v>31</v>
      </c>
      <c r="Z14" s="143">
        <f>+Z9+Z13</f>
        <v>0</v>
      </c>
      <c r="AA14" s="143">
        <f>+AA9+AA13</f>
        <v>0</v>
      </c>
      <c r="AB14" s="143">
        <f>+AB9+AB13</f>
        <v>0</v>
      </c>
      <c r="AC14" s="143">
        <f>+AC9+AC13</f>
        <v>0</v>
      </c>
      <c r="AD14" s="143">
        <f>+AD9+AD13</f>
        <v>0</v>
      </c>
      <c r="AE14" s="143">
        <f>+AE9+AE13</f>
        <v>0</v>
      </c>
      <c r="AF14" s="143">
        <f>+AF9+AF13</f>
        <v>370</v>
      </c>
      <c r="AG14" s="143">
        <f>+AG9+AG13</f>
        <v>458</v>
      </c>
      <c r="AI14" s="109" t="e">
        <f t="shared" si="12"/>
        <v>#DIV/0!</v>
      </c>
    </row>
    <row r="15" spans="2:35" ht="12.75" customHeight="1" x14ac:dyDescent="0.2">
      <c r="B15" s="91" t="s">
        <v>142</v>
      </c>
      <c r="C15" s="92">
        <f>C14/C9</f>
        <v>1</v>
      </c>
      <c r="D15" s="92">
        <f>D14/D9</f>
        <v>1</v>
      </c>
      <c r="E15" s="92" t="e">
        <f>E14/E9</f>
        <v>#DIV/0!</v>
      </c>
      <c r="F15" s="92" t="e">
        <f>F14/F9</f>
        <v>#DIV/0!</v>
      </c>
      <c r="G15" s="144"/>
      <c r="H15" s="92">
        <f>H14/H9</f>
        <v>1</v>
      </c>
      <c r="I15" s="92">
        <f>I14/I9</f>
        <v>1</v>
      </c>
      <c r="J15" s="92">
        <f>J14/J9</f>
        <v>1</v>
      </c>
      <c r="K15" s="92" t="e">
        <f>K14/K9</f>
        <v>#DIV/0!</v>
      </c>
      <c r="L15" s="92" t="e">
        <f>L14/L9</f>
        <v>#DIV/0!</v>
      </c>
      <c r="M15" s="92" t="e">
        <f>M14/M9</f>
        <v>#DIV/0!</v>
      </c>
      <c r="N15" s="92" t="e">
        <f>N14/N9</f>
        <v>#DIV/0!</v>
      </c>
      <c r="O15" s="92" t="e">
        <f>O14/O9</f>
        <v>#DIV/0!</v>
      </c>
      <c r="P15" s="92" t="e">
        <f>P14/P9</f>
        <v>#DIV/0!</v>
      </c>
      <c r="Q15" s="92" t="e">
        <f>Q14/Q9</f>
        <v>#DIV/0!</v>
      </c>
      <c r="R15" s="92" t="e">
        <f>R14/R9</f>
        <v>#DIV/0!</v>
      </c>
      <c r="S15" s="92" t="e">
        <f>S14/S9</f>
        <v>#DIV/0!</v>
      </c>
      <c r="T15" s="92">
        <f>T14/T9</f>
        <v>0.71566731141199225</v>
      </c>
      <c r="U15" s="92">
        <f>U14/U9</f>
        <v>0.29235880398671099</v>
      </c>
      <c r="V15" s="145"/>
      <c r="W15" s="92">
        <f>W14/W9</f>
        <v>1</v>
      </c>
      <c r="X15" s="92">
        <f>X14/X9</f>
        <v>1</v>
      </c>
      <c r="Y15" s="92">
        <f>Y14/Y9</f>
        <v>1</v>
      </c>
      <c r="Z15" s="92" t="e">
        <f>Z14/Z9</f>
        <v>#DIV/0!</v>
      </c>
      <c r="AA15" s="92" t="e">
        <f>AA14/AA9</f>
        <v>#DIV/0!</v>
      </c>
      <c r="AB15" s="92" t="e">
        <f>AB14/AB9</f>
        <v>#DIV/0!</v>
      </c>
      <c r="AC15" s="92" t="e">
        <f>AC14/AC9</f>
        <v>#DIV/0!</v>
      </c>
      <c r="AD15" s="92" t="e">
        <f>AD14/AD9</f>
        <v>#DIV/0!</v>
      </c>
      <c r="AE15" s="92" t="e">
        <f>AE14/AE9</f>
        <v>#DIV/0!</v>
      </c>
      <c r="AF15" s="92">
        <f>AF14/AF9</f>
        <v>0.71566731141199225</v>
      </c>
      <c r="AG15" s="92">
        <f>AG14/AG9</f>
        <v>0.55990220048899753</v>
      </c>
      <c r="AI15" s="158" t="e">
        <f>SUM(AG15-AC15)*10000</f>
        <v>#DIV/0!</v>
      </c>
    </row>
    <row r="16" spans="2:35" ht="5.0999999999999996" customHeight="1" x14ac:dyDescent="0.2">
      <c r="B16" s="146"/>
      <c r="C16" s="147"/>
      <c r="D16" s="147"/>
      <c r="E16" s="147"/>
      <c r="F16" s="147"/>
      <c r="G16" s="147"/>
      <c r="H16" s="147"/>
      <c r="I16" s="147"/>
      <c r="J16" s="147"/>
      <c r="K16" s="147"/>
      <c r="L16" s="147"/>
      <c r="M16" s="147"/>
      <c r="N16" s="147"/>
      <c r="O16" s="147"/>
      <c r="P16" s="147"/>
      <c r="Q16" s="147"/>
      <c r="R16" s="147"/>
      <c r="S16" s="147"/>
      <c r="T16" s="147"/>
      <c r="U16" s="147"/>
      <c r="V16" s="85"/>
      <c r="W16" s="147"/>
      <c r="X16" s="147"/>
      <c r="Y16" s="147"/>
      <c r="Z16" s="147"/>
      <c r="AA16" s="147"/>
      <c r="AB16" s="147"/>
      <c r="AC16" s="147"/>
      <c r="AD16" s="147"/>
      <c r="AE16" s="147"/>
      <c r="AF16" s="147"/>
      <c r="AG16" s="147"/>
      <c r="AI16" s="157"/>
    </row>
    <row r="17" spans="2:35" ht="12.75" customHeight="1" x14ac:dyDescent="0.2">
      <c r="B17" s="141" t="s">
        <v>171</v>
      </c>
      <c r="C17" s="88">
        <f>'Base Financials'!C16</f>
        <v>-61341</v>
      </c>
      <c r="D17" s="88">
        <f>'Base Financials'!D16</f>
        <v>-63260</v>
      </c>
      <c r="E17" s="88">
        <f>'Base Financials'!E16</f>
        <v>-76550</v>
      </c>
      <c r="F17" s="88">
        <f>'Base Financials'!F16</f>
        <v>-88599</v>
      </c>
      <c r="G17" s="88"/>
      <c r="H17" s="88">
        <f>'Base Financials'!H16</f>
        <v>-16314</v>
      </c>
      <c r="I17" s="88">
        <f>'Base Financials'!I16</f>
        <v>-14652</v>
      </c>
      <c r="J17" s="88">
        <f>'Base Financials'!J16</f>
        <v>-17337</v>
      </c>
      <c r="K17" s="88">
        <f>'Base Financials'!K16</f>
        <v>-14957</v>
      </c>
      <c r="L17" s="88">
        <f>'Base Financials'!L16</f>
        <v>-17278</v>
      </c>
      <c r="M17" s="88">
        <f>'Base Financials'!M16</f>
        <v>-20540</v>
      </c>
      <c r="N17" s="88">
        <f>'Base Financials'!N16</f>
        <v>-18552</v>
      </c>
      <c r="O17" s="88">
        <f>'Base Financials'!O16</f>
        <v>-20180</v>
      </c>
      <c r="P17" s="88">
        <f>'Base Financials'!P16</f>
        <v>-21264</v>
      </c>
      <c r="Q17" s="88">
        <f>'Base Financials'!Q16</f>
        <v>-23753</v>
      </c>
      <c r="R17" s="88">
        <f>'Base Financials'!R16</f>
        <v>-22926</v>
      </c>
      <c r="S17" s="88">
        <f>'Base Financials'!S16</f>
        <v>-20656</v>
      </c>
      <c r="T17" s="88">
        <f>'Base Financials'!T16</f>
        <v>-15418</v>
      </c>
      <c r="U17" s="88">
        <f>'Base Financials'!U16</f>
        <v>-22006</v>
      </c>
      <c r="V17" s="88"/>
      <c r="W17" s="88">
        <f t="shared" ref="W17:W18" si="13">SUM(H17:K17)</f>
        <v>-63260</v>
      </c>
      <c r="X17" s="88">
        <f t="shared" ref="X17:AG18" si="14">SUM(I17:L17)</f>
        <v>-64224</v>
      </c>
      <c r="Y17" s="88">
        <f t="shared" si="14"/>
        <v>-70112</v>
      </c>
      <c r="Z17" s="88">
        <f t="shared" si="14"/>
        <v>-71327</v>
      </c>
      <c r="AA17" s="88">
        <f t="shared" si="14"/>
        <v>-76550</v>
      </c>
      <c r="AB17" s="88">
        <f t="shared" si="14"/>
        <v>-80536</v>
      </c>
      <c r="AC17" s="88">
        <f t="shared" si="14"/>
        <v>-83749</v>
      </c>
      <c r="AD17" s="88">
        <f t="shared" si="14"/>
        <v>-88123</v>
      </c>
      <c r="AE17" s="88">
        <f t="shared" si="14"/>
        <v>-88599</v>
      </c>
      <c r="AF17" s="88">
        <f t="shared" si="14"/>
        <v>-82753</v>
      </c>
      <c r="AG17" s="88">
        <f t="shared" si="14"/>
        <v>-81006</v>
      </c>
      <c r="AI17" s="108">
        <f t="shared" si="12"/>
        <v>-3.2752629882147888E-2</v>
      </c>
    </row>
    <row r="18" spans="2:35" ht="12.75" customHeight="1" x14ac:dyDescent="0.2">
      <c r="B18" s="141" t="s">
        <v>173</v>
      </c>
      <c r="C18" s="88">
        <f>'Base Financials'!C17</f>
        <v>-21130</v>
      </c>
      <c r="D18" s="88">
        <f>'Base Financials'!D17</f>
        <v>-22883</v>
      </c>
      <c r="E18" s="88">
        <f>'Base Financials'!E17</f>
        <v>-23497</v>
      </c>
      <c r="F18" s="88">
        <f>'Base Financials'!F17</f>
        <v>-25799</v>
      </c>
      <c r="G18" s="88"/>
      <c r="H18" s="88">
        <f>'Base Financials'!H17</f>
        <v>-5682</v>
      </c>
      <c r="I18" s="88">
        <f>'Base Financials'!I17</f>
        <v>-5180</v>
      </c>
      <c r="J18" s="88">
        <f>'Base Financials'!J17</f>
        <v>-6188</v>
      </c>
      <c r="K18" s="88">
        <f>'Base Financials'!K17</f>
        <v>-5833</v>
      </c>
      <c r="L18" s="88">
        <f>'Base Financials'!L17</f>
        <v>-5234</v>
      </c>
      <c r="M18" s="88">
        <f>'Base Financials'!M17</f>
        <v>-6191</v>
      </c>
      <c r="N18" s="88">
        <f>'Base Financials'!N17</f>
        <v>-6070</v>
      </c>
      <c r="O18" s="88">
        <f>'Base Financials'!O17</f>
        <v>-6002</v>
      </c>
      <c r="P18" s="88">
        <f>'Base Financials'!P17</f>
        <v>-5314</v>
      </c>
      <c r="Q18" s="88">
        <f>'Base Financials'!Q17</f>
        <v>-5746</v>
      </c>
      <c r="R18" s="88">
        <f>'Base Financials'!R17</f>
        <v>-7307</v>
      </c>
      <c r="S18" s="88">
        <f>'Base Financials'!S17</f>
        <v>-7432</v>
      </c>
      <c r="T18" s="88">
        <f>'Base Financials'!T17</f>
        <v>-8136</v>
      </c>
      <c r="U18" s="88">
        <f>'Base Financials'!U17</f>
        <v>-7809</v>
      </c>
      <c r="V18" s="88"/>
      <c r="W18" s="88">
        <f t="shared" si="13"/>
        <v>-22883</v>
      </c>
      <c r="X18" s="88">
        <f t="shared" si="14"/>
        <v>-22435</v>
      </c>
      <c r="Y18" s="88">
        <f t="shared" si="14"/>
        <v>-23446</v>
      </c>
      <c r="Z18" s="88">
        <f t="shared" si="14"/>
        <v>-23328</v>
      </c>
      <c r="AA18" s="88">
        <f t="shared" si="14"/>
        <v>-23497</v>
      </c>
      <c r="AB18" s="88">
        <f t="shared" si="14"/>
        <v>-23577</v>
      </c>
      <c r="AC18" s="88">
        <f t="shared" si="14"/>
        <v>-23132</v>
      </c>
      <c r="AD18" s="88">
        <f t="shared" si="14"/>
        <v>-24369</v>
      </c>
      <c r="AE18" s="88">
        <f t="shared" si="14"/>
        <v>-25799</v>
      </c>
      <c r="AF18" s="88">
        <f t="shared" si="14"/>
        <v>-28621</v>
      </c>
      <c r="AG18" s="88">
        <f t="shared" si="14"/>
        <v>-30684</v>
      </c>
      <c r="AI18" s="108">
        <f t="shared" si="12"/>
        <v>0.32647414836589994</v>
      </c>
    </row>
    <row r="19" spans="2:35" ht="12.75" customHeight="1" x14ac:dyDescent="0.2">
      <c r="B19" s="105" t="s">
        <v>143</v>
      </c>
      <c r="C19" s="106">
        <f>SUM(C14+SUM(C17:C18))</f>
        <v>-81208</v>
      </c>
      <c r="D19" s="106">
        <f>SUM(D14+SUM(D17:D18))</f>
        <v>-84578</v>
      </c>
      <c r="E19" s="106">
        <f>SUM(E14+SUM(E17:E18))</f>
        <v>-100047</v>
      </c>
      <c r="F19" s="106">
        <f>SUM(F14+SUM(F17:F18))</f>
        <v>-114398</v>
      </c>
      <c r="G19" s="134"/>
      <c r="H19" s="106">
        <f>SUM(H14+SUM(H17:H18))</f>
        <v>-21763</v>
      </c>
      <c r="I19" s="106">
        <f>SUM(I14+SUM(I17:I18))</f>
        <v>-18531</v>
      </c>
      <c r="J19" s="106">
        <f>SUM(J14+SUM(J17:J18))</f>
        <v>-23494</v>
      </c>
      <c r="K19" s="106">
        <f>SUM(K14+SUM(K17:K18))</f>
        <v>-20790</v>
      </c>
      <c r="L19" s="106">
        <f>SUM(L14+SUM(L17:L18))</f>
        <v>-22512</v>
      </c>
      <c r="M19" s="106">
        <f>SUM(M14+SUM(M17:M18))</f>
        <v>-26731</v>
      </c>
      <c r="N19" s="106">
        <f>SUM(N14+SUM(N17:N18))</f>
        <v>-24622</v>
      </c>
      <c r="O19" s="106">
        <f>SUM(O14+SUM(O17:O18))</f>
        <v>-26182</v>
      </c>
      <c r="P19" s="106">
        <f>SUM(P14+SUM(P17:P18))</f>
        <v>-26578</v>
      </c>
      <c r="Q19" s="106">
        <f>SUM(Q14+SUM(Q17:Q18))</f>
        <v>-29499</v>
      </c>
      <c r="R19" s="106">
        <f>SUM(R14+SUM(R17:R18))</f>
        <v>-30233</v>
      </c>
      <c r="S19" s="106">
        <f>SUM(S14+SUM(S17:S18))</f>
        <v>-28088</v>
      </c>
      <c r="T19" s="106">
        <f>SUM(T14+SUM(T17:T18))</f>
        <v>-23184</v>
      </c>
      <c r="U19" s="106">
        <f>SUM(U14+SUM(U17:U18))</f>
        <v>-29727</v>
      </c>
      <c r="V19" s="85"/>
      <c r="W19" s="106">
        <f>SUM(W14+SUM(W17:W18))</f>
        <v>-84578</v>
      </c>
      <c r="X19" s="106">
        <f>SUM(X14+SUM(X17:X18))</f>
        <v>-85327</v>
      </c>
      <c r="Y19" s="106">
        <f>SUM(Y14+SUM(Y17:Y18))</f>
        <v>-93527</v>
      </c>
      <c r="Z19" s="106">
        <f>SUM(Z14+SUM(Z17:Z18))</f>
        <v>-94655</v>
      </c>
      <c r="AA19" s="106">
        <f>SUM(AA14+SUM(AA17:AA18))</f>
        <v>-100047</v>
      </c>
      <c r="AB19" s="106">
        <f>SUM(AB14+SUM(AB17:AB18))</f>
        <v>-104113</v>
      </c>
      <c r="AC19" s="106">
        <f>SUM(AC14+SUM(AC17:AC18))</f>
        <v>-106881</v>
      </c>
      <c r="AD19" s="106">
        <f>SUM(AD14+SUM(AD17:AD18))</f>
        <v>-112492</v>
      </c>
      <c r="AE19" s="106">
        <f>SUM(AE14+SUM(AE17:AE18))</f>
        <v>-114398</v>
      </c>
      <c r="AF19" s="106">
        <f>SUM(AF14+SUM(AF17:AF18))</f>
        <v>-111004</v>
      </c>
      <c r="AG19" s="106">
        <f>SUM(AG14+SUM(AG17:AG18))</f>
        <v>-111232</v>
      </c>
      <c r="AI19" s="109">
        <f t="shared" si="12"/>
        <v>4.0708825703352325E-2</v>
      </c>
    </row>
    <row r="20" spans="2:35" ht="12.75" customHeight="1" x14ac:dyDescent="0.2">
      <c r="B20" s="91" t="s">
        <v>97</v>
      </c>
      <c r="C20" s="92">
        <f>C19/C9</f>
        <v>-64.297703879651621</v>
      </c>
      <c r="D20" s="92">
        <f>D19/D9</f>
        <v>-54.043450479233229</v>
      </c>
      <c r="E20" s="92" t="e">
        <f>E19/E9</f>
        <v>#DIV/0!</v>
      </c>
      <c r="F20" s="92" t="e">
        <f>F19/F9</f>
        <v>#DIV/0!</v>
      </c>
      <c r="G20" s="144"/>
      <c r="H20" s="92">
        <f>H19/H9</f>
        <v>-93.403433476394852</v>
      </c>
      <c r="I20" s="92">
        <f>I19/I9</f>
        <v>-14.243658724058417</v>
      </c>
      <c r="J20" s="92">
        <f>J19/J9</f>
        <v>-757.87096774193549</v>
      </c>
      <c r="K20" s="92" t="e">
        <f>K19/K9</f>
        <v>#DIV/0!</v>
      </c>
      <c r="L20" s="92" t="e">
        <f>L19/L9</f>
        <v>#DIV/0!</v>
      </c>
      <c r="M20" s="92" t="e">
        <f>M19/M9</f>
        <v>#DIV/0!</v>
      </c>
      <c r="N20" s="92" t="e">
        <f>N19/N9</f>
        <v>#DIV/0!</v>
      </c>
      <c r="O20" s="92" t="e">
        <f>O19/O9</f>
        <v>#DIV/0!</v>
      </c>
      <c r="P20" s="92" t="e">
        <f>P19/P9</f>
        <v>#DIV/0!</v>
      </c>
      <c r="Q20" s="92" t="e">
        <f>Q19/Q9</f>
        <v>#DIV/0!</v>
      </c>
      <c r="R20" s="92" t="e">
        <f>R19/R9</f>
        <v>#DIV/0!</v>
      </c>
      <c r="S20" s="92" t="e">
        <f>S19/S9</f>
        <v>#DIV/0!</v>
      </c>
      <c r="T20" s="92">
        <f>T19/T9</f>
        <v>-44.843326885880074</v>
      </c>
      <c r="U20" s="92">
        <f>U19/U9</f>
        <v>-98.760797342192689</v>
      </c>
      <c r="V20" s="145"/>
      <c r="W20" s="92">
        <f>W19/W9</f>
        <v>-54.043450479233229</v>
      </c>
      <c r="X20" s="92">
        <f>X19/X9</f>
        <v>-64.059309309309313</v>
      </c>
      <c r="Y20" s="92">
        <f>Y19/Y9</f>
        <v>-3017</v>
      </c>
      <c r="Z20" s="92" t="e">
        <f>Z19/Z9</f>
        <v>#DIV/0!</v>
      </c>
      <c r="AA20" s="92" t="e">
        <f>AA19/AA9</f>
        <v>#DIV/0!</v>
      </c>
      <c r="AB20" s="92" t="e">
        <f>AB19/AB9</f>
        <v>#DIV/0!</v>
      </c>
      <c r="AC20" s="92" t="e">
        <f>AC19/AC9</f>
        <v>#DIV/0!</v>
      </c>
      <c r="AD20" s="92" t="e">
        <f>AD19/AD9</f>
        <v>#DIV/0!</v>
      </c>
      <c r="AE20" s="92" t="e">
        <f>AE19/AE9</f>
        <v>#DIV/0!</v>
      </c>
      <c r="AF20" s="92">
        <f>AF19/AF9</f>
        <v>-214.70793036750484</v>
      </c>
      <c r="AG20" s="92">
        <f>AG19/AG9</f>
        <v>-135.98044009779952</v>
      </c>
      <c r="AI20" s="158" t="e">
        <f>SUM(AG20-AC20)*10000</f>
        <v>#DIV/0!</v>
      </c>
    </row>
    <row r="21" spans="2:35" ht="5.0999999999999996" customHeight="1" x14ac:dyDescent="0.2">
      <c r="AI21" s="157"/>
    </row>
    <row r="22" spans="2:35" ht="12.75" customHeight="1" x14ac:dyDescent="0.2">
      <c r="B22" s="126" t="s">
        <v>144</v>
      </c>
      <c r="C22" s="88">
        <f>SUM('Base Financials'!C84:C85)</f>
        <v>8241</v>
      </c>
      <c r="D22" s="88">
        <f>SUM('Base Financials'!D84:D85)</f>
        <v>8210</v>
      </c>
      <c r="E22" s="88">
        <f>SUM('Base Financials'!E84:E85)</f>
        <v>7719</v>
      </c>
      <c r="F22" s="88">
        <f>SUM('Base Financials'!F84:F85)</f>
        <v>7190</v>
      </c>
      <c r="G22" s="88"/>
      <c r="H22" s="88">
        <f>SUM('Base Financials'!H84:H85)</f>
        <v>2040</v>
      </c>
      <c r="I22" s="88">
        <f>SUM('Base Financials'!I84:I85)</f>
        <v>2021</v>
      </c>
      <c r="J22" s="88">
        <f>SUM('Base Financials'!J84:J85)</f>
        <v>2035</v>
      </c>
      <c r="K22" s="88">
        <f>SUM('Base Financials'!K84:K85)</f>
        <v>2114</v>
      </c>
      <c r="L22" s="88">
        <f>SUM('Base Financials'!L84:L85)</f>
        <v>2073</v>
      </c>
      <c r="M22" s="88">
        <f>SUM('Base Financials'!M84:M85)</f>
        <v>1983</v>
      </c>
      <c r="N22" s="88">
        <f>SUM('Base Financials'!N84:N85)</f>
        <v>1830</v>
      </c>
      <c r="O22" s="88">
        <f>SUM('Base Financials'!O84:O85)</f>
        <v>1833</v>
      </c>
      <c r="P22" s="88">
        <f>SUM('Base Financials'!P84:P85)</f>
        <v>1791</v>
      </c>
      <c r="Q22" s="88">
        <f>SUM('Base Financials'!Q84:Q85)</f>
        <v>1779</v>
      </c>
      <c r="R22" s="88">
        <f>SUM('Base Financials'!R84:R85)</f>
        <v>1812</v>
      </c>
      <c r="S22" s="88">
        <f>SUM('Base Financials'!S84:S85)</f>
        <v>1808</v>
      </c>
      <c r="T22" s="88">
        <f>SUM('Base Financials'!T84:T85)</f>
        <v>1832</v>
      </c>
      <c r="U22" s="88">
        <f>SUM('Base Financials'!U84:U85)</f>
        <v>1860</v>
      </c>
      <c r="V22" s="88"/>
      <c r="W22" s="88">
        <f t="shared" ref="W22:AE22" si="15">SUM(H22:K22)</f>
        <v>8210</v>
      </c>
      <c r="X22" s="88">
        <f t="shared" si="15"/>
        <v>8243</v>
      </c>
      <c r="Y22" s="88">
        <f t="shared" si="15"/>
        <v>8205</v>
      </c>
      <c r="Z22" s="88">
        <f t="shared" si="15"/>
        <v>8000</v>
      </c>
      <c r="AA22" s="88">
        <f t="shared" si="15"/>
        <v>7719</v>
      </c>
      <c r="AB22" s="88">
        <f t="shared" si="15"/>
        <v>7437</v>
      </c>
      <c r="AC22" s="88">
        <f t="shared" si="15"/>
        <v>7233</v>
      </c>
      <c r="AD22" s="88">
        <f t="shared" si="15"/>
        <v>7215</v>
      </c>
      <c r="AE22" s="88">
        <f t="shared" si="15"/>
        <v>7190</v>
      </c>
      <c r="AF22" s="88">
        <f t="shared" ref="AF22:AG22" si="16">SUM(Q22:T22)</f>
        <v>7231</v>
      </c>
      <c r="AG22" s="88">
        <f t="shared" si="16"/>
        <v>7312</v>
      </c>
      <c r="AI22" s="108">
        <f t="shared" ref="AI22:AI29" si="17">SUM(AG22/AC22)-1</f>
        <v>1.0922162311627348E-2</v>
      </c>
    </row>
    <row r="23" spans="2:35" ht="12.75" customHeight="1" x14ac:dyDescent="0.2">
      <c r="B23" s="142" t="s">
        <v>92</v>
      </c>
      <c r="C23" s="143">
        <f t="shared" ref="C23:D23" si="18">SUM(C19+C22)</f>
        <v>-72967</v>
      </c>
      <c r="D23" s="143">
        <f t="shared" si="18"/>
        <v>-76368</v>
      </c>
      <c r="E23" s="143">
        <f>SUM(E19+E22)</f>
        <v>-92328</v>
      </c>
      <c r="F23" s="143">
        <f>SUM(F19+F22)</f>
        <v>-107208</v>
      </c>
      <c r="H23" s="143">
        <f t="shared" ref="H23:AG23" si="19">SUM(H19+H22)</f>
        <v>-19723</v>
      </c>
      <c r="I23" s="143">
        <f t="shared" si="19"/>
        <v>-16510</v>
      </c>
      <c r="J23" s="143">
        <f t="shared" si="19"/>
        <v>-21459</v>
      </c>
      <c r="K23" s="143">
        <f t="shared" si="19"/>
        <v>-18676</v>
      </c>
      <c r="L23" s="143">
        <f t="shared" si="19"/>
        <v>-20439</v>
      </c>
      <c r="M23" s="143">
        <f t="shared" si="19"/>
        <v>-24748</v>
      </c>
      <c r="N23" s="143">
        <f t="shared" si="19"/>
        <v>-22792</v>
      </c>
      <c r="O23" s="143">
        <f t="shared" si="19"/>
        <v>-24349</v>
      </c>
      <c r="P23" s="143">
        <f t="shared" si="19"/>
        <v>-24787</v>
      </c>
      <c r="Q23" s="143">
        <f t="shared" si="19"/>
        <v>-27720</v>
      </c>
      <c r="R23" s="143">
        <f>SUM(R19+R22)</f>
        <v>-28421</v>
      </c>
      <c r="S23" s="143">
        <f>SUM(S19+S22)</f>
        <v>-26280</v>
      </c>
      <c r="T23" s="143">
        <f t="shared" ref="T23:U23" si="20">SUM(T19+T22)</f>
        <v>-21352</v>
      </c>
      <c r="U23" s="143">
        <f t="shared" si="20"/>
        <v>-27867</v>
      </c>
      <c r="W23" s="143">
        <f t="shared" ref="W23:AD23" si="21">SUM(W19+W22)</f>
        <v>-76368</v>
      </c>
      <c r="X23" s="143">
        <f t="shared" si="21"/>
        <v>-77084</v>
      </c>
      <c r="Y23" s="143">
        <f t="shared" si="21"/>
        <v>-85322</v>
      </c>
      <c r="Z23" s="143">
        <f t="shared" si="21"/>
        <v>-86655</v>
      </c>
      <c r="AA23" s="143">
        <f t="shared" si="21"/>
        <v>-92328</v>
      </c>
      <c r="AB23" s="143">
        <f t="shared" si="21"/>
        <v>-96676</v>
      </c>
      <c r="AC23" s="143">
        <f t="shared" si="21"/>
        <v>-99648</v>
      </c>
      <c r="AD23" s="143">
        <f t="shared" si="21"/>
        <v>-105277</v>
      </c>
      <c r="AE23" s="143">
        <f t="shared" si="19"/>
        <v>-107208</v>
      </c>
      <c r="AF23" s="143">
        <f t="shared" si="19"/>
        <v>-103773</v>
      </c>
      <c r="AG23" s="143">
        <f t="shared" si="19"/>
        <v>-103920</v>
      </c>
      <c r="AI23" s="109">
        <f t="shared" si="17"/>
        <v>4.2870905587668595E-2</v>
      </c>
    </row>
    <row r="24" spans="2:35" ht="12.75" customHeight="1" x14ac:dyDescent="0.2">
      <c r="B24" s="91" t="s">
        <v>145</v>
      </c>
      <c r="C24" s="92">
        <f>C23/C9</f>
        <v>-57.772763262074427</v>
      </c>
      <c r="D24" s="92">
        <f>D23/D9</f>
        <v>-48.797444089456867</v>
      </c>
      <c r="E24" s="92" t="e">
        <f>E23/E9</f>
        <v>#DIV/0!</v>
      </c>
      <c r="F24" s="92" t="e">
        <f>F23/F9</f>
        <v>#DIV/0!</v>
      </c>
      <c r="H24" s="92">
        <f>H23/H9</f>
        <v>-84.648068669527902</v>
      </c>
      <c r="I24" s="92">
        <f>I23/I9</f>
        <v>-12.690238278247502</v>
      </c>
      <c r="J24" s="92">
        <f>J23/J9</f>
        <v>-692.22580645161293</v>
      </c>
      <c r="K24" s="92" t="e">
        <f>K23/K9</f>
        <v>#DIV/0!</v>
      </c>
      <c r="L24" s="92" t="e">
        <f>L23/L9</f>
        <v>#DIV/0!</v>
      </c>
      <c r="M24" s="92" t="e">
        <f>M23/M9</f>
        <v>#DIV/0!</v>
      </c>
      <c r="N24" s="92" t="e">
        <f>N23/N9</f>
        <v>#DIV/0!</v>
      </c>
      <c r="O24" s="92" t="e">
        <f>O23/O9</f>
        <v>#DIV/0!</v>
      </c>
      <c r="P24" s="92" t="e">
        <f>P23/P9</f>
        <v>#DIV/0!</v>
      </c>
      <c r="Q24" s="92" t="e">
        <f>Q23/Q9</f>
        <v>#DIV/0!</v>
      </c>
      <c r="R24" s="92" t="e">
        <f>R23/R9</f>
        <v>#DIV/0!</v>
      </c>
      <c r="S24" s="92" t="e">
        <f>S23/S9</f>
        <v>#DIV/0!</v>
      </c>
      <c r="T24" s="92">
        <f>T23/T9</f>
        <v>-41.299806576402318</v>
      </c>
      <c r="U24" s="92">
        <f>U23/U9</f>
        <v>-92.581395348837205</v>
      </c>
      <c r="W24" s="92">
        <f>W23/W9</f>
        <v>-48.797444089456867</v>
      </c>
      <c r="X24" s="92">
        <f>X23/X9</f>
        <v>-57.870870870870874</v>
      </c>
      <c r="Y24" s="92">
        <f>Y23/Y9</f>
        <v>-2752.3225806451615</v>
      </c>
      <c r="Z24" s="92" t="e">
        <f>Z23/Z9</f>
        <v>#DIV/0!</v>
      </c>
      <c r="AA24" s="92" t="e">
        <f>AA23/AA9</f>
        <v>#DIV/0!</v>
      </c>
      <c r="AB24" s="92" t="e">
        <f>AB23/AB9</f>
        <v>#DIV/0!</v>
      </c>
      <c r="AC24" s="92" t="e">
        <f>AC23/AC9</f>
        <v>#DIV/0!</v>
      </c>
      <c r="AD24" s="92" t="e">
        <f>AD23/AD9</f>
        <v>#DIV/0!</v>
      </c>
      <c r="AE24" s="92" t="e">
        <f>AE23/AE9</f>
        <v>#DIV/0!</v>
      </c>
      <c r="AF24" s="92">
        <f>AF23/AF9</f>
        <v>-200.72147001934235</v>
      </c>
      <c r="AG24" s="92">
        <f>AG23/AG9</f>
        <v>-127.04156479217603</v>
      </c>
      <c r="AI24" s="158" t="e">
        <f>SUM(AG24-AC24)*10000</f>
        <v>#DIV/0!</v>
      </c>
    </row>
    <row r="25" spans="2:35" ht="5.0999999999999996" customHeight="1" x14ac:dyDescent="0.2">
      <c r="AI25" s="157"/>
    </row>
    <row r="26" spans="2:35" ht="12.75" customHeight="1" x14ac:dyDescent="0.2">
      <c r="B26" s="126" t="s">
        <v>177</v>
      </c>
      <c r="C26" s="88">
        <f>'Base Financials'!C86</f>
        <v>10146</v>
      </c>
      <c r="D26" s="88">
        <f>'Base Financials'!D86</f>
        <v>6184</v>
      </c>
      <c r="E26" s="88">
        <f>'Base Financials'!E86</f>
        <v>6828</v>
      </c>
      <c r="F26" s="88">
        <f>'Base Financials'!F86</f>
        <v>6137</v>
      </c>
      <c r="G26" s="88"/>
      <c r="H26" s="88">
        <f>'Base Financials'!H86</f>
        <v>1547</v>
      </c>
      <c r="I26" s="88">
        <f>'Base Financials'!I86</f>
        <v>1491</v>
      </c>
      <c r="J26" s="88">
        <f>'Base Financials'!J86</f>
        <v>1476</v>
      </c>
      <c r="K26" s="88">
        <f>'Base Financials'!K86</f>
        <v>1670</v>
      </c>
      <c r="L26" s="88">
        <f>'Base Financials'!L86</f>
        <v>1809</v>
      </c>
      <c r="M26" s="88">
        <f>'Base Financials'!M86</f>
        <v>1841</v>
      </c>
      <c r="N26" s="88">
        <f>'Base Financials'!N86</f>
        <v>1772</v>
      </c>
      <c r="O26" s="88">
        <f>'Base Financials'!O86</f>
        <v>1406</v>
      </c>
      <c r="P26" s="88">
        <f>'Base Financials'!P86</f>
        <v>1454</v>
      </c>
      <c r="Q26" s="88">
        <f>'Base Financials'!Q86</f>
        <v>1437</v>
      </c>
      <c r="R26" s="88">
        <f>'Base Financials'!R86</f>
        <v>1552</v>
      </c>
      <c r="S26" s="88">
        <f>'Base Financials'!S86</f>
        <v>1694</v>
      </c>
      <c r="T26" s="88">
        <f>'Base Financials'!T86</f>
        <v>2487</v>
      </c>
      <c r="U26" s="88">
        <f>'Base Financials'!U86</f>
        <v>2335</v>
      </c>
      <c r="V26" s="88"/>
      <c r="W26" s="88">
        <f t="shared" ref="W26:W27" si="22">SUM(H26:K26)</f>
        <v>6184</v>
      </c>
      <c r="X26" s="88">
        <f t="shared" ref="X26:AG28" si="23">SUM(I26:L26)</f>
        <v>6446</v>
      </c>
      <c r="Y26" s="88">
        <f t="shared" si="23"/>
        <v>6796</v>
      </c>
      <c r="Z26" s="88">
        <f t="shared" si="23"/>
        <v>7092</v>
      </c>
      <c r="AA26" s="88">
        <f t="shared" si="23"/>
        <v>6828</v>
      </c>
      <c r="AB26" s="88">
        <f t="shared" si="23"/>
        <v>6473</v>
      </c>
      <c r="AC26" s="88">
        <f t="shared" si="23"/>
        <v>6069</v>
      </c>
      <c r="AD26" s="88">
        <f t="shared" si="23"/>
        <v>5849</v>
      </c>
      <c r="AE26" s="88">
        <f t="shared" si="23"/>
        <v>6137</v>
      </c>
      <c r="AF26" s="88">
        <f t="shared" si="23"/>
        <v>7170</v>
      </c>
      <c r="AG26" s="88">
        <f t="shared" si="23"/>
        <v>8068</v>
      </c>
      <c r="AI26" s="108">
        <f t="shared" si="17"/>
        <v>0.32937881034766847</v>
      </c>
    </row>
    <row r="27" spans="2:35" ht="12.75" customHeight="1" x14ac:dyDescent="0.2">
      <c r="B27" s="141" t="s">
        <v>176</v>
      </c>
      <c r="C27" s="88">
        <f>'Base Financials'!C87</f>
        <v>-55772</v>
      </c>
      <c r="D27" s="88">
        <f>'Base Financials'!D87</f>
        <v>-75767</v>
      </c>
      <c r="E27" s="88">
        <f>'Base Financials'!E87</f>
        <v>10023</v>
      </c>
      <c r="F27" s="88">
        <f>'Base Financials'!F87</f>
        <v>33045</v>
      </c>
      <c r="G27" s="88"/>
      <c r="H27" s="88">
        <f>'Base Financials'!H87</f>
        <v>-3258</v>
      </c>
      <c r="I27" s="88">
        <f>'Base Financials'!I87</f>
        <v>-56353</v>
      </c>
      <c r="J27" s="88">
        <f>'Base Financials'!J87</f>
        <v>962</v>
      </c>
      <c r="K27" s="88">
        <f>'Base Financials'!K87</f>
        <v>-17118</v>
      </c>
      <c r="L27" s="88">
        <f>'Base Financials'!L87</f>
        <v>14191</v>
      </c>
      <c r="M27" s="88">
        <f>'Base Financials'!M87</f>
        <v>-3627</v>
      </c>
      <c r="N27" s="88">
        <f>'Base Financials'!N87</f>
        <v>1144</v>
      </c>
      <c r="O27" s="88">
        <f>'Base Financials'!O87</f>
        <v>-1685</v>
      </c>
      <c r="P27" s="88">
        <f>'Base Financials'!P87</f>
        <v>4593</v>
      </c>
      <c r="Q27" s="88">
        <f>'Base Financials'!Q87</f>
        <v>25571</v>
      </c>
      <c r="R27" s="88">
        <f>'Base Financials'!R87</f>
        <v>8489</v>
      </c>
      <c r="S27" s="88">
        <f>'Base Financials'!S87</f>
        <v>-5608</v>
      </c>
      <c r="T27" s="88">
        <f>'Base Financials'!T87</f>
        <v>-49731</v>
      </c>
      <c r="U27" s="88">
        <f>'Base Financials'!U87</f>
        <v>5470</v>
      </c>
      <c r="V27" s="88"/>
      <c r="W27" s="88">
        <f t="shared" si="22"/>
        <v>-75767</v>
      </c>
      <c r="X27" s="88">
        <f t="shared" si="23"/>
        <v>-58318</v>
      </c>
      <c r="Y27" s="88">
        <f t="shared" si="23"/>
        <v>-5592</v>
      </c>
      <c r="Z27" s="88">
        <f t="shared" si="23"/>
        <v>-5410</v>
      </c>
      <c r="AA27" s="88">
        <f t="shared" si="23"/>
        <v>10023</v>
      </c>
      <c r="AB27" s="88">
        <f t="shared" si="23"/>
        <v>425</v>
      </c>
      <c r="AC27" s="88">
        <f t="shared" si="23"/>
        <v>29623</v>
      </c>
      <c r="AD27" s="88">
        <f t="shared" si="23"/>
        <v>36968</v>
      </c>
      <c r="AE27" s="88">
        <f t="shared" si="23"/>
        <v>33045</v>
      </c>
      <c r="AF27" s="88">
        <f t="shared" si="23"/>
        <v>-21279</v>
      </c>
      <c r="AG27" s="88">
        <f t="shared" si="23"/>
        <v>-41380</v>
      </c>
      <c r="AI27" s="108">
        <f t="shared" si="17"/>
        <v>-2.3968875535901155</v>
      </c>
    </row>
    <row r="28" spans="2:35" ht="12.75" customHeight="1" x14ac:dyDescent="0.2">
      <c r="B28" s="141" t="s">
        <v>175</v>
      </c>
      <c r="C28" s="88">
        <f>'Base Financials'!C88</f>
        <v>-56</v>
      </c>
      <c r="D28" s="88">
        <f>'Base Financials'!D88</f>
        <v>-417</v>
      </c>
      <c r="E28" s="88">
        <f>'Base Financials'!E88</f>
        <v>260</v>
      </c>
      <c r="F28" s="88">
        <f>'Base Financials'!F88</f>
        <v>-3915</v>
      </c>
      <c r="G28" s="88"/>
      <c r="H28" s="88">
        <f>'Base Financials'!H88</f>
        <v>0</v>
      </c>
      <c r="I28" s="88">
        <f>'Base Financials'!I88</f>
        <v>0</v>
      </c>
      <c r="J28" s="88">
        <f>'Base Financials'!J88</f>
        <v>0</v>
      </c>
      <c r="K28" s="88">
        <f>'Base Financials'!K88</f>
        <v>0</v>
      </c>
      <c r="L28" s="88">
        <f>'Base Financials'!L88</f>
        <v>0</v>
      </c>
      <c r="M28" s="88">
        <f>'Base Financials'!M88</f>
        <v>99</v>
      </c>
      <c r="N28" s="88">
        <f>'Base Financials'!N88</f>
        <v>135</v>
      </c>
      <c r="O28" s="88">
        <f>'Base Financials'!O88</f>
        <v>26</v>
      </c>
      <c r="P28" s="88">
        <f>'Base Financials'!P88</f>
        <v>-60</v>
      </c>
      <c r="Q28" s="88">
        <f>'Base Financials'!Q88</f>
        <v>388</v>
      </c>
      <c r="R28" s="88">
        <f>'Base Financials'!R88</f>
        <v>-1047</v>
      </c>
      <c r="S28" s="88">
        <f>'Base Financials'!S88</f>
        <v>-3196</v>
      </c>
      <c r="T28" s="88">
        <f>'Base Financials'!T88</f>
        <v>-14930</v>
      </c>
      <c r="U28" s="88">
        <f>'Base Financials'!U88</f>
        <v>748</v>
      </c>
      <c r="V28" s="88"/>
      <c r="W28" s="88"/>
      <c r="X28" s="88"/>
      <c r="Y28" s="88"/>
      <c r="Z28" s="88"/>
      <c r="AA28" s="88"/>
      <c r="AB28" s="88"/>
      <c r="AC28" s="88">
        <f t="shared" si="23"/>
        <v>489</v>
      </c>
      <c r="AD28" s="88">
        <f t="shared" si="23"/>
        <v>-693</v>
      </c>
      <c r="AE28" s="88">
        <f t="shared" si="23"/>
        <v>-3915</v>
      </c>
      <c r="AF28" s="88">
        <f t="shared" si="23"/>
        <v>-18785</v>
      </c>
      <c r="AG28" s="88">
        <f t="shared" si="23"/>
        <v>-18425</v>
      </c>
      <c r="AI28" s="108">
        <f t="shared" si="17"/>
        <v>-38.67893660531697</v>
      </c>
    </row>
    <row r="29" spans="2:35" ht="12.75" customHeight="1" x14ac:dyDescent="0.2">
      <c r="B29" s="105" t="s">
        <v>146</v>
      </c>
      <c r="C29" s="106">
        <f>+SUM(C23+SUM(C26:C28))</f>
        <v>-118649</v>
      </c>
      <c r="D29" s="106">
        <f>+SUM(D23+SUM(D26:D28))</f>
        <v>-146368</v>
      </c>
      <c r="E29" s="106">
        <f>+SUM(E23+SUM(E26:E28))</f>
        <v>-75217</v>
      </c>
      <c r="F29" s="106">
        <f>+SUM(F23+SUM(F26:F28))</f>
        <v>-71941</v>
      </c>
      <c r="G29" s="134"/>
      <c r="H29" s="106">
        <f>+SUM(H23+SUM(H26:H28))</f>
        <v>-21434</v>
      </c>
      <c r="I29" s="106">
        <f>+SUM(I23+SUM(I26:I28))</f>
        <v>-71372</v>
      </c>
      <c r="J29" s="106">
        <f>+SUM(J23+SUM(J26:J28))</f>
        <v>-19021</v>
      </c>
      <c r="K29" s="106">
        <f>+SUM(K23+SUM(K26:K28))</f>
        <v>-34124</v>
      </c>
      <c r="L29" s="106">
        <f>+SUM(L23+SUM(L26:L28))</f>
        <v>-4439</v>
      </c>
      <c r="M29" s="106">
        <f>+SUM(M23+SUM(M26:M28))</f>
        <v>-26435</v>
      </c>
      <c r="N29" s="106">
        <f>+SUM(N23+SUM(N26:N28))</f>
        <v>-19741</v>
      </c>
      <c r="O29" s="106">
        <f>+SUM(O23+SUM(O26:O28))</f>
        <v>-24602</v>
      </c>
      <c r="P29" s="106">
        <f>+SUM(P23+SUM(P26:P28))</f>
        <v>-18800</v>
      </c>
      <c r="Q29" s="106">
        <f>+SUM(Q23+SUM(Q26:Q28))</f>
        <v>-324</v>
      </c>
      <c r="R29" s="106">
        <f>+SUM(R23+SUM(R26:R28))</f>
        <v>-19427</v>
      </c>
      <c r="S29" s="106">
        <f>+SUM(S23+SUM(S26:S28))</f>
        <v>-33390</v>
      </c>
      <c r="T29" s="106">
        <f>+SUM(T23+SUM(T26:T28))</f>
        <v>-83526</v>
      </c>
      <c r="U29" s="106">
        <f>+SUM(U23+SUM(U26:U28))</f>
        <v>-19314</v>
      </c>
      <c r="V29" s="85"/>
      <c r="W29" s="106">
        <f>+SUM(W23+SUM(W26:W27))</f>
        <v>-145951</v>
      </c>
      <c r="X29" s="106">
        <f>+SUM(X23+SUM(X26:X27))</f>
        <v>-128956</v>
      </c>
      <c r="Y29" s="106">
        <f>+SUM(Y23+SUM(Y26:Y27))</f>
        <v>-84118</v>
      </c>
      <c r="Z29" s="106">
        <f>+SUM(Z23+SUM(Z26:Z27))</f>
        <v>-84973</v>
      </c>
      <c r="AA29" s="106">
        <f>+SUM(AA23+SUM(AA26:AA27))</f>
        <v>-75477</v>
      </c>
      <c r="AB29" s="106">
        <f>+SUM(AB23+SUM(AB26:AB27))</f>
        <v>-89778</v>
      </c>
      <c r="AC29" s="106">
        <f>+SUM(AC23+SUM(AC26:AC28))</f>
        <v>-63467</v>
      </c>
      <c r="AD29" s="106">
        <f>+SUM(AD23+SUM(AD26:AD28))</f>
        <v>-63153</v>
      </c>
      <c r="AE29" s="106">
        <f>+SUM(AE23+SUM(AE26:AE28))</f>
        <v>-71941</v>
      </c>
      <c r="AF29" s="106">
        <f>+SUM(AF23+SUM(AF26:AF28))</f>
        <v>-136667</v>
      </c>
      <c r="AG29" s="106">
        <f>+SUM(AG23+SUM(AG26:AG28))</f>
        <v>-155657</v>
      </c>
      <c r="AI29" s="108">
        <f t="shared" si="17"/>
        <v>1.4525659003891787</v>
      </c>
    </row>
    <row r="30" spans="2:35" ht="12.75" customHeight="1" x14ac:dyDescent="0.2">
      <c r="B30" s="91" t="s">
        <v>147</v>
      </c>
      <c r="C30" s="92">
        <f>C29/C9</f>
        <v>-93.942201108471892</v>
      </c>
      <c r="D30" s="92">
        <f>D29/D9</f>
        <v>-93.525878594249207</v>
      </c>
      <c r="E30" s="92" t="e">
        <f>E29/E9</f>
        <v>#DIV/0!</v>
      </c>
      <c r="F30" s="92" t="e">
        <f>F29/F9</f>
        <v>#DIV/0!</v>
      </c>
      <c r="H30" s="92">
        <f>H29/H9</f>
        <v>-91.991416309012877</v>
      </c>
      <c r="I30" s="92">
        <f>I29/I9</f>
        <v>-54.85933897002306</v>
      </c>
      <c r="J30" s="92">
        <f>J29/J9</f>
        <v>-613.58064516129036</v>
      </c>
      <c r="K30" s="92" t="e">
        <f>K29/K9</f>
        <v>#DIV/0!</v>
      </c>
      <c r="L30" s="92" t="e">
        <f>L29/L9</f>
        <v>#DIV/0!</v>
      </c>
      <c r="M30" s="92" t="e">
        <f>M29/M9</f>
        <v>#DIV/0!</v>
      </c>
      <c r="N30" s="92" t="e">
        <f>N29/N9</f>
        <v>#DIV/0!</v>
      </c>
      <c r="O30" s="92" t="e">
        <f>O29/O9</f>
        <v>#DIV/0!</v>
      </c>
      <c r="P30" s="92" t="e">
        <f>P29/P9</f>
        <v>#DIV/0!</v>
      </c>
      <c r="Q30" s="92" t="e">
        <f>Q29/Q9</f>
        <v>#DIV/0!</v>
      </c>
      <c r="R30" s="92" t="e">
        <f>R29/R9</f>
        <v>#DIV/0!</v>
      </c>
      <c r="S30" s="92" t="e">
        <f>S29/S9</f>
        <v>#DIV/0!</v>
      </c>
      <c r="T30" s="92">
        <f>T29/T9</f>
        <v>-161.55899419729207</v>
      </c>
      <c r="U30" s="92">
        <f>U29/U9</f>
        <v>-64.166112956810636</v>
      </c>
      <c r="W30" s="92">
        <f>W29/W9</f>
        <v>-93.259424920127799</v>
      </c>
      <c r="X30" s="92">
        <f>X29/X9</f>
        <v>-96.813813813813809</v>
      </c>
      <c r="Y30" s="92">
        <f>Y29/Y9</f>
        <v>-2713.483870967742</v>
      </c>
      <c r="Z30" s="92" t="e">
        <f>Z29/Z9</f>
        <v>#DIV/0!</v>
      </c>
      <c r="AA30" s="92" t="e">
        <f>AA29/AA9</f>
        <v>#DIV/0!</v>
      </c>
      <c r="AB30" s="92" t="e">
        <f>AB29/AB9</f>
        <v>#DIV/0!</v>
      </c>
      <c r="AC30" s="92" t="e">
        <f>AC29/AC9</f>
        <v>#DIV/0!</v>
      </c>
      <c r="AD30" s="92" t="e">
        <f>AD29/AD9</f>
        <v>#DIV/0!</v>
      </c>
      <c r="AE30" s="92" t="e">
        <f>AE29/AE9</f>
        <v>#DIV/0!</v>
      </c>
      <c r="AF30" s="92">
        <f>AF29/AF9</f>
        <v>-264.34622823984529</v>
      </c>
      <c r="AG30" s="92">
        <f>AG29/AG9</f>
        <v>-190.28973105134475</v>
      </c>
      <c r="AI30" s="159" t="e">
        <f>SUM(AG30-AC30)*10000</f>
        <v>#DIV/0!</v>
      </c>
    </row>
    <row r="31" spans="2:35" ht="5.0999999999999996" customHeight="1" x14ac:dyDescent="0.2">
      <c r="AI31" s="157"/>
    </row>
    <row r="32" spans="2:35" ht="12.75" customHeight="1" x14ac:dyDescent="0.2">
      <c r="B32" s="141" t="s">
        <v>148</v>
      </c>
      <c r="C32" s="88">
        <f>'Base Financials'!C103</f>
        <v>-220</v>
      </c>
      <c r="D32" s="88">
        <f>'Base Financials'!D103</f>
        <v>-1048</v>
      </c>
      <c r="E32" s="88">
        <f>'Base Financials'!E103</f>
        <v>-2280</v>
      </c>
      <c r="F32" s="88">
        <f>'Base Financials'!F103</f>
        <v>-1572</v>
      </c>
      <c r="G32" s="88"/>
      <c r="H32" s="88">
        <f>'Base Financials'!H103</f>
        <v>-22</v>
      </c>
      <c r="I32" s="88">
        <f>'Base Financials'!I103</f>
        <v>-134</v>
      </c>
      <c r="J32" s="88">
        <f>'Base Financials'!J103</f>
        <v>-211</v>
      </c>
      <c r="K32" s="88">
        <f>'Base Financials'!K103</f>
        <v>-681</v>
      </c>
      <c r="L32" s="88">
        <f>'Base Financials'!L103</f>
        <v>-1152</v>
      </c>
      <c r="M32" s="88">
        <f>'Base Financials'!M103</f>
        <v>-485</v>
      </c>
      <c r="N32" s="88">
        <f>'Base Financials'!N103</f>
        <v>-493</v>
      </c>
      <c r="O32" s="88">
        <f>'Base Financials'!O103</f>
        <v>-150</v>
      </c>
      <c r="P32" s="88">
        <f>'Base Financials'!P103</f>
        <v>-391</v>
      </c>
      <c r="Q32" s="88">
        <f>'Base Financials'!Q103</f>
        <v>-184</v>
      </c>
      <c r="R32" s="88">
        <f>'Base Financials'!R103</f>
        <v>-934</v>
      </c>
      <c r="S32" s="88">
        <f>'Base Financials'!S103</f>
        <v>-63</v>
      </c>
      <c r="T32" s="88">
        <f>'Base Financials'!T103</f>
        <v>-228</v>
      </c>
      <c r="U32" s="88">
        <f>'Base Financials'!U103</f>
        <v>-568</v>
      </c>
      <c r="V32" s="88"/>
      <c r="W32" s="88">
        <f t="shared" ref="W32:W36" si="24">SUM(H32:K32)</f>
        <v>-1048</v>
      </c>
      <c r="X32" s="88">
        <f t="shared" ref="X32:AG36" si="25">SUM(I32:L32)</f>
        <v>-2178</v>
      </c>
      <c r="Y32" s="88">
        <f t="shared" si="25"/>
        <v>-2529</v>
      </c>
      <c r="Z32" s="88">
        <f t="shared" si="25"/>
        <v>-2811</v>
      </c>
      <c r="AA32" s="88">
        <f t="shared" si="25"/>
        <v>-2280</v>
      </c>
      <c r="AB32" s="88">
        <f t="shared" si="25"/>
        <v>-1519</v>
      </c>
      <c r="AC32" s="88">
        <f t="shared" si="25"/>
        <v>-1218</v>
      </c>
      <c r="AD32" s="88">
        <f t="shared" si="25"/>
        <v>-1659</v>
      </c>
      <c r="AE32" s="88">
        <f t="shared" si="25"/>
        <v>-1572</v>
      </c>
      <c r="AF32" s="88">
        <f t="shared" si="25"/>
        <v>-1409</v>
      </c>
      <c r="AG32" s="88">
        <f t="shared" si="25"/>
        <v>-1793</v>
      </c>
      <c r="AI32" s="108">
        <f t="shared" ref="AI32:AI46" si="26">SUM(AG32/AC32)-1</f>
        <v>0.47208538587848925</v>
      </c>
    </row>
    <row r="33" spans="1:35" ht="12.75" customHeight="1" x14ac:dyDescent="0.2">
      <c r="B33" s="141" t="s">
        <v>149</v>
      </c>
      <c r="C33" s="88">
        <f>'Base Financials'!C21</f>
        <v>-4348</v>
      </c>
      <c r="D33" s="88">
        <f>'Base Financials'!D21</f>
        <v>-6200</v>
      </c>
      <c r="E33" s="88">
        <f>'Base Financials'!E21</f>
        <v>-6599</v>
      </c>
      <c r="F33" s="88">
        <f>'Base Financials'!F21</f>
        <v>-9277</v>
      </c>
      <c r="G33" s="88"/>
      <c r="H33" s="88">
        <f>'Base Financials'!H21</f>
        <v>-1432</v>
      </c>
      <c r="I33" s="88">
        <f>'Base Financials'!I21</f>
        <v>-1488</v>
      </c>
      <c r="J33" s="88">
        <f>'Base Financials'!J21</f>
        <v>-1641</v>
      </c>
      <c r="K33" s="88">
        <f>'Base Financials'!K21</f>
        <v>-1639</v>
      </c>
      <c r="L33" s="88">
        <f>'Base Financials'!L21</f>
        <v>-1699</v>
      </c>
      <c r="M33" s="88">
        <f>'Base Financials'!M21</f>
        <v>-1710</v>
      </c>
      <c r="N33" s="88">
        <f>'Base Financials'!N21</f>
        <v>-1463</v>
      </c>
      <c r="O33" s="88">
        <f>'Base Financials'!O21</f>
        <v>-1727</v>
      </c>
      <c r="P33" s="88">
        <f>'Base Financials'!P21</f>
        <v>-1816</v>
      </c>
      <c r="Q33" s="88">
        <f>'Base Financials'!Q21</f>
        <v>-2515</v>
      </c>
      <c r="R33" s="88">
        <f>'Base Financials'!R21</f>
        <v>-2438</v>
      </c>
      <c r="S33" s="88">
        <f>'Base Financials'!S21</f>
        <v>-2508</v>
      </c>
      <c r="T33" s="88">
        <f>'Base Financials'!T21</f>
        <v>-3000</v>
      </c>
      <c r="U33" s="88">
        <f>'Base Financials'!U21</f>
        <v>-2545</v>
      </c>
      <c r="V33" s="88"/>
      <c r="W33" s="88">
        <f t="shared" si="24"/>
        <v>-6200</v>
      </c>
      <c r="X33" s="88">
        <f t="shared" si="25"/>
        <v>-6467</v>
      </c>
      <c r="Y33" s="88">
        <f t="shared" si="25"/>
        <v>-6689</v>
      </c>
      <c r="Z33" s="88">
        <f t="shared" si="25"/>
        <v>-6511</v>
      </c>
      <c r="AA33" s="88">
        <f t="shared" si="25"/>
        <v>-6599</v>
      </c>
      <c r="AB33" s="88">
        <f t="shared" si="25"/>
        <v>-6716</v>
      </c>
      <c r="AC33" s="88">
        <f t="shared" si="25"/>
        <v>-7521</v>
      </c>
      <c r="AD33" s="88">
        <f t="shared" si="25"/>
        <v>-8496</v>
      </c>
      <c r="AE33" s="88">
        <f t="shared" si="25"/>
        <v>-9277</v>
      </c>
      <c r="AF33" s="88">
        <f t="shared" si="25"/>
        <v>-10461</v>
      </c>
      <c r="AG33" s="88">
        <f t="shared" si="25"/>
        <v>-10491</v>
      </c>
      <c r="AI33" s="108">
        <f t="shared" si="26"/>
        <v>0.39489429597128045</v>
      </c>
    </row>
    <row r="34" spans="1:35" ht="12.75" customHeight="1" x14ac:dyDescent="0.2">
      <c r="B34" s="141" t="s">
        <v>150</v>
      </c>
      <c r="C34" s="88">
        <v>0</v>
      </c>
      <c r="D34" s="88">
        <v>0</v>
      </c>
      <c r="E34" s="88">
        <v>0</v>
      </c>
      <c r="F34" s="88">
        <v>0</v>
      </c>
      <c r="G34" s="88"/>
      <c r="H34" s="88">
        <v>0</v>
      </c>
      <c r="I34" s="88">
        <v>0</v>
      </c>
      <c r="J34" s="88">
        <v>0</v>
      </c>
      <c r="K34" s="88">
        <v>0</v>
      </c>
      <c r="L34" s="88">
        <v>0</v>
      </c>
      <c r="M34" s="88">
        <v>0</v>
      </c>
      <c r="N34" s="88">
        <v>0</v>
      </c>
      <c r="O34" s="88">
        <v>0</v>
      </c>
      <c r="P34" s="88">
        <v>0</v>
      </c>
      <c r="Q34" s="88">
        <v>0</v>
      </c>
      <c r="R34" s="88">
        <v>0</v>
      </c>
      <c r="S34" s="88">
        <v>0</v>
      </c>
      <c r="T34" s="88">
        <v>0</v>
      </c>
      <c r="U34" s="88">
        <v>0</v>
      </c>
      <c r="V34" s="88"/>
      <c r="W34" s="88">
        <f t="shared" si="24"/>
        <v>0</v>
      </c>
      <c r="X34" s="88">
        <f t="shared" si="25"/>
        <v>0</v>
      </c>
      <c r="Y34" s="88">
        <f t="shared" si="25"/>
        <v>0</v>
      </c>
      <c r="Z34" s="88">
        <f t="shared" si="25"/>
        <v>0</v>
      </c>
      <c r="AA34" s="88">
        <f t="shared" si="25"/>
        <v>0</v>
      </c>
      <c r="AB34" s="88">
        <f t="shared" si="25"/>
        <v>0</v>
      </c>
      <c r="AC34" s="88">
        <f t="shared" si="25"/>
        <v>0</v>
      </c>
      <c r="AD34" s="88">
        <f t="shared" si="25"/>
        <v>0</v>
      </c>
      <c r="AE34" s="88">
        <f t="shared" si="25"/>
        <v>0</v>
      </c>
      <c r="AF34" s="88">
        <f t="shared" si="25"/>
        <v>0</v>
      </c>
      <c r="AG34" s="88">
        <f t="shared" si="25"/>
        <v>0</v>
      </c>
      <c r="AI34" s="108" t="e">
        <f t="shared" si="26"/>
        <v>#DIV/0!</v>
      </c>
    </row>
    <row r="35" spans="1:35" ht="12.75" customHeight="1" x14ac:dyDescent="0.2">
      <c r="B35" s="141" t="s">
        <v>151</v>
      </c>
      <c r="C35" s="88">
        <v>0</v>
      </c>
      <c r="D35" s="88">
        <v>0</v>
      </c>
      <c r="E35" s="88">
        <v>0</v>
      </c>
      <c r="F35" s="88">
        <v>0</v>
      </c>
      <c r="G35" s="88"/>
      <c r="H35" s="88">
        <v>0</v>
      </c>
      <c r="I35" s="88">
        <v>0</v>
      </c>
      <c r="J35" s="88">
        <v>0</v>
      </c>
      <c r="K35" s="88">
        <v>0</v>
      </c>
      <c r="L35" s="88">
        <v>0</v>
      </c>
      <c r="M35" s="88">
        <v>0</v>
      </c>
      <c r="N35" s="88">
        <v>0</v>
      </c>
      <c r="O35" s="88">
        <v>0</v>
      </c>
      <c r="P35" s="88">
        <v>0</v>
      </c>
      <c r="Q35" s="88">
        <v>0</v>
      </c>
      <c r="R35" s="88">
        <v>0</v>
      </c>
      <c r="S35" s="88">
        <v>0</v>
      </c>
      <c r="T35" s="88">
        <v>0</v>
      </c>
      <c r="U35" s="88">
        <v>0</v>
      </c>
      <c r="V35" s="88"/>
      <c r="W35" s="88">
        <f t="shared" si="24"/>
        <v>0</v>
      </c>
      <c r="X35" s="88">
        <f t="shared" si="25"/>
        <v>0</v>
      </c>
      <c r="Y35" s="88">
        <f t="shared" si="25"/>
        <v>0</v>
      </c>
      <c r="Z35" s="88">
        <f t="shared" si="25"/>
        <v>0</v>
      </c>
      <c r="AA35" s="88">
        <f t="shared" si="25"/>
        <v>0</v>
      </c>
      <c r="AB35" s="88">
        <f t="shared" si="25"/>
        <v>0</v>
      </c>
      <c r="AC35" s="88">
        <f t="shared" si="25"/>
        <v>0</v>
      </c>
      <c r="AD35" s="88">
        <f t="shared" si="25"/>
        <v>0</v>
      </c>
      <c r="AE35" s="88">
        <f t="shared" si="25"/>
        <v>0</v>
      </c>
      <c r="AF35" s="88">
        <f t="shared" si="25"/>
        <v>0</v>
      </c>
      <c r="AG35" s="88">
        <f t="shared" si="25"/>
        <v>0</v>
      </c>
      <c r="AI35" s="108" t="e">
        <f t="shared" si="26"/>
        <v>#DIV/0!</v>
      </c>
    </row>
    <row r="36" spans="1:35" ht="12.75" customHeight="1" x14ac:dyDescent="0.2">
      <c r="B36" s="141" t="s">
        <v>152</v>
      </c>
      <c r="C36" s="88">
        <f>SUM('Base Financials'!C95:C99)</f>
        <v>-557</v>
      </c>
      <c r="D36" s="88">
        <f>SUM('Base Financials'!D95:D99)</f>
        <v>1029</v>
      </c>
      <c r="E36" s="88">
        <f>SUM('Base Financials'!E95:E99)</f>
        <v>6571</v>
      </c>
      <c r="F36" s="88">
        <f>SUM('Base Financials'!F95:F99)</f>
        <v>311</v>
      </c>
      <c r="G36" s="88"/>
      <c r="H36" s="88">
        <f>SUM('Base Financials'!H95:H99)</f>
        <v>391</v>
      </c>
      <c r="I36" s="88">
        <f>SUM('Base Financials'!I95:I99)</f>
        <v>-767</v>
      </c>
      <c r="J36" s="88">
        <f>SUM('Base Financials'!J95:J99)</f>
        <v>3485</v>
      </c>
      <c r="K36" s="88">
        <f>SUM('Base Financials'!K95:K99)</f>
        <v>-2080</v>
      </c>
      <c r="L36" s="88">
        <f>SUM('Base Financials'!L95:L99)</f>
        <v>-159</v>
      </c>
      <c r="M36" s="88">
        <f>SUM('Base Financials'!M95:M99)</f>
        <v>-3452</v>
      </c>
      <c r="N36" s="88">
        <f>SUM('Base Financials'!N95:N99)</f>
        <v>7051</v>
      </c>
      <c r="O36" s="88">
        <f>SUM('Base Financials'!O95:O99)</f>
        <v>3131</v>
      </c>
      <c r="P36" s="88">
        <f>SUM('Base Financials'!P95:P99)</f>
        <v>-4660</v>
      </c>
      <c r="Q36" s="88">
        <f>SUM('Base Financials'!Q95:Q99)</f>
        <v>4058</v>
      </c>
      <c r="R36" s="88">
        <f>SUM('Base Financials'!R95:R99)</f>
        <v>3414</v>
      </c>
      <c r="S36" s="88">
        <f>SUM('Base Financials'!S95:S99)</f>
        <v>-2501</v>
      </c>
      <c r="T36" s="88">
        <f>SUM('Base Financials'!T95:T99)</f>
        <v>-9564</v>
      </c>
      <c r="U36" s="88">
        <f>SUM('Base Financials'!U95:U99)</f>
        <v>-1398</v>
      </c>
      <c r="V36" s="88"/>
      <c r="W36" s="88">
        <f t="shared" si="24"/>
        <v>1029</v>
      </c>
      <c r="X36" s="88">
        <f t="shared" si="25"/>
        <v>479</v>
      </c>
      <c r="Y36" s="88">
        <f t="shared" si="25"/>
        <v>-2206</v>
      </c>
      <c r="Z36" s="88">
        <f t="shared" si="25"/>
        <v>1360</v>
      </c>
      <c r="AA36" s="88">
        <f t="shared" si="25"/>
        <v>6571</v>
      </c>
      <c r="AB36" s="88">
        <f t="shared" si="25"/>
        <v>2070</v>
      </c>
      <c r="AC36" s="88">
        <f t="shared" si="25"/>
        <v>9580</v>
      </c>
      <c r="AD36" s="88">
        <f t="shared" si="25"/>
        <v>5943</v>
      </c>
      <c r="AE36" s="88">
        <f t="shared" si="25"/>
        <v>311</v>
      </c>
      <c r="AF36" s="88">
        <f t="shared" si="25"/>
        <v>-4593</v>
      </c>
      <c r="AG36" s="88">
        <f t="shared" si="25"/>
        <v>-10049</v>
      </c>
      <c r="AI36" s="108">
        <f t="shared" si="26"/>
        <v>-2.0489561586638834</v>
      </c>
    </row>
    <row r="37" spans="1:35" ht="12.75" customHeight="1" x14ac:dyDescent="0.2">
      <c r="B37" s="105" t="s">
        <v>153</v>
      </c>
      <c r="C37" s="106">
        <f>SUM(C29+SUM(C32:C36))</f>
        <v>-123774</v>
      </c>
      <c r="D37" s="106">
        <f t="shared" ref="D37:F37" si="27">SUM(D29+SUM(D32:D36))</f>
        <v>-152587</v>
      </c>
      <c r="E37" s="106">
        <f t="shared" si="27"/>
        <v>-77525</v>
      </c>
      <c r="F37" s="106">
        <f t="shared" si="27"/>
        <v>-82479</v>
      </c>
      <c r="G37" s="134"/>
      <c r="H37" s="106">
        <f t="shared" ref="H37:Q37" si="28">SUM(H29+SUM(H32:H36))</f>
        <v>-22497</v>
      </c>
      <c r="I37" s="106">
        <f t="shared" si="28"/>
        <v>-73761</v>
      </c>
      <c r="J37" s="106">
        <f t="shared" si="28"/>
        <v>-17388</v>
      </c>
      <c r="K37" s="106">
        <f t="shared" si="28"/>
        <v>-38524</v>
      </c>
      <c r="L37" s="106">
        <f t="shared" si="28"/>
        <v>-7449</v>
      </c>
      <c r="M37" s="106">
        <f t="shared" si="28"/>
        <v>-32082</v>
      </c>
      <c r="N37" s="106">
        <f t="shared" si="28"/>
        <v>-14646</v>
      </c>
      <c r="O37" s="106">
        <f t="shared" si="28"/>
        <v>-23348</v>
      </c>
      <c r="P37" s="106">
        <f t="shared" si="28"/>
        <v>-25667</v>
      </c>
      <c r="Q37" s="106">
        <f t="shared" si="28"/>
        <v>1035</v>
      </c>
      <c r="R37" s="106">
        <f>SUM(R29+SUM(R32:R36))</f>
        <v>-19385</v>
      </c>
      <c r="S37" s="106">
        <f>SUM(S29+SUM(S32:S36))</f>
        <v>-38462</v>
      </c>
      <c r="T37" s="106">
        <f t="shared" ref="T37:U37" si="29">SUM(T29+SUM(T32:T36))</f>
        <v>-96318</v>
      </c>
      <c r="U37" s="106">
        <f t="shared" si="29"/>
        <v>-23825</v>
      </c>
      <c r="V37" s="85"/>
      <c r="W37" s="106">
        <f t="shared" ref="W37:AG37" si="30">SUM(W29+SUM(W32:W36))</f>
        <v>-152170</v>
      </c>
      <c r="X37" s="106">
        <f t="shared" si="30"/>
        <v>-137122</v>
      </c>
      <c r="Y37" s="106">
        <f t="shared" si="30"/>
        <v>-95542</v>
      </c>
      <c r="Z37" s="106">
        <f t="shared" si="30"/>
        <v>-92935</v>
      </c>
      <c r="AA37" s="106">
        <f t="shared" si="30"/>
        <v>-77785</v>
      </c>
      <c r="AB37" s="106">
        <f t="shared" si="30"/>
        <v>-95943</v>
      </c>
      <c r="AC37" s="106">
        <f t="shared" si="30"/>
        <v>-62626</v>
      </c>
      <c r="AD37" s="106">
        <f t="shared" si="30"/>
        <v>-67365</v>
      </c>
      <c r="AE37" s="106">
        <f t="shared" si="30"/>
        <v>-82479</v>
      </c>
      <c r="AF37" s="106">
        <f t="shared" si="30"/>
        <v>-153130</v>
      </c>
      <c r="AG37" s="106">
        <f t="shared" si="30"/>
        <v>-177990</v>
      </c>
      <c r="AI37" s="109">
        <f t="shared" si="26"/>
        <v>1.8421103056238621</v>
      </c>
    </row>
    <row r="38" spans="1:35" ht="5.0999999999999996" customHeight="1" x14ac:dyDescent="0.2">
      <c r="AI38" s="108"/>
    </row>
    <row r="39" spans="1:35" ht="12.75" customHeight="1" x14ac:dyDescent="0.2">
      <c r="B39" s="126" t="s">
        <v>124</v>
      </c>
      <c r="C39" s="88">
        <f>'Base Financials'!C108</f>
        <v>598</v>
      </c>
      <c r="D39" s="88">
        <f>'Base Financials'!D108</f>
        <v>535</v>
      </c>
      <c r="E39" s="88">
        <f>'Base Financials'!E108</f>
        <v>566</v>
      </c>
      <c r="F39" s="88">
        <f>'Base Financials'!F108</f>
        <v>97022</v>
      </c>
      <c r="G39" s="88"/>
      <c r="H39" s="88">
        <f>'Base Financials'!H108</f>
        <v>1</v>
      </c>
      <c r="I39" s="88">
        <f>'Base Financials'!I108</f>
        <v>11</v>
      </c>
      <c r="J39" s="88">
        <f>'Base Financials'!J108</f>
        <v>217</v>
      </c>
      <c r="K39" s="88">
        <f>'Base Financials'!K108</f>
        <v>306</v>
      </c>
      <c r="L39" s="88">
        <f>'Base Financials'!L108</f>
        <v>119</v>
      </c>
      <c r="M39" s="88">
        <f>'Base Financials'!M108</f>
        <v>95</v>
      </c>
      <c r="N39" s="88">
        <f>'Base Financials'!N108</f>
        <v>99</v>
      </c>
      <c r="O39" s="88">
        <f>'Base Financials'!O108</f>
        <v>253</v>
      </c>
      <c r="P39" s="88">
        <f>'Base Financials'!P108</f>
        <v>43398</v>
      </c>
      <c r="Q39" s="88">
        <f>'Base Financials'!Q108</f>
        <v>437</v>
      </c>
      <c r="R39" s="88">
        <f>'Base Financials'!R108</f>
        <v>1508</v>
      </c>
      <c r="S39" s="88">
        <f>'Base Financials'!S108</f>
        <v>51679</v>
      </c>
      <c r="T39" s="88">
        <f>'Base Financials'!T108</f>
        <v>47426</v>
      </c>
      <c r="U39" s="88">
        <f>'Base Financials'!U108</f>
        <v>2893</v>
      </c>
      <c r="V39" s="88"/>
      <c r="W39" s="88">
        <f t="shared" ref="W39:W43" si="31">SUM(H39:K39)</f>
        <v>535</v>
      </c>
      <c r="X39" s="88">
        <f t="shared" ref="X39:AG44" si="32">SUM(I39:L39)</f>
        <v>653</v>
      </c>
      <c r="Y39" s="88">
        <f t="shared" si="32"/>
        <v>737</v>
      </c>
      <c r="Z39" s="88">
        <f t="shared" si="32"/>
        <v>619</v>
      </c>
      <c r="AA39" s="88">
        <f t="shared" si="32"/>
        <v>566</v>
      </c>
      <c r="AB39" s="88">
        <f t="shared" si="32"/>
        <v>43845</v>
      </c>
      <c r="AC39" s="88">
        <f t="shared" si="32"/>
        <v>44187</v>
      </c>
      <c r="AD39" s="88">
        <f t="shared" si="32"/>
        <v>45596</v>
      </c>
      <c r="AE39" s="88">
        <f t="shared" si="32"/>
        <v>97022</v>
      </c>
      <c r="AF39" s="88">
        <f t="shared" si="32"/>
        <v>101050</v>
      </c>
      <c r="AG39" s="88">
        <f t="shared" si="32"/>
        <v>103506</v>
      </c>
      <c r="AI39" s="108">
        <f t="shared" si="26"/>
        <v>1.3424536628420123</v>
      </c>
    </row>
    <row r="40" spans="1:35" ht="12.75" customHeight="1" x14ac:dyDescent="0.2">
      <c r="B40" s="126" t="s">
        <v>178</v>
      </c>
      <c r="C40" s="88">
        <f>'Base Financials'!C109</f>
        <v>27930</v>
      </c>
      <c r="D40" s="88">
        <f>'Base Financials'!D109</f>
        <v>-1981</v>
      </c>
      <c r="E40" s="88">
        <f>'Base Financials'!E109</f>
        <v>-34066</v>
      </c>
      <c r="F40" s="88">
        <f>'Base Financials'!F109</f>
        <v>-2579</v>
      </c>
      <c r="G40" s="88"/>
      <c r="H40" s="88">
        <f>'Base Financials'!H109</f>
        <v>-462</v>
      </c>
      <c r="I40" s="88">
        <f>'Base Financials'!I109</f>
        <v>-495</v>
      </c>
      <c r="J40" s="88">
        <f>'Base Financials'!J109</f>
        <v>-506</v>
      </c>
      <c r="K40" s="88">
        <f>'Base Financials'!K109</f>
        <v>-518</v>
      </c>
      <c r="L40" s="88">
        <f>'Base Financials'!L109</f>
        <v>-528</v>
      </c>
      <c r="M40" s="88">
        <f>'Base Financials'!M109</f>
        <v>-32373</v>
      </c>
      <c r="N40" s="88">
        <f>'Base Financials'!N109</f>
        <v>-577</v>
      </c>
      <c r="O40" s="88">
        <f>'Base Financials'!O109</f>
        <v>-588</v>
      </c>
      <c r="P40" s="88">
        <f>'Base Financials'!P109</f>
        <v>-603</v>
      </c>
      <c r="Q40" s="88">
        <f>'Base Financials'!Q109</f>
        <v>-644</v>
      </c>
      <c r="R40" s="88">
        <f>'Base Financials'!R109</f>
        <v>-659</v>
      </c>
      <c r="S40" s="88">
        <f>'Base Financials'!S109</f>
        <v>-673</v>
      </c>
      <c r="T40" s="88">
        <f>'Base Financials'!T109</f>
        <v>-687</v>
      </c>
      <c r="U40" s="88">
        <f>'Base Financials'!U109</f>
        <v>-727</v>
      </c>
      <c r="V40" s="88"/>
      <c r="W40" s="88">
        <f t="shared" si="31"/>
        <v>-1981</v>
      </c>
      <c r="X40" s="88">
        <f t="shared" si="32"/>
        <v>-2047</v>
      </c>
      <c r="Y40" s="88">
        <f t="shared" si="32"/>
        <v>-33925</v>
      </c>
      <c r="Z40" s="88">
        <f t="shared" si="32"/>
        <v>-33996</v>
      </c>
      <c r="AA40" s="88">
        <f t="shared" si="32"/>
        <v>-34066</v>
      </c>
      <c r="AB40" s="88">
        <f t="shared" si="32"/>
        <v>-34141</v>
      </c>
      <c r="AC40" s="88">
        <f t="shared" si="32"/>
        <v>-2412</v>
      </c>
      <c r="AD40" s="88">
        <f t="shared" si="32"/>
        <v>-2494</v>
      </c>
      <c r="AE40" s="88">
        <f t="shared" si="32"/>
        <v>-2579</v>
      </c>
      <c r="AF40" s="88">
        <f t="shared" si="32"/>
        <v>-2663</v>
      </c>
      <c r="AG40" s="88">
        <f t="shared" si="32"/>
        <v>-2746</v>
      </c>
      <c r="AI40" s="108">
        <f t="shared" si="26"/>
        <v>0.13847429519071319</v>
      </c>
    </row>
    <row r="41" spans="1:35" ht="12.75" customHeight="1" x14ac:dyDescent="0.2">
      <c r="B41" s="126" t="s">
        <v>179</v>
      </c>
      <c r="C41" s="88">
        <f>'Base Financials'!C110</f>
        <v>238455</v>
      </c>
      <c r="D41" s="88">
        <f>'Base Financials'!D110</f>
        <v>0</v>
      </c>
      <c r="E41" s="88">
        <f>'Base Financials'!E110</f>
        <v>0</v>
      </c>
      <c r="F41" s="88">
        <f>'Base Financials'!F110</f>
        <v>0</v>
      </c>
      <c r="G41" s="88"/>
      <c r="H41" s="88">
        <f>'Base Financials'!H110</f>
        <v>0</v>
      </c>
      <c r="I41" s="88">
        <f>'Base Financials'!I110</f>
        <v>0</v>
      </c>
      <c r="J41" s="88">
        <f>'Base Financials'!J110</f>
        <v>0</v>
      </c>
      <c r="K41" s="88">
        <f>'Base Financials'!K110</f>
        <v>0</v>
      </c>
      <c r="L41" s="88">
        <f>'Base Financials'!L110</f>
        <v>0</v>
      </c>
      <c r="M41" s="88">
        <f>'Base Financials'!M110</f>
        <v>0</v>
      </c>
      <c r="N41" s="88">
        <f>'Base Financials'!N110</f>
        <v>0</v>
      </c>
      <c r="O41" s="88">
        <f>'Base Financials'!O110</f>
        <v>0</v>
      </c>
      <c r="P41" s="88">
        <f>'Base Financials'!P110</f>
        <v>0</v>
      </c>
      <c r="Q41" s="88">
        <f>'Base Financials'!Q110</f>
        <v>0</v>
      </c>
      <c r="R41" s="88">
        <f>'Base Financials'!R110</f>
        <v>0</v>
      </c>
      <c r="S41" s="88">
        <f>'Base Financials'!S110</f>
        <v>0</v>
      </c>
      <c r="T41" s="88">
        <f>'Base Financials'!T110</f>
        <v>0</v>
      </c>
      <c r="U41" s="88">
        <f>'Base Financials'!U110</f>
        <v>0</v>
      </c>
      <c r="V41" s="88"/>
      <c r="W41" s="88">
        <f t="shared" si="31"/>
        <v>0</v>
      </c>
      <c r="X41" s="88">
        <f t="shared" si="32"/>
        <v>0</v>
      </c>
      <c r="Y41" s="88">
        <f t="shared" si="32"/>
        <v>0</v>
      </c>
      <c r="Z41" s="88">
        <f t="shared" si="32"/>
        <v>0</v>
      </c>
      <c r="AA41" s="88">
        <f t="shared" si="32"/>
        <v>0</v>
      </c>
      <c r="AB41" s="88">
        <f t="shared" si="32"/>
        <v>0</v>
      </c>
      <c r="AC41" s="88">
        <f t="shared" si="32"/>
        <v>0</v>
      </c>
      <c r="AD41" s="88">
        <f t="shared" si="32"/>
        <v>0</v>
      </c>
      <c r="AE41" s="88">
        <f t="shared" si="32"/>
        <v>0</v>
      </c>
      <c r="AF41" s="88">
        <f t="shared" si="32"/>
        <v>0</v>
      </c>
      <c r="AG41" s="88">
        <f t="shared" si="32"/>
        <v>0</v>
      </c>
      <c r="AI41" s="108" t="e">
        <f t="shared" si="26"/>
        <v>#DIV/0!</v>
      </c>
    </row>
    <row r="42" spans="1:35" ht="12.75" customHeight="1" x14ac:dyDescent="0.2">
      <c r="B42" s="126" t="s">
        <v>180</v>
      </c>
      <c r="C42" s="88">
        <f>'Base Financials'!C111</f>
        <v>0</v>
      </c>
      <c r="D42" s="88">
        <f>'Base Financials'!D111</f>
        <v>0</v>
      </c>
      <c r="E42" s="88">
        <f>'Base Financials'!E111</f>
        <v>37927</v>
      </c>
      <c r="F42" s="88">
        <f>'Base Financials'!F111</f>
        <v>19500</v>
      </c>
      <c r="G42" s="88"/>
      <c r="H42" s="88">
        <f>'Base Financials'!H111</f>
        <v>0</v>
      </c>
      <c r="I42" s="88">
        <f>'Base Financials'!I111</f>
        <v>0</v>
      </c>
      <c r="J42" s="88">
        <f>'Base Financials'!J111</f>
        <v>0</v>
      </c>
      <c r="K42" s="88">
        <f>'Base Financials'!K111</f>
        <v>0</v>
      </c>
      <c r="L42" s="88">
        <f>'Base Financials'!L111</f>
        <v>0</v>
      </c>
      <c r="M42" s="88">
        <f>'Base Financials'!M111</f>
        <v>38213</v>
      </c>
      <c r="N42" s="88">
        <f>'Base Financials'!N111</f>
        <v>-286</v>
      </c>
      <c r="O42" s="88">
        <f>'Base Financials'!O111</f>
        <v>0</v>
      </c>
      <c r="P42" s="88">
        <f>'Base Financials'!P111</f>
        <v>20000</v>
      </c>
      <c r="Q42" s="88">
        <f>'Base Financials'!Q111</f>
        <v>-500</v>
      </c>
      <c r="R42" s="88">
        <f>'Base Financials'!R111</f>
        <v>0</v>
      </c>
      <c r="S42" s="88">
        <f>'Base Financials'!S111</f>
        <v>0</v>
      </c>
      <c r="T42" s="88">
        <f>'Base Financials'!T111</f>
        <v>0</v>
      </c>
      <c r="U42" s="88">
        <f>'Base Financials'!U111</f>
        <v>0</v>
      </c>
      <c r="V42" s="88"/>
      <c r="W42" s="88">
        <f t="shared" si="31"/>
        <v>0</v>
      </c>
      <c r="X42" s="88">
        <f t="shared" si="32"/>
        <v>0</v>
      </c>
      <c r="Y42" s="88">
        <f t="shared" si="32"/>
        <v>38213</v>
      </c>
      <c r="Z42" s="88">
        <f t="shared" si="32"/>
        <v>37927</v>
      </c>
      <c r="AA42" s="88">
        <f t="shared" si="32"/>
        <v>37927</v>
      </c>
      <c r="AB42" s="88">
        <f t="shared" si="32"/>
        <v>57927</v>
      </c>
      <c r="AC42" s="88">
        <f t="shared" si="32"/>
        <v>19214</v>
      </c>
      <c r="AD42" s="88">
        <f t="shared" si="32"/>
        <v>19500</v>
      </c>
      <c r="AE42" s="88">
        <f t="shared" si="32"/>
        <v>19500</v>
      </c>
      <c r="AF42" s="88">
        <f t="shared" si="32"/>
        <v>-500</v>
      </c>
      <c r="AG42" s="88">
        <f t="shared" si="32"/>
        <v>0</v>
      </c>
      <c r="AI42" s="108">
        <f t="shared" si="26"/>
        <v>-1</v>
      </c>
    </row>
    <row r="43" spans="1:35" ht="12.75" customHeight="1" x14ac:dyDescent="0.2">
      <c r="B43" s="126" t="s">
        <v>181</v>
      </c>
      <c r="C43" s="88">
        <f>'Base Financials'!C112</f>
        <v>0</v>
      </c>
      <c r="D43" s="88">
        <f>'Base Financials'!D112</f>
        <v>0</v>
      </c>
      <c r="E43" s="88">
        <f>'Base Financials'!E112</f>
        <v>80</v>
      </c>
      <c r="F43" s="88">
        <f>'Base Financials'!F112</f>
        <v>240</v>
      </c>
      <c r="G43" s="88"/>
      <c r="H43" s="88">
        <f>'Base Financials'!H112</f>
        <v>0</v>
      </c>
      <c r="I43" s="88">
        <f>'Base Financials'!I112</f>
        <v>0</v>
      </c>
      <c r="J43" s="88">
        <f>'Base Financials'!J112</f>
        <v>0</v>
      </c>
      <c r="K43" s="88">
        <f>'Base Financials'!K112</f>
        <v>0</v>
      </c>
      <c r="L43" s="88">
        <f>'Base Financials'!L112</f>
        <v>0</v>
      </c>
      <c r="M43" s="88">
        <f>'Base Financials'!M112</f>
        <v>80</v>
      </c>
      <c r="N43" s="88">
        <f>'Base Financials'!N112</f>
        <v>0</v>
      </c>
      <c r="O43" s="88">
        <f>'Base Financials'!O112</f>
        <v>0</v>
      </c>
      <c r="P43" s="88">
        <f>'Base Financials'!P112</f>
        <v>0</v>
      </c>
      <c r="Q43" s="88">
        <f>'Base Financials'!Q112</f>
        <v>240</v>
      </c>
      <c r="R43" s="88">
        <f>'Base Financials'!R112</f>
        <v>0</v>
      </c>
      <c r="S43" s="88">
        <f>'Base Financials'!S112</f>
        <v>0</v>
      </c>
      <c r="T43" s="88">
        <f>'Base Financials'!T112</f>
        <v>0</v>
      </c>
      <c r="U43" s="88">
        <f>'Base Financials'!U112</f>
        <v>0</v>
      </c>
      <c r="V43" s="88"/>
      <c r="W43" s="88">
        <f t="shared" si="31"/>
        <v>0</v>
      </c>
      <c r="X43" s="88">
        <f t="shared" si="32"/>
        <v>0</v>
      </c>
      <c r="Y43" s="88">
        <f t="shared" si="32"/>
        <v>80</v>
      </c>
      <c r="Z43" s="88">
        <f t="shared" si="32"/>
        <v>80</v>
      </c>
      <c r="AA43" s="88">
        <f t="shared" si="32"/>
        <v>80</v>
      </c>
      <c r="AB43" s="88">
        <f t="shared" si="32"/>
        <v>80</v>
      </c>
      <c r="AC43" s="88">
        <f t="shared" si="32"/>
        <v>240</v>
      </c>
      <c r="AD43" s="88">
        <f t="shared" si="32"/>
        <v>240</v>
      </c>
      <c r="AE43" s="88">
        <f t="shared" si="32"/>
        <v>240</v>
      </c>
      <c r="AF43" s="88">
        <f t="shared" si="32"/>
        <v>240</v>
      </c>
      <c r="AG43" s="88">
        <f t="shared" si="32"/>
        <v>0</v>
      </c>
      <c r="AI43" s="108">
        <f t="shared" si="26"/>
        <v>-1</v>
      </c>
    </row>
    <row r="44" spans="1:35" ht="12.75" customHeight="1" x14ac:dyDescent="0.2">
      <c r="B44" s="126" t="s">
        <v>154</v>
      </c>
      <c r="C44" s="88">
        <f>SUM(C37:C43)-C49</f>
        <v>-74293</v>
      </c>
      <c r="D44" s="88">
        <f>SUM(D49-C49)-SUM(D37:D43)</f>
        <v>86303</v>
      </c>
      <c r="E44" s="88">
        <f t="shared" ref="E44:F44" si="33">SUM(E49-D49)-SUM(E37:E43)</f>
        <v>3694</v>
      </c>
      <c r="F44" s="88">
        <f t="shared" si="33"/>
        <v>-67215</v>
      </c>
      <c r="G44" s="88"/>
      <c r="H44" s="88">
        <f>SUM(H49-C49)-SUM(H37:H43)</f>
        <v>3678</v>
      </c>
      <c r="I44" s="88">
        <f t="shared" ref="I44" si="34">SUM(I49-H49)-SUM(I37:I43)</f>
        <v>57058</v>
      </c>
      <c r="J44" s="88">
        <f t="shared" ref="J44" si="35">SUM(J49-I49)-SUM(J37:J43)</f>
        <v>373</v>
      </c>
      <c r="K44" s="88">
        <f t="shared" ref="K44" si="36">SUM(K49-J49)-SUM(K37:K43)</f>
        <v>24777</v>
      </c>
      <c r="L44" s="88">
        <f t="shared" ref="L44" si="37">SUM(L49-K49)-SUM(L37:L43)</f>
        <v>-12344</v>
      </c>
      <c r="M44" s="88">
        <f t="shared" ref="M44" si="38">SUM(M49-L49)-SUM(M37:M43)</f>
        <v>11101</v>
      </c>
      <c r="N44" s="88">
        <f t="shared" ref="N44" si="39">SUM(N49-M49)-SUM(N37:N43)</f>
        <v>792</v>
      </c>
      <c r="O44" s="88">
        <f t="shared" ref="O44" si="40">SUM(O49-N49)-SUM(O37:O43)</f>
        <v>4145</v>
      </c>
      <c r="P44" s="88">
        <f t="shared" ref="P44" si="41">SUM(P49-O49)-SUM(P37:P43)</f>
        <v>-2071</v>
      </c>
      <c r="Q44" s="88">
        <f t="shared" ref="Q44" si="42">SUM(Q49-P49)-SUM(Q37:Q43)</f>
        <v>-22510</v>
      </c>
      <c r="R44" s="88">
        <f t="shared" ref="R44" si="43">SUM(R49-Q49)-SUM(R37:R43)</f>
        <v>-54456</v>
      </c>
      <c r="S44" s="88">
        <f t="shared" ref="S44" si="44">SUM(S49-R49)-SUM(S37:S43)</f>
        <v>11822</v>
      </c>
      <c r="T44" s="88">
        <f t="shared" ref="T44" si="45">SUM(T49-S49)-SUM(T37:T43)</f>
        <v>67489</v>
      </c>
      <c r="U44" s="88">
        <f t="shared" ref="U44" si="46">SUM(U49-T49)-SUM(U37:U43)</f>
        <v>-3156</v>
      </c>
      <c r="V44" s="88"/>
      <c r="W44" s="88">
        <f t="shared" ref="W44" si="47">SUM(H44:K44)</f>
        <v>85886</v>
      </c>
      <c r="X44" s="88">
        <f t="shared" ref="X44:AB44" si="48">SUM(I44:L44)</f>
        <v>69864</v>
      </c>
      <c r="Y44" s="88">
        <f t="shared" si="48"/>
        <v>23907</v>
      </c>
      <c r="Z44" s="88">
        <f t="shared" si="48"/>
        <v>24326</v>
      </c>
      <c r="AA44" s="88">
        <f t="shared" si="48"/>
        <v>3694</v>
      </c>
      <c r="AB44" s="88">
        <f t="shared" si="48"/>
        <v>13967</v>
      </c>
      <c r="AC44" s="88">
        <f t="shared" si="32"/>
        <v>-19644</v>
      </c>
      <c r="AD44" s="88">
        <f t="shared" si="32"/>
        <v>-74892</v>
      </c>
      <c r="AE44" s="88">
        <f t="shared" si="32"/>
        <v>-67215</v>
      </c>
      <c r="AF44" s="88">
        <f t="shared" si="32"/>
        <v>2345</v>
      </c>
      <c r="AG44" s="88">
        <f t="shared" si="32"/>
        <v>21699</v>
      </c>
      <c r="AI44" s="108">
        <f t="shared" si="26"/>
        <v>-2.1046120952962735</v>
      </c>
    </row>
    <row r="45" spans="1:35" ht="12.75" customHeight="1" x14ac:dyDescent="0.2">
      <c r="B45" s="105" t="s">
        <v>155</v>
      </c>
      <c r="C45" s="106">
        <f>SUM(C37:C44)</f>
        <v>68916</v>
      </c>
      <c r="D45" s="106">
        <f>SUM(D37+SUM(D39:D44))</f>
        <v>-67730</v>
      </c>
      <c r="E45" s="106">
        <f>SUM(E37+SUM(E39:E44))</f>
        <v>-69324</v>
      </c>
      <c r="F45" s="106">
        <f>SUM(F37+SUM(F39:F44))</f>
        <v>-35511</v>
      </c>
      <c r="G45" s="134"/>
      <c r="H45" s="106">
        <f>SUM(H37+SUM(H39:H44))</f>
        <v>-19280</v>
      </c>
      <c r="I45" s="106">
        <f>SUM(I37+SUM(I39:I44))</f>
        <v>-17187</v>
      </c>
      <c r="J45" s="106">
        <f>SUM(J37+SUM(J39:J44))</f>
        <v>-17304</v>
      </c>
      <c r="K45" s="106">
        <f>SUM(K37+SUM(K39:K44))</f>
        <v>-13959</v>
      </c>
      <c r="L45" s="106">
        <f>SUM(L37+SUM(L39:L44))</f>
        <v>-20202</v>
      </c>
      <c r="M45" s="106">
        <f>SUM(M37+SUM(M39:M44))</f>
        <v>-14966</v>
      </c>
      <c r="N45" s="106">
        <f>SUM(N37+SUM(N39:N44))</f>
        <v>-14618</v>
      </c>
      <c r="O45" s="106">
        <f>SUM(O37+SUM(O39:O44))</f>
        <v>-19538</v>
      </c>
      <c r="P45" s="106">
        <f>SUM(P37+SUM(P39:P44))</f>
        <v>35057</v>
      </c>
      <c r="Q45" s="106">
        <f>SUM(Q37+SUM(Q39:Q44))</f>
        <v>-21942</v>
      </c>
      <c r="R45" s="106">
        <f>SUM(R37+SUM(R39:R44))</f>
        <v>-72992</v>
      </c>
      <c r="S45" s="106">
        <f>SUM(S37+SUM(S39:S44))</f>
        <v>24366</v>
      </c>
      <c r="T45" s="106">
        <f>SUM(T37+SUM(T39:T44))</f>
        <v>17910</v>
      </c>
      <c r="U45" s="106">
        <f>SUM(U37+SUM(U39:U44))</f>
        <v>-24815</v>
      </c>
      <c r="V45" s="85"/>
      <c r="W45" s="106">
        <f>SUM(W37+SUM(W39:W44))</f>
        <v>-67730</v>
      </c>
      <c r="X45" s="106">
        <f>SUM(X37+SUM(X39:X44))</f>
        <v>-68652</v>
      </c>
      <c r="Y45" s="106">
        <f>SUM(Y37+SUM(Y39:Y44))</f>
        <v>-66530</v>
      </c>
      <c r="Z45" s="106">
        <f>SUM(Z37+SUM(Z39:Z44))</f>
        <v>-63979</v>
      </c>
      <c r="AA45" s="106">
        <f>SUM(AA37+SUM(AA39:AA44))</f>
        <v>-69584</v>
      </c>
      <c r="AB45" s="106">
        <f>SUM(AB37+SUM(AB39:AB44))</f>
        <v>-14265</v>
      </c>
      <c r="AC45" s="106">
        <f>SUM(AC37+SUM(AC39:AC44))</f>
        <v>-21041</v>
      </c>
      <c r="AD45" s="106">
        <f>SUM(AD37+SUM(AD39:AD44))</f>
        <v>-79415</v>
      </c>
      <c r="AE45" s="106">
        <f>SUM(AE37+SUM(AE39:AE44))</f>
        <v>-35511</v>
      </c>
      <c r="AF45" s="106">
        <f>SUM(AF37+SUM(AF39:AF44))</f>
        <v>-52658</v>
      </c>
      <c r="AG45" s="106">
        <f>SUM(AG37+SUM(AG39:AG44))</f>
        <v>-55531</v>
      </c>
      <c r="AI45" s="108">
        <f t="shared" si="26"/>
        <v>1.6391806473076374</v>
      </c>
    </row>
    <row r="46" spans="1:35" ht="5.0999999999999996" customHeight="1" x14ac:dyDescent="0.2">
      <c r="AI46" s="162"/>
    </row>
    <row r="47" spans="1:35" ht="12.75" customHeight="1" x14ac:dyDescent="0.2">
      <c r="A47" s="85"/>
      <c r="B47" s="86" t="s">
        <v>156</v>
      </c>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row>
    <row r="48" spans="1:35" ht="5.0999999999999996" customHeight="1" x14ac:dyDescent="0.2"/>
    <row r="49" spans="2:33" ht="12.75" customHeight="1" x14ac:dyDescent="0.2">
      <c r="B49" s="133" t="s">
        <v>157</v>
      </c>
      <c r="C49" s="88">
        <f>'Base Financials'!C35</f>
        <v>217502</v>
      </c>
      <c r="D49" s="88">
        <f>'Base Financials'!D35</f>
        <v>149772</v>
      </c>
      <c r="E49" s="88">
        <f>'Base Financials'!E35</f>
        <v>80448</v>
      </c>
      <c r="F49" s="88">
        <f>'Base Financials'!F35</f>
        <v>44937</v>
      </c>
      <c r="G49" s="88"/>
      <c r="H49" s="88">
        <f>'Base Financials'!H35</f>
        <v>198222</v>
      </c>
      <c r="I49" s="88">
        <f>'Base Financials'!I35</f>
        <v>181035</v>
      </c>
      <c r="J49" s="88">
        <f>'Base Financials'!J35</f>
        <v>163731</v>
      </c>
      <c r="K49" s="88">
        <f>'Base Financials'!K35</f>
        <v>149772</v>
      </c>
      <c r="L49" s="88">
        <f>'Base Financials'!L35</f>
        <v>129570</v>
      </c>
      <c r="M49" s="88">
        <f>'Base Financials'!M35</f>
        <v>114604</v>
      </c>
      <c r="N49" s="88">
        <f>'Base Financials'!N35</f>
        <v>99986</v>
      </c>
      <c r="O49" s="88">
        <f>'Base Financials'!O35</f>
        <v>80448</v>
      </c>
      <c r="P49" s="88">
        <f>'Base Financials'!P35</f>
        <v>115505</v>
      </c>
      <c r="Q49" s="88">
        <f>'Base Financials'!Q35</f>
        <v>93563</v>
      </c>
      <c r="R49" s="88">
        <f>'Base Financials'!R35</f>
        <v>20571</v>
      </c>
      <c r="S49" s="88">
        <f>'Base Financials'!S35</f>
        <v>44937</v>
      </c>
      <c r="T49" s="88">
        <f>'Base Financials'!T35</f>
        <v>62847</v>
      </c>
      <c r="U49" s="88">
        <f>'Base Financials'!U35</f>
        <v>38032</v>
      </c>
      <c r="V49" s="88"/>
      <c r="W49" s="88">
        <f t="shared" ref="W49:AG50" si="49">K49</f>
        <v>149772</v>
      </c>
      <c r="X49" s="88">
        <f t="shared" si="49"/>
        <v>129570</v>
      </c>
      <c r="Y49" s="88">
        <f t="shared" si="49"/>
        <v>114604</v>
      </c>
      <c r="Z49" s="88">
        <f t="shared" si="49"/>
        <v>99986</v>
      </c>
      <c r="AA49" s="88">
        <f t="shared" si="49"/>
        <v>80448</v>
      </c>
      <c r="AB49" s="88">
        <f t="shared" si="49"/>
        <v>115505</v>
      </c>
      <c r="AC49" s="88">
        <f t="shared" si="49"/>
        <v>93563</v>
      </c>
      <c r="AD49" s="88">
        <f t="shared" si="49"/>
        <v>20571</v>
      </c>
      <c r="AE49" s="88">
        <f t="shared" si="49"/>
        <v>44937</v>
      </c>
      <c r="AF49" s="88">
        <f t="shared" si="49"/>
        <v>62847</v>
      </c>
      <c r="AG49" s="88">
        <f t="shared" si="49"/>
        <v>38032</v>
      </c>
    </row>
    <row r="50" spans="2:33" ht="12.75" customHeight="1" x14ac:dyDescent="0.2">
      <c r="B50" s="133" t="s">
        <v>182</v>
      </c>
      <c r="C50" s="88">
        <f>'Base Financials'!C37</f>
        <v>8000</v>
      </c>
      <c r="D50" s="88">
        <f>'Base Financials'!D37</f>
        <v>2107</v>
      </c>
      <c r="E50" s="88">
        <f>'Base Financials'!E37</f>
        <v>0</v>
      </c>
      <c r="F50" s="88">
        <f>'Base Financials'!F37</f>
        <v>0</v>
      </c>
      <c r="G50" s="88"/>
      <c r="H50" s="88">
        <f>'Base Financials'!H37</f>
        <v>8000</v>
      </c>
      <c r="I50" s="88">
        <f>'Base Financials'!I37</f>
        <v>8000</v>
      </c>
      <c r="J50" s="88">
        <f>'Base Financials'!J37</f>
        <v>8000</v>
      </c>
      <c r="K50" s="88">
        <f>'Base Financials'!K37</f>
        <v>2107</v>
      </c>
      <c r="L50" s="88">
        <f>'Base Financials'!L37</f>
        <v>2107</v>
      </c>
      <c r="M50" s="88">
        <f>'Base Financials'!M37</f>
        <v>0</v>
      </c>
      <c r="N50" s="88">
        <f>'Base Financials'!N37</f>
        <v>0</v>
      </c>
      <c r="O50" s="88">
        <f>'Base Financials'!O37</f>
        <v>0</v>
      </c>
      <c r="P50" s="88">
        <f>'Base Financials'!P37</f>
        <v>0</v>
      </c>
      <c r="Q50" s="88">
        <f>'Base Financials'!Q37</f>
        <v>0</v>
      </c>
      <c r="R50" s="88">
        <f>'Base Financials'!R37</f>
        <v>0</v>
      </c>
      <c r="S50" s="88">
        <f>'Base Financials'!S37</f>
        <v>0</v>
      </c>
      <c r="T50" s="88">
        <f>'Base Financials'!T37</f>
        <v>0</v>
      </c>
      <c r="U50" s="88">
        <f>'Base Financials'!U37</f>
        <v>0</v>
      </c>
      <c r="V50" s="88"/>
      <c r="W50" s="88">
        <f t="shared" si="49"/>
        <v>2107</v>
      </c>
      <c r="X50" s="88">
        <f t="shared" si="49"/>
        <v>2107</v>
      </c>
      <c r="Y50" s="88">
        <f t="shared" si="49"/>
        <v>0</v>
      </c>
      <c r="Z50" s="88">
        <f t="shared" si="49"/>
        <v>0</v>
      </c>
      <c r="AA50" s="88">
        <f t="shared" si="49"/>
        <v>0</v>
      </c>
      <c r="AB50" s="88">
        <f t="shared" si="49"/>
        <v>0</v>
      </c>
      <c r="AC50" s="88">
        <f t="shared" si="49"/>
        <v>0</v>
      </c>
      <c r="AD50" s="88">
        <f t="shared" si="49"/>
        <v>0</v>
      </c>
      <c r="AE50" s="88">
        <f t="shared" si="49"/>
        <v>0</v>
      </c>
      <c r="AF50" s="88">
        <f t="shared" si="49"/>
        <v>0</v>
      </c>
      <c r="AG50" s="88">
        <f t="shared" si="49"/>
        <v>0</v>
      </c>
    </row>
    <row r="51" spans="2:33" ht="12.75" customHeight="1" x14ac:dyDescent="0.2">
      <c r="B51" s="105" t="s">
        <v>158</v>
      </c>
      <c r="C51" s="106">
        <f>SUM(C49:C50)</f>
        <v>225502</v>
      </c>
      <c r="D51" s="106">
        <f>SUM(D49:D50)</f>
        <v>151879</v>
      </c>
      <c r="E51" s="106">
        <f>SUM(E49:E50)</f>
        <v>80448</v>
      </c>
      <c r="F51" s="106">
        <f>SUM(F49:F50)</f>
        <v>44937</v>
      </c>
      <c r="G51" s="134"/>
      <c r="H51" s="106">
        <f>SUM(H49:H50)</f>
        <v>206222</v>
      </c>
      <c r="I51" s="106">
        <f>SUM(I49:I50)</f>
        <v>189035</v>
      </c>
      <c r="J51" s="106">
        <f>SUM(J49:J50)</f>
        <v>171731</v>
      </c>
      <c r="K51" s="106">
        <f>SUM(K49:K50)</f>
        <v>151879</v>
      </c>
      <c r="L51" s="106">
        <f>SUM(L49:L50)</f>
        <v>131677</v>
      </c>
      <c r="M51" s="106">
        <f>SUM(M49:M50)</f>
        <v>114604</v>
      </c>
      <c r="N51" s="106">
        <f>SUM(N49:N50)</f>
        <v>99986</v>
      </c>
      <c r="O51" s="106">
        <f>SUM(O49:O50)</f>
        <v>80448</v>
      </c>
      <c r="P51" s="106">
        <f>SUM(P49:P50)</f>
        <v>115505</v>
      </c>
      <c r="Q51" s="106">
        <f>SUM(Q49:Q50)</f>
        <v>93563</v>
      </c>
      <c r="R51" s="106">
        <f>SUM(R49:R50)</f>
        <v>20571</v>
      </c>
      <c r="S51" s="106">
        <f>SUM(S49:S50)</f>
        <v>44937</v>
      </c>
      <c r="T51" s="106">
        <f>SUM(T49:T50)</f>
        <v>62847</v>
      </c>
      <c r="U51" s="106">
        <f>SUM(U49:U50)</f>
        <v>38032</v>
      </c>
      <c r="V51" s="85"/>
      <c r="W51" s="106">
        <f>SUM(W49:W50)</f>
        <v>151879</v>
      </c>
      <c r="X51" s="106">
        <f>SUM(X49:X50)</f>
        <v>131677</v>
      </c>
      <c r="Y51" s="106">
        <f>SUM(Y49:Y50)</f>
        <v>114604</v>
      </c>
      <c r="Z51" s="106">
        <f>SUM(Z49:Z50)</f>
        <v>99986</v>
      </c>
      <c r="AA51" s="106">
        <f>SUM(AA49:AA50)</f>
        <v>80448</v>
      </c>
      <c r="AB51" s="106">
        <f>SUM(AB49:AB50)</f>
        <v>115505</v>
      </c>
      <c r="AC51" s="106">
        <f>SUM(AC49:AC50)</f>
        <v>93563</v>
      </c>
      <c r="AD51" s="106">
        <f>SUM(AD49:AD50)</f>
        <v>20571</v>
      </c>
      <c r="AE51" s="106">
        <f>SUM(AE49:AE50)</f>
        <v>44937</v>
      </c>
      <c r="AF51" s="106">
        <f>SUM(AF49:AF50)</f>
        <v>62847</v>
      </c>
      <c r="AG51" s="106">
        <f>SUM(AG49:AG50)</f>
        <v>38032</v>
      </c>
    </row>
    <row r="52" spans="2:33" ht="5.0999999999999996" customHeight="1" x14ac:dyDescent="0.2"/>
    <row r="53" spans="2:33" ht="5.0999999999999996" customHeight="1" x14ac:dyDescent="0.2"/>
    <row r="54" spans="2:33" ht="12.75" customHeight="1" x14ac:dyDescent="0.2">
      <c r="B54" s="148" t="s">
        <v>159</v>
      </c>
    </row>
    <row r="55" spans="2:33" ht="12.75" customHeight="1" x14ac:dyDescent="0.2">
      <c r="B55" s="133" t="s">
        <v>120</v>
      </c>
      <c r="C55" s="88">
        <f>'Base Financials'!C36</f>
        <v>176</v>
      </c>
      <c r="D55" s="88">
        <f>'Base Financials'!D36</f>
        <v>31</v>
      </c>
      <c r="E55" s="88">
        <f>'Base Financials'!E36</f>
        <v>0</v>
      </c>
      <c r="F55" s="88">
        <f>'Base Financials'!F36</f>
        <v>0</v>
      </c>
      <c r="G55" s="88"/>
      <c r="H55" s="88">
        <f>'Base Financials'!H36</f>
        <v>233</v>
      </c>
      <c r="I55" s="88">
        <f>'Base Financials'!I36</f>
        <v>1301</v>
      </c>
      <c r="J55" s="88">
        <f>'Base Financials'!J36</f>
        <v>31</v>
      </c>
      <c r="K55" s="88">
        <f>'Base Financials'!K36</f>
        <v>31</v>
      </c>
      <c r="L55" s="88">
        <f>'Base Financials'!L36</f>
        <v>0</v>
      </c>
      <c r="M55" s="88">
        <f>'Base Financials'!M36</f>
        <v>0</v>
      </c>
      <c r="N55" s="88">
        <f>'Base Financials'!N36</f>
        <v>0</v>
      </c>
      <c r="O55" s="88">
        <f>'Base Financials'!O36</f>
        <v>0</v>
      </c>
      <c r="P55" s="88">
        <f>'Base Financials'!P36</f>
        <v>0</v>
      </c>
      <c r="Q55" s="88">
        <f>'Base Financials'!Q36</f>
        <v>0</v>
      </c>
      <c r="R55" s="88">
        <f>'Base Financials'!R36</f>
        <v>0</v>
      </c>
      <c r="S55" s="88">
        <f>'Base Financials'!S36</f>
        <v>0</v>
      </c>
      <c r="T55" s="88">
        <f>'Base Financials'!T36</f>
        <v>488</v>
      </c>
      <c r="U55" s="88">
        <f>'Base Financials'!U36</f>
        <v>394</v>
      </c>
      <c r="V55" s="88"/>
      <c r="W55" s="88">
        <f t="shared" ref="W55:AG62" si="50">K55</f>
        <v>31</v>
      </c>
      <c r="X55" s="88">
        <f t="shared" si="50"/>
        <v>0</v>
      </c>
      <c r="Y55" s="88">
        <f t="shared" si="50"/>
        <v>0</v>
      </c>
      <c r="Z55" s="88">
        <f t="shared" si="50"/>
        <v>0</v>
      </c>
      <c r="AA55" s="88">
        <f t="shared" si="50"/>
        <v>0</v>
      </c>
      <c r="AB55" s="88">
        <f t="shared" si="50"/>
        <v>0</v>
      </c>
      <c r="AC55" s="88">
        <f t="shared" si="50"/>
        <v>0</v>
      </c>
      <c r="AD55" s="88">
        <f t="shared" si="50"/>
        <v>0</v>
      </c>
      <c r="AE55" s="88">
        <f t="shared" si="50"/>
        <v>0</v>
      </c>
      <c r="AF55" s="88">
        <f t="shared" si="50"/>
        <v>488</v>
      </c>
      <c r="AG55" s="88">
        <f t="shared" si="50"/>
        <v>394</v>
      </c>
    </row>
    <row r="56" spans="2:33" ht="12.75" customHeight="1" x14ac:dyDescent="0.2">
      <c r="B56" s="133" t="s">
        <v>160</v>
      </c>
      <c r="C56" s="88">
        <f>'Base Financials'!C50</f>
        <v>2094</v>
      </c>
      <c r="D56" s="88">
        <f>'Base Financials'!D50</f>
        <v>1595</v>
      </c>
      <c r="E56" s="88">
        <f>'Base Financials'!E50</f>
        <v>6490</v>
      </c>
      <c r="F56" s="88">
        <f>'Base Financials'!F50</f>
        <v>4490</v>
      </c>
      <c r="G56" s="88"/>
      <c r="H56" s="88">
        <f>'Base Financials'!H50</f>
        <v>3037</v>
      </c>
      <c r="I56" s="88">
        <f>'Base Financials'!I50</f>
        <v>2537</v>
      </c>
      <c r="J56" s="88">
        <f>'Base Financials'!J50</f>
        <v>3255</v>
      </c>
      <c r="K56" s="88">
        <f>'Base Financials'!K50</f>
        <v>1595</v>
      </c>
      <c r="L56" s="88">
        <f>'Base Financials'!L50</f>
        <v>1954</v>
      </c>
      <c r="M56" s="88">
        <f>'Base Financials'!M50</f>
        <v>2362</v>
      </c>
      <c r="N56" s="88">
        <f>'Base Financials'!N50</f>
        <v>3018</v>
      </c>
      <c r="O56" s="88">
        <f>'Base Financials'!O50</f>
        <v>6490</v>
      </c>
      <c r="P56" s="88">
        <f>'Base Financials'!P50</f>
        <v>3452</v>
      </c>
      <c r="Q56" s="88">
        <f>'Base Financials'!Q50</f>
        <v>6005</v>
      </c>
      <c r="R56" s="88">
        <f>'Base Financials'!R50</f>
        <v>6903</v>
      </c>
      <c r="S56" s="88">
        <f>'Base Financials'!S50</f>
        <v>4490</v>
      </c>
      <c r="T56" s="88">
        <f>'Base Financials'!T50</f>
        <v>5572</v>
      </c>
      <c r="U56" s="88">
        <f>'Base Financials'!U50</f>
        <v>6629</v>
      </c>
      <c r="V56" s="88"/>
      <c r="W56" s="88">
        <f t="shared" si="50"/>
        <v>1595</v>
      </c>
      <c r="X56" s="88">
        <f t="shared" si="50"/>
        <v>1954</v>
      </c>
      <c r="Y56" s="88">
        <f t="shared" si="50"/>
        <v>2362</v>
      </c>
      <c r="Z56" s="88">
        <f t="shared" si="50"/>
        <v>3018</v>
      </c>
      <c r="AA56" s="88">
        <f t="shared" si="50"/>
        <v>6490</v>
      </c>
      <c r="AB56" s="88">
        <f t="shared" si="50"/>
        <v>3452</v>
      </c>
      <c r="AC56" s="88">
        <f t="shared" si="50"/>
        <v>6005</v>
      </c>
      <c r="AD56" s="88">
        <f t="shared" si="50"/>
        <v>6903</v>
      </c>
      <c r="AE56" s="88">
        <f t="shared" si="50"/>
        <v>4490</v>
      </c>
      <c r="AF56" s="88">
        <f t="shared" si="50"/>
        <v>5572</v>
      </c>
      <c r="AG56" s="88">
        <f t="shared" si="50"/>
        <v>6629</v>
      </c>
    </row>
    <row r="57" spans="2:33" ht="12.75" customHeight="1" x14ac:dyDescent="0.2">
      <c r="B57" s="133" t="s">
        <v>161</v>
      </c>
      <c r="C57" s="88">
        <f>'Base Financials'!C44</f>
        <v>35034</v>
      </c>
      <c r="D57" s="88">
        <f>'Base Financials'!D44</f>
        <v>30039</v>
      </c>
      <c r="E57" s="88">
        <f>'Base Financials'!E44</f>
        <v>26791</v>
      </c>
      <c r="F57" s="88">
        <f>'Base Financials'!F44</f>
        <v>23063</v>
      </c>
      <c r="G57" s="88"/>
      <c r="H57" s="88">
        <f>'Base Financials'!H44</f>
        <v>33540</v>
      </c>
      <c r="I57" s="88">
        <f>'Base Financials'!I44</f>
        <v>32227</v>
      </c>
      <c r="J57" s="88">
        <f>'Base Financials'!J44</f>
        <v>31026</v>
      </c>
      <c r="K57" s="88">
        <f>'Base Financials'!K44</f>
        <v>30039</v>
      </c>
      <c r="L57" s="88">
        <f>'Base Financials'!L44</f>
        <v>29593</v>
      </c>
      <c r="M57" s="88">
        <f>'Base Financials'!M44</f>
        <v>28543</v>
      </c>
      <c r="N57" s="88">
        <f>'Base Financials'!N44</f>
        <v>27851</v>
      </c>
      <c r="O57" s="88">
        <f>'Base Financials'!O44</f>
        <v>26791</v>
      </c>
      <c r="P57" s="88">
        <f>'Base Financials'!P44</f>
        <v>25653</v>
      </c>
      <c r="Q57" s="88">
        <f>'Base Financials'!Q44</f>
        <v>24820</v>
      </c>
      <c r="R57" s="88">
        <f>'Base Financials'!R44</f>
        <v>24250</v>
      </c>
      <c r="S57" s="88">
        <f>'Base Financials'!S44</f>
        <v>23063</v>
      </c>
      <c r="T57" s="88">
        <f>'Base Financials'!T44</f>
        <v>22436</v>
      </c>
      <c r="U57" s="88">
        <f>'Base Financials'!U44</f>
        <v>21191</v>
      </c>
      <c r="V57" s="88"/>
      <c r="W57" s="88">
        <f t="shared" si="50"/>
        <v>30039</v>
      </c>
      <c r="X57" s="88">
        <f t="shared" si="50"/>
        <v>29593</v>
      </c>
      <c r="Y57" s="88">
        <f t="shared" si="50"/>
        <v>28543</v>
      </c>
      <c r="Z57" s="88">
        <f t="shared" si="50"/>
        <v>27851</v>
      </c>
      <c r="AA57" s="88">
        <f t="shared" si="50"/>
        <v>26791</v>
      </c>
      <c r="AB57" s="88">
        <f t="shared" si="50"/>
        <v>25653</v>
      </c>
      <c r="AC57" s="88">
        <f t="shared" ref="AC57:AC60" si="51">Q57</f>
        <v>24820</v>
      </c>
      <c r="AD57" s="88">
        <f t="shared" ref="AD57:AD60" si="52">R57</f>
        <v>24250</v>
      </c>
      <c r="AE57" s="88">
        <f t="shared" ref="AE57:AE60" si="53">S57</f>
        <v>23063</v>
      </c>
      <c r="AF57" s="88">
        <f t="shared" ref="AF57:AF60" si="54">T57</f>
        <v>22436</v>
      </c>
      <c r="AG57" s="88">
        <f t="shared" ref="AG57:AG60" si="55">U57</f>
        <v>21191</v>
      </c>
    </row>
    <row r="58" spans="2:33" ht="12.75" customHeight="1" x14ac:dyDescent="0.2">
      <c r="B58" s="133" t="s">
        <v>185</v>
      </c>
      <c r="C58" s="88">
        <f>'Base Financials'!C53</f>
        <v>0</v>
      </c>
      <c r="D58" s="88">
        <f>'Base Financials'!D53</f>
        <v>0</v>
      </c>
      <c r="E58" s="88">
        <f>'Base Financials'!E53</f>
        <v>0</v>
      </c>
      <c r="F58" s="88">
        <f>'Base Financials'!F53</f>
        <v>0</v>
      </c>
      <c r="G58" s="88"/>
      <c r="H58" s="88">
        <f>'Base Financials'!H53</f>
        <v>0</v>
      </c>
      <c r="I58" s="88">
        <f>'Base Financials'!I53</f>
        <v>0</v>
      </c>
      <c r="J58" s="88">
        <f>'Base Financials'!J53</f>
        <v>0</v>
      </c>
      <c r="K58" s="88">
        <f>'Base Financials'!K53</f>
        <v>0</v>
      </c>
      <c r="L58" s="88">
        <f>'Base Financials'!L53</f>
        <v>0</v>
      </c>
      <c r="M58" s="88">
        <f>'Base Financials'!M53</f>
        <v>0</v>
      </c>
      <c r="N58" s="88">
        <f>'Base Financials'!N53</f>
        <v>0</v>
      </c>
      <c r="O58" s="88">
        <f>'Base Financials'!O53</f>
        <v>0</v>
      </c>
      <c r="P58" s="88">
        <f>'Base Financials'!P53</f>
        <v>0</v>
      </c>
      <c r="Q58" s="88">
        <f>'Base Financials'!Q53</f>
        <v>0</v>
      </c>
      <c r="R58" s="88">
        <f>'Base Financials'!R53</f>
        <v>0</v>
      </c>
      <c r="S58" s="88">
        <f>'Base Financials'!S53</f>
        <v>0</v>
      </c>
      <c r="T58" s="88">
        <f>'Base Financials'!T53</f>
        <v>1690</v>
      </c>
      <c r="U58" s="88">
        <f>'Base Financials'!U53</f>
        <v>2116</v>
      </c>
      <c r="V58" s="88"/>
      <c r="W58" s="88"/>
      <c r="X58" s="88"/>
      <c r="Y58" s="88"/>
      <c r="Z58" s="88"/>
      <c r="AA58" s="88"/>
      <c r="AB58" s="88"/>
      <c r="AC58" s="88">
        <f t="shared" si="51"/>
        <v>0</v>
      </c>
      <c r="AD58" s="88">
        <f t="shared" si="52"/>
        <v>0</v>
      </c>
      <c r="AE58" s="88">
        <f t="shared" si="53"/>
        <v>0</v>
      </c>
      <c r="AF58" s="88">
        <f t="shared" si="54"/>
        <v>1690</v>
      </c>
      <c r="AG58" s="88">
        <f t="shared" si="55"/>
        <v>2116</v>
      </c>
    </row>
    <row r="59" spans="2:33" ht="12.75" customHeight="1" x14ac:dyDescent="0.2">
      <c r="B59" s="133" t="s">
        <v>183</v>
      </c>
      <c r="C59" s="88">
        <f>'Base Financials'!C59</f>
        <v>0</v>
      </c>
      <c r="D59" s="88">
        <f>'Base Financials'!D59</f>
        <v>0</v>
      </c>
      <c r="E59" s="88">
        <f>'Base Financials'!E59</f>
        <v>38600</v>
      </c>
      <c r="F59" s="88">
        <f>'Base Financials'!F59</f>
        <v>63354</v>
      </c>
      <c r="G59" s="88"/>
      <c r="H59" s="88">
        <f>'Base Financials'!H59</f>
        <v>0</v>
      </c>
      <c r="I59" s="88">
        <f>'Base Financials'!I59</f>
        <v>0</v>
      </c>
      <c r="J59" s="88">
        <f>'Base Financials'!J59</f>
        <v>0</v>
      </c>
      <c r="K59" s="88">
        <f>'Base Financials'!K59</f>
        <v>0</v>
      </c>
      <c r="L59" s="88">
        <f>'Base Financials'!L59</f>
        <v>0</v>
      </c>
      <c r="M59" s="88">
        <f>'Base Financials'!M59</f>
        <v>36248</v>
      </c>
      <c r="N59" s="88">
        <f>'Base Financials'!N59</f>
        <v>37286</v>
      </c>
      <c r="O59" s="88">
        <f>'Base Financials'!O59</f>
        <v>38600</v>
      </c>
      <c r="P59" s="88">
        <f>'Base Financials'!P59</f>
        <v>57959</v>
      </c>
      <c r="Q59" s="88">
        <f>'Base Financials'!Q59</f>
        <v>60078</v>
      </c>
      <c r="R59" s="88">
        <f>'Base Financials'!R59</f>
        <v>62117</v>
      </c>
      <c r="S59" s="88">
        <f>'Base Financials'!S59</f>
        <v>63354</v>
      </c>
      <c r="T59" s="88">
        <f>'Base Financials'!T59</f>
        <v>64672</v>
      </c>
      <c r="U59" s="88">
        <f>'Base Financials'!U59</f>
        <v>66425</v>
      </c>
      <c r="V59" s="88"/>
      <c r="W59" s="88"/>
      <c r="X59" s="88"/>
      <c r="Y59" s="88"/>
      <c r="Z59" s="88"/>
      <c r="AA59" s="88"/>
      <c r="AB59" s="88"/>
      <c r="AC59" s="88">
        <f t="shared" si="51"/>
        <v>60078</v>
      </c>
      <c r="AD59" s="88">
        <f t="shared" si="52"/>
        <v>62117</v>
      </c>
      <c r="AE59" s="88">
        <f t="shared" si="53"/>
        <v>63354</v>
      </c>
      <c r="AF59" s="88">
        <f t="shared" si="54"/>
        <v>64672</v>
      </c>
      <c r="AG59" s="88">
        <f t="shared" si="55"/>
        <v>66425</v>
      </c>
    </row>
    <row r="60" spans="2:33" ht="12.75" customHeight="1" x14ac:dyDescent="0.2">
      <c r="B60" s="133" t="s">
        <v>184</v>
      </c>
      <c r="C60" s="88">
        <f>'Base Financials'!C60</f>
        <v>103660</v>
      </c>
      <c r="D60" s="88">
        <f>'Base Financials'!D60</f>
        <v>27893</v>
      </c>
      <c r="E60" s="88">
        <f>'Base Financials'!E60</f>
        <v>37916</v>
      </c>
      <c r="F60" s="88">
        <f>'Base Financials'!F60</f>
        <v>70961</v>
      </c>
      <c r="G60" s="88"/>
      <c r="H60" s="88">
        <f>'Base Financials'!H60</f>
        <v>100402</v>
      </c>
      <c r="I60" s="88">
        <f>'Base Financials'!I60</f>
        <v>44049</v>
      </c>
      <c r="J60" s="88">
        <f>'Base Financials'!J60</f>
        <v>45011</v>
      </c>
      <c r="K60" s="88">
        <f>'Base Financials'!K60</f>
        <v>27893</v>
      </c>
      <c r="L60" s="88">
        <f>'Base Financials'!L60</f>
        <v>42084</v>
      </c>
      <c r="M60" s="88">
        <f>'Base Financials'!M60</f>
        <v>38457</v>
      </c>
      <c r="N60" s="88">
        <f>'Base Financials'!N60</f>
        <v>39601</v>
      </c>
      <c r="O60" s="88">
        <f>'Base Financials'!O60</f>
        <v>37916</v>
      </c>
      <c r="P60" s="88">
        <f>'Base Financials'!P60</f>
        <v>42509</v>
      </c>
      <c r="Q60" s="88">
        <f>'Base Financials'!Q60</f>
        <v>68080</v>
      </c>
      <c r="R60" s="88">
        <f>'Base Financials'!R60</f>
        <v>76569</v>
      </c>
      <c r="S60" s="88">
        <f>'Base Financials'!S60</f>
        <v>70961</v>
      </c>
      <c r="T60" s="88">
        <f>'Base Financials'!T60</f>
        <v>21230</v>
      </c>
      <c r="U60" s="88">
        <f>'Base Financials'!U60</f>
        <v>26700</v>
      </c>
      <c r="V60" s="88"/>
      <c r="W60" s="88"/>
      <c r="X60" s="88"/>
      <c r="Y60" s="88"/>
      <c r="Z60" s="88"/>
      <c r="AA60" s="88"/>
      <c r="AB60" s="88"/>
      <c r="AC60" s="88">
        <f t="shared" si="51"/>
        <v>68080</v>
      </c>
      <c r="AD60" s="88">
        <f t="shared" si="52"/>
        <v>76569</v>
      </c>
      <c r="AE60" s="88">
        <f t="shared" si="53"/>
        <v>70961</v>
      </c>
      <c r="AF60" s="88">
        <f t="shared" si="54"/>
        <v>21230</v>
      </c>
      <c r="AG60" s="88">
        <f t="shared" si="55"/>
        <v>26700</v>
      </c>
    </row>
    <row r="61" spans="2:33" ht="12.75" customHeight="1" x14ac:dyDescent="0.2">
      <c r="B61" s="133" t="s">
        <v>23</v>
      </c>
      <c r="C61" s="153">
        <f>'Base Financials'!C56</f>
        <v>11050</v>
      </c>
      <c r="D61" s="153">
        <f>'Base Financials'!D56</f>
        <v>19580</v>
      </c>
      <c r="E61" s="153">
        <f>'Base Financials'!E56</f>
        <v>18443</v>
      </c>
      <c r="F61" s="153">
        <f>'Base Financials'!F56</f>
        <v>19954</v>
      </c>
      <c r="G61" s="88"/>
      <c r="H61" s="153">
        <f>'Base Financials'!H56</f>
        <v>10763</v>
      </c>
      <c r="I61" s="153">
        <f>'Base Financials'!I56</f>
        <v>11058</v>
      </c>
      <c r="J61" s="153">
        <f>'Base Financials'!J56</f>
        <v>17906</v>
      </c>
      <c r="K61" s="153">
        <f>'Base Financials'!K56</f>
        <v>19580</v>
      </c>
      <c r="L61" s="153">
        <f>'Base Financials'!L56</f>
        <v>23601</v>
      </c>
      <c r="M61" s="153">
        <f>'Base Financials'!M56</f>
        <v>11388</v>
      </c>
      <c r="N61" s="153">
        <f>'Base Financials'!N56</f>
        <v>15137</v>
      </c>
      <c r="O61" s="153">
        <f>'Base Financials'!O56</f>
        <v>18443</v>
      </c>
      <c r="P61" s="153">
        <f>'Base Financials'!P56</f>
        <v>14087</v>
      </c>
      <c r="Q61" s="153">
        <f>'Base Financials'!Q56</f>
        <v>17757</v>
      </c>
      <c r="R61" s="153">
        <f>'Base Financials'!R56</f>
        <v>20942</v>
      </c>
      <c r="S61" s="153">
        <f>'Base Financials'!S56</f>
        <v>19954</v>
      </c>
      <c r="T61" s="153">
        <f>'Base Financials'!T56</f>
        <v>20029</v>
      </c>
      <c r="U61" s="153">
        <f>'Base Financials'!U56</f>
        <v>21085</v>
      </c>
      <c r="V61" s="88"/>
      <c r="W61" s="88">
        <f t="shared" si="50"/>
        <v>19580</v>
      </c>
      <c r="X61" s="88">
        <f t="shared" si="50"/>
        <v>23601</v>
      </c>
      <c r="Y61" s="88">
        <f t="shared" si="50"/>
        <v>11388</v>
      </c>
      <c r="Z61" s="88">
        <f t="shared" si="50"/>
        <v>15137</v>
      </c>
      <c r="AA61" s="88">
        <f t="shared" si="50"/>
        <v>18443</v>
      </c>
      <c r="AB61" s="88">
        <f t="shared" si="50"/>
        <v>14087</v>
      </c>
      <c r="AC61" s="88">
        <f t="shared" si="50"/>
        <v>17757</v>
      </c>
      <c r="AD61" s="88">
        <f t="shared" si="50"/>
        <v>20942</v>
      </c>
      <c r="AE61" s="88">
        <f t="shared" si="50"/>
        <v>19954</v>
      </c>
      <c r="AF61" s="88">
        <f t="shared" si="50"/>
        <v>20029</v>
      </c>
      <c r="AG61" s="88">
        <f t="shared" si="50"/>
        <v>21085</v>
      </c>
    </row>
    <row r="62" spans="2:33" ht="12.75" customHeight="1" x14ac:dyDescent="0.2">
      <c r="B62" s="133" t="s">
        <v>40</v>
      </c>
      <c r="C62" s="153">
        <f>'Base Financials'!C64</f>
        <v>164359</v>
      </c>
      <c r="D62" s="153">
        <f>'Base Financials'!D64</f>
        <v>87374</v>
      </c>
      <c r="E62" s="153">
        <f>'Base Financials'!E64</f>
        <v>114677</v>
      </c>
      <c r="F62" s="153">
        <f>'Base Financials'!F64</f>
        <v>190541</v>
      </c>
      <c r="G62" s="88"/>
      <c r="H62" s="153">
        <f>'Base Financials'!H64</f>
        <v>160578</v>
      </c>
      <c r="I62" s="153">
        <f>'Base Financials'!I64</f>
        <v>104105</v>
      </c>
      <c r="J62" s="153">
        <f>'Base Financials'!J64</f>
        <v>107547</v>
      </c>
      <c r="K62" s="153">
        <f>'Base Financials'!K64</f>
        <v>87374</v>
      </c>
      <c r="L62" s="153">
        <f>'Base Financials'!L64</f>
        <v>101089</v>
      </c>
      <c r="M62" s="153">
        <f>'Base Financials'!M64</f>
        <v>106989</v>
      </c>
      <c r="N62" s="153">
        <f>'Base Financials'!N64</f>
        <v>112392</v>
      </c>
      <c r="O62" s="153">
        <f>'Base Financials'!O64</f>
        <v>114677</v>
      </c>
      <c r="P62" s="153">
        <f>'Base Financials'!P64</f>
        <v>135314</v>
      </c>
      <c r="Q62" s="153">
        <f>'Base Financials'!Q64</f>
        <v>166568</v>
      </c>
      <c r="R62" s="153">
        <f>'Base Financials'!R64</f>
        <v>178485</v>
      </c>
      <c r="S62" s="153">
        <f>'Base Financials'!S64</f>
        <v>190541</v>
      </c>
      <c r="T62" s="153">
        <f>'Base Financials'!T64</f>
        <v>126510</v>
      </c>
      <c r="U62" s="153">
        <f>'Base Financials'!U64</f>
        <v>134743</v>
      </c>
      <c r="V62" s="88"/>
      <c r="W62" s="88">
        <f t="shared" si="50"/>
        <v>87374</v>
      </c>
      <c r="X62" s="88">
        <f t="shared" si="50"/>
        <v>101089</v>
      </c>
      <c r="Y62" s="88">
        <f t="shared" si="50"/>
        <v>106989</v>
      </c>
      <c r="Z62" s="88">
        <f t="shared" si="50"/>
        <v>112392</v>
      </c>
      <c r="AA62" s="88">
        <f t="shared" si="50"/>
        <v>114677</v>
      </c>
      <c r="AB62" s="88">
        <f t="shared" si="50"/>
        <v>135314</v>
      </c>
      <c r="AC62" s="88">
        <f t="shared" si="50"/>
        <v>166568</v>
      </c>
      <c r="AD62" s="88">
        <f t="shared" si="50"/>
        <v>178485</v>
      </c>
      <c r="AE62" s="88">
        <f t="shared" si="50"/>
        <v>190541</v>
      </c>
      <c r="AF62" s="88">
        <f t="shared" si="50"/>
        <v>126510</v>
      </c>
      <c r="AG62" s="88">
        <f t="shared" si="50"/>
        <v>134743</v>
      </c>
    </row>
    <row r="63" spans="2:33" ht="5.0999999999999996" customHeight="1" x14ac:dyDescent="0.2"/>
    <row r="64" spans="2:33" ht="12.75" customHeight="1" x14ac:dyDescent="0.2">
      <c r="B64" s="148" t="s">
        <v>162</v>
      </c>
    </row>
    <row r="65" spans="1:33" ht="12.75" customHeight="1" x14ac:dyDescent="0.2">
      <c r="B65" s="133" t="s">
        <v>163</v>
      </c>
      <c r="C65" s="88">
        <f>SUM('Base Financials'!C52+'Base Financials'!C53+'Base Financials'!C54)</f>
        <v>1981</v>
      </c>
      <c r="D65" s="88">
        <f>SUM('Base Financials'!D52+'Base Financials'!D53+'Base Financials'!D54)</f>
        <v>10827</v>
      </c>
      <c r="E65" s="88">
        <f>SUM('Base Financials'!E52+'Base Financials'!E53+'Base Financials'!E54)</f>
        <v>2560</v>
      </c>
      <c r="F65" s="88">
        <f>SUM('Base Financials'!F52+'Base Financials'!F53+'Base Financials'!F54)</f>
        <v>2917</v>
      </c>
      <c r="G65" s="88"/>
      <c r="H65" s="88">
        <f>SUM('Base Financials'!H52+'Base Financials'!H53+'Base Financials'!H54)</f>
        <v>2047</v>
      </c>
      <c r="I65" s="88">
        <f>SUM('Base Financials'!I52+'Base Financials'!I53+'Base Financials'!I54)</f>
        <v>2115</v>
      </c>
      <c r="J65" s="88">
        <f>SUM('Base Financials'!J52+'Base Financials'!J53+'Base Financials'!J54)</f>
        <v>6471</v>
      </c>
      <c r="K65" s="88">
        <f>SUM('Base Financials'!K52+'Base Financials'!K53+'Base Financials'!K54)</f>
        <v>10827</v>
      </c>
      <c r="L65" s="88">
        <f>SUM('Base Financials'!L52+'Base Financials'!L53+'Base Financials'!L54)</f>
        <v>15186</v>
      </c>
      <c r="M65" s="88">
        <f>SUM('Base Financials'!M52+'Base Financials'!M53+'Base Financials'!M54)</f>
        <v>2404</v>
      </c>
      <c r="N65" s="88">
        <f>SUM('Base Financials'!N52+'Base Financials'!N53+'Base Financials'!N54)</f>
        <v>2481</v>
      </c>
      <c r="O65" s="88">
        <f>SUM('Base Financials'!O52+'Base Financials'!O53+'Base Financials'!O54)</f>
        <v>2560</v>
      </c>
      <c r="P65" s="88">
        <f>SUM('Base Financials'!P52+'Base Financials'!P53+'Base Financials'!P54)</f>
        <v>2663</v>
      </c>
      <c r="Q65" s="88">
        <f>SUM('Base Financials'!Q52+'Base Financials'!Q53+'Base Financials'!Q54)</f>
        <v>2746</v>
      </c>
      <c r="R65" s="88">
        <f>SUM('Base Financials'!R52+'Base Financials'!R53+'Base Financials'!R54)</f>
        <v>2831</v>
      </c>
      <c r="S65" s="88">
        <f>SUM('Base Financials'!S52+'Base Financials'!S53+'Base Financials'!S54)</f>
        <v>2917</v>
      </c>
      <c r="T65" s="88">
        <f>SUM('Base Financials'!T52+'Base Financials'!T53+'Base Financials'!T54)</f>
        <v>4696</v>
      </c>
      <c r="U65" s="88">
        <f>SUM('Base Financials'!U52+'Base Financials'!U53+'Base Financials'!U54)</f>
        <v>5209</v>
      </c>
      <c r="V65" s="88"/>
      <c r="W65" s="88">
        <f t="shared" ref="W65:AG66" si="56">K65</f>
        <v>10827</v>
      </c>
      <c r="X65" s="88">
        <f t="shared" si="56"/>
        <v>15186</v>
      </c>
      <c r="Y65" s="88">
        <f t="shared" si="56"/>
        <v>2404</v>
      </c>
      <c r="Z65" s="88">
        <f t="shared" si="56"/>
        <v>2481</v>
      </c>
      <c r="AA65" s="88">
        <f t="shared" si="56"/>
        <v>2560</v>
      </c>
      <c r="AB65" s="88">
        <f t="shared" si="56"/>
        <v>2663</v>
      </c>
      <c r="AC65" s="88">
        <f t="shared" si="56"/>
        <v>2746</v>
      </c>
      <c r="AD65" s="88">
        <f t="shared" si="56"/>
        <v>2831</v>
      </c>
      <c r="AE65" s="88">
        <f t="shared" si="56"/>
        <v>2917</v>
      </c>
      <c r="AF65" s="88">
        <f t="shared" si="56"/>
        <v>4696</v>
      </c>
      <c r="AG65" s="88">
        <f t="shared" si="56"/>
        <v>5209</v>
      </c>
    </row>
    <row r="66" spans="1:33" ht="12.75" customHeight="1" x14ac:dyDescent="0.2">
      <c r="B66" s="133" t="s">
        <v>164</v>
      </c>
      <c r="C66" s="88">
        <f>SUM('Base Financials'!C59+'Base Financials'!C61+'Base Financials'!C62)</f>
        <v>48470</v>
      </c>
      <c r="D66" s="88">
        <f>SUM('Base Financials'!D59+'Base Financials'!D61+'Base Financials'!D62)</f>
        <v>39189</v>
      </c>
      <c r="E66" s="88">
        <f>SUM('Base Financials'!E59+'Base Financials'!E61+'Base Financials'!E62)</f>
        <v>54893</v>
      </c>
      <c r="F66" s="88">
        <f>SUM('Base Financials'!F59+'Base Financials'!F61+'Base Financials'!F62)</f>
        <v>76974</v>
      </c>
      <c r="G66" s="88"/>
      <c r="H66" s="88">
        <f>SUM('Base Financials'!H59+'Base Financials'!H61+'Base Financials'!H62)</f>
        <v>48320</v>
      </c>
      <c r="I66" s="88">
        <f>SUM('Base Financials'!I59+'Base Financials'!I61+'Base Financials'!I62)</f>
        <v>48150</v>
      </c>
      <c r="J66" s="88">
        <f>SUM('Base Financials'!J59+'Base Financials'!J61+'Base Financials'!J62)</f>
        <v>43728</v>
      </c>
      <c r="K66" s="88">
        <f>SUM('Base Financials'!K59+'Base Financials'!K61+'Base Financials'!K62)</f>
        <v>39189</v>
      </c>
      <c r="L66" s="88">
        <f>SUM('Base Financials'!L59+'Base Financials'!L61+'Base Financials'!L62)</f>
        <v>34662</v>
      </c>
      <c r="M66" s="88">
        <f>SUM('Base Financials'!M59+'Base Financials'!M61+'Base Financials'!M62)</f>
        <v>53862</v>
      </c>
      <c r="N66" s="88">
        <f>SUM('Base Financials'!N59+'Base Financials'!N61+'Base Financials'!N62)</f>
        <v>54246</v>
      </c>
      <c r="O66" s="88">
        <f>SUM('Base Financials'!O59+'Base Financials'!O61+'Base Financials'!O62)</f>
        <v>54893</v>
      </c>
      <c r="P66" s="88">
        <f>SUM('Base Financials'!P59+'Base Financials'!P61+'Base Financials'!P62)</f>
        <v>73809</v>
      </c>
      <c r="Q66" s="88">
        <f>SUM('Base Financials'!Q59+'Base Financials'!Q61+'Base Financials'!Q62)</f>
        <v>75201</v>
      </c>
      <c r="R66" s="88">
        <f>SUM('Base Financials'!R59+'Base Financials'!R61+'Base Financials'!R62)</f>
        <v>76496</v>
      </c>
      <c r="S66" s="88">
        <f>SUM('Base Financials'!S59+'Base Financials'!S61+'Base Financials'!S62)</f>
        <v>76974</v>
      </c>
      <c r="T66" s="88">
        <f>SUM('Base Financials'!T59+'Base Financials'!T61+'Base Financials'!T62)</f>
        <v>77516</v>
      </c>
      <c r="U66" s="88">
        <f>SUM('Base Financials'!U59+'Base Financials'!U61+'Base Financials'!U62)</f>
        <v>78455</v>
      </c>
      <c r="V66" s="88"/>
      <c r="W66" s="88">
        <f t="shared" si="56"/>
        <v>39189</v>
      </c>
      <c r="X66" s="88">
        <f t="shared" si="56"/>
        <v>34662</v>
      </c>
      <c r="Y66" s="88">
        <f t="shared" si="56"/>
        <v>53862</v>
      </c>
      <c r="Z66" s="88">
        <f t="shared" si="56"/>
        <v>54246</v>
      </c>
      <c r="AA66" s="88">
        <f t="shared" si="56"/>
        <v>54893</v>
      </c>
      <c r="AB66" s="88">
        <f t="shared" si="56"/>
        <v>73809</v>
      </c>
      <c r="AC66" s="88">
        <f t="shared" si="56"/>
        <v>75201</v>
      </c>
      <c r="AD66" s="88">
        <f t="shared" si="56"/>
        <v>76496</v>
      </c>
      <c r="AE66" s="88">
        <f t="shared" si="56"/>
        <v>76974</v>
      </c>
      <c r="AF66" s="88">
        <f t="shared" si="56"/>
        <v>77516</v>
      </c>
      <c r="AG66" s="88">
        <f t="shared" si="56"/>
        <v>78455</v>
      </c>
    </row>
    <row r="68" spans="1:33" ht="12.75" customHeight="1" x14ac:dyDescent="0.2">
      <c r="B68" s="126" t="s">
        <v>186</v>
      </c>
      <c r="C68" s="88">
        <f>SUM('Base Financials'!C52+'Base Financials'!C61)</f>
        <v>23090</v>
      </c>
      <c r="D68" s="88">
        <f>SUM('Base Financials'!D52+'Base Financials'!D61)</f>
        <v>21109</v>
      </c>
      <c r="E68" s="88">
        <f>SUM('Base Financials'!E52+'Base Financials'!E61)</f>
        <v>18853</v>
      </c>
      <c r="F68" s="88">
        <f>SUM('Base Financials'!F52+'Base Financials'!F61)</f>
        <v>16537</v>
      </c>
      <c r="G68" s="88"/>
      <c r="H68" s="88">
        <f>SUM('Base Financials'!H52+'Base Financials'!H61)</f>
        <v>22628</v>
      </c>
      <c r="I68" s="88">
        <f>SUM('Base Financials'!I52+'Base Financials'!I61)</f>
        <v>22133</v>
      </c>
      <c r="J68" s="88">
        <f>SUM('Base Financials'!J52+'Base Financials'!J61)</f>
        <v>21627</v>
      </c>
      <c r="K68" s="88">
        <f>SUM('Base Financials'!K52+'Base Financials'!K61)</f>
        <v>21109</v>
      </c>
      <c r="L68" s="88">
        <f>SUM('Base Financials'!L52+'Base Financials'!L61)</f>
        <v>20581</v>
      </c>
      <c r="M68" s="88">
        <f>SUM('Base Financials'!M52+'Base Financials'!M61)</f>
        <v>20018</v>
      </c>
      <c r="N68" s="88">
        <f>SUM('Base Financials'!N52+'Base Financials'!N61)</f>
        <v>19441</v>
      </c>
      <c r="O68" s="88">
        <f>SUM('Base Financials'!O52+'Base Financials'!O61)</f>
        <v>18853</v>
      </c>
      <c r="P68" s="88">
        <f>SUM('Base Financials'!P52+'Base Financials'!P61)</f>
        <v>18513</v>
      </c>
      <c r="Q68" s="88">
        <f>SUM('Base Financials'!Q52+'Base Financials'!Q61)</f>
        <v>17869</v>
      </c>
      <c r="R68" s="88">
        <f>SUM('Base Financials'!R52+'Base Financials'!R61)</f>
        <v>17210</v>
      </c>
      <c r="S68" s="88">
        <f>SUM('Base Financials'!S52+'Base Financials'!S61)</f>
        <v>16537</v>
      </c>
      <c r="T68" s="88">
        <f>SUM('Base Financials'!T52+'Base Financials'!T61)</f>
        <v>15850</v>
      </c>
      <c r="U68" s="88">
        <f>SUM('Base Financials'!U52+'Base Financials'!U61)</f>
        <v>15123</v>
      </c>
      <c r="V68" s="88"/>
      <c r="W68" s="88">
        <f t="shared" ref="W68:AG70" si="57">K68</f>
        <v>21109</v>
      </c>
      <c r="X68" s="88">
        <f t="shared" si="57"/>
        <v>20581</v>
      </c>
      <c r="Y68" s="88">
        <f t="shared" si="57"/>
        <v>20018</v>
      </c>
      <c r="Z68" s="88">
        <f t="shared" si="57"/>
        <v>19441</v>
      </c>
      <c r="AA68" s="88">
        <f t="shared" si="57"/>
        <v>18853</v>
      </c>
      <c r="AB68" s="88">
        <f t="shared" si="57"/>
        <v>18513</v>
      </c>
      <c r="AC68" s="88">
        <f t="shared" si="57"/>
        <v>17869</v>
      </c>
      <c r="AD68" s="88">
        <f t="shared" si="57"/>
        <v>17210</v>
      </c>
      <c r="AE68" s="88">
        <f t="shared" si="57"/>
        <v>16537</v>
      </c>
      <c r="AF68" s="88">
        <f t="shared" si="57"/>
        <v>15850</v>
      </c>
      <c r="AG68" s="88">
        <f t="shared" si="57"/>
        <v>15123</v>
      </c>
    </row>
    <row r="69" spans="1:33" ht="12.75" customHeight="1" x14ac:dyDescent="0.2">
      <c r="B69" s="126" t="s">
        <v>187</v>
      </c>
      <c r="C69" s="88">
        <f>SUM('Base Financials'!C53+'Base Financials'!C59)</f>
        <v>0</v>
      </c>
      <c r="D69" s="88">
        <f>SUM('Base Financials'!D53+'Base Financials'!D59)</f>
        <v>0</v>
      </c>
      <c r="E69" s="88">
        <f>SUM('Base Financials'!E53+'Base Financials'!E59)</f>
        <v>38600</v>
      </c>
      <c r="F69" s="88">
        <f>SUM('Base Financials'!F53+'Base Financials'!F59)</f>
        <v>63354</v>
      </c>
      <c r="G69" s="88"/>
      <c r="H69" s="88">
        <f>SUM('Base Financials'!H53+'Base Financials'!H59)</f>
        <v>0</v>
      </c>
      <c r="I69" s="88">
        <f>SUM('Base Financials'!I53+'Base Financials'!I59)</f>
        <v>0</v>
      </c>
      <c r="J69" s="88">
        <f>SUM('Base Financials'!J53+'Base Financials'!J59)</f>
        <v>0</v>
      </c>
      <c r="K69" s="88">
        <f>SUM('Base Financials'!K53+'Base Financials'!K59)</f>
        <v>0</v>
      </c>
      <c r="L69" s="88">
        <f>SUM('Base Financials'!L53+'Base Financials'!L59)</f>
        <v>0</v>
      </c>
      <c r="M69" s="88">
        <f>SUM('Base Financials'!M53+'Base Financials'!M59)</f>
        <v>36248</v>
      </c>
      <c r="N69" s="88">
        <f>SUM('Base Financials'!N53+'Base Financials'!N59)</f>
        <v>37286</v>
      </c>
      <c r="O69" s="88">
        <f>SUM('Base Financials'!O53+'Base Financials'!O59)</f>
        <v>38600</v>
      </c>
      <c r="P69" s="88">
        <f>SUM('Base Financials'!P53+'Base Financials'!P59)</f>
        <v>57959</v>
      </c>
      <c r="Q69" s="88">
        <f>SUM('Base Financials'!Q53+'Base Financials'!Q59)</f>
        <v>60078</v>
      </c>
      <c r="R69" s="88">
        <f>SUM('Base Financials'!R53+'Base Financials'!R59)</f>
        <v>62117</v>
      </c>
      <c r="S69" s="88">
        <f>SUM('Base Financials'!S53+'Base Financials'!S59)</f>
        <v>63354</v>
      </c>
      <c r="T69" s="88">
        <f>SUM('Base Financials'!T53+'Base Financials'!T59)</f>
        <v>66362</v>
      </c>
      <c r="U69" s="88">
        <f>SUM('Base Financials'!U53+'Base Financials'!U59)</f>
        <v>68541</v>
      </c>
      <c r="V69" s="88"/>
      <c r="W69" s="88">
        <f t="shared" si="57"/>
        <v>0</v>
      </c>
      <c r="X69" s="88">
        <f t="shared" si="57"/>
        <v>0</v>
      </c>
      <c r="Y69" s="88">
        <f t="shared" si="57"/>
        <v>36248</v>
      </c>
      <c r="Z69" s="88">
        <f t="shared" si="57"/>
        <v>37286</v>
      </c>
      <c r="AA69" s="88">
        <f t="shared" si="57"/>
        <v>38600</v>
      </c>
      <c r="AB69" s="88">
        <f t="shared" si="57"/>
        <v>57959</v>
      </c>
      <c r="AC69" s="88">
        <f t="shared" si="57"/>
        <v>60078</v>
      </c>
      <c r="AD69" s="88">
        <f t="shared" si="57"/>
        <v>62117</v>
      </c>
      <c r="AE69" s="88">
        <f t="shared" si="57"/>
        <v>63354</v>
      </c>
      <c r="AF69" s="88">
        <f t="shared" si="57"/>
        <v>66362</v>
      </c>
      <c r="AG69" s="88">
        <f t="shared" si="57"/>
        <v>68541</v>
      </c>
    </row>
    <row r="70" spans="1:33" ht="12.75" customHeight="1" x14ac:dyDescent="0.2">
      <c r="B70" s="126" t="s">
        <v>188</v>
      </c>
      <c r="C70" s="88">
        <f>SUM('Base Financials'!C54+'Base Financials'!C62)</f>
        <v>27361</v>
      </c>
      <c r="D70" s="88">
        <f>SUM('Base Financials'!D54+'Base Financials'!D62)</f>
        <v>28907</v>
      </c>
      <c r="E70" s="88">
        <f>SUM('Base Financials'!E54+'Base Financials'!E62)</f>
        <v>0</v>
      </c>
      <c r="F70" s="88">
        <f>SUM('Base Financials'!F54+'Base Financials'!F62)</f>
        <v>0</v>
      </c>
      <c r="G70" s="88"/>
      <c r="H70" s="88">
        <f>SUM('Base Financials'!H54+'Base Financials'!H62)</f>
        <v>27739</v>
      </c>
      <c r="I70" s="88">
        <f>SUM('Base Financials'!I54+'Base Financials'!I62)</f>
        <v>28132</v>
      </c>
      <c r="J70" s="88">
        <f>SUM('Base Financials'!J54+'Base Financials'!J62)</f>
        <v>28572</v>
      </c>
      <c r="K70" s="88">
        <f>SUM('Base Financials'!K54+'Base Financials'!K62)</f>
        <v>28907</v>
      </c>
      <c r="L70" s="88">
        <f>SUM('Base Financials'!L54+'Base Financials'!L62)</f>
        <v>29267</v>
      </c>
      <c r="M70" s="88">
        <f>SUM('Base Financials'!M54+'Base Financials'!M62)</f>
        <v>0</v>
      </c>
      <c r="N70" s="88">
        <f>SUM('Base Financials'!N54+'Base Financials'!N62)</f>
        <v>0</v>
      </c>
      <c r="O70" s="88">
        <f>SUM('Base Financials'!O54+'Base Financials'!O62)</f>
        <v>0</v>
      </c>
      <c r="P70" s="88">
        <f>SUM('Base Financials'!P54+'Base Financials'!P62)</f>
        <v>0</v>
      </c>
      <c r="Q70" s="88">
        <f>SUM('Base Financials'!Q54+'Base Financials'!Q62)</f>
        <v>0</v>
      </c>
      <c r="R70" s="88">
        <f>SUM('Base Financials'!R54+'Base Financials'!R62)</f>
        <v>0</v>
      </c>
      <c r="S70" s="88">
        <f>SUM('Base Financials'!S54+'Base Financials'!S62)</f>
        <v>0</v>
      </c>
      <c r="T70" s="88">
        <f>SUM('Base Financials'!T54+'Base Financials'!T62)</f>
        <v>0</v>
      </c>
      <c r="U70" s="88">
        <f>SUM('Base Financials'!U54+'Base Financials'!U62)</f>
        <v>0</v>
      </c>
      <c r="V70" s="88"/>
      <c r="W70" s="88">
        <f t="shared" si="57"/>
        <v>28907</v>
      </c>
      <c r="X70" s="88">
        <f t="shared" si="57"/>
        <v>29267</v>
      </c>
      <c r="Y70" s="88">
        <f t="shared" si="57"/>
        <v>0</v>
      </c>
      <c r="Z70" s="88">
        <f t="shared" si="57"/>
        <v>0</v>
      </c>
      <c r="AA70" s="88">
        <f t="shared" si="57"/>
        <v>0</v>
      </c>
      <c r="AB70" s="88">
        <f t="shared" si="57"/>
        <v>0</v>
      </c>
      <c r="AC70" s="88">
        <f t="shared" si="57"/>
        <v>0</v>
      </c>
      <c r="AD70" s="88">
        <f t="shared" si="57"/>
        <v>0</v>
      </c>
      <c r="AE70" s="88">
        <f t="shared" si="57"/>
        <v>0</v>
      </c>
      <c r="AF70" s="88">
        <f t="shared" si="57"/>
        <v>0</v>
      </c>
      <c r="AG70" s="88">
        <f t="shared" si="57"/>
        <v>0</v>
      </c>
    </row>
    <row r="71" spans="1:33" ht="12.75" customHeight="1" x14ac:dyDescent="0.2">
      <c r="B71" s="105" t="s">
        <v>37</v>
      </c>
      <c r="C71" s="106">
        <f>SUM(C68:C70)</f>
        <v>50451</v>
      </c>
      <c r="D71" s="106">
        <f>SUM(D68:D70)</f>
        <v>50016</v>
      </c>
      <c r="E71" s="106">
        <f>SUM(E68:E70)</f>
        <v>57453</v>
      </c>
      <c r="F71" s="106">
        <f>SUM(F68:F70)</f>
        <v>79891</v>
      </c>
      <c r="G71" s="134"/>
      <c r="H71" s="106">
        <f>SUM(H68:H70)</f>
        <v>50367</v>
      </c>
      <c r="I71" s="106">
        <f>SUM(I68:I70)</f>
        <v>50265</v>
      </c>
      <c r="J71" s="106">
        <f>SUM(J68:J70)</f>
        <v>50199</v>
      </c>
      <c r="K71" s="106">
        <f>SUM(K68:K70)</f>
        <v>50016</v>
      </c>
      <c r="L71" s="106">
        <f>SUM(L68:L70)</f>
        <v>49848</v>
      </c>
      <c r="M71" s="106">
        <f>SUM(M68:M70)</f>
        <v>56266</v>
      </c>
      <c r="N71" s="106">
        <f>SUM(N68:N70)</f>
        <v>56727</v>
      </c>
      <c r="O71" s="106">
        <f>SUM(O68:O70)</f>
        <v>57453</v>
      </c>
      <c r="P71" s="106">
        <f>SUM(P68:P70)</f>
        <v>76472</v>
      </c>
      <c r="Q71" s="106">
        <f>SUM(Q68:Q70)</f>
        <v>77947</v>
      </c>
      <c r="R71" s="106">
        <f>SUM(R68:R70)</f>
        <v>79327</v>
      </c>
      <c r="S71" s="106">
        <f>SUM(S68:S70)</f>
        <v>79891</v>
      </c>
      <c r="T71" s="106">
        <f>SUM(T68:T70)</f>
        <v>82212</v>
      </c>
      <c r="U71" s="106">
        <f>SUM(U68:U70)</f>
        <v>83664</v>
      </c>
      <c r="V71" s="85"/>
      <c r="W71" s="106">
        <f>SUM(W68:W70)</f>
        <v>50016</v>
      </c>
      <c r="X71" s="106">
        <f>SUM(X68:X70)</f>
        <v>49848</v>
      </c>
      <c r="Y71" s="106">
        <f>SUM(Y68:Y70)</f>
        <v>56266</v>
      </c>
      <c r="Z71" s="106">
        <f>SUM(Z68:Z70)</f>
        <v>56727</v>
      </c>
      <c r="AA71" s="106">
        <f>SUM(AA68:AA70)</f>
        <v>57453</v>
      </c>
      <c r="AB71" s="106">
        <f>SUM(AB68:AB70)</f>
        <v>76472</v>
      </c>
      <c r="AC71" s="106">
        <f>SUM(AC68:AC70)</f>
        <v>77947</v>
      </c>
      <c r="AD71" s="106">
        <f>SUM(AD68:AD70)</f>
        <v>79327</v>
      </c>
      <c r="AE71" s="106">
        <f>SUM(AE68:AE70)</f>
        <v>79891</v>
      </c>
      <c r="AF71" s="106">
        <f>SUM(AF68:AF70)</f>
        <v>82212</v>
      </c>
      <c r="AG71" s="106">
        <f>SUM(AG68:AG70)</f>
        <v>83664</v>
      </c>
    </row>
    <row r="72" spans="1:33" ht="5.0999999999999996" customHeight="1" x14ac:dyDescent="0.2"/>
    <row r="73" spans="1:33" ht="12.75" customHeight="1" x14ac:dyDescent="0.2">
      <c r="B73" s="133" t="s">
        <v>165</v>
      </c>
      <c r="C73" s="88">
        <f>'Base Financials'!C70</f>
        <v>122174</v>
      </c>
      <c r="D73" s="88">
        <f>'Base Financials'!D70</f>
        <v>116928</v>
      </c>
      <c r="E73" s="88">
        <f>'Base Financials'!E70</f>
        <v>13546</v>
      </c>
      <c r="F73" s="88">
        <f>'Base Financials'!F70</f>
        <v>-52669</v>
      </c>
      <c r="G73" s="88"/>
      <c r="H73" s="88">
        <f>'Base Financials'!H70</f>
        <v>103890</v>
      </c>
      <c r="I73" s="88">
        <f>'Base Financials'!I70</f>
        <v>142260</v>
      </c>
      <c r="J73" s="88">
        <f>'Base Financials'!J70</f>
        <v>118672</v>
      </c>
      <c r="K73" s="88">
        <f>'Base Financials'!K70</f>
        <v>116928</v>
      </c>
      <c r="L73" s="88">
        <f>'Base Financials'!L70</f>
        <v>81887</v>
      </c>
      <c r="M73" s="88">
        <f>'Base Financials'!M70</f>
        <v>61117</v>
      </c>
      <c r="N73" s="88">
        <f>'Base Financials'!N70</f>
        <v>36993</v>
      </c>
      <c r="O73" s="88">
        <f>'Base Financials'!O70</f>
        <v>13546</v>
      </c>
      <c r="P73" s="88">
        <f>'Base Financials'!P70</f>
        <v>26152</v>
      </c>
      <c r="Q73" s="88">
        <f>'Base Financials'!Q70</f>
        <v>-28287</v>
      </c>
      <c r="R73" s="88">
        <f>'Base Financials'!R70</f>
        <v>-63721</v>
      </c>
      <c r="S73" s="88">
        <f>'Base Financials'!S70</f>
        <v>-52669</v>
      </c>
      <c r="T73" s="88">
        <f>'Base Financials'!T70</f>
        <v>36043</v>
      </c>
      <c r="U73" s="88">
        <f>'Base Financials'!U70</f>
        <v>4052</v>
      </c>
      <c r="V73" s="88"/>
      <c r="W73" s="88">
        <f t="shared" ref="W73:AG73" si="58">K73</f>
        <v>116928</v>
      </c>
      <c r="X73" s="88">
        <f t="shared" si="58"/>
        <v>81887</v>
      </c>
      <c r="Y73" s="88">
        <f t="shared" si="58"/>
        <v>61117</v>
      </c>
      <c r="Z73" s="88">
        <f t="shared" si="58"/>
        <v>36993</v>
      </c>
      <c r="AA73" s="88">
        <f t="shared" si="58"/>
        <v>13546</v>
      </c>
      <c r="AB73" s="88">
        <f t="shared" si="58"/>
        <v>26152</v>
      </c>
      <c r="AC73" s="88">
        <f t="shared" si="58"/>
        <v>-28287</v>
      </c>
      <c r="AD73" s="88">
        <f t="shared" si="58"/>
        <v>-63721</v>
      </c>
      <c r="AE73" s="88">
        <f t="shared" si="58"/>
        <v>-52669</v>
      </c>
      <c r="AF73" s="88">
        <f t="shared" si="58"/>
        <v>36043</v>
      </c>
      <c r="AG73" s="88">
        <f t="shared" si="58"/>
        <v>4052</v>
      </c>
    </row>
    <row r="74" spans="1:33" ht="12.75" customHeight="1" x14ac:dyDescent="0.2">
      <c r="B74" s="105" t="s">
        <v>166</v>
      </c>
      <c r="C74" s="106">
        <f>SUM(C71:C73)</f>
        <v>172625</v>
      </c>
      <c r="D74" s="106">
        <f t="shared" ref="D74:F74" si="59">SUM(D71:D73)</f>
        <v>166944</v>
      </c>
      <c r="E74" s="106">
        <f t="shared" si="59"/>
        <v>70999</v>
      </c>
      <c r="F74" s="106">
        <f t="shared" si="59"/>
        <v>27222</v>
      </c>
      <c r="G74" s="134"/>
      <c r="H74" s="106">
        <f t="shared" ref="H74:Q74" si="60">SUM(H71:H73)</f>
        <v>154257</v>
      </c>
      <c r="I74" s="106">
        <f t="shared" si="60"/>
        <v>192525</v>
      </c>
      <c r="J74" s="106">
        <f t="shared" si="60"/>
        <v>168871</v>
      </c>
      <c r="K74" s="106">
        <f t="shared" si="60"/>
        <v>166944</v>
      </c>
      <c r="L74" s="106">
        <f t="shared" si="60"/>
        <v>131735</v>
      </c>
      <c r="M74" s="106">
        <f t="shared" si="60"/>
        <v>117383</v>
      </c>
      <c r="N74" s="106">
        <f t="shared" si="60"/>
        <v>93720</v>
      </c>
      <c r="O74" s="106">
        <f t="shared" si="60"/>
        <v>70999</v>
      </c>
      <c r="P74" s="106">
        <f t="shared" si="60"/>
        <v>102624</v>
      </c>
      <c r="Q74" s="106">
        <f t="shared" si="60"/>
        <v>49660</v>
      </c>
      <c r="R74" s="106">
        <f>SUM(R71:R73)</f>
        <v>15606</v>
      </c>
      <c r="S74" s="106">
        <f>SUM(S71:S73)</f>
        <v>27222</v>
      </c>
      <c r="T74" s="106">
        <f t="shared" ref="T74:U74" si="61">SUM(T71:T73)</f>
        <v>118255</v>
      </c>
      <c r="U74" s="106">
        <f t="shared" si="61"/>
        <v>87716</v>
      </c>
      <c r="V74" s="85"/>
      <c r="W74" s="106">
        <f t="shared" ref="W74:AD74" si="62">SUM(W71:W73)</f>
        <v>166944</v>
      </c>
      <c r="X74" s="106">
        <f t="shared" si="62"/>
        <v>131735</v>
      </c>
      <c r="Y74" s="106">
        <f t="shared" si="62"/>
        <v>117383</v>
      </c>
      <c r="Z74" s="106">
        <f t="shared" si="62"/>
        <v>93720</v>
      </c>
      <c r="AA74" s="106">
        <f t="shared" si="62"/>
        <v>70999</v>
      </c>
      <c r="AB74" s="106">
        <f t="shared" si="62"/>
        <v>102624</v>
      </c>
      <c r="AC74" s="106">
        <f t="shared" si="62"/>
        <v>49660</v>
      </c>
      <c r="AD74" s="106">
        <f t="shared" si="62"/>
        <v>15606</v>
      </c>
      <c r="AE74" s="106">
        <f>SUM(AE71:AE73)</f>
        <v>27222</v>
      </c>
      <c r="AF74" s="106">
        <f t="shared" ref="AF74:AG74" si="63">SUM(AF71:AF73)</f>
        <v>118255</v>
      </c>
      <c r="AG74" s="106">
        <f t="shared" si="63"/>
        <v>87716</v>
      </c>
    </row>
    <row r="75" spans="1:33" ht="5.0999999999999996" customHeight="1" x14ac:dyDescent="0.2"/>
    <row r="76" spans="1:33" ht="12.75" customHeight="1" x14ac:dyDescent="0.2">
      <c r="A76" s="85"/>
      <c r="B76" s="86" t="s">
        <v>167</v>
      </c>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row>
    <row r="77" spans="1:33" ht="5.0999999999999996" customHeight="1" x14ac:dyDescent="0.2"/>
    <row r="78" spans="1:33" ht="12.75" customHeight="1" x14ac:dyDescent="0.2">
      <c r="B78" s="133" t="s">
        <v>189</v>
      </c>
      <c r="C78" s="154">
        <f>C71/C29</f>
        <v>-0.42521218046506926</v>
      </c>
      <c r="D78" s="154">
        <f>D71/D29</f>
        <v>-0.34171403585483168</v>
      </c>
      <c r="E78" s="154">
        <f>E71/E29</f>
        <v>-0.76382998524269774</v>
      </c>
      <c r="F78" s="154">
        <f>F71/F29</f>
        <v>-1.1105072211951461</v>
      </c>
      <c r="G78" s="155"/>
      <c r="H78" s="156"/>
      <c r="I78" s="156"/>
      <c r="J78" s="156"/>
      <c r="K78" s="154">
        <f>SUM(K71/SUM(H29:K29))</f>
        <v>-0.34269035498215156</v>
      </c>
      <c r="L78" s="154">
        <f>SUM(L71/SUM(I29:L29))</f>
        <v>-0.38655045131672816</v>
      </c>
      <c r="M78" s="154">
        <f>SUM(M71/SUM(J29:M29))</f>
        <v>-0.66968185767504973</v>
      </c>
      <c r="N78" s="154">
        <f>SUM(N71/SUM(K29:N29))</f>
        <v>-0.66943202067524987</v>
      </c>
      <c r="O78" s="154">
        <f>SUM(O71/SUM(L29:O29))</f>
        <v>-0.76382998524269774</v>
      </c>
      <c r="P78" s="154">
        <f>SUM(P71/SUM(M29:P29))</f>
        <v>-0.85369175467190606</v>
      </c>
      <c r="Q78" s="154">
        <f>SUM(Q71/SUM(N29:Q29))</f>
        <v>-1.228150062237068</v>
      </c>
      <c r="R78" s="154">
        <f>SUM(R71/SUM(O29:R29))</f>
        <v>-1.2561081817174164</v>
      </c>
      <c r="S78" s="154">
        <f>SUM(S71/SUM(P29:S29))</f>
        <v>-1.1105072211951461</v>
      </c>
      <c r="T78" s="154">
        <f>SUM(T71/SUM(Q29:T29))</f>
        <v>-0.60154975231767727</v>
      </c>
      <c r="U78" s="154">
        <f>SUM(U71/SUM(R29:U29))</f>
        <v>-0.53748948007477981</v>
      </c>
      <c r="V78" s="154"/>
      <c r="W78" s="154">
        <f>W71/W29</f>
        <v>-0.34269035498215156</v>
      </c>
      <c r="X78" s="154">
        <f>X71/X29</f>
        <v>-0.38655045131672816</v>
      </c>
      <c r="Y78" s="154">
        <f>Y71/Y29</f>
        <v>-0.66889369694952328</v>
      </c>
      <c r="Z78" s="154">
        <f>Z71/Z29</f>
        <v>-0.66758852812069713</v>
      </c>
      <c r="AA78" s="154">
        <f>AA71/AA29</f>
        <v>-0.76119877578600104</v>
      </c>
      <c r="AB78" s="154">
        <f>AB71/AB29</f>
        <v>-0.85178997081690389</v>
      </c>
      <c r="AC78" s="154">
        <f>AC71/AC29</f>
        <v>-1.228150062237068</v>
      </c>
      <c r="AD78" s="154">
        <f>AD71/AD29</f>
        <v>-1.2561081817174164</v>
      </c>
      <c r="AE78" s="154">
        <f>AE71/AE29</f>
        <v>-1.1105072211951461</v>
      </c>
      <c r="AF78" s="154">
        <f>AF71/AF29</f>
        <v>-0.60154975231767727</v>
      </c>
      <c r="AG78" s="154">
        <f>AG71/AG29</f>
        <v>-0.53748948007477981</v>
      </c>
    </row>
    <row r="79" spans="1:33" ht="12.75" customHeight="1" x14ac:dyDescent="0.2">
      <c r="B79" s="133" t="s">
        <v>193</v>
      </c>
      <c r="C79" s="154">
        <f>SUM(C71-C49)/C29</f>
        <v>1.4079427555225918</v>
      </c>
      <c r="D79" s="154">
        <f>SUM(D71-D49)/D29</f>
        <v>0.68154241364232615</v>
      </c>
      <c r="E79" s="154">
        <f>SUM(E71-E49)/E29</f>
        <v>0.30571546325963544</v>
      </c>
      <c r="F79" s="154">
        <f>SUM(F71-F49)/F29</f>
        <v>-0.48587036599435651</v>
      </c>
      <c r="G79" s="149"/>
      <c r="H79" s="150"/>
      <c r="I79" s="150"/>
      <c r="J79" s="150"/>
      <c r="K79" s="154">
        <f>SUM(K71-K49)/SUM(H29:K29)</f>
        <v>0.68348966433940161</v>
      </c>
      <c r="L79" s="154">
        <f>SUM(L71-L49)/SUM(I29:L29)</f>
        <v>0.61821086261980829</v>
      </c>
      <c r="M79" s="154">
        <f>SUM(M71-M49)/SUM(J29:M29)</f>
        <v>0.6943429462383508</v>
      </c>
      <c r="N79" s="154">
        <f>SUM(N71-N49)/SUM(K29:N29)</f>
        <v>0.51049693765562487</v>
      </c>
      <c r="O79" s="154">
        <f>SUM(O71-O49)/SUM(L29:O29)</f>
        <v>0.30571546325963544</v>
      </c>
      <c r="P79" s="154">
        <f>SUM(P71-P49)/SUM(M29:P29)</f>
        <v>0.43574315122016566</v>
      </c>
      <c r="Q79" s="154">
        <f>SUM(Q71-Q49)/SUM(N29:Q29)</f>
        <v>0.24604912789323585</v>
      </c>
      <c r="R79" s="154">
        <f>SUM(R71-R49)/SUM(O29:R29)</f>
        <v>-0.93037543742973416</v>
      </c>
      <c r="S79" s="154">
        <f>SUM(S71-S49)/SUM(P29:S29)</f>
        <v>-0.48587036599435651</v>
      </c>
      <c r="T79" s="154">
        <f>SUM(T71-T49)/SUM(Q29:T29)</f>
        <v>-0.14169477635420402</v>
      </c>
      <c r="U79" s="154">
        <f>SUM(U71-U49)/SUM(R29:U29)</f>
        <v>-0.29315739093005777</v>
      </c>
      <c r="V79" s="154"/>
      <c r="W79" s="154">
        <f>SUM(W71-W49)/W29</f>
        <v>0.68348966433940161</v>
      </c>
      <c r="X79" s="154">
        <f>SUM(X71-X49)/X29</f>
        <v>0.61821086261980829</v>
      </c>
      <c r="Y79" s="154">
        <f>SUM(Y71-Y49)/Y29</f>
        <v>0.69352576143037159</v>
      </c>
      <c r="Z79" s="154">
        <f>SUM(Z71-Z49)/Z29</f>
        <v>0.50909112306261994</v>
      </c>
      <c r="AA79" s="154">
        <f>SUM(AA71-AA49)/AA29</f>
        <v>0.30466234747009024</v>
      </c>
      <c r="AB79" s="154">
        <f>SUM(AB71-AB49)/AB29</f>
        <v>0.43477243868208248</v>
      </c>
      <c r="AC79" s="154">
        <f>SUM(AC71-AC49)/AC29</f>
        <v>0.24604912789323585</v>
      </c>
      <c r="AD79" s="154">
        <f>SUM(AD71-AD49)/AD29</f>
        <v>-0.93037543742973416</v>
      </c>
      <c r="AE79" s="154">
        <f>SUM(AE71-AE49)/AE29</f>
        <v>-0.48587036599435651</v>
      </c>
      <c r="AF79" s="154">
        <f>SUM(AF71-AF49)/AF29</f>
        <v>-0.14169477635420402</v>
      </c>
      <c r="AG79" s="154">
        <f>SUM(AG71-AG49)/AG29</f>
        <v>-0.29315739093005777</v>
      </c>
    </row>
    <row r="80" spans="1:33" ht="12.75" customHeight="1" x14ac:dyDescent="0.2">
      <c r="B80" s="133" t="s">
        <v>190</v>
      </c>
      <c r="C80" s="154">
        <f>C29/-C33</f>
        <v>-27.288178472861084</v>
      </c>
      <c r="D80" s="154">
        <f>D29/-D33</f>
        <v>-23.607741935483872</v>
      </c>
      <c r="E80" s="154">
        <f>E29/-E33</f>
        <v>-11.398242157902713</v>
      </c>
      <c r="F80" s="154">
        <f>F29/-F33</f>
        <v>-7.7547698609464266</v>
      </c>
      <c r="H80" s="151"/>
      <c r="I80" s="151"/>
      <c r="J80" s="151"/>
      <c r="K80" s="154" cm="1">
        <f t="array" ref="K80">SUM(H29:K29)/SUM(-H33:K33)</f>
        <v>-23.540483870967741</v>
      </c>
      <c r="L80" s="154" cm="1">
        <f t="array" ref="L80">SUM(I29:L29)/SUM(-I33:L33)</f>
        <v>-19.9406216174424</v>
      </c>
      <c r="M80" s="154" cm="1">
        <f t="array" ref="M80">SUM(J29:M29)/SUM(-J33:M33)</f>
        <v>-12.560771415757213</v>
      </c>
      <c r="N80" s="154" cm="1">
        <f t="array" ref="N80">SUM(K29:N29)/SUM(-K33:N33)</f>
        <v>-13.014744278912609</v>
      </c>
      <c r="O80" s="154" cm="1">
        <f t="array" ref="O80">SUM(L29:O29)/SUM(-L33:O33)</f>
        <v>-11.398242157902713</v>
      </c>
      <c r="P80" s="154" cm="1">
        <f t="array" ref="P80">SUM(M29:P29)/SUM(-M33:P33)</f>
        <v>-13.337998808814771</v>
      </c>
      <c r="Q80" s="154" cm="1">
        <f t="array" ref="Q80">SUM(N29:Q29)/SUM(-N33:Q33)</f>
        <v>-8.4386384789256752</v>
      </c>
      <c r="R80" s="154" cm="1">
        <f t="array" ref="R80">SUM(O29:R29)/SUM(-O33:R33)</f>
        <v>-7.4332627118644066</v>
      </c>
      <c r="S80" s="154" cm="1">
        <f t="array" ref="S80">SUM(P29:S29)/SUM(-P33:S33)</f>
        <v>-7.7547698609464266</v>
      </c>
      <c r="T80" s="154" cm="1">
        <f t="array" ref="T80">SUM(Q29:T29)/SUM(-Q33:T33)</f>
        <v>-13.064429786827263</v>
      </c>
      <c r="U80" s="154" cm="1">
        <f t="array" ref="U80">SUM(R29:U29)/SUM(-R33:U33)</f>
        <v>-14.837193785149175</v>
      </c>
      <c r="V80" s="154"/>
      <c r="W80" s="154">
        <f>W29/-W33</f>
        <v>-23.540483870967741</v>
      </c>
      <c r="X80" s="154">
        <f>X29/-X33</f>
        <v>-19.9406216174424</v>
      </c>
      <c r="Y80" s="154">
        <f>Y29/-Y33</f>
        <v>-12.575571834354911</v>
      </c>
      <c r="Z80" s="154">
        <f>Z29/-Z33</f>
        <v>-13.050683458762094</v>
      </c>
      <c r="AA80" s="154">
        <f>AA29/-AA33</f>
        <v>-11.437642066979846</v>
      </c>
      <c r="AB80" s="154">
        <f>AB29/-AB33</f>
        <v>-13.367778439547349</v>
      </c>
      <c r="AC80" s="154">
        <f>AC29/-AC33</f>
        <v>-8.4386384789256752</v>
      </c>
      <c r="AD80" s="154">
        <f>AD29/-AD33</f>
        <v>-7.4332627118644066</v>
      </c>
      <c r="AE80" s="154">
        <f>AE29/-AE33</f>
        <v>-7.7547698609464266</v>
      </c>
      <c r="AF80" s="154">
        <f>AF29/-AF33</f>
        <v>-13.064429786827263</v>
      </c>
      <c r="AG80" s="154">
        <f>AG29/-AG33</f>
        <v>-14.837193785149175</v>
      </c>
    </row>
    <row r="81" spans="2:33" ht="12.75" customHeight="1" x14ac:dyDescent="0.2">
      <c r="B81" s="133" t="s">
        <v>191</v>
      </c>
      <c r="C81" s="154" cm="1">
        <f t="array" ref="C81">SUM(C29+C32)/SUM(-C33:C35)</f>
        <v>-27.338776448942042</v>
      </c>
      <c r="D81" s="154" cm="1">
        <f t="array" ref="D81">SUM(D29+D32)/SUM(-D33:D35)</f>
        <v>-23.776774193548388</v>
      </c>
      <c r="E81" s="154" cm="1">
        <f t="array" ref="E81">SUM(E29+E32)/SUM(-E33:E35)</f>
        <v>-11.743749052886802</v>
      </c>
      <c r="F81" s="154" cm="1">
        <f t="array" ref="F81">SUM(F29+F32)/SUM(-F33:F35)</f>
        <v>-7.9242211921957528</v>
      </c>
      <c r="H81" s="151"/>
      <c r="I81" s="151"/>
      <c r="J81" s="151"/>
      <c r="K81" s="154" cm="1">
        <f t="array" ref="K81">SUM(H29:K29+H32:K32)/SUM(-H33:K35)</f>
        <v>-23.709516129032259</v>
      </c>
      <c r="L81" s="154" cm="1">
        <f t="array" ref="L81">SUM(I29:L29+I32:L32)/SUM(-I33:L35)</f>
        <v>-20.277408381011288</v>
      </c>
      <c r="M81" s="154" cm="1">
        <f t="array" ref="M81">SUM(J29:M29+J32:M32)/SUM(-J33:M35)</f>
        <v>-12.9388548362984</v>
      </c>
      <c r="N81" s="154" cm="1">
        <f t="array" ref="N81">SUM(K29:N29+K32:N32)/SUM(-K33:N35)</f>
        <v>-13.446475195822455</v>
      </c>
      <c r="O81" s="154" cm="1">
        <f t="array" ref="O81">SUM(L29:O29+L32:O32)/SUM(-L33:O35)</f>
        <v>-11.743749052886802</v>
      </c>
      <c r="P81" s="154" cm="1">
        <f t="array" ref="P81">SUM(M29:P29+M32:P32)/SUM(-M33:P35)</f>
        <v>-13.564175104228708</v>
      </c>
      <c r="Q81" s="154" cm="1">
        <f t="array" ref="Q81">SUM(N29:Q29+N32:Q32)/SUM(-N33:Q35)</f>
        <v>-8.6005850285866234</v>
      </c>
      <c r="R81" s="154" cm="1">
        <f t="array" ref="R81">SUM(O29:R29+O32:R32)/SUM(-O33:R35)</f>
        <v>-7.6285310734463279</v>
      </c>
      <c r="S81" s="154" cm="1">
        <f t="array" ref="S81">SUM(P29:S29+P32:S32)/SUM(-P33:S35)</f>
        <v>-7.9242211921957528</v>
      </c>
      <c r="T81" s="154" cm="1">
        <f t="array" ref="T81">SUM(Q29:T29+Q32:T32)/SUM(-Q33:T35)</f>
        <v>-13.199120542969123</v>
      </c>
      <c r="U81" s="154" cm="1">
        <f t="array" ref="U81">SUM(R29:U29+R32:U32)/SUM(-R33:U35)</f>
        <v>-15.008102182823372</v>
      </c>
      <c r="V81" s="154"/>
      <c r="W81" s="154" cm="1">
        <f t="array" ref="W81">SUM(W29+W32)/SUM(-W33:W35)</f>
        <v>-23.709516129032259</v>
      </c>
      <c r="X81" s="154" cm="1">
        <f t="array" ref="X81">SUM(X29+X32)/SUM(-X33:X35)</f>
        <v>-20.277408381011288</v>
      </c>
      <c r="Y81" s="154" cm="1">
        <f t="array" ref="Y81">SUM(Y29+Y32)/SUM(-Y33:Y35)</f>
        <v>-12.953655254896098</v>
      </c>
      <c r="Z81" s="154" cm="1">
        <f t="array" ref="Z81">SUM(Z29+Z32)/SUM(-Z33:Z35)</f>
        <v>-13.48241437567194</v>
      </c>
      <c r="AA81" s="154" cm="1">
        <f t="array" ref="AA81">SUM(AA29+AA32)/SUM(-AA33:AA35)</f>
        <v>-11.783148961963933</v>
      </c>
      <c r="AB81" s="154" cm="1">
        <f t="array" ref="AB81">SUM(AB29+AB32)/SUM(-AB33:AB35)</f>
        <v>-13.593954734961287</v>
      </c>
      <c r="AC81" s="154" cm="1">
        <f t="array" ref="AC81">SUM(AC29+AC32)/SUM(-AC33:AC35)</f>
        <v>-8.6005850285866234</v>
      </c>
      <c r="AD81" s="154" cm="1">
        <f t="array" ref="AD81">SUM(AD29+AD32)/SUM(-AD33:AD35)</f>
        <v>-7.6285310734463279</v>
      </c>
      <c r="AE81" s="154" cm="1">
        <f t="array" ref="AE81">SUM(AE29+AE32)/SUM(-AE33:AE35)</f>
        <v>-7.9242211921957528</v>
      </c>
      <c r="AF81" s="154" cm="1">
        <f t="array" ref="AF81">SUM(AF29+AF32)/SUM(-AF33:AF35)</f>
        <v>-13.199120542969123</v>
      </c>
      <c r="AG81" s="154" cm="1">
        <f t="array" ref="AG81">SUM(AG29+AG32)/SUM(-AG33:AG35)</f>
        <v>-15.008102182823372</v>
      </c>
    </row>
    <row r="82" spans="2:33" ht="12.75" customHeight="1" x14ac:dyDescent="0.2">
      <c r="B82" s="133" t="s">
        <v>192</v>
      </c>
      <c r="C82" s="154" cm="1">
        <f t="array" ref="C82">SUM(C29)/SUM(-C32:C35)</f>
        <v>-25.973949211908931</v>
      </c>
      <c r="D82" s="154" cm="1">
        <f t="array" ref="D82">SUM(D29)/SUM(-D32:D35)</f>
        <v>-20.194260485651213</v>
      </c>
      <c r="E82" s="154" cm="1">
        <f t="array" ref="E82">SUM(E29)/SUM(-E32:E35)</f>
        <v>-8.471336862259264</v>
      </c>
      <c r="F82" s="154" cm="1">
        <f t="array" ref="F82">SUM(F29)/SUM(-F32:F35)</f>
        <v>-6.6311180753986543</v>
      </c>
      <c r="H82" s="151"/>
      <c r="I82" s="151"/>
      <c r="J82" s="151"/>
      <c r="K82" s="154" cm="1">
        <f t="array" ref="K82">SUM(H29:K29)/SUM(-H32:K35)</f>
        <v>-20.136727373068432</v>
      </c>
      <c r="L82" s="154" cm="1">
        <f t="array" ref="L82">SUM(I29:L29)/SUM(-I32:L35)</f>
        <v>-14.91683053788317</v>
      </c>
      <c r="M82" s="154" cm="1">
        <f t="array" ref="M82">SUM(J29:M29)/SUM(-J32:M35)</f>
        <v>-9.1146669559557392</v>
      </c>
      <c r="N82" s="154" cm="1">
        <f t="array" ref="N82">SUM(K29:N29)/SUM(-K32:N35)</f>
        <v>-9.0902166916970604</v>
      </c>
      <c r="O82" s="154" cm="1">
        <f t="array" ref="O82">SUM(L29:O29)/SUM(-L32:O35)</f>
        <v>-8.471336862259264</v>
      </c>
      <c r="P82" s="154" cm="1">
        <f t="array" ref="P82">SUM(M29:P29)/SUM(-M32:P35)</f>
        <v>-10.877717061323619</v>
      </c>
      <c r="Q82" s="154" cm="1">
        <f t="array" ref="Q82">SUM(N29:Q29)/SUM(-N32:Q35)</f>
        <v>-7.2625014303696078</v>
      </c>
      <c r="R82" s="154" cm="1">
        <f t="array" ref="R82">SUM(O29:R29)/SUM(-O32:R35)</f>
        <v>-6.21890694239291</v>
      </c>
      <c r="S82" s="154" cm="1">
        <f t="array" ref="S82">SUM(P29:S29)/SUM(-P32:S35)</f>
        <v>-6.6311180753986543</v>
      </c>
      <c r="T82" s="154" cm="1">
        <f t="array" ref="T82">SUM(Q29:T29)/SUM(-Q32:T35)</f>
        <v>-11.513647851727043</v>
      </c>
      <c r="U82" s="154" cm="1">
        <f t="array" ref="U82">SUM(R29:U29)/SUM(-R32:U35)</f>
        <v>-12.671523933572127</v>
      </c>
      <c r="V82" s="154"/>
      <c r="W82" s="154" cm="1">
        <f t="array" ref="W82">SUM(W29)/SUM(-W32:W35)</f>
        <v>-20.136727373068432</v>
      </c>
      <c r="X82" s="154" cm="1">
        <f t="array" ref="X82">SUM(X29)/SUM(-X32:X35)</f>
        <v>-14.91683053788317</v>
      </c>
      <c r="Y82" s="154" cm="1">
        <f t="array" ref="Y82">SUM(Y29)/SUM(-Y32:Y35)</f>
        <v>-9.1254068127576478</v>
      </c>
      <c r="Z82" s="154" cm="1">
        <f t="array" ref="Z82">SUM(Z29)/SUM(-Z32:Z35)</f>
        <v>-9.115318601158549</v>
      </c>
      <c r="AA82" s="154" cm="1">
        <f t="array" ref="AA82">SUM(AA29)/SUM(-AA32:AA35)</f>
        <v>-8.5006194391260284</v>
      </c>
      <c r="AB82" s="154" cm="1">
        <f t="array" ref="AB82">SUM(AB29)/SUM(-AB32:AB35)</f>
        <v>-10.90200364298725</v>
      </c>
      <c r="AC82" s="154" cm="1">
        <f t="array" ref="AC82">SUM(AC29)/SUM(-AC32:AC35)</f>
        <v>-7.2625014303696078</v>
      </c>
      <c r="AD82" s="154" cm="1">
        <f t="array" ref="AD82">SUM(AD29)/SUM(-AD32:AD35)</f>
        <v>-6.21890694239291</v>
      </c>
      <c r="AE82" s="154" cm="1">
        <f t="array" ref="AE82">SUM(AE29)/SUM(-AE32:AE35)</f>
        <v>-6.6311180753986543</v>
      </c>
      <c r="AF82" s="154" cm="1">
        <f t="array" ref="AF82">SUM(AF29)/SUM(-AF32:AF35)</f>
        <v>-11.513647851727043</v>
      </c>
      <c r="AG82" s="154" cm="1">
        <f t="array" ref="AG82">SUM(AG29)/SUM(-AG32:AG35)</f>
        <v>-12.671523933572127</v>
      </c>
    </row>
    <row r="83" spans="2:33" ht="12.75" customHeight="1" x14ac:dyDescent="0.2">
      <c r="B83" s="133" t="s">
        <v>168</v>
      </c>
      <c r="C83" s="154">
        <f>C74/C71</f>
        <v>3.4216368357416105</v>
      </c>
      <c r="D83" s="154">
        <f t="shared" ref="D83:F83" si="64">D74/D71</f>
        <v>3.3378119001919386</v>
      </c>
      <c r="E83" s="154">
        <f t="shared" si="64"/>
        <v>1.2357753293996832</v>
      </c>
      <c r="F83" s="154">
        <f t="shared" si="64"/>
        <v>0.34073925723798676</v>
      </c>
      <c r="H83" s="151"/>
      <c r="I83" s="151"/>
      <c r="J83" s="151"/>
      <c r="K83" s="154">
        <f t="shared" ref="K83:U83" si="65">K74/K71</f>
        <v>3.3378119001919386</v>
      </c>
      <c r="L83" s="154">
        <f t="shared" si="65"/>
        <v>2.6427339110897128</v>
      </c>
      <c r="M83" s="154">
        <f t="shared" si="65"/>
        <v>2.086215476486688</v>
      </c>
      <c r="N83" s="154">
        <f t="shared" si="65"/>
        <v>1.6521233275159977</v>
      </c>
      <c r="O83" s="154">
        <f t="shared" si="65"/>
        <v>1.2357753293996832</v>
      </c>
      <c r="P83" s="154">
        <f t="shared" si="65"/>
        <v>1.3419813788053143</v>
      </c>
      <c r="Q83" s="154">
        <f t="shared" si="65"/>
        <v>0.63709956765494502</v>
      </c>
      <c r="R83" s="154">
        <f t="shared" si="65"/>
        <v>0.19672999104970565</v>
      </c>
      <c r="S83" s="154">
        <f t="shared" si="65"/>
        <v>0.34073925723798676</v>
      </c>
      <c r="T83" s="154">
        <f t="shared" si="65"/>
        <v>1.438415316498808</v>
      </c>
      <c r="U83" s="154">
        <f t="shared" si="65"/>
        <v>1.0484318225282081</v>
      </c>
      <c r="V83" s="154"/>
      <c r="W83" s="154">
        <f t="shared" ref="W83:AG83" si="66">W74/W71</f>
        <v>3.3378119001919386</v>
      </c>
      <c r="X83" s="154">
        <f t="shared" si="66"/>
        <v>2.6427339110897128</v>
      </c>
      <c r="Y83" s="154">
        <f t="shared" si="66"/>
        <v>2.086215476486688</v>
      </c>
      <c r="Z83" s="154">
        <f t="shared" si="66"/>
        <v>1.6521233275159977</v>
      </c>
      <c r="AA83" s="154">
        <f t="shared" si="66"/>
        <v>1.2357753293996832</v>
      </c>
      <c r="AB83" s="154">
        <f t="shared" si="66"/>
        <v>1.3419813788053143</v>
      </c>
      <c r="AC83" s="154">
        <f t="shared" si="66"/>
        <v>0.63709956765494502</v>
      </c>
      <c r="AD83" s="154">
        <f t="shared" si="66"/>
        <v>0.19672999104970565</v>
      </c>
      <c r="AE83" s="154">
        <f t="shared" si="66"/>
        <v>0.34073925723798676</v>
      </c>
      <c r="AF83" s="154">
        <f t="shared" si="66"/>
        <v>1.438415316498808</v>
      </c>
      <c r="AG83" s="154">
        <f t="shared" si="66"/>
        <v>1.0484318225282081</v>
      </c>
    </row>
    <row r="84" spans="2:33" ht="5.0999999999999996" customHeight="1" thickBot="1" x14ac:dyDescent="0.25">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c r="AA84" s="152"/>
      <c r="AB84" s="152"/>
      <c r="AC84" s="152"/>
      <c r="AD84" s="152"/>
      <c r="AE84" s="152"/>
      <c r="AF84" s="152"/>
      <c r="AG84" s="152"/>
    </row>
  </sheetData>
  <mergeCells count="1">
    <mergeCell ref="AI2:AI4"/>
  </mergeCells>
  <pageMargins left="0.7" right="0.7" top="0.75" bottom="0.75" header="0.3" footer="0.3"/>
  <ignoredErrors>
    <ignoredError sqref="C36:AI37 C22:D30 G22:J30 C31:AH35 C39:AH39 C38:AH38" formulaRange="1"/>
    <ignoredError sqref="E22:F30 K22:P30 V22:AH30 Q22:U30 AI31:AI35 AI22:AI30" evalError="1" formulaRange="1"/>
    <ignoredError sqref="E15:F21 K15:P21 Q15:U21 Q10:AH14 V15:AH21 AI15:AI21 AI10:AI14 AI6:AI9 AI41:AI45"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D0FF-7BAA-4B41-AD4E-0FDA4D288E3E}">
  <dimension ref="B2:AG21"/>
  <sheetViews>
    <sheetView showGridLines="0" zoomScale="115" zoomScaleNormal="115" workbookViewId="0">
      <selection activeCell="F24" sqref="F24"/>
    </sheetView>
  </sheetViews>
  <sheetFormatPr defaultRowHeight="12" outlineLevelCol="1" x14ac:dyDescent="0.2"/>
  <cols>
    <col min="1" max="1" width="1.7109375" style="133" customWidth="1"/>
    <col min="2" max="2" width="53.140625" style="133" bestFit="1" customWidth="1"/>
    <col min="3" max="3" width="11.140625" style="133" hidden="1" customWidth="1" outlineLevel="1"/>
    <col min="4" max="4" width="9.85546875" style="133" bestFit="1" customWidth="1" collapsed="1"/>
    <col min="5" max="5" width="9.42578125" style="133" bestFit="1" customWidth="1"/>
    <col min="6" max="6" width="9.85546875" style="133" bestFit="1" customWidth="1"/>
    <col min="7" max="7" width="1.7109375" style="133" customWidth="1"/>
    <col min="8" max="10" width="9.7109375" style="133" hidden="1" customWidth="1" outlineLevel="1"/>
    <col min="11" max="11" width="9.85546875" style="133" hidden="1" customWidth="1" outlineLevel="1"/>
    <col min="12" max="14" width="9" style="133" hidden="1" customWidth="1" outlineLevel="1"/>
    <col min="15" max="15" width="9.85546875" style="133" hidden="1" customWidth="1" outlineLevel="1"/>
    <col min="16" max="16" width="9" style="133" hidden="1" customWidth="1" outlineLevel="1"/>
    <col min="17" max="17" width="9" style="133" bestFit="1" customWidth="1" collapsed="1"/>
    <col min="18" max="18" width="9" style="133" bestFit="1" customWidth="1"/>
    <col min="19" max="19" width="9.85546875" style="133" bestFit="1" customWidth="1"/>
    <col min="20" max="21" width="9" style="133" bestFit="1" customWidth="1"/>
    <col min="22" max="22" width="1.7109375" style="133" customWidth="1"/>
    <col min="23" max="28" width="10" style="133" hidden="1" customWidth="1" outlineLevel="1"/>
    <col min="29" max="29" width="10" style="133" bestFit="1" customWidth="1" collapsed="1"/>
    <col min="30" max="32" width="10" style="133" hidden="1" customWidth="1" outlineLevel="1"/>
    <col min="33" max="33" width="10" style="133" bestFit="1" customWidth="1" collapsed="1"/>
    <col min="34" max="16384" width="9.140625" style="133"/>
  </cols>
  <sheetData>
    <row r="2" spans="2:33" s="85" customFormat="1" ht="12.75" customHeight="1" x14ac:dyDescent="0.2">
      <c r="B2" s="20" t="s">
        <v>45</v>
      </c>
      <c r="C2" s="81" t="s">
        <v>0</v>
      </c>
      <c r="D2" s="81" t="s">
        <v>0</v>
      </c>
      <c r="E2" s="81"/>
      <c r="F2" s="81"/>
      <c r="G2" s="83"/>
      <c r="H2" s="81" t="s">
        <v>1</v>
      </c>
      <c r="I2" s="81"/>
      <c r="J2" s="81"/>
      <c r="K2" s="81"/>
      <c r="L2" s="81"/>
      <c r="M2" s="81"/>
      <c r="N2" s="81"/>
      <c r="O2" s="81"/>
      <c r="P2" s="81" t="s">
        <v>1</v>
      </c>
      <c r="Q2" s="81" t="s">
        <v>1</v>
      </c>
      <c r="R2" s="81"/>
      <c r="S2" s="81"/>
      <c r="T2" s="81"/>
      <c r="U2" s="81"/>
      <c r="V2" s="83"/>
      <c r="W2" s="81" t="s">
        <v>2</v>
      </c>
      <c r="X2" s="81"/>
      <c r="Y2" s="81"/>
      <c r="Z2" s="81"/>
      <c r="AA2" s="81" t="s">
        <v>2</v>
      </c>
      <c r="AB2" s="81"/>
      <c r="AC2" s="81" t="s">
        <v>2</v>
      </c>
      <c r="AD2" s="81"/>
      <c r="AE2" s="81"/>
      <c r="AF2" s="81"/>
      <c r="AG2" s="81"/>
    </row>
    <row r="3" spans="2:33" s="85" customFormat="1" ht="12.75" customHeight="1" x14ac:dyDescent="0.2">
      <c r="B3" s="21" t="s">
        <v>206</v>
      </c>
      <c r="C3" s="82">
        <v>2021</v>
      </c>
      <c r="D3" s="82">
        <v>2022</v>
      </c>
      <c r="E3" s="82">
        <v>2023</v>
      </c>
      <c r="F3" s="82">
        <v>2024</v>
      </c>
      <c r="G3" s="83"/>
      <c r="H3" s="84" t="s">
        <v>5</v>
      </c>
      <c r="I3" s="84" t="s">
        <v>6</v>
      </c>
      <c r="J3" s="84" t="s">
        <v>7</v>
      </c>
      <c r="K3" s="84" t="s">
        <v>8</v>
      </c>
      <c r="L3" s="84" t="s">
        <v>9</v>
      </c>
      <c r="M3" s="84" t="s">
        <v>10</v>
      </c>
      <c r="N3" s="84" t="s">
        <v>11</v>
      </c>
      <c r="O3" s="84" t="s">
        <v>12</v>
      </c>
      <c r="P3" s="84" t="s">
        <v>13</v>
      </c>
      <c r="Q3" s="84" t="s">
        <v>14</v>
      </c>
      <c r="R3" s="84" t="s">
        <v>15</v>
      </c>
      <c r="S3" s="84" t="s">
        <v>103</v>
      </c>
      <c r="T3" s="84" t="s">
        <v>104</v>
      </c>
      <c r="U3" s="84" t="s">
        <v>105</v>
      </c>
      <c r="V3" s="83"/>
      <c r="W3" s="84" t="str">
        <f t="shared" ref="W3:AD4" si="0">K3</f>
        <v>4Q22</v>
      </c>
      <c r="X3" s="84" t="str">
        <f t="shared" si="0"/>
        <v>1Q23</v>
      </c>
      <c r="Y3" s="84" t="str">
        <f t="shared" si="0"/>
        <v>2Q23</v>
      </c>
      <c r="Z3" s="84" t="str">
        <f t="shared" si="0"/>
        <v>3Q23</v>
      </c>
      <c r="AA3" s="84" t="str">
        <f t="shared" si="0"/>
        <v>4Q23</v>
      </c>
      <c r="AB3" s="84" t="str">
        <f t="shared" si="0"/>
        <v>1Q24</v>
      </c>
      <c r="AC3" s="84" t="str">
        <f t="shared" si="0"/>
        <v>2Q24</v>
      </c>
      <c r="AD3" s="84" t="str">
        <f t="shared" si="0"/>
        <v>3Q24</v>
      </c>
      <c r="AE3" s="84" t="str">
        <f>S3</f>
        <v>4Q24</v>
      </c>
      <c r="AF3" s="84" t="str">
        <f t="shared" ref="AF3:AG4" si="1">T3</f>
        <v>1Q25</v>
      </c>
      <c r="AG3" s="84" t="str">
        <f t="shared" si="1"/>
        <v>2Q25</v>
      </c>
    </row>
    <row r="4" spans="2:33" s="85" customFormat="1" ht="12.75" customHeight="1" x14ac:dyDescent="0.2">
      <c r="B4" s="21" t="s">
        <v>95</v>
      </c>
      <c r="C4" s="83">
        <v>44561</v>
      </c>
      <c r="D4" s="83">
        <v>44926</v>
      </c>
      <c r="E4" s="83">
        <v>45291</v>
      </c>
      <c r="F4" s="83">
        <v>45657</v>
      </c>
      <c r="G4" s="83"/>
      <c r="H4" s="83">
        <v>44651</v>
      </c>
      <c r="I4" s="83">
        <v>44742</v>
      </c>
      <c r="J4" s="83">
        <v>44834</v>
      </c>
      <c r="K4" s="83">
        <v>44926</v>
      </c>
      <c r="L4" s="83">
        <v>45016</v>
      </c>
      <c r="M4" s="83">
        <v>45107</v>
      </c>
      <c r="N4" s="83">
        <v>45199</v>
      </c>
      <c r="O4" s="83">
        <v>45291</v>
      </c>
      <c r="P4" s="83">
        <v>45382</v>
      </c>
      <c r="Q4" s="83">
        <v>45473</v>
      </c>
      <c r="R4" s="83">
        <v>45565</v>
      </c>
      <c r="S4" s="83">
        <v>45657</v>
      </c>
      <c r="T4" s="83">
        <v>45747</v>
      </c>
      <c r="U4" s="83">
        <v>45838</v>
      </c>
      <c r="V4" s="83"/>
      <c r="W4" s="83">
        <f t="shared" si="0"/>
        <v>44926</v>
      </c>
      <c r="X4" s="83">
        <f t="shared" si="0"/>
        <v>45016</v>
      </c>
      <c r="Y4" s="83">
        <f t="shared" si="0"/>
        <v>45107</v>
      </c>
      <c r="Z4" s="83">
        <f t="shared" si="0"/>
        <v>45199</v>
      </c>
      <c r="AA4" s="83">
        <f t="shared" si="0"/>
        <v>45291</v>
      </c>
      <c r="AB4" s="83">
        <f t="shared" si="0"/>
        <v>45382</v>
      </c>
      <c r="AC4" s="83">
        <f t="shared" si="0"/>
        <v>45473</v>
      </c>
      <c r="AD4" s="83">
        <f t="shared" si="0"/>
        <v>45565</v>
      </c>
      <c r="AE4" s="83">
        <f>S4</f>
        <v>45657</v>
      </c>
      <c r="AF4" s="83">
        <f t="shared" si="1"/>
        <v>45747</v>
      </c>
      <c r="AG4" s="83">
        <f t="shared" si="1"/>
        <v>45838</v>
      </c>
    </row>
    <row r="5" spans="2:33" ht="5.0999999999999996" customHeight="1" x14ac:dyDescent="0.2"/>
    <row r="6" spans="2:33" ht="12.75" customHeight="1" x14ac:dyDescent="0.2">
      <c r="B6" s="87" t="s">
        <v>157</v>
      </c>
      <c r="C6" s="88">
        <f>'Base Financials'!C35</f>
        <v>217502</v>
      </c>
      <c r="D6" s="88">
        <f>'Base Financials'!D35</f>
        <v>149772</v>
      </c>
      <c r="E6" s="88">
        <f>'Base Financials'!E35</f>
        <v>80448</v>
      </c>
      <c r="F6" s="88">
        <f>'Base Financials'!F35</f>
        <v>44937</v>
      </c>
      <c r="G6" s="88"/>
      <c r="H6" s="88">
        <f>'Base Financials'!H35</f>
        <v>198222</v>
      </c>
      <c r="I6" s="88">
        <f>'Base Financials'!I35</f>
        <v>181035</v>
      </c>
      <c r="J6" s="88">
        <f>'Base Financials'!J35</f>
        <v>163731</v>
      </c>
      <c r="K6" s="88">
        <f>'Base Financials'!K35</f>
        <v>149772</v>
      </c>
      <c r="L6" s="88">
        <f>'Base Financials'!L35</f>
        <v>129570</v>
      </c>
      <c r="M6" s="88">
        <f>'Base Financials'!M35</f>
        <v>114604</v>
      </c>
      <c r="N6" s="88">
        <f>'Base Financials'!N35</f>
        <v>99986</v>
      </c>
      <c r="O6" s="88">
        <f>'Base Financials'!O35</f>
        <v>80448</v>
      </c>
      <c r="P6" s="88">
        <f>'Base Financials'!P35</f>
        <v>115505</v>
      </c>
      <c r="Q6" s="88">
        <f>'Base Financials'!Q35</f>
        <v>93563</v>
      </c>
      <c r="R6" s="88">
        <f>'Base Financials'!R35</f>
        <v>20571</v>
      </c>
      <c r="S6" s="88">
        <f>'Base Financials'!S35</f>
        <v>44937</v>
      </c>
      <c r="T6" s="88">
        <f>'Base Financials'!T35</f>
        <v>62847</v>
      </c>
      <c r="U6" s="88">
        <f>'Base Financials'!U35</f>
        <v>38032</v>
      </c>
      <c r="V6" s="88"/>
      <c r="W6" s="88">
        <f t="shared" ref="W6" si="2">K6</f>
        <v>149772</v>
      </c>
      <c r="X6" s="88">
        <f t="shared" ref="X6" si="3">L6</f>
        <v>129570</v>
      </c>
      <c r="Y6" s="88">
        <f t="shared" ref="Y6" si="4">M6</f>
        <v>114604</v>
      </c>
      <c r="Z6" s="88">
        <f t="shared" ref="Z6" si="5">N6</f>
        <v>99986</v>
      </c>
      <c r="AA6" s="88">
        <f t="shared" ref="AA6" si="6">O6</f>
        <v>80448</v>
      </c>
      <c r="AB6" s="88">
        <f t="shared" ref="AB6" si="7">P6</f>
        <v>115505</v>
      </c>
      <c r="AC6" s="88">
        <f t="shared" ref="AC6" si="8">Q6</f>
        <v>93563</v>
      </c>
      <c r="AD6" s="88">
        <f t="shared" ref="AD6" si="9">R6</f>
        <v>20571</v>
      </c>
      <c r="AE6" s="88">
        <f t="shared" ref="AE6" si="10">S6</f>
        <v>44937</v>
      </c>
      <c r="AF6" s="88">
        <f t="shared" ref="AF6" si="11">T6</f>
        <v>62847</v>
      </c>
      <c r="AG6" s="88">
        <f>U6</f>
        <v>38032</v>
      </c>
    </row>
    <row r="7" spans="2:33" ht="12.75" customHeight="1" x14ac:dyDescent="0.2">
      <c r="B7" s="105" t="s">
        <v>195</v>
      </c>
      <c r="C7" s="106">
        <f>SUM(C6:C6)</f>
        <v>217502</v>
      </c>
      <c r="D7" s="106">
        <f>SUM(D6:D6)</f>
        <v>149772</v>
      </c>
      <c r="E7" s="106">
        <f>SUM(E6:E6)</f>
        <v>80448</v>
      </c>
      <c r="F7" s="106">
        <f>SUM(F6:F6)</f>
        <v>44937</v>
      </c>
      <c r="G7" s="134"/>
      <c r="H7" s="106">
        <f>SUM(H6:H6)</f>
        <v>198222</v>
      </c>
      <c r="I7" s="106">
        <f>SUM(I6:I6)</f>
        <v>181035</v>
      </c>
      <c r="J7" s="106">
        <f>SUM(J6:J6)</f>
        <v>163731</v>
      </c>
      <c r="K7" s="106">
        <f>SUM(K6:K6)</f>
        <v>149772</v>
      </c>
      <c r="L7" s="106">
        <f>SUM(L6:L6)</f>
        <v>129570</v>
      </c>
      <c r="M7" s="106">
        <f>SUM(M6:M6)</f>
        <v>114604</v>
      </c>
      <c r="N7" s="106">
        <f>SUM(N6:N6)</f>
        <v>99986</v>
      </c>
      <c r="O7" s="106">
        <f>SUM(O6:O6)</f>
        <v>80448</v>
      </c>
      <c r="P7" s="106">
        <f>SUM(P6:P6)</f>
        <v>115505</v>
      </c>
      <c r="Q7" s="106">
        <f>SUM(Q6:Q6)</f>
        <v>93563</v>
      </c>
      <c r="R7" s="106">
        <f>SUM(R6:R6)</f>
        <v>20571</v>
      </c>
      <c r="S7" s="106">
        <f>SUM(S6:S6)</f>
        <v>44937</v>
      </c>
      <c r="T7" s="106">
        <f>SUM(T6:T6)</f>
        <v>62847</v>
      </c>
      <c r="U7" s="106">
        <f>SUM(U6:U6)</f>
        <v>38032</v>
      </c>
      <c r="V7" s="85"/>
      <c r="W7" s="106">
        <f>SUM(W6:W6)</f>
        <v>149772</v>
      </c>
      <c r="X7" s="106">
        <f>SUM(X6:X6)</f>
        <v>129570</v>
      </c>
      <c r="Y7" s="106">
        <f>SUM(Y6:Y6)</f>
        <v>114604</v>
      </c>
      <c r="Z7" s="106">
        <f>SUM(Z6:Z6)</f>
        <v>99986</v>
      </c>
      <c r="AA7" s="106">
        <f>SUM(AA6:AA6)</f>
        <v>80448</v>
      </c>
      <c r="AB7" s="106">
        <f>SUM(AB6:AB6)</f>
        <v>115505</v>
      </c>
      <c r="AC7" s="106">
        <f>SUM(AC6:AC6)</f>
        <v>93563</v>
      </c>
      <c r="AD7" s="106">
        <f>SUM(AD6:AD6)</f>
        <v>20571</v>
      </c>
      <c r="AE7" s="106">
        <f>SUM(AE6:AE6)</f>
        <v>44937</v>
      </c>
      <c r="AF7" s="106">
        <f>SUM(AF6:AF6)</f>
        <v>62847</v>
      </c>
      <c r="AG7" s="106">
        <f>SUM(AG6:AG6)</f>
        <v>38032</v>
      </c>
    </row>
    <row r="8" spans="2:33" x14ac:dyDescent="0.2">
      <c r="B8" s="136"/>
      <c r="C8" s="137"/>
      <c r="D8" s="137"/>
      <c r="E8" s="137"/>
      <c r="F8" s="137"/>
      <c r="G8" s="138"/>
      <c r="H8" s="139"/>
      <c r="I8" s="139"/>
      <c r="J8" s="139"/>
      <c r="K8" s="140"/>
      <c r="L8" s="139"/>
      <c r="M8" s="139"/>
      <c r="N8" s="139"/>
      <c r="O8" s="140"/>
      <c r="P8" s="139"/>
      <c r="Q8" s="139"/>
      <c r="R8" s="139"/>
      <c r="S8" s="139"/>
      <c r="T8" s="139"/>
      <c r="U8" s="139"/>
      <c r="V8" s="138"/>
      <c r="W8" s="138"/>
      <c r="X8" s="138"/>
      <c r="Y8" s="138"/>
      <c r="Z8" s="138"/>
      <c r="AA8" s="138"/>
      <c r="AB8" s="138"/>
      <c r="AC8" s="138"/>
      <c r="AD8" s="138"/>
      <c r="AE8" s="138"/>
      <c r="AF8" s="138"/>
      <c r="AG8" s="138"/>
    </row>
    <row r="9" spans="2:33" ht="12.75" customHeight="1" x14ac:dyDescent="0.2">
      <c r="B9" s="161" t="s">
        <v>198</v>
      </c>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row>
    <row r="10" spans="2:33" ht="12.75" customHeight="1" x14ac:dyDescent="0.2">
      <c r="B10" s="141" t="s">
        <v>199</v>
      </c>
      <c r="C10" s="88">
        <f>'Base Financials'!C100</f>
        <v>-81190</v>
      </c>
      <c r="D10" s="88">
        <f>'Base Financials'!D100</f>
        <v>-71129</v>
      </c>
      <c r="E10" s="88">
        <f>'Base Financials'!E100</f>
        <v>-73305</v>
      </c>
      <c r="F10" s="88">
        <f>'Base Financials'!F100</f>
        <v>-98122</v>
      </c>
      <c r="G10" s="88"/>
      <c r="H10" s="88">
        <f>'Base Financials'!H100</f>
        <v>-18797</v>
      </c>
      <c r="I10" s="88">
        <f>'Base Financials'!I100</f>
        <v>-16569</v>
      </c>
      <c r="J10" s="88">
        <f>'Base Financials'!J100</f>
        <v>-16804</v>
      </c>
      <c r="K10" s="88">
        <f>'Base Financials'!K100</f>
        <v>-18548</v>
      </c>
      <c r="L10" s="88">
        <f>'Base Financials'!L100</f>
        <v>-18641</v>
      </c>
      <c r="M10" s="88">
        <f>'Base Financials'!M100</f>
        <v>-22603</v>
      </c>
      <c r="N10" s="88">
        <f>'Base Financials'!N100</f>
        <v>-15910</v>
      </c>
      <c r="O10" s="88">
        <f>'Base Financials'!O100</f>
        <v>-16151</v>
      </c>
      <c r="P10" s="88">
        <f>'Base Financials'!P100</f>
        <v>-27347</v>
      </c>
      <c r="Q10" s="88">
        <f>'Base Financials'!Q100</f>
        <v>-21291</v>
      </c>
      <c r="R10" s="88">
        <f>'Base Financials'!R100</f>
        <v>-22907</v>
      </c>
      <c r="S10" s="88">
        <f>'Base Financials'!S100</f>
        <v>-26577</v>
      </c>
      <c r="T10" s="88">
        <f>'Base Financials'!T100</f>
        <v>-28601</v>
      </c>
      <c r="U10" s="88">
        <f>'Base Financials'!U100</f>
        <v>-26413</v>
      </c>
      <c r="V10" s="88"/>
      <c r="W10" s="88">
        <f t="shared" ref="W10:W11" si="12">SUM(H10:K10)</f>
        <v>-70718</v>
      </c>
      <c r="X10" s="88">
        <f t="shared" ref="X10:X11" si="13">SUM(I10:L10)</f>
        <v>-70562</v>
      </c>
      <c r="Y10" s="88">
        <f t="shared" ref="Y10:Y11" si="14">SUM(J10:M10)</f>
        <v>-76596</v>
      </c>
      <c r="Z10" s="88">
        <f t="shared" ref="Z10:Z11" si="15">SUM(K10:N10)</f>
        <v>-75702</v>
      </c>
      <c r="AA10" s="88">
        <f t="shared" ref="AA10:AA11" si="16">SUM(L10:O10)</f>
        <v>-73305</v>
      </c>
      <c r="AB10" s="88">
        <f t="shared" ref="AB10:AB11" si="17">SUM(M10:P10)</f>
        <v>-82011</v>
      </c>
      <c r="AC10" s="88">
        <f t="shared" ref="AC10:AC11" si="18">SUM(N10:Q10)</f>
        <v>-80699</v>
      </c>
      <c r="AD10" s="88">
        <f t="shared" ref="AD10:AD11" si="19">SUM(O10:R10)</f>
        <v>-87696</v>
      </c>
      <c r="AE10" s="88">
        <f t="shared" ref="AE10:AE11" si="20">SUM(P10:S10)</f>
        <v>-98122</v>
      </c>
      <c r="AF10" s="88">
        <f t="shared" ref="AF10:AF11" si="21">SUM(Q10:T10)</f>
        <v>-99376</v>
      </c>
      <c r="AG10" s="88">
        <f t="shared" ref="AG10:AG11" si="22">SUM(R10:U10)</f>
        <v>-104498</v>
      </c>
    </row>
    <row r="11" spans="2:33" ht="12.75" customHeight="1" x14ac:dyDescent="0.2">
      <c r="B11" s="141" t="s">
        <v>200</v>
      </c>
      <c r="C11" s="88">
        <f>'Base Financials'!C103</f>
        <v>-220</v>
      </c>
      <c r="D11" s="88">
        <f>'Base Financials'!D103</f>
        <v>-1048</v>
      </c>
      <c r="E11" s="88">
        <f>'Base Financials'!E103</f>
        <v>-2280</v>
      </c>
      <c r="F11" s="88">
        <f>'Base Financials'!F103</f>
        <v>-1572</v>
      </c>
      <c r="G11" s="88"/>
      <c r="H11" s="88">
        <f>'Base Financials'!H103</f>
        <v>-22</v>
      </c>
      <c r="I11" s="88">
        <f>'Base Financials'!I103</f>
        <v>-134</v>
      </c>
      <c r="J11" s="88">
        <f>'Base Financials'!J103</f>
        <v>-211</v>
      </c>
      <c r="K11" s="88">
        <f>'Base Financials'!K103</f>
        <v>-681</v>
      </c>
      <c r="L11" s="88">
        <f>'Base Financials'!L103</f>
        <v>-1152</v>
      </c>
      <c r="M11" s="88">
        <f>'Base Financials'!M103</f>
        <v>-485</v>
      </c>
      <c r="N11" s="88">
        <f>'Base Financials'!N103</f>
        <v>-493</v>
      </c>
      <c r="O11" s="88">
        <f>'Base Financials'!O103</f>
        <v>-150</v>
      </c>
      <c r="P11" s="88">
        <f>'Base Financials'!P103</f>
        <v>-391</v>
      </c>
      <c r="Q11" s="88">
        <f>'Base Financials'!Q103</f>
        <v>-184</v>
      </c>
      <c r="R11" s="88">
        <f>'Base Financials'!R103</f>
        <v>-934</v>
      </c>
      <c r="S11" s="88">
        <f>'Base Financials'!S103</f>
        <v>-63</v>
      </c>
      <c r="T11" s="88">
        <f>'Base Financials'!T103</f>
        <v>-228</v>
      </c>
      <c r="U11" s="88">
        <f>'Base Financials'!U103</f>
        <v>-568</v>
      </c>
      <c r="V11" s="88"/>
      <c r="W11" s="88">
        <f t="shared" si="12"/>
        <v>-1048</v>
      </c>
      <c r="X11" s="88">
        <f t="shared" si="13"/>
        <v>-2178</v>
      </c>
      <c r="Y11" s="88">
        <f t="shared" si="14"/>
        <v>-2529</v>
      </c>
      <c r="Z11" s="88">
        <f t="shared" si="15"/>
        <v>-2811</v>
      </c>
      <c r="AA11" s="88">
        <f t="shared" si="16"/>
        <v>-2280</v>
      </c>
      <c r="AB11" s="88">
        <f t="shared" si="17"/>
        <v>-1519</v>
      </c>
      <c r="AC11" s="88">
        <f t="shared" si="18"/>
        <v>-1218</v>
      </c>
      <c r="AD11" s="88">
        <f t="shared" si="19"/>
        <v>-1659</v>
      </c>
      <c r="AE11" s="88">
        <f t="shared" si="20"/>
        <v>-1572</v>
      </c>
      <c r="AF11" s="88">
        <f t="shared" si="21"/>
        <v>-1409</v>
      </c>
      <c r="AG11" s="88">
        <f t="shared" si="22"/>
        <v>-1793</v>
      </c>
    </row>
    <row r="12" spans="2:33" ht="12.75" customHeight="1" x14ac:dyDescent="0.2">
      <c r="B12" s="142" t="s">
        <v>201</v>
      </c>
      <c r="C12" s="143">
        <f>+SUM(C10:C11)/12</f>
        <v>-6784.166666666667</v>
      </c>
      <c r="D12" s="143">
        <f t="shared" ref="D12:F12" si="23">+SUM(D10:D11)/12</f>
        <v>-6014.75</v>
      </c>
      <c r="E12" s="143">
        <f t="shared" si="23"/>
        <v>-6298.75</v>
      </c>
      <c r="F12" s="143">
        <f t="shared" si="23"/>
        <v>-8307.8333333333339</v>
      </c>
      <c r="G12" s="85"/>
      <c r="H12" s="143">
        <f t="shared" ref="H12" si="24">+SUM(H10:H11)/12</f>
        <v>-1568.25</v>
      </c>
      <c r="I12" s="143">
        <f t="shared" ref="I12" si="25">+SUM(I10:I11)/12</f>
        <v>-1391.9166666666667</v>
      </c>
      <c r="J12" s="143">
        <f t="shared" ref="J12" si="26">+SUM(J10:J11)/12</f>
        <v>-1417.9166666666667</v>
      </c>
      <c r="K12" s="143">
        <f t="shared" ref="K12" si="27">+SUM(K10:K11)/12</f>
        <v>-1602.4166666666667</v>
      </c>
      <c r="L12" s="143">
        <f t="shared" ref="L12" si="28">+SUM(L10:L11)/12</f>
        <v>-1649.4166666666667</v>
      </c>
      <c r="M12" s="143">
        <f t="shared" ref="M12" si="29">+SUM(M10:M11)/12</f>
        <v>-1924</v>
      </c>
      <c r="N12" s="143">
        <f t="shared" ref="N12" si="30">+SUM(N10:N11)/12</f>
        <v>-1366.9166666666667</v>
      </c>
      <c r="O12" s="143">
        <f t="shared" ref="O12" si="31">+SUM(O10:O11)/12</f>
        <v>-1358.4166666666667</v>
      </c>
      <c r="P12" s="143">
        <f t="shared" ref="P12" si="32">+SUM(P10:P11)/12</f>
        <v>-2311.5</v>
      </c>
      <c r="Q12" s="143">
        <f t="shared" ref="Q12" si="33">+SUM(Q10:Q11)/12</f>
        <v>-1789.5833333333333</v>
      </c>
      <c r="R12" s="143">
        <f t="shared" ref="R12" si="34">+SUM(R10:R11)/12</f>
        <v>-1986.75</v>
      </c>
      <c r="S12" s="143">
        <f t="shared" ref="S12" si="35">+SUM(S10:S11)/12</f>
        <v>-2220</v>
      </c>
      <c r="T12" s="143">
        <f t="shared" ref="T12" si="36">+SUM(T10:T11)/12</f>
        <v>-2402.4166666666665</v>
      </c>
      <c r="U12" s="143">
        <f t="shared" ref="U12" si="37">+SUM(U10:U11)/12</f>
        <v>-2248.4166666666665</v>
      </c>
      <c r="V12" s="85"/>
      <c r="W12" s="143">
        <f t="shared" ref="W12" si="38">+SUM(W10:W11)</f>
        <v>-71766</v>
      </c>
      <c r="X12" s="143">
        <f t="shared" ref="X12" si="39">+SUM(X10:X11)</f>
        <v>-72740</v>
      </c>
      <c r="Y12" s="143">
        <f t="shared" ref="Y12" si="40">+SUM(Y10:Y11)</f>
        <v>-79125</v>
      </c>
      <c r="Z12" s="143">
        <f t="shared" ref="Z12" si="41">+SUM(Z10:Z11)</f>
        <v>-78513</v>
      </c>
      <c r="AA12" s="143">
        <f t="shared" ref="AA12" si="42">+SUM(AA10:AA11)</f>
        <v>-75585</v>
      </c>
      <c r="AB12" s="143">
        <f t="shared" ref="AB12" si="43">+SUM(AB10:AB11)</f>
        <v>-83530</v>
      </c>
      <c r="AC12" s="143">
        <f t="shared" ref="AC12" si="44">+SUM(AC10:AC11)/12</f>
        <v>-6826.416666666667</v>
      </c>
      <c r="AD12" s="143">
        <f t="shared" ref="AD12" si="45">+SUM(AD10:AD11)/12</f>
        <v>-7446.25</v>
      </c>
      <c r="AE12" s="143">
        <f t="shared" ref="AE12" si="46">+SUM(AE10:AE11)/12</f>
        <v>-8307.8333333333339</v>
      </c>
      <c r="AF12" s="143">
        <f t="shared" ref="AF12" si="47">+SUM(AF10:AF11)/12</f>
        <v>-8398.75</v>
      </c>
      <c r="AG12" s="143">
        <f t="shared" ref="AG12" si="48">+SUM(AG10:AG11)/12</f>
        <v>-8857.5833333333339</v>
      </c>
    </row>
    <row r="13" spans="2:33" ht="5.0999999999999996" customHeight="1" x14ac:dyDescent="0.2">
      <c r="B13" s="142"/>
      <c r="C13" s="160"/>
      <c r="D13" s="160"/>
      <c r="E13" s="160"/>
      <c r="F13" s="160"/>
      <c r="G13" s="85"/>
      <c r="H13" s="160"/>
      <c r="I13" s="160"/>
      <c r="J13" s="160"/>
      <c r="K13" s="160"/>
      <c r="L13" s="160"/>
      <c r="M13" s="160"/>
      <c r="N13" s="160"/>
      <c r="O13" s="160"/>
      <c r="P13" s="160"/>
      <c r="Q13" s="160"/>
      <c r="R13" s="160"/>
      <c r="S13" s="160"/>
      <c r="T13" s="160"/>
      <c r="U13" s="160"/>
      <c r="V13" s="85"/>
      <c r="W13" s="160"/>
      <c r="X13" s="160"/>
      <c r="Y13" s="160"/>
      <c r="Z13" s="160"/>
      <c r="AA13" s="160"/>
      <c r="AB13" s="160"/>
      <c r="AC13" s="160"/>
      <c r="AD13" s="160"/>
      <c r="AE13" s="160"/>
      <c r="AF13" s="160"/>
      <c r="AG13" s="160"/>
    </row>
    <row r="14" spans="2:33" ht="12.75" customHeight="1" x14ac:dyDescent="0.2">
      <c r="B14" s="161" t="s">
        <v>202</v>
      </c>
      <c r="C14" s="154"/>
      <c r="D14" s="160"/>
      <c r="E14" s="160"/>
      <c r="F14" s="160"/>
      <c r="G14" s="85"/>
      <c r="H14" s="160"/>
      <c r="I14" s="160"/>
      <c r="J14" s="160"/>
      <c r="K14" s="160"/>
      <c r="L14" s="160"/>
      <c r="M14" s="160"/>
      <c r="N14" s="160"/>
      <c r="O14" s="160"/>
      <c r="P14" s="160"/>
      <c r="Q14" s="160"/>
      <c r="R14" s="160"/>
      <c r="S14" s="160"/>
      <c r="T14" s="160"/>
      <c r="U14" s="160"/>
      <c r="V14" s="85"/>
      <c r="W14" s="160"/>
      <c r="X14" s="160"/>
      <c r="Y14" s="160"/>
      <c r="Z14" s="160"/>
      <c r="AA14" s="160"/>
      <c r="AB14" s="160"/>
      <c r="AC14" s="160"/>
      <c r="AD14" s="160"/>
      <c r="AE14" s="160"/>
      <c r="AF14" s="160"/>
      <c r="AG14" s="160"/>
    </row>
    <row r="15" spans="2:33" ht="12.75" customHeight="1" x14ac:dyDescent="0.2">
      <c r="B15" s="141" t="s">
        <v>158</v>
      </c>
      <c r="C15" s="88">
        <f>C7</f>
        <v>217502</v>
      </c>
      <c r="D15" s="88">
        <f t="shared" ref="D15:F15" si="49">D7</f>
        <v>149772</v>
      </c>
      <c r="E15" s="88">
        <f t="shared" si="49"/>
        <v>80448</v>
      </c>
      <c r="F15" s="88">
        <f t="shared" si="49"/>
        <v>44937</v>
      </c>
      <c r="G15" s="85"/>
      <c r="H15" s="88">
        <f t="shared" ref="H15:U15" si="50">H7</f>
        <v>198222</v>
      </c>
      <c r="I15" s="88">
        <f t="shared" si="50"/>
        <v>181035</v>
      </c>
      <c r="J15" s="88">
        <f t="shared" si="50"/>
        <v>163731</v>
      </c>
      <c r="K15" s="88">
        <f t="shared" si="50"/>
        <v>149772</v>
      </c>
      <c r="L15" s="88">
        <f t="shared" si="50"/>
        <v>129570</v>
      </c>
      <c r="M15" s="88">
        <f t="shared" si="50"/>
        <v>114604</v>
      </c>
      <c r="N15" s="88">
        <f t="shared" si="50"/>
        <v>99986</v>
      </c>
      <c r="O15" s="88">
        <f t="shared" si="50"/>
        <v>80448</v>
      </c>
      <c r="P15" s="88">
        <f t="shared" si="50"/>
        <v>115505</v>
      </c>
      <c r="Q15" s="88">
        <f t="shared" si="50"/>
        <v>93563</v>
      </c>
      <c r="R15" s="88">
        <f t="shared" si="50"/>
        <v>20571</v>
      </c>
      <c r="S15" s="88">
        <f t="shared" si="50"/>
        <v>44937</v>
      </c>
      <c r="T15" s="88">
        <f t="shared" si="50"/>
        <v>62847</v>
      </c>
      <c r="U15" s="88">
        <f t="shared" si="50"/>
        <v>38032</v>
      </c>
      <c r="V15" s="85"/>
      <c r="W15" s="88">
        <f t="shared" ref="W15:AG15" si="51">W7</f>
        <v>149772</v>
      </c>
      <c r="X15" s="88">
        <f t="shared" si="51"/>
        <v>129570</v>
      </c>
      <c r="Y15" s="88">
        <f t="shared" si="51"/>
        <v>114604</v>
      </c>
      <c r="Z15" s="88">
        <f t="shared" si="51"/>
        <v>99986</v>
      </c>
      <c r="AA15" s="88">
        <f t="shared" si="51"/>
        <v>80448</v>
      </c>
      <c r="AB15" s="88">
        <f t="shared" si="51"/>
        <v>115505</v>
      </c>
      <c r="AC15" s="88">
        <f t="shared" si="51"/>
        <v>93563</v>
      </c>
      <c r="AD15" s="88">
        <f t="shared" si="51"/>
        <v>20571</v>
      </c>
      <c r="AE15" s="88">
        <f t="shared" si="51"/>
        <v>44937</v>
      </c>
      <c r="AF15" s="88">
        <f t="shared" si="51"/>
        <v>62847</v>
      </c>
      <c r="AG15" s="88">
        <f t="shared" si="51"/>
        <v>38032</v>
      </c>
    </row>
    <row r="16" spans="2:33" ht="12.75" customHeight="1" x14ac:dyDescent="0.2">
      <c r="B16" s="141" t="s">
        <v>203</v>
      </c>
      <c r="C16" s="88">
        <f>C12</f>
        <v>-6784.166666666667</v>
      </c>
      <c r="D16" s="88">
        <f t="shared" ref="D16:F16" si="52">D12</f>
        <v>-6014.75</v>
      </c>
      <c r="E16" s="88">
        <f t="shared" si="52"/>
        <v>-6298.75</v>
      </c>
      <c r="F16" s="88">
        <f t="shared" si="52"/>
        <v>-8307.8333333333339</v>
      </c>
      <c r="G16" s="85"/>
      <c r="H16" s="88">
        <f t="shared" ref="H16:U16" si="53">H12</f>
        <v>-1568.25</v>
      </c>
      <c r="I16" s="88">
        <f t="shared" si="53"/>
        <v>-1391.9166666666667</v>
      </c>
      <c r="J16" s="88">
        <f t="shared" si="53"/>
        <v>-1417.9166666666667</v>
      </c>
      <c r="K16" s="88">
        <f t="shared" si="53"/>
        <v>-1602.4166666666667</v>
      </c>
      <c r="L16" s="88">
        <f t="shared" si="53"/>
        <v>-1649.4166666666667</v>
      </c>
      <c r="M16" s="88">
        <f t="shared" si="53"/>
        <v>-1924</v>
      </c>
      <c r="N16" s="88">
        <f t="shared" si="53"/>
        <v>-1366.9166666666667</v>
      </c>
      <c r="O16" s="88">
        <f t="shared" si="53"/>
        <v>-1358.4166666666667</v>
      </c>
      <c r="P16" s="88">
        <f t="shared" si="53"/>
        <v>-2311.5</v>
      </c>
      <c r="Q16" s="88">
        <f t="shared" si="53"/>
        <v>-1789.5833333333333</v>
      </c>
      <c r="R16" s="88">
        <f t="shared" si="53"/>
        <v>-1986.75</v>
      </c>
      <c r="S16" s="88">
        <f t="shared" si="53"/>
        <v>-2220</v>
      </c>
      <c r="T16" s="88">
        <f t="shared" si="53"/>
        <v>-2402.4166666666665</v>
      </c>
      <c r="U16" s="88">
        <f t="shared" si="53"/>
        <v>-2248.4166666666665</v>
      </c>
      <c r="V16" s="85"/>
      <c r="W16" s="88">
        <f t="shared" ref="W16:AG16" si="54">W12</f>
        <v>-71766</v>
      </c>
      <c r="X16" s="88">
        <f t="shared" si="54"/>
        <v>-72740</v>
      </c>
      <c r="Y16" s="88">
        <f t="shared" si="54"/>
        <v>-79125</v>
      </c>
      <c r="Z16" s="88">
        <f t="shared" si="54"/>
        <v>-78513</v>
      </c>
      <c r="AA16" s="88">
        <f t="shared" si="54"/>
        <v>-75585</v>
      </c>
      <c r="AB16" s="88">
        <f t="shared" si="54"/>
        <v>-83530</v>
      </c>
      <c r="AC16" s="88">
        <f t="shared" si="54"/>
        <v>-6826.416666666667</v>
      </c>
      <c r="AD16" s="88">
        <f t="shared" si="54"/>
        <v>-7446.25</v>
      </c>
      <c r="AE16" s="88">
        <f t="shared" si="54"/>
        <v>-8307.8333333333339</v>
      </c>
      <c r="AF16" s="88">
        <f t="shared" si="54"/>
        <v>-8398.75</v>
      </c>
      <c r="AG16" s="88">
        <f t="shared" si="54"/>
        <v>-8857.5833333333339</v>
      </c>
    </row>
    <row r="17" spans="2:33" ht="12.75" customHeight="1" x14ac:dyDescent="0.2">
      <c r="B17" s="161" t="s">
        <v>202</v>
      </c>
      <c r="C17" s="163">
        <f>C15/-C16</f>
        <v>32.060238299963146</v>
      </c>
      <c r="D17" s="163">
        <f>D15/-D16</f>
        <v>24.900785568810008</v>
      </c>
      <c r="E17" s="163">
        <f t="shared" ref="E17:F17" si="55">E15/-E16</f>
        <v>12.772057948005557</v>
      </c>
      <c r="F17" s="163">
        <f t="shared" si="55"/>
        <v>5.4089915140329401</v>
      </c>
      <c r="G17" s="85"/>
      <c r="H17" s="163">
        <f t="shared" ref="H17" si="56">H15/-H16</f>
        <v>126.39693926351028</v>
      </c>
      <c r="I17" s="163">
        <f t="shared" ref="I17" si="57">I15/-I16</f>
        <v>130.06166556905944</v>
      </c>
      <c r="J17" s="163">
        <f t="shared" ref="J17" si="58">J15/-J16</f>
        <v>115.47293564501909</v>
      </c>
      <c r="K17" s="163">
        <f t="shared" ref="K17" si="59">K15/-K16</f>
        <v>93.466326902074982</v>
      </c>
      <c r="L17" s="163">
        <f t="shared" ref="L17" si="60">L15/-L16</f>
        <v>78.555044712777246</v>
      </c>
      <c r="M17" s="163">
        <f t="shared" ref="M17" si="61">M15/-M16</f>
        <v>59.565488565488565</v>
      </c>
      <c r="N17" s="163">
        <f t="shared" ref="N17" si="62">N15/-N16</f>
        <v>73.147107236481133</v>
      </c>
      <c r="O17" s="163">
        <f t="shared" ref="O17" si="63">O15/-O16</f>
        <v>59.221888227716086</v>
      </c>
      <c r="P17" s="163">
        <f t="shared" ref="P17" si="64">P15/-P16</f>
        <v>49.969716634220205</v>
      </c>
      <c r="Q17" s="163">
        <f t="shared" ref="Q17" si="65">Q15/-Q16</f>
        <v>52.282002328288712</v>
      </c>
      <c r="R17" s="163">
        <f t="shared" ref="R17" si="66">R15/-R16</f>
        <v>10.354095885239714</v>
      </c>
      <c r="S17" s="163">
        <f t="shared" ref="S17" si="67">S15/-S16</f>
        <v>20.241891891891893</v>
      </c>
      <c r="T17" s="163">
        <f t="shared" ref="T17" si="68">T15/-T16</f>
        <v>26.159908425543726</v>
      </c>
      <c r="U17" s="163">
        <f t="shared" ref="U17" si="69">U15/-U16</f>
        <v>16.91501426930062</v>
      </c>
      <c r="V17" s="85"/>
      <c r="W17" s="163">
        <f t="shared" ref="W17" si="70">W15/-W16</f>
        <v>2.0869492517348047</v>
      </c>
      <c r="X17" s="163">
        <f t="shared" ref="X17" si="71">X15/-X16</f>
        <v>1.7812757767390706</v>
      </c>
      <c r="Y17" s="163">
        <f t="shared" ref="Y17" si="72">Y15/-Y16</f>
        <v>1.4483917851500789</v>
      </c>
      <c r="Z17" s="163">
        <f t="shared" ref="Z17" si="73">Z15/-Z16</f>
        <v>1.2734961089246366</v>
      </c>
      <c r="AA17" s="163">
        <f t="shared" ref="AA17" si="74">AA15/-AA16</f>
        <v>1.0643381623337964</v>
      </c>
      <c r="AB17" s="163">
        <f t="shared" ref="AB17" si="75">AB15/-AB16</f>
        <v>1.3827966000239436</v>
      </c>
      <c r="AC17" s="163">
        <f t="shared" ref="AC17" si="76">AC15/-AC16</f>
        <v>13.706019507550325</v>
      </c>
      <c r="AD17" s="163">
        <f t="shared" ref="AD17" si="77">AD15/-AD16</f>
        <v>2.7625986234681887</v>
      </c>
      <c r="AE17" s="163">
        <f t="shared" ref="AE17" si="78">AE15/-AE16</f>
        <v>5.4089915140329401</v>
      </c>
      <c r="AF17" s="163">
        <f t="shared" ref="AF17" si="79">AF15/-AF16</f>
        <v>7.482899240958476</v>
      </c>
      <c r="AG17" s="163">
        <f t="shared" ref="AG17" si="80">AG15/-AG16</f>
        <v>4.2937219519996983</v>
      </c>
    </row>
    <row r="18" spans="2:33" ht="5.0999999999999996" customHeight="1" x14ac:dyDescent="0.2">
      <c r="B18" s="146"/>
      <c r="C18" s="147"/>
      <c r="D18" s="147"/>
      <c r="E18" s="147"/>
      <c r="F18" s="147"/>
      <c r="G18" s="147"/>
      <c r="H18" s="147"/>
      <c r="I18" s="147"/>
      <c r="J18" s="147"/>
      <c r="K18" s="147"/>
      <c r="L18" s="147"/>
      <c r="M18" s="147"/>
      <c r="N18" s="147"/>
      <c r="O18" s="147"/>
      <c r="P18" s="147"/>
      <c r="Q18" s="147"/>
      <c r="R18" s="147"/>
      <c r="S18" s="147"/>
      <c r="T18" s="147"/>
      <c r="U18" s="147"/>
      <c r="V18" s="85"/>
      <c r="W18" s="147"/>
      <c r="X18" s="147"/>
      <c r="Y18" s="147"/>
      <c r="Z18" s="147"/>
      <c r="AA18" s="147"/>
      <c r="AB18" s="147"/>
      <c r="AC18" s="147"/>
      <c r="AD18" s="147"/>
      <c r="AE18" s="147"/>
      <c r="AF18" s="147"/>
      <c r="AG18" s="147"/>
    </row>
    <row r="19" spans="2:33" ht="12.75" customHeight="1" x14ac:dyDescent="0.2">
      <c r="B19" s="161" t="s">
        <v>196</v>
      </c>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row>
    <row r="20" spans="2:33" ht="12.75" customHeight="1" x14ac:dyDescent="0.2">
      <c r="B20" s="141" t="s">
        <v>197</v>
      </c>
      <c r="C20" s="88">
        <f>'Base Financials'!C27</f>
        <v>39970.398000000001</v>
      </c>
      <c r="D20" s="88">
        <f>'Base Financials'!D27</f>
        <v>103051.36599999999</v>
      </c>
      <c r="E20" s="88">
        <f>'Base Financials'!E27</f>
        <v>103420.238</v>
      </c>
      <c r="F20" s="88">
        <f>'Base Financials'!F27</f>
        <v>118479.09699999999</v>
      </c>
      <c r="G20" s="88"/>
      <c r="H20" s="88">
        <f>'Base Financials'!H27</f>
        <v>103004.088</v>
      </c>
      <c r="I20" s="88">
        <f>'Base Financials'!I27</f>
        <v>103908.44</v>
      </c>
      <c r="J20" s="88">
        <f>'Base Financials'!J27</f>
        <v>103031.98</v>
      </c>
      <c r="K20" s="88">
        <f>'Base Financials'!K27</f>
        <v>103051.36599999999</v>
      </c>
      <c r="L20" s="88">
        <f>'Base Financials'!L27</f>
        <v>103263.52800000001</v>
      </c>
      <c r="M20" s="88">
        <f>'Base Financials'!M27</f>
        <v>103361.501</v>
      </c>
      <c r="N20" s="88">
        <f>'Base Financials'!N27</f>
        <v>103444.246</v>
      </c>
      <c r="O20" s="88">
        <f>'Base Financials'!O27</f>
        <v>103420.238</v>
      </c>
      <c r="P20" s="88">
        <f>'Base Financials'!P27</f>
        <v>108246.008</v>
      </c>
      <c r="Q20" s="88">
        <f>'Base Financials'!Q27</f>
        <v>119174.681</v>
      </c>
      <c r="R20" s="88">
        <f>'Base Financials'!R27</f>
        <v>119408.565</v>
      </c>
      <c r="S20" s="88">
        <f>'Base Financials'!S27</f>
        <v>118479.09699999999</v>
      </c>
      <c r="T20" s="88">
        <f>'Base Financials'!T27</f>
        <v>131759.302</v>
      </c>
      <c r="U20" s="88">
        <f>'Base Financials'!U27</f>
        <v>155437.28099999999</v>
      </c>
      <c r="V20" s="88"/>
      <c r="W20" s="88">
        <f t="shared" ref="W20" si="81">K20</f>
        <v>103051.36599999999</v>
      </c>
      <c r="X20" s="88">
        <f t="shared" ref="X20" si="82">L20</f>
        <v>103263.52800000001</v>
      </c>
      <c r="Y20" s="88">
        <f t="shared" ref="Y20" si="83">M20</f>
        <v>103361.501</v>
      </c>
      <c r="Z20" s="88">
        <f t="shared" ref="Z20" si="84">N20</f>
        <v>103444.246</v>
      </c>
      <c r="AA20" s="88">
        <f t="shared" ref="AA20" si="85">O20</f>
        <v>103420.238</v>
      </c>
      <c r="AB20" s="88">
        <f t="shared" ref="AB20" si="86">P20</f>
        <v>108246.008</v>
      </c>
      <c r="AC20" s="88">
        <f t="shared" ref="AC20" si="87">Q20</f>
        <v>119174.681</v>
      </c>
      <c r="AD20" s="88">
        <f t="shared" ref="AD20" si="88">R20</f>
        <v>119408.565</v>
      </c>
      <c r="AE20" s="88">
        <f t="shared" ref="AE20" si="89">S20</f>
        <v>118479.09699999999</v>
      </c>
      <c r="AF20" s="88">
        <f t="shared" ref="AF20" si="90">T20</f>
        <v>131759.302</v>
      </c>
      <c r="AG20" s="88">
        <f>U20</f>
        <v>155437.28099999999</v>
      </c>
    </row>
    <row r="21" spans="2:33" ht="12.75" customHeight="1" x14ac:dyDescent="0.2">
      <c r="B21" s="105" t="s">
        <v>194</v>
      </c>
      <c r="C21" s="164">
        <f>C6/C20</f>
        <v>5.4415770390877771</v>
      </c>
      <c r="D21" s="164">
        <f t="shared" ref="D21:F21" si="91">D6/D20</f>
        <v>1.4533722920276477</v>
      </c>
      <c r="E21" s="164">
        <f t="shared" si="91"/>
        <v>0.77787482948936937</v>
      </c>
      <c r="F21" s="164">
        <f t="shared" si="91"/>
        <v>0.37928209395451423</v>
      </c>
      <c r="G21" s="134"/>
      <c r="H21" s="164">
        <f t="shared" ref="H21" si="92">H6/H20</f>
        <v>1.9244090584055265</v>
      </c>
      <c r="I21" s="164">
        <f t="shared" ref="I21" si="93">I6/I20</f>
        <v>1.7422550083515833</v>
      </c>
      <c r="J21" s="164">
        <f t="shared" ref="J21" si="94">J6/J20</f>
        <v>1.5891279581349402</v>
      </c>
      <c r="K21" s="164">
        <f t="shared" ref="K21" si="95">K6/K20</f>
        <v>1.4533722920276477</v>
      </c>
      <c r="L21" s="164">
        <f t="shared" ref="L21" si="96">L6/L20</f>
        <v>1.2547508545321053</v>
      </c>
      <c r="M21" s="164">
        <f t="shared" ref="M21" si="97">M6/M20</f>
        <v>1.1087687281166707</v>
      </c>
      <c r="N21" s="164">
        <f t="shared" ref="N21" si="98">N6/N20</f>
        <v>0.96656898635038624</v>
      </c>
      <c r="O21" s="164">
        <f t="shared" ref="O21" si="99">O6/O20</f>
        <v>0.77787482948936937</v>
      </c>
      <c r="P21" s="164">
        <f t="shared" ref="P21" si="100">P6/P20</f>
        <v>1.0670601358342933</v>
      </c>
      <c r="Q21" s="164">
        <f t="shared" ref="Q21" si="101">Q6/Q20</f>
        <v>0.78509125608651731</v>
      </c>
      <c r="R21" s="164">
        <f t="shared" ref="R21" si="102">R6/R20</f>
        <v>0.17227407430949362</v>
      </c>
      <c r="S21" s="164">
        <f t="shared" ref="S21" si="103">S6/S20</f>
        <v>0.37928209395451423</v>
      </c>
      <c r="T21" s="164">
        <f t="shared" ref="T21" si="104">T6/T20</f>
        <v>0.47698340114157556</v>
      </c>
      <c r="U21" s="164">
        <f t="shared" ref="U21" si="105">U6/U20</f>
        <v>0.24467746576189789</v>
      </c>
      <c r="V21" s="145"/>
      <c r="W21" s="164">
        <f t="shared" ref="W21" si="106">W6/W20</f>
        <v>1.4533722920276477</v>
      </c>
      <c r="X21" s="164">
        <f t="shared" ref="X21" si="107">X6/X20</f>
        <v>1.2547508545321053</v>
      </c>
      <c r="Y21" s="164">
        <f t="shared" ref="Y21" si="108">Y6/Y20</f>
        <v>1.1087687281166707</v>
      </c>
      <c r="Z21" s="164">
        <f t="shared" ref="Z21" si="109">Z6/Z20</f>
        <v>0.96656898635038624</v>
      </c>
      <c r="AA21" s="164">
        <f t="shared" ref="AA21" si="110">AA6/AA20</f>
        <v>0.77787482948936937</v>
      </c>
      <c r="AB21" s="164">
        <f t="shared" ref="AB21" si="111">AB6/AB20</f>
        <v>1.0670601358342933</v>
      </c>
      <c r="AC21" s="164">
        <f t="shared" ref="AC21" si="112">AC6/AC20</f>
        <v>0.78509125608651731</v>
      </c>
      <c r="AD21" s="164">
        <f t="shared" ref="AD21" si="113">AD6/AD20</f>
        <v>0.17227407430949362</v>
      </c>
      <c r="AE21" s="164">
        <f t="shared" ref="AE21" si="114">AE6/AE20</f>
        <v>0.37928209395451423</v>
      </c>
      <c r="AF21" s="164">
        <f t="shared" ref="AF21" si="115">AF6/AF20</f>
        <v>0.47698340114157556</v>
      </c>
      <c r="AG21" s="164">
        <f t="shared" ref="AG21" si="116">AG6/AG20</f>
        <v>0.24467746576189789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Background</vt:lpstr>
      <vt:lpstr>Base Financials</vt:lpstr>
      <vt:lpstr>FCF Analysis</vt:lpstr>
      <vt:lpstr>Cash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cp:lastPrinted>2024-12-11T18:33:05Z</cp:lastPrinted>
  <dcterms:created xsi:type="dcterms:W3CDTF">2024-12-10T22:43:30Z</dcterms:created>
  <dcterms:modified xsi:type="dcterms:W3CDTF">2025-10-20T03:02:56Z</dcterms:modified>
</cp:coreProperties>
</file>