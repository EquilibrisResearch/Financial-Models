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BC8B7BB5-3B8A-4E03-98B0-0A32946EF001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  <sheet name="Cash Burn Analysis" sheetId="12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2" i="8" l="1"/>
  <c r="AF132" i="8"/>
  <c r="AE132" i="8"/>
  <c r="AD132" i="8"/>
  <c r="AC132" i="8"/>
  <c r="AB132" i="8"/>
  <c r="AA132" i="8"/>
  <c r="Z132" i="8"/>
  <c r="Y132" i="8"/>
  <c r="X132" i="8"/>
  <c r="AG131" i="8"/>
  <c r="AF131" i="8"/>
  <c r="AE131" i="8"/>
  <c r="AD131" i="8"/>
  <c r="AC131" i="8"/>
  <c r="AB131" i="8"/>
  <c r="AA131" i="8"/>
  <c r="Z131" i="8"/>
  <c r="Y131" i="8"/>
  <c r="X131" i="8"/>
  <c r="X121" i="8"/>
  <c r="Y121" i="8"/>
  <c r="Z121" i="8"/>
  <c r="AA121" i="8"/>
  <c r="AB121" i="8"/>
  <c r="AC121" i="8"/>
  <c r="AD121" i="8"/>
  <c r="AE121" i="8"/>
  <c r="AF121" i="8"/>
  <c r="AG121" i="8"/>
  <c r="AH121" i="8"/>
  <c r="AG125" i="8"/>
  <c r="AF125" i="8"/>
  <c r="AE125" i="8"/>
  <c r="AD125" i="8"/>
  <c r="AC125" i="8"/>
  <c r="AB125" i="8"/>
  <c r="AA125" i="8"/>
  <c r="Z125" i="8"/>
  <c r="Y125" i="8"/>
  <c r="X125" i="8"/>
  <c r="AG124" i="8"/>
  <c r="AF124" i="8"/>
  <c r="AE124" i="8"/>
  <c r="AD124" i="8"/>
  <c r="AC124" i="8"/>
  <c r="AB124" i="8"/>
  <c r="AA124" i="8"/>
  <c r="Z124" i="8"/>
  <c r="Y124" i="8"/>
  <c r="X124" i="8"/>
  <c r="AG123" i="8"/>
  <c r="AF123" i="8"/>
  <c r="AE123" i="8"/>
  <c r="AD123" i="8"/>
  <c r="AC123" i="8"/>
  <c r="AB123" i="8"/>
  <c r="AA123" i="8"/>
  <c r="Z123" i="8"/>
  <c r="Y123" i="8"/>
  <c r="X123" i="8"/>
  <c r="AG120" i="8"/>
  <c r="AF120" i="8"/>
  <c r="AE120" i="8"/>
  <c r="AD120" i="8"/>
  <c r="AC120" i="8"/>
  <c r="AB120" i="8"/>
  <c r="AA120" i="8"/>
  <c r="Z120" i="8"/>
  <c r="Y120" i="8"/>
  <c r="X120" i="8"/>
  <c r="AG119" i="8"/>
  <c r="AF119" i="8"/>
  <c r="AE119" i="8"/>
  <c r="AD119" i="8"/>
  <c r="AC119" i="8"/>
  <c r="AB119" i="8"/>
  <c r="AA119" i="8"/>
  <c r="Z119" i="8"/>
  <c r="Y119" i="8"/>
  <c r="X119" i="8"/>
  <c r="AG35" i="8"/>
  <c r="AF35" i="8"/>
  <c r="AE35" i="8"/>
  <c r="AD35" i="8"/>
  <c r="AC35" i="8"/>
  <c r="AB35" i="8"/>
  <c r="AA35" i="8"/>
  <c r="Z35" i="8"/>
  <c r="Y35" i="8"/>
  <c r="X35" i="8"/>
  <c r="AG32" i="8"/>
  <c r="AF32" i="8"/>
  <c r="AE32" i="8"/>
  <c r="AD32" i="8"/>
  <c r="AC32" i="8"/>
  <c r="AB32" i="8"/>
  <c r="AA32" i="8"/>
  <c r="Z32" i="8"/>
  <c r="Y32" i="8"/>
  <c r="X32" i="8"/>
  <c r="AG28" i="8"/>
  <c r="AF28" i="8"/>
  <c r="AE28" i="8"/>
  <c r="AD28" i="8"/>
  <c r="AC28" i="8"/>
  <c r="AB28" i="8"/>
  <c r="AA28" i="8"/>
  <c r="Z28" i="8"/>
  <c r="Y28" i="8"/>
  <c r="X28" i="8"/>
  <c r="AG24" i="8"/>
  <c r="AF24" i="8"/>
  <c r="AE24" i="8"/>
  <c r="AD24" i="8"/>
  <c r="AC24" i="8"/>
  <c r="AB24" i="8"/>
  <c r="AA24" i="8"/>
  <c r="Z24" i="8"/>
  <c r="Y24" i="8"/>
  <c r="X24" i="8"/>
  <c r="AG23" i="8"/>
  <c r="AF23" i="8"/>
  <c r="AE23" i="8"/>
  <c r="AD23" i="8"/>
  <c r="AC23" i="8"/>
  <c r="AB23" i="8"/>
  <c r="AA23" i="8"/>
  <c r="Z23" i="8"/>
  <c r="Y23" i="8"/>
  <c r="X23" i="8"/>
  <c r="AG22" i="8"/>
  <c r="AF22" i="8"/>
  <c r="AE22" i="8"/>
  <c r="AD22" i="8"/>
  <c r="AC22" i="8"/>
  <c r="AB22" i="8"/>
  <c r="AA22" i="8"/>
  <c r="Z22" i="8"/>
  <c r="Y22" i="8"/>
  <c r="X22" i="8"/>
  <c r="AG10" i="8"/>
  <c r="AF10" i="8"/>
  <c r="AE10" i="8"/>
  <c r="AD10" i="8"/>
  <c r="AC10" i="8"/>
  <c r="AB10" i="8"/>
  <c r="AA10" i="8"/>
  <c r="Z10" i="8"/>
  <c r="Y10" i="8"/>
  <c r="X10" i="8"/>
  <c r="AG13" i="8"/>
  <c r="AF13" i="8"/>
  <c r="AE13" i="8"/>
  <c r="AD13" i="8"/>
  <c r="AC13" i="8"/>
  <c r="AB13" i="8"/>
  <c r="AA13" i="8"/>
  <c r="Z13" i="8"/>
  <c r="Y13" i="8"/>
  <c r="X13" i="8"/>
  <c r="AG18" i="8"/>
  <c r="AF18" i="8"/>
  <c r="AE18" i="8"/>
  <c r="AD18" i="8"/>
  <c r="AC18" i="8"/>
  <c r="AB18" i="8"/>
  <c r="AA18" i="8"/>
  <c r="Z18" i="8"/>
  <c r="Y18" i="8"/>
  <c r="X18" i="8"/>
  <c r="AG17" i="8"/>
  <c r="AF17" i="8"/>
  <c r="AE17" i="8"/>
  <c r="AD17" i="8"/>
  <c r="AC17" i="8"/>
  <c r="AB17" i="8"/>
  <c r="AA17" i="8"/>
  <c r="Z17" i="8"/>
  <c r="Y17" i="8"/>
  <c r="X17" i="8"/>
  <c r="X78" i="8"/>
  <c r="AG90" i="8"/>
  <c r="AF90" i="8"/>
  <c r="AE90" i="8"/>
  <c r="AD90" i="8"/>
  <c r="AC90" i="8"/>
  <c r="AB90" i="8"/>
  <c r="AA90" i="8"/>
  <c r="Z90" i="8"/>
  <c r="Y90" i="8"/>
  <c r="X90" i="8"/>
  <c r="AG97" i="8"/>
  <c r="AF97" i="8"/>
  <c r="AE97" i="8"/>
  <c r="AD97" i="8"/>
  <c r="AC97" i="8"/>
  <c r="AB97" i="8"/>
  <c r="AA97" i="8"/>
  <c r="Z97" i="8"/>
  <c r="Y97" i="8"/>
  <c r="X97" i="8"/>
  <c r="AG96" i="8"/>
  <c r="AF96" i="8"/>
  <c r="AE96" i="8"/>
  <c r="AD96" i="8"/>
  <c r="AC96" i="8"/>
  <c r="AB96" i="8"/>
  <c r="AA96" i="8"/>
  <c r="Z96" i="8"/>
  <c r="Y96" i="8"/>
  <c r="X96" i="8"/>
  <c r="AG95" i="8"/>
  <c r="AF95" i="8"/>
  <c r="AE95" i="8"/>
  <c r="AD95" i="8"/>
  <c r="AC95" i="8"/>
  <c r="AB95" i="8"/>
  <c r="AA95" i="8"/>
  <c r="Z95" i="8"/>
  <c r="Y95" i="8"/>
  <c r="X95" i="8"/>
  <c r="AG94" i="8"/>
  <c r="AF94" i="8"/>
  <c r="AE94" i="8"/>
  <c r="AD94" i="8"/>
  <c r="AC94" i="8"/>
  <c r="AB94" i="8"/>
  <c r="AA94" i="8"/>
  <c r="Z94" i="8"/>
  <c r="Y94" i="8"/>
  <c r="X94" i="8"/>
  <c r="AG93" i="8"/>
  <c r="AF93" i="8"/>
  <c r="AE93" i="8"/>
  <c r="AD93" i="8"/>
  <c r="AC93" i="8"/>
  <c r="AB93" i="8"/>
  <c r="AA93" i="8"/>
  <c r="Z93" i="8"/>
  <c r="Y93" i="8"/>
  <c r="X93" i="8"/>
  <c r="AG102" i="8"/>
  <c r="AF102" i="8"/>
  <c r="AE102" i="8"/>
  <c r="AD102" i="8"/>
  <c r="AC102" i="8"/>
  <c r="AB102" i="8"/>
  <c r="AA102" i="8"/>
  <c r="Z102" i="8"/>
  <c r="Y102" i="8"/>
  <c r="X102" i="8"/>
  <c r="AG101" i="8"/>
  <c r="AF101" i="8"/>
  <c r="AE101" i="8"/>
  <c r="AD101" i="8"/>
  <c r="AC101" i="8"/>
  <c r="AB101" i="8"/>
  <c r="AA101" i="8"/>
  <c r="Z101" i="8"/>
  <c r="Y101" i="8"/>
  <c r="X101" i="8"/>
  <c r="AG100" i="8"/>
  <c r="AF100" i="8"/>
  <c r="AE100" i="8"/>
  <c r="AD100" i="8"/>
  <c r="AC100" i="8"/>
  <c r="AB100" i="8"/>
  <c r="AA100" i="8"/>
  <c r="Z100" i="8"/>
  <c r="Y100" i="8"/>
  <c r="X100" i="8"/>
  <c r="AG99" i="8"/>
  <c r="AF99" i="8"/>
  <c r="AE99" i="8"/>
  <c r="AD99" i="8"/>
  <c r="AC99" i="8"/>
  <c r="AB99" i="8"/>
  <c r="AA99" i="8"/>
  <c r="Z99" i="8"/>
  <c r="Y99" i="8"/>
  <c r="X99" i="8"/>
  <c r="AG107" i="8"/>
  <c r="AF107" i="8"/>
  <c r="AE107" i="8"/>
  <c r="AD107" i="8"/>
  <c r="AC107" i="8"/>
  <c r="AB107" i="8"/>
  <c r="AA107" i="8"/>
  <c r="Z107" i="8"/>
  <c r="Y107" i="8"/>
  <c r="X107" i="8"/>
  <c r="AG106" i="8"/>
  <c r="AF106" i="8"/>
  <c r="AE106" i="8"/>
  <c r="AD106" i="8"/>
  <c r="AC106" i="8"/>
  <c r="AB106" i="8"/>
  <c r="AA106" i="8"/>
  <c r="Z106" i="8"/>
  <c r="Y106" i="8"/>
  <c r="X106" i="8"/>
  <c r="AG115" i="8"/>
  <c r="AF115" i="8"/>
  <c r="AE115" i="8"/>
  <c r="AD115" i="8"/>
  <c r="AC115" i="8"/>
  <c r="AB115" i="8"/>
  <c r="AA115" i="8"/>
  <c r="Z115" i="8"/>
  <c r="Y115" i="8"/>
  <c r="X115" i="8"/>
  <c r="AG114" i="8"/>
  <c r="AF114" i="8"/>
  <c r="AE114" i="8"/>
  <c r="AD114" i="8"/>
  <c r="AC114" i="8"/>
  <c r="AB114" i="8"/>
  <c r="AA114" i="8"/>
  <c r="Z114" i="8"/>
  <c r="Y114" i="8"/>
  <c r="X114" i="8"/>
  <c r="AG113" i="8"/>
  <c r="AF113" i="8"/>
  <c r="AE113" i="8"/>
  <c r="AD113" i="8"/>
  <c r="AC113" i="8"/>
  <c r="AB113" i="8"/>
  <c r="AA113" i="8"/>
  <c r="Z113" i="8"/>
  <c r="Y113" i="8"/>
  <c r="X113" i="8"/>
  <c r="AG112" i="8"/>
  <c r="AF112" i="8"/>
  <c r="AE112" i="8"/>
  <c r="AD112" i="8"/>
  <c r="AC112" i="8"/>
  <c r="AB112" i="8"/>
  <c r="AA112" i="8"/>
  <c r="Z112" i="8"/>
  <c r="Y112" i="8"/>
  <c r="X112" i="8"/>
  <c r="AG111" i="8"/>
  <c r="AF111" i="8"/>
  <c r="AE111" i="8"/>
  <c r="AD111" i="8"/>
  <c r="AC111" i="8"/>
  <c r="AB111" i="8"/>
  <c r="AA111" i="8"/>
  <c r="Z111" i="8"/>
  <c r="Y111" i="8"/>
  <c r="X111" i="8"/>
  <c r="AG73" i="8"/>
  <c r="AF73" i="8"/>
  <c r="AE73" i="8"/>
  <c r="AD73" i="8"/>
  <c r="AC73" i="8"/>
  <c r="AB73" i="8"/>
  <c r="AA73" i="8"/>
  <c r="Z73" i="8"/>
  <c r="Y73" i="8"/>
  <c r="X73" i="8"/>
  <c r="AG72" i="8"/>
  <c r="AF72" i="8"/>
  <c r="AE72" i="8"/>
  <c r="AD72" i="8"/>
  <c r="AC72" i="8"/>
  <c r="AB72" i="8"/>
  <c r="AA72" i="8"/>
  <c r="Z72" i="8"/>
  <c r="Y72" i="8"/>
  <c r="X72" i="8"/>
  <c r="AG71" i="8"/>
  <c r="AF71" i="8"/>
  <c r="AE71" i="8"/>
  <c r="AD71" i="8"/>
  <c r="AC71" i="8"/>
  <c r="AB71" i="8"/>
  <c r="AA71" i="8"/>
  <c r="Z71" i="8"/>
  <c r="Y71" i="8"/>
  <c r="X71" i="8"/>
  <c r="AG70" i="8"/>
  <c r="AF70" i="8"/>
  <c r="AE70" i="8"/>
  <c r="AD70" i="8"/>
  <c r="AC70" i="8"/>
  <c r="AB70" i="8"/>
  <c r="AA70" i="8"/>
  <c r="Z70" i="8"/>
  <c r="Y70" i="8"/>
  <c r="X70" i="8"/>
  <c r="AG69" i="8"/>
  <c r="AF69" i="8"/>
  <c r="AE69" i="8"/>
  <c r="AD69" i="8"/>
  <c r="AC69" i="8"/>
  <c r="AB69" i="8"/>
  <c r="AA69" i="8"/>
  <c r="Z69" i="8"/>
  <c r="Y69" i="8"/>
  <c r="X69" i="8"/>
  <c r="AG65" i="8"/>
  <c r="AF65" i="8"/>
  <c r="AE65" i="8"/>
  <c r="AD65" i="8"/>
  <c r="AC65" i="8"/>
  <c r="AB65" i="8"/>
  <c r="AA65" i="8"/>
  <c r="Z65" i="8"/>
  <c r="Y65" i="8"/>
  <c r="X65" i="8"/>
  <c r="AG64" i="8"/>
  <c r="AF64" i="8"/>
  <c r="AE64" i="8"/>
  <c r="AD64" i="8"/>
  <c r="AC64" i="8"/>
  <c r="AB64" i="8"/>
  <c r="AA64" i="8"/>
  <c r="Z64" i="8"/>
  <c r="Y64" i="8"/>
  <c r="X64" i="8"/>
  <c r="AG63" i="8"/>
  <c r="AF63" i="8"/>
  <c r="AE63" i="8"/>
  <c r="AD63" i="8"/>
  <c r="AC63" i="8"/>
  <c r="AB63" i="8"/>
  <c r="AA63" i="8"/>
  <c r="Z63" i="8"/>
  <c r="Y63" i="8"/>
  <c r="X63" i="8"/>
  <c r="AG62" i="8"/>
  <c r="AF62" i="8"/>
  <c r="AE62" i="8"/>
  <c r="AD62" i="8"/>
  <c r="AC62" i="8"/>
  <c r="AB62" i="8"/>
  <c r="AA62" i="8"/>
  <c r="Z62" i="8"/>
  <c r="Y62" i="8"/>
  <c r="X62" i="8"/>
  <c r="AG61" i="8"/>
  <c r="AF61" i="8"/>
  <c r="AE61" i="8"/>
  <c r="AD61" i="8"/>
  <c r="AC61" i="8"/>
  <c r="AB61" i="8"/>
  <c r="AA61" i="8"/>
  <c r="Z61" i="8"/>
  <c r="Y61" i="8"/>
  <c r="X61" i="8"/>
  <c r="AG57" i="8"/>
  <c r="AF57" i="8"/>
  <c r="AE57" i="8"/>
  <c r="AD57" i="8"/>
  <c r="AC57" i="8"/>
  <c r="AB57" i="8"/>
  <c r="AA57" i="8"/>
  <c r="Z57" i="8"/>
  <c r="Y57" i="8"/>
  <c r="X57" i="8"/>
  <c r="AG56" i="8"/>
  <c r="AF56" i="8"/>
  <c r="AE56" i="8"/>
  <c r="AD56" i="8"/>
  <c r="AC56" i="8"/>
  <c r="AB56" i="8"/>
  <c r="AA56" i="8"/>
  <c r="Z56" i="8"/>
  <c r="Y56" i="8"/>
  <c r="X56" i="8"/>
  <c r="AG55" i="8"/>
  <c r="AF55" i="8"/>
  <c r="AE55" i="8"/>
  <c r="AD55" i="8"/>
  <c r="AC55" i="8"/>
  <c r="AB55" i="8"/>
  <c r="AA55" i="8"/>
  <c r="Z55" i="8"/>
  <c r="Y55" i="8"/>
  <c r="X55" i="8"/>
  <c r="AG54" i="8"/>
  <c r="AF54" i="8"/>
  <c r="AE54" i="8"/>
  <c r="AD54" i="8"/>
  <c r="AC54" i="8"/>
  <c r="AB54" i="8"/>
  <c r="AA54" i="8"/>
  <c r="Z54" i="8"/>
  <c r="Y54" i="8"/>
  <c r="X54" i="8"/>
  <c r="AG50" i="8"/>
  <c r="AF50" i="8"/>
  <c r="AE50" i="8"/>
  <c r="AD50" i="8"/>
  <c r="AC50" i="8"/>
  <c r="AB50" i="8"/>
  <c r="AA50" i="8"/>
  <c r="Z50" i="8"/>
  <c r="Y50" i="8"/>
  <c r="X50" i="8"/>
  <c r="AG49" i="8"/>
  <c r="AF49" i="8"/>
  <c r="AE49" i="8"/>
  <c r="AD49" i="8"/>
  <c r="AC49" i="8"/>
  <c r="AB49" i="8"/>
  <c r="AA49" i="8"/>
  <c r="Z49" i="8"/>
  <c r="Y49" i="8"/>
  <c r="X49" i="8"/>
  <c r="AG48" i="8"/>
  <c r="AF48" i="8"/>
  <c r="AE48" i="8"/>
  <c r="AD48" i="8"/>
  <c r="AC48" i="8"/>
  <c r="AB48" i="8"/>
  <c r="AA48" i="8"/>
  <c r="Z48" i="8"/>
  <c r="Y48" i="8"/>
  <c r="X48" i="8"/>
  <c r="AG47" i="8"/>
  <c r="AF47" i="8"/>
  <c r="AE47" i="8"/>
  <c r="AD47" i="8"/>
  <c r="AC47" i="8"/>
  <c r="AB47" i="8"/>
  <c r="AA47" i="8"/>
  <c r="Z47" i="8"/>
  <c r="Y47" i="8"/>
  <c r="X47" i="8"/>
  <c r="AG46" i="8"/>
  <c r="AF46" i="8"/>
  <c r="AE46" i="8"/>
  <c r="AD46" i="8"/>
  <c r="AC46" i="8"/>
  <c r="AB46" i="8"/>
  <c r="AA46" i="8"/>
  <c r="Z46" i="8"/>
  <c r="Y46" i="8"/>
  <c r="X46" i="8"/>
  <c r="AG45" i="8"/>
  <c r="AF45" i="8"/>
  <c r="AE45" i="8"/>
  <c r="AD45" i="8"/>
  <c r="AC45" i="8"/>
  <c r="AB45" i="8"/>
  <c r="AA45" i="8"/>
  <c r="Z45" i="8"/>
  <c r="Y45" i="8"/>
  <c r="X45" i="8"/>
  <c r="AG8" i="9"/>
  <c r="AF8" i="9"/>
  <c r="AE8" i="9"/>
  <c r="AD8" i="9"/>
  <c r="AC8" i="9"/>
  <c r="AB8" i="9"/>
  <c r="AA8" i="9"/>
  <c r="Z8" i="9"/>
  <c r="Y8" i="9"/>
  <c r="X8" i="9"/>
  <c r="AG7" i="9"/>
  <c r="AF7" i="9"/>
  <c r="AE7" i="9"/>
  <c r="AD7" i="9"/>
  <c r="AC7" i="9"/>
  <c r="AB7" i="9"/>
  <c r="AA7" i="9"/>
  <c r="Z7" i="9"/>
  <c r="Y7" i="9"/>
  <c r="X7" i="9"/>
  <c r="AG6" i="9"/>
  <c r="AF6" i="9"/>
  <c r="AE6" i="9"/>
  <c r="AD6" i="9"/>
  <c r="AC6" i="9"/>
  <c r="AB6" i="9"/>
  <c r="AA6" i="9"/>
  <c r="Z6" i="9"/>
  <c r="Y6" i="9"/>
  <c r="X6" i="9"/>
  <c r="AB22" i="12"/>
  <c r="V26" i="12"/>
  <c r="U26" i="12"/>
  <c r="AG26" i="12" s="1"/>
  <c r="T26" i="12"/>
  <c r="R26" i="12"/>
  <c r="AD26" i="12" s="1"/>
  <c r="Q26" i="12"/>
  <c r="AC26" i="12" s="1"/>
  <c r="P26" i="12"/>
  <c r="AB26" i="12" s="1"/>
  <c r="N26" i="12"/>
  <c r="M26" i="12"/>
  <c r="Y26" i="12" s="1"/>
  <c r="L26" i="12"/>
  <c r="J26" i="12"/>
  <c r="I26" i="12"/>
  <c r="U22" i="12"/>
  <c r="AG22" i="12" s="1"/>
  <c r="T22" i="12"/>
  <c r="AF22" i="12" s="1"/>
  <c r="Q22" i="12"/>
  <c r="AC22" i="12" s="1"/>
  <c r="P22" i="12"/>
  <c r="I22" i="12"/>
  <c r="H26" i="12"/>
  <c r="F26" i="12"/>
  <c r="E26" i="12"/>
  <c r="D26" i="12"/>
  <c r="C26" i="12"/>
  <c r="C22" i="12"/>
  <c r="T13" i="12"/>
  <c r="P13" i="12"/>
  <c r="M13" i="12"/>
  <c r="L13" i="12"/>
  <c r="H13" i="12"/>
  <c r="F13" i="12"/>
  <c r="E13" i="12"/>
  <c r="D13" i="12"/>
  <c r="C13" i="12"/>
  <c r="V8" i="12"/>
  <c r="AH8" i="12" s="1"/>
  <c r="U8" i="12"/>
  <c r="AG8" i="12" s="1"/>
  <c r="T8" i="12"/>
  <c r="AF8" i="12" s="1"/>
  <c r="R8" i="12"/>
  <c r="AD8" i="12" s="1"/>
  <c r="Q8" i="12"/>
  <c r="AC8" i="12" s="1"/>
  <c r="P8" i="12"/>
  <c r="AB8" i="12" s="1"/>
  <c r="N8" i="12"/>
  <c r="Z8" i="12" s="1"/>
  <c r="M8" i="12"/>
  <c r="Y8" i="12" s="1"/>
  <c r="L8" i="12"/>
  <c r="X8" i="12" s="1"/>
  <c r="J8" i="12"/>
  <c r="I8" i="12"/>
  <c r="V7" i="12"/>
  <c r="AH7" i="12" s="1"/>
  <c r="U7" i="12"/>
  <c r="T7" i="12"/>
  <c r="AF7" i="12" s="1"/>
  <c r="R7" i="12"/>
  <c r="Q7" i="12"/>
  <c r="P7" i="12"/>
  <c r="P9" i="12" s="1"/>
  <c r="P27" i="12" s="1"/>
  <c r="N7" i="12"/>
  <c r="M7" i="12"/>
  <c r="L7" i="12"/>
  <c r="J7" i="12"/>
  <c r="I7" i="12"/>
  <c r="H8" i="12"/>
  <c r="H7" i="12"/>
  <c r="F8" i="12"/>
  <c r="E8" i="12"/>
  <c r="D8" i="12"/>
  <c r="C8" i="12"/>
  <c r="F7" i="12"/>
  <c r="E7" i="12"/>
  <c r="D7" i="12"/>
  <c r="C7" i="12"/>
  <c r="V4" i="12"/>
  <c r="AH4" i="12" s="1"/>
  <c r="U4" i="12"/>
  <c r="AG4" i="12" s="1"/>
  <c r="T4" i="12"/>
  <c r="AF4" i="12" s="1"/>
  <c r="R4" i="12"/>
  <c r="AD4" i="12" s="1"/>
  <c r="Q4" i="12"/>
  <c r="AC4" i="12" s="1"/>
  <c r="P4" i="12"/>
  <c r="AB4" i="12" s="1"/>
  <c r="N4" i="12"/>
  <c r="Z4" i="12" s="1"/>
  <c r="M4" i="12"/>
  <c r="Y4" i="12" s="1"/>
  <c r="L4" i="12"/>
  <c r="X4" i="12" s="1"/>
  <c r="K4" i="12"/>
  <c r="J4" i="12"/>
  <c r="I4" i="12"/>
  <c r="V3" i="12"/>
  <c r="AH3" i="12" s="1"/>
  <c r="U3" i="12"/>
  <c r="AG3" i="12" s="1"/>
  <c r="T3" i="12"/>
  <c r="AF3" i="12" s="1"/>
  <c r="S3" i="12"/>
  <c r="AE3" i="12" s="1"/>
  <c r="R3" i="12"/>
  <c r="AD3" i="12" s="1"/>
  <c r="Q3" i="12"/>
  <c r="AC3" i="12" s="1"/>
  <c r="P3" i="12"/>
  <c r="AB3" i="12" s="1"/>
  <c r="O3" i="12"/>
  <c r="AA3" i="12" s="1"/>
  <c r="N3" i="12"/>
  <c r="Z3" i="12" s="1"/>
  <c r="M3" i="12"/>
  <c r="Y3" i="12" s="1"/>
  <c r="L3" i="12"/>
  <c r="X3" i="12" s="1"/>
  <c r="K3" i="12"/>
  <c r="J3" i="12"/>
  <c r="I3" i="12"/>
  <c r="H4" i="12"/>
  <c r="H3" i="12"/>
  <c r="F4" i="12"/>
  <c r="E4" i="12"/>
  <c r="D4" i="12"/>
  <c r="C4" i="12"/>
  <c r="F3" i="12"/>
  <c r="E3" i="12"/>
  <c r="D3" i="12"/>
  <c r="C3" i="12"/>
  <c r="H32" i="8"/>
  <c r="H22" i="12" s="1"/>
  <c r="J32" i="8"/>
  <c r="J22" i="12" s="1"/>
  <c r="L32" i="8"/>
  <c r="L22" i="12" s="1"/>
  <c r="X22" i="12" s="1"/>
  <c r="M32" i="8"/>
  <c r="N32" i="8"/>
  <c r="R32" i="8"/>
  <c r="V32" i="8"/>
  <c r="V22" i="12" s="1"/>
  <c r="AH22" i="12" s="1"/>
  <c r="C32" i="8"/>
  <c r="D32" i="8"/>
  <c r="K32" i="8" s="1"/>
  <c r="K22" i="12" s="1"/>
  <c r="E32" i="8"/>
  <c r="O32" i="8" s="1"/>
  <c r="F32" i="8"/>
  <c r="S32" i="8" s="1"/>
  <c r="V33" i="9"/>
  <c r="U33" i="9"/>
  <c r="T33" i="9"/>
  <c r="R33" i="9"/>
  <c r="Q33" i="9"/>
  <c r="P33" i="9"/>
  <c r="N33" i="9"/>
  <c r="M33" i="9"/>
  <c r="L33" i="9"/>
  <c r="J33" i="9"/>
  <c r="I33" i="9"/>
  <c r="H33" i="9"/>
  <c r="F33" i="9"/>
  <c r="E33" i="9"/>
  <c r="D33" i="9"/>
  <c r="C33" i="9"/>
  <c r="V65" i="9"/>
  <c r="U65" i="9"/>
  <c r="AG65" i="9" s="1"/>
  <c r="T65" i="9"/>
  <c r="AF65" i="9" s="1"/>
  <c r="R65" i="9"/>
  <c r="AD65" i="9" s="1"/>
  <c r="Q65" i="9"/>
  <c r="AC65" i="9" s="1"/>
  <c r="P65" i="9"/>
  <c r="AB65" i="9" s="1"/>
  <c r="N65" i="9"/>
  <c r="Z65" i="9" s="1"/>
  <c r="M65" i="9"/>
  <c r="Y65" i="9" s="1"/>
  <c r="L65" i="9"/>
  <c r="X65" i="9" s="1"/>
  <c r="J65" i="9"/>
  <c r="I65" i="9"/>
  <c r="H65" i="9"/>
  <c r="F65" i="9"/>
  <c r="E65" i="9"/>
  <c r="D65" i="9"/>
  <c r="C65" i="9"/>
  <c r="V64" i="9"/>
  <c r="AH64" i="9" s="1"/>
  <c r="U64" i="9"/>
  <c r="AG64" i="9" s="1"/>
  <c r="T64" i="9"/>
  <c r="AF64" i="9" s="1"/>
  <c r="R64" i="9"/>
  <c r="AD64" i="9" s="1"/>
  <c r="Q64" i="9"/>
  <c r="AC64" i="9" s="1"/>
  <c r="P64" i="9"/>
  <c r="AB64" i="9" s="1"/>
  <c r="N64" i="9"/>
  <c r="Z64" i="9" s="1"/>
  <c r="M64" i="9"/>
  <c r="Y64" i="9" s="1"/>
  <c r="L64" i="9"/>
  <c r="X64" i="9" s="1"/>
  <c r="J64" i="9"/>
  <c r="I64" i="9"/>
  <c r="H64" i="9"/>
  <c r="F64" i="9"/>
  <c r="E64" i="9"/>
  <c r="D64" i="9"/>
  <c r="D66" i="9" s="1"/>
  <c r="C64" i="9"/>
  <c r="V62" i="9"/>
  <c r="U62" i="9"/>
  <c r="AG62" i="9" s="1"/>
  <c r="T62" i="9"/>
  <c r="AF62" i="9" s="1"/>
  <c r="R62" i="9"/>
  <c r="AD62" i="9" s="1"/>
  <c r="Q62" i="9"/>
  <c r="AC62" i="9" s="1"/>
  <c r="P62" i="9"/>
  <c r="AB62" i="9" s="1"/>
  <c r="N62" i="9"/>
  <c r="Z62" i="9" s="1"/>
  <c r="M62" i="9"/>
  <c r="Y62" i="9" s="1"/>
  <c r="L62" i="9"/>
  <c r="X62" i="9" s="1"/>
  <c r="J62" i="9"/>
  <c r="I62" i="9"/>
  <c r="V61" i="9"/>
  <c r="U61" i="9"/>
  <c r="AG61" i="9" s="1"/>
  <c r="T61" i="9"/>
  <c r="AF61" i="9" s="1"/>
  <c r="R61" i="9"/>
  <c r="AD61" i="9" s="1"/>
  <c r="Q61" i="9"/>
  <c r="AC61" i="9" s="1"/>
  <c r="P61" i="9"/>
  <c r="AB61" i="9" s="1"/>
  <c r="N61" i="9"/>
  <c r="Z61" i="9" s="1"/>
  <c r="M61" i="9"/>
  <c r="Y61" i="9" s="1"/>
  <c r="L61" i="9"/>
  <c r="X61" i="9" s="1"/>
  <c r="J61" i="9"/>
  <c r="I61" i="9"/>
  <c r="V56" i="9"/>
  <c r="U56" i="9"/>
  <c r="AG56" i="9" s="1"/>
  <c r="T56" i="9"/>
  <c r="AF56" i="9" s="1"/>
  <c r="R56" i="9"/>
  <c r="AD56" i="9" s="1"/>
  <c r="Q56" i="9"/>
  <c r="AC56" i="9" s="1"/>
  <c r="P56" i="9"/>
  <c r="AB56" i="9" s="1"/>
  <c r="N56" i="9"/>
  <c r="Z56" i="9" s="1"/>
  <c r="M56" i="9"/>
  <c r="Y56" i="9" s="1"/>
  <c r="L56" i="9"/>
  <c r="X56" i="9" s="1"/>
  <c r="J56" i="9"/>
  <c r="I56" i="9"/>
  <c r="V55" i="9"/>
  <c r="U55" i="9"/>
  <c r="AG55" i="9" s="1"/>
  <c r="T55" i="9"/>
  <c r="AF55" i="9" s="1"/>
  <c r="R55" i="9"/>
  <c r="AD55" i="9" s="1"/>
  <c r="Q55" i="9"/>
  <c r="AC55" i="9" s="1"/>
  <c r="P55" i="9"/>
  <c r="AB55" i="9" s="1"/>
  <c r="N55" i="9"/>
  <c r="Z55" i="9" s="1"/>
  <c r="M55" i="9"/>
  <c r="Y55" i="9" s="1"/>
  <c r="L55" i="9"/>
  <c r="X55" i="9" s="1"/>
  <c r="J55" i="9"/>
  <c r="I55" i="9"/>
  <c r="V54" i="9"/>
  <c r="U54" i="9"/>
  <c r="AG54" i="9" s="1"/>
  <c r="T54" i="9"/>
  <c r="AF54" i="9" s="1"/>
  <c r="R54" i="9"/>
  <c r="AD54" i="9" s="1"/>
  <c r="Q54" i="9"/>
  <c r="AC54" i="9" s="1"/>
  <c r="P54" i="9"/>
  <c r="AB54" i="9" s="1"/>
  <c r="N54" i="9"/>
  <c r="Z54" i="9" s="1"/>
  <c r="M54" i="9"/>
  <c r="Y54" i="9" s="1"/>
  <c r="L54" i="9"/>
  <c r="X54" i="9" s="1"/>
  <c r="J54" i="9"/>
  <c r="I54" i="9"/>
  <c r="H62" i="9"/>
  <c r="H61" i="9"/>
  <c r="H56" i="9"/>
  <c r="H55" i="9"/>
  <c r="H54" i="9"/>
  <c r="F56" i="9"/>
  <c r="E56" i="9"/>
  <c r="D56" i="9"/>
  <c r="F55" i="9"/>
  <c r="E55" i="9"/>
  <c r="D55" i="9"/>
  <c r="F54" i="9"/>
  <c r="E54" i="9"/>
  <c r="D54" i="9"/>
  <c r="C56" i="9"/>
  <c r="C55" i="9"/>
  <c r="C54" i="9"/>
  <c r="F62" i="9"/>
  <c r="E62" i="9"/>
  <c r="D62" i="9"/>
  <c r="C62" i="9"/>
  <c r="F61" i="9"/>
  <c r="E61" i="9"/>
  <c r="D61" i="9"/>
  <c r="C61" i="9"/>
  <c r="V50" i="8"/>
  <c r="U50" i="8"/>
  <c r="T50" i="8"/>
  <c r="F50" i="8"/>
  <c r="S50" i="8" s="1"/>
  <c r="R50" i="8"/>
  <c r="Q57" i="8"/>
  <c r="P57" i="8"/>
  <c r="Q50" i="8"/>
  <c r="P50" i="8"/>
  <c r="N57" i="8"/>
  <c r="N50" i="8"/>
  <c r="E57" i="8"/>
  <c r="O57" i="8" s="1"/>
  <c r="C50" i="8"/>
  <c r="D50" i="8"/>
  <c r="K50" i="8" s="1"/>
  <c r="E50" i="8"/>
  <c r="O50" i="8" s="1"/>
  <c r="K46" i="8"/>
  <c r="K8" i="12" s="1"/>
  <c r="O46" i="8"/>
  <c r="S46" i="8"/>
  <c r="AH46" i="8"/>
  <c r="AJ46" i="8"/>
  <c r="V49" i="9"/>
  <c r="U49" i="9"/>
  <c r="AG49" i="9" s="1"/>
  <c r="T49" i="9"/>
  <c r="AF49" i="9" s="1"/>
  <c r="R49" i="9"/>
  <c r="AD49" i="9" s="1"/>
  <c r="Q49" i="9"/>
  <c r="AC49" i="9" s="1"/>
  <c r="P49" i="9"/>
  <c r="AB49" i="9" s="1"/>
  <c r="N49" i="9"/>
  <c r="Z49" i="9" s="1"/>
  <c r="M49" i="9"/>
  <c r="Y49" i="9" s="1"/>
  <c r="L49" i="9"/>
  <c r="X49" i="9" s="1"/>
  <c r="J49" i="9"/>
  <c r="I49" i="9"/>
  <c r="H49" i="9"/>
  <c r="F49" i="9"/>
  <c r="E49" i="9"/>
  <c r="D49" i="9"/>
  <c r="C49" i="9"/>
  <c r="V50" i="9"/>
  <c r="U50" i="9"/>
  <c r="AG50" i="9" s="1"/>
  <c r="T50" i="9"/>
  <c r="AF50" i="9" s="1"/>
  <c r="R50" i="9"/>
  <c r="AD50" i="9" s="1"/>
  <c r="Q50" i="9"/>
  <c r="AC50" i="9" s="1"/>
  <c r="P50" i="9"/>
  <c r="AB50" i="9" s="1"/>
  <c r="N50" i="9"/>
  <c r="Z50" i="9" s="1"/>
  <c r="M50" i="9"/>
  <c r="Y50" i="9" s="1"/>
  <c r="L50" i="9"/>
  <c r="X50" i="9" s="1"/>
  <c r="J50" i="9"/>
  <c r="I50" i="9"/>
  <c r="H50" i="9"/>
  <c r="F50" i="9"/>
  <c r="E50" i="9"/>
  <c r="D50" i="9"/>
  <c r="C50" i="9"/>
  <c r="V48" i="9"/>
  <c r="U48" i="9"/>
  <c r="AG48" i="9" s="1"/>
  <c r="T48" i="9"/>
  <c r="AF48" i="9" s="1"/>
  <c r="R48" i="9"/>
  <c r="AD48" i="9" s="1"/>
  <c r="Q48" i="9"/>
  <c r="AC48" i="9" s="1"/>
  <c r="P48" i="9"/>
  <c r="AB48" i="9" s="1"/>
  <c r="N48" i="9"/>
  <c r="Z48" i="9" s="1"/>
  <c r="M48" i="9"/>
  <c r="Y48" i="9" s="1"/>
  <c r="L48" i="9"/>
  <c r="X48" i="9" s="1"/>
  <c r="J48" i="9"/>
  <c r="I48" i="9"/>
  <c r="H48" i="9"/>
  <c r="F48" i="9"/>
  <c r="E48" i="9"/>
  <c r="D48" i="9"/>
  <c r="C48" i="9"/>
  <c r="L38" i="9"/>
  <c r="H38" i="9"/>
  <c r="T39" i="9"/>
  <c r="P39" i="9"/>
  <c r="L39" i="9"/>
  <c r="H39" i="9"/>
  <c r="V40" i="9"/>
  <c r="U40" i="9"/>
  <c r="T40" i="9"/>
  <c r="R40" i="9"/>
  <c r="Q40" i="9"/>
  <c r="P40" i="9"/>
  <c r="N40" i="9"/>
  <c r="M40" i="9"/>
  <c r="L40" i="9"/>
  <c r="J40" i="9"/>
  <c r="I40" i="9"/>
  <c r="H40" i="9"/>
  <c r="U42" i="9"/>
  <c r="T42" i="9"/>
  <c r="P42" i="9"/>
  <c r="L42" i="9"/>
  <c r="J42" i="9"/>
  <c r="I42" i="9"/>
  <c r="H42" i="9"/>
  <c r="D42" i="9"/>
  <c r="C42" i="9"/>
  <c r="F40" i="9"/>
  <c r="E40" i="9"/>
  <c r="D40" i="9"/>
  <c r="F39" i="9"/>
  <c r="D39" i="9"/>
  <c r="E38" i="9"/>
  <c r="D38" i="9"/>
  <c r="C38" i="9"/>
  <c r="V41" i="9"/>
  <c r="U41" i="9"/>
  <c r="T41" i="9"/>
  <c r="R41" i="9"/>
  <c r="Q41" i="9"/>
  <c r="P41" i="9"/>
  <c r="L41" i="9"/>
  <c r="H41" i="9"/>
  <c r="F41" i="9"/>
  <c r="E41" i="9"/>
  <c r="C41" i="9"/>
  <c r="T37" i="9"/>
  <c r="P37" i="9"/>
  <c r="L37" i="9"/>
  <c r="H37" i="9"/>
  <c r="F37" i="9"/>
  <c r="E37" i="9"/>
  <c r="D37" i="9"/>
  <c r="C37" i="9"/>
  <c r="V32" i="9"/>
  <c r="U32" i="9"/>
  <c r="T32" i="9"/>
  <c r="R32" i="9"/>
  <c r="Q32" i="9"/>
  <c r="P32" i="9"/>
  <c r="N32" i="9"/>
  <c r="M32" i="9"/>
  <c r="L32" i="9"/>
  <c r="J32" i="9"/>
  <c r="I32" i="9"/>
  <c r="H32" i="9"/>
  <c r="F32" i="9"/>
  <c r="E32" i="9"/>
  <c r="D32" i="9"/>
  <c r="C32" i="9"/>
  <c r="S131" i="8"/>
  <c r="S32" i="9" s="1"/>
  <c r="O131" i="8"/>
  <c r="O32" i="9" s="1"/>
  <c r="T31" i="9"/>
  <c r="P31" i="9"/>
  <c r="L31" i="9"/>
  <c r="H31" i="9"/>
  <c r="T100" i="8"/>
  <c r="F31" i="9"/>
  <c r="E31" i="9"/>
  <c r="D31" i="9"/>
  <c r="C31" i="9"/>
  <c r="T27" i="9"/>
  <c r="P27" i="9"/>
  <c r="L27" i="9"/>
  <c r="H27" i="9"/>
  <c r="F27" i="9"/>
  <c r="E27" i="9"/>
  <c r="D27" i="9"/>
  <c r="C27" i="9"/>
  <c r="T23" i="9"/>
  <c r="P23" i="9"/>
  <c r="L23" i="9"/>
  <c r="T22" i="9"/>
  <c r="P22" i="9"/>
  <c r="L22" i="9"/>
  <c r="H23" i="9"/>
  <c r="H22" i="9"/>
  <c r="F23" i="9"/>
  <c r="E23" i="9"/>
  <c r="D23" i="9"/>
  <c r="F22" i="9"/>
  <c r="E22" i="9"/>
  <c r="D22" i="9"/>
  <c r="C23" i="9"/>
  <c r="C22" i="9"/>
  <c r="V18" i="9"/>
  <c r="U18" i="9"/>
  <c r="T18" i="9"/>
  <c r="R18" i="9"/>
  <c r="Q18" i="9"/>
  <c r="P18" i="9"/>
  <c r="N18" i="9"/>
  <c r="M18" i="9"/>
  <c r="L18" i="9"/>
  <c r="X18" i="9" s="1"/>
  <c r="J18" i="9"/>
  <c r="I18" i="9"/>
  <c r="V17" i="9"/>
  <c r="U17" i="9"/>
  <c r="T17" i="9"/>
  <c r="R17" i="9"/>
  <c r="Q17" i="9"/>
  <c r="P17" i="9"/>
  <c r="N17" i="9"/>
  <c r="M17" i="9"/>
  <c r="L17" i="9"/>
  <c r="J17" i="9"/>
  <c r="I17" i="9"/>
  <c r="H18" i="9"/>
  <c r="H17" i="9"/>
  <c r="F18" i="9"/>
  <c r="E18" i="9"/>
  <c r="D18" i="9"/>
  <c r="F17" i="9"/>
  <c r="E17" i="9"/>
  <c r="D17" i="9"/>
  <c r="C18" i="9"/>
  <c r="C17" i="9"/>
  <c r="V13" i="9"/>
  <c r="U13" i="9"/>
  <c r="T13" i="9"/>
  <c r="R13" i="9"/>
  <c r="Q13" i="9"/>
  <c r="P13" i="9"/>
  <c r="N13" i="9"/>
  <c r="M13" i="9"/>
  <c r="L13" i="9"/>
  <c r="J13" i="9"/>
  <c r="I13" i="9"/>
  <c r="H13" i="9"/>
  <c r="F13" i="9"/>
  <c r="E13" i="9"/>
  <c r="D13" i="9"/>
  <c r="C13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8" i="9"/>
  <c r="H7" i="9"/>
  <c r="H6" i="9"/>
  <c r="J4" i="9"/>
  <c r="I4" i="9"/>
  <c r="H4" i="9"/>
  <c r="K3" i="9"/>
  <c r="J3" i="9"/>
  <c r="I3" i="9"/>
  <c r="H3" i="9"/>
  <c r="F8" i="9"/>
  <c r="E8" i="9"/>
  <c r="D8" i="9"/>
  <c r="C8" i="9"/>
  <c r="F7" i="9"/>
  <c r="E7" i="9"/>
  <c r="D7" i="9"/>
  <c r="C7" i="9"/>
  <c r="F6" i="9"/>
  <c r="E6" i="9"/>
  <c r="D6" i="9"/>
  <c r="C6" i="9"/>
  <c r="B8" i="9"/>
  <c r="B7" i="9"/>
  <c r="B6" i="9"/>
  <c r="S11" i="10"/>
  <c r="O11" i="10"/>
  <c r="K11" i="10"/>
  <c r="S10" i="10"/>
  <c r="O10" i="10"/>
  <c r="K10" i="10"/>
  <c r="S9" i="10"/>
  <c r="O9" i="10"/>
  <c r="K9" i="10"/>
  <c r="J12" i="10"/>
  <c r="I12" i="10"/>
  <c r="H12" i="10"/>
  <c r="J4" i="10"/>
  <c r="I4" i="10"/>
  <c r="H4" i="10"/>
  <c r="K3" i="10"/>
  <c r="J3" i="10"/>
  <c r="I3" i="10"/>
  <c r="H3" i="10"/>
  <c r="V124" i="8"/>
  <c r="V114" i="8"/>
  <c r="V42" i="9" s="1"/>
  <c r="V24" i="8"/>
  <c r="U24" i="8"/>
  <c r="T24" i="8"/>
  <c r="R24" i="8"/>
  <c r="Q24" i="8"/>
  <c r="P24" i="8"/>
  <c r="N24" i="8"/>
  <c r="M24" i="8"/>
  <c r="L24" i="8"/>
  <c r="J24" i="8"/>
  <c r="I24" i="8"/>
  <c r="H24" i="8"/>
  <c r="F24" i="8"/>
  <c r="E24" i="8"/>
  <c r="D24" i="8"/>
  <c r="C24" i="8"/>
  <c r="V73" i="8"/>
  <c r="U65" i="8"/>
  <c r="T65" i="8"/>
  <c r="U124" i="8"/>
  <c r="T124" i="8"/>
  <c r="P124" i="8"/>
  <c r="Q124" i="8"/>
  <c r="S123" i="8"/>
  <c r="R124" i="8"/>
  <c r="O123" i="8"/>
  <c r="F97" i="8"/>
  <c r="E97" i="8"/>
  <c r="T97" i="8"/>
  <c r="U97" i="8" s="1"/>
  <c r="V97" i="8" s="1"/>
  <c r="P97" i="8"/>
  <c r="Q97" i="8" s="1"/>
  <c r="R97" i="8" s="1"/>
  <c r="L97" i="8"/>
  <c r="M97" i="8" s="1"/>
  <c r="N97" i="8" s="1"/>
  <c r="D97" i="8"/>
  <c r="C97" i="8"/>
  <c r="H97" i="8"/>
  <c r="I97" i="8" s="1"/>
  <c r="J97" i="8" s="1"/>
  <c r="N124" i="8"/>
  <c r="O120" i="8" s="1"/>
  <c r="K115" i="8"/>
  <c r="K114" i="8"/>
  <c r="K42" i="9" s="1"/>
  <c r="K113" i="8"/>
  <c r="K40" i="9" s="1"/>
  <c r="K123" i="8"/>
  <c r="K124" i="8"/>
  <c r="F124" i="8"/>
  <c r="S124" i="8" s="1"/>
  <c r="E124" i="8"/>
  <c r="O124" i="8" s="1"/>
  <c r="I132" i="8"/>
  <c r="J132" i="8" s="1"/>
  <c r="M132" i="8"/>
  <c r="N132" i="8" s="1"/>
  <c r="S132" i="8"/>
  <c r="Q115" i="8"/>
  <c r="R115" i="8" s="1"/>
  <c r="S115" i="8" s="1"/>
  <c r="M115" i="8"/>
  <c r="N115" i="8" s="1"/>
  <c r="Q114" i="8"/>
  <c r="R114" i="8" s="1"/>
  <c r="R42" i="9" s="1"/>
  <c r="M114" i="8"/>
  <c r="N114" i="8" s="1"/>
  <c r="N42" i="9" s="1"/>
  <c r="S113" i="8"/>
  <c r="S40" i="9" s="1"/>
  <c r="O113" i="8"/>
  <c r="O40" i="9" s="1"/>
  <c r="U112" i="8"/>
  <c r="U39" i="9" s="1"/>
  <c r="Q112" i="8"/>
  <c r="Q39" i="9" s="1"/>
  <c r="M112" i="8"/>
  <c r="N112" i="8" s="1"/>
  <c r="N39" i="9" s="1"/>
  <c r="I112" i="8"/>
  <c r="J112" i="8" s="1"/>
  <c r="J39" i="9" s="1"/>
  <c r="T111" i="8"/>
  <c r="U111" i="8" s="1"/>
  <c r="V111" i="8" s="1"/>
  <c r="V38" i="9" s="1"/>
  <c r="P111" i="8"/>
  <c r="Q111" i="8" s="1"/>
  <c r="R111" i="8" s="1"/>
  <c r="R38" i="9" s="1"/>
  <c r="M111" i="8"/>
  <c r="M38" i="9" s="1"/>
  <c r="I111" i="8"/>
  <c r="I38" i="9" s="1"/>
  <c r="F114" i="8"/>
  <c r="F42" i="9" s="1"/>
  <c r="E114" i="8"/>
  <c r="E42" i="9" s="1"/>
  <c r="C113" i="8"/>
  <c r="C40" i="9" s="1"/>
  <c r="E112" i="8"/>
  <c r="E39" i="9" s="1"/>
  <c r="C112" i="8"/>
  <c r="C39" i="9" s="1"/>
  <c r="F111" i="8"/>
  <c r="F38" i="9" s="1"/>
  <c r="S107" i="8"/>
  <c r="S41" i="9" s="1"/>
  <c r="M107" i="8"/>
  <c r="N107" i="8" s="1"/>
  <c r="O107" i="8" s="1"/>
  <c r="O41" i="9" s="1"/>
  <c r="AD41" i="9" s="1"/>
  <c r="I107" i="8"/>
  <c r="J107" i="8" s="1"/>
  <c r="J41" i="9" s="1"/>
  <c r="U106" i="8"/>
  <c r="V106" i="8" s="1"/>
  <c r="V31" i="9" s="1"/>
  <c r="Q106" i="8"/>
  <c r="R106" i="8" s="1"/>
  <c r="S106" i="8" s="1"/>
  <c r="S31" i="9" s="1"/>
  <c r="M106" i="8"/>
  <c r="M31" i="9" s="1"/>
  <c r="I106" i="8"/>
  <c r="I31" i="9" s="1"/>
  <c r="D107" i="8"/>
  <c r="D41" i="9" s="1"/>
  <c r="T102" i="8"/>
  <c r="U102" i="8" s="1"/>
  <c r="V102" i="8" s="1"/>
  <c r="P102" i="8"/>
  <c r="P34" i="9" s="1"/>
  <c r="L102" i="8"/>
  <c r="M102" i="8" s="1"/>
  <c r="H102" i="8"/>
  <c r="H34" i="9" s="1"/>
  <c r="U101" i="8"/>
  <c r="V101" i="8" s="1"/>
  <c r="Q101" i="8"/>
  <c r="R101" i="8" s="1"/>
  <c r="M101" i="8"/>
  <c r="I101" i="8"/>
  <c r="J101" i="8" s="1"/>
  <c r="Q100" i="8"/>
  <c r="R100" i="8" s="1"/>
  <c r="S100" i="8" s="1"/>
  <c r="M100" i="8"/>
  <c r="I100" i="8"/>
  <c r="J100" i="8" s="1"/>
  <c r="U99" i="8"/>
  <c r="V99" i="8" s="1"/>
  <c r="Q99" i="8"/>
  <c r="R99" i="8" s="1"/>
  <c r="M99" i="8"/>
  <c r="I99" i="8"/>
  <c r="J99" i="8" s="1"/>
  <c r="U96" i="8"/>
  <c r="V96" i="8" s="1"/>
  <c r="V37" i="9" s="1"/>
  <c r="Q96" i="8"/>
  <c r="R96" i="8" s="1"/>
  <c r="S96" i="8" s="1"/>
  <c r="S37" i="9" s="1"/>
  <c r="M96" i="8"/>
  <c r="M37" i="9" s="1"/>
  <c r="I96" i="8"/>
  <c r="I37" i="9" s="1"/>
  <c r="U95" i="8"/>
  <c r="V95" i="8" s="1"/>
  <c r="V27" i="9" s="1"/>
  <c r="Q95" i="8"/>
  <c r="R95" i="8" s="1"/>
  <c r="R27" i="9" s="1"/>
  <c r="M95" i="8"/>
  <c r="N95" i="8" s="1"/>
  <c r="N27" i="9" s="1"/>
  <c r="I95" i="8"/>
  <c r="J95" i="8" s="1"/>
  <c r="J27" i="9" s="1"/>
  <c r="U94" i="8"/>
  <c r="U23" i="9" s="1"/>
  <c r="Q94" i="8"/>
  <c r="R94" i="8" s="1"/>
  <c r="S94" i="8" s="1"/>
  <c r="M94" i="8"/>
  <c r="N94" i="8" s="1"/>
  <c r="N23" i="9" s="1"/>
  <c r="I94" i="8"/>
  <c r="J94" i="8" s="1"/>
  <c r="J23" i="9" s="1"/>
  <c r="U93" i="8"/>
  <c r="U22" i="9" s="1"/>
  <c r="Q93" i="8"/>
  <c r="Q22" i="9" s="1"/>
  <c r="M93" i="8"/>
  <c r="N93" i="8" s="1"/>
  <c r="N22" i="9" s="1"/>
  <c r="I93" i="8"/>
  <c r="J93" i="8" s="1"/>
  <c r="J22" i="9" s="1"/>
  <c r="C73" i="8"/>
  <c r="D73" i="8"/>
  <c r="K73" i="8" s="1"/>
  <c r="E73" i="8"/>
  <c r="O73" i="8" s="1"/>
  <c r="F73" i="8"/>
  <c r="S73" i="8" s="1"/>
  <c r="U73" i="8"/>
  <c r="T73" i="8"/>
  <c r="R73" i="8"/>
  <c r="Q73" i="8"/>
  <c r="P73" i="8"/>
  <c r="N73" i="8"/>
  <c r="M73" i="8"/>
  <c r="L73" i="8"/>
  <c r="J73" i="8"/>
  <c r="I73" i="8"/>
  <c r="H73" i="8"/>
  <c r="S65" i="8"/>
  <c r="O65" i="8"/>
  <c r="H65" i="8"/>
  <c r="H66" i="8" s="1"/>
  <c r="H57" i="9" s="1"/>
  <c r="I65" i="8"/>
  <c r="I66" i="8" s="1"/>
  <c r="I57" i="9" s="1"/>
  <c r="J65" i="8"/>
  <c r="J66" i="8" s="1"/>
  <c r="J57" i="9" s="1"/>
  <c r="L65" i="8"/>
  <c r="D65" i="8"/>
  <c r="K65" i="8" s="1"/>
  <c r="C65" i="8"/>
  <c r="F102" i="8"/>
  <c r="F34" i="9" s="1"/>
  <c r="E102" i="8"/>
  <c r="E34" i="9" s="1"/>
  <c r="D102" i="8"/>
  <c r="D34" i="9" s="1"/>
  <c r="C102" i="8"/>
  <c r="C34" i="9" s="1"/>
  <c r="AH48" i="8"/>
  <c r="AJ48" i="8" s="1"/>
  <c r="AH47" i="8"/>
  <c r="AH45" i="8"/>
  <c r="AJ45" i="8" s="1"/>
  <c r="AH56" i="8"/>
  <c r="AH55" i="8"/>
  <c r="AH54" i="8"/>
  <c r="AH62" i="8"/>
  <c r="AJ62" i="8" s="1"/>
  <c r="AH61" i="8"/>
  <c r="AH71" i="8"/>
  <c r="AJ71" i="8" s="1"/>
  <c r="AH70" i="8"/>
  <c r="AH69" i="8"/>
  <c r="AJ69" i="8" s="1"/>
  <c r="S78" i="8"/>
  <c r="S77" i="8"/>
  <c r="S76" i="8"/>
  <c r="O78" i="8"/>
  <c r="O77" i="8"/>
  <c r="O76" i="8"/>
  <c r="K78" i="8"/>
  <c r="K77" i="8"/>
  <c r="K76" i="8"/>
  <c r="S72" i="8"/>
  <c r="S62" i="9" s="1"/>
  <c r="AE62" i="9" s="1"/>
  <c r="S71" i="8"/>
  <c r="S70" i="8"/>
  <c r="S69" i="8"/>
  <c r="O72" i="8"/>
  <c r="O62" i="9" s="1"/>
  <c r="AA62" i="9" s="1"/>
  <c r="O71" i="8"/>
  <c r="O70" i="8"/>
  <c r="O69" i="8"/>
  <c r="K72" i="8"/>
  <c r="K62" i="9" s="1"/>
  <c r="K71" i="8"/>
  <c r="K70" i="8"/>
  <c r="K69" i="8"/>
  <c r="S64" i="8"/>
  <c r="S63" i="8"/>
  <c r="S62" i="8"/>
  <c r="S61" i="8"/>
  <c r="O64" i="8"/>
  <c r="O65" i="9" s="1"/>
  <c r="AA65" i="9" s="1"/>
  <c r="O63" i="8"/>
  <c r="O64" i="9" s="1"/>
  <c r="O62" i="8"/>
  <c r="O61" i="8"/>
  <c r="O56" i="9" s="1"/>
  <c r="AA56" i="9" s="1"/>
  <c r="K64" i="8"/>
  <c r="K63" i="8"/>
  <c r="K62" i="8"/>
  <c r="K61" i="8"/>
  <c r="K56" i="9" s="1"/>
  <c r="S56" i="8"/>
  <c r="O56" i="8"/>
  <c r="O55" i="9" s="1"/>
  <c r="AA55" i="9" s="1"/>
  <c r="K56" i="8"/>
  <c r="K55" i="9" s="1"/>
  <c r="S55" i="8"/>
  <c r="O55" i="8"/>
  <c r="O54" i="9" s="1"/>
  <c r="AA54" i="9" s="1"/>
  <c r="K55" i="8"/>
  <c r="K54" i="9" s="1"/>
  <c r="K57" i="8"/>
  <c r="K54" i="8"/>
  <c r="K49" i="8"/>
  <c r="K48" i="8"/>
  <c r="K50" i="9" s="1"/>
  <c r="K47" i="8"/>
  <c r="K45" i="8"/>
  <c r="K48" i="9" s="1"/>
  <c r="S49" i="8"/>
  <c r="O49" i="8"/>
  <c r="S48" i="8"/>
  <c r="O48" i="8"/>
  <c r="O50" i="9" s="1"/>
  <c r="AA50" i="9" s="1"/>
  <c r="S47" i="8"/>
  <c r="O47" i="8"/>
  <c r="S28" i="8"/>
  <c r="O28" i="8"/>
  <c r="K28" i="8"/>
  <c r="K35" i="8"/>
  <c r="K26" i="12" s="1"/>
  <c r="S23" i="8"/>
  <c r="O23" i="8"/>
  <c r="K23" i="8"/>
  <c r="K33" i="9" s="1"/>
  <c r="S22" i="8"/>
  <c r="O22" i="8"/>
  <c r="K22" i="8"/>
  <c r="S18" i="8"/>
  <c r="S18" i="9" s="1"/>
  <c r="O18" i="8"/>
  <c r="O18" i="9" s="1"/>
  <c r="K18" i="8"/>
  <c r="K18" i="9" s="1"/>
  <c r="S17" i="8"/>
  <c r="S17" i="9" s="1"/>
  <c r="O17" i="8"/>
  <c r="O17" i="9" s="1"/>
  <c r="K17" i="8"/>
  <c r="K17" i="9" s="1"/>
  <c r="S13" i="8"/>
  <c r="S13" i="9" s="1"/>
  <c r="O13" i="8"/>
  <c r="O13" i="9" s="1"/>
  <c r="AD13" i="9" s="1"/>
  <c r="K13" i="8"/>
  <c r="K13" i="9" s="1"/>
  <c r="K10" i="8"/>
  <c r="K11" i="8" s="1"/>
  <c r="O10" i="8"/>
  <c r="S10" i="8"/>
  <c r="K8" i="8"/>
  <c r="K42" i="8" s="1"/>
  <c r="H116" i="8"/>
  <c r="H108" i="8"/>
  <c r="J87" i="8"/>
  <c r="I87" i="8"/>
  <c r="H87" i="8"/>
  <c r="K86" i="8"/>
  <c r="J86" i="8"/>
  <c r="I86" i="8"/>
  <c r="H86" i="8"/>
  <c r="J79" i="8"/>
  <c r="J68" i="9" s="1"/>
  <c r="I79" i="8"/>
  <c r="I68" i="9" s="1"/>
  <c r="H79" i="8"/>
  <c r="H68" i="9" s="1"/>
  <c r="J51" i="8"/>
  <c r="J58" i="8" s="1"/>
  <c r="I51" i="8"/>
  <c r="I58" i="8" s="1"/>
  <c r="H51" i="8"/>
  <c r="H58" i="8" s="1"/>
  <c r="J42" i="8"/>
  <c r="I42" i="8"/>
  <c r="H42" i="8"/>
  <c r="K41" i="8"/>
  <c r="J41" i="8"/>
  <c r="I41" i="8"/>
  <c r="H41" i="8"/>
  <c r="J11" i="8"/>
  <c r="J14" i="8" s="1"/>
  <c r="J19" i="8" s="1"/>
  <c r="I11" i="8"/>
  <c r="I14" i="8" s="1"/>
  <c r="I19" i="8" s="1"/>
  <c r="H11" i="8"/>
  <c r="H14" i="8" s="1"/>
  <c r="B2" i="10"/>
  <c r="S35" i="8"/>
  <c r="O35" i="8"/>
  <c r="S45" i="8"/>
  <c r="O45" i="8"/>
  <c r="O48" i="9" s="1"/>
  <c r="AA48" i="9" s="1"/>
  <c r="S57" i="8"/>
  <c r="S54" i="8"/>
  <c r="O54" i="8"/>
  <c r="AH32" i="8"/>
  <c r="AH35" i="8"/>
  <c r="AJ55" i="8" l="1"/>
  <c r="Y40" i="9"/>
  <c r="K64" i="9"/>
  <c r="S64" i="9"/>
  <c r="AE64" i="9" s="1"/>
  <c r="K65" i="9"/>
  <c r="S65" i="9"/>
  <c r="AE65" i="9" s="1"/>
  <c r="AJ8" i="12"/>
  <c r="O49" i="9"/>
  <c r="AA49" i="9" s="1"/>
  <c r="AD40" i="9"/>
  <c r="X13" i="9"/>
  <c r="Y13" i="9"/>
  <c r="AA40" i="9"/>
  <c r="AB40" i="9"/>
  <c r="K49" i="9"/>
  <c r="K51" i="9" s="1"/>
  <c r="AJ70" i="8"/>
  <c r="AJ61" i="8"/>
  <c r="AJ54" i="8"/>
  <c r="AJ47" i="8"/>
  <c r="AB13" i="9"/>
  <c r="AC40" i="9"/>
  <c r="AA13" i="9"/>
  <c r="AC13" i="9"/>
  <c r="AE40" i="9"/>
  <c r="Z13" i="9"/>
  <c r="Z40" i="9"/>
  <c r="AE13" i="9"/>
  <c r="AF40" i="9"/>
  <c r="O8" i="12"/>
  <c r="AA8" i="12" s="1"/>
  <c r="S7" i="12"/>
  <c r="AE7" i="12" s="1"/>
  <c r="U13" i="12"/>
  <c r="AF13" i="9"/>
  <c r="AG40" i="9"/>
  <c r="K7" i="12"/>
  <c r="AG13" i="9"/>
  <c r="X42" i="9"/>
  <c r="X40" i="9"/>
  <c r="AG41" i="9"/>
  <c r="O22" i="12"/>
  <c r="AE41" i="9"/>
  <c r="O66" i="9"/>
  <c r="AA64" i="9"/>
  <c r="AF41" i="9"/>
  <c r="M39" i="9"/>
  <c r="O61" i="9"/>
  <c r="AA61" i="9" s="1"/>
  <c r="E66" i="9"/>
  <c r="V66" i="9"/>
  <c r="E22" i="12"/>
  <c r="R22" i="12"/>
  <c r="V93" i="8"/>
  <c r="V22" i="9" s="1"/>
  <c r="N66" i="9"/>
  <c r="O7" i="12"/>
  <c r="AA7" i="12" s="1"/>
  <c r="AA9" i="12" s="1"/>
  <c r="I13" i="12"/>
  <c r="Q13" i="12"/>
  <c r="AE13" i="12" s="1"/>
  <c r="F22" i="12"/>
  <c r="S22" i="12"/>
  <c r="M34" i="9"/>
  <c r="V112" i="8"/>
  <c r="V39" i="9" s="1"/>
  <c r="T34" i="9"/>
  <c r="S56" i="9"/>
  <c r="AE56" i="9" s="1"/>
  <c r="R13" i="12"/>
  <c r="K66" i="9"/>
  <c r="U100" i="8"/>
  <c r="V100" i="8" s="1"/>
  <c r="V34" i="9" s="1"/>
  <c r="O33" i="9"/>
  <c r="S8" i="12"/>
  <c r="AE8" i="12" s="1"/>
  <c r="S13" i="12"/>
  <c r="P17" i="12"/>
  <c r="M22" i="12"/>
  <c r="Y22" i="12" s="1"/>
  <c r="O26" i="12"/>
  <c r="AH26" i="12"/>
  <c r="AJ26" i="12" s="1"/>
  <c r="S55" i="9"/>
  <c r="AE55" i="9" s="1"/>
  <c r="K61" i="9"/>
  <c r="S61" i="9"/>
  <c r="AE61" i="9" s="1"/>
  <c r="N22" i="12"/>
  <c r="Z22" i="12" s="1"/>
  <c r="X26" i="12"/>
  <c r="AF26" i="12"/>
  <c r="S66" i="9"/>
  <c r="S50" i="9"/>
  <c r="AE50" i="9" s="1"/>
  <c r="S54" i="9"/>
  <c r="AE54" i="9" s="1"/>
  <c r="C66" i="9"/>
  <c r="L66" i="9"/>
  <c r="T66" i="9"/>
  <c r="V13" i="12"/>
  <c r="P23" i="12"/>
  <c r="Z26" i="12"/>
  <c r="U37" i="9"/>
  <c r="S33" i="9"/>
  <c r="M9" i="12"/>
  <c r="U9" i="12"/>
  <c r="D22" i="12"/>
  <c r="S26" i="12"/>
  <c r="F66" i="9"/>
  <c r="H66" i="9"/>
  <c r="H69" i="9" s="1"/>
  <c r="H78" i="9" s="1"/>
  <c r="P66" i="9"/>
  <c r="I66" i="9"/>
  <c r="I69" i="9" s="1"/>
  <c r="I78" i="9" s="1"/>
  <c r="Q66" i="9"/>
  <c r="J66" i="9"/>
  <c r="J69" i="9" s="1"/>
  <c r="J78" i="9" s="1"/>
  <c r="R66" i="9"/>
  <c r="M66" i="9"/>
  <c r="U66" i="9"/>
  <c r="J51" i="9"/>
  <c r="I9" i="12"/>
  <c r="Q9" i="12"/>
  <c r="J9" i="12"/>
  <c r="C9" i="12"/>
  <c r="R9" i="12"/>
  <c r="AC7" i="12"/>
  <c r="AC9" i="12" s="1"/>
  <c r="AC23" i="12" s="1"/>
  <c r="D9" i="12"/>
  <c r="AG13" i="12"/>
  <c r="AF9" i="12"/>
  <c r="K9" i="12"/>
  <c r="K17" i="12" s="1"/>
  <c r="AD7" i="12"/>
  <c r="AD9" i="12" s="1"/>
  <c r="L9" i="12"/>
  <c r="L27" i="12" s="1"/>
  <c r="X7" i="12"/>
  <c r="X9" i="12" s="1"/>
  <c r="N9" i="12"/>
  <c r="V9" i="12"/>
  <c r="Y7" i="12"/>
  <c r="Y9" i="12" s="1"/>
  <c r="AG7" i="12"/>
  <c r="AG9" i="12" s="1"/>
  <c r="T9" i="12"/>
  <c r="T27" i="12" s="1"/>
  <c r="H9" i="12"/>
  <c r="Z7" i="12"/>
  <c r="Z9" i="12" s="1"/>
  <c r="AB7" i="12"/>
  <c r="AB9" i="12" s="1"/>
  <c r="AB17" i="12" s="1"/>
  <c r="AH9" i="12"/>
  <c r="F9" i="12"/>
  <c r="E9" i="12"/>
  <c r="K9" i="9"/>
  <c r="Y18" i="9"/>
  <c r="H51" i="9"/>
  <c r="S49" i="9"/>
  <c r="AE49" i="9" s="1"/>
  <c r="I51" i="9"/>
  <c r="AD18" i="9"/>
  <c r="V94" i="8"/>
  <c r="V23" i="9" s="1"/>
  <c r="R31" i="9"/>
  <c r="I41" i="9"/>
  <c r="U38" i="9"/>
  <c r="U31" i="9"/>
  <c r="M42" i="9"/>
  <c r="Y42" i="9" s="1"/>
  <c r="P38" i="9"/>
  <c r="M27" i="9"/>
  <c r="M41" i="9"/>
  <c r="AB41" i="9" s="1"/>
  <c r="Q38" i="9"/>
  <c r="S48" i="9"/>
  <c r="AE48" i="9" s="1"/>
  <c r="M22" i="9"/>
  <c r="L34" i="9"/>
  <c r="Q37" i="9"/>
  <c r="N41" i="9"/>
  <c r="AC41" i="9" s="1"/>
  <c r="I39" i="9"/>
  <c r="R37" i="9"/>
  <c r="J13" i="10"/>
  <c r="K4" i="9"/>
  <c r="U27" i="9"/>
  <c r="Q31" i="9"/>
  <c r="Q42" i="9"/>
  <c r="T38" i="9"/>
  <c r="K131" i="8"/>
  <c r="K32" i="9" s="1"/>
  <c r="AH18" i="9"/>
  <c r="AE18" i="9"/>
  <c r="AF18" i="9"/>
  <c r="I23" i="9"/>
  <c r="Q23" i="9"/>
  <c r="I22" i="9"/>
  <c r="X22" i="9" s="1"/>
  <c r="S23" i="9"/>
  <c r="K4" i="10"/>
  <c r="I27" i="9"/>
  <c r="Q27" i="9"/>
  <c r="H13" i="10"/>
  <c r="AG18" i="9"/>
  <c r="M23" i="9"/>
  <c r="R23" i="9"/>
  <c r="I13" i="10"/>
  <c r="AA18" i="9"/>
  <c r="Z18" i="9"/>
  <c r="AB18" i="9"/>
  <c r="AC18" i="9"/>
  <c r="H9" i="9"/>
  <c r="H14" i="9" s="1"/>
  <c r="H19" i="9" s="1"/>
  <c r="H24" i="9" s="1"/>
  <c r="J9" i="9"/>
  <c r="I9" i="9"/>
  <c r="I11" i="9" s="1"/>
  <c r="K14" i="9"/>
  <c r="K12" i="10"/>
  <c r="K13" i="10" s="1"/>
  <c r="O24" i="8"/>
  <c r="K107" i="8"/>
  <c r="K41" i="9" s="1"/>
  <c r="I108" i="8"/>
  <c r="K24" i="8"/>
  <c r="S24" i="8"/>
  <c r="AH24" i="8" s="1"/>
  <c r="K95" i="8"/>
  <c r="K27" i="9" s="1"/>
  <c r="N96" i="8"/>
  <c r="I116" i="8"/>
  <c r="O95" i="8"/>
  <c r="O27" i="9" s="1"/>
  <c r="O93" i="8"/>
  <c r="O22" i="9" s="1"/>
  <c r="K94" i="8"/>
  <c r="K23" i="9" s="1"/>
  <c r="Z23" i="9" s="1"/>
  <c r="K99" i="8"/>
  <c r="K112" i="8"/>
  <c r="K39" i="9" s="1"/>
  <c r="Z39" i="9" s="1"/>
  <c r="K100" i="8"/>
  <c r="K101" i="8"/>
  <c r="K93" i="8"/>
  <c r="K22" i="9" s="1"/>
  <c r="Z22" i="9" s="1"/>
  <c r="O97" i="8"/>
  <c r="S97" i="8"/>
  <c r="J74" i="8"/>
  <c r="O112" i="8"/>
  <c r="O39" i="9" s="1"/>
  <c r="AC39" i="9" s="1"/>
  <c r="O132" i="8"/>
  <c r="K132" i="8"/>
  <c r="S111" i="8"/>
  <c r="S38" i="9" s="1"/>
  <c r="AG38" i="9" s="1"/>
  <c r="O114" i="8"/>
  <c r="O42" i="9" s="1"/>
  <c r="R112" i="8"/>
  <c r="O115" i="8"/>
  <c r="S114" i="8"/>
  <c r="S42" i="9" s="1"/>
  <c r="AG42" i="9" s="1"/>
  <c r="J111" i="8"/>
  <c r="N111" i="8"/>
  <c r="I74" i="8"/>
  <c r="J106" i="8"/>
  <c r="J13" i="12" s="1"/>
  <c r="N106" i="8"/>
  <c r="N13" i="12" s="1"/>
  <c r="K97" i="8"/>
  <c r="N102" i="8"/>
  <c r="O102" i="8" s="1"/>
  <c r="S99" i="8"/>
  <c r="S101" i="8"/>
  <c r="N100" i="8"/>
  <c r="O100" i="8" s="1"/>
  <c r="I102" i="8"/>
  <c r="Q102" i="8"/>
  <c r="R102" i="8" s="1"/>
  <c r="R34" i="9" s="1"/>
  <c r="N99" i="8"/>
  <c r="N101" i="8"/>
  <c r="O101" i="8" s="1"/>
  <c r="S95" i="8"/>
  <c r="S27" i="9" s="1"/>
  <c r="O94" i="8"/>
  <c r="R93" i="8"/>
  <c r="J96" i="8"/>
  <c r="H74" i="8"/>
  <c r="K79" i="8"/>
  <c r="K66" i="8"/>
  <c r="K51" i="8"/>
  <c r="K58" i="8" s="1"/>
  <c r="AH23" i="8"/>
  <c r="AJ23" i="8" s="1"/>
  <c r="K14" i="8"/>
  <c r="K19" i="8" s="1"/>
  <c r="K87" i="8"/>
  <c r="I25" i="8"/>
  <c r="I20" i="8"/>
  <c r="H19" i="8"/>
  <c r="H15" i="8"/>
  <c r="J25" i="8"/>
  <c r="J20" i="8"/>
  <c r="I15" i="8"/>
  <c r="J15" i="8"/>
  <c r="AJ35" i="8"/>
  <c r="AG23" i="9" l="1"/>
  <c r="X39" i="9"/>
  <c r="U34" i="9"/>
  <c r="AG37" i="9"/>
  <c r="AD42" i="9"/>
  <c r="AJ18" i="9"/>
  <c r="AF38" i="9"/>
  <c r="AF13" i="12"/>
  <c r="AH13" i="12"/>
  <c r="AA22" i="9"/>
  <c r="AE9" i="12"/>
  <c r="AA17" i="12"/>
  <c r="AE17" i="12"/>
  <c r="Z41" i="9"/>
  <c r="F27" i="12"/>
  <c r="F17" i="12"/>
  <c r="V23" i="12"/>
  <c r="V17" i="12"/>
  <c r="C27" i="12"/>
  <c r="C23" i="12"/>
  <c r="C17" i="12"/>
  <c r="Y41" i="9"/>
  <c r="AJ7" i="12"/>
  <c r="AF23" i="9"/>
  <c r="AF42" i="9"/>
  <c r="AE38" i="9"/>
  <c r="AH23" i="12"/>
  <c r="AJ9" i="12"/>
  <c r="AH27" i="12"/>
  <c r="AH17" i="12"/>
  <c r="N17" i="12"/>
  <c r="N23" i="12"/>
  <c r="O9" i="12"/>
  <c r="O17" i="12" s="1"/>
  <c r="J17" i="12"/>
  <c r="J27" i="12"/>
  <c r="AA42" i="9"/>
  <c r="K23" i="12"/>
  <c r="Y17" i="12"/>
  <c r="Y27" i="12"/>
  <c r="AC42" i="9"/>
  <c r="K74" i="8"/>
  <c r="K58" i="9" s="1"/>
  <c r="K57" i="9"/>
  <c r="X23" i="9"/>
  <c r="AF37" i="9"/>
  <c r="AB42" i="9"/>
  <c r="X23" i="12"/>
  <c r="X17" i="12"/>
  <c r="X27" i="12"/>
  <c r="AB27" i="12"/>
  <c r="Y23" i="9"/>
  <c r="AA39" i="9"/>
  <c r="K68" i="9"/>
  <c r="K69" i="9" s="1"/>
  <c r="K78" i="9" s="1"/>
  <c r="Z23" i="12"/>
  <c r="Z27" i="12"/>
  <c r="Z17" i="12"/>
  <c r="L17" i="12"/>
  <c r="L23" i="12"/>
  <c r="R17" i="12"/>
  <c r="R27" i="12"/>
  <c r="AE26" i="12"/>
  <c r="AE27" i="12" s="1"/>
  <c r="AA26" i="12"/>
  <c r="AA27" i="12" s="1"/>
  <c r="AB23" i="12"/>
  <c r="AE22" i="12"/>
  <c r="AB39" i="9"/>
  <c r="Z42" i="9"/>
  <c r="Y39" i="9"/>
  <c r="AE42" i="9"/>
  <c r="H80" i="8"/>
  <c r="H82" i="8" s="1"/>
  <c r="H58" i="9"/>
  <c r="AD17" i="12"/>
  <c r="AD27" i="12"/>
  <c r="D23" i="12"/>
  <c r="V27" i="12"/>
  <c r="F23" i="12"/>
  <c r="AA41" i="9"/>
  <c r="AC22" i="9"/>
  <c r="J80" i="8"/>
  <c r="J82" i="8" s="1"/>
  <c r="J58" i="9"/>
  <c r="E17" i="12"/>
  <c r="E23" i="12"/>
  <c r="E27" i="12"/>
  <c r="AA22" i="12"/>
  <c r="AA23" i="12" s="1"/>
  <c r="I80" i="8"/>
  <c r="I82" i="8" s="1"/>
  <c r="I58" i="9"/>
  <c r="AB22" i="9"/>
  <c r="H27" i="12"/>
  <c r="H23" i="12"/>
  <c r="H17" i="12"/>
  <c r="D17" i="12"/>
  <c r="D27" i="12"/>
  <c r="Q27" i="12"/>
  <c r="Q17" i="12"/>
  <c r="Q23" i="12"/>
  <c r="Y23" i="12"/>
  <c r="X41" i="9"/>
  <c r="T17" i="12"/>
  <c r="T23" i="12"/>
  <c r="S9" i="12"/>
  <c r="S17" i="12" s="1"/>
  <c r="AC27" i="12"/>
  <c r="AC17" i="12"/>
  <c r="I17" i="12"/>
  <c r="I27" i="12"/>
  <c r="I23" i="12"/>
  <c r="U23" i="12"/>
  <c r="U27" i="12"/>
  <c r="U17" i="12"/>
  <c r="N27" i="12"/>
  <c r="R23" i="12"/>
  <c r="AD22" i="12"/>
  <c r="AJ22" i="12" s="1"/>
  <c r="K27" i="12"/>
  <c r="Y22" i="9"/>
  <c r="AF17" i="12"/>
  <c r="AF27" i="12"/>
  <c r="AF23" i="12"/>
  <c r="AG17" i="12"/>
  <c r="AG23" i="12"/>
  <c r="AG27" i="12"/>
  <c r="M23" i="12"/>
  <c r="M17" i="12"/>
  <c r="M27" i="12"/>
  <c r="AE37" i="9"/>
  <c r="AE23" i="9"/>
  <c r="J23" i="12"/>
  <c r="K11" i="9"/>
  <c r="J102" i="8"/>
  <c r="J34" i="9" s="1"/>
  <c r="I34" i="9"/>
  <c r="K96" i="8"/>
  <c r="K37" i="9" s="1"/>
  <c r="J37" i="9"/>
  <c r="O111" i="8"/>
  <c r="O38" i="9" s="1"/>
  <c r="AD38" i="9" s="1"/>
  <c r="N38" i="9"/>
  <c r="J116" i="8"/>
  <c r="J38" i="9"/>
  <c r="AH23" i="9"/>
  <c r="S112" i="8"/>
  <c r="S39" i="9" s="1"/>
  <c r="R39" i="9"/>
  <c r="O99" i="8"/>
  <c r="O34" i="9" s="1"/>
  <c r="N34" i="9"/>
  <c r="O106" i="8"/>
  <c r="N31" i="9"/>
  <c r="J108" i="8"/>
  <c r="J31" i="9"/>
  <c r="O96" i="8"/>
  <c r="O37" i="9" s="1"/>
  <c r="AD37" i="9" s="1"/>
  <c r="N37" i="9"/>
  <c r="AH94" i="8"/>
  <c r="Q34" i="9"/>
  <c r="O23" i="9"/>
  <c r="AB23" i="9" s="1"/>
  <c r="S93" i="8"/>
  <c r="S22" i="9" s="1"/>
  <c r="R22" i="9"/>
  <c r="I14" i="9"/>
  <c r="I19" i="9" s="1"/>
  <c r="I24" i="9" s="1"/>
  <c r="J14" i="9"/>
  <c r="J15" i="9" s="1"/>
  <c r="J11" i="9"/>
  <c r="H15" i="9"/>
  <c r="K15" i="9"/>
  <c r="K19" i="9"/>
  <c r="K24" i="9" s="1"/>
  <c r="H20" i="9"/>
  <c r="K111" i="8"/>
  <c r="K38" i="9" s="1"/>
  <c r="K106" i="8"/>
  <c r="K13" i="12" s="1"/>
  <c r="S102" i="8"/>
  <c r="S34" i="9" s="1"/>
  <c r="K80" i="8"/>
  <c r="K82" i="8" s="1"/>
  <c r="K15" i="8"/>
  <c r="K25" i="8"/>
  <c r="K20" i="8"/>
  <c r="J29" i="8"/>
  <c r="J26" i="8"/>
  <c r="H25" i="8"/>
  <c r="H20" i="8"/>
  <c r="I29" i="8"/>
  <c r="I26" i="8"/>
  <c r="AH62" i="9"/>
  <c r="AH61" i="9"/>
  <c r="AH56" i="9"/>
  <c r="AD11" i="10"/>
  <c r="AH124" i="8"/>
  <c r="V120" i="8"/>
  <c r="AH120" i="8"/>
  <c r="R120" i="8"/>
  <c r="Q120" i="8"/>
  <c r="N120" i="8"/>
  <c r="L116" i="8"/>
  <c r="M116" i="8"/>
  <c r="N116" i="8"/>
  <c r="M120" i="8"/>
  <c r="T120" i="8"/>
  <c r="P120" i="8"/>
  <c r="AH115" i="8"/>
  <c r="AH114" i="8"/>
  <c r="AH111" i="8"/>
  <c r="AH107" i="8"/>
  <c r="AE23" i="12" l="1"/>
  <c r="S23" i="12"/>
  <c r="S27" i="12"/>
  <c r="O31" i="9"/>
  <c r="O13" i="12"/>
  <c r="O23" i="12"/>
  <c r="O27" i="12"/>
  <c r="Z13" i="12"/>
  <c r="Y13" i="12"/>
  <c r="AJ94" i="8"/>
  <c r="AC38" i="9"/>
  <c r="AB38" i="9"/>
  <c r="AA38" i="9"/>
  <c r="Y37" i="9"/>
  <c r="X37" i="9"/>
  <c r="Z38" i="9"/>
  <c r="AC37" i="9"/>
  <c r="AB37" i="9"/>
  <c r="AA37" i="9"/>
  <c r="AG39" i="9"/>
  <c r="AE39" i="9"/>
  <c r="AF39" i="9"/>
  <c r="Z37" i="9"/>
  <c r="AD39" i="9"/>
  <c r="AD23" i="12"/>
  <c r="AJ23" i="12" s="1"/>
  <c r="AJ17" i="12"/>
  <c r="AA23" i="9"/>
  <c r="AJ27" i="12"/>
  <c r="AG22" i="9"/>
  <c r="AF22" i="9"/>
  <c r="AE22" i="9"/>
  <c r="AD23" i="9"/>
  <c r="AJ23" i="9" s="1"/>
  <c r="AC23" i="9"/>
  <c r="Y38" i="9"/>
  <c r="X38" i="9"/>
  <c r="AD22" i="9"/>
  <c r="X13" i="12"/>
  <c r="K102" i="8"/>
  <c r="K34" i="9" s="1"/>
  <c r="K116" i="8"/>
  <c r="J19" i="9"/>
  <c r="J24" i="9" s="1"/>
  <c r="J28" i="9" s="1"/>
  <c r="K108" i="8"/>
  <c r="K31" i="9"/>
  <c r="I15" i="9"/>
  <c r="I20" i="9"/>
  <c r="H28" i="9"/>
  <c r="H25" i="9"/>
  <c r="K20" i="9"/>
  <c r="I33" i="8"/>
  <c r="I90" i="8"/>
  <c r="I103" i="8" s="1"/>
  <c r="I36" i="8"/>
  <c r="I30" i="8"/>
  <c r="H29" i="8"/>
  <c r="H26" i="8"/>
  <c r="J33" i="8"/>
  <c r="J90" i="8"/>
  <c r="J103" i="8" s="1"/>
  <c r="J36" i="8"/>
  <c r="J30" i="8"/>
  <c r="K29" i="8"/>
  <c r="K26" i="8"/>
  <c r="X9" i="10"/>
  <c r="Y9" i="10"/>
  <c r="Y10" i="10"/>
  <c r="X10" i="10"/>
  <c r="Z11" i="10"/>
  <c r="Y11" i="10"/>
  <c r="X11" i="10"/>
  <c r="U120" i="8"/>
  <c r="AJ115" i="8"/>
  <c r="AH106" i="8"/>
  <c r="AJ114" i="8"/>
  <c r="AH113" i="8"/>
  <c r="AJ113" i="8" s="1"/>
  <c r="AH95" i="8"/>
  <c r="AJ95" i="8" s="1"/>
  <c r="AH112" i="8"/>
  <c r="F9" i="9"/>
  <c r="AH41" i="9"/>
  <c r="C9" i="9"/>
  <c r="D9" i="9"/>
  <c r="E9" i="9"/>
  <c r="O9" i="9"/>
  <c r="O10" i="9" s="1"/>
  <c r="M9" i="9"/>
  <c r="M10" i="9" s="1"/>
  <c r="N9" i="9"/>
  <c r="N10" i="9" s="1"/>
  <c r="L9" i="9"/>
  <c r="U9" i="9"/>
  <c r="T9" i="9"/>
  <c r="V9" i="9"/>
  <c r="R9" i="9"/>
  <c r="Q9" i="9"/>
  <c r="S9" i="9"/>
  <c r="P9" i="9"/>
  <c r="AF11" i="10"/>
  <c r="AA11" i="10"/>
  <c r="AB11" i="10"/>
  <c r="AC11" i="10"/>
  <c r="AH97" i="8"/>
  <c r="AH96" i="8"/>
  <c r="AJ96" i="8" s="1"/>
  <c r="D120" i="8"/>
  <c r="K120" i="8" s="1"/>
  <c r="E120" i="8"/>
  <c r="F120" i="8"/>
  <c r="S120" i="8"/>
  <c r="AH13" i="9"/>
  <c r="J20" i="9" l="1"/>
  <c r="AD13" i="12"/>
  <c r="AJ13" i="12" s="1"/>
  <c r="AC13" i="12"/>
  <c r="AB13" i="12"/>
  <c r="AA13" i="12"/>
  <c r="J125" i="8"/>
  <c r="J12" i="12"/>
  <c r="I125" i="8"/>
  <c r="I12" i="12"/>
  <c r="J25" i="9"/>
  <c r="I28" i="9"/>
  <c r="I25" i="9"/>
  <c r="L11" i="9"/>
  <c r="L10" i="9"/>
  <c r="J29" i="9"/>
  <c r="J77" i="9" a="1"/>
  <c r="J77" i="9" s="1"/>
  <c r="J76" i="9" a="1"/>
  <c r="J76" i="9" s="1"/>
  <c r="J75" i="9" a="1"/>
  <c r="J75" i="9" s="1"/>
  <c r="J73" i="9"/>
  <c r="J35" i="9"/>
  <c r="J43" i="9" s="1" a="1"/>
  <c r="J43" i="9" s="1"/>
  <c r="J74" i="9"/>
  <c r="K25" i="9"/>
  <c r="K28" i="9"/>
  <c r="H77" i="9" a="1"/>
  <c r="H77" i="9" s="1"/>
  <c r="H76" i="9" a="1"/>
  <c r="H76" i="9" s="1"/>
  <c r="H75" i="9" a="1"/>
  <c r="H75" i="9" s="1"/>
  <c r="H35" i="9"/>
  <c r="H44" i="9" s="1"/>
  <c r="H29" i="9"/>
  <c r="H73" i="9"/>
  <c r="H74" i="9"/>
  <c r="H33" i="8"/>
  <c r="H30" i="8"/>
  <c r="H36" i="8"/>
  <c r="H90" i="8"/>
  <c r="H103" i="8" s="1"/>
  <c r="K33" i="8"/>
  <c r="K90" i="8"/>
  <c r="K103" i="8" s="1"/>
  <c r="K30" i="8"/>
  <c r="K36" i="8"/>
  <c r="AJ97" i="8"/>
  <c r="AJ112" i="8"/>
  <c r="AH131" i="8"/>
  <c r="AJ13" i="9"/>
  <c r="AH13" i="8"/>
  <c r="J14" i="12" l="1"/>
  <c r="J18" i="12" s="1"/>
  <c r="J19" i="12" s="1"/>
  <c r="K125" i="8"/>
  <c r="K12" i="12"/>
  <c r="H125" i="8"/>
  <c r="H12" i="12"/>
  <c r="H14" i="12" s="1"/>
  <c r="H18" i="12" s="1"/>
  <c r="H19" i="12" s="1"/>
  <c r="I14" i="12"/>
  <c r="I18" i="12" s="1"/>
  <c r="I19" i="12" s="1"/>
  <c r="J44" i="9"/>
  <c r="I73" i="9"/>
  <c r="I29" i="9"/>
  <c r="I35" i="9"/>
  <c r="I43" i="9" s="1" a="1"/>
  <c r="I43" i="9" s="1"/>
  <c r="I74" i="9"/>
  <c r="I76" i="9" a="1"/>
  <c r="I76" i="9" s="1"/>
  <c r="I77" i="9" a="1"/>
  <c r="I77" i="9" s="1"/>
  <c r="I75" i="9" a="1"/>
  <c r="I75" i="9" s="1"/>
  <c r="K29" i="9"/>
  <c r="K74" i="9"/>
  <c r="K77" i="9" a="1"/>
  <c r="K77" i="9" s="1"/>
  <c r="K76" i="9" a="1"/>
  <c r="K76" i="9" s="1"/>
  <c r="K75" i="9" a="1"/>
  <c r="K75" i="9" s="1"/>
  <c r="K35" i="9"/>
  <c r="K43" i="9" s="1" a="1"/>
  <c r="K43" i="9" s="1"/>
  <c r="K73" i="9"/>
  <c r="AJ13" i="8"/>
  <c r="AH28" i="8"/>
  <c r="AH22" i="8"/>
  <c r="K14" i="12" l="1"/>
  <c r="K18" i="12" s="1"/>
  <c r="K19" i="12" s="1"/>
  <c r="I44" i="9"/>
  <c r="K44" i="9"/>
  <c r="AH50" i="9"/>
  <c r="AH49" i="9"/>
  <c r="S8" i="8"/>
  <c r="S4" i="12" s="1"/>
  <c r="AE4" i="12" s="1"/>
  <c r="O8" i="8"/>
  <c r="O4" i="12" s="1"/>
  <c r="AA4" i="12" s="1"/>
  <c r="L108" i="8" l="1"/>
  <c r="E51" i="9"/>
  <c r="U51" i="9"/>
  <c r="D51" i="9"/>
  <c r="N51" i="9"/>
  <c r="F51" i="9"/>
  <c r="R51" i="9"/>
  <c r="C51" i="9"/>
  <c r="M51" i="9"/>
  <c r="L51" i="9"/>
  <c r="P51" i="9"/>
  <c r="Q51" i="9"/>
  <c r="T51" i="9"/>
  <c r="V51" i="9"/>
  <c r="P108" i="8"/>
  <c r="T108" i="8"/>
  <c r="Q108" i="8"/>
  <c r="M108" i="8"/>
  <c r="N108" i="8"/>
  <c r="AH40" i="9" l="1"/>
  <c r="U108" i="8"/>
  <c r="R108" i="8"/>
  <c r="V108" i="8" l="1"/>
  <c r="N51" i="8" l="1"/>
  <c r="B2" i="9"/>
  <c r="C108" i="8"/>
  <c r="V66" i="8"/>
  <c r="V57" i="9" s="1"/>
  <c r="U66" i="8"/>
  <c r="U57" i="9" s="1"/>
  <c r="AG57" i="9" s="1"/>
  <c r="T66" i="8"/>
  <c r="T57" i="9" s="1"/>
  <c r="AF57" i="9" s="1"/>
  <c r="R66" i="8"/>
  <c r="R57" i="9" s="1"/>
  <c r="AD57" i="9" s="1"/>
  <c r="Q66" i="8"/>
  <c r="Q57" i="9" s="1"/>
  <c r="AC57" i="9" s="1"/>
  <c r="P66" i="8"/>
  <c r="P57" i="9" s="1"/>
  <c r="AB57" i="9" s="1"/>
  <c r="N66" i="8"/>
  <c r="N57" i="9" s="1"/>
  <c r="Z57" i="9" s="1"/>
  <c r="M66" i="8"/>
  <c r="M57" i="9" s="1"/>
  <c r="Y57" i="9" s="1"/>
  <c r="L66" i="8"/>
  <c r="L57" i="9" s="1"/>
  <c r="X57" i="9" s="1"/>
  <c r="F66" i="8"/>
  <c r="F57" i="9" s="1"/>
  <c r="E66" i="8"/>
  <c r="E57" i="9" s="1"/>
  <c r="D66" i="8"/>
  <c r="D57" i="9" s="1"/>
  <c r="C66" i="8"/>
  <c r="C57" i="9" s="1"/>
  <c r="AA10" i="10"/>
  <c r="F108" i="8"/>
  <c r="E108" i="8"/>
  <c r="D108" i="8"/>
  <c r="AH65" i="9"/>
  <c r="AH66" i="9" s="1"/>
  <c r="AH55" i="9"/>
  <c r="AH54" i="9"/>
  <c r="AH48" i="9"/>
  <c r="AH51" i="9" s="1"/>
  <c r="V4" i="9"/>
  <c r="AH4" i="9" s="1"/>
  <c r="V3" i="9"/>
  <c r="AH3" i="9" s="1"/>
  <c r="AH72" i="8"/>
  <c r="AJ72" i="8" s="1"/>
  <c r="AH78" i="8"/>
  <c r="AH77" i="8"/>
  <c r="AH76" i="8"/>
  <c r="AH73" i="8"/>
  <c r="AH65" i="8"/>
  <c r="AH64" i="8"/>
  <c r="AH63" i="8"/>
  <c r="AH57" i="8"/>
  <c r="AH50" i="8"/>
  <c r="AH49" i="8"/>
  <c r="AH8" i="8"/>
  <c r="AH87" i="8" s="1"/>
  <c r="AH7" i="8"/>
  <c r="AH86" i="8" s="1"/>
  <c r="U4" i="10"/>
  <c r="AC4" i="10" s="1"/>
  <c r="T4" i="10"/>
  <c r="AB4" i="10" s="1"/>
  <c r="S4" i="10"/>
  <c r="AA4" i="10" s="1"/>
  <c r="R4" i="10"/>
  <c r="Z4" i="10" s="1"/>
  <c r="Q4" i="10"/>
  <c r="Y4" i="10" s="1"/>
  <c r="P4" i="10"/>
  <c r="X4" i="10" s="1"/>
  <c r="O4" i="10"/>
  <c r="N4" i="10"/>
  <c r="M4" i="10"/>
  <c r="L4" i="10"/>
  <c r="U3" i="10"/>
  <c r="AC3" i="10" s="1"/>
  <c r="T3" i="10"/>
  <c r="AB3" i="10" s="1"/>
  <c r="S3" i="10"/>
  <c r="AA3" i="10" s="1"/>
  <c r="R3" i="10"/>
  <c r="Z3" i="10" s="1"/>
  <c r="Q3" i="10"/>
  <c r="Y3" i="10" s="1"/>
  <c r="P3" i="10"/>
  <c r="X3" i="10" s="1"/>
  <c r="O3" i="10"/>
  <c r="N3" i="10"/>
  <c r="M3" i="10"/>
  <c r="L3" i="10"/>
  <c r="V4" i="10"/>
  <c r="AD4" i="10" s="1"/>
  <c r="V3" i="10"/>
  <c r="AD3" i="10" s="1"/>
  <c r="V87" i="8"/>
  <c r="V86" i="8"/>
  <c r="V79" i="8"/>
  <c r="V68" i="9" s="1"/>
  <c r="V42" i="8"/>
  <c r="V41" i="8"/>
  <c r="V11" i="8"/>
  <c r="T116" i="8"/>
  <c r="F116" i="8"/>
  <c r="E116" i="8"/>
  <c r="D116" i="8"/>
  <c r="AG51" i="9"/>
  <c r="AF51" i="9"/>
  <c r="AD51" i="9"/>
  <c r="AF66" i="9"/>
  <c r="AD66" i="9"/>
  <c r="AG66" i="9"/>
  <c r="U4" i="9"/>
  <c r="AG4" i="9" s="1"/>
  <c r="T4" i="9"/>
  <c r="AF4" i="9" s="1"/>
  <c r="S4" i="9"/>
  <c r="AE4" i="9" s="1"/>
  <c r="R4" i="9"/>
  <c r="AD4" i="9" s="1"/>
  <c r="Q4" i="9"/>
  <c r="AC4" i="9" s="1"/>
  <c r="P4" i="9"/>
  <c r="AB4" i="9" s="1"/>
  <c r="O4" i="9"/>
  <c r="AA4" i="9" s="1"/>
  <c r="N4" i="9"/>
  <c r="Z4" i="9" s="1"/>
  <c r="M4" i="9"/>
  <c r="Y4" i="9" s="1"/>
  <c r="L4" i="9"/>
  <c r="X4" i="9" s="1"/>
  <c r="U3" i="9"/>
  <c r="AG3" i="9" s="1"/>
  <c r="T3" i="9"/>
  <c r="AF3" i="9" s="1"/>
  <c r="S3" i="9"/>
  <c r="AE3" i="9" s="1"/>
  <c r="R3" i="9"/>
  <c r="AD3" i="9" s="1"/>
  <c r="Q3" i="9"/>
  <c r="AC3" i="9" s="1"/>
  <c r="P3" i="9"/>
  <c r="AB3" i="9" s="1"/>
  <c r="O3" i="9"/>
  <c r="AA3" i="9" s="1"/>
  <c r="N3" i="9"/>
  <c r="Z3" i="9" s="1"/>
  <c r="M3" i="9"/>
  <c r="Y3" i="9" s="1"/>
  <c r="L3" i="9"/>
  <c r="X3" i="9" s="1"/>
  <c r="F4" i="9"/>
  <c r="E4" i="9"/>
  <c r="D4" i="9"/>
  <c r="C4" i="9"/>
  <c r="F3" i="9"/>
  <c r="E3" i="9"/>
  <c r="D3" i="9"/>
  <c r="C3" i="9"/>
  <c r="AE78" i="8"/>
  <c r="AE77" i="8"/>
  <c r="AE76" i="8"/>
  <c r="AA78" i="8"/>
  <c r="AA77" i="8"/>
  <c r="AA76" i="8"/>
  <c r="AG78" i="8"/>
  <c r="AF78" i="8"/>
  <c r="AD78" i="8"/>
  <c r="AC78" i="8"/>
  <c r="AB78" i="8"/>
  <c r="Z78" i="8"/>
  <c r="Y78" i="8"/>
  <c r="AG77" i="8"/>
  <c r="AF77" i="8"/>
  <c r="AD77" i="8"/>
  <c r="AC77" i="8"/>
  <c r="AB77" i="8"/>
  <c r="Z77" i="8"/>
  <c r="Y77" i="8"/>
  <c r="X77" i="8"/>
  <c r="AG76" i="8"/>
  <c r="AF76" i="8"/>
  <c r="AD76" i="8"/>
  <c r="AC76" i="8"/>
  <c r="AB76" i="8"/>
  <c r="Z76" i="8"/>
  <c r="Y76" i="8"/>
  <c r="X76" i="8"/>
  <c r="AD51" i="8"/>
  <c r="N79" i="8"/>
  <c r="N68" i="9" s="1"/>
  <c r="U87" i="8"/>
  <c r="T87" i="8"/>
  <c r="S87" i="8"/>
  <c r="R87" i="8"/>
  <c r="Q87" i="8"/>
  <c r="P87" i="8"/>
  <c r="O87" i="8"/>
  <c r="N87" i="8"/>
  <c r="M87" i="8"/>
  <c r="L87" i="8"/>
  <c r="U86" i="8"/>
  <c r="T86" i="8"/>
  <c r="S86" i="8"/>
  <c r="R86" i="8"/>
  <c r="Q86" i="8"/>
  <c r="P86" i="8"/>
  <c r="O86" i="8"/>
  <c r="N86" i="8"/>
  <c r="M86" i="8"/>
  <c r="L86" i="8"/>
  <c r="R79" i="8"/>
  <c r="R68" i="9" s="1"/>
  <c r="Q79" i="8"/>
  <c r="Q68" i="9" s="1"/>
  <c r="P79" i="8"/>
  <c r="P68" i="9" s="1"/>
  <c r="M79" i="8"/>
  <c r="M68" i="9" s="1"/>
  <c r="L79" i="8"/>
  <c r="L68" i="9" s="1"/>
  <c r="U42" i="8"/>
  <c r="T42" i="8"/>
  <c r="S42" i="8"/>
  <c r="R42" i="8"/>
  <c r="Q42" i="8"/>
  <c r="P42" i="8"/>
  <c r="O42" i="8"/>
  <c r="N42" i="8"/>
  <c r="M42" i="8"/>
  <c r="L42" i="8"/>
  <c r="U41" i="8"/>
  <c r="T41" i="8"/>
  <c r="S41" i="8"/>
  <c r="R41" i="8"/>
  <c r="Q41" i="8"/>
  <c r="P41" i="8"/>
  <c r="O41" i="8"/>
  <c r="N41" i="8"/>
  <c r="M41" i="8"/>
  <c r="L41" i="8"/>
  <c r="F42" i="8"/>
  <c r="E42" i="8"/>
  <c r="D42" i="8"/>
  <c r="C42" i="8"/>
  <c r="F41" i="8"/>
  <c r="E41" i="8"/>
  <c r="D41" i="8"/>
  <c r="C41" i="8"/>
  <c r="Q11" i="8"/>
  <c r="P11" i="8"/>
  <c r="N11" i="8"/>
  <c r="M11" i="8"/>
  <c r="L11" i="8"/>
  <c r="U11" i="8"/>
  <c r="U14" i="8" s="1"/>
  <c r="AB8" i="8"/>
  <c r="AA8" i="8"/>
  <c r="Z8" i="8"/>
  <c r="Y8" i="8"/>
  <c r="X8" i="8"/>
  <c r="AB7" i="8"/>
  <c r="AA7" i="8"/>
  <c r="Z7" i="8"/>
  <c r="Y7" i="8"/>
  <c r="X7" i="8"/>
  <c r="AF8" i="8"/>
  <c r="AE8" i="8"/>
  <c r="AD8" i="8"/>
  <c r="AC8" i="8"/>
  <c r="AF7" i="8"/>
  <c r="AE7" i="8"/>
  <c r="AD7" i="8"/>
  <c r="AC7" i="8"/>
  <c r="AG8" i="8"/>
  <c r="AG7" i="8"/>
  <c r="E4" i="10"/>
  <c r="D4" i="10"/>
  <c r="C4" i="10"/>
  <c r="E3" i="10"/>
  <c r="D3" i="10"/>
  <c r="C3" i="10"/>
  <c r="F4" i="10"/>
  <c r="F3" i="10"/>
  <c r="AJ63" i="8" l="1"/>
  <c r="AJ64" i="8"/>
  <c r="AG51" i="8"/>
  <c r="AF51" i="8"/>
  <c r="AH51" i="8"/>
  <c r="Z10" i="10"/>
  <c r="AB10" i="10"/>
  <c r="N14" i="8"/>
  <c r="N15" i="8" s="1"/>
  <c r="P14" i="8"/>
  <c r="P19" i="8" s="1"/>
  <c r="P25" i="8" s="1"/>
  <c r="P29" i="8" s="1"/>
  <c r="M14" i="8"/>
  <c r="M15" i="8" s="1"/>
  <c r="L14" i="8"/>
  <c r="L15" i="8" s="1"/>
  <c r="Q14" i="8"/>
  <c r="Q19" i="8" s="1"/>
  <c r="V14" i="8"/>
  <c r="V19" i="8" s="1"/>
  <c r="AJ49" i="8"/>
  <c r="AJ73" i="8"/>
  <c r="AJ65" i="8"/>
  <c r="AJ50" i="8"/>
  <c r="AJ76" i="8"/>
  <c r="AJ77" i="8"/>
  <c r="AJ56" i="8"/>
  <c r="AJ78" i="8"/>
  <c r="AJ57" i="8"/>
  <c r="X68" i="9"/>
  <c r="V74" i="8"/>
  <c r="V58" i="9" s="1"/>
  <c r="AB68" i="9"/>
  <c r="AC17" i="9"/>
  <c r="AH68" i="9"/>
  <c r="Y68" i="9"/>
  <c r="Z68" i="9"/>
  <c r="AC68" i="9"/>
  <c r="AD68" i="9"/>
  <c r="O51" i="9"/>
  <c r="S108" i="8"/>
  <c r="O108" i="8"/>
  <c r="N58" i="8"/>
  <c r="AF66" i="8"/>
  <c r="AC10" i="10"/>
  <c r="AD10" i="10"/>
  <c r="AG66" i="8"/>
  <c r="AH66" i="8"/>
  <c r="AD66" i="8"/>
  <c r="O66" i="8"/>
  <c r="O57" i="9" s="1"/>
  <c r="AA57" i="9" s="1"/>
  <c r="S66" i="8"/>
  <c r="S57" i="9" s="1"/>
  <c r="AE57" i="9" s="1"/>
  <c r="AH101" i="8"/>
  <c r="N74" i="8"/>
  <c r="N58" i="9" s="1"/>
  <c r="Z58" i="9" s="1"/>
  <c r="AH99" i="8"/>
  <c r="AH100" i="8"/>
  <c r="V51" i="8"/>
  <c r="AH79" i="8"/>
  <c r="AH10" i="8"/>
  <c r="M74" i="8"/>
  <c r="M58" i="9" s="1"/>
  <c r="Y58" i="9" s="1"/>
  <c r="AH17" i="8"/>
  <c r="AH18" i="8"/>
  <c r="AH41" i="8"/>
  <c r="AH42" i="8"/>
  <c r="AA66" i="9"/>
  <c r="L74" i="8"/>
  <c r="L58" i="9" s="1"/>
  <c r="X58" i="9" s="1"/>
  <c r="AC66" i="9"/>
  <c r="Z66" i="9"/>
  <c r="AB66" i="9"/>
  <c r="Y66" i="9"/>
  <c r="X66" i="9"/>
  <c r="AE66" i="9"/>
  <c r="M51" i="8"/>
  <c r="M58" i="8" s="1"/>
  <c r="C116" i="8"/>
  <c r="U116" i="8"/>
  <c r="P116" i="8"/>
  <c r="Q116" i="8"/>
  <c r="U51" i="8"/>
  <c r="U58" i="8" s="1"/>
  <c r="R51" i="8"/>
  <c r="R58" i="8" s="1"/>
  <c r="L51" i="8"/>
  <c r="L58" i="8" s="1"/>
  <c r="Q51" i="8"/>
  <c r="Q58" i="8" s="1"/>
  <c r="P51" i="8"/>
  <c r="P58" i="8" s="1"/>
  <c r="F74" i="8"/>
  <c r="F58" i="9" s="1"/>
  <c r="AC51" i="9"/>
  <c r="AB51" i="9"/>
  <c r="Y51" i="9"/>
  <c r="X51" i="9"/>
  <c r="Z51" i="9"/>
  <c r="O11" i="8"/>
  <c r="O14" i="8" s="1"/>
  <c r="O79" i="8"/>
  <c r="O68" i="9" s="1"/>
  <c r="O51" i="8"/>
  <c r="O58" i="8" s="1"/>
  <c r="S51" i="8"/>
  <c r="S58" i="8" s="1"/>
  <c r="AF10" i="10" l="1"/>
  <c r="AE51" i="8"/>
  <c r="N19" i="8"/>
  <c r="N25" i="8" s="1"/>
  <c r="N29" i="8" s="1"/>
  <c r="N90" i="8" s="1"/>
  <c r="P90" i="8"/>
  <c r="P33" i="8"/>
  <c r="P36" i="8"/>
  <c r="V80" i="8"/>
  <c r="AH58" i="9"/>
  <c r="AH8" i="9"/>
  <c r="AJ8" i="9" s="1"/>
  <c r="AH7" i="9"/>
  <c r="AJ7" i="9" s="1"/>
  <c r="V12" i="10"/>
  <c r="V13" i="10" s="1"/>
  <c r="V15" i="8"/>
  <c r="M19" i="8"/>
  <c r="M25" i="8" s="1"/>
  <c r="Q15" i="8"/>
  <c r="P15" i="8"/>
  <c r="V20" i="8"/>
  <c r="V25" i="8"/>
  <c r="V29" i="8" s="1"/>
  <c r="L19" i="8"/>
  <c r="AE66" i="8"/>
  <c r="AJ106" i="8"/>
  <c r="AJ107" i="8"/>
  <c r="AJ17" i="8"/>
  <c r="AJ111" i="8"/>
  <c r="AH42" i="9"/>
  <c r="AH39" i="9"/>
  <c r="AH58" i="8"/>
  <c r="AJ100" i="8"/>
  <c r="AH74" i="8"/>
  <c r="AH80" i="8" s="1"/>
  <c r="AJ66" i="8"/>
  <c r="AJ99" i="8"/>
  <c r="AJ28" i="8"/>
  <c r="AJ22" i="8"/>
  <c r="AJ18" i="8"/>
  <c r="AH11" i="8"/>
  <c r="AH14" i="8" s="1"/>
  <c r="AJ10" i="8"/>
  <c r="S51" i="9"/>
  <c r="AE51" i="9"/>
  <c r="AC69" i="9"/>
  <c r="AC78" i="9" s="1"/>
  <c r="AB69" i="9"/>
  <c r="AB78" i="9" s="1"/>
  <c r="V69" i="9"/>
  <c r="V78" i="9" s="1"/>
  <c r="AH33" i="9"/>
  <c r="AD33" i="9"/>
  <c r="Z69" i="9"/>
  <c r="Z78" i="9" s="1"/>
  <c r="AD69" i="9"/>
  <c r="AD78" i="9" s="1"/>
  <c r="M80" i="8"/>
  <c r="M82" i="8" s="1"/>
  <c r="AH69" i="9"/>
  <c r="AH78" i="9" s="1"/>
  <c r="AA68" i="9"/>
  <c r="AA69" i="9" s="1"/>
  <c r="AA78" i="9" s="1"/>
  <c r="Y69" i="9"/>
  <c r="Y78" i="9" s="1"/>
  <c r="X69" i="9"/>
  <c r="X78" i="9" s="1"/>
  <c r="O19" i="8"/>
  <c r="AG17" i="9"/>
  <c r="AH17" i="9"/>
  <c r="V58" i="8"/>
  <c r="AH57" i="9"/>
  <c r="AH31" i="9"/>
  <c r="AH123" i="8"/>
  <c r="N80" i="8"/>
  <c r="N82" i="8" s="1"/>
  <c r="AJ101" i="8"/>
  <c r="V116" i="8"/>
  <c r="AH102" i="8"/>
  <c r="AJ102" i="8" s="1"/>
  <c r="L80" i="8"/>
  <c r="L82" i="8" s="1"/>
  <c r="AC27" i="9"/>
  <c r="R116" i="8"/>
  <c r="AH37" i="9"/>
  <c r="AA51" i="9"/>
  <c r="Q74" i="8"/>
  <c r="Q58" i="9" s="1"/>
  <c r="AC58" i="9" s="1"/>
  <c r="P74" i="8"/>
  <c r="P58" i="9" s="1"/>
  <c r="AB58" i="9" s="1"/>
  <c r="O74" i="8"/>
  <c r="O58" i="9" s="1"/>
  <c r="AA58" i="9" s="1"/>
  <c r="R74" i="8"/>
  <c r="R58" i="9" s="1"/>
  <c r="AD58" i="9" s="1"/>
  <c r="AF17" i="9"/>
  <c r="AE17" i="9"/>
  <c r="AB32" i="9"/>
  <c r="Z34" i="9"/>
  <c r="AD17" i="9"/>
  <c r="AE32" i="9"/>
  <c r="AF31" i="9"/>
  <c r="AH34" i="9"/>
  <c r="AC32" i="9"/>
  <c r="Z33" i="9"/>
  <c r="AG31" i="9"/>
  <c r="Z17" i="9"/>
  <c r="Y17" i="9"/>
  <c r="AB17" i="9"/>
  <c r="AA17" i="9"/>
  <c r="AD32" i="9"/>
  <c r="AE31" i="9"/>
  <c r="X17" i="9"/>
  <c r="AH93" i="8"/>
  <c r="AA32" i="9"/>
  <c r="Z31" i="9"/>
  <c r="Q20" i="8"/>
  <c r="Q25" i="8"/>
  <c r="P20" i="8"/>
  <c r="N20" i="8" l="1"/>
  <c r="N36" i="8"/>
  <c r="N33" i="8"/>
  <c r="M20" i="8"/>
  <c r="V82" i="8"/>
  <c r="V90" i="8"/>
  <c r="V33" i="8"/>
  <c r="V36" i="8"/>
  <c r="V14" i="9"/>
  <c r="V19" i="9" s="1"/>
  <c r="V24" i="9" s="1"/>
  <c r="V26" i="8"/>
  <c r="L25" i="8"/>
  <c r="L20" i="8"/>
  <c r="AJ24" i="8"/>
  <c r="AH82" i="8"/>
  <c r="AH19" i="8"/>
  <c r="AH20" i="8" s="1"/>
  <c r="AF33" i="9"/>
  <c r="AG33" i="9"/>
  <c r="AE33" i="9"/>
  <c r="AJ33" i="9"/>
  <c r="AB33" i="9"/>
  <c r="AC33" i="9"/>
  <c r="AA33" i="9"/>
  <c r="AG32" i="9"/>
  <c r="P80" i="8"/>
  <c r="P82" i="8" s="1"/>
  <c r="AF32" i="9"/>
  <c r="Q80" i="8"/>
  <c r="Q82" i="8" s="1"/>
  <c r="O15" i="8"/>
  <c r="AE108" i="8"/>
  <c r="AG108" i="8"/>
  <c r="AF108" i="8"/>
  <c r="AH108" i="8"/>
  <c r="AJ17" i="9"/>
  <c r="Y116" i="8"/>
  <c r="AG34" i="9"/>
  <c r="Q26" i="8"/>
  <c r="Q29" i="8"/>
  <c r="M29" i="8"/>
  <c r="AH15" i="8"/>
  <c r="AG116" i="8"/>
  <c r="AH116" i="8"/>
  <c r="V30" i="8"/>
  <c r="AA27" i="9"/>
  <c r="AC108" i="8"/>
  <c r="AB27" i="9"/>
  <c r="AD27" i="9"/>
  <c r="AE116" i="8"/>
  <c r="AC116" i="8"/>
  <c r="X116" i="8"/>
  <c r="AF116" i="8"/>
  <c r="S116" i="8"/>
  <c r="R80" i="8"/>
  <c r="R82" i="8" s="1"/>
  <c r="O80" i="8"/>
  <c r="O82" i="8" s="1"/>
  <c r="AF34" i="9"/>
  <c r="AJ93" i="8"/>
  <c r="AE34" i="9"/>
  <c r="AD108" i="8"/>
  <c r="AB108" i="8"/>
  <c r="AA108" i="8"/>
  <c r="Y31" i="9"/>
  <c r="X31" i="9"/>
  <c r="Y33" i="9"/>
  <c r="X33" i="9"/>
  <c r="Y34" i="9"/>
  <c r="X34" i="9"/>
  <c r="Z32" i="9"/>
  <c r="X32" i="9"/>
  <c r="Y32" i="9"/>
  <c r="AC31" i="9"/>
  <c r="AB31" i="9"/>
  <c r="AD31" i="9"/>
  <c r="AJ31" i="9" s="1"/>
  <c r="AA31" i="9"/>
  <c r="AD34" i="9"/>
  <c r="AJ34" i="9" s="1"/>
  <c r="AA34" i="9"/>
  <c r="AB34" i="9"/>
  <c r="AC34" i="9"/>
  <c r="Z108" i="8"/>
  <c r="X108" i="8"/>
  <c r="Y108" i="8"/>
  <c r="O20" i="8"/>
  <c r="O25" i="8"/>
  <c r="M26" i="8"/>
  <c r="N103" i="8"/>
  <c r="N12" i="12" s="1"/>
  <c r="N26" i="8"/>
  <c r="P103" i="8"/>
  <c r="P26" i="8"/>
  <c r="P125" i="8" l="1"/>
  <c r="P12" i="12"/>
  <c r="N14" i="12"/>
  <c r="N18" i="12" s="1"/>
  <c r="N19" i="12" s="1"/>
  <c r="M36" i="8"/>
  <c r="M33" i="8"/>
  <c r="Q90" i="8"/>
  <c r="Q103" i="8" s="1"/>
  <c r="Q36" i="8"/>
  <c r="Q33" i="8"/>
  <c r="AC9" i="9"/>
  <c r="AC14" i="9" s="1"/>
  <c r="V15" i="9"/>
  <c r="V20" i="9"/>
  <c r="AA9" i="9"/>
  <c r="AC9" i="10"/>
  <c r="L29" i="8"/>
  <c r="L26" i="8"/>
  <c r="AH25" i="8"/>
  <c r="AH29" i="8" s="1"/>
  <c r="AJ32" i="8"/>
  <c r="AJ108" i="8"/>
  <c r="AH32" i="9"/>
  <c r="AJ32" i="9" s="1"/>
  <c r="AH132" i="8"/>
  <c r="M90" i="8"/>
  <c r="M103" i="8" s="1"/>
  <c r="AD9" i="10"/>
  <c r="AA9" i="10"/>
  <c r="AB9" i="10"/>
  <c r="Z9" i="10"/>
  <c r="AG27" i="9"/>
  <c r="AH27" i="9"/>
  <c r="AJ27" i="9" s="1"/>
  <c r="AH22" i="9"/>
  <c r="AH38" i="9"/>
  <c r="V28" i="9"/>
  <c r="V25" i="9"/>
  <c r="Z116" i="8"/>
  <c r="AF27" i="9"/>
  <c r="M30" i="8"/>
  <c r="O26" i="8"/>
  <c r="O29" i="8"/>
  <c r="AE27" i="9"/>
  <c r="Z27" i="9"/>
  <c r="Y27" i="9"/>
  <c r="X27" i="9"/>
  <c r="V103" i="8"/>
  <c r="AA116" i="8"/>
  <c r="N125" i="8"/>
  <c r="O116" i="8"/>
  <c r="AD116" i="8"/>
  <c r="AJ116" i="8" s="1"/>
  <c r="AB116" i="8"/>
  <c r="Q30" i="8"/>
  <c r="N30" i="8"/>
  <c r="P30" i="8"/>
  <c r="V125" i="8" l="1"/>
  <c r="V12" i="12"/>
  <c r="V14" i="12" s="1"/>
  <c r="V18" i="12" s="1"/>
  <c r="V19" i="12" s="1"/>
  <c r="M125" i="8"/>
  <c r="M12" i="12"/>
  <c r="P14" i="12"/>
  <c r="P18" i="12" s="1"/>
  <c r="P19" i="12" s="1"/>
  <c r="Q125" i="8"/>
  <c r="Q12" i="12"/>
  <c r="AH30" i="8"/>
  <c r="AH33" i="8"/>
  <c r="AH36" i="8"/>
  <c r="O90" i="8"/>
  <c r="O33" i="8"/>
  <c r="O36" i="8"/>
  <c r="L36" i="8"/>
  <c r="L33" i="8"/>
  <c r="AH26" i="8"/>
  <c r="X9" i="9"/>
  <c r="X14" i="9" s="1"/>
  <c r="Y9" i="9"/>
  <c r="AC10" i="9" s="1"/>
  <c r="AD9" i="9"/>
  <c r="AD14" i="9" s="1"/>
  <c r="Z9" i="9"/>
  <c r="Z14" i="9" s="1"/>
  <c r="AB9" i="9"/>
  <c r="AB14" i="9" s="1"/>
  <c r="AJ22" i="9"/>
  <c r="AA14" i="9"/>
  <c r="AA19" i="9" s="1"/>
  <c r="AA24" i="9" s="1"/>
  <c r="AA10" i="9"/>
  <c r="AG9" i="9"/>
  <c r="AH6" i="9"/>
  <c r="AH9" i="9" s="1"/>
  <c r="AF9" i="9"/>
  <c r="L90" i="8"/>
  <c r="L103" i="8" s="1"/>
  <c r="L30" i="8"/>
  <c r="AC15" i="9"/>
  <c r="AC19" i="9"/>
  <c r="AC24" i="9" s="1"/>
  <c r="V29" i="9"/>
  <c r="V35" i="9"/>
  <c r="V43" i="9" s="1" a="1"/>
  <c r="V43" i="9" s="1"/>
  <c r="O30" i="8"/>
  <c r="Q14" i="12" l="1"/>
  <c r="Q18" i="12" s="1"/>
  <c r="Q19" i="12" s="1"/>
  <c r="L125" i="8"/>
  <c r="L12" i="12"/>
  <c r="M14" i="12"/>
  <c r="M18" i="12" s="1"/>
  <c r="M19" i="12" s="1"/>
  <c r="AB10" i="9"/>
  <c r="AD10" i="9"/>
  <c r="Z10" i="9"/>
  <c r="Y14" i="9"/>
  <c r="Y15" i="9" s="1"/>
  <c r="AB19" i="9"/>
  <c r="AB15" i="9"/>
  <c r="AD19" i="9"/>
  <c r="AD15" i="9"/>
  <c r="Z19" i="9"/>
  <c r="Z15" i="9"/>
  <c r="X15" i="9"/>
  <c r="X19" i="9"/>
  <c r="AE9" i="9"/>
  <c r="AE14" i="9" s="1"/>
  <c r="AA15" i="9"/>
  <c r="AC20" i="9"/>
  <c r="AC28" i="9"/>
  <c r="AC75" i="9" s="1"/>
  <c r="AA20" i="9"/>
  <c r="AF10" i="9"/>
  <c r="AF14" i="9"/>
  <c r="AF19" i="9" s="1"/>
  <c r="AF24" i="9" s="1"/>
  <c r="AJ6" i="9"/>
  <c r="AH14" i="9"/>
  <c r="V44" i="9"/>
  <c r="AA25" i="9"/>
  <c r="AA28" i="9"/>
  <c r="O103" i="8"/>
  <c r="L14" i="12" l="1"/>
  <c r="L18" i="12" s="1"/>
  <c r="L19" i="12" s="1"/>
  <c r="Y12" i="12"/>
  <c r="Y14" i="12" s="1"/>
  <c r="Y18" i="12" s="1"/>
  <c r="Y19" i="12" s="1"/>
  <c r="X12" i="12"/>
  <c r="X14" i="12" s="1"/>
  <c r="X18" i="12" s="1"/>
  <c r="X19" i="12" s="1"/>
  <c r="Z12" i="12"/>
  <c r="Z14" i="12" s="1"/>
  <c r="Z18" i="12" s="1"/>
  <c r="Z19" i="12" s="1"/>
  <c r="O125" i="8"/>
  <c r="O12" i="12"/>
  <c r="X24" i="9"/>
  <c r="X28" i="9" s="1"/>
  <c r="Z20" i="9"/>
  <c r="Z24" i="9"/>
  <c r="AB24" i="9"/>
  <c r="AB25" i="9" s="1"/>
  <c r="AD20" i="9"/>
  <c r="AD24" i="9"/>
  <c r="AD28" i="9" s="1"/>
  <c r="AD75" i="9" s="1"/>
  <c r="Y19" i="9"/>
  <c r="Y24" i="9" s="1"/>
  <c r="AB20" i="9"/>
  <c r="AE10" i="9"/>
  <c r="X20" i="9"/>
  <c r="Z28" i="9"/>
  <c r="AF15" i="9"/>
  <c r="AE19" i="9"/>
  <c r="AE24" i="9" s="1"/>
  <c r="AE15" i="9"/>
  <c r="AJ9" i="9"/>
  <c r="AH10" i="9"/>
  <c r="AJ10" i="9" s="1"/>
  <c r="AC77" i="9" a="1"/>
  <c r="AC77" i="9" s="1"/>
  <c r="AC25" i="9"/>
  <c r="AF20" i="9"/>
  <c r="AA77" i="9" a="1"/>
  <c r="AA77" i="9" s="1"/>
  <c r="AA75" i="9"/>
  <c r="AA76" i="9" a="1"/>
  <c r="AA76" i="9" s="1"/>
  <c r="AA74" i="9"/>
  <c r="AC74" i="9"/>
  <c r="AC73" i="9"/>
  <c r="AC76" i="9" a="1"/>
  <c r="AC76" i="9" s="1"/>
  <c r="AA29" i="9"/>
  <c r="AC35" i="9"/>
  <c r="AA35" i="9"/>
  <c r="AC29" i="9"/>
  <c r="AA73" i="9"/>
  <c r="B87" i="8"/>
  <c r="B86" i="8"/>
  <c r="F87" i="8"/>
  <c r="E87" i="8"/>
  <c r="D87" i="8"/>
  <c r="C87" i="8"/>
  <c r="F86" i="8"/>
  <c r="E86" i="8"/>
  <c r="D86" i="8"/>
  <c r="C86" i="8"/>
  <c r="B42" i="8"/>
  <c r="B41" i="8"/>
  <c r="AG42" i="8"/>
  <c r="AF42" i="8"/>
  <c r="AE42" i="8"/>
  <c r="AC42" i="8"/>
  <c r="AB42" i="8"/>
  <c r="AA42" i="8"/>
  <c r="Y42" i="8"/>
  <c r="X42" i="8"/>
  <c r="AD42" i="8"/>
  <c r="Z42" i="8"/>
  <c r="AG41" i="8"/>
  <c r="AF41" i="8"/>
  <c r="AE41" i="8"/>
  <c r="AD41" i="8"/>
  <c r="AC41" i="8"/>
  <c r="AB41" i="8"/>
  <c r="AA41" i="8"/>
  <c r="Z41" i="8"/>
  <c r="Y41" i="8"/>
  <c r="X41" i="8"/>
  <c r="X25" i="9" l="1"/>
  <c r="O14" i="12"/>
  <c r="O18" i="12" s="1"/>
  <c r="O19" i="12" s="1"/>
  <c r="AC12" i="12"/>
  <c r="AC14" i="12" s="1"/>
  <c r="AC18" i="12" s="1"/>
  <c r="AC19" i="12" s="1"/>
  <c r="AB12" i="12"/>
  <c r="AB14" i="12" s="1"/>
  <c r="AB18" i="12" s="1"/>
  <c r="AB19" i="12" s="1"/>
  <c r="AA12" i="12"/>
  <c r="AA14" i="12" s="1"/>
  <c r="AA18" i="12" s="1"/>
  <c r="AA19" i="12" s="1"/>
  <c r="X35" i="9"/>
  <c r="X75" i="9"/>
  <c r="X74" i="9"/>
  <c r="X77" i="9" a="1"/>
  <c r="X77" i="9" s="1"/>
  <c r="X73" i="9"/>
  <c r="X29" i="9"/>
  <c r="X76" i="9" a="1"/>
  <c r="X76" i="9" s="1"/>
  <c r="AB28" i="9"/>
  <c r="Y20" i="9"/>
  <c r="AD35" i="9"/>
  <c r="AD29" i="9"/>
  <c r="AD76" i="9" a="1"/>
  <c r="AD76" i="9" s="1"/>
  <c r="AD73" i="9"/>
  <c r="AD74" i="9"/>
  <c r="AD77" i="9" a="1"/>
  <c r="AD77" i="9" s="1"/>
  <c r="AD25" i="9"/>
  <c r="Z25" i="9"/>
  <c r="Y28" i="9"/>
  <c r="Y25" i="9"/>
  <c r="AH19" i="9"/>
  <c r="AH24" i="9" s="1"/>
  <c r="AH15" i="9"/>
  <c r="AJ15" i="9" s="1"/>
  <c r="AJ14" i="9"/>
  <c r="AE20" i="9"/>
  <c r="Z75" i="9"/>
  <c r="Z35" i="9"/>
  <c r="Z73" i="9"/>
  <c r="Z76" i="9" a="1"/>
  <c r="Z76" i="9" s="1"/>
  <c r="Z77" i="9" a="1"/>
  <c r="Z77" i="9" s="1"/>
  <c r="Z29" i="9"/>
  <c r="Z74" i="9"/>
  <c r="AF28" i="9"/>
  <c r="AF25" i="9"/>
  <c r="Z86" i="8"/>
  <c r="AA86" i="8"/>
  <c r="AA87" i="8"/>
  <c r="AD86" i="8"/>
  <c r="AE86" i="8"/>
  <c r="Z87" i="8"/>
  <c r="AE87" i="8"/>
  <c r="AF87" i="8"/>
  <c r="AC86" i="8"/>
  <c r="X86" i="8"/>
  <c r="AF86" i="8"/>
  <c r="AC87" i="8"/>
  <c r="AB87" i="8"/>
  <c r="Y86" i="8"/>
  <c r="AG86" i="8"/>
  <c r="AD87" i="8"/>
  <c r="X87" i="8"/>
  <c r="AB86" i="8"/>
  <c r="Y87" i="8"/>
  <c r="AG87" i="8"/>
  <c r="AB76" i="9" l="1" a="1"/>
  <c r="AB76" i="9" s="1"/>
  <c r="AB75" i="9"/>
  <c r="AB35" i="9"/>
  <c r="AB29" i="9"/>
  <c r="AB73" i="9"/>
  <c r="AB74" i="9"/>
  <c r="AB77" i="9" a="1"/>
  <c r="AB77" i="9" s="1"/>
  <c r="Y75" i="9"/>
  <c r="Y73" i="9"/>
  <c r="Y74" i="9"/>
  <c r="Y29" i="9"/>
  <c r="Y77" i="9" a="1"/>
  <c r="Y77" i="9" s="1"/>
  <c r="Y76" i="9" a="1"/>
  <c r="Y76" i="9" s="1"/>
  <c r="Y35" i="9"/>
  <c r="AE28" i="9"/>
  <c r="AE25" i="9"/>
  <c r="AH20" i="9"/>
  <c r="AJ20" i="9" s="1"/>
  <c r="AJ19" i="9"/>
  <c r="AF75" i="9"/>
  <c r="AF29" i="9"/>
  <c r="AF77" i="9" a="1"/>
  <c r="AF77" i="9" s="1"/>
  <c r="AF35" i="9"/>
  <c r="AF76" i="9" a="1"/>
  <c r="AF76" i="9" s="1"/>
  <c r="AF73" i="9"/>
  <c r="AF74" i="9"/>
  <c r="AJ24" i="9" l="1"/>
  <c r="AH25" i="9"/>
  <c r="AJ25" i="9" s="1"/>
  <c r="AH28" i="9"/>
  <c r="AE75" i="9"/>
  <c r="AE74" i="9"/>
  <c r="AE35" i="9"/>
  <c r="AE76" i="9" a="1"/>
  <c r="AE76" i="9" s="1"/>
  <c r="AE29" i="9"/>
  <c r="AE77" i="9" a="1"/>
  <c r="AE77" i="9" s="1"/>
  <c r="AE73" i="9"/>
  <c r="AH75" i="9" l="1"/>
  <c r="AJ28" i="9"/>
  <c r="AH76" i="9" a="1"/>
  <c r="AH76" i="9" s="1"/>
  <c r="AH29" i="9"/>
  <c r="AJ29" i="9" s="1"/>
  <c r="AH74" i="9"/>
  <c r="AH73" i="9"/>
  <c r="AH77" i="9" a="1"/>
  <c r="AH77" i="9" s="1"/>
  <c r="AH35" i="9"/>
  <c r="AJ35" i="9" s="1"/>
  <c r="E12" i="10" l="1"/>
  <c r="D12" i="10"/>
  <c r="C12" i="10"/>
  <c r="U12" i="10"/>
  <c r="U13" i="10" s="1"/>
  <c r="T12" i="10"/>
  <c r="S12" i="10"/>
  <c r="R12" i="10"/>
  <c r="Q12" i="10"/>
  <c r="Q13" i="10" s="1"/>
  <c r="P12" i="10"/>
  <c r="P13" i="10" s="1"/>
  <c r="O12" i="10"/>
  <c r="O13" i="10" s="1"/>
  <c r="N12" i="10"/>
  <c r="N13" i="10" s="1"/>
  <c r="M12" i="10"/>
  <c r="M13" i="10" s="1"/>
  <c r="L12" i="10"/>
  <c r="L13" i="10" s="1"/>
  <c r="F12" i="10"/>
  <c r="S79" i="8"/>
  <c r="S68" i="9" s="1"/>
  <c r="U79" i="8"/>
  <c r="U68" i="9" s="1"/>
  <c r="AG68" i="9" l="1"/>
  <c r="AE68" i="9"/>
  <c r="AE69" i="9" s="1"/>
  <c r="AE78" i="9" s="1"/>
  <c r="T51" i="8"/>
  <c r="T58" i="8" s="1"/>
  <c r="E14" i="9"/>
  <c r="P14" i="9"/>
  <c r="N14" i="9"/>
  <c r="Q14" i="9"/>
  <c r="C14" i="9"/>
  <c r="L14" i="9"/>
  <c r="T14" i="9"/>
  <c r="F14" i="9"/>
  <c r="D14" i="9"/>
  <c r="S14" i="9"/>
  <c r="O14" i="9"/>
  <c r="M14" i="9"/>
  <c r="T79" i="8"/>
  <c r="T68" i="9" s="1"/>
  <c r="V10" i="9" l="1"/>
  <c r="R14" i="9"/>
  <c r="V11" i="9"/>
  <c r="U14" i="9"/>
  <c r="AF68" i="9"/>
  <c r="AF69" i="9" s="1"/>
  <c r="AF78" i="9" s="1"/>
  <c r="AG69" i="9"/>
  <c r="AG78" i="9" s="1"/>
  <c r="AG14" i="9"/>
  <c r="AB11" i="8" l="1"/>
  <c r="E51" i="8"/>
  <c r="E58" i="8" s="1"/>
  <c r="D51" i="8"/>
  <c r="D58" i="8" s="1"/>
  <c r="C51" i="8"/>
  <c r="C58" i="8" s="1"/>
  <c r="F51" i="8"/>
  <c r="F58" i="8" s="1"/>
  <c r="AB14" i="8" l="1"/>
  <c r="Y79" i="8"/>
  <c r="AC11" i="8"/>
  <c r="AC51" i="8"/>
  <c r="AC58" i="8" s="1"/>
  <c r="AC79" i="8"/>
  <c r="Z79" i="8"/>
  <c r="AA51" i="8"/>
  <c r="AA58" i="8" s="1"/>
  <c r="AC66" i="8"/>
  <c r="AC74" i="8" s="1"/>
  <c r="AB66" i="8"/>
  <c r="AB74" i="8" s="1"/>
  <c r="X66" i="8"/>
  <c r="X74" i="8" s="1"/>
  <c r="Z11" i="8"/>
  <c r="X51" i="8"/>
  <c r="X58" i="8" s="1"/>
  <c r="AB51" i="8"/>
  <c r="AB58" i="8" s="1"/>
  <c r="AA79" i="8"/>
  <c r="AA11" i="8"/>
  <c r="Y51" i="8"/>
  <c r="Y58" i="8" s="1"/>
  <c r="Y66" i="8"/>
  <c r="Y74" i="8" s="1"/>
  <c r="AA66" i="8"/>
  <c r="AA74" i="8" s="1"/>
  <c r="AB79" i="8"/>
  <c r="X79" i="8"/>
  <c r="AE79" i="8"/>
  <c r="AE58" i="8"/>
  <c r="AF79" i="8"/>
  <c r="AE11" i="8"/>
  <c r="AE14" i="8" s="1"/>
  <c r="AE74" i="8"/>
  <c r="AF74" i="8"/>
  <c r="AD11" i="8"/>
  <c r="AD14" i="8" s="1"/>
  <c r="AF11" i="8"/>
  <c r="AF14" i="8" s="1"/>
  <c r="AF58" i="8"/>
  <c r="AA14" i="8" l="1"/>
  <c r="Z14" i="8"/>
  <c r="AC14" i="8"/>
  <c r="AJ11" i="8"/>
  <c r="AB19" i="8"/>
  <c r="AB25" i="8" s="1"/>
  <c r="AB29" i="8" s="1"/>
  <c r="AG19" i="9"/>
  <c r="AG24" i="9" s="1"/>
  <c r="Z12" i="10"/>
  <c r="Z13" i="10" s="1"/>
  <c r="AA12" i="10"/>
  <c r="AA13" i="10" s="1"/>
  <c r="AC80" i="8"/>
  <c r="AC82" i="8" s="1"/>
  <c r="AA80" i="8"/>
  <c r="AA82" i="8" s="1"/>
  <c r="Y80" i="8"/>
  <c r="Y82" i="8" s="1"/>
  <c r="AB80" i="8"/>
  <c r="AB82" i="8" s="1"/>
  <c r="X80" i="8"/>
  <c r="X82" i="8" s="1"/>
  <c r="AB15" i="8"/>
  <c r="AE80" i="8"/>
  <c r="AE82" i="8" s="1"/>
  <c r="AJ14" i="8"/>
  <c r="AF80" i="8"/>
  <c r="AF82" i="8" s="1"/>
  <c r="AB36" i="8" l="1"/>
  <c r="AB33" i="8"/>
  <c r="AD19" i="8"/>
  <c r="Z19" i="8"/>
  <c r="Z25" i="8" s="1"/>
  <c r="Z29" i="8" s="1"/>
  <c r="AE19" i="8"/>
  <c r="AE25" i="8" s="1"/>
  <c r="AE29" i="8" s="1"/>
  <c r="AA19" i="8"/>
  <c r="AA20" i="8" s="1"/>
  <c r="AC19" i="8"/>
  <c r="AC25" i="8" s="1"/>
  <c r="AC29" i="8" s="1"/>
  <c r="AB20" i="8"/>
  <c r="AF19" i="8"/>
  <c r="AF20" i="8" s="1"/>
  <c r="AE15" i="8"/>
  <c r="AD15" i="8"/>
  <c r="AJ15" i="8" s="1"/>
  <c r="AA15" i="8"/>
  <c r="AF15" i="8"/>
  <c r="AC15" i="8"/>
  <c r="AG15" i="9"/>
  <c r="X12" i="10"/>
  <c r="X13" i="10" s="1"/>
  <c r="Y12" i="10"/>
  <c r="Y13" i="10" s="1"/>
  <c r="AB12" i="10"/>
  <c r="AB13" i="10" s="1"/>
  <c r="AD12" i="10"/>
  <c r="AD13" i="10" s="1"/>
  <c r="AB26" i="8"/>
  <c r="Z15" i="8"/>
  <c r="AC36" i="8" l="1"/>
  <c r="AC33" i="8"/>
  <c r="AE36" i="8"/>
  <c r="AE33" i="8"/>
  <c r="Z33" i="8"/>
  <c r="Z36" i="8"/>
  <c r="AD25" i="8"/>
  <c r="AD26" i="8" s="1"/>
  <c r="AJ26" i="8" s="1"/>
  <c r="AJ19" i="8"/>
  <c r="Z20" i="8"/>
  <c r="AE20" i="8"/>
  <c r="AD20" i="8"/>
  <c r="AJ20" i="8" s="1"/>
  <c r="AC20" i="8"/>
  <c r="AA25" i="8"/>
  <c r="AA29" i="8" s="1"/>
  <c r="AF25" i="8"/>
  <c r="AF29" i="8" s="1"/>
  <c r="Z26" i="8"/>
  <c r="AE26" i="8"/>
  <c r="AG28" i="9"/>
  <c r="AG75" i="9" s="1"/>
  <c r="AG20" i="9"/>
  <c r="AC12" i="10"/>
  <c r="AF12" i="10"/>
  <c r="AF9" i="10"/>
  <c r="AB30" i="8"/>
  <c r="Z30" i="8"/>
  <c r="AC26" i="8"/>
  <c r="AA30" i="8" l="1"/>
  <c r="AA36" i="8"/>
  <c r="AA33" i="8"/>
  <c r="AF33" i="8"/>
  <c r="AF36" i="8"/>
  <c r="AD29" i="8"/>
  <c r="AJ25" i="8"/>
  <c r="AA26" i="8"/>
  <c r="AF26" i="8"/>
  <c r="AG25" i="9"/>
  <c r="AC30" i="8"/>
  <c r="AE30" i="8"/>
  <c r="AF30" i="8"/>
  <c r="AJ29" i="8" l="1"/>
  <c r="AD33" i="8"/>
  <c r="AJ33" i="8" s="1"/>
  <c r="AD36" i="8"/>
  <c r="AJ36" i="8" s="1"/>
  <c r="AD30" i="8"/>
  <c r="AJ30" i="8" s="1"/>
  <c r="AG77" i="9" a="1"/>
  <c r="AG77" i="9" s="1"/>
  <c r="AG29" i="9"/>
  <c r="AG76" i="9" a="1"/>
  <c r="AG76" i="9" s="1"/>
  <c r="AG73" i="9"/>
  <c r="AG74" i="9"/>
  <c r="AG35" i="9"/>
  <c r="Z66" i="8" l="1"/>
  <c r="AD74" i="8"/>
  <c r="AJ74" i="8" s="1"/>
  <c r="Z74" i="8" l="1"/>
  <c r="Z80" i="8" s="1"/>
  <c r="R11" i="8" l="1"/>
  <c r="F11" i="8"/>
  <c r="F14" i="8" s="1"/>
  <c r="E11" i="8"/>
  <c r="E14" i="8" s="1"/>
  <c r="D11" i="8"/>
  <c r="D14" i="8" s="1"/>
  <c r="C11" i="8"/>
  <c r="C14" i="8" s="1"/>
  <c r="F79" i="8"/>
  <c r="F68" i="9" s="1"/>
  <c r="E79" i="8"/>
  <c r="E68" i="9" s="1"/>
  <c r="D79" i="8"/>
  <c r="D68" i="9" s="1"/>
  <c r="C79" i="8"/>
  <c r="C68" i="9" s="1"/>
  <c r="U74" i="8"/>
  <c r="U58" i="9" s="1"/>
  <c r="AG58" i="9" s="1"/>
  <c r="S74" i="8"/>
  <c r="S58" i="9" s="1"/>
  <c r="AE58" i="9" s="1"/>
  <c r="AG11" i="8"/>
  <c r="AG14" i="8" s="1"/>
  <c r="T69" i="9"/>
  <c r="T78" i="9" s="1"/>
  <c r="L69" i="9"/>
  <c r="L78" i="9" s="1"/>
  <c r="R14" i="8" l="1"/>
  <c r="R19" i="8" s="1"/>
  <c r="AC13" i="10"/>
  <c r="D13" i="10"/>
  <c r="R13" i="10"/>
  <c r="F13" i="10"/>
  <c r="E13" i="10"/>
  <c r="C13" i="10"/>
  <c r="C74" i="8"/>
  <c r="C58" i="9" s="1"/>
  <c r="E74" i="8"/>
  <c r="E58" i="9" s="1"/>
  <c r="D74" i="8"/>
  <c r="D58" i="9" s="1"/>
  <c r="M69" i="9"/>
  <c r="M78" i="9" s="1"/>
  <c r="U69" i="9"/>
  <c r="U78" i="9" s="1"/>
  <c r="D69" i="9"/>
  <c r="D78" i="9" s="1"/>
  <c r="N69" i="9"/>
  <c r="N78" i="9" s="1"/>
  <c r="F69" i="9"/>
  <c r="F78" i="9" s="1"/>
  <c r="N19" i="9"/>
  <c r="N24" i="9" s="1"/>
  <c r="T10" i="9"/>
  <c r="E69" i="9"/>
  <c r="E78" i="9" s="1"/>
  <c r="T11" i="9"/>
  <c r="AD79" i="8"/>
  <c r="E19" i="8"/>
  <c r="D19" i="8"/>
  <c r="F19" i="8"/>
  <c r="U19" i="8"/>
  <c r="C19" i="8"/>
  <c r="T74" i="8"/>
  <c r="T58" i="9" s="1"/>
  <c r="AF58" i="9" s="1"/>
  <c r="AG74" i="8"/>
  <c r="AG79" i="8"/>
  <c r="F19" i="9"/>
  <c r="F24" i="9" s="1"/>
  <c r="F10" i="9"/>
  <c r="D19" i="9"/>
  <c r="D24" i="9" s="1"/>
  <c r="D10" i="9"/>
  <c r="E19" i="9"/>
  <c r="E24" i="9" s="1"/>
  <c r="E10" i="9"/>
  <c r="P69" i="9"/>
  <c r="P78" i="9" s="1"/>
  <c r="C19" i="9"/>
  <c r="C24" i="9" s="1"/>
  <c r="Q69" i="9"/>
  <c r="Q78" i="9" s="1"/>
  <c r="R69" i="9"/>
  <c r="R78" i="9" s="1"/>
  <c r="C69" i="9"/>
  <c r="C78" i="9" s="1"/>
  <c r="AD80" i="8" l="1"/>
  <c r="AJ80" i="8" s="1"/>
  <c r="AJ79" i="8"/>
  <c r="D80" i="8"/>
  <c r="D82" i="8" s="1"/>
  <c r="U25" i="8"/>
  <c r="U29" i="8" s="1"/>
  <c r="F25" i="8"/>
  <c r="F29" i="8" s="1"/>
  <c r="R20" i="8"/>
  <c r="C25" i="8"/>
  <c r="C29" i="8" s="1"/>
  <c r="D25" i="8"/>
  <c r="D29" i="8" s="1"/>
  <c r="E20" i="8"/>
  <c r="C80" i="8"/>
  <c r="C82" i="8" s="1"/>
  <c r="R15" i="8"/>
  <c r="C15" i="8"/>
  <c r="S69" i="9"/>
  <c r="S78" i="9" s="1"/>
  <c r="S80" i="8"/>
  <c r="S82" i="8" s="1"/>
  <c r="AJ51" i="8"/>
  <c r="Z51" i="8"/>
  <c r="U80" i="8"/>
  <c r="U82" i="8" s="1"/>
  <c r="E80" i="8"/>
  <c r="E82" i="8" s="1"/>
  <c r="F80" i="8"/>
  <c r="F82" i="8" s="1"/>
  <c r="O69" i="9"/>
  <c r="O78" i="9" s="1"/>
  <c r="O11" i="9"/>
  <c r="S10" i="9"/>
  <c r="P10" i="9"/>
  <c r="Q11" i="9"/>
  <c r="S19" i="9"/>
  <c r="S24" i="9" s="1"/>
  <c r="N11" i="9"/>
  <c r="P11" i="9"/>
  <c r="M11" i="9"/>
  <c r="Q19" i="9"/>
  <c r="Q24" i="9" s="1"/>
  <c r="O19" i="9"/>
  <c r="O24" i="9" s="1"/>
  <c r="Q10" i="9"/>
  <c r="AG58" i="8"/>
  <c r="E15" i="8"/>
  <c r="F15" i="8"/>
  <c r="D15" i="8"/>
  <c r="AG19" i="8"/>
  <c r="U15" i="8"/>
  <c r="N15" i="9"/>
  <c r="E15" i="9"/>
  <c r="R10" i="9"/>
  <c r="R19" i="9"/>
  <c r="R24" i="9" s="1"/>
  <c r="R11" i="9"/>
  <c r="T19" i="9"/>
  <c r="T24" i="9" s="1"/>
  <c r="AG10" i="9"/>
  <c r="M19" i="9"/>
  <c r="M24" i="9" s="1"/>
  <c r="S11" i="9"/>
  <c r="C15" i="9"/>
  <c r="U10" i="9"/>
  <c r="U19" i="9"/>
  <c r="U24" i="9" s="1"/>
  <c r="U11" i="9"/>
  <c r="L19" i="9"/>
  <c r="L24" i="9" s="1"/>
  <c r="F15" i="9"/>
  <c r="P19" i="9"/>
  <c r="P24" i="9" s="1"/>
  <c r="D15" i="9"/>
  <c r="F90" i="8" l="1"/>
  <c r="F33" i="8"/>
  <c r="F36" i="8"/>
  <c r="U90" i="8"/>
  <c r="U33" i="8"/>
  <c r="U36" i="8"/>
  <c r="C33" i="8"/>
  <c r="C36" i="8"/>
  <c r="D33" i="8"/>
  <c r="D36" i="8"/>
  <c r="Q15" i="9"/>
  <c r="Q20" i="9"/>
  <c r="U20" i="8"/>
  <c r="F20" i="8"/>
  <c r="C20" i="8"/>
  <c r="E25" i="8"/>
  <c r="E29" i="8" s="1"/>
  <c r="R25" i="8"/>
  <c r="R29" i="8" s="1"/>
  <c r="D20" i="8"/>
  <c r="Z58" i="8"/>
  <c r="Z82" i="8" s="1"/>
  <c r="AD58" i="8"/>
  <c r="AG25" i="8"/>
  <c r="AG29" i="8" s="1"/>
  <c r="D26" i="8"/>
  <c r="U26" i="8"/>
  <c r="AG20" i="8"/>
  <c r="F26" i="8"/>
  <c r="AG80" i="8"/>
  <c r="T80" i="8"/>
  <c r="T82" i="8" s="1"/>
  <c r="S15" i="9"/>
  <c r="O15" i="9"/>
  <c r="F30" i="8"/>
  <c r="C26" i="8"/>
  <c r="AG15" i="8"/>
  <c r="D28" i="9"/>
  <c r="D75" i="9" s="1"/>
  <c r="D20" i="9"/>
  <c r="C28" i="9"/>
  <c r="C75" i="9" s="1"/>
  <c r="C20" i="9"/>
  <c r="P15" i="9"/>
  <c r="E28" i="9"/>
  <c r="E75" i="9" s="1"/>
  <c r="E20" i="9"/>
  <c r="N28" i="9"/>
  <c r="N20" i="9"/>
  <c r="U15" i="9"/>
  <c r="R15" i="9"/>
  <c r="S28" i="9"/>
  <c r="S20" i="9"/>
  <c r="O20" i="9"/>
  <c r="O28" i="9"/>
  <c r="F20" i="9"/>
  <c r="F28" i="9"/>
  <c r="F75" i="9" s="1"/>
  <c r="T15" i="9"/>
  <c r="L15" i="9"/>
  <c r="M15" i="9"/>
  <c r="F103" i="8" l="1"/>
  <c r="AG36" i="8"/>
  <c r="AG33" i="8"/>
  <c r="E90" i="8"/>
  <c r="E36" i="8"/>
  <c r="E33" i="8"/>
  <c r="R36" i="8"/>
  <c r="R33" i="8"/>
  <c r="AD82" i="8"/>
  <c r="AJ58" i="8"/>
  <c r="R90" i="8"/>
  <c r="R103" i="8" s="1"/>
  <c r="E26" i="8"/>
  <c r="E30" i="8"/>
  <c r="R26" i="8"/>
  <c r="D30" i="8"/>
  <c r="D90" i="8"/>
  <c r="D103" i="8" s="1"/>
  <c r="D12" i="12" s="1"/>
  <c r="D14" i="12" s="1"/>
  <c r="D18" i="12" s="1"/>
  <c r="D19" i="12" s="1"/>
  <c r="U103" i="8"/>
  <c r="U30" i="8"/>
  <c r="C90" i="8"/>
  <c r="C103" i="8" s="1"/>
  <c r="C12" i="12" s="1"/>
  <c r="C14" i="12" s="1"/>
  <c r="C18" i="12" s="1"/>
  <c r="C19" i="12" s="1"/>
  <c r="C30" i="8"/>
  <c r="AG82" i="8"/>
  <c r="Q28" i="9"/>
  <c r="AG26" i="8"/>
  <c r="R30" i="8"/>
  <c r="F25" i="9"/>
  <c r="M28" i="9"/>
  <c r="M20" i="9"/>
  <c r="S25" i="9"/>
  <c r="E25" i="9"/>
  <c r="C25" i="9"/>
  <c r="N25" i="9"/>
  <c r="R20" i="9"/>
  <c r="R28" i="9"/>
  <c r="D25" i="9"/>
  <c r="T28" i="9"/>
  <c r="T20" i="9"/>
  <c r="P20" i="9"/>
  <c r="P28" i="9"/>
  <c r="L28" i="9"/>
  <c r="L20" i="9"/>
  <c r="O25" i="9"/>
  <c r="U28" i="9"/>
  <c r="U20" i="9"/>
  <c r="R125" i="8" l="1"/>
  <c r="R12" i="12"/>
  <c r="U125" i="8"/>
  <c r="U12" i="12"/>
  <c r="U14" i="12" s="1"/>
  <c r="U18" i="12" s="1"/>
  <c r="U19" i="12" s="1"/>
  <c r="F125" i="8"/>
  <c r="F12" i="12"/>
  <c r="F14" i="12" s="1"/>
  <c r="F18" i="12" s="1"/>
  <c r="F19" i="12" s="1"/>
  <c r="E103" i="8"/>
  <c r="AD103" i="8"/>
  <c r="V77" i="9" a="1"/>
  <c r="V77" i="9" s="1"/>
  <c r="V73" i="9"/>
  <c r="V74" i="9"/>
  <c r="V75" i="9" a="1"/>
  <c r="V75" i="9" s="1"/>
  <c r="V76" i="9" a="1"/>
  <c r="V76" i="9" s="1"/>
  <c r="P75" i="9" a="1"/>
  <c r="P75" i="9" s="1"/>
  <c r="O75" i="9" a="1"/>
  <c r="O75" i="9" s="1"/>
  <c r="U75" i="9" a="1"/>
  <c r="U75" i="9" s="1"/>
  <c r="M75" i="9" a="1"/>
  <c r="M75" i="9" s="1"/>
  <c r="T75" i="9" a="1"/>
  <c r="T75" i="9" s="1"/>
  <c r="S75" i="9" a="1"/>
  <c r="S75" i="9" s="1"/>
  <c r="L75" i="9" a="1"/>
  <c r="L75" i="9" s="1"/>
  <c r="Q75" i="9" a="1"/>
  <c r="Q75" i="9" s="1"/>
  <c r="N75" i="9" a="1"/>
  <c r="N75" i="9" s="1"/>
  <c r="R75" i="9" a="1"/>
  <c r="R75" i="9" s="1"/>
  <c r="D125" i="8"/>
  <c r="C125" i="8"/>
  <c r="AC103" i="8"/>
  <c r="Q25" i="9"/>
  <c r="L25" i="9"/>
  <c r="P25" i="9"/>
  <c r="Q77" i="9" a="1"/>
  <c r="Q77" i="9" s="1"/>
  <c r="M25" i="9"/>
  <c r="C76" i="9" a="1"/>
  <c r="C76" i="9" s="1"/>
  <c r="C77" i="9" a="1"/>
  <c r="C77" i="9" s="1"/>
  <c r="C35" i="9"/>
  <c r="C29" i="9"/>
  <c r="C74" i="9"/>
  <c r="C73" i="9"/>
  <c r="E77" i="9" a="1"/>
  <c r="E77" i="9" s="1"/>
  <c r="E76" i="9" a="1"/>
  <c r="E76" i="9" s="1"/>
  <c r="E29" i="9"/>
  <c r="E35" i="9"/>
  <c r="E43" i="9" s="1" a="1"/>
  <c r="E43" i="9" s="1"/>
  <c r="E73" i="9"/>
  <c r="E74" i="9"/>
  <c r="F76" i="9" a="1"/>
  <c r="F76" i="9" s="1"/>
  <c r="F77" i="9" a="1"/>
  <c r="F77" i="9" s="1"/>
  <c r="F29" i="9"/>
  <c r="F74" i="9"/>
  <c r="F35" i="9"/>
  <c r="F43" i="9" s="1" a="1"/>
  <c r="F43" i="9" s="1"/>
  <c r="F73" i="9"/>
  <c r="Q29" i="9"/>
  <c r="Q35" i="9"/>
  <c r="Q43" i="9" s="1" a="1"/>
  <c r="Q43" i="9" s="1"/>
  <c r="U25" i="9"/>
  <c r="T25" i="9"/>
  <c r="O35" i="9"/>
  <c r="O43" i="9" s="1" a="1"/>
  <c r="O43" i="9" s="1"/>
  <c r="O29" i="9"/>
  <c r="N35" i="9"/>
  <c r="N43" i="9" s="1" a="1"/>
  <c r="N43" i="9" s="1"/>
  <c r="N29" i="9"/>
  <c r="R25" i="9"/>
  <c r="D77" i="9" a="1"/>
  <c r="D77" i="9" s="1"/>
  <c r="D35" i="9"/>
  <c r="D43" i="9" s="1" a="1"/>
  <c r="D43" i="9" s="1"/>
  <c r="D29" i="9"/>
  <c r="D76" i="9" a="1"/>
  <c r="D76" i="9" s="1"/>
  <c r="D74" i="9"/>
  <c r="D73" i="9"/>
  <c r="S29" i="9"/>
  <c r="S35" i="9"/>
  <c r="S43" i="9" s="1" a="1"/>
  <c r="S43" i="9" s="1"/>
  <c r="E125" i="8" l="1"/>
  <c r="E12" i="12"/>
  <c r="E14" i="12" s="1"/>
  <c r="E18" i="12" s="1"/>
  <c r="E19" i="12" s="1"/>
  <c r="R14" i="12"/>
  <c r="R18" i="12" s="1"/>
  <c r="R19" i="12" s="1"/>
  <c r="AD12" i="12"/>
  <c r="AD14" i="12" s="1"/>
  <c r="AD18" i="12" s="1"/>
  <c r="AD19" i="12" s="1"/>
  <c r="Z103" i="8"/>
  <c r="AA103" i="8"/>
  <c r="AB103" i="8"/>
  <c r="AG30" i="8"/>
  <c r="Q76" i="9" a="1"/>
  <c r="Q76" i="9" s="1"/>
  <c r="C44" i="9"/>
  <c r="T76" i="9" a="1"/>
  <c r="T76" i="9" s="1"/>
  <c r="R76" i="9" a="1"/>
  <c r="R76" i="9" s="1"/>
  <c r="T74" i="9"/>
  <c r="M77" i="9" a="1"/>
  <c r="M77" i="9" s="1"/>
  <c r="M76" i="9" a="1"/>
  <c r="M76" i="9" s="1"/>
  <c r="M73" i="9"/>
  <c r="M74" i="9"/>
  <c r="L76" i="9" a="1"/>
  <c r="L76" i="9" s="1"/>
  <c r="P35" i="9"/>
  <c r="P43" i="9" s="1" a="1"/>
  <c r="P43" i="9" s="1"/>
  <c r="AC43" i="9" s="1"/>
  <c r="S76" i="9" a="1"/>
  <c r="S76" i="9" s="1"/>
  <c r="S77" i="9" a="1"/>
  <c r="S77" i="9" s="1"/>
  <c r="P29" i="9"/>
  <c r="S73" i="9"/>
  <c r="S74" i="9"/>
  <c r="Q74" i="9"/>
  <c r="R73" i="9"/>
  <c r="F44" i="9"/>
  <c r="Q73" i="9"/>
  <c r="N76" i="9" a="1"/>
  <c r="N76" i="9" s="1"/>
  <c r="N77" i="9" a="1"/>
  <c r="N77" i="9" s="1"/>
  <c r="N73" i="9"/>
  <c r="N74" i="9"/>
  <c r="E44" i="9"/>
  <c r="L73" i="9"/>
  <c r="T35" i="9"/>
  <c r="T43" i="9" s="1" a="1"/>
  <c r="T43" i="9" s="1"/>
  <c r="T29" i="9"/>
  <c r="P77" i="9" a="1"/>
  <c r="P77" i="9" s="1"/>
  <c r="M35" i="9"/>
  <c r="M43" i="9" s="1" a="1"/>
  <c r="M43" i="9" s="1"/>
  <c r="M29" i="9"/>
  <c r="P76" i="9" a="1"/>
  <c r="P76" i="9" s="1"/>
  <c r="P73" i="9"/>
  <c r="P74" i="9"/>
  <c r="R77" i="9" a="1"/>
  <c r="R77" i="9" s="1"/>
  <c r="T73" i="9"/>
  <c r="L77" i="9" a="1"/>
  <c r="L77" i="9" s="1"/>
  <c r="D44" i="9"/>
  <c r="U77" i="9" a="1"/>
  <c r="U77" i="9" s="1"/>
  <c r="U76" i="9" a="1"/>
  <c r="U76" i="9" s="1"/>
  <c r="U73" i="9"/>
  <c r="R29" i="9"/>
  <c r="R35" i="9"/>
  <c r="R43" i="9" s="1" a="1"/>
  <c r="R43" i="9" s="1"/>
  <c r="U74" i="9"/>
  <c r="S44" i="9"/>
  <c r="T77" i="9" a="1"/>
  <c r="T77" i="9" s="1"/>
  <c r="O76" i="9" a="1"/>
  <c r="O76" i="9" s="1"/>
  <c r="O77" i="9" a="1"/>
  <c r="O77" i="9" s="1"/>
  <c r="L35" i="9"/>
  <c r="L43" i="9" s="1" a="1"/>
  <c r="L43" i="9" s="1"/>
  <c r="L29" i="9"/>
  <c r="O73" i="9"/>
  <c r="O74" i="9"/>
  <c r="R74" i="9"/>
  <c r="U29" i="9"/>
  <c r="U35" i="9"/>
  <c r="U43" i="9" s="1" a="1"/>
  <c r="U43" i="9" s="1"/>
  <c r="L74" i="9"/>
  <c r="AB43" i="9" l="1"/>
  <c r="AD43" i="9"/>
  <c r="AG43" i="9"/>
  <c r="AG44" i="9" s="1"/>
  <c r="AE43" i="9"/>
  <c r="AF43" i="9"/>
  <c r="AF44" i="9" s="1"/>
  <c r="AA43" i="9"/>
  <c r="AA44" i="9" s="1"/>
  <c r="Z43" i="9"/>
  <c r="Z44" i="9" s="1"/>
  <c r="Y43" i="9"/>
  <c r="Y44" i="9" s="1"/>
  <c r="X43" i="9"/>
  <c r="X44" i="9" s="1"/>
  <c r="AH43" i="9"/>
  <c r="AH44" i="9" s="1"/>
  <c r="AB44" i="9"/>
  <c r="AE44" i="9"/>
  <c r="AD44" i="9"/>
  <c r="AC44" i="9"/>
  <c r="T44" i="9"/>
  <c r="U44" i="9"/>
  <c r="R44" i="9"/>
  <c r="Q44" i="9"/>
  <c r="L44" i="9"/>
  <c r="N44" i="9"/>
  <c r="O44" i="9"/>
  <c r="M44" i="9" l="1"/>
  <c r="P44" i="9"/>
  <c r="C121" i="8" l="1"/>
  <c r="C126" i="8" s="1"/>
  <c r="C128" i="8" s="1"/>
  <c r="H119" i="8" l="1"/>
  <c r="H121" i="8" s="1"/>
  <c r="H126" i="8" s="1"/>
  <c r="H128" i="8" s="1"/>
  <c r="D119" i="8"/>
  <c r="D121" i="8" s="1"/>
  <c r="D126" i="8" s="1"/>
  <c r="D128" i="8" s="1"/>
  <c r="I119" i="8" l="1"/>
  <c r="I121" i="8" s="1"/>
  <c r="I126" i="8" s="1"/>
  <c r="I128" i="8" s="1"/>
  <c r="E119" i="8"/>
  <c r="E121" i="8" s="1"/>
  <c r="E126" i="8" s="1"/>
  <c r="E128" i="8" s="1"/>
  <c r="J119" i="8" l="1"/>
  <c r="J121" i="8" s="1"/>
  <c r="J126" i="8" s="1"/>
  <c r="J128" i="8" s="1"/>
  <c r="F119" i="8"/>
  <c r="F121" i="8" s="1"/>
  <c r="F126" i="8" s="1"/>
  <c r="F128" i="8" s="1"/>
  <c r="K119" i="8" l="1"/>
  <c r="K121" i="8" s="1"/>
  <c r="K126" i="8" s="1"/>
  <c r="K128" i="8" s="1"/>
  <c r="L119" i="8" l="1"/>
  <c r="L121" i="8" l="1"/>
  <c r="L126" i="8" s="1"/>
  <c r="L128" i="8" s="1"/>
  <c r="M119" i="8" l="1"/>
  <c r="M121" i="8" s="1"/>
  <c r="M126" i="8" s="1"/>
  <c r="M128" i="8" s="1"/>
  <c r="N119" i="8" l="1"/>
  <c r="N121" i="8" s="1"/>
  <c r="N126" i="8" s="1"/>
  <c r="N128" i="8" s="1"/>
  <c r="O119" i="8" l="1"/>
  <c r="O121" i="8" s="1"/>
  <c r="O126" i="8" s="1"/>
  <c r="O128" i="8" s="1"/>
  <c r="P119" i="8" l="1"/>
  <c r="P121" i="8" s="1"/>
  <c r="P126" i="8" s="1"/>
  <c r="P128" i="8" s="1"/>
  <c r="AB126" i="8" l="1"/>
  <c r="AB128" i="8" s="1"/>
  <c r="Q119" i="8"/>
  <c r="Q121" i="8" s="1"/>
  <c r="Q126" i="8" s="1"/>
  <c r="Q128" i="8" s="1"/>
  <c r="AC126" i="8" l="1"/>
  <c r="AC128" i="8" s="1"/>
  <c r="R119" i="8"/>
  <c r="R121" i="8" s="1"/>
  <c r="R126" i="8" s="1"/>
  <c r="R128" i="8" s="1"/>
  <c r="AH119" i="8" l="1"/>
  <c r="AD126" i="8"/>
  <c r="AD128" i="8" s="1"/>
  <c r="S119" i="8"/>
  <c r="S121" i="8" s="1"/>
  <c r="T11" i="8" l="1"/>
  <c r="T14" i="8" l="1"/>
  <c r="T19" i="8" s="1"/>
  <c r="T13" i="10"/>
  <c r="T25" i="8" l="1"/>
  <c r="T29" i="8" s="1"/>
  <c r="T15" i="8"/>
  <c r="T90" i="8" l="1"/>
  <c r="T33" i="8"/>
  <c r="T36" i="8"/>
  <c r="T20" i="8"/>
  <c r="T26" i="8"/>
  <c r="T30" i="8" l="1"/>
  <c r="T103" i="8" l="1"/>
  <c r="Y103" i="8"/>
  <c r="Y11" i="8"/>
  <c r="Y14" i="8" s="1"/>
  <c r="S11" i="8"/>
  <c r="X11" i="8"/>
  <c r="T125" i="8" l="1"/>
  <c r="T12" i="12"/>
  <c r="T14" i="12" s="1"/>
  <c r="T18" i="12" s="1"/>
  <c r="T19" i="12" s="1"/>
  <c r="X14" i="8"/>
  <c r="S14" i="8"/>
  <c r="S19" i="8" s="1"/>
  <c r="S13" i="10"/>
  <c r="Y19" i="8"/>
  <c r="S15" i="8" l="1"/>
  <c r="S25" i="8"/>
  <c r="S29" i="8" s="1"/>
  <c r="X19" i="8"/>
  <c r="X20" i="8" s="1"/>
  <c r="X15" i="8"/>
  <c r="Y25" i="8"/>
  <c r="Y29" i="8" s="1"/>
  <c r="Y15" i="8"/>
  <c r="Y36" i="8" l="1"/>
  <c r="Y33" i="8"/>
  <c r="S90" i="8"/>
  <c r="S36" i="8"/>
  <c r="S33" i="8"/>
  <c r="X25" i="8"/>
  <c r="X29" i="8" s="1"/>
  <c r="S20" i="8"/>
  <c r="S26" i="8"/>
  <c r="Y20" i="8"/>
  <c r="X36" i="8" l="1"/>
  <c r="X33" i="8"/>
  <c r="X26" i="8"/>
  <c r="S30" i="8"/>
  <c r="AH90" i="8"/>
  <c r="Y26" i="8"/>
  <c r="X30" i="8"/>
  <c r="AH103" i="8" l="1"/>
  <c r="AJ103" i="8" s="1"/>
  <c r="AJ90" i="8"/>
  <c r="AE103" i="8"/>
  <c r="AF103" i="8"/>
  <c r="X103" i="8"/>
  <c r="X126" i="8" s="1"/>
  <c r="S103" i="8"/>
  <c r="Y30" i="8"/>
  <c r="X128" i="8" l="1"/>
  <c r="Y126" i="8"/>
  <c r="Y128" i="8" s="1"/>
  <c r="S125" i="8"/>
  <c r="S12" i="12"/>
  <c r="S126" i="8"/>
  <c r="S128" i="8" s="1"/>
  <c r="AH125" i="8"/>
  <c r="AG103" i="8"/>
  <c r="Z126" i="8" l="1"/>
  <c r="Z128" i="8" s="1"/>
  <c r="AH12" i="12"/>
  <c r="S14" i="12"/>
  <c r="S18" i="12" s="1"/>
  <c r="S19" i="12" s="1"/>
  <c r="AF12" i="12"/>
  <c r="AF14" i="12" s="1"/>
  <c r="AF18" i="12" s="1"/>
  <c r="AF19" i="12" s="1"/>
  <c r="AG12" i="12"/>
  <c r="AG14" i="12" s="1"/>
  <c r="AG18" i="12" s="1"/>
  <c r="AG19" i="12" s="1"/>
  <c r="AE12" i="12"/>
  <c r="AE14" i="12" s="1"/>
  <c r="AE18" i="12" s="1"/>
  <c r="AE19" i="12" s="1"/>
  <c r="T119" i="8"/>
  <c r="T121" i="8" s="1"/>
  <c r="T126" i="8" s="1"/>
  <c r="T128" i="8" s="1"/>
  <c r="AE126" i="8"/>
  <c r="AE128" i="8" s="1"/>
  <c r="AF126" i="8"/>
  <c r="AF128" i="8" s="1"/>
  <c r="AJ12" i="12" l="1"/>
  <c r="AH14" i="12"/>
  <c r="U119" i="8"/>
  <c r="U121" i="8" s="1"/>
  <c r="U126" i="8" s="1"/>
  <c r="U128" i="8" s="1"/>
  <c r="AG126" i="8"/>
  <c r="AG128" i="8" s="1"/>
  <c r="AA126" i="8"/>
  <c r="AA128" i="8" s="1"/>
  <c r="AJ14" i="12" l="1"/>
  <c r="AH18" i="12"/>
  <c r="V119" i="8"/>
  <c r="V121" i="8" s="1"/>
  <c r="V126" i="8" s="1"/>
  <c r="V128" i="8" s="1"/>
  <c r="AH126" i="8"/>
  <c r="AH128" i="8" s="1"/>
  <c r="AJ18" i="12" l="1"/>
  <c r="AH19" i="12"/>
  <c r="AJ19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<sst xmlns="http://schemas.openxmlformats.org/spreadsheetml/2006/main" count="264" uniqueCount="189">
  <si>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</si>
  <si>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</si>
  <si>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</si>
  <si>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</si>
  <si>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</si>
  <si>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</si>
  <si>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</si>
  <si>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</si>
  <si>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</si>
  <si>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</si>
  <si>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</si>
  <si>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</si>
  <si>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</si>
  <si>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</si>
  <si>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</si>
  <si>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</si>
  <si>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</si>
  <si>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</si>
  <si>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</si>
  <si>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</si>
  <si>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</si>
  <si>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</si>
  <si>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</si>
  <si>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</si>
  <si>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</si>
  <si>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</si>
  <si>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</si>
  <si>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</si>
  <si>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</si>
  <si>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</si>
  <si>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</si>
  <si>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</si>
  <si>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</si>
  <si>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</si>
  <si>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</si>
  <si>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</si>
  <si>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</si>
  <si>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</si>
  <si>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</si>
  <si>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</si>
  <si>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</si>
  <si>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</si>
  <si>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</si>
  <si>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</si>
  <si>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</si>
  <si>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</si>
  <si>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</si>
  <si>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</si>
  <si>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</si>
  <si>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</si>
  <si>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</si>
  <si>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</si>
  <si>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</si>
  <si>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</si>
  <si>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</si>
  <si>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</si>
  <si>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</si>
  <si>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</si>
  <si>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</si>
  <si>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</si>
  <si>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</si>
  <si>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</si>
  <si>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</si>
  <si>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</si>
  <si>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</si>
  <si>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 xml:space="preserve">Provision for taxes </t>
  </si>
  <si>
    <t>3Q25</t>
  </si>
  <si>
    <t>Net Margin (%)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</si>
  <si>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</si>
  <si>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</si>
  <si>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</si>
  <si>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</si>
  <si>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</si>
  <si>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</si>
  <si>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</si>
  <si>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</si>
  <si>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</si>
  <si>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</si>
  <si>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</si>
  <si>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</si>
  <si>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</si>
  <si>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</si>
  <si>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</si>
  <si>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</si>
  <si>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</si>
  <si>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</si>
  <si>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</si>
  <si>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</si>
  <si>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</si>
  <si>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</si>
  <si>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>General and Administrative (G&amp;A)</t>
  </si>
  <si>
    <t>Property and equipment, net</t>
  </si>
  <si>
    <t>Purchases of property and equipment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</si>
  <si>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</si>
  <si>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</si>
  <si>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</si>
  <si>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</si>
  <si>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</si>
  <si>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</si>
  <si>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</si>
  <si>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</si>
  <si>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</si>
  <si>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</si>
  <si>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</si>
  <si>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</si>
  <si>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Short-term investments</t>
  </si>
  <si>
    <t>Proceeds from maturities of short-term investments</t>
  </si>
  <si>
    <t>Stock-based compensation expense</t>
  </si>
  <si>
    <t>EOP Restricted Cash Adjustment</t>
  </si>
  <si>
    <t>Income taxes paid</t>
  </si>
  <si>
    <t>Interest paid</t>
  </si>
  <si>
    <t>BOP Restricted Cash Adjustment</t>
  </si>
  <si>
    <t>$ in thousands except per share</t>
  </si>
  <si>
    <t>Summary Debt:</t>
  </si>
  <si>
    <t>CPLTD</t>
  </si>
  <si>
    <t>LTD</t>
  </si>
  <si>
    <t>(-) Cost of Revenues</t>
  </si>
  <si>
    <t>Humacyte Inc (NASDAQ: HUMA)</t>
  </si>
  <si>
    <t>Product Revenue</t>
  </si>
  <si>
    <t>Contract Revenue</t>
  </si>
  <si>
    <t>Grant Revenue</t>
  </si>
  <si>
    <t>Cost of Goods Sold</t>
  </si>
  <si>
    <t>4Q22</t>
  </si>
  <si>
    <t>3Q22</t>
  </si>
  <si>
    <t>2Q22</t>
  </si>
  <si>
    <t>1Q22</t>
  </si>
  <si>
    <t>Research and Development (R&amp;D)</t>
  </si>
  <si>
    <t>Interest income</t>
  </si>
  <si>
    <t>Interest expense</t>
  </si>
  <si>
    <t>Change in fair value of Contingent Earnout Liability</t>
  </si>
  <si>
    <r>
      <t xml:space="preserve">Other Gains, Losses, and Adjustments </t>
    </r>
    <r>
      <rPr>
        <vertAlign val="superscript"/>
        <sz val="9"/>
        <rFont val="Calibri"/>
        <family val="2"/>
      </rPr>
      <t>(1)</t>
    </r>
  </si>
  <si>
    <t>Accounts receivable</t>
  </si>
  <si>
    <t>Inventory</t>
  </si>
  <si>
    <t>Prepaid expenses and other current assets</t>
  </si>
  <si>
    <t>Restricted cash</t>
  </si>
  <si>
    <t>Finance lease right-of-use assets, net</t>
  </si>
  <si>
    <t>Other long-term assets</t>
  </si>
  <si>
    <t>Accrued expenses</t>
  </si>
  <si>
    <t>Finance lease obligation, current portion</t>
  </si>
  <si>
    <t>Revenue interest liability, Non-Current</t>
  </si>
  <si>
    <t>Contingent Earnout Liability</t>
  </si>
  <si>
    <t>Finance lease obligation, net of current portion</t>
  </si>
  <si>
    <t>Common Stock</t>
  </si>
  <si>
    <t>Additional paid-in capital</t>
  </si>
  <si>
    <t>Accumulated deficit</t>
  </si>
  <si>
    <t>1) "Other Gains, Losses, and Adjustments Consist of: Change in fair value of common stock warrant liabilities, Gain on PPP loan forgiveness, Employee retention credit, Loss on extinguishment of debt, and Transaction costs expensed.</t>
  </si>
  <si>
    <t>Depreciation expense</t>
  </si>
  <si>
    <t>Amortization expense</t>
  </si>
  <si>
    <t>Accounts Receivable</t>
  </si>
  <si>
    <t xml:space="preserve">Net Equity Issuances / (Share Repurchases) </t>
  </si>
  <si>
    <t xml:space="preserve">Net Issuance / (Repayment) of Debt </t>
  </si>
  <si>
    <t xml:space="preserve">Net Divestitures / (Acquisitions) </t>
  </si>
  <si>
    <t xml:space="preserve">Proceeds / (Payments) with revenue interest purchase agreement </t>
  </si>
  <si>
    <t xml:space="preserve">Proceeds from JDRF Agreement </t>
  </si>
  <si>
    <t xml:space="preserve">Other Gains, Losses, and Adjustments </t>
  </si>
  <si>
    <t xml:space="preserve">Other Current liabilities </t>
  </si>
  <si>
    <t xml:space="preserve">Other Non-Current Liabilities </t>
  </si>
  <si>
    <t>Current portion of Debt</t>
  </si>
  <si>
    <t>Long-Term Debt</t>
  </si>
  <si>
    <t xml:space="preserve">Accrued Expenses &amp; Other Liabilities </t>
  </si>
  <si>
    <t>(-) Research and Development (R&amp;D)</t>
  </si>
  <si>
    <t>(-) General and Administrative (G&amp;A)</t>
  </si>
  <si>
    <t xml:space="preserve">(+) Depreciation </t>
  </si>
  <si>
    <t>(+) Amortization</t>
  </si>
  <si>
    <t>(+) Stock-Based Compensation (SBC)</t>
  </si>
  <si>
    <t>(+/-) Change in fair value of Contingent Earnout Liability</t>
  </si>
  <si>
    <t>(+/-) Proceeds / (Purchases) from ST Investments</t>
  </si>
  <si>
    <t xml:space="preserve">(+/-) Net Equity Issuances / (Share Repurchases) </t>
  </si>
  <si>
    <t xml:space="preserve">(-) Net Issuance / (Repayment) of Debt </t>
  </si>
  <si>
    <t xml:space="preserve">(-) Net Divestitures / (Acquisitions) </t>
  </si>
  <si>
    <t xml:space="preserve">(+/-) Proceeds / (Payments) with revenue interest purchase agreement </t>
  </si>
  <si>
    <t>Restricted Cash</t>
  </si>
  <si>
    <t>Short-Term Investments</t>
  </si>
  <si>
    <t>Finance Lease Obligations</t>
  </si>
  <si>
    <t>Notes Payable</t>
  </si>
  <si>
    <t>Cash Analysis</t>
  </si>
  <si>
    <t>($ In Thousands)</t>
  </si>
  <si>
    <t>Cash Burn Rate</t>
  </si>
  <si>
    <t>CFO</t>
  </si>
  <si>
    <t>Capex</t>
  </si>
  <si>
    <t>Total Cash Burn Rate</t>
  </si>
  <si>
    <t>Cash Runway</t>
  </si>
  <si>
    <t>Monthly Cash Burn Rate</t>
  </si>
  <si>
    <t>Total Cash Liquidity</t>
  </si>
  <si>
    <t>Cash Liquidity</t>
  </si>
  <si>
    <t xml:space="preserve">Basic Cash Per Share </t>
  </si>
  <si>
    <t>Cash Per Basic Share</t>
  </si>
  <si>
    <t xml:space="preserve">Fully Diluted Cash Per Share </t>
  </si>
  <si>
    <t>Cash Per Fully Diluted 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</si>
</sst>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  <numFmt numFmtId="171" formatCode="#,##0\ &quot;Months&quot;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vertAlign val="superscript"/>
      <sz val="9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8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5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8" fillId="0" borderId="1" xfId="0" applyFont="1" applyFill="1" applyBorder="1" applyAlignment="1">
      <alignment vertical="top" wrapText="1"/>
    </xf>
    <xf numFmtId="7" fontId="8" fillId="0" borderId="1" xfId="0" applyNumberFormat="1" applyFont="1" applyFill="1" applyBorder="1" applyAlignment="1">
      <alignment horizontal="right" vertical="top" wrapText="1"/>
    </xf>
    <xf numFmtId="9" fontId="13" fillId="0" borderId="1" xfId="1" applyFont="1" applyFill="1" applyBorder="1" applyAlignment="1">
      <alignment horizontal="right" vertical="center" wrapText="1"/>
    </xf>
    <xf numFmtId="7" fontId="25" fillId="0" borderId="1" xfId="0" applyNumberFormat="1" applyFont="1" applyFill="1" applyBorder="1" applyAlignment="1">
      <alignment horizontal="right"/>
    </xf>
    <xf numFmtId="9" fontId="6" fillId="0" borderId="1" xfId="1" applyFont="1" applyFill="1" applyBorder="1" applyAlignment="1">
      <alignment horizontal="right" vertical="center" wrapText="1"/>
    </xf>
    <xf numFmtId="166" fontId="9" fillId="0" borderId="1" xfId="1" applyNumberFormat="1" applyFont="1" applyFill="1" applyBorder="1" applyAlignment="1">
      <alignment horizontal="right" vertical="center" wrapText="1"/>
    </xf>
    <xf numFmtId="0" fontId="10" fillId="0" borderId="3" xfId="0" applyFont="1" applyBorder="1" applyAlignment="1">
      <alignment horizontal="left" vertical="top" wrapText="1"/>
    </xf>
    <xf numFmtId="0" fontId="4" fillId="0" borderId="0" xfId="0" applyFont="1" applyBorder="1" applyAlignment="1">
      <alignment wrapText="1"/>
    </xf>
    <xf numFmtId="41" fontId="11" fillId="0" borderId="0" xfId="0" applyNumberFormat="1" applyFont="1" applyFill="1" applyAlignment="1">
      <alignment horizontal="right" vertical="center" wrapText="1"/>
    </xf>
    <xf numFmtId="41" fontId="11" fillId="0" borderId="0" xfId="0" applyNumberFormat="1" applyFont="1" applyFill="1" applyAlignment="1">
      <alignment horizontal="right" vertical="top" wrapText="1"/>
    </xf>
    <xf numFmtId="41" fontId="6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vertical="top" wrapText="1"/>
    </xf>
    <xf numFmtId="171" fontId="8" fillId="0" borderId="2" xfId="0" applyNumberFormat="1" applyFont="1" applyBorder="1" applyAlignment="1">
      <alignment horizontal="right" vertical="top" wrapText="1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5" fontId="8" fillId="0" borderId="2" xfId="0" applyNumberFormat="1" applyFont="1" applyFill="1" applyBorder="1" applyAlignment="1">
      <alignment horizontal="right" vertical="top" wrapText="1"/>
    </xf>
    <xf numFmtId="0" fontId="0" fillId="0" borderId="0" xfId="0" applyFill="1"/>
    <xf numFmtId="0" fontId="8" fillId="0" borderId="5" xfId="0" applyFont="1" applyFill="1" applyBorder="1" applyAlignment="1">
      <alignment horizontal="left" vertical="top" indent="1"/>
    </xf>
    <xf numFmtId="0" fontId="8" fillId="0" borderId="0" xfId="0" applyFont="1" applyAlignment="1">
      <alignment horizontal="left" vertical="top" wrapText="1" indent="1"/>
    </xf>
    <xf numFmtId="41" fontId="6" fillId="0" borderId="0" xfId="0" applyNumberFormat="1" applyFont="1" applyAlignment="1">
      <alignment vertical="center"/>
    </xf>
    <xf numFmtId="0" fontId="8" fillId="0" borderId="6" xfId="0" applyFont="1" applyBorder="1" applyAlignment="1">
      <alignment vertical="top"/>
    </xf>
    <xf numFmtId="41" fontId="6" fillId="0" borderId="0" xfId="0" applyNumberFormat="1" applyFont="1" applyBorder="1" applyAlignment="1">
      <alignment horizontal="right" vertical="top" wrapText="1"/>
    </xf>
    <xf numFmtId="5" fontId="8" fillId="5" borderId="10" xfId="0" applyNumberFormat="1" applyFont="1" applyFill="1" applyBorder="1" applyAlignment="1">
      <alignment horizontal="right" vertical="top" wrapText="1"/>
    </xf>
    <xf numFmtId="41" fontId="11" fillId="0" borderId="0" xfId="0" applyNumberFormat="1" applyFont="1" applyBorder="1" applyAlignment="1">
      <alignment horizontal="right" vertical="top" wrapText="1"/>
    </xf>
    <xf numFmtId="5" fontId="8" fillId="5" borderId="0" xfId="0" applyNumberFormat="1" applyFont="1" applyFill="1" applyBorder="1" applyAlignment="1">
      <alignment horizontal="right" vertical="top" wrapText="1"/>
    </xf>
    <xf numFmtId="41" fontId="8" fillId="0" borderId="0" xfId="0" applyNumberFormat="1" applyFont="1" applyBorder="1" applyAlignment="1">
      <alignment horizontal="right" vertical="top" wrapText="1"/>
    </xf>
    <xf numFmtId="37" fontId="4" fillId="0" borderId="0" xfId="0" applyNumberFormat="1" applyFont="1" applyBorder="1" applyAlignment="1">
      <alignment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K147"/>
  <sheetViews>
    <sheetView showGridLines="0" tabSelected="1" zoomScale="115" zoomScaleNormal="115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9" style="5" hidden="1" customWidth="1" outlineLevel="1"/>
    <col min="4" max="4" width="9" style="5" bestFit="1" customWidth="1" collapsed="1"/>
    <col min="5" max="6" width="9" style="5" bestFit="1" customWidth="1"/>
    <col min="7" max="7" width="1.5" style="5" customWidth="1"/>
    <col min="8" max="15" width="8.875" style="5" hidden="1" customWidth="1" outlineLevel="2"/>
    <col min="16" max="17" width="8.875" style="5" hidden="1" customWidth="1" outlineLevel="1"/>
    <col min="18" max="18" width="8.875" style="5" bestFit="1" customWidth="1" collapsed="1"/>
    <col min="19" max="22" width="8.875" style="5" bestFit="1" customWidth="1"/>
    <col min="23" max="23" width="1.5" style="5" customWidth="1"/>
    <col min="24" max="29" width="8.75" style="5" hidden="1" customWidth="1" outlineLevel="1"/>
    <col min="30" max="30" width="9" style="5" bestFit="1" customWidth="1" collapsed="1"/>
    <col min="31" max="33" width="9" style="5" hidden="1" customWidth="1" outlineLevel="1"/>
    <col min="34" max="34" width="9" style="5" bestFit="1" customWidth="1" collapsed="1"/>
    <col min="35" max="35" width="1.25" style="5" customWidth="1"/>
    <col min="36" max="36" width="8" style="5" bestFit="1" customWidth="1"/>
    <col min="37" max="37" width="1.375" style="5" customWidth="1"/>
    <col min="38" max="16384" width="9" style="5"/>
  </cols>
  <sheetData>
    <row r="2" spans="1:36" ht="12.75" customHeight="1">
      <c r="B2" s="1" t="s">
        <v>117</v>
      </c>
      <c r="C2" s="103"/>
      <c r="D2" s="103"/>
      <c r="E2" s="103"/>
      <c r="F2" s="103"/>
      <c r="G2" s="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3"/>
      <c r="AJ2" s="1"/>
    </row>
    <row r="3" spans="1:36" ht="12.75" customHeight="1">
      <c r="B3" s="6" t="s">
        <v>79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3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3"/>
      <c r="AJ3" s="1"/>
    </row>
    <row r="4" spans="1:36" ht="12.75" customHeight="1">
      <c r="B4" s="6" t="s">
        <v>112</v>
      </c>
      <c r="C4" s="3"/>
      <c r="D4" s="3"/>
      <c r="E4" s="86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1"/>
    </row>
    <row r="6" spans="1:36" ht="12.75" customHeight="1">
      <c r="A6" s="5" t="s">
        <v>18</v>
      </c>
      <c r="B6" s="1" t="s">
        <v>77</v>
      </c>
      <c r="C6" s="2" t="s">
        <v>0</v>
      </c>
      <c r="D6" s="2" t="s">
        <v>0</v>
      </c>
      <c r="E6" s="2"/>
      <c r="F6" s="2"/>
      <c r="G6" s="3"/>
      <c r="H6" s="2" t="s">
        <v>1</v>
      </c>
      <c r="I6" s="2"/>
      <c r="J6" s="2"/>
      <c r="K6" s="2"/>
      <c r="L6" s="2" t="s">
        <v>1</v>
      </c>
      <c r="M6" s="2"/>
      <c r="N6" s="2"/>
      <c r="O6" s="2"/>
      <c r="P6" s="2"/>
      <c r="Q6" s="2"/>
      <c r="R6" s="2" t="s">
        <v>1</v>
      </c>
      <c r="S6" s="2"/>
      <c r="T6" s="2"/>
      <c r="U6" s="2"/>
      <c r="V6" s="2"/>
      <c r="W6" s="3"/>
      <c r="X6" s="2"/>
      <c r="Y6" s="2"/>
      <c r="Z6" s="2"/>
      <c r="AA6" s="2"/>
      <c r="AB6" s="2"/>
      <c r="AC6" s="2" t="s">
        <v>10</v>
      </c>
      <c r="AD6" s="2" t="s">
        <v>10</v>
      </c>
      <c r="AE6" s="2"/>
      <c r="AF6" s="2"/>
      <c r="AG6" s="2"/>
      <c r="AH6" s="2"/>
      <c r="AI6" s="38"/>
      <c r="AJ6" s="149" t="s">
        <v>24</v>
      </c>
    </row>
    <row r="7" spans="1:36" ht="12.75" customHeight="1">
      <c r="B7" s="6" t="s">
        <v>80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125</v>
      </c>
      <c r="I7" s="4" t="s">
        <v>124</v>
      </c>
      <c r="J7" s="4" t="s">
        <v>123</v>
      </c>
      <c r="K7" s="4" t="s">
        <v>122</v>
      </c>
      <c r="L7" s="4" t="s">
        <v>6</v>
      </c>
      <c r="M7" s="4" t="s">
        <v>7</v>
      </c>
      <c r="N7" s="4" t="s">
        <v>8</v>
      </c>
      <c r="O7" s="4" t="s">
        <v>9</v>
      </c>
      <c r="P7" s="4" t="s">
        <v>2</v>
      </c>
      <c r="Q7" s="4" t="s">
        <v>3</v>
      </c>
      <c r="R7" s="4" t="s">
        <v>4</v>
      </c>
      <c r="S7" s="4" t="s">
        <v>5</v>
      </c>
      <c r="T7" s="4" t="s">
        <v>26</v>
      </c>
      <c r="U7" s="4" t="s">
        <v>27</v>
      </c>
      <c r="V7" s="4" t="s">
        <v>66</v>
      </c>
      <c r="W7" s="3"/>
      <c r="X7" s="4" t="str">
        <f>L7</f>
        <v>1Q23</v>
      </c>
      <c r="Y7" s="4" t="str">
        <f>M7</f>
        <v>2Q23</v>
      </c>
      <c r="Z7" s="4" t="str">
        <f>N7</f>
        <v>3Q23</v>
      </c>
      <c r="AA7" s="4" t="str">
        <f>O7</f>
        <v>4Q23</v>
      </c>
      <c r="AB7" s="4" t="str">
        <f>P7</f>
        <v>1Q24</v>
      </c>
      <c r="AC7" s="4" t="str">
        <f>Q7</f>
        <v>2Q24</v>
      </c>
      <c r="AD7" s="4" t="str">
        <f>R7</f>
        <v>3Q24</v>
      </c>
      <c r="AE7" s="4" t="str">
        <f>S7</f>
        <v>4Q24</v>
      </c>
      <c r="AF7" s="4" t="str">
        <f>T7</f>
        <v>1Q25</v>
      </c>
      <c r="AG7" s="4" t="str">
        <f>U7</f>
        <v>2Q25</v>
      </c>
      <c r="AH7" s="4" t="str">
        <f>V7</f>
        <v>3Q25</v>
      </c>
      <c r="AI7" s="38"/>
      <c r="AJ7" s="149"/>
    </row>
    <row r="8" spans="1:36" ht="12.75" customHeight="1">
      <c r="B8" s="6" t="s">
        <v>81</v>
      </c>
      <c r="C8" s="3">
        <v>44561</v>
      </c>
      <c r="D8" s="3">
        <v>44926</v>
      </c>
      <c r="E8" s="86">
        <v>45291</v>
      </c>
      <c r="F8" s="3">
        <v>45657</v>
      </c>
      <c r="G8" s="3"/>
      <c r="H8" s="3">
        <v>44651</v>
      </c>
      <c r="I8" s="3">
        <v>44742</v>
      </c>
      <c r="J8" s="3">
        <v>44834</v>
      </c>
      <c r="K8" s="3">
        <f>D8</f>
        <v>44926</v>
      </c>
      <c r="L8" s="3">
        <v>45016</v>
      </c>
      <c r="M8" s="3">
        <v>45107</v>
      </c>
      <c r="N8" s="3">
        <v>45199</v>
      </c>
      <c r="O8" s="3">
        <f>E8</f>
        <v>45291</v>
      </c>
      <c r="P8" s="3">
        <v>45382</v>
      </c>
      <c r="Q8" s="3">
        <v>45473</v>
      </c>
      <c r="R8" s="3">
        <v>45565</v>
      </c>
      <c r="S8" s="3">
        <f>F8</f>
        <v>45657</v>
      </c>
      <c r="T8" s="3">
        <v>45747</v>
      </c>
      <c r="U8" s="3">
        <v>45838</v>
      </c>
      <c r="V8" s="3">
        <v>45930</v>
      </c>
      <c r="W8" s="3"/>
      <c r="X8" s="3">
        <f>L8</f>
        <v>45016</v>
      </c>
      <c r="Y8" s="3">
        <f>M8</f>
        <v>45107</v>
      </c>
      <c r="Z8" s="3">
        <f>N8</f>
        <v>45199</v>
      </c>
      <c r="AA8" s="3">
        <f>O8</f>
        <v>45291</v>
      </c>
      <c r="AB8" s="3">
        <f>P8</f>
        <v>45382</v>
      </c>
      <c r="AC8" s="3">
        <f>Q8</f>
        <v>45473</v>
      </c>
      <c r="AD8" s="3">
        <f>R8</f>
        <v>45565</v>
      </c>
      <c r="AE8" s="3">
        <f>S8</f>
        <v>45657</v>
      </c>
      <c r="AF8" s="3">
        <f>T8</f>
        <v>45747</v>
      </c>
      <c r="AG8" s="3">
        <f>U8</f>
        <v>45838</v>
      </c>
      <c r="AH8" s="3">
        <f>V8</f>
        <v>45930</v>
      </c>
      <c r="AI8" s="38"/>
      <c r="AJ8" s="149"/>
    </row>
    <row r="9" spans="1:36" ht="5.0999999999999996" customHeight="1">
      <c r="AJ9" s="102"/>
    </row>
    <row r="10" spans="1:36" ht="12.75" customHeight="1">
      <c r="B10" s="9" t="s">
        <v>60</v>
      </c>
      <c r="C10" s="123">
        <v>1263</v>
      </c>
      <c r="D10" s="123">
        <v>1565</v>
      </c>
      <c r="E10" s="123">
        <v>0</v>
      </c>
      <c r="F10" s="123">
        <v>0</v>
      </c>
      <c r="G10" s="11"/>
      <c r="H10" s="123">
        <v>233</v>
      </c>
      <c r="I10" s="123">
        <v>1301</v>
      </c>
      <c r="J10" s="123">
        <v>31</v>
      </c>
      <c r="K10" s="32">
        <f>SUM(D10-SUM(H10:J10))</f>
        <v>0</v>
      </c>
      <c r="L10" s="123">
        <v>0</v>
      </c>
      <c r="M10" s="123">
        <v>0</v>
      </c>
      <c r="N10" s="123">
        <v>0</v>
      </c>
      <c r="O10" s="32">
        <f>SUM(E10-SUM(L10:N10))</f>
        <v>0</v>
      </c>
      <c r="P10" s="123">
        <v>0</v>
      </c>
      <c r="Q10" s="123">
        <v>0</v>
      </c>
      <c r="R10" s="123">
        <v>0</v>
      </c>
      <c r="S10" s="32">
        <f>SUM(F10-SUM(P10:R10))</f>
        <v>0</v>
      </c>
      <c r="T10" s="83">
        <v>517</v>
      </c>
      <c r="U10" s="83">
        <v>301</v>
      </c>
      <c r="V10" s="83">
        <v>753</v>
      </c>
      <c r="X10" s="32">
        <f t="shared" ref="X10:AG10" si="0">SUM(I10:L10)</f>
        <v>1332</v>
      </c>
      <c r="Y10" s="32">
        <f t="shared" si="0"/>
        <v>31</v>
      </c>
      <c r="Z10" s="32">
        <f t="shared" si="0"/>
        <v>0</v>
      </c>
      <c r="AA10" s="32">
        <f t="shared" si="0"/>
        <v>0</v>
      </c>
      <c r="AB10" s="32">
        <f t="shared" si="0"/>
        <v>0</v>
      </c>
      <c r="AC10" s="32">
        <f t="shared" si="0"/>
        <v>0</v>
      </c>
      <c r="AD10" s="32">
        <f t="shared" si="0"/>
        <v>0</v>
      </c>
      <c r="AE10" s="32">
        <f t="shared" si="0"/>
        <v>0</v>
      </c>
      <c r="AF10" s="32">
        <f t="shared" si="0"/>
        <v>517</v>
      </c>
      <c r="AG10" s="32">
        <f t="shared" si="0"/>
        <v>818</v>
      </c>
      <c r="AH10" s="32">
        <f>SUM(S10:V10)</f>
        <v>1571</v>
      </c>
      <c r="AI10" s="40"/>
      <c r="AJ10" s="12" t="e">
        <f>SUM(AH10/AD10)-1</f>
        <v>#DIV/0!</v>
      </c>
    </row>
    <row r="11" spans="1:36" ht="12.75" customHeight="1">
      <c r="B11" s="13" t="s">
        <v>12</v>
      </c>
      <c r="C11" s="14">
        <f t="shared" ref="C11:F11" si="1">+SUM(C10:C10)</f>
        <v>1263</v>
      </c>
      <c r="D11" s="14">
        <f t="shared" si="1"/>
        <v>1565</v>
      </c>
      <c r="E11" s="14">
        <f t="shared" si="1"/>
        <v>0</v>
      </c>
      <c r="F11" s="14">
        <f t="shared" si="1"/>
        <v>0</v>
      </c>
      <c r="G11" s="11"/>
      <c r="H11" s="14">
        <f t="shared" ref="H11:K11" si="2">+SUM(H10:H10)</f>
        <v>233</v>
      </c>
      <c r="I11" s="14">
        <f t="shared" si="2"/>
        <v>1301</v>
      </c>
      <c r="J11" s="14">
        <f t="shared" si="2"/>
        <v>31</v>
      </c>
      <c r="K11" s="14">
        <f t="shared" si="2"/>
        <v>0</v>
      </c>
      <c r="L11" s="14">
        <f t="shared" ref="L11:U11" si="3">+SUM(L10:L10)</f>
        <v>0</v>
      </c>
      <c r="M11" s="14">
        <f t="shared" si="3"/>
        <v>0</v>
      </c>
      <c r="N11" s="14">
        <f t="shared" si="3"/>
        <v>0</v>
      </c>
      <c r="O11" s="14">
        <f t="shared" si="3"/>
        <v>0</v>
      </c>
      <c r="P11" s="14">
        <f t="shared" si="3"/>
        <v>0</v>
      </c>
      <c r="Q11" s="14">
        <f t="shared" si="3"/>
        <v>0</v>
      </c>
      <c r="R11" s="14">
        <f t="shared" si="3"/>
        <v>0</v>
      </c>
      <c r="S11" s="14">
        <f t="shared" si="3"/>
        <v>0</v>
      </c>
      <c r="T11" s="14">
        <f t="shared" si="3"/>
        <v>517</v>
      </c>
      <c r="U11" s="14">
        <f t="shared" si="3"/>
        <v>301</v>
      </c>
      <c r="V11" s="14">
        <f>+SUM(V10:V10)</f>
        <v>753</v>
      </c>
      <c r="X11" s="14">
        <f t="shared" ref="X11:AG11" si="4">+SUM(X10:X10)</f>
        <v>1332</v>
      </c>
      <c r="Y11" s="14">
        <f t="shared" si="4"/>
        <v>31</v>
      </c>
      <c r="Z11" s="14">
        <f t="shared" si="4"/>
        <v>0</v>
      </c>
      <c r="AA11" s="14">
        <f t="shared" si="4"/>
        <v>0</v>
      </c>
      <c r="AB11" s="14">
        <f t="shared" si="4"/>
        <v>0</v>
      </c>
      <c r="AC11" s="14">
        <f t="shared" si="4"/>
        <v>0</v>
      </c>
      <c r="AD11" s="14">
        <f t="shared" si="4"/>
        <v>0</v>
      </c>
      <c r="AE11" s="14">
        <f t="shared" si="4"/>
        <v>0</v>
      </c>
      <c r="AF11" s="14">
        <f t="shared" si="4"/>
        <v>517</v>
      </c>
      <c r="AG11" s="14">
        <f t="shared" si="4"/>
        <v>818</v>
      </c>
      <c r="AH11" s="14">
        <f>+SUM(AH10:AH10)</f>
        <v>1571</v>
      </c>
      <c r="AI11" s="40"/>
      <c r="AJ11" s="15" t="e">
        <f>SUM(AH11/AD11)-1</f>
        <v>#DIV/0!</v>
      </c>
    </row>
    <row r="12" spans="1:36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2"/>
      <c r="U12" s="21"/>
      <c r="V12" s="21"/>
      <c r="AJ12" s="76"/>
    </row>
    <row r="13" spans="1:36" ht="12.75" customHeight="1">
      <c r="B13" s="9" t="s">
        <v>121</v>
      </c>
      <c r="C13" s="83">
        <v>0</v>
      </c>
      <c r="D13" s="83">
        <v>0</v>
      </c>
      <c r="E13" s="83">
        <v>0</v>
      </c>
      <c r="F13" s="83">
        <v>0</v>
      </c>
      <c r="G13" s="24"/>
      <c r="H13" s="83">
        <v>0</v>
      </c>
      <c r="I13" s="83">
        <v>0</v>
      </c>
      <c r="J13" s="83">
        <v>0</v>
      </c>
      <c r="K13" s="32">
        <f>SUM(D13-SUM(H13:J13))</f>
        <v>0</v>
      </c>
      <c r="L13" s="83">
        <v>0</v>
      </c>
      <c r="M13" s="83">
        <v>0</v>
      </c>
      <c r="N13" s="83">
        <v>0</v>
      </c>
      <c r="O13" s="32">
        <f>SUM(E13-SUM(L13:N13))</f>
        <v>0</v>
      </c>
      <c r="P13" s="83">
        <v>0</v>
      </c>
      <c r="Q13" s="83">
        <v>0</v>
      </c>
      <c r="R13" s="83">
        <v>0</v>
      </c>
      <c r="S13" s="32">
        <f>SUM(F13-SUM(P13:R13))</f>
        <v>0</v>
      </c>
      <c r="T13" s="83">
        <v>-147</v>
      </c>
      <c r="U13" s="83">
        <v>-213</v>
      </c>
      <c r="V13" s="83">
        <v>-260</v>
      </c>
      <c r="X13" s="32">
        <f t="shared" ref="X13:AG13" si="5">SUM(I13:L13)</f>
        <v>0</v>
      </c>
      <c r="Y13" s="32">
        <f t="shared" si="5"/>
        <v>0</v>
      </c>
      <c r="Z13" s="32">
        <f t="shared" si="5"/>
        <v>0</v>
      </c>
      <c r="AA13" s="32">
        <f t="shared" si="5"/>
        <v>0</v>
      </c>
      <c r="AB13" s="32">
        <f t="shared" si="5"/>
        <v>0</v>
      </c>
      <c r="AC13" s="32">
        <f t="shared" si="5"/>
        <v>0</v>
      </c>
      <c r="AD13" s="32">
        <f t="shared" si="5"/>
        <v>0</v>
      </c>
      <c r="AE13" s="32">
        <f t="shared" si="5"/>
        <v>0</v>
      </c>
      <c r="AF13" s="32">
        <f t="shared" si="5"/>
        <v>-147</v>
      </c>
      <c r="AG13" s="32">
        <f t="shared" si="5"/>
        <v>-360</v>
      </c>
      <c r="AH13" s="32">
        <f>SUM(S13:V13)</f>
        <v>-620</v>
      </c>
      <c r="AI13" s="11"/>
      <c r="AJ13" s="12" t="e">
        <f t="shared" ref="AJ13" si="6">SUM(AH13/AD13)-1</f>
        <v>#DIV/0!</v>
      </c>
    </row>
    <row r="14" spans="1:36" ht="12.75" customHeight="1">
      <c r="B14" s="25" t="s">
        <v>22</v>
      </c>
      <c r="C14" s="26">
        <f>+SUM(C11+SUM(C13:C13))</f>
        <v>1263</v>
      </c>
      <c r="D14" s="26">
        <f>+SUM(D11+SUM(D13:D13))</f>
        <v>1565</v>
      </c>
      <c r="E14" s="26">
        <f>+SUM(E11+SUM(E13:E13))</f>
        <v>0</v>
      </c>
      <c r="F14" s="26">
        <f>+SUM(F11+SUM(F13:F13))</f>
        <v>0</v>
      </c>
      <c r="H14" s="26">
        <f t="shared" ref="H14" si="7">+SUM(H11+SUM(H13:H13))</f>
        <v>233</v>
      </c>
      <c r="I14" s="26">
        <f t="shared" ref="I14" si="8">+SUM(I11+SUM(I13:I13))</f>
        <v>1301</v>
      </c>
      <c r="J14" s="26">
        <f t="shared" ref="J14" si="9">+SUM(J11+SUM(J13:J13))</f>
        <v>31</v>
      </c>
      <c r="K14" s="26">
        <f t="shared" ref="K14" si="10">+SUM(K11+SUM(K13:K13))</f>
        <v>0</v>
      </c>
      <c r="L14" s="26">
        <f t="shared" ref="L14:V14" si="11">+SUM(L11+SUM(L13:L13))</f>
        <v>0</v>
      </c>
      <c r="M14" s="26">
        <f t="shared" si="11"/>
        <v>0</v>
      </c>
      <c r="N14" s="26">
        <f t="shared" si="11"/>
        <v>0</v>
      </c>
      <c r="O14" s="26">
        <f t="shared" si="11"/>
        <v>0</v>
      </c>
      <c r="P14" s="26">
        <f t="shared" si="11"/>
        <v>0</v>
      </c>
      <c r="Q14" s="26">
        <f t="shared" si="11"/>
        <v>0</v>
      </c>
      <c r="R14" s="26">
        <f t="shared" si="11"/>
        <v>0</v>
      </c>
      <c r="S14" s="26">
        <f t="shared" si="11"/>
        <v>0</v>
      </c>
      <c r="T14" s="26">
        <f t="shared" si="11"/>
        <v>370</v>
      </c>
      <c r="U14" s="26">
        <f t="shared" si="11"/>
        <v>88</v>
      </c>
      <c r="V14" s="26">
        <f t="shared" si="11"/>
        <v>493</v>
      </c>
      <c r="X14" s="26">
        <f t="shared" ref="X14:AH14" si="12">+SUM(X11+SUM(X13:X13))</f>
        <v>1332</v>
      </c>
      <c r="Y14" s="26">
        <f t="shared" si="12"/>
        <v>31</v>
      </c>
      <c r="Z14" s="26">
        <f t="shared" si="12"/>
        <v>0</v>
      </c>
      <c r="AA14" s="26">
        <f t="shared" si="12"/>
        <v>0</v>
      </c>
      <c r="AB14" s="26">
        <f t="shared" si="12"/>
        <v>0</v>
      </c>
      <c r="AC14" s="26">
        <f t="shared" si="12"/>
        <v>0</v>
      </c>
      <c r="AD14" s="26">
        <f t="shared" si="12"/>
        <v>0</v>
      </c>
      <c r="AE14" s="26">
        <f t="shared" si="12"/>
        <v>0</v>
      </c>
      <c r="AF14" s="26">
        <f t="shared" si="12"/>
        <v>370</v>
      </c>
      <c r="AG14" s="26">
        <f t="shared" si="12"/>
        <v>458</v>
      </c>
      <c r="AH14" s="26">
        <f t="shared" si="12"/>
        <v>951</v>
      </c>
      <c r="AI14" s="42"/>
      <c r="AJ14" s="77" t="e">
        <f>SUM(AH14/AD14)-1</f>
        <v>#DIV/0!</v>
      </c>
    </row>
    <row r="15" spans="1:36" ht="12.75" customHeight="1">
      <c r="B15" s="16" t="s">
        <v>31</v>
      </c>
      <c r="C15" s="17">
        <f>C14/C11</f>
        <v>1</v>
      </c>
      <c r="D15" s="17">
        <f>D14/D11</f>
        <v>1</v>
      </c>
      <c r="E15" s="17" t="e">
        <f>E14/E11</f>
        <v>#DIV/0!</v>
      </c>
      <c r="F15" s="17" t="e">
        <f>F14/F11</f>
        <v>#DIV/0!</v>
      </c>
      <c r="G15" s="27"/>
      <c r="H15" s="17">
        <f t="shared" ref="H15" si="13">H14/H11</f>
        <v>1</v>
      </c>
      <c r="I15" s="17">
        <f t="shared" ref="I15" si="14">I14/I11</f>
        <v>1</v>
      </c>
      <c r="J15" s="17">
        <f t="shared" ref="J15" si="15">J14/J11</f>
        <v>1</v>
      </c>
      <c r="K15" s="17" t="e">
        <f t="shared" ref="K15" si="16">K14/K11</f>
        <v>#DIV/0!</v>
      </c>
      <c r="L15" s="17" t="e">
        <f t="shared" ref="L15:V15" si="17">L14/L11</f>
        <v>#DIV/0!</v>
      </c>
      <c r="M15" s="17" t="e">
        <f t="shared" si="17"/>
        <v>#DIV/0!</v>
      </c>
      <c r="N15" s="17" t="e">
        <f t="shared" si="17"/>
        <v>#DIV/0!</v>
      </c>
      <c r="O15" s="17" t="e">
        <f t="shared" si="17"/>
        <v>#DIV/0!</v>
      </c>
      <c r="P15" s="17" t="e">
        <f t="shared" si="17"/>
        <v>#DIV/0!</v>
      </c>
      <c r="Q15" s="17" t="e">
        <f t="shared" si="17"/>
        <v>#DIV/0!</v>
      </c>
      <c r="R15" s="17" t="e">
        <f t="shared" si="17"/>
        <v>#DIV/0!</v>
      </c>
      <c r="S15" s="17" t="e">
        <f t="shared" si="17"/>
        <v>#DIV/0!</v>
      </c>
      <c r="T15" s="17">
        <f t="shared" si="17"/>
        <v>0.71566731141199225</v>
      </c>
      <c r="U15" s="17">
        <f t="shared" si="17"/>
        <v>0.29235880398671099</v>
      </c>
      <c r="V15" s="17">
        <f t="shared" si="17"/>
        <v>0.65471447543160688</v>
      </c>
      <c r="W15" s="28"/>
      <c r="X15" s="17">
        <f t="shared" ref="X15:AH15" si="18">X14/X11</f>
        <v>1</v>
      </c>
      <c r="Y15" s="17">
        <f t="shared" si="18"/>
        <v>1</v>
      </c>
      <c r="Z15" s="17" t="e">
        <f t="shared" si="18"/>
        <v>#DIV/0!</v>
      </c>
      <c r="AA15" s="17" t="e">
        <f t="shared" si="18"/>
        <v>#DIV/0!</v>
      </c>
      <c r="AB15" s="17" t="e">
        <f t="shared" si="18"/>
        <v>#DIV/0!</v>
      </c>
      <c r="AC15" s="17" t="e">
        <f t="shared" si="18"/>
        <v>#DIV/0!</v>
      </c>
      <c r="AD15" s="17" t="e">
        <f t="shared" si="18"/>
        <v>#DIV/0!</v>
      </c>
      <c r="AE15" s="17" t="e">
        <f t="shared" si="18"/>
        <v>#DIV/0!</v>
      </c>
      <c r="AF15" s="17">
        <f t="shared" si="18"/>
        <v>0.71566731141199225</v>
      </c>
      <c r="AG15" s="17">
        <f t="shared" si="18"/>
        <v>0.55990220048899753</v>
      </c>
      <c r="AH15" s="17">
        <f t="shared" si="18"/>
        <v>0.60534691279439845</v>
      </c>
      <c r="AI15" s="42"/>
      <c r="AJ15" s="78" t="e">
        <f>SUM(AH15-AD15)*1000</f>
        <v>#DIV/0!</v>
      </c>
    </row>
    <row r="16" spans="1:36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42"/>
      <c r="AJ16" s="76"/>
    </row>
    <row r="17" spans="2:36" ht="12.75" customHeight="1">
      <c r="B17" s="9" t="s">
        <v>126</v>
      </c>
      <c r="C17" s="83">
        <v>-61341</v>
      </c>
      <c r="D17" s="83">
        <v>-63260</v>
      </c>
      <c r="E17" s="83">
        <v>-76550</v>
      </c>
      <c r="F17" s="83">
        <v>-88599</v>
      </c>
      <c r="G17" s="32"/>
      <c r="H17" s="97">
        <v>-16314</v>
      </c>
      <c r="I17" s="97">
        <v>-14652</v>
      </c>
      <c r="J17" s="97">
        <v>-17337</v>
      </c>
      <c r="K17" s="32">
        <f>SUM(D17-SUM(H17:J17))</f>
        <v>-14957</v>
      </c>
      <c r="L17" s="83">
        <v>-17278</v>
      </c>
      <c r="M17" s="83">
        <v>-20540</v>
      </c>
      <c r="N17" s="83">
        <v>-18552</v>
      </c>
      <c r="O17" s="32">
        <f>SUM(E17-SUM(L17:N17))</f>
        <v>-20180</v>
      </c>
      <c r="P17" s="83">
        <v>-21264</v>
      </c>
      <c r="Q17" s="83">
        <v>-23753</v>
      </c>
      <c r="R17" s="83">
        <v>-22926</v>
      </c>
      <c r="S17" s="32">
        <f>SUM(F17-SUM(P17:R17))</f>
        <v>-20656</v>
      </c>
      <c r="T17" s="83">
        <v>-15418</v>
      </c>
      <c r="U17" s="83">
        <v>-22006</v>
      </c>
      <c r="V17" s="83">
        <v>-17273</v>
      </c>
      <c r="X17" s="32">
        <f t="shared" ref="X17:AG18" si="19">SUM(I17:L17)</f>
        <v>-64224</v>
      </c>
      <c r="Y17" s="32">
        <f t="shared" si="19"/>
        <v>-70112</v>
      </c>
      <c r="Z17" s="32">
        <f t="shared" si="19"/>
        <v>-71327</v>
      </c>
      <c r="AA17" s="32">
        <f t="shared" si="19"/>
        <v>-76550</v>
      </c>
      <c r="AB17" s="32">
        <f t="shared" si="19"/>
        <v>-80536</v>
      </c>
      <c r="AC17" s="32">
        <f t="shared" si="19"/>
        <v>-83749</v>
      </c>
      <c r="AD17" s="32">
        <f t="shared" si="19"/>
        <v>-88123</v>
      </c>
      <c r="AE17" s="32">
        <f t="shared" si="19"/>
        <v>-88599</v>
      </c>
      <c r="AF17" s="32">
        <f t="shared" si="19"/>
        <v>-82753</v>
      </c>
      <c r="AG17" s="32">
        <f t="shared" si="19"/>
        <v>-81006</v>
      </c>
      <c r="AH17" s="32">
        <f>SUM(S17:V17)</f>
        <v>-75353</v>
      </c>
      <c r="AI17" s="11"/>
      <c r="AJ17" s="76">
        <f>SUM(AH17/AD17)-1</f>
        <v>-0.14491109018077009</v>
      </c>
    </row>
    <row r="18" spans="2:36" ht="12.75" customHeight="1">
      <c r="B18" s="9" t="s">
        <v>90</v>
      </c>
      <c r="C18" s="83">
        <v>-21130</v>
      </c>
      <c r="D18" s="83">
        <v>-22883</v>
      </c>
      <c r="E18" s="83">
        <v>-23497</v>
      </c>
      <c r="F18" s="83">
        <v>-25799</v>
      </c>
      <c r="G18" s="32"/>
      <c r="H18" s="97">
        <v>-5682</v>
      </c>
      <c r="I18" s="97">
        <v>-5180</v>
      </c>
      <c r="J18" s="97">
        <v>-6188</v>
      </c>
      <c r="K18" s="32">
        <f>SUM(D18-SUM(H18:J18))</f>
        <v>-5833</v>
      </c>
      <c r="L18" s="83">
        <v>-5234</v>
      </c>
      <c r="M18" s="83">
        <v>-6191</v>
      </c>
      <c r="N18" s="83">
        <v>-6070</v>
      </c>
      <c r="O18" s="32">
        <f>SUM(E18-SUM(L18:N18))</f>
        <v>-6002</v>
      </c>
      <c r="P18" s="83">
        <v>-5314</v>
      </c>
      <c r="Q18" s="83">
        <v>-5746</v>
      </c>
      <c r="R18" s="83">
        <v>-7307</v>
      </c>
      <c r="S18" s="32">
        <f>SUM(F18-SUM(P18:R18))</f>
        <v>-7432</v>
      </c>
      <c r="T18" s="83">
        <v>-8136</v>
      </c>
      <c r="U18" s="83">
        <v>-7809</v>
      </c>
      <c r="V18" s="83">
        <v>-7610</v>
      </c>
      <c r="X18" s="32">
        <f t="shared" si="19"/>
        <v>-22435</v>
      </c>
      <c r="Y18" s="32">
        <f t="shared" si="19"/>
        <v>-23446</v>
      </c>
      <c r="Z18" s="32">
        <f t="shared" si="19"/>
        <v>-23328</v>
      </c>
      <c r="AA18" s="32">
        <f t="shared" si="19"/>
        <v>-23497</v>
      </c>
      <c r="AB18" s="32">
        <f t="shared" si="19"/>
        <v>-23577</v>
      </c>
      <c r="AC18" s="32">
        <f t="shared" si="19"/>
        <v>-23132</v>
      </c>
      <c r="AD18" s="32">
        <f t="shared" si="19"/>
        <v>-24369</v>
      </c>
      <c r="AE18" s="32">
        <f t="shared" si="19"/>
        <v>-25799</v>
      </c>
      <c r="AF18" s="32">
        <f t="shared" si="19"/>
        <v>-28621</v>
      </c>
      <c r="AG18" s="32">
        <f t="shared" si="19"/>
        <v>-30684</v>
      </c>
      <c r="AH18" s="32">
        <f>SUM(S18:V18)</f>
        <v>-30987</v>
      </c>
      <c r="AI18" s="11"/>
      <c r="AJ18" s="76">
        <f>SUM(AH18/AD18)-1</f>
        <v>0.27157454142558168</v>
      </c>
    </row>
    <row r="19" spans="2:36" ht="12.75" customHeight="1">
      <c r="B19" s="25" t="s">
        <v>82</v>
      </c>
      <c r="C19" s="26">
        <f>+SUM(C14+SUM(C17:C18))</f>
        <v>-81208</v>
      </c>
      <c r="D19" s="26">
        <f>+SUM(D14+SUM(D17:D18))</f>
        <v>-84578</v>
      </c>
      <c r="E19" s="26">
        <f>+SUM(E14+SUM(E17:E18))</f>
        <v>-100047</v>
      </c>
      <c r="F19" s="26">
        <f>+SUM(F14+SUM(F17:F18))</f>
        <v>-114398</v>
      </c>
      <c r="G19" s="32"/>
      <c r="H19" s="26">
        <f>+SUM(H14+SUM(H17:H18))</f>
        <v>-21763</v>
      </c>
      <c r="I19" s="26">
        <f>+SUM(I14+SUM(I17:I18))</f>
        <v>-18531</v>
      </c>
      <c r="J19" s="26">
        <f>+SUM(J14+SUM(J17:J18))</f>
        <v>-23494</v>
      </c>
      <c r="K19" s="26">
        <f>+SUM(K14+SUM(K17:K18))</f>
        <v>-20790</v>
      </c>
      <c r="L19" s="26">
        <f>+SUM(L14+SUM(L17:L18))</f>
        <v>-22512</v>
      </c>
      <c r="M19" s="26">
        <f>+SUM(M14+SUM(M17:M18))</f>
        <v>-26731</v>
      </c>
      <c r="N19" s="26">
        <f>+SUM(N14+SUM(N17:N18))</f>
        <v>-24622</v>
      </c>
      <c r="O19" s="26">
        <f>+SUM(O14+SUM(O17:O18))</f>
        <v>-26182</v>
      </c>
      <c r="P19" s="26">
        <f>+SUM(P14+SUM(P17:P18))</f>
        <v>-26578</v>
      </c>
      <c r="Q19" s="26">
        <f>+SUM(Q14+SUM(Q17:Q18))</f>
        <v>-29499</v>
      </c>
      <c r="R19" s="26">
        <f>+SUM(R14+SUM(R17:R18))</f>
        <v>-30233</v>
      </c>
      <c r="S19" s="26">
        <f>+SUM(S14+SUM(S17:S18))</f>
        <v>-28088</v>
      </c>
      <c r="T19" s="26">
        <f>+SUM(T14+SUM(T17:T18))</f>
        <v>-23184</v>
      </c>
      <c r="U19" s="26">
        <f>+SUM(U14+SUM(U17:U18))</f>
        <v>-29727</v>
      </c>
      <c r="V19" s="26">
        <f>+SUM(V14+SUM(V17:V18))</f>
        <v>-24390</v>
      </c>
      <c r="X19" s="26">
        <f>+SUM(X14+SUM(X17:X18))</f>
        <v>-85327</v>
      </c>
      <c r="Y19" s="26">
        <f>+SUM(Y14+SUM(Y17:Y18))</f>
        <v>-93527</v>
      </c>
      <c r="Z19" s="26">
        <f>+SUM(Z14+SUM(Z17:Z18))</f>
        <v>-94655</v>
      </c>
      <c r="AA19" s="26">
        <f>+SUM(AA14+SUM(AA17:AA18))</f>
        <v>-100047</v>
      </c>
      <c r="AB19" s="26">
        <f>+SUM(AB14+SUM(AB17:AB18))</f>
        <v>-104113</v>
      </c>
      <c r="AC19" s="26">
        <f>+SUM(AC14+SUM(AC17:AC18))</f>
        <v>-106881</v>
      </c>
      <c r="AD19" s="26">
        <f>+SUM(AD14+SUM(AD17:AD18))</f>
        <v>-112492</v>
      </c>
      <c r="AE19" s="26">
        <f>+SUM(AE14+SUM(AE17:AE18))</f>
        <v>-114398</v>
      </c>
      <c r="AF19" s="26">
        <f>+SUM(AF14+SUM(AF17:AF18))</f>
        <v>-111004</v>
      </c>
      <c r="AG19" s="26">
        <f>+SUM(AG14+SUM(AG17:AG18))</f>
        <v>-111232</v>
      </c>
      <c r="AH19" s="26">
        <f>+SUM(AH14+SUM(AH17:AH18))</f>
        <v>-105389</v>
      </c>
      <c r="AI19" s="11"/>
      <c r="AJ19" s="77">
        <f>SUM(AH19/AD19)-1</f>
        <v>-6.3142267894605864E-2</v>
      </c>
    </row>
    <row r="20" spans="2:36" ht="12.75" customHeight="1">
      <c r="B20" s="16" t="s">
        <v>33</v>
      </c>
      <c r="C20" s="17">
        <f>C19/C11</f>
        <v>-64.297703879651621</v>
      </c>
      <c r="D20" s="17">
        <f>D19/D11</f>
        <v>-54.043450479233229</v>
      </c>
      <c r="E20" s="17" t="e">
        <f>E19/E11</f>
        <v>#DIV/0!</v>
      </c>
      <c r="F20" s="17" t="e">
        <f>F19/F11</f>
        <v>#DIV/0!</v>
      </c>
      <c r="G20" s="32"/>
      <c r="H20" s="17">
        <f>H19/H11</f>
        <v>-93.403433476394852</v>
      </c>
      <c r="I20" s="17">
        <f>I19/I11</f>
        <v>-14.243658724058417</v>
      </c>
      <c r="J20" s="17">
        <f>J19/J11</f>
        <v>-757.87096774193549</v>
      </c>
      <c r="K20" s="17" t="e">
        <f>K19/K11</f>
        <v>#DIV/0!</v>
      </c>
      <c r="L20" s="17" t="e">
        <f>L19/L11</f>
        <v>#DIV/0!</v>
      </c>
      <c r="M20" s="17" t="e">
        <f>M19/M11</f>
        <v>#DIV/0!</v>
      </c>
      <c r="N20" s="17" t="e">
        <f>N19/N11</f>
        <v>#DIV/0!</v>
      </c>
      <c r="O20" s="17" t="e">
        <f>O19/O11</f>
        <v>#DIV/0!</v>
      </c>
      <c r="P20" s="17" t="e">
        <f>P19/P11</f>
        <v>#DIV/0!</v>
      </c>
      <c r="Q20" s="17" t="e">
        <f>Q19/Q11</f>
        <v>#DIV/0!</v>
      </c>
      <c r="R20" s="17" t="e">
        <f>R19/R11</f>
        <v>#DIV/0!</v>
      </c>
      <c r="S20" s="17" t="e">
        <f>S19/S11</f>
        <v>#DIV/0!</v>
      </c>
      <c r="T20" s="17">
        <f>T19/T11</f>
        <v>-44.843326885880074</v>
      </c>
      <c r="U20" s="17">
        <f>U19/U11</f>
        <v>-98.760797342192689</v>
      </c>
      <c r="V20" s="17">
        <f>V19/V11</f>
        <v>-32.39043824701195</v>
      </c>
      <c r="X20" s="17">
        <f>X19/X11</f>
        <v>-64.059309309309313</v>
      </c>
      <c r="Y20" s="17">
        <f>Y19/Y11</f>
        <v>-3017</v>
      </c>
      <c r="Z20" s="17" t="e">
        <f>Z19/Z11</f>
        <v>#DIV/0!</v>
      </c>
      <c r="AA20" s="17" t="e">
        <f>AA19/AA11</f>
        <v>#DIV/0!</v>
      </c>
      <c r="AB20" s="17" t="e">
        <f>AB19/AB11</f>
        <v>#DIV/0!</v>
      </c>
      <c r="AC20" s="17" t="e">
        <f>AC19/AC11</f>
        <v>#DIV/0!</v>
      </c>
      <c r="AD20" s="17" t="e">
        <f>AD19/AD11</f>
        <v>#DIV/0!</v>
      </c>
      <c r="AE20" s="17" t="e">
        <f>AE19/AE11</f>
        <v>#DIV/0!</v>
      </c>
      <c r="AF20" s="17">
        <f>AF19/AF11</f>
        <v>-214.70793036750484</v>
      </c>
      <c r="AG20" s="17">
        <f>AG19/AG11</f>
        <v>-135.98044009779952</v>
      </c>
      <c r="AH20" s="17">
        <f>AH19/AH11</f>
        <v>-67.084022915340555</v>
      </c>
      <c r="AI20" s="11"/>
      <c r="AJ20" s="78" t="e">
        <f>SUM(AH20-AD20)*1000</f>
        <v>#DIV/0!</v>
      </c>
    </row>
    <row r="21" spans="2:36" ht="5.0999999999999996" customHeight="1">
      <c r="B21" s="16"/>
      <c r="C21" s="17"/>
      <c r="D21" s="17"/>
      <c r="E21" s="17"/>
      <c r="F21" s="17"/>
      <c r="G21" s="32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32"/>
      <c r="U21" s="83"/>
      <c r="V21" s="83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11"/>
      <c r="AJ21" s="76"/>
    </row>
    <row r="22" spans="2:36" ht="12.75" customHeight="1">
      <c r="B22" s="9" t="s">
        <v>127</v>
      </c>
      <c r="C22" s="83">
        <v>16</v>
      </c>
      <c r="D22" s="83">
        <v>2629</v>
      </c>
      <c r="E22" s="83">
        <v>5467</v>
      </c>
      <c r="F22" s="83">
        <v>4104</v>
      </c>
      <c r="G22" s="32"/>
      <c r="H22" s="83">
        <v>31</v>
      </c>
      <c r="I22" s="83">
        <v>301</v>
      </c>
      <c r="J22" s="83">
        <v>883</v>
      </c>
      <c r="K22" s="32">
        <f>SUM(D22-SUM(H22:J22))</f>
        <v>1414</v>
      </c>
      <c r="L22" s="83">
        <v>1475</v>
      </c>
      <c r="M22" s="83">
        <v>1479</v>
      </c>
      <c r="N22" s="83">
        <v>1369</v>
      </c>
      <c r="O22" s="32">
        <f>SUM(E22-SUM(L22:N22))</f>
        <v>1144</v>
      </c>
      <c r="P22" s="83">
        <v>1031</v>
      </c>
      <c r="Q22" s="83">
        <v>1310</v>
      </c>
      <c r="R22" s="83">
        <v>911</v>
      </c>
      <c r="S22" s="32">
        <f>SUM(F22-SUM(P22:R22))</f>
        <v>852</v>
      </c>
      <c r="T22" s="83">
        <v>662</v>
      </c>
      <c r="U22" s="83">
        <v>832</v>
      </c>
      <c r="V22" s="83">
        <v>590</v>
      </c>
      <c r="X22" s="32">
        <f t="shared" ref="X22:AG24" si="20">SUM(I22:L22)</f>
        <v>4073</v>
      </c>
      <c r="Y22" s="32">
        <f t="shared" si="20"/>
        <v>5251</v>
      </c>
      <c r="Z22" s="32">
        <f t="shared" si="20"/>
        <v>5737</v>
      </c>
      <c r="AA22" s="32">
        <f t="shared" si="20"/>
        <v>5467</v>
      </c>
      <c r="AB22" s="32">
        <f t="shared" si="20"/>
        <v>5023</v>
      </c>
      <c r="AC22" s="32">
        <f t="shared" si="20"/>
        <v>4854</v>
      </c>
      <c r="AD22" s="32">
        <f t="shared" si="20"/>
        <v>4396</v>
      </c>
      <c r="AE22" s="32">
        <f t="shared" si="20"/>
        <v>4104</v>
      </c>
      <c r="AF22" s="32">
        <f t="shared" si="20"/>
        <v>3735</v>
      </c>
      <c r="AG22" s="32">
        <f t="shared" si="20"/>
        <v>3257</v>
      </c>
      <c r="AH22" s="32">
        <f>SUM(S22:V22)</f>
        <v>2936</v>
      </c>
      <c r="AI22" s="11"/>
      <c r="AJ22" s="76">
        <f>SUM(AH22/AD22)-1</f>
        <v>-0.33212010919017287</v>
      </c>
    </row>
    <row r="23" spans="2:36" ht="12.75" customHeight="1">
      <c r="B23" s="9" t="s">
        <v>128</v>
      </c>
      <c r="C23" s="83">
        <v>-4348</v>
      </c>
      <c r="D23" s="83">
        <v>-6200</v>
      </c>
      <c r="E23" s="83">
        <v>-6599</v>
      </c>
      <c r="F23" s="83">
        <v>-9277</v>
      </c>
      <c r="G23" s="32"/>
      <c r="H23" s="83">
        <v>-1432</v>
      </c>
      <c r="I23" s="83">
        <v>-1488</v>
      </c>
      <c r="J23" s="83">
        <v>-1641</v>
      </c>
      <c r="K23" s="32">
        <f t="shared" ref="K23:K24" si="21">SUM(D23-SUM(H23:J23))</f>
        <v>-1639</v>
      </c>
      <c r="L23" s="83">
        <v>-1699</v>
      </c>
      <c r="M23" s="83">
        <v>-1710</v>
      </c>
      <c r="N23" s="83">
        <v>-1463</v>
      </c>
      <c r="O23" s="32">
        <f t="shared" ref="O23:O24" si="22">SUM(E23-SUM(L23:N23))</f>
        <v>-1727</v>
      </c>
      <c r="P23" s="83">
        <v>-1816</v>
      </c>
      <c r="Q23" s="83">
        <v>-2515</v>
      </c>
      <c r="R23" s="83">
        <v>-2438</v>
      </c>
      <c r="S23" s="32">
        <f t="shared" ref="S23:S24" si="23">SUM(F23-SUM(P23:R23))</f>
        <v>-2508</v>
      </c>
      <c r="T23" s="83">
        <v>-3000</v>
      </c>
      <c r="U23" s="83">
        <v>-2545</v>
      </c>
      <c r="V23" s="83">
        <v>-2612</v>
      </c>
      <c r="X23" s="32">
        <f t="shared" si="20"/>
        <v>-6467</v>
      </c>
      <c r="Y23" s="32">
        <f t="shared" si="20"/>
        <v>-6689</v>
      </c>
      <c r="Z23" s="32">
        <f t="shared" si="20"/>
        <v>-6511</v>
      </c>
      <c r="AA23" s="32">
        <f t="shared" si="20"/>
        <v>-6599</v>
      </c>
      <c r="AB23" s="32">
        <f t="shared" si="20"/>
        <v>-6716</v>
      </c>
      <c r="AC23" s="32">
        <f t="shared" si="20"/>
        <v>-7521</v>
      </c>
      <c r="AD23" s="32">
        <f t="shared" si="20"/>
        <v>-8496</v>
      </c>
      <c r="AE23" s="32">
        <f t="shared" si="20"/>
        <v>-9277</v>
      </c>
      <c r="AF23" s="32">
        <f t="shared" si="20"/>
        <v>-10461</v>
      </c>
      <c r="AG23" s="32">
        <f t="shared" si="20"/>
        <v>-10491</v>
      </c>
      <c r="AH23" s="32">
        <f>SUM(S23:V23)</f>
        <v>-10665</v>
      </c>
      <c r="AI23" s="11"/>
      <c r="AJ23" s="76">
        <f>SUM(AH23/AD23)-1</f>
        <v>0.25529661016949157</v>
      </c>
    </row>
    <row r="24" spans="2:36" ht="12.75" customHeight="1">
      <c r="B24" s="9" t="s">
        <v>130</v>
      </c>
      <c r="C24" s="83">
        <f>3291+55772</f>
        <v>59063</v>
      </c>
      <c r="D24" s="83">
        <f>75767+417</f>
        <v>76184</v>
      </c>
      <c r="E24" s="83">
        <f>686-10023-260</f>
        <v>-9597</v>
      </c>
      <c r="F24" s="83">
        <f>-33045+3915</f>
        <v>-29130</v>
      </c>
      <c r="G24" s="32"/>
      <c r="H24" s="83">
        <f>74+3258</f>
        <v>3332</v>
      </c>
      <c r="I24" s="83">
        <f>233+56353</f>
        <v>56586</v>
      </c>
      <c r="J24" s="83">
        <f>-67-962</f>
        <v>-1029</v>
      </c>
      <c r="K24" s="32">
        <f t="shared" si="21"/>
        <v>17295</v>
      </c>
      <c r="L24" s="83">
        <f>-42-14191</f>
        <v>-14233</v>
      </c>
      <c r="M24" s="83">
        <f>686-57+3627</f>
        <v>4256</v>
      </c>
      <c r="N24" s="83">
        <f>-1144-135</f>
        <v>-1279</v>
      </c>
      <c r="O24" s="32">
        <f t="shared" si="22"/>
        <v>1659</v>
      </c>
      <c r="P24" s="83">
        <f>-4593+60</f>
        <v>-4533</v>
      </c>
      <c r="Q24" s="83">
        <f>-25571-388</f>
        <v>-25959</v>
      </c>
      <c r="R24" s="83">
        <f>-8489+1047</f>
        <v>-7442</v>
      </c>
      <c r="S24" s="32">
        <f t="shared" si="23"/>
        <v>8804</v>
      </c>
      <c r="T24" s="83">
        <f>49731+14930</f>
        <v>64661</v>
      </c>
      <c r="U24" s="83">
        <f>-5470-748</f>
        <v>-6218</v>
      </c>
      <c r="V24" s="83">
        <f>4893+4009</f>
        <v>8902</v>
      </c>
      <c r="X24" s="32">
        <f t="shared" si="20"/>
        <v>58619</v>
      </c>
      <c r="Y24" s="32">
        <f t="shared" si="20"/>
        <v>6289</v>
      </c>
      <c r="Z24" s="32">
        <f t="shared" si="20"/>
        <v>6039</v>
      </c>
      <c r="AA24" s="32">
        <f t="shared" si="20"/>
        <v>-9597</v>
      </c>
      <c r="AB24" s="32">
        <f t="shared" si="20"/>
        <v>103</v>
      </c>
      <c r="AC24" s="32">
        <f t="shared" si="20"/>
        <v>-30112</v>
      </c>
      <c r="AD24" s="32">
        <f t="shared" si="20"/>
        <v>-36275</v>
      </c>
      <c r="AE24" s="32">
        <f t="shared" si="20"/>
        <v>-29130</v>
      </c>
      <c r="AF24" s="32">
        <f t="shared" si="20"/>
        <v>40064</v>
      </c>
      <c r="AG24" s="32">
        <f t="shared" si="20"/>
        <v>59805</v>
      </c>
      <c r="AH24" s="32">
        <f>SUM(S24:V24)</f>
        <v>76149</v>
      </c>
      <c r="AI24" s="11"/>
      <c r="AJ24" s="76">
        <f>SUM(AH24/AD24)-1</f>
        <v>-3.0992143349414198</v>
      </c>
    </row>
    <row r="25" spans="2:36" ht="12.75" customHeight="1">
      <c r="B25" s="25" t="s">
        <v>83</v>
      </c>
      <c r="C25" s="26">
        <f>SUM(C19+SUM(C22:C24))</f>
        <v>-26477</v>
      </c>
      <c r="D25" s="26">
        <f>SUM(D19+SUM(D22:D24))</f>
        <v>-11965</v>
      </c>
      <c r="E25" s="26">
        <f>SUM(E19+SUM(E22:E24))</f>
        <v>-110776</v>
      </c>
      <c r="F25" s="26">
        <f>SUM(F19+SUM(F22:F24))</f>
        <v>-148701</v>
      </c>
      <c r="H25" s="26">
        <f>SUM(H19+SUM(H22:H24))</f>
        <v>-19832</v>
      </c>
      <c r="I25" s="26">
        <f>SUM(I19+SUM(I22:I24))</f>
        <v>36868</v>
      </c>
      <c r="J25" s="26">
        <f>SUM(J19+SUM(J22:J24))</f>
        <v>-25281</v>
      </c>
      <c r="K25" s="26">
        <f>SUM(K19+SUM(K22:K24))</f>
        <v>-3720</v>
      </c>
      <c r="L25" s="26">
        <f>SUM(L19+SUM(L22:L24))</f>
        <v>-36969</v>
      </c>
      <c r="M25" s="26">
        <f>SUM(M19+SUM(M22:M24))</f>
        <v>-22706</v>
      </c>
      <c r="N25" s="26">
        <f>SUM(N19+SUM(N22:N24))</f>
        <v>-25995</v>
      </c>
      <c r="O25" s="26">
        <f>SUM(O19+SUM(O22:O24))</f>
        <v>-25106</v>
      </c>
      <c r="P25" s="26">
        <f>SUM(P19+SUM(P22:P24))</f>
        <v>-31896</v>
      </c>
      <c r="Q25" s="26">
        <f>SUM(Q19+SUM(Q22:Q24))</f>
        <v>-56663</v>
      </c>
      <c r="R25" s="26">
        <f>SUM(R19+SUM(R22:R24))</f>
        <v>-39202</v>
      </c>
      <c r="S25" s="26">
        <f>SUM(S19+SUM(S22:S24))</f>
        <v>-20940</v>
      </c>
      <c r="T25" s="26">
        <f>SUM(T19+SUM(T22:T24))</f>
        <v>39139</v>
      </c>
      <c r="U25" s="26">
        <f>SUM(U19+SUM(U22:U24))</f>
        <v>-37658</v>
      </c>
      <c r="V25" s="26">
        <f>SUM(V19+SUM(V22:V24))</f>
        <v>-17510</v>
      </c>
      <c r="X25" s="26">
        <f>SUM(X19+SUM(X22:X24))</f>
        <v>-29102</v>
      </c>
      <c r="Y25" s="26">
        <f>SUM(Y19+SUM(Y22:Y24))</f>
        <v>-88676</v>
      </c>
      <c r="Z25" s="26">
        <f>SUM(Z19+SUM(Z22:Z24))</f>
        <v>-89390</v>
      </c>
      <c r="AA25" s="26">
        <f>SUM(AA19+SUM(AA22:AA24))</f>
        <v>-110776</v>
      </c>
      <c r="AB25" s="26">
        <f>SUM(AB19+SUM(AB22:AB24))</f>
        <v>-105703</v>
      </c>
      <c r="AC25" s="26">
        <f>SUM(AC19+SUM(AC22:AC24))</f>
        <v>-139660</v>
      </c>
      <c r="AD25" s="26">
        <f>SUM(AD19+SUM(AD22:AD24))</f>
        <v>-152867</v>
      </c>
      <c r="AE25" s="26">
        <f>SUM(AE19+SUM(AE22:AE24))</f>
        <v>-148701</v>
      </c>
      <c r="AF25" s="26">
        <f>SUM(AF19+SUM(AF22:AF24))</f>
        <v>-77666</v>
      </c>
      <c r="AG25" s="26">
        <f>SUM(AG19+SUM(AG22:AG24))</f>
        <v>-58661</v>
      </c>
      <c r="AH25" s="26">
        <f>SUM(AH19+SUM(AH22:AH24))</f>
        <v>-36969</v>
      </c>
      <c r="AI25" s="42"/>
      <c r="AJ25" s="77">
        <f>SUM(AH25/AD25)-1</f>
        <v>-0.75816232411180962</v>
      </c>
    </row>
    <row r="26" spans="2:36" ht="12.75" customHeight="1">
      <c r="B26" s="16" t="s">
        <v>84</v>
      </c>
      <c r="C26" s="17">
        <f>C25/C11</f>
        <v>-20.963578780680919</v>
      </c>
      <c r="D26" s="17">
        <f>D25/D11</f>
        <v>-7.6453674121405752</v>
      </c>
      <c r="E26" s="17" t="e">
        <f>E25/E11</f>
        <v>#DIV/0!</v>
      </c>
      <c r="F26" s="17" t="e">
        <f>F25/F11</f>
        <v>#DIV/0!</v>
      </c>
      <c r="G26" s="27"/>
      <c r="H26" s="17">
        <f>H25/H11</f>
        <v>-85.115879828326186</v>
      </c>
      <c r="I26" s="17">
        <f>I25/I11</f>
        <v>28.338201383551116</v>
      </c>
      <c r="J26" s="17">
        <f>J25/J11</f>
        <v>-815.51612903225805</v>
      </c>
      <c r="K26" s="17" t="e">
        <f>K25/K11</f>
        <v>#DIV/0!</v>
      </c>
      <c r="L26" s="17" t="e">
        <f>L25/L11</f>
        <v>#DIV/0!</v>
      </c>
      <c r="M26" s="17" t="e">
        <f>M25/M11</f>
        <v>#DIV/0!</v>
      </c>
      <c r="N26" s="17" t="e">
        <f>N25/N11</f>
        <v>#DIV/0!</v>
      </c>
      <c r="O26" s="17" t="e">
        <f>O25/O11</f>
        <v>#DIV/0!</v>
      </c>
      <c r="P26" s="17" t="e">
        <f>P25/P11</f>
        <v>#DIV/0!</v>
      </c>
      <c r="Q26" s="17" t="e">
        <f>Q25/Q11</f>
        <v>#DIV/0!</v>
      </c>
      <c r="R26" s="17" t="e">
        <f>R25/R11</f>
        <v>#DIV/0!</v>
      </c>
      <c r="S26" s="17" t="e">
        <f>S25/S11</f>
        <v>#DIV/0!</v>
      </c>
      <c r="T26" s="17">
        <f>T25/T11</f>
        <v>75.704061895551263</v>
      </c>
      <c r="U26" s="17">
        <f>U25/U11</f>
        <v>-125.10963455149502</v>
      </c>
      <c r="V26" s="17">
        <f>V25/V11</f>
        <v>-23.253652058432934</v>
      </c>
      <c r="W26" s="28"/>
      <c r="X26" s="17">
        <f>X25/X11</f>
        <v>-21.848348348348349</v>
      </c>
      <c r="Y26" s="17">
        <f>Y25/Y11</f>
        <v>-2860.516129032258</v>
      </c>
      <c r="Z26" s="17" t="e">
        <f>Z25/Z11</f>
        <v>#DIV/0!</v>
      </c>
      <c r="AA26" s="17" t="e">
        <f>AA25/AA11</f>
        <v>#DIV/0!</v>
      </c>
      <c r="AB26" s="17" t="e">
        <f>AB25/AB11</f>
        <v>#DIV/0!</v>
      </c>
      <c r="AC26" s="17" t="e">
        <f>AC25/AC11</f>
        <v>#DIV/0!</v>
      </c>
      <c r="AD26" s="17" t="e">
        <f>AD25/AD11</f>
        <v>#DIV/0!</v>
      </c>
      <c r="AE26" s="17" t="e">
        <f>AE25/AE11</f>
        <v>#DIV/0!</v>
      </c>
      <c r="AF26" s="17">
        <f>AF25/AF11</f>
        <v>-150.22437137330755</v>
      </c>
      <c r="AG26" s="17">
        <f>AG25/AG11</f>
        <v>-71.712713936430319</v>
      </c>
      <c r="AH26" s="17">
        <f>AH25/AH11</f>
        <v>-23.532145130490132</v>
      </c>
      <c r="AI26" s="43"/>
      <c r="AJ26" s="78" t="e">
        <f>SUM(AH26-AD26)*1000</f>
        <v>#DIV/0!</v>
      </c>
    </row>
    <row r="27" spans="2:36" ht="5.0999999999999996" customHeight="1">
      <c r="B27" s="29"/>
      <c r="C27" s="44"/>
      <c r="D27" s="44"/>
      <c r="E27" s="44"/>
      <c r="F27" s="44"/>
      <c r="G27" s="30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3"/>
      <c r="AJ27" s="76"/>
    </row>
    <row r="28" spans="2:36" ht="12.75" customHeight="1">
      <c r="B28" s="45" t="s">
        <v>65</v>
      </c>
      <c r="C28" s="83">
        <v>0</v>
      </c>
      <c r="D28" s="83">
        <v>0</v>
      </c>
      <c r="E28" s="83">
        <v>0</v>
      </c>
      <c r="F28" s="83">
        <v>0</v>
      </c>
      <c r="G28" s="32"/>
      <c r="H28" s="83">
        <v>0</v>
      </c>
      <c r="I28" s="83">
        <v>0</v>
      </c>
      <c r="J28" s="83">
        <v>0</v>
      </c>
      <c r="K28" s="32">
        <f t="shared" ref="K28" si="24">SUM(D28-SUM(H28:J28))</f>
        <v>0</v>
      </c>
      <c r="L28" s="83">
        <v>0</v>
      </c>
      <c r="M28" s="83">
        <v>0</v>
      </c>
      <c r="N28" s="83">
        <v>0</v>
      </c>
      <c r="O28" s="32">
        <f t="shared" ref="O28" si="25">SUM(E28-SUM(L28:N28))</f>
        <v>0</v>
      </c>
      <c r="P28" s="83">
        <v>0</v>
      </c>
      <c r="Q28" s="83">
        <v>0</v>
      </c>
      <c r="R28" s="83">
        <v>0</v>
      </c>
      <c r="S28" s="32">
        <f t="shared" ref="S28" si="26">SUM(F28-SUM(P28:R28))</f>
        <v>0</v>
      </c>
      <c r="T28" s="83">
        <v>0</v>
      </c>
      <c r="U28" s="83">
        <v>0</v>
      </c>
      <c r="V28" s="83">
        <v>0</v>
      </c>
      <c r="W28" s="32"/>
      <c r="X28" s="32">
        <f t="shared" ref="X28:AG28" si="27">SUM(I28:L28)</f>
        <v>0</v>
      </c>
      <c r="Y28" s="32">
        <f t="shared" si="27"/>
        <v>0</v>
      </c>
      <c r="Z28" s="32">
        <f t="shared" si="27"/>
        <v>0</v>
      </c>
      <c r="AA28" s="32">
        <f t="shared" si="27"/>
        <v>0</v>
      </c>
      <c r="AB28" s="32">
        <f t="shared" si="27"/>
        <v>0</v>
      </c>
      <c r="AC28" s="32">
        <f t="shared" si="27"/>
        <v>0</v>
      </c>
      <c r="AD28" s="32">
        <f t="shared" si="27"/>
        <v>0</v>
      </c>
      <c r="AE28" s="32">
        <f t="shared" si="27"/>
        <v>0</v>
      </c>
      <c r="AF28" s="32">
        <f t="shared" si="27"/>
        <v>0</v>
      </c>
      <c r="AG28" s="32">
        <f t="shared" si="27"/>
        <v>0</v>
      </c>
      <c r="AH28" s="32">
        <f>SUM(S28:V28)</f>
        <v>0</v>
      </c>
      <c r="AI28" s="43"/>
      <c r="AJ28" s="76" t="e">
        <f>SUM(AH28/AD28)-1</f>
        <v>#DIV/0!</v>
      </c>
    </row>
    <row r="29" spans="2:36" ht="12.75" customHeight="1">
      <c r="B29" s="13" t="s">
        <v>51</v>
      </c>
      <c r="C29" s="14">
        <f t="shared" ref="C29:F29" si="28">SUM(C25+SUM(C28:C28))</f>
        <v>-26477</v>
      </c>
      <c r="D29" s="14">
        <f t="shared" si="28"/>
        <v>-11965</v>
      </c>
      <c r="E29" s="14">
        <f t="shared" si="28"/>
        <v>-110776</v>
      </c>
      <c r="F29" s="14">
        <f t="shared" si="28"/>
        <v>-148701</v>
      </c>
      <c r="G29" s="11"/>
      <c r="H29" s="14">
        <f t="shared" ref="H29:K29" si="29">SUM(H25+SUM(H28:H28))</f>
        <v>-19832</v>
      </c>
      <c r="I29" s="14">
        <f t="shared" si="29"/>
        <v>36868</v>
      </c>
      <c r="J29" s="14">
        <f t="shared" si="29"/>
        <v>-25281</v>
      </c>
      <c r="K29" s="14">
        <f t="shared" si="29"/>
        <v>-3720</v>
      </c>
      <c r="L29" s="14">
        <f t="shared" ref="L29:V29" si="30">SUM(L25+SUM(L28:L28))</f>
        <v>-36969</v>
      </c>
      <c r="M29" s="14">
        <f t="shared" si="30"/>
        <v>-22706</v>
      </c>
      <c r="N29" s="14">
        <f t="shared" si="30"/>
        <v>-25995</v>
      </c>
      <c r="O29" s="14">
        <f t="shared" si="30"/>
        <v>-25106</v>
      </c>
      <c r="P29" s="14">
        <f t="shared" si="30"/>
        <v>-31896</v>
      </c>
      <c r="Q29" s="14">
        <f t="shared" si="30"/>
        <v>-56663</v>
      </c>
      <c r="R29" s="14">
        <f t="shared" si="30"/>
        <v>-39202</v>
      </c>
      <c r="S29" s="14">
        <f t="shared" si="30"/>
        <v>-20940</v>
      </c>
      <c r="T29" s="14">
        <f t="shared" si="30"/>
        <v>39139</v>
      </c>
      <c r="U29" s="14">
        <f t="shared" si="30"/>
        <v>-37658</v>
      </c>
      <c r="V29" s="14">
        <f t="shared" si="30"/>
        <v>-17510</v>
      </c>
      <c r="W29" s="32"/>
      <c r="X29" s="14">
        <f t="shared" ref="X29:AH29" si="31">SUM(X25+SUM(X28:X28))</f>
        <v>-29102</v>
      </c>
      <c r="Y29" s="14">
        <f t="shared" si="31"/>
        <v>-88676</v>
      </c>
      <c r="Z29" s="14">
        <f t="shared" si="31"/>
        <v>-89390</v>
      </c>
      <c r="AA29" s="14">
        <f t="shared" si="31"/>
        <v>-110776</v>
      </c>
      <c r="AB29" s="14">
        <f t="shared" si="31"/>
        <v>-105703</v>
      </c>
      <c r="AC29" s="14">
        <f t="shared" si="31"/>
        <v>-139660</v>
      </c>
      <c r="AD29" s="14">
        <f t="shared" si="31"/>
        <v>-152867</v>
      </c>
      <c r="AE29" s="14">
        <f t="shared" si="31"/>
        <v>-148701</v>
      </c>
      <c r="AF29" s="14">
        <f t="shared" si="31"/>
        <v>-77666</v>
      </c>
      <c r="AG29" s="14">
        <f t="shared" si="31"/>
        <v>-58661</v>
      </c>
      <c r="AH29" s="14">
        <f t="shared" si="31"/>
        <v>-36969</v>
      </c>
      <c r="AI29" s="36"/>
      <c r="AJ29" s="77">
        <f>SUM(AH29/AD29)-1</f>
        <v>-0.75816232411180962</v>
      </c>
    </row>
    <row r="30" spans="2:36" ht="12.75" customHeight="1">
      <c r="B30" s="16" t="s">
        <v>67</v>
      </c>
      <c r="C30" s="17">
        <f>C29/C11</f>
        <v>-20.963578780680919</v>
      </c>
      <c r="D30" s="17">
        <f>D29/D11</f>
        <v>-7.6453674121405752</v>
      </c>
      <c r="E30" s="17" t="e">
        <f>E29/E11</f>
        <v>#DIV/0!</v>
      </c>
      <c r="F30" s="17" t="e">
        <f>F29/F11</f>
        <v>#DIV/0!</v>
      </c>
      <c r="G30" s="27"/>
      <c r="H30" s="17">
        <f>H29/H11</f>
        <v>-85.115879828326186</v>
      </c>
      <c r="I30" s="17">
        <f>I29/I11</f>
        <v>28.338201383551116</v>
      </c>
      <c r="J30" s="17">
        <f>J29/J11</f>
        <v>-815.51612903225805</v>
      </c>
      <c r="K30" s="17" t="e">
        <f>K29/K11</f>
        <v>#DIV/0!</v>
      </c>
      <c r="L30" s="17" t="e">
        <f>L29/L11</f>
        <v>#DIV/0!</v>
      </c>
      <c r="M30" s="17" t="e">
        <f>M29/M11</f>
        <v>#DIV/0!</v>
      </c>
      <c r="N30" s="17" t="e">
        <f>N29/N11</f>
        <v>#DIV/0!</v>
      </c>
      <c r="O30" s="17" t="e">
        <f>O29/O11</f>
        <v>#DIV/0!</v>
      </c>
      <c r="P30" s="17" t="e">
        <f>P29/P11</f>
        <v>#DIV/0!</v>
      </c>
      <c r="Q30" s="17" t="e">
        <f>Q29/Q11</f>
        <v>#DIV/0!</v>
      </c>
      <c r="R30" s="17" t="e">
        <f>R29/R11</f>
        <v>#DIV/0!</v>
      </c>
      <c r="S30" s="17" t="e">
        <f>S29/S11</f>
        <v>#DIV/0!</v>
      </c>
      <c r="T30" s="17">
        <f>T29/T11</f>
        <v>75.704061895551263</v>
      </c>
      <c r="U30" s="17">
        <f>U29/U11</f>
        <v>-125.10963455149502</v>
      </c>
      <c r="V30" s="17">
        <f>V29/V11</f>
        <v>-23.253652058432934</v>
      </c>
      <c r="W30" s="28"/>
      <c r="X30" s="17">
        <f>X29/X11</f>
        <v>-21.848348348348349</v>
      </c>
      <c r="Y30" s="17">
        <f>Y29/Y11</f>
        <v>-2860.516129032258</v>
      </c>
      <c r="Z30" s="17" t="e">
        <f>Z29/Z11</f>
        <v>#DIV/0!</v>
      </c>
      <c r="AA30" s="17" t="e">
        <f>AA29/AA11</f>
        <v>#DIV/0!</v>
      </c>
      <c r="AB30" s="17" t="e">
        <f>AB29/AB11</f>
        <v>#DIV/0!</v>
      </c>
      <c r="AC30" s="17" t="e">
        <f>AC29/AC11</f>
        <v>#DIV/0!</v>
      </c>
      <c r="AD30" s="17" t="e">
        <f>AD29/AD11</f>
        <v>#DIV/0!</v>
      </c>
      <c r="AE30" s="17" t="e">
        <f>AE29/AE11</f>
        <v>#DIV/0!</v>
      </c>
      <c r="AF30" s="17">
        <f>AF29/AF11</f>
        <v>-150.22437137330755</v>
      </c>
      <c r="AG30" s="17">
        <f>AG29/AG11</f>
        <v>-71.712713936430319</v>
      </c>
      <c r="AH30" s="17">
        <f>AH29/AH11</f>
        <v>-23.532145130490132</v>
      </c>
      <c r="AI30" s="43"/>
      <c r="AJ30" s="78" t="e">
        <f>SUM(AH30-AD30)*1000</f>
        <v>#DIV/0!</v>
      </c>
    </row>
    <row r="31" spans="2:36" ht="5.0999999999999996" customHeight="1">
      <c r="B31" s="16"/>
      <c r="C31" s="17"/>
      <c r="D31" s="17"/>
      <c r="E31" s="17"/>
      <c r="F31" s="17"/>
      <c r="G31" s="2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28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43"/>
      <c r="AJ31" s="78"/>
    </row>
    <row r="32" spans="2:36" ht="12.75" customHeight="1">
      <c r="B32" s="45" t="s">
        <v>97</v>
      </c>
      <c r="C32" s="83">
        <f>C35-(6711.192+5588.506 )</f>
        <v>27670.7</v>
      </c>
      <c r="D32" s="83">
        <f>D35-(7203.874 +5588.506 )</f>
        <v>90258.98599999999</v>
      </c>
      <c r="E32" s="83">
        <f>E35-(11919.421 +5588.506 )</f>
        <v>85912.311000000002</v>
      </c>
      <c r="F32" s="83">
        <f>F35-(14079.314 +12274.139 )</f>
        <v>92125.644</v>
      </c>
      <c r="G32" s="27"/>
      <c r="H32" s="83">
        <f>H35-(6641.647+5588.506)</f>
        <v>90773.934999999998</v>
      </c>
      <c r="I32" s="83">
        <v>103005.651</v>
      </c>
      <c r="J32" s="83">
        <f>J35-(6722.422+5588.506)</f>
        <v>90721.051999999996</v>
      </c>
      <c r="K32" s="32">
        <f>D32</f>
        <v>90258.98599999999</v>
      </c>
      <c r="L32" s="83">
        <f>L35-(7174.56+5588.506)</f>
        <v>90500.462</v>
      </c>
      <c r="M32" s="83">
        <f>M35-(7263.434 +5588.506)</f>
        <v>90509.561000000002</v>
      </c>
      <c r="N32" s="83">
        <f>N35-(7170.891 +5588.506)</f>
        <v>90684.849000000002</v>
      </c>
      <c r="O32" s="32">
        <f>E32</f>
        <v>85912.311000000002</v>
      </c>
      <c r="P32" s="83">
        <v>108246.008</v>
      </c>
      <c r="Q32" s="83">
        <v>119174.681</v>
      </c>
      <c r="R32" s="83">
        <f>R35-(12287.369 +5588.506)</f>
        <v>101532.69</v>
      </c>
      <c r="S32" s="32">
        <f>F32</f>
        <v>92125.644</v>
      </c>
      <c r="T32" s="83">
        <v>131496.87700000001</v>
      </c>
      <c r="U32" s="83">
        <v>155437.28099999999</v>
      </c>
      <c r="V32" s="83">
        <f>V35-(16537.95+9833.91)</f>
        <v>131941.43</v>
      </c>
      <c r="W32" s="136"/>
      <c r="X32" s="32">
        <f t="shared" ref="X32:AG32" si="32">L32</f>
        <v>90500.462</v>
      </c>
      <c r="Y32" s="32">
        <f t="shared" si="32"/>
        <v>90509.561000000002</v>
      </c>
      <c r="Z32" s="32">
        <f t="shared" si="32"/>
        <v>90684.849000000002</v>
      </c>
      <c r="AA32" s="32">
        <f t="shared" si="32"/>
        <v>85912.311000000002</v>
      </c>
      <c r="AB32" s="32">
        <f t="shared" si="32"/>
        <v>108246.008</v>
      </c>
      <c r="AC32" s="32">
        <f t="shared" si="32"/>
        <v>119174.681</v>
      </c>
      <c r="AD32" s="32">
        <f t="shared" si="32"/>
        <v>101532.69</v>
      </c>
      <c r="AE32" s="32">
        <f t="shared" si="32"/>
        <v>92125.644</v>
      </c>
      <c r="AF32" s="32">
        <f t="shared" si="32"/>
        <v>131496.87700000001</v>
      </c>
      <c r="AG32" s="32">
        <f t="shared" si="32"/>
        <v>155437.28099999999</v>
      </c>
      <c r="AH32" s="32">
        <f>V32</f>
        <v>131941.43</v>
      </c>
      <c r="AI32" s="43"/>
      <c r="AJ32" s="76">
        <f>SUM(AH32/AD32)-1</f>
        <v>0.29949703883547252</v>
      </c>
    </row>
    <row r="33" spans="1:36" ht="12.75" customHeight="1">
      <c r="B33" s="13" t="s">
        <v>68</v>
      </c>
      <c r="C33" s="147">
        <f t="shared" ref="C33:E33" si="33">C29/C32</f>
        <v>-0.95686050587805871</v>
      </c>
      <c r="D33" s="147">
        <f t="shared" si="33"/>
        <v>-0.13256297827232405</v>
      </c>
      <c r="E33" s="147">
        <f t="shared" si="33"/>
        <v>-1.2894077543787641</v>
      </c>
      <c r="F33" s="147">
        <f>F29/F32</f>
        <v>-1.614110833244216</v>
      </c>
      <c r="G33" s="27"/>
      <c r="H33" s="147">
        <f t="shared" ref="H33:K33" si="34">H29/H32</f>
        <v>-0.21847681275467457</v>
      </c>
      <c r="I33" s="147">
        <f t="shared" si="34"/>
        <v>0.35792211050634493</v>
      </c>
      <c r="J33" s="147">
        <f t="shared" si="34"/>
        <v>-0.27866740346000396</v>
      </c>
      <c r="K33" s="147">
        <f t="shared" si="34"/>
        <v>-4.1214732902051444E-2</v>
      </c>
      <c r="L33" s="147">
        <f t="shared" ref="L33:Q33" si="35">L29/L32</f>
        <v>-0.40849515221259314</v>
      </c>
      <c r="M33" s="147">
        <f t="shared" si="35"/>
        <v>-0.25086852426562978</v>
      </c>
      <c r="N33" s="147">
        <f t="shared" si="35"/>
        <v>-0.28665207349024752</v>
      </c>
      <c r="O33" s="147">
        <f t="shared" si="35"/>
        <v>-0.2922281999840512</v>
      </c>
      <c r="P33" s="147">
        <f t="shared" si="35"/>
        <v>-0.29466213663971791</v>
      </c>
      <c r="Q33" s="147">
        <f t="shared" si="35"/>
        <v>-0.47546172999615582</v>
      </c>
      <c r="R33" s="147">
        <f>R29/R32</f>
        <v>-0.38610224943316285</v>
      </c>
      <c r="S33" s="147">
        <f t="shared" ref="S33:V33" si="36">S29/S32</f>
        <v>-0.227298275385733</v>
      </c>
      <c r="T33" s="147">
        <f t="shared" si="36"/>
        <v>0.29764204970434394</v>
      </c>
      <c r="U33" s="147">
        <f t="shared" si="36"/>
        <v>-0.2422713505905961</v>
      </c>
      <c r="V33" s="147">
        <f t="shared" si="36"/>
        <v>-0.13271040036476792</v>
      </c>
      <c r="W33" s="136"/>
      <c r="X33" s="147">
        <f t="shared" ref="X33" si="37">X29/X32</f>
        <v>-0.32156741918068882</v>
      </c>
      <c r="Y33" s="147">
        <f t="shared" ref="Y33" si="38">Y29/Y32</f>
        <v>-0.97974179766488978</v>
      </c>
      <c r="Z33" s="147">
        <f t="shared" ref="Z33" si="39">Z29/Z32</f>
        <v>-0.98572144063447686</v>
      </c>
      <c r="AA33" s="147">
        <f t="shared" ref="AA33" si="40">AA29/AA32</f>
        <v>-1.2894077543787641</v>
      </c>
      <c r="AB33" s="147">
        <f t="shared" ref="AB33" si="41">AB29/AB32</f>
        <v>-0.97650714287773088</v>
      </c>
      <c r="AC33" s="147">
        <f t="shared" ref="AC33" si="42">AC29/AC32</f>
        <v>-1.1718932144655794</v>
      </c>
      <c r="AD33" s="147">
        <f t="shared" ref="AD33" si="43">AD29/AD32</f>
        <v>-1.5055939126600506</v>
      </c>
      <c r="AE33" s="147">
        <f t="shared" ref="AE33" si="44">AE29/AE32</f>
        <v>-1.614110833244216</v>
      </c>
      <c r="AF33" s="147">
        <f t="shared" ref="AF33" si="45">AF29/AF32</f>
        <v>-0.59062999648273007</v>
      </c>
      <c r="AG33" s="147">
        <f t="shared" ref="AG33" si="46">AG29/AG32</f>
        <v>-0.37739337450196392</v>
      </c>
      <c r="AH33" s="147">
        <f t="shared" ref="AH33" si="47">AH29/AH32</f>
        <v>-0.28019250662964623</v>
      </c>
      <c r="AI33" s="43"/>
      <c r="AJ33" s="77">
        <f>SUM(AH33/AD33)-1</f>
        <v>-0.81389901734219405</v>
      </c>
    </row>
    <row r="34" spans="1:36" ht="12.75" customHeight="1">
      <c r="B34" s="25"/>
      <c r="C34" s="49"/>
      <c r="D34" s="49"/>
      <c r="E34" s="49"/>
      <c r="F34" s="49"/>
      <c r="G34" s="14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43"/>
      <c r="AJ34" s="76"/>
    </row>
    <row r="35" spans="1:36" ht="12.75" customHeight="1">
      <c r="B35" s="45" t="s">
        <v>69</v>
      </c>
      <c r="C35" s="83">
        <v>39970.398000000001</v>
      </c>
      <c r="D35" s="83">
        <v>103051.36599999999</v>
      </c>
      <c r="E35" s="83">
        <v>103420.238</v>
      </c>
      <c r="F35" s="83">
        <v>118479.09699999999</v>
      </c>
      <c r="G35" s="146"/>
      <c r="H35" s="83">
        <v>103004.088</v>
      </c>
      <c r="I35" s="83">
        <v>103908.44</v>
      </c>
      <c r="J35" s="83">
        <v>103031.98</v>
      </c>
      <c r="K35" s="32">
        <f>D35</f>
        <v>103051.36599999999</v>
      </c>
      <c r="L35" s="83">
        <v>103263.52800000001</v>
      </c>
      <c r="M35" s="83">
        <v>103361.501</v>
      </c>
      <c r="N35" s="83">
        <v>103444.246</v>
      </c>
      <c r="O35" s="32">
        <f>E35</f>
        <v>103420.238</v>
      </c>
      <c r="P35" s="83">
        <v>108246.008</v>
      </c>
      <c r="Q35" s="83">
        <v>119174.681</v>
      </c>
      <c r="R35" s="83">
        <v>119408.565</v>
      </c>
      <c r="S35" s="32">
        <f>F35</f>
        <v>118479.09699999999</v>
      </c>
      <c r="T35" s="83">
        <v>131759.302</v>
      </c>
      <c r="U35" s="83">
        <v>155437.28099999999</v>
      </c>
      <c r="V35" s="83">
        <v>158313.29</v>
      </c>
      <c r="W35" s="136"/>
      <c r="X35" s="32">
        <f t="shared" ref="X35:AG35" si="48">L35</f>
        <v>103263.52800000001</v>
      </c>
      <c r="Y35" s="32">
        <f t="shared" si="48"/>
        <v>103361.501</v>
      </c>
      <c r="Z35" s="32">
        <f t="shared" si="48"/>
        <v>103444.246</v>
      </c>
      <c r="AA35" s="32">
        <f t="shared" si="48"/>
        <v>103420.238</v>
      </c>
      <c r="AB35" s="32">
        <f t="shared" si="48"/>
        <v>108246.008</v>
      </c>
      <c r="AC35" s="32">
        <f t="shared" si="48"/>
        <v>119174.681</v>
      </c>
      <c r="AD35" s="32">
        <f t="shared" si="48"/>
        <v>119408.565</v>
      </c>
      <c r="AE35" s="32">
        <f t="shared" si="48"/>
        <v>118479.09699999999</v>
      </c>
      <c r="AF35" s="32">
        <f t="shared" si="48"/>
        <v>131759.302</v>
      </c>
      <c r="AG35" s="32">
        <f t="shared" si="48"/>
        <v>155437.28099999999</v>
      </c>
      <c r="AH35" s="32">
        <f>V35</f>
        <v>158313.29</v>
      </c>
      <c r="AI35" s="43"/>
      <c r="AJ35" s="76">
        <f>SUM(AH35/AD35)-1</f>
        <v>0.32581184607653557</v>
      </c>
    </row>
    <row r="36" spans="1:36" ht="12.75" customHeight="1">
      <c r="B36" s="13" t="s">
        <v>96</v>
      </c>
      <c r="C36" s="147">
        <f t="shared" ref="C36:E36" si="49">C29/C35</f>
        <v>-0.66241522038384504</v>
      </c>
      <c r="D36" s="147">
        <f t="shared" si="49"/>
        <v>-0.11610714602269319</v>
      </c>
      <c r="E36" s="147">
        <f t="shared" si="49"/>
        <v>-1.0711249765253876</v>
      </c>
      <c r="F36" s="147">
        <f>F29/F35</f>
        <v>-1.2550821517486752</v>
      </c>
      <c r="G36" s="27"/>
      <c r="H36" s="147">
        <f t="shared" ref="H36:K36" si="50">H29/H35</f>
        <v>-0.19253604769550506</v>
      </c>
      <c r="I36" s="147">
        <f t="shared" si="50"/>
        <v>0.35481237135308741</v>
      </c>
      <c r="J36" s="147">
        <f t="shared" si="50"/>
        <v>-0.24537041800031409</v>
      </c>
      <c r="K36" s="147">
        <f t="shared" si="50"/>
        <v>-3.6098502566186269E-2</v>
      </c>
      <c r="L36" s="147">
        <f t="shared" ref="L36:Q36" si="51">L29/L35</f>
        <v>-0.35800636213010267</v>
      </c>
      <c r="M36" s="147">
        <f t="shared" si="51"/>
        <v>-0.21967560242763889</v>
      </c>
      <c r="N36" s="147">
        <f t="shared" si="51"/>
        <v>-0.25129478927228105</v>
      </c>
      <c r="O36" s="147">
        <f t="shared" si="51"/>
        <v>-0.24275712844520819</v>
      </c>
      <c r="P36" s="147">
        <f t="shared" si="51"/>
        <v>-0.29466213663971791</v>
      </c>
      <c r="Q36" s="147">
        <f t="shared" si="51"/>
        <v>-0.47546172999615582</v>
      </c>
      <c r="R36" s="147">
        <f>R29/R35</f>
        <v>-0.32830140785964557</v>
      </c>
      <c r="S36" s="147">
        <f t="shared" ref="S36:V36" si="52">S29/S35</f>
        <v>-0.17674003710544825</v>
      </c>
      <c r="T36" s="147">
        <f t="shared" si="52"/>
        <v>0.29704923603799904</v>
      </c>
      <c r="U36" s="147">
        <f t="shared" si="52"/>
        <v>-0.2422713505905961</v>
      </c>
      <c r="V36" s="147">
        <f t="shared" si="52"/>
        <v>-0.11060347491988827</v>
      </c>
      <c r="W36" s="136"/>
      <c r="X36" s="147">
        <f t="shared" ref="X36" si="53">X29/X35</f>
        <v>-0.28182263925749274</v>
      </c>
      <c r="Y36" s="147">
        <f t="shared" ref="Y36" si="54">Y29/Y35</f>
        <v>-0.85792097775360288</v>
      </c>
      <c r="Z36" s="147">
        <f t="shared" ref="Z36" si="55">Z29/Z35</f>
        <v>-0.86413699607806127</v>
      </c>
      <c r="AA36" s="147">
        <f t="shared" ref="AA36" si="56">AA29/AA35</f>
        <v>-1.0711249765253876</v>
      </c>
      <c r="AB36" s="147">
        <f t="shared" ref="AB36" si="57">AB29/AB35</f>
        <v>-0.97650714287773088</v>
      </c>
      <c r="AC36" s="147">
        <f t="shared" ref="AC36" si="58">AC29/AC35</f>
        <v>-1.1718932144655794</v>
      </c>
      <c r="AD36" s="147">
        <f t="shared" ref="AD36" si="59">AD29/AD35</f>
        <v>-1.2802012987929299</v>
      </c>
      <c r="AE36" s="147">
        <f t="shared" ref="AE36" si="60">AE29/AE35</f>
        <v>-1.2550821517486752</v>
      </c>
      <c r="AF36" s="147">
        <f t="shared" ref="AF36" si="61">AF29/AF35</f>
        <v>-0.5894536387267747</v>
      </c>
      <c r="AG36" s="147">
        <f t="shared" ref="AG36" si="62">AG29/AG35</f>
        <v>-0.37739337450196392</v>
      </c>
      <c r="AH36" s="147">
        <f t="shared" ref="AH36" si="63">AH29/AH35</f>
        <v>-0.23351798197106508</v>
      </c>
      <c r="AI36" s="43"/>
      <c r="AJ36" s="77">
        <f>SUM(AH36/AD36)-1</f>
        <v>-0.8175927628012537</v>
      </c>
    </row>
    <row r="37" spans="1:36" s="153" customFormat="1" ht="5.0999999999999996" customHeight="1" thickBot="1">
      <c r="B37" s="154"/>
      <c r="C37" s="155"/>
      <c r="D37" s="155"/>
      <c r="E37" s="155"/>
      <c r="F37" s="155"/>
      <c r="G37" s="156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7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8"/>
      <c r="AJ37" s="159"/>
    </row>
    <row r="38" spans="1:36" s="153" customFormat="1" ht="12.75" customHeight="1">
      <c r="B38" s="160" t="s">
        <v>145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</row>
    <row r="39" spans="1:36">
      <c r="B39" s="16"/>
      <c r="C39" s="17"/>
      <c r="D39" s="17"/>
      <c r="E39" s="17"/>
      <c r="F39" s="17"/>
      <c r="G39" s="2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28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43"/>
    </row>
    <row r="40" spans="1:36" ht="12.75" customHeight="1">
      <c r="A40" s="5" t="s">
        <v>18</v>
      </c>
      <c r="B40" s="108" t="s">
        <v>78</v>
      </c>
      <c r="C40" s="109" t="s">
        <v>0</v>
      </c>
      <c r="D40" s="109" t="s">
        <v>0</v>
      </c>
      <c r="E40" s="109"/>
      <c r="F40" s="109"/>
      <c r="G40" s="110"/>
      <c r="H40" s="109" t="s">
        <v>1</v>
      </c>
      <c r="I40" s="109"/>
      <c r="J40" s="109"/>
      <c r="K40" s="109"/>
      <c r="L40" s="109" t="s">
        <v>1</v>
      </c>
      <c r="M40" s="109"/>
      <c r="N40" s="109"/>
      <c r="O40" s="109"/>
      <c r="P40" s="109"/>
      <c r="Q40" s="109"/>
      <c r="R40" s="109" t="s">
        <v>1</v>
      </c>
      <c r="S40" s="109"/>
      <c r="T40" s="109"/>
      <c r="U40" s="109"/>
      <c r="V40" s="109"/>
      <c r="W40" s="108"/>
      <c r="X40" s="109"/>
      <c r="Y40" s="109"/>
      <c r="Z40" s="109"/>
      <c r="AA40" s="109"/>
      <c r="AB40" s="109"/>
      <c r="AC40" s="109" t="s">
        <v>10</v>
      </c>
      <c r="AD40" s="109" t="s">
        <v>10</v>
      </c>
      <c r="AE40" s="109"/>
      <c r="AF40" s="109"/>
      <c r="AG40" s="109"/>
      <c r="AH40" s="109"/>
      <c r="AI40" s="110"/>
      <c r="AJ40" s="150" t="s">
        <v>24</v>
      </c>
    </row>
    <row r="41" spans="1:36" ht="12.75" customHeight="1">
      <c r="B41" s="112" t="str">
        <f>B7</f>
        <v>Fiscal Period</v>
      </c>
      <c r="C41" s="111">
        <f>C7</f>
        <v>2021</v>
      </c>
      <c r="D41" s="111">
        <f>D7</f>
        <v>2022</v>
      </c>
      <c r="E41" s="111">
        <f>E7</f>
        <v>2023</v>
      </c>
      <c r="F41" s="111">
        <f>F7</f>
        <v>2024</v>
      </c>
      <c r="G41" s="110"/>
      <c r="H41" s="111" t="str">
        <f>H7</f>
        <v>1Q22</v>
      </c>
      <c r="I41" s="111" t="str">
        <f>I7</f>
        <v>2Q22</v>
      </c>
      <c r="J41" s="111" t="str">
        <f>J7</f>
        <v>3Q22</v>
      </c>
      <c r="K41" s="111" t="str">
        <f>K7</f>
        <v>4Q22</v>
      </c>
      <c r="L41" s="111" t="str">
        <f>L7</f>
        <v>1Q23</v>
      </c>
      <c r="M41" s="111" t="str">
        <f>M7</f>
        <v>2Q23</v>
      </c>
      <c r="N41" s="111" t="str">
        <f>N7</f>
        <v>3Q23</v>
      </c>
      <c r="O41" s="111" t="str">
        <f>O7</f>
        <v>4Q23</v>
      </c>
      <c r="P41" s="111" t="str">
        <f>P7</f>
        <v>1Q24</v>
      </c>
      <c r="Q41" s="111" t="str">
        <f>Q7</f>
        <v>2Q24</v>
      </c>
      <c r="R41" s="111" t="str">
        <f>R7</f>
        <v>3Q24</v>
      </c>
      <c r="S41" s="111" t="str">
        <f>S7</f>
        <v>4Q24</v>
      </c>
      <c r="T41" s="111" t="str">
        <f>T7</f>
        <v>1Q25</v>
      </c>
      <c r="U41" s="111" t="str">
        <f>U7</f>
        <v>2Q25</v>
      </c>
      <c r="V41" s="111" t="str">
        <f>V7</f>
        <v>3Q25</v>
      </c>
      <c r="W41" s="113"/>
      <c r="X41" s="111" t="str">
        <f>X7</f>
        <v>1Q23</v>
      </c>
      <c r="Y41" s="111" t="str">
        <f>Y7</f>
        <v>2Q23</v>
      </c>
      <c r="Z41" s="111" t="str">
        <f>Z7</f>
        <v>3Q23</v>
      </c>
      <c r="AA41" s="111" t="str">
        <f>AA7</f>
        <v>4Q23</v>
      </c>
      <c r="AB41" s="111" t="str">
        <f>AB7</f>
        <v>1Q24</v>
      </c>
      <c r="AC41" s="111" t="str">
        <f>AC7</f>
        <v>2Q24</v>
      </c>
      <c r="AD41" s="111" t="str">
        <f>AD7</f>
        <v>3Q24</v>
      </c>
      <c r="AE41" s="111" t="str">
        <f>AE7</f>
        <v>4Q24</v>
      </c>
      <c r="AF41" s="111" t="str">
        <f>AF7</f>
        <v>1Q25</v>
      </c>
      <c r="AG41" s="111" t="str">
        <f>AG7</f>
        <v>2Q25</v>
      </c>
      <c r="AH41" s="111" t="str">
        <f>AH7</f>
        <v>3Q25</v>
      </c>
      <c r="AI41" s="110"/>
      <c r="AJ41" s="150"/>
    </row>
    <row r="42" spans="1:36" ht="12.75" customHeight="1">
      <c r="B42" s="112" t="str">
        <f>B8</f>
        <v>Fiscal Period End Date</v>
      </c>
      <c r="C42" s="114">
        <f>C8</f>
        <v>44561</v>
      </c>
      <c r="D42" s="114">
        <f>D8</f>
        <v>44926</v>
      </c>
      <c r="E42" s="114">
        <f>E8</f>
        <v>45291</v>
      </c>
      <c r="F42" s="114">
        <f>F8</f>
        <v>45657</v>
      </c>
      <c r="G42" s="110"/>
      <c r="H42" s="114">
        <f>H8</f>
        <v>44651</v>
      </c>
      <c r="I42" s="114">
        <f>I8</f>
        <v>44742</v>
      </c>
      <c r="J42" s="114">
        <f>J8</f>
        <v>44834</v>
      </c>
      <c r="K42" s="114">
        <f>K8</f>
        <v>44926</v>
      </c>
      <c r="L42" s="114">
        <f>L8</f>
        <v>45016</v>
      </c>
      <c r="M42" s="114">
        <f>M8</f>
        <v>45107</v>
      </c>
      <c r="N42" s="114">
        <f>N8</f>
        <v>45199</v>
      </c>
      <c r="O42" s="114">
        <f>O8</f>
        <v>45291</v>
      </c>
      <c r="P42" s="114">
        <f>P8</f>
        <v>45382</v>
      </c>
      <c r="Q42" s="114">
        <f>Q8</f>
        <v>45473</v>
      </c>
      <c r="R42" s="114">
        <f>R8</f>
        <v>45565</v>
      </c>
      <c r="S42" s="114">
        <f>S8</f>
        <v>45657</v>
      </c>
      <c r="T42" s="114">
        <f>T8</f>
        <v>45747</v>
      </c>
      <c r="U42" s="114">
        <f>U8</f>
        <v>45838</v>
      </c>
      <c r="V42" s="114">
        <f>V8</f>
        <v>45930</v>
      </c>
      <c r="W42" s="115"/>
      <c r="X42" s="114">
        <f>X8</f>
        <v>45016</v>
      </c>
      <c r="Y42" s="114">
        <f>Y8</f>
        <v>45107</v>
      </c>
      <c r="Z42" s="114">
        <f>Z8</f>
        <v>45199</v>
      </c>
      <c r="AA42" s="114">
        <f>AA8</f>
        <v>45291</v>
      </c>
      <c r="AB42" s="114">
        <f>AB8</f>
        <v>45382</v>
      </c>
      <c r="AC42" s="114">
        <f>AC8</f>
        <v>45473</v>
      </c>
      <c r="AD42" s="114">
        <f>AD8</f>
        <v>45565</v>
      </c>
      <c r="AE42" s="114">
        <f>AE8</f>
        <v>45657</v>
      </c>
      <c r="AF42" s="114">
        <f>AF8</f>
        <v>45747</v>
      </c>
      <c r="AG42" s="114">
        <f>AG8</f>
        <v>45838</v>
      </c>
      <c r="AH42" s="114">
        <f>AH8</f>
        <v>45930</v>
      </c>
      <c r="AI42" s="110"/>
      <c r="AJ42" s="150"/>
    </row>
    <row r="43" spans="1:36" ht="5.0999999999999996" customHeight="1">
      <c r="B43" s="47"/>
      <c r="C43" s="48"/>
      <c r="D43" s="48"/>
      <c r="E43" s="48"/>
      <c r="F43" s="48"/>
    </row>
    <row r="44" spans="1:36">
      <c r="B44" s="79" t="s">
        <v>85</v>
      </c>
      <c r="C44" s="48"/>
      <c r="D44" s="48"/>
      <c r="E44" s="48"/>
      <c r="F44" s="48"/>
    </row>
    <row r="45" spans="1:36" s="124" customFormat="1" ht="12.75" customHeight="1">
      <c r="B45" s="116" t="s">
        <v>104</v>
      </c>
      <c r="C45" s="125">
        <v>217502</v>
      </c>
      <c r="D45" s="125">
        <v>149772</v>
      </c>
      <c r="E45" s="125">
        <v>80448</v>
      </c>
      <c r="F45" s="125">
        <v>44937</v>
      </c>
      <c r="H45" s="83">
        <v>198222</v>
      </c>
      <c r="I45" s="83">
        <v>181035</v>
      </c>
      <c r="J45" s="83">
        <v>163731</v>
      </c>
      <c r="K45" s="32">
        <f>D45</f>
        <v>149772</v>
      </c>
      <c r="L45" s="83">
        <v>129570</v>
      </c>
      <c r="M45" s="83">
        <v>114604</v>
      </c>
      <c r="N45" s="83">
        <v>99986</v>
      </c>
      <c r="O45" s="32">
        <f t="shared" ref="O45:O50" si="64">E45</f>
        <v>80448</v>
      </c>
      <c r="P45" s="83">
        <v>115505</v>
      </c>
      <c r="Q45" s="83">
        <v>93563</v>
      </c>
      <c r="R45" s="83">
        <v>20571</v>
      </c>
      <c r="S45" s="32">
        <f t="shared" ref="S45:S50" si="65">F45</f>
        <v>44937</v>
      </c>
      <c r="T45" s="83">
        <v>62847</v>
      </c>
      <c r="U45" s="83">
        <v>38032</v>
      </c>
      <c r="V45" s="83">
        <v>19488</v>
      </c>
      <c r="X45" s="98">
        <f t="shared" ref="X45:AG50" si="66">L45</f>
        <v>129570</v>
      </c>
      <c r="Y45" s="98">
        <f t="shared" si="66"/>
        <v>114604</v>
      </c>
      <c r="Z45" s="98">
        <f t="shared" si="66"/>
        <v>99986</v>
      </c>
      <c r="AA45" s="98">
        <f t="shared" si="66"/>
        <v>80448</v>
      </c>
      <c r="AB45" s="98">
        <f t="shared" si="66"/>
        <v>115505</v>
      </c>
      <c r="AC45" s="98">
        <f t="shared" si="66"/>
        <v>93563</v>
      </c>
      <c r="AD45" s="98">
        <f t="shared" si="66"/>
        <v>20571</v>
      </c>
      <c r="AE45" s="98">
        <f t="shared" si="66"/>
        <v>44937</v>
      </c>
      <c r="AF45" s="98">
        <f t="shared" si="66"/>
        <v>62847</v>
      </c>
      <c r="AG45" s="98">
        <f t="shared" si="66"/>
        <v>38032</v>
      </c>
      <c r="AH45" s="98">
        <f>V45</f>
        <v>19488</v>
      </c>
      <c r="AI45" s="126"/>
      <c r="AJ45" s="76">
        <f t="shared" ref="AJ45:AJ49" si="67">SUM(AH45/AD45)-1</f>
        <v>-5.2646930144378046E-2</v>
      </c>
    </row>
    <row r="46" spans="1:36" s="124" customFormat="1" ht="12.75" customHeight="1">
      <c r="B46" s="165" t="s">
        <v>171</v>
      </c>
      <c r="C46" s="162">
        <v>0</v>
      </c>
      <c r="D46" s="162">
        <v>0</v>
      </c>
      <c r="E46" s="162">
        <v>144</v>
      </c>
      <c r="F46" s="162">
        <v>144</v>
      </c>
      <c r="G46" s="162"/>
      <c r="H46" s="162">
        <v>0</v>
      </c>
      <c r="I46" s="162">
        <v>0</v>
      </c>
      <c r="J46" s="162">
        <v>0</v>
      </c>
      <c r="K46" s="32">
        <f>D46</f>
        <v>0</v>
      </c>
      <c r="L46" s="162">
        <v>0</v>
      </c>
      <c r="M46" s="162">
        <v>0</v>
      </c>
      <c r="N46" s="162">
        <v>144</v>
      </c>
      <c r="O46" s="32">
        <f t="shared" si="64"/>
        <v>144</v>
      </c>
      <c r="P46" s="163">
        <v>144</v>
      </c>
      <c r="Q46" s="163">
        <v>144</v>
      </c>
      <c r="R46" s="163">
        <v>144</v>
      </c>
      <c r="S46" s="32">
        <f t="shared" si="65"/>
        <v>144</v>
      </c>
      <c r="T46" s="163">
        <v>144</v>
      </c>
      <c r="U46" s="163">
        <v>144</v>
      </c>
      <c r="V46" s="163">
        <v>144</v>
      </c>
      <c r="X46" s="98">
        <f t="shared" si="66"/>
        <v>0</v>
      </c>
      <c r="Y46" s="98">
        <f t="shared" si="66"/>
        <v>0</v>
      </c>
      <c r="Z46" s="98">
        <f t="shared" si="66"/>
        <v>144</v>
      </c>
      <c r="AA46" s="98">
        <f t="shared" si="66"/>
        <v>144</v>
      </c>
      <c r="AB46" s="98">
        <f t="shared" si="66"/>
        <v>144</v>
      </c>
      <c r="AC46" s="98">
        <f t="shared" si="66"/>
        <v>144</v>
      </c>
      <c r="AD46" s="98">
        <f t="shared" si="66"/>
        <v>144</v>
      </c>
      <c r="AE46" s="98">
        <f t="shared" si="66"/>
        <v>144</v>
      </c>
      <c r="AF46" s="98">
        <f t="shared" si="66"/>
        <v>144</v>
      </c>
      <c r="AG46" s="98">
        <f t="shared" si="66"/>
        <v>144</v>
      </c>
      <c r="AH46" s="98">
        <f>V46</f>
        <v>144</v>
      </c>
      <c r="AI46" s="126"/>
      <c r="AJ46" s="76">
        <f t="shared" si="67"/>
        <v>0</v>
      </c>
    </row>
    <row r="47" spans="1:36" s="124" customFormat="1" ht="12.75" customHeight="1">
      <c r="B47" s="116" t="s">
        <v>131</v>
      </c>
      <c r="C47" s="125">
        <v>176</v>
      </c>
      <c r="D47" s="125">
        <v>31</v>
      </c>
      <c r="E47" s="125">
        <v>0</v>
      </c>
      <c r="F47" s="125">
        <v>0</v>
      </c>
      <c r="H47" s="83">
        <v>233</v>
      </c>
      <c r="I47" s="83">
        <v>1301</v>
      </c>
      <c r="J47" s="83">
        <v>31</v>
      </c>
      <c r="K47" s="32">
        <f t="shared" ref="K47:K50" si="68">D47</f>
        <v>31</v>
      </c>
      <c r="L47" s="83">
        <v>0</v>
      </c>
      <c r="M47" s="83">
        <v>0</v>
      </c>
      <c r="N47" s="83">
        <v>0</v>
      </c>
      <c r="O47" s="32">
        <f t="shared" ref="O47:O49" si="69">E47</f>
        <v>0</v>
      </c>
      <c r="P47" s="83">
        <v>0</v>
      </c>
      <c r="Q47" s="83">
        <v>0</v>
      </c>
      <c r="R47" s="83">
        <v>0</v>
      </c>
      <c r="S47" s="32">
        <f t="shared" ref="S47:S49" si="70">F47</f>
        <v>0</v>
      </c>
      <c r="T47" s="83">
        <v>488</v>
      </c>
      <c r="U47" s="83">
        <v>394</v>
      </c>
      <c r="V47" s="83">
        <v>1078</v>
      </c>
      <c r="X47" s="98">
        <f t="shared" si="66"/>
        <v>0</v>
      </c>
      <c r="Y47" s="98">
        <f t="shared" si="66"/>
        <v>0</v>
      </c>
      <c r="Z47" s="98">
        <f t="shared" si="66"/>
        <v>0</v>
      </c>
      <c r="AA47" s="98">
        <f t="shared" si="66"/>
        <v>0</v>
      </c>
      <c r="AB47" s="98">
        <f t="shared" si="66"/>
        <v>0</v>
      </c>
      <c r="AC47" s="98">
        <f t="shared" si="66"/>
        <v>0</v>
      </c>
      <c r="AD47" s="98">
        <f t="shared" si="66"/>
        <v>0</v>
      </c>
      <c r="AE47" s="98">
        <f t="shared" si="66"/>
        <v>0</v>
      </c>
      <c r="AF47" s="98">
        <f t="shared" si="66"/>
        <v>488</v>
      </c>
      <c r="AG47" s="98">
        <f t="shared" si="66"/>
        <v>394</v>
      </c>
      <c r="AH47" s="98">
        <f>V47</f>
        <v>1078</v>
      </c>
      <c r="AI47" s="126"/>
      <c r="AJ47" s="76" t="e">
        <f t="shared" si="67"/>
        <v>#DIV/0!</v>
      </c>
    </row>
    <row r="48" spans="1:36" s="124" customFormat="1" ht="12.75" customHeight="1">
      <c r="B48" s="116" t="s">
        <v>105</v>
      </c>
      <c r="C48" s="125">
        <v>8000</v>
      </c>
      <c r="D48" s="125">
        <v>2107</v>
      </c>
      <c r="E48" s="125">
        <v>0</v>
      </c>
      <c r="F48" s="125">
        <v>0</v>
      </c>
      <c r="H48" s="83">
        <v>8000</v>
      </c>
      <c r="I48" s="83">
        <v>8000</v>
      </c>
      <c r="J48" s="83">
        <v>8000</v>
      </c>
      <c r="K48" s="32">
        <f t="shared" si="68"/>
        <v>2107</v>
      </c>
      <c r="L48" s="83">
        <v>2107</v>
      </c>
      <c r="M48" s="83">
        <v>0</v>
      </c>
      <c r="N48" s="83">
        <v>0</v>
      </c>
      <c r="O48" s="32">
        <f t="shared" si="69"/>
        <v>0</v>
      </c>
      <c r="P48" s="83">
        <v>0</v>
      </c>
      <c r="Q48" s="83">
        <v>0</v>
      </c>
      <c r="R48" s="83">
        <v>0</v>
      </c>
      <c r="S48" s="32">
        <f t="shared" si="70"/>
        <v>0</v>
      </c>
      <c r="T48" s="83">
        <v>0</v>
      </c>
      <c r="U48" s="83">
        <v>0</v>
      </c>
      <c r="V48" s="83">
        <v>0</v>
      </c>
      <c r="X48" s="98">
        <f t="shared" si="66"/>
        <v>2107</v>
      </c>
      <c r="Y48" s="98">
        <f t="shared" si="66"/>
        <v>0</v>
      </c>
      <c r="Z48" s="98">
        <f t="shared" si="66"/>
        <v>0</v>
      </c>
      <c r="AA48" s="98">
        <f t="shared" si="66"/>
        <v>0</v>
      </c>
      <c r="AB48" s="98">
        <f t="shared" si="66"/>
        <v>0</v>
      </c>
      <c r="AC48" s="98">
        <f t="shared" si="66"/>
        <v>0</v>
      </c>
      <c r="AD48" s="98">
        <f t="shared" si="66"/>
        <v>0</v>
      </c>
      <c r="AE48" s="98">
        <f t="shared" si="66"/>
        <v>0</v>
      </c>
      <c r="AF48" s="98">
        <f t="shared" si="66"/>
        <v>0</v>
      </c>
      <c r="AG48" s="98">
        <f t="shared" si="66"/>
        <v>0</v>
      </c>
      <c r="AH48" s="98">
        <f>V48</f>
        <v>0</v>
      </c>
      <c r="AI48" s="126"/>
      <c r="AJ48" s="76" t="e">
        <f t="shared" si="67"/>
        <v>#DIV/0!</v>
      </c>
    </row>
    <row r="49" spans="2:36" s="124" customFormat="1" ht="12.75" customHeight="1">
      <c r="B49" s="116" t="s">
        <v>132</v>
      </c>
      <c r="C49" s="125">
        <v>0</v>
      </c>
      <c r="D49" s="125">
        <v>0</v>
      </c>
      <c r="E49" s="125">
        <v>0</v>
      </c>
      <c r="F49" s="125">
        <v>0</v>
      </c>
      <c r="H49" s="83">
        <v>0</v>
      </c>
      <c r="I49" s="83">
        <v>0</v>
      </c>
      <c r="J49" s="83">
        <v>0</v>
      </c>
      <c r="K49" s="32">
        <f t="shared" si="68"/>
        <v>0</v>
      </c>
      <c r="L49" s="83">
        <v>0</v>
      </c>
      <c r="M49" s="83">
        <v>0</v>
      </c>
      <c r="N49" s="83">
        <v>0</v>
      </c>
      <c r="O49" s="32">
        <f t="shared" si="69"/>
        <v>0</v>
      </c>
      <c r="P49" s="83">
        <v>0</v>
      </c>
      <c r="Q49" s="83">
        <v>0</v>
      </c>
      <c r="R49" s="83">
        <v>0</v>
      </c>
      <c r="S49" s="32">
        <f t="shared" si="70"/>
        <v>0</v>
      </c>
      <c r="T49" s="83">
        <v>8020</v>
      </c>
      <c r="U49" s="83">
        <v>11067</v>
      </c>
      <c r="V49" s="83">
        <v>18418</v>
      </c>
      <c r="X49" s="98">
        <f t="shared" si="66"/>
        <v>0</v>
      </c>
      <c r="Y49" s="98">
        <f t="shared" si="66"/>
        <v>0</v>
      </c>
      <c r="Z49" s="98">
        <f t="shared" si="66"/>
        <v>0</v>
      </c>
      <c r="AA49" s="98">
        <f t="shared" si="66"/>
        <v>0</v>
      </c>
      <c r="AB49" s="98">
        <f t="shared" si="66"/>
        <v>0</v>
      </c>
      <c r="AC49" s="98">
        <f t="shared" si="66"/>
        <v>0</v>
      </c>
      <c r="AD49" s="98">
        <f t="shared" si="66"/>
        <v>0</v>
      </c>
      <c r="AE49" s="98">
        <f t="shared" si="66"/>
        <v>0</v>
      </c>
      <c r="AF49" s="98">
        <f t="shared" si="66"/>
        <v>8020</v>
      </c>
      <c r="AG49" s="98">
        <f t="shared" si="66"/>
        <v>11067</v>
      </c>
      <c r="AH49" s="98">
        <f>V49</f>
        <v>18418</v>
      </c>
      <c r="AI49" s="126"/>
      <c r="AJ49" s="76" t="e">
        <f>SUM(AH49/AD49)-1</f>
        <v>#DIV/0!</v>
      </c>
    </row>
    <row r="50" spans="2:36" s="124" customFormat="1" ht="12.75" customHeight="1">
      <c r="B50" s="116" t="s">
        <v>133</v>
      </c>
      <c r="C50" s="125">
        <f>3662-C46</f>
        <v>3662</v>
      </c>
      <c r="D50" s="125">
        <f>2298-D46</f>
        <v>2298</v>
      </c>
      <c r="E50" s="125">
        <f>2830-E46</f>
        <v>2686</v>
      </c>
      <c r="F50" s="125">
        <f>2922-F46</f>
        <v>2778</v>
      </c>
      <c r="H50" s="83">
        <v>2840</v>
      </c>
      <c r="I50" s="83">
        <v>2694</v>
      </c>
      <c r="J50" s="83">
        <v>2850</v>
      </c>
      <c r="K50" s="32">
        <f t="shared" si="68"/>
        <v>2298</v>
      </c>
      <c r="L50" s="83">
        <v>2178</v>
      </c>
      <c r="M50" s="83">
        <v>5958</v>
      </c>
      <c r="N50" s="83">
        <f>2865-N46</f>
        <v>2721</v>
      </c>
      <c r="O50" s="32">
        <f t="shared" si="64"/>
        <v>2686</v>
      </c>
      <c r="P50" s="83">
        <f>2421-P46</f>
        <v>2277</v>
      </c>
      <c r="Q50" s="83">
        <f>2547-Q46</f>
        <v>2403</v>
      </c>
      <c r="R50" s="83">
        <f>2434-R46</f>
        <v>2290</v>
      </c>
      <c r="S50" s="32">
        <f t="shared" si="65"/>
        <v>2778</v>
      </c>
      <c r="T50" s="83">
        <f>2350-T46</f>
        <v>2206</v>
      </c>
      <c r="U50" s="83">
        <f>2237-U46</f>
        <v>2093</v>
      </c>
      <c r="V50" s="83">
        <f>2367-V46</f>
        <v>2223</v>
      </c>
      <c r="X50" s="98">
        <f t="shared" si="66"/>
        <v>2178</v>
      </c>
      <c r="Y50" s="98">
        <f t="shared" si="66"/>
        <v>5958</v>
      </c>
      <c r="Z50" s="98">
        <f t="shared" si="66"/>
        <v>2721</v>
      </c>
      <c r="AA50" s="98">
        <f t="shared" si="66"/>
        <v>2686</v>
      </c>
      <c r="AB50" s="98">
        <f t="shared" si="66"/>
        <v>2277</v>
      </c>
      <c r="AC50" s="98">
        <f t="shared" si="66"/>
        <v>2403</v>
      </c>
      <c r="AD50" s="98">
        <f t="shared" si="66"/>
        <v>2290</v>
      </c>
      <c r="AE50" s="98">
        <f t="shared" si="66"/>
        <v>2778</v>
      </c>
      <c r="AF50" s="98">
        <f t="shared" si="66"/>
        <v>2206</v>
      </c>
      <c r="AG50" s="98">
        <f t="shared" si="66"/>
        <v>2093</v>
      </c>
      <c r="AH50" s="98">
        <f>V50</f>
        <v>2223</v>
      </c>
      <c r="AI50" s="126"/>
      <c r="AJ50" s="76">
        <f>SUM(AH50/AD50)-1</f>
        <v>-2.9257641921397348E-2</v>
      </c>
    </row>
    <row r="51" spans="2:36" ht="12.75" customHeight="1">
      <c r="B51" s="25" t="s">
        <v>20</v>
      </c>
      <c r="C51" s="26">
        <f t="shared" ref="C51:F51" si="71">SUM(C45:C50)</f>
        <v>229340</v>
      </c>
      <c r="D51" s="26">
        <f t="shared" si="71"/>
        <v>154208</v>
      </c>
      <c r="E51" s="26">
        <f t="shared" si="71"/>
        <v>83278</v>
      </c>
      <c r="F51" s="26">
        <f t="shared" si="71"/>
        <v>47859</v>
      </c>
      <c r="G51" s="49"/>
      <c r="H51" s="26">
        <f t="shared" ref="H51:K51" si="72">SUM(H45:H50)</f>
        <v>209295</v>
      </c>
      <c r="I51" s="26">
        <f t="shared" si="72"/>
        <v>193030</v>
      </c>
      <c r="J51" s="26">
        <f t="shared" si="72"/>
        <v>174612</v>
      </c>
      <c r="K51" s="26">
        <f t="shared" si="72"/>
        <v>154208</v>
      </c>
      <c r="L51" s="26">
        <f t="shared" ref="L51:V51" si="73">SUM(L45:L50)</f>
        <v>133855</v>
      </c>
      <c r="M51" s="26">
        <f t="shared" si="73"/>
        <v>120562</v>
      </c>
      <c r="N51" s="26">
        <f t="shared" si="73"/>
        <v>102851</v>
      </c>
      <c r="O51" s="26">
        <f t="shared" si="73"/>
        <v>83278</v>
      </c>
      <c r="P51" s="26">
        <f t="shared" si="73"/>
        <v>117926</v>
      </c>
      <c r="Q51" s="26">
        <f t="shared" si="73"/>
        <v>96110</v>
      </c>
      <c r="R51" s="26">
        <f t="shared" si="73"/>
        <v>23005</v>
      </c>
      <c r="S51" s="26">
        <f t="shared" si="73"/>
        <v>47859</v>
      </c>
      <c r="T51" s="26">
        <f t="shared" si="73"/>
        <v>73705</v>
      </c>
      <c r="U51" s="26">
        <f t="shared" si="73"/>
        <v>51730</v>
      </c>
      <c r="V51" s="26">
        <f t="shared" si="73"/>
        <v>41351</v>
      </c>
      <c r="W51" s="49"/>
      <c r="X51" s="26">
        <f t="shared" ref="X51:AH51" si="74">SUM(X45:X50)</f>
        <v>133855</v>
      </c>
      <c r="Y51" s="26">
        <f t="shared" si="74"/>
        <v>120562</v>
      </c>
      <c r="Z51" s="26">
        <f t="shared" si="74"/>
        <v>102851</v>
      </c>
      <c r="AA51" s="26">
        <f t="shared" si="74"/>
        <v>83278</v>
      </c>
      <c r="AB51" s="26">
        <f t="shared" si="74"/>
        <v>117926</v>
      </c>
      <c r="AC51" s="26">
        <f t="shared" si="74"/>
        <v>96110</v>
      </c>
      <c r="AD51" s="26">
        <f t="shared" si="74"/>
        <v>23005</v>
      </c>
      <c r="AE51" s="26">
        <f t="shared" si="74"/>
        <v>47859</v>
      </c>
      <c r="AF51" s="26">
        <f t="shared" si="74"/>
        <v>73705</v>
      </c>
      <c r="AG51" s="26">
        <f t="shared" si="74"/>
        <v>51730</v>
      </c>
      <c r="AH51" s="26">
        <f t="shared" si="74"/>
        <v>41351</v>
      </c>
      <c r="AI51" s="42"/>
      <c r="AJ51" s="77">
        <f>SUM(AH51/AD51)-1</f>
        <v>0.79747880895457501</v>
      </c>
    </row>
    <row r="52" spans="2:36" ht="5.0999999999999996" customHeight="1">
      <c r="B52" s="25"/>
      <c r="C52" s="50"/>
      <c r="D52" s="50"/>
      <c r="E52" s="41"/>
      <c r="F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39"/>
    </row>
    <row r="53" spans="2:36" ht="12.75" customHeight="1">
      <c r="B53" s="79" t="s">
        <v>86</v>
      </c>
      <c r="C53" s="83"/>
      <c r="D53" s="83"/>
      <c r="E53" s="83"/>
      <c r="F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32"/>
      <c r="U53" s="83"/>
      <c r="V53" s="83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11"/>
      <c r="AJ53" s="76"/>
    </row>
    <row r="54" spans="2:36" ht="12.75" customHeight="1">
      <c r="B54" s="9" t="s">
        <v>134</v>
      </c>
      <c r="C54" s="83">
        <v>0</v>
      </c>
      <c r="D54" s="83">
        <v>0</v>
      </c>
      <c r="E54" s="83">
        <v>209</v>
      </c>
      <c r="F54" s="83">
        <v>50209</v>
      </c>
      <c r="H54" s="83">
        <v>0</v>
      </c>
      <c r="I54" s="83">
        <v>0</v>
      </c>
      <c r="J54" s="83">
        <v>0</v>
      </c>
      <c r="K54" s="32">
        <f>D54</f>
        <v>0</v>
      </c>
      <c r="L54" s="83">
        <v>0</v>
      </c>
      <c r="M54" s="83">
        <v>0</v>
      </c>
      <c r="N54" s="83">
        <v>210</v>
      </c>
      <c r="O54" s="32">
        <f t="shared" ref="O54:O57" si="75">E54</f>
        <v>209</v>
      </c>
      <c r="P54" s="163">
        <v>209</v>
      </c>
      <c r="Q54" s="163">
        <v>209</v>
      </c>
      <c r="R54" s="163">
        <v>50209</v>
      </c>
      <c r="S54" s="164">
        <f t="shared" ref="S54:S57" si="76">F54</f>
        <v>50209</v>
      </c>
      <c r="T54" s="163">
        <v>50209</v>
      </c>
      <c r="U54" s="163">
        <v>50209</v>
      </c>
      <c r="V54" s="163">
        <v>209</v>
      </c>
      <c r="X54" s="32">
        <f t="shared" ref="X54:AG57" si="77">L54</f>
        <v>0</v>
      </c>
      <c r="Y54" s="32">
        <f t="shared" si="77"/>
        <v>0</v>
      </c>
      <c r="Z54" s="32">
        <f t="shared" si="77"/>
        <v>210</v>
      </c>
      <c r="AA54" s="32">
        <f t="shared" si="77"/>
        <v>209</v>
      </c>
      <c r="AB54" s="32">
        <f t="shared" si="77"/>
        <v>209</v>
      </c>
      <c r="AC54" s="32">
        <f t="shared" si="77"/>
        <v>209</v>
      </c>
      <c r="AD54" s="32">
        <f t="shared" si="77"/>
        <v>50209</v>
      </c>
      <c r="AE54" s="32">
        <f t="shared" si="77"/>
        <v>50209</v>
      </c>
      <c r="AF54" s="32">
        <f t="shared" si="77"/>
        <v>50209</v>
      </c>
      <c r="AG54" s="32">
        <f t="shared" si="77"/>
        <v>50209</v>
      </c>
      <c r="AH54" s="32">
        <f>V54</f>
        <v>209</v>
      </c>
      <c r="AI54" s="11"/>
      <c r="AJ54" s="76">
        <f t="shared" ref="AJ54:AJ58" si="78">SUM(AH54/AD54)-1</f>
        <v>-0.99583739966938201</v>
      </c>
    </row>
    <row r="55" spans="2:36" ht="12.75" customHeight="1">
      <c r="B55" s="9" t="s">
        <v>91</v>
      </c>
      <c r="C55" s="83">
        <v>35034</v>
      </c>
      <c r="D55" s="83">
        <v>30039</v>
      </c>
      <c r="E55" s="83">
        <v>26791</v>
      </c>
      <c r="F55" s="83">
        <v>23063</v>
      </c>
      <c r="H55" s="83">
        <v>33540</v>
      </c>
      <c r="I55" s="83">
        <v>32227</v>
      </c>
      <c r="J55" s="83">
        <v>31026</v>
      </c>
      <c r="K55" s="32">
        <f t="shared" ref="K55:K56" si="79">D55</f>
        <v>30039</v>
      </c>
      <c r="L55" s="83">
        <v>29593</v>
      </c>
      <c r="M55" s="83">
        <v>28543</v>
      </c>
      <c r="N55" s="83">
        <v>27851</v>
      </c>
      <c r="O55" s="32">
        <f t="shared" ref="O55:O56" si="80">E55</f>
        <v>26791</v>
      </c>
      <c r="P55" s="83">
        <v>25653</v>
      </c>
      <c r="Q55" s="83">
        <v>24820</v>
      </c>
      <c r="R55" s="83">
        <v>24250</v>
      </c>
      <c r="S55" s="32">
        <f t="shared" ref="S55:S56" si="81">F55</f>
        <v>23063</v>
      </c>
      <c r="T55" s="83">
        <v>22436</v>
      </c>
      <c r="U55" s="83">
        <v>21191</v>
      </c>
      <c r="V55" s="83">
        <v>19857</v>
      </c>
      <c r="X55" s="32">
        <f t="shared" si="77"/>
        <v>29593</v>
      </c>
      <c r="Y55" s="32">
        <f t="shared" si="77"/>
        <v>28543</v>
      </c>
      <c r="Z55" s="32">
        <f t="shared" si="77"/>
        <v>27851</v>
      </c>
      <c r="AA55" s="32">
        <f t="shared" si="77"/>
        <v>26791</v>
      </c>
      <c r="AB55" s="32">
        <f t="shared" si="77"/>
        <v>25653</v>
      </c>
      <c r="AC55" s="32">
        <f t="shared" si="77"/>
        <v>24820</v>
      </c>
      <c r="AD55" s="32">
        <f t="shared" si="77"/>
        <v>24250</v>
      </c>
      <c r="AE55" s="32">
        <f t="shared" si="77"/>
        <v>23063</v>
      </c>
      <c r="AF55" s="32">
        <f t="shared" si="77"/>
        <v>22436</v>
      </c>
      <c r="AG55" s="32">
        <f t="shared" si="77"/>
        <v>21191</v>
      </c>
      <c r="AH55" s="32">
        <f>V55</f>
        <v>19857</v>
      </c>
      <c r="AI55" s="11"/>
      <c r="AJ55" s="76">
        <f t="shared" si="78"/>
        <v>-0.18115463917525776</v>
      </c>
    </row>
    <row r="56" spans="2:36" ht="12.75" customHeight="1">
      <c r="B56" s="9" t="s">
        <v>135</v>
      </c>
      <c r="C56" s="83">
        <v>21432</v>
      </c>
      <c r="D56" s="83">
        <v>19373</v>
      </c>
      <c r="E56" s="83">
        <v>17313</v>
      </c>
      <c r="F56" s="83">
        <v>15490</v>
      </c>
      <c r="H56" s="83">
        <v>20917</v>
      </c>
      <c r="I56" s="83">
        <v>20403</v>
      </c>
      <c r="J56" s="83">
        <v>19888</v>
      </c>
      <c r="K56" s="32">
        <f t="shared" si="79"/>
        <v>19373</v>
      </c>
      <c r="L56" s="83">
        <v>18858</v>
      </c>
      <c r="M56" s="83">
        <v>18343</v>
      </c>
      <c r="N56" s="83">
        <v>17828</v>
      </c>
      <c r="O56" s="32">
        <f t="shared" si="80"/>
        <v>17313</v>
      </c>
      <c r="P56" s="83">
        <v>17059</v>
      </c>
      <c r="Q56" s="83">
        <v>16536</v>
      </c>
      <c r="R56" s="83">
        <v>16013</v>
      </c>
      <c r="S56" s="32">
        <f t="shared" si="81"/>
        <v>15490</v>
      </c>
      <c r="T56" s="83">
        <v>14966</v>
      </c>
      <c r="U56" s="83">
        <v>14443</v>
      </c>
      <c r="V56" s="83">
        <v>29420</v>
      </c>
      <c r="X56" s="32">
        <f t="shared" si="77"/>
        <v>18858</v>
      </c>
      <c r="Y56" s="32">
        <f t="shared" si="77"/>
        <v>18343</v>
      </c>
      <c r="Z56" s="32">
        <f t="shared" si="77"/>
        <v>17828</v>
      </c>
      <c r="AA56" s="32">
        <f t="shared" si="77"/>
        <v>17313</v>
      </c>
      <c r="AB56" s="32">
        <f t="shared" si="77"/>
        <v>17059</v>
      </c>
      <c r="AC56" s="32">
        <f t="shared" si="77"/>
        <v>16536</v>
      </c>
      <c r="AD56" s="32">
        <f t="shared" si="77"/>
        <v>16013</v>
      </c>
      <c r="AE56" s="32">
        <f t="shared" si="77"/>
        <v>15490</v>
      </c>
      <c r="AF56" s="32">
        <f t="shared" si="77"/>
        <v>14966</v>
      </c>
      <c r="AG56" s="32">
        <f t="shared" si="77"/>
        <v>14443</v>
      </c>
      <c r="AH56" s="32">
        <f>V56</f>
        <v>29420</v>
      </c>
      <c r="AI56" s="11"/>
      <c r="AJ56" s="76">
        <f t="shared" si="78"/>
        <v>0.83725722850184225</v>
      </c>
    </row>
    <row r="57" spans="2:36" ht="12.75" customHeight="1">
      <c r="B57" s="9" t="s">
        <v>136</v>
      </c>
      <c r="C57" s="83">
        <v>727</v>
      </c>
      <c r="D57" s="83">
        <v>682</v>
      </c>
      <c r="E57" s="83">
        <f>841-E54</f>
        <v>632</v>
      </c>
      <c r="F57" s="83">
        <v>1251</v>
      </c>
      <c r="H57" s="83">
        <v>716</v>
      </c>
      <c r="I57" s="83">
        <v>705</v>
      </c>
      <c r="J57" s="83">
        <v>693</v>
      </c>
      <c r="K57" s="32">
        <f t="shared" ref="K57" si="82">D57</f>
        <v>682</v>
      </c>
      <c r="L57" s="83">
        <v>670</v>
      </c>
      <c r="M57" s="83">
        <v>658</v>
      </c>
      <c r="N57" s="83">
        <f>855-N54</f>
        <v>645</v>
      </c>
      <c r="O57" s="32">
        <f t="shared" si="75"/>
        <v>632</v>
      </c>
      <c r="P57" s="83">
        <f>828-P54</f>
        <v>619</v>
      </c>
      <c r="Q57" s="83">
        <f>815-Q54</f>
        <v>606</v>
      </c>
      <c r="R57" s="83">
        <v>1287</v>
      </c>
      <c r="S57" s="32">
        <f t="shared" si="76"/>
        <v>1251</v>
      </c>
      <c r="T57" s="83">
        <v>1237</v>
      </c>
      <c r="U57" s="83">
        <v>1222</v>
      </c>
      <c r="V57" s="83">
        <v>672</v>
      </c>
      <c r="X57" s="32">
        <f t="shared" si="77"/>
        <v>670</v>
      </c>
      <c r="Y57" s="32">
        <f t="shared" si="77"/>
        <v>658</v>
      </c>
      <c r="Z57" s="32">
        <f t="shared" si="77"/>
        <v>645</v>
      </c>
      <c r="AA57" s="32">
        <f t="shared" si="77"/>
        <v>632</v>
      </c>
      <c r="AB57" s="32">
        <f t="shared" si="77"/>
        <v>619</v>
      </c>
      <c r="AC57" s="32">
        <f t="shared" si="77"/>
        <v>606</v>
      </c>
      <c r="AD57" s="32">
        <f t="shared" si="77"/>
        <v>1287</v>
      </c>
      <c r="AE57" s="32">
        <f t="shared" si="77"/>
        <v>1251</v>
      </c>
      <c r="AF57" s="32">
        <f t="shared" si="77"/>
        <v>1237</v>
      </c>
      <c r="AG57" s="32">
        <f t="shared" si="77"/>
        <v>1222</v>
      </c>
      <c r="AH57" s="32">
        <f>V57</f>
        <v>672</v>
      </c>
      <c r="AI57" s="11"/>
      <c r="AJ57" s="76">
        <f t="shared" si="78"/>
        <v>-0.47785547785547788</v>
      </c>
    </row>
    <row r="58" spans="2:36" ht="12.75" customHeight="1">
      <c r="B58" s="13" t="s">
        <v>21</v>
      </c>
      <c r="C58" s="14">
        <f t="shared" ref="C58:F58" si="83">SUM(C54:C57)+C51</f>
        <v>286533</v>
      </c>
      <c r="D58" s="14">
        <f t="shared" si="83"/>
        <v>204302</v>
      </c>
      <c r="E58" s="14">
        <f t="shared" si="83"/>
        <v>128223</v>
      </c>
      <c r="F58" s="14">
        <f t="shared" si="83"/>
        <v>137872</v>
      </c>
      <c r="H58" s="14">
        <f t="shared" ref="H58:K58" si="84">SUM(H54:H57)+H51</f>
        <v>264468</v>
      </c>
      <c r="I58" s="14">
        <f t="shared" si="84"/>
        <v>246365</v>
      </c>
      <c r="J58" s="14">
        <f t="shared" si="84"/>
        <v>226219</v>
      </c>
      <c r="K58" s="14">
        <f t="shared" si="84"/>
        <v>204302</v>
      </c>
      <c r="L58" s="14">
        <f t="shared" ref="L58:V58" si="85">SUM(L54:L57)+L51</f>
        <v>182976</v>
      </c>
      <c r="M58" s="14">
        <f t="shared" si="85"/>
        <v>168106</v>
      </c>
      <c r="N58" s="14">
        <f t="shared" si="85"/>
        <v>149385</v>
      </c>
      <c r="O58" s="14">
        <f t="shared" si="85"/>
        <v>128223</v>
      </c>
      <c r="P58" s="14">
        <f t="shared" si="85"/>
        <v>161466</v>
      </c>
      <c r="Q58" s="14">
        <f t="shared" si="85"/>
        <v>138281</v>
      </c>
      <c r="R58" s="14">
        <f t="shared" si="85"/>
        <v>114764</v>
      </c>
      <c r="S58" s="14">
        <f t="shared" si="85"/>
        <v>137872</v>
      </c>
      <c r="T58" s="14">
        <f t="shared" si="85"/>
        <v>162553</v>
      </c>
      <c r="U58" s="14">
        <f t="shared" si="85"/>
        <v>138795</v>
      </c>
      <c r="V58" s="14">
        <f t="shared" si="85"/>
        <v>91509</v>
      </c>
      <c r="X58" s="14">
        <f t="shared" ref="X58:AH58" si="86">SUM(X54:X57)+X51</f>
        <v>182976</v>
      </c>
      <c r="Y58" s="14">
        <f t="shared" si="86"/>
        <v>168106</v>
      </c>
      <c r="Z58" s="14">
        <f t="shared" si="86"/>
        <v>149385</v>
      </c>
      <c r="AA58" s="14">
        <f t="shared" si="86"/>
        <v>128223</v>
      </c>
      <c r="AB58" s="14">
        <f t="shared" si="86"/>
        <v>161466</v>
      </c>
      <c r="AC58" s="14">
        <f t="shared" si="86"/>
        <v>138281</v>
      </c>
      <c r="AD58" s="14">
        <f t="shared" si="86"/>
        <v>114764</v>
      </c>
      <c r="AE58" s="14">
        <f t="shared" si="86"/>
        <v>137872</v>
      </c>
      <c r="AF58" s="14">
        <f t="shared" si="86"/>
        <v>162553</v>
      </c>
      <c r="AG58" s="14">
        <f t="shared" si="86"/>
        <v>138795</v>
      </c>
      <c r="AH58" s="34">
        <f t="shared" si="86"/>
        <v>91509</v>
      </c>
      <c r="AI58" s="42"/>
      <c r="AJ58" s="77">
        <f t="shared" si="78"/>
        <v>-0.20263322993273147</v>
      </c>
    </row>
    <row r="59" spans="2:36" ht="12.75" customHeight="1">
      <c r="B59" s="25"/>
      <c r="C59" s="51"/>
      <c r="D59" s="51"/>
      <c r="E59" s="41"/>
      <c r="F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39"/>
    </row>
    <row r="60" spans="2:36" ht="12.75" customHeight="1">
      <c r="B60" s="79" t="s">
        <v>47</v>
      </c>
      <c r="C60" s="51"/>
      <c r="D60" s="51"/>
      <c r="E60" s="41"/>
      <c r="F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39"/>
    </row>
    <row r="61" spans="2:36" ht="12.75" customHeight="1">
      <c r="B61" s="122" t="s">
        <v>13</v>
      </c>
      <c r="C61" s="123">
        <v>2094</v>
      </c>
      <c r="D61" s="123">
        <v>1595</v>
      </c>
      <c r="E61" s="123">
        <v>6490</v>
      </c>
      <c r="F61" s="123">
        <v>4490</v>
      </c>
      <c r="H61" s="83">
        <v>3037</v>
      </c>
      <c r="I61" s="83">
        <v>2537</v>
      </c>
      <c r="J61" s="83">
        <v>3255</v>
      </c>
      <c r="K61" s="32">
        <f t="shared" ref="K61:K65" si="87">D61</f>
        <v>1595</v>
      </c>
      <c r="L61" s="83">
        <v>1954</v>
      </c>
      <c r="M61" s="83">
        <v>2362</v>
      </c>
      <c r="N61" s="83">
        <v>3018</v>
      </c>
      <c r="O61" s="32">
        <f t="shared" ref="O61:O65" si="88">E61</f>
        <v>6490</v>
      </c>
      <c r="P61" s="83">
        <v>3452</v>
      </c>
      <c r="Q61" s="83">
        <v>6005</v>
      </c>
      <c r="R61" s="83">
        <v>6903</v>
      </c>
      <c r="S61" s="32">
        <f t="shared" ref="S61:S65" si="89">F61</f>
        <v>4490</v>
      </c>
      <c r="T61" s="83">
        <v>5572</v>
      </c>
      <c r="U61" s="83">
        <v>6629</v>
      </c>
      <c r="V61" s="83">
        <v>9575</v>
      </c>
      <c r="X61" s="99">
        <f t="shared" ref="X61:AG65" si="90">L61</f>
        <v>1954</v>
      </c>
      <c r="Y61" s="99">
        <f t="shared" si="90"/>
        <v>2362</v>
      </c>
      <c r="Z61" s="99">
        <f t="shared" si="90"/>
        <v>3018</v>
      </c>
      <c r="AA61" s="99">
        <f t="shared" si="90"/>
        <v>6490</v>
      </c>
      <c r="AB61" s="99">
        <f t="shared" si="90"/>
        <v>3452</v>
      </c>
      <c r="AC61" s="99">
        <f t="shared" si="90"/>
        <v>6005</v>
      </c>
      <c r="AD61" s="99">
        <f t="shared" si="90"/>
        <v>6903</v>
      </c>
      <c r="AE61" s="99">
        <f t="shared" si="90"/>
        <v>4490</v>
      </c>
      <c r="AF61" s="99">
        <f t="shared" si="90"/>
        <v>5572</v>
      </c>
      <c r="AG61" s="99">
        <f t="shared" si="90"/>
        <v>6629</v>
      </c>
      <c r="AH61" s="99">
        <f>V61</f>
        <v>9575</v>
      </c>
      <c r="AI61" s="11"/>
      <c r="AJ61" s="76">
        <f t="shared" ref="AJ61:AJ64" si="91">SUM(AH61/AD61)-1</f>
        <v>0.38707808199333615</v>
      </c>
    </row>
    <row r="62" spans="2:36" ht="12.75" customHeight="1">
      <c r="B62" s="122" t="s">
        <v>137</v>
      </c>
      <c r="C62" s="123">
        <v>6757</v>
      </c>
      <c r="D62" s="123">
        <v>7108</v>
      </c>
      <c r="E62" s="123">
        <v>9340</v>
      </c>
      <c r="F62" s="123">
        <v>11424</v>
      </c>
      <c r="H62" s="83">
        <v>5460</v>
      </c>
      <c r="I62" s="83">
        <v>6186</v>
      </c>
      <c r="J62" s="83">
        <v>7959</v>
      </c>
      <c r="K62" s="32">
        <f t="shared" si="87"/>
        <v>7108</v>
      </c>
      <c r="L62" s="83">
        <v>6411</v>
      </c>
      <c r="M62" s="83">
        <v>6571</v>
      </c>
      <c r="N62" s="83">
        <v>9586</v>
      </c>
      <c r="O62" s="32">
        <f t="shared" si="88"/>
        <v>9340</v>
      </c>
      <c r="P62" s="83">
        <v>7917</v>
      </c>
      <c r="Q62" s="83">
        <v>8950</v>
      </c>
      <c r="R62" s="83">
        <v>11151</v>
      </c>
      <c r="S62" s="32">
        <f t="shared" si="89"/>
        <v>11424</v>
      </c>
      <c r="T62" s="83">
        <v>9701</v>
      </c>
      <c r="U62" s="83">
        <v>9186</v>
      </c>
      <c r="V62" s="83">
        <v>10264</v>
      </c>
      <c r="X62" s="99">
        <f t="shared" si="90"/>
        <v>6411</v>
      </c>
      <c r="Y62" s="99">
        <f t="shared" si="90"/>
        <v>6571</v>
      </c>
      <c r="Z62" s="99">
        <f t="shared" si="90"/>
        <v>9586</v>
      </c>
      <c r="AA62" s="99">
        <f t="shared" si="90"/>
        <v>9340</v>
      </c>
      <c r="AB62" s="99">
        <f t="shared" si="90"/>
        <v>7917</v>
      </c>
      <c r="AC62" s="99">
        <f t="shared" si="90"/>
        <v>8950</v>
      </c>
      <c r="AD62" s="99">
        <f t="shared" si="90"/>
        <v>11151</v>
      </c>
      <c r="AE62" s="99">
        <f t="shared" si="90"/>
        <v>11424</v>
      </c>
      <c r="AF62" s="99">
        <f t="shared" si="90"/>
        <v>9701</v>
      </c>
      <c r="AG62" s="99">
        <f t="shared" si="90"/>
        <v>9186</v>
      </c>
      <c r="AH62" s="99">
        <f>V62</f>
        <v>10264</v>
      </c>
      <c r="AI62" s="11"/>
      <c r="AJ62" s="76">
        <f t="shared" si="91"/>
        <v>-7.9544435476638919E-2</v>
      </c>
    </row>
    <row r="63" spans="2:36" ht="12.75" customHeight="1">
      <c r="B63" s="122" t="s">
        <v>138</v>
      </c>
      <c r="C63" s="123">
        <v>1981</v>
      </c>
      <c r="D63" s="123">
        <v>2256</v>
      </c>
      <c r="E63" s="123">
        <v>2560</v>
      </c>
      <c r="F63" s="123">
        <v>2917</v>
      </c>
      <c r="H63" s="83">
        <v>2047</v>
      </c>
      <c r="I63" s="83">
        <v>2115</v>
      </c>
      <c r="J63" s="83">
        <v>2185</v>
      </c>
      <c r="K63" s="32">
        <f t="shared" si="87"/>
        <v>2256</v>
      </c>
      <c r="L63" s="83">
        <v>2329</v>
      </c>
      <c r="M63" s="83">
        <v>2404</v>
      </c>
      <c r="N63" s="83">
        <v>2481</v>
      </c>
      <c r="O63" s="32">
        <f t="shared" si="88"/>
        <v>2560</v>
      </c>
      <c r="P63" s="83">
        <v>2663</v>
      </c>
      <c r="Q63" s="83">
        <v>2746</v>
      </c>
      <c r="R63" s="83">
        <v>2831</v>
      </c>
      <c r="S63" s="32">
        <f t="shared" si="89"/>
        <v>2917</v>
      </c>
      <c r="T63" s="83">
        <v>3006</v>
      </c>
      <c r="U63" s="83">
        <v>3093</v>
      </c>
      <c r="V63" s="83">
        <v>2670</v>
      </c>
      <c r="X63" s="99">
        <f t="shared" si="90"/>
        <v>2329</v>
      </c>
      <c r="Y63" s="99">
        <f t="shared" si="90"/>
        <v>2404</v>
      </c>
      <c r="Z63" s="99">
        <f t="shared" si="90"/>
        <v>2481</v>
      </c>
      <c r="AA63" s="99">
        <f t="shared" si="90"/>
        <v>2560</v>
      </c>
      <c r="AB63" s="99">
        <f t="shared" si="90"/>
        <v>2663</v>
      </c>
      <c r="AC63" s="99">
        <f t="shared" si="90"/>
        <v>2746</v>
      </c>
      <c r="AD63" s="99">
        <f t="shared" si="90"/>
        <v>2831</v>
      </c>
      <c r="AE63" s="99">
        <f t="shared" si="90"/>
        <v>2917</v>
      </c>
      <c r="AF63" s="99">
        <f t="shared" si="90"/>
        <v>3006</v>
      </c>
      <c r="AG63" s="99">
        <f t="shared" si="90"/>
        <v>3093</v>
      </c>
      <c r="AH63" s="99">
        <f>V63</f>
        <v>2670</v>
      </c>
      <c r="AI63" s="11"/>
      <c r="AJ63" s="76">
        <f t="shared" si="91"/>
        <v>-5.6870363829035653E-2</v>
      </c>
    </row>
    <row r="64" spans="2:36" ht="12.75" customHeight="1">
      <c r="B64" s="122" t="s">
        <v>157</v>
      </c>
      <c r="C64" s="123">
        <v>0</v>
      </c>
      <c r="D64" s="123">
        <v>8571</v>
      </c>
      <c r="E64" s="123">
        <v>0</v>
      </c>
      <c r="F64" s="123">
        <v>0</v>
      </c>
      <c r="H64" s="83">
        <v>0</v>
      </c>
      <c r="I64" s="83">
        <v>0</v>
      </c>
      <c r="J64" s="83">
        <v>4286</v>
      </c>
      <c r="K64" s="32">
        <f t="shared" si="87"/>
        <v>8571</v>
      </c>
      <c r="L64" s="83">
        <v>12857</v>
      </c>
      <c r="M64" s="83">
        <v>0</v>
      </c>
      <c r="N64" s="83">
        <v>0</v>
      </c>
      <c r="O64" s="32">
        <f t="shared" si="88"/>
        <v>0</v>
      </c>
      <c r="P64" s="83">
        <v>0</v>
      </c>
      <c r="Q64" s="83">
        <v>0</v>
      </c>
      <c r="R64" s="83">
        <v>0</v>
      </c>
      <c r="S64" s="32">
        <f t="shared" si="89"/>
        <v>0</v>
      </c>
      <c r="T64" s="83">
        <v>0</v>
      </c>
      <c r="U64" s="83">
        <v>0</v>
      </c>
      <c r="V64" s="83">
        <v>0</v>
      </c>
      <c r="X64" s="99">
        <f t="shared" si="90"/>
        <v>12857</v>
      </c>
      <c r="Y64" s="99">
        <f t="shared" si="90"/>
        <v>0</v>
      </c>
      <c r="Z64" s="99">
        <f t="shared" si="90"/>
        <v>0</v>
      </c>
      <c r="AA64" s="99">
        <f t="shared" si="90"/>
        <v>0</v>
      </c>
      <c r="AB64" s="99">
        <f t="shared" si="90"/>
        <v>0</v>
      </c>
      <c r="AC64" s="99">
        <f t="shared" si="90"/>
        <v>0</v>
      </c>
      <c r="AD64" s="99">
        <f t="shared" si="90"/>
        <v>0</v>
      </c>
      <c r="AE64" s="99">
        <f t="shared" si="90"/>
        <v>0</v>
      </c>
      <c r="AF64" s="99">
        <f t="shared" si="90"/>
        <v>0</v>
      </c>
      <c r="AG64" s="99">
        <f t="shared" si="90"/>
        <v>0</v>
      </c>
      <c r="AH64" s="99">
        <f>V64</f>
        <v>0</v>
      </c>
      <c r="AI64" s="11"/>
      <c r="AJ64" s="76" t="e">
        <f t="shared" si="91"/>
        <v>#DIV/0!</v>
      </c>
    </row>
    <row r="65" spans="2:36" ht="12.75" customHeight="1">
      <c r="B65" s="122" t="s">
        <v>155</v>
      </c>
      <c r="C65" s="123">
        <f>45+173</f>
        <v>218</v>
      </c>
      <c r="D65" s="123">
        <f>50</f>
        <v>50</v>
      </c>
      <c r="E65" s="123">
        <v>53</v>
      </c>
      <c r="F65" s="123">
        <v>1123</v>
      </c>
      <c r="H65" s="83">
        <f>46+173</f>
        <v>219</v>
      </c>
      <c r="I65" s="83">
        <f>47+173</f>
        <v>220</v>
      </c>
      <c r="J65" s="83">
        <f>48+173</f>
        <v>221</v>
      </c>
      <c r="K65" s="32">
        <f t="shared" si="87"/>
        <v>50</v>
      </c>
      <c r="L65" s="83">
        <f>50</f>
        <v>50</v>
      </c>
      <c r="M65" s="83">
        <v>51</v>
      </c>
      <c r="N65" s="83">
        <v>52</v>
      </c>
      <c r="O65" s="32">
        <f t="shared" si="88"/>
        <v>53</v>
      </c>
      <c r="P65" s="83">
        <v>55</v>
      </c>
      <c r="Q65" s="83">
        <v>56</v>
      </c>
      <c r="R65" s="83">
        <v>57</v>
      </c>
      <c r="S65" s="32">
        <f t="shared" si="89"/>
        <v>1123</v>
      </c>
      <c r="T65" s="83">
        <f>60+1690</f>
        <v>1750</v>
      </c>
      <c r="U65" s="83">
        <f>61+2116</f>
        <v>2177</v>
      </c>
      <c r="V65" s="83">
        <v>3072</v>
      </c>
      <c r="X65" s="99">
        <f t="shared" si="90"/>
        <v>50</v>
      </c>
      <c r="Y65" s="99">
        <f t="shared" si="90"/>
        <v>51</v>
      </c>
      <c r="Z65" s="99">
        <f t="shared" si="90"/>
        <v>52</v>
      </c>
      <c r="AA65" s="99">
        <f t="shared" si="90"/>
        <v>53</v>
      </c>
      <c r="AB65" s="99">
        <f t="shared" si="90"/>
        <v>55</v>
      </c>
      <c r="AC65" s="99">
        <f t="shared" si="90"/>
        <v>56</v>
      </c>
      <c r="AD65" s="99">
        <f t="shared" si="90"/>
        <v>57</v>
      </c>
      <c r="AE65" s="99">
        <f t="shared" si="90"/>
        <v>1123</v>
      </c>
      <c r="AF65" s="99">
        <f t="shared" si="90"/>
        <v>1750</v>
      </c>
      <c r="AG65" s="99">
        <f t="shared" si="90"/>
        <v>2177</v>
      </c>
      <c r="AH65" s="99">
        <f>V65</f>
        <v>3072</v>
      </c>
      <c r="AI65" s="11"/>
      <c r="AJ65" s="76">
        <f t="shared" ref="AJ61:AJ66" si="92">SUM(AH65/AD65)-1</f>
        <v>52.89473684210526</v>
      </c>
    </row>
    <row r="66" spans="2:36" ht="12.75" customHeight="1">
      <c r="B66" s="25" t="s">
        <v>19</v>
      </c>
      <c r="C66" s="26">
        <f>SUM(C61:C65)</f>
        <v>11050</v>
      </c>
      <c r="D66" s="26">
        <f>SUM(D61:D65)</f>
        <v>19580</v>
      </c>
      <c r="E66" s="26">
        <f>SUM(E61:E65)</f>
        <v>18443</v>
      </c>
      <c r="F66" s="26">
        <f>SUM(F61:F65)</f>
        <v>19954</v>
      </c>
      <c r="H66" s="26">
        <f>SUM(H61:H65)</f>
        <v>10763</v>
      </c>
      <c r="I66" s="26">
        <f>SUM(I61:I65)</f>
        <v>11058</v>
      </c>
      <c r="J66" s="26">
        <f>SUM(J61:J65)</f>
        <v>17906</v>
      </c>
      <c r="K66" s="26">
        <f>SUM(K61:K65)</f>
        <v>19580</v>
      </c>
      <c r="L66" s="26">
        <f>SUM(L61:L65)</f>
        <v>23601</v>
      </c>
      <c r="M66" s="26">
        <f>SUM(M61:M65)</f>
        <v>11388</v>
      </c>
      <c r="N66" s="26">
        <f>SUM(N61:N65)</f>
        <v>15137</v>
      </c>
      <c r="O66" s="26">
        <f>SUM(O61:O65)</f>
        <v>18443</v>
      </c>
      <c r="P66" s="26">
        <f>SUM(P61:P65)</f>
        <v>14087</v>
      </c>
      <c r="Q66" s="26">
        <f>SUM(Q61:Q65)</f>
        <v>17757</v>
      </c>
      <c r="R66" s="26">
        <f>SUM(R61:R65)</f>
        <v>20942</v>
      </c>
      <c r="S66" s="26">
        <f>SUM(S61:S65)</f>
        <v>19954</v>
      </c>
      <c r="T66" s="26">
        <f>SUM(T61:T65)</f>
        <v>20029</v>
      </c>
      <c r="U66" s="26">
        <f>SUM(U61:U65)</f>
        <v>21085</v>
      </c>
      <c r="V66" s="26">
        <f>SUM(V61:V65)</f>
        <v>25581</v>
      </c>
      <c r="W66" s="49"/>
      <c r="X66" s="26">
        <f>SUM(X61:X65)</f>
        <v>23601</v>
      </c>
      <c r="Y66" s="26">
        <f>SUM(Y61:Y65)</f>
        <v>11388</v>
      </c>
      <c r="Z66" s="26">
        <f>SUM(Z61:Z65)</f>
        <v>15137</v>
      </c>
      <c r="AA66" s="26">
        <f>SUM(AA61:AA65)</f>
        <v>18443</v>
      </c>
      <c r="AB66" s="26">
        <f>SUM(AB61:AB65)</f>
        <v>14087</v>
      </c>
      <c r="AC66" s="26">
        <f>SUM(AC61:AC65)</f>
        <v>17757</v>
      </c>
      <c r="AD66" s="26">
        <f>SUM(AD61:AD65)</f>
        <v>20942</v>
      </c>
      <c r="AE66" s="26">
        <f>SUM(AE61:AE65)</f>
        <v>19954</v>
      </c>
      <c r="AF66" s="26">
        <f>SUM(AF61:AF65)</f>
        <v>20029</v>
      </c>
      <c r="AG66" s="26">
        <f>SUM(AG61:AG65)</f>
        <v>21085</v>
      </c>
      <c r="AH66" s="26">
        <f>SUM(AH61:AH65)</f>
        <v>25581</v>
      </c>
      <c r="AI66" s="42"/>
      <c r="AJ66" s="77">
        <f t="shared" si="92"/>
        <v>0.22151656957310673</v>
      </c>
    </row>
    <row r="67" spans="2:36" ht="5.0999999999999996" customHeight="1">
      <c r="B67" s="25"/>
      <c r="C67" s="51"/>
      <c r="D67" s="51"/>
      <c r="E67" s="41"/>
      <c r="F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39"/>
    </row>
    <row r="68" spans="2:36">
      <c r="B68" s="79" t="s">
        <v>87</v>
      </c>
      <c r="C68" s="51"/>
      <c r="D68" s="51"/>
      <c r="E68" s="41"/>
      <c r="F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39"/>
    </row>
    <row r="69" spans="2:36" ht="12.75" customHeight="1">
      <c r="B69" s="122" t="s">
        <v>139</v>
      </c>
      <c r="C69" s="123">
        <v>0</v>
      </c>
      <c r="D69" s="123">
        <v>0</v>
      </c>
      <c r="E69" s="123">
        <v>38600</v>
      </c>
      <c r="F69" s="123">
        <v>63354</v>
      </c>
      <c r="G69" s="52"/>
      <c r="H69" s="83">
        <v>0</v>
      </c>
      <c r="I69" s="83">
        <v>0</v>
      </c>
      <c r="J69" s="83">
        <v>0</v>
      </c>
      <c r="K69" s="32">
        <f t="shared" ref="K69:K73" si="93">D69</f>
        <v>0</v>
      </c>
      <c r="L69" s="83">
        <v>0</v>
      </c>
      <c r="M69" s="83">
        <v>36248</v>
      </c>
      <c r="N69" s="83">
        <v>37286</v>
      </c>
      <c r="O69" s="32">
        <f t="shared" ref="O69:O73" si="94">E69</f>
        <v>38600</v>
      </c>
      <c r="P69" s="83">
        <v>57959</v>
      </c>
      <c r="Q69" s="83">
        <v>60078</v>
      </c>
      <c r="R69" s="83">
        <v>62117</v>
      </c>
      <c r="S69" s="32">
        <f t="shared" ref="S69:S73" si="95">F69</f>
        <v>63354</v>
      </c>
      <c r="T69" s="83">
        <v>64672</v>
      </c>
      <c r="U69" s="83">
        <v>66425</v>
      </c>
      <c r="V69" s="83">
        <v>17674</v>
      </c>
      <c r="W69" s="123"/>
      <c r="X69" s="99">
        <f t="shared" ref="X69:AG73" si="96">L69</f>
        <v>0</v>
      </c>
      <c r="Y69" s="99">
        <f t="shared" si="96"/>
        <v>36248</v>
      </c>
      <c r="Z69" s="99">
        <f t="shared" si="96"/>
        <v>37286</v>
      </c>
      <c r="AA69" s="99">
        <f t="shared" si="96"/>
        <v>38600</v>
      </c>
      <c r="AB69" s="99">
        <f t="shared" si="96"/>
        <v>57959</v>
      </c>
      <c r="AC69" s="99">
        <f t="shared" si="96"/>
        <v>60078</v>
      </c>
      <c r="AD69" s="99">
        <f t="shared" si="96"/>
        <v>62117</v>
      </c>
      <c r="AE69" s="99">
        <f t="shared" si="96"/>
        <v>63354</v>
      </c>
      <c r="AF69" s="99">
        <f t="shared" si="96"/>
        <v>64672</v>
      </c>
      <c r="AG69" s="99">
        <f t="shared" si="96"/>
        <v>66425</v>
      </c>
      <c r="AH69" s="99">
        <f>V69</f>
        <v>17674</v>
      </c>
      <c r="AI69" s="42"/>
      <c r="AJ69" s="76">
        <f t="shared" ref="AJ69:AJ72" si="97">SUM(AH69/AD69)-1</f>
        <v>-0.71547241495886793</v>
      </c>
    </row>
    <row r="70" spans="2:36" ht="12.75" customHeight="1">
      <c r="B70" s="122" t="s">
        <v>140</v>
      </c>
      <c r="C70" s="123">
        <v>103660</v>
      </c>
      <c r="D70" s="123">
        <v>27893</v>
      </c>
      <c r="E70" s="123">
        <v>37916</v>
      </c>
      <c r="F70" s="123">
        <v>70961</v>
      </c>
      <c r="G70" s="52"/>
      <c r="H70" s="83">
        <v>100402</v>
      </c>
      <c r="I70" s="83">
        <v>44049</v>
      </c>
      <c r="J70" s="83">
        <v>45011</v>
      </c>
      <c r="K70" s="32">
        <f t="shared" si="93"/>
        <v>27893</v>
      </c>
      <c r="L70" s="83">
        <v>42084</v>
      </c>
      <c r="M70" s="83">
        <v>38457</v>
      </c>
      <c r="N70" s="83">
        <v>39601</v>
      </c>
      <c r="O70" s="32">
        <f t="shared" si="94"/>
        <v>37916</v>
      </c>
      <c r="P70" s="83">
        <v>42509</v>
      </c>
      <c r="Q70" s="83">
        <v>68080</v>
      </c>
      <c r="R70" s="83">
        <v>76569</v>
      </c>
      <c r="S70" s="32">
        <f t="shared" si="95"/>
        <v>70961</v>
      </c>
      <c r="T70" s="83">
        <v>21230</v>
      </c>
      <c r="U70" s="83">
        <v>26700</v>
      </c>
      <c r="V70" s="83">
        <v>21807</v>
      </c>
      <c r="W70" s="123"/>
      <c r="X70" s="99">
        <f t="shared" si="96"/>
        <v>42084</v>
      </c>
      <c r="Y70" s="99">
        <f t="shared" si="96"/>
        <v>38457</v>
      </c>
      <c r="Z70" s="99">
        <f t="shared" si="96"/>
        <v>39601</v>
      </c>
      <c r="AA70" s="99">
        <f t="shared" si="96"/>
        <v>37916</v>
      </c>
      <c r="AB70" s="99">
        <f t="shared" si="96"/>
        <v>42509</v>
      </c>
      <c r="AC70" s="99">
        <f t="shared" si="96"/>
        <v>68080</v>
      </c>
      <c r="AD70" s="99">
        <f t="shared" si="96"/>
        <v>76569</v>
      </c>
      <c r="AE70" s="99">
        <f t="shared" si="96"/>
        <v>70961</v>
      </c>
      <c r="AF70" s="99">
        <f t="shared" si="96"/>
        <v>21230</v>
      </c>
      <c r="AG70" s="99">
        <f t="shared" si="96"/>
        <v>26700</v>
      </c>
      <c r="AH70" s="99">
        <f>V70</f>
        <v>21807</v>
      </c>
      <c r="AI70" s="42"/>
      <c r="AJ70" s="76">
        <f t="shared" si="97"/>
        <v>-0.71519805665478198</v>
      </c>
    </row>
    <row r="71" spans="2:36" ht="12.75" customHeight="1">
      <c r="B71" s="122" t="s">
        <v>141</v>
      </c>
      <c r="C71" s="123">
        <v>21109</v>
      </c>
      <c r="D71" s="123">
        <v>18853</v>
      </c>
      <c r="E71" s="123">
        <v>16293</v>
      </c>
      <c r="F71" s="123">
        <v>13620</v>
      </c>
      <c r="G71" s="52"/>
      <c r="H71" s="83">
        <v>20581</v>
      </c>
      <c r="I71" s="83">
        <v>20018</v>
      </c>
      <c r="J71" s="83">
        <v>19442</v>
      </c>
      <c r="K71" s="32">
        <f t="shared" si="93"/>
        <v>18853</v>
      </c>
      <c r="L71" s="83">
        <v>18252</v>
      </c>
      <c r="M71" s="83">
        <v>17614</v>
      </c>
      <c r="N71" s="83">
        <v>16960</v>
      </c>
      <c r="O71" s="32">
        <f t="shared" si="94"/>
        <v>16293</v>
      </c>
      <c r="P71" s="83">
        <v>15850</v>
      </c>
      <c r="Q71" s="83">
        <v>15123</v>
      </c>
      <c r="R71" s="83">
        <v>14379</v>
      </c>
      <c r="S71" s="32">
        <f t="shared" si="95"/>
        <v>13620</v>
      </c>
      <c r="T71" s="83">
        <v>12844</v>
      </c>
      <c r="U71" s="83">
        <v>12030</v>
      </c>
      <c r="V71" s="83">
        <v>27155</v>
      </c>
      <c r="W71" s="123"/>
      <c r="X71" s="99">
        <f t="shared" si="96"/>
        <v>18252</v>
      </c>
      <c r="Y71" s="99">
        <f t="shared" si="96"/>
        <v>17614</v>
      </c>
      <c r="Z71" s="99">
        <f t="shared" si="96"/>
        <v>16960</v>
      </c>
      <c r="AA71" s="99">
        <f t="shared" si="96"/>
        <v>16293</v>
      </c>
      <c r="AB71" s="99">
        <f t="shared" si="96"/>
        <v>15850</v>
      </c>
      <c r="AC71" s="99">
        <f t="shared" si="96"/>
        <v>15123</v>
      </c>
      <c r="AD71" s="99">
        <f t="shared" si="96"/>
        <v>14379</v>
      </c>
      <c r="AE71" s="99">
        <f t="shared" si="96"/>
        <v>13620</v>
      </c>
      <c r="AF71" s="99">
        <f t="shared" si="96"/>
        <v>12844</v>
      </c>
      <c r="AG71" s="99">
        <f t="shared" si="96"/>
        <v>12030</v>
      </c>
      <c r="AH71" s="99">
        <f>V71</f>
        <v>27155</v>
      </c>
      <c r="AI71" s="42"/>
      <c r="AJ71" s="76">
        <f t="shared" si="97"/>
        <v>0.8885179776062313</v>
      </c>
    </row>
    <row r="72" spans="2:36" ht="12.75" customHeight="1">
      <c r="B72" s="122" t="s">
        <v>158</v>
      </c>
      <c r="C72" s="123">
        <v>27361</v>
      </c>
      <c r="D72" s="123">
        <v>20336</v>
      </c>
      <c r="E72" s="123">
        <v>0</v>
      </c>
      <c r="F72" s="123">
        <v>0</v>
      </c>
      <c r="G72" s="52"/>
      <c r="H72" s="83">
        <v>27739</v>
      </c>
      <c r="I72" s="83">
        <v>28132</v>
      </c>
      <c r="J72" s="83">
        <v>24286</v>
      </c>
      <c r="K72" s="32">
        <f t="shared" si="93"/>
        <v>20336</v>
      </c>
      <c r="L72" s="83">
        <v>16410</v>
      </c>
      <c r="M72" s="83">
        <v>0</v>
      </c>
      <c r="N72" s="83">
        <v>0</v>
      </c>
      <c r="O72" s="32">
        <f t="shared" si="94"/>
        <v>0</v>
      </c>
      <c r="P72" s="83">
        <v>0</v>
      </c>
      <c r="Q72" s="83">
        <v>0</v>
      </c>
      <c r="R72" s="83">
        <v>0</v>
      </c>
      <c r="S72" s="32">
        <f t="shared" si="95"/>
        <v>0</v>
      </c>
      <c r="T72" s="83">
        <v>0</v>
      </c>
      <c r="U72" s="83">
        <v>0</v>
      </c>
      <c r="V72" s="83">
        <v>0</v>
      </c>
      <c r="W72" s="123"/>
      <c r="X72" s="99">
        <f t="shared" si="96"/>
        <v>16410</v>
      </c>
      <c r="Y72" s="99">
        <f t="shared" si="96"/>
        <v>0</v>
      </c>
      <c r="Z72" s="99">
        <f t="shared" si="96"/>
        <v>0</v>
      </c>
      <c r="AA72" s="99">
        <f t="shared" si="96"/>
        <v>0</v>
      </c>
      <c r="AB72" s="99">
        <f t="shared" si="96"/>
        <v>0</v>
      </c>
      <c r="AC72" s="99">
        <f t="shared" si="96"/>
        <v>0</v>
      </c>
      <c r="AD72" s="99">
        <f t="shared" si="96"/>
        <v>0</v>
      </c>
      <c r="AE72" s="99">
        <f t="shared" si="96"/>
        <v>0</v>
      </c>
      <c r="AF72" s="99">
        <f t="shared" si="96"/>
        <v>0</v>
      </c>
      <c r="AG72" s="99">
        <f t="shared" si="96"/>
        <v>0</v>
      </c>
      <c r="AH72" s="99">
        <f>V72</f>
        <v>0</v>
      </c>
      <c r="AI72" s="42"/>
      <c r="AJ72" s="76" t="e">
        <f t="shared" si="97"/>
        <v>#DIV/0!</v>
      </c>
    </row>
    <row r="73" spans="2:36" ht="12.75" customHeight="1">
      <c r="B73" s="122" t="s">
        <v>156</v>
      </c>
      <c r="C73" s="123">
        <f>1179</f>
        <v>1179</v>
      </c>
      <c r="D73" s="123">
        <f>712</f>
        <v>712</v>
      </c>
      <c r="E73" s="123">
        <f>789+2636</f>
        <v>3425</v>
      </c>
      <c r="F73" s="123">
        <f>983+19254+2415</f>
        <v>22652</v>
      </c>
      <c r="G73" s="32"/>
      <c r="H73" s="83">
        <f>670+423</f>
        <v>1093</v>
      </c>
      <c r="I73" s="83">
        <f>658+190</f>
        <v>848</v>
      </c>
      <c r="J73" s="83">
        <f>645+257</f>
        <v>902</v>
      </c>
      <c r="K73" s="32">
        <f t="shared" si="93"/>
        <v>712</v>
      </c>
      <c r="L73" s="83">
        <f>620+122</f>
        <v>742</v>
      </c>
      <c r="M73" s="83">
        <f>890+2392</f>
        <v>3282</v>
      </c>
      <c r="N73" s="83">
        <f>872+2536</f>
        <v>3408</v>
      </c>
      <c r="O73" s="32">
        <f t="shared" si="94"/>
        <v>3425</v>
      </c>
      <c r="P73" s="83">
        <f>830+4079</f>
        <v>4909</v>
      </c>
      <c r="Q73" s="83">
        <f>1264+4266</f>
        <v>5530</v>
      </c>
      <c r="R73" s="83">
        <f>1373+3105</f>
        <v>4478</v>
      </c>
      <c r="S73" s="32">
        <f t="shared" si="95"/>
        <v>22652</v>
      </c>
      <c r="T73" s="83">
        <f>951+3320+3464</f>
        <v>7735</v>
      </c>
      <c r="U73" s="83">
        <f>984+4358+3161</f>
        <v>8503</v>
      </c>
      <c r="V73" s="83">
        <f>3234+289+520</f>
        <v>4043</v>
      </c>
      <c r="X73" s="99">
        <f t="shared" si="96"/>
        <v>742</v>
      </c>
      <c r="Y73" s="99">
        <f t="shared" si="96"/>
        <v>3282</v>
      </c>
      <c r="Z73" s="99">
        <f t="shared" si="96"/>
        <v>3408</v>
      </c>
      <c r="AA73" s="99">
        <f t="shared" si="96"/>
        <v>3425</v>
      </c>
      <c r="AB73" s="99">
        <f t="shared" si="96"/>
        <v>4909</v>
      </c>
      <c r="AC73" s="99">
        <f t="shared" si="96"/>
        <v>5530</v>
      </c>
      <c r="AD73" s="99">
        <f t="shared" si="96"/>
        <v>4478</v>
      </c>
      <c r="AE73" s="99">
        <f t="shared" si="96"/>
        <v>22652</v>
      </c>
      <c r="AF73" s="99">
        <f t="shared" si="96"/>
        <v>7735</v>
      </c>
      <c r="AG73" s="99">
        <f t="shared" si="96"/>
        <v>8503</v>
      </c>
      <c r="AH73" s="99">
        <f>V73</f>
        <v>4043</v>
      </c>
      <c r="AI73" s="42"/>
      <c r="AJ73" s="76">
        <f t="shared" ref="AJ69:AJ80" si="98">SUM(AH73/AD73)-1</f>
        <v>-9.7141581062974547E-2</v>
      </c>
    </row>
    <row r="74" spans="2:36" ht="12.75" customHeight="1">
      <c r="B74" s="13" t="s">
        <v>17</v>
      </c>
      <c r="C74" s="14">
        <f t="shared" ref="C74:F74" si="99">SUM(C69:C73)+C66</f>
        <v>164359</v>
      </c>
      <c r="D74" s="14">
        <f t="shared" si="99"/>
        <v>87374</v>
      </c>
      <c r="E74" s="14">
        <f t="shared" si="99"/>
        <v>114677</v>
      </c>
      <c r="F74" s="14">
        <f t="shared" si="99"/>
        <v>190541</v>
      </c>
      <c r="H74" s="14">
        <f t="shared" ref="H74:K74" si="100">SUM(H69:H73)+H66</f>
        <v>160578</v>
      </c>
      <c r="I74" s="14">
        <f t="shared" si="100"/>
        <v>104105</v>
      </c>
      <c r="J74" s="14">
        <f t="shared" si="100"/>
        <v>107547</v>
      </c>
      <c r="K74" s="14">
        <f t="shared" si="100"/>
        <v>87374</v>
      </c>
      <c r="L74" s="14">
        <f t="shared" ref="L74:V74" si="101">SUM(L69:L73)+L66</f>
        <v>101089</v>
      </c>
      <c r="M74" s="14">
        <f t="shared" si="101"/>
        <v>106989</v>
      </c>
      <c r="N74" s="14">
        <f t="shared" si="101"/>
        <v>112392</v>
      </c>
      <c r="O74" s="14">
        <f t="shared" si="101"/>
        <v>114677</v>
      </c>
      <c r="P74" s="14">
        <f t="shared" si="101"/>
        <v>135314</v>
      </c>
      <c r="Q74" s="14">
        <f t="shared" si="101"/>
        <v>166568</v>
      </c>
      <c r="R74" s="14">
        <f t="shared" si="101"/>
        <v>178485</v>
      </c>
      <c r="S74" s="14">
        <f t="shared" si="101"/>
        <v>190541</v>
      </c>
      <c r="T74" s="14">
        <f t="shared" si="101"/>
        <v>126510</v>
      </c>
      <c r="U74" s="14">
        <f t="shared" si="101"/>
        <v>134743</v>
      </c>
      <c r="V74" s="14">
        <f t="shared" si="101"/>
        <v>96260</v>
      </c>
      <c r="X74" s="14">
        <f t="shared" ref="X74:AH74" si="102">SUM(X69:X73)+X66</f>
        <v>101089</v>
      </c>
      <c r="Y74" s="14">
        <f t="shared" si="102"/>
        <v>106989</v>
      </c>
      <c r="Z74" s="14">
        <f t="shared" si="102"/>
        <v>112392</v>
      </c>
      <c r="AA74" s="14">
        <f t="shared" si="102"/>
        <v>114677</v>
      </c>
      <c r="AB74" s="14">
        <f t="shared" si="102"/>
        <v>135314</v>
      </c>
      <c r="AC74" s="14">
        <f t="shared" si="102"/>
        <v>166568</v>
      </c>
      <c r="AD74" s="14">
        <f t="shared" si="102"/>
        <v>178485</v>
      </c>
      <c r="AE74" s="14">
        <f t="shared" si="102"/>
        <v>190541</v>
      </c>
      <c r="AF74" s="14">
        <f t="shared" si="102"/>
        <v>126510</v>
      </c>
      <c r="AG74" s="14">
        <f t="shared" si="102"/>
        <v>134743</v>
      </c>
      <c r="AH74" s="14">
        <f t="shared" si="102"/>
        <v>96260</v>
      </c>
      <c r="AI74" s="42"/>
      <c r="AJ74" s="77">
        <f t="shared" si="98"/>
        <v>-0.46068297055774998</v>
      </c>
    </row>
    <row r="75" spans="2:36" ht="5.0999999999999996" customHeight="1">
      <c r="B75" s="25"/>
      <c r="C75" s="50"/>
      <c r="D75" s="50"/>
      <c r="E75" s="41"/>
      <c r="F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39"/>
    </row>
    <row r="76" spans="2:36" ht="12.75" customHeight="1">
      <c r="B76" s="9" t="s">
        <v>142</v>
      </c>
      <c r="C76" s="83">
        <v>10</v>
      </c>
      <c r="D76" s="83">
        <v>10</v>
      </c>
      <c r="E76" s="83">
        <v>10</v>
      </c>
      <c r="F76" s="83">
        <v>13</v>
      </c>
      <c r="G76" s="32"/>
      <c r="H76" s="83">
        <v>10</v>
      </c>
      <c r="I76" s="83">
        <v>10</v>
      </c>
      <c r="J76" s="83">
        <v>10</v>
      </c>
      <c r="K76" s="32">
        <f t="shared" ref="K76:K78" si="103">D76</f>
        <v>10</v>
      </c>
      <c r="L76" s="83">
        <v>10</v>
      </c>
      <c r="M76" s="83">
        <v>10</v>
      </c>
      <c r="N76" s="83">
        <v>10</v>
      </c>
      <c r="O76" s="32">
        <f t="shared" ref="O76:O78" si="104">E76</f>
        <v>10</v>
      </c>
      <c r="P76" s="83">
        <v>12</v>
      </c>
      <c r="Q76" s="83">
        <v>12</v>
      </c>
      <c r="R76" s="83">
        <v>12</v>
      </c>
      <c r="S76" s="32">
        <f t="shared" ref="S76:S78" si="105">F76</f>
        <v>13</v>
      </c>
      <c r="T76" s="83">
        <v>16</v>
      </c>
      <c r="U76" s="83">
        <v>16</v>
      </c>
      <c r="V76" s="83">
        <v>16</v>
      </c>
      <c r="X76" s="32">
        <f>L76</f>
        <v>10</v>
      </c>
      <c r="Y76" s="32">
        <f>M76</f>
        <v>10</v>
      </c>
      <c r="Z76" s="32">
        <f>N76</f>
        <v>10</v>
      </c>
      <c r="AA76" s="32">
        <f>O76</f>
        <v>10</v>
      </c>
      <c r="AB76" s="32">
        <f>P76</f>
        <v>12</v>
      </c>
      <c r="AC76" s="32">
        <f>Q76</f>
        <v>12</v>
      </c>
      <c r="AD76" s="32">
        <f>R76</f>
        <v>12</v>
      </c>
      <c r="AE76" s="32">
        <f>S76</f>
        <v>13</v>
      </c>
      <c r="AF76" s="32">
        <f>T76</f>
        <v>16</v>
      </c>
      <c r="AG76" s="32">
        <f>U76</f>
        <v>16</v>
      </c>
      <c r="AH76" s="32">
        <f>V76</f>
        <v>16</v>
      </c>
      <c r="AI76" s="11"/>
      <c r="AJ76" s="76">
        <f t="shared" si="98"/>
        <v>0.33333333333333326</v>
      </c>
    </row>
    <row r="77" spans="2:36" ht="12.75" customHeight="1">
      <c r="B77" s="9" t="s">
        <v>143</v>
      </c>
      <c r="C77" s="83">
        <v>536737</v>
      </c>
      <c r="D77" s="83">
        <v>543456</v>
      </c>
      <c r="E77" s="83">
        <v>550850</v>
      </c>
      <c r="F77" s="83">
        <v>633333</v>
      </c>
      <c r="G77" s="32"/>
      <c r="H77" s="83">
        <v>538285</v>
      </c>
      <c r="I77" s="83">
        <v>539787</v>
      </c>
      <c r="J77" s="83">
        <v>541480</v>
      </c>
      <c r="K77" s="32">
        <f t="shared" si="103"/>
        <v>543456</v>
      </c>
      <c r="L77" s="83">
        <v>545384</v>
      </c>
      <c r="M77" s="83">
        <v>547320</v>
      </c>
      <c r="N77" s="83">
        <v>549191</v>
      </c>
      <c r="O77" s="32">
        <f t="shared" si="104"/>
        <v>550850</v>
      </c>
      <c r="P77" s="83">
        <v>595350</v>
      </c>
      <c r="Q77" s="83">
        <v>597574</v>
      </c>
      <c r="R77" s="83">
        <v>601342</v>
      </c>
      <c r="S77" s="32">
        <f t="shared" si="105"/>
        <v>633333</v>
      </c>
      <c r="T77" s="83">
        <v>682903</v>
      </c>
      <c r="U77" s="83">
        <v>688570</v>
      </c>
      <c r="V77" s="83">
        <v>697277</v>
      </c>
      <c r="X77" s="32">
        <f>L77</f>
        <v>545384</v>
      </c>
      <c r="Y77" s="32">
        <f>M77</f>
        <v>547320</v>
      </c>
      <c r="Z77" s="32">
        <f>N77</f>
        <v>549191</v>
      </c>
      <c r="AA77" s="32">
        <f>O77</f>
        <v>550850</v>
      </c>
      <c r="AB77" s="32">
        <f>P77</f>
        <v>595350</v>
      </c>
      <c r="AC77" s="32">
        <f>Q77</f>
        <v>597574</v>
      </c>
      <c r="AD77" s="32">
        <f>R77</f>
        <v>601342</v>
      </c>
      <c r="AE77" s="32">
        <f>S77</f>
        <v>633333</v>
      </c>
      <c r="AF77" s="32">
        <f>T77</f>
        <v>682903</v>
      </c>
      <c r="AG77" s="32">
        <f>U77</f>
        <v>688570</v>
      </c>
      <c r="AH77" s="32">
        <f>V77</f>
        <v>697277</v>
      </c>
      <c r="AI77" s="11"/>
      <c r="AJ77" s="76">
        <f t="shared" si="98"/>
        <v>0.15953484040695654</v>
      </c>
    </row>
    <row r="78" spans="2:36" ht="12.75" customHeight="1">
      <c r="B78" s="9" t="s">
        <v>144</v>
      </c>
      <c r="C78" s="83">
        <v>-414573</v>
      </c>
      <c r="D78" s="83">
        <v>-426538</v>
      </c>
      <c r="E78" s="83">
        <v>-537314</v>
      </c>
      <c r="F78" s="83">
        <v>-686015</v>
      </c>
      <c r="G78" s="32"/>
      <c r="H78" s="83">
        <v>-434405</v>
      </c>
      <c r="I78" s="83">
        <v>-397537</v>
      </c>
      <c r="J78" s="83">
        <v>-422818</v>
      </c>
      <c r="K78" s="32">
        <f t="shared" si="103"/>
        <v>-426538</v>
      </c>
      <c r="L78" s="83">
        <v>-463507</v>
      </c>
      <c r="M78" s="83">
        <v>-486213</v>
      </c>
      <c r="N78" s="83">
        <v>-512208</v>
      </c>
      <c r="O78" s="32">
        <f t="shared" si="104"/>
        <v>-537314</v>
      </c>
      <c r="P78" s="83">
        <v>-569210</v>
      </c>
      <c r="Q78" s="83">
        <v>-625873</v>
      </c>
      <c r="R78" s="83">
        <v>-665075</v>
      </c>
      <c r="S78" s="32">
        <f t="shared" si="105"/>
        <v>-686015</v>
      </c>
      <c r="T78" s="83">
        <v>-646876</v>
      </c>
      <c r="U78" s="83">
        <v>-684534</v>
      </c>
      <c r="V78" s="83">
        <v>-702044</v>
      </c>
      <c r="X78" s="32">
        <f>L78</f>
        <v>-463507</v>
      </c>
      <c r="Y78" s="32">
        <f>M78</f>
        <v>-486213</v>
      </c>
      <c r="Z78" s="32">
        <f>N78</f>
        <v>-512208</v>
      </c>
      <c r="AA78" s="32">
        <f>O78</f>
        <v>-537314</v>
      </c>
      <c r="AB78" s="32">
        <f>P78</f>
        <v>-569210</v>
      </c>
      <c r="AC78" s="32">
        <f>Q78</f>
        <v>-625873</v>
      </c>
      <c r="AD78" s="32">
        <f>R78</f>
        <v>-665075</v>
      </c>
      <c r="AE78" s="32">
        <f>S78</f>
        <v>-686015</v>
      </c>
      <c r="AF78" s="32">
        <f>T78</f>
        <v>-646876</v>
      </c>
      <c r="AG78" s="32">
        <f>U78</f>
        <v>-684534</v>
      </c>
      <c r="AH78" s="32">
        <f>V78</f>
        <v>-702044</v>
      </c>
      <c r="AI78" s="11"/>
      <c r="AJ78" s="76">
        <f t="shared" si="98"/>
        <v>5.5586212081344177E-2</v>
      </c>
    </row>
    <row r="79" spans="2:36" ht="12.75" customHeight="1">
      <c r="B79" s="13" t="s">
        <v>16</v>
      </c>
      <c r="C79" s="14">
        <f>SUM(C76:C78)</f>
        <v>122174</v>
      </c>
      <c r="D79" s="14">
        <f>SUM(D76:D78)</f>
        <v>116928</v>
      </c>
      <c r="E79" s="14">
        <f>SUM(E76:E78)</f>
        <v>13546</v>
      </c>
      <c r="F79" s="14">
        <f>SUM(F76:F78)</f>
        <v>-52669</v>
      </c>
      <c r="G79" s="53"/>
      <c r="H79" s="14">
        <f>SUM(H76:H78)</f>
        <v>103890</v>
      </c>
      <c r="I79" s="14">
        <f>SUM(I76:I78)</f>
        <v>142260</v>
      </c>
      <c r="J79" s="14">
        <f>SUM(J76:J78)</f>
        <v>118672</v>
      </c>
      <c r="K79" s="14">
        <f>SUM(K76:K78)</f>
        <v>116928</v>
      </c>
      <c r="L79" s="14">
        <f>SUM(L76:L78)</f>
        <v>81887</v>
      </c>
      <c r="M79" s="14">
        <f>SUM(M76:M78)</f>
        <v>61117</v>
      </c>
      <c r="N79" s="14">
        <f>SUM(N76:N78)</f>
        <v>36993</v>
      </c>
      <c r="O79" s="14">
        <f>SUM(O76:O78)</f>
        <v>13546</v>
      </c>
      <c r="P79" s="14">
        <f>SUM(P76:P78)</f>
        <v>26152</v>
      </c>
      <c r="Q79" s="14">
        <f>SUM(Q76:Q78)</f>
        <v>-28287</v>
      </c>
      <c r="R79" s="14">
        <f>SUM(R76:R78)</f>
        <v>-63721</v>
      </c>
      <c r="S79" s="14">
        <f>SUM(S76:S78)</f>
        <v>-52669</v>
      </c>
      <c r="T79" s="14">
        <f>SUM(T76:T78)</f>
        <v>36043</v>
      </c>
      <c r="U79" s="14">
        <f>SUM(U76:U78)</f>
        <v>4052</v>
      </c>
      <c r="V79" s="14">
        <f>SUM(V76:V78)</f>
        <v>-4751</v>
      </c>
      <c r="X79" s="14">
        <f>SUM(X76:X78)</f>
        <v>81887</v>
      </c>
      <c r="Y79" s="14">
        <f>SUM(Y76:Y78)</f>
        <v>61117</v>
      </c>
      <c r="Z79" s="14">
        <f>SUM(Z76:Z78)</f>
        <v>36993</v>
      </c>
      <c r="AA79" s="14">
        <f>SUM(AA76:AA78)</f>
        <v>13546</v>
      </c>
      <c r="AB79" s="14">
        <f>SUM(AB76:AB78)</f>
        <v>26152</v>
      </c>
      <c r="AC79" s="14">
        <f>SUM(AC76:AC78)</f>
        <v>-28287</v>
      </c>
      <c r="AD79" s="14">
        <f>SUM(AD76:AD78)</f>
        <v>-63721</v>
      </c>
      <c r="AE79" s="14">
        <f>SUM(AE76:AE78)</f>
        <v>-52669</v>
      </c>
      <c r="AF79" s="14">
        <f>SUM(AF76:AF78)</f>
        <v>36043</v>
      </c>
      <c r="AG79" s="14">
        <f>SUM(AG76:AG78)</f>
        <v>4052</v>
      </c>
      <c r="AH79" s="14">
        <f>SUM(AH76:AH78)</f>
        <v>-4751</v>
      </c>
      <c r="AI79" s="42"/>
      <c r="AJ79" s="76">
        <f t="shared" si="98"/>
        <v>-0.92544059258329281</v>
      </c>
    </row>
    <row r="80" spans="2:36" ht="12.75" customHeight="1">
      <c r="B80" s="25" t="s">
        <v>52</v>
      </c>
      <c r="C80" s="32">
        <f>SUM(C79+C74)</f>
        <v>286533</v>
      </c>
      <c r="D80" s="32">
        <f>SUM(D79+D74)</f>
        <v>204302</v>
      </c>
      <c r="E80" s="32">
        <f>SUM(E79+E74)</f>
        <v>128223</v>
      </c>
      <c r="F80" s="32">
        <f>SUM(F79+F74)</f>
        <v>137872</v>
      </c>
      <c r="G80" s="32"/>
      <c r="H80" s="32">
        <f>SUM(H79+H74)</f>
        <v>264468</v>
      </c>
      <c r="I80" s="32">
        <f>SUM(I79+I74)</f>
        <v>246365</v>
      </c>
      <c r="J80" s="32">
        <f>SUM(J79+J74)</f>
        <v>226219</v>
      </c>
      <c r="K80" s="32">
        <f>SUM(K79+K74)</f>
        <v>204302</v>
      </c>
      <c r="L80" s="32">
        <f>SUM(L79+L74)</f>
        <v>182976</v>
      </c>
      <c r="M80" s="32">
        <f>SUM(M79+M74)</f>
        <v>168106</v>
      </c>
      <c r="N80" s="32">
        <f>SUM(N79+N74)</f>
        <v>149385</v>
      </c>
      <c r="O80" s="32">
        <f>SUM(O79+O74)</f>
        <v>128223</v>
      </c>
      <c r="P80" s="32">
        <f>SUM(P79+P74)</f>
        <v>161466</v>
      </c>
      <c r="Q80" s="32">
        <f>SUM(Q79+Q74)</f>
        <v>138281</v>
      </c>
      <c r="R80" s="32">
        <f>SUM(R79+R74)</f>
        <v>114764</v>
      </c>
      <c r="S80" s="32">
        <f>SUM(S79+S74)</f>
        <v>137872</v>
      </c>
      <c r="T80" s="32">
        <f>SUM(T79+T74)</f>
        <v>162553</v>
      </c>
      <c r="U80" s="32">
        <f>SUM(U79+U74)</f>
        <v>138795</v>
      </c>
      <c r="V80" s="32">
        <f>SUM(V79+V74)</f>
        <v>91509</v>
      </c>
      <c r="W80" s="32"/>
      <c r="X80" s="32">
        <f>SUM(X79+X74)</f>
        <v>182976</v>
      </c>
      <c r="Y80" s="32">
        <f>SUM(Y79+Y74)</f>
        <v>168106</v>
      </c>
      <c r="Z80" s="32">
        <f>SUM(Z79+Z74)</f>
        <v>149385</v>
      </c>
      <c r="AA80" s="32">
        <f>SUM(AA79+AA74)</f>
        <v>128223</v>
      </c>
      <c r="AB80" s="32">
        <f>SUM(AB79+AB74)</f>
        <v>161466</v>
      </c>
      <c r="AC80" s="32">
        <f>SUM(AC79+AC74)</f>
        <v>138281</v>
      </c>
      <c r="AD80" s="32">
        <f>SUM(AD79+AD74)</f>
        <v>114764</v>
      </c>
      <c r="AE80" s="32">
        <f>SUM(AE79+AE74)</f>
        <v>137872</v>
      </c>
      <c r="AF80" s="32">
        <f>SUM(AF79+AF74)</f>
        <v>162553</v>
      </c>
      <c r="AG80" s="32">
        <f>SUM(AG79+AG74)</f>
        <v>138795</v>
      </c>
      <c r="AH80" s="32">
        <f>SUM(AH79+AH74)</f>
        <v>91509</v>
      </c>
      <c r="AI80" s="11"/>
      <c r="AJ80" s="77">
        <f t="shared" si="98"/>
        <v>-0.20263322993273147</v>
      </c>
    </row>
    <row r="81" spans="1:36" ht="5.0999999999999996" customHeight="1">
      <c r="B81" s="25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11"/>
    </row>
    <row r="82" spans="1:36" ht="12.75" customHeight="1">
      <c r="B82" s="142" t="s">
        <v>62</v>
      </c>
      <c r="C82" s="70">
        <f>C80-C58</f>
        <v>0</v>
      </c>
      <c r="D82" s="70">
        <f>D80-D58</f>
        <v>0</v>
      </c>
      <c r="E82" s="70">
        <f>E80-E58</f>
        <v>0</v>
      </c>
      <c r="F82" s="70">
        <f>F80-F58</f>
        <v>0</v>
      </c>
      <c r="G82" s="71"/>
      <c r="H82" s="70">
        <f>H80-H58</f>
        <v>0</v>
      </c>
      <c r="I82" s="70">
        <f>I80-I58</f>
        <v>0</v>
      </c>
      <c r="J82" s="70">
        <f>J80-J58</f>
        <v>0</v>
      </c>
      <c r="K82" s="70">
        <f>K80-K58</f>
        <v>0</v>
      </c>
      <c r="L82" s="70">
        <f>L80-L58</f>
        <v>0</v>
      </c>
      <c r="M82" s="70">
        <f>M80-M58</f>
        <v>0</v>
      </c>
      <c r="N82" s="70">
        <f>N80-N58</f>
        <v>0</v>
      </c>
      <c r="O82" s="70">
        <f>O80-O58</f>
        <v>0</v>
      </c>
      <c r="P82" s="70">
        <f>P80-P58</f>
        <v>0</v>
      </c>
      <c r="Q82" s="70">
        <f>Q80-Q58</f>
        <v>0</v>
      </c>
      <c r="R82" s="70">
        <f>R80-R58</f>
        <v>0</v>
      </c>
      <c r="S82" s="70">
        <f>S80-S58</f>
        <v>0</v>
      </c>
      <c r="T82" s="70">
        <f>T80-T58</f>
        <v>0</v>
      </c>
      <c r="U82" s="70">
        <f>U80-U58</f>
        <v>0</v>
      </c>
      <c r="V82" s="70">
        <f>V80-V58</f>
        <v>0</v>
      </c>
      <c r="W82" s="28"/>
      <c r="X82" s="70">
        <f>X80-X58</f>
        <v>0</v>
      </c>
      <c r="Y82" s="70">
        <f>Y80-Y58</f>
        <v>0</v>
      </c>
      <c r="Z82" s="70">
        <f>Z80-Z58</f>
        <v>0</v>
      </c>
      <c r="AA82" s="70">
        <f>AA80-AA58</f>
        <v>0</v>
      </c>
      <c r="AB82" s="70">
        <f>AB80-AB58</f>
        <v>0</v>
      </c>
      <c r="AC82" s="70">
        <f>AC80-AC58</f>
        <v>0</v>
      </c>
      <c r="AD82" s="70">
        <f>AD80-AD58</f>
        <v>0</v>
      </c>
      <c r="AE82" s="70">
        <f>AE80-AE58</f>
        <v>0</v>
      </c>
      <c r="AF82" s="70">
        <f>AF80-AF58</f>
        <v>0</v>
      </c>
      <c r="AG82" s="70">
        <f>AG80-AG58</f>
        <v>0</v>
      </c>
      <c r="AH82" s="70">
        <f>AH80-AH58</f>
        <v>0</v>
      </c>
    </row>
    <row r="83" spans="1:36" ht="5.0999999999999996" customHeight="1" thickBot="1">
      <c r="B83" s="118"/>
      <c r="C83" s="119"/>
      <c r="D83" s="119"/>
      <c r="E83" s="119"/>
      <c r="F83" s="119"/>
      <c r="G83" s="120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21"/>
      <c r="X83" s="119"/>
      <c r="Y83" s="119"/>
      <c r="Z83" s="119"/>
      <c r="AA83" s="119"/>
      <c r="AB83" s="119"/>
      <c r="AC83" s="119"/>
      <c r="AD83" s="119"/>
      <c r="AE83" s="119"/>
      <c r="AF83" s="119"/>
      <c r="AG83" s="119"/>
      <c r="AH83" s="119"/>
      <c r="AI83" s="74"/>
      <c r="AJ83" s="74"/>
    </row>
    <row r="84" spans="1:36">
      <c r="B84" s="69"/>
      <c r="C84" s="54"/>
      <c r="D84" s="24"/>
      <c r="E84" s="24"/>
      <c r="F84" s="24"/>
      <c r="G84" s="54"/>
    </row>
    <row r="85" spans="1:36" ht="12.75" customHeight="1">
      <c r="A85" s="5" t="s">
        <v>18</v>
      </c>
      <c r="B85" s="100" t="s">
        <v>15</v>
      </c>
      <c r="C85" s="104" t="s">
        <v>0</v>
      </c>
      <c r="D85" s="104" t="s">
        <v>0</v>
      </c>
      <c r="E85" s="104"/>
      <c r="F85" s="104"/>
      <c r="G85" s="105"/>
      <c r="H85" s="104" t="s">
        <v>1</v>
      </c>
      <c r="I85" s="104"/>
      <c r="J85" s="104"/>
      <c r="K85" s="104"/>
      <c r="L85" s="104" t="s">
        <v>1</v>
      </c>
      <c r="M85" s="104"/>
      <c r="N85" s="104"/>
      <c r="O85" s="104"/>
      <c r="P85" s="104"/>
      <c r="Q85" s="104"/>
      <c r="R85" s="104" t="s">
        <v>1</v>
      </c>
      <c r="S85" s="104"/>
      <c r="T85" s="104"/>
      <c r="U85" s="104"/>
      <c r="V85" s="104"/>
      <c r="W85" s="100"/>
      <c r="X85" s="104"/>
      <c r="Y85" s="104"/>
      <c r="Z85" s="104"/>
      <c r="AA85" s="104"/>
      <c r="AB85" s="104"/>
      <c r="AC85" s="104" t="s">
        <v>10</v>
      </c>
      <c r="AD85" s="104" t="s">
        <v>10</v>
      </c>
      <c r="AE85" s="104"/>
      <c r="AF85" s="104"/>
      <c r="AG85" s="104"/>
      <c r="AH85" s="104"/>
      <c r="AI85" s="105"/>
      <c r="AJ85" s="151" t="s">
        <v>24</v>
      </c>
    </row>
    <row r="86" spans="1:36" ht="12.75" customHeight="1">
      <c r="B86" s="101" t="str">
        <f>B7</f>
        <v>Fiscal Period</v>
      </c>
      <c r="C86" s="106">
        <f>C7</f>
        <v>2021</v>
      </c>
      <c r="D86" s="106">
        <f>D7</f>
        <v>2022</v>
      </c>
      <c r="E86" s="106">
        <f>E7</f>
        <v>2023</v>
      </c>
      <c r="F86" s="106">
        <f>F7</f>
        <v>2024</v>
      </c>
      <c r="G86" s="105"/>
      <c r="H86" s="106" t="str">
        <f>H7</f>
        <v>1Q22</v>
      </c>
      <c r="I86" s="106" t="str">
        <f>I7</f>
        <v>2Q22</v>
      </c>
      <c r="J86" s="106" t="str">
        <f>J7</f>
        <v>3Q22</v>
      </c>
      <c r="K86" s="106" t="str">
        <f>K7</f>
        <v>4Q22</v>
      </c>
      <c r="L86" s="106" t="str">
        <f>L7</f>
        <v>1Q23</v>
      </c>
      <c r="M86" s="106" t="str">
        <f>M7</f>
        <v>2Q23</v>
      </c>
      <c r="N86" s="106" t="str">
        <f>N7</f>
        <v>3Q23</v>
      </c>
      <c r="O86" s="106" t="str">
        <f>O7</f>
        <v>4Q23</v>
      </c>
      <c r="P86" s="106" t="str">
        <f>P7</f>
        <v>1Q24</v>
      </c>
      <c r="Q86" s="106" t="str">
        <f>Q7</f>
        <v>2Q24</v>
      </c>
      <c r="R86" s="106" t="str">
        <f>R7</f>
        <v>3Q24</v>
      </c>
      <c r="S86" s="106" t="str">
        <f>S7</f>
        <v>4Q24</v>
      </c>
      <c r="T86" s="106" t="str">
        <f>T7</f>
        <v>1Q25</v>
      </c>
      <c r="U86" s="106" t="str">
        <f>U7</f>
        <v>2Q25</v>
      </c>
      <c r="V86" s="106" t="str">
        <f>V7</f>
        <v>3Q25</v>
      </c>
      <c r="W86" s="106"/>
      <c r="X86" s="106" t="str">
        <f>X7</f>
        <v>1Q23</v>
      </c>
      <c r="Y86" s="106" t="str">
        <f>Y7</f>
        <v>2Q23</v>
      </c>
      <c r="Z86" s="106" t="str">
        <f>Z7</f>
        <v>3Q23</v>
      </c>
      <c r="AA86" s="106" t="str">
        <f>AA7</f>
        <v>4Q23</v>
      </c>
      <c r="AB86" s="106" t="str">
        <f>AB7</f>
        <v>1Q24</v>
      </c>
      <c r="AC86" s="106" t="str">
        <f>AC7</f>
        <v>2Q24</v>
      </c>
      <c r="AD86" s="106" t="str">
        <f>AD7</f>
        <v>3Q24</v>
      </c>
      <c r="AE86" s="106" t="str">
        <f>AE7</f>
        <v>4Q24</v>
      </c>
      <c r="AF86" s="106" t="str">
        <f>AF7</f>
        <v>1Q25</v>
      </c>
      <c r="AG86" s="106" t="str">
        <f>AG7</f>
        <v>2Q25</v>
      </c>
      <c r="AH86" s="106" t="str">
        <f>AH7</f>
        <v>3Q25</v>
      </c>
      <c r="AI86" s="105"/>
      <c r="AJ86" s="151"/>
    </row>
    <row r="87" spans="1:36" ht="12.75" customHeight="1">
      <c r="B87" s="101" t="str">
        <f>B8</f>
        <v>Fiscal Period End Date</v>
      </c>
      <c r="C87" s="107">
        <f>C8</f>
        <v>44561</v>
      </c>
      <c r="D87" s="107">
        <f>D8</f>
        <v>44926</v>
      </c>
      <c r="E87" s="107">
        <f>E8</f>
        <v>45291</v>
      </c>
      <c r="F87" s="107">
        <f>F8</f>
        <v>45657</v>
      </c>
      <c r="G87" s="105"/>
      <c r="H87" s="107">
        <f>H8</f>
        <v>44651</v>
      </c>
      <c r="I87" s="107">
        <f>I8</f>
        <v>44742</v>
      </c>
      <c r="J87" s="107">
        <f>J8</f>
        <v>44834</v>
      </c>
      <c r="K87" s="107">
        <f>K8</f>
        <v>44926</v>
      </c>
      <c r="L87" s="107">
        <f>L8</f>
        <v>45016</v>
      </c>
      <c r="M87" s="107">
        <f>M8</f>
        <v>45107</v>
      </c>
      <c r="N87" s="107">
        <f>N8</f>
        <v>45199</v>
      </c>
      <c r="O87" s="107">
        <f>O8</f>
        <v>45291</v>
      </c>
      <c r="P87" s="107">
        <f>P8</f>
        <v>45382</v>
      </c>
      <c r="Q87" s="107">
        <f>Q8</f>
        <v>45473</v>
      </c>
      <c r="R87" s="107">
        <f>R8</f>
        <v>45565</v>
      </c>
      <c r="S87" s="107">
        <f>S8</f>
        <v>45657</v>
      </c>
      <c r="T87" s="107">
        <f>T8</f>
        <v>45747</v>
      </c>
      <c r="U87" s="107">
        <f>U8</f>
        <v>45838</v>
      </c>
      <c r="V87" s="107">
        <f>V8</f>
        <v>45930</v>
      </c>
      <c r="W87" s="107"/>
      <c r="X87" s="107">
        <f>X8</f>
        <v>45016</v>
      </c>
      <c r="Y87" s="107">
        <f>Y8</f>
        <v>45107</v>
      </c>
      <c r="Z87" s="107">
        <f>Z8</f>
        <v>45199</v>
      </c>
      <c r="AA87" s="107">
        <f>AA8</f>
        <v>45291</v>
      </c>
      <c r="AB87" s="107">
        <f>AB8</f>
        <v>45382</v>
      </c>
      <c r="AC87" s="107">
        <f>AC8</f>
        <v>45473</v>
      </c>
      <c r="AD87" s="107">
        <f>AD8</f>
        <v>45565</v>
      </c>
      <c r="AE87" s="107">
        <f>AE8</f>
        <v>45657</v>
      </c>
      <c r="AF87" s="107">
        <f>AF8</f>
        <v>45747</v>
      </c>
      <c r="AG87" s="107">
        <f>AG8</f>
        <v>45838</v>
      </c>
      <c r="AH87" s="107">
        <f>AH8</f>
        <v>45930</v>
      </c>
      <c r="AI87" s="105"/>
      <c r="AJ87" s="151"/>
    </row>
    <row r="88" spans="1:36" ht="5.0999999999999996" customHeight="1">
      <c r="B88" s="55"/>
      <c r="C88" s="48"/>
      <c r="D88" s="48"/>
      <c r="E88" s="48"/>
      <c r="F88" s="48"/>
    </row>
    <row r="89" spans="1:36" ht="12.75" customHeight="1">
      <c r="B89" s="56" t="s">
        <v>53</v>
      </c>
      <c r="C89" s="57"/>
      <c r="D89" s="57"/>
      <c r="E89" s="57"/>
      <c r="F89" s="57"/>
    </row>
    <row r="90" spans="1:36" ht="12.75" customHeight="1">
      <c r="B90" s="58" t="s">
        <v>54</v>
      </c>
      <c r="C90" s="32">
        <f>C29</f>
        <v>-26477</v>
      </c>
      <c r="D90" s="32">
        <f>D29</f>
        <v>-11965</v>
      </c>
      <c r="E90" s="32">
        <f>E29</f>
        <v>-110776</v>
      </c>
      <c r="F90" s="32">
        <f>F29</f>
        <v>-148701</v>
      </c>
      <c r="G90" s="32"/>
      <c r="H90" s="32">
        <f>H29</f>
        <v>-19832</v>
      </c>
      <c r="I90" s="32">
        <f>I29</f>
        <v>36868</v>
      </c>
      <c r="J90" s="32">
        <f>J29</f>
        <v>-25281</v>
      </c>
      <c r="K90" s="32">
        <f>K29</f>
        <v>-3720</v>
      </c>
      <c r="L90" s="32">
        <f>L29</f>
        <v>-36969</v>
      </c>
      <c r="M90" s="32">
        <f>M29</f>
        <v>-22706</v>
      </c>
      <c r="N90" s="32">
        <f>N29</f>
        <v>-25995</v>
      </c>
      <c r="O90" s="32">
        <f>O29</f>
        <v>-25106</v>
      </c>
      <c r="P90" s="32">
        <f>P29</f>
        <v>-31896</v>
      </c>
      <c r="Q90" s="32">
        <f>Q29</f>
        <v>-56663</v>
      </c>
      <c r="R90" s="32">
        <f>R29</f>
        <v>-39202</v>
      </c>
      <c r="S90" s="32">
        <f>S29</f>
        <v>-20940</v>
      </c>
      <c r="T90" s="32">
        <f>T29</f>
        <v>39139</v>
      </c>
      <c r="U90" s="32">
        <f>U29</f>
        <v>-37658</v>
      </c>
      <c r="V90" s="32">
        <f>V29</f>
        <v>-17510</v>
      </c>
      <c r="X90" s="32">
        <f t="shared" ref="X90:AG90" si="106">SUM(I90:L90)</f>
        <v>-29102</v>
      </c>
      <c r="Y90" s="32">
        <f t="shared" si="106"/>
        <v>-88676</v>
      </c>
      <c r="Z90" s="32">
        <f t="shared" si="106"/>
        <v>-89390</v>
      </c>
      <c r="AA90" s="32">
        <f t="shared" si="106"/>
        <v>-110776</v>
      </c>
      <c r="AB90" s="32">
        <f t="shared" si="106"/>
        <v>-105703</v>
      </c>
      <c r="AC90" s="32">
        <f t="shared" si="106"/>
        <v>-139660</v>
      </c>
      <c r="AD90" s="32">
        <f t="shared" si="106"/>
        <v>-152867</v>
      </c>
      <c r="AE90" s="32">
        <f t="shared" si="106"/>
        <v>-148701</v>
      </c>
      <c r="AF90" s="32">
        <f t="shared" si="106"/>
        <v>-77666</v>
      </c>
      <c r="AG90" s="32">
        <f t="shared" si="106"/>
        <v>-58661</v>
      </c>
      <c r="AH90" s="32">
        <f>SUM(S90:V90)</f>
        <v>-36969</v>
      </c>
      <c r="AI90" s="11"/>
      <c r="AJ90" s="76">
        <f>SUM(AH90/AD90)-1</f>
        <v>-0.75816232411180962</v>
      </c>
    </row>
    <row r="91" spans="1:36" ht="5.0999999999999996" customHeight="1"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11"/>
      <c r="AJ91" s="76"/>
    </row>
    <row r="92" spans="1:36" ht="12.75" customHeight="1">
      <c r="B92" s="36" t="s">
        <v>61</v>
      </c>
      <c r="C92" s="32"/>
      <c r="D92" s="32"/>
      <c r="E92" s="32"/>
      <c r="F92" s="32"/>
      <c r="G92" s="32"/>
      <c r="H92" s="83"/>
      <c r="I92" s="83"/>
      <c r="J92" s="83"/>
      <c r="K92" s="83"/>
      <c r="L92" s="83"/>
      <c r="M92" s="83"/>
      <c r="N92" s="83"/>
      <c r="O92" s="32"/>
      <c r="P92" s="83"/>
      <c r="Q92" s="83"/>
      <c r="R92" s="83"/>
      <c r="S92" s="32"/>
      <c r="T92" s="83"/>
      <c r="U92" s="83"/>
      <c r="V92" s="83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60"/>
      <c r="AJ92" s="76"/>
    </row>
    <row r="93" spans="1:36" ht="12.75" customHeight="1">
      <c r="B93" s="61" t="s">
        <v>146</v>
      </c>
      <c r="C93" s="83">
        <v>6181</v>
      </c>
      <c r="D93" s="83">
        <v>6151</v>
      </c>
      <c r="E93" s="83">
        <v>5659</v>
      </c>
      <c r="F93" s="83">
        <v>5104</v>
      </c>
      <c r="G93" s="32"/>
      <c r="H93" s="83">
        <v>1525</v>
      </c>
      <c r="I93" s="83">
        <f>3032-H93</f>
        <v>1507</v>
      </c>
      <c r="J93" s="83">
        <f>4552-I93-H93</f>
        <v>1520</v>
      </c>
      <c r="K93" s="32">
        <f t="shared" ref="K93:K96" si="107">SUM(D93-SUM(H93:J93))</f>
        <v>1599</v>
      </c>
      <c r="L93" s="83">
        <v>1558</v>
      </c>
      <c r="M93" s="83">
        <f>3026-L93</f>
        <v>1468</v>
      </c>
      <c r="N93" s="83">
        <f>4341-M93-L93</f>
        <v>1315</v>
      </c>
      <c r="O93" s="32">
        <f>SUM(E93-SUM(L93:N93))</f>
        <v>1318</v>
      </c>
      <c r="P93" s="83">
        <v>1274</v>
      </c>
      <c r="Q93" s="83">
        <f>2530-P93</f>
        <v>1256</v>
      </c>
      <c r="R93" s="83">
        <f>3819-Q93-P93</f>
        <v>1289</v>
      </c>
      <c r="S93" s="32">
        <f t="shared" ref="S93:S95" si="108">SUM(F93-SUM(P93:R93))</f>
        <v>1285</v>
      </c>
      <c r="T93" s="83">
        <v>1308</v>
      </c>
      <c r="U93" s="83">
        <f>2645-T93</f>
        <v>1337</v>
      </c>
      <c r="V93" s="83">
        <f>3987-U93-T93</f>
        <v>1342</v>
      </c>
      <c r="X93" s="32">
        <f t="shared" ref="X93:AG97" si="109">SUM(I93:L93)</f>
        <v>6184</v>
      </c>
      <c r="Y93" s="32">
        <f t="shared" si="109"/>
        <v>6145</v>
      </c>
      <c r="Z93" s="32">
        <f t="shared" si="109"/>
        <v>5940</v>
      </c>
      <c r="AA93" s="32">
        <f t="shared" si="109"/>
        <v>5659</v>
      </c>
      <c r="AB93" s="32">
        <f t="shared" si="109"/>
        <v>5375</v>
      </c>
      <c r="AC93" s="32">
        <f t="shared" si="109"/>
        <v>5163</v>
      </c>
      <c r="AD93" s="32">
        <f t="shared" si="109"/>
        <v>5137</v>
      </c>
      <c r="AE93" s="32">
        <f t="shared" si="109"/>
        <v>5104</v>
      </c>
      <c r="AF93" s="32">
        <f t="shared" si="109"/>
        <v>5138</v>
      </c>
      <c r="AG93" s="32">
        <f t="shared" si="109"/>
        <v>5219</v>
      </c>
      <c r="AH93" s="32">
        <f>SUM(S93:V93)</f>
        <v>5272</v>
      </c>
      <c r="AI93" s="11"/>
      <c r="AJ93" s="76">
        <f t="shared" ref="AJ93:AJ103" si="110">SUM(AH93/AD93)-1</f>
        <v>2.6279929920186795E-2</v>
      </c>
    </row>
    <row r="94" spans="1:36" ht="12.75" customHeight="1">
      <c r="B94" s="61" t="s">
        <v>147</v>
      </c>
      <c r="C94" s="83">
        <v>2060</v>
      </c>
      <c r="D94" s="83">
        <v>2059</v>
      </c>
      <c r="E94" s="83">
        <v>2060</v>
      </c>
      <c r="F94" s="83">
        <v>2086</v>
      </c>
      <c r="G94" s="32"/>
      <c r="H94" s="83">
        <v>515</v>
      </c>
      <c r="I94" s="83">
        <f>1029-H94</f>
        <v>514</v>
      </c>
      <c r="J94" s="83">
        <f>1544-I94-H94</f>
        <v>515</v>
      </c>
      <c r="K94" s="32">
        <f t="shared" si="107"/>
        <v>515</v>
      </c>
      <c r="L94" s="83">
        <v>515</v>
      </c>
      <c r="M94" s="83">
        <f>1030-L94</f>
        <v>515</v>
      </c>
      <c r="N94" s="83">
        <f>1545-M94-L94</f>
        <v>515</v>
      </c>
      <c r="O94" s="32">
        <f>SUM(E94-SUM(L94:N94))</f>
        <v>515</v>
      </c>
      <c r="P94" s="83">
        <v>517</v>
      </c>
      <c r="Q94" s="83">
        <f>1040-P94</f>
        <v>523</v>
      </c>
      <c r="R94" s="83">
        <f>1563-Q94-P94</f>
        <v>523</v>
      </c>
      <c r="S94" s="32">
        <f t="shared" si="108"/>
        <v>523</v>
      </c>
      <c r="T94" s="83">
        <v>524</v>
      </c>
      <c r="U94" s="83">
        <f>1047-T94</f>
        <v>523</v>
      </c>
      <c r="V94" s="83">
        <f>1570-U94-T94</f>
        <v>523</v>
      </c>
      <c r="X94" s="32">
        <f t="shared" si="109"/>
        <v>2059</v>
      </c>
      <c r="Y94" s="32">
        <f t="shared" si="109"/>
        <v>2060</v>
      </c>
      <c r="Z94" s="32">
        <f t="shared" si="109"/>
        <v>2060</v>
      </c>
      <c r="AA94" s="32">
        <f t="shared" si="109"/>
        <v>2060</v>
      </c>
      <c r="AB94" s="32">
        <f t="shared" si="109"/>
        <v>2062</v>
      </c>
      <c r="AC94" s="32">
        <f t="shared" si="109"/>
        <v>2070</v>
      </c>
      <c r="AD94" s="32">
        <f t="shared" si="109"/>
        <v>2078</v>
      </c>
      <c r="AE94" s="32">
        <f t="shared" si="109"/>
        <v>2086</v>
      </c>
      <c r="AF94" s="32">
        <f t="shared" si="109"/>
        <v>2093</v>
      </c>
      <c r="AG94" s="32">
        <f t="shared" si="109"/>
        <v>2093</v>
      </c>
      <c r="AH94" s="32">
        <f>SUM(S94:V94)</f>
        <v>2093</v>
      </c>
      <c r="AI94" s="11"/>
      <c r="AJ94" s="76">
        <f t="shared" si="110"/>
        <v>7.2184793070260156E-3</v>
      </c>
    </row>
    <row r="95" spans="1:36" ht="12.75" customHeight="1">
      <c r="B95" s="61" t="s">
        <v>107</v>
      </c>
      <c r="C95" s="83">
        <v>10146</v>
      </c>
      <c r="D95" s="83">
        <v>6184</v>
      </c>
      <c r="E95" s="83">
        <v>6828</v>
      </c>
      <c r="F95" s="83">
        <v>6137</v>
      </c>
      <c r="G95" s="32"/>
      <c r="H95" s="83">
        <v>1547</v>
      </c>
      <c r="I95" s="83">
        <f>3038-H95</f>
        <v>1491</v>
      </c>
      <c r="J95" s="83">
        <f>4514-I95-H95</f>
        <v>1476</v>
      </c>
      <c r="K95" s="32">
        <f t="shared" si="107"/>
        <v>1670</v>
      </c>
      <c r="L95" s="83">
        <v>1809</v>
      </c>
      <c r="M95" s="83">
        <f>3650-L95</f>
        <v>1841</v>
      </c>
      <c r="N95" s="83">
        <f>5422-M95-L95</f>
        <v>1772</v>
      </c>
      <c r="O95" s="32">
        <f t="shared" ref="O95" si="111">SUM(E95-SUM(L95:N95))</f>
        <v>1406</v>
      </c>
      <c r="P95" s="83">
        <v>1454</v>
      </c>
      <c r="Q95" s="83">
        <f>2891-P95</f>
        <v>1437</v>
      </c>
      <c r="R95" s="83">
        <f>4443-Q95-P95</f>
        <v>1552</v>
      </c>
      <c r="S95" s="32">
        <f t="shared" si="108"/>
        <v>1694</v>
      </c>
      <c r="T95" s="83">
        <v>2487</v>
      </c>
      <c r="U95" s="83">
        <f>4822-T95</f>
        <v>2335</v>
      </c>
      <c r="V95" s="83">
        <f>7283-U95-T95</f>
        <v>2461</v>
      </c>
      <c r="X95" s="32">
        <f t="shared" si="109"/>
        <v>6446</v>
      </c>
      <c r="Y95" s="32">
        <f t="shared" si="109"/>
        <v>6796</v>
      </c>
      <c r="Z95" s="32">
        <f t="shared" si="109"/>
        <v>7092</v>
      </c>
      <c r="AA95" s="32">
        <f t="shared" si="109"/>
        <v>6828</v>
      </c>
      <c r="AB95" s="32">
        <f t="shared" si="109"/>
        <v>6473</v>
      </c>
      <c r="AC95" s="32">
        <f t="shared" si="109"/>
        <v>6069</v>
      </c>
      <c r="AD95" s="32">
        <f t="shared" si="109"/>
        <v>5849</v>
      </c>
      <c r="AE95" s="32">
        <f t="shared" si="109"/>
        <v>6137</v>
      </c>
      <c r="AF95" s="32">
        <f t="shared" si="109"/>
        <v>7170</v>
      </c>
      <c r="AG95" s="32">
        <f t="shared" si="109"/>
        <v>8068</v>
      </c>
      <c r="AH95" s="32">
        <f>SUM(S95:V95)</f>
        <v>8977</v>
      </c>
      <c r="AI95" s="11"/>
      <c r="AJ95" s="76">
        <f t="shared" si="110"/>
        <v>0.53479227218327918</v>
      </c>
    </row>
    <row r="96" spans="1:36" ht="12.75" customHeight="1">
      <c r="B96" s="61" t="s">
        <v>129</v>
      </c>
      <c r="C96" s="83">
        <v>-55772</v>
      </c>
      <c r="D96" s="83">
        <v>-75767</v>
      </c>
      <c r="E96" s="83">
        <v>10023</v>
      </c>
      <c r="F96" s="83">
        <v>33045</v>
      </c>
      <c r="G96" s="32"/>
      <c r="H96" s="83">
        <v>-3258</v>
      </c>
      <c r="I96" s="83">
        <f>-59611-H96</f>
        <v>-56353</v>
      </c>
      <c r="J96" s="83">
        <f>-58649-I96-H96</f>
        <v>962</v>
      </c>
      <c r="K96" s="32">
        <f t="shared" si="107"/>
        <v>-17118</v>
      </c>
      <c r="L96" s="83">
        <v>14191</v>
      </c>
      <c r="M96" s="83">
        <f>10564-L96</f>
        <v>-3627</v>
      </c>
      <c r="N96" s="83">
        <f>11708-M96-L96</f>
        <v>1144</v>
      </c>
      <c r="O96" s="32">
        <f>SUM(E96-SUM(L96:N96))</f>
        <v>-1685</v>
      </c>
      <c r="P96" s="83">
        <v>4593</v>
      </c>
      <c r="Q96" s="83">
        <f>30164-P96</f>
        <v>25571</v>
      </c>
      <c r="R96" s="83">
        <f>38653-Q96-P96</f>
        <v>8489</v>
      </c>
      <c r="S96" s="32">
        <f>SUM(F96-SUM(P96:R96))</f>
        <v>-5608</v>
      </c>
      <c r="T96" s="83">
        <v>-49731</v>
      </c>
      <c r="U96" s="83">
        <f>-44261-T96</f>
        <v>5470</v>
      </c>
      <c r="V96" s="83">
        <f>-49154-U96-T96</f>
        <v>-4893</v>
      </c>
      <c r="X96" s="32">
        <f t="shared" si="109"/>
        <v>-58318</v>
      </c>
      <c r="Y96" s="32">
        <f t="shared" si="109"/>
        <v>-5592</v>
      </c>
      <c r="Z96" s="32">
        <f t="shared" si="109"/>
        <v>-5410</v>
      </c>
      <c r="AA96" s="32">
        <f t="shared" si="109"/>
        <v>10023</v>
      </c>
      <c r="AB96" s="32">
        <f t="shared" si="109"/>
        <v>425</v>
      </c>
      <c r="AC96" s="32">
        <f t="shared" si="109"/>
        <v>29623</v>
      </c>
      <c r="AD96" s="32">
        <f t="shared" si="109"/>
        <v>36968</v>
      </c>
      <c r="AE96" s="32">
        <f t="shared" si="109"/>
        <v>33045</v>
      </c>
      <c r="AF96" s="32">
        <f t="shared" si="109"/>
        <v>-21279</v>
      </c>
      <c r="AG96" s="32">
        <f t="shared" si="109"/>
        <v>-41380</v>
      </c>
      <c r="AH96" s="32">
        <f>SUM(S96:V96)</f>
        <v>-54762</v>
      </c>
      <c r="AI96" s="11"/>
      <c r="AJ96" s="76">
        <f t="shared" si="110"/>
        <v>-2.4813352088292575</v>
      </c>
    </row>
    <row r="97" spans="2:36" ht="12.75" customHeight="1">
      <c r="B97" s="61" t="s">
        <v>154</v>
      </c>
      <c r="C97" s="83">
        <f>977+11-3284-14461-56+42</f>
        <v>-16771</v>
      </c>
      <c r="D97" s="83">
        <f>1546+6-417+45</f>
        <v>1180</v>
      </c>
      <c r="E97" s="83">
        <f>2421+482+18+260+50+3099</f>
        <v>6330</v>
      </c>
      <c r="F97" s="83">
        <f>4-3915+53+7754</f>
        <v>3896</v>
      </c>
      <c r="G97" s="32"/>
      <c r="H97" s="83">
        <f>-74+378+11</f>
        <v>315</v>
      </c>
      <c r="I97" s="83">
        <f>-307+771+22-H97</f>
        <v>171</v>
      </c>
      <c r="J97" s="83">
        <f>-240+1211+34-I97-H97</f>
        <v>519</v>
      </c>
      <c r="K97" s="32">
        <f t="shared" ref="K97:K102" si="112">SUM(D97-SUM(H97:J97))</f>
        <v>175</v>
      </c>
      <c r="L97" s="83">
        <f>42+360+12</f>
        <v>414</v>
      </c>
      <c r="M97" s="83">
        <f>2421+482+99+737+9+24-L97</f>
        <v>3358</v>
      </c>
      <c r="N97" s="83">
        <f>2421+1780+234+9+37 +482 -M97-L97</f>
        <v>1191</v>
      </c>
      <c r="O97" s="32">
        <f t="shared" ref="O97" si="113">SUM(E97-SUM(L97:N97))</f>
        <v>1367</v>
      </c>
      <c r="P97" s="83">
        <f>-60+13+1418</f>
        <v>1371</v>
      </c>
      <c r="Q97" s="83">
        <f>328+3544+26-P97</f>
        <v>2527</v>
      </c>
      <c r="R97" s="83">
        <f>-719+5606+39-Q97-P97</f>
        <v>1028</v>
      </c>
      <c r="S97" s="32">
        <f t="shared" ref="S97" si="114">SUM(F97-SUM(P97:R97))</f>
        <v>-1030</v>
      </c>
      <c r="T97" s="83">
        <f>-14930+14+2152</f>
        <v>-12764</v>
      </c>
      <c r="U97" s="83">
        <f>-14182+4367+29-T97</f>
        <v>2978</v>
      </c>
      <c r="V97" s="83">
        <f>6655-18191+44-U97-T97</f>
        <v>-1706</v>
      </c>
      <c r="X97" s="32">
        <f t="shared" si="109"/>
        <v>1279</v>
      </c>
      <c r="Y97" s="32">
        <f t="shared" si="109"/>
        <v>4466</v>
      </c>
      <c r="Z97" s="32">
        <f t="shared" si="109"/>
        <v>5138</v>
      </c>
      <c r="AA97" s="32">
        <f t="shared" si="109"/>
        <v>6330</v>
      </c>
      <c r="AB97" s="32">
        <f t="shared" si="109"/>
        <v>7287</v>
      </c>
      <c r="AC97" s="32">
        <f t="shared" si="109"/>
        <v>6456</v>
      </c>
      <c r="AD97" s="32">
        <f t="shared" si="109"/>
        <v>6293</v>
      </c>
      <c r="AE97" s="32">
        <f t="shared" si="109"/>
        <v>3896</v>
      </c>
      <c r="AF97" s="32">
        <f t="shared" si="109"/>
        <v>-10239</v>
      </c>
      <c r="AG97" s="32">
        <f t="shared" si="109"/>
        <v>-9788</v>
      </c>
      <c r="AH97" s="32">
        <f>SUM(S97:V97)</f>
        <v>-12522</v>
      </c>
      <c r="AI97" s="11"/>
      <c r="AJ97" s="76">
        <f t="shared" si="110"/>
        <v>-2.9898299698077229</v>
      </c>
    </row>
    <row r="98" spans="2:36" ht="12.75" customHeight="1">
      <c r="B98" s="36" t="s">
        <v>14</v>
      </c>
      <c r="C98" s="83"/>
      <c r="D98" s="83"/>
      <c r="E98" s="83"/>
      <c r="F98" s="83"/>
      <c r="G98" s="32"/>
      <c r="H98" s="83"/>
      <c r="I98" s="83"/>
      <c r="J98" s="83"/>
      <c r="K98" s="83"/>
      <c r="L98" s="83"/>
      <c r="M98" s="83"/>
      <c r="N98" s="83"/>
      <c r="O98" s="32"/>
      <c r="P98" s="83"/>
      <c r="Q98" s="83"/>
      <c r="R98" s="83"/>
      <c r="S98" s="32"/>
      <c r="T98" s="83"/>
      <c r="U98" s="83"/>
      <c r="V98" s="83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60"/>
      <c r="AJ98" s="76"/>
    </row>
    <row r="99" spans="2:36" ht="12.75" customHeight="1">
      <c r="B99" s="61" t="s">
        <v>148</v>
      </c>
      <c r="C99" s="83">
        <v>-63</v>
      </c>
      <c r="D99" s="83">
        <v>145</v>
      </c>
      <c r="E99" s="83">
        <v>31</v>
      </c>
      <c r="F99" s="83">
        <v>0</v>
      </c>
      <c r="G99" s="32"/>
      <c r="H99" s="83">
        <v>-57</v>
      </c>
      <c r="I99" s="83">
        <f>-1125-H99</f>
        <v>-1068</v>
      </c>
      <c r="J99" s="83">
        <f>145-I99-H99</f>
        <v>1270</v>
      </c>
      <c r="K99" s="32">
        <f t="shared" si="112"/>
        <v>0</v>
      </c>
      <c r="L99" s="83">
        <v>31</v>
      </c>
      <c r="M99" s="83">
        <f>31-L99</f>
        <v>0</v>
      </c>
      <c r="N99" s="83">
        <f>31-M99-L99</f>
        <v>0</v>
      </c>
      <c r="O99" s="32">
        <f t="shared" ref="O99:O102" si="115">SUM(E99-SUM(L99:N99))</f>
        <v>0</v>
      </c>
      <c r="P99" s="83">
        <v>0</v>
      </c>
      <c r="Q99" s="83">
        <f>0-P99</f>
        <v>0</v>
      </c>
      <c r="R99" s="83">
        <f>0-Q99-P99</f>
        <v>0</v>
      </c>
      <c r="S99" s="32">
        <f t="shared" ref="S99:S102" si="116">SUM(F99-SUM(P99:R99))</f>
        <v>0</v>
      </c>
      <c r="T99" s="83">
        <v>-308</v>
      </c>
      <c r="U99" s="83">
        <f>-214-T99</f>
        <v>94</v>
      </c>
      <c r="V99" s="83">
        <f>-898-U99-T99</f>
        <v>-684</v>
      </c>
      <c r="X99" s="32">
        <f t="shared" ref="X99:AG102" si="117">SUM(I99:L99)</f>
        <v>233</v>
      </c>
      <c r="Y99" s="32">
        <f t="shared" si="117"/>
        <v>1301</v>
      </c>
      <c r="Z99" s="32">
        <f t="shared" si="117"/>
        <v>31</v>
      </c>
      <c r="AA99" s="32">
        <f t="shared" si="117"/>
        <v>31</v>
      </c>
      <c r="AB99" s="32">
        <f t="shared" si="117"/>
        <v>0</v>
      </c>
      <c r="AC99" s="32">
        <f t="shared" si="117"/>
        <v>0</v>
      </c>
      <c r="AD99" s="32">
        <f t="shared" si="117"/>
        <v>0</v>
      </c>
      <c r="AE99" s="32">
        <f t="shared" si="117"/>
        <v>0</v>
      </c>
      <c r="AF99" s="32">
        <f t="shared" si="117"/>
        <v>-308</v>
      </c>
      <c r="AG99" s="32">
        <f t="shared" si="117"/>
        <v>-214</v>
      </c>
      <c r="AH99" s="32">
        <f>SUM(S99:V99)</f>
        <v>-898</v>
      </c>
      <c r="AI99" s="60"/>
      <c r="AJ99" s="76" t="e">
        <f t="shared" si="110"/>
        <v>#DIV/0!</v>
      </c>
    </row>
    <row r="100" spans="2:36" ht="12.75" customHeight="1">
      <c r="B100" s="61" t="s">
        <v>133</v>
      </c>
      <c r="C100" s="83">
        <v>-2174</v>
      </c>
      <c r="D100" s="83">
        <v>1364</v>
      </c>
      <c r="E100" s="83">
        <v>-388</v>
      </c>
      <c r="F100" s="83">
        <v>88</v>
      </c>
      <c r="G100" s="32"/>
      <c r="H100" s="83">
        <v>822</v>
      </c>
      <c r="I100" s="83">
        <f>968-H100</f>
        <v>146</v>
      </c>
      <c r="J100" s="83">
        <f>812-I100-H100</f>
        <v>-156</v>
      </c>
      <c r="K100" s="32">
        <f t="shared" si="112"/>
        <v>552</v>
      </c>
      <c r="L100" s="83">
        <v>120</v>
      </c>
      <c r="M100" s="83">
        <f>-3660-L100</f>
        <v>-3780</v>
      </c>
      <c r="N100" s="83">
        <f>-423-M100-L100</f>
        <v>3237</v>
      </c>
      <c r="O100" s="32">
        <f t="shared" si="115"/>
        <v>35</v>
      </c>
      <c r="P100" s="83">
        <v>409</v>
      </c>
      <c r="Q100" s="83">
        <f>283-P100</f>
        <v>-126</v>
      </c>
      <c r="R100" s="83">
        <f>396-Q100-P100</f>
        <v>113</v>
      </c>
      <c r="S100" s="32">
        <f t="shared" si="116"/>
        <v>-308</v>
      </c>
      <c r="T100" s="83">
        <f>392-8020</f>
        <v>-7628</v>
      </c>
      <c r="U100" s="83">
        <f>505-10968-T100</f>
        <v>-2835</v>
      </c>
      <c r="V100" s="83">
        <f>441-18270-U100-T100</f>
        <v>-7366</v>
      </c>
      <c r="X100" s="32">
        <f t="shared" si="117"/>
        <v>662</v>
      </c>
      <c r="Y100" s="32">
        <f t="shared" si="117"/>
        <v>-3264</v>
      </c>
      <c r="Z100" s="32">
        <f t="shared" si="117"/>
        <v>129</v>
      </c>
      <c r="AA100" s="32">
        <f t="shared" si="117"/>
        <v>-388</v>
      </c>
      <c r="AB100" s="32">
        <f t="shared" si="117"/>
        <v>-99</v>
      </c>
      <c r="AC100" s="32">
        <f t="shared" si="117"/>
        <v>3555</v>
      </c>
      <c r="AD100" s="32">
        <f t="shared" si="117"/>
        <v>431</v>
      </c>
      <c r="AE100" s="32">
        <f t="shared" si="117"/>
        <v>88</v>
      </c>
      <c r="AF100" s="32">
        <f t="shared" si="117"/>
        <v>-7949</v>
      </c>
      <c r="AG100" s="32">
        <f t="shared" si="117"/>
        <v>-10658</v>
      </c>
      <c r="AH100" s="32">
        <f>SUM(S100:V100)</f>
        <v>-18137</v>
      </c>
      <c r="AI100" s="60"/>
      <c r="AJ100" s="76">
        <f t="shared" si="110"/>
        <v>-43.081206496519719</v>
      </c>
    </row>
    <row r="101" spans="2:36" ht="12.75" customHeight="1">
      <c r="B101" s="61" t="s">
        <v>13</v>
      </c>
      <c r="C101" s="83">
        <v>-197</v>
      </c>
      <c r="D101" s="83">
        <v>-509</v>
      </c>
      <c r="E101" s="83">
        <v>4811</v>
      </c>
      <c r="F101" s="83">
        <v>-1962</v>
      </c>
      <c r="G101" s="32"/>
      <c r="H101" s="83">
        <v>934</v>
      </c>
      <c r="I101" s="83">
        <f>374-H101</f>
        <v>-560</v>
      </c>
      <c r="J101" s="83">
        <f>984-I101-H101</f>
        <v>610</v>
      </c>
      <c r="K101" s="32">
        <f t="shared" si="112"/>
        <v>-1493</v>
      </c>
      <c r="L101" s="83">
        <v>299</v>
      </c>
      <c r="M101" s="83">
        <f>766-L101</f>
        <v>467</v>
      </c>
      <c r="N101" s="83">
        <f>1292-M101-L101</f>
        <v>526</v>
      </c>
      <c r="O101" s="32">
        <f t="shared" si="115"/>
        <v>3519</v>
      </c>
      <c r="P101" s="83">
        <v>-2949</v>
      </c>
      <c r="Q101" s="83">
        <f>-638-P101</f>
        <v>2311</v>
      </c>
      <c r="R101" s="83">
        <f>475-Q101-P101</f>
        <v>1113</v>
      </c>
      <c r="S101" s="32">
        <f t="shared" si="116"/>
        <v>-2437</v>
      </c>
      <c r="T101" s="83">
        <v>653</v>
      </c>
      <c r="U101" s="83">
        <f>2147-T101</f>
        <v>1494</v>
      </c>
      <c r="V101" s="83">
        <f>5134-U101-T101</f>
        <v>2987</v>
      </c>
      <c r="X101" s="32">
        <f t="shared" si="117"/>
        <v>-1144</v>
      </c>
      <c r="Y101" s="32">
        <f t="shared" si="117"/>
        <v>-117</v>
      </c>
      <c r="Z101" s="32">
        <f t="shared" si="117"/>
        <v>-201</v>
      </c>
      <c r="AA101" s="32">
        <f t="shared" si="117"/>
        <v>4811</v>
      </c>
      <c r="AB101" s="32">
        <f t="shared" si="117"/>
        <v>1563</v>
      </c>
      <c r="AC101" s="32">
        <f t="shared" si="117"/>
        <v>3407</v>
      </c>
      <c r="AD101" s="32">
        <f t="shared" si="117"/>
        <v>3994</v>
      </c>
      <c r="AE101" s="32">
        <f t="shared" si="117"/>
        <v>-1962</v>
      </c>
      <c r="AF101" s="32">
        <f t="shared" si="117"/>
        <v>1640</v>
      </c>
      <c r="AG101" s="32">
        <f t="shared" si="117"/>
        <v>823</v>
      </c>
      <c r="AH101" s="32">
        <f>SUM(S101:V101)</f>
        <v>2697</v>
      </c>
      <c r="AI101" s="60"/>
      <c r="AJ101" s="76">
        <f t="shared" si="110"/>
        <v>-0.32473710565848768</v>
      </c>
    </row>
    <row r="102" spans="2:36" ht="12.75" customHeight="1">
      <c r="B102" s="61" t="s">
        <v>159</v>
      </c>
      <c r="C102" s="83">
        <f>2035-42-116</f>
        <v>1877</v>
      </c>
      <c r="D102" s="83">
        <f>247-45-173</f>
        <v>29</v>
      </c>
      <c r="E102" s="83">
        <f>2167-50</f>
        <v>2117</v>
      </c>
      <c r="F102" s="83">
        <f>2238-53</f>
        <v>2185</v>
      </c>
      <c r="G102" s="32"/>
      <c r="H102" s="83">
        <f>-1297-11</f>
        <v>-1308</v>
      </c>
      <c r="I102" s="83">
        <f>-571-22-H102</f>
        <v>715</v>
      </c>
      <c r="J102" s="83">
        <f>1202-34-I102-H102</f>
        <v>1761</v>
      </c>
      <c r="K102" s="32">
        <f t="shared" si="112"/>
        <v>-1139</v>
      </c>
      <c r="L102" s="83">
        <f>-597-12</f>
        <v>-609</v>
      </c>
      <c r="M102" s="83">
        <f>-724-24-L102</f>
        <v>-139</v>
      </c>
      <c r="N102" s="83">
        <f>2577-37-M102-L102</f>
        <v>3288</v>
      </c>
      <c r="O102" s="32">
        <f t="shared" si="115"/>
        <v>-423</v>
      </c>
      <c r="P102" s="83">
        <f>-2107-13</f>
        <v>-2120</v>
      </c>
      <c r="Q102" s="83">
        <f>-221-26-P102</f>
        <v>1873</v>
      </c>
      <c r="R102" s="83">
        <f>1980-39-Q102-P102</f>
        <v>2188</v>
      </c>
      <c r="S102" s="32">
        <f t="shared" si="116"/>
        <v>244</v>
      </c>
      <c r="T102" s="83">
        <f>-2267-14</f>
        <v>-2281</v>
      </c>
      <c r="U102" s="83">
        <f>-2403-29-T102</f>
        <v>-151</v>
      </c>
      <c r="V102" s="83">
        <f>-1446-44-U102-T102</f>
        <v>942</v>
      </c>
      <c r="X102" s="32">
        <f t="shared" si="117"/>
        <v>728</v>
      </c>
      <c r="Y102" s="32">
        <f t="shared" si="117"/>
        <v>-126</v>
      </c>
      <c r="Z102" s="32">
        <f t="shared" si="117"/>
        <v>1401</v>
      </c>
      <c r="AA102" s="32">
        <f t="shared" si="117"/>
        <v>2117</v>
      </c>
      <c r="AB102" s="32">
        <f t="shared" si="117"/>
        <v>606</v>
      </c>
      <c r="AC102" s="32">
        <f t="shared" si="117"/>
        <v>2618</v>
      </c>
      <c r="AD102" s="32">
        <f t="shared" si="117"/>
        <v>1518</v>
      </c>
      <c r="AE102" s="32">
        <f t="shared" si="117"/>
        <v>2185</v>
      </c>
      <c r="AF102" s="32">
        <f t="shared" si="117"/>
        <v>2024</v>
      </c>
      <c r="AG102" s="32">
        <f t="shared" si="117"/>
        <v>0</v>
      </c>
      <c r="AH102" s="32">
        <f>SUM(S102:V102)</f>
        <v>-1246</v>
      </c>
      <c r="AI102" s="60"/>
      <c r="AJ102" s="76">
        <f t="shared" si="110"/>
        <v>-1.820816864295125</v>
      </c>
    </row>
    <row r="103" spans="2:36" ht="12.75" customHeight="1">
      <c r="B103" s="13" t="s">
        <v>55</v>
      </c>
      <c r="C103" s="14">
        <f>SUM(C90:C102)</f>
        <v>-81190</v>
      </c>
      <c r="D103" s="14">
        <f>SUM(D90:D102)</f>
        <v>-71129</v>
      </c>
      <c r="E103" s="14">
        <f>SUM(E90:E102)</f>
        <v>-73305</v>
      </c>
      <c r="F103" s="14">
        <f>SUM(F90:F102)</f>
        <v>-98122</v>
      </c>
      <c r="H103" s="14">
        <f>SUM(H90:H102)</f>
        <v>-18797</v>
      </c>
      <c r="I103" s="14">
        <f>SUM(I90:I102)</f>
        <v>-16569</v>
      </c>
      <c r="J103" s="14">
        <f>SUM(J90:J102)</f>
        <v>-16804</v>
      </c>
      <c r="K103" s="14">
        <f>SUM(K90:K102)</f>
        <v>-18959</v>
      </c>
      <c r="L103" s="14">
        <f>SUM(L90:L102)</f>
        <v>-18641</v>
      </c>
      <c r="M103" s="14">
        <f>SUM(M90:M102)</f>
        <v>-22603</v>
      </c>
      <c r="N103" s="14">
        <f>SUM(N90:N102)</f>
        <v>-13007</v>
      </c>
      <c r="O103" s="14">
        <f>SUM(O90:O102)</f>
        <v>-19054</v>
      </c>
      <c r="P103" s="14">
        <f>SUM(P90:P102)</f>
        <v>-27347</v>
      </c>
      <c r="Q103" s="14">
        <f>SUM(Q90:Q102)</f>
        <v>-21291</v>
      </c>
      <c r="R103" s="14">
        <f>SUM(R90:R102)</f>
        <v>-22907</v>
      </c>
      <c r="S103" s="14">
        <f>SUM(S90:S102)</f>
        <v>-26577</v>
      </c>
      <c r="T103" s="14">
        <f>SUM(T90:T102)</f>
        <v>-28601</v>
      </c>
      <c r="U103" s="14">
        <f>SUM(U90:U102)</f>
        <v>-26413</v>
      </c>
      <c r="V103" s="14">
        <f>SUM(V90:V102)</f>
        <v>-23904</v>
      </c>
      <c r="X103" s="14">
        <f>SUM(X90:X102)</f>
        <v>-70973</v>
      </c>
      <c r="Y103" s="14">
        <f>SUM(Y90:Y102)</f>
        <v>-77007</v>
      </c>
      <c r="Z103" s="14">
        <f>SUM(Z90:Z102)</f>
        <v>-73210</v>
      </c>
      <c r="AA103" s="14">
        <f>SUM(AA90:AA102)</f>
        <v>-73305</v>
      </c>
      <c r="AB103" s="14">
        <f>SUM(AB90:AB102)</f>
        <v>-82011</v>
      </c>
      <c r="AC103" s="14">
        <f>SUM(AC90:AC102)</f>
        <v>-80699</v>
      </c>
      <c r="AD103" s="14">
        <f>SUM(AD90:AD102)</f>
        <v>-90599</v>
      </c>
      <c r="AE103" s="14">
        <f>SUM(AE90:AE102)</f>
        <v>-98122</v>
      </c>
      <c r="AF103" s="14">
        <f>SUM(AF90:AF102)</f>
        <v>-99376</v>
      </c>
      <c r="AG103" s="14">
        <f>SUM(AG90:AG102)</f>
        <v>-104498</v>
      </c>
      <c r="AH103" s="14">
        <f>SUM(AH90:AH102)</f>
        <v>-105495</v>
      </c>
      <c r="AI103" s="42"/>
      <c r="AJ103" s="77">
        <f t="shared" si="110"/>
        <v>0.16441682579277916</v>
      </c>
    </row>
    <row r="104" spans="2:36" ht="12.75" customHeight="1">
      <c r="B104" s="54"/>
      <c r="C104" s="62"/>
      <c r="D104" s="62"/>
      <c r="E104" s="62"/>
      <c r="F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39"/>
    </row>
    <row r="105" spans="2:36" ht="12.75" customHeight="1">
      <c r="B105" s="54" t="s">
        <v>56</v>
      </c>
      <c r="C105" s="59"/>
      <c r="D105" s="59"/>
      <c r="E105" s="59"/>
      <c r="F105" s="59"/>
      <c r="H105" s="83"/>
      <c r="I105" s="83"/>
      <c r="J105" s="83"/>
      <c r="K105" s="83"/>
      <c r="L105" s="83"/>
      <c r="M105" s="83"/>
      <c r="N105" s="83"/>
      <c r="O105" s="32"/>
      <c r="P105" s="83"/>
      <c r="Q105" s="83"/>
      <c r="R105" s="83"/>
      <c r="S105" s="32"/>
      <c r="T105" s="59"/>
      <c r="U105" s="59"/>
      <c r="V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60"/>
      <c r="AJ105" s="39"/>
    </row>
    <row r="106" spans="2:36" ht="12.75" customHeight="1">
      <c r="B106" s="61" t="s">
        <v>92</v>
      </c>
      <c r="C106" s="83">
        <v>-220</v>
      </c>
      <c r="D106" s="83">
        <v>-1048</v>
      </c>
      <c r="E106" s="83">
        <v>-2280</v>
      </c>
      <c r="F106" s="83">
        <v>-1572</v>
      </c>
      <c r="G106" s="32"/>
      <c r="H106" s="83">
        <v>-22</v>
      </c>
      <c r="I106" s="83">
        <f>-156-H106</f>
        <v>-134</v>
      </c>
      <c r="J106" s="83">
        <f>-367-I106-H106</f>
        <v>-211</v>
      </c>
      <c r="K106" s="32">
        <f t="shared" ref="K106:K107" si="118">SUM(D106-SUM(H106:J106))</f>
        <v>-681</v>
      </c>
      <c r="L106" s="83">
        <v>-1152</v>
      </c>
      <c r="M106" s="83">
        <f>-1637-L106</f>
        <v>-485</v>
      </c>
      <c r="N106" s="83">
        <f>-2130-M106-L106</f>
        <v>-493</v>
      </c>
      <c r="O106" s="32">
        <f>SUM(E106-SUM(L106:N106))</f>
        <v>-150</v>
      </c>
      <c r="P106" s="83">
        <v>-391</v>
      </c>
      <c r="Q106" s="83">
        <f>-575-P106</f>
        <v>-184</v>
      </c>
      <c r="R106" s="83">
        <f>-1509-Q106-P106</f>
        <v>-934</v>
      </c>
      <c r="S106" s="32">
        <f>SUM(F106-SUM(P106:R106))</f>
        <v>-63</v>
      </c>
      <c r="T106" s="83">
        <v>-228</v>
      </c>
      <c r="U106" s="83">
        <f>-796-T106</f>
        <v>-568</v>
      </c>
      <c r="V106" s="83">
        <f>-845-U106-T106</f>
        <v>-49</v>
      </c>
      <c r="W106" s="32"/>
      <c r="X106" s="32">
        <f t="shared" ref="X106:AG107" si="119">SUM(I106:L106)</f>
        <v>-2178</v>
      </c>
      <c r="Y106" s="32">
        <f t="shared" si="119"/>
        <v>-2529</v>
      </c>
      <c r="Z106" s="32">
        <f t="shared" si="119"/>
        <v>-2811</v>
      </c>
      <c r="AA106" s="32">
        <f t="shared" si="119"/>
        <v>-2280</v>
      </c>
      <c r="AB106" s="32">
        <f t="shared" si="119"/>
        <v>-1519</v>
      </c>
      <c r="AC106" s="32">
        <f t="shared" si="119"/>
        <v>-1218</v>
      </c>
      <c r="AD106" s="32">
        <f t="shared" si="119"/>
        <v>-1659</v>
      </c>
      <c r="AE106" s="32">
        <f t="shared" si="119"/>
        <v>-1572</v>
      </c>
      <c r="AF106" s="32">
        <f t="shared" si="119"/>
        <v>-1409</v>
      </c>
      <c r="AG106" s="32">
        <f t="shared" si="119"/>
        <v>-1793</v>
      </c>
      <c r="AH106" s="32">
        <f>SUM(S106:V106)</f>
        <v>-908</v>
      </c>
      <c r="AI106" s="60"/>
      <c r="AJ106" s="76">
        <f t="shared" ref="AJ106:AJ116" si="120">SUM(AH106/AD106)-1</f>
        <v>-0.45268233875828812</v>
      </c>
    </row>
    <row r="107" spans="2:36" ht="12.75" customHeight="1">
      <c r="B107" s="61" t="s">
        <v>106</v>
      </c>
      <c r="C107" s="83">
        <v>-8000</v>
      </c>
      <c r="D107" s="83">
        <f>16000-10107</f>
        <v>5893</v>
      </c>
      <c r="E107" s="83">
        <v>2107</v>
      </c>
      <c r="F107" s="83">
        <v>0</v>
      </c>
      <c r="G107" s="32"/>
      <c r="H107" s="83">
        <v>0</v>
      </c>
      <c r="I107" s="83">
        <f>8000-8000-H107</f>
        <v>0</v>
      </c>
      <c r="J107" s="83">
        <f>8000-8000-I107-H107</f>
        <v>0</v>
      </c>
      <c r="K107" s="32">
        <f t="shared" si="118"/>
        <v>5893</v>
      </c>
      <c r="L107" s="83">
        <v>0</v>
      </c>
      <c r="M107" s="83">
        <f>2107-L107</f>
        <v>2107</v>
      </c>
      <c r="N107" s="83">
        <f>2107-M107-L107</f>
        <v>0</v>
      </c>
      <c r="O107" s="32">
        <f t="shared" ref="O107" si="121">SUM(E107-SUM(L107:N107))</f>
        <v>0</v>
      </c>
      <c r="P107" s="83">
        <v>0</v>
      </c>
      <c r="Q107" s="83">
        <v>0</v>
      </c>
      <c r="R107" s="83">
        <v>0</v>
      </c>
      <c r="S107" s="32">
        <f t="shared" ref="S107" si="122">SUM(F107-SUM(P107:R107))</f>
        <v>0</v>
      </c>
      <c r="T107" s="83">
        <v>0</v>
      </c>
      <c r="U107" s="83">
        <v>0</v>
      </c>
      <c r="V107" s="83">
        <v>0</v>
      </c>
      <c r="W107" s="32"/>
      <c r="X107" s="32">
        <f t="shared" si="119"/>
        <v>5893</v>
      </c>
      <c r="Y107" s="32">
        <f t="shared" si="119"/>
        <v>8000</v>
      </c>
      <c r="Z107" s="32">
        <f t="shared" si="119"/>
        <v>8000</v>
      </c>
      <c r="AA107" s="32">
        <f t="shared" si="119"/>
        <v>2107</v>
      </c>
      <c r="AB107" s="32">
        <f t="shared" si="119"/>
        <v>2107</v>
      </c>
      <c r="AC107" s="32">
        <f t="shared" si="119"/>
        <v>0</v>
      </c>
      <c r="AD107" s="32">
        <f t="shared" si="119"/>
        <v>0</v>
      </c>
      <c r="AE107" s="32">
        <f t="shared" si="119"/>
        <v>0</v>
      </c>
      <c r="AF107" s="32">
        <f t="shared" si="119"/>
        <v>0</v>
      </c>
      <c r="AG107" s="32">
        <f t="shared" si="119"/>
        <v>0</v>
      </c>
      <c r="AH107" s="32">
        <f>SUM(S107:V107)</f>
        <v>0</v>
      </c>
      <c r="AI107" s="60"/>
      <c r="AJ107" s="76" t="e">
        <f t="shared" si="120"/>
        <v>#DIV/0!</v>
      </c>
    </row>
    <row r="108" spans="2:36" ht="12.75" customHeight="1">
      <c r="B108" s="13" t="s">
        <v>57</v>
      </c>
      <c r="C108" s="14">
        <f>SUM(C106:C107)</f>
        <v>-8220</v>
      </c>
      <c r="D108" s="14">
        <f>SUM(D106:D107)</f>
        <v>4845</v>
      </c>
      <c r="E108" s="14">
        <f>SUM(E106:E107)</f>
        <v>-173</v>
      </c>
      <c r="F108" s="14">
        <f>SUM(F106:F107)</f>
        <v>-1572</v>
      </c>
      <c r="H108" s="14">
        <f>SUM(H106:H107)</f>
        <v>-22</v>
      </c>
      <c r="I108" s="14">
        <f>SUM(I106:I107)</f>
        <v>-134</v>
      </c>
      <c r="J108" s="14">
        <f>SUM(J106:J107)</f>
        <v>-211</v>
      </c>
      <c r="K108" s="14">
        <f>SUM(K106:K107)</f>
        <v>5212</v>
      </c>
      <c r="L108" s="14">
        <f>SUM(L106:L107)</f>
        <v>-1152</v>
      </c>
      <c r="M108" s="14">
        <f>SUM(M106:M107)</f>
        <v>1622</v>
      </c>
      <c r="N108" s="14">
        <f>SUM(N106:N107)</f>
        <v>-493</v>
      </c>
      <c r="O108" s="14">
        <f>SUM(O106:O107)</f>
        <v>-150</v>
      </c>
      <c r="P108" s="14">
        <f>SUM(P106:P107)</f>
        <v>-391</v>
      </c>
      <c r="Q108" s="14">
        <f>SUM(Q106:Q107)</f>
        <v>-184</v>
      </c>
      <c r="R108" s="14">
        <f>SUM(R106:R107)</f>
        <v>-934</v>
      </c>
      <c r="S108" s="14">
        <f>SUM(S106:S107)</f>
        <v>-63</v>
      </c>
      <c r="T108" s="14">
        <f>SUM(T106:T107)</f>
        <v>-228</v>
      </c>
      <c r="U108" s="14">
        <f>SUM(U106:U107)</f>
        <v>-568</v>
      </c>
      <c r="V108" s="14">
        <f>SUM(V106:V107)</f>
        <v>-49</v>
      </c>
      <c r="X108" s="14">
        <f>SUM(X106:X107)</f>
        <v>3715</v>
      </c>
      <c r="Y108" s="14">
        <f>SUM(Y106:Y107)</f>
        <v>5471</v>
      </c>
      <c r="Z108" s="14">
        <f>SUM(Z106:Z107)</f>
        <v>5189</v>
      </c>
      <c r="AA108" s="14">
        <f>SUM(AA106:AA107)</f>
        <v>-173</v>
      </c>
      <c r="AB108" s="14">
        <f>SUM(AB106:AB107)</f>
        <v>588</v>
      </c>
      <c r="AC108" s="14">
        <f>SUM(AC106:AC107)</f>
        <v>-1218</v>
      </c>
      <c r="AD108" s="14">
        <f>SUM(AD106:AD107)</f>
        <v>-1659</v>
      </c>
      <c r="AE108" s="14">
        <f>SUM(AE106:AE107)</f>
        <v>-1572</v>
      </c>
      <c r="AF108" s="14">
        <f>SUM(AF106:AF107)</f>
        <v>-1409</v>
      </c>
      <c r="AG108" s="14">
        <f>SUM(AG106:AG107)</f>
        <v>-1793</v>
      </c>
      <c r="AH108" s="14">
        <f>SUM(AH106:AH107)</f>
        <v>-908</v>
      </c>
      <c r="AI108" s="42"/>
      <c r="AJ108" s="77">
        <f t="shared" si="120"/>
        <v>-0.45268233875828812</v>
      </c>
    </row>
    <row r="109" spans="2:36" ht="5.0999999999999996" customHeight="1">
      <c r="B109" s="53"/>
      <c r="C109" s="62"/>
      <c r="D109" s="62"/>
      <c r="E109" s="62"/>
      <c r="F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39"/>
    </row>
    <row r="110" spans="2:36" ht="12.75" customHeight="1">
      <c r="B110" s="54" t="s">
        <v>58</v>
      </c>
      <c r="C110" s="64"/>
      <c r="D110" s="64"/>
      <c r="E110" s="64"/>
      <c r="F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65"/>
      <c r="AJ110" s="76"/>
    </row>
    <row r="111" spans="2:36" ht="12.75" customHeight="1">
      <c r="B111" s="85" t="s">
        <v>149</v>
      </c>
      <c r="C111" s="83">
        <v>598</v>
      </c>
      <c r="D111" s="83">
        <v>535</v>
      </c>
      <c r="E111" s="83">
        <v>566</v>
      </c>
      <c r="F111" s="83">
        <f>43396+43126+6809-350+2530+1511</f>
        <v>97022</v>
      </c>
      <c r="H111" s="83">
        <v>1</v>
      </c>
      <c r="I111" s="83">
        <f>12-H111</f>
        <v>11</v>
      </c>
      <c r="J111" s="83">
        <f>229-I111-H111</f>
        <v>217</v>
      </c>
      <c r="K111" s="32">
        <f t="shared" ref="K111:K115" si="123">SUM(D111-SUM(H111:J111))</f>
        <v>306</v>
      </c>
      <c r="L111" s="83">
        <v>119</v>
      </c>
      <c r="M111" s="83">
        <f>214-L111</f>
        <v>95</v>
      </c>
      <c r="N111" s="83">
        <f>313-M111-L111</f>
        <v>99</v>
      </c>
      <c r="O111" s="32">
        <f>SUM(E111-SUM(L111:N111))</f>
        <v>253</v>
      </c>
      <c r="P111" s="83">
        <f>43396+2</f>
        <v>43398</v>
      </c>
      <c r="Q111" s="83">
        <f>43396-350+789-P111</f>
        <v>437</v>
      </c>
      <c r="R111" s="83">
        <f>43396-350+1013+1284-Q111-P111</f>
        <v>1508</v>
      </c>
      <c r="S111" s="32">
        <f>SUM(F111-SUM(P111:R111))</f>
        <v>51679</v>
      </c>
      <c r="T111" s="83">
        <f>47000+370+56</f>
        <v>47426</v>
      </c>
      <c r="U111" s="83">
        <f>47000+3603-340+56 -T111</f>
        <v>2893</v>
      </c>
      <c r="V111" s="83">
        <f>47000-340+9800+56-U111-T111</f>
        <v>6197</v>
      </c>
      <c r="W111" s="32"/>
      <c r="X111" s="32">
        <f t="shared" ref="X111:AG115" si="124">SUM(I111:L111)</f>
        <v>653</v>
      </c>
      <c r="Y111" s="32">
        <f t="shared" si="124"/>
        <v>737</v>
      </c>
      <c r="Z111" s="32">
        <f t="shared" si="124"/>
        <v>619</v>
      </c>
      <c r="AA111" s="32">
        <f t="shared" si="124"/>
        <v>566</v>
      </c>
      <c r="AB111" s="32">
        <f t="shared" si="124"/>
        <v>43845</v>
      </c>
      <c r="AC111" s="32">
        <f t="shared" si="124"/>
        <v>44187</v>
      </c>
      <c r="AD111" s="32">
        <f t="shared" si="124"/>
        <v>45596</v>
      </c>
      <c r="AE111" s="32">
        <f t="shared" si="124"/>
        <v>97022</v>
      </c>
      <c r="AF111" s="32">
        <f t="shared" si="124"/>
        <v>101050</v>
      </c>
      <c r="AG111" s="32">
        <f t="shared" si="124"/>
        <v>103506</v>
      </c>
      <c r="AH111" s="32">
        <f>SUM(S111:V111)</f>
        <v>108195</v>
      </c>
      <c r="AI111" s="65"/>
      <c r="AJ111" s="76">
        <f t="shared" si="120"/>
        <v>1.3729055180278973</v>
      </c>
    </row>
    <row r="112" spans="2:36" ht="12.75" customHeight="1">
      <c r="B112" s="85" t="s">
        <v>150</v>
      </c>
      <c r="C112" s="83">
        <f>-1729+29659</f>
        <v>27930</v>
      </c>
      <c r="D112" s="83">
        <v>-1981</v>
      </c>
      <c r="E112" s="83">
        <f>-2256-31500-310</f>
        <v>-34066</v>
      </c>
      <c r="F112" s="83">
        <v>-2579</v>
      </c>
      <c r="H112" s="83">
        <v>-462</v>
      </c>
      <c r="I112" s="83">
        <f>-957-H112</f>
        <v>-495</v>
      </c>
      <c r="J112" s="83">
        <f>-1463-I112-H112</f>
        <v>-506</v>
      </c>
      <c r="K112" s="32">
        <f t="shared" si="123"/>
        <v>-518</v>
      </c>
      <c r="L112" s="83">
        <v>-528</v>
      </c>
      <c r="M112" s="83">
        <f>-1091-31500-310-L112</f>
        <v>-32373</v>
      </c>
      <c r="N112" s="83">
        <f>-1668-31500-310-M112-L112</f>
        <v>-577</v>
      </c>
      <c r="O112" s="32">
        <f>SUM(E112-SUM(L112:N112))</f>
        <v>-588</v>
      </c>
      <c r="P112" s="83">
        <v>-603</v>
      </c>
      <c r="Q112" s="83">
        <f>-1247-P112</f>
        <v>-644</v>
      </c>
      <c r="R112" s="83">
        <f>-1906-Q112-P112</f>
        <v>-659</v>
      </c>
      <c r="S112" s="32">
        <f>SUM(F112-SUM(P112:R112))</f>
        <v>-673</v>
      </c>
      <c r="T112" s="83">
        <v>-687</v>
      </c>
      <c r="U112" s="83">
        <f>-1414-T112</f>
        <v>-727</v>
      </c>
      <c r="V112" s="83">
        <f>-2157-U112-T112</f>
        <v>-743</v>
      </c>
      <c r="W112" s="32"/>
      <c r="X112" s="32">
        <f t="shared" si="124"/>
        <v>-2047</v>
      </c>
      <c r="Y112" s="32">
        <f t="shared" si="124"/>
        <v>-33925</v>
      </c>
      <c r="Z112" s="32">
        <f t="shared" si="124"/>
        <v>-33996</v>
      </c>
      <c r="AA112" s="32">
        <f t="shared" si="124"/>
        <v>-34066</v>
      </c>
      <c r="AB112" s="32">
        <f t="shared" si="124"/>
        <v>-34141</v>
      </c>
      <c r="AC112" s="32">
        <f t="shared" si="124"/>
        <v>-2412</v>
      </c>
      <c r="AD112" s="32">
        <f t="shared" si="124"/>
        <v>-2494</v>
      </c>
      <c r="AE112" s="32">
        <f t="shared" si="124"/>
        <v>-2579</v>
      </c>
      <c r="AF112" s="32">
        <f t="shared" si="124"/>
        <v>-2663</v>
      </c>
      <c r="AG112" s="32">
        <f t="shared" si="124"/>
        <v>-2746</v>
      </c>
      <c r="AH112" s="32">
        <f>SUM(S112:V112)</f>
        <v>-2830</v>
      </c>
      <c r="AI112" s="65"/>
      <c r="AJ112" s="76">
        <f t="shared" si="120"/>
        <v>0.13472333600641551</v>
      </c>
    </row>
    <row r="113" spans="2:36" ht="12.75" customHeight="1">
      <c r="B113" s="85" t="s">
        <v>151</v>
      </c>
      <c r="C113" s="83">
        <f>242400-3945</f>
        <v>238455</v>
      </c>
      <c r="D113" s="83">
        <v>0</v>
      </c>
      <c r="E113" s="83">
        <v>0</v>
      </c>
      <c r="F113" s="83">
        <v>0</v>
      </c>
      <c r="H113" s="83">
        <v>0</v>
      </c>
      <c r="I113" s="83">
        <v>0</v>
      </c>
      <c r="J113" s="83">
        <v>0</v>
      </c>
      <c r="K113" s="32">
        <f t="shared" si="123"/>
        <v>0</v>
      </c>
      <c r="L113" s="83">
        <v>0</v>
      </c>
      <c r="M113" s="83">
        <v>0</v>
      </c>
      <c r="N113" s="83">
        <v>0</v>
      </c>
      <c r="O113" s="32">
        <f t="shared" ref="O113" si="125">SUM(E113-SUM(L113:N113))</f>
        <v>0</v>
      </c>
      <c r="P113" s="83">
        <v>0</v>
      </c>
      <c r="Q113" s="83">
        <v>0</v>
      </c>
      <c r="R113" s="83">
        <v>0</v>
      </c>
      <c r="S113" s="32">
        <f t="shared" ref="S113" si="126">SUM(F113-SUM(P113:R113))</f>
        <v>0</v>
      </c>
      <c r="T113" s="83">
        <v>0</v>
      </c>
      <c r="U113" s="83">
        <v>0</v>
      </c>
      <c r="V113" s="83">
        <v>0</v>
      </c>
      <c r="W113" s="32"/>
      <c r="X113" s="32">
        <f t="shared" si="124"/>
        <v>0</v>
      </c>
      <c r="Y113" s="32">
        <f t="shared" si="124"/>
        <v>0</v>
      </c>
      <c r="Z113" s="32">
        <f t="shared" si="124"/>
        <v>0</v>
      </c>
      <c r="AA113" s="32">
        <f t="shared" si="124"/>
        <v>0</v>
      </c>
      <c r="AB113" s="32">
        <f t="shared" si="124"/>
        <v>0</v>
      </c>
      <c r="AC113" s="32">
        <f t="shared" si="124"/>
        <v>0</v>
      </c>
      <c r="AD113" s="32">
        <f t="shared" si="124"/>
        <v>0</v>
      </c>
      <c r="AE113" s="32">
        <f t="shared" si="124"/>
        <v>0</v>
      </c>
      <c r="AF113" s="32">
        <f t="shared" si="124"/>
        <v>0</v>
      </c>
      <c r="AG113" s="32">
        <f t="shared" si="124"/>
        <v>0</v>
      </c>
      <c r="AH113" s="32">
        <f>SUM(S113:V113)</f>
        <v>0</v>
      </c>
      <c r="AI113" s="65"/>
      <c r="AJ113" s="76" t="e">
        <f t="shared" si="120"/>
        <v>#DIV/0!</v>
      </c>
    </row>
    <row r="114" spans="2:36" ht="12.75" customHeight="1">
      <c r="B114" s="85" t="s">
        <v>152</v>
      </c>
      <c r="C114" s="83">
        <v>0</v>
      </c>
      <c r="D114" s="83">
        <v>0</v>
      </c>
      <c r="E114" s="83">
        <f>39377-1450</f>
        <v>37927</v>
      </c>
      <c r="F114" s="83">
        <f>20000-500</f>
        <v>19500</v>
      </c>
      <c r="H114" s="83">
        <v>0</v>
      </c>
      <c r="I114" s="83">
        <v>0</v>
      </c>
      <c r="J114" s="83">
        <v>0</v>
      </c>
      <c r="K114" s="32">
        <f t="shared" si="123"/>
        <v>0</v>
      </c>
      <c r="L114" s="83">
        <v>0</v>
      </c>
      <c r="M114" s="83">
        <f>39377-1164-L114</f>
        <v>38213</v>
      </c>
      <c r="N114" s="83">
        <f>39377-1450-M114-L114</f>
        <v>-286</v>
      </c>
      <c r="O114" s="32">
        <f>SUM(E114-SUM(L114:N114))</f>
        <v>0</v>
      </c>
      <c r="P114" s="83">
        <v>20000</v>
      </c>
      <c r="Q114" s="83">
        <f>20000-500-P114</f>
        <v>-500</v>
      </c>
      <c r="R114" s="83">
        <f>20000-500-Q114-P114</f>
        <v>0</v>
      </c>
      <c r="S114" s="32">
        <f>SUM(F114-SUM(P114:R114))</f>
        <v>0</v>
      </c>
      <c r="T114" s="83">
        <v>0</v>
      </c>
      <c r="U114" s="83">
        <v>0</v>
      </c>
      <c r="V114" s="83">
        <f>-45-50000-U114-T114</f>
        <v>-50045</v>
      </c>
      <c r="W114" s="32"/>
      <c r="X114" s="32">
        <f t="shared" si="124"/>
        <v>0</v>
      </c>
      <c r="Y114" s="32">
        <f t="shared" si="124"/>
        <v>38213</v>
      </c>
      <c r="Z114" s="32">
        <f t="shared" si="124"/>
        <v>37927</v>
      </c>
      <c r="AA114" s="32">
        <f t="shared" si="124"/>
        <v>37927</v>
      </c>
      <c r="AB114" s="32">
        <f t="shared" si="124"/>
        <v>57927</v>
      </c>
      <c r="AC114" s="32">
        <f t="shared" si="124"/>
        <v>19214</v>
      </c>
      <c r="AD114" s="32">
        <f t="shared" si="124"/>
        <v>19500</v>
      </c>
      <c r="AE114" s="32">
        <f t="shared" si="124"/>
        <v>19500</v>
      </c>
      <c r="AF114" s="32">
        <f t="shared" si="124"/>
        <v>-500</v>
      </c>
      <c r="AG114" s="32">
        <f t="shared" si="124"/>
        <v>0</v>
      </c>
      <c r="AH114" s="32">
        <f>SUM(S114:V114)</f>
        <v>-50045</v>
      </c>
      <c r="AI114" s="65"/>
      <c r="AJ114" s="76">
        <f t="shared" si="120"/>
        <v>-3.5664102564102564</v>
      </c>
    </row>
    <row r="115" spans="2:36" ht="12.75" customHeight="1">
      <c r="B115" s="85" t="s">
        <v>153</v>
      </c>
      <c r="C115" s="83">
        <v>0</v>
      </c>
      <c r="D115" s="83">
        <v>0</v>
      </c>
      <c r="E115" s="83">
        <v>80</v>
      </c>
      <c r="F115" s="83">
        <v>240</v>
      </c>
      <c r="H115" s="83">
        <v>0</v>
      </c>
      <c r="I115" s="83">
        <v>0</v>
      </c>
      <c r="J115" s="83">
        <v>0</v>
      </c>
      <c r="K115" s="32">
        <f t="shared" si="123"/>
        <v>0</v>
      </c>
      <c r="L115" s="83">
        <v>0</v>
      </c>
      <c r="M115" s="83">
        <f>80-L115</f>
        <v>80</v>
      </c>
      <c r="N115" s="83">
        <f>80-M115-L115</f>
        <v>0</v>
      </c>
      <c r="O115" s="32">
        <f>SUM(E115-SUM(L115:N115))</f>
        <v>0</v>
      </c>
      <c r="P115" s="83">
        <v>0</v>
      </c>
      <c r="Q115" s="83">
        <f>240-P115</f>
        <v>240</v>
      </c>
      <c r="R115" s="83">
        <f>240-Q115-P1226</f>
        <v>0</v>
      </c>
      <c r="S115" s="32">
        <f>SUM(F115-SUM(P115:R115))</f>
        <v>0</v>
      </c>
      <c r="T115" s="83">
        <v>0</v>
      </c>
      <c r="U115" s="83">
        <v>0</v>
      </c>
      <c r="V115" s="83">
        <v>0</v>
      </c>
      <c r="W115" s="32"/>
      <c r="X115" s="32">
        <f t="shared" si="124"/>
        <v>0</v>
      </c>
      <c r="Y115" s="32">
        <f t="shared" si="124"/>
        <v>80</v>
      </c>
      <c r="Z115" s="32">
        <f t="shared" si="124"/>
        <v>80</v>
      </c>
      <c r="AA115" s="32">
        <f t="shared" si="124"/>
        <v>80</v>
      </c>
      <c r="AB115" s="32">
        <f t="shared" si="124"/>
        <v>80</v>
      </c>
      <c r="AC115" s="32">
        <f t="shared" si="124"/>
        <v>240</v>
      </c>
      <c r="AD115" s="32">
        <f t="shared" si="124"/>
        <v>240</v>
      </c>
      <c r="AE115" s="32">
        <f t="shared" si="124"/>
        <v>240</v>
      </c>
      <c r="AF115" s="32">
        <f t="shared" si="124"/>
        <v>240</v>
      </c>
      <c r="AG115" s="32">
        <f t="shared" si="124"/>
        <v>0</v>
      </c>
      <c r="AH115" s="32">
        <f>SUM(S115:V115)</f>
        <v>0</v>
      </c>
      <c r="AI115" s="65"/>
      <c r="AJ115" s="76">
        <f t="shared" si="120"/>
        <v>-1</v>
      </c>
    </row>
    <row r="116" spans="2:36" ht="12.75" customHeight="1">
      <c r="B116" s="13" t="s">
        <v>59</v>
      </c>
      <c r="C116" s="34">
        <f>SUM(C111:C115)</f>
        <v>266983</v>
      </c>
      <c r="D116" s="34">
        <f>SUM(D111:D115)</f>
        <v>-1446</v>
      </c>
      <c r="E116" s="34">
        <f>SUM(E111:E115)</f>
        <v>4507</v>
      </c>
      <c r="F116" s="34">
        <f>SUM(F111:F115)</f>
        <v>114183</v>
      </c>
      <c r="G116" s="32"/>
      <c r="H116" s="34">
        <f>SUM(H111:H115)</f>
        <v>-461</v>
      </c>
      <c r="I116" s="34">
        <f>SUM(I111:I115)</f>
        <v>-484</v>
      </c>
      <c r="J116" s="34">
        <f>SUM(J111:J115)</f>
        <v>-289</v>
      </c>
      <c r="K116" s="34">
        <f>SUM(K111:K115)</f>
        <v>-212</v>
      </c>
      <c r="L116" s="34">
        <f>SUM(L111:L115)</f>
        <v>-409</v>
      </c>
      <c r="M116" s="34">
        <f>SUM(M111:M115)</f>
        <v>6015</v>
      </c>
      <c r="N116" s="34">
        <f>SUM(N111:N115)</f>
        <v>-764</v>
      </c>
      <c r="O116" s="34">
        <f>SUM(O111:O115)</f>
        <v>-335</v>
      </c>
      <c r="P116" s="34">
        <f>SUM(P111:P115)</f>
        <v>62795</v>
      </c>
      <c r="Q116" s="34">
        <f>SUM(Q111:Q115)</f>
        <v>-467</v>
      </c>
      <c r="R116" s="34">
        <f>SUM(R111:R115)</f>
        <v>849</v>
      </c>
      <c r="S116" s="34">
        <f>SUM(S111:S115)</f>
        <v>51006</v>
      </c>
      <c r="T116" s="34">
        <f>SUM(T111:T115)</f>
        <v>46739</v>
      </c>
      <c r="U116" s="34">
        <f>SUM(U111:U115)</f>
        <v>2166</v>
      </c>
      <c r="V116" s="34">
        <f>SUM(V111:V115)</f>
        <v>-44591</v>
      </c>
      <c r="W116" s="32"/>
      <c r="X116" s="34">
        <f>SUM(X111:X115)</f>
        <v>-1394</v>
      </c>
      <c r="Y116" s="34">
        <f>SUM(Y111:Y115)</f>
        <v>5105</v>
      </c>
      <c r="Z116" s="34">
        <f>SUM(Z111:Z115)</f>
        <v>4630</v>
      </c>
      <c r="AA116" s="34">
        <f>SUM(AA111:AA115)</f>
        <v>4507</v>
      </c>
      <c r="AB116" s="34">
        <f>SUM(AB111:AB115)</f>
        <v>67711</v>
      </c>
      <c r="AC116" s="34">
        <f>SUM(AC111:AC115)</f>
        <v>61229</v>
      </c>
      <c r="AD116" s="34">
        <f>SUM(AD111:AD115)</f>
        <v>62842</v>
      </c>
      <c r="AE116" s="34">
        <f>SUM(AE111:AE115)</f>
        <v>114183</v>
      </c>
      <c r="AF116" s="34">
        <f>SUM(AF111:AF115)</f>
        <v>98127</v>
      </c>
      <c r="AG116" s="34">
        <f>SUM(AG111:AG115)</f>
        <v>100760</v>
      </c>
      <c r="AH116" s="34">
        <f>SUM(AH111:AH115)</f>
        <v>55320</v>
      </c>
      <c r="AI116" s="42"/>
      <c r="AJ116" s="77">
        <f t="shared" si="120"/>
        <v>-0.11969701791795295</v>
      </c>
    </row>
    <row r="117" spans="2:36" ht="5.0999999999999996" customHeight="1">
      <c r="B117" s="8"/>
      <c r="C117" s="66"/>
      <c r="D117" s="66"/>
      <c r="E117" s="66"/>
      <c r="F117" s="66"/>
      <c r="G117" s="32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46"/>
    </row>
    <row r="118" spans="2:36" ht="5.0999999999999996" customHeight="1">
      <c r="B118" s="7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11"/>
      <c r="AJ118" s="46"/>
    </row>
    <row r="119" spans="2:36">
      <c r="B119" s="94" t="s">
        <v>88</v>
      </c>
      <c r="C119" s="95">
        <v>39929</v>
      </c>
      <c r="D119" s="95">
        <f t="shared" ref="D119:F119" si="127">C126</f>
        <v>217502</v>
      </c>
      <c r="E119" s="95">
        <f t="shared" si="127"/>
        <v>149772</v>
      </c>
      <c r="F119" s="95">
        <f t="shared" si="127"/>
        <v>80448</v>
      </c>
      <c r="G119" s="95"/>
      <c r="H119" s="95">
        <f>C126</f>
        <v>217502</v>
      </c>
      <c r="I119" s="95">
        <f t="shared" ref="I119" si="128">H126</f>
        <v>198222</v>
      </c>
      <c r="J119" s="95">
        <f t="shared" ref="J119" si="129">I126</f>
        <v>181035</v>
      </c>
      <c r="K119" s="95">
        <f t="shared" ref="K119" si="130">J126</f>
        <v>163731</v>
      </c>
      <c r="L119" s="95">
        <f t="shared" ref="L119" si="131">K126</f>
        <v>149772</v>
      </c>
      <c r="M119" s="95">
        <f t="shared" ref="M119:V119" si="132">L126</f>
        <v>129570</v>
      </c>
      <c r="N119" s="95">
        <f t="shared" si="132"/>
        <v>114604</v>
      </c>
      <c r="O119" s="95">
        <f t="shared" si="132"/>
        <v>99986</v>
      </c>
      <c r="P119" s="95">
        <f t="shared" si="132"/>
        <v>80448</v>
      </c>
      <c r="Q119" s="95">
        <f t="shared" si="132"/>
        <v>115505</v>
      </c>
      <c r="R119" s="95">
        <f t="shared" si="132"/>
        <v>93563</v>
      </c>
      <c r="S119" s="95">
        <f t="shared" si="132"/>
        <v>20571</v>
      </c>
      <c r="T119" s="95">
        <f t="shared" si="132"/>
        <v>44937</v>
      </c>
      <c r="U119" s="95">
        <f t="shared" si="132"/>
        <v>62847</v>
      </c>
      <c r="V119" s="95">
        <f t="shared" si="132"/>
        <v>38032</v>
      </c>
      <c r="W119" s="95"/>
      <c r="X119" s="95">
        <f t="shared" ref="X119:AG119" si="133">H126</f>
        <v>198222</v>
      </c>
      <c r="Y119" s="95">
        <f t="shared" si="133"/>
        <v>181035</v>
      </c>
      <c r="Z119" s="95">
        <f t="shared" si="133"/>
        <v>163731</v>
      </c>
      <c r="AA119" s="95">
        <f t="shared" si="133"/>
        <v>149772</v>
      </c>
      <c r="AB119" s="95">
        <f t="shared" si="133"/>
        <v>129570</v>
      </c>
      <c r="AC119" s="95">
        <f t="shared" si="133"/>
        <v>114604</v>
      </c>
      <c r="AD119" s="95">
        <f t="shared" si="133"/>
        <v>99986</v>
      </c>
      <c r="AE119" s="95">
        <f t="shared" si="133"/>
        <v>80448</v>
      </c>
      <c r="AF119" s="95">
        <f t="shared" si="133"/>
        <v>115505</v>
      </c>
      <c r="AG119" s="95">
        <f t="shared" si="133"/>
        <v>93563</v>
      </c>
      <c r="AH119" s="143">
        <f>R126</f>
        <v>20571</v>
      </c>
      <c r="AI119" s="11"/>
      <c r="AJ119" s="46"/>
    </row>
    <row r="120" spans="2:36">
      <c r="B120" s="134" t="s">
        <v>111</v>
      </c>
      <c r="C120" s="175"/>
      <c r="D120" s="175">
        <f t="shared" ref="D120:F120" si="134">-C124</f>
        <v>0</v>
      </c>
      <c r="E120" s="175">
        <f t="shared" si="134"/>
        <v>0</v>
      </c>
      <c r="F120" s="175">
        <f t="shared" si="134"/>
        <v>353</v>
      </c>
      <c r="G120" s="175"/>
      <c r="H120" s="177">
        <v>0</v>
      </c>
      <c r="I120" s="177">
        <v>0</v>
      </c>
      <c r="J120" s="177">
        <v>0</v>
      </c>
      <c r="K120" s="175">
        <f>D120</f>
        <v>0</v>
      </c>
      <c r="L120" s="175"/>
      <c r="M120" s="175">
        <f t="shared" ref="M120:V120" si="135">-L124</f>
        <v>0</v>
      </c>
      <c r="N120" s="175">
        <f t="shared" si="135"/>
        <v>0</v>
      </c>
      <c r="O120" s="175">
        <f>-N124</f>
        <v>354</v>
      </c>
      <c r="P120" s="175">
        <f t="shared" si="135"/>
        <v>353</v>
      </c>
      <c r="Q120" s="175">
        <f t="shared" si="135"/>
        <v>353</v>
      </c>
      <c r="R120" s="175">
        <f t="shared" si="135"/>
        <v>353</v>
      </c>
      <c r="S120" s="175">
        <f t="shared" si="135"/>
        <v>50353</v>
      </c>
      <c r="T120" s="175">
        <f t="shared" si="135"/>
        <v>50353</v>
      </c>
      <c r="U120" s="175">
        <f t="shared" si="135"/>
        <v>50353</v>
      </c>
      <c r="V120" s="175">
        <f t="shared" si="135"/>
        <v>50353</v>
      </c>
      <c r="W120" s="175"/>
      <c r="X120" s="175">
        <f t="shared" ref="X120:AG120" si="136">-H124</f>
        <v>0</v>
      </c>
      <c r="Y120" s="175">
        <f t="shared" si="136"/>
        <v>0</v>
      </c>
      <c r="Z120" s="175">
        <f t="shared" si="136"/>
        <v>0</v>
      </c>
      <c r="AA120" s="175">
        <f t="shared" si="136"/>
        <v>0</v>
      </c>
      <c r="AB120" s="175">
        <f t="shared" si="136"/>
        <v>0</v>
      </c>
      <c r="AC120" s="175">
        <f t="shared" si="136"/>
        <v>0</v>
      </c>
      <c r="AD120" s="175">
        <f t="shared" si="136"/>
        <v>354</v>
      </c>
      <c r="AE120" s="175">
        <f t="shared" si="136"/>
        <v>353</v>
      </c>
      <c r="AF120" s="175">
        <f t="shared" si="136"/>
        <v>353</v>
      </c>
      <c r="AG120" s="175">
        <f t="shared" si="136"/>
        <v>353</v>
      </c>
      <c r="AH120" s="137">
        <f>-R124</f>
        <v>50353</v>
      </c>
      <c r="AI120" s="11"/>
      <c r="AJ120" s="46"/>
    </row>
    <row r="121" spans="2:36">
      <c r="B121" s="91" t="s">
        <v>74</v>
      </c>
      <c r="C121" s="87">
        <f t="shared" ref="C121:F121" si="137">SUM(C119:C120)</f>
        <v>39929</v>
      </c>
      <c r="D121" s="87">
        <f t="shared" si="137"/>
        <v>217502</v>
      </c>
      <c r="E121" s="87">
        <f t="shared" si="137"/>
        <v>149772</v>
      </c>
      <c r="F121" s="87">
        <f t="shared" si="137"/>
        <v>80801</v>
      </c>
      <c r="G121" s="175"/>
      <c r="H121" s="87">
        <f t="shared" ref="H121:K121" si="138">SUM(H119:H120)</f>
        <v>217502</v>
      </c>
      <c r="I121" s="87">
        <f t="shared" si="138"/>
        <v>198222</v>
      </c>
      <c r="J121" s="87">
        <f t="shared" si="138"/>
        <v>181035</v>
      </c>
      <c r="K121" s="87">
        <f t="shared" si="138"/>
        <v>163731</v>
      </c>
      <c r="L121" s="87">
        <f t="shared" ref="L121:V121" si="139">SUM(L119:L120)</f>
        <v>149772</v>
      </c>
      <c r="M121" s="87">
        <f t="shared" si="139"/>
        <v>129570</v>
      </c>
      <c r="N121" s="87">
        <f t="shared" si="139"/>
        <v>114604</v>
      </c>
      <c r="O121" s="87">
        <f t="shared" si="139"/>
        <v>100340</v>
      </c>
      <c r="P121" s="87">
        <f t="shared" si="139"/>
        <v>80801</v>
      </c>
      <c r="Q121" s="87">
        <f t="shared" si="139"/>
        <v>115858</v>
      </c>
      <c r="R121" s="87">
        <f t="shared" si="139"/>
        <v>93916</v>
      </c>
      <c r="S121" s="87">
        <f t="shared" si="139"/>
        <v>70924</v>
      </c>
      <c r="T121" s="87">
        <f t="shared" si="139"/>
        <v>95290</v>
      </c>
      <c r="U121" s="87">
        <f t="shared" si="139"/>
        <v>113200</v>
      </c>
      <c r="V121" s="87">
        <f t="shared" si="139"/>
        <v>88385</v>
      </c>
      <c r="W121" s="175"/>
      <c r="X121" s="178">
        <f t="shared" ref="X121:AH121" si="140">SUM(X119:X120)</f>
        <v>198222</v>
      </c>
      <c r="Y121" s="178">
        <f t="shared" si="140"/>
        <v>181035</v>
      </c>
      <c r="Z121" s="178">
        <f t="shared" si="140"/>
        <v>163731</v>
      </c>
      <c r="AA121" s="178">
        <f t="shared" si="140"/>
        <v>149772</v>
      </c>
      <c r="AB121" s="178">
        <f t="shared" si="140"/>
        <v>129570</v>
      </c>
      <c r="AC121" s="178">
        <f t="shared" si="140"/>
        <v>114604</v>
      </c>
      <c r="AD121" s="178">
        <f t="shared" si="140"/>
        <v>100340</v>
      </c>
      <c r="AE121" s="178">
        <f t="shared" si="140"/>
        <v>80801</v>
      </c>
      <c r="AF121" s="178">
        <f t="shared" si="140"/>
        <v>115858</v>
      </c>
      <c r="AG121" s="178">
        <f t="shared" si="140"/>
        <v>93916</v>
      </c>
      <c r="AH121" s="176">
        <f t="shared" si="140"/>
        <v>70924</v>
      </c>
      <c r="AI121" s="11"/>
      <c r="AJ121" s="46"/>
    </row>
    <row r="122" spans="2:36" ht="5.0999999999999996" customHeight="1">
      <c r="B122" s="140"/>
      <c r="C122" s="179"/>
      <c r="D122" s="179"/>
      <c r="E122" s="179"/>
      <c r="F122" s="179"/>
      <c r="G122" s="175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  <c r="R122" s="179"/>
      <c r="S122" s="179"/>
      <c r="T122" s="179"/>
      <c r="U122" s="179"/>
      <c r="V122" s="179"/>
      <c r="W122" s="175"/>
      <c r="X122" s="179"/>
      <c r="Y122" s="179"/>
      <c r="Z122" s="179"/>
      <c r="AA122" s="179"/>
      <c r="AB122" s="179"/>
      <c r="AC122" s="179"/>
      <c r="AD122" s="179"/>
      <c r="AE122" s="179"/>
      <c r="AF122" s="179"/>
      <c r="AG122" s="179"/>
      <c r="AH122" s="138"/>
      <c r="AI122" s="11"/>
      <c r="AJ122" s="46"/>
    </row>
    <row r="123" spans="2:36">
      <c r="B123" s="134" t="s">
        <v>89</v>
      </c>
      <c r="C123" s="177">
        <v>0</v>
      </c>
      <c r="D123" s="177">
        <v>0</v>
      </c>
      <c r="E123" s="177">
        <v>0</v>
      </c>
      <c r="F123" s="177">
        <v>0</v>
      </c>
      <c r="G123" s="175"/>
      <c r="H123" s="177">
        <v>0</v>
      </c>
      <c r="I123" s="177">
        <v>0</v>
      </c>
      <c r="J123" s="177">
        <v>0</v>
      </c>
      <c r="K123" s="175">
        <f>SUM(D123-SUM(H123:J123))</f>
        <v>0</v>
      </c>
      <c r="L123" s="177">
        <v>0</v>
      </c>
      <c r="M123" s="177">
        <v>0</v>
      </c>
      <c r="N123" s="177">
        <v>0</v>
      </c>
      <c r="O123" s="175">
        <f>SUM(E123-SUM(L123:N123))</f>
        <v>0</v>
      </c>
      <c r="P123" s="177">
        <v>0</v>
      </c>
      <c r="Q123" s="177">
        <v>0</v>
      </c>
      <c r="R123" s="177">
        <v>0</v>
      </c>
      <c r="S123" s="175">
        <f>SUM(I123-SUM(P123:R123))</f>
        <v>0</v>
      </c>
      <c r="T123" s="177">
        <v>0</v>
      </c>
      <c r="U123" s="177">
        <v>0</v>
      </c>
      <c r="V123" s="177">
        <v>0</v>
      </c>
      <c r="W123" s="175"/>
      <c r="X123" s="175">
        <f t="shared" ref="X123:AG123" si="141">SUM(I123:L123)</f>
        <v>0</v>
      </c>
      <c r="Y123" s="175">
        <f t="shared" si="141"/>
        <v>0</v>
      </c>
      <c r="Z123" s="175">
        <f t="shared" si="141"/>
        <v>0</v>
      </c>
      <c r="AA123" s="175">
        <f t="shared" si="141"/>
        <v>0</v>
      </c>
      <c r="AB123" s="175">
        <f t="shared" si="141"/>
        <v>0</v>
      </c>
      <c r="AC123" s="175">
        <f t="shared" si="141"/>
        <v>0</v>
      </c>
      <c r="AD123" s="175">
        <f t="shared" si="141"/>
        <v>0</v>
      </c>
      <c r="AE123" s="175">
        <f t="shared" si="141"/>
        <v>0</v>
      </c>
      <c r="AF123" s="175">
        <f t="shared" si="141"/>
        <v>0</v>
      </c>
      <c r="AG123" s="175">
        <f t="shared" si="141"/>
        <v>0</v>
      </c>
      <c r="AH123" s="137">
        <f>SUM(S123:V123)</f>
        <v>0</v>
      </c>
      <c r="AI123" s="11"/>
      <c r="AJ123" s="46"/>
    </row>
    <row r="124" spans="2:36">
      <c r="B124" s="134" t="s">
        <v>108</v>
      </c>
      <c r="C124" s="177">
        <v>0</v>
      </c>
      <c r="D124" s="177">
        <v>0</v>
      </c>
      <c r="E124" s="177">
        <f>-(209 +144)</f>
        <v>-353</v>
      </c>
      <c r="F124" s="177">
        <f>-(50209 +144)</f>
        <v>-50353</v>
      </c>
      <c r="G124" s="175"/>
      <c r="H124" s="177">
        <v>0</v>
      </c>
      <c r="I124" s="177">
        <v>0</v>
      </c>
      <c r="J124" s="177">
        <v>0</v>
      </c>
      <c r="K124" s="175">
        <f>D124</f>
        <v>0</v>
      </c>
      <c r="L124" s="177">
        <v>0</v>
      </c>
      <c r="M124" s="177">
        <v>0</v>
      </c>
      <c r="N124" s="177">
        <f>-(210 +144 )</f>
        <v>-354</v>
      </c>
      <c r="O124" s="175">
        <f>E124</f>
        <v>-353</v>
      </c>
      <c r="P124" s="177">
        <f>-(209+144)</f>
        <v>-353</v>
      </c>
      <c r="Q124" s="177">
        <f>-(209+144)</f>
        <v>-353</v>
      </c>
      <c r="R124" s="177">
        <f>-(50209+144)</f>
        <v>-50353</v>
      </c>
      <c r="S124" s="175">
        <f>F124</f>
        <v>-50353</v>
      </c>
      <c r="T124" s="177">
        <f>-(50209+144)</f>
        <v>-50353</v>
      </c>
      <c r="U124" s="177">
        <f>-(50209+144)</f>
        <v>-50353</v>
      </c>
      <c r="V124" s="177">
        <f>-(209+144)</f>
        <v>-353</v>
      </c>
      <c r="W124" s="175"/>
      <c r="X124" s="175">
        <f t="shared" ref="X124:AG124" si="142">L124</f>
        <v>0</v>
      </c>
      <c r="Y124" s="175">
        <f t="shared" si="142"/>
        <v>0</v>
      </c>
      <c r="Z124" s="175">
        <f t="shared" si="142"/>
        <v>-354</v>
      </c>
      <c r="AA124" s="175">
        <f t="shared" si="142"/>
        <v>-353</v>
      </c>
      <c r="AB124" s="175">
        <f t="shared" si="142"/>
        <v>-353</v>
      </c>
      <c r="AC124" s="175">
        <f t="shared" si="142"/>
        <v>-353</v>
      </c>
      <c r="AD124" s="175">
        <f t="shared" si="142"/>
        <v>-50353</v>
      </c>
      <c r="AE124" s="175">
        <f t="shared" si="142"/>
        <v>-50353</v>
      </c>
      <c r="AF124" s="175">
        <f t="shared" si="142"/>
        <v>-50353</v>
      </c>
      <c r="AG124" s="175">
        <f t="shared" si="142"/>
        <v>-50353</v>
      </c>
      <c r="AH124" s="137">
        <f>V124</f>
        <v>-353</v>
      </c>
      <c r="AI124" s="11"/>
      <c r="AJ124" s="46"/>
    </row>
    <row r="125" spans="2:36">
      <c r="B125" s="134" t="s">
        <v>63</v>
      </c>
      <c r="C125" s="175">
        <f>+C116+C108+C103</f>
        <v>177573</v>
      </c>
      <c r="D125" s="175">
        <f>+D116+D108+D103</f>
        <v>-67730</v>
      </c>
      <c r="E125" s="175">
        <f>+E116+E108+E103</f>
        <v>-68971</v>
      </c>
      <c r="F125" s="175">
        <f>+F116+F108+F103</f>
        <v>14489</v>
      </c>
      <c r="G125" s="175"/>
      <c r="H125" s="175">
        <f>+H116+H108+H103</f>
        <v>-19280</v>
      </c>
      <c r="I125" s="175">
        <f>+I116+I108+I103</f>
        <v>-17187</v>
      </c>
      <c r="J125" s="175">
        <f>+J116+J108+J103</f>
        <v>-17304</v>
      </c>
      <c r="K125" s="175">
        <f>+K116+K108+K103</f>
        <v>-13959</v>
      </c>
      <c r="L125" s="175">
        <f>+L116+L108+L103</f>
        <v>-20202</v>
      </c>
      <c r="M125" s="175">
        <f>+M116+M108+M103</f>
        <v>-14966</v>
      </c>
      <c r="N125" s="175">
        <f>+N116+N108+N103</f>
        <v>-14264</v>
      </c>
      <c r="O125" s="175">
        <f>+O116+O108+O103</f>
        <v>-19539</v>
      </c>
      <c r="P125" s="175">
        <f>+P116+P108+P103</f>
        <v>35057</v>
      </c>
      <c r="Q125" s="175">
        <f>+Q116+Q108+Q103</f>
        <v>-21942</v>
      </c>
      <c r="R125" s="175">
        <f>+R116+R108+R103</f>
        <v>-22992</v>
      </c>
      <c r="S125" s="175">
        <f>+S116+S108+S103</f>
        <v>24366</v>
      </c>
      <c r="T125" s="175">
        <f>+T116+T108+T103</f>
        <v>17910</v>
      </c>
      <c r="U125" s="175">
        <f>+U116+U108+U103</f>
        <v>-24815</v>
      </c>
      <c r="V125" s="175">
        <f>+V116+V108+V103</f>
        <v>-68544</v>
      </c>
      <c r="W125" s="175"/>
      <c r="X125" s="175">
        <f t="shared" ref="X125:AG125" si="143">SUM(I125:L125)</f>
        <v>-68652</v>
      </c>
      <c r="Y125" s="175">
        <f t="shared" si="143"/>
        <v>-66431</v>
      </c>
      <c r="Z125" s="175">
        <f t="shared" si="143"/>
        <v>-63391</v>
      </c>
      <c r="AA125" s="175">
        <f t="shared" si="143"/>
        <v>-68971</v>
      </c>
      <c r="AB125" s="175">
        <f t="shared" si="143"/>
        <v>-13712</v>
      </c>
      <c r="AC125" s="175">
        <f t="shared" si="143"/>
        <v>-20688</v>
      </c>
      <c r="AD125" s="175">
        <f t="shared" si="143"/>
        <v>-29416</v>
      </c>
      <c r="AE125" s="175">
        <f t="shared" si="143"/>
        <v>14489</v>
      </c>
      <c r="AF125" s="175">
        <f t="shared" si="143"/>
        <v>-2658</v>
      </c>
      <c r="AG125" s="175">
        <f t="shared" si="143"/>
        <v>-5531</v>
      </c>
      <c r="AH125" s="137">
        <f>SUM(S125:V125)</f>
        <v>-51083</v>
      </c>
      <c r="AI125" s="11"/>
      <c r="AJ125" s="46"/>
    </row>
    <row r="126" spans="2:36">
      <c r="B126" s="91" t="s">
        <v>75</v>
      </c>
      <c r="C126" s="87">
        <f t="shared" ref="C126:F126" si="144">SUM(C121:C125)</f>
        <v>217502</v>
      </c>
      <c r="D126" s="87">
        <f t="shared" si="144"/>
        <v>149772</v>
      </c>
      <c r="E126" s="87">
        <f t="shared" si="144"/>
        <v>80448</v>
      </c>
      <c r="F126" s="87">
        <f t="shared" si="144"/>
        <v>44937</v>
      </c>
      <c r="G126" s="175"/>
      <c r="H126" s="87">
        <f t="shared" ref="H126:K126" si="145">SUM(H121:H125)</f>
        <v>198222</v>
      </c>
      <c r="I126" s="87">
        <f t="shared" si="145"/>
        <v>181035</v>
      </c>
      <c r="J126" s="87">
        <f t="shared" si="145"/>
        <v>163731</v>
      </c>
      <c r="K126" s="87">
        <f t="shared" si="145"/>
        <v>149772</v>
      </c>
      <c r="L126" s="87">
        <f t="shared" ref="L126:V126" si="146">SUM(L121:L125)</f>
        <v>129570</v>
      </c>
      <c r="M126" s="87">
        <f t="shared" si="146"/>
        <v>114604</v>
      </c>
      <c r="N126" s="87">
        <f t="shared" si="146"/>
        <v>99986</v>
      </c>
      <c r="O126" s="87">
        <f t="shared" si="146"/>
        <v>80448</v>
      </c>
      <c r="P126" s="87">
        <f t="shared" si="146"/>
        <v>115505</v>
      </c>
      <c r="Q126" s="87">
        <f t="shared" si="146"/>
        <v>93563</v>
      </c>
      <c r="R126" s="87">
        <f t="shared" si="146"/>
        <v>20571</v>
      </c>
      <c r="S126" s="87">
        <f t="shared" si="146"/>
        <v>44937</v>
      </c>
      <c r="T126" s="87">
        <f t="shared" si="146"/>
        <v>62847</v>
      </c>
      <c r="U126" s="87">
        <f t="shared" si="146"/>
        <v>38032</v>
      </c>
      <c r="V126" s="87">
        <f t="shared" si="146"/>
        <v>19488</v>
      </c>
      <c r="W126" s="175"/>
      <c r="X126" s="178">
        <f t="shared" ref="X126:AH126" si="147">SUM(X121:X125)</f>
        <v>129570</v>
      </c>
      <c r="Y126" s="178">
        <f t="shared" si="147"/>
        <v>114604</v>
      </c>
      <c r="Z126" s="178">
        <f t="shared" si="147"/>
        <v>99986</v>
      </c>
      <c r="AA126" s="178">
        <f t="shared" si="147"/>
        <v>80448</v>
      </c>
      <c r="AB126" s="178">
        <f t="shared" si="147"/>
        <v>115505</v>
      </c>
      <c r="AC126" s="178">
        <f t="shared" si="147"/>
        <v>93563</v>
      </c>
      <c r="AD126" s="178">
        <f t="shared" si="147"/>
        <v>20571</v>
      </c>
      <c r="AE126" s="178">
        <f t="shared" si="147"/>
        <v>44937</v>
      </c>
      <c r="AF126" s="178">
        <f t="shared" si="147"/>
        <v>62847</v>
      </c>
      <c r="AG126" s="178">
        <f t="shared" si="147"/>
        <v>38032</v>
      </c>
      <c r="AH126" s="176">
        <f t="shared" si="147"/>
        <v>19488</v>
      </c>
      <c r="AI126" s="11"/>
      <c r="AJ126" s="46"/>
    </row>
    <row r="127" spans="2:36" ht="5.0999999999999996" customHeight="1">
      <c r="B127" s="92"/>
      <c r="C127" s="66"/>
      <c r="D127" s="66"/>
      <c r="E127" s="66"/>
      <c r="F127" s="66"/>
      <c r="G127" s="175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161"/>
      <c r="X127" s="180"/>
      <c r="Y127" s="180"/>
      <c r="Z127" s="180"/>
      <c r="AA127" s="180"/>
      <c r="AB127" s="180"/>
      <c r="AC127" s="180"/>
      <c r="AD127" s="180"/>
      <c r="AE127" s="180"/>
      <c r="AF127" s="180"/>
      <c r="AG127" s="180"/>
      <c r="AH127" s="93"/>
      <c r="AI127" s="11"/>
      <c r="AJ127" s="46"/>
    </row>
    <row r="128" spans="2:36">
      <c r="B128" s="141" t="s">
        <v>98</v>
      </c>
      <c r="C128" s="89">
        <f>ROUND(C126-C45,1)</f>
        <v>0</v>
      </c>
      <c r="D128" s="89">
        <f>ROUND(D126-D45,1)</f>
        <v>0</v>
      </c>
      <c r="E128" s="89">
        <f>ROUND(E126-E45,1)</f>
        <v>0</v>
      </c>
      <c r="F128" s="89">
        <f>ROUND(F126-F45,1)</f>
        <v>0</v>
      </c>
      <c r="G128" s="90"/>
      <c r="H128" s="89">
        <f>ROUND(H126-H45,1)</f>
        <v>0</v>
      </c>
      <c r="I128" s="89">
        <f>ROUND(I126-I45,1)</f>
        <v>0</v>
      </c>
      <c r="J128" s="89">
        <f>ROUND(J126-J45,1)</f>
        <v>0</v>
      </c>
      <c r="K128" s="89">
        <f>ROUND(K126-K45,1)</f>
        <v>0</v>
      </c>
      <c r="L128" s="89">
        <f>ROUND(L126-L45,1)</f>
        <v>0</v>
      </c>
      <c r="M128" s="89">
        <f>ROUND(M126-M45,1)</f>
        <v>0</v>
      </c>
      <c r="N128" s="89">
        <f>ROUND(N126-N45,1)</f>
        <v>0</v>
      </c>
      <c r="O128" s="89">
        <f>ROUND(O126-O45,1)</f>
        <v>0</v>
      </c>
      <c r="P128" s="89">
        <f>ROUND(P126-P45,1)</f>
        <v>0</v>
      </c>
      <c r="Q128" s="89">
        <f>ROUND(Q126-Q45,1)</f>
        <v>0</v>
      </c>
      <c r="R128" s="89">
        <f>ROUND(R126-R45,1)</f>
        <v>0</v>
      </c>
      <c r="S128" s="89">
        <f>ROUND(S126-S45,1)</f>
        <v>0</v>
      </c>
      <c r="T128" s="89">
        <f>ROUND(T126-T45,1)</f>
        <v>0</v>
      </c>
      <c r="U128" s="89">
        <f>ROUND(U126-U45,1)</f>
        <v>0</v>
      </c>
      <c r="V128" s="89">
        <f>ROUND(V126-V45,1)</f>
        <v>0</v>
      </c>
      <c r="W128" s="89"/>
      <c r="X128" s="89">
        <f>X126-X45</f>
        <v>0</v>
      </c>
      <c r="Y128" s="89">
        <f t="shared" ref="Y128:AH128" si="148">Y126-Y45</f>
        <v>0</v>
      </c>
      <c r="Z128" s="89">
        <f t="shared" si="148"/>
        <v>0</v>
      </c>
      <c r="AA128" s="89">
        <f t="shared" si="148"/>
        <v>0</v>
      </c>
      <c r="AB128" s="89">
        <f t="shared" si="148"/>
        <v>0</v>
      </c>
      <c r="AC128" s="89">
        <f t="shared" si="148"/>
        <v>0</v>
      </c>
      <c r="AD128" s="89">
        <f t="shared" si="148"/>
        <v>0</v>
      </c>
      <c r="AE128" s="89">
        <f t="shared" si="148"/>
        <v>0</v>
      </c>
      <c r="AF128" s="89">
        <f t="shared" si="148"/>
        <v>0</v>
      </c>
      <c r="AG128" s="89">
        <f t="shared" si="148"/>
        <v>0</v>
      </c>
      <c r="AH128" s="139">
        <f t="shared" si="148"/>
        <v>0</v>
      </c>
      <c r="AI128" s="11"/>
      <c r="AJ128" s="46"/>
    </row>
    <row r="129" spans="2:36" ht="5.0999999999999996" customHeight="1">
      <c r="B129" s="8"/>
      <c r="C129" s="66"/>
      <c r="D129" s="66"/>
      <c r="E129" s="66"/>
      <c r="F129" s="66"/>
      <c r="G129" s="32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46"/>
    </row>
    <row r="130" spans="2:36" ht="12.75" customHeight="1">
      <c r="B130" s="73" t="s">
        <v>64</v>
      </c>
      <c r="C130" s="63"/>
      <c r="D130" s="63"/>
      <c r="E130" s="63"/>
      <c r="F130" s="63"/>
      <c r="G130" s="11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83"/>
      <c r="U130" s="63"/>
      <c r="V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7"/>
      <c r="AJ130" s="46"/>
    </row>
    <row r="131" spans="2:36" ht="12.75" customHeight="1">
      <c r="B131" s="8" t="s">
        <v>109</v>
      </c>
      <c r="C131" s="83">
        <v>0</v>
      </c>
      <c r="D131" s="83">
        <v>0</v>
      </c>
      <c r="E131" s="83">
        <v>0</v>
      </c>
      <c r="F131" s="83">
        <v>0</v>
      </c>
      <c r="G131" s="11"/>
      <c r="H131" s="83">
        <v>0</v>
      </c>
      <c r="I131" s="83">
        <v>0</v>
      </c>
      <c r="J131" s="83">
        <v>0</v>
      </c>
      <c r="K131" s="32">
        <f t="shared" ref="K131" si="149">SUM(H131:J131)-D131</f>
        <v>0</v>
      </c>
      <c r="L131" s="83">
        <v>0</v>
      </c>
      <c r="M131" s="83">
        <v>0</v>
      </c>
      <c r="N131" s="83">
        <v>0</v>
      </c>
      <c r="O131" s="32">
        <f t="shared" ref="O131" si="150">SUM(L131:N131)-E131</f>
        <v>0</v>
      </c>
      <c r="P131" s="83">
        <v>0</v>
      </c>
      <c r="Q131" s="83">
        <v>0</v>
      </c>
      <c r="R131" s="83">
        <v>0</v>
      </c>
      <c r="S131" s="32">
        <f t="shared" ref="S131" si="151">SUM(F131-SUM(P131:R131))</f>
        <v>0</v>
      </c>
      <c r="T131" s="83">
        <v>0</v>
      </c>
      <c r="U131" s="83">
        <v>0</v>
      </c>
      <c r="V131" s="83">
        <v>0</v>
      </c>
      <c r="X131" s="32">
        <f t="shared" ref="X131:AG132" si="152">SUM(I131:L131)</f>
        <v>0</v>
      </c>
      <c r="Y131" s="32">
        <f t="shared" si="152"/>
        <v>0</v>
      </c>
      <c r="Z131" s="32">
        <f t="shared" si="152"/>
        <v>0</v>
      </c>
      <c r="AA131" s="32">
        <f t="shared" si="152"/>
        <v>0</v>
      </c>
      <c r="AB131" s="32">
        <f t="shared" si="152"/>
        <v>0</v>
      </c>
      <c r="AC131" s="32">
        <f t="shared" si="152"/>
        <v>0</v>
      </c>
      <c r="AD131" s="32">
        <f t="shared" si="152"/>
        <v>0</v>
      </c>
      <c r="AE131" s="32">
        <f t="shared" si="152"/>
        <v>0</v>
      </c>
      <c r="AF131" s="32">
        <f t="shared" si="152"/>
        <v>0</v>
      </c>
      <c r="AG131" s="32">
        <f t="shared" si="152"/>
        <v>0</v>
      </c>
      <c r="AH131" s="32">
        <f>SUM(S131:V131)</f>
        <v>0</v>
      </c>
      <c r="AI131" s="67"/>
      <c r="AJ131" s="46"/>
    </row>
    <row r="132" spans="2:36" ht="12.75" customHeight="1">
      <c r="B132" s="8" t="s">
        <v>110</v>
      </c>
      <c r="C132" s="83">
        <v>1123</v>
      </c>
      <c r="D132" s="83">
        <v>2668</v>
      </c>
      <c r="E132" s="83">
        <v>1613</v>
      </c>
      <c r="F132" s="83">
        <v>0</v>
      </c>
      <c r="G132" s="32"/>
      <c r="H132" s="83">
        <v>563</v>
      </c>
      <c r="I132" s="83">
        <f>1165-H132</f>
        <v>602</v>
      </c>
      <c r="J132" s="83">
        <f>1867-I132-H132</f>
        <v>702</v>
      </c>
      <c r="K132" s="32">
        <f t="shared" ref="K132" si="153">SUM(H132:J132)-D132</f>
        <v>-801</v>
      </c>
      <c r="L132" s="83">
        <v>881</v>
      </c>
      <c r="M132" s="83">
        <f>1613-L132</f>
        <v>732</v>
      </c>
      <c r="N132" s="83">
        <f>1613-M132-L132</f>
        <v>0</v>
      </c>
      <c r="O132" s="32">
        <f t="shared" ref="O132" si="154">SUM(L132:N132)-E132</f>
        <v>0</v>
      </c>
      <c r="P132" s="83">
        <v>0</v>
      </c>
      <c r="Q132" s="83">
        <v>0</v>
      </c>
      <c r="R132" s="83">
        <v>0</v>
      </c>
      <c r="S132" s="32">
        <f t="shared" ref="S132" si="155">SUM(F132-SUM(P132:R132))</f>
        <v>0</v>
      </c>
      <c r="T132" s="83">
        <v>0</v>
      </c>
      <c r="U132" s="83">
        <v>0</v>
      </c>
      <c r="V132" s="83">
        <v>0</v>
      </c>
      <c r="W132" s="32"/>
      <c r="X132" s="32">
        <f t="shared" si="152"/>
        <v>1384</v>
      </c>
      <c r="Y132" s="32">
        <f t="shared" si="152"/>
        <v>1514</v>
      </c>
      <c r="Z132" s="32">
        <f t="shared" si="152"/>
        <v>812</v>
      </c>
      <c r="AA132" s="32">
        <f t="shared" si="152"/>
        <v>1613</v>
      </c>
      <c r="AB132" s="32">
        <f t="shared" si="152"/>
        <v>732</v>
      </c>
      <c r="AC132" s="32">
        <f t="shared" si="152"/>
        <v>0</v>
      </c>
      <c r="AD132" s="32">
        <f t="shared" si="152"/>
        <v>0</v>
      </c>
      <c r="AE132" s="32">
        <f t="shared" si="152"/>
        <v>0</v>
      </c>
      <c r="AF132" s="32">
        <f t="shared" si="152"/>
        <v>0</v>
      </c>
      <c r="AG132" s="32">
        <f t="shared" si="152"/>
        <v>0</v>
      </c>
      <c r="AH132" s="32">
        <f>SUM(S132:V132)</f>
        <v>0</v>
      </c>
      <c r="AI132" s="11"/>
      <c r="AJ132" s="46"/>
    </row>
    <row r="133" spans="2:36" ht="5.0999999999999996" customHeight="1" thickBot="1">
      <c r="B133" s="74"/>
      <c r="C133" s="75"/>
      <c r="D133" s="75"/>
      <c r="E133" s="75"/>
      <c r="F133" s="75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J133" s="46"/>
    </row>
    <row r="134" spans="2:36" ht="12.75" customHeight="1"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33"/>
      <c r="AJ134" s="46"/>
    </row>
    <row r="135" spans="2:36" ht="12.75" customHeight="1">
      <c r="B135" s="54"/>
      <c r="C135" s="68"/>
      <c r="D135" s="68"/>
      <c r="E135" s="68"/>
      <c r="F135" s="68"/>
    </row>
    <row r="136" spans="2:36" ht="12.75" customHeight="1">
      <c r="C136" s="57"/>
      <c r="D136" s="57"/>
      <c r="E136" s="57"/>
      <c r="F136" s="57"/>
    </row>
    <row r="137" spans="2:36" ht="12.75" customHeight="1">
      <c r="C137" s="57"/>
      <c r="D137" s="57"/>
      <c r="E137" s="57"/>
      <c r="F137" s="57"/>
    </row>
    <row r="138" spans="2:36" ht="12.75" customHeight="1">
      <c r="C138" s="57"/>
      <c r="D138" s="57"/>
      <c r="E138" s="57"/>
      <c r="F138" s="57"/>
    </row>
    <row r="139" spans="2:36" ht="12.75" customHeight="1">
      <c r="C139" s="57"/>
      <c r="D139" s="57"/>
      <c r="E139" s="57"/>
      <c r="F139" s="57"/>
    </row>
    <row r="140" spans="2:36" ht="12.75" customHeight="1">
      <c r="C140" s="57"/>
      <c r="D140" s="57"/>
      <c r="E140" s="57"/>
      <c r="F140" s="57"/>
      <c r="H140" s="88"/>
      <c r="I140" s="88"/>
      <c r="J140" s="88"/>
      <c r="K140" s="88"/>
      <c r="L140" s="88"/>
      <c r="M140" s="88"/>
      <c r="N140" s="88"/>
      <c r="O140" s="88"/>
      <c r="P140" s="88"/>
      <c r="Q140" s="88"/>
    </row>
    <row r="141" spans="2:36" ht="12.75" customHeight="1">
      <c r="C141" s="57"/>
      <c r="D141" s="57"/>
      <c r="E141" s="57"/>
      <c r="F141" s="57"/>
    </row>
    <row r="142" spans="2:36" ht="12.75" customHeight="1">
      <c r="C142" s="57"/>
      <c r="D142" s="57"/>
      <c r="E142" s="57"/>
      <c r="F142" s="57"/>
      <c r="H142" s="88"/>
      <c r="I142" s="88"/>
      <c r="J142" s="88"/>
      <c r="K142" s="88"/>
      <c r="L142" s="88"/>
      <c r="M142" s="88"/>
      <c r="N142" s="88"/>
      <c r="O142" s="88"/>
      <c r="P142" s="88"/>
      <c r="Q142" s="88"/>
    </row>
    <row r="143" spans="2:36">
      <c r="H143" s="88"/>
      <c r="I143" s="88"/>
      <c r="J143" s="88"/>
      <c r="K143" s="88"/>
      <c r="L143" s="88"/>
      <c r="M143" s="88"/>
      <c r="N143" s="88"/>
      <c r="O143" s="88"/>
      <c r="P143" s="88"/>
      <c r="Q143" s="88"/>
    </row>
    <row r="144" spans="2:36">
      <c r="H144" s="88"/>
      <c r="I144" s="88"/>
      <c r="J144" s="88"/>
      <c r="K144" s="88"/>
      <c r="L144" s="88"/>
      <c r="M144" s="88"/>
      <c r="N144" s="88"/>
      <c r="O144" s="88"/>
      <c r="P144" s="88"/>
      <c r="Q144" s="88"/>
    </row>
    <row r="146" spans="8:17">
      <c r="H146" s="88"/>
      <c r="I146" s="88"/>
      <c r="J146" s="88"/>
      <c r="K146" s="88"/>
      <c r="L146" s="88"/>
      <c r="M146" s="88"/>
      <c r="N146" s="88"/>
      <c r="O146" s="88"/>
      <c r="P146" s="88"/>
      <c r="Q146" s="88"/>
    </row>
    <row r="147" spans="8:17">
      <c r="H147" s="88"/>
      <c r="I147" s="88"/>
      <c r="J147" s="88"/>
      <c r="K147" s="88"/>
      <c r="L147" s="88"/>
      <c r="M147" s="88"/>
      <c r="N147" s="88"/>
      <c r="O147" s="88"/>
      <c r="P147" s="88"/>
      <c r="Q147" s="88"/>
    </row>
  </sheetData>
  <mergeCells count="5">
    <mergeCell ref="B134:AG134"/>
    <mergeCell ref="AJ6:AJ8"/>
    <mergeCell ref="AJ40:AJ42"/>
    <mergeCell ref="AJ85:AJ87"/>
    <mergeCell ref="B38:AJ38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X20:AC21 X25:AC27" formulaRange="1"/>
    <ignoredError sqref="C15:F16 C20:F21 C25:F27 C29:F31 L31:V31 L25:V27 L29:V30 L19:V21 L15:V16 K17:V18 K15:K16 K22:V24 K19:K21 K29:K30 K28:V28 K25:K27 AD19:AH19 AD15:AF16 AH15:AH16 AD30:AF30 AH30 AF20:AH21 AD29:AH29 AF25:AH27 AJ10:AJ32 B45:W50 B52:W72 B51:F51 H51:W51 AH108:AJ108 AH104:AI105 AI106:AJ106 AH109:AI109 AH110:AJ110 AH103:AJ103 AJ109 AJ104:AJ105 H97:W102 H107:W108 H104:W105 H113:W113 H109:W109 H103:W103 H110:W112 H106:W106 AI45:AJ50 X52:AJ53 X51:AJ51 X98:AJ98 X108:AG108 X104:AG105 AI113:AJ113 X109:AG109 X103:AG103 X110:AG110 X58:AJ60 AI54:AJ57 X66:AJ68 AI61:AJ65 AI69:AJ72 AI111:AJ112 AI107:AJ107 AI99:AJ102 AI97:AJ97" evalError="1"/>
    <ignoredError sqref="H123:S124" formula="1"/>
    <ignoredError sqref="AD25:AE27 AD20:AE21 AG30 AG15:AG16 G51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F14"/>
  <sheetViews>
    <sheetView showGridLines="0" zoomScaleNormal="100" workbookViewId="0">
      <selection activeCell="B4" sqref="B4"/>
    </sheetView>
  </sheetViews>
  <sheetFormatPr defaultRowHeight="12" outlineLevelCol="1"/>
  <cols>
    <col min="1" max="1" width="1.5" style="8" customWidth="1"/>
    <col min="2" max="2" width="46.5" style="8" bestFit="1" customWidth="1"/>
    <col min="3" max="3" width="8.625" style="8" hidden="1" customWidth="1" outlineLevel="1"/>
    <col min="4" max="4" width="8.625" style="8" bestFit="1" customWidth="1" collapsed="1"/>
    <col min="5" max="6" width="8.625" style="8" bestFit="1" customWidth="1"/>
    <col min="7" max="7" width="1.5" style="8" customWidth="1"/>
    <col min="8" max="14" width="8" style="8" hidden="1" customWidth="1" outlineLevel="1"/>
    <col min="15" max="15" width="8.75" style="8" hidden="1" customWidth="1" outlineLevel="1"/>
    <col min="16" max="16" width="8.5" style="8" customWidth="1" collapsed="1"/>
    <col min="17" max="17" width="8.25" style="8" bestFit="1" customWidth="1"/>
    <col min="18" max="18" width="8.5" style="8" bestFit="1" customWidth="1"/>
    <col min="19" max="22" width="9.125" style="8" bestFit="1" customWidth="1"/>
    <col min="23" max="23" width="1.5" style="8" customWidth="1"/>
    <col min="24" max="25" width="8.75" style="8" hidden="1" customWidth="1" outlineLevel="1"/>
    <col min="26" max="26" width="8.75" style="8" bestFit="1" customWidth="1" collapsed="1"/>
    <col min="27" max="29" width="8.75" style="8" hidden="1" customWidth="1" outlineLevel="1"/>
    <col min="30" max="30" width="8.75" style="8" bestFit="1" customWidth="1" collapsed="1"/>
    <col min="31" max="31" width="1.5" style="8" customWidth="1"/>
    <col min="32" max="32" width="9.875" style="8" bestFit="1" customWidth="1"/>
    <col min="33" max="16384" width="9" style="8"/>
  </cols>
  <sheetData>
    <row r="2" spans="1:32" s="5" customFormat="1" ht="12.75" customHeight="1">
      <c r="B2" s="1" t="str">
        <f>'Historical Financials'!B2</f>
        <v>Humacyte Inc (NASDAQ: HUMA)</v>
      </c>
      <c r="C2" s="2"/>
      <c r="D2" s="2" t="s">
        <v>0</v>
      </c>
      <c r="E2" s="2"/>
      <c r="F2" s="2"/>
      <c r="G2" s="3"/>
      <c r="H2" s="2"/>
      <c r="I2" s="2"/>
      <c r="J2" s="2"/>
      <c r="K2" s="2"/>
      <c r="L2" s="2"/>
      <c r="M2" s="2"/>
      <c r="N2" s="2"/>
      <c r="O2" s="2"/>
      <c r="P2" s="2" t="s">
        <v>1</v>
      </c>
      <c r="Q2" s="2" t="s">
        <v>1</v>
      </c>
      <c r="R2" s="2"/>
      <c r="S2" s="2"/>
      <c r="T2" s="2"/>
      <c r="U2" s="2"/>
      <c r="V2" s="2"/>
      <c r="W2" s="3"/>
      <c r="X2" s="2" t="s">
        <v>10</v>
      </c>
      <c r="Y2" s="2"/>
      <c r="Z2" s="2" t="s">
        <v>10</v>
      </c>
      <c r="AA2" s="2"/>
      <c r="AB2" s="2"/>
      <c r="AC2" s="2"/>
      <c r="AD2" s="2"/>
      <c r="AE2" s="3"/>
      <c r="AF2" s="149" t="s">
        <v>24</v>
      </c>
    </row>
    <row r="3" spans="1:32" s="5" customFormat="1" ht="12.75" customHeight="1">
      <c r="B3" s="6" t="s">
        <v>70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7" t="str">
        <f>'Historical Financials'!T7</f>
        <v>1Q25</v>
      </c>
      <c r="U3" s="7" t="str">
        <f>'Historical Financials'!U7</f>
        <v>2Q25</v>
      </c>
      <c r="V3" s="7" t="str">
        <f>'Historical Financials'!V7</f>
        <v>3Q25</v>
      </c>
      <c r="W3" s="4"/>
      <c r="X3" s="4" t="str">
        <f t="shared" ref="X3:AD4" si="0">P3</f>
        <v>1Q24</v>
      </c>
      <c r="Y3" s="4" t="str">
        <f t="shared" si="0"/>
        <v>2Q24</v>
      </c>
      <c r="Z3" s="4" t="str">
        <f t="shared" si="0"/>
        <v>3Q24</v>
      </c>
      <c r="AA3" s="4" t="str">
        <f t="shared" si="0"/>
        <v>4Q24</v>
      </c>
      <c r="AB3" s="4" t="str">
        <f t="shared" si="0"/>
        <v>1Q25</v>
      </c>
      <c r="AC3" s="4" t="str">
        <f t="shared" si="0"/>
        <v>2Q25</v>
      </c>
      <c r="AD3" s="4" t="str">
        <f t="shared" si="0"/>
        <v>3Q25</v>
      </c>
      <c r="AE3" s="3"/>
      <c r="AF3" s="149"/>
    </row>
    <row r="4" spans="1:32" s="5" customFormat="1" ht="12.75" customHeight="1">
      <c r="B4" s="168" t="s">
        <v>176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>
        <f>'Historical Financials'!T8</f>
        <v>45747</v>
      </c>
      <c r="U4" s="3">
        <f>'Historical Financials'!U8</f>
        <v>45838</v>
      </c>
      <c r="V4" s="3">
        <f>'Historical Financials'!V8</f>
        <v>45930</v>
      </c>
      <c r="W4" s="3"/>
      <c r="X4" s="3">
        <f t="shared" si="0"/>
        <v>45382</v>
      </c>
      <c r="Y4" s="3">
        <f t="shared" si="0"/>
        <v>45473</v>
      </c>
      <c r="Z4" s="3">
        <f t="shared" si="0"/>
        <v>45565</v>
      </c>
      <c r="AA4" s="3">
        <f t="shared" si="0"/>
        <v>45657</v>
      </c>
      <c r="AB4" s="3">
        <f t="shared" si="0"/>
        <v>45747</v>
      </c>
      <c r="AC4" s="3">
        <f t="shared" si="0"/>
        <v>45838</v>
      </c>
      <c r="AD4" s="3">
        <f t="shared" si="0"/>
        <v>45930</v>
      </c>
      <c r="AE4" s="3"/>
      <c r="AF4" s="149"/>
    </row>
    <row r="5" spans="1:32" ht="5.0999999999999996" customHeight="1"/>
    <row r="6" spans="1:32">
      <c r="A6" s="36" t="s">
        <v>18</v>
      </c>
      <c r="B6" s="1" t="s">
        <v>94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5.0999999999999996" customHeight="1"/>
    <row r="8" spans="1:32" ht="12.75" customHeight="1">
      <c r="A8" s="81"/>
      <c r="B8" s="79" t="s">
        <v>93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5"/>
      <c r="X8" s="11"/>
      <c r="Y8" s="11"/>
      <c r="Z8" s="11"/>
      <c r="AA8" s="11"/>
      <c r="AB8" s="11"/>
      <c r="AC8" s="11"/>
      <c r="AF8" s="12"/>
    </row>
    <row r="9" spans="1:32" ht="12.75" customHeight="1">
      <c r="B9" s="9" t="s">
        <v>118</v>
      </c>
      <c r="C9" s="82">
        <v>0</v>
      </c>
      <c r="D9" s="82">
        <v>0</v>
      </c>
      <c r="E9" s="82">
        <v>0</v>
      </c>
      <c r="F9" s="82">
        <v>0</v>
      </c>
      <c r="G9" s="82"/>
      <c r="H9" s="83">
        <v>0</v>
      </c>
      <c r="I9" s="83">
        <v>0</v>
      </c>
      <c r="J9" s="83">
        <v>0</v>
      </c>
      <c r="K9" s="32">
        <f>SUM(D9-SUM(H9:J9))</f>
        <v>0</v>
      </c>
      <c r="L9" s="83">
        <v>0</v>
      </c>
      <c r="M9" s="83">
        <v>0</v>
      </c>
      <c r="N9" s="83">
        <v>0</v>
      </c>
      <c r="O9" s="32">
        <f>SUM(E9-SUM(L9:N9))</f>
        <v>0</v>
      </c>
      <c r="P9" s="83">
        <v>0</v>
      </c>
      <c r="Q9" s="83">
        <v>0</v>
      </c>
      <c r="R9" s="83">
        <v>0</v>
      </c>
      <c r="S9" s="32">
        <f>SUM(F9-SUM(P9:R9))</f>
        <v>0</v>
      </c>
      <c r="T9" s="83">
        <v>147</v>
      </c>
      <c r="U9" s="83">
        <v>100</v>
      </c>
      <c r="V9" s="82">
        <v>703</v>
      </c>
      <c r="W9" s="11"/>
      <c r="X9" s="127">
        <f t="shared" ref="X9:AD11" si="1">SUM(M9:P9)</f>
        <v>0</v>
      </c>
      <c r="Y9" s="127">
        <f t="shared" si="1"/>
        <v>0</v>
      </c>
      <c r="Z9" s="127">
        <f t="shared" si="1"/>
        <v>0</v>
      </c>
      <c r="AA9" s="127">
        <f t="shared" si="1"/>
        <v>0</v>
      </c>
      <c r="AB9" s="127">
        <f t="shared" si="1"/>
        <v>147</v>
      </c>
      <c r="AC9" s="127">
        <f t="shared" si="1"/>
        <v>247</v>
      </c>
      <c r="AD9" s="127">
        <f t="shared" si="1"/>
        <v>950</v>
      </c>
      <c r="AF9" s="12" t="e">
        <f t="shared" ref="AF9:AF12" si="2">SUM(AD9/Z9)-1</f>
        <v>#DIV/0!</v>
      </c>
    </row>
    <row r="10" spans="1:32" ht="12.75" customHeight="1">
      <c r="B10" s="9" t="s">
        <v>119</v>
      </c>
      <c r="C10" s="82">
        <v>0</v>
      </c>
      <c r="D10" s="82">
        <v>0</v>
      </c>
      <c r="E10" s="82">
        <v>0</v>
      </c>
      <c r="F10" s="82">
        <v>0</v>
      </c>
      <c r="G10" s="82"/>
      <c r="H10" s="83">
        <v>0</v>
      </c>
      <c r="I10" s="83">
        <v>0</v>
      </c>
      <c r="J10" s="83">
        <v>0</v>
      </c>
      <c r="K10" s="32">
        <f>SUM(D10-SUM(H10:J10))</f>
        <v>0</v>
      </c>
      <c r="L10" s="83">
        <v>0</v>
      </c>
      <c r="M10" s="83">
        <v>0</v>
      </c>
      <c r="N10" s="83">
        <v>0</v>
      </c>
      <c r="O10" s="32">
        <f>SUM(E10-SUM(L10:N10))</f>
        <v>0</v>
      </c>
      <c r="P10" s="83">
        <v>0</v>
      </c>
      <c r="Q10" s="83">
        <v>0</v>
      </c>
      <c r="R10" s="83">
        <v>0</v>
      </c>
      <c r="S10" s="32">
        <f>SUM(F10-SUM(P10:R10))</f>
        <v>0</v>
      </c>
      <c r="T10" s="83">
        <v>370</v>
      </c>
      <c r="U10" s="83">
        <v>201</v>
      </c>
      <c r="V10" s="82">
        <v>50</v>
      </c>
      <c r="W10" s="11"/>
      <c r="X10" s="127">
        <f t="shared" si="1"/>
        <v>0</v>
      </c>
      <c r="Y10" s="127">
        <f t="shared" si="1"/>
        <v>0</v>
      </c>
      <c r="Z10" s="127">
        <f t="shared" si="1"/>
        <v>0</v>
      </c>
      <c r="AA10" s="127">
        <f t="shared" si="1"/>
        <v>0</v>
      </c>
      <c r="AB10" s="127">
        <f t="shared" si="1"/>
        <v>370</v>
      </c>
      <c r="AC10" s="127">
        <f t="shared" si="1"/>
        <v>571</v>
      </c>
      <c r="AD10" s="127">
        <f t="shared" si="1"/>
        <v>621</v>
      </c>
      <c r="AF10" s="12" t="e">
        <f t="shared" si="2"/>
        <v>#DIV/0!</v>
      </c>
    </row>
    <row r="11" spans="1:32" ht="12.75" customHeight="1">
      <c r="B11" s="9" t="s">
        <v>120</v>
      </c>
      <c r="C11" s="82">
        <v>1263</v>
      </c>
      <c r="D11" s="82">
        <v>1565</v>
      </c>
      <c r="E11" s="82">
        <v>0</v>
      </c>
      <c r="F11" s="82">
        <v>0</v>
      </c>
      <c r="G11" s="82"/>
      <c r="H11" s="83">
        <v>233</v>
      </c>
      <c r="I11" s="83">
        <v>1301</v>
      </c>
      <c r="J11" s="83">
        <v>31</v>
      </c>
      <c r="K11" s="32">
        <f>SUM(D11-SUM(H11:J11))</f>
        <v>0</v>
      </c>
      <c r="L11" s="83">
        <v>0</v>
      </c>
      <c r="M11" s="83">
        <v>0</v>
      </c>
      <c r="N11" s="83">
        <v>0</v>
      </c>
      <c r="O11" s="32">
        <f>SUM(E11-SUM(L11:N11))</f>
        <v>0</v>
      </c>
      <c r="P11" s="83">
        <v>0</v>
      </c>
      <c r="Q11" s="83">
        <v>0</v>
      </c>
      <c r="R11" s="83">
        <v>0</v>
      </c>
      <c r="S11" s="32">
        <f>SUM(F11-SUM(P11:R11))</f>
        <v>0</v>
      </c>
      <c r="T11" s="83">
        <v>0</v>
      </c>
      <c r="U11" s="83">
        <v>0</v>
      </c>
      <c r="V11" s="82">
        <v>0</v>
      </c>
      <c r="W11" s="11"/>
      <c r="X11" s="127">
        <f t="shared" si="1"/>
        <v>0</v>
      </c>
      <c r="Y11" s="127">
        <f t="shared" si="1"/>
        <v>0</v>
      </c>
      <c r="Z11" s="127">
        <f t="shared" si="1"/>
        <v>0</v>
      </c>
      <c r="AA11" s="127">
        <f t="shared" si="1"/>
        <v>0</v>
      </c>
      <c r="AB11" s="127">
        <f t="shared" si="1"/>
        <v>0</v>
      </c>
      <c r="AC11" s="127">
        <f t="shared" si="1"/>
        <v>0</v>
      </c>
      <c r="AD11" s="127">
        <f t="shared" si="1"/>
        <v>0</v>
      </c>
      <c r="AF11" s="12" t="e">
        <f t="shared" si="2"/>
        <v>#DIV/0!</v>
      </c>
    </row>
    <row r="12" spans="1:32" ht="12.75" customHeight="1">
      <c r="B12" s="13" t="s">
        <v>71</v>
      </c>
      <c r="C12" s="14">
        <f>SUM(C9:C11)</f>
        <v>1263</v>
      </c>
      <c r="D12" s="14">
        <f>SUM(D9:D11)</f>
        <v>1565</v>
      </c>
      <c r="E12" s="14">
        <f>SUM(E9:E11)</f>
        <v>0</v>
      </c>
      <c r="F12" s="14">
        <f>SUM(F9:F11)</f>
        <v>0</v>
      </c>
      <c r="G12" s="11"/>
      <c r="H12" s="14">
        <f t="shared" ref="H12:K12" si="3">SUM(H9:H11)</f>
        <v>233</v>
      </c>
      <c r="I12" s="14">
        <f t="shared" si="3"/>
        <v>1301</v>
      </c>
      <c r="J12" s="14">
        <f t="shared" si="3"/>
        <v>31</v>
      </c>
      <c r="K12" s="14">
        <f t="shared" si="3"/>
        <v>0</v>
      </c>
      <c r="L12" s="14">
        <f>SUM(L9:L11)</f>
        <v>0</v>
      </c>
      <c r="M12" s="14">
        <f>SUM(M9:M11)</f>
        <v>0</v>
      </c>
      <c r="N12" s="14">
        <f>SUM(N9:N11)</f>
        <v>0</v>
      </c>
      <c r="O12" s="14">
        <f>SUM(O9:O11)</f>
        <v>0</v>
      </c>
      <c r="P12" s="14">
        <f>SUM(P9:P11)</f>
        <v>0</v>
      </c>
      <c r="Q12" s="14">
        <f>SUM(Q9:Q11)</f>
        <v>0</v>
      </c>
      <c r="R12" s="14">
        <f>SUM(R9:R11)</f>
        <v>0</v>
      </c>
      <c r="S12" s="14">
        <f>SUM(S9:S11)</f>
        <v>0</v>
      </c>
      <c r="T12" s="14">
        <f>SUM(T9:T11)</f>
        <v>517</v>
      </c>
      <c r="U12" s="14">
        <f>SUM(U9:U11)</f>
        <v>301</v>
      </c>
      <c r="V12" s="14">
        <f>SUM(V9:V11)</f>
        <v>753</v>
      </c>
      <c r="W12" s="5"/>
      <c r="X12" s="14">
        <f>SUM(X9:X11)</f>
        <v>0</v>
      </c>
      <c r="Y12" s="14">
        <f>SUM(Y9:Y11)</f>
        <v>0</v>
      </c>
      <c r="Z12" s="14">
        <f>SUM(Z9:Z11)</f>
        <v>0</v>
      </c>
      <c r="AA12" s="14">
        <f>SUM(AA9:AA11)</f>
        <v>0</v>
      </c>
      <c r="AB12" s="14">
        <f>SUM(AB9:AB11)</f>
        <v>517</v>
      </c>
      <c r="AC12" s="14">
        <f>SUM(AC9:AC11)</f>
        <v>818</v>
      </c>
      <c r="AD12" s="14">
        <f>SUM(AD9:AD11)</f>
        <v>1571</v>
      </c>
      <c r="AF12" s="15" t="e">
        <f t="shared" si="2"/>
        <v>#DIV/0!</v>
      </c>
    </row>
    <row r="13" spans="1:32">
      <c r="B13" s="135" t="s">
        <v>95</v>
      </c>
      <c r="C13" s="80">
        <f>+C12-'Historical Financials'!C11</f>
        <v>0</v>
      </c>
      <c r="D13" s="80">
        <f>+D12-'Historical Financials'!D11</f>
        <v>0</v>
      </c>
      <c r="E13" s="80">
        <f>+E12-'Historical Financials'!E11</f>
        <v>0</v>
      </c>
      <c r="F13" s="80">
        <f>+F12-'Historical Financials'!F11</f>
        <v>0</v>
      </c>
      <c r="G13" s="11"/>
      <c r="H13" s="80">
        <f>H12-'Historical Financials'!H11</f>
        <v>0</v>
      </c>
      <c r="I13" s="80">
        <f>I12-'Historical Financials'!I11</f>
        <v>0</v>
      </c>
      <c r="J13" s="80">
        <f>J12-'Historical Financials'!J11</f>
        <v>0</v>
      </c>
      <c r="K13" s="80">
        <f>K12-'Historical Financials'!K11</f>
        <v>0</v>
      </c>
      <c r="L13" s="80">
        <f>L12-'Historical Financials'!L11</f>
        <v>0</v>
      </c>
      <c r="M13" s="80">
        <f>M12-'Historical Financials'!M11</f>
        <v>0</v>
      </c>
      <c r="N13" s="80">
        <f>N12-'Historical Financials'!N11</f>
        <v>0</v>
      </c>
      <c r="O13" s="80">
        <f>O12-'Historical Financials'!O11</f>
        <v>0</v>
      </c>
      <c r="P13" s="80">
        <f>P12-'Historical Financials'!P11</f>
        <v>0</v>
      </c>
      <c r="Q13" s="80">
        <f>Q12-'Historical Financials'!Q11</f>
        <v>0</v>
      </c>
      <c r="R13" s="80">
        <f>R12-'Historical Financials'!R11</f>
        <v>0</v>
      </c>
      <c r="S13" s="80">
        <f>S12-'Historical Financials'!S11</f>
        <v>0</v>
      </c>
      <c r="T13" s="80">
        <f>T12-'Historical Financials'!T11</f>
        <v>0</v>
      </c>
      <c r="U13" s="80">
        <f>U12-'Historical Financials'!U11</f>
        <v>0</v>
      </c>
      <c r="V13" s="80">
        <f>V12-'Historical Financials'!V11</f>
        <v>0</v>
      </c>
      <c r="W13" s="80"/>
      <c r="X13" s="80">
        <f>+X12-'Historical Financials'!AB11</f>
        <v>0</v>
      </c>
      <c r="Y13" s="80">
        <f>+Y12-'Historical Financials'!AC11</f>
        <v>0</v>
      </c>
      <c r="Z13" s="80">
        <f>+Z12-'Historical Financials'!AD11</f>
        <v>0</v>
      </c>
      <c r="AA13" s="80">
        <f>+AA12-'Historical Financials'!AE11</f>
        <v>0</v>
      </c>
      <c r="AB13" s="80">
        <f>+AB12-'Historical Financials'!AF11</f>
        <v>0</v>
      </c>
      <c r="AC13" s="80">
        <f>+AC12-'Historical Financials'!AG11</f>
        <v>0</v>
      </c>
      <c r="AD13" s="80">
        <f>AD12-'Historical Financials'!AH11</f>
        <v>0</v>
      </c>
    </row>
    <row r="14" spans="1:32" ht="5.0999999999999996" customHeight="1">
      <c r="B14" s="18"/>
      <c r="C14" s="19"/>
      <c r="D14" s="19"/>
      <c r="E14" s="19"/>
      <c r="F14" s="19"/>
      <c r="G14" s="20"/>
      <c r="H14" s="21"/>
      <c r="I14" s="21"/>
      <c r="J14" s="21"/>
      <c r="K14" s="21"/>
      <c r="L14" s="21"/>
      <c r="M14" s="21"/>
      <c r="N14" s="21"/>
      <c r="O14" s="22"/>
      <c r="P14" s="21"/>
      <c r="Q14" s="21"/>
      <c r="R14" s="21"/>
      <c r="S14" s="21"/>
      <c r="T14" s="21"/>
      <c r="U14" s="21"/>
      <c r="V14" s="21"/>
      <c r="W14" s="20"/>
      <c r="X14" s="20"/>
      <c r="Y14" s="20"/>
      <c r="Z14" s="20"/>
      <c r="AA14" s="20"/>
      <c r="AB14" s="20"/>
      <c r="AC14" s="20"/>
      <c r="AD14" s="20"/>
    </row>
  </sheetData>
  <mergeCells count="1">
    <mergeCell ref="AF2:AF4"/>
  </mergeCells>
  <pageMargins left="0.7" right="0.7" top="0.75" bottom="0.75" header="0.3" footer="0.3"/>
  <ignoredErrors>
    <ignoredError sqref="AF9:AF1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J79"/>
  <sheetViews>
    <sheetView showGridLines="0" topLeftCell="G1" zoomScaleNormal="100" workbookViewId="0">
      <selection activeCell="Z14" sqref="Z14"/>
    </sheetView>
  </sheetViews>
  <sheetFormatPr defaultRowHeight="12" outlineLevelCol="1"/>
  <cols>
    <col min="1" max="1" width="1.5" style="8" customWidth="1"/>
    <col min="2" max="2" width="41.625" style="8" customWidth="1"/>
    <col min="3" max="3" width="8.625" style="8" customWidth="1" outlineLevel="1"/>
    <col min="4" max="4" width="9" style="8" bestFit="1" customWidth="1"/>
    <col min="5" max="5" width="9.25" style="8" bestFit="1" customWidth="1"/>
    <col min="6" max="6" width="9" style="8"/>
    <col min="7" max="7" width="1.5" style="8" customWidth="1"/>
    <col min="8" max="13" width="8" style="8" hidden="1" customWidth="1" outlineLevel="1"/>
    <col min="14" max="17" width="8.875" style="8" hidden="1" customWidth="1" outlineLevel="1"/>
    <col min="18" max="18" width="8.875" style="8" bestFit="1" customWidth="1" collapsed="1"/>
    <col min="19" max="22" width="8.875" style="8" bestFit="1" customWidth="1"/>
    <col min="23" max="23" width="1.625" style="8" customWidth="1"/>
    <col min="24" max="24" width="8.5" style="8" hidden="1" customWidth="1" outlineLevel="1"/>
    <col min="25" max="25" width="9.125" style="8" hidden="1" customWidth="1" outlineLevel="1"/>
    <col min="26" max="26" width="8.25" style="8" hidden="1" customWidth="1" outlineLevel="1"/>
    <col min="27" max="27" width="9.25" style="8" hidden="1" customWidth="1" outlineLevel="1"/>
    <col min="28" max="28" width="9.75" style="8" hidden="1" customWidth="1" outlineLevel="1"/>
    <col min="29" max="29" width="9" style="8" hidden="1" customWidth="1" outlineLevel="1"/>
    <col min="30" max="30" width="9" style="8" customWidth="1" collapsed="1"/>
    <col min="31" max="32" width="9" style="8" hidden="1" customWidth="1" outlineLevel="1"/>
    <col min="33" max="33" width="8.5" style="8" hidden="1" customWidth="1" outlineLevel="1"/>
    <col min="34" max="34" width="8.5" style="8" bestFit="1" customWidth="1" collapsed="1"/>
    <col min="35" max="35" width="1.5" style="8" customWidth="1"/>
    <col min="36" max="36" width="9.375" style="132" bestFit="1" customWidth="1"/>
    <col min="37" max="16384" width="9" style="8"/>
  </cols>
  <sheetData>
    <row r="2" spans="2:36" s="5" customFormat="1" ht="12.75" customHeight="1">
      <c r="B2" s="1" t="str">
        <f>'Historical Financials'!B2</f>
        <v>Humacyte Inc (NASDAQ: HUMA)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/>
      <c r="O2" s="2"/>
      <c r="P2" s="2"/>
      <c r="Q2" s="2"/>
      <c r="R2" s="2" t="s">
        <v>1</v>
      </c>
      <c r="S2" s="2"/>
      <c r="T2" s="2"/>
      <c r="U2" s="2"/>
      <c r="V2" s="2"/>
      <c r="W2" s="3"/>
      <c r="X2" s="2"/>
      <c r="Y2" s="2"/>
      <c r="Z2" s="2"/>
      <c r="AA2" s="2"/>
      <c r="AB2" s="2"/>
      <c r="AC2" s="2" t="s">
        <v>10</v>
      </c>
      <c r="AD2" s="2" t="s">
        <v>10</v>
      </c>
      <c r="AE2" s="2"/>
      <c r="AF2" s="2"/>
      <c r="AG2" s="2"/>
      <c r="AH2" s="2"/>
      <c r="AI2" s="3"/>
      <c r="AJ2" s="152" t="s">
        <v>24</v>
      </c>
    </row>
    <row r="3" spans="2:36" s="5" customFormat="1" ht="12.75" customHeight="1">
      <c r="B3" s="6" t="s">
        <v>25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7" t="str">
        <f>'Historical Financials'!T7</f>
        <v>1Q25</v>
      </c>
      <c r="U3" s="7" t="str">
        <f>'Historical Financials'!U7</f>
        <v>2Q25</v>
      </c>
      <c r="V3" s="7" t="str">
        <f>'Historical Financials'!V7</f>
        <v>3Q25</v>
      </c>
      <c r="W3" s="3"/>
      <c r="X3" s="4" t="str">
        <f>L3</f>
        <v>1Q23</v>
      </c>
      <c r="Y3" s="4" t="str">
        <f>M3</f>
        <v>2Q23</v>
      </c>
      <c r="Z3" s="4" t="str">
        <f>N3</f>
        <v>3Q23</v>
      </c>
      <c r="AA3" s="4" t="str">
        <f>O3</f>
        <v>4Q23</v>
      </c>
      <c r="AB3" s="4" t="str">
        <f>P3</f>
        <v>1Q24</v>
      </c>
      <c r="AC3" s="4" t="str">
        <f>Q3</f>
        <v>2Q24</v>
      </c>
      <c r="AD3" s="4" t="str">
        <f>R3</f>
        <v>3Q24</v>
      </c>
      <c r="AE3" s="4" t="str">
        <f>S3</f>
        <v>4Q24</v>
      </c>
      <c r="AF3" s="4" t="str">
        <f>T3</f>
        <v>1Q25</v>
      </c>
      <c r="AG3" s="4" t="str">
        <f>U3</f>
        <v>2Q25</v>
      </c>
      <c r="AH3" s="4" t="str">
        <f>V3</f>
        <v>3Q25</v>
      </c>
      <c r="AI3" s="3"/>
      <c r="AJ3" s="152"/>
    </row>
    <row r="4" spans="2:36" s="5" customFormat="1" ht="12.75" customHeight="1">
      <c r="B4" s="168" t="s">
        <v>176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>
        <f>'Historical Financials'!T8</f>
        <v>45747</v>
      </c>
      <c r="U4" s="3">
        <f>'Historical Financials'!U8</f>
        <v>45838</v>
      </c>
      <c r="V4" s="3">
        <f>'Historical Financials'!V8</f>
        <v>45930</v>
      </c>
      <c r="W4" s="3"/>
      <c r="X4" s="3">
        <f>L4</f>
        <v>45016</v>
      </c>
      <c r="Y4" s="3">
        <f>M4</f>
        <v>45107</v>
      </c>
      <c r="Z4" s="3">
        <f>N4</f>
        <v>45199</v>
      </c>
      <c r="AA4" s="3">
        <f>O4</f>
        <v>45291</v>
      </c>
      <c r="AB4" s="3">
        <f>P4</f>
        <v>45382</v>
      </c>
      <c r="AC4" s="3">
        <f>Q4</f>
        <v>45473</v>
      </c>
      <c r="AD4" s="3">
        <f>R4</f>
        <v>45565</v>
      </c>
      <c r="AE4" s="3">
        <f>S4</f>
        <v>45657</v>
      </c>
      <c r="AF4" s="3">
        <f>T4</f>
        <v>45747</v>
      </c>
      <c r="AG4" s="3">
        <f>U4</f>
        <v>45838</v>
      </c>
      <c r="AH4" s="3">
        <f>V4</f>
        <v>45930</v>
      </c>
      <c r="AI4" s="3"/>
      <c r="AJ4" s="152"/>
    </row>
    <row r="5" spans="2:36" ht="5.0999999999999996" customHeight="1">
      <c r="AJ5" s="128"/>
    </row>
    <row r="6" spans="2:36" ht="12.75" customHeight="1">
      <c r="B6" s="9" t="str">
        <f>'Revenue Drivers'!B9</f>
        <v>Product Revenue</v>
      </c>
      <c r="C6" s="96">
        <f>'Revenue Drivers'!C9</f>
        <v>0</v>
      </c>
      <c r="D6" s="96">
        <f>'Revenue Drivers'!D9</f>
        <v>0</v>
      </c>
      <c r="E6" s="96">
        <f>'Revenue Drivers'!E9</f>
        <v>0</v>
      </c>
      <c r="F6" s="96">
        <f>'Revenue Drivers'!F9</f>
        <v>0</v>
      </c>
      <c r="G6" s="10"/>
      <c r="H6" s="96">
        <f>'Revenue Drivers'!H9</f>
        <v>0</v>
      </c>
      <c r="I6" s="96">
        <f>'Revenue Drivers'!I9</f>
        <v>0</v>
      </c>
      <c r="J6" s="96">
        <f>'Revenue Drivers'!J9</f>
        <v>0</v>
      </c>
      <c r="K6" s="96">
        <f>'Revenue Drivers'!K9</f>
        <v>0</v>
      </c>
      <c r="L6" s="96">
        <f>'Revenue Drivers'!L9</f>
        <v>0</v>
      </c>
      <c r="M6" s="96">
        <f>'Revenue Drivers'!M9</f>
        <v>0</v>
      </c>
      <c r="N6" s="96">
        <f>'Revenue Drivers'!N9</f>
        <v>0</v>
      </c>
      <c r="O6" s="96">
        <f>'Revenue Drivers'!O9</f>
        <v>0</v>
      </c>
      <c r="P6" s="96">
        <f>'Revenue Drivers'!P9</f>
        <v>0</v>
      </c>
      <c r="Q6" s="96">
        <f>'Revenue Drivers'!Q9</f>
        <v>0</v>
      </c>
      <c r="R6" s="96">
        <f>'Revenue Drivers'!R9</f>
        <v>0</v>
      </c>
      <c r="S6" s="96">
        <f>'Revenue Drivers'!S9</f>
        <v>0</v>
      </c>
      <c r="T6" s="96">
        <f>'Revenue Drivers'!T9</f>
        <v>147</v>
      </c>
      <c r="U6" s="96">
        <f>'Revenue Drivers'!U9</f>
        <v>100</v>
      </c>
      <c r="V6" s="96">
        <f>'Revenue Drivers'!V9</f>
        <v>703</v>
      </c>
      <c r="W6" s="5"/>
      <c r="X6" s="145">
        <f t="shared" ref="X6:AG8" si="0">SUM(I6:L6)</f>
        <v>0</v>
      </c>
      <c r="Y6" s="145">
        <f t="shared" si="0"/>
        <v>0</v>
      </c>
      <c r="Z6" s="145">
        <f t="shared" si="0"/>
        <v>0</v>
      </c>
      <c r="AA6" s="145">
        <f t="shared" si="0"/>
        <v>0</v>
      </c>
      <c r="AB6" s="145">
        <f t="shared" si="0"/>
        <v>0</v>
      </c>
      <c r="AC6" s="145">
        <f t="shared" si="0"/>
        <v>0</v>
      </c>
      <c r="AD6" s="145">
        <f t="shared" si="0"/>
        <v>0</v>
      </c>
      <c r="AE6" s="145">
        <f t="shared" si="0"/>
        <v>0</v>
      </c>
      <c r="AF6" s="145">
        <f t="shared" si="0"/>
        <v>147</v>
      </c>
      <c r="AG6" s="145">
        <f t="shared" si="0"/>
        <v>247</v>
      </c>
      <c r="AH6" s="145">
        <f>SUM(S6:V6)</f>
        <v>950</v>
      </c>
      <c r="AJ6" s="129" t="e">
        <f t="shared" ref="AJ6:AJ9" si="1">SUM(AH6/AD6)-1</f>
        <v>#DIV/0!</v>
      </c>
    </row>
    <row r="7" spans="2:36" ht="12.75" customHeight="1">
      <c r="B7" s="9" t="str">
        <f>'Revenue Drivers'!B10</f>
        <v>Contract Revenue</v>
      </c>
      <c r="C7" s="96">
        <f>'Revenue Drivers'!C10</f>
        <v>0</v>
      </c>
      <c r="D7" s="96">
        <f>'Revenue Drivers'!D10</f>
        <v>0</v>
      </c>
      <c r="E7" s="96">
        <f>'Revenue Drivers'!E10</f>
        <v>0</v>
      </c>
      <c r="F7" s="96">
        <f>'Revenue Drivers'!F10</f>
        <v>0</v>
      </c>
      <c r="G7" s="10"/>
      <c r="H7" s="96">
        <f>'Revenue Drivers'!H10</f>
        <v>0</v>
      </c>
      <c r="I7" s="96">
        <f>'Revenue Drivers'!I10</f>
        <v>0</v>
      </c>
      <c r="J7" s="96">
        <f>'Revenue Drivers'!J10</f>
        <v>0</v>
      </c>
      <c r="K7" s="96">
        <f>'Revenue Drivers'!K10</f>
        <v>0</v>
      </c>
      <c r="L7" s="96">
        <f>'Revenue Drivers'!L10</f>
        <v>0</v>
      </c>
      <c r="M7" s="96">
        <f>'Revenue Drivers'!M10</f>
        <v>0</v>
      </c>
      <c r="N7" s="96">
        <f>'Revenue Drivers'!N10</f>
        <v>0</v>
      </c>
      <c r="O7" s="96">
        <f>'Revenue Drivers'!O10</f>
        <v>0</v>
      </c>
      <c r="P7" s="96">
        <f>'Revenue Drivers'!P10</f>
        <v>0</v>
      </c>
      <c r="Q7" s="96">
        <f>'Revenue Drivers'!Q10</f>
        <v>0</v>
      </c>
      <c r="R7" s="96">
        <f>'Revenue Drivers'!R10</f>
        <v>0</v>
      </c>
      <c r="S7" s="96">
        <f>'Revenue Drivers'!S10</f>
        <v>0</v>
      </c>
      <c r="T7" s="96">
        <f>'Revenue Drivers'!T10</f>
        <v>370</v>
      </c>
      <c r="U7" s="96">
        <f>'Revenue Drivers'!U10</f>
        <v>201</v>
      </c>
      <c r="V7" s="96">
        <f>'Revenue Drivers'!V10</f>
        <v>50</v>
      </c>
      <c r="W7" s="5"/>
      <c r="X7" s="145">
        <f t="shared" si="0"/>
        <v>0</v>
      </c>
      <c r="Y7" s="145">
        <f t="shared" si="0"/>
        <v>0</v>
      </c>
      <c r="Z7" s="145">
        <f t="shared" si="0"/>
        <v>0</v>
      </c>
      <c r="AA7" s="145">
        <f t="shared" si="0"/>
        <v>0</v>
      </c>
      <c r="AB7" s="145">
        <f t="shared" si="0"/>
        <v>0</v>
      </c>
      <c r="AC7" s="145">
        <f t="shared" si="0"/>
        <v>0</v>
      </c>
      <c r="AD7" s="145">
        <f t="shared" si="0"/>
        <v>0</v>
      </c>
      <c r="AE7" s="145">
        <f t="shared" si="0"/>
        <v>0</v>
      </c>
      <c r="AF7" s="145">
        <f t="shared" si="0"/>
        <v>370</v>
      </c>
      <c r="AG7" s="145">
        <f t="shared" si="0"/>
        <v>571</v>
      </c>
      <c r="AH7" s="145">
        <f>SUM(S7:V7)</f>
        <v>621</v>
      </c>
      <c r="AJ7" s="129" t="e">
        <f t="shared" si="1"/>
        <v>#DIV/0!</v>
      </c>
    </row>
    <row r="8" spans="2:36" ht="12.75" customHeight="1">
      <c r="B8" s="9" t="str">
        <f>'Revenue Drivers'!B11</f>
        <v>Grant Revenue</v>
      </c>
      <c r="C8" s="96">
        <f>'Revenue Drivers'!C11</f>
        <v>1263</v>
      </c>
      <c r="D8" s="96">
        <f>'Revenue Drivers'!D11</f>
        <v>1565</v>
      </c>
      <c r="E8" s="96">
        <f>'Revenue Drivers'!E11</f>
        <v>0</v>
      </c>
      <c r="F8" s="96">
        <f>'Revenue Drivers'!F11</f>
        <v>0</v>
      </c>
      <c r="G8" s="10"/>
      <c r="H8" s="96">
        <f>'Revenue Drivers'!H11</f>
        <v>233</v>
      </c>
      <c r="I8" s="96">
        <f>'Revenue Drivers'!I11</f>
        <v>1301</v>
      </c>
      <c r="J8" s="96">
        <f>'Revenue Drivers'!J11</f>
        <v>31</v>
      </c>
      <c r="K8" s="96">
        <f>'Revenue Drivers'!K11</f>
        <v>0</v>
      </c>
      <c r="L8" s="96">
        <f>'Revenue Drivers'!L11</f>
        <v>0</v>
      </c>
      <c r="M8" s="96">
        <f>'Revenue Drivers'!M11</f>
        <v>0</v>
      </c>
      <c r="N8" s="96">
        <f>'Revenue Drivers'!N11</f>
        <v>0</v>
      </c>
      <c r="O8" s="96">
        <f>'Revenue Drivers'!O11</f>
        <v>0</v>
      </c>
      <c r="P8" s="96">
        <f>'Revenue Drivers'!P11</f>
        <v>0</v>
      </c>
      <c r="Q8" s="96">
        <f>'Revenue Drivers'!Q11</f>
        <v>0</v>
      </c>
      <c r="R8" s="96">
        <f>'Revenue Drivers'!R11</f>
        <v>0</v>
      </c>
      <c r="S8" s="96">
        <f>'Revenue Drivers'!S11</f>
        <v>0</v>
      </c>
      <c r="T8" s="96">
        <f>'Revenue Drivers'!T11</f>
        <v>0</v>
      </c>
      <c r="U8" s="96">
        <f>'Revenue Drivers'!U11</f>
        <v>0</v>
      </c>
      <c r="V8" s="96">
        <f>'Revenue Drivers'!V11</f>
        <v>0</v>
      </c>
      <c r="W8" s="5"/>
      <c r="X8" s="145">
        <f t="shared" si="0"/>
        <v>1332</v>
      </c>
      <c r="Y8" s="145">
        <f t="shared" si="0"/>
        <v>31</v>
      </c>
      <c r="Z8" s="145">
        <f t="shared" si="0"/>
        <v>0</v>
      </c>
      <c r="AA8" s="145">
        <f t="shared" si="0"/>
        <v>0</v>
      </c>
      <c r="AB8" s="145">
        <f t="shared" si="0"/>
        <v>0</v>
      </c>
      <c r="AC8" s="145">
        <f t="shared" si="0"/>
        <v>0</v>
      </c>
      <c r="AD8" s="145">
        <f t="shared" si="0"/>
        <v>0</v>
      </c>
      <c r="AE8" s="145">
        <f t="shared" si="0"/>
        <v>0</v>
      </c>
      <c r="AF8" s="145">
        <f t="shared" si="0"/>
        <v>0</v>
      </c>
      <c r="AG8" s="145">
        <f t="shared" si="0"/>
        <v>0</v>
      </c>
      <c r="AH8" s="145">
        <f>SUM(S8:V8)</f>
        <v>0</v>
      </c>
      <c r="AJ8" s="129" t="e">
        <f t="shared" si="1"/>
        <v>#DIV/0!</v>
      </c>
    </row>
    <row r="9" spans="2:36" ht="12.75" customHeight="1">
      <c r="B9" s="13" t="s">
        <v>12</v>
      </c>
      <c r="C9" s="14">
        <f>SUM(C6:C8)</f>
        <v>1263</v>
      </c>
      <c r="D9" s="14">
        <f>SUM(D6:D8)</f>
        <v>1565</v>
      </c>
      <c r="E9" s="14">
        <f>SUM(E6:E8)</f>
        <v>0</v>
      </c>
      <c r="F9" s="14">
        <f>SUM(F6:F8)</f>
        <v>0</v>
      </c>
      <c r="G9" s="10"/>
      <c r="H9" s="14">
        <f t="shared" ref="H9:K9" si="2">SUM(H6:H8)</f>
        <v>233</v>
      </c>
      <c r="I9" s="14">
        <f t="shared" si="2"/>
        <v>1301</v>
      </c>
      <c r="J9" s="14">
        <f t="shared" si="2"/>
        <v>31</v>
      </c>
      <c r="K9" s="14">
        <f t="shared" si="2"/>
        <v>0</v>
      </c>
      <c r="L9" s="14">
        <f>SUM(L6:L8)</f>
        <v>0</v>
      </c>
      <c r="M9" s="14">
        <f>SUM(M6:M8)</f>
        <v>0</v>
      </c>
      <c r="N9" s="14">
        <f>SUM(N6:N8)</f>
        <v>0</v>
      </c>
      <c r="O9" s="14">
        <f>SUM(O6:O8)</f>
        <v>0</v>
      </c>
      <c r="P9" s="14">
        <f>SUM(P6:P8)</f>
        <v>0</v>
      </c>
      <c r="Q9" s="14">
        <f>SUM(Q6:Q8)</f>
        <v>0</v>
      </c>
      <c r="R9" s="14">
        <f>SUM(R6:R8)</f>
        <v>0</v>
      </c>
      <c r="S9" s="14">
        <f>SUM(S6:S8)</f>
        <v>0</v>
      </c>
      <c r="T9" s="14">
        <f>SUM(T6:T8)</f>
        <v>517</v>
      </c>
      <c r="U9" s="14">
        <f>SUM(U6:U8)</f>
        <v>301</v>
      </c>
      <c r="V9" s="14">
        <f>SUM(V6:V8)</f>
        <v>753</v>
      </c>
      <c r="W9" s="5"/>
      <c r="X9" s="14">
        <f>SUM(X6:X8)</f>
        <v>1332</v>
      </c>
      <c r="Y9" s="14">
        <f>SUM(Y6:Y8)</f>
        <v>31</v>
      </c>
      <c r="Z9" s="14">
        <f>SUM(Z6:Z8)</f>
        <v>0</v>
      </c>
      <c r="AA9" s="14">
        <f>SUM(AA6:AA8)</f>
        <v>0</v>
      </c>
      <c r="AB9" s="14">
        <f>SUM(AB6:AB8)</f>
        <v>0</v>
      </c>
      <c r="AC9" s="14">
        <f>SUM(AC6:AC8)</f>
        <v>0</v>
      </c>
      <c r="AD9" s="14">
        <f>SUM(AD6:AD8)</f>
        <v>0</v>
      </c>
      <c r="AE9" s="14">
        <f>SUM(AE6:AE8)</f>
        <v>0</v>
      </c>
      <c r="AF9" s="14">
        <f>SUM(AF6:AF8)</f>
        <v>517</v>
      </c>
      <c r="AG9" s="14">
        <f>SUM(AG6:AG8)</f>
        <v>818</v>
      </c>
      <c r="AH9" s="14">
        <f>SUM(AH6:AH8)</f>
        <v>1571</v>
      </c>
      <c r="AJ9" s="130" t="e">
        <f t="shared" si="1"/>
        <v>#DIV/0!</v>
      </c>
    </row>
    <row r="10" spans="2:36" ht="12.75" customHeight="1">
      <c r="B10" s="16" t="s">
        <v>28</v>
      </c>
      <c r="C10" s="117"/>
      <c r="D10" s="17">
        <f>SUM(D9/C9)-1</f>
        <v>0.23911322248614408</v>
      </c>
      <c r="E10" s="17">
        <f>SUM(E9/D9)-1</f>
        <v>-1</v>
      </c>
      <c r="F10" s="17" t="e">
        <f>SUM(F9/E9)-1</f>
        <v>#DIV/0!</v>
      </c>
      <c r="G10" s="11"/>
      <c r="H10" s="117"/>
      <c r="I10" s="117"/>
      <c r="J10" s="117"/>
      <c r="K10" s="117"/>
      <c r="L10" s="17">
        <f t="shared" ref="L10" si="3">SUM(L9/H9)-1</f>
        <v>-1</v>
      </c>
      <c r="M10" s="17">
        <f t="shared" ref="M10" si="4">SUM(M9/I9)-1</f>
        <v>-1</v>
      </c>
      <c r="N10" s="17">
        <f t="shared" ref="N10" si="5">SUM(N9/J9)-1</f>
        <v>-1</v>
      </c>
      <c r="O10" s="17" t="e">
        <f t="shared" ref="O10" si="6">SUM(O9/K9)-1</f>
        <v>#DIV/0!</v>
      </c>
      <c r="P10" s="17" t="e">
        <f t="shared" ref="P10:V10" si="7">SUM(P9/L9)-1</f>
        <v>#DIV/0!</v>
      </c>
      <c r="Q10" s="17" t="e">
        <f t="shared" si="7"/>
        <v>#DIV/0!</v>
      </c>
      <c r="R10" s="17" t="e">
        <f t="shared" si="7"/>
        <v>#DIV/0!</v>
      </c>
      <c r="S10" s="17" t="e">
        <f t="shared" si="7"/>
        <v>#DIV/0!</v>
      </c>
      <c r="T10" s="17" t="e">
        <f t="shared" si="7"/>
        <v>#DIV/0!</v>
      </c>
      <c r="U10" s="17" t="e">
        <f t="shared" si="7"/>
        <v>#DIV/0!</v>
      </c>
      <c r="V10" s="17" t="e">
        <f t="shared" si="7"/>
        <v>#DIV/0!</v>
      </c>
      <c r="W10" s="5"/>
      <c r="X10" s="117"/>
      <c r="Y10" s="117"/>
      <c r="Z10" s="17" t="e">
        <f>SUM(Z9/#REF!)-1</f>
        <v>#REF!</v>
      </c>
      <c r="AA10" s="17" t="e">
        <f>SUM(AA9/#REF!)-1</f>
        <v>#REF!</v>
      </c>
      <c r="AB10" s="17">
        <f t="shared" ref="AB10:AH10" si="8">SUM(AB9/X9)-1</f>
        <v>-1</v>
      </c>
      <c r="AC10" s="17">
        <f t="shared" si="8"/>
        <v>-1</v>
      </c>
      <c r="AD10" s="17" t="e">
        <f t="shared" si="8"/>
        <v>#DIV/0!</v>
      </c>
      <c r="AE10" s="17" t="e">
        <f t="shared" si="8"/>
        <v>#DIV/0!</v>
      </c>
      <c r="AF10" s="17" t="e">
        <f t="shared" si="8"/>
        <v>#DIV/0!</v>
      </c>
      <c r="AG10" s="17" t="e">
        <f t="shared" si="8"/>
        <v>#DIV/0!</v>
      </c>
      <c r="AH10" s="17" t="e">
        <f t="shared" si="8"/>
        <v>#DIV/0!</v>
      </c>
      <c r="AJ10" s="131" t="e">
        <f>SUM(AH10-AD10)*10000</f>
        <v>#DIV/0!</v>
      </c>
    </row>
    <row r="11" spans="2:36" ht="12.75" customHeight="1">
      <c r="B11" s="16" t="s">
        <v>29</v>
      </c>
      <c r="C11" s="17" t="s">
        <v>30</v>
      </c>
      <c r="D11" s="17" t="s">
        <v>30</v>
      </c>
      <c r="E11" s="17" t="s">
        <v>30</v>
      </c>
      <c r="F11" s="17" t="s">
        <v>30</v>
      </c>
      <c r="G11" s="11"/>
      <c r="H11" s="117"/>
      <c r="I11" s="17">
        <f t="shared" ref="I11" si="9">SUM(I9/H9)-1</f>
        <v>4.5836909871244638</v>
      </c>
      <c r="J11" s="17">
        <f t="shared" ref="J11" si="10">SUM(J9/I9)-1</f>
        <v>-0.97617217524980782</v>
      </c>
      <c r="K11" s="17">
        <f t="shared" ref="K11" si="11">SUM(K9/J9)-1</f>
        <v>-1</v>
      </c>
      <c r="L11" s="17" t="e">
        <f t="shared" ref="L11" si="12">SUM(L9/K9)-1</f>
        <v>#DIV/0!</v>
      </c>
      <c r="M11" s="17" t="e">
        <f t="shared" ref="M11:V11" si="13">SUM(M9/L9)-1</f>
        <v>#DIV/0!</v>
      </c>
      <c r="N11" s="17" t="e">
        <f t="shared" si="13"/>
        <v>#DIV/0!</v>
      </c>
      <c r="O11" s="17" t="e">
        <f t="shared" si="13"/>
        <v>#DIV/0!</v>
      </c>
      <c r="P11" s="17" t="e">
        <f t="shared" si="13"/>
        <v>#DIV/0!</v>
      </c>
      <c r="Q11" s="17" t="e">
        <f t="shared" si="13"/>
        <v>#DIV/0!</v>
      </c>
      <c r="R11" s="17" t="e">
        <f t="shared" si="13"/>
        <v>#DIV/0!</v>
      </c>
      <c r="S11" s="17" t="e">
        <f t="shared" si="13"/>
        <v>#DIV/0!</v>
      </c>
      <c r="T11" s="17" t="e">
        <f t="shared" si="13"/>
        <v>#DIV/0!</v>
      </c>
      <c r="U11" s="17">
        <f t="shared" si="13"/>
        <v>-0.41779497098646035</v>
      </c>
      <c r="V11" s="17">
        <f t="shared" si="13"/>
        <v>1.5016611295681064</v>
      </c>
      <c r="W11" s="5"/>
      <c r="X11" s="17" t="s">
        <v>30</v>
      </c>
      <c r="Y11" s="17" t="s">
        <v>30</v>
      </c>
      <c r="Z11" s="17" t="s">
        <v>30</v>
      </c>
      <c r="AA11" s="17" t="s">
        <v>30</v>
      </c>
      <c r="AB11" s="17" t="s">
        <v>30</v>
      </c>
      <c r="AC11" s="17" t="s">
        <v>30</v>
      </c>
      <c r="AD11" s="17" t="s">
        <v>30</v>
      </c>
      <c r="AE11" s="17" t="s">
        <v>30</v>
      </c>
      <c r="AF11" s="17" t="s">
        <v>30</v>
      </c>
      <c r="AG11" s="17" t="s">
        <v>30</v>
      </c>
      <c r="AH11" s="17" t="s">
        <v>30</v>
      </c>
      <c r="AJ11" s="128"/>
    </row>
    <row r="12" spans="2:36" ht="5.0999999999999996" customHeight="1">
      <c r="B12" s="18"/>
      <c r="C12" s="19"/>
      <c r="D12" s="19"/>
      <c r="E12" s="19"/>
      <c r="F12" s="19"/>
      <c r="G12" s="20"/>
      <c r="H12" s="21"/>
      <c r="I12" s="21"/>
      <c r="J12" s="21"/>
      <c r="K12" s="21"/>
      <c r="L12" s="21"/>
      <c r="M12" s="21"/>
      <c r="N12" s="21"/>
      <c r="O12" s="22"/>
      <c r="P12" s="21"/>
      <c r="Q12" s="21"/>
      <c r="R12" s="21"/>
      <c r="S12" s="21"/>
      <c r="T12" s="21"/>
      <c r="U12" s="21"/>
      <c r="V12" s="21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J12" s="128"/>
    </row>
    <row r="13" spans="2:36" ht="12.75" customHeight="1">
      <c r="B13" s="23" t="s">
        <v>116</v>
      </c>
      <c r="C13" s="96">
        <f>'Historical Financials'!C13</f>
        <v>0</v>
      </c>
      <c r="D13" s="96">
        <f>'Historical Financials'!D13</f>
        <v>0</v>
      </c>
      <c r="E13" s="96">
        <f>'Historical Financials'!E13</f>
        <v>0</v>
      </c>
      <c r="F13" s="96">
        <f>'Historical Financials'!F13</f>
        <v>0</v>
      </c>
      <c r="G13" s="10"/>
      <c r="H13" s="96">
        <f>'Historical Financials'!H13</f>
        <v>0</v>
      </c>
      <c r="I13" s="96">
        <f>'Historical Financials'!I13</f>
        <v>0</v>
      </c>
      <c r="J13" s="96">
        <f>'Historical Financials'!J13</f>
        <v>0</v>
      </c>
      <c r="K13" s="96">
        <f>'Historical Financials'!K13</f>
        <v>0</v>
      </c>
      <c r="L13" s="96">
        <f>'Historical Financials'!L13</f>
        <v>0</v>
      </c>
      <c r="M13" s="96">
        <f>'Historical Financials'!M13</f>
        <v>0</v>
      </c>
      <c r="N13" s="96">
        <f>'Historical Financials'!N13</f>
        <v>0</v>
      </c>
      <c r="O13" s="96">
        <f>'Historical Financials'!O13</f>
        <v>0</v>
      </c>
      <c r="P13" s="96">
        <f>'Historical Financials'!P13</f>
        <v>0</v>
      </c>
      <c r="Q13" s="96">
        <f>'Historical Financials'!Q13</f>
        <v>0</v>
      </c>
      <c r="R13" s="96">
        <f>'Historical Financials'!R13</f>
        <v>0</v>
      </c>
      <c r="S13" s="96">
        <f>'Historical Financials'!S13</f>
        <v>0</v>
      </c>
      <c r="T13" s="96">
        <f>'Historical Financials'!T13</f>
        <v>-147</v>
      </c>
      <c r="U13" s="96">
        <f>'Historical Financials'!U13</f>
        <v>-213</v>
      </c>
      <c r="V13" s="96">
        <f>'Historical Financials'!V13</f>
        <v>-260</v>
      </c>
      <c r="W13" s="5"/>
      <c r="X13" s="145">
        <f t="shared" ref="X13:AG13" si="14">SUM(I13:L13)</f>
        <v>0</v>
      </c>
      <c r="Y13" s="145">
        <f t="shared" si="14"/>
        <v>0</v>
      </c>
      <c r="Z13" s="145">
        <f t="shared" si="14"/>
        <v>0</v>
      </c>
      <c r="AA13" s="145">
        <f t="shared" si="14"/>
        <v>0</v>
      </c>
      <c r="AB13" s="145">
        <f t="shared" si="14"/>
        <v>0</v>
      </c>
      <c r="AC13" s="145">
        <f t="shared" si="14"/>
        <v>0</v>
      </c>
      <c r="AD13" s="145">
        <f t="shared" si="14"/>
        <v>0</v>
      </c>
      <c r="AE13" s="145">
        <f t="shared" si="14"/>
        <v>0</v>
      </c>
      <c r="AF13" s="145">
        <f t="shared" si="14"/>
        <v>-147</v>
      </c>
      <c r="AG13" s="145">
        <f t="shared" si="14"/>
        <v>-360</v>
      </c>
      <c r="AH13" s="145">
        <f>SUM(S13:V13)</f>
        <v>-620</v>
      </c>
      <c r="AJ13" s="129" t="e">
        <f t="shared" ref="AJ13" si="15">SUM(AH13/AD13)-1</f>
        <v>#DIV/0!</v>
      </c>
    </row>
    <row r="14" spans="2:36" ht="12.75" customHeight="1">
      <c r="B14" s="25" t="s">
        <v>22</v>
      </c>
      <c r="C14" s="26">
        <f>SUM(C9+SUM(C13:C13))</f>
        <v>1263</v>
      </c>
      <c r="D14" s="26">
        <f>SUM(D9+SUM(D13:D13))</f>
        <v>1565</v>
      </c>
      <c r="E14" s="26">
        <f>SUM(E9+SUM(E13:E13))</f>
        <v>0</v>
      </c>
      <c r="F14" s="26">
        <f>SUM(F9+SUM(F13:F13))</f>
        <v>0</v>
      </c>
      <c r="G14" s="5"/>
      <c r="H14" s="26">
        <f t="shared" ref="H14" si="16">SUM(H9+SUM(H13:H13))</f>
        <v>233</v>
      </c>
      <c r="I14" s="26">
        <f t="shared" ref="I14" si="17">SUM(I9+SUM(I13:I13))</f>
        <v>1301</v>
      </c>
      <c r="J14" s="26">
        <f t="shared" ref="J14" si="18">SUM(J9+SUM(J13:J13))</f>
        <v>31</v>
      </c>
      <c r="K14" s="26">
        <f t="shared" ref="K14" si="19">SUM(K9+SUM(K13:K13))</f>
        <v>0</v>
      </c>
      <c r="L14" s="26">
        <f t="shared" ref="L14:V14" si="20">SUM(L9+SUM(L13:L13))</f>
        <v>0</v>
      </c>
      <c r="M14" s="26">
        <f t="shared" si="20"/>
        <v>0</v>
      </c>
      <c r="N14" s="26">
        <f t="shared" si="20"/>
        <v>0</v>
      </c>
      <c r="O14" s="26">
        <f t="shared" si="20"/>
        <v>0</v>
      </c>
      <c r="P14" s="26">
        <f t="shared" si="20"/>
        <v>0</v>
      </c>
      <c r="Q14" s="26">
        <f t="shared" si="20"/>
        <v>0</v>
      </c>
      <c r="R14" s="26">
        <f t="shared" si="20"/>
        <v>0</v>
      </c>
      <c r="S14" s="26">
        <f t="shared" si="20"/>
        <v>0</v>
      </c>
      <c r="T14" s="26">
        <f t="shared" si="20"/>
        <v>370</v>
      </c>
      <c r="U14" s="26">
        <f t="shared" si="20"/>
        <v>88</v>
      </c>
      <c r="V14" s="26">
        <f t="shared" si="20"/>
        <v>493</v>
      </c>
      <c r="W14" s="5"/>
      <c r="X14" s="26">
        <f t="shared" ref="X14:AH14" si="21">SUM(X9+SUM(X13:X13))</f>
        <v>1332</v>
      </c>
      <c r="Y14" s="26">
        <f t="shared" si="21"/>
        <v>31</v>
      </c>
      <c r="Z14" s="26">
        <f t="shared" si="21"/>
        <v>0</v>
      </c>
      <c r="AA14" s="26">
        <f t="shared" si="21"/>
        <v>0</v>
      </c>
      <c r="AB14" s="26">
        <f t="shared" si="21"/>
        <v>0</v>
      </c>
      <c r="AC14" s="26">
        <f t="shared" si="21"/>
        <v>0</v>
      </c>
      <c r="AD14" s="26">
        <f t="shared" si="21"/>
        <v>0</v>
      </c>
      <c r="AE14" s="26">
        <f t="shared" si="21"/>
        <v>0</v>
      </c>
      <c r="AF14" s="26">
        <f t="shared" si="21"/>
        <v>370</v>
      </c>
      <c r="AG14" s="26">
        <f t="shared" si="21"/>
        <v>458</v>
      </c>
      <c r="AH14" s="26">
        <f t="shared" si="21"/>
        <v>951</v>
      </c>
      <c r="AJ14" s="130" t="e">
        <f>SUM(AH14/AD14)-1</f>
        <v>#DIV/0!</v>
      </c>
    </row>
    <row r="15" spans="2:36" ht="12.75" customHeight="1">
      <c r="B15" s="16" t="s">
        <v>31</v>
      </c>
      <c r="C15" s="17">
        <f>C14/C9</f>
        <v>1</v>
      </c>
      <c r="D15" s="17">
        <f>D14/D9</f>
        <v>1</v>
      </c>
      <c r="E15" s="17" t="e">
        <f>E14/E9</f>
        <v>#DIV/0!</v>
      </c>
      <c r="F15" s="17" t="e">
        <f>F14/F9</f>
        <v>#DIV/0!</v>
      </c>
      <c r="G15" s="27"/>
      <c r="H15" s="17">
        <f t="shared" ref="H15" si="22">H14/H9</f>
        <v>1</v>
      </c>
      <c r="I15" s="17">
        <f t="shared" ref="I15" si="23">I14/I9</f>
        <v>1</v>
      </c>
      <c r="J15" s="17">
        <f t="shared" ref="J15" si="24">J14/J9</f>
        <v>1</v>
      </c>
      <c r="K15" s="17" t="e">
        <f t="shared" ref="K15" si="25">K14/K9</f>
        <v>#DIV/0!</v>
      </c>
      <c r="L15" s="17" t="e">
        <f t="shared" ref="L15:V15" si="26">L14/L9</f>
        <v>#DIV/0!</v>
      </c>
      <c r="M15" s="17" t="e">
        <f t="shared" si="26"/>
        <v>#DIV/0!</v>
      </c>
      <c r="N15" s="17" t="e">
        <f t="shared" si="26"/>
        <v>#DIV/0!</v>
      </c>
      <c r="O15" s="17" t="e">
        <f t="shared" si="26"/>
        <v>#DIV/0!</v>
      </c>
      <c r="P15" s="17" t="e">
        <f t="shared" si="26"/>
        <v>#DIV/0!</v>
      </c>
      <c r="Q15" s="17" t="e">
        <f t="shared" si="26"/>
        <v>#DIV/0!</v>
      </c>
      <c r="R15" s="17" t="e">
        <f t="shared" si="26"/>
        <v>#DIV/0!</v>
      </c>
      <c r="S15" s="17" t="e">
        <f t="shared" si="26"/>
        <v>#DIV/0!</v>
      </c>
      <c r="T15" s="17">
        <f t="shared" si="26"/>
        <v>0.71566731141199225</v>
      </c>
      <c r="U15" s="17">
        <f t="shared" si="26"/>
        <v>0.29235880398671099</v>
      </c>
      <c r="V15" s="17">
        <f t="shared" si="26"/>
        <v>0.65471447543160688</v>
      </c>
      <c r="W15" s="28"/>
      <c r="X15" s="17">
        <f t="shared" ref="X15:AH15" si="27">X14/X9</f>
        <v>1</v>
      </c>
      <c r="Y15" s="17">
        <f t="shared" si="27"/>
        <v>1</v>
      </c>
      <c r="Z15" s="17" t="e">
        <f t="shared" si="27"/>
        <v>#DIV/0!</v>
      </c>
      <c r="AA15" s="17" t="e">
        <f t="shared" si="27"/>
        <v>#DIV/0!</v>
      </c>
      <c r="AB15" s="17" t="e">
        <f t="shared" si="27"/>
        <v>#DIV/0!</v>
      </c>
      <c r="AC15" s="17" t="e">
        <f t="shared" si="27"/>
        <v>#DIV/0!</v>
      </c>
      <c r="AD15" s="17" t="e">
        <f t="shared" si="27"/>
        <v>#DIV/0!</v>
      </c>
      <c r="AE15" s="17" t="e">
        <f t="shared" si="27"/>
        <v>#DIV/0!</v>
      </c>
      <c r="AF15" s="17">
        <f t="shared" si="27"/>
        <v>0.71566731141199225</v>
      </c>
      <c r="AG15" s="17">
        <f t="shared" si="27"/>
        <v>0.55990220048899753</v>
      </c>
      <c r="AH15" s="17">
        <f t="shared" si="27"/>
        <v>0.60534691279439845</v>
      </c>
      <c r="AJ15" s="131" t="e">
        <f>SUM(AH15-AD15)*10000</f>
        <v>#DIV/0!</v>
      </c>
    </row>
    <row r="16" spans="2:36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5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J16" s="128"/>
    </row>
    <row r="17" spans="2:36" ht="12.75" customHeight="1">
      <c r="B17" s="23" t="s">
        <v>160</v>
      </c>
      <c r="C17" s="144">
        <f>'Historical Financials'!C17</f>
        <v>-61341</v>
      </c>
      <c r="D17" s="144">
        <f>'Historical Financials'!D17</f>
        <v>-63260</v>
      </c>
      <c r="E17" s="144">
        <f>'Historical Financials'!E17</f>
        <v>-76550</v>
      </c>
      <c r="F17" s="144">
        <f>'Historical Financials'!F17</f>
        <v>-88599</v>
      </c>
      <c r="G17" s="96"/>
      <c r="H17" s="144">
        <f>'Historical Financials'!H17</f>
        <v>-16314</v>
      </c>
      <c r="I17" s="144">
        <f>'Historical Financials'!I17</f>
        <v>-14652</v>
      </c>
      <c r="J17" s="144">
        <f>'Historical Financials'!J17</f>
        <v>-17337</v>
      </c>
      <c r="K17" s="144">
        <f>'Historical Financials'!K17</f>
        <v>-14957</v>
      </c>
      <c r="L17" s="144">
        <f>'Historical Financials'!L17</f>
        <v>-17278</v>
      </c>
      <c r="M17" s="144">
        <f>'Historical Financials'!M17</f>
        <v>-20540</v>
      </c>
      <c r="N17" s="144">
        <f>'Historical Financials'!N17</f>
        <v>-18552</v>
      </c>
      <c r="O17" s="144">
        <f>'Historical Financials'!O17</f>
        <v>-20180</v>
      </c>
      <c r="P17" s="144">
        <f>'Historical Financials'!P17</f>
        <v>-21264</v>
      </c>
      <c r="Q17" s="144">
        <f>'Historical Financials'!Q17</f>
        <v>-23753</v>
      </c>
      <c r="R17" s="144">
        <f>'Historical Financials'!R17</f>
        <v>-22926</v>
      </c>
      <c r="S17" s="144">
        <f>'Historical Financials'!S17</f>
        <v>-20656</v>
      </c>
      <c r="T17" s="144">
        <f>'Historical Financials'!T17</f>
        <v>-15418</v>
      </c>
      <c r="U17" s="144">
        <f>'Historical Financials'!U17</f>
        <v>-22006</v>
      </c>
      <c r="V17" s="144">
        <f>'Historical Financials'!V17</f>
        <v>-17273</v>
      </c>
      <c r="W17" s="5"/>
      <c r="X17" s="10">
        <f>SUM(L17:L17)</f>
        <v>-17278</v>
      </c>
      <c r="Y17" s="10">
        <f>SUM(L17:M17)</f>
        <v>-37818</v>
      </c>
      <c r="Z17" s="10">
        <f>SUM(L17:N17)</f>
        <v>-56370</v>
      </c>
      <c r="AA17" s="10">
        <f>SUM(L17:O17)</f>
        <v>-76550</v>
      </c>
      <c r="AB17" s="10">
        <f>SUM(M17:P17)</f>
        <v>-80536</v>
      </c>
      <c r="AC17" s="10">
        <f>SUM(N17:Q17)</f>
        <v>-83749</v>
      </c>
      <c r="AD17" s="145">
        <f>SUM(O17:R17)</f>
        <v>-88123</v>
      </c>
      <c r="AE17" s="145">
        <f>SUM(P17:S17)</f>
        <v>-88599</v>
      </c>
      <c r="AF17" s="145">
        <f>SUM(Q17:T17)</f>
        <v>-82753</v>
      </c>
      <c r="AG17" s="145">
        <f>SUM(R17:U17)</f>
        <v>-81006</v>
      </c>
      <c r="AH17" s="145">
        <f>SUM(S17:V17)</f>
        <v>-75353</v>
      </c>
      <c r="AJ17" s="129">
        <f>SUM(AH17/AD17)-1</f>
        <v>-0.14491109018077009</v>
      </c>
    </row>
    <row r="18" spans="2:36" ht="12.75" customHeight="1">
      <c r="B18" s="23" t="s">
        <v>161</v>
      </c>
      <c r="C18" s="144">
        <f>'Historical Financials'!C18</f>
        <v>-21130</v>
      </c>
      <c r="D18" s="144">
        <f>'Historical Financials'!D18</f>
        <v>-22883</v>
      </c>
      <c r="E18" s="144">
        <f>'Historical Financials'!E18</f>
        <v>-23497</v>
      </c>
      <c r="F18" s="144">
        <f>'Historical Financials'!F18</f>
        <v>-25799</v>
      </c>
      <c r="G18" s="96"/>
      <c r="H18" s="144">
        <f>'Historical Financials'!H18</f>
        <v>-5682</v>
      </c>
      <c r="I18" s="144">
        <f>'Historical Financials'!I18</f>
        <v>-5180</v>
      </c>
      <c r="J18" s="144">
        <f>'Historical Financials'!J18</f>
        <v>-6188</v>
      </c>
      <c r="K18" s="144">
        <f>'Historical Financials'!K18</f>
        <v>-5833</v>
      </c>
      <c r="L18" s="144">
        <f>'Historical Financials'!L18</f>
        <v>-5234</v>
      </c>
      <c r="M18" s="144">
        <f>'Historical Financials'!M18</f>
        <v>-6191</v>
      </c>
      <c r="N18" s="144">
        <f>'Historical Financials'!N18</f>
        <v>-6070</v>
      </c>
      <c r="O18" s="144">
        <f>'Historical Financials'!O18</f>
        <v>-6002</v>
      </c>
      <c r="P18" s="144">
        <f>'Historical Financials'!P18</f>
        <v>-5314</v>
      </c>
      <c r="Q18" s="144">
        <f>'Historical Financials'!Q18</f>
        <v>-5746</v>
      </c>
      <c r="R18" s="144">
        <f>'Historical Financials'!R18</f>
        <v>-7307</v>
      </c>
      <c r="S18" s="144">
        <f>'Historical Financials'!S18</f>
        <v>-7432</v>
      </c>
      <c r="T18" s="144">
        <f>'Historical Financials'!T18</f>
        <v>-8136</v>
      </c>
      <c r="U18" s="144">
        <f>'Historical Financials'!U18</f>
        <v>-7809</v>
      </c>
      <c r="V18" s="144">
        <f>'Historical Financials'!V18</f>
        <v>-7610</v>
      </c>
      <c r="W18" s="5"/>
      <c r="X18" s="10">
        <f>SUM(L18:L18)</f>
        <v>-5234</v>
      </c>
      <c r="Y18" s="10">
        <f>SUM(L18:M18)</f>
        <v>-11425</v>
      </c>
      <c r="Z18" s="10">
        <f>SUM(L18:N18)</f>
        <v>-17495</v>
      </c>
      <c r="AA18" s="10">
        <f>SUM(L18:O18)</f>
        <v>-23497</v>
      </c>
      <c r="AB18" s="10">
        <f>SUM(M18:P18)</f>
        <v>-23577</v>
      </c>
      <c r="AC18" s="10">
        <f>SUM(N18:Q18)</f>
        <v>-23132</v>
      </c>
      <c r="AD18" s="145">
        <f>SUM(O18:R18)</f>
        <v>-24369</v>
      </c>
      <c r="AE18" s="145">
        <f>SUM(P18:S18)</f>
        <v>-25799</v>
      </c>
      <c r="AF18" s="145">
        <f>SUM(Q18:T18)</f>
        <v>-28621</v>
      </c>
      <c r="AG18" s="145">
        <f>SUM(R18:U18)</f>
        <v>-30684</v>
      </c>
      <c r="AH18" s="145">
        <f>SUM(S18:V18)</f>
        <v>-30987</v>
      </c>
      <c r="AJ18" s="129">
        <f>SUM(AH18/AD18)-1</f>
        <v>0.27157454142558168</v>
      </c>
    </row>
    <row r="19" spans="2:36" ht="12.75" customHeight="1">
      <c r="B19" s="13" t="s">
        <v>32</v>
      </c>
      <c r="C19" s="14">
        <f>SUM(C14+SUM(C17:C18))</f>
        <v>-81208</v>
      </c>
      <c r="D19" s="14">
        <f>SUM(D14+SUM(D17:D18))</f>
        <v>-84578</v>
      </c>
      <c r="E19" s="14">
        <f>SUM(E14+SUM(E17:E18))</f>
        <v>-100047</v>
      </c>
      <c r="F19" s="14">
        <f>SUM(F14+SUM(F17:F18))</f>
        <v>-114398</v>
      </c>
      <c r="G19" s="11"/>
      <c r="H19" s="14">
        <f>SUM(H14+SUM(H17:H18))</f>
        <v>-21763</v>
      </c>
      <c r="I19" s="14">
        <f>SUM(I14+SUM(I17:I18))</f>
        <v>-18531</v>
      </c>
      <c r="J19" s="14">
        <f>SUM(J14+SUM(J17:J18))</f>
        <v>-23494</v>
      </c>
      <c r="K19" s="14">
        <f>SUM(K14+SUM(K17:K18))</f>
        <v>-20790</v>
      </c>
      <c r="L19" s="14">
        <f>SUM(L14+SUM(L17:L18))</f>
        <v>-22512</v>
      </c>
      <c r="M19" s="14">
        <f>SUM(M14+SUM(M17:M18))</f>
        <v>-26731</v>
      </c>
      <c r="N19" s="14">
        <f>SUM(N14+SUM(N17:N18))</f>
        <v>-24622</v>
      </c>
      <c r="O19" s="14">
        <f>SUM(O14+SUM(O17:O18))</f>
        <v>-26182</v>
      </c>
      <c r="P19" s="14">
        <f>SUM(P14+SUM(P17:P18))</f>
        <v>-26578</v>
      </c>
      <c r="Q19" s="14">
        <f>SUM(Q14+SUM(Q17:Q18))</f>
        <v>-29499</v>
      </c>
      <c r="R19" s="14">
        <f>SUM(R14+SUM(R17:R18))</f>
        <v>-30233</v>
      </c>
      <c r="S19" s="14">
        <f>SUM(S14+SUM(S17:S18))</f>
        <v>-28088</v>
      </c>
      <c r="T19" s="14">
        <f>SUM(T14+SUM(T17:T18))</f>
        <v>-23184</v>
      </c>
      <c r="U19" s="14">
        <f>SUM(U14+SUM(U17:U18))</f>
        <v>-29727</v>
      </c>
      <c r="V19" s="14">
        <f>SUM(V14+SUM(V17:V18))</f>
        <v>-24390</v>
      </c>
      <c r="W19" s="5"/>
      <c r="X19" s="14">
        <f>SUM(X14+SUM(X17:X18))</f>
        <v>-21180</v>
      </c>
      <c r="Y19" s="14">
        <f>SUM(Y14+SUM(Y17:Y18))</f>
        <v>-49212</v>
      </c>
      <c r="Z19" s="14">
        <f>SUM(Z14+SUM(Z17:Z18))</f>
        <v>-73865</v>
      </c>
      <c r="AA19" s="14">
        <f>SUM(AA14+SUM(AA17:AA18))</f>
        <v>-100047</v>
      </c>
      <c r="AB19" s="14">
        <f>SUM(AB14+SUM(AB17:AB18))</f>
        <v>-104113</v>
      </c>
      <c r="AC19" s="14">
        <f>SUM(AC14+SUM(AC17:AC18))</f>
        <v>-106881</v>
      </c>
      <c r="AD19" s="14">
        <f>SUM(AD14+SUM(AD17:AD18))</f>
        <v>-112492</v>
      </c>
      <c r="AE19" s="14">
        <f>SUM(AE14+SUM(AE17:AE18))</f>
        <v>-114398</v>
      </c>
      <c r="AF19" s="14">
        <f>SUM(AF14+SUM(AF17:AF18))</f>
        <v>-111004</v>
      </c>
      <c r="AG19" s="14">
        <f>SUM(AG14+SUM(AG17:AG18))</f>
        <v>-111232</v>
      </c>
      <c r="AH19" s="14">
        <f>SUM(AH14+SUM(AH17:AH18))</f>
        <v>-105389</v>
      </c>
      <c r="AJ19" s="130">
        <f>SUM(AH19/AD19)-1</f>
        <v>-6.3142267894605864E-2</v>
      </c>
    </row>
    <row r="20" spans="2:36" ht="12.75" customHeight="1">
      <c r="B20" s="16" t="s">
        <v>33</v>
      </c>
      <c r="C20" s="17">
        <f>C19/C9</f>
        <v>-64.297703879651621</v>
      </c>
      <c r="D20" s="17">
        <f>D19/D9</f>
        <v>-54.043450479233229</v>
      </c>
      <c r="E20" s="17" t="e">
        <f>E19/E9</f>
        <v>#DIV/0!</v>
      </c>
      <c r="F20" s="17" t="e">
        <f>F19/F9</f>
        <v>#DIV/0!</v>
      </c>
      <c r="G20" s="27"/>
      <c r="H20" s="17">
        <f>H19/H9</f>
        <v>-93.403433476394852</v>
      </c>
      <c r="I20" s="17">
        <f>I19/I9</f>
        <v>-14.243658724058417</v>
      </c>
      <c r="J20" s="17">
        <f>J19/J9</f>
        <v>-757.87096774193549</v>
      </c>
      <c r="K20" s="17" t="e">
        <f>K19/K9</f>
        <v>#DIV/0!</v>
      </c>
      <c r="L20" s="17" t="e">
        <f>L19/L9</f>
        <v>#DIV/0!</v>
      </c>
      <c r="M20" s="17" t="e">
        <f>M19/M9</f>
        <v>#DIV/0!</v>
      </c>
      <c r="N20" s="17" t="e">
        <f>N19/N9</f>
        <v>#DIV/0!</v>
      </c>
      <c r="O20" s="17" t="e">
        <f>O19/O9</f>
        <v>#DIV/0!</v>
      </c>
      <c r="P20" s="17" t="e">
        <f>P19/P9</f>
        <v>#DIV/0!</v>
      </c>
      <c r="Q20" s="17" t="e">
        <f>Q19/Q9</f>
        <v>#DIV/0!</v>
      </c>
      <c r="R20" s="17" t="e">
        <f>R19/R9</f>
        <v>#DIV/0!</v>
      </c>
      <c r="S20" s="17" t="e">
        <f>S19/S9</f>
        <v>#DIV/0!</v>
      </c>
      <c r="T20" s="17">
        <f>T19/T9</f>
        <v>-44.843326885880074</v>
      </c>
      <c r="U20" s="17">
        <f>U19/U9</f>
        <v>-98.760797342192689</v>
      </c>
      <c r="V20" s="17">
        <f>V19/V9</f>
        <v>-32.39043824701195</v>
      </c>
      <c r="W20" s="28"/>
      <c r="X20" s="17">
        <f>X19/X9</f>
        <v>-15.900900900900901</v>
      </c>
      <c r="Y20" s="17">
        <f>Y19/Y9</f>
        <v>-1587.483870967742</v>
      </c>
      <c r="Z20" s="17" t="e">
        <f>Z19/Z9</f>
        <v>#DIV/0!</v>
      </c>
      <c r="AA20" s="17" t="e">
        <f>AA19/AA9</f>
        <v>#DIV/0!</v>
      </c>
      <c r="AB20" s="17" t="e">
        <f>AB19/AB9</f>
        <v>#DIV/0!</v>
      </c>
      <c r="AC20" s="17" t="e">
        <f>AC19/AC9</f>
        <v>#DIV/0!</v>
      </c>
      <c r="AD20" s="17" t="e">
        <f>AD19/AD9</f>
        <v>#DIV/0!</v>
      </c>
      <c r="AE20" s="17" t="e">
        <f>AE19/AE9</f>
        <v>#DIV/0!</v>
      </c>
      <c r="AF20" s="17">
        <f>AF19/AF9</f>
        <v>-214.70793036750484</v>
      </c>
      <c r="AG20" s="17">
        <f>AG19/AG9</f>
        <v>-135.98044009779952</v>
      </c>
      <c r="AH20" s="17">
        <f>AH19/AH9</f>
        <v>-67.084022915340555</v>
      </c>
      <c r="AJ20" s="131" t="e">
        <f>SUM(AH20-AD20)*10000</f>
        <v>#DIV/0!</v>
      </c>
    </row>
    <row r="21" spans="2:36" ht="5.0999999999999996" customHeight="1">
      <c r="AJ21" s="128"/>
    </row>
    <row r="22" spans="2:36" ht="12.75" customHeight="1">
      <c r="B22" s="31" t="s">
        <v>162</v>
      </c>
      <c r="C22" s="144">
        <f>'Historical Financials'!C93</f>
        <v>6181</v>
      </c>
      <c r="D22" s="144">
        <f>'Historical Financials'!D93</f>
        <v>6151</v>
      </c>
      <c r="E22" s="144">
        <f>'Historical Financials'!E93</f>
        <v>5659</v>
      </c>
      <c r="F22" s="144">
        <f>'Historical Financials'!F93</f>
        <v>5104</v>
      </c>
      <c r="H22" s="144">
        <f>'Historical Financials'!H93</f>
        <v>1525</v>
      </c>
      <c r="I22" s="144">
        <f>'Historical Financials'!I93</f>
        <v>1507</v>
      </c>
      <c r="J22" s="144">
        <f>'Historical Financials'!J93</f>
        <v>1520</v>
      </c>
      <c r="K22" s="144">
        <f>'Historical Financials'!K93</f>
        <v>1599</v>
      </c>
      <c r="L22" s="144">
        <f>'Historical Financials'!L93</f>
        <v>1558</v>
      </c>
      <c r="M22" s="144">
        <f>'Historical Financials'!M93</f>
        <v>1468</v>
      </c>
      <c r="N22" s="144">
        <f>'Historical Financials'!N93</f>
        <v>1315</v>
      </c>
      <c r="O22" s="144">
        <f>'Historical Financials'!O93</f>
        <v>1318</v>
      </c>
      <c r="P22" s="144">
        <f>'Historical Financials'!P93</f>
        <v>1274</v>
      </c>
      <c r="Q22" s="144">
        <f>'Historical Financials'!Q93</f>
        <v>1256</v>
      </c>
      <c r="R22" s="144">
        <f>'Historical Financials'!R93</f>
        <v>1289</v>
      </c>
      <c r="S22" s="144">
        <f>'Historical Financials'!S93</f>
        <v>1285</v>
      </c>
      <c r="T22" s="144">
        <f>'Historical Financials'!T93</f>
        <v>1308</v>
      </c>
      <c r="U22" s="144">
        <f>'Historical Financials'!U93</f>
        <v>1337</v>
      </c>
      <c r="V22" s="144">
        <f>'Historical Financials'!V93</f>
        <v>1342</v>
      </c>
      <c r="X22" s="10">
        <f t="shared" ref="X22:AG23" si="28">SUM(I22:L22)</f>
        <v>6184</v>
      </c>
      <c r="Y22" s="10">
        <f t="shared" si="28"/>
        <v>6145</v>
      </c>
      <c r="Z22" s="10">
        <f t="shared" si="28"/>
        <v>5940</v>
      </c>
      <c r="AA22" s="10">
        <f t="shared" si="28"/>
        <v>5659</v>
      </c>
      <c r="AB22" s="10">
        <f t="shared" si="28"/>
        <v>5375</v>
      </c>
      <c r="AC22" s="10">
        <f t="shared" si="28"/>
        <v>5163</v>
      </c>
      <c r="AD22" s="10">
        <f t="shared" si="28"/>
        <v>5137</v>
      </c>
      <c r="AE22" s="10">
        <f t="shared" si="28"/>
        <v>5104</v>
      </c>
      <c r="AF22" s="10">
        <f t="shared" si="28"/>
        <v>5138</v>
      </c>
      <c r="AG22" s="10">
        <f t="shared" si="28"/>
        <v>5219</v>
      </c>
      <c r="AH22" s="10">
        <f>SUM(S22:V22)</f>
        <v>5272</v>
      </c>
      <c r="AJ22" s="129">
        <f>SUM(AH22/AD22)-1</f>
        <v>2.6279929920186795E-2</v>
      </c>
    </row>
    <row r="23" spans="2:36" ht="12.75" customHeight="1">
      <c r="B23" s="31" t="s">
        <v>163</v>
      </c>
      <c r="C23" s="144">
        <f>'Historical Financials'!C94</f>
        <v>2060</v>
      </c>
      <c r="D23" s="144">
        <f>'Historical Financials'!D94</f>
        <v>2059</v>
      </c>
      <c r="E23" s="144">
        <f>'Historical Financials'!E94</f>
        <v>2060</v>
      </c>
      <c r="F23" s="144">
        <f>'Historical Financials'!F94</f>
        <v>2086</v>
      </c>
      <c r="H23" s="144">
        <f>'Historical Financials'!H94</f>
        <v>515</v>
      </c>
      <c r="I23" s="144">
        <f>'Historical Financials'!I94</f>
        <v>514</v>
      </c>
      <c r="J23" s="144">
        <f>'Historical Financials'!J94</f>
        <v>515</v>
      </c>
      <c r="K23" s="144">
        <f>'Historical Financials'!K94</f>
        <v>515</v>
      </c>
      <c r="L23" s="144">
        <f>'Historical Financials'!L94</f>
        <v>515</v>
      </c>
      <c r="M23" s="144">
        <f>'Historical Financials'!M94</f>
        <v>515</v>
      </c>
      <c r="N23" s="144">
        <f>'Historical Financials'!N94</f>
        <v>515</v>
      </c>
      <c r="O23" s="144">
        <f>'Historical Financials'!O94</f>
        <v>515</v>
      </c>
      <c r="P23" s="144">
        <f>'Historical Financials'!P94</f>
        <v>517</v>
      </c>
      <c r="Q23" s="144">
        <f>'Historical Financials'!Q94</f>
        <v>523</v>
      </c>
      <c r="R23" s="144">
        <f>'Historical Financials'!R94</f>
        <v>523</v>
      </c>
      <c r="S23" s="144">
        <f>'Historical Financials'!S94</f>
        <v>523</v>
      </c>
      <c r="T23" s="144">
        <f>'Historical Financials'!T94</f>
        <v>524</v>
      </c>
      <c r="U23" s="144">
        <f>'Historical Financials'!U94</f>
        <v>523</v>
      </c>
      <c r="V23" s="144">
        <f>'Historical Financials'!V94</f>
        <v>523</v>
      </c>
      <c r="X23" s="10">
        <f t="shared" si="28"/>
        <v>2059</v>
      </c>
      <c r="Y23" s="10">
        <f t="shared" si="28"/>
        <v>2060</v>
      </c>
      <c r="Z23" s="10">
        <f t="shared" si="28"/>
        <v>2060</v>
      </c>
      <c r="AA23" s="10">
        <f t="shared" si="28"/>
        <v>2060</v>
      </c>
      <c r="AB23" s="10">
        <f t="shared" si="28"/>
        <v>2062</v>
      </c>
      <c r="AC23" s="10">
        <f t="shared" si="28"/>
        <v>2070</v>
      </c>
      <c r="AD23" s="10">
        <f t="shared" si="28"/>
        <v>2078</v>
      </c>
      <c r="AE23" s="10">
        <f t="shared" si="28"/>
        <v>2086</v>
      </c>
      <c r="AF23" s="10">
        <f t="shared" si="28"/>
        <v>2093</v>
      </c>
      <c r="AG23" s="10">
        <f t="shared" si="28"/>
        <v>2093</v>
      </c>
      <c r="AH23" s="10">
        <f>SUM(S23:V23)</f>
        <v>2093</v>
      </c>
      <c r="AJ23" s="129">
        <f>SUM(AH23/AD23)-1</f>
        <v>7.2184793070260156E-3</v>
      </c>
    </row>
    <row r="24" spans="2:36" ht="12.75" customHeight="1">
      <c r="B24" s="25" t="s">
        <v>11</v>
      </c>
      <c r="C24" s="26">
        <f>SUM(C19+SUM(C22:C23))</f>
        <v>-72967</v>
      </c>
      <c r="D24" s="26">
        <f t="shared" ref="D24:F24" si="29">SUM(D19+SUM(D22:D23))</f>
        <v>-76368</v>
      </c>
      <c r="E24" s="26">
        <f t="shared" si="29"/>
        <v>-92328</v>
      </c>
      <c r="F24" s="26">
        <f t="shared" si="29"/>
        <v>-107208</v>
      </c>
      <c r="H24" s="26">
        <f t="shared" ref="H24" si="30">SUM(H19+SUM(H22:H23))</f>
        <v>-19723</v>
      </c>
      <c r="I24" s="26">
        <f t="shared" ref="I24" si="31">SUM(I19+SUM(I22:I23))</f>
        <v>-16510</v>
      </c>
      <c r="J24" s="26">
        <f t="shared" ref="J24" si="32">SUM(J19+SUM(J22:J23))</f>
        <v>-21459</v>
      </c>
      <c r="K24" s="26">
        <f t="shared" ref="K24" si="33">SUM(K19+SUM(K22:K23))</f>
        <v>-18676</v>
      </c>
      <c r="L24" s="26">
        <f t="shared" ref="L24" si="34">SUM(L19+SUM(L22:L23))</f>
        <v>-20439</v>
      </c>
      <c r="M24" s="26">
        <f t="shared" ref="M24" si="35">SUM(M19+SUM(M22:M23))</f>
        <v>-24748</v>
      </c>
      <c r="N24" s="26">
        <f t="shared" ref="N24" si="36">SUM(N19+SUM(N22:N23))</f>
        <v>-22792</v>
      </c>
      <c r="O24" s="26">
        <f t="shared" ref="O24" si="37">SUM(O19+SUM(O22:O23))</f>
        <v>-24349</v>
      </c>
      <c r="P24" s="26">
        <f t="shared" ref="P24" si="38">SUM(P19+SUM(P22:P23))</f>
        <v>-24787</v>
      </c>
      <c r="Q24" s="26">
        <f t="shared" ref="Q24" si="39">SUM(Q19+SUM(Q22:Q23))</f>
        <v>-27720</v>
      </c>
      <c r="R24" s="26">
        <f t="shared" ref="R24" si="40">SUM(R19+SUM(R22:R23))</f>
        <v>-28421</v>
      </c>
      <c r="S24" s="26">
        <f t="shared" ref="S24" si="41">SUM(S19+SUM(S22:S23))</f>
        <v>-26280</v>
      </c>
      <c r="T24" s="26">
        <f t="shared" ref="T24" si="42">SUM(T19+SUM(T22:T23))</f>
        <v>-21352</v>
      </c>
      <c r="U24" s="26">
        <f t="shared" ref="U24" si="43">SUM(U19+SUM(U22:U23))</f>
        <v>-27867</v>
      </c>
      <c r="V24" s="26">
        <f t="shared" ref="V24" si="44">SUM(V19+SUM(V22:V23))</f>
        <v>-22525</v>
      </c>
      <c r="X24" s="26">
        <f t="shared" ref="X24" si="45">SUM(X19+SUM(X22:X23))</f>
        <v>-12937</v>
      </c>
      <c r="Y24" s="26">
        <f t="shared" ref="Y24" si="46">SUM(Y19+SUM(Y22:Y23))</f>
        <v>-41007</v>
      </c>
      <c r="Z24" s="26">
        <f t="shared" ref="Z24" si="47">SUM(Z19+SUM(Z22:Z23))</f>
        <v>-65865</v>
      </c>
      <c r="AA24" s="26">
        <f t="shared" ref="AA24" si="48">SUM(AA19+SUM(AA22:AA23))</f>
        <v>-92328</v>
      </c>
      <c r="AB24" s="26">
        <f t="shared" ref="AB24" si="49">SUM(AB19+SUM(AB22:AB23))</f>
        <v>-96676</v>
      </c>
      <c r="AC24" s="26">
        <f t="shared" ref="AC24" si="50">SUM(AC19+SUM(AC22:AC23))</f>
        <v>-99648</v>
      </c>
      <c r="AD24" s="26">
        <f t="shared" ref="AD24" si="51">SUM(AD19+SUM(AD22:AD23))</f>
        <v>-105277</v>
      </c>
      <c r="AE24" s="26">
        <f t="shared" ref="AE24" si="52">SUM(AE19+SUM(AE22:AE23))</f>
        <v>-107208</v>
      </c>
      <c r="AF24" s="26">
        <f t="shared" ref="AF24" si="53">SUM(AF19+SUM(AF22:AF23))</f>
        <v>-103773</v>
      </c>
      <c r="AG24" s="26">
        <f t="shared" ref="AG24" si="54">SUM(AG19+SUM(AG22:AG23))</f>
        <v>-103920</v>
      </c>
      <c r="AH24" s="26">
        <f t="shared" ref="AH24" si="55">SUM(AH19+SUM(AH22:AH23))</f>
        <v>-98024</v>
      </c>
      <c r="AJ24" s="130">
        <f>SUM(AH24/AD24)-1</f>
        <v>-6.8894440381089939E-2</v>
      </c>
    </row>
    <row r="25" spans="2:36" ht="12.75" customHeight="1">
      <c r="B25" s="16" t="s">
        <v>34</v>
      </c>
      <c r="C25" s="17">
        <f>C24/C9</f>
        <v>-57.772763262074427</v>
      </c>
      <c r="D25" s="17">
        <f>D24/D9</f>
        <v>-48.797444089456867</v>
      </c>
      <c r="E25" s="17" t="e">
        <f>E24/E9</f>
        <v>#DIV/0!</v>
      </c>
      <c r="F25" s="17" t="e">
        <f>F24/F9</f>
        <v>#DIV/0!</v>
      </c>
      <c r="H25" s="17">
        <f>H24/H9</f>
        <v>-84.648068669527902</v>
      </c>
      <c r="I25" s="17">
        <f>I24/I9</f>
        <v>-12.690238278247502</v>
      </c>
      <c r="J25" s="17">
        <f>J24/J9</f>
        <v>-692.22580645161293</v>
      </c>
      <c r="K25" s="17" t="e">
        <f>K24/K9</f>
        <v>#DIV/0!</v>
      </c>
      <c r="L25" s="17" t="e">
        <f>L24/L9</f>
        <v>#DIV/0!</v>
      </c>
      <c r="M25" s="17" t="e">
        <f>M24/M9</f>
        <v>#DIV/0!</v>
      </c>
      <c r="N25" s="17" t="e">
        <f>N24/N9</f>
        <v>#DIV/0!</v>
      </c>
      <c r="O25" s="17" t="e">
        <f>O24/O9</f>
        <v>#DIV/0!</v>
      </c>
      <c r="P25" s="17" t="e">
        <f>P24/P9</f>
        <v>#DIV/0!</v>
      </c>
      <c r="Q25" s="17" t="e">
        <f>Q24/Q9</f>
        <v>#DIV/0!</v>
      </c>
      <c r="R25" s="17" t="e">
        <f>R24/R9</f>
        <v>#DIV/0!</v>
      </c>
      <c r="S25" s="17" t="e">
        <f>S24/S9</f>
        <v>#DIV/0!</v>
      </c>
      <c r="T25" s="17">
        <f>T24/T9</f>
        <v>-41.299806576402318</v>
      </c>
      <c r="U25" s="17">
        <f>U24/U9</f>
        <v>-92.581395348837205</v>
      </c>
      <c r="V25" s="17">
        <f>V24/V9</f>
        <v>-29.913678618857901</v>
      </c>
      <c r="X25" s="17">
        <f>X24/X9</f>
        <v>-9.7124624624624616</v>
      </c>
      <c r="Y25" s="17">
        <f>Y24/Y9</f>
        <v>-1322.8064516129032</v>
      </c>
      <c r="Z25" s="17" t="e">
        <f>Z24/Z9</f>
        <v>#DIV/0!</v>
      </c>
      <c r="AA25" s="17" t="e">
        <f>AA24/AA9</f>
        <v>#DIV/0!</v>
      </c>
      <c r="AB25" s="17" t="e">
        <f>AB24/AB9</f>
        <v>#DIV/0!</v>
      </c>
      <c r="AC25" s="17" t="e">
        <f>AC24/AC9</f>
        <v>#DIV/0!</v>
      </c>
      <c r="AD25" s="17" t="e">
        <f>AD24/AD9</f>
        <v>#DIV/0!</v>
      </c>
      <c r="AE25" s="17" t="e">
        <f>AE24/AE9</f>
        <v>#DIV/0!</v>
      </c>
      <c r="AF25" s="17">
        <f>AF24/AF9</f>
        <v>-200.72147001934235</v>
      </c>
      <c r="AG25" s="17">
        <f>AG24/AG9</f>
        <v>-127.04156479217603</v>
      </c>
      <c r="AH25" s="17">
        <f>AH24/AH9</f>
        <v>-62.395926161680457</v>
      </c>
      <c r="AJ25" s="131" t="e">
        <f>SUM(AH25-AD25)*10000</f>
        <v>#DIV/0!</v>
      </c>
    </row>
    <row r="26" spans="2:36" ht="5.0999999999999996" customHeight="1">
      <c r="AJ26" s="128"/>
    </row>
    <row r="27" spans="2:36" ht="12.75" customHeight="1">
      <c r="B27" s="31" t="s">
        <v>164</v>
      </c>
      <c r="C27" s="144">
        <f>'Historical Financials'!C95</f>
        <v>10146</v>
      </c>
      <c r="D27" s="144">
        <f>'Historical Financials'!D95</f>
        <v>6184</v>
      </c>
      <c r="E27" s="144">
        <f>'Historical Financials'!E95</f>
        <v>6828</v>
      </c>
      <c r="F27" s="144">
        <f>'Historical Financials'!F95</f>
        <v>6137</v>
      </c>
      <c r="H27" s="144">
        <f>'Historical Financials'!H95</f>
        <v>1547</v>
      </c>
      <c r="I27" s="144">
        <f>'Historical Financials'!I95</f>
        <v>1491</v>
      </c>
      <c r="J27" s="144">
        <f>'Historical Financials'!J95</f>
        <v>1476</v>
      </c>
      <c r="K27" s="144">
        <f>'Historical Financials'!K95</f>
        <v>1670</v>
      </c>
      <c r="L27" s="144">
        <f>'Historical Financials'!L95</f>
        <v>1809</v>
      </c>
      <c r="M27" s="144">
        <f>'Historical Financials'!M95</f>
        <v>1841</v>
      </c>
      <c r="N27" s="144">
        <f>'Historical Financials'!N95</f>
        <v>1772</v>
      </c>
      <c r="O27" s="144">
        <f>'Historical Financials'!O95</f>
        <v>1406</v>
      </c>
      <c r="P27" s="144">
        <f>'Historical Financials'!P95</f>
        <v>1454</v>
      </c>
      <c r="Q27" s="144">
        <f>'Historical Financials'!Q95</f>
        <v>1437</v>
      </c>
      <c r="R27" s="144">
        <f>'Historical Financials'!R95</f>
        <v>1552</v>
      </c>
      <c r="S27" s="144">
        <f>'Historical Financials'!S95</f>
        <v>1694</v>
      </c>
      <c r="T27" s="144">
        <f>'Historical Financials'!T95</f>
        <v>2487</v>
      </c>
      <c r="U27" s="144">
        <f>'Historical Financials'!U95</f>
        <v>2335</v>
      </c>
      <c r="V27" s="144">
        <f>'Historical Financials'!V95</f>
        <v>2461</v>
      </c>
      <c r="X27" s="10">
        <f>SUM(L27:L27)</f>
        <v>1809</v>
      </c>
      <c r="Y27" s="10">
        <f>SUM(L27:M27)</f>
        <v>3650</v>
      </c>
      <c r="Z27" s="10">
        <f>SUM(L27:N27)</f>
        <v>5422</v>
      </c>
      <c r="AA27" s="10">
        <f>SUM(L27:O27)</f>
        <v>6828</v>
      </c>
      <c r="AB27" s="10">
        <f>SUM(M27:P27)</f>
        <v>6473</v>
      </c>
      <c r="AC27" s="10">
        <f>SUM(N27:Q27)</f>
        <v>6069</v>
      </c>
      <c r="AD27" s="145">
        <f>SUM(O27:R27)</f>
        <v>5849</v>
      </c>
      <c r="AE27" s="145">
        <f>SUM(P27:S27)</f>
        <v>6137</v>
      </c>
      <c r="AF27" s="145">
        <f>SUM(Q27:T27)</f>
        <v>7170</v>
      </c>
      <c r="AG27" s="145">
        <f>SUM(R27:U27)</f>
        <v>8068</v>
      </c>
      <c r="AH27" s="145">
        <f>SUM(S27:V27)</f>
        <v>8977</v>
      </c>
      <c r="AJ27" s="129">
        <f>SUM(AH27/AD27)-1</f>
        <v>0.53479227218327918</v>
      </c>
    </row>
    <row r="28" spans="2:36" ht="12.75" customHeight="1">
      <c r="B28" s="13" t="s">
        <v>35</v>
      </c>
      <c r="C28" s="14">
        <f>+SUM(C24+SUM(C27:C27))</f>
        <v>-62821</v>
      </c>
      <c r="D28" s="14">
        <f>+SUM(D24+SUM(D27:D27))</f>
        <v>-70184</v>
      </c>
      <c r="E28" s="14">
        <f>+SUM(E24+SUM(E27:E27))</f>
        <v>-85500</v>
      </c>
      <c r="F28" s="14">
        <f>+SUM(F24+SUM(F27:F27))</f>
        <v>-101071</v>
      </c>
      <c r="G28" s="11"/>
      <c r="H28" s="14">
        <f t="shared" ref="H28:K28" si="56">+SUM(H24+SUM(H27:H27))</f>
        <v>-18176</v>
      </c>
      <c r="I28" s="14">
        <f t="shared" si="56"/>
        <v>-15019</v>
      </c>
      <c r="J28" s="14">
        <f t="shared" si="56"/>
        <v>-19983</v>
      </c>
      <c r="K28" s="14">
        <f t="shared" si="56"/>
        <v>-17006</v>
      </c>
      <c r="L28" s="14">
        <f t="shared" ref="L28:V28" si="57">+SUM(L24+SUM(L27:L27))</f>
        <v>-18630</v>
      </c>
      <c r="M28" s="14">
        <f t="shared" si="57"/>
        <v>-22907</v>
      </c>
      <c r="N28" s="14">
        <f t="shared" si="57"/>
        <v>-21020</v>
      </c>
      <c r="O28" s="14">
        <f t="shared" si="57"/>
        <v>-22943</v>
      </c>
      <c r="P28" s="14">
        <f t="shared" si="57"/>
        <v>-23333</v>
      </c>
      <c r="Q28" s="14">
        <f t="shared" si="57"/>
        <v>-26283</v>
      </c>
      <c r="R28" s="14">
        <f t="shared" si="57"/>
        <v>-26869</v>
      </c>
      <c r="S28" s="14">
        <f t="shared" si="57"/>
        <v>-24586</v>
      </c>
      <c r="T28" s="14">
        <f t="shared" si="57"/>
        <v>-18865</v>
      </c>
      <c r="U28" s="14">
        <f t="shared" si="57"/>
        <v>-25532</v>
      </c>
      <c r="V28" s="14">
        <f t="shared" si="57"/>
        <v>-20064</v>
      </c>
      <c r="X28" s="14">
        <f t="shared" ref="X28:AH28" si="58">+SUM(X24+SUM(X27:X27))</f>
        <v>-11128</v>
      </c>
      <c r="Y28" s="14">
        <f t="shared" si="58"/>
        <v>-37357</v>
      </c>
      <c r="Z28" s="14">
        <f t="shared" si="58"/>
        <v>-60443</v>
      </c>
      <c r="AA28" s="14">
        <f t="shared" si="58"/>
        <v>-85500</v>
      </c>
      <c r="AB28" s="14">
        <f t="shared" si="58"/>
        <v>-90203</v>
      </c>
      <c r="AC28" s="14">
        <f t="shared" si="58"/>
        <v>-93579</v>
      </c>
      <c r="AD28" s="14">
        <f t="shared" si="58"/>
        <v>-99428</v>
      </c>
      <c r="AE28" s="14">
        <f t="shared" si="58"/>
        <v>-101071</v>
      </c>
      <c r="AF28" s="14">
        <f t="shared" si="58"/>
        <v>-96603</v>
      </c>
      <c r="AG28" s="14">
        <f t="shared" si="58"/>
        <v>-95852</v>
      </c>
      <c r="AH28" s="14">
        <f t="shared" si="58"/>
        <v>-89047</v>
      </c>
      <c r="AJ28" s="130">
        <f>SUM(AH28/AD28)-1</f>
        <v>-0.10440720923683466</v>
      </c>
    </row>
    <row r="29" spans="2:36" ht="12.75" customHeight="1">
      <c r="B29" s="16" t="s">
        <v>36</v>
      </c>
      <c r="C29" s="17">
        <f>C28/C9</f>
        <v>-49.739509105304833</v>
      </c>
      <c r="D29" s="17">
        <f>D28/D9</f>
        <v>-44.846006389776356</v>
      </c>
      <c r="E29" s="17" t="e">
        <f>E28/E9</f>
        <v>#DIV/0!</v>
      </c>
      <c r="F29" s="17" t="e">
        <f>F28/F9</f>
        <v>#DIV/0!</v>
      </c>
      <c r="H29" s="17">
        <f>H28/H9</f>
        <v>-78.008583690987123</v>
      </c>
      <c r="I29" s="17">
        <f>I28/I9</f>
        <v>-11.544196771714066</v>
      </c>
      <c r="J29" s="17">
        <f>J28/J9</f>
        <v>-644.61290322580646</v>
      </c>
      <c r="K29" s="17" t="e">
        <f>K28/K9</f>
        <v>#DIV/0!</v>
      </c>
      <c r="L29" s="17" t="e">
        <f>L28/L9</f>
        <v>#DIV/0!</v>
      </c>
      <c r="M29" s="17" t="e">
        <f>M28/M9</f>
        <v>#DIV/0!</v>
      </c>
      <c r="N29" s="17" t="e">
        <f>N28/N9</f>
        <v>#DIV/0!</v>
      </c>
      <c r="O29" s="17" t="e">
        <f>O28/O9</f>
        <v>#DIV/0!</v>
      </c>
      <c r="P29" s="17" t="e">
        <f>P28/P9</f>
        <v>#DIV/0!</v>
      </c>
      <c r="Q29" s="17" t="e">
        <f>Q28/Q9</f>
        <v>#DIV/0!</v>
      </c>
      <c r="R29" s="17" t="e">
        <f>R28/R9</f>
        <v>#DIV/0!</v>
      </c>
      <c r="S29" s="17" t="e">
        <f>S28/S9</f>
        <v>#DIV/0!</v>
      </c>
      <c r="T29" s="17">
        <f>T28/T9</f>
        <v>-36.48936170212766</v>
      </c>
      <c r="U29" s="17">
        <f>U28/U9</f>
        <v>-84.823920265780728</v>
      </c>
      <c r="V29" s="17">
        <f>V28/V9</f>
        <v>-26.645418326693228</v>
      </c>
      <c r="X29" s="17">
        <f>X28/X9</f>
        <v>-8.3543543543543546</v>
      </c>
      <c r="Y29" s="17">
        <f>Y28/Y9</f>
        <v>-1205.0645161290322</v>
      </c>
      <c r="Z29" s="17" t="e">
        <f>Z28/Z9</f>
        <v>#DIV/0!</v>
      </c>
      <c r="AA29" s="17" t="e">
        <f>AA28/AA9</f>
        <v>#DIV/0!</v>
      </c>
      <c r="AB29" s="17" t="e">
        <f>AB28/AB9</f>
        <v>#DIV/0!</v>
      </c>
      <c r="AC29" s="17" t="e">
        <f>AC28/AC9</f>
        <v>#DIV/0!</v>
      </c>
      <c r="AD29" s="17" t="e">
        <f>AD28/AD9</f>
        <v>#DIV/0!</v>
      </c>
      <c r="AE29" s="17" t="e">
        <f>AE28/AE9</f>
        <v>#DIV/0!</v>
      </c>
      <c r="AF29" s="17">
        <f>AF28/AF9</f>
        <v>-186.85299806576401</v>
      </c>
      <c r="AG29" s="17">
        <f>AG28/AG9</f>
        <v>-117.17848410757946</v>
      </c>
      <c r="AH29" s="17">
        <f>AH28/AH9</f>
        <v>-56.681731381285807</v>
      </c>
      <c r="AJ29" s="131" t="e">
        <f>SUM(AH29-AD29)*10000</f>
        <v>#DIV/0!</v>
      </c>
    </row>
    <row r="30" spans="2:36" ht="5.0999999999999996" customHeight="1">
      <c r="AJ30" s="128"/>
    </row>
    <row r="31" spans="2:36" ht="12.75" customHeight="1">
      <c r="B31" s="23" t="s">
        <v>37</v>
      </c>
      <c r="C31" s="144">
        <f>'Historical Financials'!C106</f>
        <v>-220</v>
      </c>
      <c r="D31" s="144">
        <f>'Historical Financials'!D106</f>
        <v>-1048</v>
      </c>
      <c r="E31" s="144">
        <f>'Historical Financials'!E106</f>
        <v>-2280</v>
      </c>
      <c r="F31" s="144">
        <f>'Historical Financials'!F106</f>
        <v>-1572</v>
      </c>
      <c r="H31" s="144">
        <f>'Historical Financials'!H106</f>
        <v>-22</v>
      </c>
      <c r="I31" s="144">
        <f>'Historical Financials'!I106</f>
        <v>-134</v>
      </c>
      <c r="J31" s="144">
        <f>'Historical Financials'!J106</f>
        <v>-211</v>
      </c>
      <c r="K31" s="144">
        <f>'Historical Financials'!K106</f>
        <v>-681</v>
      </c>
      <c r="L31" s="144">
        <f>'Historical Financials'!L106</f>
        <v>-1152</v>
      </c>
      <c r="M31" s="144">
        <f>'Historical Financials'!M106</f>
        <v>-485</v>
      </c>
      <c r="N31" s="144">
        <f>'Historical Financials'!N106</f>
        <v>-493</v>
      </c>
      <c r="O31" s="144">
        <f>'Historical Financials'!O106</f>
        <v>-150</v>
      </c>
      <c r="P31" s="144">
        <f>'Historical Financials'!P106</f>
        <v>-391</v>
      </c>
      <c r="Q31" s="144">
        <f>'Historical Financials'!Q106</f>
        <v>-184</v>
      </c>
      <c r="R31" s="144">
        <f>'Historical Financials'!R106</f>
        <v>-934</v>
      </c>
      <c r="S31" s="144">
        <f>'Historical Financials'!S106</f>
        <v>-63</v>
      </c>
      <c r="T31" s="144">
        <f>'Historical Financials'!T106</f>
        <v>-228</v>
      </c>
      <c r="U31" s="144">
        <f>'Historical Financials'!U106</f>
        <v>-568</v>
      </c>
      <c r="V31" s="144">
        <f>'Historical Financials'!V106</f>
        <v>-49</v>
      </c>
      <c r="X31" s="10">
        <f>SUM(L31:L31)</f>
        <v>-1152</v>
      </c>
      <c r="Y31" s="10">
        <f>SUM(L31:M31)</f>
        <v>-1637</v>
      </c>
      <c r="Z31" s="10">
        <f>SUM(L31:N31)</f>
        <v>-2130</v>
      </c>
      <c r="AA31" s="10">
        <f>SUM(L31:O31)</f>
        <v>-2280</v>
      </c>
      <c r="AB31" s="10">
        <f>SUM(M31:P31)</f>
        <v>-1519</v>
      </c>
      <c r="AC31" s="10">
        <f>SUM(N31:Q31)</f>
        <v>-1218</v>
      </c>
      <c r="AD31" s="145">
        <f>SUM(O31:R31)</f>
        <v>-1659</v>
      </c>
      <c r="AE31" s="145">
        <f>SUM(P31:S31)</f>
        <v>-1572</v>
      </c>
      <c r="AF31" s="145">
        <f>SUM(Q31:T31)</f>
        <v>-1409</v>
      </c>
      <c r="AG31" s="145">
        <f>SUM(R31:U31)</f>
        <v>-1793</v>
      </c>
      <c r="AH31" s="145">
        <f>SUM(S31:V31)</f>
        <v>-908</v>
      </c>
      <c r="AJ31" s="129">
        <f>SUM(AH31/AD31)-1</f>
        <v>-0.45268233875828812</v>
      </c>
    </row>
    <row r="32" spans="2:36" ht="12.75" customHeight="1">
      <c r="B32" s="23" t="s">
        <v>38</v>
      </c>
      <c r="C32" s="144">
        <f>-'Historical Financials'!C131</f>
        <v>0</v>
      </c>
      <c r="D32" s="144">
        <f>-'Historical Financials'!D131</f>
        <v>0</v>
      </c>
      <c r="E32" s="144">
        <f>-'Historical Financials'!E131</f>
        <v>0</v>
      </c>
      <c r="F32" s="144">
        <f>-'Historical Financials'!F131</f>
        <v>0</v>
      </c>
      <c r="H32" s="144">
        <f>-'Historical Financials'!H131</f>
        <v>0</v>
      </c>
      <c r="I32" s="144">
        <f>-'Historical Financials'!I131</f>
        <v>0</v>
      </c>
      <c r="J32" s="144">
        <f>-'Historical Financials'!J131</f>
        <v>0</v>
      </c>
      <c r="K32" s="144">
        <f>-'Historical Financials'!K131</f>
        <v>0</v>
      </c>
      <c r="L32" s="144">
        <f>-'Historical Financials'!L131</f>
        <v>0</v>
      </c>
      <c r="M32" s="144">
        <f>-'Historical Financials'!M131</f>
        <v>0</v>
      </c>
      <c r="N32" s="144">
        <f>-'Historical Financials'!N131</f>
        <v>0</v>
      </c>
      <c r="O32" s="144">
        <f>-'Historical Financials'!O131</f>
        <v>0</v>
      </c>
      <c r="P32" s="144">
        <f>-'Historical Financials'!P131</f>
        <v>0</v>
      </c>
      <c r="Q32" s="144">
        <f>-'Historical Financials'!Q131</f>
        <v>0</v>
      </c>
      <c r="R32" s="144">
        <f>-'Historical Financials'!R131</f>
        <v>0</v>
      </c>
      <c r="S32" s="144">
        <f>-'Historical Financials'!S131</f>
        <v>0</v>
      </c>
      <c r="T32" s="144">
        <f>-'Historical Financials'!T131</f>
        <v>0</v>
      </c>
      <c r="U32" s="144">
        <f>-'Historical Financials'!U131</f>
        <v>0</v>
      </c>
      <c r="V32" s="144">
        <f>-'Historical Financials'!V131</f>
        <v>0</v>
      </c>
      <c r="X32" s="10">
        <f>SUM(L32:L32)</f>
        <v>0</v>
      </c>
      <c r="Y32" s="10">
        <f>SUM(L32:M32)</f>
        <v>0</v>
      </c>
      <c r="Z32" s="10">
        <f>SUM(L32:N32)</f>
        <v>0</v>
      </c>
      <c r="AA32" s="10">
        <f>SUM(L32:O32)</f>
        <v>0</v>
      </c>
      <c r="AB32" s="10">
        <f>SUM(M32:P32)</f>
        <v>0</v>
      </c>
      <c r="AC32" s="10">
        <f>SUM(N32:Q32)</f>
        <v>0</v>
      </c>
      <c r="AD32" s="145">
        <f>SUM(O32:R32)</f>
        <v>0</v>
      </c>
      <c r="AE32" s="145">
        <f>SUM(P32:S32)</f>
        <v>0</v>
      </c>
      <c r="AF32" s="145">
        <f>SUM(Q32:T32)</f>
        <v>0</v>
      </c>
      <c r="AG32" s="145">
        <f>SUM(R32:U32)</f>
        <v>0</v>
      </c>
      <c r="AH32" s="145">
        <f>SUM(S32:V32)</f>
        <v>0</v>
      </c>
      <c r="AJ32" s="129" t="e">
        <f>SUM(AH32/AD32)-1</f>
        <v>#DIV/0!</v>
      </c>
    </row>
    <row r="33" spans="1:36" ht="12.75" customHeight="1">
      <c r="B33" s="23" t="s">
        <v>76</v>
      </c>
      <c r="C33" s="144">
        <f>'Historical Financials'!C23</f>
        <v>-4348</v>
      </c>
      <c r="D33" s="144">
        <f>'Historical Financials'!D23</f>
        <v>-6200</v>
      </c>
      <c r="E33" s="144">
        <f>'Historical Financials'!E23</f>
        <v>-6599</v>
      </c>
      <c r="F33" s="144">
        <f>'Historical Financials'!F23</f>
        <v>-9277</v>
      </c>
      <c r="H33" s="144">
        <f>'Historical Financials'!H23</f>
        <v>-1432</v>
      </c>
      <c r="I33" s="144">
        <f>'Historical Financials'!I23</f>
        <v>-1488</v>
      </c>
      <c r="J33" s="144">
        <f>'Historical Financials'!J23</f>
        <v>-1641</v>
      </c>
      <c r="K33" s="144">
        <f>'Historical Financials'!K23</f>
        <v>-1639</v>
      </c>
      <c r="L33" s="144">
        <f>'Historical Financials'!L23</f>
        <v>-1699</v>
      </c>
      <c r="M33" s="144">
        <f>'Historical Financials'!M23</f>
        <v>-1710</v>
      </c>
      <c r="N33" s="144">
        <f>'Historical Financials'!N23</f>
        <v>-1463</v>
      </c>
      <c r="O33" s="144">
        <f>'Historical Financials'!O23</f>
        <v>-1727</v>
      </c>
      <c r="P33" s="144">
        <f>'Historical Financials'!P23</f>
        <v>-1816</v>
      </c>
      <c r="Q33" s="144">
        <f>'Historical Financials'!Q23</f>
        <v>-2515</v>
      </c>
      <c r="R33" s="144">
        <f>'Historical Financials'!R23</f>
        <v>-2438</v>
      </c>
      <c r="S33" s="144">
        <f>'Historical Financials'!S23</f>
        <v>-2508</v>
      </c>
      <c r="T33" s="144">
        <f>'Historical Financials'!T23</f>
        <v>-3000</v>
      </c>
      <c r="U33" s="144">
        <f>'Historical Financials'!U23</f>
        <v>-2545</v>
      </c>
      <c r="V33" s="144">
        <f>'Historical Financials'!V23</f>
        <v>-2612</v>
      </c>
      <c r="X33" s="10">
        <f>SUM(L33:L33)</f>
        <v>-1699</v>
      </c>
      <c r="Y33" s="10">
        <f>SUM(L33:M33)</f>
        <v>-3409</v>
      </c>
      <c r="Z33" s="10">
        <f>SUM(L33:N33)</f>
        <v>-4872</v>
      </c>
      <c r="AA33" s="10">
        <f>SUM(L33:O33)</f>
        <v>-6599</v>
      </c>
      <c r="AB33" s="10">
        <f>SUM(M33:P33)</f>
        <v>-6716</v>
      </c>
      <c r="AC33" s="10">
        <f>SUM(N33:Q33)</f>
        <v>-7521</v>
      </c>
      <c r="AD33" s="145">
        <f>SUM(O33:R33)</f>
        <v>-8496</v>
      </c>
      <c r="AE33" s="145">
        <f>SUM(P33:S33)</f>
        <v>-9277</v>
      </c>
      <c r="AF33" s="145">
        <f>SUM(Q33:T33)</f>
        <v>-10461</v>
      </c>
      <c r="AG33" s="145">
        <f>SUM(R33:U33)</f>
        <v>-10491</v>
      </c>
      <c r="AH33" s="145">
        <f>SUM(S33:V33)</f>
        <v>-10665</v>
      </c>
      <c r="AJ33" s="129">
        <f>SUM(AH33/AD33)-1</f>
        <v>0.25529661016949157</v>
      </c>
    </row>
    <row r="34" spans="1:36" ht="12.75" customHeight="1">
      <c r="B34" s="23" t="s">
        <v>39</v>
      </c>
      <c r="C34" s="144">
        <f>SUM('Historical Financials'!C99:C102)</f>
        <v>-557</v>
      </c>
      <c r="D34" s="144">
        <f>SUM('Historical Financials'!D99:D102)</f>
        <v>1029</v>
      </c>
      <c r="E34" s="144">
        <f>SUM('Historical Financials'!E99:E102)</f>
        <v>6571</v>
      </c>
      <c r="F34" s="144">
        <f>SUM('Historical Financials'!F99:F102)</f>
        <v>311</v>
      </c>
      <c r="H34" s="144">
        <f>SUM('Historical Financials'!H99:H102)</f>
        <v>391</v>
      </c>
      <c r="I34" s="144">
        <f>SUM('Historical Financials'!I99:I102)</f>
        <v>-767</v>
      </c>
      <c r="J34" s="144">
        <f>SUM('Historical Financials'!J99:J102)</f>
        <v>3485</v>
      </c>
      <c r="K34" s="144">
        <f>SUM('Historical Financials'!K99:K102)</f>
        <v>-2080</v>
      </c>
      <c r="L34" s="144">
        <f>SUM('Historical Financials'!L99:L102)</f>
        <v>-159</v>
      </c>
      <c r="M34" s="144">
        <f>SUM('Historical Financials'!M99:M102)</f>
        <v>-3452</v>
      </c>
      <c r="N34" s="144">
        <f>SUM('Historical Financials'!N99:N102)</f>
        <v>7051</v>
      </c>
      <c r="O34" s="144">
        <f>SUM('Historical Financials'!O99:O102)</f>
        <v>3131</v>
      </c>
      <c r="P34" s="144">
        <f>SUM('Historical Financials'!P99:P102)</f>
        <v>-4660</v>
      </c>
      <c r="Q34" s="144">
        <f>SUM('Historical Financials'!Q99:Q102)</f>
        <v>4058</v>
      </c>
      <c r="R34" s="144">
        <f>SUM('Historical Financials'!R99:R102)</f>
        <v>3414</v>
      </c>
      <c r="S34" s="144">
        <f>SUM('Historical Financials'!S99:S102)</f>
        <v>-2501</v>
      </c>
      <c r="T34" s="144">
        <f>SUM('Historical Financials'!T99:T102)</f>
        <v>-9564</v>
      </c>
      <c r="U34" s="144">
        <f>SUM('Historical Financials'!U99:U102)</f>
        <v>-1398</v>
      </c>
      <c r="V34" s="144">
        <f>SUM('Historical Financials'!V99:V102)</f>
        <v>-4121</v>
      </c>
      <c r="X34" s="10">
        <f>SUM(L34:L34)</f>
        <v>-159</v>
      </c>
      <c r="Y34" s="10">
        <f>SUM(L34:M34)</f>
        <v>-3611</v>
      </c>
      <c r="Z34" s="10">
        <f>SUM(L34:N34)</f>
        <v>3440</v>
      </c>
      <c r="AA34" s="10">
        <f>SUM(L34:O34)</f>
        <v>6571</v>
      </c>
      <c r="AB34" s="10">
        <f>SUM(M34:P34)</f>
        <v>2070</v>
      </c>
      <c r="AC34" s="10">
        <f>SUM(N34:Q34)</f>
        <v>9580</v>
      </c>
      <c r="AD34" s="145">
        <f>SUM(O34:R34)</f>
        <v>5943</v>
      </c>
      <c r="AE34" s="145">
        <f>SUM(P34:S34)</f>
        <v>311</v>
      </c>
      <c r="AF34" s="145">
        <f>SUM(Q34:T34)</f>
        <v>-4593</v>
      </c>
      <c r="AG34" s="145">
        <f>SUM(R34:U34)</f>
        <v>-10049</v>
      </c>
      <c r="AH34" s="145">
        <f>SUM(S34:V34)</f>
        <v>-17584</v>
      </c>
      <c r="AJ34" s="129">
        <f>SUM(AH34/AD34)-1</f>
        <v>-3.9587750294464077</v>
      </c>
    </row>
    <row r="35" spans="1:36" ht="12.75" customHeight="1">
      <c r="B35" s="13" t="s">
        <v>40</v>
      </c>
      <c r="C35" s="14">
        <f>SUM(C28+SUM(C31:C34))</f>
        <v>-67946</v>
      </c>
      <c r="D35" s="14">
        <f>SUM(D28+SUM(D31:D34))</f>
        <v>-76403</v>
      </c>
      <c r="E35" s="14">
        <f>SUM(E28+SUM(E31:E34))</f>
        <v>-87808</v>
      </c>
      <c r="F35" s="14">
        <f>SUM(F28+SUM(F31:F34))</f>
        <v>-111609</v>
      </c>
      <c r="H35" s="14">
        <f t="shared" ref="H35:K35" si="59">SUM(H28+SUM(H31:H34))</f>
        <v>-19239</v>
      </c>
      <c r="I35" s="14">
        <f t="shared" si="59"/>
        <v>-17408</v>
      </c>
      <c r="J35" s="14">
        <f t="shared" si="59"/>
        <v>-18350</v>
      </c>
      <c r="K35" s="14">
        <f t="shared" si="59"/>
        <v>-21406</v>
      </c>
      <c r="L35" s="14">
        <f t="shared" ref="L35:U35" si="60">SUM(L28+SUM(L31:L34))</f>
        <v>-21640</v>
      </c>
      <c r="M35" s="14">
        <f t="shared" si="60"/>
        <v>-28554</v>
      </c>
      <c r="N35" s="14">
        <f t="shared" si="60"/>
        <v>-15925</v>
      </c>
      <c r="O35" s="14">
        <f t="shared" si="60"/>
        <v>-21689</v>
      </c>
      <c r="P35" s="14">
        <f t="shared" si="60"/>
        <v>-30200</v>
      </c>
      <c r="Q35" s="14">
        <f t="shared" si="60"/>
        <v>-24924</v>
      </c>
      <c r="R35" s="14">
        <f t="shared" si="60"/>
        <v>-26827</v>
      </c>
      <c r="S35" s="14">
        <f t="shared" si="60"/>
        <v>-29658</v>
      </c>
      <c r="T35" s="14">
        <f t="shared" si="60"/>
        <v>-31657</v>
      </c>
      <c r="U35" s="14">
        <f t="shared" si="60"/>
        <v>-30043</v>
      </c>
      <c r="V35" s="14">
        <f>SUM(V28+SUM(V31:V34))</f>
        <v>-26846</v>
      </c>
      <c r="X35" s="14">
        <f t="shared" ref="X35:AF35" si="61">SUM(X28+SUM(X31:X34))</f>
        <v>-14138</v>
      </c>
      <c r="Y35" s="14">
        <f t="shared" si="61"/>
        <v>-46014</v>
      </c>
      <c r="Z35" s="14">
        <f t="shared" si="61"/>
        <v>-64005</v>
      </c>
      <c r="AA35" s="14">
        <f t="shared" si="61"/>
        <v>-87808</v>
      </c>
      <c r="AB35" s="14">
        <f t="shared" si="61"/>
        <v>-96368</v>
      </c>
      <c r="AC35" s="14">
        <f t="shared" si="61"/>
        <v>-92738</v>
      </c>
      <c r="AD35" s="14">
        <f t="shared" si="61"/>
        <v>-103640</v>
      </c>
      <c r="AE35" s="14">
        <f t="shared" si="61"/>
        <v>-111609</v>
      </c>
      <c r="AF35" s="14">
        <f t="shared" si="61"/>
        <v>-113066</v>
      </c>
      <c r="AG35" s="14">
        <f>SUM(AG28+SUM(AG31:AG34))</f>
        <v>-118185</v>
      </c>
      <c r="AH35" s="14">
        <f>SUM(AH28+SUM(AH31:AH34))</f>
        <v>-118204</v>
      </c>
      <c r="AJ35" s="130">
        <f>SUM(AH35/AD35)-1</f>
        <v>0.14052489386337319</v>
      </c>
    </row>
    <row r="36" spans="1:36" ht="5.0999999999999996" customHeight="1"/>
    <row r="37" spans="1:36" ht="12.75" customHeight="1">
      <c r="B37" s="31" t="s">
        <v>165</v>
      </c>
      <c r="C37" s="144">
        <f>'Historical Financials'!C96</f>
        <v>-55772</v>
      </c>
      <c r="D37" s="144">
        <f>'Historical Financials'!D96</f>
        <v>-75767</v>
      </c>
      <c r="E37" s="144">
        <f>'Historical Financials'!E96</f>
        <v>10023</v>
      </c>
      <c r="F37" s="144">
        <f>'Historical Financials'!F96</f>
        <v>33045</v>
      </c>
      <c r="G37" s="32"/>
      <c r="H37" s="144">
        <f>'Historical Financials'!H96</f>
        <v>-3258</v>
      </c>
      <c r="I37" s="144">
        <f>'Historical Financials'!I96</f>
        <v>-56353</v>
      </c>
      <c r="J37" s="144">
        <f>'Historical Financials'!J96</f>
        <v>962</v>
      </c>
      <c r="K37" s="144">
        <f>'Historical Financials'!K96</f>
        <v>-17118</v>
      </c>
      <c r="L37" s="144">
        <f>'Historical Financials'!L96</f>
        <v>14191</v>
      </c>
      <c r="M37" s="144">
        <f>'Historical Financials'!M96</f>
        <v>-3627</v>
      </c>
      <c r="N37" s="144">
        <f>'Historical Financials'!N96</f>
        <v>1144</v>
      </c>
      <c r="O37" s="144">
        <f>'Historical Financials'!O96</f>
        <v>-1685</v>
      </c>
      <c r="P37" s="144">
        <f>'Historical Financials'!P96</f>
        <v>4593</v>
      </c>
      <c r="Q37" s="144">
        <f>'Historical Financials'!Q96</f>
        <v>25571</v>
      </c>
      <c r="R37" s="144">
        <f>'Historical Financials'!R96</f>
        <v>8489</v>
      </c>
      <c r="S37" s="144">
        <f>'Historical Financials'!S96</f>
        <v>-5608</v>
      </c>
      <c r="T37" s="144">
        <f>'Historical Financials'!T96</f>
        <v>-49731</v>
      </c>
      <c r="U37" s="144">
        <f>'Historical Financials'!U96</f>
        <v>5470</v>
      </c>
      <c r="V37" s="144">
        <f>'Historical Financials'!V96</f>
        <v>-4893</v>
      </c>
      <c r="X37" s="145">
        <f t="shared" ref="X37:AG43" si="62">SUM(I37:L37)</f>
        <v>-58318</v>
      </c>
      <c r="Y37" s="145">
        <f t="shared" si="62"/>
        <v>-5592</v>
      </c>
      <c r="Z37" s="145">
        <f t="shared" si="62"/>
        <v>-5410</v>
      </c>
      <c r="AA37" s="145">
        <f t="shared" si="62"/>
        <v>10023</v>
      </c>
      <c r="AB37" s="145">
        <f t="shared" si="62"/>
        <v>425</v>
      </c>
      <c r="AC37" s="145">
        <f t="shared" si="62"/>
        <v>29623</v>
      </c>
      <c r="AD37" s="145">
        <f t="shared" si="62"/>
        <v>36968</v>
      </c>
      <c r="AE37" s="145">
        <f t="shared" si="62"/>
        <v>33045</v>
      </c>
      <c r="AF37" s="145">
        <f t="shared" si="62"/>
        <v>-21279</v>
      </c>
      <c r="AG37" s="145">
        <f t="shared" si="62"/>
        <v>-41380</v>
      </c>
      <c r="AH37" s="145">
        <f>SUM(S37:V37)</f>
        <v>-54762</v>
      </c>
    </row>
    <row r="38" spans="1:36" ht="12.75" customHeight="1">
      <c r="B38" s="31" t="s">
        <v>167</v>
      </c>
      <c r="C38" s="144">
        <f>'Historical Financials'!C111</f>
        <v>598</v>
      </c>
      <c r="D38" s="144">
        <f>'Historical Financials'!D111</f>
        <v>535</v>
      </c>
      <c r="E38" s="144">
        <f>'Historical Financials'!E111</f>
        <v>566</v>
      </c>
      <c r="F38" s="144">
        <f>'Historical Financials'!F111</f>
        <v>97022</v>
      </c>
      <c r="G38" s="32"/>
      <c r="H38" s="144">
        <f>'Historical Financials'!H111</f>
        <v>1</v>
      </c>
      <c r="I38" s="144">
        <f>'Historical Financials'!I111</f>
        <v>11</v>
      </c>
      <c r="J38" s="144">
        <f>'Historical Financials'!J111</f>
        <v>217</v>
      </c>
      <c r="K38" s="144">
        <f>'Historical Financials'!K111</f>
        <v>306</v>
      </c>
      <c r="L38" s="144">
        <f>'Historical Financials'!L111</f>
        <v>119</v>
      </c>
      <c r="M38" s="144">
        <f>'Historical Financials'!M111</f>
        <v>95</v>
      </c>
      <c r="N38" s="144">
        <f>'Historical Financials'!N111</f>
        <v>99</v>
      </c>
      <c r="O38" s="144">
        <f>'Historical Financials'!O111</f>
        <v>253</v>
      </c>
      <c r="P38" s="144">
        <f>'Historical Financials'!P111</f>
        <v>43398</v>
      </c>
      <c r="Q38" s="144">
        <f>'Historical Financials'!Q111</f>
        <v>437</v>
      </c>
      <c r="R38" s="144">
        <f>'Historical Financials'!R111</f>
        <v>1508</v>
      </c>
      <c r="S38" s="144">
        <f>'Historical Financials'!S111</f>
        <v>51679</v>
      </c>
      <c r="T38" s="144">
        <f>'Historical Financials'!T111</f>
        <v>47426</v>
      </c>
      <c r="U38" s="144">
        <f>'Historical Financials'!U111</f>
        <v>2893</v>
      </c>
      <c r="V38" s="144">
        <f>'Historical Financials'!V111</f>
        <v>6197</v>
      </c>
      <c r="X38" s="145">
        <f t="shared" si="62"/>
        <v>653</v>
      </c>
      <c r="Y38" s="145">
        <f t="shared" si="62"/>
        <v>737</v>
      </c>
      <c r="Z38" s="145">
        <f t="shared" si="62"/>
        <v>619</v>
      </c>
      <c r="AA38" s="145">
        <f t="shared" si="62"/>
        <v>566</v>
      </c>
      <c r="AB38" s="145">
        <f t="shared" si="62"/>
        <v>43845</v>
      </c>
      <c r="AC38" s="145">
        <f t="shared" si="62"/>
        <v>44187</v>
      </c>
      <c r="AD38" s="145">
        <f t="shared" si="62"/>
        <v>45596</v>
      </c>
      <c r="AE38" s="145">
        <f t="shared" si="62"/>
        <v>97022</v>
      </c>
      <c r="AF38" s="145">
        <f t="shared" si="62"/>
        <v>101050</v>
      </c>
      <c r="AG38" s="145">
        <f t="shared" si="62"/>
        <v>103506</v>
      </c>
      <c r="AH38" s="145">
        <f>SUM(S38:V38)</f>
        <v>108195</v>
      </c>
    </row>
    <row r="39" spans="1:36" ht="12.75" customHeight="1">
      <c r="B39" s="31" t="s">
        <v>168</v>
      </c>
      <c r="C39" s="144">
        <f>'Historical Financials'!C112</f>
        <v>27930</v>
      </c>
      <c r="D39" s="144">
        <f>'Historical Financials'!D112</f>
        <v>-1981</v>
      </c>
      <c r="E39" s="144">
        <f>'Historical Financials'!E112</f>
        <v>-34066</v>
      </c>
      <c r="F39" s="144">
        <f>'Historical Financials'!F112</f>
        <v>-2579</v>
      </c>
      <c r="G39" s="32"/>
      <c r="H39" s="144">
        <f>'Historical Financials'!H112</f>
        <v>-462</v>
      </c>
      <c r="I39" s="144">
        <f>'Historical Financials'!I112</f>
        <v>-495</v>
      </c>
      <c r="J39" s="144">
        <f>'Historical Financials'!J112</f>
        <v>-506</v>
      </c>
      <c r="K39" s="144">
        <f>'Historical Financials'!K112</f>
        <v>-518</v>
      </c>
      <c r="L39" s="144">
        <f>'Historical Financials'!L112</f>
        <v>-528</v>
      </c>
      <c r="M39" s="144">
        <f>'Historical Financials'!M112</f>
        <v>-32373</v>
      </c>
      <c r="N39" s="144">
        <f>'Historical Financials'!N112</f>
        <v>-577</v>
      </c>
      <c r="O39" s="144">
        <f>'Historical Financials'!O112</f>
        <v>-588</v>
      </c>
      <c r="P39" s="144">
        <f>'Historical Financials'!P112</f>
        <v>-603</v>
      </c>
      <c r="Q39" s="144">
        <f>'Historical Financials'!Q112</f>
        <v>-644</v>
      </c>
      <c r="R39" s="144">
        <f>'Historical Financials'!R112</f>
        <v>-659</v>
      </c>
      <c r="S39" s="144">
        <f>'Historical Financials'!S112</f>
        <v>-673</v>
      </c>
      <c r="T39" s="144">
        <f>'Historical Financials'!T112</f>
        <v>-687</v>
      </c>
      <c r="U39" s="144">
        <f>'Historical Financials'!U112</f>
        <v>-727</v>
      </c>
      <c r="V39" s="144">
        <f>'Historical Financials'!V112</f>
        <v>-743</v>
      </c>
      <c r="X39" s="145">
        <f t="shared" si="62"/>
        <v>-2047</v>
      </c>
      <c r="Y39" s="145">
        <f t="shared" si="62"/>
        <v>-33925</v>
      </c>
      <c r="Z39" s="145">
        <f t="shared" si="62"/>
        <v>-33996</v>
      </c>
      <c r="AA39" s="145">
        <f t="shared" si="62"/>
        <v>-34066</v>
      </c>
      <c r="AB39" s="145">
        <f t="shared" si="62"/>
        <v>-34141</v>
      </c>
      <c r="AC39" s="145">
        <f t="shared" si="62"/>
        <v>-2412</v>
      </c>
      <c r="AD39" s="145">
        <f t="shared" si="62"/>
        <v>-2494</v>
      </c>
      <c r="AE39" s="145">
        <f t="shared" si="62"/>
        <v>-2579</v>
      </c>
      <c r="AF39" s="145">
        <f t="shared" si="62"/>
        <v>-2663</v>
      </c>
      <c r="AG39" s="145">
        <f t="shared" si="62"/>
        <v>-2746</v>
      </c>
      <c r="AH39" s="145">
        <f>SUM(S39:V39)</f>
        <v>-2830</v>
      </c>
    </row>
    <row r="40" spans="1:36" ht="12.75" customHeight="1">
      <c r="B40" s="31" t="s">
        <v>169</v>
      </c>
      <c r="C40" s="144">
        <f>'Historical Financials'!C113</f>
        <v>238455</v>
      </c>
      <c r="D40" s="144">
        <f>'Historical Financials'!D113</f>
        <v>0</v>
      </c>
      <c r="E40" s="144">
        <f>'Historical Financials'!E113</f>
        <v>0</v>
      </c>
      <c r="F40" s="144">
        <f>'Historical Financials'!F113</f>
        <v>0</v>
      </c>
      <c r="G40" s="32"/>
      <c r="H40" s="144">
        <f>'Historical Financials'!H113</f>
        <v>0</v>
      </c>
      <c r="I40" s="144">
        <f>'Historical Financials'!I113</f>
        <v>0</v>
      </c>
      <c r="J40" s="144">
        <f>'Historical Financials'!J113</f>
        <v>0</v>
      </c>
      <c r="K40" s="144">
        <f>'Historical Financials'!K113</f>
        <v>0</v>
      </c>
      <c r="L40" s="144">
        <f>'Historical Financials'!L113</f>
        <v>0</v>
      </c>
      <c r="M40" s="144">
        <f>'Historical Financials'!M113</f>
        <v>0</v>
      </c>
      <c r="N40" s="144">
        <f>'Historical Financials'!N113</f>
        <v>0</v>
      </c>
      <c r="O40" s="144">
        <f>'Historical Financials'!O113</f>
        <v>0</v>
      </c>
      <c r="P40" s="144">
        <f>'Historical Financials'!P113</f>
        <v>0</v>
      </c>
      <c r="Q40" s="144">
        <f>'Historical Financials'!Q113</f>
        <v>0</v>
      </c>
      <c r="R40" s="144">
        <f>'Historical Financials'!R113</f>
        <v>0</v>
      </c>
      <c r="S40" s="144">
        <f>'Historical Financials'!S113</f>
        <v>0</v>
      </c>
      <c r="T40" s="144">
        <f>'Historical Financials'!T113</f>
        <v>0</v>
      </c>
      <c r="U40" s="144">
        <f>'Historical Financials'!U113</f>
        <v>0</v>
      </c>
      <c r="V40" s="144">
        <f>'Historical Financials'!V113</f>
        <v>0</v>
      </c>
      <c r="X40" s="145">
        <f t="shared" si="62"/>
        <v>0</v>
      </c>
      <c r="Y40" s="145">
        <f t="shared" si="62"/>
        <v>0</v>
      </c>
      <c r="Z40" s="145">
        <f t="shared" si="62"/>
        <v>0</v>
      </c>
      <c r="AA40" s="145">
        <f t="shared" si="62"/>
        <v>0</v>
      </c>
      <c r="AB40" s="145">
        <f t="shared" si="62"/>
        <v>0</v>
      </c>
      <c r="AC40" s="145">
        <f t="shared" si="62"/>
        <v>0</v>
      </c>
      <c r="AD40" s="145">
        <f t="shared" si="62"/>
        <v>0</v>
      </c>
      <c r="AE40" s="145">
        <f t="shared" si="62"/>
        <v>0</v>
      </c>
      <c r="AF40" s="145">
        <f t="shared" si="62"/>
        <v>0</v>
      </c>
      <c r="AG40" s="145">
        <f t="shared" si="62"/>
        <v>0</v>
      </c>
      <c r="AH40" s="145">
        <f>SUM(S40:V40)</f>
        <v>0</v>
      </c>
    </row>
    <row r="41" spans="1:36" ht="12.75" customHeight="1">
      <c r="B41" s="31" t="s">
        <v>166</v>
      </c>
      <c r="C41" s="144">
        <f>'Historical Financials'!C107</f>
        <v>-8000</v>
      </c>
      <c r="D41" s="144">
        <f>'Historical Financials'!D107</f>
        <v>5893</v>
      </c>
      <c r="E41" s="144">
        <f>'Historical Financials'!E107</f>
        <v>2107</v>
      </c>
      <c r="F41" s="144">
        <f>'Historical Financials'!F107</f>
        <v>0</v>
      </c>
      <c r="G41" s="32"/>
      <c r="H41" s="144">
        <f>'Historical Financials'!H107</f>
        <v>0</v>
      </c>
      <c r="I41" s="144">
        <f>'Historical Financials'!I107</f>
        <v>0</v>
      </c>
      <c r="J41" s="144">
        <f>'Historical Financials'!J107</f>
        <v>0</v>
      </c>
      <c r="K41" s="144">
        <f>'Historical Financials'!K107</f>
        <v>5893</v>
      </c>
      <c r="L41" s="144">
        <f>'Historical Financials'!L107</f>
        <v>0</v>
      </c>
      <c r="M41" s="144">
        <f>'Historical Financials'!M107</f>
        <v>2107</v>
      </c>
      <c r="N41" s="144">
        <f>'Historical Financials'!N107</f>
        <v>0</v>
      </c>
      <c r="O41" s="144">
        <f>'Historical Financials'!O107</f>
        <v>0</v>
      </c>
      <c r="P41" s="144">
        <f>'Historical Financials'!P107</f>
        <v>0</v>
      </c>
      <c r="Q41" s="144">
        <f>'Historical Financials'!Q107</f>
        <v>0</v>
      </c>
      <c r="R41" s="144">
        <f>'Historical Financials'!R107</f>
        <v>0</v>
      </c>
      <c r="S41" s="144">
        <f>'Historical Financials'!S107</f>
        <v>0</v>
      </c>
      <c r="T41" s="144">
        <f>'Historical Financials'!T107</f>
        <v>0</v>
      </c>
      <c r="U41" s="144">
        <f>'Historical Financials'!U107</f>
        <v>0</v>
      </c>
      <c r="V41" s="144">
        <f>'Historical Financials'!V107</f>
        <v>0</v>
      </c>
      <c r="X41" s="145">
        <f t="shared" si="62"/>
        <v>5893</v>
      </c>
      <c r="Y41" s="145">
        <f t="shared" si="62"/>
        <v>8000</v>
      </c>
      <c r="Z41" s="145">
        <f t="shared" si="62"/>
        <v>8000</v>
      </c>
      <c r="AA41" s="145">
        <f t="shared" si="62"/>
        <v>2107</v>
      </c>
      <c r="AB41" s="145">
        <f t="shared" si="62"/>
        <v>2107</v>
      </c>
      <c r="AC41" s="145">
        <f t="shared" si="62"/>
        <v>0</v>
      </c>
      <c r="AD41" s="145">
        <f t="shared" si="62"/>
        <v>0</v>
      </c>
      <c r="AE41" s="145">
        <f t="shared" si="62"/>
        <v>0</v>
      </c>
      <c r="AF41" s="145">
        <f t="shared" si="62"/>
        <v>0</v>
      </c>
      <c r="AG41" s="145">
        <f t="shared" si="62"/>
        <v>0</v>
      </c>
      <c r="AH41" s="145">
        <f>SUM(S41:V41)</f>
        <v>0</v>
      </c>
    </row>
    <row r="42" spans="1:36" ht="12.75" customHeight="1">
      <c r="B42" s="31" t="s">
        <v>170</v>
      </c>
      <c r="C42" s="144">
        <f>'Historical Financials'!C114</f>
        <v>0</v>
      </c>
      <c r="D42" s="144">
        <f>'Historical Financials'!D114</f>
        <v>0</v>
      </c>
      <c r="E42" s="144">
        <f>'Historical Financials'!E114</f>
        <v>37927</v>
      </c>
      <c r="F42" s="144">
        <f>'Historical Financials'!F114</f>
        <v>19500</v>
      </c>
      <c r="G42" s="32"/>
      <c r="H42" s="144">
        <f>'Historical Financials'!H114</f>
        <v>0</v>
      </c>
      <c r="I42" s="144">
        <f>'Historical Financials'!I114</f>
        <v>0</v>
      </c>
      <c r="J42" s="144">
        <f>'Historical Financials'!J114</f>
        <v>0</v>
      </c>
      <c r="K42" s="144">
        <f>'Historical Financials'!K114</f>
        <v>0</v>
      </c>
      <c r="L42" s="144">
        <f>'Historical Financials'!L114</f>
        <v>0</v>
      </c>
      <c r="M42" s="144">
        <f>'Historical Financials'!M114</f>
        <v>38213</v>
      </c>
      <c r="N42" s="144">
        <f>'Historical Financials'!N114</f>
        <v>-286</v>
      </c>
      <c r="O42" s="144">
        <f>'Historical Financials'!O114</f>
        <v>0</v>
      </c>
      <c r="P42" s="144">
        <f>'Historical Financials'!P114</f>
        <v>20000</v>
      </c>
      <c r="Q42" s="144">
        <f>'Historical Financials'!Q114</f>
        <v>-500</v>
      </c>
      <c r="R42" s="144">
        <f>'Historical Financials'!R114</f>
        <v>0</v>
      </c>
      <c r="S42" s="144">
        <f>'Historical Financials'!S114</f>
        <v>0</v>
      </c>
      <c r="T42" s="144">
        <f>'Historical Financials'!T114</f>
        <v>0</v>
      </c>
      <c r="U42" s="144">
        <f>'Historical Financials'!U114</f>
        <v>0</v>
      </c>
      <c r="V42" s="144">
        <f>'Historical Financials'!V114</f>
        <v>-50045</v>
      </c>
      <c r="X42" s="145">
        <f t="shared" si="62"/>
        <v>0</v>
      </c>
      <c r="Y42" s="145">
        <f t="shared" si="62"/>
        <v>38213</v>
      </c>
      <c r="Z42" s="145">
        <f t="shared" si="62"/>
        <v>37927</v>
      </c>
      <c r="AA42" s="145">
        <f t="shared" si="62"/>
        <v>37927</v>
      </c>
      <c r="AB42" s="145">
        <f t="shared" si="62"/>
        <v>57927</v>
      </c>
      <c r="AC42" s="145">
        <f t="shared" si="62"/>
        <v>19214</v>
      </c>
      <c r="AD42" s="145">
        <f t="shared" si="62"/>
        <v>19500</v>
      </c>
      <c r="AE42" s="145">
        <f t="shared" si="62"/>
        <v>19500</v>
      </c>
      <c r="AF42" s="145">
        <f t="shared" si="62"/>
        <v>-500</v>
      </c>
      <c r="AG42" s="145">
        <f t="shared" si="62"/>
        <v>0</v>
      </c>
      <c r="AH42" s="145">
        <f>SUM(S42:V42)</f>
        <v>-50045</v>
      </c>
    </row>
    <row r="43" spans="1:36" ht="12.75" customHeight="1">
      <c r="B43" s="31" t="s">
        <v>72</v>
      </c>
      <c r="C43" s="98"/>
      <c r="D43" s="98" cm="1">
        <f t="array" ref="D43">SUM(D48:D49-C48:C49)-SUM(D35:D42)</f>
        <v>79993</v>
      </c>
      <c r="E43" s="98" cm="1">
        <f t="array" ref="E43">SUM(E48:E49-D48:D49)-SUM(E35:E42)</f>
        <v>2280</v>
      </c>
      <c r="F43" s="98" cm="1">
        <f t="array" ref="F43">SUM(F48:F49-E48:E49)-SUM(F35:F42)</f>
        <v>-20890</v>
      </c>
      <c r="G43" s="32"/>
      <c r="H43" s="98"/>
      <c r="I43" s="98" cm="1">
        <f t="array" ref="I43">SUM(I48:I49-H48:H49)-SUM(I35:I42)</f>
        <v>57058</v>
      </c>
      <c r="J43" s="98" cm="1">
        <f t="array" ref="J43">SUM(J48:J49-I48:I49)-SUM(J35:J42)</f>
        <v>373</v>
      </c>
      <c r="K43" s="98" cm="1">
        <f t="array" ref="K43">SUM(K48:K49-J48:J49)-SUM(K35:K42)</f>
        <v>18884</v>
      </c>
      <c r="L43" s="98" cm="1">
        <f t="array" ref="L43">SUM(L48:L49-K48:K49)-SUM(L35:L42)</f>
        <v>-12344</v>
      </c>
      <c r="M43" s="98" cm="1">
        <f t="array" ref="M43">SUM(M48:M49-L48:L49)-SUM(M35:M42)</f>
        <v>9173</v>
      </c>
      <c r="N43" s="98" cm="1">
        <f t="array" ref="N43">SUM(N48:N49-M48:M49)-SUM(N35:N42)</f>
        <v>1281</v>
      </c>
      <c r="O43" s="98" cm="1">
        <f t="array" ref="O43">SUM(O48:O49-N48:N49)-SUM(O35:O42)</f>
        <v>4170</v>
      </c>
      <c r="P43" s="98" cm="1">
        <f t="array" ref="P43">SUM(P48:P49-O48:O49)-SUM(P35:P42)</f>
        <v>-2131</v>
      </c>
      <c r="Q43" s="98" cm="1">
        <f t="array" ref="Q43">SUM(Q48:Q49-P48:P49)-SUM(Q35:Q42)</f>
        <v>-21882</v>
      </c>
      <c r="R43" s="98" cm="1">
        <f t="array" ref="R43">SUM(R48:R49-Q48:Q49)-SUM(R35:R42)</f>
        <v>-5503</v>
      </c>
      <c r="S43" s="98" cm="1">
        <f t="array" ref="S43">SUM(S48:S49-R48:R49)-SUM(S35:S42)</f>
        <v>8626</v>
      </c>
      <c r="T43" s="98" cm="1">
        <f t="array" ref="T43">SUM(T48:T49-S48:S49)-SUM(T35:T42)</f>
        <v>52559</v>
      </c>
      <c r="U43" s="98" cm="1">
        <f t="array" ref="U43">SUM(U48:U49-T48:T49)-SUM(U35:U42)</f>
        <v>-2408</v>
      </c>
      <c r="V43" s="98" cm="1">
        <f t="array" ref="V43">SUM(V48:V49-U48:U49)-SUM(V35:V42)</f>
        <v>7786</v>
      </c>
      <c r="X43" s="145">
        <f t="shared" si="62"/>
        <v>63971</v>
      </c>
      <c r="Y43" s="145">
        <f t="shared" si="62"/>
        <v>16086</v>
      </c>
      <c r="Z43" s="145">
        <f t="shared" si="62"/>
        <v>16994</v>
      </c>
      <c r="AA43" s="145">
        <f t="shared" si="62"/>
        <v>2280</v>
      </c>
      <c r="AB43" s="145">
        <f t="shared" si="62"/>
        <v>12493</v>
      </c>
      <c r="AC43" s="145">
        <f t="shared" si="62"/>
        <v>-18562</v>
      </c>
      <c r="AD43" s="145">
        <f t="shared" si="62"/>
        <v>-25346</v>
      </c>
      <c r="AE43" s="145">
        <f t="shared" si="62"/>
        <v>-20890</v>
      </c>
      <c r="AF43" s="145">
        <f t="shared" si="62"/>
        <v>33800</v>
      </c>
      <c r="AG43" s="145">
        <f t="shared" si="62"/>
        <v>53274</v>
      </c>
      <c r="AH43" s="145">
        <f>SUM(S43:V43)</f>
        <v>66563</v>
      </c>
    </row>
    <row r="44" spans="1:36" ht="12.75" customHeight="1">
      <c r="B44" s="13" t="s">
        <v>41</v>
      </c>
      <c r="C44" s="14">
        <f>SUM(C35+SUM(C37:C43))</f>
        <v>135265</v>
      </c>
      <c r="D44" s="14">
        <f>SUM(D35+SUM(D37:D43))</f>
        <v>-67730</v>
      </c>
      <c r="E44" s="14">
        <f>SUM(E35+SUM(E37:E43))</f>
        <v>-68971</v>
      </c>
      <c r="F44" s="14">
        <f>SUM(F35+SUM(F37:F43))</f>
        <v>14489</v>
      </c>
      <c r="H44" s="14">
        <f t="shared" ref="H44:K44" si="63">SUM(H35+SUM(H37:H43))</f>
        <v>-22958</v>
      </c>
      <c r="I44" s="14">
        <f t="shared" si="63"/>
        <v>-17187</v>
      </c>
      <c r="J44" s="14">
        <f t="shared" si="63"/>
        <v>-17304</v>
      </c>
      <c r="K44" s="14">
        <f t="shared" si="63"/>
        <v>-13959</v>
      </c>
      <c r="L44" s="14">
        <f t="shared" ref="L44:V44" si="64">SUM(L35+SUM(L37:L43))</f>
        <v>-20202</v>
      </c>
      <c r="M44" s="14">
        <f t="shared" si="64"/>
        <v>-14966</v>
      </c>
      <c r="N44" s="14">
        <f t="shared" si="64"/>
        <v>-14264</v>
      </c>
      <c r="O44" s="14">
        <f t="shared" si="64"/>
        <v>-19539</v>
      </c>
      <c r="P44" s="14">
        <f t="shared" si="64"/>
        <v>35057</v>
      </c>
      <c r="Q44" s="14">
        <f t="shared" si="64"/>
        <v>-21942</v>
      </c>
      <c r="R44" s="14">
        <f t="shared" si="64"/>
        <v>-22992</v>
      </c>
      <c r="S44" s="14">
        <f t="shared" si="64"/>
        <v>24366</v>
      </c>
      <c r="T44" s="14">
        <f t="shared" si="64"/>
        <v>17910</v>
      </c>
      <c r="U44" s="14">
        <f t="shared" si="64"/>
        <v>-24815</v>
      </c>
      <c r="V44" s="14">
        <f t="shared" si="64"/>
        <v>-68544</v>
      </c>
      <c r="X44" s="14">
        <f t="shared" ref="X44:AH44" si="65">SUM(X35+SUM(X37:X43))</f>
        <v>-3986</v>
      </c>
      <c r="Y44" s="14">
        <f t="shared" si="65"/>
        <v>-22495</v>
      </c>
      <c r="Z44" s="14">
        <f t="shared" si="65"/>
        <v>-39871</v>
      </c>
      <c r="AA44" s="14">
        <f t="shared" si="65"/>
        <v>-68971</v>
      </c>
      <c r="AB44" s="14">
        <f t="shared" si="65"/>
        <v>-13712</v>
      </c>
      <c r="AC44" s="14">
        <f t="shared" si="65"/>
        <v>-20688</v>
      </c>
      <c r="AD44" s="14">
        <f t="shared" si="65"/>
        <v>-29416</v>
      </c>
      <c r="AE44" s="14">
        <f t="shared" si="65"/>
        <v>14489</v>
      </c>
      <c r="AF44" s="14">
        <f t="shared" si="65"/>
        <v>-2658</v>
      </c>
      <c r="AG44" s="14">
        <f t="shared" si="65"/>
        <v>-5531</v>
      </c>
      <c r="AH44" s="14">
        <f t="shared" si="65"/>
        <v>-51083</v>
      </c>
    </row>
    <row r="45" spans="1:36" ht="5.0999999999999996" customHeight="1"/>
    <row r="46" spans="1:36" ht="12.75" customHeight="1">
      <c r="A46" s="5"/>
      <c r="B46" s="33" t="s">
        <v>42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</row>
    <row r="47" spans="1:36" ht="5.0999999999999996" customHeight="1"/>
    <row r="48" spans="1:36" ht="12.75" customHeight="1">
      <c r="B48" s="8" t="s">
        <v>43</v>
      </c>
      <c r="C48" s="96">
        <f>'Historical Financials'!C45</f>
        <v>217502</v>
      </c>
      <c r="D48" s="96">
        <f>'Historical Financials'!D45</f>
        <v>149772</v>
      </c>
      <c r="E48" s="96">
        <f>'Historical Financials'!E45</f>
        <v>80448</v>
      </c>
      <c r="F48" s="96">
        <f>'Historical Financials'!F45</f>
        <v>44937</v>
      </c>
      <c r="G48" s="32"/>
      <c r="H48" s="96">
        <f>'Historical Financials'!H45</f>
        <v>198222</v>
      </c>
      <c r="I48" s="96">
        <f>'Historical Financials'!I45</f>
        <v>181035</v>
      </c>
      <c r="J48" s="96">
        <f>'Historical Financials'!J45</f>
        <v>163731</v>
      </c>
      <c r="K48" s="96">
        <f>'Historical Financials'!K45</f>
        <v>149772</v>
      </c>
      <c r="L48" s="96">
        <f>'Historical Financials'!L45</f>
        <v>129570</v>
      </c>
      <c r="M48" s="96">
        <f>'Historical Financials'!M45</f>
        <v>114604</v>
      </c>
      <c r="N48" s="96">
        <f>'Historical Financials'!N45</f>
        <v>99986</v>
      </c>
      <c r="O48" s="96">
        <f>'Historical Financials'!O45</f>
        <v>80448</v>
      </c>
      <c r="P48" s="96">
        <f>'Historical Financials'!P45</f>
        <v>115505</v>
      </c>
      <c r="Q48" s="96">
        <f>'Historical Financials'!Q45</f>
        <v>93563</v>
      </c>
      <c r="R48" s="96">
        <f>'Historical Financials'!R45</f>
        <v>20571</v>
      </c>
      <c r="S48" s="96">
        <f>'Historical Financials'!S45</f>
        <v>44937</v>
      </c>
      <c r="T48" s="96">
        <f>'Historical Financials'!T45</f>
        <v>62847</v>
      </c>
      <c r="U48" s="96">
        <f>'Historical Financials'!U45</f>
        <v>38032</v>
      </c>
      <c r="V48" s="96">
        <f>'Historical Financials'!V45</f>
        <v>19488</v>
      </c>
      <c r="X48" s="10">
        <f t="shared" ref="X48:AG50" si="66">L48</f>
        <v>129570</v>
      </c>
      <c r="Y48" s="10">
        <f t="shared" si="66"/>
        <v>114604</v>
      </c>
      <c r="Z48" s="10">
        <f t="shared" si="66"/>
        <v>99986</v>
      </c>
      <c r="AA48" s="10">
        <f t="shared" si="66"/>
        <v>80448</v>
      </c>
      <c r="AB48" s="10">
        <f t="shared" si="66"/>
        <v>115505</v>
      </c>
      <c r="AC48" s="10">
        <f t="shared" si="66"/>
        <v>93563</v>
      </c>
      <c r="AD48" s="10">
        <f t="shared" si="66"/>
        <v>20571</v>
      </c>
      <c r="AE48" s="10">
        <f t="shared" si="66"/>
        <v>44937</v>
      </c>
      <c r="AF48" s="10">
        <f t="shared" si="66"/>
        <v>62847</v>
      </c>
      <c r="AG48" s="10">
        <f t="shared" si="66"/>
        <v>38032</v>
      </c>
      <c r="AH48" s="10">
        <f>V48</f>
        <v>19488</v>
      </c>
    </row>
    <row r="49" spans="2:34" ht="12.75" customHeight="1">
      <c r="B49" s="8" t="s">
        <v>171</v>
      </c>
      <c r="C49" s="96">
        <f>SUM('Historical Financials'!C46+'Historical Financials'!C54)</f>
        <v>0</v>
      </c>
      <c r="D49" s="96">
        <f>SUM('Historical Financials'!D46+'Historical Financials'!D54)</f>
        <v>0</v>
      </c>
      <c r="E49" s="96">
        <f>SUM('Historical Financials'!E46+'Historical Financials'!E54)</f>
        <v>353</v>
      </c>
      <c r="F49" s="96">
        <f>SUM('Historical Financials'!F46+'Historical Financials'!F54)</f>
        <v>50353</v>
      </c>
      <c r="G49" s="32"/>
      <c r="H49" s="96">
        <f>SUM('Historical Financials'!H46+'Historical Financials'!H54)</f>
        <v>0</v>
      </c>
      <c r="I49" s="96">
        <f>SUM('Historical Financials'!I46+'Historical Financials'!I54)</f>
        <v>0</v>
      </c>
      <c r="J49" s="96">
        <f>SUM('Historical Financials'!J46+'Historical Financials'!J54)</f>
        <v>0</v>
      </c>
      <c r="K49" s="96">
        <f>SUM('Historical Financials'!K46+'Historical Financials'!K54)</f>
        <v>0</v>
      </c>
      <c r="L49" s="96">
        <f>SUM('Historical Financials'!L46+'Historical Financials'!L54)</f>
        <v>0</v>
      </c>
      <c r="M49" s="96">
        <f>SUM('Historical Financials'!M46+'Historical Financials'!M54)</f>
        <v>0</v>
      </c>
      <c r="N49" s="96">
        <f>SUM('Historical Financials'!N46+'Historical Financials'!N54)</f>
        <v>354</v>
      </c>
      <c r="O49" s="96">
        <f>SUM('Historical Financials'!O46+'Historical Financials'!O54)</f>
        <v>353</v>
      </c>
      <c r="P49" s="96">
        <f>SUM('Historical Financials'!P46+'Historical Financials'!P54)</f>
        <v>353</v>
      </c>
      <c r="Q49" s="96">
        <f>SUM('Historical Financials'!Q46+'Historical Financials'!Q54)</f>
        <v>353</v>
      </c>
      <c r="R49" s="96">
        <f>SUM('Historical Financials'!R46+'Historical Financials'!R54)</f>
        <v>50353</v>
      </c>
      <c r="S49" s="96">
        <f>SUM('Historical Financials'!S46+'Historical Financials'!S54)</f>
        <v>50353</v>
      </c>
      <c r="T49" s="96">
        <f>SUM('Historical Financials'!T46+'Historical Financials'!T54)</f>
        <v>50353</v>
      </c>
      <c r="U49" s="96">
        <f>SUM('Historical Financials'!U46+'Historical Financials'!U54)</f>
        <v>50353</v>
      </c>
      <c r="V49" s="96">
        <f>SUM('Historical Financials'!V46+'Historical Financials'!V54)</f>
        <v>353</v>
      </c>
      <c r="X49" s="10">
        <f t="shared" si="66"/>
        <v>0</v>
      </c>
      <c r="Y49" s="10">
        <f t="shared" si="66"/>
        <v>0</v>
      </c>
      <c r="Z49" s="10">
        <f t="shared" si="66"/>
        <v>354</v>
      </c>
      <c r="AA49" s="10">
        <f t="shared" si="66"/>
        <v>353</v>
      </c>
      <c r="AB49" s="10">
        <f t="shared" si="66"/>
        <v>353</v>
      </c>
      <c r="AC49" s="10">
        <f t="shared" si="66"/>
        <v>353</v>
      </c>
      <c r="AD49" s="10">
        <f t="shared" si="66"/>
        <v>50353</v>
      </c>
      <c r="AE49" s="10">
        <f t="shared" si="66"/>
        <v>50353</v>
      </c>
      <c r="AF49" s="10">
        <f t="shared" si="66"/>
        <v>50353</v>
      </c>
      <c r="AG49" s="10">
        <f t="shared" si="66"/>
        <v>50353</v>
      </c>
      <c r="AH49" s="10">
        <f>V49</f>
        <v>353</v>
      </c>
    </row>
    <row r="50" spans="2:34" ht="12.75" customHeight="1">
      <c r="B50" s="31" t="s">
        <v>172</v>
      </c>
      <c r="C50" s="96">
        <f>'Historical Financials'!C48</f>
        <v>8000</v>
      </c>
      <c r="D50" s="96">
        <f>'Historical Financials'!D48</f>
        <v>2107</v>
      </c>
      <c r="E50" s="96">
        <f>'Historical Financials'!E48</f>
        <v>0</v>
      </c>
      <c r="F50" s="96">
        <f>'Historical Financials'!F48</f>
        <v>0</v>
      </c>
      <c r="G50" s="96"/>
      <c r="H50" s="96">
        <f>'Historical Financials'!H48</f>
        <v>8000</v>
      </c>
      <c r="I50" s="96">
        <f>'Historical Financials'!I48</f>
        <v>8000</v>
      </c>
      <c r="J50" s="96">
        <f>'Historical Financials'!J48</f>
        <v>8000</v>
      </c>
      <c r="K50" s="96">
        <f>'Historical Financials'!K48</f>
        <v>2107</v>
      </c>
      <c r="L50" s="96">
        <f>'Historical Financials'!L48</f>
        <v>2107</v>
      </c>
      <c r="M50" s="96">
        <f>'Historical Financials'!M48</f>
        <v>0</v>
      </c>
      <c r="N50" s="96">
        <f>'Historical Financials'!N48</f>
        <v>0</v>
      </c>
      <c r="O50" s="96">
        <f>'Historical Financials'!O48</f>
        <v>0</v>
      </c>
      <c r="P50" s="96">
        <f>'Historical Financials'!P48</f>
        <v>0</v>
      </c>
      <c r="Q50" s="96">
        <f>'Historical Financials'!Q48</f>
        <v>0</v>
      </c>
      <c r="R50" s="96">
        <f>'Historical Financials'!R48</f>
        <v>0</v>
      </c>
      <c r="S50" s="96">
        <f>'Historical Financials'!S48</f>
        <v>0</v>
      </c>
      <c r="T50" s="96">
        <f>'Historical Financials'!T48</f>
        <v>0</v>
      </c>
      <c r="U50" s="96">
        <f>'Historical Financials'!U48</f>
        <v>0</v>
      </c>
      <c r="V50" s="96">
        <f>'Historical Financials'!V48</f>
        <v>0</v>
      </c>
      <c r="X50" s="10">
        <f t="shared" si="66"/>
        <v>2107</v>
      </c>
      <c r="Y50" s="10">
        <f t="shared" si="66"/>
        <v>0</v>
      </c>
      <c r="Z50" s="10">
        <f t="shared" si="66"/>
        <v>0</v>
      </c>
      <c r="AA50" s="10">
        <f t="shared" si="66"/>
        <v>0</v>
      </c>
      <c r="AB50" s="10">
        <f t="shared" si="66"/>
        <v>0</v>
      </c>
      <c r="AC50" s="10">
        <f t="shared" si="66"/>
        <v>0</v>
      </c>
      <c r="AD50" s="10">
        <f t="shared" si="66"/>
        <v>0</v>
      </c>
      <c r="AE50" s="10">
        <f t="shared" si="66"/>
        <v>0</v>
      </c>
      <c r="AF50" s="10">
        <f t="shared" si="66"/>
        <v>0</v>
      </c>
      <c r="AG50" s="10">
        <f t="shared" si="66"/>
        <v>0</v>
      </c>
      <c r="AH50" s="10">
        <f>V50</f>
        <v>0</v>
      </c>
    </row>
    <row r="51" spans="2:34" ht="12.75" customHeight="1">
      <c r="B51" s="13" t="s">
        <v>44</v>
      </c>
      <c r="C51" s="14">
        <f>SUM(C48:C50)</f>
        <v>225502</v>
      </c>
      <c r="D51" s="14">
        <f>SUM(D48:D50)</f>
        <v>151879</v>
      </c>
      <c r="E51" s="14">
        <f>SUM(E48:E50)</f>
        <v>80801</v>
      </c>
      <c r="F51" s="14">
        <f>SUM(F48:F50)</f>
        <v>95290</v>
      </c>
      <c r="G51" s="32"/>
      <c r="H51" s="14">
        <f t="shared" ref="H51:K51" si="67">SUM(H48:H50)</f>
        <v>206222</v>
      </c>
      <c r="I51" s="14">
        <f t="shared" si="67"/>
        <v>189035</v>
      </c>
      <c r="J51" s="14">
        <f t="shared" si="67"/>
        <v>171731</v>
      </c>
      <c r="K51" s="14">
        <f t="shared" si="67"/>
        <v>151879</v>
      </c>
      <c r="L51" s="14">
        <f t="shared" ref="L51:V51" si="68">SUM(L48:L50)</f>
        <v>131677</v>
      </c>
      <c r="M51" s="14">
        <f t="shared" si="68"/>
        <v>114604</v>
      </c>
      <c r="N51" s="14">
        <f t="shared" si="68"/>
        <v>100340</v>
      </c>
      <c r="O51" s="14">
        <f t="shared" si="68"/>
        <v>80801</v>
      </c>
      <c r="P51" s="14">
        <f t="shared" si="68"/>
        <v>115858</v>
      </c>
      <c r="Q51" s="14">
        <f t="shared" si="68"/>
        <v>93916</v>
      </c>
      <c r="R51" s="14">
        <f t="shared" si="68"/>
        <v>70924</v>
      </c>
      <c r="S51" s="14">
        <f t="shared" si="68"/>
        <v>95290</v>
      </c>
      <c r="T51" s="14">
        <f t="shared" si="68"/>
        <v>113200</v>
      </c>
      <c r="U51" s="14">
        <f t="shared" si="68"/>
        <v>88385</v>
      </c>
      <c r="V51" s="14">
        <f t="shared" si="68"/>
        <v>19841</v>
      </c>
      <c r="X51" s="14">
        <f t="shared" ref="X51:AC51" si="69">SUM(X48:X48)</f>
        <v>129570</v>
      </c>
      <c r="Y51" s="14">
        <f t="shared" si="69"/>
        <v>114604</v>
      </c>
      <c r="Z51" s="14">
        <f t="shared" si="69"/>
        <v>99986</v>
      </c>
      <c r="AA51" s="14">
        <f t="shared" si="69"/>
        <v>80448</v>
      </c>
      <c r="AB51" s="14">
        <f t="shared" si="69"/>
        <v>115505</v>
      </c>
      <c r="AC51" s="14">
        <f t="shared" si="69"/>
        <v>93563</v>
      </c>
      <c r="AD51" s="14">
        <f>SUM(AD48:AD50)</f>
        <v>70924</v>
      </c>
      <c r="AE51" s="14">
        <f>SUM(AE48:AE50)</f>
        <v>95290</v>
      </c>
      <c r="AF51" s="14">
        <f>SUM(AF48:AF50)</f>
        <v>113200</v>
      </c>
      <c r="AG51" s="14">
        <f>SUM(AG48:AG50)</f>
        <v>88385</v>
      </c>
      <c r="AH51" s="14">
        <f>SUM(AH48:AH50)</f>
        <v>19841</v>
      </c>
    </row>
    <row r="52" spans="2:34" ht="5.0999999999999996" customHeight="1"/>
    <row r="53" spans="2:34" ht="12.75" customHeight="1">
      <c r="B53" s="35" t="s">
        <v>45</v>
      </c>
    </row>
    <row r="54" spans="2:34" ht="12.75" customHeight="1">
      <c r="B54" s="8" t="s">
        <v>91</v>
      </c>
      <c r="C54" s="96">
        <f>'Historical Financials'!C55</f>
        <v>35034</v>
      </c>
      <c r="D54" s="96">
        <f>'Historical Financials'!D55</f>
        <v>30039</v>
      </c>
      <c r="E54" s="96">
        <f>'Historical Financials'!E55</f>
        <v>26791</v>
      </c>
      <c r="F54" s="96">
        <f>'Historical Financials'!F55</f>
        <v>23063</v>
      </c>
      <c r="H54" s="96">
        <f>'Historical Financials'!H55</f>
        <v>33540</v>
      </c>
      <c r="I54" s="96">
        <f>'Historical Financials'!I55</f>
        <v>32227</v>
      </c>
      <c r="J54" s="96">
        <f>'Historical Financials'!J55</f>
        <v>31026</v>
      </c>
      <c r="K54" s="96">
        <f>'Historical Financials'!K55</f>
        <v>30039</v>
      </c>
      <c r="L54" s="96">
        <f>'Historical Financials'!L55</f>
        <v>29593</v>
      </c>
      <c r="M54" s="96">
        <f>'Historical Financials'!M55</f>
        <v>28543</v>
      </c>
      <c r="N54" s="96">
        <f>'Historical Financials'!N55</f>
        <v>27851</v>
      </c>
      <c r="O54" s="96">
        <f>'Historical Financials'!O55</f>
        <v>26791</v>
      </c>
      <c r="P54" s="96">
        <f>'Historical Financials'!P55</f>
        <v>25653</v>
      </c>
      <c r="Q54" s="96">
        <f>'Historical Financials'!Q55</f>
        <v>24820</v>
      </c>
      <c r="R54" s="96">
        <f>'Historical Financials'!R55</f>
        <v>24250</v>
      </c>
      <c r="S54" s="96">
        <f>'Historical Financials'!S55</f>
        <v>23063</v>
      </c>
      <c r="T54" s="96">
        <f>'Historical Financials'!T55</f>
        <v>22436</v>
      </c>
      <c r="U54" s="96">
        <f>'Historical Financials'!U55</f>
        <v>21191</v>
      </c>
      <c r="V54" s="96">
        <f>'Historical Financials'!V55</f>
        <v>19857</v>
      </c>
      <c r="W54" s="10"/>
      <c r="X54" s="10">
        <f t="shared" ref="X54:AG58" si="70">L54</f>
        <v>29593</v>
      </c>
      <c r="Y54" s="10">
        <f t="shared" si="70"/>
        <v>28543</v>
      </c>
      <c r="Z54" s="10">
        <f t="shared" si="70"/>
        <v>27851</v>
      </c>
      <c r="AA54" s="10">
        <f t="shared" si="70"/>
        <v>26791</v>
      </c>
      <c r="AB54" s="10">
        <f t="shared" si="70"/>
        <v>25653</v>
      </c>
      <c r="AC54" s="10">
        <f t="shared" si="70"/>
        <v>24820</v>
      </c>
      <c r="AD54" s="10">
        <f t="shared" si="70"/>
        <v>24250</v>
      </c>
      <c r="AE54" s="10">
        <f t="shared" si="70"/>
        <v>23063</v>
      </c>
      <c r="AF54" s="10">
        <f t="shared" si="70"/>
        <v>22436</v>
      </c>
      <c r="AG54" s="10">
        <f t="shared" si="70"/>
        <v>21191</v>
      </c>
      <c r="AH54" s="10">
        <f>V54</f>
        <v>19857</v>
      </c>
    </row>
    <row r="55" spans="2:34" ht="12.75" customHeight="1">
      <c r="B55" s="8" t="s">
        <v>135</v>
      </c>
      <c r="C55" s="96">
        <f>'Historical Financials'!C56</f>
        <v>21432</v>
      </c>
      <c r="D55" s="96">
        <f>'Historical Financials'!D56</f>
        <v>19373</v>
      </c>
      <c r="E55" s="96">
        <f>'Historical Financials'!E56</f>
        <v>17313</v>
      </c>
      <c r="F55" s="96">
        <f>'Historical Financials'!F56</f>
        <v>15490</v>
      </c>
      <c r="G55" s="96"/>
      <c r="H55" s="96">
        <f>'Historical Financials'!H56</f>
        <v>20917</v>
      </c>
      <c r="I55" s="96">
        <f>'Historical Financials'!I56</f>
        <v>20403</v>
      </c>
      <c r="J55" s="96">
        <f>'Historical Financials'!J56</f>
        <v>19888</v>
      </c>
      <c r="K55" s="96">
        <f>'Historical Financials'!K56</f>
        <v>19373</v>
      </c>
      <c r="L55" s="96">
        <f>'Historical Financials'!L56</f>
        <v>18858</v>
      </c>
      <c r="M55" s="96">
        <f>'Historical Financials'!M56</f>
        <v>18343</v>
      </c>
      <c r="N55" s="96">
        <f>'Historical Financials'!N56</f>
        <v>17828</v>
      </c>
      <c r="O55" s="96">
        <f>'Historical Financials'!O56</f>
        <v>17313</v>
      </c>
      <c r="P55" s="96">
        <f>'Historical Financials'!P56</f>
        <v>17059</v>
      </c>
      <c r="Q55" s="96">
        <f>'Historical Financials'!Q56</f>
        <v>16536</v>
      </c>
      <c r="R55" s="96">
        <f>'Historical Financials'!R56</f>
        <v>16013</v>
      </c>
      <c r="S55" s="96">
        <f>'Historical Financials'!S56</f>
        <v>15490</v>
      </c>
      <c r="T55" s="96">
        <f>'Historical Financials'!T56</f>
        <v>14966</v>
      </c>
      <c r="U55" s="96">
        <f>'Historical Financials'!U56</f>
        <v>14443</v>
      </c>
      <c r="V55" s="96">
        <f>'Historical Financials'!V56</f>
        <v>29420</v>
      </c>
      <c r="X55" s="10">
        <f t="shared" si="70"/>
        <v>18858</v>
      </c>
      <c r="Y55" s="10">
        <f t="shared" si="70"/>
        <v>18343</v>
      </c>
      <c r="Z55" s="10">
        <f t="shared" si="70"/>
        <v>17828</v>
      </c>
      <c r="AA55" s="10">
        <f t="shared" si="70"/>
        <v>17313</v>
      </c>
      <c r="AB55" s="10">
        <f t="shared" si="70"/>
        <v>17059</v>
      </c>
      <c r="AC55" s="10">
        <f t="shared" si="70"/>
        <v>16536</v>
      </c>
      <c r="AD55" s="10">
        <f t="shared" si="70"/>
        <v>16013</v>
      </c>
      <c r="AE55" s="10">
        <f t="shared" si="70"/>
        <v>15490</v>
      </c>
      <c r="AF55" s="10">
        <f t="shared" si="70"/>
        <v>14966</v>
      </c>
      <c r="AG55" s="10">
        <f t="shared" si="70"/>
        <v>14443</v>
      </c>
      <c r="AH55" s="10">
        <f>V55</f>
        <v>29420</v>
      </c>
    </row>
    <row r="56" spans="2:34" ht="12.75" customHeight="1">
      <c r="B56" s="8" t="s">
        <v>46</v>
      </c>
      <c r="C56" s="96">
        <f>'Historical Financials'!C61</f>
        <v>2094</v>
      </c>
      <c r="D56" s="96">
        <f>'Historical Financials'!D61</f>
        <v>1595</v>
      </c>
      <c r="E56" s="96">
        <f>'Historical Financials'!E61</f>
        <v>6490</v>
      </c>
      <c r="F56" s="96">
        <f>'Historical Financials'!F61</f>
        <v>4490</v>
      </c>
      <c r="G56" s="96"/>
      <c r="H56" s="96">
        <f>'Historical Financials'!H61</f>
        <v>3037</v>
      </c>
      <c r="I56" s="96">
        <f>'Historical Financials'!I61</f>
        <v>2537</v>
      </c>
      <c r="J56" s="96">
        <f>'Historical Financials'!J61</f>
        <v>3255</v>
      </c>
      <c r="K56" s="96">
        <f>'Historical Financials'!K61</f>
        <v>1595</v>
      </c>
      <c r="L56" s="96">
        <f>'Historical Financials'!L61</f>
        <v>1954</v>
      </c>
      <c r="M56" s="96">
        <f>'Historical Financials'!M61</f>
        <v>2362</v>
      </c>
      <c r="N56" s="96">
        <f>'Historical Financials'!N61</f>
        <v>3018</v>
      </c>
      <c r="O56" s="96">
        <f>'Historical Financials'!O61</f>
        <v>6490</v>
      </c>
      <c r="P56" s="96">
        <f>'Historical Financials'!P61</f>
        <v>3452</v>
      </c>
      <c r="Q56" s="96">
        <f>'Historical Financials'!Q61</f>
        <v>6005</v>
      </c>
      <c r="R56" s="96">
        <f>'Historical Financials'!R61</f>
        <v>6903</v>
      </c>
      <c r="S56" s="96">
        <f>'Historical Financials'!S61</f>
        <v>4490</v>
      </c>
      <c r="T56" s="96">
        <f>'Historical Financials'!T61</f>
        <v>5572</v>
      </c>
      <c r="U56" s="96">
        <f>'Historical Financials'!U61</f>
        <v>6629</v>
      </c>
      <c r="V56" s="96">
        <f>'Historical Financials'!V61</f>
        <v>9575</v>
      </c>
      <c r="X56" s="10">
        <f t="shared" si="70"/>
        <v>1954</v>
      </c>
      <c r="Y56" s="10">
        <f t="shared" si="70"/>
        <v>2362</v>
      </c>
      <c r="Z56" s="10">
        <f t="shared" si="70"/>
        <v>3018</v>
      </c>
      <c r="AA56" s="10">
        <f t="shared" si="70"/>
        <v>6490</v>
      </c>
      <c r="AB56" s="10">
        <f t="shared" si="70"/>
        <v>3452</v>
      </c>
      <c r="AC56" s="10">
        <f t="shared" si="70"/>
        <v>6005</v>
      </c>
      <c r="AD56" s="10">
        <f t="shared" si="70"/>
        <v>6903</v>
      </c>
      <c r="AE56" s="10">
        <f t="shared" si="70"/>
        <v>4490</v>
      </c>
      <c r="AF56" s="10">
        <f t="shared" si="70"/>
        <v>5572</v>
      </c>
      <c r="AG56" s="10">
        <f t="shared" si="70"/>
        <v>6629</v>
      </c>
      <c r="AH56" s="10">
        <f>V56</f>
        <v>9575</v>
      </c>
    </row>
    <row r="57" spans="2:34" ht="12.75" customHeight="1">
      <c r="B57" s="8" t="s">
        <v>47</v>
      </c>
      <c r="C57" s="96">
        <f>'Historical Financials'!C66</f>
        <v>11050</v>
      </c>
      <c r="D57" s="96">
        <f>'Historical Financials'!D66</f>
        <v>19580</v>
      </c>
      <c r="E57" s="96">
        <f>'Historical Financials'!E66</f>
        <v>18443</v>
      </c>
      <c r="F57" s="96">
        <f>'Historical Financials'!F66</f>
        <v>19954</v>
      </c>
      <c r="G57" s="96"/>
      <c r="H57" s="96">
        <f>'Historical Financials'!H66</f>
        <v>10763</v>
      </c>
      <c r="I57" s="96">
        <f>'Historical Financials'!I66</f>
        <v>11058</v>
      </c>
      <c r="J57" s="96">
        <f>'Historical Financials'!J66</f>
        <v>17906</v>
      </c>
      <c r="K57" s="96">
        <f>'Historical Financials'!K66</f>
        <v>19580</v>
      </c>
      <c r="L57" s="96">
        <f>'Historical Financials'!L66</f>
        <v>23601</v>
      </c>
      <c r="M57" s="96">
        <f>'Historical Financials'!M66</f>
        <v>11388</v>
      </c>
      <c r="N57" s="96">
        <f>'Historical Financials'!N66</f>
        <v>15137</v>
      </c>
      <c r="O57" s="96">
        <f>'Historical Financials'!O66</f>
        <v>18443</v>
      </c>
      <c r="P57" s="96">
        <f>'Historical Financials'!P66</f>
        <v>14087</v>
      </c>
      <c r="Q57" s="96">
        <f>'Historical Financials'!Q66</f>
        <v>17757</v>
      </c>
      <c r="R57" s="96">
        <f>'Historical Financials'!R66</f>
        <v>20942</v>
      </c>
      <c r="S57" s="96">
        <f>'Historical Financials'!S66</f>
        <v>19954</v>
      </c>
      <c r="T57" s="96">
        <f>'Historical Financials'!T66</f>
        <v>20029</v>
      </c>
      <c r="U57" s="96">
        <f>'Historical Financials'!U66</f>
        <v>21085</v>
      </c>
      <c r="V57" s="96">
        <f>'Historical Financials'!V66</f>
        <v>25581</v>
      </c>
      <c r="X57" s="10">
        <f t="shared" si="70"/>
        <v>23601</v>
      </c>
      <c r="Y57" s="10">
        <f t="shared" si="70"/>
        <v>11388</v>
      </c>
      <c r="Z57" s="10">
        <f t="shared" si="70"/>
        <v>15137</v>
      </c>
      <c r="AA57" s="10">
        <f t="shared" si="70"/>
        <v>18443</v>
      </c>
      <c r="AB57" s="10">
        <f t="shared" si="70"/>
        <v>14087</v>
      </c>
      <c r="AC57" s="10">
        <f t="shared" si="70"/>
        <v>17757</v>
      </c>
      <c r="AD57" s="10">
        <f t="shared" si="70"/>
        <v>20942</v>
      </c>
      <c r="AE57" s="10">
        <f t="shared" si="70"/>
        <v>19954</v>
      </c>
      <c r="AF57" s="10">
        <f t="shared" si="70"/>
        <v>20029</v>
      </c>
      <c r="AG57" s="10">
        <f t="shared" si="70"/>
        <v>21085</v>
      </c>
      <c r="AH57" s="10">
        <f>V57</f>
        <v>25581</v>
      </c>
    </row>
    <row r="58" spans="2:34" ht="12.75" customHeight="1">
      <c r="B58" s="8" t="s">
        <v>17</v>
      </c>
      <c r="C58" s="96">
        <f>'Historical Financials'!C74</f>
        <v>164359</v>
      </c>
      <c r="D58" s="96">
        <f>'Historical Financials'!D74</f>
        <v>87374</v>
      </c>
      <c r="E58" s="96">
        <f>'Historical Financials'!E74</f>
        <v>114677</v>
      </c>
      <c r="F58" s="96">
        <f>'Historical Financials'!F74</f>
        <v>190541</v>
      </c>
      <c r="G58" s="96"/>
      <c r="H58" s="96">
        <f>'Historical Financials'!H74</f>
        <v>160578</v>
      </c>
      <c r="I58" s="96">
        <f>'Historical Financials'!I74</f>
        <v>104105</v>
      </c>
      <c r="J58" s="96">
        <f>'Historical Financials'!J74</f>
        <v>107547</v>
      </c>
      <c r="K58" s="96">
        <f>'Historical Financials'!K74</f>
        <v>87374</v>
      </c>
      <c r="L58" s="96">
        <f>'Historical Financials'!L74</f>
        <v>101089</v>
      </c>
      <c r="M58" s="96">
        <f>'Historical Financials'!M74</f>
        <v>106989</v>
      </c>
      <c r="N58" s="96">
        <f>'Historical Financials'!N74</f>
        <v>112392</v>
      </c>
      <c r="O58" s="96">
        <f>'Historical Financials'!O74</f>
        <v>114677</v>
      </c>
      <c r="P58" s="96">
        <f>'Historical Financials'!P74</f>
        <v>135314</v>
      </c>
      <c r="Q58" s="96">
        <f>'Historical Financials'!Q74</f>
        <v>166568</v>
      </c>
      <c r="R58" s="96">
        <f>'Historical Financials'!R74</f>
        <v>178485</v>
      </c>
      <c r="S58" s="96">
        <f>'Historical Financials'!S74</f>
        <v>190541</v>
      </c>
      <c r="T58" s="96">
        <f>'Historical Financials'!T74</f>
        <v>126510</v>
      </c>
      <c r="U58" s="96">
        <f>'Historical Financials'!U74</f>
        <v>134743</v>
      </c>
      <c r="V58" s="96">
        <f>'Historical Financials'!V74</f>
        <v>96260</v>
      </c>
      <c r="X58" s="10">
        <f t="shared" si="70"/>
        <v>101089</v>
      </c>
      <c r="Y58" s="10">
        <f t="shared" si="70"/>
        <v>106989</v>
      </c>
      <c r="Z58" s="10">
        <f t="shared" si="70"/>
        <v>112392</v>
      </c>
      <c r="AA58" s="10">
        <f t="shared" si="70"/>
        <v>114677</v>
      </c>
      <c r="AB58" s="10">
        <f t="shared" si="70"/>
        <v>135314</v>
      </c>
      <c r="AC58" s="10">
        <f t="shared" si="70"/>
        <v>166568</v>
      </c>
      <c r="AD58" s="10">
        <f t="shared" si="70"/>
        <v>178485</v>
      </c>
      <c r="AE58" s="10">
        <f t="shared" si="70"/>
        <v>190541</v>
      </c>
      <c r="AF58" s="10">
        <f t="shared" si="70"/>
        <v>126510</v>
      </c>
      <c r="AG58" s="10">
        <f t="shared" si="70"/>
        <v>134743</v>
      </c>
      <c r="AH58" s="10">
        <f>V58</f>
        <v>96260</v>
      </c>
    </row>
    <row r="59" spans="2:34" ht="5.0999999999999996" customHeight="1">
      <c r="F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2:34">
      <c r="B60" s="35" t="s">
        <v>113</v>
      </c>
      <c r="F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2:34">
      <c r="B61" s="8" t="s">
        <v>114</v>
      </c>
      <c r="C61" s="96">
        <f>'Historical Financials'!C64</f>
        <v>0</v>
      </c>
      <c r="D61" s="96">
        <f>'Historical Financials'!D64</f>
        <v>8571</v>
      </c>
      <c r="E61" s="96">
        <f>'Historical Financials'!E64</f>
        <v>0</v>
      </c>
      <c r="F61" s="96">
        <f>'Historical Financials'!F64</f>
        <v>0</v>
      </c>
      <c r="H61" s="96">
        <f>'Historical Financials'!H64</f>
        <v>0</v>
      </c>
      <c r="I61" s="96">
        <f>'Historical Financials'!I64</f>
        <v>0</v>
      </c>
      <c r="J61" s="96">
        <f>'Historical Financials'!J64</f>
        <v>4286</v>
      </c>
      <c r="K61" s="96">
        <f>'Historical Financials'!K64</f>
        <v>8571</v>
      </c>
      <c r="L61" s="96">
        <f>'Historical Financials'!L64</f>
        <v>12857</v>
      </c>
      <c r="M61" s="96">
        <f>'Historical Financials'!M64</f>
        <v>0</v>
      </c>
      <c r="N61" s="96">
        <f>'Historical Financials'!N64</f>
        <v>0</v>
      </c>
      <c r="O61" s="96">
        <f>'Historical Financials'!O64</f>
        <v>0</v>
      </c>
      <c r="P61" s="96">
        <f>'Historical Financials'!P64</f>
        <v>0</v>
      </c>
      <c r="Q61" s="96">
        <f>'Historical Financials'!Q64</f>
        <v>0</v>
      </c>
      <c r="R61" s="96">
        <f>'Historical Financials'!R64</f>
        <v>0</v>
      </c>
      <c r="S61" s="96">
        <f>'Historical Financials'!S64</f>
        <v>0</v>
      </c>
      <c r="T61" s="96">
        <f>'Historical Financials'!T64</f>
        <v>0</v>
      </c>
      <c r="U61" s="96">
        <f>'Historical Financials'!U64</f>
        <v>0</v>
      </c>
      <c r="V61" s="96">
        <f>'Historical Financials'!V64</f>
        <v>0</v>
      </c>
      <c r="X61" s="10">
        <f t="shared" ref="X61:AG62" si="71">L61</f>
        <v>12857</v>
      </c>
      <c r="Y61" s="10">
        <f t="shared" si="71"/>
        <v>0</v>
      </c>
      <c r="Z61" s="10">
        <f t="shared" si="71"/>
        <v>0</v>
      </c>
      <c r="AA61" s="10">
        <f t="shared" si="71"/>
        <v>0</v>
      </c>
      <c r="AB61" s="10">
        <f t="shared" si="71"/>
        <v>0</v>
      </c>
      <c r="AC61" s="10">
        <f t="shared" si="71"/>
        <v>0</v>
      </c>
      <c r="AD61" s="10">
        <f t="shared" si="71"/>
        <v>0</v>
      </c>
      <c r="AE61" s="10">
        <f t="shared" si="71"/>
        <v>0</v>
      </c>
      <c r="AF61" s="10">
        <f t="shared" si="71"/>
        <v>0</v>
      </c>
      <c r="AG61" s="10">
        <f t="shared" si="71"/>
        <v>0</v>
      </c>
      <c r="AH61" s="10">
        <f>V61</f>
        <v>0</v>
      </c>
    </row>
    <row r="62" spans="2:34">
      <c r="B62" s="8" t="s">
        <v>115</v>
      </c>
      <c r="C62" s="96">
        <f>'Historical Financials'!C72</f>
        <v>27361</v>
      </c>
      <c r="D62" s="96">
        <f>'Historical Financials'!D72</f>
        <v>20336</v>
      </c>
      <c r="E62" s="96">
        <f>'Historical Financials'!E72</f>
        <v>0</v>
      </c>
      <c r="F62" s="96">
        <f>'Historical Financials'!F72</f>
        <v>0</v>
      </c>
      <c r="H62" s="96">
        <f>'Historical Financials'!H72</f>
        <v>27739</v>
      </c>
      <c r="I62" s="96">
        <f>'Historical Financials'!I72</f>
        <v>28132</v>
      </c>
      <c r="J62" s="96">
        <f>'Historical Financials'!J72</f>
        <v>24286</v>
      </c>
      <c r="K62" s="96">
        <f>'Historical Financials'!K72</f>
        <v>20336</v>
      </c>
      <c r="L62" s="96">
        <f>'Historical Financials'!L72</f>
        <v>16410</v>
      </c>
      <c r="M62" s="96">
        <f>'Historical Financials'!M72</f>
        <v>0</v>
      </c>
      <c r="N62" s="96">
        <f>'Historical Financials'!N72</f>
        <v>0</v>
      </c>
      <c r="O62" s="96">
        <f>'Historical Financials'!O72</f>
        <v>0</v>
      </c>
      <c r="P62" s="96">
        <f>'Historical Financials'!P72</f>
        <v>0</v>
      </c>
      <c r="Q62" s="96">
        <f>'Historical Financials'!Q72</f>
        <v>0</v>
      </c>
      <c r="R62" s="96">
        <f>'Historical Financials'!R72</f>
        <v>0</v>
      </c>
      <c r="S62" s="96">
        <f>'Historical Financials'!S72</f>
        <v>0</v>
      </c>
      <c r="T62" s="96">
        <f>'Historical Financials'!T72</f>
        <v>0</v>
      </c>
      <c r="U62" s="96">
        <f>'Historical Financials'!U72</f>
        <v>0</v>
      </c>
      <c r="V62" s="96">
        <f>'Historical Financials'!V72</f>
        <v>0</v>
      </c>
      <c r="X62" s="10">
        <f t="shared" si="71"/>
        <v>16410</v>
      </c>
      <c r="Y62" s="10">
        <f t="shared" si="71"/>
        <v>0</v>
      </c>
      <c r="Z62" s="10">
        <f t="shared" si="71"/>
        <v>0</v>
      </c>
      <c r="AA62" s="10">
        <f t="shared" si="71"/>
        <v>0</v>
      </c>
      <c r="AB62" s="10">
        <f t="shared" si="71"/>
        <v>0</v>
      </c>
      <c r="AC62" s="10">
        <f t="shared" si="71"/>
        <v>0</v>
      </c>
      <c r="AD62" s="10">
        <f t="shared" si="71"/>
        <v>0</v>
      </c>
      <c r="AE62" s="10">
        <f t="shared" si="71"/>
        <v>0</v>
      </c>
      <c r="AF62" s="10">
        <f t="shared" si="71"/>
        <v>0</v>
      </c>
      <c r="AG62" s="10">
        <f t="shared" si="71"/>
        <v>0</v>
      </c>
      <c r="AH62" s="10">
        <f>V62</f>
        <v>0</v>
      </c>
    </row>
    <row r="63" spans="2:34">
      <c r="F63" s="10"/>
    </row>
    <row r="64" spans="2:34">
      <c r="B64" s="31" t="s">
        <v>173</v>
      </c>
      <c r="C64" s="96">
        <f>'Historical Financials'!C63+'Historical Financials'!C71</f>
        <v>23090</v>
      </c>
      <c r="D64" s="96">
        <f>'Historical Financials'!D63+'Historical Financials'!D71</f>
        <v>21109</v>
      </c>
      <c r="E64" s="96">
        <f>'Historical Financials'!E63+'Historical Financials'!E71</f>
        <v>18853</v>
      </c>
      <c r="F64" s="96">
        <f>'Historical Financials'!F63+'Historical Financials'!F71</f>
        <v>16537</v>
      </c>
      <c r="H64" s="96">
        <f>'Historical Financials'!H63+'Historical Financials'!H71</f>
        <v>22628</v>
      </c>
      <c r="I64" s="96">
        <f>'Historical Financials'!I63+'Historical Financials'!I71</f>
        <v>22133</v>
      </c>
      <c r="J64" s="96">
        <f>'Historical Financials'!J63+'Historical Financials'!J71</f>
        <v>21627</v>
      </c>
      <c r="K64" s="96">
        <f>'Historical Financials'!K63+'Historical Financials'!K71</f>
        <v>21109</v>
      </c>
      <c r="L64" s="96">
        <f>'Historical Financials'!L63+'Historical Financials'!L71</f>
        <v>20581</v>
      </c>
      <c r="M64" s="96">
        <f>'Historical Financials'!M63+'Historical Financials'!M71</f>
        <v>20018</v>
      </c>
      <c r="N64" s="96">
        <f>'Historical Financials'!N63+'Historical Financials'!N71</f>
        <v>19441</v>
      </c>
      <c r="O64" s="96">
        <f>'Historical Financials'!O63+'Historical Financials'!O71</f>
        <v>18853</v>
      </c>
      <c r="P64" s="96">
        <f>'Historical Financials'!P63+'Historical Financials'!P71</f>
        <v>18513</v>
      </c>
      <c r="Q64" s="96">
        <f>'Historical Financials'!Q63+'Historical Financials'!Q71</f>
        <v>17869</v>
      </c>
      <c r="R64" s="96">
        <f>'Historical Financials'!R63+'Historical Financials'!R71</f>
        <v>17210</v>
      </c>
      <c r="S64" s="96">
        <f>'Historical Financials'!S63+'Historical Financials'!S71</f>
        <v>16537</v>
      </c>
      <c r="T64" s="96">
        <f>'Historical Financials'!T63+'Historical Financials'!T71</f>
        <v>15850</v>
      </c>
      <c r="U64" s="96">
        <f>'Historical Financials'!U63+'Historical Financials'!U71</f>
        <v>15123</v>
      </c>
      <c r="V64" s="96">
        <f>'Historical Financials'!V63+'Historical Financials'!V71</f>
        <v>29825</v>
      </c>
      <c r="X64" s="10">
        <f t="shared" ref="X64:AG65" si="72">L64</f>
        <v>20581</v>
      </c>
      <c r="Y64" s="10">
        <f t="shared" si="72"/>
        <v>20018</v>
      </c>
      <c r="Z64" s="10">
        <f t="shared" si="72"/>
        <v>19441</v>
      </c>
      <c r="AA64" s="10">
        <f t="shared" si="72"/>
        <v>18853</v>
      </c>
      <c r="AB64" s="10">
        <f t="shared" si="72"/>
        <v>18513</v>
      </c>
      <c r="AC64" s="10">
        <f t="shared" si="72"/>
        <v>17869</v>
      </c>
      <c r="AD64" s="10">
        <f t="shared" si="72"/>
        <v>17210</v>
      </c>
      <c r="AE64" s="10">
        <f t="shared" si="72"/>
        <v>16537</v>
      </c>
      <c r="AF64" s="10">
        <f t="shared" si="72"/>
        <v>15850</v>
      </c>
      <c r="AG64" s="10">
        <f t="shared" si="72"/>
        <v>15123</v>
      </c>
      <c r="AH64" s="10">
        <f>V64</f>
        <v>29825</v>
      </c>
    </row>
    <row r="65" spans="1:34" ht="12.75" customHeight="1">
      <c r="B65" s="31" t="s">
        <v>174</v>
      </c>
      <c r="C65" s="96">
        <f>SUM('Historical Financials'!C64+'Historical Financials'!C72)</f>
        <v>27361</v>
      </c>
      <c r="D65" s="96">
        <f>SUM('Historical Financials'!D64+'Historical Financials'!D72)</f>
        <v>28907</v>
      </c>
      <c r="E65" s="96">
        <f>SUM('Historical Financials'!E64+'Historical Financials'!E72)</f>
        <v>0</v>
      </c>
      <c r="F65" s="96">
        <f>SUM('Historical Financials'!F64+'Historical Financials'!F72)</f>
        <v>0</v>
      </c>
      <c r="H65" s="96">
        <f>SUM('Historical Financials'!H64+'Historical Financials'!H72)</f>
        <v>27739</v>
      </c>
      <c r="I65" s="96">
        <f>SUM('Historical Financials'!I64+'Historical Financials'!I72)</f>
        <v>28132</v>
      </c>
      <c r="J65" s="96">
        <f>SUM('Historical Financials'!J64+'Historical Financials'!J72)</f>
        <v>28572</v>
      </c>
      <c r="K65" s="96">
        <f>SUM('Historical Financials'!K64+'Historical Financials'!K72)</f>
        <v>28907</v>
      </c>
      <c r="L65" s="96">
        <f>SUM('Historical Financials'!L64+'Historical Financials'!L72)</f>
        <v>29267</v>
      </c>
      <c r="M65" s="96">
        <f>SUM('Historical Financials'!M64+'Historical Financials'!M72)</f>
        <v>0</v>
      </c>
      <c r="N65" s="96">
        <f>SUM('Historical Financials'!N64+'Historical Financials'!N72)</f>
        <v>0</v>
      </c>
      <c r="O65" s="96">
        <f>SUM('Historical Financials'!O64+'Historical Financials'!O72)</f>
        <v>0</v>
      </c>
      <c r="P65" s="96">
        <f>SUM('Historical Financials'!P64+'Historical Financials'!P72)</f>
        <v>0</v>
      </c>
      <c r="Q65" s="96">
        <f>SUM('Historical Financials'!Q64+'Historical Financials'!Q72)</f>
        <v>0</v>
      </c>
      <c r="R65" s="96">
        <f>SUM('Historical Financials'!R64+'Historical Financials'!R72)</f>
        <v>0</v>
      </c>
      <c r="S65" s="96">
        <f>SUM('Historical Financials'!S64+'Historical Financials'!S72)</f>
        <v>0</v>
      </c>
      <c r="T65" s="96">
        <f>SUM('Historical Financials'!T64+'Historical Financials'!T72)</f>
        <v>0</v>
      </c>
      <c r="U65" s="96">
        <f>SUM('Historical Financials'!U64+'Historical Financials'!U72)</f>
        <v>0</v>
      </c>
      <c r="V65" s="96">
        <f>SUM('Historical Financials'!V64+'Historical Financials'!V72)</f>
        <v>0</v>
      </c>
      <c r="X65" s="10">
        <f t="shared" si="72"/>
        <v>29267</v>
      </c>
      <c r="Y65" s="10">
        <f t="shared" si="72"/>
        <v>0</v>
      </c>
      <c r="Z65" s="10">
        <f t="shared" si="72"/>
        <v>0</v>
      </c>
      <c r="AA65" s="10">
        <f t="shared" si="72"/>
        <v>0</v>
      </c>
      <c r="AB65" s="10">
        <f t="shared" si="72"/>
        <v>0</v>
      </c>
      <c r="AC65" s="10">
        <f t="shared" si="72"/>
        <v>0</v>
      </c>
      <c r="AD65" s="10">
        <f t="shared" si="72"/>
        <v>0</v>
      </c>
      <c r="AE65" s="10">
        <f t="shared" si="72"/>
        <v>0</v>
      </c>
      <c r="AF65" s="10">
        <f t="shared" si="72"/>
        <v>0</v>
      </c>
      <c r="AG65" s="10">
        <f t="shared" si="72"/>
        <v>0</v>
      </c>
      <c r="AH65" s="10">
        <f>V65</f>
        <v>0</v>
      </c>
    </row>
    <row r="66" spans="1:34" ht="12.75" customHeight="1">
      <c r="B66" s="13" t="s">
        <v>23</v>
      </c>
      <c r="C66" s="14">
        <f t="shared" ref="C66:F66" si="73">SUM(C64:C65)</f>
        <v>50451</v>
      </c>
      <c r="D66" s="14">
        <f t="shared" si="73"/>
        <v>50016</v>
      </c>
      <c r="E66" s="14">
        <f t="shared" si="73"/>
        <v>18853</v>
      </c>
      <c r="F66" s="14">
        <f t="shared" si="73"/>
        <v>16537</v>
      </c>
      <c r="H66" s="14">
        <f>SUM(H64:H65)</f>
        <v>50367</v>
      </c>
      <c r="I66" s="14">
        <f t="shared" ref="I66:V66" si="74">SUM(I64:I65)</f>
        <v>50265</v>
      </c>
      <c r="J66" s="14">
        <f t="shared" si="74"/>
        <v>50199</v>
      </c>
      <c r="K66" s="14">
        <f t="shared" si="74"/>
        <v>50016</v>
      </c>
      <c r="L66" s="14">
        <f t="shared" si="74"/>
        <v>49848</v>
      </c>
      <c r="M66" s="14">
        <f t="shared" si="74"/>
        <v>20018</v>
      </c>
      <c r="N66" s="14">
        <f t="shared" si="74"/>
        <v>19441</v>
      </c>
      <c r="O66" s="14">
        <f t="shared" si="74"/>
        <v>18853</v>
      </c>
      <c r="P66" s="14">
        <f t="shared" si="74"/>
        <v>18513</v>
      </c>
      <c r="Q66" s="14">
        <f t="shared" si="74"/>
        <v>17869</v>
      </c>
      <c r="R66" s="14">
        <f t="shared" si="74"/>
        <v>17210</v>
      </c>
      <c r="S66" s="14">
        <f t="shared" si="74"/>
        <v>16537</v>
      </c>
      <c r="T66" s="14">
        <f t="shared" si="74"/>
        <v>15850</v>
      </c>
      <c r="U66" s="14">
        <f t="shared" si="74"/>
        <v>15123</v>
      </c>
      <c r="V66" s="14">
        <f t="shared" si="74"/>
        <v>29825</v>
      </c>
      <c r="X66" s="14">
        <f t="shared" ref="X66:AC66" si="75">SUM(X65:X65)</f>
        <v>29267</v>
      </c>
      <c r="Y66" s="14">
        <f t="shared" si="75"/>
        <v>0</v>
      </c>
      <c r="Z66" s="14">
        <f t="shared" si="75"/>
        <v>0</v>
      </c>
      <c r="AA66" s="14">
        <f t="shared" si="75"/>
        <v>0</v>
      </c>
      <c r="AB66" s="14">
        <f t="shared" si="75"/>
        <v>0</v>
      </c>
      <c r="AC66" s="14">
        <f t="shared" si="75"/>
        <v>0</v>
      </c>
      <c r="AD66" s="14">
        <f t="shared" ref="AD66" si="76">SUM(AD64:AD65)</f>
        <v>17210</v>
      </c>
      <c r="AE66" s="14">
        <f t="shared" ref="AE66" si="77">SUM(AE64:AE65)</f>
        <v>16537</v>
      </c>
      <c r="AF66" s="14">
        <f t="shared" ref="AF66" si="78">SUM(AF64:AF65)</f>
        <v>15850</v>
      </c>
      <c r="AG66" s="14">
        <f t="shared" ref="AG66" si="79">SUM(AG64:AG65)</f>
        <v>15123</v>
      </c>
      <c r="AH66" s="14">
        <f t="shared" ref="AH66" si="80">SUM(AH64:AH65)</f>
        <v>29825</v>
      </c>
    </row>
    <row r="67" spans="1:34" ht="5.0999999999999996" customHeight="1"/>
    <row r="68" spans="1:34" ht="12.75" customHeight="1">
      <c r="B68" s="8" t="s">
        <v>48</v>
      </c>
      <c r="C68" s="96">
        <f>'Historical Financials'!C79</f>
        <v>122174</v>
      </c>
      <c r="D68" s="96">
        <f>'Historical Financials'!D79</f>
        <v>116928</v>
      </c>
      <c r="E68" s="96">
        <f>'Historical Financials'!E79</f>
        <v>13546</v>
      </c>
      <c r="F68" s="96">
        <f>'Historical Financials'!F79</f>
        <v>-52669</v>
      </c>
      <c r="H68" s="96">
        <f>'Historical Financials'!H79</f>
        <v>103890</v>
      </c>
      <c r="I68" s="96">
        <f>'Historical Financials'!I79</f>
        <v>142260</v>
      </c>
      <c r="J68" s="96">
        <f>'Historical Financials'!J79</f>
        <v>118672</v>
      </c>
      <c r="K68" s="96">
        <f>'Historical Financials'!K79</f>
        <v>116928</v>
      </c>
      <c r="L68" s="96">
        <f>'Historical Financials'!L79</f>
        <v>81887</v>
      </c>
      <c r="M68" s="96">
        <f>'Historical Financials'!M79</f>
        <v>61117</v>
      </c>
      <c r="N68" s="96">
        <f>'Historical Financials'!N79</f>
        <v>36993</v>
      </c>
      <c r="O68" s="96">
        <f>'Historical Financials'!O79</f>
        <v>13546</v>
      </c>
      <c r="P68" s="96">
        <f>'Historical Financials'!P79</f>
        <v>26152</v>
      </c>
      <c r="Q68" s="96">
        <f>'Historical Financials'!Q79</f>
        <v>-28287</v>
      </c>
      <c r="R68" s="96">
        <f>'Historical Financials'!R79</f>
        <v>-63721</v>
      </c>
      <c r="S68" s="96">
        <f>'Historical Financials'!S79</f>
        <v>-52669</v>
      </c>
      <c r="T68" s="96">
        <f>'Historical Financials'!T79</f>
        <v>36043</v>
      </c>
      <c r="U68" s="96">
        <f>'Historical Financials'!U79</f>
        <v>4052</v>
      </c>
      <c r="V68" s="96">
        <f>'Historical Financials'!V79</f>
        <v>-4751</v>
      </c>
      <c r="X68" s="10">
        <f>L68</f>
        <v>81887</v>
      </c>
      <c r="Y68" s="10">
        <f>M68</f>
        <v>61117</v>
      </c>
      <c r="Z68" s="10">
        <f>N68</f>
        <v>36993</v>
      </c>
      <c r="AA68" s="10">
        <f>O68</f>
        <v>13546</v>
      </c>
      <c r="AB68" s="10">
        <f>P68</f>
        <v>26152</v>
      </c>
      <c r="AC68" s="10">
        <f>Q68</f>
        <v>-28287</v>
      </c>
      <c r="AD68" s="145">
        <f>R68</f>
        <v>-63721</v>
      </c>
      <c r="AE68" s="145">
        <f>S68</f>
        <v>-52669</v>
      </c>
      <c r="AF68" s="145">
        <f>T68</f>
        <v>36043</v>
      </c>
      <c r="AG68" s="145">
        <f>U68</f>
        <v>4052</v>
      </c>
      <c r="AH68" s="145">
        <f>V68</f>
        <v>-4751</v>
      </c>
    </row>
    <row r="69" spans="1:34" ht="12.75" customHeight="1">
      <c r="B69" s="13" t="s">
        <v>49</v>
      </c>
      <c r="C69" s="14">
        <f>SUM(C66:C68)</f>
        <v>172625</v>
      </c>
      <c r="D69" s="14">
        <f>SUM(D66:D68)</f>
        <v>166944</v>
      </c>
      <c r="E69" s="14">
        <f>SUM(E66:E68)</f>
        <v>32399</v>
      </c>
      <c r="F69" s="14">
        <f>SUM(F66:F68)</f>
        <v>-36132</v>
      </c>
      <c r="H69" s="14">
        <f t="shared" ref="H69:K69" si="81">SUM(H66:H68)</f>
        <v>154257</v>
      </c>
      <c r="I69" s="14">
        <f t="shared" si="81"/>
        <v>192525</v>
      </c>
      <c r="J69" s="14">
        <f t="shared" si="81"/>
        <v>168871</v>
      </c>
      <c r="K69" s="14">
        <f t="shared" si="81"/>
        <v>166944</v>
      </c>
      <c r="L69" s="14">
        <f t="shared" ref="L69:Q69" si="82">SUM(L66:L68)</f>
        <v>131735</v>
      </c>
      <c r="M69" s="14">
        <f t="shared" si="82"/>
        <v>81135</v>
      </c>
      <c r="N69" s="14">
        <f t="shared" si="82"/>
        <v>56434</v>
      </c>
      <c r="O69" s="14">
        <f t="shared" si="82"/>
        <v>32399</v>
      </c>
      <c r="P69" s="14">
        <f t="shared" si="82"/>
        <v>44665</v>
      </c>
      <c r="Q69" s="14">
        <f t="shared" si="82"/>
        <v>-10418</v>
      </c>
      <c r="R69" s="14">
        <f>SUM(R66:R68)</f>
        <v>-46511</v>
      </c>
      <c r="S69" s="14">
        <f>SUM(S66:S68)</f>
        <v>-36132</v>
      </c>
      <c r="T69" s="14">
        <f>SUM(T66:T68)</f>
        <v>51893</v>
      </c>
      <c r="U69" s="14">
        <f>SUM(U66:U68)</f>
        <v>19175</v>
      </c>
      <c r="V69" s="14">
        <f>SUM(V66:V68)</f>
        <v>25074</v>
      </c>
      <c r="X69" s="14">
        <f t="shared" ref="X69:AF69" si="83">SUM(X66:X68)</f>
        <v>111154</v>
      </c>
      <c r="Y69" s="14">
        <f t="shared" si="83"/>
        <v>61117</v>
      </c>
      <c r="Z69" s="14">
        <f t="shared" si="83"/>
        <v>36993</v>
      </c>
      <c r="AA69" s="14">
        <f t="shared" si="83"/>
        <v>13546</v>
      </c>
      <c r="AB69" s="14">
        <f t="shared" si="83"/>
        <v>26152</v>
      </c>
      <c r="AC69" s="14">
        <f t="shared" si="83"/>
        <v>-28287</v>
      </c>
      <c r="AD69" s="14">
        <f t="shared" si="83"/>
        <v>-46511</v>
      </c>
      <c r="AE69" s="14">
        <f t="shared" si="83"/>
        <v>-36132</v>
      </c>
      <c r="AF69" s="14">
        <f t="shared" si="83"/>
        <v>51893</v>
      </c>
      <c r="AG69" s="14">
        <f>SUM(AG66:AG68)</f>
        <v>19175</v>
      </c>
      <c r="AH69" s="14">
        <f>SUM(AH66:AH68)</f>
        <v>25074</v>
      </c>
    </row>
    <row r="70" spans="1:34" ht="5.0999999999999996" customHeight="1"/>
    <row r="71" spans="1:34" ht="12.75" customHeight="1">
      <c r="A71" s="5"/>
      <c r="B71" s="33" t="s">
        <v>73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</row>
    <row r="72" spans="1:34" ht="5.0999999999999996" customHeight="1"/>
    <row r="73" spans="1:34" ht="12.75" customHeight="1">
      <c r="B73" s="31" t="s">
        <v>99</v>
      </c>
      <c r="C73" s="84">
        <f>C66/C28</f>
        <v>-0.80309132296525043</v>
      </c>
      <c r="D73" s="84">
        <f>D66/D28</f>
        <v>-0.71264105779094955</v>
      </c>
      <c r="E73" s="84">
        <f>E66/E28</f>
        <v>-0.2205029239766082</v>
      </c>
      <c r="F73" s="84">
        <f>F66/F28</f>
        <v>-0.16361765491585123</v>
      </c>
      <c r="H73" s="84">
        <f>SUM(H66/SUM(H28:H28))</f>
        <v>-2.7710717429577465</v>
      </c>
      <c r="I73" s="84">
        <f>SUM(I66/SUM(I28:I28))</f>
        <v>-3.3467607696917239</v>
      </c>
      <c r="J73" s="84">
        <f>SUM(J66/SUM(J28:J28))</f>
        <v>-2.5120852724816092</v>
      </c>
      <c r="K73" s="84">
        <f>SUM(K66/SUM(K28:K28))</f>
        <v>-2.9410796189580148</v>
      </c>
      <c r="L73" s="84">
        <f>SUM(L66/SUM(L28:L28))</f>
        <v>-2.6756843800322061</v>
      </c>
      <c r="M73" s="84">
        <f>SUM(M66/SUM(L28:M28))</f>
        <v>-0.48193177167344775</v>
      </c>
      <c r="N73" s="84">
        <f>SUM(N66/SUM(L28:N28))</f>
        <v>-0.31077257541122494</v>
      </c>
      <c r="O73" s="84">
        <f>SUM(O66/SUM(L28:O28))</f>
        <v>-0.2205029239766082</v>
      </c>
      <c r="P73" s="84">
        <f>SUM(P66/SUM(M28:P28))</f>
        <v>-0.20523707637218275</v>
      </c>
      <c r="Q73" s="84">
        <f>SUM(Q66/SUM(N28:Q28))</f>
        <v>-0.19095096121993183</v>
      </c>
      <c r="R73" s="84">
        <f>SUM(R66/SUM(O28:R28))</f>
        <v>-0.17309007523031741</v>
      </c>
      <c r="S73" s="84">
        <f>SUM(S66/SUM(P28:S28))</f>
        <v>-0.16361765491585123</v>
      </c>
      <c r="T73" s="84">
        <f>SUM(T66/SUM(Q28:T28))</f>
        <v>-0.16407357949546081</v>
      </c>
      <c r="U73" s="84">
        <f>SUM(U66/SUM(R28:U28))</f>
        <v>-0.15777448566540084</v>
      </c>
      <c r="V73" s="84">
        <f>SUM(V66/SUM(S28:V28))</f>
        <v>-0.33493548350870889</v>
      </c>
      <c r="W73" s="84"/>
      <c r="X73" s="84">
        <f>X66/X28</f>
        <v>-2.6300323508267431</v>
      </c>
      <c r="Y73" s="84">
        <f>Y66/Y28</f>
        <v>0</v>
      </c>
      <c r="Z73" s="84">
        <f>Z66/Z28</f>
        <v>0</v>
      </c>
      <c r="AA73" s="84">
        <f>AA66/AA28</f>
        <v>0</v>
      </c>
      <c r="AB73" s="84">
        <f>AB66/AB28</f>
        <v>0</v>
      </c>
      <c r="AC73" s="84">
        <f>AC66/AC28</f>
        <v>0</v>
      </c>
      <c r="AD73" s="84">
        <f>AD66/AD28</f>
        <v>-0.17309007523031741</v>
      </c>
      <c r="AE73" s="84">
        <f>AE66/AE28</f>
        <v>-0.16361765491585123</v>
      </c>
      <c r="AF73" s="84">
        <f>AF66/AF28</f>
        <v>-0.16407357949546081</v>
      </c>
      <c r="AG73" s="84">
        <f>AG66/AG28</f>
        <v>-0.15777448566540084</v>
      </c>
      <c r="AH73" s="84">
        <f>AH66/AH28</f>
        <v>-0.33493548350870889</v>
      </c>
    </row>
    <row r="74" spans="1:34" ht="12.75" customHeight="1">
      <c r="B74" s="31" t="s">
        <v>100</v>
      </c>
      <c r="C74" s="84">
        <f>SUM(C66-C48)/C28</f>
        <v>2.6591585616274811</v>
      </c>
      <c r="D74" s="84">
        <f>SUM(D66-D48)/D28</f>
        <v>1.4213495953493673</v>
      </c>
      <c r="E74" s="84">
        <f>SUM(E66-E48)/E28</f>
        <v>0.72040935672514617</v>
      </c>
      <c r="F74" s="84">
        <f>SUM(F66-F48)/F28</f>
        <v>0.28099059077282307</v>
      </c>
      <c r="H74" s="84">
        <f>SUM(H66-H48)/SUM(H28:H28)</f>
        <v>8.1346280809859159</v>
      </c>
      <c r="I74" s="84">
        <f>SUM(I66-I48)/SUM(I28:I28)</f>
        <v>8.7069711698515206</v>
      </c>
      <c r="J74" s="84">
        <f>SUM(J66-J48)/SUM(J28:J28)</f>
        <v>5.6814292148326073</v>
      </c>
      <c r="K74" s="84">
        <f>SUM(K66-K48)/SUM(K28:K28)</f>
        <v>5.8659296718805125</v>
      </c>
      <c r="L74" s="84">
        <f>SUM(L66-L48)/SUM(L28:L28)</f>
        <v>4.2792270531400964</v>
      </c>
      <c r="M74" s="84">
        <f>SUM(M66-M48)/SUM(L28:M28)</f>
        <v>2.2771504923321375</v>
      </c>
      <c r="N74" s="84">
        <f>SUM(N66-N48)/SUM(L28:N28)</f>
        <v>1.2875457582684591</v>
      </c>
      <c r="O74" s="84">
        <f>SUM(O66-O48)/SUM(L28:O28)</f>
        <v>0.72040935672514617</v>
      </c>
      <c r="P74" s="84">
        <f>SUM(P66-P48)/SUM(M28:P28)</f>
        <v>1.0752635721650057</v>
      </c>
      <c r="Q74" s="84">
        <f>SUM(Q66-Q48)/SUM(N28:Q28)</f>
        <v>0.80887806024856002</v>
      </c>
      <c r="R74" s="84">
        <f>SUM(R66-R48)/SUM(O28:R28)</f>
        <v>3.3803355191696506E-2</v>
      </c>
      <c r="S74" s="84">
        <f>SUM(S66-S48)/SUM(P28:S28)</f>
        <v>0.28099059077282307</v>
      </c>
      <c r="T74" s="84">
        <f>SUM(T66-T48)/SUM(Q28:T28)</f>
        <v>0.48649627858348082</v>
      </c>
      <c r="U74" s="84">
        <f>SUM(U66-U48)/SUM(R28:U28)</f>
        <v>0.2390038809831824</v>
      </c>
      <c r="V74" s="84">
        <f>SUM(V66-V48)/SUM(S28:V28)</f>
        <v>-0.11608476422563366</v>
      </c>
      <c r="W74" s="84"/>
      <c r="X74" s="84">
        <f>SUM(X66-X48)/X28</f>
        <v>9.0135693745506824</v>
      </c>
      <c r="Y74" s="84">
        <f>SUM(Y66-Y48)/Y28</f>
        <v>3.0678052306127364</v>
      </c>
      <c r="Z74" s="84">
        <f>SUM(Z66-Z48)/Z28</f>
        <v>1.6542196780437768</v>
      </c>
      <c r="AA74" s="84">
        <f>SUM(AA66-AA48)/AA28</f>
        <v>0.94091228070175437</v>
      </c>
      <c r="AB74" s="84">
        <f>SUM(AB66-AB48)/AB28</f>
        <v>1.2805006485371884</v>
      </c>
      <c r="AC74" s="84">
        <f>SUM(AC66-AC48)/AC28</f>
        <v>0.99982902146849184</v>
      </c>
      <c r="AD74" s="84">
        <f>SUM(AD66-AD48)/AD28</f>
        <v>3.3803355191696506E-2</v>
      </c>
      <c r="AE74" s="84">
        <f>SUM(AE66-AE48)/AE28</f>
        <v>0.28099059077282307</v>
      </c>
      <c r="AF74" s="84">
        <f>SUM(AF66-AF48)/AF28</f>
        <v>0.48649627858348082</v>
      </c>
      <c r="AG74" s="84">
        <f>SUM(AG66-AG48)/AG28</f>
        <v>0.2390038809831824</v>
      </c>
      <c r="AH74" s="84">
        <f>SUM(AH66-AH48)/AH28</f>
        <v>-0.11608476422563366</v>
      </c>
    </row>
    <row r="75" spans="1:34" ht="12.75" customHeight="1">
      <c r="B75" s="31" t="s">
        <v>101</v>
      </c>
      <c r="C75" s="84">
        <f>C28/-C33</f>
        <v>-14.448252069917203</v>
      </c>
      <c r="D75" s="84">
        <f>D28/-D33</f>
        <v>-11.32</v>
      </c>
      <c r="E75" s="84">
        <f>E28/-E33</f>
        <v>-12.956508561903318</v>
      </c>
      <c r="F75" s="84">
        <f>F28/-F33</f>
        <v>-10.894793575509324</v>
      </c>
      <c r="H75" s="84" cm="1">
        <f t="array" ref="H75">SUM(H28:H28)/SUM(-H33:H33)</f>
        <v>-12.692737430167599</v>
      </c>
      <c r="I75" s="84" cm="1">
        <f t="array" ref="I75">SUM(I28:I28)/SUM(-I33:I33)</f>
        <v>-10.093413978494624</v>
      </c>
      <c r="J75" s="84" cm="1">
        <f t="array" ref="J75">SUM(J28:J28)/SUM(-J33:J33)</f>
        <v>-12.177330895795247</v>
      </c>
      <c r="K75" s="84" cm="1">
        <f t="array" ref="K75">SUM(K28:K28)/SUM(-K33:K33)</f>
        <v>-10.375838926174497</v>
      </c>
      <c r="L75" s="84" cm="1">
        <f t="array" ref="L75">SUM(L28:L28)/SUM(-L33:L33)</f>
        <v>-10.965273690406121</v>
      </c>
      <c r="M75" s="84" cm="1">
        <f t="array" ref="M75">SUM(L28:M28)/SUM(-L33:M33)</f>
        <v>-12.184511586975653</v>
      </c>
      <c r="N75" s="84" cm="1">
        <f t="array" ref="N75">SUM(L28:N28)/SUM(-L33:N33)</f>
        <v>-12.840106732348112</v>
      </c>
      <c r="O75" s="84" cm="1">
        <f t="array" ref="O75">SUM(L28:O28)/SUM(-L33:O33)</f>
        <v>-12.956508561903318</v>
      </c>
      <c r="P75" s="84" cm="1">
        <f t="array" ref="P75">SUM(M28:P28)/SUM(-M33:P33)</f>
        <v>-13.43106015485408</v>
      </c>
      <c r="Q75" s="84" cm="1">
        <f t="array" ref="Q75">SUM(N28:Q28)/SUM(-N33:Q33)</f>
        <v>-12.442361388113282</v>
      </c>
      <c r="R75" s="84" cm="1">
        <f t="array" ref="R75">SUM(O28:R28)/SUM(-O33:R33)</f>
        <v>-11.702919020715632</v>
      </c>
      <c r="S75" s="84" cm="1">
        <f t="array" ref="S75">SUM(P28:S28)/SUM(-P33:S33)</f>
        <v>-10.894793575509324</v>
      </c>
      <c r="T75" s="84" cm="1">
        <f t="array" ref="T75">SUM(Q28:T28)/SUM(-Q33:T33)</f>
        <v>-9.2345856036707765</v>
      </c>
      <c r="U75" s="84" cm="1">
        <f t="array" ref="U75">SUM(R28:U28)/SUM(-R33:U33)</f>
        <v>-9.1365932704222672</v>
      </c>
      <c r="V75" s="84" cm="1">
        <f t="array" ref="V75">SUM(S28:V28)/SUM(-S33:V33)</f>
        <v>-8.3494608532583214</v>
      </c>
      <c r="W75" s="84"/>
      <c r="X75" s="84">
        <f>X28/-X33</f>
        <v>-6.5497351383166569</v>
      </c>
      <c r="Y75" s="84">
        <f>Y28/-Y33</f>
        <v>-10.95834555588149</v>
      </c>
      <c r="Z75" s="84">
        <f>Z28/-Z33</f>
        <v>-12.4061986863711</v>
      </c>
      <c r="AA75" s="84">
        <f>AA28/-AA33</f>
        <v>-12.956508561903318</v>
      </c>
      <c r="AB75" s="84">
        <f>AB28/-AB33</f>
        <v>-13.43106015485408</v>
      </c>
      <c r="AC75" s="84">
        <f>AC28/-AC33</f>
        <v>-12.442361388113282</v>
      </c>
      <c r="AD75" s="84">
        <f>AD28/-AD33</f>
        <v>-11.702919020715632</v>
      </c>
      <c r="AE75" s="84">
        <f>AE28/-AE33</f>
        <v>-10.894793575509324</v>
      </c>
      <c r="AF75" s="84">
        <f>AF28/-AF33</f>
        <v>-9.2345856036707765</v>
      </c>
      <c r="AG75" s="84">
        <f>AG28/-AG33</f>
        <v>-9.1365932704222672</v>
      </c>
      <c r="AH75" s="84">
        <f>AH28/-AH33</f>
        <v>-8.3494608532583214</v>
      </c>
    </row>
    <row r="76" spans="1:34" ht="12.75" customHeight="1">
      <c r="B76" s="31" t="s">
        <v>102</v>
      </c>
      <c r="C76" s="84" cm="1">
        <f t="array" ref="C76">SUM(C28+C31)/SUM(-C32:C33)</f>
        <v>-14.498850045998161</v>
      </c>
      <c r="D76" s="84" cm="1">
        <f t="array" ref="D76">SUM(D28+D31)/SUM(-D32:D33)</f>
        <v>-11.489032258064515</v>
      </c>
      <c r="E76" s="84" cm="1">
        <f t="array" ref="E76">SUM(E28+E31)/SUM(-E32:E33)</f>
        <v>-13.302015456887407</v>
      </c>
      <c r="F76" s="84" cm="1">
        <f t="array" ref="F76">SUM(F28+F31)/SUM(-F32:F33)</f>
        <v>-11.064244906758651</v>
      </c>
      <c r="H76" s="84" cm="1">
        <f t="array" ref="H76">SUM(H28:H28+H31:H31)/SUM(-H32:H33)</f>
        <v>-12.708100558659218</v>
      </c>
      <c r="I76" s="84" cm="1">
        <f t="array" ref="I76">SUM(I28:I28+I31:I31)/SUM(-I32:I33)</f>
        <v>-10.183467741935484</v>
      </c>
      <c r="J76" s="84" cm="1">
        <f t="array" ref="J76">SUM(J28:J28+J31:J31)/SUM(-J32:J33)</f>
        <v>-12.305911029859841</v>
      </c>
      <c r="K76" s="84" cm="1">
        <f t="array" ref="K76">SUM(K28:K28+K31:K31)/SUM(-K32:K33)</f>
        <v>-10.791336180597925</v>
      </c>
      <c r="L76" s="84" cm="1">
        <f t="array" ref="L76">SUM(L28:L28+L31:L31)/SUM(-L32:L33)</f>
        <v>-11.643319599764567</v>
      </c>
      <c r="M76" s="84" cm="1">
        <f t="array" ref="M76">SUM(L28:M28+L31:M31)/SUM(-L32:M33)</f>
        <v>-12.664711058961572</v>
      </c>
      <c r="N76" s="84" cm="1">
        <f t="array" ref="N76">SUM(L28:N28+L31:N31)/SUM(-L32:N33)</f>
        <v>-13.277298850574713</v>
      </c>
      <c r="O76" s="84" cm="1">
        <f t="array" ref="O76">SUM(L28:O28+L31:O31)/SUM(-L32:O33)</f>
        <v>-13.302015456887407</v>
      </c>
      <c r="P76" s="84" cm="1">
        <f t="array" ref="P76">SUM(M28:P28+M31:P31)/SUM(-M32:P33)</f>
        <v>-13.657236450268016</v>
      </c>
      <c r="Q76" s="84" cm="1">
        <f t="array" ref="Q76">SUM(N28:Q28+N31:Q31)/SUM(-N32:Q33)</f>
        <v>-12.604307937774232</v>
      </c>
      <c r="R76" s="84" cm="1">
        <f t="array" ref="R76">SUM(O28:R28+O31:R31)/SUM(-O32:R33)</f>
        <v>-11.898187382297552</v>
      </c>
      <c r="S76" s="84" cm="1">
        <f t="array" ref="S76">SUM(P28:S28+P31:S31)/SUM(-P32:S33)</f>
        <v>-11.064244906758651</v>
      </c>
      <c r="T76" s="84" cm="1">
        <f t="array" ref="T76">SUM(Q28:T28+Q31:T31)/SUM(-Q32:T33)</f>
        <v>-9.3692763598126376</v>
      </c>
      <c r="U76" s="84" cm="1">
        <f t="array" ref="U76">SUM(R28:U28+R31:U31)/SUM(-R32:U33)</f>
        <v>-9.3075016680964637</v>
      </c>
      <c r="V76" s="84" cm="1">
        <f t="array" ref="V76">SUM(S28:V28+S31:V31)/SUM(-S32:V33)</f>
        <v>-8.4345991561181428</v>
      </c>
      <c r="W76" s="84"/>
      <c r="X76" s="84" cm="1">
        <f t="array" ref="X76">SUM(X28+X31)/SUM(-X32:X33)</f>
        <v>-7.2277810476751032</v>
      </c>
      <c r="Y76" s="84" cm="1">
        <f t="array" ref="Y76">SUM(Y28+Y31)/SUM(-Y32:Y33)</f>
        <v>-11.438545027867409</v>
      </c>
      <c r="Z76" s="84" cm="1">
        <f t="array" ref="Z76">SUM(Z28+Z31)/SUM(-Z32:Z33)</f>
        <v>-12.843390804597702</v>
      </c>
      <c r="AA76" s="84" cm="1">
        <f t="array" ref="AA76">SUM(AA28+AA31)/SUM(-AA32:AA33)</f>
        <v>-13.302015456887407</v>
      </c>
      <c r="AB76" s="84" cm="1">
        <f t="array" ref="AB76">SUM(AB28+AB31)/SUM(-AB32:AB33)</f>
        <v>-13.657236450268016</v>
      </c>
      <c r="AC76" s="84" cm="1">
        <f t="array" ref="AC76">SUM(AC28+AC31)/SUM(-AC32:AC33)</f>
        <v>-12.604307937774232</v>
      </c>
      <c r="AD76" s="84" cm="1">
        <f t="array" ref="AD76">SUM(AD28+AD31)/SUM(-AD32:AD33)</f>
        <v>-11.898187382297552</v>
      </c>
      <c r="AE76" s="84" cm="1">
        <f t="array" ref="AE76">SUM(AE28+AE31)/SUM(-AE32:AE33)</f>
        <v>-11.064244906758651</v>
      </c>
      <c r="AF76" s="84" cm="1">
        <f t="array" ref="AF76">SUM(AF28+AF31)/SUM(-AF32:AF33)</f>
        <v>-9.3692763598126376</v>
      </c>
      <c r="AG76" s="84" cm="1">
        <f t="array" ref="AG76">SUM(AG28+AG31)/SUM(-AG32:AG33)</f>
        <v>-9.3075016680964637</v>
      </c>
      <c r="AH76" s="84" cm="1">
        <f t="array" ref="AH76">SUM(AH28+AH31)/SUM(-AH32:AH33)</f>
        <v>-8.4345991561181428</v>
      </c>
    </row>
    <row r="77" spans="1:34" ht="12.75" customHeight="1">
      <c r="B77" s="31" t="s">
        <v>103</v>
      </c>
      <c r="C77" s="84" cm="1">
        <f t="array" ref="C77">SUM(C28)/SUM(-C31:C33)</f>
        <v>-13.752408056042032</v>
      </c>
      <c r="D77" s="84" cm="1">
        <f t="array" ref="D77">SUM(D28)/SUM(-D31:D33)</f>
        <v>-9.6832229580573959</v>
      </c>
      <c r="E77" s="84" cm="1">
        <f t="array" ref="E77">SUM(E28)/SUM(-E31:E33)</f>
        <v>-9.6294627773397909</v>
      </c>
      <c r="F77" s="84" cm="1">
        <f t="array" ref="F77">SUM(F28)/SUM(-F31:F33)</f>
        <v>-9.3161581712600245</v>
      </c>
      <c r="H77" s="84" cm="1">
        <f t="array" ref="H77">SUM(H28:H28)/SUM(-H31:H33)</f>
        <v>-12.500687757909215</v>
      </c>
      <c r="I77" s="84" cm="1">
        <f t="array" ref="I77">SUM(I28:I28)/SUM(-I31:I33)</f>
        <v>-9.2595561035758323</v>
      </c>
      <c r="J77" s="84" cm="1">
        <f t="array" ref="J77">SUM(J28:J28)/SUM(-J31:J33)</f>
        <v>-10.789956803455723</v>
      </c>
      <c r="K77" s="84" cm="1">
        <f t="array" ref="K77">SUM(K28:K28)/SUM(-K31:K33)</f>
        <v>-7.330172413793103</v>
      </c>
      <c r="L77" s="84" cm="1">
        <f t="array" ref="L77">SUM(L28:L28)/SUM(-L31:L33)</f>
        <v>-6.5345492809540513</v>
      </c>
      <c r="M77" s="84" cm="1">
        <f t="array" ref="M77">SUM(L28:M28)/SUM(-L31:M33)</f>
        <v>-8.2316686484344039</v>
      </c>
      <c r="N77" s="84" cm="1">
        <f t="array" ref="N77">SUM(L28:N28)/SUM(-L31:N33)</f>
        <v>-8.9341616680948306</v>
      </c>
      <c r="O77" s="84" cm="1">
        <f t="array" ref="O77">SUM(L28:O28)/SUM(-L31:O33)</f>
        <v>-9.6294627773397909</v>
      </c>
      <c r="P77" s="84" cm="1">
        <f t="array" ref="P77">SUM(M28:P28)/SUM(-M31:P33)</f>
        <v>-10.953612629022466</v>
      </c>
      <c r="Q77" s="84" cm="1">
        <f t="array" ref="Q77">SUM(N28:Q28)/SUM(-N31:Q33)</f>
        <v>-10.708204600068658</v>
      </c>
      <c r="R77" s="84" cm="1">
        <f t="array" ref="R77">SUM(O28:R28)/SUM(-O31:R33)</f>
        <v>-9.7910388970950279</v>
      </c>
      <c r="S77" s="84" cm="1">
        <f t="array" ref="S77">SUM(P28:S28)/SUM(-P31:S33)</f>
        <v>-9.3161581712600245</v>
      </c>
      <c r="T77" s="84" cm="1">
        <f t="array" ref="T77">SUM(Q28:T28)/SUM(-Q31:T33)</f>
        <v>-8.1384161752316757</v>
      </c>
      <c r="U77" s="84" cm="1">
        <f t="array" ref="U77">SUM(R28:U28)/SUM(-R31:U33)</f>
        <v>-7.8029957668511889</v>
      </c>
      <c r="V77" s="84" cm="1">
        <f t="array" ref="V77">SUM(S28:V28)/SUM(-S31:V33)</f>
        <v>-7.6943748379849648</v>
      </c>
      <c r="W77" s="84"/>
      <c r="X77" s="84" cm="1">
        <f t="array" ref="X77">SUM(X28)/SUM(-X31:X33)</f>
        <v>-3.9031918625043844</v>
      </c>
      <c r="Y77" s="84" cm="1">
        <f t="array" ref="Y77">SUM(Y28)/SUM(-Y31:Y33)</f>
        <v>-7.4032897344431232</v>
      </c>
      <c r="Z77" s="84" cm="1">
        <f t="array" ref="Z77">SUM(Z28)/SUM(-Z31:Z33)</f>
        <v>-8.6322479291630962</v>
      </c>
      <c r="AA77" s="84" cm="1">
        <f t="array" ref="AA77">SUM(AA28)/SUM(-AA31:AA33)</f>
        <v>-9.6294627773397909</v>
      </c>
      <c r="AB77" s="84" cm="1">
        <f t="array" ref="AB77">SUM(AB28)/SUM(-AB31:AB33)</f>
        <v>-10.953612629022466</v>
      </c>
      <c r="AC77" s="84" cm="1">
        <f t="array" ref="AC77">SUM(AC28)/SUM(-AC31:AC33)</f>
        <v>-10.708204600068658</v>
      </c>
      <c r="AD77" s="84" cm="1">
        <f t="array" ref="AD77">SUM(AD28)/SUM(-AD31:AD33)</f>
        <v>-9.7910388970950279</v>
      </c>
      <c r="AE77" s="84" cm="1">
        <f t="array" ref="AE77">SUM(AE28)/SUM(-AE31:AE33)</f>
        <v>-9.3161581712600245</v>
      </c>
      <c r="AF77" s="84" cm="1">
        <f t="array" ref="AF77">SUM(AF28)/SUM(-AF31:AF33)</f>
        <v>-8.1384161752316757</v>
      </c>
      <c r="AG77" s="84" cm="1">
        <f t="array" ref="AG77">SUM(AG28)/SUM(-AG31:AG33)</f>
        <v>-7.8029957668511889</v>
      </c>
      <c r="AH77" s="84" cm="1">
        <f t="array" ref="AH77">SUM(AH28)/SUM(-AH31:AH33)</f>
        <v>-7.6943748379849648</v>
      </c>
    </row>
    <row r="78" spans="1:34" ht="12.75" customHeight="1">
      <c r="B78" s="8" t="s">
        <v>50</v>
      </c>
      <c r="C78" s="84">
        <f>C69/C66</f>
        <v>3.4216368357416105</v>
      </c>
      <c r="D78" s="84">
        <f>D69/D66</f>
        <v>3.3378119001919386</v>
      </c>
      <c r="E78" s="84">
        <f>E69/E66</f>
        <v>1.7185063385137644</v>
      </c>
      <c r="F78" s="84">
        <f>F69/F66</f>
        <v>-2.1849186672310577</v>
      </c>
      <c r="H78" s="84">
        <f t="shared" ref="H78:K78" si="84">H69/H66</f>
        <v>3.0626600750491395</v>
      </c>
      <c r="I78" s="84">
        <f t="shared" si="84"/>
        <v>3.8301999403163234</v>
      </c>
      <c r="J78" s="84">
        <f t="shared" si="84"/>
        <v>3.3640311559991236</v>
      </c>
      <c r="K78" s="84">
        <f t="shared" si="84"/>
        <v>3.3378119001919386</v>
      </c>
      <c r="L78" s="84">
        <f t="shared" ref="L78:U78" si="85">L69/L66</f>
        <v>2.6427339110897128</v>
      </c>
      <c r="M78" s="84">
        <f t="shared" si="85"/>
        <v>4.0531022080127883</v>
      </c>
      <c r="N78" s="84">
        <f t="shared" si="85"/>
        <v>2.9028342163468959</v>
      </c>
      <c r="O78" s="84">
        <f t="shared" si="85"/>
        <v>1.7185063385137644</v>
      </c>
      <c r="P78" s="84">
        <f t="shared" si="85"/>
        <v>2.4126289634311027</v>
      </c>
      <c r="Q78" s="84">
        <f t="shared" si="85"/>
        <v>-0.58302087413957138</v>
      </c>
      <c r="R78" s="84">
        <f t="shared" si="85"/>
        <v>-2.7025566531086578</v>
      </c>
      <c r="S78" s="84">
        <f t="shared" si="85"/>
        <v>-2.1849186672310577</v>
      </c>
      <c r="T78" s="84">
        <f t="shared" si="85"/>
        <v>3.2740063091482652</v>
      </c>
      <c r="U78" s="84">
        <f t="shared" si="85"/>
        <v>1.2679362560338556</v>
      </c>
      <c r="V78" s="84">
        <f>V69/V66</f>
        <v>0.84070410729253986</v>
      </c>
      <c r="W78" s="84"/>
      <c r="X78" s="84">
        <f t="shared" ref="X78:AF78" si="86">X69/X66</f>
        <v>3.7979294085488777</v>
      </c>
      <c r="Y78" s="84" t="e">
        <f t="shared" si="86"/>
        <v>#DIV/0!</v>
      </c>
      <c r="Z78" s="84" t="e">
        <f t="shared" si="86"/>
        <v>#DIV/0!</v>
      </c>
      <c r="AA78" s="84" t="e">
        <f t="shared" si="86"/>
        <v>#DIV/0!</v>
      </c>
      <c r="AB78" s="84" t="e">
        <f t="shared" si="86"/>
        <v>#DIV/0!</v>
      </c>
      <c r="AC78" s="84" t="e">
        <f t="shared" si="86"/>
        <v>#DIV/0!</v>
      </c>
      <c r="AD78" s="84">
        <f t="shared" si="86"/>
        <v>-2.7025566531086578</v>
      </c>
      <c r="AE78" s="84">
        <f t="shared" si="86"/>
        <v>-2.1849186672310577</v>
      </c>
      <c r="AF78" s="84">
        <f t="shared" si="86"/>
        <v>3.2740063091482652</v>
      </c>
      <c r="AG78" s="84">
        <f>AG69/AG66</f>
        <v>1.2679362560338556</v>
      </c>
      <c r="AH78" s="84">
        <f>AH69/AH66</f>
        <v>0.84070410729253986</v>
      </c>
    </row>
    <row r="79" spans="1:34" ht="5.0999999999999996" customHeight="1" thickBot="1"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</row>
  </sheetData>
  <mergeCells count="1">
    <mergeCell ref="AJ2:AJ4"/>
  </mergeCells>
  <pageMargins left="0.7" right="0.7" top="0.75" bottom="0.75" header="0.3" footer="0.3"/>
  <ignoredErrors>
    <ignoredError sqref="C35:G36 AI36:AJ36 G31:G33 G38 AI38:AJ38 AI34 AI35 G34 AI37:AJ37 G37 M35:U36" formulaRange="1"/>
    <ignoredError sqref="C73:G78 C11:G12 C20:G21 C15:G16 G19 C25:G26 G22 W22 C28:G29 G27 AJ24:AJ35 W27 G14 AJ19:AJ22 G24 AJ14:AJ17 W17 G17 M73:W78 M12:W12 M20:W21 M15:W16 M25:W26 M28:W29 Q10:W10 N11:W11 D10:G10 AJ9:AJ12 AJ6:AJ8 AJ13 X27:AH27 X17:AH17 X73:AH78 X12:AH12 X20:AH21 X15:AH16 X25:AH26 X28:AH29 X10:AH10 X11:AH11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571C9-5F12-40F7-947A-920F49338A5A}">
  <sheetPr>
    <tabColor theme="8" tint="-0.249977111117893"/>
  </sheetPr>
  <dimension ref="B2:AJ27"/>
  <sheetViews>
    <sheetView showGridLines="0" zoomScale="115" zoomScaleNormal="115" workbookViewId="0">
      <selection activeCell="AJ6" sqref="AJ6"/>
    </sheetView>
  </sheetViews>
  <sheetFormatPr defaultRowHeight="14.25" outlineLevelCol="1"/>
  <cols>
    <col min="1" max="1" width="1.625" customWidth="1"/>
    <col min="2" max="2" width="21.5" bestFit="1" customWidth="1"/>
    <col min="3" max="3" width="9" hidden="1" customWidth="1" outlineLevel="1"/>
    <col min="4" max="4" width="8.625" customWidth="1" collapsed="1"/>
    <col min="7" max="7" width="1.625" customWidth="1"/>
    <col min="8" max="17" width="0" hidden="1" customWidth="1" outlineLevel="1"/>
    <col min="18" max="18" width="9" collapsed="1"/>
    <col min="23" max="23" width="1.625" customWidth="1"/>
    <col min="24" max="29" width="9" hidden="1" customWidth="1" outlineLevel="1"/>
    <col min="30" max="30" width="9" collapsed="1"/>
    <col min="31" max="33" width="9" hidden="1" customWidth="1" outlineLevel="1"/>
    <col min="34" max="34" width="9" collapsed="1"/>
    <col min="35" max="35" width="1.625" customWidth="1"/>
  </cols>
  <sheetData>
    <row r="2" spans="2:36">
      <c r="B2" s="167" t="s">
        <v>117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/>
      <c r="O2" s="2"/>
      <c r="P2" s="2"/>
      <c r="Q2" s="2"/>
      <c r="R2" s="2" t="s">
        <v>1</v>
      </c>
      <c r="S2" s="2"/>
      <c r="T2" s="2"/>
      <c r="U2" s="2"/>
      <c r="V2" s="2"/>
      <c r="W2" s="3"/>
      <c r="X2" s="2"/>
      <c r="Y2" s="2"/>
      <c r="Z2" s="2"/>
      <c r="AA2" s="2"/>
      <c r="AB2" s="2"/>
      <c r="AC2" s="2" t="s">
        <v>10</v>
      </c>
      <c r="AD2" s="2" t="s">
        <v>10</v>
      </c>
      <c r="AE2" s="2"/>
      <c r="AF2" s="2"/>
      <c r="AG2" s="2"/>
      <c r="AH2" s="2"/>
      <c r="AI2" s="3"/>
      <c r="AJ2" s="152" t="s">
        <v>24</v>
      </c>
    </row>
    <row r="3" spans="2:36">
      <c r="B3" s="168" t="s">
        <v>175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1Q22</v>
      </c>
      <c r="I3" s="7" t="str">
        <f>'Historical Financials'!I7</f>
        <v>2Q22</v>
      </c>
      <c r="J3" s="7" t="str">
        <f>'Historical Financials'!J7</f>
        <v>3Q22</v>
      </c>
      <c r="K3" s="7" t="str">
        <f>'Historical Financials'!K7</f>
        <v>4Q22</v>
      </c>
      <c r="L3" s="7" t="str">
        <f>'Historical Financials'!L7</f>
        <v>1Q23</v>
      </c>
      <c r="M3" s="7" t="str">
        <f>'Historical Financials'!M7</f>
        <v>2Q23</v>
      </c>
      <c r="N3" s="7" t="str">
        <f>'Historical Financials'!N7</f>
        <v>3Q23</v>
      </c>
      <c r="O3" s="7" t="str">
        <f>'Historical Financials'!O7</f>
        <v>4Q23</v>
      </c>
      <c r="P3" s="7" t="str">
        <f>'Historical Financials'!P7</f>
        <v>1Q24</v>
      </c>
      <c r="Q3" s="7" t="str">
        <f>'Historical Financials'!Q7</f>
        <v>2Q24</v>
      </c>
      <c r="R3" s="7" t="str">
        <f>'Historical Financials'!R7</f>
        <v>3Q24</v>
      </c>
      <c r="S3" s="7" t="str">
        <f>'Historical Financials'!S7</f>
        <v>4Q24</v>
      </c>
      <c r="T3" s="7" t="str">
        <f>'Historical Financials'!T7</f>
        <v>1Q25</v>
      </c>
      <c r="U3" s="7" t="str">
        <f>'Historical Financials'!U7</f>
        <v>2Q25</v>
      </c>
      <c r="V3" s="7" t="str">
        <f>'Historical Financials'!V7</f>
        <v>3Q25</v>
      </c>
      <c r="W3" s="3"/>
      <c r="X3" s="4" t="str">
        <f t="shared" ref="X3:AH4" si="0">L3</f>
        <v>1Q23</v>
      </c>
      <c r="Y3" s="4" t="str">
        <f t="shared" si="0"/>
        <v>2Q23</v>
      </c>
      <c r="Z3" s="4" t="str">
        <f t="shared" si="0"/>
        <v>3Q23</v>
      </c>
      <c r="AA3" s="4" t="str">
        <f t="shared" si="0"/>
        <v>4Q23</v>
      </c>
      <c r="AB3" s="4" t="str">
        <f t="shared" si="0"/>
        <v>1Q24</v>
      </c>
      <c r="AC3" s="4" t="str">
        <f t="shared" si="0"/>
        <v>2Q24</v>
      </c>
      <c r="AD3" s="4" t="str">
        <f t="shared" si="0"/>
        <v>3Q24</v>
      </c>
      <c r="AE3" s="4" t="str">
        <f t="shared" si="0"/>
        <v>4Q24</v>
      </c>
      <c r="AF3" s="4" t="str">
        <f t="shared" si="0"/>
        <v>1Q25</v>
      </c>
      <c r="AG3" s="4" t="str">
        <f t="shared" si="0"/>
        <v>2Q25</v>
      </c>
      <c r="AH3" s="4" t="str">
        <f t="shared" si="0"/>
        <v>3Q25</v>
      </c>
      <c r="AI3" s="3"/>
      <c r="AJ3" s="152"/>
    </row>
    <row r="4" spans="2:36">
      <c r="B4" s="168" t="s">
        <v>176</v>
      </c>
      <c r="C4" s="3">
        <f>'Historical Financials'!C8</f>
        <v>44561</v>
      </c>
      <c r="D4" s="3">
        <f>'Historical Financials'!D8</f>
        <v>44926</v>
      </c>
      <c r="E4" s="3">
        <f>'Historical Financials'!E8</f>
        <v>45291</v>
      </c>
      <c r="F4" s="3">
        <f>'Historical Financials'!F8</f>
        <v>45657</v>
      </c>
      <c r="G4" s="3"/>
      <c r="H4" s="3">
        <f>'Historical Financials'!H8</f>
        <v>44651</v>
      </c>
      <c r="I4" s="3">
        <f>'Historical Financials'!I8</f>
        <v>44742</v>
      </c>
      <c r="J4" s="3">
        <f>'Historical Financials'!J8</f>
        <v>44834</v>
      </c>
      <c r="K4" s="3">
        <f>'Historical Financials'!K8</f>
        <v>44926</v>
      </c>
      <c r="L4" s="3">
        <f>'Historical Financials'!L8</f>
        <v>45016</v>
      </c>
      <c r="M4" s="3">
        <f>'Historical Financials'!M8</f>
        <v>45107</v>
      </c>
      <c r="N4" s="3">
        <f>'Historical Financials'!N8</f>
        <v>45199</v>
      </c>
      <c r="O4" s="3">
        <f>'Historical Financials'!O8</f>
        <v>45291</v>
      </c>
      <c r="P4" s="3">
        <f>'Historical Financials'!P8</f>
        <v>45382</v>
      </c>
      <c r="Q4" s="3">
        <f>'Historical Financials'!Q8</f>
        <v>45473</v>
      </c>
      <c r="R4" s="3">
        <f>'Historical Financials'!R8</f>
        <v>45565</v>
      </c>
      <c r="S4" s="3">
        <f>'Historical Financials'!S8</f>
        <v>45657</v>
      </c>
      <c r="T4" s="3">
        <f>'Historical Financials'!T8</f>
        <v>45747</v>
      </c>
      <c r="U4" s="3">
        <f>'Historical Financials'!U8</f>
        <v>45838</v>
      </c>
      <c r="V4" s="3">
        <f>'Historical Financials'!V8</f>
        <v>45930</v>
      </c>
      <c r="W4" s="3"/>
      <c r="X4" s="3">
        <f t="shared" si="0"/>
        <v>45016</v>
      </c>
      <c r="Y4" s="3">
        <f t="shared" si="0"/>
        <v>45107</v>
      </c>
      <c r="Z4" s="3">
        <f t="shared" si="0"/>
        <v>45199</v>
      </c>
      <c r="AA4" s="3">
        <f t="shared" si="0"/>
        <v>45291</v>
      </c>
      <c r="AB4" s="3">
        <f t="shared" si="0"/>
        <v>45382</v>
      </c>
      <c r="AC4" s="3">
        <f t="shared" si="0"/>
        <v>45473</v>
      </c>
      <c r="AD4" s="3">
        <f t="shared" si="0"/>
        <v>45565</v>
      </c>
      <c r="AE4" s="3">
        <f t="shared" si="0"/>
        <v>45657</v>
      </c>
      <c r="AF4" s="3">
        <f t="shared" si="0"/>
        <v>45747</v>
      </c>
      <c r="AG4" s="3">
        <f t="shared" si="0"/>
        <v>45838</v>
      </c>
      <c r="AH4" s="3">
        <f t="shared" si="0"/>
        <v>45930</v>
      </c>
      <c r="AI4" s="3"/>
      <c r="AJ4" s="152"/>
    </row>
    <row r="5" spans="2:36" ht="5.0999999999999996" customHeight="1">
      <c r="AJ5" s="128"/>
    </row>
    <row r="6" spans="2:36">
      <c r="B6" s="79" t="s">
        <v>184</v>
      </c>
      <c r="AJ6" s="129"/>
    </row>
    <row r="7" spans="2:36">
      <c r="B7" s="9" t="s">
        <v>43</v>
      </c>
      <c r="C7" s="96">
        <f>'Historical Financials'!C45</f>
        <v>217502</v>
      </c>
      <c r="D7" s="96">
        <f>'Historical Financials'!D45</f>
        <v>149772</v>
      </c>
      <c r="E7" s="96">
        <f>'Historical Financials'!E45</f>
        <v>80448</v>
      </c>
      <c r="F7" s="96">
        <f>'Historical Financials'!F45</f>
        <v>44937</v>
      </c>
      <c r="H7" s="96">
        <f>'Historical Financials'!H45</f>
        <v>198222</v>
      </c>
      <c r="I7" s="96">
        <f>'Historical Financials'!I45</f>
        <v>181035</v>
      </c>
      <c r="J7" s="96">
        <f>'Historical Financials'!J45</f>
        <v>163731</v>
      </c>
      <c r="K7" s="96">
        <f>'Historical Financials'!K45</f>
        <v>149772</v>
      </c>
      <c r="L7" s="96">
        <f>'Historical Financials'!L45</f>
        <v>129570</v>
      </c>
      <c r="M7" s="96">
        <f>'Historical Financials'!M45</f>
        <v>114604</v>
      </c>
      <c r="N7" s="96">
        <f>'Historical Financials'!N45</f>
        <v>99986</v>
      </c>
      <c r="O7" s="96">
        <f>'Historical Financials'!O45</f>
        <v>80448</v>
      </c>
      <c r="P7" s="96">
        <f>'Historical Financials'!P45</f>
        <v>115505</v>
      </c>
      <c r="Q7" s="96">
        <f>'Historical Financials'!Q45</f>
        <v>93563</v>
      </c>
      <c r="R7" s="96">
        <f>'Historical Financials'!R45</f>
        <v>20571</v>
      </c>
      <c r="S7" s="96">
        <f>'Historical Financials'!S45</f>
        <v>44937</v>
      </c>
      <c r="T7" s="96">
        <f>'Historical Financials'!T45</f>
        <v>62847</v>
      </c>
      <c r="U7" s="96">
        <f>'Historical Financials'!U45</f>
        <v>38032</v>
      </c>
      <c r="V7" s="96">
        <f>'Historical Financials'!V45</f>
        <v>19488</v>
      </c>
      <c r="X7" s="127">
        <f t="shared" ref="X7:AG8" si="1">L7</f>
        <v>129570</v>
      </c>
      <c r="Y7" s="127">
        <f t="shared" si="1"/>
        <v>114604</v>
      </c>
      <c r="Z7" s="127">
        <f t="shared" si="1"/>
        <v>99986</v>
      </c>
      <c r="AA7" s="127">
        <f t="shared" si="1"/>
        <v>80448</v>
      </c>
      <c r="AB7" s="127">
        <f t="shared" si="1"/>
        <v>115505</v>
      </c>
      <c r="AC7" s="127">
        <f t="shared" si="1"/>
        <v>93563</v>
      </c>
      <c r="AD7" s="127">
        <f t="shared" si="1"/>
        <v>20571</v>
      </c>
      <c r="AE7" s="127">
        <f t="shared" si="1"/>
        <v>44937</v>
      </c>
      <c r="AF7" s="127">
        <f t="shared" si="1"/>
        <v>62847</v>
      </c>
      <c r="AG7" s="127">
        <f t="shared" si="1"/>
        <v>38032</v>
      </c>
      <c r="AH7" s="127">
        <f>V7</f>
        <v>19488</v>
      </c>
      <c r="AJ7" s="129">
        <f t="shared" ref="AJ6:AJ9" si="2">SUM(AH7/AD7)-1</f>
        <v>-5.2646930144378046E-2</v>
      </c>
    </row>
    <row r="8" spans="2:36">
      <c r="B8" s="9" t="s">
        <v>171</v>
      </c>
      <c r="C8" s="96">
        <f>SUM('Historical Financials'!C46+'Historical Financials'!C54)</f>
        <v>0</v>
      </c>
      <c r="D8" s="96">
        <f>SUM('Historical Financials'!D46+'Historical Financials'!D54)</f>
        <v>0</v>
      </c>
      <c r="E8" s="96">
        <f>SUM('Historical Financials'!E46+'Historical Financials'!E54)</f>
        <v>353</v>
      </c>
      <c r="F8" s="96">
        <f>SUM('Historical Financials'!F46+'Historical Financials'!F54)</f>
        <v>50353</v>
      </c>
      <c r="H8" s="96">
        <f>SUM('Historical Financials'!H46+'Historical Financials'!H54)</f>
        <v>0</v>
      </c>
      <c r="I8" s="96">
        <f>SUM('Historical Financials'!I46+'Historical Financials'!I54)</f>
        <v>0</v>
      </c>
      <c r="J8" s="96">
        <f>SUM('Historical Financials'!J46+'Historical Financials'!J54)</f>
        <v>0</v>
      </c>
      <c r="K8" s="96">
        <f>SUM('Historical Financials'!K46+'Historical Financials'!K54)</f>
        <v>0</v>
      </c>
      <c r="L8" s="96">
        <f>SUM('Historical Financials'!L46+'Historical Financials'!L54)</f>
        <v>0</v>
      </c>
      <c r="M8" s="96">
        <f>SUM('Historical Financials'!M46+'Historical Financials'!M54)</f>
        <v>0</v>
      </c>
      <c r="N8" s="96">
        <f>SUM('Historical Financials'!N46+'Historical Financials'!N54)</f>
        <v>354</v>
      </c>
      <c r="O8" s="96">
        <f>SUM('Historical Financials'!O46+'Historical Financials'!O54)</f>
        <v>353</v>
      </c>
      <c r="P8" s="96">
        <f>SUM('Historical Financials'!P46+'Historical Financials'!P54)</f>
        <v>353</v>
      </c>
      <c r="Q8" s="96">
        <f>SUM('Historical Financials'!Q46+'Historical Financials'!Q54)</f>
        <v>353</v>
      </c>
      <c r="R8" s="96">
        <f>SUM('Historical Financials'!R46+'Historical Financials'!R54)</f>
        <v>50353</v>
      </c>
      <c r="S8" s="96">
        <f>SUM('Historical Financials'!S46+'Historical Financials'!S54)</f>
        <v>50353</v>
      </c>
      <c r="T8" s="96">
        <f>SUM('Historical Financials'!T46+'Historical Financials'!T54)</f>
        <v>50353</v>
      </c>
      <c r="U8" s="96">
        <f>SUM('Historical Financials'!U46+'Historical Financials'!U54)</f>
        <v>50353</v>
      </c>
      <c r="V8" s="96">
        <f>SUM('Historical Financials'!V46+'Historical Financials'!V54)</f>
        <v>353</v>
      </c>
      <c r="X8" s="127">
        <f t="shared" si="1"/>
        <v>0</v>
      </c>
      <c r="Y8" s="127">
        <f t="shared" si="1"/>
        <v>0</v>
      </c>
      <c r="Z8" s="127">
        <f t="shared" si="1"/>
        <v>354</v>
      </c>
      <c r="AA8" s="127">
        <f t="shared" si="1"/>
        <v>353</v>
      </c>
      <c r="AB8" s="127">
        <f t="shared" si="1"/>
        <v>353</v>
      </c>
      <c r="AC8" s="127">
        <f t="shared" si="1"/>
        <v>353</v>
      </c>
      <c r="AD8" s="127">
        <f t="shared" si="1"/>
        <v>50353</v>
      </c>
      <c r="AE8" s="127">
        <f t="shared" si="1"/>
        <v>50353</v>
      </c>
      <c r="AF8" s="127">
        <f t="shared" si="1"/>
        <v>50353</v>
      </c>
      <c r="AG8" s="127">
        <f t="shared" si="1"/>
        <v>50353</v>
      </c>
      <c r="AH8" s="127">
        <f>V8</f>
        <v>353</v>
      </c>
      <c r="AJ8" s="129">
        <f t="shared" si="2"/>
        <v>-0.99298949417115168</v>
      </c>
    </row>
    <row r="9" spans="2:36">
      <c r="B9" s="171" t="s">
        <v>183</v>
      </c>
      <c r="C9" s="169">
        <f>SUM(C7:C8)</f>
        <v>217502</v>
      </c>
      <c r="D9" s="169">
        <f>SUM(D7:D8)</f>
        <v>149772</v>
      </c>
      <c r="E9" s="169">
        <f>SUM(E7:E8)</f>
        <v>80801</v>
      </c>
      <c r="F9" s="169">
        <f>SUM(F7:F8)</f>
        <v>95290</v>
      </c>
      <c r="G9" s="170"/>
      <c r="H9" s="169">
        <f>SUM(H7:H8)</f>
        <v>198222</v>
      </c>
      <c r="I9" s="169">
        <f t="shared" ref="I9:X9" si="3">SUM(I7:I8)</f>
        <v>181035</v>
      </c>
      <c r="J9" s="169">
        <f t="shared" si="3"/>
        <v>163731</v>
      </c>
      <c r="K9" s="169">
        <f t="shared" si="3"/>
        <v>149772</v>
      </c>
      <c r="L9" s="169">
        <f t="shared" si="3"/>
        <v>129570</v>
      </c>
      <c r="M9" s="169">
        <f t="shared" si="3"/>
        <v>114604</v>
      </c>
      <c r="N9" s="169">
        <f t="shared" si="3"/>
        <v>100340</v>
      </c>
      <c r="O9" s="169">
        <f t="shared" si="3"/>
        <v>80801</v>
      </c>
      <c r="P9" s="169">
        <f t="shared" si="3"/>
        <v>115858</v>
      </c>
      <c r="Q9" s="169">
        <f t="shared" si="3"/>
        <v>93916</v>
      </c>
      <c r="R9" s="169">
        <f t="shared" si="3"/>
        <v>70924</v>
      </c>
      <c r="S9" s="169">
        <f t="shared" si="3"/>
        <v>95290</v>
      </c>
      <c r="T9" s="169">
        <f t="shared" si="3"/>
        <v>113200</v>
      </c>
      <c r="U9" s="169">
        <f t="shared" si="3"/>
        <v>88385</v>
      </c>
      <c r="V9" s="169">
        <f t="shared" si="3"/>
        <v>19841</v>
      </c>
      <c r="W9" s="170"/>
      <c r="X9" s="169">
        <f t="shared" si="3"/>
        <v>129570</v>
      </c>
      <c r="Y9" s="169">
        <f t="shared" ref="Y9" si="4">SUM(Y7:Y8)</f>
        <v>114604</v>
      </c>
      <c r="Z9" s="169">
        <f t="shared" ref="Z9" si="5">SUM(Z7:Z8)</f>
        <v>100340</v>
      </c>
      <c r="AA9" s="169">
        <f t="shared" ref="AA9" si="6">SUM(AA7:AA8)</f>
        <v>80801</v>
      </c>
      <c r="AB9" s="169">
        <f t="shared" ref="AB9" si="7">SUM(AB7:AB8)</f>
        <v>115858</v>
      </c>
      <c r="AC9" s="169">
        <f t="shared" ref="AC9" si="8">SUM(AC7:AC8)</f>
        <v>93916</v>
      </c>
      <c r="AD9" s="169">
        <f t="shared" ref="AD9" si="9">SUM(AD7:AD8)</f>
        <v>70924</v>
      </c>
      <c r="AE9" s="169">
        <f t="shared" ref="AE9" si="10">SUM(AE7:AE8)</f>
        <v>95290</v>
      </c>
      <c r="AF9" s="169">
        <f t="shared" ref="AF9" si="11">SUM(AF7:AF8)</f>
        <v>113200</v>
      </c>
      <c r="AG9" s="169">
        <f t="shared" ref="AG9" si="12">SUM(AG7:AG8)</f>
        <v>88385</v>
      </c>
      <c r="AH9" s="169">
        <f t="shared" ref="AH9" si="13">SUM(AH7:AH8)</f>
        <v>19841</v>
      </c>
      <c r="AJ9" s="130">
        <f t="shared" si="2"/>
        <v>-0.72024984490440469</v>
      </c>
    </row>
    <row r="10" spans="2:36">
      <c r="B10" s="9"/>
      <c r="AJ10" s="131"/>
    </row>
    <row r="11" spans="2:36">
      <c r="B11" s="79" t="s">
        <v>177</v>
      </c>
      <c r="AJ11" s="128"/>
    </row>
    <row r="12" spans="2:36">
      <c r="B12" s="9" t="s">
        <v>178</v>
      </c>
      <c r="C12" s="96">
        <f>'Historical Financials'!C103</f>
        <v>-81190</v>
      </c>
      <c r="D12" s="96">
        <f>'Historical Financials'!D103</f>
        <v>-71129</v>
      </c>
      <c r="E12" s="96">
        <f>'Historical Financials'!E103</f>
        <v>-73305</v>
      </c>
      <c r="F12" s="96">
        <f>'Historical Financials'!F103</f>
        <v>-98122</v>
      </c>
      <c r="H12" s="96">
        <f>'Historical Financials'!H103</f>
        <v>-18797</v>
      </c>
      <c r="I12" s="96">
        <f>'Historical Financials'!I103</f>
        <v>-16569</v>
      </c>
      <c r="J12" s="96">
        <f>'Historical Financials'!J103</f>
        <v>-16804</v>
      </c>
      <c r="K12" s="96">
        <f>'Historical Financials'!K103</f>
        <v>-18959</v>
      </c>
      <c r="L12" s="96">
        <f>'Historical Financials'!L103</f>
        <v>-18641</v>
      </c>
      <c r="M12" s="96">
        <f>'Historical Financials'!M103</f>
        <v>-22603</v>
      </c>
      <c r="N12" s="96">
        <f>'Historical Financials'!N103</f>
        <v>-13007</v>
      </c>
      <c r="O12" s="96">
        <f>'Historical Financials'!O103</f>
        <v>-19054</v>
      </c>
      <c r="P12" s="96">
        <f>'Historical Financials'!P103</f>
        <v>-27347</v>
      </c>
      <c r="Q12" s="96">
        <f>'Historical Financials'!Q103</f>
        <v>-21291</v>
      </c>
      <c r="R12" s="96">
        <f>'Historical Financials'!R103</f>
        <v>-22907</v>
      </c>
      <c r="S12" s="96">
        <f>'Historical Financials'!S103</f>
        <v>-26577</v>
      </c>
      <c r="T12" s="96">
        <f>'Historical Financials'!T103</f>
        <v>-28601</v>
      </c>
      <c r="U12" s="96">
        <f>'Historical Financials'!U103</f>
        <v>-26413</v>
      </c>
      <c r="V12" s="96">
        <f>'Historical Financials'!V103</f>
        <v>-23904</v>
      </c>
      <c r="X12" s="127">
        <f t="shared" ref="X12:AG12" si="14">SUM(I12:L12)</f>
        <v>-70973</v>
      </c>
      <c r="Y12" s="127">
        <f t="shared" si="14"/>
        <v>-77007</v>
      </c>
      <c r="Z12" s="127">
        <f t="shared" si="14"/>
        <v>-73210</v>
      </c>
      <c r="AA12" s="127">
        <f t="shared" si="14"/>
        <v>-73305</v>
      </c>
      <c r="AB12" s="127">
        <f t="shared" si="14"/>
        <v>-82011</v>
      </c>
      <c r="AC12" s="127">
        <f t="shared" si="14"/>
        <v>-80699</v>
      </c>
      <c r="AD12" s="127">
        <f t="shared" si="14"/>
        <v>-90599</v>
      </c>
      <c r="AE12" s="127">
        <f t="shared" si="14"/>
        <v>-98122</v>
      </c>
      <c r="AF12" s="127">
        <f t="shared" si="14"/>
        <v>-99376</v>
      </c>
      <c r="AG12" s="127">
        <f t="shared" si="14"/>
        <v>-104498</v>
      </c>
      <c r="AH12" s="127">
        <f>SUM(S12:V12)</f>
        <v>-105495</v>
      </c>
      <c r="AJ12" s="129">
        <f t="shared" ref="AJ12:AJ13" si="15">SUM(AH12/AD12)-1</f>
        <v>0.16441682579277916</v>
      </c>
    </row>
    <row r="13" spans="2:36">
      <c r="B13" s="9" t="s">
        <v>179</v>
      </c>
      <c r="C13" s="96">
        <f>'Historical Financials'!C106</f>
        <v>-220</v>
      </c>
      <c r="D13" s="96">
        <f>'Historical Financials'!D106</f>
        <v>-1048</v>
      </c>
      <c r="E13" s="96">
        <f>'Historical Financials'!E106</f>
        <v>-2280</v>
      </c>
      <c r="F13" s="96">
        <f>'Historical Financials'!F106</f>
        <v>-1572</v>
      </c>
      <c r="H13" s="96">
        <f>'Historical Financials'!H106</f>
        <v>-22</v>
      </c>
      <c r="I13" s="96">
        <f>'Historical Financials'!I106</f>
        <v>-134</v>
      </c>
      <c r="J13" s="96">
        <f>'Historical Financials'!J106</f>
        <v>-211</v>
      </c>
      <c r="K13" s="96">
        <f>'Historical Financials'!K106</f>
        <v>-681</v>
      </c>
      <c r="L13" s="96">
        <f>'Historical Financials'!L106</f>
        <v>-1152</v>
      </c>
      <c r="M13" s="96">
        <f>'Historical Financials'!M106</f>
        <v>-485</v>
      </c>
      <c r="N13" s="96">
        <f>'Historical Financials'!N106</f>
        <v>-493</v>
      </c>
      <c r="O13" s="96">
        <f>'Historical Financials'!O106</f>
        <v>-150</v>
      </c>
      <c r="P13" s="96">
        <f>'Historical Financials'!P106</f>
        <v>-391</v>
      </c>
      <c r="Q13" s="96">
        <f>'Historical Financials'!Q106</f>
        <v>-184</v>
      </c>
      <c r="R13" s="96">
        <f>'Historical Financials'!R106</f>
        <v>-934</v>
      </c>
      <c r="S13" s="96">
        <f>'Historical Financials'!S106</f>
        <v>-63</v>
      </c>
      <c r="T13" s="96">
        <f>'Historical Financials'!T106</f>
        <v>-228</v>
      </c>
      <c r="U13" s="96">
        <f>'Historical Financials'!U106</f>
        <v>-568</v>
      </c>
      <c r="V13" s="96">
        <f>'Historical Financials'!V106</f>
        <v>-49</v>
      </c>
      <c r="X13" s="127">
        <f t="shared" ref="X13" si="16">SUM(I13:L13)</f>
        <v>-2178</v>
      </c>
      <c r="Y13" s="127">
        <f t="shared" ref="Y13" si="17">SUM(J13:M13)</f>
        <v>-2529</v>
      </c>
      <c r="Z13" s="127">
        <f t="shared" ref="Z13" si="18">SUM(K13:N13)</f>
        <v>-2811</v>
      </c>
      <c r="AA13" s="127">
        <f t="shared" ref="AA13" si="19">SUM(L13:O13)</f>
        <v>-2280</v>
      </c>
      <c r="AB13" s="127">
        <f t="shared" ref="AB13" si="20">SUM(M13:P13)</f>
        <v>-1519</v>
      </c>
      <c r="AC13" s="127">
        <f t="shared" ref="AC13" si="21">SUM(N13:Q13)</f>
        <v>-1218</v>
      </c>
      <c r="AD13" s="127">
        <f t="shared" ref="AD13" si="22">SUM(O13:R13)</f>
        <v>-1659</v>
      </c>
      <c r="AE13" s="127">
        <f t="shared" ref="AE13" si="23">SUM(P13:S13)</f>
        <v>-1572</v>
      </c>
      <c r="AF13" s="127">
        <f t="shared" ref="AF13" si="24">SUM(Q13:T13)</f>
        <v>-1409</v>
      </c>
      <c r="AG13" s="127">
        <f t="shared" ref="AG13" si="25">SUM(R13:U13)</f>
        <v>-1793</v>
      </c>
      <c r="AH13" s="127">
        <f>SUM(S13:V13)</f>
        <v>-908</v>
      </c>
      <c r="AJ13" s="129">
        <f>SUM(AH13/AD13)-1</f>
        <v>-0.45268233875828812</v>
      </c>
    </row>
    <row r="14" spans="2:36">
      <c r="B14" s="172" t="s">
        <v>180</v>
      </c>
      <c r="C14" s="169">
        <f>SUM(C12:C13)/12</f>
        <v>-6784.166666666667</v>
      </c>
      <c r="D14" s="169">
        <f t="shared" ref="D14:F14" si="26">SUM(D12:D13)/12</f>
        <v>-6014.75</v>
      </c>
      <c r="E14" s="169">
        <f t="shared" si="26"/>
        <v>-6298.75</v>
      </c>
      <c r="F14" s="169">
        <f t="shared" si="26"/>
        <v>-8307.8333333333339</v>
      </c>
      <c r="H14" s="169">
        <f t="shared" ref="H14" si="27">SUM(H12:H13)/12</f>
        <v>-1568.25</v>
      </c>
      <c r="I14" s="169">
        <f t="shared" ref="I14" si="28">SUM(I12:I13)/12</f>
        <v>-1391.9166666666667</v>
      </c>
      <c r="J14" s="169">
        <f t="shared" ref="J14" si="29">SUM(J12:J13)/12</f>
        <v>-1417.9166666666667</v>
      </c>
      <c r="K14" s="169">
        <f t="shared" ref="K14" si="30">SUM(K12:K13)/12</f>
        <v>-1636.6666666666667</v>
      </c>
      <c r="L14" s="169">
        <f t="shared" ref="L14" si="31">SUM(L12:L13)/12</f>
        <v>-1649.4166666666667</v>
      </c>
      <c r="M14" s="169">
        <f t="shared" ref="M14" si="32">SUM(M12:M13)/12</f>
        <v>-1924</v>
      </c>
      <c r="N14" s="169">
        <f t="shared" ref="N14" si="33">SUM(N12:N13)/12</f>
        <v>-1125</v>
      </c>
      <c r="O14" s="169">
        <f t="shared" ref="O14" si="34">SUM(O12:O13)/12</f>
        <v>-1600.3333333333333</v>
      </c>
      <c r="P14" s="169">
        <f t="shared" ref="P14" si="35">SUM(P12:P13)/12</f>
        <v>-2311.5</v>
      </c>
      <c r="Q14" s="169">
        <f t="shared" ref="Q14" si="36">SUM(Q12:Q13)/12</f>
        <v>-1789.5833333333333</v>
      </c>
      <c r="R14" s="169">
        <f t="shared" ref="R14" si="37">SUM(R12:R13)/12</f>
        <v>-1986.75</v>
      </c>
      <c r="S14" s="169">
        <f t="shared" ref="S14" si="38">SUM(S12:S13)/12</f>
        <v>-2220</v>
      </c>
      <c r="T14" s="169">
        <f t="shared" ref="T14" si="39">SUM(T12:T13)/12</f>
        <v>-2402.4166666666665</v>
      </c>
      <c r="U14" s="169">
        <f t="shared" ref="U14" si="40">SUM(U12:U13)/12</f>
        <v>-2248.4166666666665</v>
      </c>
      <c r="V14" s="169">
        <f t="shared" ref="V14" si="41">SUM(V12:V13)/12</f>
        <v>-1996.0833333333333</v>
      </c>
      <c r="X14" s="169">
        <f t="shared" ref="X14" si="42">SUM(X12:X13)/12</f>
        <v>-6095.916666666667</v>
      </c>
      <c r="Y14" s="169">
        <f t="shared" ref="Y14" si="43">SUM(Y12:Y13)/12</f>
        <v>-6628</v>
      </c>
      <c r="Z14" s="169">
        <f t="shared" ref="Z14" si="44">SUM(Z12:Z13)/12</f>
        <v>-6335.083333333333</v>
      </c>
      <c r="AA14" s="169">
        <f t="shared" ref="AA14" si="45">SUM(AA12:AA13)/12</f>
        <v>-6298.75</v>
      </c>
      <c r="AB14" s="169">
        <f t="shared" ref="AB14" si="46">SUM(AB12:AB13)/12</f>
        <v>-6960.833333333333</v>
      </c>
      <c r="AC14" s="169">
        <f t="shared" ref="AC14" si="47">SUM(AC12:AC13)/12</f>
        <v>-6826.416666666667</v>
      </c>
      <c r="AD14" s="169">
        <f t="shared" ref="AD14" si="48">SUM(AD12:AD13)/12</f>
        <v>-7688.166666666667</v>
      </c>
      <c r="AE14" s="169">
        <f t="shared" ref="AE14" si="49">SUM(AE12:AE13)/12</f>
        <v>-8307.8333333333339</v>
      </c>
      <c r="AF14" s="169">
        <f t="shared" ref="AF14" si="50">SUM(AF12:AF13)/12</f>
        <v>-8398.75</v>
      </c>
      <c r="AG14" s="169">
        <f t="shared" ref="AG14" si="51">SUM(AG12:AG13)/12</f>
        <v>-8857.5833333333339</v>
      </c>
      <c r="AH14" s="169">
        <f t="shared" ref="AH14" si="52">SUM(AH12:AH13)/12</f>
        <v>-8866.9166666666661</v>
      </c>
      <c r="AJ14" s="130">
        <f>SUM(AH14/AD14)-1</f>
        <v>0.15332003728673915</v>
      </c>
    </row>
    <row r="15" spans="2:36">
      <c r="B15" s="9"/>
      <c r="AJ15" s="131"/>
    </row>
    <row r="16" spans="2:36">
      <c r="B16" s="79" t="s">
        <v>181</v>
      </c>
      <c r="AJ16" s="128"/>
    </row>
    <row r="17" spans="2:36">
      <c r="B17" s="9" t="s">
        <v>183</v>
      </c>
      <c r="C17" s="127">
        <f>C9</f>
        <v>217502</v>
      </c>
      <c r="D17" s="127">
        <f t="shared" ref="D17:F17" si="53">D9</f>
        <v>149772</v>
      </c>
      <c r="E17" s="127">
        <f t="shared" si="53"/>
        <v>80801</v>
      </c>
      <c r="F17" s="127">
        <f t="shared" si="53"/>
        <v>95290</v>
      </c>
      <c r="H17" s="127">
        <f t="shared" ref="H17:W17" si="54">H9</f>
        <v>198222</v>
      </c>
      <c r="I17" s="127">
        <f t="shared" ref="I17:V17" si="55">I9</f>
        <v>181035</v>
      </c>
      <c r="J17" s="127">
        <f t="shared" si="55"/>
        <v>163731</v>
      </c>
      <c r="K17" s="127">
        <f t="shared" si="55"/>
        <v>149772</v>
      </c>
      <c r="L17" s="127">
        <f t="shared" si="55"/>
        <v>129570</v>
      </c>
      <c r="M17" s="127">
        <f t="shared" si="55"/>
        <v>114604</v>
      </c>
      <c r="N17" s="127">
        <f t="shared" si="55"/>
        <v>100340</v>
      </c>
      <c r="O17" s="127">
        <f t="shared" si="55"/>
        <v>80801</v>
      </c>
      <c r="P17" s="127">
        <f t="shared" si="55"/>
        <v>115858</v>
      </c>
      <c r="Q17" s="127">
        <f t="shared" si="55"/>
        <v>93916</v>
      </c>
      <c r="R17" s="127">
        <f t="shared" si="55"/>
        <v>70924</v>
      </c>
      <c r="S17" s="127">
        <f t="shared" si="55"/>
        <v>95290</v>
      </c>
      <c r="T17" s="127">
        <f t="shared" si="55"/>
        <v>113200</v>
      </c>
      <c r="U17" s="127">
        <f t="shared" si="55"/>
        <v>88385</v>
      </c>
      <c r="V17" s="127">
        <f t="shared" si="55"/>
        <v>19841</v>
      </c>
      <c r="X17" s="127">
        <f t="shared" ref="X17:AH17" si="56">X9</f>
        <v>129570</v>
      </c>
      <c r="Y17" s="127">
        <f t="shared" si="56"/>
        <v>114604</v>
      </c>
      <c r="Z17" s="127">
        <f t="shared" si="56"/>
        <v>100340</v>
      </c>
      <c r="AA17" s="127">
        <f t="shared" si="56"/>
        <v>80801</v>
      </c>
      <c r="AB17" s="127">
        <f t="shared" si="56"/>
        <v>115858</v>
      </c>
      <c r="AC17" s="127">
        <f t="shared" si="56"/>
        <v>93916</v>
      </c>
      <c r="AD17" s="127">
        <f t="shared" si="56"/>
        <v>70924</v>
      </c>
      <c r="AE17" s="127">
        <f t="shared" si="56"/>
        <v>95290</v>
      </c>
      <c r="AF17" s="127">
        <f t="shared" si="56"/>
        <v>113200</v>
      </c>
      <c r="AG17" s="127">
        <f t="shared" si="56"/>
        <v>88385</v>
      </c>
      <c r="AH17" s="127">
        <f t="shared" si="56"/>
        <v>19841</v>
      </c>
      <c r="AJ17" s="129">
        <f>SUM(AH17/AD17)-1</f>
        <v>-0.72024984490440469</v>
      </c>
    </row>
    <row r="18" spans="2:36">
      <c r="B18" s="9" t="s">
        <v>182</v>
      </c>
      <c r="C18" s="173">
        <f>C14</f>
        <v>-6784.166666666667</v>
      </c>
      <c r="D18" s="173">
        <f t="shared" ref="D18:F18" si="57">D14</f>
        <v>-6014.75</v>
      </c>
      <c r="E18" s="173">
        <f t="shared" si="57"/>
        <v>-6298.75</v>
      </c>
      <c r="F18" s="173">
        <f t="shared" si="57"/>
        <v>-8307.8333333333339</v>
      </c>
      <c r="H18" s="173">
        <f t="shared" ref="H18:W18" si="58">H14</f>
        <v>-1568.25</v>
      </c>
      <c r="I18" s="173">
        <f t="shared" ref="I18:V18" si="59">I14</f>
        <v>-1391.9166666666667</v>
      </c>
      <c r="J18" s="173">
        <f t="shared" si="59"/>
        <v>-1417.9166666666667</v>
      </c>
      <c r="K18" s="173">
        <f t="shared" si="59"/>
        <v>-1636.6666666666667</v>
      </c>
      <c r="L18" s="173">
        <f t="shared" si="59"/>
        <v>-1649.4166666666667</v>
      </c>
      <c r="M18" s="173">
        <f t="shared" si="59"/>
        <v>-1924</v>
      </c>
      <c r="N18" s="173">
        <f t="shared" si="59"/>
        <v>-1125</v>
      </c>
      <c r="O18" s="173">
        <f t="shared" si="59"/>
        <v>-1600.3333333333333</v>
      </c>
      <c r="P18" s="173">
        <f t="shared" si="59"/>
        <v>-2311.5</v>
      </c>
      <c r="Q18" s="173">
        <f t="shared" si="59"/>
        <v>-1789.5833333333333</v>
      </c>
      <c r="R18" s="173">
        <f t="shared" si="59"/>
        <v>-1986.75</v>
      </c>
      <c r="S18" s="173">
        <f t="shared" si="59"/>
        <v>-2220</v>
      </c>
      <c r="T18" s="173">
        <f t="shared" si="59"/>
        <v>-2402.4166666666665</v>
      </c>
      <c r="U18" s="173">
        <f t="shared" si="59"/>
        <v>-2248.4166666666665</v>
      </c>
      <c r="V18" s="173">
        <f t="shared" si="59"/>
        <v>-1996.0833333333333</v>
      </c>
      <c r="X18" s="173">
        <f t="shared" ref="X18:AH18" si="60">X14</f>
        <v>-6095.916666666667</v>
      </c>
      <c r="Y18" s="173">
        <f t="shared" si="60"/>
        <v>-6628</v>
      </c>
      <c r="Z18" s="173">
        <f t="shared" si="60"/>
        <v>-6335.083333333333</v>
      </c>
      <c r="AA18" s="173">
        <f t="shared" si="60"/>
        <v>-6298.75</v>
      </c>
      <c r="AB18" s="173">
        <f t="shared" si="60"/>
        <v>-6960.833333333333</v>
      </c>
      <c r="AC18" s="173">
        <f t="shared" si="60"/>
        <v>-6826.416666666667</v>
      </c>
      <c r="AD18" s="173">
        <f t="shared" si="60"/>
        <v>-7688.166666666667</v>
      </c>
      <c r="AE18" s="173">
        <f t="shared" si="60"/>
        <v>-8307.8333333333339</v>
      </c>
      <c r="AF18" s="173">
        <f t="shared" si="60"/>
        <v>-8398.75</v>
      </c>
      <c r="AG18" s="173">
        <f t="shared" si="60"/>
        <v>-8857.5833333333339</v>
      </c>
      <c r="AH18" s="173">
        <f t="shared" si="60"/>
        <v>-8866.9166666666661</v>
      </c>
      <c r="AJ18" s="129">
        <f>SUM(AH18/AD18)-1</f>
        <v>0.15332003728673915</v>
      </c>
    </row>
    <row r="19" spans="2:36">
      <c r="B19" s="172" t="s">
        <v>181</v>
      </c>
      <c r="C19" s="166">
        <f>C17/-C18</f>
        <v>32.060238299963146</v>
      </c>
      <c r="D19" s="166">
        <f t="shared" ref="D19:H19" si="61">D17/-D18</f>
        <v>24.900785568810008</v>
      </c>
      <c r="E19" s="166">
        <f t="shared" si="61"/>
        <v>12.828100813653503</v>
      </c>
      <c r="F19" s="166">
        <f t="shared" si="61"/>
        <v>11.469897887535859</v>
      </c>
      <c r="H19" s="166">
        <f t="shared" si="61"/>
        <v>126.39693926351028</v>
      </c>
      <c r="I19" s="166">
        <f t="shared" ref="I19" si="62">I17/-I18</f>
        <v>130.06166556905944</v>
      </c>
      <c r="J19" s="166">
        <f t="shared" ref="J19" si="63">J17/-J18</f>
        <v>115.47293564501909</v>
      </c>
      <c r="K19" s="166">
        <f t="shared" ref="K19" si="64">K17/-K18</f>
        <v>91.510386965376782</v>
      </c>
      <c r="L19" s="166">
        <f t="shared" ref="L19" si="65">L17/-L18</f>
        <v>78.555044712777246</v>
      </c>
      <c r="M19" s="166">
        <f t="shared" ref="M19" si="66">M17/-M18</f>
        <v>59.565488565488565</v>
      </c>
      <c r="N19" s="166">
        <f t="shared" ref="N19" si="67">N17/-N18</f>
        <v>89.191111111111113</v>
      </c>
      <c r="O19" s="166">
        <f t="shared" ref="O19" si="68">O17/-O18</f>
        <v>50.490106227869198</v>
      </c>
      <c r="P19" s="166">
        <f t="shared" ref="P19" si="69">P17/-P18</f>
        <v>50.122431321652606</v>
      </c>
      <c r="Q19" s="166">
        <f t="shared" ref="Q19" si="70">Q17/-Q18</f>
        <v>52.479254947613505</v>
      </c>
      <c r="R19" s="166">
        <f t="shared" ref="R19" si="71">R17/-R18</f>
        <v>35.698502579589785</v>
      </c>
      <c r="S19" s="166">
        <f t="shared" ref="S19" si="72">S17/-S18</f>
        <v>42.923423423423422</v>
      </c>
      <c r="T19" s="166">
        <f t="shared" ref="T19" si="73">T17/-T18</f>
        <v>47.119220229629889</v>
      </c>
      <c r="U19" s="166">
        <f t="shared" ref="U19" si="74">U17/-U18</f>
        <v>39.309884733701494</v>
      </c>
      <c r="V19" s="166">
        <f t="shared" ref="V19:X19" si="75">V17/-V18</f>
        <v>9.9399657662923229</v>
      </c>
      <c r="X19" s="166">
        <f t="shared" si="75"/>
        <v>21.255211822121364</v>
      </c>
      <c r="Y19" s="166">
        <f t="shared" ref="Y19" si="76">Y17/-Y18</f>
        <v>17.290887145443573</v>
      </c>
      <c r="Z19" s="166">
        <f t="shared" ref="Z19" si="77">Z17/-Z18</f>
        <v>15.838781389352942</v>
      </c>
      <c r="AA19" s="166">
        <f t="shared" ref="AA19" si="78">AA17/-AA18</f>
        <v>12.828100813653503</v>
      </c>
      <c r="AB19" s="166">
        <f t="shared" ref="AB19" si="79">AB17/-AB18</f>
        <v>16.644271519214655</v>
      </c>
      <c r="AC19" s="166">
        <f t="shared" ref="AC19" si="80">AC17/-AC18</f>
        <v>13.75773038563424</v>
      </c>
      <c r="AD19" s="166">
        <f t="shared" ref="AD19" si="81">AD17/-AD18</f>
        <v>9.2250861713889307</v>
      </c>
      <c r="AE19" s="166">
        <f t="shared" ref="AE19" si="82">AE17/-AE18</f>
        <v>11.469897887535859</v>
      </c>
      <c r="AF19" s="166">
        <f t="shared" ref="AF19" si="83">AF17/-AF18</f>
        <v>13.478196160142879</v>
      </c>
      <c r="AG19" s="166">
        <f t="shared" ref="AG19" si="84">AG17/-AG18</f>
        <v>9.9784553725150751</v>
      </c>
      <c r="AH19" s="166">
        <f t="shared" ref="AH19" si="85">AH17/-AH18</f>
        <v>2.2376436754602786</v>
      </c>
      <c r="AJ19" s="130">
        <f>SUM(AH19/AD19)-1</f>
        <v>-0.75743926572738141</v>
      </c>
    </row>
    <row r="20" spans="2:36">
      <c r="AJ20" s="131"/>
    </row>
    <row r="21" spans="2:36">
      <c r="B21" s="174" t="s">
        <v>186</v>
      </c>
      <c r="AJ21" s="128"/>
    </row>
    <row r="22" spans="2:36">
      <c r="B22" s="45" t="s">
        <v>97</v>
      </c>
      <c r="C22" s="96">
        <f>'Historical Financials'!C32</f>
        <v>27670.7</v>
      </c>
      <c r="D22" s="96">
        <f>'Historical Financials'!D32</f>
        <v>90258.98599999999</v>
      </c>
      <c r="E22" s="96">
        <f>'Historical Financials'!E32</f>
        <v>85912.311000000002</v>
      </c>
      <c r="F22" s="96">
        <f>'Historical Financials'!F32</f>
        <v>92125.644</v>
      </c>
      <c r="H22" s="96">
        <f>'Historical Financials'!H32</f>
        <v>90773.934999999998</v>
      </c>
      <c r="I22" s="96">
        <f>'Historical Financials'!I32</f>
        <v>103005.651</v>
      </c>
      <c r="J22" s="96">
        <f>'Historical Financials'!J32</f>
        <v>90721.051999999996</v>
      </c>
      <c r="K22" s="96">
        <f>'Historical Financials'!K32</f>
        <v>90258.98599999999</v>
      </c>
      <c r="L22" s="96">
        <f>'Historical Financials'!L32</f>
        <v>90500.462</v>
      </c>
      <c r="M22" s="96">
        <f>'Historical Financials'!M32</f>
        <v>90509.561000000002</v>
      </c>
      <c r="N22" s="96">
        <f>'Historical Financials'!N32</f>
        <v>90684.849000000002</v>
      </c>
      <c r="O22" s="96">
        <f>'Historical Financials'!O32</f>
        <v>85912.311000000002</v>
      </c>
      <c r="P22" s="96">
        <f>'Historical Financials'!P32</f>
        <v>108246.008</v>
      </c>
      <c r="Q22" s="96">
        <f>'Historical Financials'!Q32</f>
        <v>119174.681</v>
      </c>
      <c r="R22" s="96">
        <f>'Historical Financials'!R32</f>
        <v>101532.69</v>
      </c>
      <c r="S22" s="96">
        <f>'Historical Financials'!S32</f>
        <v>92125.644</v>
      </c>
      <c r="T22" s="96">
        <f>'Historical Financials'!T32</f>
        <v>131496.87700000001</v>
      </c>
      <c r="U22" s="96">
        <f>'Historical Financials'!U32</f>
        <v>155437.28099999999</v>
      </c>
      <c r="V22" s="96">
        <f>'Historical Financials'!V32</f>
        <v>131941.43</v>
      </c>
      <c r="X22" s="127">
        <f t="shared" ref="X22" si="86">L22</f>
        <v>90500.462</v>
      </c>
      <c r="Y22" s="127">
        <f t="shared" ref="Y22" si="87">M22</f>
        <v>90509.561000000002</v>
      </c>
      <c r="Z22" s="127">
        <f t="shared" ref="Z22" si="88">N22</f>
        <v>90684.849000000002</v>
      </c>
      <c r="AA22" s="127">
        <f t="shared" ref="AA22" si="89">O22</f>
        <v>85912.311000000002</v>
      </c>
      <c r="AB22" s="127">
        <f t="shared" ref="AB22" si="90">P22</f>
        <v>108246.008</v>
      </c>
      <c r="AC22" s="127">
        <f t="shared" ref="AC22" si="91">Q22</f>
        <v>119174.681</v>
      </c>
      <c r="AD22" s="127">
        <f t="shared" ref="AD22" si="92">R22</f>
        <v>101532.69</v>
      </c>
      <c r="AE22" s="127">
        <f t="shared" ref="AE22" si="93">S22</f>
        <v>92125.644</v>
      </c>
      <c r="AF22" s="127">
        <f t="shared" ref="AF22" si="94">T22</f>
        <v>131496.87700000001</v>
      </c>
      <c r="AG22" s="127">
        <f t="shared" ref="AG22" si="95">U22</f>
        <v>155437.28099999999</v>
      </c>
      <c r="AH22" s="127">
        <f>V22</f>
        <v>131941.43</v>
      </c>
      <c r="AJ22" s="129">
        <f>SUM(AH22/AD22)-1</f>
        <v>0.29949703883547252</v>
      </c>
    </row>
    <row r="23" spans="2:36">
      <c r="B23" s="13" t="s">
        <v>185</v>
      </c>
      <c r="C23" s="147">
        <f>C9/C22</f>
        <v>7.8603721626124381</v>
      </c>
      <c r="D23" s="147">
        <f t="shared" ref="D23:H23" si="96">D9/D22</f>
        <v>1.6593583269371097</v>
      </c>
      <c r="E23" s="147">
        <f t="shared" si="96"/>
        <v>0.94050548820645741</v>
      </c>
      <c r="F23" s="147">
        <f t="shared" si="96"/>
        <v>1.0343482646373685</v>
      </c>
      <c r="H23" s="147">
        <f t="shared" si="96"/>
        <v>2.1836885224817015</v>
      </c>
      <c r="I23" s="147">
        <f t="shared" ref="I23" si="97">I9/I22</f>
        <v>1.7575249342388022</v>
      </c>
      <c r="J23" s="147">
        <f t="shared" ref="J23" si="98">J9/J22</f>
        <v>1.8047740451687002</v>
      </c>
      <c r="K23" s="147">
        <f t="shared" ref="K23" si="99">K9/K22</f>
        <v>1.6593583269371097</v>
      </c>
      <c r="L23" s="147">
        <f t="shared" ref="L23" si="100">L9/L22</f>
        <v>1.4317053983658117</v>
      </c>
      <c r="M23" s="147">
        <f t="shared" ref="M23" si="101">M9/M22</f>
        <v>1.2662087710269636</v>
      </c>
      <c r="N23" s="147">
        <f t="shared" ref="N23" si="102">N9/N22</f>
        <v>1.1064692846320998</v>
      </c>
      <c r="O23" s="147">
        <f t="shared" ref="O23" si="103">O9/O22</f>
        <v>0.94050548820645741</v>
      </c>
      <c r="P23" s="147">
        <f t="shared" ref="P23" si="104">P9/P22</f>
        <v>1.070321226072374</v>
      </c>
      <c r="Q23" s="147">
        <f t="shared" ref="Q23" si="105">Q9/Q22</f>
        <v>0.78805329464234108</v>
      </c>
      <c r="R23" s="147">
        <f t="shared" ref="R23" si="106">R9/R22</f>
        <v>0.69853364468133361</v>
      </c>
      <c r="S23" s="147">
        <f t="shared" ref="S23" si="107">S9/S22</f>
        <v>1.0343482646373685</v>
      </c>
      <c r="T23" s="147">
        <f t="shared" ref="T23" si="108">T9/T22</f>
        <v>0.86085694643531341</v>
      </c>
      <c r="U23" s="147">
        <f t="shared" ref="U23" si="109">U9/U22</f>
        <v>0.56862162945323269</v>
      </c>
      <c r="V23" s="147">
        <f t="shared" ref="V23:X23" si="110">V9/V22</f>
        <v>0.15037733030481784</v>
      </c>
      <c r="X23" s="147">
        <f t="shared" si="110"/>
        <v>1.4317053983658117</v>
      </c>
      <c r="Y23" s="147">
        <f t="shared" ref="Y23" si="111">Y9/Y22</f>
        <v>1.2662087710269636</v>
      </c>
      <c r="Z23" s="147">
        <f t="shared" ref="Z23" si="112">Z9/Z22</f>
        <v>1.1064692846320998</v>
      </c>
      <c r="AA23" s="147">
        <f t="shared" ref="AA23" si="113">AA9/AA22</f>
        <v>0.94050548820645741</v>
      </c>
      <c r="AB23" s="147">
        <f t="shared" ref="AB23" si="114">AB9/AB22</f>
        <v>1.070321226072374</v>
      </c>
      <c r="AC23" s="147">
        <f t="shared" ref="AC23" si="115">AC9/AC22</f>
        <v>0.78805329464234108</v>
      </c>
      <c r="AD23" s="147">
        <f t="shared" ref="AD23" si="116">AD9/AD22</f>
        <v>0.69853364468133361</v>
      </c>
      <c r="AE23" s="147">
        <f t="shared" ref="AE23" si="117">AE9/AE22</f>
        <v>1.0343482646373685</v>
      </c>
      <c r="AF23" s="147">
        <f t="shared" ref="AF23" si="118">AF9/AF22</f>
        <v>0.86085694643531341</v>
      </c>
      <c r="AG23" s="147">
        <f t="shared" ref="AG23" si="119">AG9/AG22</f>
        <v>0.56862162945323269</v>
      </c>
      <c r="AH23" s="147">
        <f t="shared" ref="AH23" si="120">AH9/AH22</f>
        <v>0.15037733030481784</v>
      </c>
      <c r="AJ23" s="130">
        <f>SUM(AH23/AD23)-1</f>
        <v>-0.78472428429210594</v>
      </c>
    </row>
    <row r="24" spans="2:36">
      <c r="AJ24" s="130"/>
    </row>
    <row r="25" spans="2:36">
      <c r="B25" s="174" t="s">
        <v>188</v>
      </c>
      <c r="AJ25" s="131"/>
    </row>
    <row r="26" spans="2:36">
      <c r="B26" s="45" t="s">
        <v>69</v>
      </c>
      <c r="C26" s="96">
        <f>'Historical Financials'!C35</f>
        <v>39970.398000000001</v>
      </c>
      <c r="D26" s="96">
        <f>'Historical Financials'!D35</f>
        <v>103051.36599999999</v>
      </c>
      <c r="E26" s="96">
        <f>'Historical Financials'!E35</f>
        <v>103420.238</v>
      </c>
      <c r="F26" s="96">
        <f>'Historical Financials'!F35</f>
        <v>118479.09699999999</v>
      </c>
      <c r="H26" s="96">
        <f>'Historical Financials'!H35</f>
        <v>103004.088</v>
      </c>
      <c r="I26" s="96">
        <f>'Historical Financials'!I35</f>
        <v>103908.44</v>
      </c>
      <c r="J26" s="96">
        <f>'Historical Financials'!J35</f>
        <v>103031.98</v>
      </c>
      <c r="K26" s="96">
        <f>'Historical Financials'!K35</f>
        <v>103051.36599999999</v>
      </c>
      <c r="L26" s="96">
        <f>'Historical Financials'!L35</f>
        <v>103263.52800000001</v>
      </c>
      <c r="M26" s="96">
        <f>'Historical Financials'!M35</f>
        <v>103361.501</v>
      </c>
      <c r="N26" s="96">
        <f>'Historical Financials'!N35</f>
        <v>103444.246</v>
      </c>
      <c r="O26" s="96">
        <f>'Historical Financials'!O35</f>
        <v>103420.238</v>
      </c>
      <c r="P26" s="96">
        <f>'Historical Financials'!P35</f>
        <v>108246.008</v>
      </c>
      <c r="Q26" s="96">
        <f>'Historical Financials'!Q35</f>
        <v>119174.681</v>
      </c>
      <c r="R26" s="96">
        <f>'Historical Financials'!R35</f>
        <v>119408.565</v>
      </c>
      <c r="S26" s="96">
        <f>'Historical Financials'!S35</f>
        <v>118479.09699999999</v>
      </c>
      <c r="T26" s="96">
        <f>'Historical Financials'!T35</f>
        <v>131759.302</v>
      </c>
      <c r="U26" s="96">
        <f>'Historical Financials'!U35</f>
        <v>155437.28099999999</v>
      </c>
      <c r="V26" s="96">
        <f>'Historical Financials'!V35</f>
        <v>158313.29</v>
      </c>
      <c r="X26" s="127">
        <f t="shared" ref="X26:AG26" si="121">L26</f>
        <v>103263.52800000001</v>
      </c>
      <c r="Y26" s="127">
        <f t="shared" si="121"/>
        <v>103361.501</v>
      </c>
      <c r="Z26" s="127">
        <f t="shared" si="121"/>
        <v>103444.246</v>
      </c>
      <c r="AA26" s="127">
        <f t="shared" si="121"/>
        <v>103420.238</v>
      </c>
      <c r="AB26" s="127">
        <f t="shared" si="121"/>
        <v>108246.008</v>
      </c>
      <c r="AC26" s="127">
        <f t="shared" si="121"/>
        <v>119174.681</v>
      </c>
      <c r="AD26" s="127">
        <f t="shared" si="121"/>
        <v>119408.565</v>
      </c>
      <c r="AE26" s="127">
        <f t="shared" si="121"/>
        <v>118479.09699999999</v>
      </c>
      <c r="AF26" s="127">
        <f t="shared" si="121"/>
        <v>131759.302</v>
      </c>
      <c r="AG26" s="127">
        <f t="shared" si="121"/>
        <v>155437.28099999999</v>
      </c>
      <c r="AH26" s="127">
        <f>V26</f>
        <v>158313.29</v>
      </c>
      <c r="AJ26" s="129">
        <f>SUM(AH26/AD26)-1</f>
        <v>0.32581184607653557</v>
      </c>
    </row>
    <row r="27" spans="2:36">
      <c r="B27" s="13" t="s">
        <v>187</v>
      </c>
      <c r="C27" s="147">
        <f>C9/C26</f>
        <v>5.4415770390877771</v>
      </c>
      <c r="D27" s="147">
        <f t="shared" ref="D27:H27" si="122">D9/D26</f>
        <v>1.4533722920276477</v>
      </c>
      <c r="E27" s="147">
        <f t="shared" si="122"/>
        <v>0.78128808792723914</v>
      </c>
      <c r="F27" s="147">
        <f t="shared" si="122"/>
        <v>0.80427689282608228</v>
      </c>
      <c r="H27" s="147">
        <f t="shared" si="122"/>
        <v>1.9244090584055265</v>
      </c>
      <c r="I27" s="147">
        <f t="shared" ref="I27" si="123">I9/I26</f>
        <v>1.7422550083515833</v>
      </c>
      <c r="J27" s="147">
        <f t="shared" ref="J27" si="124">J9/J26</f>
        <v>1.5891279581349402</v>
      </c>
      <c r="K27" s="147">
        <f t="shared" ref="K27" si="125">K9/K26</f>
        <v>1.4533722920276477</v>
      </c>
      <c r="L27" s="147">
        <f t="shared" ref="L27" si="126">L9/L26</f>
        <v>1.2547508545321053</v>
      </c>
      <c r="M27" s="147">
        <f t="shared" ref="M27" si="127">M9/M26</f>
        <v>1.1087687281166707</v>
      </c>
      <c r="N27" s="147">
        <f t="shared" ref="N27" si="128">N9/N26</f>
        <v>0.96999111966073015</v>
      </c>
      <c r="O27" s="147">
        <f t="shared" ref="O27" si="129">O9/O26</f>
        <v>0.78128808792723914</v>
      </c>
      <c r="P27" s="147">
        <f t="shared" ref="P27" si="130">P9/P26</f>
        <v>1.070321226072374</v>
      </c>
      <c r="Q27" s="147">
        <f t="shared" ref="Q27" si="131">Q9/Q26</f>
        <v>0.78805329464234108</v>
      </c>
      <c r="R27" s="147">
        <f t="shared" ref="R27" si="132">R9/R26</f>
        <v>0.59396074310079849</v>
      </c>
      <c r="S27" s="147">
        <f t="shared" ref="S27" si="133">S9/S26</f>
        <v>0.80427689282608228</v>
      </c>
      <c r="T27" s="147">
        <f t="shared" ref="T27" si="134">T9/T26</f>
        <v>0.85914237766681556</v>
      </c>
      <c r="U27" s="147">
        <f t="shared" ref="U27" si="135">U9/U26</f>
        <v>0.56862162945323269</v>
      </c>
      <c r="V27" s="147">
        <f t="shared" ref="V27:X27" si="136">V9/V26</f>
        <v>0.125327444082553</v>
      </c>
      <c r="X27" s="147">
        <f t="shared" si="136"/>
        <v>1.2547508545321053</v>
      </c>
      <c r="Y27" s="147">
        <f t="shared" ref="Y27" si="137">Y9/Y26</f>
        <v>1.1087687281166707</v>
      </c>
      <c r="Z27" s="147">
        <f t="shared" ref="Z27" si="138">Z9/Z26</f>
        <v>0.96999111966073015</v>
      </c>
      <c r="AA27" s="147">
        <f t="shared" ref="AA27" si="139">AA9/AA26</f>
        <v>0.78128808792723914</v>
      </c>
      <c r="AB27" s="147">
        <f t="shared" ref="AB27" si="140">AB9/AB26</f>
        <v>1.070321226072374</v>
      </c>
      <c r="AC27" s="147">
        <f t="shared" ref="AC27" si="141">AC9/AC26</f>
        <v>0.78805329464234108</v>
      </c>
      <c r="AD27" s="147">
        <f t="shared" ref="AD27" si="142">AD9/AD26</f>
        <v>0.59396074310079849</v>
      </c>
      <c r="AE27" s="147">
        <f t="shared" ref="AE27" si="143">AE9/AE26</f>
        <v>0.80427689282608228</v>
      </c>
      <c r="AF27" s="147">
        <f t="shared" ref="AF27" si="144">AF9/AF26</f>
        <v>0.85914237766681556</v>
      </c>
      <c r="AG27" s="147">
        <f t="shared" ref="AG27" si="145">AG9/AG26</f>
        <v>0.56862162945323269</v>
      </c>
      <c r="AH27" s="147">
        <f t="shared" ref="AH27" si="146">AH9/AH26</f>
        <v>0.125327444082553</v>
      </c>
      <c r="AJ27" s="130">
        <f>SUM(AH27/AD27)-1</f>
        <v>-0.7889970919150725</v>
      </c>
    </row>
  </sheetData>
  <mergeCells count="1">
    <mergeCell ref="AJ2:AJ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Historical Financials</vt:lpstr>
      <vt:lpstr>Revenue Drivers</vt:lpstr>
      <vt:lpstr>FCF</vt:lpstr>
      <vt:lpstr>Cash Burn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2025-12-22T02:30:00Z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