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DF212EDC-E96D-436D-9DA6-FA5ED1D1635D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2" i="8" l="1"/>
  <c r="R112" i="8" s="1"/>
  <c r="S112" i="8" s="1"/>
  <c r="M112" i="8"/>
  <c r="N112" i="8" s="1"/>
  <c r="O112" i="8" s="1"/>
  <c r="J112" i="8"/>
  <c r="K112" i="8" s="1"/>
  <c r="AG90" i="8"/>
  <c r="AF90" i="8"/>
  <c r="AE90" i="8"/>
  <c r="AD90" i="8"/>
  <c r="AC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F90" i="8"/>
  <c r="E90" i="8"/>
  <c r="D90" i="8"/>
  <c r="C90" i="8"/>
  <c r="Q96" i="8"/>
  <c r="R96" i="8" s="1"/>
  <c r="M96" i="8"/>
  <c r="N96" i="8" s="1"/>
  <c r="I96" i="8"/>
  <c r="S95" i="8"/>
  <c r="O95" i="8"/>
  <c r="K95" i="8"/>
  <c r="S94" i="8"/>
  <c r="O94" i="8"/>
  <c r="I94" i="8"/>
  <c r="Q93" i="8"/>
  <c r="R93" i="8" s="1"/>
  <c r="S93" i="8" s="1"/>
  <c r="N93" i="8"/>
  <c r="O93" i="8" s="1"/>
  <c r="I93" i="8"/>
  <c r="S86" i="8"/>
  <c r="M86" i="8"/>
  <c r="N86" i="8" s="1"/>
  <c r="O86" i="8" s="1"/>
  <c r="K86" i="8"/>
  <c r="Q85" i="8"/>
  <c r="M85" i="8"/>
  <c r="I85" i="8"/>
  <c r="Q84" i="8"/>
  <c r="R84" i="8" s="1"/>
  <c r="M84" i="8"/>
  <c r="I84" i="8"/>
  <c r="J84" i="8" s="1"/>
  <c r="K84" i="8" s="1"/>
  <c r="Q83" i="8"/>
  <c r="R83" i="8" s="1"/>
  <c r="S83" i="8" s="1"/>
  <c r="M83" i="8"/>
  <c r="I83" i="8"/>
  <c r="Q82" i="8"/>
  <c r="M82" i="8"/>
  <c r="I82" i="8"/>
  <c r="Q79" i="8"/>
  <c r="R79" i="8" s="1"/>
  <c r="S79" i="8" s="1"/>
  <c r="M79" i="8"/>
  <c r="I79" i="8"/>
  <c r="R78" i="8"/>
  <c r="S78" i="8" s="1"/>
  <c r="O78" i="8"/>
  <c r="K78" i="8"/>
  <c r="S77" i="8"/>
  <c r="M77" i="8"/>
  <c r="N77" i="8" s="1"/>
  <c r="K77" i="8"/>
  <c r="S61" i="8"/>
  <c r="AE61" i="8" s="1"/>
  <c r="O61" i="8"/>
  <c r="K61" i="8"/>
  <c r="S60" i="8"/>
  <c r="AE60" i="8" s="1"/>
  <c r="O60" i="8"/>
  <c r="K60" i="8"/>
  <c r="S59" i="8"/>
  <c r="AE59" i="8" s="1"/>
  <c r="O59" i="8"/>
  <c r="K59" i="8"/>
  <c r="S58" i="8"/>
  <c r="AE58" i="8" s="1"/>
  <c r="O58" i="8"/>
  <c r="K58" i="8"/>
  <c r="S57" i="8"/>
  <c r="AE57" i="8" s="1"/>
  <c r="O57" i="8"/>
  <c r="K57" i="8"/>
  <c r="U55" i="8"/>
  <c r="T55" i="8"/>
  <c r="R55" i="8"/>
  <c r="Q55" i="8"/>
  <c r="P55" i="8"/>
  <c r="N55" i="8"/>
  <c r="M55" i="8"/>
  <c r="L55" i="8"/>
  <c r="J55" i="8"/>
  <c r="I55" i="8"/>
  <c r="H55" i="8"/>
  <c r="F55" i="8"/>
  <c r="C55" i="8"/>
  <c r="S54" i="8"/>
  <c r="O54" i="8"/>
  <c r="K54" i="8"/>
  <c r="S53" i="8"/>
  <c r="AE53" i="8" s="1"/>
  <c r="O53" i="8"/>
  <c r="Z53" i="8" s="1"/>
  <c r="K53" i="8"/>
  <c r="S52" i="8"/>
  <c r="O52" i="8"/>
  <c r="AA52" i="8" s="1"/>
  <c r="K52" i="8"/>
  <c r="W52" i="8" s="1"/>
  <c r="S48" i="8"/>
  <c r="AE48" i="8" s="1"/>
  <c r="O48" i="8"/>
  <c r="AA48" i="8" s="1"/>
  <c r="K48" i="8"/>
  <c r="W48" i="8" s="1"/>
  <c r="S47" i="8"/>
  <c r="AE47" i="8" s="1"/>
  <c r="O47" i="8"/>
  <c r="AA47" i="8" s="1"/>
  <c r="K47" i="8"/>
  <c r="W47" i="8" s="1"/>
  <c r="S46" i="8"/>
  <c r="AE46" i="8" s="1"/>
  <c r="O46" i="8"/>
  <c r="AA46" i="8" s="1"/>
  <c r="K46" i="8"/>
  <c r="W46" i="8" s="1"/>
  <c r="O31" i="8"/>
  <c r="K31" i="8"/>
  <c r="O38" i="8"/>
  <c r="S27" i="8"/>
  <c r="O27" i="8"/>
  <c r="K27" i="8"/>
  <c r="S26" i="8"/>
  <c r="AG26" i="8" s="1"/>
  <c r="O26" i="8"/>
  <c r="AD26" i="8" s="1"/>
  <c r="K26" i="8"/>
  <c r="S25" i="8"/>
  <c r="AF25" i="8" s="1"/>
  <c r="O25" i="8"/>
  <c r="AD25" i="8" s="1"/>
  <c r="K25" i="8"/>
  <c r="S24" i="8"/>
  <c r="AG24" i="8" s="1"/>
  <c r="O24" i="8"/>
  <c r="AC24" i="8" s="1"/>
  <c r="K24" i="8"/>
  <c r="S23" i="8"/>
  <c r="AG23" i="8" s="1"/>
  <c r="O23" i="8"/>
  <c r="AD23" i="8" s="1"/>
  <c r="K23" i="8"/>
  <c r="S22" i="8"/>
  <c r="AE22" i="8" s="1"/>
  <c r="O22" i="8"/>
  <c r="AD22" i="8" s="1"/>
  <c r="K22" i="8"/>
  <c r="S18" i="8"/>
  <c r="O18" i="8"/>
  <c r="K18" i="8"/>
  <c r="S17" i="8"/>
  <c r="O17" i="8"/>
  <c r="K17" i="8"/>
  <c r="C102" i="8"/>
  <c r="C97" i="8"/>
  <c r="C71" i="8"/>
  <c r="C70" i="8"/>
  <c r="C62" i="8"/>
  <c r="C49" i="8"/>
  <c r="C43" i="8"/>
  <c r="C42" i="8"/>
  <c r="C11" i="8"/>
  <c r="C14" i="8" s="1"/>
  <c r="AG95" i="8"/>
  <c r="AD95" i="8"/>
  <c r="AG61" i="8"/>
  <c r="AF61" i="8"/>
  <c r="AD61" i="8"/>
  <c r="AC61" i="8"/>
  <c r="AG60" i="8"/>
  <c r="AF60" i="8"/>
  <c r="AD60" i="8"/>
  <c r="AC60" i="8"/>
  <c r="AG59" i="8"/>
  <c r="AF59" i="8"/>
  <c r="AD59" i="8"/>
  <c r="AC59" i="8"/>
  <c r="AG58" i="8"/>
  <c r="AF58" i="8"/>
  <c r="AD58" i="8"/>
  <c r="AC58" i="8"/>
  <c r="AG57" i="8"/>
  <c r="AF57" i="8"/>
  <c r="AD57" i="8"/>
  <c r="AC57" i="8"/>
  <c r="AG54" i="8"/>
  <c r="AF54" i="8"/>
  <c r="AD54" i="8"/>
  <c r="AC54" i="8"/>
  <c r="AG53" i="8"/>
  <c r="AF53" i="8"/>
  <c r="AD53" i="8"/>
  <c r="AC53" i="8"/>
  <c r="AG52" i="8"/>
  <c r="AF52" i="8"/>
  <c r="AD52" i="8"/>
  <c r="AC52" i="8"/>
  <c r="AB52" i="8"/>
  <c r="Z52" i="8"/>
  <c r="Y52" i="8"/>
  <c r="X52" i="8"/>
  <c r="AF48" i="8"/>
  <c r="AD48" i="8"/>
  <c r="AC48" i="8"/>
  <c r="AB48" i="8"/>
  <c r="Z48" i="8"/>
  <c r="Y48" i="8"/>
  <c r="X48" i="8"/>
  <c r="AF47" i="8"/>
  <c r="AD47" i="8"/>
  <c r="AC47" i="8"/>
  <c r="AB47" i="8"/>
  <c r="Z47" i="8"/>
  <c r="Y47" i="8"/>
  <c r="X47" i="8"/>
  <c r="AF46" i="8"/>
  <c r="AD46" i="8"/>
  <c r="AC46" i="8"/>
  <c r="AB46" i="8"/>
  <c r="Z46" i="8"/>
  <c r="Y46" i="8"/>
  <c r="X46" i="8"/>
  <c r="AG48" i="8"/>
  <c r="AG47" i="8"/>
  <c r="AG46" i="8"/>
  <c r="AG38" i="8"/>
  <c r="AF38" i="8"/>
  <c r="AD38" i="8"/>
  <c r="AC38" i="8"/>
  <c r="AF35" i="8"/>
  <c r="AD35" i="8"/>
  <c r="AC35" i="8"/>
  <c r="AB35" i="8"/>
  <c r="Z35" i="8"/>
  <c r="Y35" i="8"/>
  <c r="X35" i="8"/>
  <c r="AG35" i="8"/>
  <c r="AF8" i="8"/>
  <c r="AE8" i="8"/>
  <c r="AD8" i="8"/>
  <c r="AC8" i="8"/>
  <c r="AB8" i="8"/>
  <c r="AA8" i="8"/>
  <c r="Z8" i="8"/>
  <c r="Y8" i="8"/>
  <c r="X8" i="8"/>
  <c r="W8" i="8"/>
  <c r="AF7" i="8"/>
  <c r="AE7" i="8"/>
  <c r="AD7" i="8"/>
  <c r="AC7" i="8"/>
  <c r="AB7" i="8"/>
  <c r="AA7" i="8"/>
  <c r="Z7" i="8"/>
  <c r="Y7" i="8"/>
  <c r="X7" i="8"/>
  <c r="W7" i="8"/>
  <c r="AG8" i="8"/>
  <c r="AG7" i="8"/>
  <c r="F97" i="8"/>
  <c r="AB53" i="8"/>
  <c r="AA53" i="8"/>
  <c r="Y53" i="8"/>
  <c r="X53" i="8"/>
  <c r="W53" i="8"/>
  <c r="T97" i="8"/>
  <c r="D97" i="8"/>
  <c r="S96" i="8" l="1"/>
  <c r="AE96" i="8" s="1"/>
  <c r="J93" i="8"/>
  <c r="K93" i="8" s="1"/>
  <c r="J94" i="8"/>
  <c r="K94" i="8" s="1"/>
  <c r="J96" i="8"/>
  <c r="K96" i="8" s="1"/>
  <c r="O96" i="8"/>
  <c r="AD96" i="8" s="1"/>
  <c r="S84" i="8"/>
  <c r="J82" i="8"/>
  <c r="K82" i="8" s="1"/>
  <c r="J83" i="8"/>
  <c r="K83" i="8" s="1"/>
  <c r="R85" i="8"/>
  <c r="S85" i="8" s="1"/>
  <c r="N82" i="8"/>
  <c r="J85" i="8"/>
  <c r="K85" i="8" s="1"/>
  <c r="N83" i="8"/>
  <c r="O83" i="8" s="1"/>
  <c r="N84" i="8"/>
  <c r="O84" i="8" s="1"/>
  <c r="R82" i="8"/>
  <c r="N85" i="8"/>
  <c r="O85" i="8" s="1"/>
  <c r="J79" i="8"/>
  <c r="K79" i="8" s="1"/>
  <c r="O77" i="8"/>
  <c r="N79" i="8"/>
  <c r="O79" i="8" s="1"/>
  <c r="AI53" i="8"/>
  <c r="C63" i="8"/>
  <c r="C65" i="8" s="1"/>
  <c r="K55" i="8"/>
  <c r="S55" i="8"/>
  <c r="O55" i="8"/>
  <c r="AF96" i="8"/>
  <c r="AI47" i="8"/>
  <c r="AI48" i="8"/>
  <c r="AI60" i="8"/>
  <c r="AI46" i="8"/>
  <c r="AI59" i="8"/>
  <c r="AI57" i="8"/>
  <c r="AG96" i="8"/>
  <c r="AI61" i="8"/>
  <c r="C19" i="8"/>
  <c r="C15" i="8"/>
  <c r="AI58" i="8"/>
  <c r="AI52" i="8"/>
  <c r="AI54" i="8"/>
  <c r="AC95" i="8"/>
  <c r="AI95" i="8" s="1"/>
  <c r="AF95" i="8"/>
  <c r="AE95" i="8"/>
  <c r="AI24" i="8"/>
  <c r="U97" i="8"/>
  <c r="AC23" i="8"/>
  <c r="AI23" i="8" s="1"/>
  <c r="AE26" i="8"/>
  <c r="AF22" i="8"/>
  <c r="AD24" i="8"/>
  <c r="AG25" i="8"/>
  <c r="AG22" i="8"/>
  <c r="AE24" i="8"/>
  <c r="AC26" i="8"/>
  <c r="AI26" i="8" s="1"/>
  <c r="AF24" i="8"/>
  <c r="AE23" i="8"/>
  <c r="AC25" i="8"/>
  <c r="AF26" i="8"/>
  <c r="AC22" i="8"/>
  <c r="AF23" i="8"/>
  <c r="AE25" i="8"/>
  <c r="N97" i="8"/>
  <c r="E97" i="8"/>
  <c r="L97" i="8"/>
  <c r="M97" i="8"/>
  <c r="H97" i="8"/>
  <c r="P97" i="8"/>
  <c r="I97" i="8"/>
  <c r="Q97" i="8"/>
  <c r="R97" i="8"/>
  <c r="Z95" i="8"/>
  <c r="Z97" i="8" s="1"/>
  <c r="AA95" i="8"/>
  <c r="AA97" i="8" s="1"/>
  <c r="AB95" i="8"/>
  <c r="AB97" i="8" s="1"/>
  <c r="Y95" i="8"/>
  <c r="Y97" i="8" s="1"/>
  <c r="AG78" i="8"/>
  <c r="AC96" i="8" l="1"/>
  <c r="AI96" i="8" s="1"/>
  <c r="Y82" i="8"/>
  <c r="X82" i="8"/>
  <c r="W82" i="8"/>
  <c r="O82" i="8"/>
  <c r="S82" i="8"/>
  <c r="AE82" i="8" s="1"/>
  <c r="AI25" i="8"/>
  <c r="C28" i="8"/>
  <c r="C20" i="8"/>
  <c r="AD78" i="8"/>
  <c r="AC78" i="8"/>
  <c r="AD86" i="8"/>
  <c r="AC86" i="8"/>
  <c r="AD84" i="8"/>
  <c r="AC84" i="8"/>
  <c r="AI22" i="8"/>
  <c r="AF79" i="8"/>
  <c r="AG79" i="8"/>
  <c r="AE79" i="8"/>
  <c r="AC79" i="8"/>
  <c r="AD79" i="8"/>
  <c r="AD83" i="8"/>
  <c r="AC83" i="8"/>
  <c r="AC85" i="8"/>
  <c r="AD85" i="8"/>
  <c r="AC77" i="8"/>
  <c r="AD77" i="8"/>
  <c r="AF93" i="8"/>
  <c r="AG93" i="8"/>
  <c r="AE93" i="8"/>
  <c r="AG94" i="8"/>
  <c r="AF94" i="8"/>
  <c r="AE94" i="8"/>
  <c r="AE78" i="8"/>
  <c r="AF78" i="8"/>
  <c r="AD93" i="8"/>
  <c r="AC93" i="8"/>
  <c r="AD94" i="8"/>
  <c r="AC94" i="8"/>
  <c r="J97" i="8"/>
  <c r="K97" i="8"/>
  <c r="S97" i="8"/>
  <c r="O97" i="8"/>
  <c r="W95" i="8"/>
  <c r="W97" i="8" s="1"/>
  <c r="X95" i="8"/>
  <c r="X97" i="8" s="1"/>
  <c r="AG82" i="8" l="1"/>
  <c r="AF82" i="8"/>
  <c r="AD82" i="8"/>
  <c r="Z82" i="8"/>
  <c r="AC82" i="8"/>
  <c r="AA82" i="8"/>
  <c r="AB82" i="8"/>
  <c r="AC97" i="8"/>
  <c r="AI94" i="8"/>
  <c r="AE97" i="8"/>
  <c r="C29" i="8"/>
  <c r="C32" i="8"/>
  <c r="AI93" i="8"/>
  <c r="AG97" i="8"/>
  <c r="AF97" i="8"/>
  <c r="AD97" i="8"/>
  <c r="AI82" i="8" l="1"/>
  <c r="C33" i="8"/>
  <c r="C39" i="8"/>
  <c r="C74" i="8"/>
  <c r="C87" i="8" s="1"/>
  <c r="C105" i="8" s="1"/>
  <c r="C106" i="8" s="1"/>
  <c r="C108" i="8" s="1"/>
  <c r="C36" i="8"/>
  <c r="AI33" i="9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S104" i="8"/>
  <c r="O104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H4" i="10"/>
  <c r="I4" i="10"/>
  <c r="J4" i="10"/>
  <c r="K4" i="10"/>
  <c r="L4" i="10"/>
  <c r="W4" i="10" s="1"/>
  <c r="M4" i="10"/>
  <c r="X4" i="10" s="1"/>
  <c r="N4" i="10"/>
  <c r="Y4" i="10" s="1"/>
  <c r="O4" i="10"/>
  <c r="Z4" i="10" s="1"/>
  <c r="AF14" i="10"/>
  <c r="AC13" i="10"/>
  <c r="AE8" i="10"/>
  <c r="AF7" i="10"/>
  <c r="Y7" i="10"/>
  <c r="O39" i="9"/>
  <c r="K39" i="9"/>
  <c r="J42" i="9"/>
  <c r="C42" i="9"/>
  <c r="U62" i="8"/>
  <c r="U63" i="8" s="1"/>
  <c r="T62" i="8"/>
  <c r="T63" i="8" s="1"/>
  <c r="R62" i="8"/>
  <c r="R63" i="8" s="1"/>
  <c r="Q62" i="8"/>
  <c r="P62" i="8"/>
  <c r="N62" i="8"/>
  <c r="M62" i="8"/>
  <c r="L62" i="8"/>
  <c r="J62" i="8"/>
  <c r="I62" i="8"/>
  <c r="H62" i="8"/>
  <c r="F62" i="8"/>
  <c r="F63" i="8" s="1"/>
  <c r="E62" i="8"/>
  <c r="D62" i="8"/>
  <c r="C66" i="9"/>
  <c r="AA7" i="10"/>
  <c r="X7" i="10"/>
  <c r="W7" i="10"/>
  <c r="AF4" i="10"/>
  <c r="AF3" i="10"/>
  <c r="U4" i="10"/>
  <c r="AE4" i="10" s="1"/>
  <c r="T4" i="10"/>
  <c r="AD4" i="10" s="1"/>
  <c r="S4" i="10"/>
  <c r="AC4" i="10" s="1"/>
  <c r="R4" i="10"/>
  <c r="Q4" i="10"/>
  <c r="AB4" i="10" s="1"/>
  <c r="P4" i="10"/>
  <c r="AA4" i="10" s="1"/>
  <c r="U3" i="10"/>
  <c r="AE3" i="10" s="1"/>
  <c r="T3" i="10"/>
  <c r="AD3" i="10" s="1"/>
  <c r="S3" i="10"/>
  <c r="AC3" i="10" s="1"/>
  <c r="R3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J3" i="10"/>
  <c r="I3" i="10"/>
  <c r="H3" i="10"/>
  <c r="M41" i="9"/>
  <c r="W85" i="8"/>
  <c r="W79" i="8"/>
  <c r="K27" i="9"/>
  <c r="K58" i="9"/>
  <c r="X58" i="9" s="1"/>
  <c r="O18" i="9"/>
  <c r="K19" i="9"/>
  <c r="K23" i="9" s="1"/>
  <c r="Y18" i="8"/>
  <c r="AB61" i="8"/>
  <c r="AA61" i="8"/>
  <c r="Y61" i="8"/>
  <c r="X61" i="8"/>
  <c r="W61" i="8"/>
  <c r="AB60" i="8"/>
  <c r="AA60" i="8"/>
  <c r="Y60" i="8"/>
  <c r="X60" i="8"/>
  <c r="W60" i="8"/>
  <c r="AB57" i="8"/>
  <c r="AA57" i="8"/>
  <c r="Y57" i="8"/>
  <c r="X57" i="8"/>
  <c r="W57" i="8"/>
  <c r="AB54" i="8"/>
  <c r="AA54" i="8"/>
  <c r="Y54" i="8"/>
  <c r="X54" i="8"/>
  <c r="W54" i="8"/>
  <c r="AB38" i="8"/>
  <c r="AA38" i="8"/>
  <c r="Y38" i="8"/>
  <c r="X38" i="8"/>
  <c r="W38" i="8"/>
  <c r="S31" i="8"/>
  <c r="X31" i="8"/>
  <c r="Z61" i="8"/>
  <c r="Z60" i="8"/>
  <c r="Z57" i="8"/>
  <c r="K57" i="9"/>
  <c r="K56" i="9"/>
  <c r="AE54" i="8"/>
  <c r="Z54" i="8"/>
  <c r="K59" i="9"/>
  <c r="AE52" i="8"/>
  <c r="K51" i="9"/>
  <c r="X51" i="9" s="1"/>
  <c r="K55" i="9"/>
  <c r="K50" i="9"/>
  <c r="X50" i="9" s="1"/>
  <c r="K48" i="9"/>
  <c r="S38" i="8"/>
  <c r="AE38" i="8" s="1"/>
  <c r="S35" i="8"/>
  <c r="AE35" i="8" s="1"/>
  <c r="S13" i="8"/>
  <c r="S10" i="8"/>
  <c r="O13" i="8"/>
  <c r="K13" i="8"/>
  <c r="W13" i="8" s="1"/>
  <c r="O10" i="8"/>
  <c r="AB26" i="8"/>
  <c r="K38" i="8"/>
  <c r="K35" i="8"/>
  <c r="W35" i="8" s="1"/>
  <c r="Y27" i="8"/>
  <c r="Y26" i="8"/>
  <c r="X22" i="8"/>
  <c r="Y17" i="8"/>
  <c r="K10" i="8"/>
  <c r="P66" i="9" l="1"/>
  <c r="P63" i="8"/>
  <c r="Q66" i="9"/>
  <c r="Q63" i="8"/>
  <c r="H66" i="9"/>
  <c r="H63" i="8"/>
  <c r="M66" i="9"/>
  <c r="M63" i="8"/>
  <c r="I66" i="9"/>
  <c r="I63" i="8"/>
  <c r="N66" i="9"/>
  <c r="N63" i="8"/>
  <c r="J66" i="9"/>
  <c r="J63" i="8"/>
  <c r="L66" i="9"/>
  <c r="L63" i="8"/>
  <c r="AB33" i="9"/>
  <c r="AC33" i="9"/>
  <c r="AD33" i="9"/>
  <c r="X33" i="9"/>
  <c r="AF33" i="9"/>
  <c r="Y33" i="9"/>
  <c r="Z33" i="9"/>
  <c r="AE10" i="8"/>
  <c r="AG10" i="8"/>
  <c r="AF10" i="8"/>
  <c r="Z27" i="8"/>
  <c r="AD27" i="8"/>
  <c r="AC27" i="8"/>
  <c r="Z13" i="8"/>
  <c r="AD13" i="8"/>
  <c r="AC13" i="8"/>
  <c r="AG31" i="8"/>
  <c r="AF31" i="8"/>
  <c r="AE31" i="8"/>
  <c r="AG13" i="8"/>
  <c r="AF13" i="8"/>
  <c r="AE13" i="8"/>
  <c r="AG27" i="8"/>
  <c r="AF27" i="8"/>
  <c r="AE27" i="8"/>
  <c r="AD17" i="8"/>
  <c r="AC17" i="8"/>
  <c r="W10" i="8"/>
  <c r="Z10" i="8"/>
  <c r="Y10" i="8"/>
  <c r="X10" i="8"/>
  <c r="AD10" i="8"/>
  <c r="AA10" i="8"/>
  <c r="AC10" i="8"/>
  <c r="AB10" i="8"/>
  <c r="AG18" i="8"/>
  <c r="AF18" i="8"/>
  <c r="AE18" i="8"/>
  <c r="AG17" i="8"/>
  <c r="AF17" i="8"/>
  <c r="AE17" i="8"/>
  <c r="AC18" i="8"/>
  <c r="AD18" i="8"/>
  <c r="Z31" i="8"/>
  <c r="AC31" i="8"/>
  <c r="AD31" i="8"/>
  <c r="V52" i="9"/>
  <c r="AA39" i="9"/>
  <c r="K104" i="8"/>
  <c r="X104" i="8" s="1"/>
  <c r="Q52" i="9"/>
  <c r="U52" i="9"/>
  <c r="X85" i="8"/>
  <c r="K52" i="9"/>
  <c r="AE39" i="9"/>
  <c r="X39" i="9"/>
  <c r="Y39" i="9"/>
  <c r="Z39" i="9"/>
  <c r="AI35" i="8"/>
  <c r="AB39" i="9"/>
  <c r="AC39" i="9"/>
  <c r="H67" i="9"/>
  <c r="AD39" i="9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I38" i="8"/>
  <c r="X13" i="8"/>
  <c r="X26" i="8"/>
  <c r="W26" i="8"/>
  <c r="AA27" i="8"/>
  <c r="AB27" i="8"/>
  <c r="K18" i="9"/>
  <c r="W17" i="8"/>
  <c r="O17" i="9"/>
  <c r="X18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AA104" i="8"/>
  <c r="AD104" i="8"/>
  <c r="X27" i="8"/>
  <c r="W27" i="8"/>
  <c r="AF51" i="9"/>
  <c r="M27" i="9"/>
  <c r="P42" i="9"/>
  <c r="W22" i="8"/>
  <c r="K12" i="9"/>
  <c r="O16" i="9"/>
  <c r="I38" i="9"/>
  <c r="O50" i="9"/>
  <c r="AB50" i="9" s="1"/>
  <c r="O57" i="9"/>
  <c r="AF58" i="9"/>
  <c r="M37" i="9"/>
  <c r="M40" i="9"/>
  <c r="Z18" i="8"/>
  <c r="Y22" i="8"/>
  <c r="AB13" i="8"/>
  <c r="AA13" i="8"/>
  <c r="O56" i="9"/>
  <c r="O58" i="9"/>
  <c r="AB58" i="9" s="1"/>
  <c r="AB22" i="8"/>
  <c r="O48" i="9"/>
  <c r="W31" i="8"/>
  <c r="K32" i="9"/>
  <c r="Q34" i="9"/>
  <c r="AE104" i="8"/>
  <c r="Q40" i="9"/>
  <c r="AA18" i="8"/>
  <c r="Z22" i="8"/>
  <c r="Y31" i="8"/>
  <c r="M38" i="9"/>
  <c r="Q27" i="9"/>
  <c r="Q41" i="9"/>
  <c r="AF104" i="8"/>
  <c r="AG104" i="8"/>
  <c r="AB18" i="8"/>
  <c r="AA22" i="8"/>
  <c r="M31" i="9"/>
  <c r="N34" i="9"/>
  <c r="AA17" i="8"/>
  <c r="Z104" i="8"/>
  <c r="O12" i="9"/>
  <c r="AB104" i="8"/>
  <c r="AA26" i="8"/>
  <c r="Z26" i="8"/>
  <c r="O32" i="9"/>
  <c r="AB31" i="8"/>
  <c r="AA31" i="8"/>
  <c r="AB17" i="8"/>
  <c r="Z17" i="8"/>
  <c r="K38" i="9"/>
  <c r="Y13" i="8"/>
  <c r="AC104" i="8"/>
  <c r="O55" i="9"/>
  <c r="W78" i="8"/>
  <c r="X17" i="8"/>
  <c r="I27" i="9"/>
  <c r="J38" i="9"/>
  <c r="X78" i="8"/>
  <c r="J27" i="9"/>
  <c r="I34" i="9"/>
  <c r="W18" i="8"/>
  <c r="K41" i="9"/>
  <c r="X41" i="9" s="1"/>
  <c r="H42" i="9"/>
  <c r="X79" i="8"/>
  <c r="I37" i="9"/>
  <c r="Q37" i="9"/>
  <c r="M34" i="9"/>
  <c r="O51" i="9"/>
  <c r="AB51" i="9" s="1"/>
  <c r="P8" i="9"/>
  <c r="AD13" i="10"/>
  <c r="AC14" i="10"/>
  <c r="AD14" i="10"/>
  <c r="AE13" i="10"/>
  <c r="AC8" i="10"/>
  <c r="AF8" i="10"/>
  <c r="AF13" i="10"/>
  <c r="AD8" i="10"/>
  <c r="AD7" i="10"/>
  <c r="AE7" i="10"/>
  <c r="AC7" i="10"/>
  <c r="AE14" i="10"/>
  <c r="Z7" i="10"/>
  <c r="AB7" i="10"/>
  <c r="X62" i="8"/>
  <c r="K62" i="8"/>
  <c r="Z62" i="8"/>
  <c r="AB62" i="8"/>
  <c r="AC62" i="8"/>
  <c r="AD62" i="8"/>
  <c r="AF62" i="8"/>
  <c r="Y62" i="8"/>
  <c r="O62" i="8"/>
  <c r="AA62" i="8"/>
  <c r="AE62" i="8"/>
  <c r="W62" i="8"/>
  <c r="S62" i="8"/>
  <c r="S63" i="8" s="1"/>
  <c r="AG62" i="8"/>
  <c r="J31" i="9"/>
  <c r="J34" i="9"/>
  <c r="Y79" i="8"/>
  <c r="O66" i="9" l="1"/>
  <c r="O63" i="8"/>
  <c r="K66" i="9"/>
  <c r="K63" i="8"/>
  <c r="AG83" i="8"/>
  <c r="AF83" i="8"/>
  <c r="AE83" i="8"/>
  <c r="AG86" i="8"/>
  <c r="AI86" i="8" s="1"/>
  <c r="AF86" i="8"/>
  <c r="AE86" i="8"/>
  <c r="AF85" i="8"/>
  <c r="AE85" i="8"/>
  <c r="AG85" i="8"/>
  <c r="AI85" i="8" s="1"/>
  <c r="AI18" i="8"/>
  <c r="Y104" i="8"/>
  <c r="W104" i="8"/>
  <c r="Z41" i="9"/>
  <c r="Z27" i="9"/>
  <c r="AI39" i="9"/>
  <c r="Z38" i="9"/>
  <c r="AI31" i="8"/>
  <c r="Y41" i="9"/>
  <c r="AH39" i="9"/>
  <c r="AF39" i="9"/>
  <c r="Y38" i="9"/>
  <c r="AG39" i="9"/>
  <c r="X38" i="9"/>
  <c r="AA85" i="8"/>
  <c r="Y27" i="9"/>
  <c r="X27" i="9"/>
  <c r="S52" i="9"/>
  <c r="O52" i="9"/>
  <c r="AI27" i="8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N27" i="9"/>
  <c r="AA27" i="9" s="1"/>
  <c r="Y84" i="8"/>
  <c r="AA77" i="8"/>
  <c r="N41" i="9"/>
  <c r="Z86" i="8"/>
  <c r="AG101" i="8"/>
  <c r="AF101" i="8"/>
  <c r="Q42" i="9"/>
  <c r="AB85" i="8"/>
  <c r="K42" i="9"/>
  <c r="N31" i="9"/>
  <c r="K37" i="9"/>
  <c r="AA83" i="8"/>
  <c r="M42" i="9"/>
  <c r="Z83" i="8"/>
  <c r="AI40" i="9"/>
  <c r="N38" i="9"/>
  <c r="AA38" i="9" s="1"/>
  <c r="AA86" i="8"/>
  <c r="J40" i="9"/>
  <c r="Y77" i="8"/>
  <c r="O37" i="9"/>
  <c r="Z77" i="8"/>
  <c r="AB77" i="8"/>
  <c r="AB86" i="8"/>
  <c r="N37" i="9"/>
  <c r="Y85" i="8"/>
  <c r="W83" i="8"/>
  <c r="O38" i="9"/>
  <c r="AE38" i="9" s="1"/>
  <c r="Y78" i="8"/>
  <c r="N40" i="9"/>
  <c r="AB83" i="8"/>
  <c r="X86" i="8"/>
  <c r="Z85" i="8"/>
  <c r="AI79" i="8"/>
  <c r="Z78" i="8"/>
  <c r="AF77" i="8" l="1"/>
  <c r="AE77" i="8"/>
  <c r="AG77" i="8"/>
  <c r="AI77" i="8" s="1"/>
  <c r="AE84" i="8"/>
  <c r="AF84" i="8"/>
  <c r="AG84" i="8"/>
  <c r="AI84" i="8" s="1"/>
  <c r="X83" i="8"/>
  <c r="Z84" i="8"/>
  <c r="X77" i="8"/>
  <c r="AA41" i="9"/>
  <c r="AI38" i="9"/>
  <c r="AG38" i="9"/>
  <c r="AH40" i="9"/>
  <c r="AH38" i="9"/>
  <c r="AG40" i="9"/>
  <c r="AF40" i="9"/>
  <c r="AD38" i="9"/>
  <c r="AB38" i="9"/>
  <c r="AF38" i="9"/>
  <c r="AC38" i="9"/>
  <c r="AI83" i="8"/>
  <c r="AA79" i="8"/>
  <c r="W77" i="8"/>
  <c r="AB79" i="8"/>
  <c r="Z42" i="9"/>
  <c r="Y42" i="9"/>
  <c r="X42" i="9"/>
  <c r="AA78" i="8"/>
  <c r="Z79" i="8"/>
  <c r="AK17" i="9"/>
  <c r="AB78" i="8"/>
  <c r="AA84" i="8"/>
  <c r="AB84" i="8"/>
  <c r="O40" i="9"/>
  <c r="AC40" i="9" s="1"/>
  <c r="AI31" i="9"/>
  <c r="K40" i="9"/>
  <c r="AA40" i="9" s="1"/>
  <c r="N42" i="9"/>
  <c r="AA42" i="9" s="1"/>
  <c r="O41" i="9"/>
  <c r="AE41" i="9" s="1"/>
  <c r="O27" i="9"/>
  <c r="Y83" i="8"/>
  <c r="K34" i="9"/>
  <c r="W84" i="8"/>
  <c r="Y86" i="8"/>
  <c r="W86" i="8"/>
  <c r="O34" i="9"/>
  <c r="O31" i="9"/>
  <c r="AD31" i="9" s="1"/>
  <c r="K31" i="9"/>
  <c r="X84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I78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X14" i="10"/>
  <c r="Y13" i="10"/>
  <c r="AB14" i="10"/>
  <c r="AA13" i="10"/>
  <c r="S15" i="10"/>
  <c r="U15" i="10"/>
  <c r="T15" i="10"/>
  <c r="R15" i="10"/>
  <c r="Q15" i="10"/>
  <c r="P15" i="10"/>
  <c r="F15" i="10"/>
  <c r="E15" i="10"/>
  <c r="D15" i="10"/>
  <c r="Y14" i="10"/>
  <c r="AB13" i="10"/>
  <c r="Z13" i="10"/>
  <c r="S11" i="8"/>
  <c r="O11" i="8"/>
  <c r="O8" i="9" s="1"/>
  <c r="Z38" i="8"/>
  <c r="O35" i="8"/>
  <c r="AA35" i="8" s="1"/>
  <c r="K11" i="8"/>
  <c r="K8" i="9" s="1"/>
  <c r="AG48" i="9"/>
  <c r="AG52" i="9" s="1"/>
  <c r="Y57" i="9"/>
  <c r="AB66" i="9"/>
  <c r="Q49" i="8"/>
  <c r="Q65" i="8" s="1"/>
  <c r="P49" i="8"/>
  <c r="P65" i="8" s="1"/>
  <c r="L49" i="8"/>
  <c r="L65" i="8" s="1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AF66" i="9"/>
  <c r="AE66" i="9"/>
  <c r="AD66" i="9"/>
  <c r="AA66" i="9"/>
  <c r="Z66" i="9"/>
  <c r="Y66" i="9"/>
  <c r="X66" i="9"/>
  <c r="H49" i="8"/>
  <c r="H65" i="8" s="1"/>
  <c r="I49" i="8"/>
  <c r="I65" i="8" s="1"/>
  <c r="J49" i="8"/>
  <c r="J65" i="8" s="1"/>
  <c r="M49" i="8"/>
  <c r="M65" i="8" s="1"/>
  <c r="N49" i="8"/>
  <c r="N65" i="8" s="1"/>
  <c r="R49" i="8"/>
  <c r="R65" i="8" s="1"/>
  <c r="T49" i="8"/>
  <c r="T65" i="8" s="1"/>
  <c r="U49" i="8"/>
  <c r="U65" i="8" s="1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3" i="8"/>
  <c r="H42" i="8"/>
  <c r="F43" i="8"/>
  <c r="E43" i="8"/>
  <c r="D43" i="8"/>
  <c r="F42" i="8"/>
  <c r="E42" i="8"/>
  <c r="D42" i="8"/>
  <c r="U11" i="8"/>
  <c r="U14" i="8" s="1"/>
  <c r="T11" i="8"/>
  <c r="T14" i="8" s="1"/>
  <c r="T19" i="8" s="1"/>
  <c r="T28" i="8" s="1"/>
  <c r="R11" i="8"/>
  <c r="R14" i="8" s="1"/>
  <c r="Q11" i="8"/>
  <c r="Q14" i="8" s="1"/>
  <c r="P11" i="8"/>
  <c r="P14" i="8" s="1"/>
  <c r="N11" i="8"/>
  <c r="M11" i="8"/>
  <c r="L11" i="8"/>
  <c r="J11" i="8"/>
  <c r="I11" i="8"/>
  <c r="H11" i="8"/>
  <c r="E4" i="10"/>
  <c r="D4" i="10"/>
  <c r="C4" i="10"/>
  <c r="E3" i="10"/>
  <c r="D3" i="10"/>
  <c r="C3" i="10"/>
  <c r="F4" i="10"/>
  <c r="F3" i="10"/>
  <c r="AB101" i="8" l="1"/>
  <c r="AC101" i="8"/>
  <c r="Y101" i="8"/>
  <c r="H14" i="8"/>
  <c r="H15" i="8" s="1"/>
  <c r="H8" i="9"/>
  <c r="H13" i="9" s="1"/>
  <c r="I14" i="8"/>
  <c r="I15" i="8" s="1"/>
  <c r="I8" i="9"/>
  <c r="W101" i="8"/>
  <c r="X101" i="8"/>
  <c r="L14" i="8"/>
  <c r="L19" i="8" s="1"/>
  <c r="L28" i="8" s="1"/>
  <c r="L29" i="8" s="1"/>
  <c r="L8" i="9"/>
  <c r="I61" i="9"/>
  <c r="I60" i="9"/>
  <c r="M14" i="8"/>
  <c r="M15" i="8" s="1"/>
  <c r="M8" i="9"/>
  <c r="J61" i="9"/>
  <c r="J60" i="9"/>
  <c r="N14" i="8"/>
  <c r="N15" i="8" s="1"/>
  <c r="N8" i="9"/>
  <c r="AE101" i="8"/>
  <c r="AD101" i="8"/>
  <c r="J14" i="8"/>
  <c r="J19" i="8" s="1"/>
  <c r="J28" i="8" s="1"/>
  <c r="J8" i="9"/>
  <c r="AA101" i="8"/>
  <c r="Z101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L60" i="9"/>
  <c r="Q60" i="9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W14" i="10"/>
  <c r="W13" i="10"/>
  <c r="X13" i="10"/>
  <c r="X15" i="10" s="1"/>
  <c r="X16" i="10" s="1"/>
  <c r="AE15" i="10"/>
  <c r="AF15" i="10"/>
  <c r="Z14" i="10"/>
  <c r="Z15" i="10" s="1"/>
  <c r="Z16" i="10" s="1"/>
  <c r="AF7" i="9"/>
  <c r="AA14" i="10"/>
  <c r="AA15" i="10" s="1"/>
  <c r="AA16" i="10" s="1"/>
  <c r="AF6" i="9"/>
  <c r="AH7" i="9"/>
  <c r="AI6" i="9"/>
  <c r="Y15" i="10"/>
  <c r="Y16" i="10" s="1"/>
  <c r="AB15" i="10"/>
  <c r="AB16" i="10" s="1"/>
  <c r="T32" i="8"/>
  <c r="T74" i="8" s="1"/>
  <c r="K14" i="8"/>
  <c r="K15" i="8" s="1"/>
  <c r="S14" i="8"/>
  <c r="S15" i="8" s="1"/>
  <c r="O14" i="8"/>
  <c r="O15" i="8" s="1"/>
  <c r="AC66" i="9"/>
  <c r="S49" i="8"/>
  <c r="S65" i="8" s="1"/>
  <c r="O49" i="8"/>
  <c r="O65" i="8" s="1"/>
  <c r="K49" i="8"/>
  <c r="K65" i="8" s="1"/>
  <c r="U15" i="8"/>
  <c r="U19" i="8"/>
  <c r="Q15" i="8"/>
  <c r="Q19" i="8"/>
  <c r="T29" i="8"/>
  <c r="R15" i="8"/>
  <c r="R19" i="8"/>
  <c r="R28" i="8" s="1"/>
  <c r="P15" i="8"/>
  <c r="P19" i="8"/>
  <c r="P28" i="8" s="1"/>
  <c r="T15" i="8"/>
  <c r="T20" i="8"/>
  <c r="Y8" i="9" l="1"/>
  <c r="H19" i="8"/>
  <c r="H28" i="8" s="1"/>
  <c r="H29" i="8" s="1"/>
  <c r="X8" i="9"/>
  <c r="AA8" i="9"/>
  <c r="M19" i="8"/>
  <c r="M28" i="8" s="1"/>
  <c r="L20" i="8"/>
  <c r="L32" i="8"/>
  <c r="L74" i="8" s="1"/>
  <c r="L87" i="8" s="1"/>
  <c r="L105" i="8" s="1"/>
  <c r="AB8" i="9"/>
  <c r="L15" i="8"/>
  <c r="N19" i="8"/>
  <c r="N28" i="8" s="1"/>
  <c r="Z8" i="9"/>
  <c r="I19" i="8"/>
  <c r="I28" i="8" s="1"/>
  <c r="J15" i="8"/>
  <c r="AF61" i="9"/>
  <c r="AF60" i="9"/>
  <c r="P61" i="9"/>
  <c r="AC61" i="9" s="1"/>
  <c r="P60" i="9"/>
  <c r="AC60" i="9" s="1"/>
  <c r="N61" i="9"/>
  <c r="AA61" i="9" s="1"/>
  <c r="N60" i="9"/>
  <c r="AA60" i="9" s="1"/>
  <c r="M61" i="9"/>
  <c r="Z61" i="9" s="1"/>
  <c r="M60" i="9"/>
  <c r="Z60" i="9" s="1"/>
  <c r="O61" i="9"/>
  <c r="AB61" i="9" s="1"/>
  <c r="O60" i="9"/>
  <c r="AB60" i="9" s="1"/>
  <c r="H20" i="9"/>
  <c r="H14" i="9"/>
  <c r="K61" i="9"/>
  <c r="X61" i="9" s="1"/>
  <c r="K60" i="9"/>
  <c r="X60" i="9" s="1"/>
  <c r="AC15" i="10"/>
  <c r="AH6" i="9"/>
  <c r="AH8" i="9" s="1"/>
  <c r="AI7" i="9"/>
  <c r="W15" i="10"/>
  <c r="W16" i="10" s="1"/>
  <c r="AG7" i="9"/>
  <c r="AD6" i="9"/>
  <c r="AE7" i="9"/>
  <c r="AC7" i="9"/>
  <c r="AG64" i="9"/>
  <c r="T87" i="8"/>
  <c r="T105" i="8" s="1"/>
  <c r="T64" i="9"/>
  <c r="AC6" i="9"/>
  <c r="AC8" i="9" s="1"/>
  <c r="AG6" i="9"/>
  <c r="AE6" i="9"/>
  <c r="AD7" i="9"/>
  <c r="AD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T33" i="8"/>
  <c r="T36" i="8"/>
  <c r="T39" i="8"/>
  <c r="Q20" i="8"/>
  <c r="Q28" i="8"/>
  <c r="U20" i="8"/>
  <c r="U28" i="8"/>
  <c r="U32" i="8" s="1"/>
  <c r="U74" i="8" s="1"/>
  <c r="K19" i="8"/>
  <c r="S19" i="8"/>
  <c r="O19" i="8"/>
  <c r="R20" i="8"/>
  <c r="P20" i="8"/>
  <c r="J20" i="8"/>
  <c r="H20" i="8" l="1"/>
  <c r="M20" i="8"/>
  <c r="N20" i="8"/>
  <c r="L39" i="8"/>
  <c r="L36" i="8"/>
  <c r="L33" i="8"/>
  <c r="I20" i="8"/>
  <c r="H21" i="9"/>
  <c r="H24" i="9"/>
  <c r="Q61" i="9"/>
  <c r="AD61" i="9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U87" i="8"/>
  <c r="U105" i="8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O20" i="8"/>
  <c r="O28" i="8"/>
  <c r="O32" i="8" s="1"/>
  <c r="S28" i="8"/>
  <c r="S29" i="8" s="1"/>
  <c r="K28" i="8"/>
  <c r="K32" i="8" s="1"/>
  <c r="K36" i="8" s="1"/>
  <c r="K20" i="8"/>
  <c r="S20" i="8"/>
  <c r="U29" i="8"/>
  <c r="R32" i="8"/>
  <c r="R74" i="8" s="1"/>
  <c r="R29" i="8"/>
  <c r="Q29" i="8"/>
  <c r="Q32" i="8"/>
  <c r="Q74" i="8" s="1"/>
  <c r="J32" i="8"/>
  <c r="J74" i="8" s="1"/>
  <c r="J29" i="8"/>
  <c r="N32" i="8"/>
  <c r="N74" i="8" s="1"/>
  <c r="N29" i="8"/>
  <c r="M32" i="8"/>
  <c r="M29" i="8"/>
  <c r="P32" i="8"/>
  <c r="P74" i="8" s="1"/>
  <c r="P29" i="8"/>
  <c r="U39" i="8"/>
  <c r="U36" i="8"/>
  <c r="U33" i="8"/>
  <c r="I29" i="8"/>
  <c r="I32" i="8"/>
  <c r="H28" i="9" l="1"/>
  <c r="H25" i="9"/>
  <c r="J87" i="8"/>
  <c r="J105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P87" i="8"/>
  <c r="P105" i="8" s="1"/>
  <c r="Q87" i="8"/>
  <c r="Q105" i="8" s="1"/>
  <c r="R87" i="8"/>
  <c r="R105" i="8" s="1"/>
  <c r="N87" i="8"/>
  <c r="N105" i="8" s="1"/>
  <c r="M74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I74" i="8"/>
  <c r="S32" i="8"/>
  <c r="K29" i="8"/>
  <c r="K33" i="8"/>
  <c r="K39" i="8"/>
  <c r="K74" i="8"/>
  <c r="O29" i="8"/>
  <c r="O36" i="8"/>
  <c r="O33" i="8"/>
  <c r="O39" i="8"/>
  <c r="M39" i="8"/>
  <c r="M36" i="8"/>
  <c r="M33" i="8"/>
  <c r="R33" i="8"/>
  <c r="R39" i="8"/>
  <c r="R36" i="8"/>
  <c r="N36" i="8"/>
  <c r="N33" i="8"/>
  <c r="N39" i="8"/>
  <c r="P39" i="8"/>
  <c r="P33" i="8"/>
  <c r="P36" i="8"/>
  <c r="J36" i="8"/>
  <c r="J33" i="8"/>
  <c r="J39" i="8"/>
  <c r="I33" i="8"/>
  <c r="I39" i="8"/>
  <c r="I36" i="8"/>
  <c r="Q33" i="8"/>
  <c r="Q39" i="8"/>
  <c r="Q36" i="8"/>
  <c r="H29" i="9" l="1"/>
  <c r="H35" i="9"/>
  <c r="H43" i="9" s="1"/>
  <c r="I87" i="8"/>
  <c r="I105" i="8" s="1"/>
  <c r="W74" i="8"/>
  <c r="K87" i="8"/>
  <c r="K105" i="8" s="1"/>
  <c r="Y74" i="8"/>
  <c r="X74" i="8"/>
  <c r="AD20" i="9"/>
  <c r="AD21" i="9" s="1"/>
  <c r="Y20" i="9"/>
  <c r="Y24" i="9" s="1"/>
  <c r="Y28" i="9" s="1"/>
  <c r="AG14" i="9"/>
  <c r="AG24" i="9"/>
  <c r="AG28" i="9" s="1"/>
  <c r="M87" i="8"/>
  <c r="M105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S33" i="8"/>
  <c r="S39" i="8"/>
  <c r="S36" i="8"/>
  <c r="W105" i="8" l="1"/>
  <c r="H44" i="9"/>
  <c r="Y105" i="8"/>
  <c r="X105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71" i="8"/>
  <c r="B70" i="8"/>
  <c r="H71" i="8"/>
  <c r="H70" i="8"/>
  <c r="F71" i="8"/>
  <c r="E71" i="8"/>
  <c r="D71" i="8"/>
  <c r="F70" i="8"/>
  <c r="E70" i="8"/>
  <c r="D70" i="8"/>
  <c r="B43" i="8"/>
  <c r="B42" i="8"/>
  <c r="AG43" i="8"/>
  <c r="AF43" i="8"/>
  <c r="AE43" i="8"/>
  <c r="AC43" i="8"/>
  <c r="AB43" i="8"/>
  <c r="AA43" i="8"/>
  <c r="Y43" i="8"/>
  <c r="X43" i="8"/>
  <c r="W43" i="8"/>
  <c r="AD43" i="8"/>
  <c r="Z43" i="8"/>
  <c r="AG42" i="8"/>
  <c r="AF42" i="8"/>
  <c r="AE42" i="8"/>
  <c r="AD42" i="8"/>
  <c r="AC42" i="8"/>
  <c r="AB42" i="8"/>
  <c r="AA42" i="8"/>
  <c r="Z42" i="8"/>
  <c r="Y42" i="8"/>
  <c r="X42" i="8"/>
  <c r="W42" i="8"/>
  <c r="W70" i="8" l="1"/>
  <c r="Z70" i="8"/>
  <c r="AA70" i="8"/>
  <c r="AA71" i="8"/>
  <c r="AD70" i="8"/>
  <c r="AE70" i="8"/>
  <c r="Z71" i="8"/>
  <c r="AE71" i="8"/>
  <c r="AF71" i="8"/>
  <c r="AC70" i="8"/>
  <c r="X70" i="8"/>
  <c r="AF70" i="8"/>
  <c r="AC71" i="8"/>
  <c r="AB71" i="8"/>
  <c r="Y70" i="8"/>
  <c r="AG70" i="8"/>
  <c r="AD71" i="8"/>
  <c r="W71" i="8"/>
  <c r="X71" i="8"/>
  <c r="AB70" i="8"/>
  <c r="Y71" i="8"/>
  <c r="AG71" i="8"/>
  <c r="E9" i="10" l="1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AB11" i="8" l="1"/>
  <c r="E49" i="8"/>
  <c r="E55" i="8" s="1"/>
  <c r="E63" i="8" s="1"/>
  <c r="E65" i="8" s="1"/>
  <c r="D49" i="8"/>
  <c r="D55" i="8" s="1"/>
  <c r="D63" i="8" s="1"/>
  <c r="D65" i="8" s="1"/>
  <c r="F49" i="8"/>
  <c r="F65" i="8" s="1"/>
  <c r="W49" i="8" l="1"/>
  <c r="W55" i="8" s="1"/>
  <c r="AC11" i="8"/>
  <c r="AB14" i="8"/>
  <c r="AB19" i="8" s="1"/>
  <c r="AB28" i="8" s="1"/>
  <c r="AC49" i="8"/>
  <c r="AC55" i="8" s="1"/>
  <c r="AA49" i="8"/>
  <c r="AA55" i="8" s="1"/>
  <c r="Z11" i="8"/>
  <c r="X49" i="8"/>
  <c r="X55" i="8" s="1"/>
  <c r="AB49" i="8"/>
  <c r="AB55" i="8" s="1"/>
  <c r="AA11" i="8"/>
  <c r="Y49" i="8"/>
  <c r="Y55" i="8" s="1"/>
  <c r="AE49" i="8"/>
  <c r="AE55" i="8" s="1"/>
  <c r="AE11" i="8"/>
  <c r="AD11" i="8"/>
  <c r="AF11" i="8"/>
  <c r="AF49" i="8"/>
  <c r="AF55" i="8" s="1"/>
  <c r="AB20" i="8" l="1"/>
  <c r="AB32" i="8"/>
  <c r="AA14" i="8"/>
  <c r="AA19" i="8" s="1"/>
  <c r="AA28" i="8" s="1"/>
  <c r="AI13" i="9"/>
  <c r="AC9" i="10"/>
  <c r="AC16" i="10" s="1"/>
  <c r="Z8" i="10"/>
  <c r="AA8" i="10"/>
  <c r="AB8" i="10"/>
  <c r="W63" i="8"/>
  <c r="W65" i="8" s="1"/>
  <c r="AE14" i="8"/>
  <c r="AE19" i="8" s="1"/>
  <c r="AE28" i="8" s="1"/>
  <c r="AI10" i="8"/>
  <c r="AC63" i="8"/>
  <c r="AC65" i="8" s="1"/>
  <c r="AA63" i="8"/>
  <c r="AA65" i="8" s="1"/>
  <c r="Y63" i="8"/>
  <c r="Y65" i="8" s="1"/>
  <c r="AI17" i="8"/>
  <c r="AB63" i="8"/>
  <c r="AB65" i="8" s="1"/>
  <c r="AC14" i="8"/>
  <c r="AC19" i="8" s="1"/>
  <c r="AC28" i="8" s="1"/>
  <c r="X63" i="8"/>
  <c r="X65" i="8" s="1"/>
  <c r="Z14" i="8"/>
  <c r="Z19" i="8" s="1"/>
  <c r="Z28" i="8" s="1"/>
  <c r="AB15" i="8"/>
  <c r="AI13" i="8"/>
  <c r="AE63" i="8"/>
  <c r="AE65" i="8" s="1"/>
  <c r="AF14" i="8"/>
  <c r="AF19" i="8" s="1"/>
  <c r="AF28" i="8" s="1"/>
  <c r="AD14" i="8"/>
  <c r="AD19" i="8" s="1"/>
  <c r="AD28" i="8" s="1"/>
  <c r="AF63" i="8"/>
  <c r="AF65" i="8" s="1"/>
  <c r="AA20" i="8" l="1"/>
  <c r="AA32" i="8"/>
  <c r="Z20" i="8"/>
  <c r="Z32" i="8"/>
  <c r="AC32" i="8"/>
  <c r="AC20" i="8"/>
  <c r="AE32" i="8"/>
  <c r="AE20" i="8"/>
  <c r="AD32" i="8"/>
  <c r="AD20" i="8"/>
  <c r="AF32" i="8"/>
  <c r="AF20" i="8"/>
  <c r="AE15" i="8"/>
  <c r="AD15" i="8"/>
  <c r="AA15" i="8"/>
  <c r="AF15" i="8"/>
  <c r="AC15" i="8"/>
  <c r="AI14" i="9"/>
  <c r="AI20" i="9"/>
  <c r="AA9" i="10"/>
  <c r="AA10" i="10" s="1"/>
  <c r="AB9" i="10"/>
  <c r="AB10" i="10" s="1"/>
  <c r="AC10" i="10"/>
  <c r="AD9" i="10"/>
  <c r="AD16" i="10" s="1"/>
  <c r="AF9" i="10"/>
  <c r="AF16" i="10" s="1"/>
  <c r="Z9" i="10"/>
  <c r="Z10" i="10" s="1"/>
  <c r="X8" i="10"/>
  <c r="W8" i="10"/>
  <c r="Y8" i="10"/>
  <c r="AB29" i="8"/>
  <c r="Z15" i="8"/>
  <c r="Y9" i="10" l="1"/>
  <c r="X9" i="10"/>
  <c r="AA29" i="8"/>
  <c r="Z29" i="8"/>
  <c r="AE29" i="8"/>
  <c r="AA33" i="8"/>
  <c r="AI24" i="9"/>
  <c r="AI28" i="9" s="1"/>
  <c r="AI21" i="9"/>
  <c r="W9" i="10"/>
  <c r="AE9" i="10"/>
  <c r="AD10" i="10"/>
  <c r="AB33" i="8"/>
  <c r="AB36" i="8"/>
  <c r="AB39" i="8"/>
  <c r="Z36" i="8"/>
  <c r="Z39" i="8"/>
  <c r="Z33" i="8"/>
  <c r="AF29" i="8"/>
  <c r="AC29" i="8"/>
  <c r="AD29" i="8"/>
  <c r="AE10" i="10" l="1"/>
  <c r="AE16" i="10"/>
  <c r="AA39" i="8"/>
  <c r="AA36" i="8"/>
  <c r="AI25" i="9"/>
  <c r="AD33" i="8"/>
  <c r="AD39" i="8"/>
  <c r="AD36" i="8"/>
  <c r="AC39" i="8"/>
  <c r="AC33" i="8"/>
  <c r="AC36" i="8"/>
  <c r="AE33" i="8"/>
  <c r="AE36" i="8"/>
  <c r="AE39" i="8"/>
  <c r="AF33" i="8"/>
  <c r="AF36" i="8"/>
  <c r="AF39" i="8"/>
  <c r="AI29" i="9" l="1"/>
  <c r="AI35" i="9"/>
  <c r="Z63" i="8" l="1"/>
  <c r="X90" i="8"/>
  <c r="Y90" i="8"/>
  <c r="W90" i="8"/>
  <c r="Z90" i="8"/>
  <c r="AA90" i="8"/>
  <c r="AB90" i="8"/>
  <c r="F11" i="8" l="1"/>
  <c r="F10" i="10" s="1"/>
  <c r="E11" i="8"/>
  <c r="E10" i="10" s="1"/>
  <c r="D11" i="8"/>
  <c r="D10" i="10" s="1"/>
  <c r="C8" i="9"/>
  <c r="C60" i="9"/>
  <c r="AG11" i="8"/>
  <c r="AF10" i="10" s="1"/>
  <c r="U67" i="9"/>
  <c r="M67" i="9"/>
  <c r="AK34" i="9"/>
  <c r="AK27" i="9"/>
  <c r="H61" i="9" l="1"/>
  <c r="H60" i="9"/>
  <c r="C61" i="9"/>
  <c r="N67" i="9"/>
  <c r="V67" i="9"/>
  <c r="D67" i="9"/>
  <c r="O67" i="9"/>
  <c r="AG61" i="9"/>
  <c r="AI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AD63" i="8"/>
  <c r="E14" i="8"/>
  <c r="E19" i="8" s="1"/>
  <c r="E28" i="8" s="1"/>
  <c r="D14" i="8"/>
  <c r="D19" i="8" s="1"/>
  <c r="D28" i="8" s="1"/>
  <c r="F14" i="8"/>
  <c r="F19" i="8" s="1"/>
  <c r="F28" i="8" s="1"/>
  <c r="AI62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D20" i="8" l="1"/>
  <c r="E20" i="8"/>
  <c r="E32" i="8"/>
  <c r="E74" i="8" s="1"/>
  <c r="O74" i="8" s="1"/>
  <c r="H32" i="8"/>
  <c r="F32" i="8"/>
  <c r="F74" i="8" s="1"/>
  <c r="S74" i="8" s="1"/>
  <c r="F20" i="8"/>
  <c r="T67" i="9"/>
  <c r="AD49" i="8"/>
  <c r="Z49" i="8"/>
  <c r="AH61" i="9"/>
  <c r="P67" i="9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G49" i="8"/>
  <c r="AG55" i="8" s="1"/>
  <c r="E15" i="8"/>
  <c r="F15" i="8"/>
  <c r="D15" i="8"/>
  <c r="AG14" i="8"/>
  <c r="AG19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E74" i="8" l="1"/>
  <c r="AG74" i="8"/>
  <c r="AF74" i="8"/>
  <c r="AD74" i="8"/>
  <c r="AC74" i="8"/>
  <c r="AB74" i="8"/>
  <c r="AA74" i="8"/>
  <c r="Z74" i="8"/>
  <c r="O87" i="8"/>
  <c r="O105" i="8" s="1"/>
  <c r="Z55" i="8"/>
  <c r="Z65" i="8" s="1"/>
  <c r="AD55" i="8"/>
  <c r="AD65" i="8" s="1"/>
  <c r="AI19" i="8"/>
  <c r="AG28" i="8"/>
  <c r="H33" i="8"/>
  <c r="H39" i="8"/>
  <c r="D29" i="8"/>
  <c r="D32" i="8"/>
  <c r="D39" i="8" s="1"/>
  <c r="AG20" i="8"/>
  <c r="AI20" i="8" s="1"/>
  <c r="F29" i="8"/>
  <c r="E29" i="8"/>
  <c r="AI97" i="8"/>
  <c r="AG63" i="8"/>
  <c r="AI63" i="8" s="1"/>
  <c r="AI55" i="8"/>
  <c r="AI49" i="8"/>
  <c r="T14" i="9"/>
  <c r="P14" i="9"/>
  <c r="F36" i="8"/>
  <c r="F39" i="8"/>
  <c r="E39" i="8"/>
  <c r="E36" i="8"/>
  <c r="R20" i="9"/>
  <c r="R21" i="9" s="1"/>
  <c r="J20" i="9"/>
  <c r="J21" i="9" s="1"/>
  <c r="AI14" i="8"/>
  <c r="F33" i="8"/>
  <c r="F87" i="8"/>
  <c r="F105" i="8" s="1"/>
  <c r="E33" i="8"/>
  <c r="E87" i="8"/>
  <c r="E105" i="8" s="1"/>
  <c r="AI90" i="8"/>
  <c r="AG15" i="8"/>
  <c r="AI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G32" i="8" l="1"/>
  <c r="AI28" i="8"/>
  <c r="AC105" i="8"/>
  <c r="AB105" i="8"/>
  <c r="AA105" i="8"/>
  <c r="Z105" i="8"/>
  <c r="S87" i="8"/>
  <c r="S105" i="8" s="1"/>
  <c r="D33" i="8"/>
  <c r="D74" i="8"/>
  <c r="D36" i="8"/>
  <c r="H74" i="8"/>
  <c r="H87" i="8" s="1"/>
  <c r="H105" i="8" s="1"/>
  <c r="H36" i="8"/>
  <c r="AG65" i="8"/>
  <c r="R24" i="9"/>
  <c r="R28" i="9" s="1"/>
  <c r="J24" i="9"/>
  <c r="J28" i="9" s="1"/>
  <c r="AG29" i="8"/>
  <c r="AI29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G105" i="8" l="1"/>
  <c r="AD105" i="8"/>
  <c r="AF105" i="8"/>
  <c r="AE105" i="8"/>
  <c r="D87" i="8"/>
  <c r="D105" i="8" s="1"/>
  <c r="AC87" i="8"/>
  <c r="AG39" i="8"/>
  <c r="R25" i="9"/>
  <c r="J25" i="9"/>
  <c r="AD87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Z87" i="8" l="1"/>
  <c r="AA87" i="8"/>
  <c r="AB87" i="8"/>
  <c r="AI32" i="8"/>
  <c r="AG36" i="8"/>
  <c r="AG33" i="8"/>
  <c r="AI33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I36" i="8"/>
  <c r="AI39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D102" i="8" l="1"/>
  <c r="D106" i="8" s="1"/>
  <c r="D108" i="8" s="1"/>
  <c r="H102" i="8"/>
  <c r="H106" i="8" s="1"/>
  <c r="H108" i="8" s="1"/>
  <c r="W100" i="8" l="1"/>
  <c r="I100" i="8"/>
  <c r="I102" i="8" s="1"/>
  <c r="I106" i="8" s="1"/>
  <c r="I108" i="8" s="1"/>
  <c r="E100" i="8"/>
  <c r="E102" i="8" s="1"/>
  <c r="E106" i="8" s="1"/>
  <c r="E108" i="8" s="1"/>
  <c r="X100" i="8" l="1"/>
  <c r="F100" i="8"/>
  <c r="F102" i="8" s="1"/>
  <c r="F106" i="8" s="1"/>
  <c r="F108" i="8" s="1"/>
  <c r="J100" i="8"/>
  <c r="J102" i="8" s="1"/>
  <c r="J106" i="8" s="1"/>
  <c r="J108" i="8" s="1"/>
  <c r="Y100" i="8" l="1"/>
  <c r="K100" i="8"/>
  <c r="K102" i="8" s="1"/>
  <c r="K106" i="8" s="1"/>
  <c r="K108" i="8" s="1"/>
  <c r="Z100" i="8" l="1"/>
  <c r="L100" i="8"/>
  <c r="L102" i="8" s="1"/>
  <c r="L106" i="8" s="1"/>
  <c r="L108" i="8" s="1"/>
  <c r="AA100" i="8" l="1"/>
  <c r="M100" i="8"/>
  <c r="M102" i="8" s="1"/>
  <c r="M106" i="8" s="1"/>
  <c r="M108" i="8" s="1"/>
  <c r="AB100" i="8" l="1"/>
  <c r="N100" i="8"/>
  <c r="N102" i="8" s="1"/>
  <c r="N106" i="8" s="1"/>
  <c r="N108" i="8" s="1"/>
  <c r="AC100" i="8" l="1"/>
  <c r="AC102" i="8" s="1"/>
  <c r="O100" i="8"/>
  <c r="O102" i="8" s="1"/>
  <c r="O106" i="8" s="1"/>
  <c r="O108" i="8" s="1"/>
  <c r="AD100" i="8" l="1"/>
  <c r="P100" i="8"/>
  <c r="P102" i="8" s="1"/>
  <c r="P106" i="8" s="1"/>
  <c r="P108" i="8" s="1"/>
  <c r="AE100" i="8" l="1"/>
  <c r="Q100" i="8"/>
  <c r="Q102" i="8" s="1"/>
  <c r="Q106" i="8" s="1"/>
  <c r="Q108" i="8" s="1"/>
  <c r="AF100" i="8" l="1"/>
  <c r="R100" i="8"/>
  <c r="R102" i="8" s="1"/>
  <c r="R106" i="8" s="1"/>
  <c r="R108" i="8" s="1"/>
  <c r="AG100" i="8" l="1"/>
  <c r="S100" i="8"/>
  <c r="S102" i="8" s="1"/>
  <c r="S106" i="8" s="1"/>
  <c r="S108" i="8" s="1"/>
  <c r="T100" i="8" l="1"/>
  <c r="T102" i="8" s="1"/>
  <c r="T106" i="8" s="1"/>
  <c r="T108" i="8" s="1"/>
  <c r="U100" i="8" l="1"/>
  <c r="U102" i="8" s="1"/>
  <c r="U106" i="8" s="1"/>
  <c r="U108" i="8" s="1"/>
  <c r="W102" i="8" l="1"/>
  <c r="AB102" i="8" l="1"/>
  <c r="AB106" i="8" s="1"/>
  <c r="AB108" i="8" s="1"/>
  <c r="AC106" i="8" l="1"/>
  <c r="AC108" i="8" s="1"/>
  <c r="AD102" i="8" l="1"/>
  <c r="AD106" i="8" s="1"/>
  <c r="AD108" i="8" s="1"/>
  <c r="X102" i="8"/>
  <c r="AE102" i="8" l="1"/>
  <c r="Y87" i="8"/>
  <c r="W11" i="8"/>
  <c r="W10" i="10" s="1"/>
  <c r="Y11" i="8"/>
  <c r="X11" i="8"/>
  <c r="X14" i="8" s="1"/>
  <c r="X10" i="10" l="1"/>
  <c r="X19" i="8"/>
  <c r="X28" i="8" s="1"/>
  <c r="X15" i="8"/>
  <c r="Y14" i="8"/>
  <c r="Y10" i="10"/>
  <c r="W14" i="8"/>
  <c r="Y19" i="8" l="1"/>
  <c r="Y28" i="8" s="1"/>
  <c r="Y15" i="8"/>
  <c r="W15" i="8"/>
  <c r="W19" i="8"/>
  <c r="W28" i="8" s="1"/>
  <c r="X20" i="8"/>
  <c r="X32" i="8" l="1"/>
  <c r="X29" i="8"/>
  <c r="W20" i="8"/>
  <c r="Y20" i="8"/>
  <c r="Y32" i="8" l="1"/>
  <c r="Y29" i="8"/>
  <c r="W29" i="8"/>
  <c r="W32" i="8"/>
  <c r="X36" i="8"/>
  <c r="X33" i="8"/>
  <c r="X39" i="8"/>
  <c r="AE87" i="8" l="1"/>
  <c r="AF87" i="8"/>
  <c r="X87" i="8"/>
  <c r="X106" i="8" s="1"/>
  <c r="X108" i="8" s="1"/>
  <c r="W87" i="8"/>
  <c r="W33" i="8"/>
  <c r="W39" i="8"/>
  <c r="W36" i="8"/>
  <c r="Y36" i="8"/>
  <c r="Y33" i="8"/>
  <c r="Y39" i="8"/>
  <c r="W106" i="8" l="1"/>
  <c r="W108" i="8" s="1"/>
  <c r="AE106" i="8"/>
  <c r="AE108" i="8" s="1"/>
  <c r="AG87" i="8"/>
  <c r="AI74" i="8"/>
  <c r="Y102" i="8"/>
  <c r="Y106" i="8" s="1"/>
  <c r="Y108" i="8" s="1"/>
  <c r="AF102" i="8" l="1"/>
  <c r="AF106" i="8" s="1"/>
  <c r="AF108" i="8" s="1"/>
  <c r="AI87" i="8"/>
  <c r="Z102" i="8"/>
  <c r="Z106" i="8" s="1"/>
  <c r="Z108" i="8" s="1"/>
  <c r="AG102" i="8" l="1"/>
  <c r="AG106" i="8" s="1"/>
  <c r="AG108" i="8" s="1"/>
  <c r="AA102" i="8"/>
  <c r="AA106" i="8" s="1"/>
  <c r="AA108" i="8" s="1"/>
</calcChain>
</file>

<file path=xl/sharedStrings.xml><?xml version="1.0" encoding="utf-8"?>
<sst xmlns="http://schemas.openxmlformats.org/spreadsheetml/2006/main" count="308" uniqueCount="156">
  <si>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</si>
  <si>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</si>
  <si>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</si>
  <si>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</si>
  <si>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</si>
  <si>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</si>
  <si>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</si>
  <si>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</si>
  <si>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</si>
  <si>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</si>
  <si>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</si>
  <si>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</si>
  <si>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</si>
  <si>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</si>
  <si>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</si>
  <si>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</si>
  <si>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</si>
  <si>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</si>
  <si>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</si>
  <si>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</si>
  <si>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Common stock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</si>
  <si>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</si>
  <si>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</si>
  <si>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</si>
  <si>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</si>
  <si>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</si>
  <si>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</si>
  <si>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</si>
  <si>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</si>
  <si>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</si>
  <si>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</si>
  <si>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</si>
  <si>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</si>
  <si>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</si>
  <si>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</si>
  <si>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</si>
  <si>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</si>
  <si>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</si>
  <si>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</si>
  <si>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</si>
  <si>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</si>
  <si>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</si>
  <si>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</si>
  <si>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</si>
  <si>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</si>
  <si>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</si>
  <si>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</si>
  <si>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</si>
  <si>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</si>
  <si>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</si>
  <si>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</si>
  <si>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</si>
  <si>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</si>
  <si>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</si>
  <si>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</si>
  <si>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</si>
  <si>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</si>
  <si>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</si>
  <si>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</si>
  <si>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</si>
  <si>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</si>
  <si>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</si>
  <si>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</si>
  <si>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</si>
  <si>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</si>
  <si>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</si>
  <si>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</si>
  <si>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</si>
  <si>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</si>
  <si>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</si>
  <si>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</si>
  <si>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</si>
  <si>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</si>
  <si>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</si>
  <si>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</si>
  <si>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</si>
  <si>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</si>
  <si>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</si>
  <si>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</si>
  <si>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</si>
  <si>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</si>
  <si>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</si>
  <si>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</si>
  <si>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</si>
  <si>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</si>
  <si>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</si>
  <si>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</si>
  <si>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</si>
  <si>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NM</t>
  </si>
  <si>
    <t>Cash paid for interest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</si>
  <si>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</si>
  <si>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</si>
  <si>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</si>
  <si>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</si>
  <si>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</si>
  <si>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</si>
  <si>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</si>
  <si>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</si>
  <si>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</si>
  <si>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</si>
  <si>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</si>
  <si>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</si>
  <si>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Restricted Cash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</si>
  <si>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</si>
  <si>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</si>
  <si>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</si>
  <si>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</si>
  <si>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(+/-) Proceeds / (Purchases) of Equity, net</t>
  </si>
  <si>
    <t>(+/-) Other Financing Activities</t>
  </si>
  <si>
    <t>Research and development</t>
  </si>
  <si>
    <t>Cash and cash equivalents</t>
  </si>
  <si>
    <t>Additional paid-in capital</t>
  </si>
  <si>
    <t>Accumulated deficit</t>
  </si>
  <si>
    <t>Provision for taxes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</si>
  <si>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</si>
  <si>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</si>
  <si>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</si>
  <si>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</si>
  <si>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</si>
  <si>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</si>
  <si>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</si>
  <si>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</si>
  <si>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</si>
  <si>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</si>
  <si>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</si>
  <si>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</si>
  <si>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</si>
  <si>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</si>
  <si>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</si>
  <si>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</si>
  <si>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Supplemental disclosures of other cash flow information:</t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</si>
  <si>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</si>
  <si>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Revenue by Channel</t>
  </si>
  <si>
    <t>Anavex Life Sciences Corp. (AVXL)</t>
  </si>
  <si>
    <t>General and administrative</t>
  </si>
  <si>
    <t>Grant income</t>
  </si>
  <si>
    <t>Research and development incentive income</t>
  </si>
  <si>
    <t>Interest income (expense), net</t>
  </si>
  <si>
    <t>Other financing expense</t>
  </si>
  <si>
    <t>Foreign exchange gain (loss)</t>
  </si>
  <si>
    <t>Gain on settlement of accounts payable</t>
  </si>
  <si>
    <t xml:space="preserve"> </t>
  </si>
  <si>
    <t>Incentive and tax receivables</t>
  </si>
  <si>
    <t>Prepaid expenses and other current assets</t>
  </si>
  <si>
    <t xml:space="preserve">Accrued liabilities </t>
  </si>
  <si>
    <t xml:space="preserve">Deferred grant income </t>
  </si>
  <si>
    <t>Share proceeds receivable</t>
  </si>
  <si>
    <t>Non-cash financing related charges</t>
  </si>
  <si>
    <t>Share-based compensation</t>
  </si>
  <si>
    <t>Prepaid expenses and deposits</t>
  </si>
  <si>
    <t>Accrued liabilities</t>
  </si>
  <si>
    <t>Deferred grant income</t>
  </si>
  <si>
    <t>Issuance of common shares</t>
  </si>
  <si>
    <t>Share issue costs</t>
  </si>
  <si>
    <t>Proceeds from exercise of warrants</t>
  </si>
  <si>
    <t>Proceeds from exercise of stock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</si>
</sst>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2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  <font>
      <sz val="9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41" fontId="8" fillId="0" borderId="13" xfId="0" applyNumberFormat="1" applyFont="1" applyBorder="1" applyAlignment="1">
      <alignment horizontal="right" vertical="top" wrapText="1"/>
    </xf>
    <xf numFmtId="0" fontId="4" fillId="0" borderId="13" xfId="0" applyFont="1" applyBorder="1"/>
    <xf numFmtId="0" fontId="21" fillId="0" borderId="14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9" fillId="2" borderId="0" xfId="0" applyFont="1" applyFill="1" applyAlignment="1">
      <alignment horizontal="center" vertical="center" wrapText="1"/>
    </xf>
    <xf numFmtId="41" fontId="31" fillId="0" borderId="0" xfId="0" applyNumberFormat="1" applyFont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I127"/>
  <sheetViews>
    <sheetView showGridLines="0" tabSelected="1" zoomScale="115" zoomScaleNormal="115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6" width="9.125" style="5" bestFit="1" customWidth="1"/>
    <col min="7" max="7" width="1.5" style="5" customWidth="1"/>
    <col min="8" max="10" width="7.875" style="5" customWidth="1" outlineLevel="1"/>
    <col min="11" max="11" width="8.625" style="5" customWidth="1" outlineLevel="1"/>
    <col min="12" max="14" width="7.875" style="5" customWidth="1" outlineLevel="1"/>
    <col min="15" max="15" width="8.625" style="5" customWidth="1" outlineLevel="1"/>
    <col min="16" max="17" width="7.875" style="5" customWidth="1" outlineLevel="1"/>
    <col min="18" max="18" width="7.875" style="5" customWidth="1"/>
    <col min="19" max="19" width="8.625" style="5" customWidth="1"/>
    <col min="20" max="21" width="8" style="5" customWidth="1"/>
    <col min="22" max="22" width="1.5" style="5" customWidth="1"/>
    <col min="23" max="23" width="8.625" style="5" hidden="1" customWidth="1" outlineLevel="1"/>
    <col min="24" max="26" width="8" style="5" hidden="1" customWidth="1" outlineLevel="1"/>
    <col min="27" max="27" width="8.625" style="5" hidden="1" customWidth="1" outlineLevel="1"/>
    <col min="28" max="28" width="8.25" style="5" hidden="1" customWidth="1" outlineLevel="1"/>
    <col min="29" max="29" width="8.25" style="5" bestFit="1" customWidth="1" collapsed="1"/>
    <col min="30" max="30" width="8.25" style="5" hidden="1" customWidth="1" outlineLevel="1"/>
    <col min="31" max="31" width="8.625" style="5" hidden="1" customWidth="1" outlineLevel="1"/>
    <col min="32" max="32" width="8.25" style="5" hidden="1" customWidth="1" outlineLevel="1"/>
    <col min="33" max="33" width="8.625" style="5" bestFit="1" customWidth="1" collapsed="1"/>
    <col min="34" max="34" width="1.25" style="5" customWidth="1"/>
    <col min="35" max="35" width="10.5" style="5" bestFit="1" customWidth="1"/>
    <col min="36" max="36" width="1.375" style="5" customWidth="1"/>
    <col min="37" max="16384" width="9" style="5"/>
  </cols>
  <sheetData>
    <row r="2" spans="1:35" ht="12.75" customHeight="1">
      <c r="B2" s="1" t="s">
        <v>133</v>
      </c>
      <c r="C2" s="90"/>
      <c r="D2" s="90"/>
      <c r="E2" s="90"/>
      <c r="F2" s="90"/>
      <c r="G2" s="3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3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3"/>
      <c r="AI2" s="1"/>
    </row>
    <row r="3" spans="1:35" ht="12.75" customHeight="1">
      <c r="B3" s="6" t="s">
        <v>96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3"/>
      <c r="AI3" s="1"/>
    </row>
    <row r="4" spans="1:35" ht="12.75" customHeight="1">
      <c r="B4" s="6" t="s">
        <v>129</v>
      </c>
      <c r="C4" s="3"/>
      <c r="D4" s="3"/>
      <c r="E4" s="8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</row>
    <row r="6" spans="1:35" ht="12.75" customHeight="1">
      <c r="A6" s="5" t="s">
        <v>19</v>
      </c>
      <c r="B6" s="1" t="s">
        <v>94</v>
      </c>
      <c r="C6" s="2" t="s">
        <v>0</v>
      </c>
      <c r="D6" s="2"/>
      <c r="E6" s="2"/>
      <c r="F6" s="2"/>
      <c r="G6" s="3"/>
      <c r="H6" s="2" t="s">
        <v>1</v>
      </c>
      <c r="I6" s="2"/>
      <c r="J6" s="2"/>
      <c r="K6" s="2"/>
      <c r="L6" s="2"/>
      <c r="M6" s="2"/>
      <c r="N6" s="2"/>
      <c r="O6" s="2"/>
      <c r="P6" s="2"/>
      <c r="Q6" s="2"/>
      <c r="R6" s="2" t="s">
        <v>1</v>
      </c>
      <c r="S6" s="2"/>
      <c r="T6" s="2"/>
      <c r="U6" s="2"/>
      <c r="V6" s="3"/>
      <c r="W6" s="2"/>
      <c r="X6" s="2"/>
      <c r="Y6" s="2"/>
      <c r="Z6" s="2"/>
      <c r="AA6" s="2"/>
      <c r="AB6" s="2"/>
      <c r="AC6" s="2" t="s">
        <v>10</v>
      </c>
      <c r="AD6" s="2"/>
      <c r="AE6" s="2"/>
      <c r="AF6" s="2"/>
      <c r="AG6" s="2"/>
      <c r="AH6" s="36"/>
      <c r="AI6" s="140" t="s">
        <v>24</v>
      </c>
    </row>
    <row r="7" spans="1:35" ht="12.75" customHeight="1">
      <c r="B7" s="6" t="s">
        <v>97</v>
      </c>
      <c r="C7" s="7">
        <v>2021</v>
      </c>
      <c r="D7" s="7">
        <v>2022</v>
      </c>
      <c r="E7" s="7">
        <v>2023</v>
      </c>
      <c r="F7" s="7">
        <v>2024</v>
      </c>
      <c r="G7" s="3"/>
      <c r="H7" s="4" t="s">
        <v>26</v>
      </c>
      <c r="I7" s="4" t="s">
        <v>27</v>
      </c>
      <c r="J7" s="4" t="s">
        <v>28</v>
      </c>
      <c r="K7" s="4" t="s">
        <v>29</v>
      </c>
      <c r="L7" s="4" t="s">
        <v>6</v>
      </c>
      <c r="M7" s="4" t="s">
        <v>7</v>
      </c>
      <c r="N7" s="4" t="s">
        <v>8</v>
      </c>
      <c r="O7" s="4" t="s">
        <v>9</v>
      </c>
      <c r="P7" s="4" t="s">
        <v>2</v>
      </c>
      <c r="Q7" s="4" t="s">
        <v>3</v>
      </c>
      <c r="R7" s="4" t="s">
        <v>4</v>
      </c>
      <c r="S7" s="4" t="s">
        <v>5</v>
      </c>
      <c r="T7" s="4" t="s">
        <v>30</v>
      </c>
      <c r="U7" s="4" t="s">
        <v>31</v>
      </c>
      <c r="V7" s="4"/>
      <c r="W7" s="4" t="str">
        <f t="shared" ref="W7:AF8" si="0">K7</f>
        <v>4Q22</v>
      </c>
      <c r="X7" s="4" t="str">
        <f t="shared" si="0"/>
        <v>1Q23</v>
      </c>
      <c r="Y7" s="4" t="str">
        <f t="shared" si="0"/>
        <v>2Q23</v>
      </c>
      <c r="Z7" s="4" t="str">
        <f t="shared" si="0"/>
        <v>3Q23</v>
      </c>
      <c r="AA7" s="4" t="str">
        <f t="shared" si="0"/>
        <v>4Q23</v>
      </c>
      <c r="AB7" s="4" t="str">
        <f t="shared" si="0"/>
        <v>1Q24</v>
      </c>
      <c r="AC7" s="4" t="str">
        <f t="shared" si="0"/>
        <v>2Q24</v>
      </c>
      <c r="AD7" s="4" t="str">
        <f t="shared" si="0"/>
        <v>3Q24</v>
      </c>
      <c r="AE7" s="4" t="str">
        <f t="shared" si="0"/>
        <v>4Q24</v>
      </c>
      <c r="AF7" s="4" t="str">
        <f t="shared" si="0"/>
        <v>1Q25</v>
      </c>
      <c r="AG7" s="4" t="str">
        <f>U7</f>
        <v>2Q25</v>
      </c>
      <c r="AH7" s="36"/>
      <c r="AI7" s="140"/>
    </row>
    <row r="8" spans="1:35" ht="12.75" customHeight="1">
      <c r="B8" s="6" t="s">
        <v>98</v>
      </c>
      <c r="C8" s="3">
        <v>44561</v>
      </c>
      <c r="D8" s="3">
        <v>44926</v>
      </c>
      <c r="E8" s="80">
        <v>45291</v>
      </c>
      <c r="F8" s="3">
        <v>45657</v>
      </c>
      <c r="G8" s="3"/>
      <c r="H8" s="3">
        <v>44651</v>
      </c>
      <c r="I8" s="3">
        <v>44742</v>
      </c>
      <c r="J8" s="3">
        <v>44834</v>
      </c>
      <c r="K8" s="3">
        <v>44926</v>
      </c>
      <c r="L8" s="3">
        <v>45016</v>
      </c>
      <c r="M8" s="3">
        <v>45107</v>
      </c>
      <c r="N8" s="3">
        <v>45199</v>
      </c>
      <c r="O8" s="3">
        <v>45291</v>
      </c>
      <c r="P8" s="3">
        <v>45382</v>
      </c>
      <c r="Q8" s="3">
        <v>45473</v>
      </c>
      <c r="R8" s="3">
        <v>45565</v>
      </c>
      <c r="S8" s="3">
        <v>45657</v>
      </c>
      <c r="T8" s="3">
        <v>45747</v>
      </c>
      <c r="U8" s="3">
        <v>45838</v>
      </c>
      <c r="V8" s="3"/>
      <c r="W8" s="3">
        <f t="shared" si="0"/>
        <v>44926</v>
      </c>
      <c r="X8" s="3">
        <f t="shared" si="0"/>
        <v>45016</v>
      </c>
      <c r="Y8" s="3">
        <f t="shared" si="0"/>
        <v>45107</v>
      </c>
      <c r="Z8" s="3">
        <f t="shared" si="0"/>
        <v>45199</v>
      </c>
      <c r="AA8" s="3">
        <f t="shared" si="0"/>
        <v>45291</v>
      </c>
      <c r="AB8" s="3">
        <f t="shared" si="0"/>
        <v>45382</v>
      </c>
      <c r="AC8" s="3">
        <f t="shared" si="0"/>
        <v>45473</v>
      </c>
      <c r="AD8" s="3">
        <f t="shared" si="0"/>
        <v>45565</v>
      </c>
      <c r="AE8" s="3">
        <f t="shared" si="0"/>
        <v>45657</v>
      </c>
      <c r="AF8" s="3">
        <f t="shared" si="0"/>
        <v>45747</v>
      </c>
      <c r="AG8" s="3">
        <f>U8</f>
        <v>45838</v>
      </c>
      <c r="AH8" s="36"/>
      <c r="AI8" s="140"/>
    </row>
    <row r="9" spans="1:35" ht="5.0999999999999996" customHeight="1">
      <c r="AI9" s="89"/>
    </row>
    <row r="10" spans="1:35" ht="12.75" customHeight="1">
      <c r="B10" s="9" t="s">
        <v>74</v>
      </c>
      <c r="C10" s="78">
        <v>0</v>
      </c>
      <c r="D10" s="78">
        <v>0</v>
      </c>
      <c r="E10" s="78">
        <v>0</v>
      </c>
      <c r="F10" s="78">
        <v>0</v>
      </c>
      <c r="G10" s="11"/>
      <c r="H10" s="78">
        <v>0</v>
      </c>
      <c r="I10" s="78">
        <v>0</v>
      </c>
      <c r="J10" s="78">
        <v>0</v>
      </c>
      <c r="K10" s="30">
        <f>SUM(D10-SUM(H10:J10))</f>
        <v>0</v>
      </c>
      <c r="L10" s="78">
        <v>0</v>
      </c>
      <c r="M10" s="78">
        <v>0</v>
      </c>
      <c r="N10" s="78">
        <v>0</v>
      </c>
      <c r="O10" s="30">
        <f>SUM(E10-SUM(L10:N10))</f>
        <v>0</v>
      </c>
      <c r="P10" s="78">
        <v>0</v>
      </c>
      <c r="Q10" s="78">
        <v>0</v>
      </c>
      <c r="R10" s="78">
        <v>0</v>
      </c>
      <c r="S10" s="30">
        <f>SUM(F10-SUM(P10:R10))</f>
        <v>0</v>
      </c>
      <c r="T10" s="85"/>
      <c r="U10" s="85"/>
      <c r="V10" s="30"/>
      <c r="W10" s="30">
        <f t="shared" ref="W10:AF10" si="1">SUM(H10:K10)</f>
        <v>0</v>
      </c>
      <c r="X10" s="30">
        <f t="shared" si="1"/>
        <v>0</v>
      </c>
      <c r="Y10" s="30">
        <f t="shared" si="1"/>
        <v>0</v>
      </c>
      <c r="Z10" s="30">
        <f t="shared" si="1"/>
        <v>0</v>
      </c>
      <c r="AA10" s="30">
        <f t="shared" si="1"/>
        <v>0</v>
      </c>
      <c r="AB10" s="30">
        <f t="shared" si="1"/>
        <v>0</v>
      </c>
      <c r="AC10" s="30">
        <f t="shared" si="1"/>
        <v>0</v>
      </c>
      <c r="AD10" s="30">
        <f t="shared" si="1"/>
        <v>0</v>
      </c>
      <c r="AE10" s="30">
        <f t="shared" si="1"/>
        <v>0</v>
      </c>
      <c r="AF10" s="30">
        <f t="shared" si="1"/>
        <v>0</v>
      </c>
      <c r="AG10" s="30">
        <f>SUM(R10:U10)</f>
        <v>0</v>
      </c>
      <c r="AH10" s="38"/>
      <c r="AI10" s="69" t="e">
        <f>SUM(AG10/AC10)-1</f>
        <v>#DIV/0!</v>
      </c>
    </row>
    <row r="11" spans="1:35" ht="12.75" customHeight="1">
      <c r="B11" s="12" t="s">
        <v>12</v>
      </c>
      <c r="C11" s="13">
        <f t="shared" ref="C11" si="2">+SUM(C10:C10)</f>
        <v>0</v>
      </c>
      <c r="D11" s="13">
        <f t="shared" ref="D11:F11" si="3">+SUM(D10:D10)</f>
        <v>0</v>
      </c>
      <c r="E11" s="13">
        <f t="shared" si="3"/>
        <v>0</v>
      </c>
      <c r="F11" s="13">
        <f t="shared" si="3"/>
        <v>0</v>
      </c>
      <c r="G11" s="11"/>
      <c r="H11" s="13">
        <f t="shared" ref="H11:U11" si="4">+SUM(H10:H10)</f>
        <v>0</v>
      </c>
      <c r="I11" s="13">
        <f t="shared" si="4"/>
        <v>0</v>
      </c>
      <c r="J11" s="13">
        <f t="shared" si="4"/>
        <v>0</v>
      </c>
      <c r="K11" s="13">
        <f t="shared" si="4"/>
        <v>0</v>
      </c>
      <c r="L11" s="13">
        <f t="shared" si="4"/>
        <v>0</v>
      </c>
      <c r="M11" s="13">
        <f t="shared" si="4"/>
        <v>0</v>
      </c>
      <c r="N11" s="13">
        <f t="shared" si="4"/>
        <v>0</v>
      </c>
      <c r="O11" s="13">
        <f t="shared" si="4"/>
        <v>0</v>
      </c>
      <c r="P11" s="13">
        <f t="shared" si="4"/>
        <v>0</v>
      </c>
      <c r="Q11" s="13">
        <f t="shared" si="4"/>
        <v>0</v>
      </c>
      <c r="R11" s="13">
        <f t="shared" si="4"/>
        <v>0</v>
      </c>
      <c r="S11" s="13">
        <f t="shared" si="4"/>
        <v>0</v>
      </c>
      <c r="T11" s="13">
        <f t="shared" si="4"/>
        <v>0</v>
      </c>
      <c r="U11" s="13">
        <f t="shared" si="4"/>
        <v>0</v>
      </c>
      <c r="W11" s="13">
        <f t="shared" ref="W11:AG11" si="5">+SUM(W10:W10)</f>
        <v>0</v>
      </c>
      <c r="X11" s="13">
        <f t="shared" si="5"/>
        <v>0</v>
      </c>
      <c r="Y11" s="13">
        <f t="shared" si="5"/>
        <v>0</v>
      </c>
      <c r="Z11" s="13">
        <f t="shared" si="5"/>
        <v>0</v>
      </c>
      <c r="AA11" s="13">
        <f t="shared" si="5"/>
        <v>0</v>
      </c>
      <c r="AB11" s="13">
        <f t="shared" si="5"/>
        <v>0</v>
      </c>
      <c r="AC11" s="13">
        <f t="shared" si="5"/>
        <v>0</v>
      </c>
      <c r="AD11" s="13">
        <f t="shared" si="5"/>
        <v>0</v>
      </c>
      <c r="AE11" s="13">
        <f t="shared" si="5"/>
        <v>0</v>
      </c>
      <c r="AF11" s="13">
        <f t="shared" si="5"/>
        <v>0</v>
      </c>
      <c r="AG11" s="13">
        <f t="shared" si="5"/>
        <v>0</v>
      </c>
      <c r="AH11" s="38"/>
      <c r="AI11" s="70" t="e">
        <f t="shared" ref="AI11:AI32" si="6">SUM(AG11/AC11)-1</f>
        <v>#DIV/0!</v>
      </c>
    </row>
    <row r="12" spans="1:35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AI12" s="69"/>
    </row>
    <row r="13" spans="1:35" ht="12.75" customHeight="1">
      <c r="B13" s="9" t="s">
        <v>13</v>
      </c>
      <c r="C13" s="78">
        <v>0</v>
      </c>
      <c r="D13" s="78">
        <v>0</v>
      </c>
      <c r="E13" s="78">
        <v>0</v>
      </c>
      <c r="F13" s="78">
        <v>0</v>
      </c>
      <c r="G13" s="22"/>
      <c r="H13" s="78"/>
      <c r="I13" s="78"/>
      <c r="J13" s="78"/>
      <c r="K13" s="30">
        <f>SUM(D13-SUM(H13:J13))</f>
        <v>0</v>
      </c>
      <c r="L13" s="85"/>
      <c r="M13" s="85"/>
      <c r="N13" s="85"/>
      <c r="O13" s="30">
        <f>SUM(E13-SUM(L13:N13))</f>
        <v>0</v>
      </c>
      <c r="P13" s="78"/>
      <c r="Q13" s="78"/>
      <c r="R13" s="78"/>
      <c r="S13" s="30">
        <f>SUM(F13-SUM(P13:R13))</f>
        <v>0</v>
      </c>
      <c r="T13" s="78"/>
      <c r="U13" s="78"/>
      <c r="W13" s="30">
        <f t="shared" ref="W13:AB13" si="7">SUM(I13:L13)</f>
        <v>0</v>
      </c>
      <c r="X13" s="30">
        <f t="shared" si="7"/>
        <v>0</v>
      </c>
      <c r="Y13" s="30">
        <f t="shared" si="7"/>
        <v>0</v>
      </c>
      <c r="Z13" s="30">
        <f t="shared" si="7"/>
        <v>0</v>
      </c>
      <c r="AA13" s="30">
        <f t="shared" si="7"/>
        <v>0</v>
      </c>
      <c r="AB13" s="30">
        <f t="shared" si="7"/>
        <v>0</v>
      </c>
      <c r="AC13" s="30">
        <f t="shared" ref="AC13" si="8">SUM(N13:Q13)</f>
        <v>0</v>
      </c>
      <c r="AD13" s="30">
        <f t="shared" ref="AD13" si="9">SUM(O13:R13)</f>
        <v>0</v>
      </c>
      <c r="AE13" s="30">
        <f t="shared" ref="AE13" si="10">SUM(P13:S13)</f>
        <v>0</v>
      </c>
      <c r="AF13" s="30">
        <f t="shared" ref="AF13" si="11">SUM(Q13:T13)</f>
        <v>0</v>
      </c>
      <c r="AG13" s="30">
        <f>SUM(R13:U13)</f>
        <v>0</v>
      </c>
      <c r="AH13" s="11"/>
      <c r="AI13" s="69" t="e">
        <f t="shared" si="6"/>
        <v>#DIV/0!</v>
      </c>
    </row>
    <row r="14" spans="1:35" ht="12.75" customHeight="1">
      <c r="B14" s="23" t="s">
        <v>22</v>
      </c>
      <c r="C14" s="24">
        <f t="shared" ref="C14" si="12">+SUM(C11+SUM(C13:C13))</f>
        <v>0</v>
      </c>
      <c r="D14" s="24">
        <f t="shared" ref="D14:F14" si="13">+SUM(D11+SUM(D13:D13))</f>
        <v>0</v>
      </c>
      <c r="E14" s="24">
        <f t="shared" si="13"/>
        <v>0</v>
      </c>
      <c r="F14" s="24">
        <f t="shared" si="13"/>
        <v>0</v>
      </c>
      <c r="H14" s="24">
        <f t="shared" ref="H14:U14" si="14">+SUM(H11+SUM(H13:H13))</f>
        <v>0</v>
      </c>
      <c r="I14" s="24">
        <f t="shared" si="14"/>
        <v>0</v>
      </c>
      <c r="J14" s="24">
        <f t="shared" si="14"/>
        <v>0</v>
      </c>
      <c r="K14" s="24">
        <f t="shared" si="14"/>
        <v>0</v>
      </c>
      <c r="L14" s="24">
        <f t="shared" si="14"/>
        <v>0</v>
      </c>
      <c r="M14" s="24">
        <f t="shared" si="14"/>
        <v>0</v>
      </c>
      <c r="N14" s="24">
        <f t="shared" si="14"/>
        <v>0</v>
      </c>
      <c r="O14" s="24">
        <f t="shared" si="14"/>
        <v>0</v>
      </c>
      <c r="P14" s="24">
        <f t="shared" si="14"/>
        <v>0</v>
      </c>
      <c r="Q14" s="24">
        <f t="shared" si="14"/>
        <v>0</v>
      </c>
      <c r="R14" s="24">
        <f t="shared" si="14"/>
        <v>0</v>
      </c>
      <c r="S14" s="24">
        <f t="shared" si="14"/>
        <v>0</v>
      </c>
      <c r="T14" s="24">
        <f t="shared" si="14"/>
        <v>0</v>
      </c>
      <c r="U14" s="24">
        <f t="shared" si="14"/>
        <v>0</v>
      </c>
      <c r="W14" s="24">
        <f t="shared" ref="W14:AG14" si="15">+SUM(W11+SUM(W13:W13))</f>
        <v>0</v>
      </c>
      <c r="X14" s="24">
        <f t="shared" si="15"/>
        <v>0</v>
      </c>
      <c r="Y14" s="24">
        <f t="shared" si="15"/>
        <v>0</v>
      </c>
      <c r="Z14" s="24">
        <f t="shared" si="15"/>
        <v>0</v>
      </c>
      <c r="AA14" s="24">
        <f t="shared" si="15"/>
        <v>0</v>
      </c>
      <c r="AB14" s="24">
        <f t="shared" si="15"/>
        <v>0</v>
      </c>
      <c r="AC14" s="24">
        <f t="shared" si="15"/>
        <v>0</v>
      </c>
      <c r="AD14" s="24">
        <f t="shared" si="15"/>
        <v>0</v>
      </c>
      <c r="AE14" s="24">
        <f t="shared" si="15"/>
        <v>0</v>
      </c>
      <c r="AF14" s="24">
        <f t="shared" si="15"/>
        <v>0</v>
      </c>
      <c r="AG14" s="24">
        <f t="shared" si="15"/>
        <v>0</v>
      </c>
      <c r="AH14" s="40"/>
      <c r="AI14" s="70" t="e">
        <f t="shared" si="6"/>
        <v>#DIV/0!</v>
      </c>
    </row>
    <row r="15" spans="1:35" ht="12.75" customHeight="1">
      <c r="B15" s="14" t="s">
        <v>36</v>
      </c>
      <c r="C15" s="15" t="e">
        <f t="shared" ref="C15" si="16">C14/C11</f>
        <v>#DIV/0!</v>
      </c>
      <c r="D15" s="15" t="e">
        <f t="shared" ref="D15:F15" si="17">D14/D11</f>
        <v>#DIV/0!</v>
      </c>
      <c r="E15" s="15" t="e">
        <f t="shared" si="17"/>
        <v>#DIV/0!</v>
      </c>
      <c r="F15" s="15" t="e">
        <f t="shared" si="17"/>
        <v>#DIV/0!</v>
      </c>
      <c r="G15" s="25"/>
      <c r="H15" s="15" t="e">
        <f t="shared" ref="H15:U15" si="18">H14/H11</f>
        <v>#DIV/0!</v>
      </c>
      <c r="I15" s="15" t="e">
        <f t="shared" si="18"/>
        <v>#DIV/0!</v>
      </c>
      <c r="J15" s="15" t="e">
        <f t="shared" si="18"/>
        <v>#DIV/0!</v>
      </c>
      <c r="K15" s="15" t="e">
        <f t="shared" si="18"/>
        <v>#DIV/0!</v>
      </c>
      <c r="L15" s="15" t="e">
        <f t="shared" si="18"/>
        <v>#DIV/0!</v>
      </c>
      <c r="M15" s="15" t="e">
        <f t="shared" si="18"/>
        <v>#DIV/0!</v>
      </c>
      <c r="N15" s="15" t="e">
        <f t="shared" si="18"/>
        <v>#DIV/0!</v>
      </c>
      <c r="O15" s="15" t="e">
        <f t="shared" si="18"/>
        <v>#DIV/0!</v>
      </c>
      <c r="P15" s="15" t="e">
        <f t="shared" si="18"/>
        <v>#DIV/0!</v>
      </c>
      <c r="Q15" s="15" t="e">
        <f t="shared" si="18"/>
        <v>#DIV/0!</v>
      </c>
      <c r="R15" s="15" t="e">
        <f t="shared" si="18"/>
        <v>#DIV/0!</v>
      </c>
      <c r="S15" s="15" t="e">
        <f t="shared" si="18"/>
        <v>#DIV/0!</v>
      </c>
      <c r="T15" s="15" t="e">
        <f t="shared" si="18"/>
        <v>#DIV/0!</v>
      </c>
      <c r="U15" s="15" t="e">
        <f t="shared" si="18"/>
        <v>#DIV/0!</v>
      </c>
      <c r="V15" s="26"/>
      <c r="W15" s="15" t="e">
        <f t="shared" ref="W15:AG15" si="19">W14/W11</f>
        <v>#DIV/0!</v>
      </c>
      <c r="X15" s="15" t="e">
        <f t="shared" si="19"/>
        <v>#DIV/0!</v>
      </c>
      <c r="Y15" s="15" t="e">
        <f t="shared" si="19"/>
        <v>#DIV/0!</v>
      </c>
      <c r="Z15" s="15" t="e">
        <f t="shared" si="19"/>
        <v>#DIV/0!</v>
      </c>
      <c r="AA15" s="15" t="e">
        <f t="shared" si="19"/>
        <v>#DIV/0!</v>
      </c>
      <c r="AB15" s="15" t="e">
        <f t="shared" si="19"/>
        <v>#DIV/0!</v>
      </c>
      <c r="AC15" s="15" t="e">
        <f t="shared" si="19"/>
        <v>#DIV/0!</v>
      </c>
      <c r="AD15" s="15" t="e">
        <f t="shared" si="19"/>
        <v>#DIV/0!</v>
      </c>
      <c r="AE15" s="15" t="e">
        <f t="shared" si="19"/>
        <v>#DIV/0!</v>
      </c>
      <c r="AF15" s="15" t="e">
        <f t="shared" si="19"/>
        <v>#DIV/0!</v>
      </c>
      <c r="AG15" s="15" t="e">
        <f t="shared" si="19"/>
        <v>#DIV/0!</v>
      </c>
      <c r="AH15" s="40"/>
      <c r="AI15" s="71" t="e">
        <f>SUM(AG15-AC15)*1000</f>
        <v>#DIV/0!</v>
      </c>
    </row>
    <row r="16" spans="1:35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40"/>
      <c r="AI16" s="69"/>
    </row>
    <row r="17" spans="2:35" ht="12.75" customHeight="1">
      <c r="B17" s="9" t="s">
        <v>134</v>
      </c>
      <c r="C17" s="78">
        <v>-9018</v>
      </c>
      <c r="D17" s="78">
        <v>-13070</v>
      </c>
      <c r="E17" s="78">
        <v>-12039</v>
      </c>
      <c r="F17" s="78">
        <v>-11039</v>
      </c>
      <c r="G17" s="30"/>
      <c r="H17" s="78">
        <v>-3066.951</v>
      </c>
      <c r="I17" s="78">
        <v>-2915.1579999999999</v>
      </c>
      <c r="J17" s="78">
        <v>-3185.451</v>
      </c>
      <c r="K17" s="30">
        <f t="shared" ref="K17:K18" si="20">SUM(D17-SUM(H17:J17))</f>
        <v>-3902.4399999999987</v>
      </c>
      <c r="L17" s="78">
        <v>-3317.0360000000001</v>
      </c>
      <c r="M17" s="78">
        <v>-2882.5680000000002</v>
      </c>
      <c r="N17" s="78">
        <v>-3247.8429999999998</v>
      </c>
      <c r="O17" s="30">
        <f>SUM(E17-SUM(L17:N17))</f>
        <v>-2591.5529999999999</v>
      </c>
      <c r="P17" s="78">
        <v>-2609</v>
      </c>
      <c r="Q17" s="78">
        <v>-2790</v>
      </c>
      <c r="R17" s="78">
        <v>-2859</v>
      </c>
      <c r="S17" s="30">
        <f t="shared" ref="S17:S18" si="21">SUM(F17-SUM(P17:R17))</f>
        <v>-2781</v>
      </c>
      <c r="T17" s="78"/>
      <c r="U17" s="78"/>
      <c r="W17" s="30">
        <f t="shared" ref="W17:AB18" si="22">SUM(I17:L17)</f>
        <v>-13320.084999999999</v>
      </c>
      <c r="X17" s="30">
        <f t="shared" si="22"/>
        <v>-13287.494999999999</v>
      </c>
      <c r="Y17" s="30">
        <f t="shared" si="22"/>
        <v>-13349.886999999999</v>
      </c>
      <c r="Z17" s="30">
        <f t="shared" si="22"/>
        <v>-12039</v>
      </c>
      <c r="AA17" s="30">
        <f t="shared" si="22"/>
        <v>-11330.964</v>
      </c>
      <c r="AB17" s="30">
        <f t="shared" si="22"/>
        <v>-11238.396000000001</v>
      </c>
      <c r="AC17" s="30">
        <f t="shared" ref="AC17:AC18" si="23">SUM(N17:Q17)</f>
        <v>-11238.396000000001</v>
      </c>
      <c r="AD17" s="30">
        <f t="shared" ref="AD17:AD18" si="24">SUM(O17:R17)</f>
        <v>-10849.553</v>
      </c>
      <c r="AE17" s="30">
        <f t="shared" ref="AE17:AE18" si="25">SUM(P17:S17)</f>
        <v>-11039</v>
      </c>
      <c r="AF17" s="30">
        <f t="shared" ref="AF17:AF18" si="26">SUM(Q17:T17)</f>
        <v>-8430</v>
      </c>
      <c r="AG17" s="30">
        <f t="shared" ref="AG17:AG18" si="27">SUM(R17:U17)</f>
        <v>-5640</v>
      </c>
      <c r="AH17" s="11"/>
      <c r="AI17" s="69">
        <f t="shared" si="6"/>
        <v>-0.49814902411340556</v>
      </c>
    </row>
    <row r="18" spans="2:35" ht="12.75" customHeight="1">
      <c r="B18" s="9" t="s">
        <v>109</v>
      </c>
      <c r="C18" s="78">
        <v>-32984</v>
      </c>
      <c r="D18" s="78">
        <v>-37916</v>
      </c>
      <c r="E18" s="78">
        <v>-43717</v>
      </c>
      <c r="F18" s="78">
        <v>-41838</v>
      </c>
      <c r="G18" s="30"/>
      <c r="H18" s="78">
        <v>-8656.4390000000003</v>
      </c>
      <c r="I18" s="78">
        <v>-8604.5889999999999</v>
      </c>
      <c r="J18" s="78">
        <v>-9273.2690000000002</v>
      </c>
      <c r="K18" s="30">
        <f t="shared" si="20"/>
        <v>-11381.703000000001</v>
      </c>
      <c r="L18" s="78">
        <v>-12066.919</v>
      </c>
      <c r="M18" s="78">
        <v>-11306.591</v>
      </c>
      <c r="N18" s="78">
        <v>-10282.853999999999</v>
      </c>
      <c r="O18" s="30">
        <f>SUM(E18-SUM(L18:N18))</f>
        <v>-10060.635999999999</v>
      </c>
      <c r="P18" s="78">
        <v>-8684</v>
      </c>
      <c r="Q18" s="78">
        <v>-9729</v>
      </c>
      <c r="R18" s="78">
        <v>-11870</v>
      </c>
      <c r="S18" s="30">
        <f t="shared" si="21"/>
        <v>-11555</v>
      </c>
      <c r="T18" s="78"/>
      <c r="U18" s="78"/>
      <c r="W18" s="30">
        <f t="shared" si="22"/>
        <v>-41326.480000000003</v>
      </c>
      <c r="X18" s="30">
        <f t="shared" si="22"/>
        <v>-44028.482000000004</v>
      </c>
      <c r="Y18" s="30">
        <f t="shared" si="22"/>
        <v>-45038.067000000003</v>
      </c>
      <c r="Z18" s="30">
        <f t="shared" si="22"/>
        <v>-43717</v>
      </c>
      <c r="AA18" s="30">
        <f t="shared" si="22"/>
        <v>-40334.080999999998</v>
      </c>
      <c r="AB18" s="30">
        <f t="shared" si="22"/>
        <v>-38756.49</v>
      </c>
      <c r="AC18" s="30">
        <f t="shared" si="23"/>
        <v>-38756.49</v>
      </c>
      <c r="AD18" s="30">
        <f t="shared" si="24"/>
        <v>-40343.635999999999</v>
      </c>
      <c r="AE18" s="30">
        <f t="shared" si="25"/>
        <v>-41838</v>
      </c>
      <c r="AF18" s="30">
        <f t="shared" si="26"/>
        <v>-33154</v>
      </c>
      <c r="AG18" s="30">
        <f t="shared" si="27"/>
        <v>-23425</v>
      </c>
      <c r="AH18" s="11"/>
      <c r="AI18" s="69">
        <f t="shared" si="6"/>
        <v>-0.39558510071474473</v>
      </c>
    </row>
    <row r="19" spans="2:35" ht="12.75" customHeight="1">
      <c r="B19" s="23" t="s">
        <v>99</v>
      </c>
      <c r="C19" s="24">
        <f>+SUM(C14+SUM(C17:C18))</f>
        <v>-42002</v>
      </c>
      <c r="D19" s="24">
        <f>+SUM(D14+SUM(D17:D18))</f>
        <v>-50986</v>
      </c>
      <c r="E19" s="24">
        <f>+SUM(E14+SUM(E17:E18))</f>
        <v>-55756</v>
      </c>
      <c r="F19" s="24">
        <f>+SUM(F14+SUM(F17:F18))</f>
        <v>-52877</v>
      </c>
      <c r="G19" s="30"/>
      <c r="H19" s="24">
        <f>+SUM(H14+SUM(H17:H18))</f>
        <v>-11723.39</v>
      </c>
      <c r="I19" s="24">
        <f>+SUM(I14+SUM(I17:I18))</f>
        <v>-11519.746999999999</v>
      </c>
      <c r="J19" s="24">
        <f>+SUM(J14+SUM(J17:J18))</f>
        <v>-12458.720000000001</v>
      </c>
      <c r="K19" s="24">
        <f>+SUM(K14+SUM(K17:K18))</f>
        <v>-15284.143</v>
      </c>
      <c r="L19" s="24">
        <f>+SUM(L14+SUM(L17:L18))</f>
        <v>-15383.955</v>
      </c>
      <c r="M19" s="24">
        <f>+SUM(M14+SUM(M17:M18))</f>
        <v>-14189.159</v>
      </c>
      <c r="N19" s="24">
        <f>+SUM(N14+SUM(N17:N18))</f>
        <v>-13530.697</v>
      </c>
      <c r="O19" s="24">
        <f>+SUM(O14+SUM(O17:O18))</f>
        <v>-12652.188999999998</v>
      </c>
      <c r="P19" s="24">
        <f>+SUM(P14+SUM(P17:P18))</f>
        <v>-11293</v>
      </c>
      <c r="Q19" s="24">
        <f>+SUM(Q14+SUM(Q17:Q18))</f>
        <v>-12519</v>
      </c>
      <c r="R19" s="24">
        <f>+SUM(R14+SUM(R17:R18))</f>
        <v>-14729</v>
      </c>
      <c r="S19" s="24">
        <f>+SUM(S14+SUM(S17:S18))</f>
        <v>-14336</v>
      </c>
      <c r="T19" s="24">
        <f>+SUM(T14+SUM(T17:T18))</f>
        <v>0</v>
      </c>
      <c r="U19" s="24">
        <f>+SUM(U14+SUM(U17:U18))</f>
        <v>0</v>
      </c>
      <c r="W19" s="24">
        <f>+SUM(W14+SUM(W17:W18))</f>
        <v>-54646.565000000002</v>
      </c>
      <c r="X19" s="24">
        <f>+SUM(X14+SUM(X17:X18))</f>
        <v>-57315.976999999999</v>
      </c>
      <c r="Y19" s="24">
        <f>+SUM(Y14+SUM(Y17:Y18))</f>
        <v>-58387.953999999998</v>
      </c>
      <c r="Z19" s="24">
        <f>+SUM(Z14+SUM(Z17:Z18))</f>
        <v>-55756</v>
      </c>
      <c r="AA19" s="24">
        <f>+SUM(AA14+SUM(AA17:AA18))</f>
        <v>-51665.044999999998</v>
      </c>
      <c r="AB19" s="24">
        <f>+SUM(AB14+SUM(AB17:AB18))</f>
        <v>-49994.885999999999</v>
      </c>
      <c r="AC19" s="24">
        <f>+SUM(AC14+SUM(AC17:AC18))</f>
        <v>-49994.885999999999</v>
      </c>
      <c r="AD19" s="24">
        <f>+SUM(AD14+SUM(AD17:AD18))</f>
        <v>-51193.188999999998</v>
      </c>
      <c r="AE19" s="24">
        <f>+SUM(AE14+SUM(AE17:AE18))</f>
        <v>-52877</v>
      </c>
      <c r="AF19" s="24">
        <f>+SUM(AF14+SUM(AF17:AF18))</f>
        <v>-41584</v>
      </c>
      <c r="AG19" s="24">
        <f>+SUM(AG14+SUM(AG17:AG18))</f>
        <v>-29065</v>
      </c>
      <c r="AH19" s="11"/>
      <c r="AI19" s="70">
        <f t="shared" si="6"/>
        <v>-0.41864053855428329</v>
      </c>
    </row>
    <row r="20" spans="2:35" ht="12.75" customHeight="1">
      <c r="B20" s="14" t="s">
        <v>38</v>
      </c>
      <c r="C20" s="15" t="e">
        <f>C19/C11</f>
        <v>#DIV/0!</v>
      </c>
      <c r="D20" s="15" t="e">
        <f>D19/D11</f>
        <v>#DIV/0!</v>
      </c>
      <c r="E20" s="15" t="e">
        <f>E19/E11</f>
        <v>#DIV/0!</v>
      </c>
      <c r="F20" s="15" t="e">
        <f>F19/F11</f>
        <v>#DIV/0!</v>
      </c>
      <c r="G20" s="30"/>
      <c r="H20" s="15" t="e">
        <f>H19/H11</f>
        <v>#DIV/0!</v>
      </c>
      <c r="I20" s="15" t="e">
        <f>I19/I11</f>
        <v>#DIV/0!</v>
      </c>
      <c r="J20" s="15" t="e">
        <f>J19/J11</f>
        <v>#DIV/0!</v>
      </c>
      <c r="K20" s="15" t="e">
        <f>K19/K11</f>
        <v>#DIV/0!</v>
      </c>
      <c r="L20" s="15" t="e">
        <f>L19/L11</f>
        <v>#DIV/0!</v>
      </c>
      <c r="M20" s="15" t="e">
        <f>M19/M11</f>
        <v>#DIV/0!</v>
      </c>
      <c r="N20" s="15" t="e">
        <f>N19/N11</f>
        <v>#DIV/0!</v>
      </c>
      <c r="O20" s="15" t="e">
        <f>O19/O11</f>
        <v>#DIV/0!</v>
      </c>
      <c r="P20" s="15" t="e">
        <f>P19/P11</f>
        <v>#DIV/0!</v>
      </c>
      <c r="Q20" s="15" t="e">
        <f>Q19/Q11</f>
        <v>#DIV/0!</v>
      </c>
      <c r="R20" s="15" t="e">
        <f>R19/R11</f>
        <v>#DIV/0!</v>
      </c>
      <c r="S20" s="15" t="e">
        <f>S19/S11</f>
        <v>#DIV/0!</v>
      </c>
      <c r="T20" s="15" t="e">
        <f>T19/T11</f>
        <v>#DIV/0!</v>
      </c>
      <c r="U20" s="15" t="e">
        <f>U19/U11</f>
        <v>#DIV/0!</v>
      </c>
      <c r="W20" s="15" t="e">
        <f>W19/W11</f>
        <v>#DIV/0!</v>
      </c>
      <c r="X20" s="15" t="e">
        <f>X19/X11</f>
        <v>#DIV/0!</v>
      </c>
      <c r="Y20" s="15" t="e">
        <f>Y19/Y11</f>
        <v>#DIV/0!</v>
      </c>
      <c r="Z20" s="15" t="e">
        <f>Z19/Z11</f>
        <v>#DIV/0!</v>
      </c>
      <c r="AA20" s="15" t="e">
        <f>AA19/AA11</f>
        <v>#DIV/0!</v>
      </c>
      <c r="AB20" s="15" t="e">
        <f>AB19/AB11</f>
        <v>#DIV/0!</v>
      </c>
      <c r="AC20" s="15" t="e">
        <f>AC19/AC11</f>
        <v>#DIV/0!</v>
      </c>
      <c r="AD20" s="15" t="e">
        <f>AD19/AD11</f>
        <v>#DIV/0!</v>
      </c>
      <c r="AE20" s="15" t="e">
        <f>AE19/AE11</f>
        <v>#DIV/0!</v>
      </c>
      <c r="AF20" s="15" t="e">
        <f>AF19/AF11</f>
        <v>#DIV/0!</v>
      </c>
      <c r="AG20" s="15" t="e">
        <f>AG19/AG11</f>
        <v>#DIV/0!</v>
      </c>
      <c r="AH20" s="11"/>
      <c r="AI20" s="71" t="e">
        <f>SUM(AG20-AC20)*1000</f>
        <v>#DIV/0!</v>
      </c>
    </row>
    <row r="21" spans="2:35" ht="5.0999999999999996" customHeight="1">
      <c r="B21" s="14"/>
      <c r="C21" s="15"/>
      <c r="D21" s="15"/>
      <c r="E21" s="15"/>
      <c r="F21" s="15"/>
      <c r="G21" s="30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11"/>
      <c r="AI21" s="69"/>
    </row>
    <row r="22" spans="2:35" ht="12.75" customHeight="1">
      <c r="B22" s="9" t="s">
        <v>135</v>
      </c>
      <c r="C22" s="78">
        <v>54</v>
      </c>
      <c r="D22" s="78"/>
      <c r="E22" s="78">
        <v>25</v>
      </c>
      <c r="F22" s="78">
        <v>75</v>
      </c>
      <c r="G22" s="30"/>
      <c r="H22" s="78"/>
      <c r="I22" s="78" t="s">
        <v>141</v>
      </c>
      <c r="J22" s="78"/>
      <c r="K22" s="30">
        <f t="shared" ref="K22:K27" si="28">SUM(D22-SUM(H22:J22))</f>
        <v>0</v>
      </c>
      <c r="L22" s="78">
        <v>25</v>
      </c>
      <c r="M22" s="78" t="s">
        <v>141</v>
      </c>
      <c r="N22" s="78" t="s">
        <v>141</v>
      </c>
      <c r="O22" s="30">
        <f t="shared" ref="O22:O27" si="29">SUM(E22-SUM(L22:N22))</f>
        <v>0</v>
      </c>
      <c r="P22" s="78" t="s">
        <v>141</v>
      </c>
      <c r="Q22" s="78">
        <v>0</v>
      </c>
      <c r="R22" s="78">
        <v>0</v>
      </c>
      <c r="S22" s="30">
        <f>SUM(F22-SUM(P22:R22))</f>
        <v>75</v>
      </c>
      <c r="T22" s="78"/>
      <c r="U22" s="78"/>
      <c r="W22" s="30">
        <f t="shared" ref="W22:AB22" si="30">SUM(I22:L22)</f>
        <v>25</v>
      </c>
      <c r="X22" s="30">
        <f t="shared" si="30"/>
        <v>25</v>
      </c>
      <c r="Y22" s="30">
        <f t="shared" si="30"/>
        <v>25</v>
      </c>
      <c r="Z22" s="30">
        <f t="shared" si="30"/>
        <v>25</v>
      </c>
      <c r="AA22" s="30">
        <f t="shared" si="30"/>
        <v>0</v>
      </c>
      <c r="AB22" s="30">
        <f t="shared" si="30"/>
        <v>0</v>
      </c>
      <c r="AC22" s="30">
        <f t="shared" ref="AC22:AC27" si="31">SUM(N22:Q22)</f>
        <v>0</v>
      </c>
      <c r="AD22" s="30">
        <f t="shared" ref="AD22:AD27" si="32">SUM(O22:R22)</f>
        <v>0</v>
      </c>
      <c r="AE22" s="30">
        <f t="shared" ref="AE22:AE27" si="33">SUM(P22:S22)</f>
        <v>75</v>
      </c>
      <c r="AF22" s="30">
        <f t="shared" ref="AF22:AF27" si="34">SUM(Q22:T22)</f>
        <v>75</v>
      </c>
      <c r="AG22" s="30">
        <f t="shared" ref="AG22:AG27" si="35">SUM(R22:U22)</f>
        <v>75</v>
      </c>
      <c r="AH22" s="11"/>
      <c r="AI22" s="69" t="e">
        <f t="shared" si="6"/>
        <v>#DIV/0!</v>
      </c>
    </row>
    <row r="23" spans="2:35" ht="12.75" customHeight="1">
      <c r="B23" s="9" t="s">
        <v>136</v>
      </c>
      <c r="C23" s="78">
        <v>4547</v>
      </c>
      <c r="D23" s="78">
        <v>3323</v>
      </c>
      <c r="E23" s="78">
        <v>2718</v>
      </c>
      <c r="F23" s="78">
        <v>2291</v>
      </c>
      <c r="G23" s="30"/>
      <c r="H23" s="78">
        <v>810.73</v>
      </c>
      <c r="I23" s="78">
        <v>835.51300000000003</v>
      </c>
      <c r="J23" s="78">
        <v>682.43200000000002</v>
      </c>
      <c r="K23" s="30">
        <f t="shared" si="28"/>
        <v>994.32499999999982</v>
      </c>
      <c r="L23" s="78">
        <v>733.59</v>
      </c>
      <c r="M23" s="78">
        <v>749.68100000000004</v>
      </c>
      <c r="N23" s="78">
        <v>564.84199999999998</v>
      </c>
      <c r="O23" s="30">
        <f t="shared" si="29"/>
        <v>669.88699999999972</v>
      </c>
      <c r="P23" s="78">
        <v>592</v>
      </c>
      <c r="Q23" s="78">
        <v>472</v>
      </c>
      <c r="R23" s="78">
        <v>526</v>
      </c>
      <c r="S23" s="30">
        <f t="shared" ref="S23:S27" si="36">SUM(F23-SUM(P23:R23))</f>
        <v>701</v>
      </c>
      <c r="T23" s="78"/>
      <c r="U23" s="78"/>
      <c r="W23" s="30"/>
      <c r="X23" s="30"/>
      <c r="Y23" s="30"/>
      <c r="Z23" s="30"/>
      <c r="AA23" s="30"/>
      <c r="AB23" s="30"/>
      <c r="AC23" s="30">
        <f t="shared" si="31"/>
        <v>2298.7289999999998</v>
      </c>
      <c r="AD23" s="30">
        <f t="shared" si="32"/>
        <v>2259.8869999999997</v>
      </c>
      <c r="AE23" s="30">
        <f t="shared" si="33"/>
        <v>2291</v>
      </c>
      <c r="AF23" s="30">
        <f t="shared" si="34"/>
        <v>1699</v>
      </c>
      <c r="AG23" s="30">
        <f t="shared" si="35"/>
        <v>1227</v>
      </c>
      <c r="AH23" s="11"/>
      <c r="AI23" s="69">
        <f t="shared" si="6"/>
        <v>-0.46622677140280555</v>
      </c>
    </row>
    <row r="24" spans="2:35" ht="12.75" customHeight="1">
      <c r="B24" s="9" t="s">
        <v>137</v>
      </c>
      <c r="C24" s="78">
        <v>26</v>
      </c>
      <c r="D24" s="78">
        <v>947</v>
      </c>
      <c r="E24" s="78">
        <v>6519</v>
      </c>
      <c r="F24" s="78">
        <v>7320</v>
      </c>
      <c r="G24" s="30"/>
      <c r="H24" s="78">
        <v>4.91</v>
      </c>
      <c r="I24" s="78">
        <v>7.5780000000000003</v>
      </c>
      <c r="J24" s="78">
        <v>229.917</v>
      </c>
      <c r="K24" s="30">
        <f t="shared" si="28"/>
        <v>704.59500000000003</v>
      </c>
      <c r="L24" s="78">
        <v>1267.6179999999999</v>
      </c>
      <c r="M24" s="78">
        <v>1465.221</v>
      </c>
      <c r="N24" s="78">
        <v>1827.9449999999999</v>
      </c>
      <c r="O24" s="30">
        <f t="shared" si="29"/>
        <v>1958.2160000000003</v>
      </c>
      <c r="P24" s="78">
        <v>2008</v>
      </c>
      <c r="Q24" s="78">
        <v>1756</v>
      </c>
      <c r="R24" s="78">
        <v>1796</v>
      </c>
      <c r="S24" s="30">
        <f t="shared" si="36"/>
        <v>1760</v>
      </c>
      <c r="T24" s="78"/>
      <c r="U24" s="78"/>
      <c r="W24" s="30"/>
      <c r="X24" s="30"/>
      <c r="Y24" s="30"/>
      <c r="Z24" s="30"/>
      <c r="AA24" s="30"/>
      <c r="AB24" s="30"/>
      <c r="AC24" s="30">
        <f t="shared" si="31"/>
        <v>7550.1610000000001</v>
      </c>
      <c r="AD24" s="30">
        <f t="shared" si="32"/>
        <v>7518.2160000000003</v>
      </c>
      <c r="AE24" s="30">
        <f t="shared" si="33"/>
        <v>7320</v>
      </c>
      <c r="AF24" s="30">
        <f t="shared" si="34"/>
        <v>5312</v>
      </c>
      <c r="AG24" s="30">
        <f t="shared" si="35"/>
        <v>3556</v>
      </c>
      <c r="AH24" s="11"/>
      <c r="AI24" s="69">
        <f t="shared" si="6"/>
        <v>-0.52901666600222175</v>
      </c>
    </row>
    <row r="25" spans="2:35" ht="12.75" customHeight="1">
      <c r="B25" s="9" t="s">
        <v>138</v>
      </c>
      <c r="C25" s="78" t="s">
        <v>141</v>
      </c>
      <c r="D25" s="78"/>
      <c r="E25" s="78">
        <v>-964</v>
      </c>
      <c r="F25" s="78">
        <v>0</v>
      </c>
      <c r="G25" s="30"/>
      <c r="H25" s="78"/>
      <c r="I25" s="78"/>
      <c r="J25" s="78"/>
      <c r="K25" s="30">
        <f t="shared" si="28"/>
        <v>0</v>
      </c>
      <c r="L25" s="78"/>
      <c r="M25" s="78">
        <v>-964.34400000000005</v>
      </c>
      <c r="N25" s="78"/>
      <c r="O25" s="30">
        <f t="shared" si="29"/>
        <v>0.34400000000005093</v>
      </c>
      <c r="P25" s="78">
        <v>0</v>
      </c>
      <c r="Q25" s="78">
        <v>0</v>
      </c>
      <c r="R25" s="78">
        <v>0</v>
      </c>
      <c r="S25" s="30">
        <f t="shared" si="36"/>
        <v>0</v>
      </c>
      <c r="T25" s="78"/>
      <c r="U25" s="78"/>
      <c r="W25" s="30"/>
      <c r="X25" s="30"/>
      <c r="Y25" s="30"/>
      <c r="Z25" s="30"/>
      <c r="AA25" s="30"/>
      <c r="AB25" s="30"/>
      <c r="AC25" s="30">
        <f t="shared" si="31"/>
        <v>0.34400000000005093</v>
      </c>
      <c r="AD25" s="30">
        <f t="shared" si="32"/>
        <v>0.34400000000005093</v>
      </c>
      <c r="AE25" s="30">
        <f t="shared" si="33"/>
        <v>0</v>
      </c>
      <c r="AF25" s="30">
        <f t="shared" si="34"/>
        <v>0</v>
      </c>
      <c r="AG25" s="30">
        <f t="shared" si="35"/>
        <v>0</v>
      </c>
      <c r="AH25" s="11"/>
      <c r="AI25" s="69">
        <f t="shared" si="6"/>
        <v>-1</v>
      </c>
    </row>
    <row r="26" spans="2:35" ht="12.75" customHeight="1">
      <c r="B26" s="9" t="s">
        <v>139</v>
      </c>
      <c r="C26" s="78">
        <v>-266</v>
      </c>
      <c r="D26" s="78">
        <v>-904</v>
      </c>
      <c r="E26" s="78">
        <v>-40</v>
      </c>
      <c r="F26" s="78">
        <v>189</v>
      </c>
      <c r="G26" s="30"/>
      <c r="H26" s="78">
        <v>55.363</v>
      </c>
      <c r="I26" s="78">
        <v>268.64499999999998</v>
      </c>
      <c r="J26" s="78">
        <v>-732.54899999999998</v>
      </c>
      <c r="K26" s="30">
        <f t="shared" si="28"/>
        <v>-495.459</v>
      </c>
      <c r="L26" s="78">
        <v>365.983</v>
      </c>
      <c r="M26" s="78">
        <v>-118.678</v>
      </c>
      <c r="N26" s="78">
        <v>-101.066</v>
      </c>
      <c r="O26" s="30">
        <f t="shared" si="29"/>
        <v>-186.239</v>
      </c>
      <c r="P26" s="78">
        <v>156</v>
      </c>
      <c r="Q26" s="78">
        <v>-150</v>
      </c>
      <c r="R26" s="78">
        <v>67</v>
      </c>
      <c r="S26" s="30">
        <f t="shared" si="36"/>
        <v>116</v>
      </c>
      <c r="T26" s="78"/>
      <c r="U26" s="78"/>
      <c r="W26" s="30">
        <f t="shared" ref="W26:AB27" si="37">SUM(I26:L26)</f>
        <v>-593.38000000000011</v>
      </c>
      <c r="X26" s="30">
        <f t="shared" si="37"/>
        <v>-980.70300000000009</v>
      </c>
      <c r="Y26" s="30">
        <f t="shared" si="37"/>
        <v>-349.22</v>
      </c>
      <c r="Z26" s="30">
        <f t="shared" si="37"/>
        <v>-40</v>
      </c>
      <c r="AA26" s="30">
        <f t="shared" si="37"/>
        <v>-249.983</v>
      </c>
      <c r="AB26" s="30">
        <f t="shared" si="37"/>
        <v>-281.30500000000001</v>
      </c>
      <c r="AC26" s="30">
        <f t="shared" si="31"/>
        <v>-281.30500000000001</v>
      </c>
      <c r="AD26" s="30">
        <f t="shared" si="32"/>
        <v>-113.239</v>
      </c>
      <c r="AE26" s="30">
        <f t="shared" si="33"/>
        <v>189</v>
      </c>
      <c r="AF26" s="30">
        <f t="shared" si="34"/>
        <v>33</v>
      </c>
      <c r="AG26" s="30">
        <f t="shared" si="35"/>
        <v>183</v>
      </c>
      <c r="AH26" s="11"/>
      <c r="AI26" s="69">
        <f t="shared" si="6"/>
        <v>-1.6505394500630988</v>
      </c>
    </row>
    <row r="27" spans="2:35" ht="12.75" customHeight="1">
      <c r="B27" s="9" t="s">
        <v>140</v>
      </c>
      <c r="C27" s="78"/>
      <c r="D27" s="78"/>
      <c r="E27" s="78"/>
      <c r="F27" s="78"/>
      <c r="G27" s="30"/>
      <c r="H27" s="78"/>
      <c r="I27" s="78"/>
      <c r="J27" s="78"/>
      <c r="K27" s="30">
        <f t="shared" si="28"/>
        <v>0</v>
      </c>
      <c r="L27" s="78"/>
      <c r="M27" s="78"/>
      <c r="N27" s="78"/>
      <c r="O27" s="30">
        <f t="shared" si="29"/>
        <v>0</v>
      </c>
      <c r="P27" s="78"/>
      <c r="Q27" s="78"/>
      <c r="R27" s="78">
        <v>59</v>
      </c>
      <c r="S27" s="30">
        <f t="shared" si="36"/>
        <v>-59</v>
      </c>
      <c r="T27" s="78"/>
      <c r="U27" s="78"/>
      <c r="W27" s="30">
        <f t="shared" si="37"/>
        <v>0</v>
      </c>
      <c r="X27" s="30">
        <f t="shared" si="37"/>
        <v>0</v>
      </c>
      <c r="Y27" s="30">
        <f t="shared" si="37"/>
        <v>0</v>
      </c>
      <c r="Z27" s="30">
        <f t="shared" si="37"/>
        <v>0</v>
      </c>
      <c r="AA27" s="30">
        <f t="shared" si="37"/>
        <v>0</v>
      </c>
      <c r="AB27" s="30">
        <f t="shared" si="37"/>
        <v>0</v>
      </c>
      <c r="AC27" s="30">
        <f t="shared" si="31"/>
        <v>0</v>
      </c>
      <c r="AD27" s="30">
        <f t="shared" si="32"/>
        <v>59</v>
      </c>
      <c r="AE27" s="30">
        <f t="shared" si="33"/>
        <v>0</v>
      </c>
      <c r="AF27" s="30">
        <f t="shared" si="34"/>
        <v>0</v>
      </c>
      <c r="AG27" s="30">
        <f t="shared" si="35"/>
        <v>0</v>
      </c>
      <c r="AH27" s="11"/>
      <c r="AI27" s="69" t="e">
        <f t="shared" si="6"/>
        <v>#DIV/0!</v>
      </c>
    </row>
    <row r="28" spans="2:35" ht="12.75" customHeight="1">
      <c r="B28" s="23" t="s">
        <v>100</v>
      </c>
      <c r="C28" s="24">
        <f>SUM(C19+SUM(C22:C27))</f>
        <v>-37641</v>
      </c>
      <c r="D28" s="24">
        <f>SUM(D19+SUM(D22:D27))</f>
        <v>-47620</v>
      </c>
      <c r="E28" s="24">
        <f>SUM(E19+SUM(E22:E27))</f>
        <v>-47498</v>
      </c>
      <c r="F28" s="24">
        <f>SUM(F19+SUM(F22:F27))</f>
        <v>-43002</v>
      </c>
      <c r="H28" s="24">
        <f t="shared" ref="H28:U28" si="38">SUM(H19+SUM(H22:H27))</f>
        <v>-10852.386999999999</v>
      </c>
      <c r="I28" s="24">
        <f t="shared" si="38"/>
        <v>-10408.010999999999</v>
      </c>
      <c r="J28" s="24">
        <f t="shared" si="38"/>
        <v>-12278.920000000002</v>
      </c>
      <c r="K28" s="24">
        <f t="shared" si="38"/>
        <v>-14080.682000000001</v>
      </c>
      <c r="L28" s="24">
        <f t="shared" si="38"/>
        <v>-12991.763999999999</v>
      </c>
      <c r="M28" s="24">
        <f t="shared" si="38"/>
        <v>-13057.278999999999</v>
      </c>
      <c r="N28" s="24">
        <f t="shared" si="38"/>
        <v>-11238.976000000001</v>
      </c>
      <c r="O28" s="24">
        <f t="shared" si="38"/>
        <v>-10209.980999999998</v>
      </c>
      <c r="P28" s="24">
        <f t="shared" si="38"/>
        <v>-8537</v>
      </c>
      <c r="Q28" s="24">
        <f t="shared" si="38"/>
        <v>-10441</v>
      </c>
      <c r="R28" s="24">
        <f t="shared" si="38"/>
        <v>-12281</v>
      </c>
      <c r="S28" s="24">
        <f t="shared" si="38"/>
        <v>-11743</v>
      </c>
      <c r="T28" s="24">
        <f t="shared" si="38"/>
        <v>0</v>
      </c>
      <c r="U28" s="24">
        <f t="shared" si="38"/>
        <v>0</v>
      </c>
      <c r="W28" s="24">
        <f t="shared" ref="W28:AG28" si="39">SUM(W19+SUM(W22:W27))</f>
        <v>-55214.945</v>
      </c>
      <c r="X28" s="24">
        <f t="shared" si="39"/>
        <v>-58271.68</v>
      </c>
      <c r="Y28" s="24">
        <f t="shared" si="39"/>
        <v>-58712.173999999999</v>
      </c>
      <c r="Z28" s="24">
        <f t="shared" si="39"/>
        <v>-55771</v>
      </c>
      <c r="AA28" s="24">
        <f t="shared" si="39"/>
        <v>-51915.027999999998</v>
      </c>
      <c r="AB28" s="24">
        <f t="shared" si="39"/>
        <v>-50276.190999999999</v>
      </c>
      <c r="AC28" s="24">
        <f t="shared" si="39"/>
        <v>-40426.956999999995</v>
      </c>
      <c r="AD28" s="24">
        <f t="shared" si="39"/>
        <v>-41468.981</v>
      </c>
      <c r="AE28" s="24">
        <f t="shared" si="39"/>
        <v>-43002</v>
      </c>
      <c r="AF28" s="24">
        <f t="shared" si="39"/>
        <v>-34465</v>
      </c>
      <c r="AG28" s="24">
        <f t="shared" si="39"/>
        <v>-24024</v>
      </c>
      <c r="AH28" s="40"/>
      <c r="AI28" s="70">
        <f t="shared" si="6"/>
        <v>-0.40574305407156908</v>
      </c>
    </row>
    <row r="29" spans="2:35" ht="12.75" customHeight="1">
      <c r="B29" s="14" t="s">
        <v>101</v>
      </c>
      <c r="C29" s="15" t="e">
        <f>C28/C11</f>
        <v>#DIV/0!</v>
      </c>
      <c r="D29" s="15" t="e">
        <f>D28/D11</f>
        <v>#DIV/0!</v>
      </c>
      <c r="E29" s="15" t="e">
        <f>E28/E11</f>
        <v>#DIV/0!</v>
      </c>
      <c r="F29" s="15" t="e">
        <f>F28/F11</f>
        <v>#DIV/0!</v>
      </c>
      <c r="G29" s="25"/>
      <c r="H29" s="15" t="e">
        <f>H28/H11</f>
        <v>#DIV/0!</v>
      </c>
      <c r="I29" s="15" t="e">
        <f>I28/I11</f>
        <v>#DIV/0!</v>
      </c>
      <c r="J29" s="15" t="e">
        <f>J28/J11</f>
        <v>#DIV/0!</v>
      </c>
      <c r="K29" s="15" t="e">
        <f>K28/K11</f>
        <v>#DIV/0!</v>
      </c>
      <c r="L29" s="15" t="e">
        <f>L28/L11</f>
        <v>#DIV/0!</v>
      </c>
      <c r="M29" s="15" t="e">
        <f>M28/M11</f>
        <v>#DIV/0!</v>
      </c>
      <c r="N29" s="15" t="e">
        <f>N28/N11</f>
        <v>#DIV/0!</v>
      </c>
      <c r="O29" s="15" t="e">
        <f>O28/O11</f>
        <v>#DIV/0!</v>
      </c>
      <c r="P29" s="15" t="e">
        <f>P28/P11</f>
        <v>#DIV/0!</v>
      </c>
      <c r="Q29" s="15" t="e">
        <f>Q28/Q11</f>
        <v>#DIV/0!</v>
      </c>
      <c r="R29" s="15" t="e">
        <f>R28/R11</f>
        <v>#DIV/0!</v>
      </c>
      <c r="S29" s="15" t="e">
        <f>S28/S11</f>
        <v>#DIV/0!</v>
      </c>
      <c r="T29" s="15" t="e">
        <f>T28/T11</f>
        <v>#DIV/0!</v>
      </c>
      <c r="U29" s="15" t="e">
        <f>U28/U11</f>
        <v>#DIV/0!</v>
      </c>
      <c r="V29" s="26"/>
      <c r="W29" s="15" t="e">
        <f>W28/W11</f>
        <v>#DIV/0!</v>
      </c>
      <c r="X29" s="15" t="e">
        <f>X28/X11</f>
        <v>#DIV/0!</v>
      </c>
      <c r="Y29" s="15" t="e">
        <f>Y28/Y11</f>
        <v>#DIV/0!</v>
      </c>
      <c r="Z29" s="15" t="e">
        <f>Z28/Z11</f>
        <v>#DIV/0!</v>
      </c>
      <c r="AA29" s="15" t="e">
        <f>AA28/AA11</f>
        <v>#DIV/0!</v>
      </c>
      <c r="AB29" s="15" t="e">
        <f>AB28/AB11</f>
        <v>#DIV/0!</v>
      </c>
      <c r="AC29" s="15" t="e">
        <f>AC28/AC11</f>
        <v>#DIV/0!</v>
      </c>
      <c r="AD29" s="15" t="e">
        <f>AD28/AD11</f>
        <v>#DIV/0!</v>
      </c>
      <c r="AE29" s="15" t="e">
        <f>AE28/AE11</f>
        <v>#DIV/0!</v>
      </c>
      <c r="AF29" s="15" t="e">
        <f>AF28/AF11</f>
        <v>#DIV/0!</v>
      </c>
      <c r="AG29" s="15" t="e">
        <f>AG28/AG11</f>
        <v>#DIV/0!</v>
      </c>
      <c r="AH29" s="41"/>
      <c r="AI29" s="71" t="e">
        <f>SUM(AG29-AC29)*1000</f>
        <v>#DIV/0!</v>
      </c>
    </row>
    <row r="30" spans="2:35" ht="5.0999999999999996" customHeight="1">
      <c r="B30" s="27"/>
      <c r="C30" s="42"/>
      <c r="D30" s="42"/>
      <c r="E30" s="42"/>
      <c r="F30" s="42"/>
      <c r="G30" s="2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1"/>
      <c r="AI30" s="69"/>
    </row>
    <row r="31" spans="2:35" ht="12.75" customHeight="1">
      <c r="B31" s="43" t="s">
        <v>113</v>
      </c>
      <c r="C31" s="78">
        <v>-268</v>
      </c>
      <c r="D31" s="78">
        <v>-358</v>
      </c>
      <c r="E31" s="78">
        <v>-7</v>
      </c>
      <c r="F31" s="78">
        <v>0</v>
      </c>
      <c r="G31" s="30"/>
      <c r="H31" s="78">
        <v>-29.98</v>
      </c>
      <c r="I31" s="78">
        <v>-29.8</v>
      </c>
      <c r="J31" s="78">
        <v>-88.421000000000006</v>
      </c>
      <c r="K31" s="30">
        <f t="shared" ref="K31" si="40">SUM(D31-SUM(H31:J31))</f>
        <v>-209.79899999999998</v>
      </c>
      <c r="L31" s="78">
        <v>20.045999999999999</v>
      </c>
      <c r="M31" s="78">
        <v>-50</v>
      </c>
      <c r="N31" s="78">
        <v>-41</v>
      </c>
      <c r="O31" s="30">
        <f t="shared" ref="O31" si="41">SUM(E31-SUM(L31:N31))</f>
        <v>63.954000000000008</v>
      </c>
      <c r="P31" s="78">
        <v>-85</v>
      </c>
      <c r="Q31" s="78">
        <v>-105</v>
      </c>
      <c r="R31" s="78">
        <v>67</v>
      </c>
      <c r="S31" s="30">
        <f t="shared" ref="S31" si="42">SUM(F31-SUM(P31:R31))</f>
        <v>123</v>
      </c>
      <c r="T31" s="78">
        <v>0</v>
      </c>
      <c r="U31" s="78"/>
      <c r="V31" s="30"/>
      <c r="W31" s="30">
        <f t="shared" ref="W31:AB31" si="43">SUM(I31:L31)</f>
        <v>-307.97399999999999</v>
      </c>
      <c r="X31" s="30">
        <f t="shared" si="43"/>
        <v>-328.17399999999998</v>
      </c>
      <c r="Y31" s="30">
        <f t="shared" si="43"/>
        <v>-280.75299999999999</v>
      </c>
      <c r="Z31" s="30">
        <f t="shared" si="43"/>
        <v>-7</v>
      </c>
      <c r="AA31" s="30">
        <f t="shared" si="43"/>
        <v>-112.04599999999999</v>
      </c>
      <c r="AB31" s="30">
        <f t="shared" si="43"/>
        <v>-167.04599999999999</v>
      </c>
      <c r="AC31" s="30">
        <f t="shared" ref="AC31" si="44">SUM(N31:Q31)</f>
        <v>-167.04599999999999</v>
      </c>
      <c r="AD31" s="30">
        <f t="shared" ref="AD31" si="45">SUM(O31:R31)</f>
        <v>-59.045999999999992</v>
      </c>
      <c r="AE31" s="30">
        <f t="shared" ref="AE31" si="46">SUM(P31:S31)</f>
        <v>0</v>
      </c>
      <c r="AF31" s="30">
        <f t="shared" ref="AF31" si="47">SUM(Q31:T31)</f>
        <v>85</v>
      </c>
      <c r="AG31" s="30">
        <f>SUM(R31:U31)</f>
        <v>190</v>
      </c>
      <c r="AH31" s="41"/>
      <c r="AI31" s="69">
        <f t="shared" si="6"/>
        <v>-2.1374112519904696</v>
      </c>
    </row>
    <row r="32" spans="2:35" ht="12.75" customHeight="1">
      <c r="B32" s="12" t="s">
        <v>65</v>
      </c>
      <c r="C32" s="13">
        <f t="shared" ref="C32" si="48">SUM(C28+C31)</f>
        <v>-37909</v>
      </c>
      <c r="D32" s="13">
        <f t="shared" ref="D32:F32" si="49">SUM(D28+D31)</f>
        <v>-47978</v>
      </c>
      <c r="E32" s="13">
        <f t="shared" si="49"/>
        <v>-47505</v>
      </c>
      <c r="F32" s="13">
        <f t="shared" si="49"/>
        <v>-43002</v>
      </c>
      <c r="G32" s="11"/>
      <c r="H32" s="13">
        <f t="shared" ref="H32:U32" si="50">SUM(H28+H31)</f>
        <v>-10882.366999999998</v>
      </c>
      <c r="I32" s="13">
        <f t="shared" si="50"/>
        <v>-10437.810999999998</v>
      </c>
      <c r="J32" s="13">
        <f t="shared" si="50"/>
        <v>-12367.341000000002</v>
      </c>
      <c r="K32" s="13">
        <f t="shared" si="50"/>
        <v>-14290.481</v>
      </c>
      <c r="L32" s="13">
        <f t="shared" si="50"/>
        <v>-12971.717999999999</v>
      </c>
      <c r="M32" s="13">
        <f t="shared" si="50"/>
        <v>-13107.278999999999</v>
      </c>
      <c r="N32" s="13">
        <f t="shared" si="50"/>
        <v>-11279.976000000001</v>
      </c>
      <c r="O32" s="13">
        <f t="shared" si="50"/>
        <v>-10146.026999999998</v>
      </c>
      <c r="P32" s="13">
        <f t="shared" si="50"/>
        <v>-8622</v>
      </c>
      <c r="Q32" s="13">
        <f t="shared" si="50"/>
        <v>-10546</v>
      </c>
      <c r="R32" s="13">
        <f t="shared" si="50"/>
        <v>-12214</v>
      </c>
      <c r="S32" s="13">
        <f t="shared" si="50"/>
        <v>-11620</v>
      </c>
      <c r="T32" s="13">
        <f t="shared" si="50"/>
        <v>0</v>
      </c>
      <c r="U32" s="13">
        <f t="shared" si="50"/>
        <v>0</v>
      </c>
      <c r="V32" s="30"/>
      <c r="W32" s="13">
        <f t="shared" ref="W32:AG32" si="51">SUM(W28+W31)</f>
        <v>-55522.919000000002</v>
      </c>
      <c r="X32" s="13">
        <f t="shared" si="51"/>
        <v>-58599.853999999999</v>
      </c>
      <c r="Y32" s="13">
        <f t="shared" si="51"/>
        <v>-58992.926999999996</v>
      </c>
      <c r="Z32" s="13">
        <f t="shared" si="51"/>
        <v>-55778</v>
      </c>
      <c r="AA32" s="13">
        <f t="shared" si="51"/>
        <v>-52027.074000000001</v>
      </c>
      <c r="AB32" s="13">
        <f t="shared" si="51"/>
        <v>-50443.237000000001</v>
      </c>
      <c r="AC32" s="13">
        <f t="shared" si="51"/>
        <v>-40594.002999999997</v>
      </c>
      <c r="AD32" s="13">
        <f t="shared" si="51"/>
        <v>-41528.027000000002</v>
      </c>
      <c r="AE32" s="13">
        <f t="shared" si="51"/>
        <v>-43002</v>
      </c>
      <c r="AF32" s="13">
        <f t="shared" si="51"/>
        <v>-34380</v>
      </c>
      <c r="AG32" s="13">
        <f t="shared" si="51"/>
        <v>-23834</v>
      </c>
      <c r="AH32" s="34"/>
      <c r="AI32" s="70">
        <f t="shared" si="6"/>
        <v>-0.41286894027179333</v>
      </c>
    </row>
    <row r="33" spans="1:35" ht="12.75" customHeight="1">
      <c r="B33" s="14" t="s">
        <v>79</v>
      </c>
      <c r="C33" s="15" t="e">
        <f>C32/C11</f>
        <v>#DIV/0!</v>
      </c>
      <c r="D33" s="15" t="e">
        <f>D32/D11</f>
        <v>#DIV/0!</v>
      </c>
      <c r="E33" s="15" t="e">
        <f>E32/E11</f>
        <v>#DIV/0!</v>
      </c>
      <c r="F33" s="15" t="e">
        <f>F32/F11</f>
        <v>#DIV/0!</v>
      </c>
      <c r="G33" s="25"/>
      <c r="H33" s="15" t="e">
        <f>H32/H11</f>
        <v>#DIV/0!</v>
      </c>
      <c r="I33" s="15" t="e">
        <f>I32/I11</f>
        <v>#DIV/0!</v>
      </c>
      <c r="J33" s="15" t="e">
        <f>J32/J11</f>
        <v>#DIV/0!</v>
      </c>
      <c r="K33" s="15" t="e">
        <f>K32/K11</f>
        <v>#DIV/0!</v>
      </c>
      <c r="L33" s="15" t="e">
        <f>L32/L11</f>
        <v>#DIV/0!</v>
      </c>
      <c r="M33" s="15" t="e">
        <f>M32/M11</f>
        <v>#DIV/0!</v>
      </c>
      <c r="N33" s="15" t="e">
        <f>N32/N11</f>
        <v>#DIV/0!</v>
      </c>
      <c r="O33" s="15" t="e">
        <f>O32/O11</f>
        <v>#DIV/0!</v>
      </c>
      <c r="P33" s="15" t="e">
        <f>P32/P11</f>
        <v>#DIV/0!</v>
      </c>
      <c r="Q33" s="15" t="e">
        <f>Q32/Q11</f>
        <v>#DIV/0!</v>
      </c>
      <c r="R33" s="15" t="e">
        <f>R32/R11</f>
        <v>#DIV/0!</v>
      </c>
      <c r="S33" s="15" t="e">
        <f>S32/S11</f>
        <v>#DIV/0!</v>
      </c>
      <c r="T33" s="15" t="e">
        <f>T32/T11</f>
        <v>#DIV/0!</v>
      </c>
      <c r="U33" s="15" t="e">
        <f>U32/U11</f>
        <v>#DIV/0!</v>
      </c>
      <c r="V33" s="26"/>
      <c r="W33" s="15" t="e">
        <f>W32/W11</f>
        <v>#DIV/0!</v>
      </c>
      <c r="X33" s="15" t="e">
        <f>X32/X11</f>
        <v>#DIV/0!</v>
      </c>
      <c r="Y33" s="15" t="e">
        <f>Y32/Y11</f>
        <v>#DIV/0!</v>
      </c>
      <c r="Z33" s="15" t="e">
        <f>Z32/Z11</f>
        <v>#DIV/0!</v>
      </c>
      <c r="AA33" s="15" t="e">
        <f>AA32/AA11</f>
        <v>#DIV/0!</v>
      </c>
      <c r="AB33" s="15" t="e">
        <f>AB32/AB11</f>
        <v>#DIV/0!</v>
      </c>
      <c r="AC33" s="15" t="e">
        <f>AC32/AC11</f>
        <v>#DIV/0!</v>
      </c>
      <c r="AD33" s="15" t="e">
        <f>AD32/AD11</f>
        <v>#DIV/0!</v>
      </c>
      <c r="AE33" s="15" t="e">
        <f>AE32/AE11</f>
        <v>#DIV/0!</v>
      </c>
      <c r="AF33" s="15" t="e">
        <f>AF32/AF11</f>
        <v>#DIV/0!</v>
      </c>
      <c r="AG33" s="15" t="e">
        <f>AG32/AG11</f>
        <v>#DIV/0!</v>
      </c>
      <c r="AH33" s="41"/>
      <c r="AI33" s="71" t="e">
        <f>SUM(AG33-AC33)*1000</f>
        <v>#DIV/0!</v>
      </c>
    </row>
    <row r="34" spans="1:35" ht="5.0999999999999996" customHeight="1">
      <c r="B34" s="14"/>
      <c r="C34" s="15"/>
      <c r="D34" s="15"/>
      <c r="E34" s="15"/>
      <c r="F34" s="15"/>
      <c r="G34" s="2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26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41"/>
      <c r="AI34" s="71"/>
    </row>
    <row r="35" spans="1:35" ht="12.75" customHeight="1">
      <c r="B35" s="43" t="s">
        <v>80</v>
      </c>
      <c r="C35" s="78"/>
      <c r="D35" s="78"/>
      <c r="E35" s="78"/>
      <c r="F35" s="78"/>
      <c r="G35" s="25"/>
      <c r="H35" s="78"/>
      <c r="I35" s="78"/>
      <c r="J35" s="78"/>
      <c r="K35" s="30">
        <f>D35</f>
        <v>0</v>
      </c>
      <c r="L35" s="78"/>
      <c r="M35" s="78"/>
      <c r="N35" s="78"/>
      <c r="O35" s="30">
        <f>E35</f>
        <v>0</v>
      </c>
      <c r="P35" s="78"/>
      <c r="Q35" s="78"/>
      <c r="R35" s="78"/>
      <c r="S35" s="30">
        <f>F35</f>
        <v>0</v>
      </c>
      <c r="T35" s="78"/>
      <c r="U35" s="78"/>
      <c r="V35" s="30"/>
      <c r="W35" s="30">
        <f t="shared" ref="W35:AF35" si="52">K35</f>
        <v>0</v>
      </c>
      <c r="X35" s="30">
        <f t="shared" si="52"/>
        <v>0</v>
      </c>
      <c r="Y35" s="30">
        <f t="shared" si="52"/>
        <v>0</v>
      </c>
      <c r="Z35" s="30">
        <f t="shared" si="52"/>
        <v>0</v>
      </c>
      <c r="AA35" s="30">
        <f t="shared" si="52"/>
        <v>0</v>
      </c>
      <c r="AB35" s="30">
        <f t="shared" si="52"/>
        <v>0</v>
      </c>
      <c r="AC35" s="30">
        <f t="shared" si="52"/>
        <v>0</v>
      </c>
      <c r="AD35" s="30">
        <f t="shared" si="52"/>
        <v>0</v>
      </c>
      <c r="AE35" s="30">
        <f t="shared" si="52"/>
        <v>0</v>
      </c>
      <c r="AF35" s="30">
        <f t="shared" si="52"/>
        <v>0</v>
      </c>
      <c r="AG35" s="30">
        <f>U35</f>
        <v>0</v>
      </c>
      <c r="AH35" s="41"/>
      <c r="AI35" s="69" t="e">
        <f t="shared" ref="AI35" si="53">SUM(AG35/AC35)-1</f>
        <v>#DIV/0!</v>
      </c>
    </row>
    <row r="36" spans="1:35" ht="12.75" customHeight="1">
      <c r="B36" s="12" t="s">
        <v>81</v>
      </c>
      <c r="C36" s="72" t="e">
        <f t="shared" ref="C36" si="54">C32/C35</f>
        <v>#DIV/0!</v>
      </c>
      <c r="D36" s="72" t="e">
        <f t="shared" ref="D36:F36" si="55">D32/D35</f>
        <v>#DIV/0!</v>
      </c>
      <c r="E36" s="72" t="e">
        <f t="shared" si="55"/>
        <v>#DIV/0!</v>
      </c>
      <c r="F36" s="72" t="e">
        <f t="shared" si="55"/>
        <v>#DIV/0!</v>
      </c>
      <c r="G36" s="11"/>
      <c r="H36" s="72" t="e">
        <f t="shared" ref="H36:U36" si="56">H32/H35</f>
        <v>#DIV/0!</v>
      </c>
      <c r="I36" s="72" t="e">
        <f t="shared" si="56"/>
        <v>#DIV/0!</v>
      </c>
      <c r="J36" s="72" t="e">
        <f t="shared" si="56"/>
        <v>#DIV/0!</v>
      </c>
      <c r="K36" s="72" t="e">
        <f t="shared" si="56"/>
        <v>#DIV/0!</v>
      </c>
      <c r="L36" s="72" t="e">
        <f t="shared" si="56"/>
        <v>#DIV/0!</v>
      </c>
      <c r="M36" s="72" t="e">
        <f t="shared" si="56"/>
        <v>#DIV/0!</v>
      </c>
      <c r="N36" s="72" t="e">
        <f t="shared" si="56"/>
        <v>#DIV/0!</v>
      </c>
      <c r="O36" s="72" t="e">
        <f>O32/O35</f>
        <v>#DIV/0!</v>
      </c>
      <c r="P36" s="72" t="e">
        <f t="shared" si="56"/>
        <v>#DIV/0!</v>
      </c>
      <c r="Q36" s="72" t="e">
        <f t="shared" si="56"/>
        <v>#DIV/0!</v>
      </c>
      <c r="R36" s="72" t="e">
        <f t="shared" si="56"/>
        <v>#DIV/0!</v>
      </c>
      <c r="S36" s="72" t="e">
        <f>S32/S35</f>
        <v>#DIV/0!</v>
      </c>
      <c r="T36" s="72" t="e">
        <f t="shared" si="56"/>
        <v>#DIV/0!</v>
      </c>
      <c r="U36" s="72" t="e">
        <f t="shared" si="56"/>
        <v>#DIV/0!</v>
      </c>
      <c r="V36" s="26"/>
      <c r="W36" s="72" t="e">
        <f t="shared" ref="W36:AG36" si="57">W32/W35</f>
        <v>#DIV/0!</v>
      </c>
      <c r="X36" s="72" t="e">
        <f t="shared" si="57"/>
        <v>#DIV/0!</v>
      </c>
      <c r="Y36" s="72" t="e">
        <f t="shared" si="57"/>
        <v>#DIV/0!</v>
      </c>
      <c r="Z36" s="72" t="e">
        <f t="shared" si="57"/>
        <v>#DIV/0!</v>
      </c>
      <c r="AA36" s="72" t="e">
        <f t="shared" si="57"/>
        <v>#DIV/0!</v>
      </c>
      <c r="AB36" s="72" t="e">
        <f t="shared" si="57"/>
        <v>#DIV/0!</v>
      </c>
      <c r="AC36" s="72" t="e">
        <f t="shared" si="57"/>
        <v>#DIV/0!</v>
      </c>
      <c r="AD36" s="72" t="e">
        <f t="shared" si="57"/>
        <v>#DIV/0!</v>
      </c>
      <c r="AE36" s="72" t="e">
        <f t="shared" si="57"/>
        <v>#DIV/0!</v>
      </c>
      <c r="AF36" s="72" t="e">
        <f t="shared" si="57"/>
        <v>#DIV/0!</v>
      </c>
      <c r="AG36" s="72" t="e">
        <f t="shared" si="57"/>
        <v>#DIV/0!</v>
      </c>
      <c r="AH36" s="34"/>
      <c r="AI36" s="70" t="e">
        <f>SUM(AG36/AC36)-1</f>
        <v>#DIV/0!</v>
      </c>
    </row>
    <row r="37" spans="1:35" ht="5.0999999999999996" customHeight="1">
      <c r="B37" s="14"/>
      <c r="C37" s="15"/>
      <c r="D37" s="15"/>
      <c r="E37" s="15"/>
      <c r="F37" s="15"/>
      <c r="G37" s="2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26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41"/>
      <c r="AI37" s="71"/>
    </row>
    <row r="38" spans="1:35" ht="12.75" customHeight="1">
      <c r="B38" s="43" t="s">
        <v>82</v>
      </c>
      <c r="C38" s="78"/>
      <c r="D38" s="78"/>
      <c r="E38" s="78">
        <v>79787.596000000005</v>
      </c>
      <c r="F38" s="78">
        <v>83468.048999999999</v>
      </c>
      <c r="G38" s="25"/>
      <c r="H38" s="78">
        <v>75997.737999999998</v>
      </c>
      <c r="I38" s="78">
        <v>76248.603000000003</v>
      </c>
      <c r="J38" s="78">
        <v>77442.236000000004</v>
      </c>
      <c r="K38" s="78">
        <f>D38</f>
        <v>0</v>
      </c>
      <c r="L38" s="78"/>
      <c r="M38" s="78">
        <v>78304.362999999998</v>
      </c>
      <c r="N38" s="78">
        <v>80875.235000000001</v>
      </c>
      <c r="O38" s="30">
        <f>E38</f>
        <v>79787.596000000005</v>
      </c>
      <c r="P38" s="78"/>
      <c r="Q38" s="78">
        <v>82464.225999999995</v>
      </c>
      <c r="R38" s="78">
        <v>84535.327999999994</v>
      </c>
      <c r="S38" s="30">
        <f>F38</f>
        <v>83468.048999999999</v>
      </c>
      <c r="T38" s="78"/>
      <c r="U38" s="78"/>
      <c r="V38" s="30"/>
      <c r="W38" s="30">
        <f t="shared" ref="W38:AB38" si="58">L38</f>
        <v>0</v>
      </c>
      <c r="X38" s="30">
        <f t="shared" si="58"/>
        <v>78304.362999999998</v>
      </c>
      <c r="Y38" s="30">
        <f t="shared" si="58"/>
        <v>80875.235000000001</v>
      </c>
      <c r="Z38" s="30">
        <f t="shared" si="58"/>
        <v>79787.596000000005</v>
      </c>
      <c r="AA38" s="30">
        <f t="shared" si="58"/>
        <v>0</v>
      </c>
      <c r="AB38" s="30">
        <f t="shared" si="58"/>
        <v>82464.225999999995</v>
      </c>
      <c r="AC38" s="30">
        <f t="shared" ref="AC38" si="59">Q38</f>
        <v>82464.225999999995</v>
      </c>
      <c r="AD38" s="30">
        <f t="shared" ref="AD38" si="60">R38</f>
        <v>84535.327999999994</v>
      </c>
      <c r="AE38" s="30">
        <f t="shared" ref="AE38" si="61">S38</f>
        <v>83468.048999999999</v>
      </c>
      <c r="AF38" s="30">
        <f t="shared" ref="AF38" si="62">T38</f>
        <v>0</v>
      </c>
      <c r="AG38" s="30">
        <f>U38</f>
        <v>0</v>
      </c>
      <c r="AH38" s="41"/>
      <c r="AI38" s="69">
        <f t="shared" ref="AI38" si="63">SUM(AG38/AC38)-1</f>
        <v>-1</v>
      </c>
    </row>
    <row r="39" spans="1:35" ht="12.75" customHeight="1">
      <c r="B39" s="12" t="s">
        <v>83</v>
      </c>
      <c r="C39" s="72" t="e">
        <f t="shared" ref="C39" si="64">C32/C38</f>
        <v>#DIV/0!</v>
      </c>
      <c r="D39" s="72" t="e">
        <f t="shared" ref="D39:F39" si="65">D32/D38</f>
        <v>#DIV/0!</v>
      </c>
      <c r="E39" s="72">
        <f t="shared" si="65"/>
        <v>-0.59539329897845272</v>
      </c>
      <c r="F39" s="72">
        <f t="shared" si="65"/>
        <v>-0.51519114817215872</v>
      </c>
      <c r="G39" s="25"/>
      <c r="H39" s="72">
        <f t="shared" ref="H39:U39" si="66">H32/H38</f>
        <v>-0.14319330135852198</v>
      </c>
      <c r="I39" s="72">
        <f t="shared" si="66"/>
        <v>-0.13689183262806792</v>
      </c>
      <c r="J39" s="72">
        <f t="shared" si="66"/>
        <v>-0.15969762288371944</v>
      </c>
      <c r="K39" s="72" t="e">
        <f t="shared" si="66"/>
        <v>#DIV/0!</v>
      </c>
      <c r="L39" s="72" t="e">
        <f t="shared" si="66"/>
        <v>#DIV/0!</v>
      </c>
      <c r="M39" s="72">
        <f t="shared" si="66"/>
        <v>-0.16738887206067943</v>
      </c>
      <c r="N39" s="72">
        <f t="shared" si="66"/>
        <v>-0.13947379565574061</v>
      </c>
      <c r="O39" s="72">
        <f t="shared" si="66"/>
        <v>-0.12716296152098627</v>
      </c>
      <c r="P39" s="72" t="e">
        <f t="shared" si="66"/>
        <v>#DIV/0!</v>
      </c>
      <c r="Q39" s="72">
        <f t="shared" si="66"/>
        <v>-0.1278857573949703</v>
      </c>
      <c r="R39" s="72">
        <f t="shared" si="66"/>
        <v>-0.1444839724286632</v>
      </c>
      <c r="S39" s="72">
        <f t="shared" si="66"/>
        <v>-0.13921494678760252</v>
      </c>
      <c r="T39" s="72" t="e">
        <f t="shared" si="66"/>
        <v>#DIV/0!</v>
      </c>
      <c r="U39" s="72" t="e">
        <f t="shared" si="66"/>
        <v>#DIV/0!</v>
      </c>
      <c r="V39" s="30"/>
      <c r="W39" s="72" t="e">
        <f t="shared" ref="W39:AG39" si="67">W32/W38</f>
        <v>#DIV/0!</v>
      </c>
      <c r="X39" s="72">
        <f t="shared" si="67"/>
        <v>-0.74836001156155252</v>
      </c>
      <c r="Y39" s="72">
        <f t="shared" si="67"/>
        <v>-0.72943129006054819</v>
      </c>
      <c r="Z39" s="72">
        <f t="shared" si="67"/>
        <v>-0.69908109526197526</v>
      </c>
      <c r="AA39" s="72" t="e">
        <f t="shared" si="67"/>
        <v>#DIV/0!</v>
      </c>
      <c r="AB39" s="72">
        <f t="shared" si="67"/>
        <v>-0.61169842302285116</v>
      </c>
      <c r="AC39" s="72">
        <f t="shared" si="67"/>
        <v>-0.49226197793937942</v>
      </c>
      <c r="AD39" s="72">
        <f t="shared" si="67"/>
        <v>-0.49125055740009671</v>
      </c>
      <c r="AE39" s="72">
        <f t="shared" si="67"/>
        <v>-0.51519114817215872</v>
      </c>
      <c r="AF39" s="72" t="e">
        <f t="shared" si="67"/>
        <v>#DIV/0!</v>
      </c>
      <c r="AG39" s="72" t="e">
        <f t="shared" si="67"/>
        <v>#DIV/0!</v>
      </c>
      <c r="AH39" s="34"/>
      <c r="AI39" s="70" t="e">
        <f>SUM(AG39/AC39)-1</f>
        <v>#DIV/0!</v>
      </c>
    </row>
    <row r="40" spans="1:35">
      <c r="B40" s="14"/>
      <c r="C40" s="15"/>
      <c r="D40" s="15"/>
      <c r="E40" s="15"/>
      <c r="F40" s="78"/>
      <c r="G40" s="2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26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41"/>
    </row>
    <row r="41" spans="1:35" ht="12.75" customHeight="1">
      <c r="A41" s="5" t="s">
        <v>19</v>
      </c>
      <c r="B41" s="95" t="s">
        <v>95</v>
      </c>
      <c r="C41" s="96" t="s">
        <v>0</v>
      </c>
      <c r="D41" s="96" t="s">
        <v>0</v>
      </c>
      <c r="E41" s="96"/>
      <c r="F41" s="96"/>
      <c r="G41" s="97"/>
      <c r="H41" s="96" t="s">
        <v>1</v>
      </c>
      <c r="I41" s="96"/>
      <c r="J41" s="96"/>
      <c r="K41" s="96"/>
      <c r="L41" s="96"/>
      <c r="M41" s="96"/>
      <c r="N41" s="96"/>
      <c r="O41" s="96"/>
      <c r="P41" s="96"/>
      <c r="Q41" s="96"/>
      <c r="R41" s="96" t="s">
        <v>1</v>
      </c>
      <c r="S41" s="96"/>
      <c r="T41" s="96"/>
      <c r="U41" s="96"/>
      <c r="V41" s="95"/>
      <c r="W41" s="96"/>
      <c r="X41" s="96"/>
      <c r="Y41" s="96"/>
      <c r="Z41" s="96"/>
      <c r="AA41" s="96"/>
      <c r="AB41" s="96"/>
      <c r="AC41" s="96" t="s">
        <v>10</v>
      </c>
      <c r="AD41" s="96"/>
      <c r="AE41" s="96"/>
      <c r="AF41" s="96"/>
      <c r="AG41" s="96"/>
      <c r="AH41" s="97"/>
      <c r="AI41" s="141" t="s">
        <v>24</v>
      </c>
    </row>
    <row r="42" spans="1:35" ht="12.75" customHeight="1">
      <c r="B42" s="99" t="str">
        <f>B7</f>
        <v>Fiscal Period</v>
      </c>
      <c r="C42" s="98">
        <f>C7</f>
        <v>2021</v>
      </c>
      <c r="D42" s="98">
        <f>D7</f>
        <v>2022</v>
      </c>
      <c r="E42" s="98">
        <f>E7</f>
        <v>2023</v>
      </c>
      <c r="F42" s="98">
        <f>F7</f>
        <v>2024</v>
      </c>
      <c r="G42" s="97"/>
      <c r="H42" s="98" t="str">
        <f>H7</f>
        <v>1Q22</v>
      </c>
      <c r="I42" s="98" t="str">
        <f>I7</f>
        <v>2Q22</v>
      </c>
      <c r="J42" s="98" t="str">
        <f>J7</f>
        <v>3Q22</v>
      </c>
      <c r="K42" s="98" t="str">
        <f>K7</f>
        <v>4Q22</v>
      </c>
      <c r="L42" s="98" t="str">
        <f>L7</f>
        <v>1Q23</v>
      </c>
      <c r="M42" s="98" t="str">
        <f>M7</f>
        <v>2Q23</v>
      </c>
      <c r="N42" s="98" t="str">
        <f>N7</f>
        <v>3Q23</v>
      </c>
      <c r="O42" s="98" t="str">
        <f>O7</f>
        <v>4Q23</v>
      </c>
      <c r="P42" s="98" t="str">
        <f>P7</f>
        <v>1Q24</v>
      </c>
      <c r="Q42" s="98" t="str">
        <f>Q7</f>
        <v>2Q24</v>
      </c>
      <c r="R42" s="98" t="str">
        <f>R7</f>
        <v>3Q24</v>
      </c>
      <c r="S42" s="98" t="str">
        <f>S7</f>
        <v>4Q24</v>
      </c>
      <c r="T42" s="98" t="str">
        <f>T7</f>
        <v>1Q25</v>
      </c>
      <c r="U42" s="98" t="str">
        <f>U7</f>
        <v>2Q25</v>
      </c>
      <c r="V42" s="100"/>
      <c r="W42" s="98" t="str">
        <f>W7</f>
        <v>4Q22</v>
      </c>
      <c r="X42" s="98" t="str">
        <f>X7</f>
        <v>1Q23</v>
      </c>
      <c r="Y42" s="98" t="str">
        <f>Y7</f>
        <v>2Q23</v>
      </c>
      <c r="Z42" s="98" t="str">
        <f>Z7</f>
        <v>3Q23</v>
      </c>
      <c r="AA42" s="98" t="str">
        <f>AA7</f>
        <v>4Q23</v>
      </c>
      <c r="AB42" s="98" t="str">
        <f>AB7</f>
        <v>1Q24</v>
      </c>
      <c r="AC42" s="98" t="str">
        <f>AC7</f>
        <v>2Q24</v>
      </c>
      <c r="AD42" s="98" t="str">
        <f>AD7</f>
        <v>3Q24</v>
      </c>
      <c r="AE42" s="98" t="str">
        <f>AE7</f>
        <v>4Q24</v>
      </c>
      <c r="AF42" s="98" t="str">
        <f>AF7</f>
        <v>1Q25</v>
      </c>
      <c r="AG42" s="98" t="str">
        <f>AG7</f>
        <v>2Q25</v>
      </c>
      <c r="AH42" s="97"/>
      <c r="AI42" s="141"/>
    </row>
    <row r="43" spans="1:35" ht="12.75" customHeight="1">
      <c r="B43" s="99" t="str">
        <f>B8</f>
        <v>Fiscal Period End Date</v>
      </c>
      <c r="C43" s="101">
        <f>C8</f>
        <v>44561</v>
      </c>
      <c r="D43" s="101">
        <f>D8</f>
        <v>44926</v>
      </c>
      <c r="E43" s="101">
        <f>E8</f>
        <v>45291</v>
      </c>
      <c r="F43" s="101">
        <f>F8</f>
        <v>45657</v>
      </c>
      <c r="G43" s="97"/>
      <c r="H43" s="101">
        <f>H8</f>
        <v>44651</v>
      </c>
      <c r="I43" s="101">
        <f>I8</f>
        <v>44742</v>
      </c>
      <c r="J43" s="101">
        <f>J8</f>
        <v>44834</v>
      </c>
      <c r="K43" s="101">
        <f>K8</f>
        <v>44926</v>
      </c>
      <c r="L43" s="101">
        <f>L8</f>
        <v>45016</v>
      </c>
      <c r="M43" s="101">
        <f>M8</f>
        <v>45107</v>
      </c>
      <c r="N43" s="101">
        <f>N8</f>
        <v>45199</v>
      </c>
      <c r="O43" s="101">
        <f>O8</f>
        <v>45291</v>
      </c>
      <c r="P43" s="101">
        <f>P8</f>
        <v>45382</v>
      </c>
      <c r="Q43" s="101">
        <f>Q8</f>
        <v>45473</v>
      </c>
      <c r="R43" s="101">
        <f>R8</f>
        <v>45565</v>
      </c>
      <c r="S43" s="101">
        <f>S8</f>
        <v>45657</v>
      </c>
      <c r="T43" s="101">
        <f>T8</f>
        <v>45747</v>
      </c>
      <c r="U43" s="101">
        <f>U8</f>
        <v>45838</v>
      </c>
      <c r="V43" s="102"/>
      <c r="W43" s="101">
        <f>W8</f>
        <v>44926</v>
      </c>
      <c r="X43" s="101">
        <f>X8</f>
        <v>45016</v>
      </c>
      <c r="Y43" s="101">
        <f>Y8</f>
        <v>45107</v>
      </c>
      <c r="Z43" s="101">
        <f>Z8</f>
        <v>45199</v>
      </c>
      <c r="AA43" s="101">
        <f>AA8</f>
        <v>45291</v>
      </c>
      <c r="AB43" s="101">
        <f>AB8</f>
        <v>45382</v>
      </c>
      <c r="AC43" s="101">
        <f>AC8</f>
        <v>45473</v>
      </c>
      <c r="AD43" s="101">
        <f>AD8</f>
        <v>45565</v>
      </c>
      <c r="AE43" s="101">
        <f>AE8</f>
        <v>45657</v>
      </c>
      <c r="AF43" s="101">
        <f>AF8</f>
        <v>45747</v>
      </c>
      <c r="AG43" s="101">
        <f>AG8</f>
        <v>45838</v>
      </c>
      <c r="AH43" s="97"/>
      <c r="AI43" s="141"/>
    </row>
    <row r="44" spans="1:35" ht="5.0999999999999996" customHeight="1">
      <c r="B44" s="45"/>
      <c r="C44" s="46"/>
      <c r="D44" s="46"/>
      <c r="E44" s="46"/>
      <c r="F44" s="46"/>
    </row>
    <row r="45" spans="1:35">
      <c r="B45" s="73" t="s">
        <v>21</v>
      </c>
      <c r="C45" s="46"/>
      <c r="D45" s="46"/>
      <c r="E45" s="46"/>
      <c r="F45" s="46"/>
    </row>
    <row r="46" spans="1:35" ht="12.75" customHeight="1">
      <c r="B46" s="109" t="s">
        <v>110</v>
      </c>
      <c r="C46" s="110">
        <v>152107.745</v>
      </c>
      <c r="D46" s="110">
        <v>149158</v>
      </c>
      <c r="E46" s="110">
        <v>151024</v>
      </c>
      <c r="F46" s="110">
        <v>132187</v>
      </c>
      <c r="H46" s="110">
        <v>151146.35500000001</v>
      </c>
      <c r="I46" s="110">
        <v>153342.55600000001</v>
      </c>
      <c r="J46" s="110">
        <v>153199.35200000001</v>
      </c>
      <c r="K46" s="86">
        <f>D46</f>
        <v>149158</v>
      </c>
      <c r="L46" s="110">
        <v>143621.848</v>
      </c>
      <c r="M46" s="110">
        <v>153466.962</v>
      </c>
      <c r="N46" s="110">
        <v>154817.16399999999</v>
      </c>
      <c r="O46" s="86">
        <f>E46</f>
        <v>151024</v>
      </c>
      <c r="P46" s="110">
        <v>143765</v>
      </c>
      <c r="Q46" s="110">
        <v>139386</v>
      </c>
      <c r="R46" s="110">
        <v>138756</v>
      </c>
      <c r="S46" s="86">
        <f>F46</f>
        <v>132187</v>
      </c>
      <c r="T46" s="110"/>
      <c r="U46" s="110"/>
      <c r="V46" s="86"/>
      <c r="W46" s="86">
        <f t="shared" ref="W46:AF48" si="68">K46</f>
        <v>149158</v>
      </c>
      <c r="X46" s="86">
        <f t="shared" si="68"/>
        <v>143621.848</v>
      </c>
      <c r="Y46" s="86">
        <f t="shared" si="68"/>
        <v>153466.962</v>
      </c>
      <c r="Z46" s="86">
        <f t="shared" si="68"/>
        <v>154817.16399999999</v>
      </c>
      <c r="AA46" s="86">
        <f t="shared" si="68"/>
        <v>151024</v>
      </c>
      <c r="AB46" s="86">
        <f t="shared" si="68"/>
        <v>143765</v>
      </c>
      <c r="AC46" s="86">
        <f t="shared" si="68"/>
        <v>139386</v>
      </c>
      <c r="AD46" s="86">
        <f t="shared" si="68"/>
        <v>138756</v>
      </c>
      <c r="AE46" s="86">
        <f t="shared" si="68"/>
        <v>132187</v>
      </c>
      <c r="AF46" s="86">
        <f t="shared" si="68"/>
        <v>0</v>
      </c>
      <c r="AG46" s="86">
        <f>U46</f>
        <v>0</v>
      </c>
      <c r="AH46" s="11"/>
      <c r="AI46" s="69">
        <f t="shared" ref="AI46:AI48" si="69">SUM(AG46/AC46)-1</f>
        <v>-1</v>
      </c>
    </row>
    <row r="47" spans="1:35" ht="12.75" customHeight="1">
      <c r="B47" s="109" t="s">
        <v>142</v>
      </c>
      <c r="C47" s="110">
        <v>9136.8310000000001</v>
      </c>
      <c r="D47" s="110">
        <v>3193</v>
      </c>
      <c r="E47" s="110">
        <v>2709</v>
      </c>
      <c r="F47" s="110">
        <v>2449</v>
      </c>
      <c r="H47" s="110">
        <v>5372.1530000000002</v>
      </c>
      <c r="I47" s="110">
        <v>6468.9870000000001</v>
      </c>
      <c r="J47" s="110">
        <v>6559.8289999999997</v>
      </c>
      <c r="K47" s="86">
        <f t="shared" ref="K47:K48" si="70">D47</f>
        <v>3193</v>
      </c>
      <c r="L47" s="110">
        <v>4094.431</v>
      </c>
      <c r="M47" s="110">
        <v>4737.6610000000001</v>
      </c>
      <c r="N47" s="110">
        <v>2165.127</v>
      </c>
      <c r="O47" s="86">
        <f t="shared" ref="O47:O48" si="71">E47</f>
        <v>2709</v>
      </c>
      <c r="P47" s="110">
        <v>3549</v>
      </c>
      <c r="Q47" s="110">
        <v>3785</v>
      </c>
      <c r="R47" s="110">
        <v>1720</v>
      </c>
      <c r="S47" s="86">
        <f t="shared" ref="S47:S48" si="72">F47</f>
        <v>2449</v>
      </c>
      <c r="T47" s="110"/>
      <c r="U47" s="110"/>
      <c r="V47" s="86"/>
      <c r="W47" s="86">
        <f t="shared" si="68"/>
        <v>3193</v>
      </c>
      <c r="X47" s="86">
        <f t="shared" si="68"/>
        <v>4094.431</v>
      </c>
      <c r="Y47" s="86">
        <f t="shared" si="68"/>
        <v>4737.6610000000001</v>
      </c>
      <c r="Z47" s="86">
        <f t="shared" si="68"/>
        <v>2165.127</v>
      </c>
      <c r="AA47" s="86">
        <f t="shared" si="68"/>
        <v>2709</v>
      </c>
      <c r="AB47" s="86">
        <f t="shared" si="68"/>
        <v>3549</v>
      </c>
      <c r="AC47" s="86">
        <f t="shared" si="68"/>
        <v>3785</v>
      </c>
      <c r="AD47" s="86">
        <f t="shared" si="68"/>
        <v>1720</v>
      </c>
      <c r="AE47" s="86">
        <f t="shared" si="68"/>
        <v>2449</v>
      </c>
      <c r="AF47" s="86">
        <f t="shared" si="68"/>
        <v>0</v>
      </c>
      <c r="AG47" s="86">
        <f t="shared" ref="AG47:AG48" si="73">U47</f>
        <v>0</v>
      </c>
      <c r="AH47" s="11"/>
      <c r="AI47" s="69">
        <f t="shared" si="69"/>
        <v>-1</v>
      </c>
    </row>
    <row r="48" spans="1:35" ht="12.75" customHeight="1">
      <c r="B48" s="109" t="s">
        <v>143</v>
      </c>
      <c r="C48" s="110">
        <v>371.91399999999999</v>
      </c>
      <c r="D48" s="110">
        <v>354</v>
      </c>
      <c r="E48" s="110">
        <v>653</v>
      </c>
      <c r="F48" s="110">
        <v>931</v>
      </c>
      <c r="H48" s="110">
        <v>377.86</v>
      </c>
      <c r="I48" s="110">
        <v>464.60500000000002</v>
      </c>
      <c r="J48" s="110">
        <v>461.96300000000002</v>
      </c>
      <c r="K48" s="86">
        <f t="shared" si="70"/>
        <v>354</v>
      </c>
      <c r="L48" s="110">
        <v>655.64300000000003</v>
      </c>
      <c r="M48" s="110">
        <v>981.774</v>
      </c>
      <c r="N48" s="110">
        <v>827.572</v>
      </c>
      <c r="O48" s="86">
        <f t="shared" si="71"/>
        <v>653</v>
      </c>
      <c r="P48" s="110">
        <v>756</v>
      </c>
      <c r="Q48" s="110">
        <v>1345</v>
      </c>
      <c r="R48" s="110">
        <v>1059</v>
      </c>
      <c r="S48" s="86">
        <f t="shared" si="72"/>
        <v>931</v>
      </c>
      <c r="T48" s="110"/>
      <c r="U48" s="110"/>
      <c r="V48" s="86"/>
      <c r="W48" s="86">
        <f t="shared" si="68"/>
        <v>354</v>
      </c>
      <c r="X48" s="86">
        <f t="shared" si="68"/>
        <v>655.64300000000003</v>
      </c>
      <c r="Y48" s="86">
        <f t="shared" si="68"/>
        <v>981.774</v>
      </c>
      <c r="Z48" s="86">
        <f t="shared" si="68"/>
        <v>827.572</v>
      </c>
      <c r="AA48" s="86">
        <f t="shared" si="68"/>
        <v>653</v>
      </c>
      <c r="AB48" s="86">
        <f t="shared" si="68"/>
        <v>756</v>
      </c>
      <c r="AC48" s="86">
        <f t="shared" si="68"/>
        <v>1345</v>
      </c>
      <c r="AD48" s="86">
        <f t="shared" si="68"/>
        <v>1059</v>
      </c>
      <c r="AE48" s="86">
        <f t="shared" si="68"/>
        <v>931</v>
      </c>
      <c r="AF48" s="86">
        <f t="shared" si="68"/>
        <v>0</v>
      </c>
      <c r="AG48" s="86">
        <f t="shared" si="73"/>
        <v>0</v>
      </c>
      <c r="AH48" s="11"/>
      <c r="AI48" s="69">
        <f t="shared" si="69"/>
        <v>-1</v>
      </c>
    </row>
    <row r="49" spans="2:35" ht="12.75" customHeight="1">
      <c r="B49" s="23" t="s">
        <v>21</v>
      </c>
      <c r="C49" s="24">
        <f>SUM(C46:C48)</f>
        <v>161616.49</v>
      </c>
      <c r="D49" s="24">
        <f>SUM(D46:D48)</f>
        <v>152705</v>
      </c>
      <c r="E49" s="24">
        <f>SUM(E46:E48)</f>
        <v>154386</v>
      </c>
      <c r="F49" s="24">
        <f>SUM(F46:F48)</f>
        <v>135567</v>
      </c>
      <c r="G49" s="47"/>
      <c r="H49" s="24">
        <f>SUM(H46:H48)</f>
        <v>156896.36799999999</v>
      </c>
      <c r="I49" s="24">
        <f>SUM(I46:I48)</f>
        <v>160276.14800000002</v>
      </c>
      <c r="J49" s="24">
        <f>SUM(J46:J48)</f>
        <v>160221.144</v>
      </c>
      <c r="K49" s="24">
        <f>SUM(K46:K48)</f>
        <v>152705</v>
      </c>
      <c r="L49" s="24">
        <f>SUM(L46:L48)</f>
        <v>148371.92200000002</v>
      </c>
      <c r="M49" s="24">
        <f>SUM(M46:M48)</f>
        <v>159186.397</v>
      </c>
      <c r="N49" s="24">
        <f>SUM(N46:N48)</f>
        <v>157809.86299999998</v>
      </c>
      <c r="O49" s="24">
        <f>SUM(O46:O48)</f>
        <v>154386</v>
      </c>
      <c r="P49" s="24">
        <f>SUM(P46:P48)</f>
        <v>148070</v>
      </c>
      <c r="Q49" s="24">
        <f>SUM(Q46:Q48)</f>
        <v>144516</v>
      </c>
      <c r="R49" s="24">
        <f>SUM(R46:R48)</f>
        <v>141535</v>
      </c>
      <c r="S49" s="24">
        <f>SUM(S46:S48)</f>
        <v>135567</v>
      </c>
      <c r="T49" s="24">
        <f>SUM(T46:T48)</f>
        <v>0</v>
      </c>
      <c r="U49" s="24">
        <f>SUM(U46:U48)</f>
        <v>0</v>
      </c>
      <c r="V49" s="47"/>
      <c r="W49" s="24">
        <f>SUM(W46:W48)</f>
        <v>152705</v>
      </c>
      <c r="X49" s="24">
        <f>SUM(X46:X48)</f>
        <v>148371.92200000002</v>
      </c>
      <c r="Y49" s="24">
        <f>SUM(Y46:Y48)</f>
        <v>159186.397</v>
      </c>
      <c r="Z49" s="24">
        <f>SUM(Z46:Z48)</f>
        <v>157809.86299999998</v>
      </c>
      <c r="AA49" s="24">
        <f>SUM(AA46:AA48)</f>
        <v>154386</v>
      </c>
      <c r="AB49" s="24">
        <f>SUM(AB46:AB48)</f>
        <v>148070</v>
      </c>
      <c r="AC49" s="24">
        <f>SUM(AC46:AC48)</f>
        <v>144516</v>
      </c>
      <c r="AD49" s="24">
        <f>SUM(AD46:AD48)</f>
        <v>141535</v>
      </c>
      <c r="AE49" s="24">
        <f>SUM(AE46:AE48)</f>
        <v>135567</v>
      </c>
      <c r="AF49" s="24">
        <f>SUM(AF46:AF48)</f>
        <v>0</v>
      </c>
      <c r="AG49" s="24">
        <f>SUM(AG46:AG48)</f>
        <v>0</v>
      </c>
      <c r="AH49" s="40"/>
      <c r="AI49" s="70">
        <f>SUM(AG49/AC49)-1</f>
        <v>-1</v>
      </c>
    </row>
    <row r="50" spans="2:35" ht="5.0999999999999996" customHeight="1">
      <c r="B50" s="23"/>
      <c r="C50" s="48"/>
      <c r="D50" s="48"/>
      <c r="E50" s="39"/>
      <c r="F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37"/>
    </row>
    <row r="51" spans="2:35" ht="12.75" customHeight="1">
      <c r="B51" s="73" t="s">
        <v>18</v>
      </c>
      <c r="C51" s="78"/>
      <c r="D51" s="78"/>
      <c r="E51" s="78"/>
      <c r="F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11"/>
      <c r="AI51" s="69"/>
    </row>
    <row r="52" spans="2:35" ht="12.75" customHeight="1">
      <c r="B52" s="9" t="s">
        <v>14</v>
      </c>
      <c r="C52" s="78">
        <v>4739.7809999999999</v>
      </c>
      <c r="D52" s="78">
        <v>3825</v>
      </c>
      <c r="E52" s="78">
        <v>4322</v>
      </c>
      <c r="F52" s="78">
        <v>9627</v>
      </c>
      <c r="H52" s="110">
        <v>4634.7910000000002</v>
      </c>
      <c r="I52" s="110">
        <v>2631.8879999999999</v>
      </c>
      <c r="J52" s="110">
        <v>3126.8919999999998</v>
      </c>
      <c r="K52" s="86">
        <f t="shared" ref="K52:K54" si="74">D52</f>
        <v>3825</v>
      </c>
      <c r="L52" s="110">
        <v>5288.2610000000004</v>
      </c>
      <c r="M52" s="110">
        <v>6281.7420000000002</v>
      </c>
      <c r="N52" s="110">
        <v>4152.8459999999995</v>
      </c>
      <c r="O52" s="86">
        <f t="shared" ref="O52:O54" si="75">E52</f>
        <v>4322</v>
      </c>
      <c r="P52" s="110">
        <v>4292</v>
      </c>
      <c r="Q52" s="110">
        <v>3726</v>
      </c>
      <c r="R52" s="110">
        <v>3503</v>
      </c>
      <c r="S52" s="86">
        <f t="shared" ref="S52:S54" si="76">F52</f>
        <v>9627</v>
      </c>
      <c r="T52" s="110"/>
      <c r="U52" s="110"/>
      <c r="V52" s="86"/>
      <c r="W52" s="86">
        <f t="shared" ref="W52" si="77">K52</f>
        <v>3825</v>
      </c>
      <c r="X52" s="86">
        <f t="shared" ref="X52" si="78">L52</f>
        <v>5288.2610000000004</v>
      </c>
      <c r="Y52" s="86">
        <f t="shared" ref="Y52" si="79">M52</f>
        <v>6281.7420000000002</v>
      </c>
      <c r="Z52" s="86">
        <f t="shared" ref="Z52" si="80">N52</f>
        <v>4152.8459999999995</v>
      </c>
      <c r="AA52" s="86">
        <f t="shared" ref="AA52" si="81">O52</f>
        <v>4322</v>
      </c>
      <c r="AB52" s="86">
        <f t="shared" ref="AB52" si="82">P52</f>
        <v>4292</v>
      </c>
      <c r="AC52" s="86">
        <f t="shared" ref="AC52" si="83">Q52</f>
        <v>3726</v>
      </c>
      <c r="AD52" s="86">
        <f t="shared" ref="AD52" si="84">R52</f>
        <v>3503</v>
      </c>
      <c r="AE52" s="86">
        <f t="shared" ref="AE52" si="85">S52</f>
        <v>9627</v>
      </c>
      <c r="AF52" s="86">
        <f t="shared" ref="AF52" si="86">T52</f>
        <v>0</v>
      </c>
      <c r="AG52" s="86">
        <f>U52</f>
        <v>0</v>
      </c>
      <c r="AH52" s="11"/>
      <c r="AI52" s="69">
        <f t="shared" ref="AI52:AI54" si="87">SUM(AG52/AC52)-1</f>
        <v>-1</v>
      </c>
    </row>
    <row r="53" spans="2:35" ht="12.75" customHeight="1">
      <c r="B53" s="9" t="s">
        <v>144</v>
      </c>
      <c r="C53" s="78">
        <v>5614.7740000000003</v>
      </c>
      <c r="D53" s="78">
        <v>5945</v>
      </c>
      <c r="E53" s="78">
        <v>7295</v>
      </c>
      <c r="F53" s="78">
        <v>4835</v>
      </c>
      <c r="H53" s="110">
        <v>5450.04</v>
      </c>
      <c r="I53" s="110">
        <v>4995.3879999999999</v>
      </c>
      <c r="J53" s="110">
        <v>5913.8209999999999</v>
      </c>
      <c r="K53" s="86">
        <f t="shared" si="74"/>
        <v>5945</v>
      </c>
      <c r="L53" s="110">
        <v>7042.8220000000001</v>
      </c>
      <c r="M53" s="110">
        <v>6822.8379999999997</v>
      </c>
      <c r="N53" s="110">
        <v>5985.6580000000004</v>
      </c>
      <c r="O53" s="86">
        <f t="shared" si="75"/>
        <v>7295</v>
      </c>
      <c r="P53" s="110">
        <v>7286</v>
      </c>
      <c r="Q53" s="110">
        <v>4915</v>
      </c>
      <c r="R53" s="110">
        <v>7334</v>
      </c>
      <c r="S53" s="86">
        <f t="shared" si="76"/>
        <v>4835</v>
      </c>
      <c r="T53" s="110"/>
      <c r="U53" s="110"/>
      <c r="W53" s="30">
        <f t="shared" ref="W53:AB54" si="88">L53</f>
        <v>7042.8220000000001</v>
      </c>
      <c r="X53" s="30">
        <f t="shared" si="88"/>
        <v>6822.8379999999997</v>
      </c>
      <c r="Y53" s="30">
        <f t="shared" si="88"/>
        <v>5985.6580000000004</v>
      </c>
      <c r="Z53" s="30">
        <f t="shared" si="88"/>
        <v>7295</v>
      </c>
      <c r="AA53" s="30">
        <f t="shared" si="88"/>
        <v>7286</v>
      </c>
      <c r="AB53" s="30">
        <f t="shared" si="88"/>
        <v>4915</v>
      </c>
      <c r="AC53" s="86">
        <f t="shared" ref="AC53:AC54" si="89">Q53</f>
        <v>4915</v>
      </c>
      <c r="AD53" s="86">
        <f t="shared" ref="AD53:AD54" si="90">R53</f>
        <v>7334</v>
      </c>
      <c r="AE53" s="86">
        <f t="shared" ref="AE53:AE54" si="91">S53</f>
        <v>4835</v>
      </c>
      <c r="AF53" s="86">
        <f t="shared" ref="AF53:AF54" si="92">T53</f>
        <v>0</v>
      </c>
      <c r="AG53" s="86">
        <f t="shared" ref="AG53:AG54" si="93">U53</f>
        <v>0</v>
      </c>
      <c r="AH53" s="11"/>
      <c r="AI53" s="69">
        <f t="shared" si="87"/>
        <v>-1</v>
      </c>
    </row>
    <row r="54" spans="2:35" ht="12.75" customHeight="1">
      <c r="B54" s="9" t="s">
        <v>145</v>
      </c>
      <c r="C54" s="78">
        <v>443.83100000000002</v>
      </c>
      <c r="D54" s="78">
        <v>444</v>
      </c>
      <c r="E54" s="78">
        <v>917</v>
      </c>
      <c r="F54" s="78">
        <v>842</v>
      </c>
      <c r="H54" s="110">
        <v>443.83100000000002</v>
      </c>
      <c r="I54" s="110">
        <v>443.83100000000002</v>
      </c>
      <c r="J54" s="110">
        <v>443.83100000000002</v>
      </c>
      <c r="K54" s="86">
        <f t="shared" si="74"/>
        <v>444</v>
      </c>
      <c r="L54" s="110">
        <v>916.76300000000003</v>
      </c>
      <c r="M54" s="110">
        <v>916.76300000000003</v>
      </c>
      <c r="N54" s="110">
        <v>916.76300000000003</v>
      </c>
      <c r="O54" s="86">
        <f t="shared" si="75"/>
        <v>917</v>
      </c>
      <c r="P54" s="110">
        <v>917</v>
      </c>
      <c r="Q54" s="110">
        <v>917</v>
      </c>
      <c r="R54" s="110">
        <v>917</v>
      </c>
      <c r="S54" s="86">
        <f t="shared" si="76"/>
        <v>842</v>
      </c>
      <c r="T54" s="110"/>
      <c r="U54" s="110"/>
      <c r="W54" s="30">
        <f t="shared" si="88"/>
        <v>916.76300000000003</v>
      </c>
      <c r="X54" s="30">
        <f t="shared" si="88"/>
        <v>916.76300000000003</v>
      </c>
      <c r="Y54" s="30">
        <f t="shared" si="88"/>
        <v>916.76300000000003</v>
      </c>
      <c r="Z54" s="30">
        <f t="shared" si="88"/>
        <v>917</v>
      </c>
      <c r="AA54" s="30">
        <f t="shared" si="88"/>
        <v>917</v>
      </c>
      <c r="AB54" s="30">
        <f t="shared" si="88"/>
        <v>917</v>
      </c>
      <c r="AC54" s="86">
        <f t="shared" si="89"/>
        <v>917</v>
      </c>
      <c r="AD54" s="86">
        <f t="shared" si="90"/>
        <v>917</v>
      </c>
      <c r="AE54" s="86">
        <f t="shared" si="91"/>
        <v>842</v>
      </c>
      <c r="AF54" s="86">
        <f t="shared" si="92"/>
        <v>0</v>
      </c>
      <c r="AG54" s="86">
        <f t="shared" si="93"/>
        <v>0</v>
      </c>
      <c r="AH54" s="11"/>
      <c r="AI54" s="69">
        <f t="shared" si="87"/>
        <v>-1</v>
      </c>
    </row>
    <row r="55" spans="2:35" ht="12.75" customHeight="1">
      <c r="B55" s="12" t="s">
        <v>18</v>
      </c>
      <c r="C55" s="13">
        <f>SUM(C52:C54)</f>
        <v>10798.386</v>
      </c>
      <c r="D55" s="13">
        <f>SUM(D52:D54)+D49</f>
        <v>162919</v>
      </c>
      <c r="E55" s="13">
        <f>SUM(E52:E54)+E49</f>
        <v>166920</v>
      </c>
      <c r="F55" s="13">
        <f>SUM(F52:F54)</f>
        <v>15304</v>
      </c>
      <c r="H55" s="13">
        <f t="shared" ref="H55:U55" si="94">SUM(H52:H54)</f>
        <v>10528.662</v>
      </c>
      <c r="I55" s="13">
        <f t="shared" si="94"/>
        <v>8071.107</v>
      </c>
      <c r="J55" s="13">
        <f t="shared" si="94"/>
        <v>9484.5439999999999</v>
      </c>
      <c r="K55" s="13">
        <f t="shared" si="94"/>
        <v>10214</v>
      </c>
      <c r="L55" s="13">
        <f t="shared" si="94"/>
        <v>13247.846000000001</v>
      </c>
      <c r="M55" s="13">
        <f t="shared" si="94"/>
        <v>14021.343000000001</v>
      </c>
      <c r="N55" s="13">
        <f t="shared" si="94"/>
        <v>11055.267000000002</v>
      </c>
      <c r="O55" s="13">
        <f t="shared" si="94"/>
        <v>12534</v>
      </c>
      <c r="P55" s="13">
        <f t="shared" si="94"/>
        <v>12495</v>
      </c>
      <c r="Q55" s="13">
        <f t="shared" si="94"/>
        <v>9558</v>
      </c>
      <c r="R55" s="13">
        <f t="shared" si="94"/>
        <v>11754</v>
      </c>
      <c r="S55" s="13">
        <f t="shared" si="94"/>
        <v>15304</v>
      </c>
      <c r="T55" s="13">
        <f t="shared" si="94"/>
        <v>0</v>
      </c>
      <c r="U55" s="13">
        <f t="shared" si="94"/>
        <v>0</v>
      </c>
      <c r="W55" s="13">
        <f>SUM(W52:W54)+W49</f>
        <v>164489.58499999999</v>
      </c>
      <c r="X55" s="13">
        <f>SUM(X52:X54)+X49</f>
        <v>161399.78400000001</v>
      </c>
      <c r="Y55" s="13">
        <f>SUM(Y52:Y54)+Y49</f>
        <v>172370.56</v>
      </c>
      <c r="Z55" s="13">
        <f>SUM(Z52:Z54)+Z49</f>
        <v>170174.70899999997</v>
      </c>
      <c r="AA55" s="13">
        <f>SUM(AA52:AA54)+AA49</f>
        <v>166911</v>
      </c>
      <c r="AB55" s="13">
        <f>SUM(AB52:AB54)+AB49</f>
        <v>158194</v>
      </c>
      <c r="AC55" s="13">
        <f>SUM(AC52:AC54)+AC49</f>
        <v>154074</v>
      </c>
      <c r="AD55" s="13">
        <f>SUM(AD52:AD54)+AD49</f>
        <v>153289</v>
      </c>
      <c r="AE55" s="13">
        <f>SUM(AE52:AE54)+AE49</f>
        <v>150871</v>
      </c>
      <c r="AF55" s="13">
        <f>SUM(AF52:AF54)+AF49</f>
        <v>0</v>
      </c>
      <c r="AG55" s="13">
        <f>SUM(AG52:AG54)+AG49</f>
        <v>0</v>
      </c>
      <c r="AH55" s="40"/>
      <c r="AI55" s="70">
        <f>SUM(AG55/AC55)-1</f>
        <v>-1</v>
      </c>
    </row>
    <row r="56" spans="2:35" ht="5.0999999999999996" customHeight="1">
      <c r="B56" s="23"/>
      <c r="C56" s="48"/>
      <c r="D56" s="48"/>
      <c r="E56" s="39"/>
      <c r="F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37"/>
    </row>
    <row r="57" spans="2:35" ht="12.75" customHeight="1">
      <c r="B57" s="9" t="s">
        <v>93</v>
      </c>
      <c r="C57" s="78">
        <v>0</v>
      </c>
      <c r="D57" s="78">
        <v>0</v>
      </c>
      <c r="E57" s="78">
        <v>0</v>
      </c>
      <c r="F57" s="78">
        <v>0</v>
      </c>
      <c r="H57" s="110">
        <v>0</v>
      </c>
      <c r="I57" s="110"/>
      <c r="J57" s="110">
        <v>0</v>
      </c>
      <c r="K57" s="86">
        <f t="shared" ref="K57:K61" si="95">D57</f>
        <v>0</v>
      </c>
      <c r="L57" s="110">
        <v>0</v>
      </c>
      <c r="M57" s="110">
        <v>0</v>
      </c>
      <c r="N57" s="110">
        <v>0</v>
      </c>
      <c r="O57" s="86">
        <f t="shared" ref="O57:O61" si="96">E57</f>
        <v>0</v>
      </c>
      <c r="P57" s="110">
        <v>0</v>
      </c>
      <c r="Q57" s="110">
        <v>0</v>
      </c>
      <c r="R57" s="110">
        <v>0</v>
      </c>
      <c r="S57" s="86">
        <f t="shared" ref="S57:S61" si="97">F57</f>
        <v>0</v>
      </c>
      <c r="T57" s="110"/>
      <c r="U57" s="110"/>
      <c r="W57" s="30">
        <f t="shared" ref="W57:AB57" si="98">L57</f>
        <v>0</v>
      </c>
      <c r="X57" s="30">
        <f t="shared" si="98"/>
        <v>0</v>
      </c>
      <c r="Y57" s="30">
        <f t="shared" si="98"/>
        <v>0</v>
      </c>
      <c r="Z57" s="30">
        <f t="shared" si="98"/>
        <v>0</v>
      </c>
      <c r="AA57" s="30">
        <f t="shared" si="98"/>
        <v>0</v>
      </c>
      <c r="AB57" s="30">
        <f t="shared" si="98"/>
        <v>0</v>
      </c>
      <c r="AC57" s="86">
        <f t="shared" ref="AC57:AC61" si="99">Q57</f>
        <v>0</v>
      </c>
      <c r="AD57" s="86">
        <f t="shared" ref="AD57:AD61" si="100">R57</f>
        <v>0</v>
      </c>
      <c r="AE57" s="86">
        <f t="shared" ref="AE57:AE61" si="101">S57</f>
        <v>0</v>
      </c>
      <c r="AF57" s="86">
        <f t="shared" ref="AF57:AF61" si="102">T57</f>
        <v>0</v>
      </c>
      <c r="AG57" s="86">
        <f t="shared" ref="AG57:AG61" si="103">U57</f>
        <v>0</v>
      </c>
      <c r="AH57" s="11"/>
      <c r="AI57" s="69" t="e">
        <f t="shared" ref="AI57:AI61" si="104">SUM(AG57/AC57)-1</f>
        <v>#DIV/0!</v>
      </c>
    </row>
    <row r="58" spans="2:35" ht="12.75" customHeight="1">
      <c r="B58" s="9" t="s">
        <v>20</v>
      </c>
      <c r="C58" s="78">
        <v>75.92</v>
      </c>
      <c r="D58" s="78">
        <v>78</v>
      </c>
      <c r="E58" s="78">
        <v>82</v>
      </c>
      <c r="F58" s="78">
        <v>85</v>
      </c>
      <c r="H58" s="110">
        <v>76.156000000000006</v>
      </c>
      <c r="I58" s="110">
        <v>77.162999999999997</v>
      </c>
      <c r="J58" s="110">
        <v>77.944000000000003</v>
      </c>
      <c r="K58" s="86">
        <f t="shared" si="95"/>
        <v>78</v>
      </c>
      <c r="L58" s="110">
        <v>78.033000000000001</v>
      </c>
      <c r="M58" s="110">
        <v>80.236000000000004</v>
      </c>
      <c r="N58" s="110">
        <v>81391</v>
      </c>
      <c r="O58" s="86">
        <f t="shared" si="96"/>
        <v>82</v>
      </c>
      <c r="P58" s="110">
        <v>82</v>
      </c>
      <c r="Q58" s="110">
        <v>84</v>
      </c>
      <c r="R58" s="110">
        <v>85</v>
      </c>
      <c r="S58" s="86">
        <f t="shared" si="97"/>
        <v>85</v>
      </c>
      <c r="T58" s="110"/>
      <c r="U58" s="110"/>
      <c r="W58" s="30"/>
      <c r="X58" s="30"/>
      <c r="Y58" s="30"/>
      <c r="Z58" s="30"/>
      <c r="AA58" s="30"/>
      <c r="AB58" s="30"/>
      <c r="AC58" s="86">
        <f t="shared" si="99"/>
        <v>84</v>
      </c>
      <c r="AD58" s="86">
        <f t="shared" si="100"/>
        <v>85</v>
      </c>
      <c r="AE58" s="86">
        <f t="shared" si="101"/>
        <v>85</v>
      </c>
      <c r="AF58" s="86">
        <f t="shared" si="102"/>
        <v>0</v>
      </c>
      <c r="AG58" s="86">
        <f t="shared" si="103"/>
        <v>0</v>
      </c>
      <c r="AH58" s="11"/>
      <c r="AI58" s="69">
        <f t="shared" si="104"/>
        <v>-1</v>
      </c>
    </row>
    <row r="59" spans="2:35" ht="12.75" customHeight="1">
      <c r="B59" s="9" t="s">
        <v>146</v>
      </c>
      <c r="C59" s="78"/>
      <c r="D59" s="78"/>
      <c r="E59" s="78"/>
      <c r="F59" s="78"/>
      <c r="H59" s="110"/>
      <c r="I59" s="110">
        <v>-403.69600000000003</v>
      </c>
      <c r="J59" s="110"/>
      <c r="K59" s="86">
        <f>D59</f>
        <v>0</v>
      </c>
      <c r="L59" s="110"/>
      <c r="M59" s="110"/>
      <c r="N59" s="110"/>
      <c r="O59" s="86">
        <f>E59</f>
        <v>0</v>
      </c>
      <c r="P59" s="110">
        <v>0</v>
      </c>
      <c r="Q59" s="110">
        <v>-234</v>
      </c>
      <c r="R59" s="110">
        <v>-89</v>
      </c>
      <c r="S59" s="86">
        <f>F59</f>
        <v>0</v>
      </c>
      <c r="T59" s="110"/>
      <c r="U59" s="110"/>
      <c r="W59" s="30"/>
      <c r="X59" s="30"/>
      <c r="Y59" s="30"/>
      <c r="Z59" s="30"/>
      <c r="AA59" s="30"/>
      <c r="AB59" s="30"/>
      <c r="AC59" s="86">
        <f t="shared" si="99"/>
        <v>-234</v>
      </c>
      <c r="AD59" s="86">
        <f t="shared" si="100"/>
        <v>-89</v>
      </c>
      <c r="AE59" s="86">
        <f t="shared" si="101"/>
        <v>0</v>
      </c>
      <c r="AF59" s="86">
        <f t="shared" si="102"/>
        <v>0</v>
      </c>
      <c r="AG59" s="86">
        <f t="shared" si="103"/>
        <v>0</v>
      </c>
      <c r="AH59" s="11"/>
      <c r="AI59" s="69">
        <f t="shared" si="104"/>
        <v>-1</v>
      </c>
    </row>
    <row r="60" spans="2:35" ht="12.75" customHeight="1">
      <c r="B60" s="9" t="s">
        <v>111</v>
      </c>
      <c r="C60" s="78">
        <v>348328.04800000001</v>
      </c>
      <c r="D60" s="78">
        <v>387977</v>
      </c>
      <c r="E60" s="78">
        <v>434839</v>
      </c>
      <c r="F60" s="78">
        <v>456249</v>
      </c>
      <c r="H60" s="110">
        <v>354759.78100000002</v>
      </c>
      <c r="I60" s="110">
        <v>371437.61599999998</v>
      </c>
      <c r="J60" s="110">
        <v>381932.03899999999</v>
      </c>
      <c r="K60" s="86">
        <f t="shared" si="95"/>
        <v>387977</v>
      </c>
      <c r="L60" s="110">
        <v>393581.54399999999</v>
      </c>
      <c r="M60" s="110">
        <v>416727.598</v>
      </c>
      <c r="N60" s="110">
        <v>429595.96100000001</v>
      </c>
      <c r="O60" s="86">
        <f t="shared" si="96"/>
        <v>434839</v>
      </c>
      <c r="P60" s="110">
        <v>437184</v>
      </c>
      <c r="Q60" s="110">
        <v>447345</v>
      </c>
      <c r="R60" s="110">
        <v>454236</v>
      </c>
      <c r="S60" s="86">
        <f t="shared" si="97"/>
        <v>456249</v>
      </c>
      <c r="T60" s="110"/>
      <c r="U60" s="110"/>
      <c r="W60" s="30">
        <f t="shared" ref="W60:AB61" si="105">L60</f>
        <v>393581.54399999999</v>
      </c>
      <c r="X60" s="30">
        <f t="shared" si="105"/>
        <v>416727.598</v>
      </c>
      <c r="Y60" s="30">
        <f t="shared" si="105"/>
        <v>429595.96100000001</v>
      </c>
      <c r="Z60" s="30">
        <f t="shared" si="105"/>
        <v>434839</v>
      </c>
      <c r="AA60" s="30">
        <f t="shared" si="105"/>
        <v>437184</v>
      </c>
      <c r="AB60" s="30">
        <f t="shared" si="105"/>
        <v>447345</v>
      </c>
      <c r="AC60" s="86">
        <f t="shared" si="99"/>
        <v>447345</v>
      </c>
      <c r="AD60" s="86">
        <f t="shared" si="100"/>
        <v>454236</v>
      </c>
      <c r="AE60" s="86">
        <f t="shared" si="101"/>
        <v>456249</v>
      </c>
      <c r="AF60" s="86">
        <f t="shared" si="102"/>
        <v>0</v>
      </c>
      <c r="AG60" s="86">
        <f t="shared" si="103"/>
        <v>0</v>
      </c>
      <c r="AH60" s="11"/>
      <c r="AI60" s="69">
        <f t="shared" si="104"/>
        <v>-1</v>
      </c>
    </row>
    <row r="61" spans="2:35" ht="12.75" customHeight="1">
      <c r="B61" s="9" t="s">
        <v>112</v>
      </c>
      <c r="C61" s="78">
        <v>-197585.864</v>
      </c>
      <c r="D61" s="78">
        <v>-245564</v>
      </c>
      <c r="E61" s="78">
        <v>-293069</v>
      </c>
      <c r="F61" s="78">
        <v>-336071</v>
      </c>
      <c r="H61" s="110">
        <v>-208468.231</v>
      </c>
      <c r="I61" s="110">
        <v>-218906.04199999999</v>
      </c>
      <c r="J61" s="110">
        <v>-231273.383</v>
      </c>
      <c r="K61" s="86">
        <f t="shared" si="95"/>
        <v>-245564</v>
      </c>
      <c r="L61" s="110">
        <v>-258535.50099999999</v>
      </c>
      <c r="M61" s="110">
        <v>-271642.78000000003</v>
      </c>
      <c r="N61" s="110">
        <v>-282922.75599999999</v>
      </c>
      <c r="O61" s="86">
        <f t="shared" si="96"/>
        <v>-293069</v>
      </c>
      <c r="P61" s="110">
        <v>-301691</v>
      </c>
      <c r="Q61" s="110">
        <v>-312237</v>
      </c>
      <c r="R61" s="110">
        <v>-324451</v>
      </c>
      <c r="S61" s="86">
        <f t="shared" si="97"/>
        <v>-336071</v>
      </c>
      <c r="T61" s="110"/>
      <c r="U61" s="110"/>
      <c r="W61" s="30">
        <f t="shared" si="105"/>
        <v>-258535.50099999999</v>
      </c>
      <c r="X61" s="30">
        <f t="shared" si="105"/>
        <v>-271642.78000000003</v>
      </c>
      <c r="Y61" s="30">
        <f t="shared" si="105"/>
        <v>-282922.75599999999</v>
      </c>
      <c r="Z61" s="30">
        <f t="shared" si="105"/>
        <v>-293069</v>
      </c>
      <c r="AA61" s="30">
        <f t="shared" si="105"/>
        <v>-301691</v>
      </c>
      <c r="AB61" s="30">
        <f t="shared" si="105"/>
        <v>-312237</v>
      </c>
      <c r="AC61" s="86">
        <f t="shared" si="99"/>
        <v>-312237</v>
      </c>
      <c r="AD61" s="86">
        <f t="shared" si="100"/>
        <v>-324451</v>
      </c>
      <c r="AE61" s="86">
        <f t="shared" si="101"/>
        <v>-336071</v>
      </c>
      <c r="AF61" s="86">
        <f t="shared" si="102"/>
        <v>0</v>
      </c>
      <c r="AG61" s="86">
        <f t="shared" si="103"/>
        <v>0</v>
      </c>
      <c r="AH61" s="11"/>
      <c r="AI61" s="69">
        <f t="shared" si="104"/>
        <v>-1</v>
      </c>
    </row>
    <row r="62" spans="2:35" ht="12.75" customHeight="1">
      <c r="B62" s="12" t="s">
        <v>17</v>
      </c>
      <c r="C62" s="13">
        <f>SUM(C57:C61)</f>
        <v>150818.10399999999</v>
      </c>
      <c r="D62" s="13">
        <f>SUM(D57:D61)</f>
        <v>142491</v>
      </c>
      <c r="E62" s="13">
        <f>SUM(E57:E61)</f>
        <v>141852</v>
      </c>
      <c r="F62" s="13">
        <f>SUM(F57:F61)</f>
        <v>120263</v>
      </c>
      <c r="G62" s="49"/>
      <c r="H62" s="13">
        <f>SUM(H57:H61)</f>
        <v>146367.70600000003</v>
      </c>
      <c r="I62" s="13">
        <f>SUM(I57:I61)</f>
        <v>152205.041</v>
      </c>
      <c r="J62" s="13">
        <f>SUM(J57:J61)</f>
        <v>150736.6</v>
      </c>
      <c r="K62" s="13">
        <f>SUM(K57:K61)</f>
        <v>142491</v>
      </c>
      <c r="L62" s="13">
        <f>SUM(L57:L61)</f>
        <v>135124.076</v>
      </c>
      <c r="M62" s="13">
        <f>SUM(M57:M61)</f>
        <v>145165.05399999995</v>
      </c>
      <c r="N62" s="13">
        <f>SUM(N57:N61)</f>
        <v>228064.20500000002</v>
      </c>
      <c r="O62" s="13">
        <f>SUM(O57:O61)</f>
        <v>141852</v>
      </c>
      <c r="P62" s="13">
        <f>SUM(P57:P61)</f>
        <v>135575</v>
      </c>
      <c r="Q62" s="13">
        <f>SUM(Q57:Q61)</f>
        <v>134958</v>
      </c>
      <c r="R62" s="13">
        <f>SUM(R57:R61)</f>
        <v>129781</v>
      </c>
      <c r="S62" s="13">
        <f>SUM(S57:S61)</f>
        <v>120263</v>
      </c>
      <c r="T62" s="13">
        <f>SUM(T57:T61)</f>
        <v>0</v>
      </c>
      <c r="U62" s="13">
        <f>SUM(U57:U61)</f>
        <v>0</v>
      </c>
      <c r="W62" s="13">
        <f>SUM(W57:W61)</f>
        <v>135046.04300000001</v>
      </c>
      <c r="X62" s="13">
        <f>SUM(X57:X61)</f>
        <v>145084.81799999997</v>
      </c>
      <c r="Y62" s="13">
        <f>SUM(Y57:Y61)</f>
        <v>146673.20500000002</v>
      </c>
      <c r="Z62" s="13">
        <f>SUM(Z57:Z61)</f>
        <v>141770</v>
      </c>
      <c r="AA62" s="13">
        <f>SUM(AA57:AA61)</f>
        <v>135493</v>
      </c>
      <c r="AB62" s="13">
        <f>SUM(AB57:AB61)</f>
        <v>135108</v>
      </c>
      <c r="AC62" s="13">
        <f>SUM(AC57:AC61)</f>
        <v>134958</v>
      </c>
      <c r="AD62" s="13">
        <f>SUM(AD57:AD61)</f>
        <v>129781</v>
      </c>
      <c r="AE62" s="13">
        <f>SUM(AE57:AE61)</f>
        <v>120263</v>
      </c>
      <c r="AF62" s="13">
        <f>SUM(AF57:AF61)</f>
        <v>0</v>
      </c>
      <c r="AG62" s="13">
        <f>SUM(AG57:AG61)</f>
        <v>0</v>
      </c>
      <c r="AH62" s="40"/>
      <c r="AI62" s="70">
        <f>SUM(AG62/AC62)-1</f>
        <v>-1</v>
      </c>
    </row>
    <row r="63" spans="2:35" ht="12.75" customHeight="1">
      <c r="B63" s="23" t="s">
        <v>66</v>
      </c>
      <c r="C63" s="103">
        <f>SUM(C62+C55)</f>
        <v>161616.49</v>
      </c>
      <c r="D63" s="103">
        <f>SUM(D62+D55)</f>
        <v>305410</v>
      </c>
      <c r="E63" s="103">
        <f>SUM(E62+E55)</f>
        <v>308772</v>
      </c>
      <c r="F63" s="103">
        <f>SUM(F62+F55)</f>
        <v>135567</v>
      </c>
      <c r="G63" s="30"/>
      <c r="H63" s="103">
        <f>SUM(H62+H55)</f>
        <v>156896.36800000005</v>
      </c>
      <c r="I63" s="103">
        <f>SUM(I62+I55)</f>
        <v>160276.14799999999</v>
      </c>
      <c r="J63" s="103">
        <f>SUM(J62+J55)</f>
        <v>160221.144</v>
      </c>
      <c r="K63" s="103">
        <f>SUM(K62+K55)</f>
        <v>152705</v>
      </c>
      <c r="L63" s="103">
        <f>SUM(L62+L55)</f>
        <v>148371.92199999999</v>
      </c>
      <c r="M63" s="103">
        <f>SUM(M62+M55)</f>
        <v>159186.39699999994</v>
      </c>
      <c r="N63" s="103">
        <f>SUM(N62+N55)</f>
        <v>239119.47200000001</v>
      </c>
      <c r="O63" s="103">
        <f>SUM(O62+O55)</f>
        <v>154386</v>
      </c>
      <c r="P63" s="103">
        <f>SUM(P62+P55)</f>
        <v>148070</v>
      </c>
      <c r="Q63" s="103">
        <f>SUM(Q62+Q55)</f>
        <v>144516</v>
      </c>
      <c r="R63" s="103">
        <f>SUM(R62+R55)</f>
        <v>141535</v>
      </c>
      <c r="S63" s="103">
        <f>SUM(S62+S55)</f>
        <v>135567</v>
      </c>
      <c r="T63" s="103">
        <f>SUM(T62+T55)</f>
        <v>0</v>
      </c>
      <c r="U63" s="103">
        <f>SUM(U62+U55)</f>
        <v>0</v>
      </c>
      <c r="V63" s="30"/>
      <c r="W63" s="30" t="e">
        <f>SUM(W62+#REF!)</f>
        <v>#REF!</v>
      </c>
      <c r="X63" s="30" t="e">
        <f>SUM(X62+#REF!)</f>
        <v>#REF!</v>
      </c>
      <c r="Y63" s="30" t="e">
        <f>SUM(Y62+#REF!)</f>
        <v>#REF!</v>
      </c>
      <c r="Z63" s="30" t="e">
        <f>SUM(Z62+#REF!)</f>
        <v>#REF!</v>
      </c>
      <c r="AA63" s="30" t="e">
        <f>SUM(AA62+#REF!)</f>
        <v>#REF!</v>
      </c>
      <c r="AB63" s="30" t="e">
        <f>SUM(AB62+#REF!)</f>
        <v>#REF!</v>
      </c>
      <c r="AC63" s="30" t="e">
        <f>SUM(AC62+#REF!)</f>
        <v>#REF!</v>
      </c>
      <c r="AD63" s="30" t="e">
        <f>SUM(AD62+#REF!)</f>
        <v>#REF!</v>
      </c>
      <c r="AE63" s="30" t="e">
        <f>SUM(AE62+#REF!)</f>
        <v>#REF!</v>
      </c>
      <c r="AF63" s="30" t="e">
        <f>SUM(AF62+#REF!)</f>
        <v>#REF!</v>
      </c>
      <c r="AG63" s="30" t="e">
        <f>SUM(AG62+#REF!)</f>
        <v>#REF!</v>
      </c>
      <c r="AH63" s="11"/>
      <c r="AI63" s="70" t="e">
        <f>SUM(AG63/AC63)-1</f>
        <v>#REF!</v>
      </c>
    </row>
    <row r="64" spans="2:35" ht="5.0999999999999996" customHeight="1">
      <c r="B64" s="23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11"/>
    </row>
    <row r="65" spans="1:35" ht="12.75" customHeight="1">
      <c r="B65" s="63" t="s">
        <v>76</v>
      </c>
      <c r="C65" s="146">
        <f>C63-C49</f>
        <v>0</v>
      </c>
      <c r="D65" s="146">
        <f>D63-D49</f>
        <v>152705</v>
      </c>
      <c r="E65" s="146">
        <f>E63-E49</f>
        <v>154386</v>
      </c>
      <c r="F65" s="146">
        <f>F63-F49</f>
        <v>0</v>
      </c>
      <c r="G65" s="65"/>
      <c r="H65" s="146">
        <f>H63-H49</f>
        <v>0</v>
      </c>
      <c r="I65" s="146">
        <f>I63-I49</f>
        <v>0</v>
      </c>
      <c r="J65" s="146">
        <f>J63-J49</f>
        <v>0</v>
      </c>
      <c r="K65" s="146">
        <f>K63-K49</f>
        <v>0</v>
      </c>
      <c r="L65" s="146">
        <f>L63-L49</f>
        <v>0</v>
      </c>
      <c r="M65" s="146">
        <f>M63-M49</f>
        <v>0</v>
      </c>
      <c r="N65" s="146">
        <f>N63-N49</f>
        <v>81309.609000000026</v>
      </c>
      <c r="O65" s="146">
        <f>O63-O49</f>
        <v>0</v>
      </c>
      <c r="P65" s="146">
        <f>P63-P49</f>
        <v>0</v>
      </c>
      <c r="Q65" s="146">
        <f>Q63-Q49</f>
        <v>0</v>
      </c>
      <c r="R65" s="146">
        <f>R63-R49</f>
        <v>0</v>
      </c>
      <c r="S65" s="146">
        <f>S63-S49</f>
        <v>0</v>
      </c>
      <c r="T65" s="146">
        <f>T63-T49</f>
        <v>0</v>
      </c>
      <c r="U65" s="146">
        <f>U63-U49</f>
        <v>0</v>
      </c>
      <c r="V65" s="26"/>
      <c r="W65" s="64" t="e">
        <f>W63-W55</f>
        <v>#REF!</v>
      </c>
      <c r="X65" s="64" t="e">
        <f>X63-X55</f>
        <v>#REF!</v>
      </c>
      <c r="Y65" s="64" t="e">
        <f>Y63-Y55</f>
        <v>#REF!</v>
      </c>
      <c r="Z65" s="64" t="e">
        <f>Z63-Z55</f>
        <v>#REF!</v>
      </c>
      <c r="AA65" s="64" t="e">
        <f>AA63-AA55</f>
        <v>#REF!</v>
      </c>
      <c r="AB65" s="64" t="e">
        <f>AB63-AB55</f>
        <v>#REF!</v>
      </c>
      <c r="AC65" s="64" t="e">
        <f>AC63-AC55</f>
        <v>#REF!</v>
      </c>
      <c r="AD65" s="64" t="e">
        <f>AD63-AD55</f>
        <v>#REF!</v>
      </c>
      <c r="AE65" s="64" t="e">
        <f>AE63-AE55</f>
        <v>#REF!</v>
      </c>
      <c r="AF65" s="64" t="e">
        <f>AF63-AF55</f>
        <v>#REF!</v>
      </c>
      <c r="AG65" s="64" t="e">
        <f>AG63-AG55</f>
        <v>#REF!</v>
      </c>
    </row>
    <row r="66" spans="1:35" ht="5.0999999999999996" customHeight="1" thickBot="1">
      <c r="B66" s="105"/>
      <c r="C66" s="106"/>
      <c r="D66" s="106"/>
      <c r="E66" s="106"/>
      <c r="F66" s="106"/>
      <c r="G66" s="107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8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67"/>
      <c r="AI66" s="67"/>
    </row>
    <row r="67" spans="1:35" ht="12.75" customHeight="1">
      <c r="B67" s="143" t="s">
        <v>131</v>
      </c>
      <c r="C67" s="143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</row>
    <row r="68" spans="1:35">
      <c r="B68" s="62"/>
      <c r="C68" s="22"/>
      <c r="D68" s="22"/>
      <c r="E68" s="22"/>
      <c r="F68" s="22"/>
      <c r="G68" s="50"/>
    </row>
    <row r="69" spans="1:35" ht="12.75" customHeight="1">
      <c r="A69" s="5" t="s">
        <v>19</v>
      </c>
      <c r="B69" s="87" t="s">
        <v>16</v>
      </c>
      <c r="C69" s="91" t="s">
        <v>0</v>
      </c>
      <c r="D69" s="91" t="s">
        <v>0</v>
      </c>
      <c r="E69" s="91"/>
      <c r="F69" s="91"/>
      <c r="G69" s="92"/>
      <c r="H69" s="91" t="s">
        <v>1</v>
      </c>
      <c r="I69" s="91"/>
      <c r="J69" s="91"/>
      <c r="K69" s="91"/>
      <c r="L69" s="91"/>
      <c r="M69" s="91"/>
      <c r="N69" s="91"/>
      <c r="O69" s="91"/>
      <c r="P69" s="91"/>
      <c r="Q69" s="91"/>
      <c r="R69" s="91" t="s">
        <v>1</v>
      </c>
      <c r="S69" s="91"/>
      <c r="T69" s="91"/>
      <c r="U69" s="91"/>
      <c r="V69" s="87"/>
      <c r="W69" s="91"/>
      <c r="X69" s="91"/>
      <c r="Y69" s="91"/>
      <c r="Z69" s="91"/>
      <c r="AA69" s="91"/>
      <c r="AB69" s="91"/>
      <c r="AC69" s="91" t="s">
        <v>10</v>
      </c>
      <c r="AD69" s="91"/>
      <c r="AE69" s="91"/>
      <c r="AF69" s="91"/>
      <c r="AG69" s="91"/>
      <c r="AH69" s="92"/>
      <c r="AI69" s="142" t="s">
        <v>24</v>
      </c>
    </row>
    <row r="70" spans="1:35" ht="12.75" customHeight="1">
      <c r="B70" s="88" t="str">
        <f>B7</f>
        <v>Fiscal Period</v>
      </c>
      <c r="C70" s="93">
        <f>C7</f>
        <v>2021</v>
      </c>
      <c r="D70" s="93">
        <f>D7</f>
        <v>2022</v>
      </c>
      <c r="E70" s="93">
        <f>E7</f>
        <v>2023</v>
      </c>
      <c r="F70" s="93">
        <f>F7</f>
        <v>2024</v>
      </c>
      <c r="G70" s="92"/>
      <c r="H70" s="93" t="str">
        <f>H7</f>
        <v>1Q22</v>
      </c>
      <c r="I70" s="93" t="str">
        <f>I7</f>
        <v>2Q22</v>
      </c>
      <c r="J70" s="93" t="str">
        <f>J7</f>
        <v>3Q22</v>
      </c>
      <c r="K70" s="93" t="str">
        <f>K7</f>
        <v>4Q22</v>
      </c>
      <c r="L70" s="93" t="str">
        <f>L7</f>
        <v>1Q23</v>
      </c>
      <c r="M70" s="93" t="str">
        <f>M7</f>
        <v>2Q23</v>
      </c>
      <c r="N70" s="93" t="str">
        <f>N7</f>
        <v>3Q23</v>
      </c>
      <c r="O70" s="93" t="str">
        <f>O7</f>
        <v>4Q23</v>
      </c>
      <c r="P70" s="93" t="str">
        <f>P7</f>
        <v>1Q24</v>
      </c>
      <c r="Q70" s="93" t="str">
        <f>Q7</f>
        <v>2Q24</v>
      </c>
      <c r="R70" s="93" t="str">
        <f>R7</f>
        <v>3Q24</v>
      </c>
      <c r="S70" s="93" t="str">
        <f>S7</f>
        <v>4Q24</v>
      </c>
      <c r="T70" s="93" t="str">
        <f>T7</f>
        <v>1Q25</v>
      </c>
      <c r="U70" s="93" t="str">
        <f>U7</f>
        <v>2Q25</v>
      </c>
      <c r="V70" s="93"/>
      <c r="W70" s="93" t="str">
        <f>W7</f>
        <v>4Q22</v>
      </c>
      <c r="X70" s="93" t="str">
        <f>X7</f>
        <v>1Q23</v>
      </c>
      <c r="Y70" s="93" t="str">
        <f>Y7</f>
        <v>2Q23</v>
      </c>
      <c r="Z70" s="93" t="str">
        <f>Z7</f>
        <v>3Q23</v>
      </c>
      <c r="AA70" s="93" t="str">
        <f>AA7</f>
        <v>4Q23</v>
      </c>
      <c r="AB70" s="93" t="str">
        <f>AB7</f>
        <v>1Q24</v>
      </c>
      <c r="AC70" s="93" t="str">
        <f>AC7</f>
        <v>2Q24</v>
      </c>
      <c r="AD70" s="93" t="str">
        <f>AD7</f>
        <v>3Q24</v>
      </c>
      <c r="AE70" s="93" t="str">
        <f>AE7</f>
        <v>4Q24</v>
      </c>
      <c r="AF70" s="93" t="str">
        <f>AF7</f>
        <v>1Q25</v>
      </c>
      <c r="AG70" s="93" t="str">
        <f>AG7</f>
        <v>2Q25</v>
      </c>
      <c r="AH70" s="92"/>
      <c r="AI70" s="142"/>
    </row>
    <row r="71" spans="1:35" ht="12.75" customHeight="1">
      <c r="B71" s="88" t="str">
        <f>B8</f>
        <v>Fiscal Period End Date</v>
      </c>
      <c r="C71" s="94">
        <f>C8</f>
        <v>44561</v>
      </c>
      <c r="D71" s="94">
        <f>D8</f>
        <v>44926</v>
      </c>
      <c r="E71" s="94">
        <f>E8</f>
        <v>45291</v>
      </c>
      <c r="F71" s="94">
        <f>F8</f>
        <v>45657</v>
      </c>
      <c r="G71" s="92"/>
      <c r="H71" s="94">
        <f>H8</f>
        <v>44651</v>
      </c>
      <c r="I71" s="94">
        <f>I8</f>
        <v>44742</v>
      </c>
      <c r="J71" s="94">
        <f>J8</f>
        <v>44834</v>
      </c>
      <c r="K71" s="94">
        <f>K8</f>
        <v>44926</v>
      </c>
      <c r="L71" s="94">
        <f>L8</f>
        <v>45016</v>
      </c>
      <c r="M71" s="94">
        <f>M8</f>
        <v>45107</v>
      </c>
      <c r="N71" s="94">
        <f>N8</f>
        <v>45199</v>
      </c>
      <c r="O71" s="94">
        <f>O8</f>
        <v>45291</v>
      </c>
      <c r="P71" s="94">
        <f>P8</f>
        <v>45382</v>
      </c>
      <c r="Q71" s="94">
        <f>Q8</f>
        <v>45473</v>
      </c>
      <c r="R71" s="94">
        <f>R8</f>
        <v>45565</v>
      </c>
      <c r="S71" s="94">
        <f>S8</f>
        <v>45657</v>
      </c>
      <c r="T71" s="94">
        <f>T8</f>
        <v>45747</v>
      </c>
      <c r="U71" s="94">
        <f>U8</f>
        <v>45838</v>
      </c>
      <c r="V71" s="94"/>
      <c r="W71" s="94">
        <f>W8</f>
        <v>44926</v>
      </c>
      <c r="X71" s="94">
        <f>X8</f>
        <v>45016</v>
      </c>
      <c r="Y71" s="94">
        <f>Y8</f>
        <v>45107</v>
      </c>
      <c r="Z71" s="94">
        <f>Z8</f>
        <v>45199</v>
      </c>
      <c r="AA71" s="94">
        <f>AA8</f>
        <v>45291</v>
      </c>
      <c r="AB71" s="94">
        <f>AB8</f>
        <v>45382</v>
      </c>
      <c r="AC71" s="94">
        <f>AC8</f>
        <v>45473</v>
      </c>
      <c r="AD71" s="94">
        <f>AD8</f>
        <v>45565</v>
      </c>
      <c r="AE71" s="94">
        <f>AE8</f>
        <v>45657</v>
      </c>
      <c r="AF71" s="94">
        <f>AF8</f>
        <v>45747</v>
      </c>
      <c r="AG71" s="94">
        <f>AG8</f>
        <v>45838</v>
      </c>
      <c r="AH71" s="92"/>
      <c r="AI71" s="142"/>
    </row>
    <row r="72" spans="1:35" ht="5.0999999999999996" customHeight="1">
      <c r="B72" s="51"/>
      <c r="C72" s="46"/>
      <c r="D72" s="46"/>
      <c r="E72" s="46"/>
      <c r="F72" s="46"/>
    </row>
    <row r="73" spans="1:35" ht="12.75" customHeight="1">
      <c r="B73" s="52" t="s">
        <v>67</v>
      </c>
      <c r="C73" s="53"/>
      <c r="D73" s="53"/>
      <c r="E73" s="53"/>
      <c r="F73" s="53"/>
    </row>
    <row r="74" spans="1:35" ht="12.75" customHeight="1">
      <c r="B74" s="54" t="s">
        <v>68</v>
      </c>
      <c r="C74" s="30">
        <f>C32</f>
        <v>-37909</v>
      </c>
      <c r="D74" s="30">
        <f>D32</f>
        <v>-47978</v>
      </c>
      <c r="E74" s="30">
        <f>E32</f>
        <v>-47505</v>
      </c>
      <c r="F74" s="30">
        <f>F32</f>
        <v>-43002</v>
      </c>
      <c r="G74" s="30"/>
      <c r="H74" s="30">
        <f>H32</f>
        <v>-10882.366999999998</v>
      </c>
      <c r="I74" s="103">
        <f>I32</f>
        <v>-10437.810999999998</v>
      </c>
      <c r="J74" s="30">
        <f>J32</f>
        <v>-12367.341000000002</v>
      </c>
      <c r="K74" s="30">
        <f>K32</f>
        <v>-14290.481</v>
      </c>
      <c r="L74" s="30">
        <f>L32</f>
        <v>-12971.717999999999</v>
      </c>
      <c r="M74" s="103">
        <f>M32</f>
        <v>-13107.278999999999</v>
      </c>
      <c r="N74" s="30">
        <f>N32</f>
        <v>-11279.976000000001</v>
      </c>
      <c r="O74" s="30">
        <f t="shared" ref="O74" si="106">SUM(E74-SUM(L74:N74))</f>
        <v>-10146.027000000002</v>
      </c>
      <c r="P74" s="30">
        <f>P32</f>
        <v>-8622</v>
      </c>
      <c r="Q74" s="30">
        <f>Q32</f>
        <v>-10546</v>
      </c>
      <c r="R74" s="30">
        <f>R32</f>
        <v>-12214</v>
      </c>
      <c r="S74" s="30">
        <f>SUM(F74-SUM(P74:R74))</f>
        <v>-11620</v>
      </c>
      <c r="T74" s="30">
        <f>T32</f>
        <v>0</v>
      </c>
      <c r="U74" s="30">
        <f>U32</f>
        <v>0</v>
      </c>
      <c r="W74" s="30">
        <f t="shared" ref="W74:AB74" si="107">SUM(I74:L74)</f>
        <v>-50067.351000000002</v>
      </c>
      <c r="X74" s="30">
        <f t="shared" si="107"/>
        <v>-52736.819000000003</v>
      </c>
      <c r="Y74" s="30">
        <f t="shared" si="107"/>
        <v>-51649.454000000005</v>
      </c>
      <c r="Z74" s="30">
        <f t="shared" si="107"/>
        <v>-47505</v>
      </c>
      <c r="AA74" s="30">
        <f t="shared" si="107"/>
        <v>-43155.281999999999</v>
      </c>
      <c r="AB74" s="30">
        <f t="shared" si="107"/>
        <v>-40594.003000000004</v>
      </c>
      <c r="AC74" s="30">
        <f t="shared" ref="AC74" si="108">SUM(N74:Q74)</f>
        <v>-40594.003000000004</v>
      </c>
      <c r="AD74" s="30">
        <f t="shared" ref="AD74" si="109">SUM(O74:R74)</f>
        <v>-41528.027000000002</v>
      </c>
      <c r="AE74" s="30">
        <f t="shared" ref="AE74" si="110">SUM(P74:S74)</f>
        <v>-43002</v>
      </c>
      <c r="AF74" s="30">
        <f t="shared" ref="AF74" si="111">SUM(Q74:T74)</f>
        <v>-34380</v>
      </c>
      <c r="AG74" s="30">
        <f>SUM(R74:U74)</f>
        <v>-23834</v>
      </c>
      <c r="AH74" s="11"/>
      <c r="AI74" s="69">
        <f>SUM(AG74/AC74)-1</f>
        <v>-0.41286894027179344</v>
      </c>
    </row>
    <row r="75" spans="1:35" ht="5.0999999999999996" customHeight="1"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11"/>
      <c r="AI75" s="69"/>
    </row>
    <row r="76" spans="1:35" ht="12.75" customHeight="1">
      <c r="B76" s="34" t="s">
        <v>75</v>
      </c>
      <c r="C76" s="30"/>
      <c r="D76" s="30"/>
      <c r="E76" s="30"/>
      <c r="F76" s="30"/>
      <c r="G76" s="30"/>
      <c r="H76" s="30"/>
      <c r="I76" s="30"/>
      <c r="J76" s="30"/>
      <c r="K76" s="30"/>
      <c r="L76" s="78"/>
      <c r="M76" s="78"/>
      <c r="N76" s="78"/>
      <c r="O76" s="30"/>
      <c r="P76" s="78"/>
      <c r="Q76" s="78"/>
      <c r="R76" s="78"/>
      <c r="S76" s="30"/>
      <c r="T76" s="78"/>
      <c r="U76" s="78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56"/>
      <c r="AI76" s="69"/>
    </row>
    <row r="77" spans="1:35" ht="12.75" customHeight="1">
      <c r="B77" s="57" t="s">
        <v>147</v>
      </c>
      <c r="C77" s="78"/>
      <c r="D77" s="78"/>
      <c r="E77" s="78">
        <v>845</v>
      </c>
      <c r="F77" s="78">
        <v>0</v>
      </c>
      <c r="G77" s="30"/>
      <c r="H77" s="78"/>
      <c r="I77" s="30"/>
      <c r="J77" s="30"/>
      <c r="K77" s="30">
        <f t="shared" ref="K77:K79" si="112">SUM(D77-SUM(H77:J77))</f>
        <v>0</v>
      </c>
      <c r="L77" s="78">
        <v>0</v>
      </c>
      <c r="M77" s="30">
        <f>844.5-L77</f>
        <v>844.5</v>
      </c>
      <c r="N77" s="30">
        <f>844.5-M77-L77</f>
        <v>0</v>
      </c>
      <c r="O77" s="30">
        <f>SUM(E77-SUM(L77:N77))</f>
        <v>0.5</v>
      </c>
      <c r="P77" s="78"/>
      <c r="Q77" s="30">
        <v>0</v>
      </c>
      <c r="R77" s="30">
        <v>0</v>
      </c>
      <c r="S77" s="30">
        <f t="shared" ref="S77:S79" si="113">SUM(F77-SUM(P77:R77))</f>
        <v>0</v>
      </c>
      <c r="T77" s="78"/>
      <c r="U77" s="30"/>
      <c r="W77" s="30">
        <f t="shared" ref="W77:AB79" si="114">SUM(I77:L77)</f>
        <v>0</v>
      </c>
      <c r="X77" s="30">
        <f t="shared" si="114"/>
        <v>844.5</v>
      </c>
      <c r="Y77" s="30">
        <f t="shared" si="114"/>
        <v>844.5</v>
      </c>
      <c r="Z77" s="30">
        <f t="shared" si="114"/>
        <v>845</v>
      </c>
      <c r="AA77" s="30">
        <f t="shared" si="114"/>
        <v>845</v>
      </c>
      <c r="AB77" s="30">
        <f t="shared" si="114"/>
        <v>0.5</v>
      </c>
      <c r="AC77" s="30">
        <f t="shared" ref="AC77" si="115">SUM(N77:Q77)</f>
        <v>0.5</v>
      </c>
      <c r="AD77" s="30">
        <f t="shared" ref="AD77" si="116">SUM(O77:R77)</f>
        <v>0.5</v>
      </c>
      <c r="AE77" s="30">
        <f t="shared" ref="AE77" si="117">SUM(P77:S77)</f>
        <v>0</v>
      </c>
      <c r="AF77" s="30">
        <f t="shared" ref="AF77" si="118">SUM(Q77:T77)</f>
        <v>0</v>
      </c>
      <c r="AG77" s="30">
        <f>SUM(R77:U77)</f>
        <v>0</v>
      </c>
      <c r="AH77" s="11"/>
      <c r="AI77" s="69">
        <f t="shared" ref="AI77:AI82" si="119">SUM(AG77/AC77)-1</f>
        <v>-1</v>
      </c>
    </row>
    <row r="78" spans="1:35" ht="12.75" customHeight="1">
      <c r="B78" s="57" t="s">
        <v>140</v>
      </c>
      <c r="C78" s="78"/>
      <c r="D78" s="78"/>
      <c r="E78" s="78"/>
      <c r="F78" s="78"/>
      <c r="G78" s="30"/>
      <c r="H78" s="78"/>
      <c r="I78" s="30"/>
      <c r="J78" s="30"/>
      <c r="K78" s="30">
        <f t="shared" si="112"/>
        <v>0</v>
      </c>
      <c r="L78" s="78"/>
      <c r="M78" s="30"/>
      <c r="N78" s="30"/>
      <c r="O78" s="30">
        <f t="shared" ref="O78:O79" si="120">SUM(E78-SUM(L78:N78))</f>
        <v>0</v>
      </c>
      <c r="P78" s="78"/>
      <c r="Q78" s="30"/>
      <c r="R78" s="30">
        <f>-59-Q78-P704</f>
        <v>-59</v>
      </c>
      <c r="S78" s="30">
        <f t="shared" si="113"/>
        <v>59</v>
      </c>
      <c r="T78" s="78"/>
      <c r="U78" s="30"/>
      <c r="W78" s="30">
        <f t="shared" si="114"/>
        <v>0</v>
      </c>
      <c r="X78" s="30">
        <f t="shared" si="114"/>
        <v>0</v>
      </c>
      <c r="Y78" s="30">
        <f t="shared" si="114"/>
        <v>0</v>
      </c>
      <c r="Z78" s="30">
        <f t="shared" si="114"/>
        <v>0</v>
      </c>
      <c r="AA78" s="30">
        <f t="shared" si="114"/>
        <v>0</v>
      </c>
      <c r="AB78" s="30">
        <f t="shared" si="114"/>
        <v>0</v>
      </c>
      <c r="AC78" s="30">
        <f t="shared" ref="AC78:AC79" si="121">SUM(N78:Q78)</f>
        <v>0</v>
      </c>
      <c r="AD78" s="30">
        <f t="shared" ref="AD78:AD79" si="122">SUM(O78:R78)</f>
        <v>-59</v>
      </c>
      <c r="AE78" s="30">
        <f t="shared" ref="AE78:AE79" si="123">SUM(P78:S78)</f>
        <v>0</v>
      </c>
      <c r="AF78" s="30">
        <f t="shared" ref="AF78:AF79" si="124">SUM(Q78:T78)</f>
        <v>0</v>
      </c>
      <c r="AG78" s="30">
        <f t="shared" ref="AG78:AG79" si="125">SUM(R78:U78)</f>
        <v>0</v>
      </c>
      <c r="AH78" s="11"/>
      <c r="AI78" s="69" t="e">
        <f t="shared" si="119"/>
        <v>#DIV/0!</v>
      </c>
    </row>
    <row r="79" spans="1:35" ht="12.75" customHeight="1">
      <c r="B79" s="57" t="s">
        <v>148</v>
      </c>
      <c r="C79" s="78">
        <v>8231</v>
      </c>
      <c r="D79" s="78">
        <v>18379</v>
      </c>
      <c r="E79" s="78">
        <v>16370</v>
      </c>
      <c r="F79" s="78">
        <v>9438</v>
      </c>
      <c r="G79" s="30"/>
      <c r="H79" s="78">
        <v>3908.7710000000002</v>
      </c>
      <c r="I79" s="30">
        <f>8348.23-H79</f>
        <v>4439.4589999999989</v>
      </c>
      <c r="J79" s="30">
        <f>12336.844-I79-H79</f>
        <v>3988.614</v>
      </c>
      <c r="K79" s="30">
        <f t="shared" si="112"/>
        <v>6042.1560000000009</v>
      </c>
      <c r="L79" s="78">
        <v>5346.5079999999998</v>
      </c>
      <c r="M79" s="30">
        <f>9316.572-L79</f>
        <v>3970.0640000000003</v>
      </c>
      <c r="N79" s="30">
        <f>13183.353-M79-L79</f>
        <v>3866.780999999999</v>
      </c>
      <c r="O79" s="30">
        <f t="shared" si="120"/>
        <v>3186.6470000000008</v>
      </c>
      <c r="P79" s="78">
        <v>2286</v>
      </c>
      <c r="Q79" s="30">
        <f>4938-P79</f>
        <v>2652</v>
      </c>
      <c r="R79" s="30">
        <f>7425-Q79-P79</f>
        <v>2487</v>
      </c>
      <c r="S79" s="30">
        <f t="shared" si="113"/>
        <v>2013</v>
      </c>
      <c r="T79" s="78"/>
      <c r="U79" s="30"/>
      <c r="W79" s="30">
        <f t="shared" si="114"/>
        <v>19816.737000000001</v>
      </c>
      <c r="X79" s="30">
        <f t="shared" si="114"/>
        <v>19347.342000000001</v>
      </c>
      <c r="Y79" s="30">
        <f t="shared" si="114"/>
        <v>19225.508999999998</v>
      </c>
      <c r="Z79" s="30">
        <f t="shared" si="114"/>
        <v>16370</v>
      </c>
      <c r="AA79" s="30">
        <f t="shared" si="114"/>
        <v>13309.492</v>
      </c>
      <c r="AB79" s="30">
        <f t="shared" si="114"/>
        <v>11991.428</v>
      </c>
      <c r="AC79" s="30">
        <f t="shared" si="121"/>
        <v>11991.428</v>
      </c>
      <c r="AD79" s="30">
        <f t="shared" si="122"/>
        <v>10611.647000000001</v>
      </c>
      <c r="AE79" s="30">
        <f t="shared" si="123"/>
        <v>9438</v>
      </c>
      <c r="AF79" s="30">
        <f t="shared" si="124"/>
        <v>7152</v>
      </c>
      <c r="AG79" s="30">
        <f t="shared" si="125"/>
        <v>4500</v>
      </c>
      <c r="AH79" s="11"/>
      <c r="AI79" s="69">
        <f t="shared" si="119"/>
        <v>-0.6247319335111714</v>
      </c>
    </row>
    <row r="80" spans="1:35" ht="5.0999999999999996" customHeight="1">
      <c r="B80" s="8"/>
      <c r="C80" s="78"/>
      <c r="D80" s="78"/>
      <c r="E80" s="78"/>
      <c r="F80" s="78"/>
      <c r="G80" s="30"/>
      <c r="H80" s="78"/>
      <c r="I80" s="30"/>
      <c r="J80" s="30"/>
      <c r="K80" s="30"/>
      <c r="L80" s="78"/>
      <c r="M80" s="30"/>
      <c r="N80" s="30"/>
      <c r="O80" s="30"/>
      <c r="P80" s="78"/>
      <c r="Q80" s="30"/>
      <c r="R80" s="30"/>
      <c r="S80" s="30"/>
      <c r="T80" s="78"/>
      <c r="U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11"/>
      <c r="AI80" s="69"/>
    </row>
    <row r="81" spans="2:35" ht="12.75" customHeight="1">
      <c r="B81" s="34" t="s">
        <v>15</v>
      </c>
      <c r="C81" s="78"/>
      <c r="D81" s="78"/>
      <c r="E81" s="78"/>
      <c r="F81" s="78"/>
      <c r="G81" s="30"/>
      <c r="H81" s="78"/>
      <c r="I81" s="30"/>
      <c r="J81" s="30"/>
      <c r="K81" s="30"/>
      <c r="L81" s="78"/>
      <c r="M81" s="30"/>
      <c r="N81" s="30"/>
      <c r="O81" s="30"/>
      <c r="P81" s="78"/>
      <c r="Q81" s="30"/>
      <c r="R81" s="30"/>
      <c r="S81" s="30"/>
      <c r="T81" s="78"/>
      <c r="U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56"/>
      <c r="AI81" s="69"/>
    </row>
    <row r="82" spans="2:35" ht="12.75" customHeight="1">
      <c r="B82" s="57" t="s">
        <v>142</v>
      </c>
      <c r="C82" s="78">
        <v>-4287</v>
      </c>
      <c r="D82" s="78">
        <v>5944</v>
      </c>
      <c r="E82" s="78">
        <v>484</v>
      </c>
      <c r="F82" s="78">
        <v>260</v>
      </c>
      <c r="G82" s="30"/>
      <c r="H82" s="78">
        <v>3764.6779999999999</v>
      </c>
      <c r="I82" s="30">
        <f>2667.844-H82</f>
        <v>-1096.8339999999998</v>
      </c>
      <c r="J82" s="30">
        <f>2577.002-I82-H82</f>
        <v>-90.842000000000098</v>
      </c>
      <c r="K82" s="30">
        <f t="shared" ref="K82:K86" si="126">SUM(D82-SUM(H82:J82))</f>
        <v>3366.998</v>
      </c>
      <c r="L82" s="78">
        <v>-901.851</v>
      </c>
      <c r="M82" s="30">
        <f>-1545.081-L82</f>
        <v>-643.2299999999999</v>
      </c>
      <c r="N82" s="30">
        <f>102.7453-M82-L82</f>
        <v>1647.8262999999999</v>
      </c>
      <c r="O82" s="30">
        <f t="shared" ref="O82:O86" si="127">SUM(E82-SUM(L82:N82))</f>
        <v>381.25469999999996</v>
      </c>
      <c r="P82" s="78">
        <v>-840</v>
      </c>
      <c r="Q82" s="30">
        <f>-1076-P82</f>
        <v>-236</v>
      </c>
      <c r="R82" s="30">
        <f>989-Q82-P82</f>
        <v>2065</v>
      </c>
      <c r="S82" s="30">
        <f t="shared" ref="S82:S86" si="128">SUM(F82-SUM(P82:R82))</f>
        <v>-729</v>
      </c>
      <c r="T82" s="78"/>
      <c r="U82" s="30"/>
      <c r="W82" s="30">
        <f t="shared" ref="W82:AB86" si="129">SUM(I82:L82)</f>
        <v>1277.471</v>
      </c>
      <c r="X82" s="30">
        <f t="shared" si="129"/>
        <v>1731.0749999999998</v>
      </c>
      <c r="Y82" s="30">
        <f t="shared" si="129"/>
        <v>3469.7433000000001</v>
      </c>
      <c r="Z82" s="30">
        <f t="shared" si="129"/>
        <v>484</v>
      </c>
      <c r="AA82" s="30">
        <f t="shared" si="129"/>
        <v>545.85100000000011</v>
      </c>
      <c r="AB82" s="30">
        <f t="shared" si="129"/>
        <v>953.0809999999999</v>
      </c>
      <c r="AC82" s="30">
        <f t="shared" ref="AC82:AC86" si="130">SUM(N82:Q82)</f>
        <v>953.0809999999999</v>
      </c>
      <c r="AD82" s="30">
        <f t="shared" ref="AD82:AD86" si="131">SUM(O82:R82)</f>
        <v>1370.2547</v>
      </c>
      <c r="AE82" s="30">
        <f t="shared" ref="AE82:AE86" si="132">SUM(P82:S82)</f>
        <v>260</v>
      </c>
      <c r="AF82" s="30">
        <f t="shared" ref="AF82:AF86" si="133">SUM(Q82:T82)</f>
        <v>1100</v>
      </c>
      <c r="AG82" s="30">
        <f t="shared" ref="AG82:AG86" si="134">SUM(R82:U82)</f>
        <v>1336</v>
      </c>
      <c r="AH82" s="56"/>
      <c r="AI82" s="69">
        <f t="shared" si="119"/>
        <v>0.40176962923403159</v>
      </c>
    </row>
    <row r="83" spans="2:35" ht="12.75" customHeight="1">
      <c r="B83" s="57" t="s">
        <v>149</v>
      </c>
      <c r="C83" s="78">
        <v>88</v>
      </c>
      <c r="D83" s="78">
        <v>1</v>
      </c>
      <c r="E83" s="78">
        <v>-299</v>
      </c>
      <c r="F83" s="78">
        <v>-278</v>
      </c>
      <c r="G83" s="30"/>
      <c r="H83" s="78">
        <v>-22.311</v>
      </c>
      <c r="I83" s="30">
        <f>-109.056-H83</f>
        <v>-86.745000000000005</v>
      </c>
      <c r="J83" s="30">
        <f>-106.414-I83-H83</f>
        <v>2.642000000000003</v>
      </c>
      <c r="K83" s="30">
        <f t="shared" si="126"/>
        <v>107.41400000000002</v>
      </c>
      <c r="L83" s="78">
        <v>-301.48099999999999</v>
      </c>
      <c r="M83" s="30">
        <f>-627.612-L83</f>
        <v>-326.13099999999997</v>
      </c>
      <c r="N83" s="30">
        <f>-473.41-M83-L83</f>
        <v>154.20199999999994</v>
      </c>
      <c r="O83" s="30">
        <f t="shared" si="127"/>
        <v>174.41000000000003</v>
      </c>
      <c r="P83" s="78">
        <v>-103</v>
      </c>
      <c r="Q83" s="30">
        <f>-692-P83</f>
        <v>-589</v>
      </c>
      <c r="R83" s="30">
        <f>-406-Q83-P83</f>
        <v>286</v>
      </c>
      <c r="S83" s="30">
        <f t="shared" si="128"/>
        <v>128</v>
      </c>
      <c r="T83" s="78"/>
      <c r="U83" s="30"/>
      <c r="W83" s="30">
        <f t="shared" si="129"/>
        <v>-278.16999999999996</v>
      </c>
      <c r="X83" s="30">
        <f t="shared" si="129"/>
        <v>-517.55599999999993</v>
      </c>
      <c r="Y83" s="30">
        <f t="shared" si="129"/>
        <v>-365.99600000000004</v>
      </c>
      <c r="Z83" s="30">
        <f t="shared" si="129"/>
        <v>-299</v>
      </c>
      <c r="AA83" s="30">
        <f t="shared" si="129"/>
        <v>-100.51900000000001</v>
      </c>
      <c r="AB83" s="30">
        <f t="shared" si="129"/>
        <v>-363.38800000000003</v>
      </c>
      <c r="AC83" s="30">
        <f t="shared" si="130"/>
        <v>-363.38800000000003</v>
      </c>
      <c r="AD83" s="30">
        <f t="shared" si="131"/>
        <v>-231.58999999999992</v>
      </c>
      <c r="AE83" s="30">
        <f t="shared" si="132"/>
        <v>-278</v>
      </c>
      <c r="AF83" s="30">
        <f t="shared" si="133"/>
        <v>-175</v>
      </c>
      <c r="AG83" s="30">
        <f t="shared" si="134"/>
        <v>414</v>
      </c>
      <c r="AH83" s="56"/>
      <c r="AI83" s="69">
        <f t="shared" ref="AI83:AI86" si="135">SUM(AG83/AC83)-1</f>
        <v>-2.139278126960714</v>
      </c>
    </row>
    <row r="84" spans="2:35" ht="12.75" customHeight="1">
      <c r="B84" s="57" t="s">
        <v>14</v>
      </c>
      <c r="C84" s="78">
        <v>751</v>
      </c>
      <c r="D84" s="78">
        <v>-914</v>
      </c>
      <c r="E84" s="78">
        <v>497</v>
      </c>
      <c r="F84" s="78">
        <v>5305</v>
      </c>
      <c r="G84" s="30"/>
      <c r="H84" s="78">
        <v>-104.992</v>
      </c>
      <c r="I84" s="30">
        <f>-2107.893-H84</f>
        <v>-2002.9010000000001</v>
      </c>
      <c r="J84" s="30">
        <f>-1612.889-I84-H84</f>
        <v>495.00400000000019</v>
      </c>
      <c r="K84" s="30">
        <f t="shared" si="126"/>
        <v>698.8889999999999</v>
      </c>
      <c r="L84" s="78">
        <v>1463.4839999999999</v>
      </c>
      <c r="M84" s="30">
        <f>2456.965-L84</f>
        <v>993.48100000000022</v>
      </c>
      <c r="N84" s="30">
        <f>328.069-M84-L84</f>
        <v>-2128.8960000000002</v>
      </c>
      <c r="O84" s="30">
        <f t="shared" si="127"/>
        <v>168.93100000000004</v>
      </c>
      <c r="P84" s="78">
        <v>-30</v>
      </c>
      <c r="Q84" s="30">
        <f>-596-P84</f>
        <v>-566</v>
      </c>
      <c r="R84" s="30">
        <f>-760-Q84-P84</f>
        <v>-164</v>
      </c>
      <c r="S84" s="30">
        <f t="shared" si="128"/>
        <v>6065</v>
      </c>
      <c r="T84" s="78"/>
      <c r="U84" s="30"/>
      <c r="W84" s="30">
        <f t="shared" si="129"/>
        <v>654.47599999999989</v>
      </c>
      <c r="X84" s="30">
        <f t="shared" si="129"/>
        <v>3650.8580000000002</v>
      </c>
      <c r="Y84" s="30">
        <f t="shared" si="129"/>
        <v>1026.9579999999996</v>
      </c>
      <c r="Z84" s="30">
        <f t="shared" si="129"/>
        <v>497</v>
      </c>
      <c r="AA84" s="30">
        <f t="shared" si="129"/>
        <v>-996.48399999999992</v>
      </c>
      <c r="AB84" s="30">
        <f t="shared" si="129"/>
        <v>-2555.9650000000001</v>
      </c>
      <c r="AC84" s="30">
        <f t="shared" si="130"/>
        <v>-2555.9650000000001</v>
      </c>
      <c r="AD84" s="30">
        <f t="shared" si="131"/>
        <v>-591.06899999999996</v>
      </c>
      <c r="AE84" s="30">
        <f t="shared" si="132"/>
        <v>5305</v>
      </c>
      <c r="AF84" s="30">
        <f t="shared" si="133"/>
        <v>5335</v>
      </c>
      <c r="AG84" s="30">
        <f t="shared" si="134"/>
        <v>5901</v>
      </c>
      <c r="AH84" s="56"/>
      <c r="AI84" s="69">
        <f t="shared" si="135"/>
        <v>-3.3087170598971425</v>
      </c>
    </row>
    <row r="85" spans="2:35" ht="12.75" customHeight="1">
      <c r="B85" s="57" t="s">
        <v>150</v>
      </c>
      <c r="C85" s="78">
        <v>2298</v>
      </c>
      <c r="D85" s="78">
        <v>330</v>
      </c>
      <c r="E85" s="78">
        <v>1350</v>
      </c>
      <c r="F85" s="78">
        <v>-2460</v>
      </c>
      <c r="G85" s="30"/>
      <c r="H85" s="78">
        <v>-164.73400000000001</v>
      </c>
      <c r="I85" s="30">
        <f>-619.386-H85</f>
        <v>-454.65199999999993</v>
      </c>
      <c r="J85" s="30">
        <f>299.047-I85-H85</f>
        <v>918.43299999999999</v>
      </c>
      <c r="K85" s="30">
        <f t="shared" si="126"/>
        <v>30.952999999999975</v>
      </c>
      <c r="L85" s="78">
        <v>1097.8689999999999</v>
      </c>
      <c r="M85" s="30">
        <f>877.885-L85</f>
        <v>-219.98399999999992</v>
      </c>
      <c r="N85" s="30">
        <f>40.705-M85-L85</f>
        <v>-837.18000000000006</v>
      </c>
      <c r="O85" s="30">
        <f t="shared" si="127"/>
        <v>1309.2950000000001</v>
      </c>
      <c r="P85" s="78">
        <v>-9</v>
      </c>
      <c r="Q85" s="30">
        <f>-2380-P85</f>
        <v>-2371</v>
      </c>
      <c r="R85" s="30">
        <f>39-Q85-P85</f>
        <v>2419</v>
      </c>
      <c r="S85" s="30">
        <f t="shared" si="128"/>
        <v>-2499</v>
      </c>
      <c r="T85" s="78"/>
      <c r="U85" s="30"/>
      <c r="W85" s="30">
        <f t="shared" si="129"/>
        <v>1592.6030000000001</v>
      </c>
      <c r="X85" s="30">
        <f t="shared" si="129"/>
        <v>1827.271</v>
      </c>
      <c r="Y85" s="30">
        <f t="shared" si="129"/>
        <v>71.657999999999902</v>
      </c>
      <c r="Z85" s="30">
        <f t="shared" si="129"/>
        <v>1350</v>
      </c>
      <c r="AA85" s="30">
        <f t="shared" si="129"/>
        <v>243.13100000000009</v>
      </c>
      <c r="AB85" s="30">
        <f t="shared" si="129"/>
        <v>-1907.885</v>
      </c>
      <c r="AC85" s="30">
        <f t="shared" si="130"/>
        <v>-1907.885</v>
      </c>
      <c r="AD85" s="30">
        <f t="shared" si="131"/>
        <v>1348.2950000000001</v>
      </c>
      <c r="AE85" s="30">
        <f t="shared" si="132"/>
        <v>-2460</v>
      </c>
      <c r="AF85" s="30">
        <f t="shared" si="133"/>
        <v>-2451</v>
      </c>
      <c r="AG85" s="30">
        <f t="shared" si="134"/>
        <v>-80</v>
      </c>
      <c r="AH85" s="56"/>
      <c r="AI85" s="69">
        <f t="shared" si="135"/>
        <v>-0.95806875152328363</v>
      </c>
    </row>
    <row r="86" spans="2:35" ht="12.75" customHeight="1">
      <c r="B86" s="57" t="s">
        <v>151</v>
      </c>
      <c r="C86" s="78">
        <v>444</v>
      </c>
      <c r="D86" s="78">
        <v>0</v>
      </c>
      <c r="E86" s="78">
        <v>473</v>
      </c>
      <c r="F86" s="78">
        <v>-75</v>
      </c>
      <c r="G86" s="30"/>
      <c r="H86" s="78"/>
      <c r="I86" s="30" t="s">
        <v>141</v>
      </c>
      <c r="J86" s="30" t="s">
        <v>141</v>
      </c>
      <c r="K86" s="30">
        <f t="shared" si="126"/>
        <v>0</v>
      </c>
      <c r="L86" s="78">
        <v>472.93200000000002</v>
      </c>
      <c r="M86" s="30">
        <f>472.932-L86</f>
        <v>0</v>
      </c>
      <c r="N86" s="30">
        <f>472.932-M86-L86</f>
        <v>0</v>
      </c>
      <c r="O86" s="30">
        <f t="shared" si="127"/>
        <v>6.7999999999983629E-2</v>
      </c>
      <c r="P86" s="78" t="s">
        <v>141</v>
      </c>
      <c r="Q86" s="30">
        <v>0</v>
      </c>
      <c r="R86" s="30">
        <v>0</v>
      </c>
      <c r="S86" s="30">
        <f t="shared" si="128"/>
        <v>-75</v>
      </c>
      <c r="T86" s="78"/>
      <c r="U86" s="30"/>
      <c r="W86" s="30">
        <f t="shared" si="129"/>
        <v>472.93200000000002</v>
      </c>
      <c r="X86" s="30">
        <f t="shared" si="129"/>
        <v>472.93200000000002</v>
      </c>
      <c r="Y86" s="30">
        <f t="shared" si="129"/>
        <v>472.93200000000002</v>
      </c>
      <c r="Z86" s="30">
        <f t="shared" si="129"/>
        <v>473</v>
      </c>
      <c r="AA86" s="30">
        <f t="shared" si="129"/>
        <v>6.7999999999983629E-2</v>
      </c>
      <c r="AB86" s="30">
        <f t="shared" si="129"/>
        <v>6.7999999999983629E-2</v>
      </c>
      <c r="AC86" s="30">
        <f t="shared" si="130"/>
        <v>6.7999999999983629E-2</v>
      </c>
      <c r="AD86" s="30">
        <f t="shared" si="131"/>
        <v>6.7999999999983629E-2</v>
      </c>
      <c r="AE86" s="30">
        <f t="shared" si="132"/>
        <v>-75</v>
      </c>
      <c r="AF86" s="30">
        <f t="shared" si="133"/>
        <v>-75</v>
      </c>
      <c r="AG86" s="30">
        <f t="shared" si="134"/>
        <v>-75</v>
      </c>
      <c r="AH86" s="56"/>
      <c r="AI86" s="69">
        <f t="shared" si="135"/>
        <v>-1103.9411764708539</v>
      </c>
    </row>
    <row r="87" spans="2:35" ht="12.75" customHeight="1">
      <c r="B87" s="12" t="s">
        <v>69</v>
      </c>
      <c r="C87" s="13">
        <f>SUM(C74:C86)</f>
        <v>-30384</v>
      </c>
      <c r="D87" s="13">
        <f>SUM(D74:D86)</f>
        <v>-24238</v>
      </c>
      <c r="E87" s="13">
        <f>SUM(E74:E86)</f>
        <v>-27785</v>
      </c>
      <c r="F87" s="13">
        <f>SUM(F74:F86)</f>
        <v>-30812</v>
      </c>
      <c r="H87" s="13">
        <f>SUM(H74:H86)</f>
        <v>-3500.9549999999981</v>
      </c>
      <c r="I87" s="13">
        <f>SUM(I74:I86)</f>
        <v>-9639.4839999999986</v>
      </c>
      <c r="J87" s="13">
        <f>SUM(J74:J86)</f>
        <v>-7053.4900000000034</v>
      </c>
      <c r="K87" s="13">
        <f>SUM(K74:K86)</f>
        <v>-4044.0709999999995</v>
      </c>
      <c r="L87" s="32">
        <f>SUM(L74:L86)</f>
        <v>-5794.2569999999996</v>
      </c>
      <c r="M87" s="13">
        <f>SUM(M74:M86)</f>
        <v>-8488.5789999999979</v>
      </c>
      <c r="N87" s="13">
        <f>SUM(N74:N86)</f>
        <v>-8577.2427000000025</v>
      </c>
      <c r="O87" s="13">
        <f>SUM(O74:O86)</f>
        <v>-4924.9213000000009</v>
      </c>
      <c r="P87" s="13">
        <f>SUM(P74:P86)</f>
        <v>-7318</v>
      </c>
      <c r="Q87" s="13">
        <f>SUM(Q74:Q86)</f>
        <v>-11656</v>
      </c>
      <c r="R87" s="13">
        <f>SUM(R74:R86)</f>
        <v>-5180</v>
      </c>
      <c r="S87" s="13">
        <f>SUM(S74:S86)</f>
        <v>-6658</v>
      </c>
      <c r="T87" s="13">
        <f>SUM(T74:T86)</f>
        <v>0</v>
      </c>
      <c r="U87" s="13">
        <f>SUM(U74:U86)</f>
        <v>0</v>
      </c>
      <c r="W87" s="13">
        <f>SUM(W74:W86)</f>
        <v>-26531.302</v>
      </c>
      <c r="X87" s="13">
        <f>SUM(X74:X86)</f>
        <v>-25380.397000000001</v>
      </c>
      <c r="Y87" s="13">
        <f>SUM(Y74:Y86)</f>
        <v>-26904.149700000005</v>
      </c>
      <c r="Z87" s="13">
        <f>SUM(Z74:Z86)</f>
        <v>-27785</v>
      </c>
      <c r="AA87" s="13">
        <f>SUM(AA74:AA86)</f>
        <v>-29308.743000000002</v>
      </c>
      <c r="AB87" s="13">
        <f>SUM(AB74:AB86)</f>
        <v>-32476.164000000004</v>
      </c>
      <c r="AC87" s="13">
        <f>SUM(AC74:AC86)</f>
        <v>-32476.164000000004</v>
      </c>
      <c r="AD87" s="13">
        <f>SUM(AD74:AD86)</f>
        <v>-29078.921300000002</v>
      </c>
      <c r="AE87" s="13">
        <f>SUM(AE74:AE86)</f>
        <v>-30812</v>
      </c>
      <c r="AF87" s="13">
        <f>SUM(AF74:AF86)</f>
        <v>-23494</v>
      </c>
      <c r="AG87" s="13">
        <f>SUM(AG74:AG86)</f>
        <v>-11838</v>
      </c>
      <c r="AH87" s="40"/>
      <c r="AI87" s="70">
        <f>SUM(AG87/AC87)-1</f>
        <v>-0.63548650634970316</v>
      </c>
    </row>
    <row r="88" spans="2:35" ht="12.75" customHeight="1">
      <c r="B88" s="50"/>
      <c r="C88" s="58"/>
      <c r="D88" s="58"/>
      <c r="E88" s="58"/>
      <c r="F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37"/>
    </row>
    <row r="89" spans="2:35" ht="12.75" customHeight="1">
      <c r="B89" s="137" t="s">
        <v>70</v>
      </c>
      <c r="C89" s="55"/>
      <c r="D89" s="55"/>
      <c r="E89" s="55"/>
      <c r="F89" s="55"/>
      <c r="H89" s="55"/>
      <c r="I89" s="55"/>
      <c r="J89" s="55"/>
      <c r="K89" s="30"/>
      <c r="L89" s="78"/>
      <c r="M89" s="78"/>
      <c r="N89" s="78"/>
      <c r="O89" s="30"/>
      <c r="P89" s="78"/>
      <c r="Q89" s="78"/>
      <c r="R89" s="78"/>
      <c r="S89" s="30"/>
      <c r="T89" s="78"/>
      <c r="U89" s="78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6"/>
      <c r="AI89" s="37"/>
    </row>
    <row r="90" spans="2:35" ht="12.75" customHeight="1">
      <c r="B90" s="12" t="s">
        <v>71</v>
      </c>
      <c r="C90" s="13">
        <f>+C89</f>
        <v>0</v>
      </c>
      <c r="D90" s="13">
        <f t="shared" ref="D90:F90" si="136">+D89</f>
        <v>0</v>
      </c>
      <c r="E90" s="13">
        <f t="shared" si="136"/>
        <v>0</v>
      </c>
      <c r="F90" s="13">
        <f t="shared" si="136"/>
        <v>0</v>
      </c>
      <c r="H90" s="13">
        <f t="shared" ref="H90" si="137">+H89</f>
        <v>0</v>
      </c>
      <c r="I90" s="13">
        <f t="shared" ref="I90" si="138">+I89</f>
        <v>0</v>
      </c>
      <c r="J90" s="13">
        <f t="shared" ref="J90" si="139">+J89</f>
        <v>0</v>
      </c>
      <c r="K90" s="13">
        <f t="shared" ref="K90" si="140">+K89</f>
        <v>0</v>
      </c>
      <c r="L90" s="13">
        <f t="shared" ref="L90" si="141">+L89</f>
        <v>0</v>
      </c>
      <c r="M90" s="13">
        <f t="shared" ref="M90" si="142">+M89</f>
        <v>0</v>
      </c>
      <c r="N90" s="13">
        <f t="shared" ref="N90" si="143">+N89</f>
        <v>0</v>
      </c>
      <c r="O90" s="13">
        <f t="shared" ref="O90" si="144">+O89</f>
        <v>0</v>
      </c>
      <c r="P90" s="13">
        <f t="shared" ref="P90" si="145">+P89</f>
        <v>0</v>
      </c>
      <c r="Q90" s="13">
        <f t="shared" ref="Q90" si="146">+Q89</f>
        <v>0</v>
      </c>
      <c r="R90" s="13">
        <f t="shared" ref="R90" si="147">+R89</f>
        <v>0</v>
      </c>
      <c r="S90" s="13">
        <f t="shared" ref="S90" si="148">+S89</f>
        <v>0</v>
      </c>
      <c r="T90" s="13">
        <f t="shared" ref="T90" si="149">+T89</f>
        <v>0</v>
      </c>
      <c r="U90" s="13">
        <f t="shared" ref="U90" si="150">+U89</f>
        <v>0</v>
      </c>
      <c r="W90" s="13" t="e">
        <f>SUM(#REF!)</f>
        <v>#REF!</v>
      </c>
      <c r="X90" s="13" t="e">
        <f>SUM(#REF!)</f>
        <v>#REF!</v>
      </c>
      <c r="Y90" s="13" t="e">
        <f>SUM(#REF!)</f>
        <v>#REF!</v>
      </c>
      <c r="Z90" s="13" t="e">
        <f>SUM(#REF!)</f>
        <v>#REF!</v>
      </c>
      <c r="AA90" s="13" t="e">
        <f>SUM(#REF!)</f>
        <v>#REF!</v>
      </c>
      <c r="AB90" s="13" t="e">
        <f>SUM(#REF!)</f>
        <v>#REF!</v>
      </c>
      <c r="AC90" s="13">
        <f t="shared" ref="AC90" si="151">+AC89</f>
        <v>0</v>
      </c>
      <c r="AD90" s="13">
        <f t="shared" ref="AD90" si="152">+AD89</f>
        <v>0</v>
      </c>
      <c r="AE90" s="13">
        <f t="shared" ref="AE90" si="153">+AE89</f>
        <v>0</v>
      </c>
      <c r="AF90" s="13">
        <f t="shared" ref="AF90" si="154">+AF89</f>
        <v>0</v>
      </c>
      <c r="AG90" s="13">
        <f t="shared" ref="AG90" si="155">+AG89</f>
        <v>0</v>
      </c>
      <c r="AH90" s="40"/>
      <c r="AI90" s="70" t="e">
        <f>SUM(AG90/AC90)-1</f>
        <v>#DIV/0!</v>
      </c>
    </row>
    <row r="91" spans="2:35" ht="5.0999999999999996" customHeight="1">
      <c r="B91" s="49"/>
      <c r="C91" s="58"/>
      <c r="D91" s="58"/>
      <c r="E91" s="58"/>
      <c r="F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37"/>
    </row>
    <row r="92" spans="2:35" ht="12.75" customHeight="1">
      <c r="B92" s="137" t="s">
        <v>72</v>
      </c>
      <c r="C92" s="59"/>
      <c r="D92" s="59"/>
      <c r="E92" s="59"/>
      <c r="F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60"/>
      <c r="AI92" s="37"/>
    </row>
    <row r="93" spans="2:35" ht="12.75" customHeight="1">
      <c r="B93" s="57" t="s">
        <v>152</v>
      </c>
      <c r="C93" s="78">
        <v>153219</v>
      </c>
      <c r="D93" s="78">
        <v>20985</v>
      </c>
      <c r="E93" s="78">
        <v>27875</v>
      </c>
      <c r="F93" s="78">
        <v>11284</v>
      </c>
      <c r="G93" s="30"/>
      <c r="H93" s="78">
        <v>2312.7849999999999</v>
      </c>
      <c r="I93" s="30">
        <f>14399.768-H93</f>
        <v>12086.983</v>
      </c>
      <c r="J93" s="30">
        <f>20982.148-I93-H93</f>
        <v>6582.380000000001</v>
      </c>
      <c r="K93" s="30">
        <f t="shared" ref="K93:K96" si="156">SUM(D93-SUM(H93:J93))</f>
        <v>2.8519999999989523</v>
      </c>
      <c r="L93" s="78">
        <v>0</v>
      </c>
      <c r="M93" s="30">
        <v>18152.5</v>
      </c>
      <c r="N93" s="30">
        <f>26687.017-M93</f>
        <v>8534.5169999999998</v>
      </c>
      <c r="O93" s="30">
        <f t="shared" ref="O93:O96" si="157">SUM(E93-SUM(L93:N93))</f>
        <v>1187.9830000000002</v>
      </c>
      <c r="P93" s="78">
        <v>0</v>
      </c>
      <c r="Q93" s="30">
        <f>7178-P93</f>
        <v>7178</v>
      </c>
      <c r="R93" s="30">
        <f>11284-Q93</f>
        <v>4106</v>
      </c>
      <c r="S93" s="30">
        <f t="shared" ref="S93:S96" si="158">SUM(F93-SUM(P93:R93))</f>
        <v>0</v>
      </c>
      <c r="T93" s="78"/>
      <c r="U93" s="30"/>
      <c r="V93" s="30"/>
      <c r="W93" s="30"/>
      <c r="X93" s="30"/>
      <c r="Y93" s="30"/>
      <c r="Z93" s="30"/>
      <c r="AA93" s="30"/>
      <c r="AB93" s="30"/>
      <c r="AC93" s="30">
        <f t="shared" ref="AC93:AC96" si="159">SUM(N93:Q93)</f>
        <v>16900.5</v>
      </c>
      <c r="AD93" s="30">
        <f t="shared" ref="AD93:AD96" si="160">SUM(O93:R93)</f>
        <v>12471.983</v>
      </c>
      <c r="AE93" s="30">
        <f t="shared" ref="AE93:AE96" si="161">SUM(P93:S93)</f>
        <v>11284</v>
      </c>
      <c r="AF93" s="30">
        <f t="shared" ref="AF93:AF96" si="162">SUM(Q93:T93)</f>
        <v>11284</v>
      </c>
      <c r="AG93" s="30">
        <f t="shared" ref="AG93:AG96" si="163">SUM(R93:U93)</f>
        <v>4106</v>
      </c>
      <c r="AH93" s="60"/>
      <c r="AI93" s="69">
        <f t="shared" ref="AI93:AI94" si="164">SUM(AG93/AC93)-1</f>
        <v>-0.75704860802934826</v>
      </c>
    </row>
    <row r="94" spans="2:35" ht="12.75" customHeight="1">
      <c r="B94" s="57" t="s">
        <v>153</v>
      </c>
      <c r="C94" s="78">
        <v>-5551</v>
      </c>
      <c r="D94" s="78">
        <v>-707</v>
      </c>
      <c r="E94" s="78"/>
      <c r="F94" s="78"/>
      <c r="G94" s="30"/>
      <c r="H94" s="78">
        <v>-146.71700000000001</v>
      </c>
      <c r="I94" s="30">
        <f>-521.441-H94</f>
        <v>-374.72400000000005</v>
      </c>
      <c r="J94" s="30">
        <f>-706.802-I94-H94</f>
        <v>-185.36099999999996</v>
      </c>
      <c r="K94" s="30">
        <f t="shared" si="156"/>
        <v>-0.19799999999997908</v>
      </c>
      <c r="L94" s="78"/>
      <c r="M94" s="30"/>
      <c r="N94" s="30"/>
      <c r="O94" s="30">
        <f t="shared" si="157"/>
        <v>0</v>
      </c>
      <c r="P94" s="78">
        <v>0</v>
      </c>
      <c r="Q94" s="30"/>
      <c r="R94" s="30"/>
      <c r="S94" s="30">
        <f t="shared" si="158"/>
        <v>0</v>
      </c>
      <c r="T94" s="78"/>
      <c r="U94" s="30"/>
      <c r="V94" s="30"/>
      <c r="W94" s="30"/>
      <c r="X94" s="30"/>
      <c r="Y94" s="30"/>
      <c r="Z94" s="30"/>
      <c r="AA94" s="30"/>
      <c r="AB94" s="30"/>
      <c r="AC94" s="30">
        <f t="shared" si="159"/>
        <v>0</v>
      </c>
      <c r="AD94" s="30">
        <f t="shared" si="160"/>
        <v>0</v>
      </c>
      <c r="AE94" s="30">
        <f t="shared" si="161"/>
        <v>0</v>
      </c>
      <c r="AF94" s="30">
        <f t="shared" si="162"/>
        <v>0</v>
      </c>
      <c r="AG94" s="30">
        <f t="shared" si="163"/>
        <v>0</v>
      </c>
      <c r="AH94" s="60"/>
      <c r="AI94" s="69" t="e">
        <f t="shared" si="164"/>
        <v>#DIV/0!</v>
      </c>
    </row>
    <row r="95" spans="2:35" ht="12.75" customHeight="1">
      <c r="B95" s="57" t="s">
        <v>154</v>
      </c>
      <c r="C95" s="78">
        <v>1467</v>
      </c>
      <c r="D95" s="78">
        <v>0</v>
      </c>
      <c r="E95" s="78"/>
      <c r="F95" s="78"/>
      <c r="G95" s="30"/>
      <c r="H95" s="78"/>
      <c r="I95" s="30"/>
      <c r="J95" s="30"/>
      <c r="K95" s="30">
        <f t="shared" si="156"/>
        <v>0</v>
      </c>
      <c r="L95" s="78"/>
      <c r="M95" s="30"/>
      <c r="N95" s="30"/>
      <c r="O95" s="30">
        <f t="shared" si="157"/>
        <v>0</v>
      </c>
      <c r="P95" s="78">
        <v>0</v>
      </c>
      <c r="Q95" s="30"/>
      <c r="R95" s="30"/>
      <c r="S95" s="30">
        <f t="shared" si="158"/>
        <v>0</v>
      </c>
      <c r="T95" s="78"/>
      <c r="U95" s="30"/>
      <c r="V95" s="30"/>
      <c r="W95" s="30">
        <f t="shared" ref="W95:AB95" si="165">SUM(I95:L95)</f>
        <v>0</v>
      </c>
      <c r="X95" s="30">
        <f t="shared" si="165"/>
        <v>0</v>
      </c>
      <c r="Y95" s="30">
        <f t="shared" si="165"/>
        <v>0</v>
      </c>
      <c r="Z95" s="30">
        <f t="shared" si="165"/>
        <v>0</v>
      </c>
      <c r="AA95" s="30">
        <f t="shared" si="165"/>
        <v>0</v>
      </c>
      <c r="AB95" s="30">
        <f t="shared" si="165"/>
        <v>0</v>
      </c>
      <c r="AC95" s="30">
        <f t="shared" si="159"/>
        <v>0</v>
      </c>
      <c r="AD95" s="30">
        <f t="shared" si="160"/>
        <v>0</v>
      </c>
      <c r="AE95" s="30">
        <f t="shared" si="161"/>
        <v>0</v>
      </c>
      <c r="AF95" s="30">
        <f t="shared" si="162"/>
        <v>0</v>
      </c>
      <c r="AG95" s="30">
        <f t="shared" si="163"/>
        <v>0</v>
      </c>
      <c r="AH95" s="60"/>
      <c r="AI95" s="69" t="e">
        <f t="shared" ref="AI95:AI96" si="166">SUM(AG95/AC95)-1</f>
        <v>#DIV/0!</v>
      </c>
    </row>
    <row r="96" spans="2:35" ht="12.75" customHeight="1">
      <c r="B96" s="57" t="s">
        <v>155</v>
      </c>
      <c r="C96" s="78">
        <v>4108</v>
      </c>
      <c r="D96" s="78">
        <v>1010</v>
      </c>
      <c r="E96" s="78">
        <v>1776</v>
      </c>
      <c r="F96" s="78">
        <v>691</v>
      </c>
      <c r="G96" s="30"/>
      <c r="H96" s="78">
        <v>373.49700000000001</v>
      </c>
      <c r="I96" s="30">
        <f>496.923-H96</f>
        <v>123.42599999999999</v>
      </c>
      <c r="J96" s="30">
        <f>1010.19-I96-H96</f>
        <v>513.26700000000005</v>
      </c>
      <c r="K96" s="30">
        <f t="shared" si="156"/>
        <v>-0.19000000000005457</v>
      </c>
      <c r="L96" s="78">
        <v>258.24400000000003</v>
      </c>
      <c r="M96" s="30">
        <f>439.437-L96</f>
        <v>181.19299999999998</v>
      </c>
      <c r="N96" s="30">
        <f>907.657-M96-L96</f>
        <v>468.22</v>
      </c>
      <c r="O96" s="30">
        <f t="shared" si="157"/>
        <v>868.34299999999996</v>
      </c>
      <c r="P96" s="78">
        <v>59</v>
      </c>
      <c r="Q96" s="30">
        <f>158-P96</f>
        <v>99</v>
      </c>
      <c r="R96" s="30">
        <f>602-Q96</f>
        <v>503</v>
      </c>
      <c r="S96" s="30">
        <f t="shared" si="158"/>
        <v>30</v>
      </c>
      <c r="T96" s="78"/>
      <c r="U96" s="30"/>
      <c r="V96" s="30"/>
      <c r="W96" s="30"/>
      <c r="X96" s="30"/>
      <c r="Y96" s="30"/>
      <c r="Z96" s="30"/>
      <c r="AA96" s="30"/>
      <c r="AB96" s="30"/>
      <c r="AC96" s="30">
        <f t="shared" si="159"/>
        <v>1494.5630000000001</v>
      </c>
      <c r="AD96" s="30">
        <f t="shared" si="160"/>
        <v>1529.3429999999998</v>
      </c>
      <c r="AE96" s="30">
        <f t="shared" si="161"/>
        <v>691</v>
      </c>
      <c r="AF96" s="30">
        <f t="shared" si="162"/>
        <v>632</v>
      </c>
      <c r="AG96" s="30">
        <f t="shared" si="163"/>
        <v>533</v>
      </c>
      <c r="AH96" s="60"/>
      <c r="AI96" s="69">
        <f t="shared" si="166"/>
        <v>-0.6433740163512679</v>
      </c>
    </row>
    <row r="97" spans="2:35" ht="12.75" customHeight="1">
      <c r="B97" s="12" t="s">
        <v>73</v>
      </c>
      <c r="C97" s="32">
        <f t="shared" ref="C97" si="167">SUM(C93:C96)</f>
        <v>153243</v>
      </c>
      <c r="D97" s="32">
        <f t="shared" ref="D97:F97" si="168">SUM(D93:D96)</f>
        <v>21288</v>
      </c>
      <c r="E97" s="32">
        <f t="shared" si="168"/>
        <v>29651</v>
      </c>
      <c r="F97" s="32">
        <f t="shared" si="168"/>
        <v>11975</v>
      </c>
      <c r="H97" s="32">
        <f t="shared" ref="H97" si="169">SUM(H93:H96)</f>
        <v>2539.5649999999996</v>
      </c>
      <c r="I97" s="32">
        <f t="shared" ref="I97" si="170">SUM(I93:I96)</f>
        <v>11835.684999999999</v>
      </c>
      <c r="J97" s="32">
        <f t="shared" ref="J97" si="171">SUM(J93:J96)</f>
        <v>6910.286000000001</v>
      </c>
      <c r="K97" s="32">
        <f t="shared" ref="K97" si="172">SUM(K93:K96)</f>
        <v>2.4639999999989186</v>
      </c>
      <c r="L97" s="32">
        <f t="shared" ref="L97" si="173">SUM(L93:L96)</f>
        <v>258.24400000000003</v>
      </c>
      <c r="M97" s="32">
        <f t="shared" ref="M97" si="174">SUM(M93:M96)</f>
        <v>18333.692999999999</v>
      </c>
      <c r="N97" s="32">
        <f t="shared" ref="N97" si="175">SUM(N93:N96)</f>
        <v>9002.7369999999992</v>
      </c>
      <c r="O97" s="32">
        <f t="shared" ref="O97" si="176">SUM(O93:O96)</f>
        <v>2056.326</v>
      </c>
      <c r="P97" s="32">
        <f t="shared" ref="P97" si="177">SUM(P93:P96)</f>
        <v>59</v>
      </c>
      <c r="Q97" s="32">
        <f t="shared" ref="Q97" si="178">SUM(Q93:Q96)</f>
        <v>7277</v>
      </c>
      <c r="R97" s="32">
        <f t="shared" ref="R97" si="179">SUM(R93:R96)</f>
        <v>4609</v>
      </c>
      <c r="S97" s="32">
        <f t="shared" ref="S97" si="180">SUM(S93:S96)</f>
        <v>30</v>
      </c>
      <c r="T97" s="32">
        <f t="shared" ref="T97" si="181">SUM(T93:T96)</f>
        <v>0</v>
      </c>
      <c r="U97" s="32">
        <f t="shared" ref="U97" si="182">SUM(U93:U96)</f>
        <v>0</v>
      </c>
      <c r="V97" s="30"/>
      <c r="W97" s="32">
        <f t="shared" ref="W97" si="183">SUM(W93:W96)</f>
        <v>0</v>
      </c>
      <c r="X97" s="32">
        <f t="shared" ref="X97" si="184">SUM(X93:X96)</f>
        <v>0</v>
      </c>
      <c r="Y97" s="32">
        <f t="shared" ref="Y97" si="185">SUM(Y93:Y96)</f>
        <v>0</v>
      </c>
      <c r="Z97" s="32">
        <f t="shared" ref="Z97" si="186">SUM(Z93:Z96)</f>
        <v>0</v>
      </c>
      <c r="AA97" s="32">
        <f t="shared" ref="AA97" si="187">SUM(AA93:AA96)</f>
        <v>0</v>
      </c>
      <c r="AB97" s="32">
        <f t="shared" ref="AB97" si="188">SUM(AB93:AB96)</f>
        <v>0</v>
      </c>
      <c r="AC97" s="32">
        <f t="shared" ref="AC97" si="189">SUM(AC93:AC96)</f>
        <v>18395.063000000002</v>
      </c>
      <c r="AD97" s="32">
        <f t="shared" ref="AD97" si="190">SUM(AD93:AD96)</f>
        <v>14001.326000000001</v>
      </c>
      <c r="AE97" s="32">
        <f t="shared" ref="AE97" si="191">SUM(AE93:AE96)</f>
        <v>11975</v>
      </c>
      <c r="AF97" s="32">
        <f t="shared" ref="AF97" si="192">SUM(AF93:AF96)</f>
        <v>11916</v>
      </c>
      <c r="AG97" s="32">
        <f t="shared" ref="AG97" si="193">SUM(AG93:AG96)</f>
        <v>4639</v>
      </c>
      <c r="AH97" s="40"/>
      <c r="AI97" s="70">
        <f>SUM(AG97/AC97)-1</f>
        <v>-0.74781276911092942</v>
      </c>
    </row>
    <row r="98" spans="2:35" ht="5.0999999999999996" customHeight="1">
      <c r="B98" s="8"/>
      <c r="C98" s="61"/>
      <c r="D98" s="61"/>
      <c r="E98" s="61"/>
      <c r="F98" s="61"/>
      <c r="G98" s="30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44"/>
    </row>
    <row r="99" spans="2:35" ht="5.0999999999999996" customHeight="1">
      <c r="B99" s="66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11"/>
      <c r="AI99" s="44"/>
    </row>
    <row r="100" spans="2:35">
      <c r="B100" s="128" t="s">
        <v>78</v>
      </c>
      <c r="C100" s="120"/>
      <c r="D100" s="120"/>
      <c r="E100" s="120">
        <f t="shared" ref="E100:F100" si="194">D106</f>
        <v>-2950</v>
      </c>
      <c r="F100" s="120">
        <f t="shared" si="194"/>
        <v>-1084</v>
      </c>
      <c r="G100" s="120"/>
      <c r="H100" s="120"/>
      <c r="I100" s="120">
        <f>H106</f>
        <v>-961.38999999999851</v>
      </c>
      <c r="J100" s="120">
        <f t="shared" ref="J100:U100" si="195">I106</f>
        <v>1234.8110000000024</v>
      </c>
      <c r="K100" s="120">
        <f t="shared" si="195"/>
        <v>1091.607</v>
      </c>
      <c r="L100" s="120">
        <f t="shared" si="195"/>
        <v>-2950.0000000000005</v>
      </c>
      <c r="M100" s="120">
        <f t="shared" si="195"/>
        <v>-8486.0130000000008</v>
      </c>
      <c r="N100" s="120">
        <f t="shared" si="195"/>
        <v>1359.1010000000006</v>
      </c>
      <c r="O100" s="120">
        <f t="shared" si="195"/>
        <v>1784.5952999999972</v>
      </c>
      <c r="P100" s="120">
        <f t="shared" si="195"/>
        <v>-1084.0000000000036</v>
      </c>
      <c r="Q100" s="120">
        <f t="shared" si="195"/>
        <v>-8343.0000000000036</v>
      </c>
      <c r="R100" s="120">
        <f t="shared" si="195"/>
        <v>-12722.000000000004</v>
      </c>
      <c r="S100" s="120">
        <f t="shared" si="195"/>
        <v>-13293.000000000004</v>
      </c>
      <c r="T100" s="120">
        <f t="shared" si="195"/>
        <v>-19921.000000000004</v>
      </c>
      <c r="U100" s="120">
        <f t="shared" si="195"/>
        <v>-19921.000000000004</v>
      </c>
      <c r="V100" s="120"/>
      <c r="W100" s="120">
        <f t="shared" ref="W100:AG100" si="196">H106</f>
        <v>-961.38999999999851</v>
      </c>
      <c r="X100" s="120">
        <f t="shared" si="196"/>
        <v>1234.8110000000024</v>
      </c>
      <c r="Y100" s="120">
        <f t="shared" si="196"/>
        <v>1091.607</v>
      </c>
      <c r="Z100" s="120">
        <f t="shared" si="196"/>
        <v>-2950.0000000000005</v>
      </c>
      <c r="AA100" s="120">
        <f t="shared" si="196"/>
        <v>-8486.0130000000008</v>
      </c>
      <c r="AB100" s="120">
        <f t="shared" si="196"/>
        <v>1359.1010000000006</v>
      </c>
      <c r="AC100" s="120">
        <f t="shared" si="196"/>
        <v>1784.5952999999972</v>
      </c>
      <c r="AD100" s="120">
        <f t="shared" si="196"/>
        <v>-1084.0000000000036</v>
      </c>
      <c r="AE100" s="120">
        <f t="shared" si="196"/>
        <v>-8343.0000000000036</v>
      </c>
      <c r="AF100" s="120">
        <f t="shared" si="196"/>
        <v>-12722.000000000004</v>
      </c>
      <c r="AG100" s="122">
        <f t="shared" si="196"/>
        <v>-13293.000000000004</v>
      </c>
      <c r="AH100" s="11"/>
      <c r="AI100" s="44"/>
    </row>
    <row r="101" spans="2:35">
      <c r="B101" s="129" t="s">
        <v>103</v>
      </c>
      <c r="C101" s="30"/>
      <c r="D101" s="30"/>
      <c r="E101" s="30">
        <v>0</v>
      </c>
      <c r="F101" s="30">
        <v>0</v>
      </c>
      <c r="G101" s="30"/>
      <c r="H101" s="30"/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/>
      <c r="W101" s="30">
        <f t="shared" ref="W101:AF101" si="197">SUM(I101:L101)</f>
        <v>0</v>
      </c>
      <c r="X101" s="30">
        <f t="shared" si="197"/>
        <v>0</v>
      </c>
      <c r="Y101" s="30">
        <f t="shared" si="197"/>
        <v>0</v>
      </c>
      <c r="Z101" s="30">
        <f t="shared" si="197"/>
        <v>0</v>
      </c>
      <c r="AA101" s="30">
        <f t="shared" si="197"/>
        <v>0</v>
      </c>
      <c r="AB101" s="30">
        <f t="shared" si="197"/>
        <v>0</v>
      </c>
      <c r="AC101" s="30">
        <f t="shared" si="197"/>
        <v>0</v>
      </c>
      <c r="AD101" s="30">
        <f t="shared" si="197"/>
        <v>0</v>
      </c>
      <c r="AE101" s="30">
        <f t="shared" si="197"/>
        <v>0</v>
      </c>
      <c r="AF101" s="30">
        <f t="shared" si="197"/>
        <v>0</v>
      </c>
      <c r="AG101" s="123">
        <f>SUM(S101:U101)</f>
        <v>0</v>
      </c>
      <c r="AH101" s="11"/>
      <c r="AI101" s="44"/>
    </row>
    <row r="102" spans="2:35">
      <c r="B102" s="130" t="s">
        <v>90</v>
      </c>
      <c r="C102" s="82">
        <f t="shared" ref="C102" si="198">SUM(C100:C101)</f>
        <v>0</v>
      </c>
      <c r="D102" s="82">
        <f t="shared" ref="D102:F102" si="199">SUM(D100:D101)</f>
        <v>0</v>
      </c>
      <c r="E102" s="82">
        <f t="shared" si="199"/>
        <v>-2950</v>
      </c>
      <c r="F102" s="82">
        <f t="shared" si="199"/>
        <v>-1084</v>
      </c>
      <c r="G102" s="30"/>
      <c r="H102" s="82">
        <f t="shared" ref="H102:U102" si="200">SUM(H100:H101)</f>
        <v>0</v>
      </c>
      <c r="I102" s="82">
        <f t="shared" si="200"/>
        <v>-961.38999999999851</v>
      </c>
      <c r="J102" s="82">
        <f t="shared" si="200"/>
        <v>1234.8110000000024</v>
      </c>
      <c r="K102" s="82">
        <f t="shared" si="200"/>
        <v>1091.607</v>
      </c>
      <c r="L102" s="82">
        <f t="shared" si="200"/>
        <v>-2950.0000000000005</v>
      </c>
      <c r="M102" s="82">
        <f t="shared" si="200"/>
        <v>-8486.0130000000008</v>
      </c>
      <c r="N102" s="82">
        <f t="shared" si="200"/>
        <v>1359.1010000000006</v>
      </c>
      <c r="O102" s="82">
        <f t="shared" si="200"/>
        <v>1784.5952999999972</v>
      </c>
      <c r="P102" s="82">
        <f t="shared" si="200"/>
        <v>-1084.0000000000036</v>
      </c>
      <c r="Q102" s="82">
        <f t="shared" si="200"/>
        <v>-8343.0000000000036</v>
      </c>
      <c r="R102" s="82">
        <f t="shared" si="200"/>
        <v>-12722.000000000004</v>
      </c>
      <c r="S102" s="82">
        <f t="shared" si="200"/>
        <v>-13293.000000000004</v>
      </c>
      <c r="T102" s="82">
        <f t="shared" si="200"/>
        <v>-19921.000000000004</v>
      </c>
      <c r="U102" s="82">
        <f t="shared" si="200"/>
        <v>-19921.000000000004</v>
      </c>
      <c r="V102" s="30"/>
      <c r="W102" s="119">
        <f t="shared" ref="W102:AG102" si="201">SUM(W100:W101)</f>
        <v>-961.38999999999851</v>
      </c>
      <c r="X102" s="119">
        <f t="shared" si="201"/>
        <v>1234.8110000000024</v>
      </c>
      <c r="Y102" s="119">
        <f t="shared" si="201"/>
        <v>1091.607</v>
      </c>
      <c r="Z102" s="119">
        <f t="shared" si="201"/>
        <v>-2950.0000000000005</v>
      </c>
      <c r="AA102" s="119">
        <f t="shared" si="201"/>
        <v>-8486.0130000000008</v>
      </c>
      <c r="AB102" s="119">
        <f t="shared" si="201"/>
        <v>1359.1010000000006</v>
      </c>
      <c r="AC102" s="119">
        <f t="shared" ref="AC102" si="202">SUM(AC100:AC101)</f>
        <v>1784.5952999999972</v>
      </c>
      <c r="AD102" s="119">
        <f t="shared" ref="AD102" si="203">SUM(AD100:AD101)</f>
        <v>-1084.0000000000036</v>
      </c>
      <c r="AE102" s="119">
        <f t="shared" ref="AE102" si="204">SUM(AE100:AE101)</f>
        <v>-8343.0000000000036</v>
      </c>
      <c r="AF102" s="119">
        <f t="shared" ref="AF102" si="205">SUM(AF100:AF101)</f>
        <v>-12722.000000000004</v>
      </c>
      <c r="AG102" s="124">
        <f t="shared" si="201"/>
        <v>-13293.000000000004</v>
      </c>
      <c r="AH102" s="11"/>
      <c r="AI102" s="44"/>
    </row>
    <row r="103" spans="2:35">
      <c r="B103" s="131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123"/>
      <c r="AH103" s="11"/>
      <c r="AI103" s="44"/>
    </row>
    <row r="104" spans="2:35">
      <c r="B104" s="129" t="s">
        <v>104</v>
      </c>
      <c r="C104" s="78"/>
      <c r="D104" s="78"/>
      <c r="E104" s="78"/>
      <c r="F104" s="78"/>
      <c r="G104" s="30"/>
      <c r="H104" s="78"/>
      <c r="I104" s="78"/>
      <c r="J104" s="78"/>
      <c r="K104" s="30">
        <f>D104</f>
        <v>0</v>
      </c>
      <c r="L104" s="78"/>
      <c r="M104" s="78"/>
      <c r="N104" s="78"/>
      <c r="O104" s="30">
        <f>E104</f>
        <v>0</v>
      </c>
      <c r="P104" s="78"/>
      <c r="Q104" s="78"/>
      <c r="R104" s="78"/>
      <c r="S104" s="30">
        <f>F104</f>
        <v>0</v>
      </c>
      <c r="T104" s="78"/>
      <c r="U104" s="78"/>
      <c r="V104" s="30"/>
      <c r="W104" s="30">
        <f t="shared" ref="W104:AF105" si="206">SUM(I104:L104)</f>
        <v>0</v>
      </c>
      <c r="X104" s="30">
        <f t="shared" si="206"/>
        <v>0</v>
      </c>
      <c r="Y104" s="30">
        <f t="shared" si="206"/>
        <v>0</v>
      </c>
      <c r="Z104" s="30">
        <f t="shared" si="206"/>
        <v>0</v>
      </c>
      <c r="AA104" s="30">
        <f t="shared" si="206"/>
        <v>0</v>
      </c>
      <c r="AB104" s="30">
        <f t="shared" si="206"/>
        <v>0</v>
      </c>
      <c r="AC104" s="30">
        <f t="shared" si="206"/>
        <v>0</v>
      </c>
      <c r="AD104" s="30">
        <f t="shared" si="206"/>
        <v>0</v>
      </c>
      <c r="AE104" s="30">
        <f t="shared" si="206"/>
        <v>0</v>
      </c>
      <c r="AF104" s="30">
        <f t="shared" si="206"/>
        <v>0</v>
      </c>
      <c r="AG104" s="123">
        <f>SUM(S104:U104)</f>
        <v>0</v>
      </c>
      <c r="AH104" s="11"/>
      <c r="AI104" s="44"/>
    </row>
    <row r="105" spans="2:35">
      <c r="B105" s="131" t="s">
        <v>77</v>
      </c>
      <c r="C105" s="30">
        <f>+C97+C90+C87</f>
        <v>122859</v>
      </c>
      <c r="D105" s="30">
        <f>+D97+D90+D87</f>
        <v>-2950</v>
      </c>
      <c r="E105" s="30">
        <f>+E97+E90+E87</f>
        <v>1866</v>
      </c>
      <c r="F105" s="30">
        <f>+F97+F90+F87</f>
        <v>-18837</v>
      </c>
      <c r="G105" s="30"/>
      <c r="H105" s="30">
        <f>+H97+H90+H87</f>
        <v>-961.38999999999851</v>
      </c>
      <c r="I105" s="30">
        <f>+I97+I90+I87</f>
        <v>2196.2010000000009</v>
      </c>
      <c r="J105" s="30">
        <f>+J97+J90+J87</f>
        <v>-143.20400000000245</v>
      </c>
      <c r="K105" s="30">
        <f>+K97+K90+K87</f>
        <v>-4041.6070000000004</v>
      </c>
      <c r="L105" s="30">
        <f>+L97+L90+L87</f>
        <v>-5536.0129999999999</v>
      </c>
      <c r="M105" s="30">
        <f>+M97+M90+M87</f>
        <v>9845.1140000000014</v>
      </c>
      <c r="N105" s="30">
        <f>+N97+N90+N87</f>
        <v>425.49429999999666</v>
      </c>
      <c r="O105" s="30">
        <f>+O97+O90+O87</f>
        <v>-2868.5953000000009</v>
      </c>
      <c r="P105" s="30">
        <f>+P97+P90+P87</f>
        <v>-7259</v>
      </c>
      <c r="Q105" s="30">
        <f>+Q97+Q90+Q87</f>
        <v>-4379</v>
      </c>
      <c r="R105" s="30">
        <f>+R97+R90+R87</f>
        <v>-571</v>
      </c>
      <c r="S105" s="30">
        <f>+S97+S90+S87</f>
        <v>-6628</v>
      </c>
      <c r="T105" s="30">
        <f>+T97+T90+T87</f>
        <v>0</v>
      </c>
      <c r="U105" s="30">
        <f>+U97+U90+U87</f>
        <v>0</v>
      </c>
      <c r="V105" s="30"/>
      <c r="W105" s="30">
        <f t="shared" si="206"/>
        <v>-7524.6230000000014</v>
      </c>
      <c r="X105" s="30">
        <f t="shared" si="206"/>
        <v>124.28999999999724</v>
      </c>
      <c r="Y105" s="30">
        <f t="shared" si="206"/>
        <v>692.98829999999725</v>
      </c>
      <c r="Z105" s="30">
        <f t="shared" si="206"/>
        <v>1865.9999999999973</v>
      </c>
      <c r="AA105" s="30">
        <f t="shared" si="206"/>
        <v>143.01299999999719</v>
      </c>
      <c r="AB105" s="30">
        <f t="shared" si="206"/>
        <v>-14081.101000000004</v>
      </c>
      <c r="AC105" s="30">
        <f t="shared" si="206"/>
        <v>-15077.595300000001</v>
      </c>
      <c r="AD105" s="30">
        <f t="shared" si="206"/>
        <v>-18837</v>
      </c>
      <c r="AE105" s="30">
        <f t="shared" si="206"/>
        <v>-11578</v>
      </c>
      <c r="AF105" s="30">
        <f t="shared" si="206"/>
        <v>-7199</v>
      </c>
      <c r="AG105" s="123">
        <f>SUM(S105:U105)</f>
        <v>-6628</v>
      </c>
      <c r="AH105" s="11"/>
      <c r="AI105" s="44"/>
    </row>
    <row r="106" spans="2:35">
      <c r="B106" s="130" t="s">
        <v>91</v>
      </c>
      <c r="C106" s="82">
        <f t="shared" ref="C106" si="207">SUM(C102:C105)</f>
        <v>122859</v>
      </c>
      <c r="D106" s="82">
        <f t="shared" ref="D106:F106" si="208">SUM(D102:D105)</f>
        <v>-2950</v>
      </c>
      <c r="E106" s="82">
        <f t="shared" si="208"/>
        <v>-1084</v>
      </c>
      <c r="F106" s="82">
        <f t="shared" si="208"/>
        <v>-19921</v>
      </c>
      <c r="G106" s="30"/>
      <c r="H106" s="81">
        <f t="shared" ref="H106:U106" si="209">SUM(H102:H105)</f>
        <v>-961.38999999999851</v>
      </c>
      <c r="I106" s="81">
        <f t="shared" si="209"/>
        <v>1234.8110000000024</v>
      </c>
      <c r="J106" s="81">
        <f t="shared" si="209"/>
        <v>1091.607</v>
      </c>
      <c r="K106" s="81">
        <f t="shared" si="209"/>
        <v>-2950.0000000000005</v>
      </c>
      <c r="L106" s="81">
        <f t="shared" si="209"/>
        <v>-8486.0130000000008</v>
      </c>
      <c r="M106" s="81">
        <f t="shared" si="209"/>
        <v>1359.1010000000006</v>
      </c>
      <c r="N106" s="81">
        <f t="shared" si="209"/>
        <v>1784.5952999999972</v>
      </c>
      <c r="O106" s="81">
        <f t="shared" si="209"/>
        <v>-1084.0000000000036</v>
      </c>
      <c r="P106" s="81">
        <f t="shared" si="209"/>
        <v>-8343.0000000000036</v>
      </c>
      <c r="Q106" s="81">
        <f t="shared" si="209"/>
        <v>-12722.000000000004</v>
      </c>
      <c r="R106" s="81">
        <f t="shared" si="209"/>
        <v>-13293.000000000004</v>
      </c>
      <c r="S106" s="81">
        <f t="shared" si="209"/>
        <v>-19921.000000000004</v>
      </c>
      <c r="T106" s="81">
        <f t="shared" si="209"/>
        <v>-19921.000000000004</v>
      </c>
      <c r="U106" s="81">
        <f t="shared" si="209"/>
        <v>-19921.000000000004</v>
      </c>
      <c r="V106" s="30"/>
      <c r="W106" s="81">
        <f t="shared" ref="W106:AG106" si="210">SUM(W102:W105)</f>
        <v>-8486.012999999999</v>
      </c>
      <c r="X106" s="81">
        <f t="shared" si="210"/>
        <v>1359.1009999999997</v>
      </c>
      <c r="Y106" s="81">
        <f t="shared" si="210"/>
        <v>1784.5952999999972</v>
      </c>
      <c r="Z106" s="81">
        <f t="shared" si="210"/>
        <v>-1084.0000000000032</v>
      </c>
      <c r="AA106" s="81">
        <f t="shared" si="210"/>
        <v>-8343.0000000000036</v>
      </c>
      <c r="AB106" s="81">
        <f t="shared" si="210"/>
        <v>-12722.000000000004</v>
      </c>
      <c r="AC106" s="81">
        <f t="shared" si="210"/>
        <v>-13293.000000000004</v>
      </c>
      <c r="AD106" s="81">
        <f t="shared" si="210"/>
        <v>-19921.000000000004</v>
      </c>
      <c r="AE106" s="81">
        <f t="shared" si="210"/>
        <v>-19921.000000000004</v>
      </c>
      <c r="AF106" s="81">
        <f t="shared" si="210"/>
        <v>-19921.000000000004</v>
      </c>
      <c r="AG106" s="125">
        <f t="shared" si="210"/>
        <v>-19921.000000000004</v>
      </c>
      <c r="AH106" s="11"/>
      <c r="AI106" s="44"/>
    </row>
    <row r="107" spans="2:35" ht="5.0999999999999996" customHeight="1">
      <c r="B107" s="132"/>
      <c r="C107" s="61"/>
      <c r="D107" s="61"/>
      <c r="E107" s="61"/>
      <c r="F107" s="61"/>
      <c r="G107" s="30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21"/>
      <c r="AH107" s="11"/>
      <c r="AI107" s="44"/>
    </row>
    <row r="108" spans="2:35">
      <c r="B108" s="133" t="s">
        <v>76</v>
      </c>
      <c r="C108" s="126">
        <f>C106-C46</f>
        <v>-29248.744999999995</v>
      </c>
      <c r="D108" s="126">
        <f>D106-D46</f>
        <v>-152108</v>
      </c>
      <c r="E108" s="126">
        <f>E106-E46</f>
        <v>-152108</v>
      </c>
      <c r="F108" s="126">
        <f>F106-F46</f>
        <v>-152108</v>
      </c>
      <c r="G108" s="127"/>
      <c r="H108" s="126">
        <f>H106-H46</f>
        <v>-152107.745</v>
      </c>
      <c r="I108" s="126">
        <f>I106-I46</f>
        <v>-152107.745</v>
      </c>
      <c r="J108" s="126">
        <f>J106-J46</f>
        <v>-152107.74500000002</v>
      </c>
      <c r="K108" s="126">
        <f>K106-K46</f>
        <v>-152108</v>
      </c>
      <c r="L108" s="126">
        <f>L106-L46</f>
        <v>-152107.861</v>
      </c>
      <c r="M108" s="126">
        <f>M106-M46</f>
        <v>-152107.861</v>
      </c>
      <c r="N108" s="126">
        <f>N106-N46</f>
        <v>-153032.5687</v>
      </c>
      <c r="O108" s="126">
        <f>O106-O46</f>
        <v>-152108</v>
      </c>
      <c r="P108" s="126">
        <f>P106-P46</f>
        <v>-152108</v>
      </c>
      <c r="Q108" s="126">
        <f>Q106-Q46</f>
        <v>-152108</v>
      </c>
      <c r="R108" s="126">
        <f>R106-R46</f>
        <v>-152049</v>
      </c>
      <c r="S108" s="126">
        <f>S106-S46</f>
        <v>-152108</v>
      </c>
      <c r="T108" s="126">
        <f>T106-T46</f>
        <v>-19921.000000000004</v>
      </c>
      <c r="U108" s="126">
        <f>U106-U46</f>
        <v>-19921.000000000004</v>
      </c>
      <c r="V108" s="126"/>
      <c r="W108" s="126">
        <f>W106-W46</f>
        <v>-157644.01300000001</v>
      </c>
      <c r="X108" s="126">
        <f>X106-X46</f>
        <v>-142262.747</v>
      </c>
      <c r="Y108" s="126">
        <f>Y106-Y46</f>
        <v>-151682.36670000001</v>
      </c>
      <c r="Z108" s="126">
        <f>Z106-Z46</f>
        <v>-155901.16399999999</v>
      </c>
      <c r="AA108" s="126">
        <f>AA106-AA46</f>
        <v>-159367</v>
      </c>
      <c r="AB108" s="126">
        <f>AB106-AB46</f>
        <v>-156487</v>
      </c>
      <c r="AC108" s="126">
        <f>AC106-AC46</f>
        <v>-152679</v>
      </c>
      <c r="AD108" s="126">
        <f>AD106-AD46</f>
        <v>-158677</v>
      </c>
      <c r="AE108" s="126">
        <f>AE106-AE46</f>
        <v>-152108</v>
      </c>
      <c r="AF108" s="126">
        <f>AF106-AF46</f>
        <v>-19921.000000000004</v>
      </c>
      <c r="AG108" s="126">
        <f>AG106-AG46</f>
        <v>-19921.000000000004</v>
      </c>
      <c r="AH108" s="11"/>
      <c r="AI108" s="44"/>
    </row>
    <row r="109" spans="2:35" ht="5.0999999999999996" customHeight="1">
      <c r="B109" s="8"/>
      <c r="C109" s="61"/>
      <c r="D109" s="61"/>
      <c r="E109" s="61"/>
      <c r="F109" s="61"/>
      <c r="G109" s="30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44"/>
    </row>
    <row r="110" spans="2:35">
      <c r="B110" s="8"/>
      <c r="C110" s="61"/>
      <c r="D110" s="61"/>
      <c r="E110" s="61"/>
      <c r="F110" s="61"/>
      <c r="G110" s="30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44"/>
    </row>
    <row r="111" spans="2:35">
      <c r="B111" s="137" t="s">
        <v>130</v>
      </c>
      <c r="C111" s="61"/>
      <c r="D111" s="61"/>
      <c r="E111" s="61"/>
      <c r="F111" s="61"/>
      <c r="G111" s="30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44"/>
    </row>
    <row r="112" spans="2:35">
      <c r="B112" s="79" t="s">
        <v>89</v>
      </c>
      <c r="C112" s="61">
        <v>140</v>
      </c>
      <c r="D112" s="61">
        <v>327</v>
      </c>
      <c r="E112" s="61">
        <v>136</v>
      </c>
      <c r="F112" s="61">
        <v>300</v>
      </c>
      <c r="G112" s="30"/>
      <c r="H112" s="78"/>
      <c r="I112" s="61">
        <v>141.374</v>
      </c>
      <c r="J112" s="61">
        <f>141.374-I112</f>
        <v>0</v>
      </c>
      <c r="K112" s="61">
        <f t="shared" ref="K112" si="211">SUM(D112-SUM(H112:J112))</f>
        <v>185.626</v>
      </c>
      <c r="L112" s="61">
        <v>50.076999999999998</v>
      </c>
      <c r="M112" s="61">
        <f>139.577-L112</f>
        <v>89.5</v>
      </c>
      <c r="N112" s="61">
        <f>208.577-M112-L112</f>
        <v>69</v>
      </c>
      <c r="O112" s="61">
        <f t="shared" ref="O112" si="212">SUM(E112-SUM(L112:N112))</f>
        <v>-72.576999999999998</v>
      </c>
      <c r="P112" s="61">
        <v>47</v>
      </c>
      <c r="Q112" s="61">
        <f>220-P112</f>
        <v>173</v>
      </c>
      <c r="R112" s="61">
        <f>220-Q112-P112</f>
        <v>0</v>
      </c>
      <c r="S112" s="61">
        <f t="shared" ref="S112" si="213">SUM(F112-SUM(P112:R112))</f>
        <v>80</v>
      </c>
      <c r="T112" s="78"/>
      <c r="U112" s="30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44"/>
    </row>
    <row r="113" spans="2:35" ht="5.0999999999999996" customHeight="1" thickBot="1">
      <c r="B113" s="67"/>
      <c r="C113" s="68"/>
      <c r="D113" s="68"/>
      <c r="E113" s="68"/>
      <c r="F113" s="68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I113" s="44"/>
    </row>
    <row r="114" spans="2:35" ht="12.75" customHeight="1">
      <c r="B114" s="139" t="s">
        <v>114</v>
      </c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I114" s="44"/>
    </row>
    <row r="115" spans="2:35" ht="12.75" customHeight="1">
      <c r="B115" s="138" t="s">
        <v>115</v>
      </c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</row>
    <row r="116" spans="2:35" ht="12.75" customHeight="1">
      <c r="C116" s="53"/>
      <c r="D116" s="53"/>
      <c r="E116" s="53"/>
      <c r="F116" s="53"/>
    </row>
    <row r="117" spans="2:35" ht="12.75" customHeight="1">
      <c r="C117" s="53"/>
      <c r="D117" s="53"/>
      <c r="E117" s="53"/>
      <c r="F117" s="53"/>
    </row>
    <row r="118" spans="2:35" ht="12.75" customHeight="1">
      <c r="C118" s="53"/>
      <c r="D118" s="53"/>
      <c r="E118" s="53"/>
      <c r="F118" s="53"/>
    </row>
    <row r="119" spans="2:35" ht="12.75" customHeight="1">
      <c r="C119" s="53"/>
      <c r="D119" s="53"/>
      <c r="E119" s="53"/>
      <c r="F119" s="53"/>
    </row>
    <row r="120" spans="2:35" ht="12.75" customHeight="1">
      <c r="C120" s="53"/>
      <c r="D120" s="53"/>
      <c r="E120" s="53"/>
      <c r="F120" s="5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</row>
    <row r="121" spans="2:35" ht="12.75" customHeight="1">
      <c r="C121" s="53"/>
      <c r="D121" s="53"/>
      <c r="E121" s="53"/>
      <c r="F121" s="53"/>
    </row>
    <row r="122" spans="2:35" ht="12.75" customHeight="1">
      <c r="C122" s="53"/>
      <c r="D122" s="53"/>
      <c r="E122" s="53"/>
      <c r="F122" s="5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</row>
    <row r="123" spans="2:35"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</row>
    <row r="124" spans="2:35"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</row>
    <row r="126" spans="2:35"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</row>
    <row r="127" spans="2:35"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</row>
  </sheetData>
  <mergeCells count="6">
    <mergeCell ref="B115:AG115"/>
    <mergeCell ref="B114:AG114"/>
    <mergeCell ref="AI6:AI8"/>
    <mergeCell ref="AI41:AI43"/>
    <mergeCell ref="AI69:AI71"/>
    <mergeCell ref="B67:AI67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G14:AG16 AG33 G49" formulaRange="1"/>
    <ignoredError sqref="AI90:AI92 AI87:AI89" evalError="1"/>
    <ignoredError sqref="P75:U76 T74:U74 P74:R74 O74 S7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16"/>
  <sheetViews>
    <sheetView showGridLines="0" zoomScaleNormal="100" workbookViewId="0">
      <selection activeCell="B3" sqref="B3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1" width="9.125" style="8" bestFit="1" customWidth="1"/>
    <col min="22" max="22" width="1.5" style="8" customWidth="1"/>
    <col min="23" max="28" width="8.75" style="8" hidden="1" customWidth="1" outlineLevel="1"/>
    <col min="29" max="31" width="8.75" style="8" customWidth="1" outlineLevel="1"/>
    <col min="32" max="32" width="8.75" style="8" bestFit="1" customWidth="1"/>
    <col min="33" max="16384" width="9" style="8"/>
  </cols>
  <sheetData>
    <row r="2" spans="1:32" s="5" customFormat="1" ht="12.75" customHeight="1">
      <c r="B2" s="1" t="s">
        <v>133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3"/>
      <c r="W2" s="2" t="s">
        <v>10</v>
      </c>
      <c r="X2" s="2"/>
      <c r="Y2" s="2"/>
      <c r="Z2" s="2"/>
      <c r="AA2" s="2" t="s">
        <v>10</v>
      </c>
      <c r="AB2" s="2"/>
      <c r="AC2" s="2" t="s">
        <v>10</v>
      </c>
      <c r="AD2" s="2"/>
      <c r="AE2" s="2"/>
      <c r="AF2" s="2"/>
    </row>
    <row r="3" spans="1:32" s="5" customFormat="1" ht="12.75" customHeight="1">
      <c r="B3" s="6" t="s">
        <v>84</v>
      </c>
      <c r="C3" s="7" t="e">
        <f>'Historical Financials'!#REF!</f>
        <v>#REF!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1Q22</v>
      </c>
      <c r="I3" s="7" t="str">
        <f>'Historical Financials'!I7</f>
        <v>2Q22</v>
      </c>
      <c r="J3" s="7" t="str">
        <f>'Historical Financials'!J7</f>
        <v>3Q22</v>
      </c>
      <c r="K3" s="7" t="str">
        <f>'Historical Financials'!K7</f>
        <v>4Q22</v>
      </c>
      <c r="L3" s="7" t="str">
        <f>'Historical Financials'!L7</f>
        <v>1Q23</v>
      </c>
      <c r="M3" s="7" t="str">
        <f>'Historical Financials'!M7</f>
        <v>2Q23</v>
      </c>
      <c r="N3" s="7" t="str">
        <f>'Historical Financials'!N7</f>
        <v>3Q23</v>
      </c>
      <c r="O3" s="7" t="str">
        <f>'Historical Financials'!O7</f>
        <v>4Q23</v>
      </c>
      <c r="P3" s="7" t="str">
        <f>'Historical Financials'!P7</f>
        <v>1Q24</v>
      </c>
      <c r="Q3" s="7" t="str">
        <f>'Historical Financials'!Q7</f>
        <v>2Q24</v>
      </c>
      <c r="R3" s="7" t="str">
        <f>'Historical Financials'!R7</f>
        <v>3Q24</v>
      </c>
      <c r="S3" s="7" t="str">
        <f>'Historical Financials'!S7</f>
        <v>4Q24</v>
      </c>
      <c r="T3" s="7" t="str">
        <f>'Historical Financials'!T7</f>
        <v>1Q25</v>
      </c>
      <c r="U3" s="7" t="str">
        <f>'Historical Financials'!U7</f>
        <v>2Q25</v>
      </c>
      <c r="V3" s="4"/>
      <c r="W3" s="4" t="str">
        <f t="shared" ref="W3:AB4" si="0">L3</f>
        <v>1Q23</v>
      </c>
      <c r="X3" s="4" t="str">
        <f t="shared" si="0"/>
        <v>2Q23</v>
      </c>
      <c r="Y3" s="4" t="str">
        <f t="shared" si="0"/>
        <v>3Q23</v>
      </c>
      <c r="Z3" s="4" t="str">
        <f t="shared" si="0"/>
        <v>4Q23</v>
      </c>
      <c r="AA3" s="4" t="str">
        <f t="shared" si="0"/>
        <v>1Q24</v>
      </c>
      <c r="AB3" s="4" t="str">
        <f t="shared" si="0"/>
        <v>2Q24</v>
      </c>
      <c r="AC3" s="4" t="str">
        <f t="shared" ref="AC3:AE4" si="1">S3</f>
        <v>4Q24</v>
      </c>
      <c r="AD3" s="4" t="str">
        <f t="shared" si="1"/>
        <v>1Q25</v>
      </c>
      <c r="AE3" s="4" t="str">
        <f t="shared" si="1"/>
        <v>2Q25</v>
      </c>
      <c r="AF3" s="4" t="e">
        <f>#REF!</f>
        <v>#REF!</v>
      </c>
    </row>
    <row r="4" spans="1:32" s="5" customFormat="1" ht="12.75" customHeight="1">
      <c r="B4" s="6" t="s">
        <v>129</v>
      </c>
      <c r="C4" s="3" t="e">
        <f>'Historical Financials'!#REF!</f>
        <v>#REF!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44651</v>
      </c>
      <c r="I4" s="3">
        <f>'Historical Financials'!I8</f>
        <v>44742</v>
      </c>
      <c r="J4" s="3">
        <f>'Historical Financials'!J8</f>
        <v>44834</v>
      </c>
      <c r="K4" s="3">
        <f>'Historical Financials'!K8</f>
        <v>44926</v>
      </c>
      <c r="L4" s="3">
        <f>'Historical Financials'!L8</f>
        <v>45016</v>
      </c>
      <c r="M4" s="3">
        <f>'Historical Financials'!M8</f>
        <v>45107</v>
      </c>
      <c r="N4" s="3">
        <f>'Historical Financials'!N8</f>
        <v>45199</v>
      </c>
      <c r="O4" s="3">
        <f>'Historical Financials'!O8</f>
        <v>45291</v>
      </c>
      <c r="P4" s="3">
        <f>'Historical Financials'!P8</f>
        <v>45382</v>
      </c>
      <c r="Q4" s="3">
        <f>'Historical Financials'!Q8</f>
        <v>45473</v>
      </c>
      <c r="R4" s="3">
        <f>'Historical Financials'!R8</f>
        <v>45565</v>
      </c>
      <c r="S4" s="3">
        <f>'Historical Financials'!S8</f>
        <v>45657</v>
      </c>
      <c r="T4" s="3">
        <f>'Historical Financials'!T8</f>
        <v>45747</v>
      </c>
      <c r="U4" s="3">
        <f>'Historical Financials'!U8</f>
        <v>45838</v>
      </c>
      <c r="V4" s="3"/>
      <c r="W4" s="3">
        <f t="shared" si="0"/>
        <v>45016</v>
      </c>
      <c r="X4" s="3">
        <f t="shared" si="0"/>
        <v>45107</v>
      </c>
      <c r="Y4" s="3">
        <f t="shared" si="0"/>
        <v>45199</v>
      </c>
      <c r="Z4" s="3">
        <f t="shared" si="0"/>
        <v>45291</v>
      </c>
      <c r="AA4" s="3">
        <f t="shared" si="0"/>
        <v>45382</v>
      </c>
      <c r="AB4" s="3">
        <f t="shared" si="0"/>
        <v>45473</v>
      </c>
      <c r="AC4" s="3">
        <f t="shared" si="1"/>
        <v>45657</v>
      </c>
      <c r="AD4" s="3">
        <f t="shared" si="1"/>
        <v>45747</v>
      </c>
      <c r="AE4" s="3">
        <f t="shared" si="1"/>
        <v>45838</v>
      </c>
      <c r="AF4" s="3" t="e">
        <f>#REF!</f>
        <v>#REF!</v>
      </c>
    </row>
    <row r="5" spans="1:32" ht="5.0999999999999996" customHeight="1"/>
    <row r="6" spans="1:32" ht="12.75" customHeight="1">
      <c r="A6" s="76" t="s">
        <v>19</v>
      </c>
      <c r="B6" s="73" t="s">
        <v>106</v>
      </c>
      <c r="C6" s="10"/>
      <c r="D6" s="10"/>
      <c r="E6" s="10"/>
      <c r="F6" s="10"/>
      <c r="G6" s="10"/>
      <c r="H6" s="85"/>
      <c r="I6" s="85"/>
      <c r="J6" s="85"/>
      <c r="K6" s="30"/>
      <c r="L6" s="85"/>
      <c r="M6" s="85"/>
      <c r="N6" s="85"/>
      <c r="O6" s="30"/>
      <c r="P6" s="85"/>
      <c r="Q6" s="85"/>
      <c r="R6" s="85"/>
      <c r="S6" s="30"/>
      <c r="T6" s="85"/>
      <c r="U6" s="85"/>
      <c r="V6" s="5"/>
      <c r="W6" s="11"/>
      <c r="X6" s="11"/>
      <c r="Y6" s="11"/>
      <c r="Z6" s="11"/>
      <c r="AA6" s="11"/>
      <c r="AB6" s="11"/>
      <c r="AC6" s="11"/>
      <c r="AD6" s="11"/>
      <c r="AE6" s="11"/>
    </row>
    <row r="7" spans="1:32" ht="12.75" customHeight="1">
      <c r="B7" s="9"/>
      <c r="C7" s="77"/>
      <c r="D7" s="77"/>
      <c r="E7" s="77"/>
      <c r="F7" s="77"/>
      <c r="G7" s="77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30"/>
      <c r="T7" s="85"/>
      <c r="U7" s="85"/>
      <c r="V7" s="30"/>
      <c r="W7" s="30">
        <f t="shared" ref="W7:AB8" si="2">SUM(I7:L7)</f>
        <v>0</v>
      </c>
      <c r="X7" s="30">
        <f t="shared" si="2"/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si="2"/>
        <v>0</v>
      </c>
      <c r="AC7" s="30">
        <f t="shared" ref="AC7:AE8" si="3">SUM(P7:S7)</f>
        <v>0</v>
      </c>
      <c r="AD7" s="30">
        <f t="shared" si="3"/>
        <v>0</v>
      </c>
      <c r="AE7" s="30">
        <f t="shared" si="3"/>
        <v>0</v>
      </c>
      <c r="AF7" s="30">
        <f>SUM(S7:U7)</f>
        <v>0</v>
      </c>
    </row>
    <row r="8" spans="1:32" ht="12.75" customHeight="1">
      <c r="B8" s="9"/>
      <c r="C8" s="77"/>
      <c r="D8" s="77"/>
      <c r="E8" s="77"/>
      <c r="F8" s="77"/>
      <c r="G8" s="77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30"/>
      <c r="T8" s="85"/>
      <c r="U8" s="85"/>
      <c r="V8" s="5"/>
      <c r="W8" s="11">
        <f t="shared" si="2"/>
        <v>0</v>
      </c>
      <c r="X8" s="11">
        <f t="shared" si="2"/>
        <v>0</v>
      </c>
      <c r="Y8" s="11">
        <f t="shared" si="2"/>
        <v>0</v>
      </c>
      <c r="Z8" s="11">
        <f t="shared" si="2"/>
        <v>0</v>
      </c>
      <c r="AA8" s="11">
        <f t="shared" si="2"/>
        <v>0</v>
      </c>
      <c r="AB8" s="11">
        <f t="shared" si="2"/>
        <v>0</v>
      </c>
      <c r="AC8" s="30">
        <f t="shared" si="3"/>
        <v>0</v>
      </c>
      <c r="AD8" s="30">
        <f t="shared" si="3"/>
        <v>0</v>
      </c>
      <c r="AE8" s="30">
        <f t="shared" si="3"/>
        <v>0</v>
      </c>
      <c r="AF8" s="30">
        <f>SUM(S8:U8)</f>
        <v>0</v>
      </c>
    </row>
    <row r="9" spans="1:32" ht="12.75" customHeight="1">
      <c r="B9" s="12" t="s">
        <v>85</v>
      </c>
      <c r="C9" s="32"/>
      <c r="D9" s="32">
        <f t="shared" ref="D9:F9" si="4">SUM(D7:D8)</f>
        <v>0</v>
      </c>
      <c r="E9" s="32">
        <f t="shared" si="4"/>
        <v>0</v>
      </c>
      <c r="F9" s="32">
        <f t="shared" si="4"/>
        <v>0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U9" si="5">SUM(P7:P8)</f>
        <v>0</v>
      </c>
      <c r="Q9" s="32">
        <f t="shared" si="5"/>
        <v>0</v>
      </c>
      <c r="R9" s="32">
        <f t="shared" si="5"/>
        <v>0</v>
      </c>
      <c r="S9" s="32">
        <f t="shared" si="5"/>
        <v>0</v>
      </c>
      <c r="T9" s="32">
        <f t="shared" si="5"/>
        <v>0</v>
      </c>
      <c r="U9" s="32">
        <f t="shared" si="5"/>
        <v>0</v>
      </c>
      <c r="V9" s="5"/>
      <c r="W9" s="32">
        <f t="shared" ref="W9:AF9" si="6">SUM(W7:W8)</f>
        <v>0</v>
      </c>
      <c r="X9" s="32">
        <f t="shared" si="6"/>
        <v>0</v>
      </c>
      <c r="Y9" s="32">
        <f t="shared" si="6"/>
        <v>0</v>
      </c>
      <c r="Z9" s="32">
        <f t="shared" si="6"/>
        <v>0</v>
      </c>
      <c r="AA9" s="32">
        <f t="shared" si="6"/>
        <v>0</v>
      </c>
      <c r="AB9" s="32">
        <f t="shared" si="6"/>
        <v>0</v>
      </c>
      <c r="AC9" s="32">
        <f t="shared" si="6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</row>
    <row r="10" spans="1:32">
      <c r="B10" s="74" t="s">
        <v>76</v>
      </c>
      <c r="C10" s="118"/>
      <c r="D10" s="75">
        <f>+D9-'Historical Financials'!D11</f>
        <v>0</v>
      </c>
      <c r="E10" s="75">
        <f>+E9-'Historical Financials'!E11</f>
        <v>0</v>
      </c>
      <c r="F10" s="75">
        <f>+F9-'Historical Financials'!F11</f>
        <v>0</v>
      </c>
      <c r="G10" s="11"/>
      <c r="H10" s="118"/>
      <c r="I10" s="118"/>
      <c r="J10" s="118"/>
      <c r="K10" s="118"/>
      <c r="L10" s="118"/>
      <c r="M10" s="118"/>
      <c r="N10" s="118"/>
      <c r="O10" s="118"/>
      <c r="P10" s="75">
        <f>+P9-'Historical Financials'!P11</f>
        <v>0</v>
      </c>
      <c r="Q10" s="75">
        <f>+Q9-'Historical Financials'!Q11</f>
        <v>0</v>
      </c>
      <c r="R10" s="75">
        <f>+R9-'Historical Financials'!R11</f>
        <v>0</v>
      </c>
      <c r="S10" s="75">
        <f>+S9-'Historical Financials'!S11</f>
        <v>0</v>
      </c>
      <c r="T10" s="75">
        <f>+T9-'Historical Financials'!T11</f>
        <v>0</v>
      </c>
      <c r="U10" s="75">
        <f>+U9-'Historical Financials'!U11</f>
        <v>0</v>
      </c>
      <c r="V10" s="75"/>
      <c r="W10" s="75">
        <f>W9-'Historical Financials'!W11</f>
        <v>0</v>
      </c>
      <c r="X10" s="75">
        <f>X9-'Historical Financials'!X11</f>
        <v>0</v>
      </c>
      <c r="Y10" s="75">
        <f>Y9-'Historical Financials'!Y11</f>
        <v>0</v>
      </c>
      <c r="Z10" s="75">
        <f>Z9-'Historical Financials'!Z11</f>
        <v>0</v>
      </c>
      <c r="AA10" s="75">
        <f>AA9-'Historical Financials'!AA11</f>
        <v>0</v>
      </c>
      <c r="AB10" s="75">
        <f>AB9-'Historical Financials'!AB11</f>
        <v>0</v>
      </c>
      <c r="AC10" s="75">
        <f>AC9-'Historical Financials'!AD11</f>
        <v>0</v>
      </c>
      <c r="AD10" s="75">
        <f>AD9-'Historical Financials'!AE11</f>
        <v>0</v>
      </c>
      <c r="AE10" s="75">
        <f>AE9-'Historical Financials'!AF11</f>
        <v>0</v>
      </c>
      <c r="AF10" s="75">
        <f>AF9-'Historical Financials'!AG11</f>
        <v>0</v>
      </c>
    </row>
    <row r="11" spans="1:32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.75" customHeight="1">
      <c r="A12" s="76" t="s">
        <v>19</v>
      </c>
      <c r="B12" s="73" t="s">
        <v>132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ht="12.75" customHeight="1">
      <c r="B13" s="9"/>
      <c r="C13" s="77"/>
      <c r="D13" s="77"/>
      <c r="E13" s="77"/>
      <c r="F13" s="77"/>
      <c r="G13" s="77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30"/>
      <c r="T13" s="85"/>
      <c r="U13" s="85"/>
      <c r="V13" s="5"/>
      <c r="W13" s="11">
        <f t="shared" ref="W13:AB14" si="7">SUM(I13:L13)</f>
        <v>0</v>
      </c>
      <c r="X13" s="11">
        <f t="shared" si="7"/>
        <v>0</v>
      </c>
      <c r="Y13" s="11">
        <f t="shared" si="7"/>
        <v>0</v>
      </c>
      <c r="Z13" s="11">
        <f t="shared" si="7"/>
        <v>0</v>
      </c>
      <c r="AA13" s="11">
        <f t="shared" si="7"/>
        <v>0</v>
      </c>
      <c r="AB13" s="11">
        <f t="shared" si="7"/>
        <v>0</v>
      </c>
      <c r="AC13" s="30">
        <f t="shared" ref="AC13:AE14" si="8">SUM(P13:S13)</f>
        <v>0</v>
      </c>
      <c r="AD13" s="30">
        <f t="shared" si="8"/>
        <v>0</v>
      </c>
      <c r="AE13" s="30">
        <f t="shared" si="8"/>
        <v>0</v>
      </c>
      <c r="AF13" s="30">
        <f>SUM(S13:U13)</f>
        <v>0</v>
      </c>
    </row>
    <row r="14" spans="1:32" ht="12.75" customHeight="1">
      <c r="B14" s="9"/>
      <c r="C14" s="77"/>
      <c r="D14" s="77"/>
      <c r="E14" s="77"/>
      <c r="F14" s="77"/>
      <c r="G14" s="77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30"/>
      <c r="T14" s="85"/>
      <c r="U14" s="85"/>
      <c r="V14" s="5"/>
      <c r="W14" s="11">
        <f t="shared" si="7"/>
        <v>0</v>
      </c>
      <c r="X14" s="11">
        <f t="shared" si="7"/>
        <v>0</v>
      </c>
      <c r="Y14" s="11">
        <f t="shared" si="7"/>
        <v>0</v>
      </c>
      <c r="Z14" s="11">
        <f t="shared" si="7"/>
        <v>0</v>
      </c>
      <c r="AA14" s="11">
        <f t="shared" si="7"/>
        <v>0</v>
      </c>
      <c r="AB14" s="11">
        <f t="shared" si="7"/>
        <v>0</v>
      </c>
      <c r="AC14" s="30">
        <f t="shared" si="8"/>
        <v>0</v>
      </c>
      <c r="AD14" s="30">
        <f t="shared" si="8"/>
        <v>0</v>
      </c>
      <c r="AE14" s="30">
        <f t="shared" si="8"/>
        <v>0</v>
      </c>
      <c r="AF14" s="30">
        <f>SUM(S14:U14)</f>
        <v>0</v>
      </c>
    </row>
    <row r="15" spans="1:32" ht="12.75" customHeight="1">
      <c r="B15" s="12" t="s">
        <v>105</v>
      </c>
      <c r="C15" s="32"/>
      <c r="D15" s="32">
        <f t="shared" ref="D15:F15" si="9">SUM(D13:D14)</f>
        <v>0</v>
      </c>
      <c r="E15" s="32">
        <f t="shared" si="9"/>
        <v>0</v>
      </c>
      <c r="F15" s="32">
        <f t="shared" si="9"/>
        <v>0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U15" si="10">SUM(P13:P14)</f>
        <v>0</v>
      </c>
      <c r="Q15" s="32">
        <f t="shared" si="10"/>
        <v>0</v>
      </c>
      <c r="R15" s="32">
        <f t="shared" si="10"/>
        <v>0</v>
      </c>
      <c r="S15" s="32">
        <f t="shared" si="10"/>
        <v>0</v>
      </c>
      <c r="T15" s="32">
        <f t="shared" si="10"/>
        <v>0</v>
      </c>
      <c r="U15" s="32">
        <f t="shared" si="10"/>
        <v>0</v>
      </c>
      <c r="V15" s="5"/>
      <c r="W15" s="32">
        <f t="shared" ref="W15:AF15" si="11">SUM(W13:W14)</f>
        <v>0</v>
      </c>
      <c r="X15" s="32">
        <f t="shared" si="11"/>
        <v>0</v>
      </c>
      <c r="Y15" s="32">
        <f t="shared" si="11"/>
        <v>0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</row>
    <row r="16" spans="1:32" ht="12.75" customHeight="1">
      <c r="B16" s="74" t="s">
        <v>76</v>
      </c>
      <c r="C16" s="75"/>
      <c r="D16" s="75">
        <f t="shared" ref="D16:F16" si="12">+D15-D9</f>
        <v>0</v>
      </c>
      <c r="E16" s="75">
        <f t="shared" si="12"/>
        <v>0</v>
      </c>
      <c r="F16" s="75">
        <f t="shared" si="12"/>
        <v>0</v>
      </c>
      <c r="G16" s="11"/>
      <c r="H16" s="118"/>
      <c r="I16" s="118"/>
      <c r="J16" s="118"/>
      <c r="K16" s="118"/>
      <c r="L16" s="118"/>
      <c r="M16" s="118"/>
      <c r="N16" s="118"/>
      <c r="O16" s="118"/>
      <c r="P16" s="75">
        <f t="shared" ref="P16" si="13">+P15-P9</f>
        <v>0</v>
      </c>
      <c r="Q16" s="75">
        <f t="shared" ref="Q16" si="14">+Q15-Q9</f>
        <v>0</v>
      </c>
      <c r="R16" s="75">
        <f t="shared" ref="R16" si="15">+R15-R9</f>
        <v>0</v>
      </c>
      <c r="S16" s="75">
        <f t="shared" ref="S16" si="16">+S15-S9</f>
        <v>0</v>
      </c>
      <c r="T16" s="75">
        <f t="shared" ref="T16" si="17">+T15-T9</f>
        <v>0</v>
      </c>
      <c r="U16" s="75">
        <f t="shared" ref="U16" si="18">+U15-U9</f>
        <v>0</v>
      </c>
      <c r="V16" s="75"/>
      <c r="W16" s="75">
        <f>W15-'Historical Financials'!W17</f>
        <v>13320.084999999999</v>
      </c>
      <c r="X16" s="75">
        <f>X15-'Historical Financials'!X17</f>
        <v>13287.494999999999</v>
      </c>
      <c r="Y16" s="75">
        <f>Y15-'Historical Financials'!Y17</f>
        <v>13349.886999999999</v>
      </c>
      <c r="Z16" s="75">
        <f>Z15-'Historical Financials'!Z17</f>
        <v>12039</v>
      </c>
      <c r="AA16" s="75">
        <f>AA15-'Historical Financials'!AA17</f>
        <v>11330.964</v>
      </c>
      <c r="AB16" s="75">
        <f>AB15-'Historical Financials'!AB17</f>
        <v>11238.396000000001</v>
      </c>
      <c r="AC16" s="75">
        <f t="shared" ref="AC16" si="19">+AC15-AC9</f>
        <v>0</v>
      </c>
      <c r="AD16" s="75">
        <f t="shared" ref="AD16" si="20">+AD15-AD9</f>
        <v>0</v>
      </c>
      <c r="AE16" s="75">
        <f t="shared" ref="AE16" si="21">+AE15-AE9</f>
        <v>0</v>
      </c>
      <c r="AF16" s="75">
        <f t="shared" ref="AF16" si="22">+AF15-AF9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="160" zoomScaleNormal="160" workbookViewId="0">
      <selection activeCell="B3" sqref="B3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7" bestFit="1" customWidth="1"/>
    <col min="38" max="16384" width="9" style="8"/>
  </cols>
  <sheetData>
    <row r="2" spans="2:37" s="5" customFormat="1" ht="12.75" customHeight="1">
      <c r="B2" s="1" t="s">
        <v>133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45" t="s">
        <v>24</v>
      </c>
    </row>
    <row r="3" spans="2:37" s="5" customFormat="1" ht="12.75" customHeight="1">
      <c r="B3" s="6" t="s">
        <v>25</v>
      </c>
      <c r="C3" s="7" t="e">
        <f>'Historical Financials'!#REF!</f>
        <v>#REF!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1Q22</v>
      </c>
      <c r="I3" s="7" t="str">
        <f>'Historical Financials'!I7</f>
        <v>2Q22</v>
      </c>
      <c r="J3" s="7" t="str">
        <f>'Historical Financials'!J7</f>
        <v>3Q22</v>
      </c>
      <c r="K3" s="7" t="str">
        <f>'Historical Financials'!K7</f>
        <v>4Q22</v>
      </c>
      <c r="L3" s="7" t="str">
        <f>'Historical Financials'!L7</f>
        <v>1Q23</v>
      </c>
      <c r="M3" s="7" t="str">
        <f>'Historical Financials'!M7</f>
        <v>2Q23</v>
      </c>
      <c r="N3" s="7" t="str">
        <f>'Historical Financials'!N7</f>
        <v>3Q23</v>
      </c>
      <c r="O3" s="7" t="str">
        <f>'Historical Financials'!O7</f>
        <v>4Q23</v>
      </c>
      <c r="P3" s="7" t="str">
        <f>'Historical Financials'!P7</f>
        <v>1Q24</v>
      </c>
      <c r="Q3" s="7" t="str">
        <f>'Historical Financials'!Q7</f>
        <v>2Q24</v>
      </c>
      <c r="R3" s="7" t="str">
        <f>'Historical Financials'!R7</f>
        <v>3Q24</v>
      </c>
      <c r="S3" s="7" t="str">
        <f>'Historical Financials'!S7</f>
        <v>4Q24</v>
      </c>
      <c r="T3" s="7" t="str">
        <f>'Historical Financials'!T7</f>
        <v>1Q25</v>
      </c>
      <c r="U3" s="7" t="str">
        <f>'Historical Financials'!U7</f>
        <v>2Q25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e">
        <f>V3</f>
        <v>#REF!</v>
      </c>
      <c r="AJ3" s="3"/>
      <c r="AK3" s="145"/>
    </row>
    <row r="4" spans="2:37" s="5" customFormat="1" ht="12.75" customHeight="1">
      <c r="B4" s="6" t="s">
        <v>129</v>
      </c>
      <c r="C4" s="3" t="e">
        <f>'Historical Financials'!#REF!</f>
        <v>#REF!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44651</v>
      </c>
      <c r="I4" s="3">
        <f>'Historical Financials'!I8</f>
        <v>44742</v>
      </c>
      <c r="J4" s="3">
        <f>'Historical Financials'!J8</f>
        <v>44834</v>
      </c>
      <c r="K4" s="3">
        <f>'Historical Financials'!K8</f>
        <v>44926</v>
      </c>
      <c r="L4" s="3">
        <f>'Historical Financials'!L8</f>
        <v>45016</v>
      </c>
      <c r="M4" s="3">
        <f>'Historical Financials'!M8</f>
        <v>45107</v>
      </c>
      <c r="N4" s="3">
        <f>'Historical Financials'!N8</f>
        <v>45199</v>
      </c>
      <c r="O4" s="3">
        <f>'Historical Financials'!O8</f>
        <v>45291</v>
      </c>
      <c r="P4" s="3">
        <f>'Historical Financials'!P8</f>
        <v>45382</v>
      </c>
      <c r="Q4" s="3">
        <f>'Historical Financials'!Q8</f>
        <v>45473</v>
      </c>
      <c r="R4" s="3">
        <f>'Historical Financials'!R8</f>
        <v>45565</v>
      </c>
      <c r="S4" s="3">
        <f>'Historical Financials'!S8</f>
        <v>45657</v>
      </c>
      <c r="T4" s="3">
        <f>'Historical Financials'!T8</f>
        <v>45747</v>
      </c>
      <c r="U4" s="3">
        <f>'Historical Financials'!U8</f>
        <v>45838</v>
      </c>
      <c r="V4" s="3" t="e">
        <f>'Historical Financials'!#REF!</f>
        <v>#REF!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 t="e">
        <f>V4</f>
        <v>#REF!</v>
      </c>
      <c r="AJ4" s="3"/>
      <c r="AK4" s="145"/>
    </row>
    <row r="5" spans="2:37" ht="5.0999999999999996" customHeight="1">
      <c r="AK5" s="113"/>
    </row>
    <row r="6" spans="2:37" ht="12.75" customHeight="1">
      <c r="B6" s="9"/>
      <c r="C6" s="134"/>
      <c r="D6" s="84"/>
      <c r="E6" s="84"/>
      <c r="F6" s="84"/>
      <c r="G6" s="10"/>
      <c r="H6" s="134"/>
      <c r="I6" s="134"/>
      <c r="J6" s="134"/>
      <c r="K6" s="134"/>
      <c r="L6" s="134"/>
      <c r="M6" s="134"/>
      <c r="N6" s="134"/>
      <c r="O6" s="134"/>
      <c r="P6" s="84">
        <f>'Revenue Drivers'!P7</f>
        <v>0</v>
      </c>
      <c r="Q6" s="84">
        <f>'Revenue Drivers'!Q7</f>
        <v>0</v>
      </c>
      <c r="R6" s="84"/>
      <c r="S6" s="84"/>
      <c r="T6" s="84"/>
      <c r="U6" s="84"/>
      <c r="V6" s="84"/>
      <c r="W6" s="5"/>
      <c r="X6" s="134"/>
      <c r="Y6" s="134"/>
      <c r="Z6" s="134"/>
      <c r="AA6" s="134"/>
      <c r="AB6" s="134"/>
      <c r="AC6" s="10">
        <f t="shared" ref="AB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>
        <f>SUM(S6:V6)</f>
        <v>0</v>
      </c>
      <c r="AK6" s="114" t="e">
        <f>SUM(AI6/AE6)-1</f>
        <v>#DIV/0!</v>
      </c>
    </row>
    <row r="7" spans="2:37" ht="12.75" customHeight="1">
      <c r="B7" s="9"/>
      <c r="C7" s="134"/>
      <c r="D7" s="84"/>
      <c r="E7" s="84"/>
      <c r="F7" s="84"/>
      <c r="G7" s="10"/>
      <c r="H7" s="134"/>
      <c r="I7" s="134"/>
      <c r="J7" s="134"/>
      <c r="K7" s="134"/>
      <c r="L7" s="134"/>
      <c r="M7" s="134"/>
      <c r="N7" s="134"/>
      <c r="O7" s="134"/>
      <c r="P7" s="84">
        <f>'Revenue Drivers'!P8</f>
        <v>0</v>
      </c>
      <c r="Q7" s="84">
        <f>'Revenue Drivers'!Q8</f>
        <v>0</v>
      </c>
      <c r="R7" s="84"/>
      <c r="S7" s="84"/>
      <c r="T7" s="84"/>
      <c r="U7" s="84"/>
      <c r="V7" s="84"/>
      <c r="W7" s="5"/>
      <c r="X7" s="134"/>
      <c r="Y7" s="134"/>
      <c r="Z7" s="134"/>
      <c r="AA7" s="134"/>
      <c r="AB7" s="134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>
        <f>SUM(S7:V7)</f>
        <v>0</v>
      </c>
      <c r="AK7" s="114" t="e">
        <f>SUM(AI7/AE7)-1</f>
        <v>#DIV/0!</v>
      </c>
    </row>
    <row r="8" spans="2:37" ht="12.75" customHeight="1">
      <c r="B8" s="12" t="s">
        <v>12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Financials'!H11</f>
        <v>0</v>
      </c>
      <c r="I8" s="13">
        <f>'Historical Financials'!I11</f>
        <v>0</v>
      </c>
      <c r="J8" s="13">
        <f>'Historical Financials'!J11</f>
        <v>0</v>
      </c>
      <c r="K8" s="13">
        <f>'Historical Financials'!K11</f>
        <v>0</v>
      </c>
      <c r="L8" s="13">
        <f>'Historical Financials'!L11</f>
        <v>0</v>
      </c>
      <c r="M8" s="13">
        <f>'Historical Financials'!M11</f>
        <v>0</v>
      </c>
      <c r="N8" s="13">
        <f>'Historical Financials'!N11</f>
        <v>0</v>
      </c>
      <c r="O8" s="13">
        <f>'Historical Financials'!O11</f>
        <v>0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0</v>
      </c>
      <c r="Y8" s="13">
        <f t="shared" ref="Y8" si="4">SUM(I8:L8)</f>
        <v>0</v>
      </c>
      <c r="Z8" s="13">
        <f t="shared" ref="Z8" si="5">SUM(J8:M8)</f>
        <v>0</v>
      </c>
      <c r="AA8" s="13">
        <f t="shared" ref="AA8" si="6">SUM(K8:N8)</f>
        <v>0</v>
      </c>
      <c r="AB8" s="13">
        <f t="shared" si="1"/>
        <v>0</v>
      </c>
      <c r="AC8" s="13">
        <f t="shared" ref="AC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>SUM(AI6:AI7)</f>
        <v>0</v>
      </c>
      <c r="AK8" s="115" t="e">
        <f>SUM(AI8/AE8)-1</f>
        <v>#DIV/0!</v>
      </c>
    </row>
    <row r="9" spans="2:37" ht="12.75" customHeight="1">
      <c r="B9" s="14" t="s">
        <v>32</v>
      </c>
      <c r="C9" s="134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4"/>
      <c r="I9" s="134"/>
      <c r="J9" s="134"/>
      <c r="K9" s="134"/>
      <c r="L9" s="134"/>
      <c r="M9" s="15" t="e">
        <f>SUM(M8/I8)-1</f>
        <v>#DIV/0!</v>
      </c>
      <c r="N9" s="15" t="e">
        <f t="shared" ref="N9:V9" si="8">SUM(N8/J8)-1</f>
        <v>#DIV/0!</v>
      </c>
      <c r="O9" s="15" t="e">
        <f t="shared" si="8"/>
        <v>#DIV/0!</v>
      </c>
      <c r="P9" s="15" t="e">
        <f t="shared" si="8"/>
        <v>#DIV/0!</v>
      </c>
      <c r="Q9" s="15" t="e">
        <f t="shared" si="8"/>
        <v>#DIV/0!</v>
      </c>
      <c r="R9" s="15" t="e">
        <f t="shared" si="8"/>
        <v>#DIV/0!</v>
      </c>
      <c r="S9" s="15" t="e">
        <f t="shared" si="8"/>
        <v>#DIV/0!</v>
      </c>
      <c r="T9" s="15" t="e">
        <f t="shared" si="8"/>
        <v>#DIV/0!</v>
      </c>
      <c r="U9" s="15" t="e">
        <f t="shared" si="8"/>
        <v>#DIV/0!</v>
      </c>
      <c r="V9" s="15" t="e">
        <f t="shared" si="8"/>
        <v>#DIV/0!</v>
      </c>
      <c r="W9" s="5"/>
      <c r="X9" s="104"/>
      <c r="Y9" s="104"/>
      <c r="Z9" s="104"/>
      <c r="AA9" s="104"/>
      <c r="AB9" s="15" t="e">
        <f t="shared" ref="AB9:AI9" si="9">SUM(AB8/X8)-1</f>
        <v>#DIV/0!</v>
      </c>
      <c r="AC9" s="15" t="e">
        <f t="shared" si="9"/>
        <v>#DIV/0!</v>
      </c>
      <c r="AD9" s="15" t="e">
        <f t="shared" si="9"/>
        <v>#DIV/0!</v>
      </c>
      <c r="AE9" s="15" t="e">
        <f t="shared" si="9"/>
        <v>#DIV/0!</v>
      </c>
      <c r="AF9" s="15" t="e">
        <f t="shared" si="9"/>
        <v>#DIV/0!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#DIV/0!</v>
      </c>
      <c r="AK9" s="116" t="e">
        <f>SUM(AI9-AE9)*10000</f>
        <v>#DIV/0!</v>
      </c>
    </row>
    <row r="10" spans="2:37" ht="12.75" customHeight="1">
      <c r="B10" s="14" t="s">
        <v>33</v>
      </c>
      <c r="C10" s="15" t="s">
        <v>34</v>
      </c>
      <c r="D10" s="15" t="s">
        <v>34</v>
      </c>
      <c r="E10" s="15" t="s">
        <v>34</v>
      </c>
      <c r="F10" s="15" t="s">
        <v>34</v>
      </c>
      <c r="G10" s="11"/>
      <c r="H10" s="134"/>
      <c r="I10" s="134"/>
      <c r="J10" s="15" t="e">
        <f>SUM(J8/I8)-1</f>
        <v>#DIV/0!</v>
      </c>
      <c r="K10" s="15" t="e">
        <f t="shared" ref="K10:V10" si="10">SUM(K8/J8)-1</f>
        <v>#DIV/0!</v>
      </c>
      <c r="L10" s="15" t="e">
        <f t="shared" si="10"/>
        <v>#DIV/0!</v>
      </c>
      <c r="M10" s="15" t="e">
        <f t="shared" si="10"/>
        <v>#DIV/0!</v>
      </c>
      <c r="N10" s="15" t="e">
        <f t="shared" si="10"/>
        <v>#DIV/0!</v>
      </c>
      <c r="O10" s="15" t="e">
        <f t="shared" si="10"/>
        <v>#DIV/0!</v>
      </c>
      <c r="P10" s="15" t="e">
        <f t="shared" si="10"/>
        <v>#DIV/0!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34</v>
      </c>
      <c r="Y10" s="15" t="s">
        <v>34</v>
      </c>
      <c r="Z10" s="15" t="s">
        <v>34</v>
      </c>
      <c r="AA10" s="15" t="s">
        <v>34</v>
      </c>
      <c r="AB10" s="15" t="s">
        <v>34</v>
      </c>
      <c r="AC10" s="15" t="s">
        <v>34</v>
      </c>
      <c r="AD10" s="15" t="s">
        <v>34</v>
      </c>
      <c r="AE10" s="15" t="s">
        <v>34</v>
      </c>
      <c r="AF10" s="15" t="s">
        <v>34</v>
      </c>
      <c r="AG10" s="15" t="s">
        <v>34</v>
      </c>
      <c r="AH10" s="15" t="s">
        <v>34</v>
      </c>
      <c r="AI10" s="15" t="s">
        <v>34</v>
      </c>
      <c r="AK10" s="113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3"/>
    </row>
    <row r="12" spans="2:37" ht="12.75" customHeight="1">
      <c r="B12" s="21" t="s">
        <v>35</v>
      </c>
      <c r="C12" s="84" t="e">
        <f>'Historical Financials'!#REF!</f>
        <v>#REF!</v>
      </c>
      <c r="D12" s="84"/>
      <c r="E12" s="84"/>
      <c r="F12" s="84"/>
      <c r="G12" s="10"/>
      <c r="H12" s="84">
        <f>'Historical Financials'!H13</f>
        <v>0</v>
      </c>
      <c r="I12" s="84">
        <f>'Historical Financials'!I13</f>
        <v>0</v>
      </c>
      <c r="J12" s="84">
        <f>'Historical Financials'!J13</f>
        <v>0</v>
      </c>
      <c r="K12" s="84">
        <f>'Historical Financials'!K13</f>
        <v>0</v>
      </c>
      <c r="L12" s="84">
        <f>'Historical Financials'!L13</f>
        <v>0</v>
      </c>
      <c r="M12" s="84">
        <f>'Historical Financials'!M13</f>
        <v>0</v>
      </c>
      <c r="N12" s="84">
        <f>'Historical Financials'!N13</f>
        <v>0</v>
      </c>
      <c r="O12" s="84">
        <f>'Historical Financials'!O13</f>
        <v>0</v>
      </c>
      <c r="P12" s="84">
        <f>'Historical Financials'!P13</f>
        <v>0</v>
      </c>
      <c r="Q12" s="84">
        <f>'Historical Financials'!Q13</f>
        <v>0</v>
      </c>
      <c r="R12" s="84"/>
      <c r="S12" s="84"/>
      <c r="T12" s="84"/>
      <c r="U12" s="84"/>
      <c r="V12" s="84"/>
      <c r="W12" s="5"/>
      <c r="X12" s="10">
        <f>SUM(G12:K12)</f>
        <v>0</v>
      </c>
      <c r="Y12" s="10">
        <f t="shared" ref="Y12:AH12" si="11">SUM(I12:L12)</f>
        <v>0</v>
      </c>
      <c r="Z12" s="10">
        <f t="shared" si="11"/>
        <v>0</v>
      </c>
      <c r="AA12" s="10">
        <f t="shared" si="11"/>
        <v>0</v>
      </c>
      <c r="AB12" s="10">
        <f t="shared" si="11"/>
        <v>0</v>
      </c>
      <c r="AC12" s="10">
        <f t="shared" si="11"/>
        <v>0</v>
      </c>
      <c r="AD12" s="10">
        <f t="shared" si="11"/>
        <v>0</v>
      </c>
      <c r="AE12" s="10">
        <f t="shared" si="11"/>
        <v>0</v>
      </c>
      <c r="AF12" s="10">
        <f t="shared" si="11"/>
        <v>0</v>
      </c>
      <c r="AG12" s="10">
        <f t="shared" si="11"/>
        <v>0</v>
      </c>
      <c r="AH12" s="10">
        <f t="shared" si="11"/>
        <v>0</v>
      </c>
      <c r="AI12" s="10">
        <f>SUM(S12:V12)</f>
        <v>0</v>
      </c>
      <c r="AK12" s="114" t="e">
        <f>SUM(AI12/AE12)-1</f>
        <v>#DIV/0!</v>
      </c>
    </row>
    <row r="13" spans="2:37" ht="12.75" customHeight="1">
      <c r="B13" s="23" t="s">
        <v>22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0</v>
      </c>
      <c r="I13" s="24">
        <f t="shared" ref="I13:V13" si="13">+I8+I12</f>
        <v>0</v>
      </c>
      <c r="J13" s="24">
        <f t="shared" si="13"/>
        <v>0</v>
      </c>
      <c r="K13" s="24">
        <f t="shared" si="13"/>
        <v>0</v>
      </c>
      <c r="L13" s="24">
        <f t="shared" si="13"/>
        <v>0</v>
      </c>
      <c r="M13" s="24">
        <f t="shared" si="13"/>
        <v>0</v>
      </c>
      <c r="N13" s="24">
        <f t="shared" si="13"/>
        <v>0</v>
      </c>
      <c r="O13" s="24">
        <f t="shared" si="13"/>
        <v>0</v>
      </c>
      <c r="P13" s="24">
        <f t="shared" si="13"/>
        <v>0</v>
      </c>
      <c r="Q13" s="24">
        <f t="shared" si="13"/>
        <v>0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0</v>
      </c>
      <c r="Y13" s="24">
        <f t="shared" si="14"/>
        <v>0</v>
      </c>
      <c r="Z13" s="24">
        <f t="shared" si="14"/>
        <v>0</v>
      </c>
      <c r="AA13" s="24">
        <f t="shared" si="14"/>
        <v>0</v>
      </c>
      <c r="AB13" s="24">
        <f t="shared" si="14"/>
        <v>0</v>
      </c>
      <c r="AC13" s="24">
        <f t="shared" si="14"/>
        <v>0</v>
      </c>
      <c r="AD13" s="24">
        <f t="shared" si="14"/>
        <v>0</v>
      </c>
      <c r="AE13" s="24">
        <f t="shared" si="14"/>
        <v>0</v>
      </c>
      <c r="AF13" s="24">
        <f t="shared" si="14"/>
        <v>0</v>
      </c>
      <c r="AG13" s="24">
        <f t="shared" si="14"/>
        <v>0</v>
      </c>
      <c r="AH13" s="24">
        <f t="shared" si="14"/>
        <v>0</v>
      </c>
      <c r="AI13" s="24">
        <f>+AI8+AI12</f>
        <v>0</v>
      </c>
      <c r="AK13" s="115" t="e">
        <f>SUM(AI13/AE13)-1</f>
        <v>#DIV/0!</v>
      </c>
    </row>
    <row r="14" spans="2:37" ht="12.75" customHeight="1">
      <c r="B14" s="14" t="s">
        <v>36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 t="e">
        <f t="shared" ref="H14" si="15">H13/H8</f>
        <v>#DIV/0!</v>
      </c>
      <c r="I14" s="15" t="e">
        <f t="shared" ref="I14:V14" si="16">I13/I8</f>
        <v>#DIV/0!</v>
      </c>
      <c r="J14" s="15" t="e">
        <f t="shared" si="16"/>
        <v>#DIV/0!</v>
      </c>
      <c r="K14" s="15" t="e">
        <f t="shared" si="16"/>
        <v>#DIV/0!</v>
      </c>
      <c r="L14" s="15" t="e">
        <f t="shared" si="16"/>
        <v>#DIV/0!</v>
      </c>
      <c r="M14" s="15" t="e">
        <f t="shared" si="16"/>
        <v>#DIV/0!</v>
      </c>
      <c r="N14" s="15" t="e">
        <f t="shared" si="16"/>
        <v>#DIV/0!</v>
      </c>
      <c r="O14" s="15" t="e">
        <f t="shared" si="16"/>
        <v>#DIV/0!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 t="e">
        <f t="shared" ref="X14:AH14" si="17">X13/X8</f>
        <v>#DIV/0!</v>
      </c>
      <c r="Y14" s="15" t="e">
        <f t="shared" si="17"/>
        <v>#DIV/0!</v>
      </c>
      <c r="Z14" s="15" t="e">
        <f t="shared" si="17"/>
        <v>#DIV/0!</v>
      </c>
      <c r="AA14" s="15" t="e">
        <f t="shared" si="17"/>
        <v>#DIV/0!</v>
      </c>
      <c r="AB14" s="15" t="e">
        <f t="shared" si="17"/>
        <v>#DIV/0!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#DIV/0!</v>
      </c>
      <c r="AK14" s="116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3"/>
    </row>
    <row r="16" spans="2:37" ht="12.75" customHeight="1">
      <c r="B16" s="21" t="s">
        <v>116</v>
      </c>
      <c r="C16" s="84" t="e">
        <f>'Historical Financials'!#REF!</f>
        <v>#REF!</v>
      </c>
      <c r="D16" s="84"/>
      <c r="E16" s="84"/>
      <c r="F16" s="84"/>
      <c r="G16" s="84"/>
      <c r="H16" s="84">
        <f>'Historical Financials'!H17</f>
        <v>-3066.951</v>
      </c>
      <c r="I16" s="84">
        <f>'Historical Financials'!I17</f>
        <v>-2915.1579999999999</v>
      </c>
      <c r="J16" s="84">
        <f>'Historical Financials'!J17</f>
        <v>-3185.451</v>
      </c>
      <c r="K16" s="84">
        <f>'Historical Financials'!K17</f>
        <v>-3902.4399999999987</v>
      </c>
      <c r="L16" s="84">
        <f>'Historical Financials'!L17</f>
        <v>-3317.0360000000001</v>
      </c>
      <c r="M16" s="84">
        <f>'Historical Financials'!M17</f>
        <v>-2882.5680000000002</v>
      </c>
      <c r="N16" s="84">
        <f>'Historical Financials'!N17</f>
        <v>-3247.8429999999998</v>
      </c>
      <c r="O16" s="84">
        <f>'Historical Financials'!O17</f>
        <v>-2591.5529999999999</v>
      </c>
      <c r="P16" s="84">
        <f>'Historical Financials'!P17</f>
        <v>-2609</v>
      </c>
      <c r="Q16" s="84">
        <f>'Historical Financials'!Q17</f>
        <v>-2790</v>
      </c>
      <c r="R16" s="84"/>
      <c r="S16" s="84"/>
      <c r="T16" s="84"/>
      <c r="U16" s="84"/>
      <c r="V16" s="84"/>
      <c r="W16" s="5"/>
      <c r="X16" s="10">
        <f t="shared" ref="X16:X19" si="18">SUM(G16:K16)</f>
        <v>-13070</v>
      </c>
      <c r="Y16" s="10">
        <f t="shared" ref="Y16:Y19" si="19">SUM(I16:L16)</f>
        <v>-13320.084999999999</v>
      </c>
      <c r="Z16" s="10">
        <f t="shared" ref="Z16:Z19" si="20">SUM(J16:M16)</f>
        <v>-13287.494999999999</v>
      </c>
      <c r="AA16" s="10">
        <f t="shared" ref="AA16:AA19" si="21">SUM(K16:N16)</f>
        <v>-13349.886999999999</v>
      </c>
      <c r="AB16" s="10">
        <f t="shared" ref="AB16:AB19" si="22">SUM(L16:O16)</f>
        <v>-12039</v>
      </c>
      <c r="AC16" s="10">
        <f t="shared" ref="AC16:AC19" si="23">SUM(M16:P16)</f>
        <v>-11330.964</v>
      </c>
      <c r="AD16" s="10">
        <f t="shared" ref="AD16:AD19" si="24">SUM(N16:Q16)</f>
        <v>-11238.396000000001</v>
      </c>
      <c r="AE16" s="10">
        <f t="shared" ref="AE16:AE19" si="25">SUM(O16:R16)</f>
        <v>-7990.5529999999999</v>
      </c>
      <c r="AF16" s="10">
        <f t="shared" ref="AF16:AF19" si="26">SUM(P16:S16)</f>
        <v>-5399</v>
      </c>
      <c r="AG16" s="10">
        <f t="shared" ref="AG16:AG19" si="27">SUM(Q16:T16)</f>
        <v>-2790</v>
      </c>
      <c r="AH16" s="10">
        <f t="shared" ref="AH16:AH19" si="28">SUM(R16:U16)</f>
        <v>0</v>
      </c>
      <c r="AI16" s="10">
        <f t="shared" ref="AI16:AI19" si="29">SUM(S16:V16)</f>
        <v>0</v>
      </c>
      <c r="AK16" s="114">
        <f>SUM(AI16/AE16)-1</f>
        <v>-1</v>
      </c>
    </row>
    <row r="17" spans="2:37" ht="12.75" customHeight="1">
      <c r="B17" s="21" t="s">
        <v>117</v>
      </c>
      <c r="C17" s="84" t="e">
        <f>'Historical Financials'!#REF!</f>
        <v>#REF!</v>
      </c>
      <c r="D17" s="84"/>
      <c r="E17" s="84"/>
      <c r="F17" s="84"/>
      <c r="G17" s="84"/>
      <c r="H17" s="84">
        <f>'Historical Financials'!H18</f>
        <v>-8656.4390000000003</v>
      </c>
      <c r="I17" s="84">
        <f>'Historical Financials'!I18</f>
        <v>-8604.5889999999999</v>
      </c>
      <c r="J17" s="84">
        <f>'Historical Financials'!J18</f>
        <v>-9273.2690000000002</v>
      </c>
      <c r="K17" s="84">
        <f>'Historical Financials'!K18</f>
        <v>-11381.703000000001</v>
      </c>
      <c r="L17" s="84">
        <f>'Historical Financials'!L18</f>
        <v>-12066.919</v>
      </c>
      <c r="M17" s="84">
        <f>'Historical Financials'!M18</f>
        <v>-11306.591</v>
      </c>
      <c r="N17" s="84">
        <f>'Historical Financials'!N18</f>
        <v>-10282.853999999999</v>
      </c>
      <c r="O17" s="84">
        <f>'Historical Financials'!O18</f>
        <v>-10060.635999999999</v>
      </c>
      <c r="P17" s="84">
        <f>'Historical Financials'!P18</f>
        <v>-8684</v>
      </c>
      <c r="Q17" s="84">
        <f>'Historical Financials'!Q18</f>
        <v>-9729</v>
      </c>
      <c r="R17" s="84"/>
      <c r="S17" s="84"/>
      <c r="T17" s="84"/>
      <c r="U17" s="84"/>
      <c r="V17" s="84"/>
      <c r="W17" s="5"/>
      <c r="X17" s="10">
        <f t="shared" si="18"/>
        <v>-37916</v>
      </c>
      <c r="Y17" s="10">
        <f t="shared" si="19"/>
        <v>-41326.480000000003</v>
      </c>
      <c r="Z17" s="10">
        <f t="shared" si="20"/>
        <v>-44028.482000000004</v>
      </c>
      <c r="AA17" s="10">
        <f t="shared" si="21"/>
        <v>-45038.067000000003</v>
      </c>
      <c r="AB17" s="10">
        <f t="shared" si="22"/>
        <v>-43717</v>
      </c>
      <c r="AC17" s="10">
        <f t="shared" si="23"/>
        <v>-40334.080999999998</v>
      </c>
      <c r="AD17" s="10">
        <f t="shared" si="24"/>
        <v>-38756.49</v>
      </c>
      <c r="AE17" s="10">
        <f t="shared" si="25"/>
        <v>-28473.635999999999</v>
      </c>
      <c r="AF17" s="10">
        <f t="shared" si="26"/>
        <v>-18413</v>
      </c>
      <c r="AG17" s="10">
        <f t="shared" si="27"/>
        <v>-9729</v>
      </c>
      <c r="AH17" s="10">
        <f t="shared" si="28"/>
        <v>0</v>
      </c>
      <c r="AI17" s="10">
        <f t="shared" si="29"/>
        <v>0</v>
      </c>
      <c r="AK17" s="114">
        <f t="shared" ref="AK17:AK18" si="30">SUM(AI17/AE17)-1</f>
        <v>-1</v>
      </c>
    </row>
    <row r="18" spans="2:37" ht="12.75" customHeight="1">
      <c r="B18" s="21" t="s">
        <v>118</v>
      </c>
      <c r="C18" s="84" t="e">
        <f>'Historical Financials'!#REF!</f>
        <v>#REF!</v>
      </c>
      <c r="D18" s="84"/>
      <c r="E18" s="84"/>
      <c r="F18" s="84"/>
      <c r="G18" s="84"/>
      <c r="H18" s="84" t="e">
        <f>'Historical Financials'!#REF!</f>
        <v>#REF!</v>
      </c>
      <c r="I18" s="84" t="e">
        <f>'Historical Financials'!#REF!</f>
        <v>#REF!</v>
      </c>
      <c r="J18" s="84" t="e">
        <f>'Historical Financials'!#REF!</f>
        <v>#REF!</v>
      </c>
      <c r="K18" s="84" t="e">
        <f>'Historical Financials'!#REF!</f>
        <v>#REF!</v>
      </c>
      <c r="L18" s="84" t="e">
        <f>'Historical Financials'!#REF!</f>
        <v>#REF!</v>
      </c>
      <c r="M18" s="84" t="e">
        <f>'Historical Financials'!#REF!</f>
        <v>#REF!</v>
      </c>
      <c r="N18" s="84" t="e">
        <f>'Historical Financials'!#REF!</f>
        <v>#REF!</v>
      </c>
      <c r="O18" s="84" t="e">
        <f>'Historical Financials'!#REF!</f>
        <v>#REF!</v>
      </c>
      <c r="P18" s="84" t="e">
        <f>'Historical Financials'!#REF!</f>
        <v>#REF!</v>
      </c>
      <c r="Q18" s="84" t="e">
        <f>'Historical Financials'!#REF!</f>
        <v>#REF!</v>
      </c>
      <c r="R18" s="84"/>
      <c r="S18" s="84"/>
      <c r="T18" s="84"/>
      <c r="U18" s="84"/>
      <c r="V18" s="84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4" t="e">
        <f t="shared" si="30"/>
        <v>#REF!</v>
      </c>
    </row>
    <row r="19" spans="2:37" ht="12.75" customHeight="1">
      <c r="B19" s="21" t="s">
        <v>119</v>
      </c>
      <c r="C19" s="84" t="e">
        <f>'Historical Financials'!#REF!</f>
        <v>#REF!</v>
      </c>
      <c r="D19" s="84"/>
      <c r="E19" s="84"/>
      <c r="F19" s="84"/>
      <c r="G19" s="84"/>
      <c r="H19" s="84" t="e">
        <f>'Historical Financials'!#REF!</f>
        <v>#REF!</v>
      </c>
      <c r="I19" s="84" t="e">
        <f>'Historical Financials'!#REF!</f>
        <v>#REF!</v>
      </c>
      <c r="J19" s="84" t="e">
        <f>'Historical Financials'!#REF!</f>
        <v>#REF!</v>
      </c>
      <c r="K19" s="84" t="e">
        <f>'Historical Financials'!#REF!</f>
        <v>#REF!</v>
      </c>
      <c r="L19" s="84" t="e">
        <f>'Historical Financials'!#REF!</f>
        <v>#REF!</v>
      </c>
      <c r="M19" s="84" t="e">
        <f>'Historical Financials'!#REF!</f>
        <v>#REF!</v>
      </c>
      <c r="N19" s="84" t="e">
        <f>'Historical Financials'!#REF!</f>
        <v>#REF!</v>
      </c>
      <c r="O19" s="84" t="e">
        <f>'Historical Financials'!#REF!</f>
        <v>#REF!</v>
      </c>
      <c r="P19" s="84" t="e">
        <f>'Historical Financials'!#REF!</f>
        <v>#REF!</v>
      </c>
      <c r="Q19" s="84" t="e">
        <f>'Historical Financials'!#REF!</f>
        <v>#REF!</v>
      </c>
      <c r="R19" s="84"/>
      <c r="S19" s="84"/>
      <c r="T19" s="84"/>
      <c r="U19" s="84"/>
      <c r="V19" s="84"/>
      <c r="W19" s="5"/>
      <c r="X19" s="10" t="e">
        <f t="shared" si="18"/>
        <v>#REF!</v>
      </c>
      <c r="Y19" s="10" t="e">
        <f t="shared" si="19"/>
        <v>#REF!</v>
      </c>
      <c r="Z19" s="10" t="e">
        <f t="shared" si="20"/>
        <v>#REF!</v>
      </c>
      <c r="AA19" s="10" t="e">
        <f t="shared" si="21"/>
        <v>#REF!</v>
      </c>
      <c r="AB19" s="10" t="e">
        <f t="shared" si="22"/>
        <v>#REF!</v>
      </c>
      <c r="AC19" s="10" t="e">
        <f t="shared" si="23"/>
        <v>#REF!</v>
      </c>
      <c r="AD19" s="10" t="e">
        <f t="shared" si="24"/>
        <v>#REF!</v>
      </c>
      <c r="AE19" s="10" t="e">
        <f t="shared" si="25"/>
        <v>#REF!</v>
      </c>
      <c r="AF19" s="10" t="e">
        <f t="shared" si="26"/>
        <v>#REF!</v>
      </c>
      <c r="AG19" s="10" t="e">
        <f t="shared" si="27"/>
        <v>#REF!</v>
      </c>
      <c r="AH19" s="10">
        <f t="shared" si="28"/>
        <v>0</v>
      </c>
      <c r="AI19" s="10">
        <f t="shared" si="29"/>
        <v>0</v>
      </c>
      <c r="AK19" s="114" t="e">
        <f>SUM(AI19/AE19)-1</f>
        <v>#REF!</v>
      </c>
    </row>
    <row r="20" spans="2:37" ht="12.75" customHeight="1">
      <c r="B20" s="12" t="s">
        <v>37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5" t="e">
        <f>SUM(AI20/AE20)-1</f>
        <v>#REF!</v>
      </c>
    </row>
    <row r="21" spans="2:37" ht="12.75" customHeight="1">
      <c r="B21" s="14" t="s">
        <v>38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6" t="e">
        <f>SUM(AI21-AE21)*10000</f>
        <v>#DIV/0!</v>
      </c>
    </row>
    <row r="22" spans="2:37" ht="5.0999999999999996" customHeight="1">
      <c r="AK22" s="113"/>
    </row>
    <row r="23" spans="2:37" ht="12.75" customHeight="1">
      <c r="B23" s="29" t="s">
        <v>39</v>
      </c>
      <c r="C23" s="111" t="e">
        <f>-C19</f>
        <v>#REF!</v>
      </c>
      <c r="D23" s="111"/>
      <c r="E23" s="111"/>
      <c r="F23" s="111"/>
      <c r="G23" s="135"/>
      <c r="H23" s="111" t="e">
        <f t="shared" ref="H23:Q23" si="37">-H19</f>
        <v>#REF!</v>
      </c>
      <c r="I23" s="111" t="e">
        <f t="shared" si="37"/>
        <v>#REF!</v>
      </c>
      <c r="J23" s="111" t="e">
        <f t="shared" si="37"/>
        <v>#REF!</v>
      </c>
      <c r="K23" s="111" t="e">
        <f t="shared" si="37"/>
        <v>#REF!</v>
      </c>
      <c r="L23" s="111" t="e">
        <f t="shared" si="37"/>
        <v>#REF!</v>
      </c>
      <c r="M23" s="111" t="e">
        <f t="shared" si="37"/>
        <v>#REF!</v>
      </c>
      <c r="N23" s="111" t="e">
        <f t="shared" si="37"/>
        <v>#REF!</v>
      </c>
      <c r="O23" s="111" t="e">
        <f t="shared" si="37"/>
        <v>#REF!</v>
      </c>
      <c r="P23" s="111" t="e">
        <f t="shared" si="37"/>
        <v>#REF!</v>
      </c>
      <c r="Q23" s="111" t="e">
        <f t="shared" si="37"/>
        <v>#REF!</v>
      </c>
      <c r="R23" s="111"/>
      <c r="S23" s="111"/>
      <c r="T23" s="111"/>
      <c r="U23" s="111"/>
      <c r="V23" s="111"/>
      <c r="X23" s="10" t="e">
        <f>SUM(G23:K23)</f>
        <v>#REF!</v>
      </c>
      <c r="Y23" s="10" t="e">
        <f t="shared" ref="Y23:AH23" si="38">SUM(I23:L23)</f>
        <v>#REF!</v>
      </c>
      <c r="Z23" s="10" t="e">
        <f t="shared" si="38"/>
        <v>#REF!</v>
      </c>
      <c r="AA23" s="10" t="e">
        <f t="shared" si="38"/>
        <v>#REF!</v>
      </c>
      <c r="AB23" s="10" t="e">
        <f t="shared" si="38"/>
        <v>#REF!</v>
      </c>
      <c r="AC23" s="10" t="e">
        <f t="shared" si="38"/>
        <v>#REF!</v>
      </c>
      <c r="AD23" s="10" t="e">
        <f t="shared" si="38"/>
        <v>#REF!</v>
      </c>
      <c r="AE23" s="10" t="e">
        <f t="shared" si="38"/>
        <v>#REF!</v>
      </c>
      <c r="AF23" s="10" t="e">
        <f t="shared" si="38"/>
        <v>#REF!</v>
      </c>
      <c r="AG23" s="10" t="e">
        <f t="shared" si="38"/>
        <v>#REF!</v>
      </c>
      <c r="AH23" s="10">
        <f t="shared" si="38"/>
        <v>0</v>
      </c>
      <c r="AI23" s="10">
        <f>SUM(S23:V23)</f>
        <v>0</v>
      </c>
      <c r="AK23" s="114" t="e">
        <f>SUM(AI23/AE23)-1</f>
        <v>#REF!</v>
      </c>
    </row>
    <row r="24" spans="2:37" ht="12.75" customHeight="1">
      <c r="B24" s="23" t="s">
        <v>11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5" t="e">
        <f>SUM(AI24/AE24)-1</f>
        <v>#REF!</v>
      </c>
    </row>
    <row r="25" spans="2:37" ht="12.75" customHeight="1">
      <c r="B25" s="14" t="s">
        <v>40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6" t="e">
        <f>SUM(AI25-AE25)*10000</f>
        <v>#DIV/0!</v>
      </c>
    </row>
    <row r="26" spans="2:37" ht="5.0999999999999996" customHeight="1">
      <c r="AK26" s="113"/>
    </row>
    <row r="27" spans="2:37" ht="12.75" customHeight="1">
      <c r="B27" s="29" t="s">
        <v>41</v>
      </c>
      <c r="C27" s="84" t="e">
        <f>'Historical Financials'!#REF!</f>
        <v>#REF!</v>
      </c>
      <c r="D27" s="84"/>
      <c r="E27" s="84"/>
      <c r="F27" s="84"/>
      <c r="H27" s="84">
        <f>'Historical Financials'!H78</f>
        <v>0</v>
      </c>
      <c r="I27" s="84">
        <f>'Historical Financials'!I78</f>
        <v>0</v>
      </c>
      <c r="J27" s="84">
        <f>'Historical Financials'!J78</f>
        <v>0</v>
      </c>
      <c r="K27" s="84">
        <f>'Historical Financials'!K78</f>
        <v>0</v>
      </c>
      <c r="L27" s="84">
        <f>'Historical Financials'!L78</f>
        <v>0</v>
      </c>
      <c r="M27" s="84">
        <f>'Historical Financials'!M78</f>
        <v>0</v>
      </c>
      <c r="N27" s="84">
        <f>'Historical Financials'!N78</f>
        <v>0</v>
      </c>
      <c r="O27" s="84">
        <f>'Historical Financials'!O78</f>
        <v>0</v>
      </c>
      <c r="P27" s="84">
        <f>'Historical Financials'!P78</f>
        <v>0</v>
      </c>
      <c r="Q27" s="84">
        <f>'Historical Financials'!Q78</f>
        <v>0</v>
      </c>
      <c r="R27" s="84"/>
      <c r="S27" s="84"/>
      <c r="T27" s="84"/>
      <c r="U27" s="84"/>
      <c r="V27" s="84"/>
      <c r="X27" s="10">
        <f>SUM(G27:K27)</f>
        <v>0</v>
      </c>
      <c r="Y27" s="10">
        <f t="shared" ref="Y27" si="45">SUM(I27:L27)</f>
        <v>0</v>
      </c>
      <c r="Z27" s="10">
        <f t="shared" ref="Z27" si="46">SUM(J27:M27)</f>
        <v>0</v>
      </c>
      <c r="AA27" s="10">
        <f t="shared" ref="AA27" si="47">SUM(K27:N27)</f>
        <v>0</v>
      </c>
      <c r="AB27" s="10">
        <f t="shared" ref="AB27" si="48">SUM(L27:O27)</f>
        <v>0</v>
      </c>
      <c r="AC27" s="10">
        <f t="shared" ref="AC27" si="49">SUM(M27:P27)</f>
        <v>0</v>
      </c>
      <c r="AD27" s="10">
        <f t="shared" ref="AD27" si="50">SUM(N27:Q27)</f>
        <v>0</v>
      </c>
      <c r="AE27" s="10">
        <f t="shared" ref="AE27" si="51">SUM(O27:R27)</f>
        <v>0</v>
      </c>
      <c r="AF27" s="10">
        <f t="shared" ref="AF27" si="52">SUM(P27:S27)</f>
        <v>0</v>
      </c>
      <c r="AG27" s="10">
        <f t="shared" ref="AG27" si="53">SUM(Q27:T27)</f>
        <v>0</v>
      </c>
      <c r="AH27" s="10">
        <f t="shared" ref="AH27" si="54">SUM(R27:U27)</f>
        <v>0</v>
      </c>
      <c r="AI27" s="10">
        <f t="shared" ref="AI27" si="55">SUM(S27:V27)</f>
        <v>0</v>
      </c>
      <c r="AK27" s="114" t="e">
        <f>SUM(AI27/AE27)-1</f>
        <v>#DIV/0!</v>
      </c>
    </row>
    <row r="28" spans="2:37" ht="12.75" customHeight="1">
      <c r="B28" s="12" t="s">
        <v>42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5" t="e">
        <f>SUM(AI28/AE28)-1</f>
        <v>#REF!</v>
      </c>
    </row>
    <row r="29" spans="2:37" ht="12.75" customHeight="1">
      <c r="B29" s="14" t="s">
        <v>43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6" t="e">
        <f>SUM(AI29-AE29)*10000</f>
        <v>#DIV/0!</v>
      </c>
    </row>
    <row r="30" spans="2:37" ht="5.0999999999999996" customHeight="1">
      <c r="AK30" s="113"/>
    </row>
    <row r="31" spans="2:37" ht="12.75" customHeight="1">
      <c r="B31" s="21" t="s">
        <v>44</v>
      </c>
      <c r="C31" s="84" t="e">
        <f>SUM('Historical Financials'!#REF!+'Historical Financials'!#REF!)</f>
        <v>#REF!</v>
      </c>
      <c r="D31" s="84"/>
      <c r="E31" s="84"/>
      <c r="F31" s="84"/>
      <c r="H31" s="84" t="e">
        <f>SUM('Historical Financials'!#REF!+'Historical Financials'!#REF!)</f>
        <v>#REF!</v>
      </c>
      <c r="I31" s="84" t="e">
        <f>SUM('Historical Financials'!#REF!+'Historical Financials'!#REF!)</f>
        <v>#REF!</v>
      </c>
      <c r="J31" s="84" t="e">
        <f>SUM('Historical Financials'!#REF!+'Historical Financials'!#REF!)</f>
        <v>#REF!</v>
      </c>
      <c r="K31" s="84" t="e">
        <f>SUM('Historical Financials'!#REF!+'Historical Financials'!#REF!)</f>
        <v>#REF!</v>
      </c>
      <c r="L31" s="84" t="e">
        <f>SUM('Historical Financials'!#REF!+'Historical Financials'!#REF!)</f>
        <v>#REF!</v>
      </c>
      <c r="M31" s="84" t="e">
        <f>SUM('Historical Financials'!#REF!+'Historical Financials'!#REF!)</f>
        <v>#REF!</v>
      </c>
      <c r="N31" s="84" t="e">
        <f>SUM('Historical Financials'!#REF!+'Historical Financials'!#REF!)</f>
        <v>#REF!</v>
      </c>
      <c r="O31" s="84" t="e">
        <f>SUM('Historical Financials'!#REF!+'Historical Financials'!#REF!)</f>
        <v>#REF!</v>
      </c>
      <c r="P31" s="84" t="e">
        <f>SUM('Historical Financials'!#REF!+'Historical Financials'!#REF!)</f>
        <v>#REF!</v>
      </c>
      <c r="Q31" s="84" t="e">
        <f>SUM('Historical Financials'!#REF!+'Historical Financials'!#REF!)</f>
        <v>#REF!</v>
      </c>
      <c r="R31" s="84"/>
      <c r="S31" s="84"/>
      <c r="T31" s="84"/>
      <c r="U31" s="84"/>
      <c r="V31" s="84"/>
      <c r="X31" s="10" t="e">
        <f t="shared" ref="X31:X34" si="60">SUM(G31:K31)</f>
        <v>#REF!</v>
      </c>
      <c r="Y31" s="10" t="e">
        <f t="shared" ref="Y31:Y34" si="61">SUM(I31:L31)</f>
        <v>#REF!</v>
      </c>
      <c r="Z31" s="10" t="e">
        <f t="shared" ref="Z31:Z34" si="62">SUM(J31:M31)</f>
        <v>#REF!</v>
      </c>
      <c r="AA31" s="10" t="e">
        <f t="shared" ref="AA31:AA34" si="63">SUM(K31:N31)</f>
        <v>#REF!</v>
      </c>
      <c r="AB31" s="10" t="e">
        <f t="shared" ref="AB31:AB34" si="64">SUM(L31:O31)</f>
        <v>#REF!</v>
      </c>
      <c r="AC31" s="10" t="e">
        <f t="shared" ref="AC31:AC34" si="65">SUM(M31:P31)</f>
        <v>#REF!</v>
      </c>
      <c r="AD31" s="10" t="e">
        <f t="shared" ref="AD31:AD34" si="66">SUM(N31:Q31)</f>
        <v>#REF!</v>
      </c>
      <c r="AE31" s="10" t="e">
        <f t="shared" ref="AE31:AE34" si="67">SUM(O31:R31)</f>
        <v>#REF!</v>
      </c>
      <c r="AF31" s="10" t="e">
        <f t="shared" ref="AF31:AF34" si="68">SUM(P31:S31)</f>
        <v>#REF!</v>
      </c>
      <c r="AG31" s="10" t="e">
        <f t="shared" ref="AG31:AG34" si="69">SUM(Q31:T31)</f>
        <v>#REF!</v>
      </c>
      <c r="AH31" s="10">
        <f t="shared" ref="AH31:AH34" si="70">SUM(R31:U31)</f>
        <v>0</v>
      </c>
      <c r="AI31" s="10">
        <f t="shared" ref="AI31:AI34" si="71">SUM(S31:V31)</f>
        <v>0</v>
      </c>
      <c r="AK31" s="114" t="e">
        <f>SUM(AI31/AE31)-1</f>
        <v>#REF!</v>
      </c>
    </row>
    <row r="32" spans="2:37" ht="12.75" customHeight="1">
      <c r="B32" s="21" t="s">
        <v>45</v>
      </c>
      <c r="C32" s="84" t="e">
        <f>'Historical Financials'!#REF!</f>
        <v>#REF!</v>
      </c>
      <c r="D32" s="84"/>
      <c r="E32" s="84"/>
      <c r="F32" s="84"/>
      <c r="H32" s="84">
        <f>'Historical Financials'!H31</f>
        <v>-29.98</v>
      </c>
      <c r="I32" s="84">
        <f>'Historical Financials'!I31</f>
        <v>-29.8</v>
      </c>
      <c r="J32" s="84">
        <f>'Historical Financials'!J31</f>
        <v>-88.421000000000006</v>
      </c>
      <c r="K32" s="84">
        <f>'Historical Financials'!K31</f>
        <v>-209.79899999999998</v>
      </c>
      <c r="L32" s="84">
        <f>'Historical Financials'!L31</f>
        <v>20.045999999999999</v>
      </c>
      <c r="M32" s="84">
        <f>'Historical Financials'!M31</f>
        <v>-50</v>
      </c>
      <c r="N32" s="84">
        <f>'Historical Financials'!N31</f>
        <v>-41</v>
      </c>
      <c r="O32" s="84">
        <f>'Historical Financials'!O31</f>
        <v>63.954000000000008</v>
      </c>
      <c r="P32" s="84">
        <f>'Historical Financials'!P31</f>
        <v>-85</v>
      </c>
      <c r="Q32" s="84">
        <f>'Historical Financials'!Q31</f>
        <v>-105</v>
      </c>
      <c r="R32" s="84"/>
      <c r="S32" s="84"/>
      <c r="T32" s="84"/>
      <c r="U32" s="84"/>
      <c r="V32" s="84"/>
      <c r="X32" s="10">
        <f t="shared" si="60"/>
        <v>-358</v>
      </c>
      <c r="Y32" s="10">
        <f t="shared" si="61"/>
        <v>-307.97399999999999</v>
      </c>
      <c r="Z32" s="10">
        <f t="shared" si="62"/>
        <v>-328.17399999999998</v>
      </c>
      <c r="AA32" s="10">
        <f t="shared" si="63"/>
        <v>-280.75299999999999</v>
      </c>
      <c r="AB32" s="10">
        <f t="shared" si="64"/>
        <v>-7</v>
      </c>
      <c r="AC32" s="10">
        <f t="shared" si="65"/>
        <v>-112.04599999999999</v>
      </c>
      <c r="AD32" s="10">
        <f t="shared" si="66"/>
        <v>-167.04599999999999</v>
      </c>
      <c r="AE32" s="10">
        <f t="shared" si="67"/>
        <v>-126.04599999999999</v>
      </c>
      <c r="AF32" s="10">
        <f t="shared" si="68"/>
        <v>-190</v>
      </c>
      <c r="AG32" s="10">
        <f t="shared" si="69"/>
        <v>-105</v>
      </c>
      <c r="AH32" s="10">
        <f t="shared" si="70"/>
        <v>0</v>
      </c>
      <c r="AI32" s="10">
        <f t="shared" si="71"/>
        <v>0</v>
      </c>
      <c r="AK32" s="114">
        <f>SUM(AI32/AE32)-1</f>
        <v>-1</v>
      </c>
    </row>
    <row r="33" spans="1:37" ht="12.75" customHeight="1">
      <c r="B33" s="21" t="s">
        <v>92</v>
      </c>
      <c r="C33" s="77">
        <v>0</v>
      </c>
      <c r="D33" s="77"/>
      <c r="E33" s="77"/>
      <c r="F33" s="77"/>
      <c r="H33" s="77">
        <v>0</v>
      </c>
      <c r="I33" s="77">
        <v>0</v>
      </c>
      <c r="J33" s="77">
        <v>0</v>
      </c>
      <c r="K33" s="111">
        <f>D33</f>
        <v>0</v>
      </c>
      <c r="L33" s="77">
        <v>0</v>
      </c>
      <c r="M33" s="77">
        <v>0</v>
      </c>
      <c r="N33" s="77">
        <v>0</v>
      </c>
      <c r="O33" s="111">
        <f>E33</f>
        <v>0</v>
      </c>
      <c r="P33" s="77">
        <v>0</v>
      </c>
      <c r="Q33" s="77">
        <v>0</v>
      </c>
      <c r="R33" s="77"/>
      <c r="S33" s="111"/>
      <c r="T33" s="77"/>
      <c r="U33" s="77"/>
      <c r="V33" s="77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4" t="e">
        <f>SUM(AI33/AE33)-1</f>
        <v>#DIV/0!</v>
      </c>
    </row>
    <row r="34" spans="1:37" ht="12.75" customHeight="1">
      <c r="B34" s="21" t="s">
        <v>46</v>
      </c>
      <c r="C34" s="84" t="e">
        <f>SUM('Historical Financials'!#REF!)</f>
        <v>#REF!</v>
      </c>
      <c r="D34" s="84"/>
      <c r="E34" s="84"/>
      <c r="F34" s="84"/>
      <c r="H34" s="84">
        <f>SUM('Historical Financials'!H82:H86)</f>
        <v>3472.6409999999996</v>
      </c>
      <c r="I34" s="84">
        <f>SUM('Historical Financials'!I82:I86)</f>
        <v>-3641.1319999999996</v>
      </c>
      <c r="J34" s="84">
        <f>SUM('Historical Financials'!J82:J86)</f>
        <v>1325.2370000000001</v>
      </c>
      <c r="K34" s="84">
        <f>SUM('Historical Financials'!K82:K86)</f>
        <v>4204.2540000000008</v>
      </c>
      <c r="L34" s="84">
        <f>SUM('Historical Financials'!L82:L86)</f>
        <v>1830.953</v>
      </c>
      <c r="M34" s="84">
        <f>SUM('Historical Financials'!M82:M86)</f>
        <v>-195.86399999999958</v>
      </c>
      <c r="N34" s="84">
        <f>SUM('Historical Financials'!N82:N86)</f>
        <v>-1164.0477000000003</v>
      </c>
      <c r="O34" s="84">
        <f>SUM('Historical Financials'!O82:O86)</f>
        <v>2033.9587000000001</v>
      </c>
      <c r="P34" s="84">
        <f>SUM('Historical Financials'!P82:P86)</f>
        <v>-982</v>
      </c>
      <c r="Q34" s="84">
        <f>SUM('Historical Financials'!Q82:Q86)</f>
        <v>-3762</v>
      </c>
      <c r="R34" s="84"/>
      <c r="S34" s="84"/>
      <c r="T34" s="84"/>
      <c r="U34" s="84"/>
      <c r="V34" s="84"/>
      <c r="X34" s="10">
        <f t="shared" si="60"/>
        <v>5361.0000000000009</v>
      </c>
      <c r="Y34" s="10">
        <f t="shared" si="61"/>
        <v>3719.3120000000013</v>
      </c>
      <c r="Z34" s="10">
        <f t="shared" si="62"/>
        <v>7164.5800000000017</v>
      </c>
      <c r="AA34" s="10">
        <f t="shared" si="63"/>
        <v>4675.2953000000007</v>
      </c>
      <c r="AB34" s="10">
        <f t="shared" si="64"/>
        <v>2505</v>
      </c>
      <c r="AC34" s="10">
        <f t="shared" si="65"/>
        <v>-307.95299999999975</v>
      </c>
      <c r="AD34" s="10">
        <f t="shared" si="66"/>
        <v>-3874.0889999999999</v>
      </c>
      <c r="AE34" s="10">
        <f t="shared" si="67"/>
        <v>-2710.0412999999999</v>
      </c>
      <c r="AF34" s="10">
        <f t="shared" si="68"/>
        <v>-4744</v>
      </c>
      <c r="AG34" s="10">
        <f t="shared" si="69"/>
        <v>-3762</v>
      </c>
      <c r="AH34" s="10">
        <f t="shared" si="70"/>
        <v>0</v>
      </c>
      <c r="AI34" s="10">
        <f t="shared" si="71"/>
        <v>0</v>
      </c>
      <c r="AK34" s="114">
        <f>SUM(AI34/AE34)-1</f>
        <v>-1</v>
      </c>
    </row>
    <row r="35" spans="1:37" ht="12.75" customHeight="1">
      <c r="B35" s="12" t="s">
        <v>47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5" t="e">
        <f>SUM(AI35/AE35)-1</f>
        <v>#REF!</v>
      </c>
    </row>
    <row r="36" spans="1:37" ht="5.0999999999999996" customHeight="1"/>
    <row r="37" spans="1:37" ht="12.75" customHeight="1">
      <c r="B37" s="29" t="s">
        <v>107</v>
      </c>
      <c r="C37" s="84" t="e">
        <f>'Historical Financials'!#REF!</f>
        <v>#REF!</v>
      </c>
      <c r="D37" s="84"/>
      <c r="E37" s="84"/>
      <c r="F37" s="84"/>
      <c r="G37" s="30"/>
      <c r="H37" s="84" t="e">
        <f>'Historical Financials'!#REF!</f>
        <v>#REF!</v>
      </c>
      <c r="I37" s="84" t="e">
        <f>'Historical Financials'!#REF!</f>
        <v>#REF!</v>
      </c>
      <c r="J37" s="84" t="e">
        <f>'Historical Financials'!#REF!</f>
        <v>#REF!</v>
      </c>
      <c r="K37" s="84" t="e">
        <f>'Historical Financials'!#REF!</f>
        <v>#REF!</v>
      </c>
      <c r="L37" s="84" t="e">
        <f>'Historical Financials'!#REF!</f>
        <v>#REF!</v>
      </c>
      <c r="M37" s="84" t="e">
        <f>'Historical Financials'!#REF!</f>
        <v>#REF!</v>
      </c>
      <c r="N37" s="84" t="e">
        <f>'Historical Financials'!#REF!</f>
        <v>#REF!</v>
      </c>
      <c r="O37" s="84" t="e">
        <f>'Historical Financials'!#REF!</f>
        <v>#REF!</v>
      </c>
      <c r="P37" s="84" t="e">
        <f>'Historical Financials'!#REF!</f>
        <v>#REF!</v>
      </c>
      <c r="Q37" s="84" t="e">
        <f>'Historical Financials'!#REF!</f>
        <v>#REF!</v>
      </c>
      <c r="R37" s="84"/>
      <c r="S37" s="84"/>
      <c r="T37" s="84"/>
      <c r="U37" s="84"/>
      <c r="V37" s="84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120</v>
      </c>
      <c r="C38" s="84" t="e">
        <f>SUM('Historical Financials'!#REF!)</f>
        <v>#REF!</v>
      </c>
      <c r="D38" s="84"/>
      <c r="E38" s="84"/>
      <c r="F38" s="84"/>
      <c r="G38" s="30"/>
      <c r="H38" s="84" t="e">
        <f>SUM('Historical Financials'!#REF!)</f>
        <v>#REF!</v>
      </c>
      <c r="I38" s="84" t="e">
        <f>SUM('Historical Financials'!#REF!)</f>
        <v>#REF!</v>
      </c>
      <c r="J38" s="84" t="e">
        <f>SUM('Historical Financials'!#REF!)</f>
        <v>#REF!</v>
      </c>
      <c r="K38" s="84" t="e">
        <f>SUM('Historical Financials'!#REF!)</f>
        <v>#REF!</v>
      </c>
      <c r="L38" s="84" t="e">
        <f>SUM('Historical Financials'!#REF!)</f>
        <v>#REF!</v>
      </c>
      <c r="M38" s="84" t="e">
        <f>SUM('Historical Financials'!#REF!)</f>
        <v>#REF!</v>
      </c>
      <c r="N38" s="84" t="e">
        <f>SUM('Historical Financials'!#REF!)</f>
        <v>#REF!</v>
      </c>
      <c r="O38" s="84" t="e">
        <f>SUM('Historical Financials'!#REF!)</f>
        <v>#REF!</v>
      </c>
      <c r="P38" s="84" t="e">
        <f>SUM('Historical Financials'!#REF!)</f>
        <v>#REF!</v>
      </c>
      <c r="Q38" s="84" t="e">
        <f>SUM('Historical Financials'!#REF!)</f>
        <v>#REF!</v>
      </c>
      <c r="R38" s="84"/>
      <c r="S38" s="84"/>
      <c r="T38" s="84"/>
      <c r="U38" s="84"/>
      <c r="V38" s="84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121</v>
      </c>
      <c r="C39" s="84" t="e">
        <f>'Historical Financials'!#REF!</f>
        <v>#REF!</v>
      </c>
      <c r="D39" s="84"/>
      <c r="E39" s="84"/>
      <c r="F39" s="84"/>
      <c r="G39" s="30"/>
      <c r="H39" s="84" t="e">
        <f>'Historical Financials'!#REF!</f>
        <v>#REF!</v>
      </c>
      <c r="I39" s="84" t="e">
        <f>'Historical Financials'!#REF!</f>
        <v>#REF!</v>
      </c>
      <c r="J39" s="84" t="e">
        <f>'Historical Financials'!#REF!</f>
        <v>#REF!</v>
      </c>
      <c r="K39" s="84" t="e">
        <f>'Historical Financials'!#REF!</f>
        <v>#REF!</v>
      </c>
      <c r="L39" s="84" t="e">
        <f>'Historical Financials'!#REF!</f>
        <v>#REF!</v>
      </c>
      <c r="M39" s="84" t="e">
        <f>'Historical Financials'!#REF!</f>
        <v>#REF!</v>
      </c>
      <c r="N39" s="84" t="e">
        <f>'Historical Financials'!#REF!</f>
        <v>#REF!</v>
      </c>
      <c r="O39" s="84" t="e">
        <f>'Historical Financials'!#REF!</f>
        <v>#REF!</v>
      </c>
      <c r="P39" s="84" t="e">
        <f>'Historical Financials'!#REF!</f>
        <v>#REF!</v>
      </c>
      <c r="Q39" s="84" t="e">
        <f>'Historical Financials'!#REF!</f>
        <v>#REF!</v>
      </c>
      <c r="R39" s="84"/>
      <c r="S39" s="84"/>
      <c r="T39" s="84"/>
      <c r="U39" s="84"/>
      <c r="V39" s="84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122</v>
      </c>
      <c r="C40" s="84" t="e">
        <f>'Historical Financials'!#REF!</f>
        <v>#REF!</v>
      </c>
      <c r="D40" s="84"/>
      <c r="E40" s="84"/>
      <c r="F40" s="84"/>
      <c r="G40" s="30"/>
      <c r="H40" s="84" t="e">
        <f>'Historical Financials'!#REF!</f>
        <v>#REF!</v>
      </c>
      <c r="I40" s="84" t="e">
        <f>'Historical Financials'!#REF!</f>
        <v>#REF!</v>
      </c>
      <c r="J40" s="84" t="e">
        <f>'Historical Financials'!#REF!</f>
        <v>#REF!</v>
      </c>
      <c r="K40" s="84" t="e">
        <f>'Historical Financials'!#REF!</f>
        <v>#REF!</v>
      </c>
      <c r="L40" s="84" t="e">
        <f>'Historical Financials'!#REF!</f>
        <v>#REF!</v>
      </c>
      <c r="M40" s="84" t="e">
        <f>'Historical Financials'!#REF!</f>
        <v>#REF!</v>
      </c>
      <c r="N40" s="84" t="e">
        <f>'Historical Financials'!#REF!</f>
        <v>#REF!</v>
      </c>
      <c r="O40" s="84" t="e">
        <f>'Historical Financials'!#REF!</f>
        <v>#REF!</v>
      </c>
      <c r="P40" s="84" t="e">
        <f>'Historical Financials'!#REF!</f>
        <v>#REF!</v>
      </c>
      <c r="Q40" s="84" t="e">
        <f>'Historical Financials'!#REF!</f>
        <v>#REF!</v>
      </c>
      <c r="R40" s="84"/>
      <c r="S40" s="84"/>
      <c r="T40" s="84"/>
      <c r="U40" s="84"/>
      <c r="V40" s="84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108</v>
      </c>
      <c r="C41" s="84" t="e">
        <f>'Historical Financials'!#REF!</f>
        <v>#REF!</v>
      </c>
      <c r="D41" s="84"/>
      <c r="E41" s="84"/>
      <c r="F41" s="84"/>
      <c r="G41" s="30"/>
      <c r="H41" s="84" t="e">
        <f>'Historical Financials'!#REF!</f>
        <v>#REF!</v>
      </c>
      <c r="I41" s="84" t="e">
        <f>'Historical Financials'!#REF!</f>
        <v>#REF!</v>
      </c>
      <c r="J41" s="84" t="e">
        <f>'Historical Financials'!#REF!</f>
        <v>#REF!</v>
      </c>
      <c r="K41" s="84" t="e">
        <f>'Historical Financials'!#REF!</f>
        <v>#REF!</v>
      </c>
      <c r="L41" s="84" t="e">
        <f>'Historical Financials'!#REF!</f>
        <v>#REF!</v>
      </c>
      <c r="M41" s="84" t="e">
        <f>'Historical Financials'!#REF!</f>
        <v>#REF!</v>
      </c>
      <c r="N41" s="84" t="e">
        <f>'Historical Financials'!#REF!</f>
        <v>#REF!</v>
      </c>
      <c r="O41" s="84" t="e">
        <f>'Historical Financials'!#REF!</f>
        <v>#REF!</v>
      </c>
      <c r="P41" s="84" t="e">
        <f>'Historical Financials'!#REF!</f>
        <v>#REF!</v>
      </c>
      <c r="Q41" s="84" t="e">
        <f>'Historical Financials'!#REF!</f>
        <v>#REF!</v>
      </c>
      <c r="R41" s="84"/>
      <c r="S41" s="84"/>
      <c r="T41" s="84"/>
      <c r="U41" s="84"/>
      <c r="V41" s="84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123</v>
      </c>
      <c r="C42" s="84" t="e">
        <f>'Historical Financials'!#REF!</f>
        <v>#REF!</v>
      </c>
      <c r="D42" s="84"/>
      <c r="E42" s="84"/>
      <c r="F42" s="84"/>
      <c r="G42" s="30"/>
      <c r="H42" s="84" t="e">
        <f>'Historical Financials'!#REF!</f>
        <v>#REF!</v>
      </c>
      <c r="I42" s="84" t="e">
        <f>'Historical Financials'!#REF!</f>
        <v>#REF!</v>
      </c>
      <c r="J42" s="84" t="e">
        <f>'Historical Financials'!#REF!</f>
        <v>#REF!</v>
      </c>
      <c r="K42" s="84" t="e">
        <f>'Historical Financials'!#REF!</f>
        <v>#REF!</v>
      </c>
      <c r="L42" s="84" t="e">
        <f>'Historical Financials'!#REF!</f>
        <v>#REF!</v>
      </c>
      <c r="M42" s="84" t="e">
        <f>'Historical Financials'!#REF!</f>
        <v>#REF!</v>
      </c>
      <c r="N42" s="84" t="e">
        <f>'Historical Financials'!#REF!</f>
        <v>#REF!</v>
      </c>
      <c r="O42" s="84" t="e">
        <f>'Historical Financials'!#REF!</f>
        <v>#REF!</v>
      </c>
      <c r="P42" s="84" t="e">
        <f>'Historical Financials'!#REF!</f>
        <v>#REF!</v>
      </c>
      <c r="Q42" s="84" t="e">
        <f>'Historical Financials'!#REF!</f>
        <v>#REF!</v>
      </c>
      <c r="R42" s="84"/>
      <c r="S42" s="84"/>
      <c r="T42" s="84"/>
      <c r="U42" s="84"/>
      <c r="V42" s="84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86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I43:Q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48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49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50</v>
      </c>
      <c r="C48" s="84" t="e">
        <f>'Historical Financials'!#REF!</f>
        <v>#REF!</v>
      </c>
      <c r="D48" s="84"/>
      <c r="E48" s="84"/>
      <c r="F48" s="84"/>
      <c r="G48" s="30"/>
      <c r="H48" s="84">
        <f>'Historical Financials'!H46</f>
        <v>151146.35500000001</v>
      </c>
      <c r="I48" s="84">
        <f>'Historical Financials'!I46</f>
        <v>153342.55600000001</v>
      </c>
      <c r="J48" s="84">
        <f>'Historical Financials'!J46</f>
        <v>153199.35200000001</v>
      </c>
      <c r="K48" s="84">
        <f>'Historical Financials'!K46</f>
        <v>149158</v>
      </c>
      <c r="L48" s="84">
        <f>'Historical Financials'!L46</f>
        <v>143621.848</v>
      </c>
      <c r="M48" s="84">
        <f>'Historical Financials'!M46</f>
        <v>153466.962</v>
      </c>
      <c r="N48" s="84">
        <f>'Historical Financials'!N46</f>
        <v>154817.16399999999</v>
      </c>
      <c r="O48" s="84">
        <f>'Historical Financials'!O46</f>
        <v>151024</v>
      </c>
      <c r="P48" s="84">
        <f>'Historical Financials'!P46</f>
        <v>143765</v>
      </c>
      <c r="Q48" s="84">
        <f>'Historical Financials'!Q46</f>
        <v>139386</v>
      </c>
      <c r="R48" s="84"/>
      <c r="S48" s="84"/>
      <c r="T48" s="84"/>
      <c r="U48" s="84"/>
      <c r="V48" s="84"/>
      <c r="X48" s="10">
        <f t="shared" ref="X48:AH48" si="91">K48</f>
        <v>149158</v>
      </c>
      <c r="Y48" s="10">
        <f t="shared" si="91"/>
        <v>143621.848</v>
      </c>
      <c r="Z48" s="10">
        <f t="shared" si="91"/>
        <v>153466.962</v>
      </c>
      <c r="AA48" s="10">
        <f t="shared" si="91"/>
        <v>154817.16399999999</v>
      </c>
      <c r="AB48" s="10">
        <f t="shared" si="91"/>
        <v>151024</v>
      </c>
      <c r="AC48" s="10">
        <f t="shared" si="91"/>
        <v>143765</v>
      </c>
      <c r="AD48" s="10">
        <f t="shared" si="91"/>
        <v>139386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102</v>
      </c>
      <c r="C49" s="84" t="e">
        <f>'Historical Financials'!#REF!</f>
        <v>#REF!</v>
      </c>
      <c r="D49" s="84"/>
      <c r="E49" s="84"/>
      <c r="F49" s="84"/>
      <c r="G49" s="30"/>
      <c r="H49" s="84" t="e">
        <f>'Historical Financials'!#REF!</f>
        <v>#REF!</v>
      </c>
      <c r="I49" s="84" t="e">
        <f>'Historical Financials'!#REF!</f>
        <v>#REF!</v>
      </c>
      <c r="J49" s="84" t="e">
        <f>'Historical Financials'!#REF!</f>
        <v>#REF!</v>
      </c>
      <c r="K49" s="84" t="e">
        <f>'Historical Financials'!#REF!</f>
        <v>#REF!</v>
      </c>
      <c r="L49" s="84" t="e">
        <f>'Historical Financials'!#REF!</f>
        <v>#REF!</v>
      </c>
      <c r="M49" s="84" t="e">
        <f>'Historical Financials'!#REF!</f>
        <v>#REF!</v>
      </c>
      <c r="N49" s="84" t="e">
        <f>'Historical Financials'!#REF!</f>
        <v>#REF!</v>
      </c>
      <c r="O49" s="84" t="e">
        <f>'Historical Financials'!#REF!</f>
        <v>#REF!</v>
      </c>
      <c r="P49" s="84" t="e">
        <f>'Historical Financials'!#REF!</f>
        <v>#REF!</v>
      </c>
      <c r="Q49" s="84" t="e">
        <f>'Historical Financials'!#REF!</f>
        <v>#REF!</v>
      </c>
      <c r="R49" s="84"/>
      <c r="S49" s="84"/>
      <c r="T49" s="84"/>
      <c r="U49" s="84"/>
      <c r="V49" s="84"/>
      <c r="X49" s="10" t="e">
        <f t="shared" ref="X49:X51" si="92">K49</f>
        <v>#REF!</v>
      </c>
      <c r="Y49" s="10" t="e">
        <f t="shared" ref="Y49:Y51" si="93">L49</f>
        <v>#REF!</v>
      </c>
      <c r="Z49" s="10" t="e">
        <f t="shared" ref="Z49:Z51" si="94">M49</f>
        <v>#REF!</v>
      </c>
      <c r="AA49" s="10" t="e">
        <f t="shared" ref="AA49:AA51" si="95">N49</f>
        <v>#REF!</v>
      </c>
      <c r="AB49" s="10" t="e">
        <f t="shared" ref="AB49:AB51" si="96">O49</f>
        <v>#REF!</v>
      </c>
      <c r="AC49" s="10" t="e">
        <f t="shared" ref="AC49:AC51" si="97">P49</f>
        <v>#REF!</v>
      </c>
      <c r="AD49" s="10" t="e">
        <f t="shared" ref="AD49:AD51" si="98">Q49</f>
        <v>#REF!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124</v>
      </c>
      <c r="C50" s="84" t="e">
        <f>'Historical Financials'!#REF!</f>
        <v>#REF!</v>
      </c>
      <c r="D50" s="84"/>
      <c r="E50" s="84"/>
      <c r="F50" s="84"/>
      <c r="G50" s="30"/>
      <c r="H50" s="84" t="e">
        <f>'Historical Financials'!#REF!</f>
        <v>#REF!</v>
      </c>
      <c r="I50" s="84" t="e">
        <f>'Historical Financials'!#REF!</f>
        <v>#REF!</v>
      </c>
      <c r="J50" s="84" t="e">
        <f>'Historical Financials'!#REF!</f>
        <v>#REF!</v>
      </c>
      <c r="K50" s="84" t="e">
        <f>'Historical Financials'!#REF!</f>
        <v>#REF!</v>
      </c>
      <c r="L50" s="84" t="e">
        <f>'Historical Financials'!#REF!</f>
        <v>#REF!</v>
      </c>
      <c r="M50" s="84" t="e">
        <f>'Historical Financials'!#REF!</f>
        <v>#REF!</v>
      </c>
      <c r="N50" s="84" t="e">
        <f>'Historical Financials'!#REF!</f>
        <v>#REF!</v>
      </c>
      <c r="O50" s="84" t="e">
        <f>'Historical Financials'!#REF!</f>
        <v>#REF!</v>
      </c>
      <c r="P50" s="84" t="e">
        <f>'Historical Financials'!#REF!</f>
        <v>#REF!</v>
      </c>
      <c r="Q50" s="84" t="e">
        <f>'Historical Financials'!#REF!</f>
        <v>#REF!</v>
      </c>
      <c r="R50" s="84"/>
      <c r="S50" s="84"/>
      <c r="T50" s="84"/>
      <c r="U50" s="84"/>
      <c r="V50" s="84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125</v>
      </c>
      <c r="C51" s="84" t="e">
        <f>'Historical Financials'!#REF!</f>
        <v>#REF!</v>
      </c>
      <c r="D51" s="84"/>
      <c r="E51" s="84"/>
      <c r="F51" s="84"/>
      <c r="G51" s="30"/>
      <c r="H51" s="84">
        <f>'Historical Financials'!H52</f>
        <v>4634.7910000000002</v>
      </c>
      <c r="I51" s="84">
        <f>'Historical Financials'!I52</f>
        <v>2631.8879999999999</v>
      </c>
      <c r="J51" s="84">
        <f>'Historical Financials'!J52</f>
        <v>3126.8919999999998</v>
      </c>
      <c r="K51" s="84">
        <f>'Historical Financials'!K52</f>
        <v>3825</v>
      </c>
      <c r="L51" s="84">
        <f>'Historical Financials'!L52</f>
        <v>5288.2610000000004</v>
      </c>
      <c r="M51" s="84">
        <f>'Historical Financials'!M52</f>
        <v>6281.7420000000002</v>
      </c>
      <c r="N51" s="84">
        <f>'Historical Financials'!N52</f>
        <v>4152.8459999999995</v>
      </c>
      <c r="O51" s="84">
        <f>'Historical Financials'!O52</f>
        <v>4322</v>
      </c>
      <c r="P51" s="84">
        <f>'Historical Financials'!P52</f>
        <v>4292</v>
      </c>
      <c r="Q51" s="84">
        <f>'Historical Financials'!Q52</f>
        <v>3726</v>
      </c>
      <c r="R51" s="84"/>
      <c r="S51" s="84"/>
      <c r="T51" s="84"/>
      <c r="U51" s="84"/>
      <c r="V51" s="84"/>
      <c r="X51" s="10">
        <f t="shared" si="92"/>
        <v>3825</v>
      </c>
      <c r="Y51" s="10">
        <f t="shared" si="93"/>
        <v>5288.2610000000004</v>
      </c>
      <c r="Z51" s="10">
        <f t="shared" si="94"/>
        <v>6281.7420000000002</v>
      </c>
      <c r="AA51" s="10">
        <f t="shared" si="95"/>
        <v>4152.8459999999995</v>
      </c>
      <c r="AB51" s="10">
        <f t="shared" si="96"/>
        <v>4322</v>
      </c>
      <c r="AC51" s="10">
        <f t="shared" si="97"/>
        <v>4292</v>
      </c>
      <c r="AD51" s="10">
        <f t="shared" si="98"/>
        <v>3726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51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52</v>
      </c>
    </row>
    <row r="55" spans="2:35" ht="12.75" customHeight="1">
      <c r="B55" s="8" t="s">
        <v>53</v>
      </c>
      <c r="C55" s="84" t="e">
        <f>'Historical Financials'!#REF!</f>
        <v>#REF!</v>
      </c>
      <c r="D55" s="84"/>
      <c r="E55" s="84"/>
      <c r="F55" s="84"/>
      <c r="H55" s="84" t="e">
        <f>'Historical Financials'!#REF!</f>
        <v>#REF!</v>
      </c>
      <c r="I55" s="84" t="e">
        <f>'Historical Financials'!#REF!</f>
        <v>#REF!</v>
      </c>
      <c r="J55" s="84" t="e">
        <f>'Historical Financials'!#REF!</f>
        <v>#REF!</v>
      </c>
      <c r="K55" s="84" t="e">
        <f>'Historical Financials'!#REF!</f>
        <v>#REF!</v>
      </c>
      <c r="L55" s="84" t="e">
        <f>'Historical Financials'!#REF!</f>
        <v>#REF!</v>
      </c>
      <c r="M55" s="84" t="e">
        <f>'Historical Financials'!#REF!</f>
        <v>#REF!</v>
      </c>
      <c r="N55" s="84" t="e">
        <f>'Historical Financials'!#REF!</f>
        <v>#REF!</v>
      </c>
      <c r="O55" s="84" t="e">
        <f>'Historical Financials'!#REF!</f>
        <v>#REF!</v>
      </c>
      <c r="P55" s="84" t="e">
        <f>'Historical Financials'!#REF!</f>
        <v>#REF!</v>
      </c>
      <c r="Q55" s="84" t="e">
        <f>'Historical Financials'!#REF!</f>
        <v>#REF!</v>
      </c>
      <c r="R55" s="84"/>
      <c r="S55" s="84"/>
      <c r="T55" s="84"/>
      <c r="U55" s="84"/>
      <c r="V55" s="84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54</v>
      </c>
      <c r="C56" s="84" t="e">
        <f>'Historical Financials'!#REF!</f>
        <v>#REF!</v>
      </c>
      <c r="D56" s="84"/>
      <c r="E56" s="84"/>
      <c r="F56" s="84"/>
      <c r="G56" s="84"/>
      <c r="H56" s="84" t="e">
        <f>'Historical Financials'!#REF!</f>
        <v>#REF!</v>
      </c>
      <c r="I56" s="84" t="e">
        <f>'Historical Financials'!#REF!</f>
        <v>#REF!</v>
      </c>
      <c r="J56" s="84" t="e">
        <f>'Historical Financials'!#REF!</f>
        <v>#REF!</v>
      </c>
      <c r="K56" s="84" t="e">
        <f>'Historical Financials'!#REF!</f>
        <v>#REF!</v>
      </c>
      <c r="L56" s="84" t="e">
        <f>'Historical Financials'!#REF!</f>
        <v>#REF!</v>
      </c>
      <c r="M56" s="84" t="e">
        <f>'Historical Financials'!#REF!</f>
        <v>#REF!</v>
      </c>
      <c r="N56" s="84" t="e">
        <f>'Historical Financials'!#REF!</f>
        <v>#REF!</v>
      </c>
      <c r="O56" s="84" t="e">
        <f>'Historical Financials'!#REF!</f>
        <v>#REF!</v>
      </c>
      <c r="P56" s="84" t="e">
        <f>'Historical Financials'!#REF!</f>
        <v>#REF!</v>
      </c>
      <c r="Q56" s="84" t="e">
        <f>'Historical Financials'!#REF!</f>
        <v>#REF!</v>
      </c>
      <c r="R56" s="84"/>
      <c r="S56" s="84"/>
      <c r="T56" s="84"/>
      <c r="U56" s="84"/>
      <c r="V56" s="84"/>
      <c r="X56" s="10" t="e">
        <f t="shared" si="105"/>
        <v>#REF!</v>
      </c>
      <c r="Y56" s="10" t="e">
        <f t="shared" si="106"/>
        <v>#REF!</v>
      </c>
      <c r="Z56" s="10" t="e">
        <f t="shared" si="107"/>
        <v>#REF!</v>
      </c>
      <c r="AA56" s="10" t="e">
        <f t="shared" si="108"/>
        <v>#REF!</v>
      </c>
      <c r="AB56" s="10" t="e">
        <f t="shared" si="109"/>
        <v>#REF!</v>
      </c>
      <c r="AC56" s="10" t="e">
        <f t="shared" si="110"/>
        <v>#REF!</v>
      </c>
      <c r="AD56" s="10" t="e">
        <f t="shared" si="111"/>
        <v>#REF!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126</v>
      </c>
      <c r="C57" s="84" t="e">
        <f>'Historical Financials'!#REF!</f>
        <v>#REF!</v>
      </c>
      <c r="D57" s="84"/>
      <c r="E57" s="84"/>
      <c r="F57" s="84"/>
      <c r="G57" s="84"/>
      <c r="H57" s="84" t="e">
        <f>'Historical Financials'!#REF!</f>
        <v>#REF!</v>
      </c>
      <c r="I57" s="84" t="e">
        <f>'Historical Financials'!#REF!</f>
        <v>#REF!</v>
      </c>
      <c r="J57" s="84" t="e">
        <f>'Historical Financials'!#REF!</f>
        <v>#REF!</v>
      </c>
      <c r="K57" s="84" t="e">
        <f>'Historical Financials'!#REF!</f>
        <v>#REF!</v>
      </c>
      <c r="L57" s="84" t="e">
        <f>'Historical Financials'!#REF!</f>
        <v>#REF!</v>
      </c>
      <c r="M57" s="84" t="e">
        <f>'Historical Financials'!#REF!</f>
        <v>#REF!</v>
      </c>
      <c r="N57" s="84" t="e">
        <f>'Historical Financials'!#REF!</f>
        <v>#REF!</v>
      </c>
      <c r="O57" s="84" t="e">
        <f>'Historical Financials'!#REF!</f>
        <v>#REF!</v>
      </c>
      <c r="P57" s="84" t="e">
        <f>'Historical Financials'!#REF!</f>
        <v>#REF!</v>
      </c>
      <c r="Q57" s="84" t="e">
        <f>'Historical Financials'!#REF!</f>
        <v>#REF!</v>
      </c>
      <c r="R57" s="84"/>
      <c r="S57" s="84"/>
      <c r="T57" s="84"/>
      <c r="U57" s="84"/>
      <c r="V57" s="84"/>
      <c r="X57" s="10" t="e">
        <f t="shared" si="105"/>
        <v>#REF!</v>
      </c>
      <c r="Y57" s="10" t="e">
        <f t="shared" si="106"/>
        <v>#REF!</v>
      </c>
      <c r="Z57" s="10" t="e">
        <f t="shared" si="107"/>
        <v>#REF!</v>
      </c>
      <c r="AA57" s="10" t="e">
        <f t="shared" si="108"/>
        <v>#REF!</v>
      </c>
      <c r="AB57" s="10" t="e">
        <f t="shared" si="109"/>
        <v>#REF!</v>
      </c>
      <c r="AC57" s="10" t="e">
        <f t="shared" si="110"/>
        <v>#REF!</v>
      </c>
      <c r="AD57" s="10" t="e">
        <f t="shared" si="111"/>
        <v>#REF!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127</v>
      </c>
      <c r="C58" s="84" t="e">
        <f>'Historical Financials'!#REF!</f>
        <v>#REF!</v>
      </c>
      <c r="D58" s="84"/>
      <c r="E58" s="84"/>
      <c r="F58" s="84"/>
      <c r="G58" s="84"/>
      <c r="H58" s="84" t="e">
        <f>'Historical Financials'!#REF!</f>
        <v>#REF!</v>
      </c>
      <c r="I58" s="84" t="e">
        <f>'Historical Financials'!#REF!</f>
        <v>#REF!</v>
      </c>
      <c r="J58" s="84" t="e">
        <f>'Historical Financials'!#REF!</f>
        <v>#REF!</v>
      </c>
      <c r="K58" s="84" t="e">
        <f>'Historical Financials'!#REF!</f>
        <v>#REF!</v>
      </c>
      <c r="L58" s="84" t="e">
        <f>'Historical Financials'!#REF!</f>
        <v>#REF!</v>
      </c>
      <c r="M58" s="84" t="e">
        <f>'Historical Financials'!#REF!</f>
        <v>#REF!</v>
      </c>
      <c r="N58" s="84" t="e">
        <f>'Historical Financials'!#REF!</f>
        <v>#REF!</v>
      </c>
      <c r="O58" s="84" t="e">
        <f>'Historical Financials'!#REF!</f>
        <v>#REF!</v>
      </c>
      <c r="P58" s="84" t="e">
        <f>'Historical Financials'!#REF!</f>
        <v>#REF!</v>
      </c>
      <c r="Q58" s="84" t="e">
        <f>'Historical Financials'!#REF!</f>
        <v>#REF!</v>
      </c>
      <c r="R58" s="84"/>
      <c r="S58" s="84"/>
      <c r="T58" s="84"/>
      <c r="U58" s="84"/>
      <c r="V58" s="84"/>
      <c r="X58" s="10" t="e">
        <f t="shared" ref="X58" si="117">K58</f>
        <v>#REF!</v>
      </c>
      <c r="Y58" s="10" t="e">
        <f t="shared" ref="Y58" si="118">L58</f>
        <v>#REF!</v>
      </c>
      <c r="Z58" s="10" t="e">
        <f t="shared" ref="Z58" si="119">M58</f>
        <v>#REF!</v>
      </c>
      <c r="AA58" s="10" t="e">
        <f t="shared" ref="AA58" si="120">N58</f>
        <v>#REF!</v>
      </c>
      <c r="AB58" s="10" t="e">
        <f t="shared" ref="AB58" si="121">O58</f>
        <v>#REF!</v>
      </c>
      <c r="AC58" s="10" t="e">
        <f t="shared" ref="AC58" si="122">P58</f>
        <v>#REF!</v>
      </c>
      <c r="AD58" s="10" t="e">
        <f t="shared" ref="AD58" si="123">Q58</f>
        <v>#REF!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55</v>
      </c>
      <c r="C59" s="84" t="e">
        <f>'Historical Financials'!#REF!</f>
        <v>#REF!</v>
      </c>
      <c r="D59" s="84"/>
      <c r="E59" s="84"/>
      <c r="F59" s="84"/>
      <c r="G59" s="84"/>
      <c r="H59" s="84">
        <f>'Historical Financials'!H54</f>
        <v>443.83100000000002</v>
      </c>
      <c r="I59" s="84">
        <f>'Historical Financials'!I54</f>
        <v>443.83100000000002</v>
      </c>
      <c r="J59" s="84">
        <f>'Historical Financials'!J54</f>
        <v>443.83100000000002</v>
      </c>
      <c r="K59" s="84">
        <f>'Historical Financials'!K54</f>
        <v>444</v>
      </c>
      <c r="L59" s="84">
        <f>'Historical Financials'!L54</f>
        <v>916.76300000000003</v>
      </c>
      <c r="M59" s="84">
        <f>'Historical Financials'!M54</f>
        <v>916.76300000000003</v>
      </c>
      <c r="N59" s="84">
        <f>'Historical Financials'!N54</f>
        <v>916.76300000000003</v>
      </c>
      <c r="O59" s="84">
        <f>'Historical Financials'!O54</f>
        <v>917</v>
      </c>
      <c r="P59" s="84">
        <f>'Historical Financials'!P54</f>
        <v>917</v>
      </c>
      <c r="Q59" s="84">
        <f>'Historical Financials'!Q54</f>
        <v>917</v>
      </c>
      <c r="R59" s="84"/>
      <c r="S59" s="84"/>
      <c r="T59" s="84"/>
      <c r="U59" s="84"/>
      <c r="V59" s="84"/>
      <c r="X59" s="10">
        <f t="shared" si="105"/>
        <v>444</v>
      </c>
      <c r="Y59" s="10">
        <f t="shared" si="106"/>
        <v>916.76300000000003</v>
      </c>
      <c r="Z59" s="10">
        <f t="shared" si="107"/>
        <v>916.76300000000003</v>
      </c>
      <c r="AA59" s="10">
        <f t="shared" si="108"/>
        <v>916.76300000000003</v>
      </c>
      <c r="AB59" s="10">
        <f t="shared" si="109"/>
        <v>917</v>
      </c>
      <c r="AC59" s="10">
        <f t="shared" si="110"/>
        <v>917</v>
      </c>
      <c r="AD59" s="10">
        <f t="shared" si="111"/>
        <v>917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56</v>
      </c>
      <c r="C60" s="84" t="e">
        <f>'Historical Financials'!#REF!</f>
        <v>#REF!</v>
      </c>
      <c r="D60" s="84"/>
      <c r="E60" s="84"/>
      <c r="F60" s="84"/>
      <c r="G60" s="84"/>
      <c r="H60" s="84" t="e">
        <f>'Historical Financials'!#REF!</f>
        <v>#REF!</v>
      </c>
      <c r="I60" s="84" t="e">
        <f>'Historical Financials'!#REF!</f>
        <v>#REF!</v>
      </c>
      <c r="J60" s="84" t="e">
        <f>'Historical Financials'!#REF!</f>
        <v>#REF!</v>
      </c>
      <c r="K60" s="84" t="e">
        <f>'Historical Financials'!#REF!</f>
        <v>#REF!</v>
      </c>
      <c r="L60" s="84" t="e">
        <f>'Historical Financials'!#REF!</f>
        <v>#REF!</v>
      </c>
      <c r="M60" s="84" t="e">
        <f>'Historical Financials'!#REF!</f>
        <v>#REF!</v>
      </c>
      <c r="N60" s="84" t="e">
        <f>'Historical Financials'!#REF!</f>
        <v>#REF!</v>
      </c>
      <c r="O60" s="84" t="e">
        <f>'Historical Financials'!#REF!</f>
        <v>#REF!</v>
      </c>
      <c r="P60" s="84" t="e">
        <f>'Historical Financials'!#REF!</f>
        <v>#REF!</v>
      </c>
      <c r="Q60" s="84" t="e">
        <f>'Historical Financials'!#REF!</f>
        <v>#REF!</v>
      </c>
      <c r="R60" s="84"/>
      <c r="S60" s="84"/>
      <c r="T60" s="84"/>
      <c r="U60" s="84"/>
      <c r="V60" s="84"/>
      <c r="X60" s="10" t="e">
        <f t="shared" si="105"/>
        <v>#REF!</v>
      </c>
      <c r="Y60" s="10" t="e">
        <f t="shared" si="106"/>
        <v>#REF!</v>
      </c>
      <c r="Z60" s="10" t="e">
        <f t="shared" si="107"/>
        <v>#REF!</v>
      </c>
      <c r="AA60" s="10" t="e">
        <f t="shared" si="108"/>
        <v>#REF!</v>
      </c>
      <c r="AB60" s="10" t="e">
        <f t="shared" si="109"/>
        <v>#REF!</v>
      </c>
      <c r="AC60" s="10" t="e">
        <f t="shared" si="110"/>
        <v>#REF!</v>
      </c>
      <c r="AD60" s="10" t="e">
        <f t="shared" si="111"/>
        <v>#REF!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18</v>
      </c>
      <c r="C61" s="84" t="e">
        <f>'Historical Financials'!#REF!</f>
        <v>#REF!</v>
      </c>
      <c r="D61" s="84"/>
      <c r="E61" s="84"/>
      <c r="F61" s="84"/>
      <c r="G61" s="84"/>
      <c r="H61" s="84" t="e">
        <f>'Historical Financials'!#REF!</f>
        <v>#REF!</v>
      </c>
      <c r="I61" s="84" t="e">
        <f>'Historical Financials'!#REF!</f>
        <v>#REF!</v>
      </c>
      <c r="J61" s="84" t="e">
        <f>'Historical Financials'!#REF!</f>
        <v>#REF!</v>
      </c>
      <c r="K61" s="84" t="e">
        <f>'Historical Financials'!#REF!</f>
        <v>#REF!</v>
      </c>
      <c r="L61" s="84" t="e">
        <f>'Historical Financials'!#REF!</f>
        <v>#REF!</v>
      </c>
      <c r="M61" s="84" t="e">
        <f>'Historical Financials'!#REF!</f>
        <v>#REF!</v>
      </c>
      <c r="N61" s="84" t="e">
        <f>'Historical Financials'!#REF!</f>
        <v>#REF!</v>
      </c>
      <c r="O61" s="84" t="e">
        <f>'Historical Financials'!#REF!</f>
        <v>#REF!</v>
      </c>
      <c r="P61" s="84" t="e">
        <f>'Historical Financials'!#REF!</f>
        <v>#REF!</v>
      </c>
      <c r="Q61" s="84" t="e">
        <f>'Historical Financials'!#REF!</f>
        <v>#REF!</v>
      </c>
      <c r="R61" s="84"/>
      <c r="S61" s="84"/>
      <c r="T61" s="84"/>
      <c r="U61" s="84"/>
      <c r="V61" s="84"/>
      <c r="X61" s="10" t="e">
        <f t="shared" si="105"/>
        <v>#REF!</v>
      </c>
      <c r="Y61" s="10" t="e">
        <f t="shared" si="106"/>
        <v>#REF!</v>
      </c>
      <c r="Z61" s="10" t="e">
        <f t="shared" si="107"/>
        <v>#REF!</v>
      </c>
      <c r="AA61" s="10" t="e">
        <f t="shared" si="108"/>
        <v>#REF!</v>
      </c>
      <c r="AB61" s="10" t="e">
        <f t="shared" si="109"/>
        <v>#REF!</v>
      </c>
      <c r="AC61" s="10" t="e">
        <f t="shared" si="110"/>
        <v>#REF!</v>
      </c>
      <c r="AD61" s="10" t="e">
        <f t="shared" si="111"/>
        <v>#REF!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128</v>
      </c>
      <c r="C63" s="77">
        <v>0</v>
      </c>
      <c r="D63" s="77"/>
      <c r="E63" s="77"/>
      <c r="F63" s="77"/>
      <c r="H63" s="77">
        <v>0</v>
      </c>
      <c r="I63" s="77">
        <v>0</v>
      </c>
      <c r="J63" s="77">
        <v>0</v>
      </c>
      <c r="K63" s="111">
        <f>D63</f>
        <v>0</v>
      </c>
      <c r="L63" s="77">
        <v>0</v>
      </c>
      <c r="M63" s="77">
        <v>0</v>
      </c>
      <c r="N63" s="77">
        <v>0</v>
      </c>
      <c r="O63" s="111">
        <f>E63</f>
        <v>0</v>
      </c>
      <c r="P63" s="77">
        <v>0</v>
      </c>
      <c r="Q63" s="77">
        <v>0</v>
      </c>
      <c r="R63" s="77"/>
      <c r="S63" s="111"/>
      <c r="T63" s="77"/>
      <c r="U63" s="77"/>
      <c r="V63" s="77"/>
      <c r="W63" s="112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23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57</v>
      </c>
      <c r="C66" s="84" t="e">
        <f>'Historical Financials'!#REF!</f>
        <v>#REF!</v>
      </c>
      <c r="D66" s="84"/>
      <c r="E66" s="84"/>
      <c r="F66" s="84"/>
      <c r="H66" s="84">
        <f>'Historical Financials'!H62</f>
        <v>146367.70600000003</v>
      </c>
      <c r="I66" s="84">
        <f>'Historical Financials'!I62</f>
        <v>152205.041</v>
      </c>
      <c r="J66" s="84">
        <f>'Historical Financials'!J62</f>
        <v>150736.6</v>
      </c>
      <c r="K66" s="84">
        <f>'Historical Financials'!K62</f>
        <v>142491</v>
      </c>
      <c r="L66" s="84">
        <f>'Historical Financials'!L62</f>
        <v>135124.076</v>
      </c>
      <c r="M66" s="84">
        <f>'Historical Financials'!M62</f>
        <v>145165.05399999995</v>
      </c>
      <c r="N66" s="84">
        <f>'Historical Financials'!N62</f>
        <v>228064.20500000002</v>
      </c>
      <c r="O66" s="84">
        <f>'Historical Financials'!O62</f>
        <v>141852</v>
      </c>
      <c r="P66" s="84">
        <f>'Historical Financials'!P62</f>
        <v>135575</v>
      </c>
      <c r="Q66" s="84">
        <f>'Historical Financials'!Q62</f>
        <v>134958</v>
      </c>
      <c r="R66" s="84"/>
      <c r="S66" s="84"/>
      <c r="T66" s="84"/>
      <c r="U66" s="84"/>
      <c r="V66" s="84"/>
      <c r="X66" s="10">
        <f t="shared" ref="X66:AH66" si="132">K66</f>
        <v>142491</v>
      </c>
      <c r="Y66" s="10">
        <f t="shared" si="132"/>
        <v>135124.076</v>
      </c>
      <c r="Z66" s="10">
        <f t="shared" si="132"/>
        <v>145165.05399999995</v>
      </c>
      <c r="AA66" s="10">
        <f t="shared" si="132"/>
        <v>228064.20500000002</v>
      </c>
      <c r="AB66" s="10">
        <f t="shared" si="132"/>
        <v>141852</v>
      </c>
      <c r="AC66" s="10">
        <f t="shared" si="132"/>
        <v>135575</v>
      </c>
      <c r="AD66" s="10">
        <f t="shared" si="132"/>
        <v>134958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58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146367.70600000003</v>
      </c>
      <c r="I67" s="13">
        <f t="shared" ref="I67:R67" si="134">SUM(I64:I66)</f>
        <v>152205.041</v>
      </c>
      <c r="J67" s="13">
        <f t="shared" si="134"/>
        <v>150736.6</v>
      </c>
      <c r="K67" s="13">
        <f t="shared" si="134"/>
        <v>142491</v>
      </c>
      <c r="L67" s="13">
        <f t="shared" si="134"/>
        <v>135124.076</v>
      </c>
      <c r="M67" s="13">
        <f t="shared" si="134"/>
        <v>145165.05399999995</v>
      </c>
      <c r="N67" s="13">
        <f t="shared" si="134"/>
        <v>228064.20500000002</v>
      </c>
      <c r="O67" s="13">
        <f t="shared" si="134"/>
        <v>141852</v>
      </c>
      <c r="P67" s="13">
        <f t="shared" si="134"/>
        <v>135575</v>
      </c>
      <c r="Q67" s="13">
        <f t="shared" si="134"/>
        <v>134958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142491</v>
      </c>
      <c r="Y67" s="13">
        <f t="shared" si="135"/>
        <v>135124.076</v>
      </c>
      <c r="Z67" s="13">
        <f t="shared" si="135"/>
        <v>145165.05399999995</v>
      </c>
      <c r="AA67" s="13">
        <f t="shared" si="135"/>
        <v>228064.20500000002</v>
      </c>
      <c r="AB67" s="13">
        <f t="shared" si="135"/>
        <v>141852</v>
      </c>
      <c r="AC67" s="13">
        <f t="shared" si="135"/>
        <v>135575</v>
      </c>
      <c r="AD67" s="13">
        <f t="shared" si="135"/>
        <v>134958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87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59</v>
      </c>
      <c r="C71" s="136" t="s">
        <v>88</v>
      </c>
      <c r="D71" s="136"/>
      <c r="E71" s="136"/>
      <c r="F71" s="136"/>
      <c r="H71" s="134"/>
      <c r="I71" s="134"/>
      <c r="J71" s="134"/>
      <c r="K71" s="134"/>
      <c r="L71" s="136" t="s">
        <v>88</v>
      </c>
      <c r="M71" s="136" t="s">
        <v>88</v>
      </c>
      <c r="N71" s="136" t="s">
        <v>88</v>
      </c>
      <c r="O71" s="136" t="s">
        <v>88</v>
      </c>
      <c r="P71" s="136" t="s">
        <v>88</v>
      </c>
      <c r="Q71" s="136" t="s">
        <v>88</v>
      </c>
      <c r="R71" s="136"/>
      <c r="S71" s="136"/>
      <c r="T71" s="136"/>
      <c r="U71" s="136"/>
      <c r="V71" s="136"/>
      <c r="W71" s="136"/>
      <c r="X71" s="136" t="s">
        <v>88</v>
      </c>
      <c r="Y71" s="136" t="s">
        <v>88</v>
      </c>
      <c r="Z71" s="136" t="s">
        <v>88</v>
      </c>
      <c r="AA71" s="136" t="s">
        <v>88</v>
      </c>
      <c r="AB71" s="136" t="s">
        <v>88</v>
      </c>
      <c r="AC71" s="136" t="s">
        <v>88</v>
      </c>
      <c r="AD71" s="136" t="s">
        <v>88</v>
      </c>
      <c r="AE71" s="136"/>
      <c r="AF71" s="136"/>
      <c r="AG71" s="136"/>
      <c r="AH71" s="136"/>
      <c r="AI71" s="136"/>
    </row>
    <row r="72" spans="1:35" ht="12.75" customHeight="1">
      <c r="B72" s="8" t="s">
        <v>60</v>
      </c>
      <c r="C72" s="136" t="s">
        <v>88</v>
      </c>
      <c r="D72" s="136"/>
      <c r="E72" s="136"/>
      <c r="F72" s="136"/>
      <c r="H72" s="134"/>
      <c r="I72" s="134"/>
      <c r="J72" s="134"/>
      <c r="K72" s="134"/>
      <c r="L72" s="136" t="s">
        <v>88</v>
      </c>
      <c r="M72" s="136" t="s">
        <v>88</v>
      </c>
      <c r="N72" s="136" t="s">
        <v>88</v>
      </c>
      <c r="O72" s="136" t="s">
        <v>88</v>
      </c>
      <c r="P72" s="136" t="s">
        <v>88</v>
      </c>
      <c r="Q72" s="136" t="s">
        <v>88</v>
      </c>
      <c r="R72" s="136"/>
      <c r="S72" s="136"/>
      <c r="T72" s="136"/>
      <c r="U72" s="136"/>
      <c r="V72" s="136"/>
      <c r="W72" s="136"/>
      <c r="X72" s="136" t="s">
        <v>88</v>
      </c>
      <c r="Y72" s="136" t="s">
        <v>88</v>
      </c>
      <c r="Z72" s="136" t="s">
        <v>88</v>
      </c>
      <c r="AA72" s="136" t="s">
        <v>88</v>
      </c>
      <c r="AB72" s="136" t="s">
        <v>88</v>
      </c>
      <c r="AC72" s="136" t="s">
        <v>88</v>
      </c>
      <c r="AD72" s="136" t="s">
        <v>88</v>
      </c>
      <c r="AE72" s="136"/>
      <c r="AF72" s="136"/>
      <c r="AG72" s="136"/>
      <c r="AH72" s="136"/>
      <c r="AI72" s="136"/>
    </row>
    <row r="73" spans="1:35" ht="12.75" customHeight="1">
      <c r="B73" s="8" t="s">
        <v>61</v>
      </c>
      <c r="C73" s="136" t="s">
        <v>88</v>
      </c>
      <c r="D73" s="136"/>
      <c r="E73" s="136"/>
      <c r="F73" s="136"/>
      <c r="H73" s="134"/>
      <c r="I73" s="134"/>
      <c r="J73" s="134"/>
      <c r="K73" s="134"/>
      <c r="L73" s="136" t="s">
        <v>88</v>
      </c>
      <c r="M73" s="136" t="s">
        <v>88</v>
      </c>
      <c r="N73" s="136" t="s">
        <v>88</v>
      </c>
      <c r="O73" s="136" t="s">
        <v>88</v>
      </c>
      <c r="P73" s="136" t="s">
        <v>88</v>
      </c>
      <c r="Q73" s="136" t="s">
        <v>88</v>
      </c>
      <c r="R73" s="136"/>
      <c r="S73" s="136"/>
      <c r="T73" s="136"/>
      <c r="U73" s="136"/>
      <c r="V73" s="136"/>
      <c r="X73" s="136" t="s">
        <v>88</v>
      </c>
      <c r="Y73" s="136" t="s">
        <v>88</v>
      </c>
      <c r="Z73" s="136" t="s">
        <v>88</v>
      </c>
      <c r="AA73" s="136" t="s">
        <v>88</v>
      </c>
      <c r="AB73" s="136" t="s">
        <v>88</v>
      </c>
      <c r="AC73" s="136" t="s">
        <v>88</v>
      </c>
      <c r="AD73" s="136" t="s">
        <v>88</v>
      </c>
      <c r="AE73" s="136"/>
      <c r="AF73" s="136"/>
      <c r="AG73" s="136"/>
      <c r="AH73" s="136"/>
      <c r="AI73" s="136"/>
    </row>
    <row r="74" spans="1:35" ht="12.75" customHeight="1">
      <c r="B74" s="8" t="s">
        <v>62</v>
      </c>
      <c r="C74" s="136" t="s">
        <v>88</v>
      </c>
      <c r="D74" s="136"/>
      <c r="E74" s="136"/>
      <c r="F74" s="136"/>
      <c r="H74" s="134"/>
      <c r="I74" s="134"/>
      <c r="J74" s="134"/>
      <c r="K74" s="134"/>
      <c r="L74" s="136" t="s">
        <v>88</v>
      </c>
      <c r="M74" s="136" t="s">
        <v>88</v>
      </c>
      <c r="N74" s="136" t="s">
        <v>88</v>
      </c>
      <c r="O74" s="136" t="s">
        <v>88</v>
      </c>
      <c r="P74" s="136" t="s">
        <v>88</v>
      </c>
      <c r="Q74" s="136" t="s">
        <v>88</v>
      </c>
      <c r="R74" s="136"/>
      <c r="S74" s="136"/>
      <c r="T74" s="136"/>
      <c r="U74" s="136"/>
      <c r="V74" s="136"/>
      <c r="X74" s="136" t="s">
        <v>88</v>
      </c>
      <c r="Y74" s="136" t="s">
        <v>88</v>
      </c>
      <c r="Z74" s="136" t="s">
        <v>88</v>
      </c>
      <c r="AA74" s="136" t="s">
        <v>88</v>
      </c>
      <c r="AB74" s="136" t="s">
        <v>88</v>
      </c>
      <c r="AC74" s="136" t="s">
        <v>88</v>
      </c>
      <c r="AD74" s="136" t="s">
        <v>88</v>
      </c>
      <c r="AE74" s="136"/>
      <c r="AF74" s="136"/>
      <c r="AG74" s="136"/>
      <c r="AH74" s="136"/>
      <c r="AI74" s="136"/>
    </row>
    <row r="75" spans="1:35" ht="12.75" customHeight="1">
      <c r="B75" s="8" t="s">
        <v>63</v>
      </c>
      <c r="C75" s="136" t="s">
        <v>88</v>
      </c>
      <c r="D75" s="136"/>
      <c r="E75" s="136"/>
      <c r="F75" s="136"/>
      <c r="H75" s="134"/>
      <c r="I75" s="134"/>
      <c r="J75" s="134"/>
      <c r="K75" s="134"/>
      <c r="L75" s="136" t="s">
        <v>88</v>
      </c>
      <c r="M75" s="136" t="s">
        <v>88</v>
      </c>
      <c r="N75" s="136" t="s">
        <v>88</v>
      </c>
      <c r="O75" s="136" t="s">
        <v>88</v>
      </c>
      <c r="P75" s="136" t="s">
        <v>88</v>
      </c>
      <c r="Q75" s="136" t="s">
        <v>88</v>
      </c>
      <c r="R75" s="136"/>
      <c r="S75" s="136"/>
      <c r="T75" s="136"/>
      <c r="U75" s="136"/>
      <c r="V75" s="136"/>
      <c r="X75" s="136" t="s">
        <v>88</v>
      </c>
      <c r="Y75" s="136" t="s">
        <v>88</v>
      </c>
      <c r="Z75" s="136" t="s">
        <v>88</v>
      </c>
      <c r="AA75" s="136" t="s">
        <v>88</v>
      </c>
      <c r="AB75" s="136" t="s">
        <v>88</v>
      </c>
      <c r="AC75" s="136" t="s">
        <v>88</v>
      </c>
      <c r="AD75" s="136" t="s">
        <v>88</v>
      </c>
      <c r="AE75" s="136"/>
      <c r="AF75" s="136"/>
      <c r="AG75" s="136"/>
      <c r="AH75" s="136"/>
      <c r="AI75" s="136"/>
    </row>
    <row r="76" spans="1:35" ht="12.75" customHeight="1">
      <c r="B76" s="8" t="s">
        <v>64</v>
      </c>
      <c r="C76" s="136" t="s">
        <v>88</v>
      </c>
      <c r="D76" s="136"/>
      <c r="E76" s="136"/>
      <c r="F76" s="136"/>
      <c r="H76" s="134"/>
      <c r="I76" s="134"/>
      <c r="J76" s="134"/>
      <c r="K76" s="134"/>
      <c r="L76" s="136" t="s">
        <v>88</v>
      </c>
      <c r="M76" s="136" t="s">
        <v>88</v>
      </c>
      <c r="N76" s="136" t="s">
        <v>88</v>
      </c>
      <c r="O76" s="136" t="s">
        <v>88</v>
      </c>
      <c r="P76" s="136" t="s">
        <v>88</v>
      </c>
      <c r="Q76" s="136" t="s">
        <v>88</v>
      </c>
      <c r="R76" s="136"/>
      <c r="S76" s="136"/>
      <c r="T76" s="136"/>
      <c r="U76" s="136"/>
      <c r="V76" s="136"/>
      <c r="X76" s="136" t="s">
        <v>88</v>
      </c>
      <c r="Y76" s="136" t="s">
        <v>88</v>
      </c>
      <c r="Z76" s="136" t="s">
        <v>88</v>
      </c>
      <c r="AA76" s="136" t="s">
        <v>88</v>
      </c>
      <c r="AB76" s="136" t="s">
        <v>88</v>
      </c>
      <c r="AC76" s="136" t="s">
        <v>88</v>
      </c>
      <c r="AD76" s="136" t="s">
        <v>88</v>
      </c>
      <c r="AE76" s="136"/>
      <c r="AF76" s="136"/>
      <c r="AG76" s="136"/>
      <c r="AH76" s="136"/>
      <c r="AI76" s="136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2025-11-08T08:50:30Z</dcterms:modified>
</cp:coreProperties>
</file>