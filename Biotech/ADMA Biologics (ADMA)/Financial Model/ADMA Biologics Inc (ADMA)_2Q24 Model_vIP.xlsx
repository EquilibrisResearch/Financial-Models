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elix\AppData\Roaming\Microsoft\Excel\Apple%20Inc%20(APPL)_LTM%203Q25%20Model_v1%20(1)312142813346839800\Models\"/>
    </mc:Choice>
  </mc:AlternateContent>
  <xr:revisionPtr revIDLastSave="0" documentId="8_{4EFAAE1B-394D-4777-9C12-4F2453F75F95}" xr6:coauthVersionLast="47" xr6:coauthVersionMax="47" xr10:uidLastSave="{00000000-0000-0000-0000-000000000000}"/>
  <bookViews>
    <workbookView xWindow="-120" yWindow="-120" windowWidth="29040" windowHeight="15720" xr2:uid="{BC9106CE-9107-4097-8948-317996376CB5}"/>
  </bookViews>
  <sheets>
    <sheet name="Historical Financials" sheetId="8" r:id="rId1"/>
    <sheet name="Revenue Drivers" sheetId="10" r:id="rId2"/>
    <sheet name="FCF" sheetId="9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6" i="8" l="1"/>
  <c r="R125" i="8"/>
  <c r="R124" i="8"/>
  <c r="R123" i="8"/>
  <c r="R122" i="8"/>
  <c r="R121" i="8"/>
  <c r="R120" i="8"/>
  <c r="N126" i="8"/>
  <c r="N125" i="8"/>
  <c r="N124" i="8"/>
  <c r="N123" i="8"/>
  <c r="N122" i="8"/>
  <c r="N121" i="8"/>
  <c r="N120" i="8"/>
  <c r="J126" i="8"/>
  <c r="J125" i="8"/>
  <c r="J124" i="8"/>
  <c r="J123" i="8"/>
  <c r="J122" i="8"/>
  <c r="J121" i="8"/>
  <c r="J120" i="8"/>
  <c r="J104" i="8"/>
  <c r="N104" i="8"/>
  <c r="N64" i="8"/>
  <c r="N63" i="8"/>
  <c r="N62" i="8"/>
  <c r="N61" i="8"/>
  <c r="J64" i="8"/>
  <c r="J63" i="8"/>
  <c r="J62" i="8"/>
  <c r="J61" i="8"/>
  <c r="N72" i="8"/>
  <c r="J72" i="8"/>
  <c r="N71" i="8"/>
  <c r="J71" i="8"/>
  <c r="N70" i="8"/>
  <c r="J70" i="8"/>
  <c r="N69" i="8"/>
  <c r="Y69" i="8" s="1"/>
  <c r="J69" i="8"/>
  <c r="N68" i="8"/>
  <c r="J68" i="8"/>
  <c r="N78" i="8"/>
  <c r="J78" i="8"/>
  <c r="N77" i="8"/>
  <c r="J77" i="8"/>
  <c r="N76" i="8"/>
  <c r="J76" i="8"/>
  <c r="N75" i="8"/>
  <c r="J75" i="8"/>
  <c r="N57" i="8"/>
  <c r="J57" i="8"/>
  <c r="N56" i="8"/>
  <c r="J56" i="8"/>
  <c r="N55" i="8"/>
  <c r="J55" i="8"/>
  <c r="N54" i="8"/>
  <c r="Y54" i="8" s="1"/>
  <c r="J54" i="8"/>
  <c r="N53" i="8"/>
  <c r="Z53" i="8" s="1"/>
  <c r="J53" i="8"/>
  <c r="V53" i="8" s="1"/>
  <c r="N49" i="8"/>
  <c r="Z49" i="8" s="1"/>
  <c r="N48" i="8"/>
  <c r="Z48" i="8" s="1"/>
  <c r="N47" i="8"/>
  <c r="Z47" i="8" s="1"/>
  <c r="N46" i="8"/>
  <c r="Z46" i="8" s="1"/>
  <c r="J49" i="8"/>
  <c r="V49" i="8" s="1"/>
  <c r="J48" i="8"/>
  <c r="V48" i="8" s="1"/>
  <c r="J47" i="8"/>
  <c r="J46" i="8"/>
  <c r="V46" i="8" s="1"/>
  <c r="J31" i="8"/>
  <c r="J27" i="8"/>
  <c r="J26" i="8"/>
  <c r="J25" i="8"/>
  <c r="J24" i="8"/>
  <c r="J20" i="8"/>
  <c r="J19" i="8"/>
  <c r="J18" i="8"/>
  <c r="J17" i="8"/>
  <c r="J13" i="8"/>
  <c r="J10" i="8"/>
  <c r="N10" i="8"/>
  <c r="N13" i="8"/>
  <c r="N20" i="8"/>
  <c r="N19" i="8"/>
  <c r="N18" i="8"/>
  <c r="N17" i="8"/>
  <c r="N27" i="8"/>
  <c r="AC27" i="8" s="1"/>
  <c r="N26" i="8"/>
  <c r="AB26" i="8" s="1"/>
  <c r="N25" i="8"/>
  <c r="AC25" i="8" s="1"/>
  <c r="N24" i="8"/>
  <c r="AC24" i="8" s="1"/>
  <c r="N31" i="8"/>
  <c r="N38" i="8"/>
  <c r="N35" i="8"/>
  <c r="J35" i="8"/>
  <c r="J38" i="8"/>
  <c r="R18" i="8"/>
  <c r="R142" i="8"/>
  <c r="N142" i="8"/>
  <c r="J142" i="8"/>
  <c r="R119" i="8"/>
  <c r="N119" i="8"/>
  <c r="J119" i="8"/>
  <c r="R118" i="8"/>
  <c r="N118" i="8"/>
  <c r="J118" i="8"/>
  <c r="R78" i="8"/>
  <c r="AD78" i="8" s="1"/>
  <c r="R77" i="8"/>
  <c r="AD77" i="8" s="1"/>
  <c r="R76" i="8"/>
  <c r="AD76" i="8" s="1"/>
  <c r="R75" i="8"/>
  <c r="AD75" i="8" s="1"/>
  <c r="R72" i="8"/>
  <c r="AD72" i="8" s="1"/>
  <c r="R71" i="8"/>
  <c r="AD71" i="8" s="1"/>
  <c r="R70" i="8"/>
  <c r="AD70" i="8" s="1"/>
  <c r="R69" i="8"/>
  <c r="AD69" i="8" s="1"/>
  <c r="R68" i="8"/>
  <c r="AD68" i="8" s="1"/>
  <c r="R64" i="8"/>
  <c r="AD64" i="8" s="1"/>
  <c r="R63" i="8"/>
  <c r="AD63" i="8" s="1"/>
  <c r="R62" i="8"/>
  <c r="AD62" i="8" s="1"/>
  <c r="R61" i="8"/>
  <c r="AD61" i="8" s="1"/>
  <c r="R57" i="8"/>
  <c r="R56" i="8"/>
  <c r="R55" i="8"/>
  <c r="R54" i="8"/>
  <c r="AD54" i="8" s="1"/>
  <c r="R53" i="8"/>
  <c r="R49" i="8"/>
  <c r="AD49" i="8" s="1"/>
  <c r="R48" i="8"/>
  <c r="AD48" i="8" s="1"/>
  <c r="R47" i="8"/>
  <c r="AD47" i="8" s="1"/>
  <c r="V47" i="8"/>
  <c r="AF78" i="8"/>
  <c r="AE78" i="8"/>
  <c r="AC78" i="8"/>
  <c r="AB78" i="8"/>
  <c r="AF77" i="8"/>
  <c r="AE77" i="8"/>
  <c r="AC77" i="8"/>
  <c r="AB77" i="8"/>
  <c r="AF76" i="8"/>
  <c r="AE76" i="8"/>
  <c r="AC76" i="8"/>
  <c r="AB76" i="8"/>
  <c r="AF75" i="8"/>
  <c r="AE75" i="8"/>
  <c r="AC75" i="8"/>
  <c r="AB75" i="8"/>
  <c r="AF72" i="8"/>
  <c r="AE72" i="8"/>
  <c r="AC72" i="8"/>
  <c r="AB72" i="8"/>
  <c r="AF71" i="8"/>
  <c r="AE71" i="8"/>
  <c r="AC71" i="8"/>
  <c r="AB71" i="8"/>
  <c r="AF70" i="8"/>
  <c r="AE70" i="8"/>
  <c r="AC70" i="8"/>
  <c r="AB70" i="8"/>
  <c r="AF69" i="8"/>
  <c r="AE69" i="8"/>
  <c r="AC69" i="8"/>
  <c r="AB69" i="8"/>
  <c r="AF68" i="8"/>
  <c r="AE68" i="8"/>
  <c r="AC68" i="8"/>
  <c r="AB68" i="8"/>
  <c r="AF64" i="8"/>
  <c r="AE64" i="8"/>
  <c r="AC64" i="8"/>
  <c r="AB64" i="8"/>
  <c r="AF63" i="8"/>
  <c r="AE63" i="8"/>
  <c r="AC63" i="8"/>
  <c r="AB63" i="8"/>
  <c r="AF62" i="8"/>
  <c r="AE62" i="8"/>
  <c r="AC62" i="8"/>
  <c r="AB62" i="8"/>
  <c r="AF61" i="8"/>
  <c r="AE61" i="8"/>
  <c r="AC61" i="8"/>
  <c r="AB61" i="8"/>
  <c r="AF57" i="8"/>
  <c r="AE57" i="8"/>
  <c r="AC57" i="8"/>
  <c r="AB57" i="8"/>
  <c r="AF56" i="8"/>
  <c r="AE56" i="8"/>
  <c r="AC56" i="8"/>
  <c r="AB56" i="8"/>
  <c r="AF55" i="8"/>
  <c r="AE55" i="8"/>
  <c r="AC55" i="8"/>
  <c r="AB55" i="8"/>
  <c r="AF54" i="8"/>
  <c r="AE54" i="8"/>
  <c r="AC54" i="8"/>
  <c r="AB54" i="8"/>
  <c r="AF53" i="8"/>
  <c r="AE53" i="8"/>
  <c r="AC53" i="8"/>
  <c r="AB53" i="8"/>
  <c r="AA53" i="8"/>
  <c r="Y53" i="8"/>
  <c r="X53" i="8"/>
  <c r="W53" i="8"/>
  <c r="AE49" i="8"/>
  <c r="AC49" i="8"/>
  <c r="AB49" i="8"/>
  <c r="AA49" i="8"/>
  <c r="Y49" i="8"/>
  <c r="X49" i="8"/>
  <c r="W49" i="8"/>
  <c r="AE48" i="8"/>
  <c r="AC48" i="8"/>
  <c r="AB48" i="8"/>
  <c r="AA48" i="8"/>
  <c r="Y48" i="8"/>
  <c r="X48" i="8"/>
  <c r="W48" i="8"/>
  <c r="AE47" i="8"/>
  <c r="AC47" i="8"/>
  <c r="AB47" i="8"/>
  <c r="AA47" i="8"/>
  <c r="Y47" i="8"/>
  <c r="X47" i="8"/>
  <c r="W47" i="8"/>
  <c r="AE46" i="8"/>
  <c r="AC46" i="8"/>
  <c r="AB46" i="8"/>
  <c r="AA46" i="8"/>
  <c r="Y46" i="8"/>
  <c r="X46" i="8"/>
  <c r="W46" i="8"/>
  <c r="AF49" i="8"/>
  <c r="AF48" i="8"/>
  <c r="AF47" i="8"/>
  <c r="AF46" i="8"/>
  <c r="AH46" i="8" s="1"/>
  <c r="AF38" i="8"/>
  <c r="AE38" i="8"/>
  <c r="AC38" i="8"/>
  <c r="AB38" i="8"/>
  <c r="AE35" i="8"/>
  <c r="AC35" i="8"/>
  <c r="AB35" i="8"/>
  <c r="AA35" i="8"/>
  <c r="Y35" i="8"/>
  <c r="X35" i="8"/>
  <c r="W35" i="8"/>
  <c r="AF35" i="8"/>
  <c r="AE8" i="8"/>
  <c r="AD8" i="8"/>
  <c r="AC8" i="8"/>
  <c r="AB8" i="8"/>
  <c r="AA8" i="8"/>
  <c r="Z8" i="8"/>
  <c r="Y8" i="8"/>
  <c r="X8" i="8"/>
  <c r="W8" i="8"/>
  <c r="V8" i="8"/>
  <c r="AE7" i="8"/>
  <c r="AD7" i="8"/>
  <c r="AC7" i="8"/>
  <c r="AB7" i="8"/>
  <c r="AA7" i="8"/>
  <c r="Z7" i="8"/>
  <c r="Y7" i="8"/>
  <c r="X7" i="8"/>
  <c r="W7" i="8"/>
  <c r="V7" i="8"/>
  <c r="AF8" i="8"/>
  <c r="AF7" i="8"/>
  <c r="E127" i="8"/>
  <c r="AA69" i="8"/>
  <c r="Z69" i="8"/>
  <c r="X69" i="8"/>
  <c r="W69" i="8"/>
  <c r="V69" i="8"/>
  <c r="AA54" i="8"/>
  <c r="Z54" i="8"/>
  <c r="X54" i="8"/>
  <c r="W54" i="8"/>
  <c r="V54" i="8"/>
  <c r="S127" i="8"/>
  <c r="C127" i="8"/>
  <c r="R99" i="8"/>
  <c r="AF99" i="8" s="1"/>
  <c r="R98" i="8"/>
  <c r="AE98" i="8" s="1"/>
  <c r="N109" i="8"/>
  <c r="AC109" i="8" s="1"/>
  <c r="J99" i="8"/>
  <c r="J114" i="8"/>
  <c r="J113" i="8"/>
  <c r="J100" i="8"/>
  <c r="R46" i="8"/>
  <c r="AD46" i="8" s="1"/>
  <c r="R27" i="8"/>
  <c r="AE27" i="8" s="1"/>
  <c r="R26" i="8"/>
  <c r="AF26" i="8" s="1"/>
  <c r="R25" i="8"/>
  <c r="AF25" i="8" s="1"/>
  <c r="R24" i="8"/>
  <c r="AD24" i="8" s="1"/>
  <c r="AH77" i="8" l="1"/>
  <c r="AH75" i="8"/>
  <c r="AH55" i="8"/>
  <c r="AH56" i="8"/>
  <c r="AH68" i="8"/>
  <c r="AH53" i="8"/>
  <c r="AH69" i="8"/>
  <c r="AH49" i="8"/>
  <c r="AH57" i="8"/>
  <c r="AH63" i="8"/>
  <c r="AH71" i="8"/>
  <c r="AH54" i="8"/>
  <c r="AH76" i="8"/>
  <c r="AH62" i="8"/>
  <c r="AH70" i="8"/>
  <c r="AH64" i="8"/>
  <c r="AH78" i="8"/>
  <c r="AH72" i="8"/>
  <c r="AH47" i="8"/>
  <c r="AH48" i="8"/>
  <c r="AF98" i="8"/>
  <c r="AD99" i="8"/>
  <c r="AE99" i="8"/>
  <c r="AD98" i="8"/>
  <c r="AB109" i="8"/>
  <c r="AH26" i="8"/>
  <c r="T127" i="8"/>
  <c r="AB25" i="8"/>
  <c r="AH25" i="8" s="1"/>
  <c r="AE24" i="8"/>
  <c r="AC26" i="8"/>
  <c r="AF27" i="8"/>
  <c r="AF24" i="8"/>
  <c r="AD26" i="8"/>
  <c r="AE26" i="8"/>
  <c r="AD25" i="8"/>
  <c r="AB27" i="8"/>
  <c r="AB24" i="8"/>
  <c r="AE25" i="8"/>
  <c r="AD27" i="8"/>
  <c r="M127" i="8"/>
  <c r="D127" i="8"/>
  <c r="K127" i="8"/>
  <c r="L127" i="8"/>
  <c r="G127" i="8"/>
  <c r="O127" i="8"/>
  <c r="H127" i="8"/>
  <c r="P127" i="8"/>
  <c r="Q127" i="8"/>
  <c r="Y127" i="8"/>
  <c r="Z127" i="8"/>
  <c r="AA127" i="8"/>
  <c r="X127" i="8"/>
  <c r="J108" i="8"/>
  <c r="N95" i="8"/>
  <c r="R100" i="8"/>
  <c r="AF100" i="8" s="1"/>
  <c r="N94" i="8"/>
  <c r="J95" i="8"/>
  <c r="N96" i="8"/>
  <c r="N113" i="8"/>
  <c r="R95" i="8"/>
  <c r="AF95" i="8" s="1"/>
  <c r="N114" i="8"/>
  <c r="J109" i="8"/>
  <c r="J103" i="8"/>
  <c r="N105" i="8"/>
  <c r="R96" i="8"/>
  <c r="N106" i="8"/>
  <c r="N99" i="8"/>
  <c r="R97" i="8"/>
  <c r="R113" i="8"/>
  <c r="J106" i="8"/>
  <c r="N107" i="8"/>
  <c r="N100" i="8"/>
  <c r="J107" i="8"/>
  <c r="N108" i="8"/>
  <c r="R114" i="8"/>
  <c r="AD114" i="8" s="1"/>
  <c r="J97" i="8"/>
  <c r="J94" i="8"/>
  <c r="J96" i="8"/>
  <c r="J98" i="8"/>
  <c r="J105" i="8"/>
  <c r="AH27" i="8" l="1"/>
  <c r="AC95" i="8"/>
  <c r="AB95" i="8"/>
  <c r="AC108" i="8"/>
  <c r="AB108" i="8"/>
  <c r="AC106" i="8"/>
  <c r="AB106" i="8"/>
  <c r="AB113" i="8"/>
  <c r="AC113" i="8"/>
  <c r="AH24" i="8"/>
  <c r="AE97" i="8"/>
  <c r="AD97" i="8"/>
  <c r="AF97" i="8"/>
  <c r="AC99" i="8"/>
  <c r="AB99" i="8"/>
  <c r="AH99" i="8" s="1"/>
  <c r="AE96" i="8"/>
  <c r="AF96" i="8"/>
  <c r="AD96" i="8"/>
  <c r="AB96" i="8"/>
  <c r="AC96" i="8"/>
  <c r="AC105" i="8"/>
  <c r="AB105" i="8"/>
  <c r="AE114" i="8"/>
  <c r="N98" i="8"/>
  <c r="AC98" i="8" s="1"/>
  <c r="N97" i="8"/>
  <c r="AC97" i="8" s="1"/>
  <c r="AC100" i="8"/>
  <c r="AB100" i="8"/>
  <c r="AH100" i="8" s="1"/>
  <c r="AB107" i="8"/>
  <c r="AC107" i="8"/>
  <c r="AB94" i="8"/>
  <c r="AC94" i="8"/>
  <c r="AE118" i="8"/>
  <c r="AF118" i="8"/>
  <c r="AD118" i="8"/>
  <c r="AF119" i="8"/>
  <c r="AE119" i="8"/>
  <c r="AD119" i="8"/>
  <c r="AF114" i="8"/>
  <c r="AD95" i="8"/>
  <c r="AE95" i="8"/>
  <c r="N103" i="8"/>
  <c r="AC103" i="8" s="1"/>
  <c r="AC118" i="8"/>
  <c r="AB118" i="8"/>
  <c r="AF113" i="8"/>
  <c r="AE113" i="8"/>
  <c r="AD113" i="8"/>
  <c r="AB114" i="8"/>
  <c r="AC114" i="8"/>
  <c r="AD100" i="8"/>
  <c r="AE100" i="8"/>
  <c r="AC119" i="8"/>
  <c r="AB119" i="8"/>
  <c r="AB127" i="8" s="1"/>
  <c r="I127" i="8"/>
  <c r="J127" i="8"/>
  <c r="R127" i="8"/>
  <c r="N127" i="8"/>
  <c r="V127" i="8"/>
  <c r="W127" i="8"/>
  <c r="AB97" i="8" l="1"/>
  <c r="AH97" i="8" s="1"/>
  <c r="AH119" i="8"/>
  <c r="AB103" i="8"/>
  <c r="AD127" i="8"/>
  <c r="AH118" i="8"/>
  <c r="AF127" i="8"/>
  <c r="AB98" i="8"/>
  <c r="AH98" i="8" s="1"/>
  <c r="AE127" i="8"/>
  <c r="AC127" i="8"/>
  <c r="AI33" i="9" l="1"/>
  <c r="AG33" i="9"/>
  <c r="AH33" i="9"/>
  <c r="O33" i="9"/>
  <c r="AE33" i="9" s="1"/>
  <c r="K33" i="9"/>
  <c r="AA33" i="9" s="1"/>
  <c r="AF63" i="9"/>
  <c r="O63" i="9"/>
  <c r="AB63" i="9" s="1"/>
  <c r="K63" i="9"/>
  <c r="X63" i="9" s="1"/>
  <c r="Y63" i="9"/>
  <c r="AC63" i="9"/>
  <c r="AE63" i="9"/>
  <c r="AG63" i="9"/>
  <c r="Z63" i="9"/>
  <c r="AA63" i="9"/>
  <c r="AD63" i="9"/>
  <c r="AH63" i="9"/>
  <c r="AI63" i="9"/>
  <c r="H64" i="9"/>
  <c r="AI49" i="9"/>
  <c r="AH49" i="9"/>
  <c r="AG49" i="9"/>
  <c r="AE49" i="9"/>
  <c r="Q49" i="9"/>
  <c r="AD49" i="9" s="1"/>
  <c r="P49" i="9"/>
  <c r="AC49" i="9" s="1"/>
  <c r="N49" i="9"/>
  <c r="AA49" i="9" s="1"/>
  <c r="M49" i="9"/>
  <c r="Z49" i="9" s="1"/>
  <c r="L49" i="9"/>
  <c r="Y49" i="9" s="1"/>
  <c r="J49" i="9"/>
  <c r="I49" i="9"/>
  <c r="H49" i="9"/>
  <c r="C49" i="9"/>
  <c r="M48" i="9"/>
  <c r="N48" i="9"/>
  <c r="P48" i="9"/>
  <c r="R134" i="8"/>
  <c r="N134" i="8"/>
  <c r="K49" i="9"/>
  <c r="X49" i="9" s="1"/>
  <c r="O49" i="9"/>
  <c r="AB49" i="9" s="1"/>
  <c r="Q59" i="9"/>
  <c r="P59" i="9"/>
  <c r="N59" i="9"/>
  <c r="M59" i="9"/>
  <c r="L59" i="9"/>
  <c r="J59" i="9"/>
  <c r="I59" i="9"/>
  <c r="AI58" i="9"/>
  <c r="AH58" i="9"/>
  <c r="AG58" i="9"/>
  <c r="AE58" i="9"/>
  <c r="Q58" i="9"/>
  <c r="AD58" i="9" s="1"/>
  <c r="P58" i="9"/>
  <c r="AC58" i="9" s="1"/>
  <c r="N58" i="9"/>
  <c r="AA58" i="9" s="1"/>
  <c r="M58" i="9"/>
  <c r="Z58" i="9" s="1"/>
  <c r="L58" i="9"/>
  <c r="Y58" i="9" s="1"/>
  <c r="J58" i="9"/>
  <c r="I58" i="9"/>
  <c r="Q57" i="9"/>
  <c r="P57" i="9"/>
  <c r="N57" i="9"/>
  <c r="M57" i="9"/>
  <c r="L57" i="9"/>
  <c r="J57" i="9"/>
  <c r="I57" i="9"/>
  <c r="Q56" i="9"/>
  <c r="P56" i="9"/>
  <c r="N56" i="9"/>
  <c r="M56" i="9"/>
  <c r="L56" i="9"/>
  <c r="J56" i="9"/>
  <c r="I56" i="9"/>
  <c r="Q55" i="9"/>
  <c r="P55" i="9"/>
  <c r="N55" i="9"/>
  <c r="M55" i="9"/>
  <c r="L55" i="9"/>
  <c r="J55" i="9"/>
  <c r="I55" i="9"/>
  <c r="H59" i="9"/>
  <c r="H58" i="9"/>
  <c r="H57" i="9"/>
  <c r="H56" i="9"/>
  <c r="H55" i="9"/>
  <c r="C59" i="9"/>
  <c r="C58" i="9"/>
  <c r="C57" i="9"/>
  <c r="C56" i="9"/>
  <c r="C55" i="9"/>
  <c r="AI51" i="9"/>
  <c r="AH51" i="9"/>
  <c r="AG51" i="9"/>
  <c r="Q51" i="9"/>
  <c r="AD51" i="9" s="1"/>
  <c r="P51" i="9"/>
  <c r="AC51" i="9" s="1"/>
  <c r="N51" i="9"/>
  <c r="AA51" i="9" s="1"/>
  <c r="M51" i="9"/>
  <c r="Z51" i="9" s="1"/>
  <c r="L51" i="9"/>
  <c r="Y51" i="9" s="1"/>
  <c r="J51" i="9"/>
  <c r="I51" i="9"/>
  <c r="H51" i="9"/>
  <c r="C51" i="9"/>
  <c r="AI50" i="9"/>
  <c r="AH50" i="9"/>
  <c r="AG50" i="9"/>
  <c r="AE50" i="9"/>
  <c r="Q50" i="9"/>
  <c r="AD50" i="9" s="1"/>
  <c r="P50" i="9"/>
  <c r="AC50" i="9" s="1"/>
  <c r="N50" i="9"/>
  <c r="AA50" i="9" s="1"/>
  <c r="M50" i="9"/>
  <c r="Z50" i="9" s="1"/>
  <c r="L50" i="9"/>
  <c r="Y50" i="9" s="1"/>
  <c r="J50" i="9"/>
  <c r="I50" i="9"/>
  <c r="H50" i="9"/>
  <c r="C50" i="9"/>
  <c r="Q48" i="9"/>
  <c r="J48" i="9"/>
  <c r="I48" i="9"/>
  <c r="H48" i="9"/>
  <c r="C48" i="9"/>
  <c r="L42" i="9"/>
  <c r="I42" i="9"/>
  <c r="P41" i="9"/>
  <c r="L41" i="9"/>
  <c r="J41" i="9"/>
  <c r="I41" i="9"/>
  <c r="H41" i="9"/>
  <c r="C41" i="9"/>
  <c r="P40" i="9"/>
  <c r="L40" i="9"/>
  <c r="I40" i="9"/>
  <c r="H40" i="9"/>
  <c r="C40" i="9"/>
  <c r="Q39" i="9"/>
  <c r="P39" i="9"/>
  <c r="N39" i="9"/>
  <c r="M39" i="9"/>
  <c r="L39" i="9"/>
  <c r="J39" i="9"/>
  <c r="I39" i="9"/>
  <c r="H39" i="9"/>
  <c r="C39" i="9"/>
  <c r="Q38" i="9"/>
  <c r="P38" i="9"/>
  <c r="L38" i="9"/>
  <c r="H38" i="9"/>
  <c r="C38" i="9"/>
  <c r="P37" i="9"/>
  <c r="L37" i="9"/>
  <c r="J37" i="9"/>
  <c r="H37" i="9"/>
  <c r="C37" i="9"/>
  <c r="P34" i="9"/>
  <c r="L34" i="9"/>
  <c r="H34" i="9"/>
  <c r="C34" i="9"/>
  <c r="Q32" i="9"/>
  <c r="P32" i="9"/>
  <c r="N32" i="9"/>
  <c r="M32" i="9"/>
  <c r="L32" i="9"/>
  <c r="J32" i="9"/>
  <c r="I32" i="9"/>
  <c r="H32" i="9"/>
  <c r="C32" i="9"/>
  <c r="Q31" i="9"/>
  <c r="P31" i="9"/>
  <c r="L31" i="9"/>
  <c r="I31" i="9"/>
  <c r="H31" i="9"/>
  <c r="C31" i="9"/>
  <c r="P27" i="9"/>
  <c r="L27" i="9"/>
  <c r="H27" i="9"/>
  <c r="C27" i="9"/>
  <c r="Q19" i="9"/>
  <c r="Q23" i="9" s="1"/>
  <c r="P19" i="9"/>
  <c r="P23" i="9" s="1"/>
  <c r="N19" i="9"/>
  <c r="N23" i="9" s="1"/>
  <c r="M19" i="9"/>
  <c r="M23" i="9" s="1"/>
  <c r="L19" i="9"/>
  <c r="L23" i="9" s="1"/>
  <c r="J19" i="9"/>
  <c r="J23" i="9" s="1"/>
  <c r="I19" i="9"/>
  <c r="I23" i="9" s="1"/>
  <c r="H19" i="9"/>
  <c r="H23" i="9" s="1"/>
  <c r="C19" i="9"/>
  <c r="C23" i="9" s="1"/>
  <c r="Q18" i="9"/>
  <c r="P18" i="9"/>
  <c r="N18" i="9"/>
  <c r="M18" i="9"/>
  <c r="L18" i="9"/>
  <c r="J18" i="9"/>
  <c r="I18" i="9"/>
  <c r="H18" i="9"/>
  <c r="C18" i="9"/>
  <c r="Q17" i="9"/>
  <c r="P17" i="9"/>
  <c r="N17" i="9"/>
  <c r="M17" i="9"/>
  <c r="L17" i="9"/>
  <c r="J17" i="9"/>
  <c r="I17" i="9"/>
  <c r="H17" i="9"/>
  <c r="C17" i="9"/>
  <c r="Q16" i="9"/>
  <c r="P16" i="9"/>
  <c r="N16" i="9"/>
  <c r="M16" i="9"/>
  <c r="L16" i="9"/>
  <c r="J16" i="9"/>
  <c r="I16" i="9"/>
  <c r="H16" i="9"/>
  <c r="C16" i="9"/>
  <c r="Q12" i="9"/>
  <c r="P12" i="9"/>
  <c r="N12" i="9"/>
  <c r="M12" i="9"/>
  <c r="L12" i="9"/>
  <c r="J12" i="9"/>
  <c r="I12" i="9"/>
  <c r="H12" i="9"/>
  <c r="C12" i="9"/>
  <c r="Q7" i="9"/>
  <c r="P7" i="9"/>
  <c r="Q6" i="9"/>
  <c r="P6" i="9"/>
  <c r="H4" i="9"/>
  <c r="H3" i="9"/>
  <c r="U4" i="9"/>
  <c r="T4" i="9"/>
  <c r="S4" i="9"/>
  <c r="R4" i="9"/>
  <c r="Q4" i="9"/>
  <c r="P4" i="9"/>
  <c r="O4" i="9"/>
  <c r="N4" i="9"/>
  <c r="M4" i="9"/>
  <c r="L4" i="9"/>
  <c r="K4" i="9"/>
  <c r="J4" i="9"/>
  <c r="I4" i="9"/>
  <c r="U3" i="9"/>
  <c r="T3" i="9"/>
  <c r="S3" i="9"/>
  <c r="R3" i="9"/>
  <c r="Q3" i="9"/>
  <c r="P3" i="9"/>
  <c r="O3" i="9"/>
  <c r="N3" i="9"/>
  <c r="M3" i="9"/>
  <c r="L3" i="9"/>
  <c r="K3" i="9"/>
  <c r="J3" i="9"/>
  <c r="I3" i="9"/>
  <c r="V4" i="9"/>
  <c r="V3" i="9"/>
  <c r="V113" i="8"/>
  <c r="G4" i="10"/>
  <c r="H4" i="10"/>
  <c r="I4" i="10"/>
  <c r="J4" i="10"/>
  <c r="K4" i="10"/>
  <c r="V4" i="10" s="1"/>
  <c r="L4" i="10"/>
  <c r="W4" i="10" s="1"/>
  <c r="M4" i="10"/>
  <c r="X4" i="10" s="1"/>
  <c r="N4" i="10"/>
  <c r="Y4" i="10" s="1"/>
  <c r="AE14" i="10"/>
  <c r="AB13" i="10"/>
  <c r="AD8" i="10"/>
  <c r="AE7" i="10"/>
  <c r="X7" i="10"/>
  <c r="O39" i="9"/>
  <c r="K39" i="9"/>
  <c r="J42" i="9"/>
  <c r="C42" i="9"/>
  <c r="T79" i="8"/>
  <c r="S79" i="8"/>
  <c r="Q79" i="8"/>
  <c r="P79" i="8"/>
  <c r="Q66" i="9" s="1"/>
  <c r="O79" i="8"/>
  <c r="P66" i="9" s="1"/>
  <c r="M79" i="8"/>
  <c r="N66" i="9" s="1"/>
  <c r="L79" i="8"/>
  <c r="M66" i="9" s="1"/>
  <c r="K79" i="8"/>
  <c r="L66" i="9" s="1"/>
  <c r="I79" i="8"/>
  <c r="J66" i="9" s="1"/>
  <c r="H79" i="8"/>
  <c r="I66" i="9" s="1"/>
  <c r="G79" i="8"/>
  <c r="H66" i="9" s="1"/>
  <c r="E79" i="8"/>
  <c r="D79" i="8"/>
  <c r="C79" i="8"/>
  <c r="C66" i="9"/>
  <c r="Z7" i="10"/>
  <c r="W7" i="10"/>
  <c r="V7" i="10"/>
  <c r="AE4" i="10"/>
  <c r="AE3" i="10"/>
  <c r="T4" i="10"/>
  <c r="AD4" i="10" s="1"/>
  <c r="S4" i="10"/>
  <c r="AC4" i="10" s="1"/>
  <c r="R4" i="10"/>
  <c r="AB4" i="10" s="1"/>
  <c r="Q4" i="10"/>
  <c r="P4" i="10"/>
  <c r="AA4" i="10" s="1"/>
  <c r="O4" i="10"/>
  <c r="Z4" i="10" s="1"/>
  <c r="T3" i="10"/>
  <c r="AD3" i="10" s="1"/>
  <c r="S3" i="10"/>
  <c r="AC3" i="10" s="1"/>
  <c r="R3" i="10"/>
  <c r="AB3" i="10" s="1"/>
  <c r="Q3" i="10"/>
  <c r="P3" i="10"/>
  <c r="AA3" i="10" s="1"/>
  <c r="O3" i="10"/>
  <c r="Z3" i="10" s="1"/>
  <c r="N3" i="10"/>
  <c r="Y3" i="10" s="1"/>
  <c r="M3" i="10"/>
  <c r="X3" i="10" s="1"/>
  <c r="L3" i="10"/>
  <c r="W3" i="10" s="1"/>
  <c r="K3" i="10"/>
  <c r="V3" i="10" s="1"/>
  <c r="J3" i="10"/>
  <c r="I3" i="10"/>
  <c r="H3" i="10"/>
  <c r="G3" i="10"/>
  <c r="M41" i="9"/>
  <c r="V107" i="8"/>
  <c r="X103" i="8"/>
  <c r="V96" i="8"/>
  <c r="K27" i="9"/>
  <c r="K58" i="9"/>
  <c r="X58" i="9" s="1"/>
  <c r="R20" i="8"/>
  <c r="R19" i="8"/>
  <c r="O18" i="9"/>
  <c r="K19" i="9"/>
  <c r="K23" i="9" s="1"/>
  <c r="X19" i="8"/>
  <c r="AA78" i="8"/>
  <c r="Z78" i="8"/>
  <c r="X78" i="8"/>
  <c r="W78" i="8"/>
  <c r="V78" i="8"/>
  <c r="AA75" i="8"/>
  <c r="Z75" i="8"/>
  <c r="X75" i="8"/>
  <c r="W75" i="8"/>
  <c r="V75" i="8"/>
  <c r="AA68" i="8"/>
  <c r="Z68" i="8"/>
  <c r="X68" i="8"/>
  <c r="W68" i="8"/>
  <c r="V68" i="8"/>
  <c r="AA62" i="8"/>
  <c r="Z62" i="8"/>
  <c r="X62" i="8"/>
  <c r="W62" i="8"/>
  <c r="V62" i="8"/>
  <c r="AA61" i="8"/>
  <c r="Z61" i="8"/>
  <c r="X61" i="8"/>
  <c r="W61" i="8"/>
  <c r="V61" i="8"/>
  <c r="AA57" i="8"/>
  <c r="Z57" i="8"/>
  <c r="X57" i="8"/>
  <c r="W57" i="8"/>
  <c r="V57" i="8"/>
  <c r="AA56" i="8"/>
  <c r="Z56" i="8"/>
  <c r="X56" i="8"/>
  <c r="W56" i="8"/>
  <c r="V56" i="8"/>
  <c r="AA55" i="8"/>
  <c r="Z55" i="8"/>
  <c r="X55" i="8"/>
  <c r="W55" i="8"/>
  <c r="V55" i="8"/>
  <c r="AA38" i="8"/>
  <c r="Z38" i="8"/>
  <c r="X38" i="8"/>
  <c r="W38" i="8"/>
  <c r="V38" i="8"/>
  <c r="R31" i="8"/>
  <c r="W31" i="8"/>
  <c r="V97" i="8"/>
  <c r="Y78" i="8"/>
  <c r="Y75" i="8"/>
  <c r="Y68" i="8"/>
  <c r="K57" i="9"/>
  <c r="Y62" i="8"/>
  <c r="K56" i="9"/>
  <c r="AD57" i="8"/>
  <c r="Y57" i="8"/>
  <c r="AD56" i="8"/>
  <c r="Y56" i="8"/>
  <c r="AD55" i="8"/>
  <c r="Y55" i="8"/>
  <c r="K59" i="9"/>
  <c r="AD53" i="8"/>
  <c r="K51" i="9"/>
  <c r="X51" i="9" s="1"/>
  <c r="K55" i="9"/>
  <c r="K50" i="9"/>
  <c r="X50" i="9" s="1"/>
  <c r="K48" i="9"/>
  <c r="R38" i="8"/>
  <c r="AD38" i="8" s="1"/>
  <c r="R35" i="8"/>
  <c r="AD35" i="8" s="1"/>
  <c r="R17" i="8"/>
  <c r="R13" i="8"/>
  <c r="R10" i="8"/>
  <c r="V13" i="8"/>
  <c r="V35" i="8"/>
  <c r="W24" i="8"/>
  <c r="X17" i="8"/>
  <c r="AB33" i="9" l="1"/>
  <c r="AC33" i="9"/>
  <c r="AD33" i="9"/>
  <c r="X33" i="9"/>
  <c r="AF33" i="9"/>
  <c r="Y33" i="9"/>
  <c r="Z33" i="9"/>
  <c r="AD10" i="8"/>
  <c r="AF10" i="8"/>
  <c r="AE10" i="8"/>
  <c r="Y13" i="8"/>
  <c r="AC13" i="8"/>
  <c r="AB13" i="8"/>
  <c r="AF31" i="8"/>
  <c r="AE31" i="8"/>
  <c r="AD31" i="8"/>
  <c r="AF13" i="8"/>
  <c r="AE13" i="8"/>
  <c r="AD13" i="8"/>
  <c r="AC17" i="8"/>
  <c r="AB17" i="8"/>
  <c r="Z20" i="8"/>
  <c r="AC20" i="8"/>
  <c r="AB20" i="8"/>
  <c r="V10" i="8"/>
  <c r="Y10" i="8"/>
  <c r="X10" i="8"/>
  <c r="W10" i="8"/>
  <c r="AC10" i="8"/>
  <c r="Z10" i="8"/>
  <c r="AB10" i="8"/>
  <c r="AA10" i="8"/>
  <c r="AF19" i="8"/>
  <c r="AE19" i="8"/>
  <c r="AD19" i="8"/>
  <c r="AF17" i="8"/>
  <c r="AE17" i="8"/>
  <c r="AD17" i="8"/>
  <c r="AB19" i="8"/>
  <c r="AC19" i="8"/>
  <c r="Y31" i="8"/>
  <c r="AB31" i="8"/>
  <c r="AC31" i="8"/>
  <c r="AE20" i="8"/>
  <c r="AF20" i="8"/>
  <c r="AD20" i="8"/>
  <c r="V52" i="9"/>
  <c r="AH61" i="8"/>
  <c r="AA39" i="9"/>
  <c r="J134" i="8"/>
  <c r="W134" i="8" s="1"/>
  <c r="Q52" i="9"/>
  <c r="U52" i="9"/>
  <c r="W107" i="8"/>
  <c r="K52" i="9"/>
  <c r="AE39" i="9"/>
  <c r="X39" i="9"/>
  <c r="Y39" i="9"/>
  <c r="Z39" i="9"/>
  <c r="AH35" i="8"/>
  <c r="AB39" i="9"/>
  <c r="AC39" i="9"/>
  <c r="H67" i="9"/>
  <c r="AD39" i="9"/>
  <c r="W103" i="8"/>
  <c r="N52" i="9"/>
  <c r="R52" i="9"/>
  <c r="O59" i="9"/>
  <c r="M52" i="9"/>
  <c r="H52" i="9"/>
  <c r="J52" i="9"/>
  <c r="I52" i="9"/>
  <c r="AE51" i="9"/>
  <c r="P52" i="9"/>
  <c r="T52" i="9"/>
  <c r="AF50" i="9"/>
  <c r="AF49" i="9"/>
  <c r="AE18" i="9"/>
  <c r="AH38" i="8"/>
  <c r="Y20" i="8"/>
  <c r="W13" i="8"/>
  <c r="K18" i="9"/>
  <c r="V17" i="8"/>
  <c r="AA20" i="8"/>
  <c r="O17" i="9"/>
  <c r="W19" i="8"/>
  <c r="AB18" i="9"/>
  <c r="X19" i="9"/>
  <c r="AC18" i="9"/>
  <c r="Y19" i="9"/>
  <c r="K16" i="9"/>
  <c r="AD18" i="9"/>
  <c r="Z19" i="9"/>
  <c r="K17" i="9"/>
  <c r="O19" i="9"/>
  <c r="AA19" i="9"/>
  <c r="L48" i="9"/>
  <c r="L52" i="9" s="1"/>
  <c r="Z134" i="8"/>
  <c r="AC134" i="8"/>
  <c r="AF51" i="9"/>
  <c r="M27" i="9"/>
  <c r="P42" i="9"/>
  <c r="V24" i="8"/>
  <c r="K12" i="9"/>
  <c r="O16" i="9"/>
  <c r="I38" i="9"/>
  <c r="O50" i="9"/>
  <c r="AB50" i="9" s="1"/>
  <c r="O57" i="9"/>
  <c r="AF58" i="9"/>
  <c r="M37" i="9"/>
  <c r="M40" i="9"/>
  <c r="Y19" i="8"/>
  <c r="X24" i="8"/>
  <c r="AA13" i="8"/>
  <c r="Z13" i="8"/>
  <c r="Y61" i="8"/>
  <c r="O56" i="9"/>
  <c r="X20" i="8"/>
  <c r="W20" i="8"/>
  <c r="V20" i="8"/>
  <c r="O58" i="9"/>
  <c r="AB58" i="9" s="1"/>
  <c r="Z113" i="8"/>
  <c r="AA24" i="8"/>
  <c r="O48" i="9"/>
  <c r="V31" i="8"/>
  <c r="K32" i="9"/>
  <c r="Q34" i="9"/>
  <c r="AD134" i="8"/>
  <c r="Q40" i="9"/>
  <c r="W97" i="8"/>
  <c r="Z19" i="8"/>
  <c r="Y24" i="8"/>
  <c r="X31" i="8"/>
  <c r="M38" i="9"/>
  <c r="Q27" i="9"/>
  <c r="X109" i="8"/>
  <c r="Q41" i="9"/>
  <c r="AE134" i="8"/>
  <c r="AF134" i="8"/>
  <c r="AA19" i="8"/>
  <c r="Z24" i="8"/>
  <c r="M31" i="9"/>
  <c r="N34" i="9"/>
  <c r="Z17" i="8"/>
  <c r="Y134" i="8"/>
  <c r="O12" i="9"/>
  <c r="AA134" i="8"/>
  <c r="O32" i="9"/>
  <c r="AA31" i="8"/>
  <c r="Z31" i="8"/>
  <c r="AA17" i="8"/>
  <c r="Y17" i="8"/>
  <c r="K38" i="9"/>
  <c r="W113" i="8"/>
  <c r="X13" i="8"/>
  <c r="AB134" i="8"/>
  <c r="O55" i="9"/>
  <c r="V95" i="8"/>
  <c r="W17" i="8"/>
  <c r="I27" i="9"/>
  <c r="J38" i="9"/>
  <c r="W95" i="8"/>
  <c r="J27" i="9"/>
  <c r="I34" i="9"/>
  <c r="V19" i="8"/>
  <c r="K41" i="9"/>
  <c r="X41" i="9" s="1"/>
  <c r="H42" i="9"/>
  <c r="W96" i="8"/>
  <c r="V103" i="8"/>
  <c r="I37" i="9"/>
  <c r="Q37" i="9"/>
  <c r="M34" i="9"/>
  <c r="O51" i="9"/>
  <c r="AB51" i="9" s="1"/>
  <c r="P8" i="9"/>
  <c r="AC13" i="10"/>
  <c r="AB14" i="10"/>
  <c r="AC14" i="10"/>
  <c r="AD13" i="10"/>
  <c r="AB8" i="10"/>
  <c r="AE8" i="10"/>
  <c r="AE13" i="10"/>
  <c r="AC8" i="10"/>
  <c r="AC7" i="10"/>
  <c r="AD7" i="10"/>
  <c r="AB7" i="10"/>
  <c r="AD14" i="10"/>
  <c r="Y7" i="10"/>
  <c r="AA7" i="10"/>
  <c r="W79" i="8"/>
  <c r="J79" i="8"/>
  <c r="K66" i="9" s="1"/>
  <c r="Y79" i="8"/>
  <c r="AA79" i="8"/>
  <c r="AB79" i="8"/>
  <c r="AC79" i="8"/>
  <c r="AE79" i="8"/>
  <c r="X79" i="8"/>
  <c r="N79" i="8"/>
  <c r="O66" i="9" s="1"/>
  <c r="Z79" i="8"/>
  <c r="AD79" i="8"/>
  <c r="V79" i="8"/>
  <c r="R79" i="8"/>
  <c r="AF79" i="8"/>
  <c r="J31" i="9"/>
  <c r="J34" i="9"/>
  <c r="R105" i="8"/>
  <c r="R107" i="8"/>
  <c r="R108" i="8"/>
  <c r="Z103" i="8"/>
  <c r="X96" i="8"/>
  <c r="AF105" i="8" l="1"/>
  <c r="AE105" i="8"/>
  <c r="AD105" i="8"/>
  <c r="AF108" i="8"/>
  <c r="AH108" i="8" s="1"/>
  <c r="AE108" i="8"/>
  <c r="AD108" i="8"/>
  <c r="AE107" i="8"/>
  <c r="AD107" i="8"/>
  <c r="AF107" i="8"/>
  <c r="AH107" i="8" s="1"/>
  <c r="AH20" i="8"/>
  <c r="AH19" i="8"/>
  <c r="X134" i="8"/>
  <c r="V134" i="8"/>
  <c r="Z41" i="9"/>
  <c r="Y97" i="8"/>
  <c r="Z27" i="9"/>
  <c r="W109" i="8"/>
  <c r="AI39" i="9"/>
  <c r="Z38" i="9"/>
  <c r="AH31" i="8"/>
  <c r="Y41" i="9"/>
  <c r="AH39" i="9"/>
  <c r="AF39" i="9"/>
  <c r="Y38" i="9"/>
  <c r="AG39" i="9"/>
  <c r="X38" i="9"/>
  <c r="Z107" i="8"/>
  <c r="Y27" i="9"/>
  <c r="X27" i="9"/>
  <c r="S52" i="9"/>
  <c r="O52" i="9"/>
  <c r="X32" i="9"/>
  <c r="AA32" i="9"/>
  <c r="Z32" i="9"/>
  <c r="Y32" i="9"/>
  <c r="AE32" i="9"/>
  <c r="AB32" i="9"/>
  <c r="AD32" i="9"/>
  <c r="AC32" i="9"/>
  <c r="AI32" i="9"/>
  <c r="AF32" i="9"/>
  <c r="AH32" i="9"/>
  <c r="AG32" i="9"/>
  <c r="AI19" i="9"/>
  <c r="AH19" i="9"/>
  <c r="AG19" i="9"/>
  <c r="AF19" i="9"/>
  <c r="O23" i="9"/>
  <c r="AE19" i="9"/>
  <c r="AD19" i="9"/>
  <c r="AC19" i="9"/>
  <c r="AB19" i="9"/>
  <c r="AE17" i="9"/>
  <c r="AD17" i="9"/>
  <c r="AC17" i="9"/>
  <c r="AB17" i="9"/>
  <c r="AI17" i="9"/>
  <c r="AH17" i="9"/>
  <c r="AG17" i="9"/>
  <c r="AF17" i="9"/>
  <c r="AA17" i="9"/>
  <c r="Z17" i="9"/>
  <c r="Y17" i="9"/>
  <c r="X17" i="9"/>
  <c r="AI16" i="9"/>
  <c r="AH16" i="9"/>
  <c r="AG16" i="9"/>
  <c r="AF16" i="9"/>
  <c r="AA18" i="9"/>
  <c r="Z18" i="9"/>
  <c r="Y18" i="9"/>
  <c r="X18" i="9"/>
  <c r="AI18" i="9"/>
  <c r="AK18" i="9" s="1"/>
  <c r="AH18" i="9"/>
  <c r="AG18" i="9"/>
  <c r="AF18" i="9"/>
  <c r="AE16" i="9"/>
  <c r="AD16" i="9"/>
  <c r="AC16" i="9"/>
  <c r="AB16" i="9"/>
  <c r="AA16" i="9"/>
  <c r="Z16" i="9"/>
  <c r="Y16" i="9"/>
  <c r="X16" i="9"/>
  <c r="Y114" i="8"/>
  <c r="N27" i="9"/>
  <c r="AA27" i="9" s="1"/>
  <c r="X113" i="8"/>
  <c r="Y113" i="8"/>
  <c r="AA97" i="8"/>
  <c r="X106" i="8"/>
  <c r="Z94" i="8"/>
  <c r="N41" i="9"/>
  <c r="Y108" i="8"/>
  <c r="AF131" i="8"/>
  <c r="AE131" i="8"/>
  <c r="Y109" i="8"/>
  <c r="V109" i="8"/>
  <c r="Q42" i="9"/>
  <c r="AA107" i="8"/>
  <c r="K42" i="9"/>
  <c r="N31" i="9"/>
  <c r="AA113" i="8"/>
  <c r="K37" i="9"/>
  <c r="Z105" i="8"/>
  <c r="M42" i="9"/>
  <c r="Y105" i="8"/>
  <c r="AI40" i="9"/>
  <c r="N38" i="9"/>
  <c r="AA38" i="9" s="1"/>
  <c r="Z108" i="8"/>
  <c r="X97" i="8"/>
  <c r="Y103" i="8"/>
  <c r="J40" i="9"/>
  <c r="X94" i="8"/>
  <c r="R109" i="8"/>
  <c r="O37" i="9"/>
  <c r="Y94" i="8"/>
  <c r="AA94" i="8"/>
  <c r="Z109" i="8"/>
  <c r="AA108" i="8"/>
  <c r="N37" i="9"/>
  <c r="X107" i="8"/>
  <c r="V105" i="8"/>
  <c r="O38" i="9"/>
  <c r="AE38" i="9" s="1"/>
  <c r="AA103" i="8"/>
  <c r="AA109" i="8"/>
  <c r="X95" i="8"/>
  <c r="N40" i="9"/>
  <c r="W114" i="8"/>
  <c r="AA105" i="8"/>
  <c r="W108" i="8"/>
  <c r="Z97" i="8"/>
  <c r="Y107" i="8"/>
  <c r="AH96" i="8"/>
  <c r="R103" i="8"/>
  <c r="R106" i="8"/>
  <c r="R94" i="8"/>
  <c r="Y95" i="8"/>
  <c r="AE103" i="8" l="1"/>
  <c r="AD103" i="8"/>
  <c r="AF103" i="8"/>
  <c r="AH103" i="8" s="1"/>
  <c r="AE94" i="8"/>
  <c r="AD94" i="8"/>
  <c r="AF94" i="8"/>
  <c r="AH94" i="8" s="1"/>
  <c r="AD106" i="8"/>
  <c r="AE106" i="8"/>
  <c r="AF106" i="8"/>
  <c r="AF109" i="8"/>
  <c r="AH109" i="8" s="1"/>
  <c r="AE109" i="8"/>
  <c r="AD109" i="8"/>
  <c r="W105" i="8"/>
  <c r="Y106" i="8"/>
  <c r="W94" i="8"/>
  <c r="AA41" i="9"/>
  <c r="AI38" i="9"/>
  <c r="AG38" i="9"/>
  <c r="AH40" i="9"/>
  <c r="AH38" i="9"/>
  <c r="AG40" i="9"/>
  <c r="AH114" i="8"/>
  <c r="AF40" i="9"/>
  <c r="AD38" i="9"/>
  <c r="AB38" i="9"/>
  <c r="AF38" i="9"/>
  <c r="AC38" i="9"/>
  <c r="AH105" i="8"/>
  <c r="Z96" i="8"/>
  <c r="V94" i="8"/>
  <c r="AA96" i="8"/>
  <c r="Z42" i="9"/>
  <c r="Y42" i="9"/>
  <c r="X42" i="9"/>
  <c r="Z95" i="8"/>
  <c r="Y96" i="8"/>
  <c r="AK17" i="9"/>
  <c r="AA95" i="8"/>
  <c r="Z106" i="8"/>
  <c r="AH113" i="8"/>
  <c r="AH106" i="8"/>
  <c r="AA106" i="8"/>
  <c r="O40" i="9"/>
  <c r="AC40" i="9" s="1"/>
  <c r="AI31" i="9"/>
  <c r="K40" i="9"/>
  <c r="AA40" i="9" s="1"/>
  <c r="N42" i="9"/>
  <c r="AA42" i="9" s="1"/>
  <c r="O41" i="9"/>
  <c r="AE41" i="9" s="1"/>
  <c r="Z114" i="8"/>
  <c r="O27" i="9"/>
  <c r="AA114" i="8"/>
  <c r="X105" i="8"/>
  <c r="K34" i="9"/>
  <c r="V106" i="8"/>
  <c r="X108" i="8"/>
  <c r="V108" i="8"/>
  <c r="O34" i="9"/>
  <c r="O31" i="9"/>
  <c r="AD31" i="9" s="1"/>
  <c r="X114" i="8"/>
  <c r="K31" i="9"/>
  <c r="V114" i="8"/>
  <c r="W106" i="8"/>
  <c r="AC41" i="9" l="1"/>
  <c r="AF31" i="9"/>
  <c r="AD41" i="9"/>
  <c r="AH31" i="9"/>
  <c r="AI41" i="9"/>
  <c r="AG41" i="9"/>
  <c r="AF41" i="9"/>
  <c r="AH41" i="9"/>
  <c r="AB41" i="9"/>
  <c r="AA31" i="9"/>
  <c r="X31" i="9"/>
  <c r="Y31" i="9"/>
  <c r="Z31" i="9"/>
  <c r="AD40" i="9"/>
  <c r="Y40" i="9"/>
  <c r="X40" i="9"/>
  <c r="AE31" i="9"/>
  <c r="AB31" i="9"/>
  <c r="Z40" i="9"/>
  <c r="AE40" i="9"/>
  <c r="AB40" i="9"/>
  <c r="AG31" i="9"/>
  <c r="AC31" i="9"/>
  <c r="AH95" i="8"/>
  <c r="AI34" i="9"/>
  <c r="AH34" i="9"/>
  <c r="AG34" i="9"/>
  <c r="AF34" i="9"/>
  <c r="AH27" i="9"/>
  <c r="AG27" i="9"/>
  <c r="AF27" i="9"/>
  <c r="AI27" i="9"/>
  <c r="AD34" i="9"/>
  <c r="AC34" i="9"/>
  <c r="AB34" i="9"/>
  <c r="AE34" i="9"/>
  <c r="AA34" i="9"/>
  <c r="Z34" i="9"/>
  <c r="Y34" i="9"/>
  <c r="X34" i="9"/>
  <c r="AE27" i="9"/>
  <c r="AD27" i="9"/>
  <c r="AC27" i="9"/>
  <c r="AB27" i="9"/>
  <c r="O42" i="9"/>
  <c r="AH42" i="9" l="1"/>
  <c r="AG42" i="9"/>
  <c r="AF42" i="9"/>
  <c r="AI42" i="9"/>
  <c r="AE42" i="9"/>
  <c r="AD42" i="9"/>
  <c r="AC42" i="9"/>
  <c r="AB42" i="9"/>
  <c r="S64" i="9"/>
  <c r="K64" i="9"/>
  <c r="J64" i="9"/>
  <c r="I64" i="9"/>
  <c r="F64" i="9"/>
  <c r="E64" i="9"/>
  <c r="D64" i="9"/>
  <c r="C64" i="9"/>
  <c r="S65" i="8"/>
  <c r="Q65" i="8"/>
  <c r="AI59" i="9"/>
  <c r="AH59" i="9"/>
  <c r="AF59" i="9"/>
  <c r="AE59" i="9"/>
  <c r="AD59" i="9"/>
  <c r="AB59" i="9"/>
  <c r="AA59" i="9"/>
  <c r="Z59" i="9"/>
  <c r="X59" i="9"/>
  <c r="AI57" i="9"/>
  <c r="AH57" i="9"/>
  <c r="AF57" i="9"/>
  <c r="AE57" i="9"/>
  <c r="AD57" i="9"/>
  <c r="AB57" i="9"/>
  <c r="AA57" i="9"/>
  <c r="Z57" i="9"/>
  <c r="X57" i="9"/>
  <c r="AI56" i="9"/>
  <c r="AH56" i="9"/>
  <c r="AF56" i="9"/>
  <c r="AE56" i="9"/>
  <c r="AD56" i="9"/>
  <c r="AB56" i="9"/>
  <c r="AA56" i="9"/>
  <c r="Z56" i="9"/>
  <c r="X56" i="9"/>
  <c r="AI55" i="9"/>
  <c r="AH55" i="9"/>
  <c r="AF55" i="9"/>
  <c r="AE55" i="9"/>
  <c r="AD55" i="9"/>
  <c r="AB55" i="9"/>
  <c r="AA55" i="9"/>
  <c r="Z55" i="9"/>
  <c r="X55" i="9"/>
  <c r="AI48" i="9"/>
  <c r="AI52" i="9" s="1"/>
  <c r="AH48" i="9"/>
  <c r="AH52" i="9" s="1"/>
  <c r="AF48" i="9"/>
  <c r="AF52" i="9" s="1"/>
  <c r="AE48" i="9"/>
  <c r="AE52" i="9" s="1"/>
  <c r="AD48" i="9"/>
  <c r="AD52" i="9" s="1"/>
  <c r="AB48" i="9"/>
  <c r="AB52" i="9" s="1"/>
  <c r="AA48" i="9"/>
  <c r="AA52" i="9" s="1"/>
  <c r="Z48" i="9"/>
  <c r="Z52" i="9" s="1"/>
  <c r="X48" i="9"/>
  <c r="X52" i="9" s="1"/>
  <c r="AI4" i="9"/>
  <c r="AH4" i="9"/>
  <c r="AG4" i="9"/>
  <c r="AF4" i="9"/>
  <c r="AE4" i="9"/>
  <c r="AD4" i="9"/>
  <c r="AC4" i="9"/>
  <c r="AB4" i="9"/>
  <c r="AA4" i="9"/>
  <c r="Z4" i="9"/>
  <c r="Y4" i="9"/>
  <c r="X4" i="9"/>
  <c r="AI3" i="9"/>
  <c r="AH3" i="9"/>
  <c r="AG3" i="9"/>
  <c r="AF3" i="9"/>
  <c r="AE3" i="9"/>
  <c r="AD3" i="9"/>
  <c r="AC3" i="9"/>
  <c r="AB3" i="9"/>
  <c r="AA3" i="9"/>
  <c r="Z3" i="9"/>
  <c r="Y3" i="9"/>
  <c r="X3" i="9"/>
  <c r="F4" i="9"/>
  <c r="E4" i="9"/>
  <c r="D4" i="9"/>
  <c r="C4" i="9"/>
  <c r="F3" i="9"/>
  <c r="E3" i="9"/>
  <c r="D3" i="9"/>
  <c r="C3" i="9"/>
  <c r="W14" i="10"/>
  <c r="X13" i="10"/>
  <c r="AA14" i="10"/>
  <c r="Z13" i="10"/>
  <c r="R15" i="10"/>
  <c r="T15" i="10"/>
  <c r="S15" i="10"/>
  <c r="Q15" i="10"/>
  <c r="P15" i="10"/>
  <c r="O15" i="10"/>
  <c r="E15" i="10"/>
  <c r="D15" i="10"/>
  <c r="C15" i="10"/>
  <c r="X14" i="10"/>
  <c r="AA13" i="10"/>
  <c r="Y13" i="10"/>
  <c r="S115" i="8"/>
  <c r="O115" i="8"/>
  <c r="K115" i="8"/>
  <c r="R11" i="8"/>
  <c r="N11" i="8"/>
  <c r="O8" i="9" s="1"/>
  <c r="Y38" i="8"/>
  <c r="Z35" i="8"/>
  <c r="J11" i="8"/>
  <c r="K8" i="9" s="1"/>
  <c r="AG48" i="9"/>
  <c r="AG52" i="9" s="1"/>
  <c r="Y57" i="9"/>
  <c r="AB66" i="9"/>
  <c r="P50" i="8"/>
  <c r="P58" i="8" s="1"/>
  <c r="O50" i="8"/>
  <c r="O58" i="8" s="1"/>
  <c r="K50" i="8"/>
  <c r="K58" i="8" s="1"/>
  <c r="T88" i="8"/>
  <c r="S88" i="8"/>
  <c r="R88" i="8"/>
  <c r="Q88" i="8"/>
  <c r="P88" i="8"/>
  <c r="O88" i="8"/>
  <c r="N88" i="8"/>
  <c r="M88" i="8"/>
  <c r="L88" i="8"/>
  <c r="K88" i="8"/>
  <c r="J88" i="8"/>
  <c r="I88" i="8"/>
  <c r="H88" i="8"/>
  <c r="T87" i="8"/>
  <c r="S87" i="8"/>
  <c r="R87" i="8"/>
  <c r="Q87" i="8"/>
  <c r="P87" i="8"/>
  <c r="O87" i="8"/>
  <c r="N87" i="8"/>
  <c r="M87" i="8"/>
  <c r="L87" i="8"/>
  <c r="K87" i="8"/>
  <c r="J87" i="8"/>
  <c r="I87" i="8"/>
  <c r="H87" i="8"/>
  <c r="AF66" i="9"/>
  <c r="AE66" i="9"/>
  <c r="AD66" i="9"/>
  <c r="AA66" i="9"/>
  <c r="Z66" i="9"/>
  <c r="Y66" i="9"/>
  <c r="X66" i="9"/>
  <c r="I65" i="8"/>
  <c r="H65" i="8"/>
  <c r="G50" i="8"/>
  <c r="G58" i="8" s="1"/>
  <c r="H50" i="8"/>
  <c r="H58" i="8" s="1"/>
  <c r="I50" i="8"/>
  <c r="I58" i="8" s="1"/>
  <c r="L50" i="8"/>
  <c r="L58" i="8" s="1"/>
  <c r="M50" i="8"/>
  <c r="M58" i="8" s="1"/>
  <c r="Q50" i="8"/>
  <c r="Q58" i="8" s="1"/>
  <c r="S50" i="8"/>
  <c r="S58" i="8" s="1"/>
  <c r="T50" i="8"/>
  <c r="T58" i="8" s="1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3" i="8"/>
  <c r="G42" i="8"/>
  <c r="E43" i="8"/>
  <c r="D43" i="8"/>
  <c r="C43" i="8"/>
  <c r="E42" i="8"/>
  <c r="D42" i="8"/>
  <c r="C42" i="8"/>
  <c r="T11" i="8"/>
  <c r="T14" i="8" s="1"/>
  <c r="S11" i="8"/>
  <c r="S14" i="8" s="1"/>
  <c r="S21" i="8" s="1"/>
  <c r="S28" i="8" s="1"/>
  <c r="Q11" i="8"/>
  <c r="Q14" i="8" s="1"/>
  <c r="P11" i="8"/>
  <c r="P14" i="8" s="1"/>
  <c r="P21" i="8" s="1"/>
  <c r="O11" i="8"/>
  <c r="O14" i="8" s="1"/>
  <c r="O21" i="8" s="1"/>
  <c r="M11" i="8"/>
  <c r="L11" i="8"/>
  <c r="K11" i="8"/>
  <c r="I11" i="8"/>
  <c r="H11" i="8"/>
  <c r="G11" i="8"/>
  <c r="D4" i="10"/>
  <c r="C4" i="10"/>
  <c r="D3" i="10"/>
  <c r="C3" i="10"/>
  <c r="E4" i="10"/>
  <c r="E3" i="10"/>
  <c r="AA131" i="8" l="1"/>
  <c r="AB131" i="8"/>
  <c r="X131" i="8"/>
  <c r="G14" i="8"/>
  <c r="G15" i="8" s="1"/>
  <c r="H8" i="9"/>
  <c r="H13" i="9" s="1"/>
  <c r="Q73" i="8"/>
  <c r="H14" i="8"/>
  <c r="H15" i="8" s="1"/>
  <c r="I8" i="9"/>
  <c r="V131" i="8"/>
  <c r="W131" i="8"/>
  <c r="K14" i="8"/>
  <c r="K21" i="8" s="1"/>
  <c r="K28" i="8" s="1"/>
  <c r="K29" i="8" s="1"/>
  <c r="L8" i="9"/>
  <c r="H73" i="8"/>
  <c r="I61" i="9" s="1"/>
  <c r="I60" i="9"/>
  <c r="L14" i="8"/>
  <c r="L15" i="8" s="1"/>
  <c r="M8" i="9"/>
  <c r="I73" i="8"/>
  <c r="J61" i="9" s="1"/>
  <c r="J60" i="9"/>
  <c r="M14" i="8"/>
  <c r="M15" i="8" s="1"/>
  <c r="N8" i="9"/>
  <c r="AD131" i="8"/>
  <c r="AC131" i="8"/>
  <c r="I14" i="8"/>
  <c r="I21" i="8" s="1"/>
  <c r="I28" i="8" s="1"/>
  <c r="J8" i="9"/>
  <c r="Z131" i="8"/>
  <c r="Y131" i="8"/>
  <c r="N64" i="9"/>
  <c r="D52" i="9"/>
  <c r="M64" i="9"/>
  <c r="E52" i="9"/>
  <c r="U64" i="9"/>
  <c r="C52" i="9"/>
  <c r="O64" i="9"/>
  <c r="Q64" i="9"/>
  <c r="R64" i="9"/>
  <c r="AE64" i="9"/>
  <c r="AE67" i="9" s="1"/>
  <c r="F52" i="9"/>
  <c r="X64" i="9"/>
  <c r="X67" i="9" s="1"/>
  <c r="AF64" i="9"/>
  <c r="AF67" i="9" s="1"/>
  <c r="AB64" i="9"/>
  <c r="AB67" i="9" s="1"/>
  <c r="AH64" i="9"/>
  <c r="AD64" i="9"/>
  <c r="AD67" i="9" s="1"/>
  <c r="AA64" i="9"/>
  <c r="AA67" i="9" s="1"/>
  <c r="Z64" i="9"/>
  <c r="Z67" i="9" s="1"/>
  <c r="L64" i="9"/>
  <c r="Y64" i="9"/>
  <c r="Y67" i="9" s="1"/>
  <c r="P64" i="9"/>
  <c r="AC64" i="9"/>
  <c r="O65" i="8"/>
  <c r="T65" i="8"/>
  <c r="L65" i="8"/>
  <c r="K65" i="8"/>
  <c r="L60" i="9" s="1"/>
  <c r="P65" i="8"/>
  <c r="Q60" i="9" s="1"/>
  <c r="E65" i="8"/>
  <c r="M65" i="8"/>
  <c r="X12" i="9"/>
  <c r="AC56" i="9"/>
  <c r="AA23" i="9"/>
  <c r="Y55" i="9"/>
  <c r="AG55" i="9"/>
  <c r="Y59" i="9"/>
  <c r="AG59" i="9"/>
  <c r="AF12" i="9"/>
  <c r="AC57" i="9"/>
  <c r="Y56" i="9"/>
  <c r="AG56" i="9"/>
  <c r="AC55" i="9"/>
  <c r="AC59" i="9"/>
  <c r="AB12" i="9"/>
  <c r="AI12" i="9"/>
  <c r="AG57" i="9"/>
  <c r="V14" i="10"/>
  <c r="V13" i="10"/>
  <c r="W13" i="10"/>
  <c r="W15" i="10" s="1"/>
  <c r="W16" i="10" s="1"/>
  <c r="AD15" i="10"/>
  <c r="AE15" i="10"/>
  <c r="Y14" i="10"/>
  <c r="Y15" i="10" s="1"/>
  <c r="Y16" i="10" s="1"/>
  <c r="AF7" i="9"/>
  <c r="Z14" i="10"/>
  <c r="Z15" i="10" s="1"/>
  <c r="Z16" i="10" s="1"/>
  <c r="AF6" i="9"/>
  <c r="AH7" i="9"/>
  <c r="AI6" i="9"/>
  <c r="X15" i="10"/>
  <c r="X16" i="10" s="1"/>
  <c r="AA15" i="10"/>
  <c r="AA16" i="10" s="1"/>
  <c r="T115" i="8"/>
  <c r="H115" i="8"/>
  <c r="R115" i="8"/>
  <c r="J115" i="8"/>
  <c r="L115" i="8"/>
  <c r="P115" i="8"/>
  <c r="Q115" i="8"/>
  <c r="S32" i="8"/>
  <c r="S91" i="8" s="1"/>
  <c r="J14" i="8"/>
  <c r="J15" i="8" s="1"/>
  <c r="R14" i="8"/>
  <c r="R15" i="8" s="1"/>
  <c r="N14" i="8"/>
  <c r="N15" i="8" s="1"/>
  <c r="AC66" i="9"/>
  <c r="R65" i="8"/>
  <c r="R50" i="8"/>
  <c r="R58" i="8" s="1"/>
  <c r="N50" i="8"/>
  <c r="N58" i="8" s="1"/>
  <c r="N65" i="8"/>
  <c r="J50" i="8"/>
  <c r="J58" i="8" s="1"/>
  <c r="J65" i="8"/>
  <c r="T15" i="8"/>
  <c r="T21" i="8"/>
  <c r="P15" i="8"/>
  <c r="S29" i="8"/>
  <c r="Q15" i="8"/>
  <c r="Q21" i="8"/>
  <c r="Q28" i="8" s="1"/>
  <c r="O15" i="8"/>
  <c r="O28" i="8"/>
  <c r="S15" i="8"/>
  <c r="S22" i="8"/>
  <c r="Y8" i="9" l="1"/>
  <c r="G21" i="8"/>
  <c r="G28" i="8" s="1"/>
  <c r="G29" i="8" s="1"/>
  <c r="X8" i="9"/>
  <c r="AA8" i="9"/>
  <c r="L21" i="8"/>
  <c r="L28" i="8" s="1"/>
  <c r="I80" i="8"/>
  <c r="I82" i="8" s="1"/>
  <c r="Q80" i="8"/>
  <c r="Q82" i="8" s="1"/>
  <c r="H80" i="8"/>
  <c r="H82" i="8" s="1"/>
  <c r="K22" i="8"/>
  <c r="K32" i="8"/>
  <c r="K91" i="8" s="1"/>
  <c r="K110" i="8" s="1"/>
  <c r="K135" i="8" s="1"/>
  <c r="AB8" i="9"/>
  <c r="K15" i="8"/>
  <c r="M21" i="8"/>
  <c r="M28" i="8" s="1"/>
  <c r="Z8" i="9"/>
  <c r="H21" i="8"/>
  <c r="H28" i="8" s="1"/>
  <c r="I15" i="8"/>
  <c r="R73" i="8"/>
  <c r="AF61" i="9" s="1"/>
  <c r="AF60" i="9"/>
  <c r="O73" i="8"/>
  <c r="P61" i="9" s="1"/>
  <c r="AC61" i="9" s="1"/>
  <c r="P60" i="9"/>
  <c r="AC60" i="9" s="1"/>
  <c r="M73" i="8"/>
  <c r="N61" i="9" s="1"/>
  <c r="AA61" i="9" s="1"/>
  <c r="N60" i="9"/>
  <c r="AA60" i="9" s="1"/>
  <c r="E73" i="8"/>
  <c r="L73" i="8"/>
  <c r="M61" i="9" s="1"/>
  <c r="Z61" i="9" s="1"/>
  <c r="M60" i="9"/>
  <c r="Z60" i="9" s="1"/>
  <c r="N73" i="8"/>
  <c r="O61" i="9" s="1"/>
  <c r="AB61" i="9" s="1"/>
  <c r="O60" i="9"/>
  <c r="AB60" i="9" s="1"/>
  <c r="T73" i="8"/>
  <c r="H20" i="9"/>
  <c r="H14" i="9"/>
  <c r="J73" i="8"/>
  <c r="K61" i="9" s="1"/>
  <c r="X61" i="9" s="1"/>
  <c r="K60" i="9"/>
  <c r="X60" i="9" s="1"/>
  <c r="AB15" i="10"/>
  <c r="AH6" i="9"/>
  <c r="AH8" i="9" s="1"/>
  <c r="AI7" i="9"/>
  <c r="V15" i="10"/>
  <c r="V16" i="10" s="1"/>
  <c r="AG7" i="9"/>
  <c r="AD6" i="9"/>
  <c r="AE7" i="9"/>
  <c r="AC7" i="9"/>
  <c r="AG64" i="9"/>
  <c r="S110" i="8"/>
  <c r="S135" i="8" s="1"/>
  <c r="T64" i="9"/>
  <c r="AC6" i="9"/>
  <c r="AG6" i="9"/>
  <c r="AE6" i="9"/>
  <c r="AD7" i="9"/>
  <c r="AC15" i="10"/>
  <c r="AF8" i="9"/>
  <c r="AF13" i="9" s="1"/>
  <c r="AF14" i="9" s="1"/>
  <c r="AI64" i="9"/>
  <c r="V64" i="9"/>
  <c r="AC67" i="9"/>
  <c r="Y37" i="9"/>
  <c r="X37" i="9"/>
  <c r="Y48" i="9"/>
  <c r="Y52" i="9" s="1"/>
  <c r="AC48" i="9"/>
  <c r="AC52" i="9" s="1"/>
  <c r="AI60" i="9"/>
  <c r="AE60" i="9"/>
  <c r="AD60" i="9"/>
  <c r="K73" i="8"/>
  <c r="P73" i="8"/>
  <c r="S73" i="8"/>
  <c r="X23" i="9"/>
  <c r="AE12" i="9"/>
  <c r="Z23" i="9"/>
  <c r="AD12" i="9"/>
  <c r="AH12" i="9"/>
  <c r="AA12" i="9"/>
  <c r="Z12" i="9"/>
  <c r="Y23" i="9"/>
  <c r="AG12" i="9"/>
  <c r="AC12" i="9"/>
  <c r="AG60" i="9"/>
  <c r="Y12" i="9"/>
  <c r="Y60" i="9"/>
  <c r="M115" i="8"/>
  <c r="I115" i="8"/>
  <c r="N115" i="8"/>
  <c r="S33" i="8"/>
  <c r="S36" i="8"/>
  <c r="S39" i="8"/>
  <c r="P22" i="8"/>
  <c r="P28" i="8"/>
  <c r="T22" i="8"/>
  <c r="T28" i="8"/>
  <c r="T32" i="8" s="1"/>
  <c r="T91" i="8" s="1"/>
  <c r="J21" i="8"/>
  <c r="R21" i="8"/>
  <c r="N21" i="8"/>
  <c r="Q22" i="8"/>
  <c r="O22" i="8"/>
  <c r="I22" i="8"/>
  <c r="AC8" i="9" l="1"/>
  <c r="AC13" i="9" s="1"/>
  <c r="AC14" i="9" s="1"/>
  <c r="G22" i="8"/>
  <c r="O80" i="8"/>
  <c r="O82" i="8" s="1"/>
  <c r="L22" i="8"/>
  <c r="M22" i="8"/>
  <c r="K39" i="8"/>
  <c r="N80" i="8"/>
  <c r="N82" i="8" s="1"/>
  <c r="R80" i="8"/>
  <c r="R82" i="8" s="1"/>
  <c r="M80" i="8"/>
  <c r="M82" i="8" s="1"/>
  <c r="L80" i="8"/>
  <c r="L82" i="8" s="1"/>
  <c r="J80" i="8"/>
  <c r="J82" i="8" s="1"/>
  <c r="K36" i="8"/>
  <c r="K33" i="8"/>
  <c r="H22" i="8"/>
  <c r="H21" i="9"/>
  <c r="H24" i="9"/>
  <c r="T80" i="8"/>
  <c r="T82" i="8" s="1"/>
  <c r="S80" i="8"/>
  <c r="S82" i="8" s="1"/>
  <c r="P80" i="8"/>
  <c r="P82" i="8" s="1"/>
  <c r="Q61" i="9"/>
  <c r="AD61" i="9" s="1"/>
  <c r="K80" i="8"/>
  <c r="K82" i="8" s="1"/>
  <c r="L61" i="9"/>
  <c r="Y61" i="9" s="1"/>
  <c r="AE8" i="9"/>
  <c r="AE13" i="9" s="1"/>
  <c r="AE14" i="9" s="1"/>
  <c r="AD8" i="9"/>
  <c r="AH9" i="9" s="1"/>
  <c r="Z13" i="9"/>
  <c r="Z14" i="9" s="1"/>
  <c r="AG8" i="9"/>
  <c r="AA13" i="9"/>
  <c r="AA14" i="9" s="1"/>
  <c r="T110" i="8"/>
  <c r="T135" i="8" s="1"/>
  <c r="AF9" i="9"/>
  <c r="AF20" i="9"/>
  <c r="AF21" i="9" s="1"/>
  <c r="AH37" i="9"/>
  <c r="AI37" i="9"/>
  <c r="AB37" i="9"/>
  <c r="AG37" i="9"/>
  <c r="Z37" i="9"/>
  <c r="AA37" i="9"/>
  <c r="AH13" i="9"/>
  <c r="AH14" i="9" s="1"/>
  <c r="AB9" i="9"/>
  <c r="AB13" i="9"/>
  <c r="AB14" i="9" s="1"/>
  <c r="X13" i="9"/>
  <c r="AE61" i="9"/>
  <c r="AI23" i="9"/>
  <c r="AE23" i="9"/>
  <c r="AC23" i="9"/>
  <c r="AD23" i="9"/>
  <c r="AB23" i="9"/>
  <c r="AF23" i="9"/>
  <c r="N22" i="8"/>
  <c r="N28" i="8"/>
  <c r="N32" i="8" s="1"/>
  <c r="R28" i="8"/>
  <c r="R29" i="8" s="1"/>
  <c r="J28" i="8"/>
  <c r="J32" i="8" s="1"/>
  <c r="J36" i="8" s="1"/>
  <c r="J22" i="8"/>
  <c r="R22" i="8"/>
  <c r="T29" i="8"/>
  <c r="Q32" i="8"/>
  <c r="Q91" i="8" s="1"/>
  <c r="Q29" i="8"/>
  <c r="P29" i="8"/>
  <c r="P32" i="8"/>
  <c r="P91" i="8" s="1"/>
  <c r="I32" i="8"/>
  <c r="I91" i="8" s="1"/>
  <c r="I29" i="8"/>
  <c r="M32" i="8"/>
  <c r="M91" i="8" s="1"/>
  <c r="M29" i="8"/>
  <c r="L32" i="8"/>
  <c r="L29" i="8"/>
  <c r="O32" i="8"/>
  <c r="O91" i="8" s="1"/>
  <c r="O29" i="8"/>
  <c r="T39" i="8"/>
  <c r="T36" i="8"/>
  <c r="T33" i="8"/>
  <c r="H29" i="8"/>
  <c r="H32" i="8"/>
  <c r="H28" i="9" l="1"/>
  <c r="H25" i="9"/>
  <c r="I110" i="8"/>
  <c r="I135" i="8" s="1"/>
  <c r="AC9" i="9"/>
  <c r="AD9" i="9"/>
  <c r="AD13" i="9"/>
  <c r="AD14" i="9" s="1"/>
  <c r="Y13" i="9"/>
  <c r="Y14" i="9" s="1"/>
  <c r="AG9" i="9"/>
  <c r="AE9" i="9"/>
  <c r="AG13" i="9"/>
  <c r="AG20" i="9" s="1"/>
  <c r="AG21" i="9" s="1"/>
  <c r="O110" i="8"/>
  <c r="O135" i="8" s="1"/>
  <c r="P110" i="8"/>
  <c r="P135" i="8" s="1"/>
  <c r="Q110" i="8"/>
  <c r="Q135" i="8" s="1"/>
  <c r="M110" i="8"/>
  <c r="M135" i="8" s="1"/>
  <c r="L91" i="8"/>
  <c r="Z20" i="9"/>
  <c r="Z24" i="9" s="1"/>
  <c r="Z28" i="9" s="1"/>
  <c r="AF24" i="9"/>
  <c r="AF28" i="9" s="1"/>
  <c r="AE20" i="9"/>
  <c r="AE21" i="9" s="1"/>
  <c r="AF37" i="9"/>
  <c r="AH20" i="9"/>
  <c r="AH21" i="9" s="1"/>
  <c r="AA20" i="9"/>
  <c r="AA21" i="9" s="1"/>
  <c r="AB20" i="9"/>
  <c r="AB24" i="9" s="1"/>
  <c r="AB28" i="9" s="1"/>
  <c r="AC20" i="9"/>
  <c r="AC21" i="9" s="1"/>
  <c r="X20" i="9"/>
  <c r="X14" i="9"/>
  <c r="AH23" i="9"/>
  <c r="AG23" i="9"/>
  <c r="H91" i="8"/>
  <c r="R32" i="8"/>
  <c r="J29" i="8"/>
  <c r="J33" i="8"/>
  <c r="J39" i="8"/>
  <c r="J91" i="8"/>
  <c r="N29" i="8"/>
  <c r="N36" i="8"/>
  <c r="N33" i="8"/>
  <c r="N39" i="8"/>
  <c r="L39" i="8"/>
  <c r="L36" i="8"/>
  <c r="L33" i="8"/>
  <c r="Q33" i="8"/>
  <c r="Q39" i="8"/>
  <c r="Q36" i="8"/>
  <c r="M36" i="8"/>
  <c r="M33" i="8"/>
  <c r="M39" i="8"/>
  <c r="O39" i="8"/>
  <c r="O33" i="8"/>
  <c r="O36" i="8"/>
  <c r="I36" i="8"/>
  <c r="I33" i="8"/>
  <c r="I39" i="8"/>
  <c r="H33" i="8"/>
  <c r="H39" i="8"/>
  <c r="H36" i="8"/>
  <c r="P33" i="8"/>
  <c r="P39" i="8"/>
  <c r="P36" i="8"/>
  <c r="H29" i="9" l="1"/>
  <c r="H35" i="9"/>
  <c r="H43" i="9" s="1"/>
  <c r="H110" i="8"/>
  <c r="H135" i="8" s="1"/>
  <c r="V91" i="8"/>
  <c r="J110" i="8"/>
  <c r="J135" i="8" s="1"/>
  <c r="X91" i="8"/>
  <c r="W91" i="8"/>
  <c r="AD20" i="9"/>
  <c r="AD21" i="9" s="1"/>
  <c r="Y20" i="9"/>
  <c r="Y24" i="9" s="1"/>
  <c r="Y28" i="9" s="1"/>
  <c r="AG14" i="9"/>
  <c r="AG24" i="9"/>
  <c r="AG28" i="9" s="1"/>
  <c r="L110" i="8"/>
  <c r="L135" i="8" s="1"/>
  <c r="Z25" i="9"/>
  <c r="Z21" i="9"/>
  <c r="AF25" i="9"/>
  <c r="AH24" i="9"/>
  <c r="AH28" i="9" s="1"/>
  <c r="AE24" i="9"/>
  <c r="AE28" i="9" s="1"/>
  <c r="AC37" i="9"/>
  <c r="AD37" i="9"/>
  <c r="AE37" i="9"/>
  <c r="AB21" i="9"/>
  <c r="AA24" i="9"/>
  <c r="AC24" i="9"/>
  <c r="X24" i="9"/>
  <c r="X28" i="9" s="1"/>
  <c r="X21" i="9"/>
  <c r="AB25" i="9"/>
  <c r="Z29" i="9"/>
  <c r="Z35" i="9"/>
  <c r="AB29" i="9"/>
  <c r="AB35" i="9"/>
  <c r="AF35" i="9"/>
  <c r="AF29" i="9"/>
  <c r="R33" i="8"/>
  <c r="R39" i="8"/>
  <c r="R36" i="8"/>
  <c r="V135" i="8" l="1"/>
  <c r="H44" i="9"/>
  <c r="X135" i="8"/>
  <c r="W135" i="8"/>
  <c r="AD24" i="9"/>
  <c r="AD28" i="9" s="1"/>
  <c r="Y35" i="9"/>
  <c r="Y25" i="9"/>
  <c r="Y21" i="9"/>
  <c r="Y29" i="9"/>
  <c r="AG35" i="9"/>
  <c r="AG25" i="9"/>
  <c r="AG29" i="9"/>
  <c r="AH25" i="9"/>
  <c r="AC25" i="9"/>
  <c r="AC28" i="9"/>
  <c r="AA25" i="9"/>
  <c r="AA28" i="9"/>
  <c r="AE25" i="9"/>
  <c r="X25" i="9"/>
  <c r="AH35" i="9"/>
  <c r="AH29" i="9"/>
  <c r="AD29" i="9" l="1"/>
  <c r="AD25" i="9"/>
  <c r="AD35" i="9"/>
  <c r="AA29" i="9"/>
  <c r="AA35" i="9"/>
  <c r="AC29" i="9"/>
  <c r="AE35" i="9"/>
  <c r="AC35" i="9"/>
  <c r="AE29" i="9"/>
  <c r="X29" i="9"/>
  <c r="X35" i="9"/>
  <c r="B88" i="8"/>
  <c r="B87" i="8"/>
  <c r="G88" i="8"/>
  <c r="G87" i="8"/>
  <c r="E88" i="8"/>
  <c r="D88" i="8"/>
  <c r="C88" i="8"/>
  <c r="E87" i="8"/>
  <c r="D87" i="8"/>
  <c r="C87" i="8"/>
  <c r="B43" i="8"/>
  <c r="B42" i="8"/>
  <c r="AF43" i="8"/>
  <c r="AE43" i="8"/>
  <c r="AD43" i="8"/>
  <c r="AB43" i="8"/>
  <c r="AA43" i="8"/>
  <c r="Z43" i="8"/>
  <c r="X43" i="8"/>
  <c r="W43" i="8"/>
  <c r="V43" i="8"/>
  <c r="AC43" i="8"/>
  <c r="Y43" i="8"/>
  <c r="AF42" i="8"/>
  <c r="AE42" i="8"/>
  <c r="AD42" i="8"/>
  <c r="AC42" i="8"/>
  <c r="AB42" i="8"/>
  <c r="AA42" i="8"/>
  <c r="Z42" i="8"/>
  <c r="Y42" i="8"/>
  <c r="X42" i="8"/>
  <c r="W42" i="8"/>
  <c r="V42" i="8"/>
  <c r="V87" i="8" l="1"/>
  <c r="Y87" i="8"/>
  <c r="Z87" i="8"/>
  <c r="Z88" i="8"/>
  <c r="AC87" i="8"/>
  <c r="AD87" i="8"/>
  <c r="Y88" i="8"/>
  <c r="AD88" i="8"/>
  <c r="AE88" i="8"/>
  <c r="AB87" i="8"/>
  <c r="W87" i="8"/>
  <c r="AE87" i="8"/>
  <c r="AB88" i="8"/>
  <c r="AA88" i="8"/>
  <c r="X87" i="8"/>
  <c r="AF87" i="8"/>
  <c r="AC88" i="8"/>
  <c r="V88" i="8"/>
  <c r="W88" i="8"/>
  <c r="AA87" i="8"/>
  <c r="X88" i="8"/>
  <c r="AF88" i="8"/>
  <c r="D9" i="10" l="1"/>
  <c r="D16" i="10" s="1"/>
  <c r="C9" i="10"/>
  <c r="C16" i="10" s="1"/>
  <c r="T9" i="10"/>
  <c r="S9" i="10"/>
  <c r="R9" i="10"/>
  <c r="Q9" i="10"/>
  <c r="P9" i="10"/>
  <c r="O9" i="10"/>
  <c r="E9" i="10"/>
  <c r="E16" i="10" s="1"/>
  <c r="AG66" i="9"/>
  <c r="AG67" i="9" s="1"/>
  <c r="AI66" i="9"/>
  <c r="Q10" i="10" l="1"/>
  <c r="Q16" i="10"/>
  <c r="S10" i="10"/>
  <c r="S16" i="10"/>
  <c r="O10" i="10"/>
  <c r="O16" i="10"/>
  <c r="P10" i="10"/>
  <c r="P16" i="10"/>
  <c r="R10" i="10"/>
  <c r="R16" i="10"/>
  <c r="T10" i="10"/>
  <c r="T16" i="10"/>
  <c r="E8" i="9"/>
  <c r="Q8" i="9"/>
  <c r="R8" i="9"/>
  <c r="S8" i="9"/>
  <c r="U8" i="9"/>
  <c r="F8" i="9"/>
  <c r="D8" i="9"/>
  <c r="V8" i="9"/>
  <c r="T8" i="9"/>
  <c r="AH66" i="9"/>
  <c r="AH67" i="9" s="1"/>
  <c r="AH60" i="9" l="1"/>
  <c r="AK7" i="9"/>
  <c r="AI67" i="9"/>
  <c r="AI8" i="9"/>
  <c r="AK6" i="9"/>
  <c r="AK8" i="9" l="1"/>
  <c r="AA11" i="8" l="1"/>
  <c r="D50" i="8"/>
  <c r="D58" i="8" s="1"/>
  <c r="C50" i="8"/>
  <c r="C58" i="8" s="1"/>
  <c r="E50" i="8"/>
  <c r="E58" i="8" s="1"/>
  <c r="V65" i="8" l="1"/>
  <c r="V73" i="8" s="1"/>
  <c r="V50" i="8"/>
  <c r="V58" i="8" s="1"/>
  <c r="AB11" i="8"/>
  <c r="AA14" i="8"/>
  <c r="AA21" i="8" s="1"/>
  <c r="AA28" i="8" s="1"/>
  <c r="AB50" i="8"/>
  <c r="AB58" i="8" s="1"/>
  <c r="Z50" i="8"/>
  <c r="Z58" i="8" s="1"/>
  <c r="AB65" i="8"/>
  <c r="AB73" i="8" s="1"/>
  <c r="AA65" i="8"/>
  <c r="AA73" i="8" s="1"/>
  <c r="W65" i="8"/>
  <c r="W73" i="8" s="1"/>
  <c r="Y11" i="8"/>
  <c r="W50" i="8"/>
  <c r="W58" i="8" s="1"/>
  <c r="AA50" i="8"/>
  <c r="AA58" i="8" s="1"/>
  <c r="Z11" i="8"/>
  <c r="X50" i="8"/>
  <c r="X58" i="8" s="1"/>
  <c r="X65" i="8"/>
  <c r="X73" i="8" s="1"/>
  <c r="Z65" i="8"/>
  <c r="Z73" i="8" s="1"/>
  <c r="AD50" i="8"/>
  <c r="AD58" i="8" s="1"/>
  <c r="AD11" i="8"/>
  <c r="AD65" i="8"/>
  <c r="AD73" i="8" s="1"/>
  <c r="AE65" i="8"/>
  <c r="AE73" i="8" s="1"/>
  <c r="AC11" i="8"/>
  <c r="AE11" i="8"/>
  <c r="AE50" i="8"/>
  <c r="AE58" i="8" s="1"/>
  <c r="AA22" i="8" l="1"/>
  <c r="AA32" i="8"/>
  <c r="Z14" i="8"/>
  <c r="Z21" i="8" s="1"/>
  <c r="Z28" i="8" s="1"/>
  <c r="AI13" i="9"/>
  <c r="AB9" i="10"/>
  <c r="AB16" i="10" s="1"/>
  <c r="Y8" i="10"/>
  <c r="Z8" i="10"/>
  <c r="AA8" i="10"/>
  <c r="V80" i="8"/>
  <c r="V82" i="8" s="1"/>
  <c r="AD14" i="8"/>
  <c r="AD21" i="8" s="1"/>
  <c r="AD28" i="8" s="1"/>
  <c r="AH10" i="8"/>
  <c r="AB80" i="8"/>
  <c r="AB82" i="8" s="1"/>
  <c r="Z80" i="8"/>
  <c r="Z82" i="8" s="1"/>
  <c r="X80" i="8"/>
  <c r="X82" i="8" s="1"/>
  <c r="AH17" i="8"/>
  <c r="AA80" i="8"/>
  <c r="AA82" i="8" s="1"/>
  <c r="AB14" i="8"/>
  <c r="AB21" i="8" s="1"/>
  <c r="AB28" i="8" s="1"/>
  <c r="W80" i="8"/>
  <c r="W82" i="8" s="1"/>
  <c r="Y14" i="8"/>
  <c r="Y21" i="8" s="1"/>
  <c r="Y28" i="8" s="1"/>
  <c r="AA15" i="8"/>
  <c r="AH13" i="8"/>
  <c r="AD80" i="8"/>
  <c r="AD82" i="8" s="1"/>
  <c r="AE14" i="8"/>
  <c r="AE21" i="8" s="1"/>
  <c r="AE28" i="8" s="1"/>
  <c r="AC14" i="8"/>
  <c r="AC21" i="8" s="1"/>
  <c r="AC28" i="8" s="1"/>
  <c r="AE80" i="8"/>
  <c r="AE82" i="8" s="1"/>
  <c r="Z22" i="8" l="1"/>
  <c r="Z32" i="8"/>
  <c r="Y22" i="8"/>
  <c r="Y32" i="8"/>
  <c r="AB32" i="8"/>
  <c r="AB22" i="8"/>
  <c r="AD32" i="8"/>
  <c r="AD22" i="8"/>
  <c r="AC32" i="8"/>
  <c r="AC22" i="8"/>
  <c r="AE32" i="8"/>
  <c r="AE22" i="8"/>
  <c r="AD15" i="8"/>
  <c r="AC15" i="8"/>
  <c r="Z15" i="8"/>
  <c r="AE15" i="8"/>
  <c r="AB15" i="8"/>
  <c r="AI14" i="9"/>
  <c r="AI20" i="9"/>
  <c r="Z9" i="10"/>
  <c r="Z10" i="10" s="1"/>
  <c r="AA9" i="10"/>
  <c r="AA10" i="10" s="1"/>
  <c r="AB10" i="10"/>
  <c r="AC9" i="10"/>
  <c r="AC16" i="10" s="1"/>
  <c r="AE9" i="10"/>
  <c r="AE16" i="10" s="1"/>
  <c r="Y9" i="10"/>
  <c r="Y10" i="10" s="1"/>
  <c r="W8" i="10"/>
  <c r="V8" i="10"/>
  <c r="X8" i="10"/>
  <c r="AA29" i="8"/>
  <c r="Y15" i="8"/>
  <c r="X9" i="10" l="1"/>
  <c r="W9" i="10"/>
  <c r="Z29" i="8"/>
  <c r="Y29" i="8"/>
  <c r="AD29" i="8"/>
  <c r="Z33" i="8"/>
  <c r="AI24" i="9"/>
  <c r="AI28" i="9" s="1"/>
  <c r="AI21" i="9"/>
  <c r="V9" i="10"/>
  <c r="AD9" i="10"/>
  <c r="AC10" i="10"/>
  <c r="AA33" i="8"/>
  <c r="AA36" i="8"/>
  <c r="AA39" i="8"/>
  <c r="Y36" i="8"/>
  <c r="Y39" i="8"/>
  <c r="Y33" i="8"/>
  <c r="AE29" i="8"/>
  <c r="AB29" i="8"/>
  <c r="AC29" i="8"/>
  <c r="AD10" i="10" l="1"/>
  <c r="AD16" i="10"/>
  <c r="Z39" i="8"/>
  <c r="Z36" i="8"/>
  <c r="AI25" i="9"/>
  <c r="AC33" i="8"/>
  <c r="AC39" i="8"/>
  <c r="AC36" i="8"/>
  <c r="AB39" i="8"/>
  <c r="AB33" i="8"/>
  <c r="AB36" i="8"/>
  <c r="AD33" i="8"/>
  <c r="AD36" i="8"/>
  <c r="AD39" i="8"/>
  <c r="AE33" i="8"/>
  <c r="AE36" i="8"/>
  <c r="AE39" i="8"/>
  <c r="AI29" i="9" l="1"/>
  <c r="AI35" i="9"/>
  <c r="Y65" i="8" l="1"/>
  <c r="AC65" i="8"/>
  <c r="AC73" i="8" s="1"/>
  <c r="Y73" i="8" l="1"/>
  <c r="Y80" i="8" s="1"/>
  <c r="W115" i="8"/>
  <c r="X115" i="8"/>
  <c r="V115" i="8"/>
  <c r="AB115" i="8"/>
  <c r="Y115" i="8"/>
  <c r="Z115" i="8"/>
  <c r="AA115" i="8"/>
  <c r="AC115" i="8"/>
  <c r="AE115" i="8"/>
  <c r="AD115" i="8"/>
  <c r="E11" i="8" l="1"/>
  <c r="E10" i="10" s="1"/>
  <c r="D11" i="8"/>
  <c r="D10" i="10" s="1"/>
  <c r="C11" i="8"/>
  <c r="C10" i="10" s="1"/>
  <c r="C8" i="9"/>
  <c r="G115" i="8"/>
  <c r="E115" i="8"/>
  <c r="D115" i="8"/>
  <c r="C115" i="8"/>
  <c r="G65" i="8"/>
  <c r="D65" i="8"/>
  <c r="C65" i="8"/>
  <c r="C60" i="9"/>
  <c r="AF11" i="8"/>
  <c r="AE10" i="10" s="1"/>
  <c r="U67" i="9"/>
  <c r="M67" i="9"/>
  <c r="AK34" i="9"/>
  <c r="AK27" i="9"/>
  <c r="G73" i="8" l="1"/>
  <c r="H61" i="9" s="1"/>
  <c r="H60" i="9"/>
  <c r="C61" i="9"/>
  <c r="D73" i="8"/>
  <c r="C73" i="8"/>
  <c r="N67" i="9"/>
  <c r="V67" i="9"/>
  <c r="D67" i="9"/>
  <c r="O67" i="9"/>
  <c r="AG61" i="9"/>
  <c r="AH11" i="8"/>
  <c r="AI61" i="9"/>
  <c r="K67" i="9"/>
  <c r="AK23" i="9"/>
  <c r="F67" i="9"/>
  <c r="J67" i="9"/>
  <c r="AK19" i="9"/>
  <c r="AK16" i="9"/>
  <c r="O13" i="9"/>
  <c r="M9" i="9"/>
  <c r="U9" i="9"/>
  <c r="E67" i="9"/>
  <c r="I67" i="9"/>
  <c r="U10" i="9"/>
  <c r="AC80" i="8"/>
  <c r="D14" i="8"/>
  <c r="D21" i="8" s="1"/>
  <c r="D28" i="8" s="1"/>
  <c r="C14" i="8"/>
  <c r="C21" i="8" s="1"/>
  <c r="C28" i="8" s="1"/>
  <c r="E14" i="8"/>
  <c r="E21" i="8" s="1"/>
  <c r="E28" i="8" s="1"/>
  <c r="AF65" i="8"/>
  <c r="AF73" i="8" s="1"/>
  <c r="AH79" i="8"/>
  <c r="F13" i="9"/>
  <c r="F9" i="9"/>
  <c r="D13" i="9"/>
  <c r="D9" i="9"/>
  <c r="E13" i="9"/>
  <c r="E9" i="9"/>
  <c r="M10" i="9"/>
  <c r="AK31" i="9"/>
  <c r="Q67" i="9"/>
  <c r="C13" i="9"/>
  <c r="R67" i="9"/>
  <c r="S67" i="9"/>
  <c r="C67" i="9"/>
  <c r="C80" i="8" l="1"/>
  <c r="C82" i="8" s="1"/>
  <c r="C22" i="8"/>
  <c r="D22" i="8"/>
  <c r="D32" i="8"/>
  <c r="D91" i="8" s="1"/>
  <c r="N91" i="8" s="1"/>
  <c r="G32" i="8"/>
  <c r="E32" i="8"/>
  <c r="E91" i="8" s="1"/>
  <c r="R91" i="8" s="1"/>
  <c r="E22" i="8"/>
  <c r="T67" i="9"/>
  <c r="AC50" i="8"/>
  <c r="G80" i="8"/>
  <c r="G82" i="8" s="1"/>
  <c r="Y50" i="8"/>
  <c r="D80" i="8"/>
  <c r="D82" i="8" s="1"/>
  <c r="E80" i="8"/>
  <c r="E82" i="8" s="1"/>
  <c r="AH61" i="9"/>
  <c r="P67" i="9"/>
  <c r="AH73" i="8"/>
  <c r="AH65" i="8"/>
  <c r="L67" i="9"/>
  <c r="P10" i="9"/>
  <c r="T9" i="9"/>
  <c r="Q9" i="9"/>
  <c r="R10" i="9"/>
  <c r="T13" i="9"/>
  <c r="T20" i="9" s="1"/>
  <c r="O10" i="9"/>
  <c r="Q10" i="9"/>
  <c r="N10" i="9"/>
  <c r="R13" i="9"/>
  <c r="R14" i="9" s="1"/>
  <c r="P13" i="9"/>
  <c r="P20" i="9" s="1"/>
  <c r="J10" i="9"/>
  <c r="R9" i="9"/>
  <c r="N9" i="9"/>
  <c r="J13" i="9"/>
  <c r="J14" i="9" s="1"/>
  <c r="AK32" i="9"/>
  <c r="P9" i="9"/>
  <c r="AF50" i="8"/>
  <c r="AF58" i="8" s="1"/>
  <c r="D15" i="8"/>
  <c r="E15" i="8"/>
  <c r="C15" i="8"/>
  <c r="AF14" i="8"/>
  <c r="AF21" i="8" s="1"/>
  <c r="O20" i="9"/>
  <c r="O14" i="9"/>
  <c r="AK33" i="9"/>
  <c r="E20" i="9"/>
  <c r="E14" i="9"/>
  <c r="S9" i="9"/>
  <c r="S13" i="9"/>
  <c r="S10" i="9"/>
  <c r="K13" i="9"/>
  <c r="K10" i="9"/>
  <c r="U13" i="9"/>
  <c r="AI9" i="9"/>
  <c r="AK12" i="9"/>
  <c r="N13" i="9"/>
  <c r="T10" i="9"/>
  <c r="C20" i="9"/>
  <c r="C14" i="9"/>
  <c r="V9" i="9"/>
  <c r="V13" i="9"/>
  <c r="V10" i="9"/>
  <c r="L13" i="9"/>
  <c r="L10" i="9"/>
  <c r="O9" i="9"/>
  <c r="M13" i="9"/>
  <c r="F20" i="9"/>
  <c r="F14" i="9"/>
  <c r="Q13" i="9"/>
  <c r="D20" i="9"/>
  <c r="D14" i="9"/>
  <c r="I13" i="9"/>
  <c r="AD91" i="8" l="1"/>
  <c r="AF91" i="8"/>
  <c r="AE91" i="8"/>
  <c r="AC91" i="8"/>
  <c r="AB91" i="8"/>
  <c r="AA91" i="8"/>
  <c r="Z91" i="8"/>
  <c r="Y91" i="8"/>
  <c r="N110" i="8"/>
  <c r="N135" i="8" s="1"/>
  <c r="Y58" i="8"/>
  <c r="Y82" i="8" s="1"/>
  <c r="AC58" i="8"/>
  <c r="AC82" i="8" s="1"/>
  <c r="AH21" i="8"/>
  <c r="AF28" i="8"/>
  <c r="G33" i="8"/>
  <c r="G39" i="8"/>
  <c r="C29" i="8"/>
  <c r="C32" i="8"/>
  <c r="C39" i="8" s="1"/>
  <c r="AF22" i="8"/>
  <c r="AH22" i="8" s="1"/>
  <c r="E29" i="8"/>
  <c r="D29" i="8"/>
  <c r="AH127" i="8"/>
  <c r="AF80" i="8"/>
  <c r="AH80" i="8" s="1"/>
  <c r="AH58" i="8"/>
  <c r="AH50" i="8"/>
  <c r="T14" i="9"/>
  <c r="P14" i="9"/>
  <c r="E36" i="8"/>
  <c r="E39" i="8"/>
  <c r="D39" i="8"/>
  <c r="D36" i="8"/>
  <c r="R20" i="9"/>
  <c r="R21" i="9" s="1"/>
  <c r="J20" i="9"/>
  <c r="J21" i="9" s="1"/>
  <c r="AH14" i="8"/>
  <c r="E33" i="8"/>
  <c r="E110" i="8"/>
  <c r="E135" i="8" s="1"/>
  <c r="D33" i="8"/>
  <c r="D110" i="8"/>
  <c r="D135" i="8" s="1"/>
  <c r="AF115" i="8"/>
  <c r="AH115" i="8" s="1"/>
  <c r="AF15" i="8"/>
  <c r="AH15" i="8" s="1"/>
  <c r="I20" i="9"/>
  <c r="I14" i="9"/>
  <c r="D24" i="9"/>
  <c r="D28" i="9" s="1"/>
  <c r="D21" i="9"/>
  <c r="C24" i="9"/>
  <c r="C28" i="9" s="1"/>
  <c r="C21" i="9"/>
  <c r="AK13" i="9"/>
  <c r="AK9" i="9"/>
  <c r="K14" i="9"/>
  <c r="K20" i="9"/>
  <c r="Q20" i="9"/>
  <c r="Q14" i="9"/>
  <c r="L14" i="9"/>
  <c r="L20" i="9"/>
  <c r="E24" i="9"/>
  <c r="E28" i="9" s="1"/>
  <c r="E21" i="9"/>
  <c r="O24" i="9"/>
  <c r="O28" i="9" s="1"/>
  <c r="O21" i="9"/>
  <c r="V20" i="9"/>
  <c r="V14" i="9"/>
  <c r="S14" i="9"/>
  <c r="S20" i="9"/>
  <c r="T24" i="9"/>
  <c r="T28" i="9" s="1"/>
  <c r="T21" i="9"/>
  <c r="P21" i="9"/>
  <c r="P24" i="9"/>
  <c r="P28" i="9" s="1"/>
  <c r="F21" i="9"/>
  <c r="F24" i="9"/>
  <c r="F28" i="9" s="1"/>
  <c r="U20" i="9"/>
  <c r="U14" i="9"/>
  <c r="M20" i="9"/>
  <c r="M14" i="9"/>
  <c r="N20" i="9"/>
  <c r="N14" i="9"/>
  <c r="AF32" i="8" l="1"/>
  <c r="AH28" i="8"/>
  <c r="AB135" i="8"/>
  <c r="AA135" i="8"/>
  <c r="Z135" i="8"/>
  <c r="Y135" i="8"/>
  <c r="R110" i="8"/>
  <c r="R135" i="8" s="1"/>
  <c r="C33" i="8"/>
  <c r="C91" i="8"/>
  <c r="C36" i="8"/>
  <c r="G91" i="8"/>
  <c r="G110" i="8" s="1"/>
  <c r="G135" i="8" s="1"/>
  <c r="G36" i="8"/>
  <c r="AF82" i="8"/>
  <c r="R24" i="9"/>
  <c r="R28" i="9" s="1"/>
  <c r="J24" i="9"/>
  <c r="J28" i="9" s="1"/>
  <c r="AF29" i="8"/>
  <c r="AH29" i="8" s="1"/>
  <c r="F25" i="9"/>
  <c r="N24" i="9"/>
  <c r="N28" i="9" s="1"/>
  <c r="N21" i="9"/>
  <c r="T25" i="9"/>
  <c r="E25" i="9"/>
  <c r="C25" i="9"/>
  <c r="AK20" i="9"/>
  <c r="AK14" i="9"/>
  <c r="O25" i="9"/>
  <c r="S21" i="9"/>
  <c r="S24" i="9"/>
  <c r="S28" i="9" s="1"/>
  <c r="D25" i="9"/>
  <c r="U24" i="9"/>
  <c r="U28" i="9" s="1"/>
  <c r="U21" i="9"/>
  <c r="Q21" i="9"/>
  <c r="Q24" i="9"/>
  <c r="Q28" i="9" s="1"/>
  <c r="M24" i="9"/>
  <c r="M28" i="9" s="1"/>
  <c r="M21" i="9"/>
  <c r="P25" i="9"/>
  <c r="L24" i="9"/>
  <c r="L28" i="9" s="1"/>
  <c r="L21" i="9"/>
  <c r="K21" i="9"/>
  <c r="K24" i="9"/>
  <c r="K28" i="9" s="1"/>
  <c r="V24" i="9"/>
  <c r="V28" i="9" s="1"/>
  <c r="V21" i="9"/>
  <c r="I21" i="9"/>
  <c r="I24" i="9"/>
  <c r="I28" i="9" s="1"/>
  <c r="AF135" i="8" l="1"/>
  <c r="AC135" i="8"/>
  <c r="AE135" i="8"/>
  <c r="AD135" i="8"/>
  <c r="C110" i="8"/>
  <c r="C135" i="8" s="1"/>
  <c r="AB110" i="8"/>
  <c r="AF39" i="8"/>
  <c r="R25" i="9"/>
  <c r="J25" i="9"/>
  <c r="AC110" i="8"/>
  <c r="M25" i="9"/>
  <c r="Q25" i="9"/>
  <c r="J35" i="9"/>
  <c r="J43" i="9" s="1"/>
  <c r="J29" i="9"/>
  <c r="N25" i="9"/>
  <c r="C35" i="9"/>
  <c r="C29" i="9"/>
  <c r="E29" i="9"/>
  <c r="E35" i="9"/>
  <c r="F29" i="9"/>
  <c r="F35" i="9"/>
  <c r="R29" i="9"/>
  <c r="R35" i="9"/>
  <c r="V25" i="9"/>
  <c r="L25" i="9"/>
  <c r="U25" i="9"/>
  <c r="AK24" i="9"/>
  <c r="AK21" i="9"/>
  <c r="P35" i="9"/>
  <c r="P43" i="9" s="1"/>
  <c r="P29" i="9"/>
  <c r="O35" i="9"/>
  <c r="O43" i="9" s="1"/>
  <c r="O29" i="9"/>
  <c r="S25" i="9"/>
  <c r="I25" i="9"/>
  <c r="K25" i="9"/>
  <c r="D35" i="9"/>
  <c r="D29" i="9"/>
  <c r="T29" i="9"/>
  <c r="T35" i="9"/>
  <c r="Y110" i="8" l="1"/>
  <c r="Z110" i="8"/>
  <c r="AA110" i="8"/>
  <c r="AH32" i="8"/>
  <c r="AF36" i="8"/>
  <c r="AF33" i="8"/>
  <c r="AH33" i="8" s="1"/>
  <c r="C44" i="9"/>
  <c r="K35" i="9"/>
  <c r="K43" i="9" s="1"/>
  <c r="K29" i="9"/>
  <c r="Q35" i="9"/>
  <c r="Q43" i="9" s="1"/>
  <c r="AE43" i="9" s="1"/>
  <c r="Q29" i="9"/>
  <c r="I35" i="9"/>
  <c r="I43" i="9" s="1"/>
  <c r="I29" i="9"/>
  <c r="F44" i="9"/>
  <c r="J44" i="9"/>
  <c r="L35" i="9"/>
  <c r="L43" i="9" s="1"/>
  <c r="L29" i="9"/>
  <c r="E44" i="9"/>
  <c r="U35" i="9"/>
  <c r="U29" i="9"/>
  <c r="N35" i="9"/>
  <c r="N43" i="9" s="1"/>
  <c r="N29" i="9"/>
  <c r="D44" i="9"/>
  <c r="S29" i="9"/>
  <c r="S35" i="9"/>
  <c r="T44" i="9"/>
  <c r="M35" i="9"/>
  <c r="M43" i="9" s="1"/>
  <c r="M29" i="9"/>
  <c r="AK28" i="9"/>
  <c r="AK25" i="9"/>
  <c r="V29" i="9"/>
  <c r="V35" i="9"/>
  <c r="AD43" i="9" l="1"/>
  <c r="AD44" i="9" s="1"/>
  <c r="AC43" i="9"/>
  <c r="AC44" i="9" s="1"/>
  <c r="AB43" i="9"/>
  <c r="AB44" i="9" s="1"/>
  <c r="AI43" i="9"/>
  <c r="AI44" i="9" s="1"/>
  <c r="AH43" i="9"/>
  <c r="AH44" i="9" s="1"/>
  <c r="AG43" i="9"/>
  <c r="AG44" i="9" s="1"/>
  <c r="AF43" i="9"/>
  <c r="AF44" i="9" s="1"/>
  <c r="AA43" i="9"/>
  <c r="AA44" i="9" s="1"/>
  <c r="Z43" i="9"/>
  <c r="Z44" i="9" s="1"/>
  <c r="Y43" i="9"/>
  <c r="X43" i="9"/>
  <c r="AE44" i="9"/>
  <c r="AH36" i="8"/>
  <c r="AH39" i="8"/>
  <c r="U44" i="9"/>
  <c r="V44" i="9"/>
  <c r="S44" i="9"/>
  <c r="K44" i="9"/>
  <c r="R44" i="9"/>
  <c r="AK29" i="9"/>
  <c r="AK35" i="9"/>
  <c r="M44" i="9"/>
  <c r="O44" i="9"/>
  <c r="P44" i="9"/>
  <c r="I44" i="9" l="1"/>
  <c r="Y44" i="9"/>
  <c r="X44" i="9"/>
  <c r="N44" i="9"/>
  <c r="Q44" i="9"/>
  <c r="L44" i="9"/>
  <c r="C132" i="8" l="1"/>
  <c r="C136" i="8" s="1"/>
  <c r="C138" i="8" s="1"/>
  <c r="G132" i="8"/>
  <c r="G136" i="8" s="1"/>
  <c r="G138" i="8" s="1"/>
  <c r="V130" i="8" l="1"/>
  <c r="H130" i="8"/>
  <c r="H132" i="8" s="1"/>
  <c r="H136" i="8" s="1"/>
  <c r="H138" i="8" s="1"/>
  <c r="D130" i="8"/>
  <c r="D132" i="8" s="1"/>
  <c r="D136" i="8" s="1"/>
  <c r="D138" i="8" s="1"/>
  <c r="W130" i="8" l="1"/>
  <c r="E130" i="8"/>
  <c r="E132" i="8" s="1"/>
  <c r="E136" i="8" s="1"/>
  <c r="E138" i="8" s="1"/>
  <c r="I130" i="8"/>
  <c r="I132" i="8" s="1"/>
  <c r="I136" i="8" s="1"/>
  <c r="I138" i="8" s="1"/>
  <c r="X130" i="8" l="1"/>
  <c r="J130" i="8"/>
  <c r="J132" i="8" s="1"/>
  <c r="J136" i="8" s="1"/>
  <c r="J138" i="8" s="1"/>
  <c r="Y130" i="8" l="1"/>
  <c r="K130" i="8"/>
  <c r="K132" i="8" s="1"/>
  <c r="K136" i="8" s="1"/>
  <c r="K138" i="8" s="1"/>
  <c r="Z130" i="8" l="1"/>
  <c r="L130" i="8"/>
  <c r="L132" i="8" s="1"/>
  <c r="L136" i="8" s="1"/>
  <c r="L138" i="8" s="1"/>
  <c r="AA130" i="8" l="1"/>
  <c r="M130" i="8"/>
  <c r="M132" i="8" s="1"/>
  <c r="M136" i="8" s="1"/>
  <c r="M138" i="8" s="1"/>
  <c r="AB130" i="8" l="1"/>
  <c r="AB132" i="8" s="1"/>
  <c r="N130" i="8"/>
  <c r="N132" i="8" s="1"/>
  <c r="N136" i="8" s="1"/>
  <c r="N138" i="8" s="1"/>
  <c r="AC130" i="8" l="1"/>
  <c r="O130" i="8"/>
  <c r="O132" i="8" s="1"/>
  <c r="O136" i="8" s="1"/>
  <c r="O138" i="8" s="1"/>
  <c r="AD130" i="8" l="1"/>
  <c r="P130" i="8"/>
  <c r="P132" i="8" s="1"/>
  <c r="P136" i="8" s="1"/>
  <c r="P138" i="8" s="1"/>
  <c r="AE130" i="8" l="1"/>
  <c r="Q130" i="8"/>
  <c r="Q132" i="8" s="1"/>
  <c r="Q136" i="8" s="1"/>
  <c r="Q138" i="8" s="1"/>
  <c r="AF130" i="8" l="1"/>
  <c r="R130" i="8"/>
  <c r="R132" i="8" s="1"/>
  <c r="R136" i="8" s="1"/>
  <c r="R138" i="8" s="1"/>
  <c r="S130" i="8" l="1"/>
  <c r="S132" i="8" s="1"/>
  <c r="S136" i="8" s="1"/>
  <c r="S138" i="8" s="1"/>
  <c r="T130" i="8" l="1"/>
  <c r="T132" i="8" s="1"/>
  <c r="T136" i="8" s="1"/>
  <c r="T138" i="8" s="1"/>
  <c r="V132" i="8" l="1"/>
  <c r="AA132" i="8" l="1"/>
  <c r="AA136" i="8" s="1"/>
  <c r="AA138" i="8" s="1"/>
  <c r="AB136" i="8" l="1"/>
  <c r="AB138" i="8" s="1"/>
  <c r="AC132" i="8" l="1"/>
  <c r="AC136" i="8" s="1"/>
  <c r="AC138" i="8" s="1"/>
  <c r="W132" i="8"/>
  <c r="AD132" i="8" l="1"/>
  <c r="X110" i="8"/>
  <c r="V11" i="8"/>
  <c r="V10" i="10" s="1"/>
  <c r="X11" i="8"/>
  <c r="W11" i="8"/>
  <c r="W14" i="8" s="1"/>
  <c r="W10" i="10" l="1"/>
  <c r="W21" i="8"/>
  <c r="W28" i="8" s="1"/>
  <c r="W15" i="8"/>
  <c r="X14" i="8"/>
  <c r="X10" i="10"/>
  <c r="V14" i="8"/>
  <c r="X21" i="8" l="1"/>
  <c r="X28" i="8" s="1"/>
  <c r="X15" i="8"/>
  <c r="V15" i="8"/>
  <c r="V21" i="8"/>
  <c r="V28" i="8" s="1"/>
  <c r="W22" i="8"/>
  <c r="W32" i="8" l="1"/>
  <c r="W29" i="8"/>
  <c r="V22" i="8"/>
  <c r="X22" i="8"/>
  <c r="X32" i="8" l="1"/>
  <c r="X29" i="8"/>
  <c r="V29" i="8"/>
  <c r="V32" i="8"/>
  <c r="W36" i="8"/>
  <c r="W33" i="8"/>
  <c r="W39" i="8"/>
  <c r="AD110" i="8" l="1"/>
  <c r="AE110" i="8"/>
  <c r="W110" i="8"/>
  <c r="W136" i="8" s="1"/>
  <c r="W138" i="8" s="1"/>
  <c r="V110" i="8"/>
  <c r="V33" i="8"/>
  <c r="V39" i="8"/>
  <c r="V36" i="8"/>
  <c r="X36" i="8"/>
  <c r="X33" i="8"/>
  <c r="X39" i="8"/>
  <c r="V136" i="8" l="1"/>
  <c r="V138" i="8" s="1"/>
  <c r="AD136" i="8"/>
  <c r="AD138" i="8" s="1"/>
  <c r="AF110" i="8"/>
  <c r="AH91" i="8"/>
  <c r="X132" i="8"/>
  <c r="X136" i="8" s="1"/>
  <c r="X138" i="8" s="1"/>
  <c r="AE132" i="8" l="1"/>
  <c r="AE136" i="8" s="1"/>
  <c r="AE138" i="8" s="1"/>
  <c r="AH110" i="8"/>
  <c r="Y132" i="8"/>
  <c r="Y136" i="8" s="1"/>
  <c r="Y138" i="8" s="1"/>
  <c r="AF132" i="8" l="1"/>
  <c r="AF136" i="8" s="1"/>
  <c r="AF138" i="8" s="1"/>
  <c r="Z132" i="8"/>
  <c r="Z136" i="8" s="1"/>
  <c r="Z138" i="8" s="1"/>
</calcChain>
</file>

<file path=xl/sharedStrings.xml><?xml version="1.0" encoding="utf-8"?>
<sst xmlns="http://schemas.openxmlformats.org/spreadsheetml/2006/main" count="350" uniqueCount="185">
  <si>
    <t>FYE</t>
  </si>
  <si>
    <t>Quarterly</t>
  </si>
  <si>
    <t>1Q24</t>
  </si>
  <si>
    <t>2Q24</t>
  </si>
  <si>
    <t>3Q24</t>
  </si>
  <si>
    <t>4Q24</t>
  </si>
  <si>
    <t>1Q23</t>
  </si>
  <si>
    <t>2Q23</t>
  </si>
  <si>
    <t>3Q23</t>
  </si>
  <si>
    <t>4Q23</t>
  </si>
  <si>
    <t>LTM</t>
  </si>
  <si>
    <t>EBITDA</t>
  </si>
  <si>
    <t>Total Revenue</t>
  </si>
  <si>
    <t>Cost of Sales</t>
  </si>
  <si>
    <t>Accounts receivable</t>
  </si>
  <si>
    <t>Accounts payable</t>
  </si>
  <si>
    <t>Changes in assets and liabilities:</t>
  </si>
  <si>
    <t>Cash-Flows Statement</t>
  </si>
  <si>
    <t>Total stockholders' equity</t>
  </si>
  <si>
    <t>Total Liabilities</t>
  </si>
  <si>
    <t>X</t>
  </si>
  <si>
    <t>Total Current Liabilities</t>
  </si>
  <si>
    <t>Total Current Assets</t>
  </si>
  <si>
    <t>Total Assets</t>
  </si>
  <si>
    <t>Gross Profit</t>
  </si>
  <si>
    <t>Total Debt</t>
  </si>
  <si>
    <t>Variance</t>
  </si>
  <si>
    <t>FCF Analysis</t>
  </si>
  <si>
    <t>1Q22</t>
  </si>
  <si>
    <t>2Q22</t>
  </si>
  <si>
    <t>3Q22</t>
  </si>
  <si>
    <t>4Q22</t>
  </si>
  <si>
    <t>1Q25</t>
  </si>
  <si>
    <t>2Q25</t>
  </si>
  <si>
    <t>Y/Y Growth (%)</t>
  </si>
  <si>
    <t>Q/Q Growth (%)</t>
  </si>
  <si>
    <t>N/A</t>
  </si>
  <si>
    <t>(-) Cost of Sales</t>
  </si>
  <si>
    <t>Gross Margin (%)</t>
  </si>
  <si>
    <t>Earning before Interest &amp; Taxes (EBIT)</t>
  </si>
  <si>
    <t>Operating Margin (%)</t>
  </si>
  <si>
    <t>(+) Depreciation and Amortization</t>
  </si>
  <si>
    <t>EBITDA Margin (%)</t>
  </si>
  <si>
    <t xml:space="preserve">(+) Share-based Compensation </t>
  </si>
  <si>
    <t>Adj. EBITDA</t>
  </si>
  <si>
    <t>Adj. EBITDA Margin (%)</t>
  </si>
  <si>
    <t>(-) Capital Expenditures</t>
  </si>
  <si>
    <t>(-) Cash Taxes</t>
  </si>
  <si>
    <t>(+/-) Changes in NWC</t>
  </si>
  <si>
    <t>Discretionary Cash-Flows</t>
  </si>
  <si>
    <t>Free-Cash Flows</t>
  </si>
  <si>
    <t>Capitalization</t>
  </si>
  <si>
    <t>Cash &amp; Cash Equivelants</t>
  </si>
  <si>
    <t>Total Liquidity</t>
  </si>
  <si>
    <t>Balance Sheet Metrics:</t>
  </si>
  <si>
    <t>Accounts Receivable</t>
  </si>
  <si>
    <t>Accounts Payable</t>
  </si>
  <si>
    <t>Property Plant, and Equiptment</t>
  </si>
  <si>
    <t>Current Liabilities</t>
  </si>
  <si>
    <t>Total Shareholder Equity</t>
  </si>
  <si>
    <t>Total Book Capitalization</t>
  </si>
  <si>
    <t>Total Leverage</t>
  </si>
  <si>
    <t>Net Leverage (C&amp;CE)</t>
  </si>
  <si>
    <t xml:space="preserve">Interest Coverage </t>
  </si>
  <si>
    <t>Debt Service Coverage</t>
  </si>
  <si>
    <t>Fixed Charge Coverage</t>
  </si>
  <si>
    <t>Debt-to-Book Capitalization</t>
  </si>
  <si>
    <t>Net loss</t>
  </si>
  <si>
    <t>Total liabilities and stockholders' equity</t>
  </si>
  <si>
    <t>Cash-Flows From Operating Activities</t>
  </si>
  <si>
    <t>Net income (loss)</t>
  </si>
  <si>
    <t>Depreciation and amortization</t>
  </si>
  <si>
    <t>Net cash used in operating activities</t>
  </si>
  <si>
    <t>Cash flows from investing activities:</t>
  </si>
  <si>
    <t>Net cash used in investing activities</t>
  </si>
  <si>
    <t>Cash flows from financing activities:</t>
  </si>
  <si>
    <t>Net cash provided by financing activities</t>
  </si>
  <si>
    <t>Consolidated Revenue</t>
  </si>
  <si>
    <t>Adjustments to reconcile net income:</t>
  </si>
  <si>
    <t>Balance Check</t>
  </si>
  <si>
    <t>Net Change in Cash</t>
  </si>
  <si>
    <t>Cash BOP</t>
  </si>
  <si>
    <t>Net Margin (%)</t>
  </si>
  <si>
    <t>Basic shares</t>
  </si>
  <si>
    <t>Basic EPS</t>
  </si>
  <si>
    <t>Fully Diluted Shares</t>
  </si>
  <si>
    <t>Diluted EPS</t>
  </si>
  <si>
    <t>Segment Anaysis</t>
  </si>
  <si>
    <t>Total Net Revenue</t>
  </si>
  <si>
    <t xml:space="preserve">(+/-) Other </t>
  </si>
  <si>
    <t>Credit Metrics</t>
  </si>
  <si>
    <t>Interest income</t>
  </si>
  <si>
    <t>Interest expense</t>
  </si>
  <si>
    <t>NM</t>
  </si>
  <si>
    <t>Cash paid for interest</t>
  </si>
  <si>
    <t>Adjusted Cash Position BOP</t>
  </si>
  <si>
    <t>Adjusted Cash Position EOP</t>
  </si>
  <si>
    <t xml:space="preserve">(-) Cash Interest </t>
  </si>
  <si>
    <t>Income Statement</t>
  </si>
  <si>
    <t xml:space="preserve">Balance Sheet </t>
  </si>
  <si>
    <t>Historical Financials</t>
  </si>
  <si>
    <t>Fiscal Period</t>
  </si>
  <si>
    <t>Fiscal Period End Date</t>
  </si>
  <si>
    <t>Operating Profit</t>
  </si>
  <si>
    <t>Earning Before Taxes</t>
  </si>
  <si>
    <t>EBT Margin (%)</t>
  </si>
  <si>
    <t>Current Assets</t>
  </si>
  <si>
    <t>Non-Current Assets</t>
  </si>
  <si>
    <t>Restricted Cash</t>
  </si>
  <si>
    <t>Non-Current Liabilities</t>
  </si>
  <si>
    <t>BOP Restricted Cash Adjustments (Changes in FX; Restricted Cash)</t>
  </si>
  <si>
    <t>EOP Restricted Cash Adjustments (Changes in FX; Restricted Cash)</t>
  </si>
  <si>
    <t>Total Net U.S Revenue</t>
  </si>
  <si>
    <t>Net Revenues by Channel</t>
  </si>
  <si>
    <t>(+/-) Proceeds / (Purchases) of Equity, net</t>
  </si>
  <si>
    <t>(+/-) Other Financing Activities</t>
  </si>
  <si>
    <t>Research and development</t>
  </si>
  <si>
    <t>Cash and cash equivalents</t>
  </si>
  <si>
    <t>Property and equipment, net</t>
  </si>
  <si>
    <t>Goodwill</t>
  </si>
  <si>
    <t>Additional paid-in capital</t>
  </si>
  <si>
    <t>Accumulated deficit</t>
  </si>
  <si>
    <t>Stock-based compensation</t>
  </si>
  <si>
    <t>Provision for taxes</t>
  </si>
  <si>
    <r>
      <t xml:space="preserve">1) </t>
    </r>
    <r>
      <rPr>
        <b/>
        <i/>
        <sz val="8"/>
        <color theme="1"/>
        <rFont val="Calibri"/>
        <family val="2"/>
      </rPr>
      <t xml:space="preserve">Other, net </t>
    </r>
    <r>
      <rPr>
        <i/>
        <sz val="8"/>
        <color theme="1"/>
        <rFont val="Calibri"/>
        <family val="2"/>
      </rPr>
      <t>consists of:Other + Non-cash research and development arrangements+ Deferred income taxes.</t>
    </r>
  </si>
  <si>
    <r>
      <t xml:space="preserve">2) </t>
    </r>
    <r>
      <rPr>
        <b/>
        <i/>
        <sz val="8"/>
        <color theme="1"/>
        <rFont val="Calibri"/>
        <family val="2"/>
      </rPr>
      <t xml:space="preserve">Other Investing </t>
    </r>
    <r>
      <rPr>
        <i/>
        <sz val="8"/>
        <color theme="1"/>
        <rFont val="Calibri"/>
        <family val="2"/>
      </rPr>
      <t>consists of: Other Investing + Intangible asset acquisition costs.</t>
    </r>
  </si>
  <si>
    <t>(-) Research and development</t>
  </si>
  <si>
    <t>(-) Sales and marketing</t>
  </si>
  <si>
    <t>(-) General and administrative</t>
  </si>
  <si>
    <t>(-) Depreciation and amortization</t>
  </si>
  <si>
    <t>(+/-) Maturities / (Purchases) of available-for-sale securities</t>
  </si>
  <si>
    <t>(+/-) Divestitures / (Acquisitions)</t>
  </si>
  <si>
    <t>(+/-) Other Investing Activities</t>
  </si>
  <si>
    <t>(+/-) Other Operating Activities</t>
  </si>
  <si>
    <t>Short-term Investments</t>
  </si>
  <si>
    <t>Long-term Investments</t>
  </si>
  <si>
    <t>Unearned Revenue, Current</t>
  </si>
  <si>
    <t>Unearned Revenue, Non-Current</t>
  </si>
  <si>
    <t>Consolidated Debt</t>
  </si>
  <si>
    <t>$ in thousands except per share</t>
  </si>
  <si>
    <t>Selling, general and administrative</t>
  </si>
  <si>
    <t>Accrued expenses and other current liabilities</t>
  </si>
  <si>
    <t>Supplemental disclosures of other cash flow information:</t>
  </si>
  <si>
    <r>
      <t xml:space="preserve">1) </t>
    </r>
    <r>
      <rPr>
        <b/>
        <i/>
        <sz val="8"/>
        <rFont val="Calibri"/>
        <family val="2"/>
      </rPr>
      <t>Prepaid expenses and other current assets consists of</t>
    </r>
    <r>
      <rPr>
        <i/>
        <sz val="8"/>
        <rFont val="Calibri"/>
        <family val="2"/>
      </rPr>
      <t>: Prepaid expenses and other current assets + Forward contracts + Deferred offering costs.</t>
    </r>
  </si>
  <si>
    <t>Loss on extinguishment of debt</t>
  </si>
  <si>
    <t>Revenue by Channel</t>
  </si>
  <si>
    <t>ADMA Biologics Inc (NASDAQ: ADMA)</t>
  </si>
  <si>
    <t>Plasma center operating expenses</t>
  </si>
  <si>
    <t>Amortization of intangible assets</t>
  </si>
  <si>
    <t>Other expense</t>
  </si>
  <si>
    <t>-</t>
  </si>
  <si>
    <t>Accounts receivable, net</t>
  </si>
  <si>
    <t>Inventories</t>
  </si>
  <si>
    <t>Prepaid expenses and other current assets</t>
  </si>
  <si>
    <t>Intangible assets, net</t>
  </si>
  <si>
    <t>Right-to-use assets</t>
  </si>
  <si>
    <t>Deposits and other assets</t>
  </si>
  <si>
    <t>Current portion of deferred revenue</t>
  </si>
  <si>
    <t>Current portion of lease obligations</t>
  </si>
  <si>
    <t>Senior notes payable, net of discount</t>
  </si>
  <si>
    <t>Deferred revenue, net of current portion</t>
  </si>
  <si>
    <t>End of term fee</t>
  </si>
  <si>
    <t>Lease obligations, net of current portion</t>
  </si>
  <si>
    <t>Other non-current liabilities</t>
  </si>
  <si>
    <t>Preferred Stock</t>
  </si>
  <si>
    <t xml:space="preserve">Common Stock </t>
  </si>
  <si>
    <t>Loss on disposal of fixed assets</t>
  </si>
  <si>
    <t>Interest paid in kind</t>
  </si>
  <si>
    <t>Amortization of debt discount</t>
  </si>
  <si>
    <t>Amortization of license revenue</t>
  </si>
  <si>
    <t>Accrued expenses</t>
  </si>
  <si>
    <t>Other current and non-current liabilities</t>
  </si>
  <si>
    <t>Purchase of property and equipment</t>
  </si>
  <si>
    <t>Acquisition of intangible assets</t>
  </si>
  <si>
    <t>Principal payments on notes payable</t>
  </si>
  <si>
    <t>Proceeds from issuance of common stock, net of offering expenses</t>
  </si>
  <si>
    <t>Payment of debt refinancing fees</t>
  </si>
  <si>
    <t>Proceeds from issuance of note payable</t>
  </si>
  <si>
    <t>Taxes paid on vested Restricted Stock Units</t>
  </si>
  <si>
    <t>Payments on finance lease obligations</t>
  </si>
  <si>
    <t>Net proceeds from the exercise of stock options</t>
  </si>
  <si>
    <t>Payment of end of term fee</t>
  </si>
  <si>
    <t>Payment of deferred financing fees</t>
  </si>
  <si>
    <t>United States</t>
  </si>
  <si>
    <t>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</si>
</sst>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&quot;$ &quot;#,##0_);_(&quot;$ &quot;\(#,##0\)"/>
    <numFmt numFmtId="166" formatCode="#,##0.0%;\(#,##0.0%\)"/>
    <numFmt numFmtId="167" formatCode="#,##0.0&quot;bps&quot;_);\(#,##0.0&quot;bps&quot;\)"/>
    <numFmt numFmtId="168" formatCode="#,##0.00&quot;bps&quot;_);\(#,##0.00&quot;bps&quot;\)"/>
    <numFmt numFmtId="169" formatCode="_(* #,##0.00&quot;x&quot;_);_(* \(#,##0.00&quot;x&quot;\);_(* &quot;-&quot;_);_(@_)"/>
  </numFmts>
  <fonts count="3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9"/>
      <color theme="0"/>
      <name val="Calibri"/>
      <family val="2"/>
    </font>
    <font>
      <i/>
      <sz val="9"/>
      <color theme="0"/>
      <name val="Calibri"/>
      <family val="2"/>
    </font>
    <font>
      <sz val="9"/>
      <color theme="1"/>
      <name val="Calibri"/>
      <family val="2"/>
    </font>
    <font>
      <b/>
      <i/>
      <sz val="9"/>
      <color theme="0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b/>
      <i/>
      <sz val="9"/>
      <name val="Calibri"/>
      <family val="2"/>
    </font>
    <font>
      <i/>
      <sz val="8"/>
      <name val="Calibri"/>
      <family val="2"/>
    </font>
    <font>
      <sz val="9"/>
      <color rgb="FF0000CC"/>
      <name val="Calibri"/>
      <family val="2"/>
    </font>
    <font>
      <sz val="9"/>
      <color rgb="FF0000FF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i/>
      <sz val="9"/>
      <color theme="1"/>
      <name val="Calibri"/>
      <family val="2"/>
    </font>
    <font>
      <b/>
      <sz val="9"/>
      <color indexed="8"/>
      <name val="Calibri"/>
      <family val="2"/>
    </font>
    <font>
      <sz val="9"/>
      <color rgb="FF0000E1"/>
      <name val="Calibri"/>
      <family val="2"/>
    </font>
    <font>
      <sz val="10"/>
      <name val="Arial"/>
      <family val="2"/>
    </font>
    <font>
      <sz val="9"/>
      <color rgb="FFFF0000"/>
      <name val="Tw Cen MT"/>
      <family val="2"/>
      <scheme val="minor"/>
    </font>
    <font>
      <sz val="8"/>
      <color rgb="FFFF0000"/>
      <name val="Calibri"/>
      <family val="2"/>
    </font>
    <font>
      <b/>
      <sz val="8"/>
      <color theme="1"/>
      <name val="Calibri"/>
      <family val="2"/>
    </font>
    <font>
      <i/>
      <sz val="8"/>
      <color theme="1"/>
      <name val="Calibri"/>
      <family val="2"/>
    </font>
    <font>
      <sz val="7"/>
      <color rgb="FFFF0000"/>
      <name val="Calibri"/>
      <family val="2"/>
    </font>
    <font>
      <sz val="9"/>
      <color rgb="FF00B050"/>
      <name val="Calibri"/>
      <family val="2"/>
    </font>
    <font>
      <sz val="10"/>
      <name val="Arial Narrow MT"/>
      <family val="2"/>
    </font>
    <font>
      <sz val="9"/>
      <color rgb="FF00B03C"/>
      <name val="Calibri"/>
      <family val="2"/>
    </font>
    <font>
      <b/>
      <i/>
      <sz val="8"/>
      <name val="Calibri"/>
      <family val="2"/>
    </font>
    <font>
      <b/>
      <sz val="8"/>
      <color theme="0"/>
      <name val="Calibri"/>
      <family val="2"/>
    </font>
    <font>
      <b/>
      <i/>
      <sz val="8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E5672"/>
        <bgColor indexed="64"/>
      </patternFill>
    </fill>
    <fill>
      <patternFill patternType="gray06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26" fillId="0" borderId="0" applyNumberFormat="0" applyFont="0" applyFill="0" applyBorder="0" applyAlignment="0" applyProtection="0"/>
  </cellStyleXfs>
  <cellXfs count="147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4" xfId="0" applyFont="1" applyFill="1" applyBorder="1" applyAlignment="1">
      <alignment horizontal="centerContinuous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vertical="top" wrapText="1"/>
    </xf>
    <xf numFmtId="41" fontId="4" fillId="0" borderId="0" xfId="0" applyNumberFormat="1" applyFont="1"/>
    <xf numFmtId="37" fontId="4" fillId="0" borderId="0" xfId="0" applyNumberFormat="1" applyFont="1" applyAlignment="1">
      <alignment wrapText="1"/>
    </xf>
    <xf numFmtId="0" fontId="8" fillId="3" borderId="5" xfId="0" applyFont="1" applyFill="1" applyBorder="1" applyAlignment="1">
      <alignment vertical="top" wrapText="1"/>
    </xf>
    <xf numFmtId="5" fontId="8" fillId="3" borderId="2" xfId="0" applyNumberFormat="1" applyFont="1" applyFill="1" applyBorder="1" applyAlignment="1">
      <alignment horizontal="right" vertical="top" wrapText="1"/>
    </xf>
    <xf numFmtId="0" fontId="10" fillId="0" borderId="0" xfId="0" applyFont="1" applyAlignment="1">
      <alignment horizontal="left" vertical="center" wrapText="1" indent="1"/>
    </xf>
    <xf numFmtId="166" fontId="10" fillId="0" borderId="0" xfId="1" applyNumberFormat="1" applyFont="1" applyBorder="1" applyAlignment="1">
      <alignment horizontal="right" vertical="center" wrapText="1"/>
    </xf>
    <xf numFmtId="9" fontId="6" fillId="0" borderId="0" xfId="1" applyFont="1" applyAlignment="1">
      <alignment horizontal="left" vertical="top" wrapText="1" indent="1"/>
    </xf>
    <xf numFmtId="9" fontId="11" fillId="0" borderId="0" xfId="1" applyFont="1" applyAlignment="1">
      <alignment horizontal="right" vertical="top" wrapText="1"/>
    </xf>
    <xf numFmtId="9" fontId="4" fillId="0" borderId="0" xfId="1" applyFont="1" applyAlignment="1">
      <alignment wrapText="1"/>
    </xf>
    <xf numFmtId="9" fontId="12" fillId="0" borderId="0" xfId="1" applyFont="1" applyAlignment="1">
      <alignment horizontal="right" vertical="top" wrapText="1"/>
    </xf>
    <xf numFmtId="9" fontId="4" fillId="0" borderId="0" xfId="1" applyFont="1"/>
    <xf numFmtId="0" fontId="6" fillId="0" borderId="0" xfId="0" quotePrefix="1" applyFont="1" applyAlignment="1">
      <alignment vertical="top" wrapText="1"/>
    </xf>
    <xf numFmtId="37" fontId="6" fillId="0" borderId="0" xfId="0" applyNumberFormat="1" applyFont="1" applyAlignment="1">
      <alignment horizontal="right" vertical="top" wrapText="1"/>
    </xf>
    <xf numFmtId="0" fontId="8" fillId="0" borderId="0" xfId="0" applyFont="1" applyAlignment="1">
      <alignment vertical="top" wrapText="1"/>
    </xf>
    <xf numFmtId="5" fontId="8" fillId="0" borderId="2" xfId="0" applyNumberFormat="1" applyFont="1" applyBorder="1" applyAlignment="1">
      <alignment horizontal="right" vertical="top" wrapText="1"/>
    </xf>
    <xf numFmtId="9" fontId="13" fillId="0" borderId="0" xfId="1" applyFont="1" applyBorder="1" applyAlignment="1">
      <alignment horizontal="right" vertical="center" wrapText="1"/>
    </xf>
    <xf numFmtId="0" fontId="14" fillId="0" borderId="0" xfId="0" applyFont="1" applyAlignment="1">
      <alignment wrapText="1"/>
    </xf>
    <xf numFmtId="0" fontId="7" fillId="0" borderId="0" xfId="0" applyFont="1" applyAlignment="1">
      <alignment horizontal="left" vertical="center" wrapText="1" indent="1"/>
    </xf>
    <xf numFmtId="9" fontId="6" fillId="0" borderId="0" xfId="1" applyFont="1" applyBorder="1" applyAlignment="1">
      <alignment horizontal="right" vertical="center" wrapText="1"/>
    </xf>
    <xf numFmtId="0" fontId="4" fillId="0" borderId="0" xfId="0" quotePrefix="1" applyFont="1"/>
    <xf numFmtId="41" fontId="6" fillId="0" borderId="0" xfId="0" applyNumberFormat="1" applyFont="1" applyAlignment="1">
      <alignment horizontal="right" vertical="top" wrapText="1"/>
    </xf>
    <xf numFmtId="0" fontId="2" fillId="2" borderId="0" xfId="0" applyFont="1" applyFill="1" applyAlignment="1">
      <alignment wrapText="1"/>
    </xf>
    <xf numFmtId="41" fontId="8" fillId="3" borderId="2" xfId="0" applyNumberFormat="1" applyFont="1" applyFill="1" applyBorder="1" applyAlignment="1">
      <alignment horizontal="right" vertical="top" wrapText="1"/>
    </xf>
    <xf numFmtId="0" fontId="15" fillId="0" borderId="6" xfId="0" applyFont="1" applyBorder="1"/>
    <xf numFmtId="0" fontId="15" fillId="0" borderId="0" xfId="0" applyFont="1"/>
    <xf numFmtId="0" fontId="4" fillId="0" borderId="1" xfId="0" applyFont="1" applyBorder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65" fontId="4" fillId="0" borderId="0" xfId="0" applyNumberFormat="1" applyFont="1" applyAlignment="1">
      <alignment wrapText="1"/>
    </xf>
    <xf numFmtId="37" fontId="8" fillId="0" borderId="0" xfId="0" applyNumberFormat="1" applyFont="1" applyAlignment="1">
      <alignment horizontal="right" vertical="top" wrapText="1"/>
    </xf>
    <xf numFmtId="165" fontId="15" fillId="0" borderId="0" xfId="0" applyNumberFormat="1" applyFont="1" applyAlignment="1">
      <alignment wrapText="1"/>
    </xf>
    <xf numFmtId="9" fontId="6" fillId="0" borderId="0" xfId="1" applyFont="1" applyFill="1" applyBorder="1" applyAlignment="1">
      <alignment horizontal="right" vertical="center" wrapText="1"/>
    </xf>
    <xf numFmtId="166" fontId="7" fillId="0" borderId="0" xfId="1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10" fontId="16" fillId="0" borderId="0" xfId="1" applyNumberFormat="1" applyFont="1" applyFill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5" fontId="8" fillId="0" borderId="0" xfId="0" applyNumberFormat="1" applyFont="1" applyAlignment="1">
      <alignment horizontal="right" vertical="top" wrapText="1"/>
    </xf>
    <xf numFmtId="37" fontId="15" fillId="0" borderId="0" xfId="0" applyNumberFormat="1" applyFont="1" applyAlignment="1">
      <alignment wrapText="1"/>
    </xf>
    <xf numFmtId="37" fontId="8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7" fillId="0" borderId="0" xfId="0" applyFont="1" applyAlignment="1">
      <alignment wrapText="1"/>
    </xf>
    <xf numFmtId="164" fontId="4" fillId="0" borderId="0" xfId="2" applyNumberFormat="1" applyFont="1" applyBorder="1" applyAlignment="1">
      <alignment wrapText="1"/>
    </xf>
    <xf numFmtId="0" fontId="4" fillId="0" borderId="0" xfId="0" applyFont="1" applyAlignment="1">
      <alignment horizontal="left" wrapText="1" indent="1"/>
    </xf>
    <xf numFmtId="37" fontId="11" fillId="0" borderId="0" xfId="2" applyNumberFormat="1" applyFont="1" applyBorder="1" applyAlignment="1">
      <alignment wrapText="1"/>
    </xf>
    <xf numFmtId="37" fontId="11" fillId="0" borderId="0" xfId="2" applyNumberFormat="1" applyFont="1" applyFill="1" applyBorder="1" applyAlignment="1">
      <alignment wrapText="1"/>
    </xf>
    <xf numFmtId="0" fontId="4" fillId="0" borderId="0" xfId="0" applyFont="1" applyAlignment="1">
      <alignment horizontal="left" indent="1"/>
    </xf>
    <xf numFmtId="37" fontId="8" fillId="0" borderId="0" xfId="2" applyNumberFormat="1" applyFont="1" applyBorder="1" applyAlignment="1">
      <alignment wrapText="1"/>
    </xf>
    <xf numFmtId="37" fontId="15" fillId="0" borderId="0" xfId="2" applyNumberFormat="1" applyFont="1" applyBorder="1" applyAlignment="1">
      <alignment wrapText="1"/>
    </xf>
    <xf numFmtId="37" fontId="15" fillId="0" borderId="0" xfId="2" applyNumberFormat="1" applyFont="1" applyFill="1" applyBorder="1" applyAlignment="1">
      <alignment wrapText="1"/>
    </xf>
    <xf numFmtId="37" fontId="18" fillId="0" borderId="0" xfId="2" applyNumberFormat="1" applyFont="1" applyFill="1" applyBorder="1" applyAlignment="1">
      <alignment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43" fontId="21" fillId="0" borderId="0" xfId="0" applyNumberFormat="1" applyFont="1" applyAlignment="1">
      <alignment wrapText="1"/>
    </xf>
    <xf numFmtId="0" fontId="22" fillId="0" borderId="0" xfId="0" applyFont="1" applyAlignment="1">
      <alignment wrapText="1"/>
    </xf>
    <xf numFmtId="41" fontId="8" fillId="0" borderId="0" xfId="0" applyNumberFormat="1" applyFont="1" applyAlignment="1">
      <alignment horizontal="right" vertical="top" wrapText="1"/>
    </xf>
    <xf numFmtId="0" fontId="4" fillId="0" borderId="1" xfId="0" applyFont="1" applyBorder="1" applyAlignment="1">
      <alignment wrapText="1"/>
    </xf>
    <xf numFmtId="164" fontId="4" fillId="0" borderId="1" xfId="2" applyNumberFormat="1" applyFont="1" applyBorder="1" applyAlignment="1">
      <alignment wrapText="1"/>
    </xf>
    <xf numFmtId="166" fontId="7" fillId="4" borderId="0" xfId="1" applyNumberFormat="1" applyFont="1" applyFill="1" applyBorder="1" applyAlignment="1">
      <alignment horizontal="right" vertical="center" wrapText="1"/>
    </xf>
    <xf numFmtId="166" fontId="9" fillId="4" borderId="0" xfId="1" applyNumberFormat="1" applyFont="1" applyFill="1" applyBorder="1" applyAlignment="1">
      <alignment horizontal="right" vertical="center" wrapText="1"/>
    </xf>
    <xf numFmtId="168" fontId="9" fillId="4" borderId="0" xfId="1" applyNumberFormat="1" applyFont="1" applyFill="1" applyBorder="1" applyAlignment="1">
      <alignment horizontal="right" vertical="center" wrapText="1"/>
    </xf>
    <xf numFmtId="7" fontId="8" fillId="3" borderId="2" xfId="0" applyNumberFormat="1" applyFont="1" applyFill="1" applyBorder="1" applyAlignment="1">
      <alignment horizontal="right" vertical="top" wrapText="1"/>
    </xf>
    <xf numFmtId="0" fontId="8" fillId="0" borderId="6" xfId="0" applyFont="1" applyBorder="1" applyAlignment="1">
      <alignment vertical="top" wrapText="1"/>
    </xf>
    <xf numFmtId="0" fontId="24" fillId="0" borderId="0" xfId="0" applyFont="1" applyAlignment="1">
      <alignment horizontal="right" vertical="center" wrapText="1"/>
    </xf>
    <xf numFmtId="41" fontId="24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center"/>
    </xf>
    <xf numFmtId="41" fontId="11" fillId="0" borderId="0" xfId="0" applyNumberFormat="1" applyFont="1"/>
    <xf numFmtId="41" fontId="11" fillId="0" borderId="0" xfId="0" applyNumberFormat="1" applyFont="1" applyAlignment="1">
      <alignment horizontal="right" vertical="top" wrapText="1"/>
    </xf>
    <xf numFmtId="0" fontId="4" fillId="0" borderId="0" xfId="0" quotePrefix="1" applyFont="1" applyAlignment="1">
      <alignment horizontal="left" indent="1"/>
    </xf>
    <xf numFmtId="14" fontId="3" fillId="2" borderId="0" xfId="0" quotePrefix="1" applyNumberFormat="1" applyFont="1" applyFill="1" applyAlignment="1">
      <alignment horizontal="center" vertical="center" wrapText="1"/>
    </xf>
    <xf numFmtId="41" fontId="6" fillId="5" borderId="2" xfId="0" applyNumberFormat="1" applyFont="1" applyFill="1" applyBorder="1" applyAlignment="1">
      <alignment horizontal="right" vertical="top" wrapText="1"/>
    </xf>
    <xf numFmtId="41" fontId="8" fillId="5" borderId="2" xfId="0" applyNumberFormat="1" applyFont="1" applyFill="1" applyBorder="1" applyAlignment="1">
      <alignment horizontal="right" vertical="top" wrapText="1"/>
    </xf>
    <xf numFmtId="3" fontId="4" fillId="0" borderId="0" xfId="0" applyNumberFormat="1" applyFont="1" applyAlignment="1">
      <alignment wrapText="1"/>
    </xf>
    <xf numFmtId="41" fontId="25" fillId="0" borderId="0" xfId="0" applyNumberFormat="1" applyFont="1"/>
    <xf numFmtId="37" fontId="11" fillId="0" borderId="0" xfId="0" applyNumberFormat="1" applyFont="1" applyAlignment="1">
      <alignment horizontal="right" vertical="top" wrapText="1"/>
    </xf>
    <xf numFmtId="41" fontId="6" fillId="0" borderId="0" xfId="0" applyNumberFormat="1" applyFont="1" applyAlignment="1">
      <alignment horizontal="right" wrapText="1"/>
    </xf>
    <xf numFmtId="0" fontId="2" fillId="6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166" fontId="7" fillId="0" borderId="0" xfId="1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Continuous" vertical="center" wrapText="1"/>
    </xf>
    <xf numFmtId="0" fontId="2" fillId="6" borderId="4" xfId="0" applyFont="1" applyFill="1" applyBorder="1" applyAlignment="1">
      <alignment horizontal="centerContinuous" vertical="center" wrapText="1"/>
    </xf>
    <xf numFmtId="0" fontId="4" fillId="6" borderId="0" xfId="0" applyFont="1" applyFill="1" applyAlignment="1">
      <alignment wrapText="1"/>
    </xf>
    <xf numFmtId="0" fontId="5" fillId="6" borderId="0" xfId="0" applyFont="1" applyFill="1" applyAlignment="1">
      <alignment horizontal="center" vertical="center" wrapText="1"/>
    </xf>
    <xf numFmtId="14" fontId="3" fillId="6" borderId="0" xfId="0" applyNumberFormat="1" applyFont="1" applyFill="1" applyAlignment="1">
      <alignment horizontal="center" vertical="center" wrapText="1"/>
    </xf>
    <xf numFmtId="0" fontId="2" fillId="7" borderId="0" xfId="0" applyFont="1" applyFill="1" applyAlignment="1">
      <alignment vertical="center" wrapText="1"/>
    </xf>
    <xf numFmtId="0" fontId="2" fillId="7" borderId="4" xfId="0" applyFont="1" applyFill="1" applyBorder="1" applyAlignment="1">
      <alignment horizontal="centerContinuous" vertical="center" wrapText="1"/>
    </xf>
    <xf numFmtId="0" fontId="4" fillId="7" borderId="0" xfId="0" applyFont="1" applyFill="1" applyAlignment="1">
      <alignment wrapText="1"/>
    </xf>
    <xf numFmtId="0" fontId="5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14" fontId="3" fillId="7" borderId="0" xfId="0" applyNumberFormat="1" applyFont="1" applyFill="1" applyAlignment="1">
      <alignment horizontal="center" vertical="center" wrapText="1"/>
    </xf>
    <xf numFmtId="14" fontId="3" fillId="7" borderId="0" xfId="0" applyNumberFormat="1" applyFont="1" applyFill="1" applyAlignment="1">
      <alignment vertical="center" wrapText="1"/>
    </xf>
    <xf numFmtId="5" fontId="6" fillId="0" borderId="0" xfId="0" applyNumberFormat="1" applyFont="1" applyAlignment="1">
      <alignment horizontal="right" vertical="top" wrapText="1"/>
    </xf>
    <xf numFmtId="166" fontId="10" fillId="8" borderId="0" xfId="1" applyNumberFormat="1" applyFont="1" applyFill="1" applyBorder="1" applyAlignment="1">
      <alignment horizontal="right" vertical="center" wrapText="1"/>
    </xf>
    <xf numFmtId="0" fontId="21" fillId="0" borderId="1" xfId="0" applyFont="1" applyBorder="1" applyAlignment="1">
      <alignment vertical="top" wrapText="1"/>
    </xf>
    <xf numFmtId="43" fontId="21" fillId="0" borderId="1" xfId="0" applyNumberFormat="1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41" fontId="11" fillId="0" borderId="0" xfId="0" applyNumberFormat="1" applyFont="1" applyAlignment="1">
      <alignment horizontal="right" wrapText="1"/>
    </xf>
    <xf numFmtId="41" fontId="6" fillId="0" borderId="0" xfId="0" applyNumberFormat="1" applyFont="1"/>
    <xf numFmtId="41" fontId="27" fillId="0" borderId="0" xfId="0" applyNumberFormat="1" applyFont="1"/>
    <xf numFmtId="0" fontId="14" fillId="3" borderId="0" xfId="0" applyFont="1" applyFill="1"/>
    <xf numFmtId="166" fontId="10" fillId="3" borderId="0" xfId="1" applyNumberFormat="1" applyFont="1" applyFill="1" applyBorder="1" applyAlignment="1">
      <alignment horizontal="right" vertical="center" wrapText="1"/>
    </xf>
    <xf numFmtId="166" fontId="28" fillId="3" borderId="0" xfId="1" applyNumberFormat="1" applyFont="1" applyFill="1" applyBorder="1" applyAlignment="1">
      <alignment horizontal="right" vertical="center" wrapText="1"/>
    </xf>
    <xf numFmtId="167" fontId="28" fillId="3" borderId="0" xfId="1" applyNumberFormat="1" applyFont="1" applyFill="1" applyBorder="1" applyAlignment="1">
      <alignment horizontal="right" vertical="center" wrapText="1"/>
    </xf>
    <xf numFmtId="0" fontId="14" fillId="0" borderId="0" xfId="0" applyFont="1"/>
    <xf numFmtId="41" fontId="11" fillId="8" borderId="0" xfId="0" applyNumberFormat="1" applyFont="1" applyFill="1"/>
    <xf numFmtId="41" fontId="8" fillId="5" borderId="0" xfId="0" applyNumberFormat="1" applyFont="1" applyFill="1" applyAlignment="1">
      <alignment horizontal="right" vertical="top" wrapText="1"/>
    </xf>
    <xf numFmtId="41" fontId="6" fillId="0" borderId="7" xfId="0" applyNumberFormat="1" applyFont="1" applyBorder="1" applyAlignment="1">
      <alignment horizontal="right" vertical="top" wrapText="1"/>
    </xf>
    <xf numFmtId="37" fontId="4" fillId="0" borderId="8" xfId="0" applyNumberFormat="1" applyFont="1" applyBorder="1" applyAlignment="1">
      <alignment wrapText="1"/>
    </xf>
    <xf numFmtId="41" fontId="6" fillId="0" borderId="9" xfId="0" applyNumberFormat="1" applyFont="1" applyBorder="1" applyAlignment="1">
      <alignment horizontal="right" vertical="top" wrapText="1"/>
    </xf>
    <xf numFmtId="41" fontId="6" fillId="0" borderId="8" xfId="0" applyNumberFormat="1" applyFont="1" applyBorder="1" applyAlignment="1">
      <alignment horizontal="right" vertical="top" wrapText="1"/>
    </xf>
    <xf numFmtId="41" fontId="8" fillId="5" borderId="8" xfId="0" applyNumberFormat="1" applyFont="1" applyFill="1" applyBorder="1" applyAlignment="1">
      <alignment horizontal="right" vertical="top" wrapText="1"/>
    </xf>
    <xf numFmtId="41" fontId="6" fillId="5" borderId="10" xfId="0" applyNumberFormat="1" applyFont="1" applyFill="1" applyBorder="1" applyAlignment="1">
      <alignment horizontal="right" vertical="top" wrapText="1"/>
    </xf>
    <xf numFmtId="43" fontId="21" fillId="0" borderId="11" xfId="0" applyNumberFormat="1" applyFont="1" applyBorder="1" applyAlignment="1">
      <alignment wrapText="1"/>
    </xf>
    <xf numFmtId="41" fontId="6" fillId="0" borderId="11" xfId="0" applyNumberFormat="1" applyFont="1" applyBorder="1" applyAlignment="1">
      <alignment horizontal="right" vertical="top" wrapText="1"/>
    </xf>
    <xf numFmtId="41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center" wrapText="1"/>
    </xf>
    <xf numFmtId="0" fontId="8" fillId="5" borderId="13" xfId="0" applyFont="1" applyFill="1" applyBorder="1" applyAlignment="1">
      <alignment horizontal="right" vertical="center" wrapText="1"/>
    </xf>
    <xf numFmtId="41" fontId="8" fillId="0" borderId="13" xfId="0" applyNumberFormat="1" applyFont="1" applyBorder="1" applyAlignment="1">
      <alignment horizontal="right" vertical="top" wrapText="1"/>
    </xf>
    <xf numFmtId="0" fontId="4" fillId="0" borderId="13" xfId="0" applyFont="1" applyBorder="1"/>
    <xf numFmtId="0" fontId="21" fillId="0" borderId="14" xfId="0" applyFont="1" applyBorder="1" applyAlignment="1">
      <alignment horizontal="right" vertical="top" wrapText="1"/>
    </xf>
    <xf numFmtId="41" fontId="25" fillId="8" borderId="0" xfId="0" applyNumberFormat="1" applyFont="1" applyFill="1"/>
    <xf numFmtId="0" fontId="6" fillId="0" borderId="0" xfId="0" applyFont="1"/>
    <xf numFmtId="169" fontId="16" fillId="0" borderId="0" xfId="0" applyNumberFormat="1" applyFont="1" applyAlignment="1">
      <alignment horizontal="right"/>
    </xf>
    <xf numFmtId="0" fontId="15" fillId="0" borderId="6" xfId="0" applyFont="1" applyBorder="1" applyAlignment="1">
      <alignment wrapText="1"/>
    </xf>
    <xf numFmtId="0" fontId="23" fillId="0" borderId="0" xfId="0" applyFont="1" applyAlignment="1">
      <alignment horizontal="left" wrapText="1"/>
    </xf>
    <xf numFmtId="0" fontId="23" fillId="0" borderId="3" xfId="0" applyFont="1" applyBorder="1" applyAlignment="1">
      <alignment horizontal="left" wrapText="1"/>
    </xf>
    <xf numFmtId="0" fontId="2" fillId="2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10" fillId="0" borderId="3" xfId="0" quotePrefix="1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29" fillId="2" borderId="0" xfId="0" applyFont="1" applyFill="1" applyAlignment="1">
      <alignment horizontal="center" vertical="center" wrapText="1"/>
    </xf>
  </cellXfs>
  <cellStyles count="5">
    <cellStyle name="%" xfId="3" xr:uid="{B2D0E839-0EB6-4A26-A036-4291FCE77A81}"/>
    <cellStyle name="******************************************" xfId="4" xr:uid="{7C8B12D3-B631-462E-992D-9CE2477EE747}"/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CC"/>
      <color rgb="FF00B03C"/>
      <color rgb="FF487B79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A1EF-DD86-43F0-AF53-6181CD7220DC}">
  <sheetPr>
    <tabColor rgb="FF002060"/>
  </sheetPr>
  <dimension ref="A2:AH157"/>
  <sheetViews>
    <sheetView showGridLines="0" tabSelected="1" zoomScale="115" zoomScaleNormal="115" workbookViewId="0">
      <selection activeCell="B2" sqref="B2"/>
    </sheetView>
  </sheetViews>
  <sheetFormatPr defaultRowHeight="12" outlineLevelCol="1"/>
  <cols>
    <col min="1" max="1" width="1.625" style="5" bestFit="1" customWidth="1"/>
    <col min="2" max="2" width="27.25" style="5" customWidth="1"/>
    <col min="3" max="5" width="8.625" style="5" bestFit="1" customWidth="1"/>
    <col min="6" max="6" width="1.5" style="5" customWidth="1"/>
    <col min="7" max="9" width="9.625" style="5" bestFit="1" customWidth="1" outlineLevel="1"/>
    <col min="10" max="10" width="9" style="5" bestFit="1" customWidth="1" outlineLevel="1"/>
    <col min="11" max="13" width="9.625" style="5" bestFit="1" customWidth="1" outlineLevel="1"/>
    <col min="14" max="14" width="8.625" style="5" bestFit="1" customWidth="1" outlineLevel="1"/>
    <col min="15" max="16" width="7.875" style="5" bestFit="1" customWidth="1" outlineLevel="1"/>
    <col min="17" max="17" width="7.875" style="5" bestFit="1" customWidth="1"/>
    <col min="18" max="18" width="8.625" style="5" bestFit="1" customWidth="1"/>
    <col min="19" max="20" width="7.875" style="5" bestFit="1" customWidth="1"/>
    <col min="21" max="21" width="1.5" style="5" customWidth="1"/>
    <col min="22" max="24" width="10" style="5" bestFit="1" customWidth="1" outlineLevel="1"/>
    <col min="25" max="27" width="8.625" style="5" bestFit="1" customWidth="1" outlineLevel="1"/>
    <col min="28" max="28" width="8.625" style="5" bestFit="1" customWidth="1"/>
    <col min="29" max="31" width="8.625" style="5" bestFit="1" customWidth="1" outlineLevel="1"/>
    <col min="32" max="32" width="8.625" style="5" bestFit="1" customWidth="1"/>
    <col min="33" max="33" width="1.25" style="5" customWidth="1"/>
    <col min="34" max="34" width="9.75" style="5" bestFit="1" customWidth="1"/>
    <col min="35" max="35" width="1.375" style="5" customWidth="1"/>
    <col min="36" max="16384" width="9" style="5"/>
  </cols>
  <sheetData>
    <row r="2" spans="1:34" ht="12.75" customHeight="1">
      <c r="B2" s="1" t="s">
        <v>146</v>
      </c>
      <c r="C2" s="91"/>
      <c r="D2" s="91"/>
      <c r="E2" s="91"/>
      <c r="F2" s="3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3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3"/>
      <c r="AH2" s="1"/>
    </row>
    <row r="3" spans="1:34" ht="12.75" customHeight="1">
      <c r="B3" s="6" t="s">
        <v>100</v>
      </c>
      <c r="C3" s="7"/>
      <c r="D3" s="7"/>
      <c r="E3" s="7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3"/>
      <c r="AH3" s="1"/>
    </row>
    <row r="4" spans="1:34" ht="12.75" customHeight="1">
      <c r="B4" s="6" t="s">
        <v>139</v>
      </c>
      <c r="C4" s="3"/>
      <c r="D4" s="8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1"/>
    </row>
    <row r="6" spans="1:34" ht="12.75" customHeight="1">
      <c r="A6" s="5" t="s">
        <v>20</v>
      </c>
      <c r="B6" s="1" t="s">
        <v>98</v>
      </c>
      <c r="C6" s="2" t="s">
        <v>0</v>
      </c>
      <c r="D6" s="2"/>
      <c r="E6" s="2"/>
      <c r="F6" s="3"/>
      <c r="G6" s="2" t="s">
        <v>1</v>
      </c>
      <c r="H6" s="2"/>
      <c r="I6" s="2"/>
      <c r="J6" s="2"/>
      <c r="K6" s="2"/>
      <c r="L6" s="2"/>
      <c r="M6" s="2"/>
      <c r="N6" s="2"/>
      <c r="O6" s="2"/>
      <c r="P6" s="2"/>
      <c r="Q6" s="2" t="s">
        <v>1</v>
      </c>
      <c r="R6" s="2"/>
      <c r="S6" s="2"/>
      <c r="T6" s="2"/>
      <c r="U6" s="3"/>
      <c r="V6" s="2"/>
      <c r="W6" s="2"/>
      <c r="X6" s="2"/>
      <c r="Y6" s="2"/>
      <c r="Z6" s="2"/>
      <c r="AA6" s="2"/>
      <c r="AB6" s="2" t="s">
        <v>10</v>
      </c>
      <c r="AC6" s="2"/>
      <c r="AD6" s="2"/>
      <c r="AE6" s="2"/>
      <c r="AF6" s="2"/>
      <c r="AG6" s="36"/>
      <c r="AH6" s="141" t="s">
        <v>26</v>
      </c>
    </row>
    <row r="7" spans="1:34" ht="12.75" customHeight="1">
      <c r="B7" s="6" t="s">
        <v>101</v>
      </c>
      <c r="C7" s="7">
        <v>2021</v>
      </c>
      <c r="D7" s="7">
        <v>2022</v>
      </c>
      <c r="E7" s="7">
        <v>2023</v>
      </c>
      <c r="F7" s="3"/>
      <c r="G7" s="4" t="s">
        <v>28</v>
      </c>
      <c r="H7" s="4" t="s">
        <v>29</v>
      </c>
      <c r="I7" s="4" t="s">
        <v>30</v>
      </c>
      <c r="J7" s="4" t="s">
        <v>31</v>
      </c>
      <c r="K7" s="4" t="s">
        <v>6</v>
      </c>
      <c r="L7" s="4" t="s">
        <v>7</v>
      </c>
      <c r="M7" s="4" t="s">
        <v>8</v>
      </c>
      <c r="N7" s="4" t="s">
        <v>9</v>
      </c>
      <c r="O7" s="4" t="s">
        <v>2</v>
      </c>
      <c r="P7" s="4" t="s">
        <v>3</v>
      </c>
      <c r="Q7" s="4" t="s">
        <v>4</v>
      </c>
      <c r="R7" s="4" t="s">
        <v>5</v>
      </c>
      <c r="S7" s="4" t="s">
        <v>32</v>
      </c>
      <c r="T7" s="4" t="s">
        <v>33</v>
      </c>
      <c r="U7" s="4"/>
      <c r="V7" s="4" t="str">
        <f t="shared" ref="V7:AE8" si="0">J7</f>
        <v>4Q22</v>
      </c>
      <c r="W7" s="4" t="str">
        <f t="shared" si="0"/>
        <v>1Q23</v>
      </c>
      <c r="X7" s="4" t="str">
        <f t="shared" si="0"/>
        <v>2Q23</v>
      </c>
      <c r="Y7" s="4" t="str">
        <f t="shared" si="0"/>
        <v>3Q23</v>
      </c>
      <c r="Z7" s="4" t="str">
        <f t="shared" si="0"/>
        <v>4Q23</v>
      </c>
      <c r="AA7" s="4" t="str">
        <f t="shared" si="0"/>
        <v>1Q24</v>
      </c>
      <c r="AB7" s="4" t="str">
        <f t="shared" si="0"/>
        <v>2Q24</v>
      </c>
      <c r="AC7" s="4" t="str">
        <f t="shared" si="0"/>
        <v>3Q24</v>
      </c>
      <c r="AD7" s="4" t="str">
        <f t="shared" si="0"/>
        <v>4Q24</v>
      </c>
      <c r="AE7" s="4" t="str">
        <f t="shared" si="0"/>
        <v>1Q25</v>
      </c>
      <c r="AF7" s="4" t="str">
        <f>T7</f>
        <v>2Q25</v>
      </c>
      <c r="AG7" s="36"/>
      <c r="AH7" s="141"/>
    </row>
    <row r="8" spans="1:34" ht="12.75" customHeight="1">
      <c r="B8" s="6" t="s">
        <v>102</v>
      </c>
      <c r="C8" s="3">
        <v>44561</v>
      </c>
      <c r="D8" s="81">
        <v>44926</v>
      </c>
      <c r="E8" s="3">
        <v>45291</v>
      </c>
      <c r="F8" s="3"/>
      <c r="G8" s="3">
        <v>44651</v>
      </c>
      <c r="H8" s="3">
        <v>44742</v>
      </c>
      <c r="I8" s="3">
        <v>44834</v>
      </c>
      <c r="J8" s="3">
        <v>44926</v>
      </c>
      <c r="K8" s="3">
        <v>45016</v>
      </c>
      <c r="L8" s="3">
        <v>45107</v>
      </c>
      <c r="M8" s="3">
        <v>45199</v>
      </c>
      <c r="N8" s="3">
        <v>45291</v>
      </c>
      <c r="O8" s="3">
        <v>45382</v>
      </c>
      <c r="P8" s="3">
        <v>45473</v>
      </c>
      <c r="Q8" s="3">
        <v>45565</v>
      </c>
      <c r="R8" s="3">
        <v>45657</v>
      </c>
      <c r="S8" s="3">
        <v>45747</v>
      </c>
      <c r="T8" s="3">
        <v>45838</v>
      </c>
      <c r="U8" s="3"/>
      <c r="V8" s="3">
        <f t="shared" si="0"/>
        <v>44926</v>
      </c>
      <c r="W8" s="3">
        <f t="shared" si="0"/>
        <v>45016</v>
      </c>
      <c r="X8" s="3">
        <f t="shared" si="0"/>
        <v>45107</v>
      </c>
      <c r="Y8" s="3">
        <f t="shared" si="0"/>
        <v>45199</v>
      </c>
      <c r="Z8" s="3">
        <f t="shared" si="0"/>
        <v>45291</v>
      </c>
      <c r="AA8" s="3">
        <f t="shared" si="0"/>
        <v>45382</v>
      </c>
      <c r="AB8" s="3">
        <f t="shared" si="0"/>
        <v>45473</v>
      </c>
      <c r="AC8" s="3">
        <f t="shared" si="0"/>
        <v>45565</v>
      </c>
      <c r="AD8" s="3">
        <f t="shared" si="0"/>
        <v>45657</v>
      </c>
      <c r="AE8" s="3">
        <f t="shared" si="0"/>
        <v>45747</v>
      </c>
      <c r="AF8" s="3">
        <f>T8</f>
        <v>45838</v>
      </c>
      <c r="AG8" s="36"/>
      <c r="AH8" s="141"/>
    </row>
    <row r="9" spans="1:34" ht="5.0999999999999996" customHeight="1">
      <c r="AH9" s="90"/>
    </row>
    <row r="10" spans="1:34" ht="12.75" customHeight="1">
      <c r="B10" s="9" t="s">
        <v>77</v>
      </c>
      <c r="C10" s="86">
        <v>80943</v>
      </c>
      <c r="D10" s="86">
        <v>154080</v>
      </c>
      <c r="E10" s="86">
        <v>258215</v>
      </c>
      <c r="F10" s="11"/>
      <c r="G10" s="86">
        <v>29103.093000000001</v>
      </c>
      <c r="H10" s="86">
        <v>33905.006999999998</v>
      </c>
      <c r="I10" s="86">
        <v>41090.137000000002</v>
      </c>
      <c r="J10" s="30">
        <f>SUM(D10-SUM(G10:I10))</f>
        <v>49981.763000000006</v>
      </c>
      <c r="K10" s="86">
        <v>56913.534</v>
      </c>
      <c r="L10" s="86">
        <v>60123.190999999999</v>
      </c>
      <c r="M10" s="86">
        <v>67274.597999999998</v>
      </c>
      <c r="N10" s="30">
        <f>SUM(E10-SUM(K10:M10))</f>
        <v>73903.676999999996</v>
      </c>
      <c r="O10" s="86">
        <v>81875</v>
      </c>
      <c r="P10" s="86">
        <v>107191</v>
      </c>
      <c r="Q10" s="86"/>
      <c r="R10" s="30">
        <f>SUM(E10-SUM(O10:Q10))</f>
        <v>69149</v>
      </c>
      <c r="S10" s="86"/>
      <c r="T10" s="86"/>
      <c r="U10" s="30"/>
      <c r="V10" s="30">
        <f t="shared" ref="V10:AE10" si="1">SUM(G10:J10)</f>
        <v>154080</v>
      </c>
      <c r="W10" s="30">
        <f t="shared" si="1"/>
        <v>181890.44099999999</v>
      </c>
      <c r="X10" s="30">
        <f t="shared" si="1"/>
        <v>208108.625</v>
      </c>
      <c r="Y10" s="30">
        <f t="shared" si="1"/>
        <v>234293.08600000001</v>
      </c>
      <c r="Z10" s="30">
        <f t="shared" si="1"/>
        <v>258215</v>
      </c>
      <c r="AA10" s="30">
        <f t="shared" si="1"/>
        <v>283176.46600000001</v>
      </c>
      <c r="AB10" s="30">
        <f t="shared" si="1"/>
        <v>330244.27500000002</v>
      </c>
      <c r="AC10" s="30">
        <f t="shared" si="1"/>
        <v>262969.67700000003</v>
      </c>
      <c r="AD10" s="30">
        <f t="shared" si="1"/>
        <v>258215</v>
      </c>
      <c r="AE10" s="30">
        <f t="shared" si="1"/>
        <v>176340</v>
      </c>
      <c r="AF10" s="30">
        <f>SUM(Q10:T10)</f>
        <v>69149</v>
      </c>
      <c r="AG10" s="38"/>
      <c r="AH10" s="70">
        <f>SUM(AF10/AB10)-1</f>
        <v>-0.79061257004379559</v>
      </c>
    </row>
    <row r="11" spans="1:34" ht="12.75" customHeight="1">
      <c r="B11" s="12" t="s">
        <v>12</v>
      </c>
      <c r="C11" s="13">
        <f t="shared" ref="C11:E11" si="2">+SUM(C10:C10)</f>
        <v>80943</v>
      </c>
      <c r="D11" s="13">
        <f t="shared" si="2"/>
        <v>154080</v>
      </c>
      <c r="E11" s="13">
        <f t="shared" si="2"/>
        <v>258215</v>
      </c>
      <c r="F11" s="11"/>
      <c r="G11" s="13">
        <f t="shared" ref="G11:T11" si="3">+SUM(G10:G10)</f>
        <v>29103.093000000001</v>
      </c>
      <c r="H11" s="13">
        <f t="shared" si="3"/>
        <v>33905.006999999998</v>
      </c>
      <c r="I11" s="13">
        <f t="shared" si="3"/>
        <v>41090.137000000002</v>
      </c>
      <c r="J11" s="13">
        <f t="shared" si="3"/>
        <v>49981.763000000006</v>
      </c>
      <c r="K11" s="13">
        <f t="shared" si="3"/>
        <v>56913.534</v>
      </c>
      <c r="L11" s="13">
        <f t="shared" si="3"/>
        <v>60123.190999999999</v>
      </c>
      <c r="M11" s="13">
        <f t="shared" si="3"/>
        <v>67274.597999999998</v>
      </c>
      <c r="N11" s="13">
        <f t="shared" si="3"/>
        <v>73903.676999999996</v>
      </c>
      <c r="O11" s="13">
        <f t="shared" si="3"/>
        <v>81875</v>
      </c>
      <c r="P11" s="13">
        <f t="shared" si="3"/>
        <v>107191</v>
      </c>
      <c r="Q11" s="13">
        <f t="shared" si="3"/>
        <v>0</v>
      </c>
      <c r="R11" s="13">
        <f t="shared" si="3"/>
        <v>69149</v>
      </c>
      <c r="S11" s="13">
        <f t="shared" si="3"/>
        <v>0</v>
      </c>
      <c r="T11" s="13">
        <f t="shared" si="3"/>
        <v>0</v>
      </c>
      <c r="V11" s="13">
        <f t="shared" ref="V11:AF11" si="4">+SUM(V10:V10)</f>
        <v>154080</v>
      </c>
      <c r="W11" s="13">
        <f t="shared" si="4"/>
        <v>181890.44099999999</v>
      </c>
      <c r="X11" s="13">
        <f t="shared" si="4"/>
        <v>208108.625</v>
      </c>
      <c r="Y11" s="13">
        <f t="shared" si="4"/>
        <v>234293.08600000001</v>
      </c>
      <c r="Z11" s="13">
        <f t="shared" si="4"/>
        <v>258215</v>
      </c>
      <c r="AA11" s="13">
        <f t="shared" si="4"/>
        <v>283176.46600000001</v>
      </c>
      <c r="AB11" s="13">
        <f t="shared" si="4"/>
        <v>330244.27500000002</v>
      </c>
      <c r="AC11" s="13">
        <f t="shared" si="4"/>
        <v>262969.67700000003</v>
      </c>
      <c r="AD11" s="13">
        <f t="shared" si="4"/>
        <v>258215</v>
      </c>
      <c r="AE11" s="13">
        <f t="shared" si="4"/>
        <v>176340</v>
      </c>
      <c r="AF11" s="13">
        <f t="shared" si="4"/>
        <v>69149</v>
      </c>
      <c r="AG11" s="38"/>
      <c r="AH11" s="71">
        <f t="shared" ref="AH11:AH32" si="5">SUM(AF11/AB11)-1</f>
        <v>-0.79061257004379559</v>
      </c>
    </row>
    <row r="12" spans="1:34" s="18" customFormat="1" ht="5.0999999999999996" customHeight="1">
      <c r="B12" s="16"/>
      <c r="C12" s="17"/>
      <c r="D12" s="17"/>
      <c r="E12" s="17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AH12" s="70"/>
    </row>
    <row r="13" spans="1:34" ht="12.75" customHeight="1">
      <c r="B13" s="9" t="s">
        <v>13</v>
      </c>
      <c r="C13" s="79">
        <v>-79770</v>
      </c>
      <c r="D13" s="79">
        <v>-118815</v>
      </c>
      <c r="E13" s="79">
        <v>-169273</v>
      </c>
      <c r="F13" s="22"/>
      <c r="G13" s="86">
        <v>-25441.045999999998</v>
      </c>
      <c r="H13" s="86">
        <v>-26135.614000000001</v>
      </c>
      <c r="I13" s="86">
        <v>-31433.495999999999</v>
      </c>
      <c r="J13" s="30">
        <f>SUM(D13-SUM(G13:I13))</f>
        <v>-35804.843999999997</v>
      </c>
      <c r="K13" s="86">
        <v>-40400.544000000002</v>
      </c>
      <c r="L13" s="86">
        <v>-43433.188000000002</v>
      </c>
      <c r="M13" s="86">
        <v>-42622.012999999999</v>
      </c>
      <c r="N13" s="30">
        <f>SUM(E13-SUM(K13:M13))</f>
        <v>-42817.255000000005</v>
      </c>
      <c r="O13" s="86">
        <v>-42767</v>
      </c>
      <c r="P13" s="86">
        <v>-49738</v>
      </c>
      <c r="Q13" s="79"/>
      <c r="R13" s="30">
        <f>SUM(E13-SUM(O13:Q13))</f>
        <v>-76768</v>
      </c>
      <c r="S13" s="79"/>
      <c r="T13" s="79"/>
      <c r="V13" s="30">
        <f t="shared" ref="V13:AA13" si="6">SUM(H13:K13)</f>
        <v>-133774.49799999999</v>
      </c>
      <c r="W13" s="30">
        <f t="shared" si="6"/>
        <v>-151072.07199999999</v>
      </c>
      <c r="X13" s="30">
        <f t="shared" si="6"/>
        <v>-162260.58900000001</v>
      </c>
      <c r="Y13" s="30">
        <f t="shared" si="6"/>
        <v>-169273</v>
      </c>
      <c r="Z13" s="30">
        <f t="shared" si="6"/>
        <v>-171639.45600000001</v>
      </c>
      <c r="AA13" s="30">
        <f t="shared" si="6"/>
        <v>-177944.26800000001</v>
      </c>
      <c r="AB13" s="30">
        <f t="shared" ref="AB13" si="7">SUM(M13:P13)</f>
        <v>-177944.26800000001</v>
      </c>
      <c r="AC13" s="30">
        <f t="shared" ref="AC13" si="8">SUM(N13:Q13)</f>
        <v>-135322.255</v>
      </c>
      <c r="AD13" s="30">
        <f t="shared" ref="AD13" si="9">SUM(O13:R13)</f>
        <v>-169273</v>
      </c>
      <c r="AE13" s="30">
        <f t="shared" ref="AE13" si="10">SUM(P13:S13)</f>
        <v>-126506</v>
      </c>
      <c r="AF13" s="30">
        <f>SUM(Q13:T13)</f>
        <v>-76768</v>
      </c>
      <c r="AG13" s="11"/>
      <c r="AH13" s="70">
        <f t="shared" si="5"/>
        <v>-0.56858402429686583</v>
      </c>
    </row>
    <row r="14" spans="1:34" ht="12.75" customHeight="1">
      <c r="B14" s="23" t="s">
        <v>24</v>
      </c>
      <c r="C14" s="24">
        <f t="shared" ref="C14:E14" si="11">+SUM(C11+SUM(C13:C13))</f>
        <v>1173</v>
      </c>
      <c r="D14" s="24">
        <f t="shared" si="11"/>
        <v>35265</v>
      </c>
      <c r="E14" s="24">
        <f t="shared" si="11"/>
        <v>88942</v>
      </c>
      <c r="G14" s="24">
        <f t="shared" ref="G14:T14" si="12">+SUM(G11+SUM(G13:G13))</f>
        <v>3662.0470000000023</v>
      </c>
      <c r="H14" s="24">
        <f t="shared" si="12"/>
        <v>7769.3929999999964</v>
      </c>
      <c r="I14" s="24">
        <f t="shared" si="12"/>
        <v>9656.6410000000033</v>
      </c>
      <c r="J14" s="24">
        <f t="shared" si="12"/>
        <v>14176.919000000009</v>
      </c>
      <c r="K14" s="24">
        <f t="shared" si="12"/>
        <v>16512.989999999998</v>
      </c>
      <c r="L14" s="24">
        <f t="shared" si="12"/>
        <v>16690.002999999997</v>
      </c>
      <c r="M14" s="24">
        <f t="shared" si="12"/>
        <v>24652.584999999999</v>
      </c>
      <c r="N14" s="24">
        <f t="shared" si="12"/>
        <v>31086.421999999991</v>
      </c>
      <c r="O14" s="24">
        <f t="shared" si="12"/>
        <v>39108</v>
      </c>
      <c r="P14" s="24">
        <f t="shared" si="12"/>
        <v>57453</v>
      </c>
      <c r="Q14" s="24">
        <f t="shared" si="12"/>
        <v>0</v>
      </c>
      <c r="R14" s="24">
        <f t="shared" si="12"/>
        <v>-7619</v>
      </c>
      <c r="S14" s="24">
        <f t="shared" si="12"/>
        <v>0</v>
      </c>
      <c r="T14" s="24">
        <f t="shared" si="12"/>
        <v>0</v>
      </c>
      <c r="V14" s="24">
        <f t="shared" ref="V14:AF14" si="13">+SUM(V11+SUM(V13:V13))</f>
        <v>20305.502000000008</v>
      </c>
      <c r="W14" s="24">
        <f t="shared" si="13"/>
        <v>30818.369000000006</v>
      </c>
      <c r="X14" s="24">
        <f t="shared" si="13"/>
        <v>45848.035999999993</v>
      </c>
      <c r="Y14" s="24">
        <f t="shared" si="13"/>
        <v>65020.08600000001</v>
      </c>
      <c r="Z14" s="24">
        <f t="shared" si="13"/>
        <v>86575.543999999994</v>
      </c>
      <c r="AA14" s="24">
        <f t="shared" si="13"/>
        <v>105232.198</v>
      </c>
      <c r="AB14" s="24">
        <f t="shared" si="13"/>
        <v>152300.00700000001</v>
      </c>
      <c r="AC14" s="24">
        <f t="shared" si="13"/>
        <v>127647.42200000002</v>
      </c>
      <c r="AD14" s="24">
        <f t="shared" si="13"/>
        <v>88942</v>
      </c>
      <c r="AE14" s="24">
        <f t="shared" si="13"/>
        <v>49834</v>
      </c>
      <c r="AF14" s="24">
        <f t="shared" si="13"/>
        <v>-7619</v>
      </c>
      <c r="AG14" s="40"/>
      <c r="AH14" s="71">
        <f t="shared" si="5"/>
        <v>-1.0500262616534219</v>
      </c>
    </row>
    <row r="15" spans="1:34" ht="12.75" customHeight="1">
      <c r="B15" s="14" t="s">
        <v>38</v>
      </c>
      <c r="C15" s="15">
        <f t="shared" ref="C15:E15" si="14">C14/C11</f>
        <v>1.4491679329898817E-2</v>
      </c>
      <c r="D15" s="15">
        <f t="shared" si="14"/>
        <v>0.22887461059190031</v>
      </c>
      <c r="E15" s="15">
        <f t="shared" si="14"/>
        <v>0.34444939294773735</v>
      </c>
      <c r="F15" s="25"/>
      <c r="G15" s="15">
        <f t="shared" ref="G15:T15" si="15">G14/G11</f>
        <v>0.12583016519927975</v>
      </c>
      <c r="H15" s="15">
        <f t="shared" si="15"/>
        <v>0.22915178870188693</v>
      </c>
      <c r="I15" s="15">
        <f t="shared" si="15"/>
        <v>0.23501116581821088</v>
      </c>
      <c r="J15" s="15">
        <f t="shared" si="15"/>
        <v>0.28364183552308886</v>
      </c>
      <c r="K15" s="15">
        <f t="shared" si="15"/>
        <v>0.29014170864877231</v>
      </c>
      <c r="L15" s="15">
        <f t="shared" si="15"/>
        <v>0.27759675962641434</v>
      </c>
      <c r="M15" s="15">
        <f t="shared" si="15"/>
        <v>0.36644715439250936</v>
      </c>
      <c r="N15" s="15">
        <f t="shared" si="15"/>
        <v>0.42063430754602366</v>
      </c>
      <c r="O15" s="15">
        <f t="shared" si="15"/>
        <v>0.47765496183206108</v>
      </c>
      <c r="P15" s="15">
        <f t="shared" si="15"/>
        <v>0.53598716310137973</v>
      </c>
      <c r="Q15" s="15" t="e">
        <f t="shared" si="15"/>
        <v>#DIV/0!</v>
      </c>
      <c r="R15" s="15">
        <f t="shared" si="15"/>
        <v>-0.11018235983166785</v>
      </c>
      <c r="S15" s="15" t="e">
        <f t="shared" si="15"/>
        <v>#DIV/0!</v>
      </c>
      <c r="T15" s="15" t="e">
        <f t="shared" si="15"/>
        <v>#DIV/0!</v>
      </c>
      <c r="U15" s="26"/>
      <c r="V15" s="15">
        <f t="shared" ref="V15:AF15" si="16">V14/V11</f>
        <v>0.13178544911734169</v>
      </c>
      <c r="W15" s="15">
        <f t="shared" si="16"/>
        <v>0.16943369223014862</v>
      </c>
      <c r="X15" s="15">
        <f t="shared" si="16"/>
        <v>0.22030819722152309</v>
      </c>
      <c r="Y15" s="15">
        <f t="shared" si="16"/>
        <v>0.27751602537686498</v>
      </c>
      <c r="Z15" s="15">
        <f t="shared" si="16"/>
        <v>0.33528472009759308</v>
      </c>
      <c r="AA15" s="15">
        <f t="shared" si="16"/>
        <v>0.37161350124342607</v>
      </c>
      <c r="AB15" s="15">
        <f t="shared" si="16"/>
        <v>0.46117379930356101</v>
      </c>
      <c r="AC15" s="15">
        <f t="shared" si="16"/>
        <v>0.48540738025852315</v>
      </c>
      <c r="AD15" s="15">
        <f t="shared" si="16"/>
        <v>0.34444939294773735</v>
      </c>
      <c r="AE15" s="15">
        <f t="shared" si="16"/>
        <v>0.28260179199274127</v>
      </c>
      <c r="AF15" s="15">
        <f t="shared" si="16"/>
        <v>-0.11018235983166785</v>
      </c>
      <c r="AG15" s="40"/>
      <c r="AH15" s="72">
        <f>SUM(AF15-AB15)*1000</f>
        <v>-571.35615913522884</v>
      </c>
    </row>
    <row r="16" spans="1:34" ht="5.0999999999999996" customHeight="1"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40"/>
      <c r="AH16" s="70"/>
    </row>
    <row r="17" spans="2:34" ht="12.75" customHeight="1">
      <c r="B17" s="9" t="s">
        <v>116</v>
      </c>
      <c r="C17" s="79">
        <v>-3646</v>
      </c>
      <c r="D17" s="79">
        <v>-3614</v>
      </c>
      <c r="E17" s="79">
        <v>-3300</v>
      </c>
      <c r="F17" s="30"/>
      <c r="G17" s="79">
        <v>-624.11099999999999</v>
      </c>
      <c r="H17" s="79">
        <v>-873.38599999999997</v>
      </c>
      <c r="I17" s="79">
        <v>-1041.9469999999999</v>
      </c>
      <c r="J17" s="30">
        <f t="shared" ref="J17:J20" si="17">SUM(D17-SUM(G17:I17))</f>
        <v>-1074.5560000000005</v>
      </c>
      <c r="K17" s="79">
        <v>-855.351</v>
      </c>
      <c r="L17" s="79">
        <v>-1403.26</v>
      </c>
      <c r="M17" s="79">
        <v>-595.90300000000002</v>
      </c>
      <c r="N17" s="30">
        <f t="shared" ref="N17:N20" si="18">SUM(E17-SUM(K17:M17))</f>
        <v>-445.48599999999988</v>
      </c>
      <c r="O17" s="79">
        <v>-450</v>
      </c>
      <c r="P17" s="79">
        <v>-560</v>
      </c>
      <c r="Q17" s="79"/>
      <c r="R17" s="30">
        <f t="shared" ref="R17:R20" si="19">SUM(E17-SUM(O17:Q17))</f>
        <v>-2290</v>
      </c>
      <c r="S17" s="79"/>
      <c r="T17" s="79"/>
      <c r="V17" s="30">
        <f t="shared" ref="V17:AA20" si="20">SUM(H17:K17)</f>
        <v>-3845.2400000000002</v>
      </c>
      <c r="W17" s="30">
        <f t="shared" si="20"/>
        <v>-4375.1140000000005</v>
      </c>
      <c r="X17" s="30">
        <f t="shared" si="20"/>
        <v>-3929.0700000000006</v>
      </c>
      <c r="Y17" s="30">
        <f t="shared" si="20"/>
        <v>-3300</v>
      </c>
      <c r="Z17" s="30">
        <f t="shared" si="20"/>
        <v>-2894.6489999999999</v>
      </c>
      <c r="AA17" s="30">
        <f t="shared" si="20"/>
        <v>-2051.3890000000001</v>
      </c>
      <c r="AB17" s="30">
        <f t="shared" ref="AB17:AB20" si="21">SUM(M17:P17)</f>
        <v>-2051.3890000000001</v>
      </c>
      <c r="AC17" s="30">
        <f t="shared" ref="AC17:AC20" si="22">SUM(N17:Q17)</f>
        <v>-1455.4859999999999</v>
      </c>
      <c r="AD17" s="30">
        <f t="shared" ref="AD17:AD20" si="23">SUM(O17:R17)</f>
        <v>-3300</v>
      </c>
      <c r="AE17" s="30">
        <f t="shared" ref="AE17:AE20" si="24">SUM(P17:S17)</f>
        <v>-2850</v>
      </c>
      <c r="AF17" s="30">
        <f t="shared" ref="AF17:AF20" si="25">SUM(Q17:T17)</f>
        <v>-2290</v>
      </c>
      <c r="AG17" s="11"/>
      <c r="AH17" s="70">
        <f t="shared" si="5"/>
        <v>0.11631679803294248</v>
      </c>
    </row>
    <row r="18" spans="2:34" ht="12.75" customHeight="1">
      <c r="B18" s="9" t="s">
        <v>147</v>
      </c>
      <c r="C18" s="79">
        <v>-12289</v>
      </c>
      <c r="D18" s="79">
        <v>-17843</v>
      </c>
      <c r="E18" s="79">
        <v>-4266</v>
      </c>
      <c r="F18" s="30"/>
      <c r="G18" s="79">
        <v>-3974.5889999999999</v>
      </c>
      <c r="H18" s="79">
        <v>-3921.4859999999999</v>
      </c>
      <c r="I18" s="79">
        <v>-4859.45</v>
      </c>
      <c r="J18" s="30">
        <f t="shared" si="17"/>
        <v>-5087.4750000000004</v>
      </c>
      <c r="K18" s="79">
        <v>-1780.463</v>
      </c>
      <c r="L18" s="79">
        <v>-1333.424</v>
      </c>
      <c r="M18" s="79">
        <v>-466.89800000000002</v>
      </c>
      <c r="N18" s="30">
        <f t="shared" si="18"/>
        <v>-685.21500000000015</v>
      </c>
      <c r="O18" s="79">
        <v>-1005</v>
      </c>
      <c r="P18" s="79">
        <v>-942</v>
      </c>
      <c r="Q18" s="79"/>
      <c r="R18" s="30">
        <f t="shared" si="19"/>
        <v>-2319</v>
      </c>
      <c r="S18" s="79"/>
      <c r="T18" s="79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11"/>
      <c r="AH18" s="70"/>
    </row>
    <row r="19" spans="2:34" ht="12.75" customHeight="1">
      <c r="B19" s="9" t="s">
        <v>148</v>
      </c>
      <c r="C19" s="79">
        <v>-715</v>
      </c>
      <c r="D19" s="79">
        <v>-715</v>
      </c>
      <c r="E19" s="79">
        <v>-724</v>
      </c>
      <c r="F19" s="30"/>
      <c r="G19" s="79">
        <v>-178.83799999999999</v>
      </c>
      <c r="H19" s="79">
        <v>-178.83799999999999</v>
      </c>
      <c r="I19" s="79">
        <v>-178.83799999999999</v>
      </c>
      <c r="J19" s="30">
        <f t="shared" si="17"/>
        <v>-178.48599999999999</v>
      </c>
      <c r="K19" s="79">
        <v>-178.83799999999999</v>
      </c>
      <c r="L19" s="79">
        <v>-178.83799999999999</v>
      </c>
      <c r="M19" s="79">
        <v>-178.83799999999999</v>
      </c>
      <c r="N19" s="30">
        <f t="shared" si="18"/>
        <v>-187.48599999999999</v>
      </c>
      <c r="O19" s="79">
        <v>-193</v>
      </c>
      <c r="P19" s="79">
        <v>-142</v>
      </c>
      <c r="Q19" s="79"/>
      <c r="R19" s="30">
        <f t="shared" si="19"/>
        <v>-389</v>
      </c>
      <c r="S19" s="79"/>
      <c r="T19" s="79"/>
      <c r="V19" s="30">
        <f t="shared" si="20"/>
        <v>-715</v>
      </c>
      <c r="W19" s="30">
        <f t="shared" si="20"/>
        <v>-714.99999999999989</v>
      </c>
      <c r="X19" s="30">
        <f t="shared" si="20"/>
        <v>-714.99999999999989</v>
      </c>
      <c r="Y19" s="30">
        <f t="shared" si="20"/>
        <v>-724</v>
      </c>
      <c r="Z19" s="30">
        <f t="shared" si="20"/>
        <v>-738.16200000000003</v>
      </c>
      <c r="AA19" s="30">
        <f t="shared" si="20"/>
        <v>-701.32399999999996</v>
      </c>
      <c r="AB19" s="30">
        <f t="shared" si="21"/>
        <v>-701.32399999999996</v>
      </c>
      <c r="AC19" s="30">
        <f t="shared" si="22"/>
        <v>-522.48599999999999</v>
      </c>
      <c r="AD19" s="30">
        <f t="shared" si="23"/>
        <v>-724</v>
      </c>
      <c r="AE19" s="30">
        <f t="shared" si="24"/>
        <v>-531</v>
      </c>
      <c r="AF19" s="30">
        <f t="shared" si="25"/>
        <v>-389</v>
      </c>
      <c r="AG19" s="11"/>
      <c r="AH19" s="70">
        <f t="shared" si="5"/>
        <v>-0.44533482384746559</v>
      </c>
    </row>
    <row r="20" spans="2:34" ht="12.75" customHeight="1">
      <c r="B20" s="9" t="s">
        <v>140</v>
      </c>
      <c r="C20" s="79">
        <v>-42897</v>
      </c>
      <c r="D20" s="79">
        <v>-52458</v>
      </c>
      <c r="E20" s="79">
        <v>-59020</v>
      </c>
      <c r="F20" s="30"/>
      <c r="G20" s="79">
        <v>-13699.575000000001</v>
      </c>
      <c r="H20" s="79">
        <v>-11970.422</v>
      </c>
      <c r="I20" s="79">
        <v>-12893.138999999999</v>
      </c>
      <c r="J20" s="30">
        <f t="shared" si="17"/>
        <v>-13894.864000000001</v>
      </c>
      <c r="K20" s="79">
        <v>-14511.656000000001</v>
      </c>
      <c r="L20" s="79">
        <v>-14247.558000000001</v>
      </c>
      <c r="M20" s="79">
        <v>-14725.787</v>
      </c>
      <c r="N20" s="30">
        <f t="shared" si="18"/>
        <v>-15534.998999999996</v>
      </c>
      <c r="O20" s="79">
        <v>-15639</v>
      </c>
      <c r="P20" s="79">
        <v>-16608</v>
      </c>
      <c r="Q20" s="79"/>
      <c r="R20" s="30">
        <f t="shared" si="19"/>
        <v>-26773</v>
      </c>
      <c r="S20" s="79"/>
      <c r="T20" s="79"/>
      <c r="V20" s="30">
        <f t="shared" si="20"/>
        <v>-53270.081000000006</v>
      </c>
      <c r="W20" s="30">
        <f t="shared" si="20"/>
        <v>-55547.217000000004</v>
      </c>
      <c r="X20" s="30">
        <f t="shared" si="20"/>
        <v>-57379.865000000005</v>
      </c>
      <c r="Y20" s="30">
        <f t="shared" si="20"/>
        <v>-59020</v>
      </c>
      <c r="Z20" s="30">
        <f t="shared" si="20"/>
        <v>-60147.343999999997</v>
      </c>
      <c r="AA20" s="30">
        <f t="shared" si="20"/>
        <v>-62507.785999999993</v>
      </c>
      <c r="AB20" s="30">
        <f t="shared" si="21"/>
        <v>-62507.785999999993</v>
      </c>
      <c r="AC20" s="30">
        <f t="shared" si="22"/>
        <v>-47781.998999999996</v>
      </c>
      <c r="AD20" s="30">
        <f t="shared" si="23"/>
        <v>-59020</v>
      </c>
      <c r="AE20" s="30">
        <f t="shared" si="24"/>
        <v>-43381</v>
      </c>
      <c r="AF20" s="30">
        <f t="shared" si="25"/>
        <v>-26773</v>
      </c>
      <c r="AG20" s="11"/>
      <c r="AH20" s="70">
        <f t="shared" si="5"/>
        <v>-0.57168535772487594</v>
      </c>
    </row>
    <row r="21" spans="2:34" ht="12.75" customHeight="1">
      <c r="B21" s="23" t="s">
        <v>103</v>
      </c>
      <c r="C21" s="24">
        <f>+SUM(C14+SUM(C17:C20))</f>
        <v>-58374</v>
      </c>
      <c r="D21" s="24">
        <f>+SUM(D14+SUM(D17:D20))</f>
        <v>-39365</v>
      </c>
      <c r="E21" s="24">
        <f>+SUM(E14+SUM(E17:E20))</f>
        <v>21632</v>
      </c>
      <c r="F21" s="30"/>
      <c r="G21" s="24">
        <f t="shared" ref="G21:T21" si="26">+SUM(G14+SUM(G17:G20))</f>
        <v>-14815.065999999999</v>
      </c>
      <c r="H21" s="24">
        <f t="shared" si="26"/>
        <v>-9174.7390000000014</v>
      </c>
      <c r="I21" s="24">
        <f t="shared" si="26"/>
        <v>-9316.7329999999965</v>
      </c>
      <c r="J21" s="24">
        <f t="shared" si="26"/>
        <v>-6058.4619999999923</v>
      </c>
      <c r="K21" s="24">
        <f t="shared" si="26"/>
        <v>-813.31800000000294</v>
      </c>
      <c r="L21" s="24">
        <f t="shared" si="26"/>
        <v>-473.07700000000477</v>
      </c>
      <c r="M21" s="24">
        <f t="shared" si="26"/>
        <v>8685.1589999999997</v>
      </c>
      <c r="N21" s="24">
        <f t="shared" si="26"/>
        <v>14233.235999999997</v>
      </c>
      <c r="O21" s="24">
        <f t="shared" si="26"/>
        <v>21821</v>
      </c>
      <c r="P21" s="24">
        <f t="shared" si="26"/>
        <v>39201</v>
      </c>
      <c r="Q21" s="24">
        <f t="shared" si="26"/>
        <v>0</v>
      </c>
      <c r="R21" s="24">
        <f t="shared" si="26"/>
        <v>-39390</v>
      </c>
      <c r="S21" s="24">
        <f t="shared" si="26"/>
        <v>0</v>
      </c>
      <c r="T21" s="24">
        <f t="shared" si="26"/>
        <v>0</v>
      </c>
      <c r="V21" s="24">
        <f t="shared" ref="V21:AF21" si="27">+SUM(V14+SUM(V17:V20))</f>
        <v>-37524.818999999996</v>
      </c>
      <c r="W21" s="24">
        <f t="shared" si="27"/>
        <v>-29818.962</v>
      </c>
      <c r="X21" s="24">
        <f t="shared" si="27"/>
        <v>-16175.899000000012</v>
      </c>
      <c r="Y21" s="24">
        <f t="shared" si="27"/>
        <v>1976.0860000000102</v>
      </c>
      <c r="Z21" s="24">
        <f t="shared" si="27"/>
        <v>22795.388999999996</v>
      </c>
      <c r="AA21" s="24">
        <f t="shared" si="27"/>
        <v>39971.699000000008</v>
      </c>
      <c r="AB21" s="24">
        <f t="shared" si="27"/>
        <v>87039.508000000016</v>
      </c>
      <c r="AC21" s="24">
        <f t="shared" si="27"/>
        <v>77887.45100000003</v>
      </c>
      <c r="AD21" s="24">
        <f t="shared" si="27"/>
        <v>25898</v>
      </c>
      <c r="AE21" s="24">
        <f t="shared" si="27"/>
        <v>3072</v>
      </c>
      <c r="AF21" s="24">
        <f t="shared" si="27"/>
        <v>-37071</v>
      </c>
      <c r="AG21" s="11"/>
      <c r="AH21" s="71">
        <f t="shared" si="5"/>
        <v>-1.4259100361642669</v>
      </c>
    </row>
    <row r="22" spans="2:34" ht="12.75" customHeight="1">
      <c r="B22" s="14" t="s">
        <v>40</v>
      </c>
      <c r="C22" s="15">
        <f>C21/C11</f>
        <v>-0.72117415959378817</v>
      </c>
      <c r="D22" s="15">
        <f>D21/D11</f>
        <v>-0.2554841640706127</v>
      </c>
      <c r="E22" s="15">
        <f>E21/E11</f>
        <v>8.3775148616463027E-2</v>
      </c>
      <c r="F22" s="30"/>
      <c r="G22" s="15">
        <f t="shared" ref="G22:T22" si="28">G21/G11</f>
        <v>-0.50905469051004304</v>
      </c>
      <c r="H22" s="15">
        <f t="shared" si="28"/>
        <v>-0.27060130086391082</v>
      </c>
      <c r="I22" s="15">
        <f t="shared" si="28"/>
        <v>-0.22673891303891239</v>
      </c>
      <c r="J22" s="15">
        <f t="shared" si="28"/>
        <v>-0.12121345139426137</v>
      </c>
      <c r="K22" s="15">
        <f t="shared" si="28"/>
        <v>-1.4290414649000762E-2</v>
      </c>
      <c r="L22" s="15">
        <f t="shared" si="28"/>
        <v>-7.8684612731217945E-3</v>
      </c>
      <c r="M22" s="15">
        <f t="shared" si="28"/>
        <v>0.1291001248346367</v>
      </c>
      <c r="N22" s="15">
        <f t="shared" si="28"/>
        <v>0.19259171637698078</v>
      </c>
      <c r="O22" s="15">
        <f t="shared" si="28"/>
        <v>0.26651603053435113</v>
      </c>
      <c r="P22" s="15">
        <f t="shared" si="28"/>
        <v>0.36571167355468276</v>
      </c>
      <c r="Q22" s="15" t="e">
        <f t="shared" si="28"/>
        <v>#DIV/0!</v>
      </c>
      <c r="R22" s="15">
        <f t="shared" si="28"/>
        <v>-0.56963947417894689</v>
      </c>
      <c r="S22" s="15" t="e">
        <f t="shared" si="28"/>
        <v>#DIV/0!</v>
      </c>
      <c r="T22" s="15" t="e">
        <f t="shared" si="28"/>
        <v>#DIV/0!</v>
      </c>
      <c r="V22" s="15">
        <f t="shared" ref="V22:AF22" si="29">V21/V11</f>
        <v>-0.24354114096573207</v>
      </c>
      <c r="W22" s="15">
        <f t="shared" si="29"/>
        <v>-0.16393913740634672</v>
      </c>
      <c r="X22" s="15">
        <f t="shared" si="29"/>
        <v>-7.7728152785594598E-2</v>
      </c>
      <c r="Y22" s="15">
        <f t="shared" si="29"/>
        <v>8.4342480341054963E-3</v>
      </c>
      <c r="Z22" s="15">
        <f t="shared" si="29"/>
        <v>8.8280653718800214E-2</v>
      </c>
      <c r="AA22" s="15">
        <f t="shared" si="29"/>
        <v>0.14115473494185074</v>
      </c>
      <c r="AB22" s="15">
        <f t="shared" si="29"/>
        <v>0.26356098981579623</v>
      </c>
      <c r="AC22" s="15">
        <f t="shared" si="29"/>
        <v>0.29618415282154387</v>
      </c>
      <c r="AD22" s="15">
        <f t="shared" si="29"/>
        <v>0.10029626474062313</v>
      </c>
      <c r="AE22" s="15">
        <f t="shared" si="29"/>
        <v>1.7420891459680163E-2</v>
      </c>
      <c r="AF22" s="15">
        <f t="shared" si="29"/>
        <v>-0.53610319744320234</v>
      </c>
      <c r="AG22" s="11"/>
      <c r="AH22" s="72">
        <f>SUM(AF22-AB22)*1000</f>
        <v>-799.6641872589986</v>
      </c>
    </row>
    <row r="23" spans="2:34" ht="5.0999999999999996" customHeight="1">
      <c r="B23" s="14"/>
      <c r="C23" s="15"/>
      <c r="D23" s="15"/>
      <c r="E23" s="15"/>
      <c r="F23" s="30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11"/>
      <c r="AH23" s="70"/>
    </row>
    <row r="24" spans="2:34" ht="12.75" customHeight="1">
      <c r="B24" s="9" t="s">
        <v>91</v>
      </c>
      <c r="C24" s="79">
        <v>35</v>
      </c>
      <c r="D24" s="79">
        <v>45</v>
      </c>
      <c r="E24" s="79">
        <v>1617</v>
      </c>
      <c r="F24" s="30"/>
      <c r="G24" s="79">
        <v>33.067999999999998</v>
      </c>
      <c r="H24" s="79">
        <v>2.2690000000000001</v>
      </c>
      <c r="I24" s="79">
        <v>7.2359999999999998</v>
      </c>
      <c r="J24" s="30">
        <f t="shared" ref="J24:J27" si="30">SUM(D24-SUM(G24:I24))</f>
        <v>2.4270000000000067</v>
      </c>
      <c r="K24" s="79">
        <v>166.971</v>
      </c>
      <c r="L24" s="79">
        <v>414.30399999999997</v>
      </c>
      <c r="M24" s="79">
        <v>423.27600000000001</v>
      </c>
      <c r="N24" s="30">
        <f t="shared" ref="N24:N27" si="31">SUM(E24-SUM(K24:M24))</f>
        <v>612.44900000000007</v>
      </c>
      <c r="O24" s="79">
        <v>384</v>
      </c>
      <c r="P24" s="79">
        <v>449</v>
      </c>
      <c r="Q24" s="79"/>
      <c r="R24" s="30">
        <f t="shared" ref="R24:R27" si="32">SUM(E24-SUM(O24:Q24))</f>
        <v>784</v>
      </c>
      <c r="S24" s="79"/>
      <c r="T24" s="79"/>
      <c r="V24" s="30">
        <f t="shared" ref="V24:AA24" si="33">SUM(H24:K24)</f>
        <v>178.90300000000002</v>
      </c>
      <c r="W24" s="30">
        <f t="shared" si="33"/>
        <v>590.93799999999999</v>
      </c>
      <c r="X24" s="30">
        <f t="shared" si="33"/>
        <v>1006.9780000000001</v>
      </c>
      <c r="Y24" s="30">
        <f t="shared" si="33"/>
        <v>1617</v>
      </c>
      <c r="Z24" s="30">
        <f t="shared" si="33"/>
        <v>1834.029</v>
      </c>
      <c r="AA24" s="30">
        <f t="shared" si="33"/>
        <v>1868.7250000000001</v>
      </c>
      <c r="AB24" s="30">
        <f t="shared" ref="AB24:AB27" si="34">SUM(M24:P24)</f>
        <v>1868.7250000000001</v>
      </c>
      <c r="AC24" s="30">
        <f t="shared" ref="AC24:AC27" si="35">SUM(N24:Q24)</f>
        <v>1445.4490000000001</v>
      </c>
      <c r="AD24" s="30">
        <f t="shared" ref="AD24:AD27" si="36">SUM(O24:R24)</f>
        <v>1617</v>
      </c>
      <c r="AE24" s="30">
        <f t="shared" ref="AE24:AE27" si="37">SUM(P24:S24)</f>
        <v>1233</v>
      </c>
      <c r="AF24" s="30">
        <f t="shared" ref="AF24:AF27" si="38">SUM(Q24:T24)</f>
        <v>784</v>
      </c>
      <c r="AG24" s="11"/>
      <c r="AH24" s="70">
        <f t="shared" si="5"/>
        <v>-0.58046261488448003</v>
      </c>
    </row>
    <row r="25" spans="2:34" ht="12.75" customHeight="1">
      <c r="B25" s="9" t="s">
        <v>92</v>
      </c>
      <c r="C25" s="79">
        <v>-13057</v>
      </c>
      <c r="D25" s="79">
        <v>-19279</v>
      </c>
      <c r="E25" s="79">
        <v>-25027</v>
      </c>
      <c r="F25" s="30"/>
      <c r="G25" s="79">
        <v>-3389.038</v>
      </c>
      <c r="H25" s="79">
        <v>-4573.0150000000003</v>
      </c>
      <c r="I25" s="79">
        <v>-5580.366</v>
      </c>
      <c r="J25" s="30">
        <f t="shared" si="30"/>
        <v>-5736.5810000000001</v>
      </c>
      <c r="K25" s="79">
        <v>-6115.4840000000004</v>
      </c>
      <c r="L25" s="79">
        <v>-6299.107</v>
      </c>
      <c r="M25" s="79">
        <v>-6397.5529999999999</v>
      </c>
      <c r="N25" s="30">
        <f t="shared" si="31"/>
        <v>-6214.8559999999998</v>
      </c>
      <c r="O25" s="79">
        <v>-3769</v>
      </c>
      <c r="P25" s="79">
        <v>-3783</v>
      </c>
      <c r="Q25" s="79"/>
      <c r="R25" s="30">
        <f t="shared" si="32"/>
        <v>-17475</v>
      </c>
      <c r="S25" s="79"/>
      <c r="T25" s="79"/>
      <c r="V25" s="30"/>
      <c r="W25" s="30"/>
      <c r="X25" s="30"/>
      <c r="Y25" s="30"/>
      <c r="Z25" s="30"/>
      <c r="AA25" s="30"/>
      <c r="AB25" s="30">
        <f t="shared" si="34"/>
        <v>-20164.409</v>
      </c>
      <c r="AC25" s="30">
        <f t="shared" si="35"/>
        <v>-13766.856</v>
      </c>
      <c r="AD25" s="30">
        <f t="shared" si="36"/>
        <v>-25027</v>
      </c>
      <c r="AE25" s="30">
        <f t="shared" si="37"/>
        <v>-21258</v>
      </c>
      <c r="AF25" s="30">
        <f t="shared" si="38"/>
        <v>-17475</v>
      </c>
      <c r="AG25" s="11"/>
      <c r="AH25" s="70">
        <f t="shared" si="5"/>
        <v>-0.13337405524754031</v>
      </c>
    </row>
    <row r="26" spans="2:34" ht="12.75" customHeight="1">
      <c r="B26" s="9" t="s">
        <v>144</v>
      </c>
      <c r="C26" s="79">
        <v>0</v>
      </c>
      <c r="D26" s="79">
        <v>-6670</v>
      </c>
      <c r="E26" s="79">
        <v>-26174</v>
      </c>
      <c r="F26" s="30"/>
      <c r="G26" s="79">
        <v>-6669.9409999999998</v>
      </c>
      <c r="H26" s="79" t="s">
        <v>150</v>
      </c>
      <c r="I26" s="79" t="s">
        <v>150</v>
      </c>
      <c r="J26" s="30">
        <f t="shared" si="30"/>
        <v>-5.9000000000196451E-2</v>
      </c>
      <c r="K26" s="79" t="s">
        <v>150</v>
      </c>
      <c r="L26" s="79" t="s">
        <v>150</v>
      </c>
      <c r="M26" s="79"/>
      <c r="N26" s="30">
        <f t="shared" si="31"/>
        <v>-26174</v>
      </c>
      <c r="O26" s="79"/>
      <c r="P26" s="79"/>
      <c r="Q26" s="79"/>
      <c r="R26" s="30">
        <f t="shared" si="32"/>
        <v>-26174</v>
      </c>
      <c r="S26" s="79"/>
      <c r="T26" s="79"/>
      <c r="V26" s="30"/>
      <c r="W26" s="30"/>
      <c r="X26" s="30"/>
      <c r="Y26" s="30"/>
      <c r="Z26" s="30"/>
      <c r="AA26" s="30"/>
      <c r="AB26" s="30">
        <f t="shared" si="34"/>
        <v>-26174</v>
      </c>
      <c r="AC26" s="30">
        <f t="shared" si="35"/>
        <v>-26174</v>
      </c>
      <c r="AD26" s="30">
        <f t="shared" si="36"/>
        <v>-26174</v>
      </c>
      <c r="AE26" s="30">
        <f t="shared" si="37"/>
        <v>-26174</v>
      </c>
      <c r="AF26" s="30">
        <f t="shared" si="38"/>
        <v>-26174</v>
      </c>
      <c r="AG26" s="11"/>
      <c r="AH26" s="70">
        <f t="shared" si="5"/>
        <v>0</v>
      </c>
    </row>
    <row r="27" spans="2:34" ht="12.75" customHeight="1">
      <c r="B27" s="9" t="s">
        <v>149</v>
      </c>
      <c r="C27" s="79">
        <v>-252</v>
      </c>
      <c r="D27" s="79">
        <v>-635</v>
      </c>
      <c r="E27" s="79">
        <v>-287</v>
      </c>
      <c r="F27" s="30"/>
      <c r="G27" s="79">
        <v>-166.88</v>
      </c>
      <c r="H27" s="79">
        <v>-19.420999999999999</v>
      </c>
      <c r="I27" s="79">
        <v>-9.641</v>
      </c>
      <c r="J27" s="30">
        <f t="shared" si="30"/>
        <v>-439.05799999999999</v>
      </c>
      <c r="K27" s="79">
        <v>-26.984000000000002</v>
      </c>
      <c r="L27" s="79">
        <v>-12.827</v>
      </c>
      <c r="M27" s="79">
        <v>-145.827</v>
      </c>
      <c r="N27" s="30">
        <f t="shared" si="31"/>
        <v>-101.36199999999999</v>
      </c>
      <c r="O27" s="79"/>
      <c r="P27" s="79"/>
      <c r="Q27" s="79"/>
      <c r="R27" s="30">
        <f t="shared" si="32"/>
        <v>-287</v>
      </c>
      <c r="S27" s="79"/>
      <c r="T27" s="79"/>
      <c r="V27" s="30"/>
      <c r="W27" s="30"/>
      <c r="X27" s="30"/>
      <c r="Y27" s="30"/>
      <c r="Z27" s="30"/>
      <c r="AA27" s="30"/>
      <c r="AB27" s="30">
        <f t="shared" si="34"/>
        <v>-247.18899999999999</v>
      </c>
      <c r="AC27" s="30">
        <f t="shared" si="35"/>
        <v>-101.36199999999999</v>
      </c>
      <c r="AD27" s="30">
        <f t="shared" si="36"/>
        <v>-287</v>
      </c>
      <c r="AE27" s="30">
        <f t="shared" si="37"/>
        <v>-287</v>
      </c>
      <c r="AF27" s="30">
        <f t="shared" si="38"/>
        <v>-287</v>
      </c>
      <c r="AG27" s="11"/>
      <c r="AH27" s="70">
        <f t="shared" si="5"/>
        <v>0.16105490131033351</v>
      </c>
    </row>
    <row r="28" spans="2:34" ht="12.75" customHeight="1">
      <c r="B28" s="23" t="s">
        <v>104</v>
      </c>
      <c r="C28" s="24">
        <f>SUM(C21+SUM(C24:C27))</f>
        <v>-71648</v>
      </c>
      <c r="D28" s="24">
        <f>SUM(D21+SUM(D24:D27))</f>
        <v>-65904</v>
      </c>
      <c r="E28" s="24">
        <f>SUM(E21+SUM(E24:E27))</f>
        <v>-28239</v>
      </c>
      <c r="G28" s="24">
        <f>SUM(G21+SUM(G24:G27))</f>
        <v>-25007.856999999996</v>
      </c>
      <c r="H28" s="24">
        <f>SUM(H21+SUM(H24:H27))</f>
        <v>-13764.906000000003</v>
      </c>
      <c r="I28" s="24">
        <f>SUM(I21+SUM(I24:I27))</f>
        <v>-14899.503999999997</v>
      </c>
      <c r="J28" s="24">
        <f>SUM(J21+SUM(J24:J27))</f>
        <v>-12231.732999999993</v>
      </c>
      <c r="K28" s="24">
        <f>SUM(K21+SUM(K24:K27))</f>
        <v>-6788.8150000000041</v>
      </c>
      <c r="L28" s="24">
        <f>SUM(L21+SUM(L24:L27))</f>
        <v>-6370.7070000000049</v>
      </c>
      <c r="M28" s="24">
        <f>SUM(M21+SUM(M24:M27))</f>
        <v>2565.0549999999994</v>
      </c>
      <c r="N28" s="24">
        <f>SUM(N21+SUM(N24:N27))</f>
        <v>-17644.533000000003</v>
      </c>
      <c r="O28" s="24">
        <f>SUM(O21+SUM(O24:O27))</f>
        <v>18436</v>
      </c>
      <c r="P28" s="24">
        <f>SUM(P21+SUM(P24:P27))</f>
        <v>35867</v>
      </c>
      <c r="Q28" s="24">
        <f>SUM(Q21+SUM(Q24:Q27))</f>
        <v>0</v>
      </c>
      <c r="R28" s="24">
        <f>SUM(R21+SUM(R24:R27))</f>
        <v>-82542</v>
      </c>
      <c r="S28" s="24">
        <f>SUM(S21+SUM(S24:S27))</f>
        <v>0</v>
      </c>
      <c r="T28" s="24">
        <f>SUM(T21+SUM(T24:T27))</f>
        <v>0</v>
      </c>
      <c r="V28" s="24">
        <f>SUM(V21+SUM(V24:V27))</f>
        <v>-37345.915999999997</v>
      </c>
      <c r="W28" s="24">
        <f>SUM(W21+SUM(W24:W27))</f>
        <v>-29228.024000000001</v>
      </c>
      <c r="X28" s="24">
        <f>SUM(X21+SUM(X24:X27))</f>
        <v>-15168.921000000013</v>
      </c>
      <c r="Y28" s="24">
        <f>SUM(Y21+SUM(Y24:Y27))</f>
        <v>3593.0860000000102</v>
      </c>
      <c r="Z28" s="24">
        <f>SUM(Z21+SUM(Z24:Z27))</f>
        <v>24629.417999999994</v>
      </c>
      <c r="AA28" s="24">
        <f>SUM(AA21+SUM(AA24:AA27))</f>
        <v>41840.424000000006</v>
      </c>
      <c r="AB28" s="24">
        <f>SUM(AB21+SUM(AB24:AB27))</f>
        <v>42322.635000000017</v>
      </c>
      <c r="AC28" s="24">
        <f>SUM(AC21+SUM(AC24:AC27))</f>
        <v>39290.68200000003</v>
      </c>
      <c r="AD28" s="24">
        <f>SUM(AD21+SUM(AD24:AD27))</f>
        <v>-23973</v>
      </c>
      <c r="AE28" s="24">
        <f>SUM(AE21+SUM(AE24:AE27))</f>
        <v>-43414</v>
      </c>
      <c r="AF28" s="24">
        <f>SUM(AF21+SUM(AF24:AF27))</f>
        <v>-80223</v>
      </c>
      <c r="AG28" s="40"/>
      <c r="AH28" s="71">
        <f t="shared" si="5"/>
        <v>-2.8955105229152194</v>
      </c>
    </row>
    <row r="29" spans="2:34" ht="12.75" customHeight="1">
      <c r="B29" s="14" t="s">
        <v>105</v>
      </c>
      <c r="C29" s="15">
        <f>C28/C11</f>
        <v>-0.88516610454270284</v>
      </c>
      <c r="D29" s="15">
        <f>D28/D11</f>
        <v>-0.42772585669781932</v>
      </c>
      <c r="E29" s="15">
        <f>E28/E11</f>
        <v>-0.10936235307786148</v>
      </c>
      <c r="F29" s="25"/>
      <c r="G29" s="15">
        <f>G28/G11</f>
        <v>-0.8592851969376587</v>
      </c>
      <c r="H29" s="15">
        <f>H28/H11</f>
        <v>-0.40598446123311532</v>
      </c>
      <c r="I29" s="15">
        <f>I28/I11</f>
        <v>-0.36260536196313964</v>
      </c>
      <c r="J29" s="15">
        <f>J28/J11</f>
        <v>-0.24472392060280049</v>
      </c>
      <c r="K29" s="15">
        <f>K28/K11</f>
        <v>-0.11928296352147108</v>
      </c>
      <c r="L29" s="15">
        <f>L28/L11</f>
        <v>-0.10596089286079319</v>
      </c>
      <c r="M29" s="15">
        <f>M28/M11</f>
        <v>3.8128135674627139E-2</v>
      </c>
      <c r="N29" s="15">
        <f>N28/N11</f>
        <v>-0.23875040750678758</v>
      </c>
      <c r="O29" s="15">
        <f>O28/O11</f>
        <v>0.22517251908396946</v>
      </c>
      <c r="P29" s="15">
        <f>P28/P11</f>
        <v>0.33460831599667884</v>
      </c>
      <c r="Q29" s="15" t="e">
        <f>Q28/Q11</f>
        <v>#DIV/0!</v>
      </c>
      <c r="R29" s="15">
        <f>R28/R11</f>
        <v>-1.1936832058308868</v>
      </c>
      <c r="S29" s="15" t="e">
        <f>S28/S11</f>
        <v>#DIV/0!</v>
      </c>
      <c r="T29" s="15" t="e">
        <f>T28/T11</f>
        <v>#DIV/0!</v>
      </c>
      <c r="U29" s="26"/>
      <c r="V29" s="15">
        <f>V28/V11</f>
        <v>-0.24238003634475597</v>
      </c>
      <c r="W29" s="15">
        <f>W28/W11</f>
        <v>-0.16069026958926336</v>
      </c>
      <c r="X29" s="15">
        <f>X28/X11</f>
        <v>-7.2889439349282201E-2</v>
      </c>
      <c r="Y29" s="15">
        <f>Y28/Y11</f>
        <v>1.5335860145698068E-2</v>
      </c>
      <c r="Z29" s="15">
        <f>Z28/Z11</f>
        <v>9.5383374319849709E-2</v>
      </c>
      <c r="AA29" s="15">
        <f>AA28/AA11</f>
        <v>0.14775388855936922</v>
      </c>
      <c r="AB29" s="15">
        <f>AB28/AB11</f>
        <v>0.12815554486145148</v>
      </c>
      <c r="AC29" s="15">
        <f>AC28/AC11</f>
        <v>0.14941145476632284</v>
      </c>
      <c r="AD29" s="15">
        <f>AD28/AD11</f>
        <v>-9.2841236953701375E-2</v>
      </c>
      <c r="AE29" s="15">
        <f>AE28/AE11</f>
        <v>-0.24619485085630033</v>
      </c>
      <c r="AF29" s="15">
        <f>AF28/AF11</f>
        <v>-1.1601469290951423</v>
      </c>
      <c r="AG29" s="41"/>
      <c r="AH29" s="72">
        <f>SUM(AF29-AB29)*1000</f>
        <v>-1288.3024739565938</v>
      </c>
    </row>
    <row r="30" spans="2:34" ht="5.0999999999999996" customHeight="1">
      <c r="B30" s="27"/>
      <c r="C30" s="42"/>
      <c r="D30" s="42"/>
      <c r="E30" s="42"/>
      <c r="F30" s="28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1"/>
      <c r="AH30" s="70"/>
    </row>
    <row r="31" spans="2:34" ht="12.75" customHeight="1">
      <c r="B31" s="43" t="s">
        <v>123</v>
      </c>
      <c r="C31" s="79">
        <v>0</v>
      </c>
      <c r="D31" s="79">
        <v>0</v>
      </c>
      <c r="E31" s="79">
        <v>0</v>
      </c>
      <c r="F31" s="30"/>
      <c r="G31" s="79">
        <v>0</v>
      </c>
      <c r="H31" s="79">
        <v>0</v>
      </c>
      <c r="I31" s="79">
        <v>0</v>
      </c>
      <c r="J31" s="30">
        <f>SUM(D31-SUM(G31:I31))</f>
        <v>0</v>
      </c>
      <c r="K31" s="79">
        <v>0</v>
      </c>
      <c r="L31" s="79">
        <v>0</v>
      </c>
      <c r="M31" s="79">
        <v>0</v>
      </c>
      <c r="N31" s="30">
        <f>SUM(E31-SUM(K31:M31))</f>
        <v>0</v>
      </c>
      <c r="O31" s="79">
        <v>-595</v>
      </c>
      <c r="P31" s="79">
        <v>-3789</v>
      </c>
      <c r="Q31" s="79"/>
      <c r="R31" s="30">
        <f t="shared" ref="R31" si="39">SUM(E31-SUM(O31:Q31))</f>
        <v>4384</v>
      </c>
      <c r="S31" s="79">
        <v>0</v>
      </c>
      <c r="T31" s="79"/>
      <c r="U31" s="30"/>
      <c r="V31" s="30">
        <f t="shared" ref="V31:AA31" si="40">SUM(H31:K31)</f>
        <v>0</v>
      </c>
      <c r="W31" s="30">
        <f t="shared" si="40"/>
        <v>0</v>
      </c>
      <c r="X31" s="30">
        <f t="shared" si="40"/>
        <v>0</v>
      </c>
      <c r="Y31" s="30">
        <f t="shared" si="40"/>
        <v>0</v>
      </c>
      <c r="Z31" s="30">
        <f t="shared" si="40"/>
        <v>-595</v>
      </c>
      <c r="AA31" s="30">
        <f t="shared" si="40"/>
        <v>-4384</v>
      </c>
      <c r="AB31" s="30">
        <f t="shared" ref="AB31" si="41">SUM(M31:P31)</f>
        <v>-4384</v>
      </c>
      <c r="AC31" s="30">
        <f t="shared" ref="AC31" si="42">SUM(N31:Q31)</f>
        <v>-4384</v>
      </c>
      <c r="AD31" s="30">
        <f t="shared" ref="AD31" si="43">SUM(O31:R31)</f>
        <v>0</v>
      </c>
      <c r="AE31" s="30">
        <f t="shared" ref="AE31" si="44">SUM(P31:S31)</f>
        <v>595</v>
      </c>
      <c r="AF31" s="30">
        <f>SUM(Q31:T31)</f>
        <v>4384</v>
      </c>
      <c r="AG31" s="41"/>
      <c r="AH31" s="70">
        <f t="shared" si="5"/>
        <v>-2</v>
      </c>
    </row>
    <row r="32" spans="2:34" ht="12.75" customHeight="1">
      <c r="B32" s="12" t="s">
        <v>67</v>
      </c>
      <c r="C32" s="13">
        <f t="shared" ref="C32:E32" si="45">SUM(C28+C31)</f>
        <v>-71648</v>
      </c>
      <c r="D32" s="13">
        <f t="shared" si="45"/>
        <v>-65904</v>
      </c>
      <c r="E32" s="13">
        <f t="shared" si="45"/>
        <v>-28239</v>
      </c>
      <c r="F32" s="11"/>
      <c r="G32" s="13">
        <f t="shared" ref="G32:T32" si="46">SUM(G28+G31)</f>
        <v>-25007.856999999996</v>
      </c>
      <c r="H32" s="13">
        <f t="shared" si="46"/>
        <v>-13764.906000000003</v>
      </c>
      <c r="I32" s="13">
        <f t="shared" si="46"/>
        <v>-14899.503999999997</v>
      </c>
      <c r="J32" s="13">
        <f t="shared" si="46"/>
        <v>-12231.732999999993</v>
      </c>
      <c r="K32" s="13">
        <f t="shared" si="46"/>
        <v>-6788.8150000000041</v>
      </c>
      <c r="L32" s="13">
        <f t="shared" si="46"/>
        <v>-6370.7070000000049</v>
      </c>
      <c r="M32" s="13">
        <f t="shared" si="46"/>
        <v>2565.0549999999994</v>
      </c>
      <c r="N32" s="13">
        <f t="shared" si="46"/>
        <v>-17644.533000000003</v>
      </c>
      <c r="O32" s="13">
        <f t="shared" si="46"/>
        <v>17841</v>
      </c>
      <c r="P32" s="13">
        <f t="shared" si="46"/>
        <v>32078</v>
      </c>
      <c r="Q32" s="13">
        <f t="shared" si="46"/>
        <v>0</v>
      </c>
      <c r="R32" s="13">
        <f t="shared" si="46"/>
        <v>-78158</v>
      </c>
      <c r="S32" s="13">
        <f t="shared" si="46"/>
        <v>0</v>
      </c>
      <c r="T32" s="13">
        <f t="shared" si="46"/>
        <v>0</v>
      </c>
      <c r="U32" s="30"/>
      <c r="V32" s="13">
        <f t="shared" ref="V32:AF32" si="47">SUM(V28+V31)</f>
        <v>-37345.915999999997</v>
      </c>
      <c r="W32" s="13">
        <f t="shared" si="47"/>
        <v>-29228.024000000001</v>
      </c>
      <c r="X32" s="13">
        <f t="shared" si="47"/>
        <v>-15168.921000000013</v>
      </c>
      <c r="Y32" s="13">
        <f t="shared" si="47"/>
        <v>3593.0860000000102</v>
      </c>
      <c r="Z32" s="13">
        <f t="shared" si="47"/>
        <v>24034.417999999994</v>
      </c>
      <c r="AA32" s="13">
        <f t="shared" si="47"/>
        <v>37456.424000000006</v>
      </c>
      <c r="AB32" s="13">
        <f t="shared" si="47"/>
        <v>37938.635000000017</v>
      </c>
      <c r="AC32" s="13">
        <f t="shared" si="47"/>
        <v>34906.68200000003</v>
      </c>
      <c r="AD32" s="13">
        <f t="shared" si="47"/>
        <v>-23973</v>
      </c>
      <c r="AE32" s="13">
        <f t="shared" si="47"/>
        <v>-42819</v>
      </c>
      <c r="AF32" s="13">
        <f t="shared" si="47"/>
        <v>-75839</v>
      </c>
      <c r="AG32" s="34"/>
      <c r="AH32" s="71">
        <f t="shared" si="5"/>
        <v>-2.9989912657637778</v>
      </c>
    </row>
    <row r="33" spans="1:34" ht="12.75" customHeight="1">
      <c r="B33" s="14" t="s">
        <v>82</v>
      </c>
      <c r="C33" s="15">
        <f>C32/C11</f>
        <v>-0.88516610454270284</v>
      </c>
      <c r="D33" s="15">
        <f>D32/D11</f>
        <v>-0.42772585669781932</v>
      </c>
      <c r="E33" s="15">
        <f>E32/E11</f>
        <v>-0.10936235307786148</v>
      </c>
      <c r="F33" s="25"/>
      <c r="G33" s="15">
        <f>G32/G11</f>
        <v>-0.8592851969376587</v>
      </c>
      <c r="H33" s="15">
        <f>H32/H11</f>
        <v>-0.40598446123311532</v>
      </c>
      <c r="I33" s="15">
        <f>I32/I11</f>
        <v>-0.36260536196313964</v>
      </c>
      <c r="J33" s="15">
        <f>J32/J11</f>
        <v>-0.24472392060280049</v>
      </c>
      <c r="K33" s="15">
        <f>K32/K11</f>
        <v>-0.11928296352147108</v>
      </c>
      <c r="L33" s="15">
        <f>L32/L11</f>
        <v>-0.10596089286079319</v>
      </c>
      <c r="M33" s="15">
        <f>M32/M11</f>
        <v>3.8128135674627139E-2</v>
      </c>
      <c r="N33" s="15">
        <f>N32/N11</f>
        <v>-0.23875040750678758</v>
      </c>
      <c r="O33" s="15">
        <f>O32/O11</f>
        <v>0.21790534351145038</v>
      </c>
      <c r="P33" s="15">
        <f>P32/P11</f>
        <v>0.2992601990838783</v>
      </c>
      <c r="Q33" s="15" t="e">
        <f>Q32/Q11</f>
        <v>#DIV/0!</v>
      </c>
      <c r="R33" s="15">
        <f>R32/R11</f>
        <v>-1.1302838797379571</v>
      </c>
      <c r="S33" s="15" t="e">
        <f>S32/S11</f>
        <v>#DIV/0!</v>
      </c>
      <c r="T33" s="15" t="e">
        <f>T32/T11</f>
        <v>#DIV/0!</v>
      </c>
      <c r="U33" s="26"/>
      <c r="V33" s="15">
        <f>V32/V11</f>
        <v>-0.24238003634475597</v>
      </c>
      <c r="W33" s="15">
        <f>W32/W11</f>
        <v>-0.16069026958926336</v>
      </c>
      <c r="X33" s="15">
        <f>X32/X11</f>
        <v>-7.2889439349282201E-2</v>
      </c>
      <c r="Y33" s="15">
        <f>Y32/Y11</f>
        <v>1.5335860145698068E-2</v>
      </c>
      <c r="Z33" s="15">
        <f>Z32/Z11</f>
        <v>9.3079093003892083E-2</v>
      </c>
      <c r="AA33" s="15">
        <f>AA32/AA11</f>
        <v>0.13227237605260603</v>
      </c>
      <c r="AB33" s="15">
        <f>AB32/AB11</f>
        <v>0.11488052290989757</v>
      </c>
      <c r="AC33" s="15">
        <f>AC32/AC11</f>
        <v>0.13274033112190356</v>
      </c>
      <c r="AD33" s="15">
        <f>AD32/AD11</f>
        <v>-9.2841236953701375E-2</v>
      </c>
      <c r="AE33" s="15">
        <f>AE32/AE11</f>
        <v>-0.24282068730860837</v>
      </c>
      <c r="AF33" s="15">
        <f>AF32/AF11</f>
        <v>-1.0967476030022125</v>
      </c>
      <c r="AG33" s="41"/>
      <c r="AH33" s="72">
        <f>SUM(AF33-AB33)*1000</f>
        <v>-1211.6281259121099</v>
      </c>
    </row>
    <row r="34" spans="1:34" ht="5.0999999999999996" customHeight="1">
      <c r="B34" s="14"/>
      <c r="C34" s="15"/>
      <c r="D34" s="15"/>
      <c r="E34" s="15"/>
      <c r="F34" s="2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26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41"/>
      <c r="AH34" s="72"/>
    </row>
    <row r="35" spans="1:34" ht="12.75" customHeight="1">
      <c r="B35" s="43" t="s">
        <v>83</v>
      </c>
      <c r="C35" s="79"/>
      <c r="D35" s="79"/>
      <c r="E35" s="79"/>
      <c r="F35" s="25"/>
      <c r="G35" s="79"/>
      <c r="H35" s="79"/>
      <c r="I35" s="79"/>
      <c r="J35" s="30">
        <f>D35</f>
        <v>0</v>
      </c>
      <c r="K35" s="79"/>
      <c r="L35" s="79"/>
      <c r="M35" s="79"/>
      <c r="N35" s="30">
        <f>E35</f>
        <v>0</v>
      </c>
      <c r="O35" s="79"/>
      <c r="P35" s="79"/>
      <c r="Q35" s="79"/>
      <c r="R35" s="30">
        <f>E35</f>
        <v>0</v>
      </c>
      <c r="S35" s="79"/>
      <c r="T35" s="79"/>
      <c r="U35" s="30"/>
      <c r="V35" s="30">
        <f t="shared" ref="V35:AE35" si="48">J35</f>
        <v>0</v>
      </c>
      <c r="W35" s="30">
        <f t="shared" si="48"/>
        <v>0</v>
      </c>
      <c r="X35" s="30">
        <f t="shared" si="48"/>
        <v>0</v>
      </c>
      <c r="Y35" s="30">
        <f t="shared" si="48"/>
        <v>0</v>
      </c>
      <c r="Z35" s="30">
        <f t="shared" si="48"/>
        <v>0</v>
      </c>
      <c r="AA35" s="30">
        <f t="shared" si="48"/>
        <v>0</v>
      </c>
      <c r="AB35" s="30">
        <f t="shared" si="48"/>
        <v>0</v>
      </c>
      <c r="AC35" s="30">
        <f t="shared" si="48"/>
        <v>0</v>
      </c>
      <c r="AD35" s="30">
        <f t="shared" si="48"/>
        <v>0</v>
      </c>
      <c r="AE35" s="30">
        <f t="shared" si="48"/>
        <v>0</v>
      </c>
      <c r="AF35" s="30">
        <f>T35</f>
        <v>0</v>
      </c>
      <c r="AG35" s="41"/>
      <c r="AH35" s="70" t="e">
        <f t="shared" ref="AH35" si="49">SUM(AF35/AB35)-1</f>
        <v>#DIV/0!</v>
      </c>
    </row>
    <row r="36" spans="1:34" ht="12.75" customHeight="1">
      <c r="B36" s="12" t="s">
        <v>84</v>
      </c>
      <c r="C36" s="73" t="e">
        <f t="shared" ref="C36:E36" si="50">C32/C35</f>
        <v>#DIV/0!</v>
      </c>
      <c r="D36" s="73" t="e">
        <f t="shared" si="50"/>
        <v>#DIV/0!</v>
      </c>
      <c r="E36" s="73" t="e">
        <f t="shared" si="50"/>
        <v>#DIV/0!</v>
      </c>
      <c r="F36" s="11"/>
      <c r="G36" s="73" t="e">
        <f t="shared" ref="G36:T36" si="51">G32/G35</f>
        <v>#DIV/0!</v>
      </c>
      <c r="H36" s="73" t="e">
        <f t="shared" si="51"/>
        <v>#DIV/0!</v>
      </c>
      <c r="I36" s="73" t="e">
        <f t="shared" si="51"/>
        <v>#DIV/0!</v>
      </c>
      <c r="J36" s="73" t="e">
        <f t="shared" si="51"/>
        <v>#DIV/0!</v>
      </c>
      <c r="K36" s="73" t="e">
        <f t="shared" si="51"/>
        <v>#DIV/0!</v>
      </c>
      <c r="L36" s="73" t="e">
        <f t="shared" si="51"/>
        <v>#DIV/0!</v>
      </c>
      <c r="M36" s="73" t="e">
        <f t="shared" si="51"/>
        <v>#DIV/0!</v>
      </c>
      <c r="N36" s="73" t="e">
        <f>N32/N35</f>
        <v>#DIV/0!</v>
      </c>
      <c r="O36" s="73" t="e">
        <f t="shared" si="51"/>
        <v>#DIV/0!</v>
      </c>
      <c r="P36" s="73" t="e">
        <f t="shared" si="51"/>
        <v>#DIV/0!</v>
      </c>
      <c r="Q36" s="73" t="e">
        <f t="shared" si="51"/>
        <v>#DIV/0!</v>
      </c>
      <c r="R36" s="73" t="e">
        <f>R32/R35</f>
        <v>#DIV/0!</v>
      </c>
      <c r="S36" s="73" t="e">
        <f t="shared" si="51"/>
        <v>#DIV/0!</v>
      </c>
      <c r="T36" s="73" t="e">
        <f t="shared" si="51"/>
        <v>#DIV/0!</v>
      </c>
      <c r="U36" s="26"/>
      <c r="V36" s="73" t="e">
        <f t="shared" ref="V36:AF36" si="52">V32/V35</f>
        <v>#DIV/0!</v>
      </c>
      <c r="W36" s="73" t="e">
        <f t="shared" si="52"/>
        <v>#DIV/0!</v>
      </c>
      <c r="X36" s="73" t="e">
        <f t="shared" si="52"/>
        <v>#DIV/0!</v>
      </c>
      <c r="Y36" s="73" t="e">
        <f t="shared" si="52"/>
        <v>#DIV/0!</v>
      </c>
      <c r="Z36" s="73" t="e">
        <f t="shared" si="52"/>
        <v>#DIV/0!</v>
      </c>
      <c r="AA36" s="73" t="e">
        <f t="shared" si="52"/>
        <v>#DIV/0!</v>
      </c>
      <c r="AB36" s="73" t="e">
        <f t="shared" si="52"/>
        <v>#DIV/0!</v>
      </c>
      <c r="AC36" s="73" t="e">
        <f t="shared" si="52"/>
        <v>#DIV/0!</v>
      </c>
      <c r="AD36" s="73" t="e">
        <f t="shared" si="52"/>
        <v>#DIV/0!</v>
      </c>
      <c r="AE36" s="73" t="e">
        <f t="shared" si="52"/>
        <v>#DIV/0!</v>
      </c>
      <c r="AF36" s="73" t="e">
        <f t="shared" si="52"/>
        <v>#DIV/0!</v>
      </c>
      <c r="AG36" s="34"/>
      <c r="AH36" s="71" t="e">
        <f>SUM(AF36/AB36)-1</f>
        <v>#DIV/0!</v>
      </c>
    </row>
    <row r="37" spans="1:34" ht="5.0999999999999996" customHeight="1">
      <c r="B37" s="14"/>
      <c r="C37" s="15"/>
      <c r="D37" s="15"/>
      <c r="E37" s="15"/>
      <c r="F37" s="2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26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41"/>
      <c r="AH37" s="72"/>
    </row>
    <row r="38" spans="1:34" ht="12.75" customHeight="1">
      <c r="B38" s="43" t="s">
        <v>85</v>
      </c>
      <c r="C38" s="79">
        <v>139578.538</v>
      </c>
      <c r="D38" s="79">
        <v>197874.89499999999</v>
      </c>
      <c r="E38" s="79">
        <v>223977.315</v>
      </c>
      <c r="F38" s="25"/>
      <c r="G38" s="79">
        <v>195871.932</v>
      </c>
      <c r="H38" s="79">
        <v>196353.185</v>
      </c>
      <c r="I38" s="79">
        <v>196383.935</v>
      </c>
      <c r="J38" s="30">
        <f>D38</f>
        <v>197874.89499999999</v>
      </c>
      <c r="K38" s="79">
        <v>221921.75</v>
      </c>
      <c r="L38" s="79">
        <v>222683.39300000001</v>
      </c>
      <c r="M38" s="79">
        <v>233761.26199999999</v>
      </c>
      <c r="N38" s="30">
        <f>E38</f>
        <v>223977.315</v>
      </c>
      <c r="O38" s="79">
        <v>236414.37400000001</v>
      </c>
      <c r="P38" s="79">
        <v>242167.07199999999</v>
      </c>
      <c r="Q38" s="79">
        <v>1000</v>
      </c>
      <c r="R38" s="30">
        <f>E38</f>
        <v>223977.315</v>
      </c>
      <c r="S38" s="79"/>
      <c r="T38" s="79"/>
      <c r="U38" s="30"/>
      <c r="V38" s="30">
        <f t="shared" ref="V38:AA38" si="53">K38</f>
        <v>221921.75</v>
      </c>
      <c r="W38" s="30">
        <f t="shared" si="53"/>
        <v>222683.39300000001</v>
      </c>
      <c r="X38" s="30">
        <f t="shared" si="53"/>
        <v>233761.26199999999</v>
      </c>
      <c r="Y38" s="30">
        <f t="shared" si="53"/>
        <v>223977.315</v>
      </c>
      <c r="Z38" s="30">
        <f t="shared" si="53"/>
        <v>236414.37400000001</v>
      </c>
      <c r="AA38" s="30">
        <f t="shared" si="53"/>
        <v>242167.07199999999</v>
      </c>
      <c r="AB38" s="30">
        <f t="shared" ref="AB38" si="54">P38</f>
        <v>242167.07199999999</v>
      </c>
      <c r="AC38" s="30">
        <f t="shared" ref="AC38" si="55">Q38</f>
        <v>1000</v>
      </c>
      <c r="AD38" s="30">
        <f t="shared" ref="AD38" si="56">R38</f>
        <v>223977.315</v>
      </c>
      <c r="AE38" s="30">
        <f t="shared" ref="AE38" si="57">S38</f>
        <v>0</v>
      </c>
      <c r="AF38" s="30">
        <f>T38</f>
        <v>0</v>
      </c>
      <c r="AG38" s="41"/>
      <c r="AH38" s="70">
        <f t="shared" ref="AH38" si="58">SUM(AF38/AB38)-1</f>
        <v>-1</v>
      </c>
    </row>
    <row r="39" spans="1:34" ht="12.75" customHeight="1">
      <c r="B39" s="12" t="s">
        <v>86</v>
      </c>
      <c r="C39" s="73">
        <f t="shared" ref="C39:E39" si="59">C32/C38</f>
        <v>-0.51331673928265387</v>
      </c>
      <c r="D39" s="73">
        <f t="shared" si="59"/>
        <v>-0.33305892594409214</v>
      </c>
      <c r="E39" s="73">
        <f t="shared" si="59"/>
        <v>-0.12607973267292716</v>
      </c>
      <c r="F39" s="25"/>
      <c r="G39" s="73">
        <f t="shared" ref="G39:T39" si="60">G32/G38</f>
        <v>-0.1276745307234729</v>
      </c>
      <c r="H39" s="73">
        <f t="shared" si="60"/>
        <v>-7.0102789521850659E-2</v>
      </c>
      <c r="I39" s="73">
        <f t="shared" si="60"/>
        <v>-7.586926089448201E-2</v>
      </c>
      <c r="J39" s="73">
        <f t="shared" si="60"/>
        <v>-6.1815487002532553E-2</v>
      </c>
      <c r="K39" s="73">
        <f t="shared" si="60"/>
        <v>-3.0591030396975531E-2</v>
      </c>
      <c r="L39" s="73">
        <f t="shared" si="60"/>
        <v>-2.86088105366708E-2</v>
      </c>
      <c r="M39" s="73">
        <f t="shared" si="60"/>
        <v>1.0972968652094288E-2</v>
      </c>
      <c r="N39" s="73">
        <f t="shared" si="60"/>
        <v>-7.8778214659819462E-2</v>
      </c>
      <c r="O39" s="73">
        <f t="shared" si="60"/>
        <v>7.5464954597050007E-2</v>
      </c>
      <c r="P39" s="73">
        <f t="shared" si="60"/>
        <v>0.13246226968462502</v>
      </c>
      <c r="Q39" s="73">
        <f t="shared" si="60"/>
        <v>0</v>
      </c>
      <c r="R39" s="73">
        <f t="shared" si="60"/>
        <v>-0.34895498233827832</v>
      </c>
      <c r="S39" s="73" t="e">
        <f t="shared" si="60"/>
        <v>#DIV/0!</v>
      </c>
      <c r="T39" s="73" t="e">
        <f t="shared" si="60"/>
        <v>#DIV/0!</v>
      </c>
      <c r="U39" s="30"/>
      <c r="V39" s="73">
        <f t="shared" ref="V39:AF39" si="61">V32/V38</f>
        <v>-0.16828416322419951</v>
      </c>
      <c r="W39" s="73">
        <f t="shared" si="61"/>
        <v>-0.13125372128670593</v>
      </c>
      <c r="X39" s="73">
        <f t="shared" si="61"/>
        <v>-6.4890653268290507E-2</v>
      </c>
      <c r="Y39" s="73">
        <f t="shared" si="61"/>
        <v>1.6042187129531444E-2</v>
      </c>
      <c r="Z39" s="73">
        <f t="shared" si="61"/>
        <v>0.10166225341273027</v>
      </c>
      <c r="AA39" s="73">
        <f t="shared" si="61"/>
        <v>0.1546718292072343</v>
      </c>
      <c r="AB39" s="73">
        <f t="shared" si="61"/>
        <v>0.1566630619376693</v>
      </c>
      <c r="AC39" s="73">
        <f t="shared" si="61"/>
        <v>34.906682000000032</v>
      </c>
      <c r="AD39" s="73">
        <f t="shared" si="61"/>
        <v>-0.10703316092524817</v>
      </c>
      <c r="AE39" s="73" t="e">
        <f t="shared" si="61"/>
        <v>#DIV/0!</v>
      </c>
      <c r="AF39" s="73" t="e">
        <f t="shared" si="61"/>
        <v>#DIV/0!</v>
      </c>
      <c r="AG39" s="34"/>
      <c r="AH39" s="71" t="e">
        <f>SUM(AF39/AB39)-1</f>
        <v>#DIV/0!</v>
      </c>
    </row>
    <row r="40" spans="1:34">
      <c r="B40" s="14"/>
      <c r="C40" s="15"/>
      <c r="D40" s="15"/>
      <c r="E40" s="79"/>
      <c r="F40" s="2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26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41"/>
    </row>
    <row r="41" spans="1:34" ht="12.75" customHeight="1">
      <c r="A41" s="5" t="s">
        <v>20</v>
      </c>
      <c r="B41" s="96" t="s">
        <v>99</v>
      </c>
      <c r="C41" s="97" t="s">
        <v>0</v>
      </c>
      <c r="D41" s="97"/>
      <c r="E41" s="97"/>
      <c r="F41" s="98"/>
      <c r="G41" s="97" t="s">
        <v>1</v>
      </c>
      <c r="H41" s="97"/>
      <c r="I41" s="97"/>
      <c r="J41" s="97"/>
      <c r="K41" s="97"/>
      <c r="L41" s="97"/>
      <c r="M41" s="97"/>
      <c r="N41" s="97"/>
      <c r="O41" s="97"/>
      <c r="P41" s="97"/>
      <c r="Q41" s="97" t="s">
        <v>1</v>
      </c>
      <c r="R41" s="97"/>
      <c r="S41" s="97"/>
      <c r="T41" s="97"/>
      <c r="U41" s="96"/>
      <c r="V41" s="97"/>
      <c r="W41" s="97"/>
      <c r="X41" s="97"/>
      <c r="Y41" s="97"/>
      <c r="Z41" s="97"/>
      <c r="AA41" s="97"/>
      <c r="AB41" s="97" t="s">
        <v>10</v>
      </c>
      <c r="AC41" s="97"/>
      <c r="AD41" s="97"/>
      <c r="AE41" s="97"/>
      <c r="AF41" s="97"/>
      <c r="AG41" s="98"/>
      <c r="AH41" s="142" t="s">
        <v>26</v>
      </c>
    </row>
    <row r="42" spans="1:34" ht="12.75" customHeight="1">
      <c r="B42" s="100" t="str">
        <f>B7</f>
        <v>Fiscal Period</v>
      </c>
      <c r="C42" s="99">
        <f>C7</f>
        <v>2021</v>
      </c>
      <c r="D42" s="99">
        <f>D7</f>
        <v>2022</v>
      </c>
      <c r="E42" s="99">
        <f>E7</f>
        <v>2023</v>
      </c>
      <c r="F42" s="98"/>
      <c r="G42" s="99" t="str">
        <f>G7</f>
        <v>1Q22</v>
      </c>
      <c r="H42" s="99" t="str">
        <f>H7</f>
        <v>2Q22</v>
      </c>
      <c r="I42" s="99" t="str">
        <f>I7</f>
        <v>3Q22</v>
      </c>
      <c r="J42" s="99" t="str">
        <f>J7</f>
        <v>4Q22</v>
      </c>
      <c r="K42" s="99" t="str">
        <f>K7</f>
        <v>1Q23</v>
      </c>
      <c r="L42" s="99" t="str">
        <f>L7</f>
        <v>2Q23</v>
      </c>
      <c r="M42" s="99" t="str">
        <f>M7</f>
        <v>3Q23</v>
      </c>
      <c r="N42" s="99" t="str">
        <f>N7</f>
        <v>4Q23</v>
      </c>
      <c r="O42" s="99" t="str">
        <f>O7</f>
        <v>1Q24</v>
      </c>
      <c r="P42" s="99" t="str">
        <f>P7</f>
        <v>2Q24</v>
      </c>
      <c r="Q42" s="99" t="str">
        <f>Q7</f>
        <v>3Q24</v>
      </c>
      <c r="R42" s="99" t="str">
        <f>R7</f>
        <v>4Q24</v>
      </c>
      <c r="S42" s="99" t="str">
        <f>S7</f>
        <v>1Q25</v>
      </c>
      <c r="T42" s="99" t="str">
        <f>T7</f>
        <v>2Q25</v>
      </c>
      <c r="U42" s="101"/>
      <c r="V42" s="99" t="str">
        <f>V7</f>
        <v>4Q22</v>
      </c>
      <c r="W42" s="99" t="str">
        <f>W7</f>
        <v>1Q23</v>
      </c>
      <c r="X42" s="99" t="str">
        <f>X7</f>
        <v>2Q23</v>
      </c>
      <c r="Y42" s="99" t="str">
        <f>Y7</f>
        <v>3Q23</v>
      </c>
      <c r="Z42" s="99" t="str">
        <f>Z7</f>
        <v>4Q23</v>
      </c>
      <c r="AA42" s="99" t="str">
        <f>AA7</f>
        <v>1Q24</v>
      </c>
      <c r="AB42" s="99" t="str">
        <f>AB7</f>
        <v>2Q24</v>
      </c>
      <c r="AC42" s="99" t="str">
        <f>AC7</f>
        <v>3Q24</v>
      </c>
      <c r="AD42" s="99" t="str">
        <f>AD7</f>
        <v>4Q24</v>
      </c>
      <c r="AE42" s="99" t="str">
        <f>AE7</f>
        <v>1Q25</v>
      </c>
      <c r="AF42" s="99" t="str">
        <f>AF7</f>
        <v>2Q25</v>
      </c>
      <c r="AG42" s="98"/>
      <c r="AH42" s="142"/>
    </row>
    <row r="43" spans="1:34" ht="12.75" customHeight="1">
      <c r="B43" s="100" t="str">
        <f>B8</f>
        <v>Fiscal Period End Date</v>
      </c>
      <c r="C43" s="102">
        <f>C8</f>
        <v>44561</v>
      </c>
      <c r="D43" s="102">
        <f>D8</f>
        <v>44926</v>
      </c>
      <c r="E43" s="102">
        <f>E8</f>
        <v>45291</v>
      </c>
      <c r="F43" s="98"/>
      <c r="G43" s="102">
        <f>G8</f>
        <v>44651</v>
      </c>
      <c r="H43" s="102">
        <f>H8</f>
        <v>44742</v>
      </c>
      <c r="I43" s="102">
        <f>I8</f>
        <v>44834</v>
      </c>
      <c r="J43" s="102">
        <f>J8</f>
        <v>44926</v>
      </c>
      <c r="K43" s="102">
        <f>K8</f>
        <v>45016</v>
      </c>
      <c r="L43" s="102">
        <f>L8</f>
        <v>45107</v>
      </c>
      <c r="M43" s="102">
        <f>M8</f>
        <v>45199</v>
      </c>
      <c r="N43" s="102">
        <f>N8</f>
        <v>45291</v>
      </c>
      <c r="O43" s="102">
        <f>O8</f>
        <v>45382</v>
      </c>
      <c r="P43" s="102">
        <f>P8</f>
        <v>45473</v>
      </c>
      <c r="Q43" s="102">
        <f>Q8</f>
        <v>45565</v>
      </c>
      <c r="R43" s="102">
        <f>R8</f>
        <v>45657</v>
      </c>
      <c r="S43" s="102">
        <f>S8</f>
        <v>45747</v>
      </c>
      <c r="T43" s="102">
        <f>T8</f>
        <v>45838</v>
      </c>
      <c r="U43" s="103"/>
      <c r="V43" s="102">
        <f>V8</f>
        <v>44926</v>
      </c>
      <c r="W43" s="102">
        <f>W8</f>
        <v>45016</v>
      </c>
      <c r="X43" s="102">
        <f>X8</f>
        <v>45107</v>
      </c>
      <c r="Y43" s="102">
        <f>Y8</f>
        <v>45199</v>
      </c>
      <c r="Z43" s="102">
        <f>Z8</f>
        <v>45291</v>
      </c>
      <c r="AA43" s="102">
        <f>AA8</f>
        <v>45382</v>
      </c>
      <c r="AB43" s="102">
        <f>AB8</f>
        <v>45473</v>
      </c>
      <c r="AC43" s="102">
        <f>AC8</f>
        <v>45565</v>
      </c>
      <c r="AD43" s="102">
        <f>AD8</f>
        <v>45657</v>
      </c>
      <c r="AE43" s="102">
        <f>AE8</f>
        <v>45747</v>
      </c>
      <c r="AF43" s="102">
        <f>AF8</f>
        <v>45838</v>
      </c>
      <c r="AG43" s="98"/>
      <c r="AH43" s="142"/>
    </row>
    <row r="44" spans="1:34" ht="5.0999999999999996" customHeight="1">
      <c r="B44" s="45"/>
      <c r="C44" s="46"/>
      <c r="D44" s="46"/>
      <c r="E44" s="46"/>
    </row>
    <row r="45" spans="1:34">
      <c r="B45" s="74" t="s">
        <v>106</v>
      </c>
      <c r="C45" s="46"/>
      <c r="D45" s="46"/>
      <c r="E45" s="46"/>
    </row>
    <row r="46" spans="1:34" ht="12.75" customHeight="1">
      <c r="B46" s="110" t="s">
        <v>117</v>
      </c>
      <c r="C46" s="111"/>
      <c r="D46" s="111">
        <v>86522</v>
      </c>
      <c r="E46" s="111">
        <v>51352</v>
      </c>
      <c r="G46" s="111">
        <v>69504.945999999996</v>
      </c>
      <c r="H46" s="111">
        <v>52415.053</v>
      </c>
      <c r="I46" s="111">
        <v>34906.019999999997</v>
      </c>
      <c r="J46" s="87">
        <f>D46</f>
        <v>86522</v>
      </c>
      <c r="K46" s="111">
        <v>69204.163</v>
      </c>
      <c r="L46" s="111">
        <v>62512.889000000003</v>
      </c>
      <c r="M46" s="111">
        <v>74156.764999999999</v>
      </c>
      <c r="N46" s="87">
        <f>E46</f>
        <v>51352</v>
      </c>
      <c r="O46" s="111">
        <v>45325</v>
      </c>
      <c r="P46" s="111">
        <v>88244</v>
      </c>
      <c r="Q46" s="111"/>
      <c r="R46" s="87">
        <f t="shared" ref="R46" si="62">E46</f>
        <v>51352</v>
      </c>
      <c r="S46" s="111"/>
      <c r="T46" s="111"/>
      <c r="U46" s="87"/>
      <c r="V46" s="87">
        <f t="shared" ref="V46:AE49" si="63">J46</f>
        <v>86522</v>
      </c>
      <c r="W46" s="87">
        <f t="shared" si="63"/>
        <v>69204.163</v>
      </c>
      <c r="X46" s="87">
        <f t="shared" si="63"/>
        <v>62512.889000000003</v>
      </c>
      <c r="Y46" s="87">
        <f t="shared" si="63"/>
        <v>74156.764999999999</v>
      </c>
      <c r="Z46" s="87">
        <f t="shared" si="63"/>
        <v>51352</v>
      </c>
      <c r="AA46" s="87">
        <f t="shared" si="63"/>
        <v>45325</v>
      </c>
      <c r="AB46" s="87">
        <f t="shared" si="63"/>
        <v>88244</v>
      </c>
      <c r="AC46" s="87">
        <f t="shared" si="63"/>
        <v>0</v>
      </c>
      <c r="AD46" s="87">
        <f t="shared" si="63"/>
        <v>51352</v>
      </c>
      <c r="AE46" s="87">
        <f t="shared" si="63"/>
        <v>0</v>
      </c>
      <c r="AF46" s="87">
        <f>T46</f>
        <v>0</v>
      </c>
      <c r="AG46" s="11"/>
      <c r="AH46" s="70">
        <f t="shared" ref="AH46:AH49" si="64">SUM(AF46/AB46)-1</f>
        <v>-1</v>
      </c>
    </row>
    <row r="47" spans="1:34" ht="12.75" customHeight="1">
      <c r="B47" s="110" t="s">
        <v>151</v>
      </c>
      <c r="C47" s="111"/>
      <c r="D47" s="111">
        <v>15505</v>
      </c>
      <c r="E47" s="111">
        <v>27421</v>
      </c>
      <c r="G47" s="111">
        <v>25629.625</v>
      </c>
      <c r="H47" s="111">
        <v>18883.847000000002</v>
      </c>
      <c r="I47" s="111">
        <v>20902.384999999998</v>
      </c>
      <c r="J47" s="87">
        <f t="shared" ref="J47:J49" si="65">D47</f>
        <v>15505</v>
      </c>
      <c r="K47" s="111">
        <v>26518.494999999999</v>
      </c>
      <c r="L47" s="111">
        <v>36731.612000000001</v>
      </c>
      <c r="M47" s="111">
        <v>31318.68</v>
      </c>
      <c r="N47" s="87">
        <f t="shared" ref="N47:N49" si="66">E47</f>
        <v>27421</v>
      </c>
      <c r="O47" s="111">
        <v>49621</v>
      </c>
      <c r="P47" s="111">
        <v>30113</v>
      </c>
      <c r="Q47" s="111"/>
      <c r="R47" s="87">
        <f t="shared" ref="R47:R49" si="67">E47</f>
        <v>27421</v>
      </c>
      <c r="S47" s="111"/>
      <c r="T47" s="111"/>
      <c r="U47" s="87"/>
      <c r="V47" s="87">
        <f t="shared" si="63"/>
        <v>15505</v>
      </c>
      <c r="W47" s="87">
        <f t="shared" si="63"/>
        <v>26518.494999999999</v>
      </c>
      <c r="X47" s="87">
        <f t="shared" si="63"/>
        <v>36731.612000000001</v>
      </c>
      <c r="Y47" s="87">
        <f t="shared" si="63"/>
        <v>31318.68</v>
      </c>
      <c r="Z47" s="87">
        <f t="shared" si="63"/>
        <v>27421</v>
      </c>
      <c r="AA47" s="87">
        <f t="shared" si="63"/>
        <v>49621</v>
      </c>
      <c r="AB47" s="87">
        <f t="shared" si="63"/>
        <v>30113</v>
      </c>
      <c r="AC47" s="87">
        <f t="shared" si="63"/>
        <v>0</v>
      </c>
      <c r="AD47" s="87">
        <f t="shared" si="63"/>
        <v>27421</v>
      </c>
      <c r="AE47" s="87">
        <f t="shared" si="63"/>
        <v>0</v>
      </c>
      <c r="AF47" s="87">
        <f t="shared" ref="AF47:AF49" si="68">T47</f>
        <v>0</v>
      </c>
      <c r="AG47" s="11"/>
      <c r="AH47" s="70">
        <f t="shared" si="64"/>
        <v>-1</v>
      </c>
    </row>
    <row r="48" spans="1:34" ht="12.75" customHeight="1">
      <c r="B48" s="110" t="s">
        <v>152</v>
      </c>
      <c r="C48" s="111"/>
      <c r="D48" s="111">
        <v>163280</v>
      </c>
      <c r="E48" s="111">
        <v>172906</v>
      </c>
      <c r="G48" s="111">
        <v>139146.31099999999</v>
      </c>
      <c r="H48" s="111">
        <v>146075.459</v>
      </c>
      <c r="I48" s="111">
        <v>162913.633</v>
      </c>
      <c r="J48" s="87">
        <f t="shared" si="65"/>
        <v>163280</v>
      </c>
      <c r="K48" s="111">
        <v>163984.87299999999</v>
      </c>
      <c r="L48" s="111">
        <v>161780.06299999999</v>
      </c>
      <c r="M48" s="111">
        <v>163116.10500000001</v>
      </c>
      <c r="N48" s="87">
        <f t="shared" si="66"/>
        <v>172906</v>
      </c>
      <c r="O48" s="111">
        <v>177732</v>
      </c>
      <c r="P48" s="111">
        <v>179810</v>
      </c>
      <c r="Q48" s="111"/>
      <c r="R48" s="87">
        <f t="shared" si="67"/>
        <v>172906</v>
      </c>
      <c r="S48" s="111"/>
      <c r="T48" s="111"/>
      <c r="U48" s="87"/>
      <c r="V48" s="87">
        <f t="shared" si="63"/>
        <v>163280</v>
      </c>
      <c r="W48" s="87">
        <f t="shared" si="63"/>
        <v>163984.87299999999</v>
      </c>
      <c r="X48" s="87">
        <f t="shared" si="63"/>
        <v>161780.06299999999</v>
      </c>
      <c r="Y48" s="87">
        <f t="shared" si="63"/>
        <v>163116.10500000001</v>
      </c>
      <c r="Z48" s="87">
        <f t="shared" si="63"/>
        <v>172906</v>
      </c>
      <c r="AA48" s="87">
        <f t="shared" si="63"/>
        <v>177732</v>
      </c>
      <c r="AB48" s="87">
        <f t="shared" si="63"/>
        <v>179810</v>
      </c>
      <c r="AC48" s="87">
        <f t="shared" si="63"/>
        <v>0</v>
      </c>
      <c r="AD48" s="87">
        <f t="shared" si="63"/>
        <v>172906</v>
      </c>
      <c r="AE48" s="87">
        <f t="shared" si="63"/>
        <v>0</v>
      </c>
      <c r="AF48" s="87">
        <f t="shared" si="68"/>
        <v>0</v>
      </c>
      <c r="AG48" s="11"/>
      <c r="AH48" s="70">
        <f t="shared" si="64"/>
        <v>-1</v>
      </c>
    </row>
    <row r="49" spans="2:34" ht="12.75" customHeight="1">
      <c r="B49" s="110" t="s">
        <v>153</v>
      </c>
      <c r="C49" s="111"/>
      <c r="D49" s="111">
        <v>5095</v>
      </c>
      <c r="E49" s="111">
        <v>5334</v>
      </c>
      <c r="G49" s="111">
        <v>5519.3010000000004</v>
      </c>
      <c r="H49" s="111">
        <v>5399.9279999999999</v>
      </c>
      <c r="I49" s="111">
        <v>5372.4840000000004</v>
      </c>
      <c r="J49" s="87">
        <f t="shared" si="65"/>
        <v>5095</v>
      </c>
      <c r="K49" s="111">
        <v>4378.6809999999996</v>
      </c>
      <c r="L49" s="111">
        <v>5218.7349999999997</v>
      </c>
      <c r="M49" s="111">
        <v>5107.4549999999999</v>
      </c>
      <c r="N49" s="87">
        <f t="shared" si="66"/>
        <v>5334</v>
      </c>
      <c r="O49" s="111">
        <v>3741</v>
      </c>
      <c r="P49" s="111">
        <v>5524</v>
      </c>
      <c r="Q49" s="111"/>
      <c r="R49" s="87">
        <f t="shared" si="67"/>
        <v>5334</v>
      </c>
      <c r="S49" s="111"/>
      <c r="T49" s="111"/>
      <c r="U49" s="87"/>
      <c r="V49" s="87">
        <f t="shared" si="63"/>
        <v>5095</v>
      </c>
      <c r="W49" s="87">
        <f t="shared" si="63"/>
        <v>4378.6809999999996</v>
      </c>
      <c r="X49" s="87">
        <f t="shared" si="63"/>
        <v>5218.7349999999997</v>
      </c>
      <c r="Y49" s="87">
        <f t="shared" si="63"/>
        <v>5107.4549999999999</v>
      </c>
      <c r="Z49" s="87">
        <f t="shared" si="63"/>
        <v>5334</v>
      </c>
      <c r="AA49" s="87">
        <f t="shared" si="63"/>
        <v>3741</v>
      </c>
      <c r="AB49" s="87">
        <f t="shared" si="63"/>
        <v>5524</v>
      </c>
      <c r="AC49" s="87">
        <f t="shared" si="63"/>
        <v>0</v>
      </c>
      <c r="AD49" s="87">
        <f t="shared" si="63"/>
        <v>5334</v>
      </c>
      <c r="AE49" s="87">
        <f t="shared" si="63"/>
        <v>0</v>
      </c>
      <c r="AF49" s="87">
        <f t="shared" si="68"/>
        <v>0</v>
      </c>
      <c r="AG49" s="11"/>
      <c r="AH49" s="70">
        <f t="shared" si="64"/>
        <v>-1</v>
      </c>
    </row>
    <row r="50" spans="2:34" ht="12.75" customHeight="1">
      <c r="B50" s="23" t="s">
        <v>22</v>
      </c>
      <c r="C50" s="24">
        <f>SUM(C46:C49)</f>
        <v>0</v>
      </c>
      <c r="D50" s="24">
        <f>SUM(D46:D49)</f>
        <v>270402</v>
      </c>
      <c r="E50" s="24">
        <f>SUM(E46:E49)</f>
        <v>257013</v>
      </c>
      <c r="F50" s="47"/>
      <c r="G50" s="24">
        <f t="shared" ref="G50:T50" si="69">SUM(G46:G49)</f>
        <v>239800.18299999999</v>
      </c>
      <c r="H50" s="24">
        <f t="shared" si="69"/>
        <v>222774.28700000001</v>
      </c>
      <c r="I50" s="24">
        <f t="shared" si="69"/>
        <v>224094.522</v>
      </c>
      <c r="J50" s="24">
        <f t="shared" si="69"/>
        <v>270402</v>
      </c>
      <c r="K50" s="24">
        <f t="shared" si="69"/>
        <v>264086.212</v>
      </c>
      <c r="L50" s="24">
        <f t="shared" si="69"/>
        <v>266243.299</v>
      </c>
      <c r="M50" s="24">
        <f t="shared" si="69"/>
        <v>273699.00500000006</v>
      </c>
      <c r="N50" s="24">
        <f t="shared" si="69"/>
        <v>257013</v>
      </c>
      <c r="O50" s="24">
        <f t="shared" si="69"/>
        <v>276419</v>
      </c>
      <c r="P50" s="24">
        <f t="shared" si="69"/>
        <v>303691</v>
      </c>
      <c r="Q50" s="24">
        <f t="shared" si="69"/>
        <v>0</v>
      </c>
      <c r="R50" s="24">
        <f t="shared" si="69"/>
        <v>257013</v>
      </c>
      <c r="S50" s="24">
        <f t="shared" si="69"/>
        <v>0</v>
      </c>
      <c r="T50" s="24">
        <f t="shared" si="69"/>
        <v>0</v>
      </c>
      <c r="U50" s="47"/>
      <c r="V50" s="24">
        <f t="shared" ref="V50:AF50" si="70">SUM(V46:V49)</f>
        <v>270402</v>
      </c>
      <c r="W50" s="24">
        <f t="shared" si="70"/>
        <v>264086.212</v>
      </c>
      <c r="X50" s="24">
        <f t="shared" si="70"/>
        <v>266243.299</v>
      </c>
      <c r="Y50" s="24">
        <f t="shared" si="70"/>
        <v>273699.00500000006</v>
      </c>
      <c r="Z50" s="24">
        <f t="shared" si="70"/>
        <v>257013</v>
      </c>
      <c r="AA50" s="24">
        <f t="shared" si="70"/>
        <v>276419</v>
      </c>
      <c r="AB50" s="24">
        <f t="shared" si="70"/>
        <v>303691</v>
      </c>
      <c r="AC50" s="24">
        <f t="shared" si="70"/>
        <v>0</v>
      </c>
      <c r="AD50" s="24">
        <f t="shared" si="70"/>
        <v>257013</v>
      </c>
      <c r="AE50" s="24">
        <f t="shared" si="70"/>
        <v>0</v>
      </c>
      <c r="AF50" s="24">
        <f t="shared" si="70"/>
        <v>0</v>
      </c>
      <c r="AG50" s="40"/>
      <c r="AH50" s="71">
        <f>SUM(AF50/AB50)-1</f>
        <v>-1</v>
      </c>
    </row>
    <row r="51" spans="2:34" ht="5.0999999999999996" customHeight="1">
      <c r="B51" s="23"/>
      <c r="C51" s="48"/>
      <c r="D51" s="39"/>
      <c r="E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37"/>
    </row>
    <row r="52" spans="2:34" ht="12.75" customHeight="1">
      <c r="B52" s="74" t="s">
        <v>107</v>
      </c>
      <c r="C52" s="79"/>
      <c r="D52" s="79"/>
      <c r="E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11"/>
      <c r="AH52" s="70"/>
    </row>
    <row r="53" spans="2:34" ht="12.75" customHeight="1">
      <c r="B53" s="9" t="s">
        <v>118</v>
      </c>
      <c r="C53" s="79"/>
      <c r="D53" s="79">
        <v>58261</v>
      </c>
      <c r="E53" s="79">
        <v>53835</v>
      </c>
      <c r="G53" s="111">
        <v>53220.048000000003</v>
      </c>
      <c r="H53" s="111">
        <v>54951.267</v>
      </c>
      <c r="I53" s="111">
        <v>56946.008999999998</v>
      </c>
      <c r="J53" s="87">
        <f t="shared" ref="J53:J57" si="71">D53</f>
        <v>58261</v>
      </c>
      <c r="K53" s="111">
        <v>57370.783000000003</v>
      </c>
      <c r="L53" s="111">
        <v>56305.62</v>
      </c>
      <c r="M53" s="111">
        <v>54814.607000000004</v>
      </c>
      <c r="N53" s="87">
        <f t="shared" ref="N53:N57" si="72">E53</f>
        <v>53835</v>
      </c>
      <c r="O53" s="111">
        <v>55317</v>
      </c>
      <c r="P53" s="111">
        <v>54326</v>
      </c>
      <c r="Q53" s="111"/>
      <c r="R53" s="87">
        <f t="shared" ref="R53:R57" si="73">E53</f>
        <v>53835</v>
      </c>
      <c r="S53" s="111"/>
      <c r="T53" s="111"/>
      <c r="U53" s="87"/>
      <c r="V53" s="87">
        <f t="shared" ref="V53" si="74">J53</f>
        <v>58261</v>
      </c>
      <c r="W53" s="87">
        <f t="shared" ref="W53" si="75">K53</f>
        <v>57370.783000000003</v>
      </c>
      <c r="X53" s="87">
        <f t="shared" ref="X53" si="76">L53</f>
        <v>56305.62</v>
      </c>
      <c r="Y53" s="87">
        <f t="shared" ref="Y53" si="77">M53</f>
        <v>54814.607000000004</v>
      </c>
      <c r="Z53" s="87">
        <f t="shared" ref="Z53" si="78">N53</f>
        <v>53835</v>
      </c>
      <c r="AA53" s="87">
        <f t="shared" ref="AA53" si="79">O53</f>
        <v>55317</v>
      </c>
      <c r="AB53" s="87">
        <f t="shared" ref="AB53" si="80">P53</f>
        <v>54326</v>
      </c>
      <c r="AC53" s="87">
        <f t="shared" ref="AC53" si="81">Q53</f>
        <v>0</v>
      </c>
      <c r="AD53" s="87">
        <f t="shared" ref="AD53" si="82">R53</f>
        <v>53835</v>
      </c>
      <c r="AE53" s="87">
        <f t="shared" ref="AE53" si="83">S53</f>
        <v>0</v>
      </c>
      <c r="AF53" s="87">
        <f>T53</f>
        <v>0</v>
      </c>
      <c r="AG53" s="11"/>
      <c r="AH53" s="70">
        <f t="shared" ref="AH53:AH57" si="84">SUM(AF53/AB53)-1</f>
        <v>-1</v>
      </c>
    </row>
    <row r="54" spans="2:34" ht="12.75" customHeight="1">
      <c r="B54" s="9" t="s">
        <v>154</v>
      </c>
      <c r="C54" s="79"/>
      <c r="D54" s="79">
        <v>1013</v>
      </c>
      <c r="E54" s="79">
        <v>499</v>
      </c>
      <c r="G54" s="111">
        <v>154.99299999999999</v>
      </c>
      <c r="H54" s="111">
        <v>1371.0920000000001</v>
      </c>
      <c r="I54" s="111">
        <v>1192.2539999999999</v>
      </c>
      <c r="J54" s="87">
        <f t="shared" si="71"/>
        <v>1013</v>
      </c>
      <c r="K54" s="111">
        <v>834.577</v>
      </c>
      <c r="L54" s="111">
        <v>655.74</v>
      </c>
      <c r="M54" s="111">
        <v>476.90199999999999</v>
      </c>
      <c r="N54" s="87">
        <f t="shared" si="72"/>
        <v>499</v>
      </c>
      <c r="O54" s="111">
        <v>321</v>
      </c>
      <c r="P54" s="111">
        <v>479</v>
      </c>
      <c r="Q54" s="111"/>
      <c r="R54" s="87">
        <f t="shared" si="73"/>
        <v>499</v>
      </c>
      <c r="S54" s="111"/>
      <c r="T54" s="111"/>
      <c r="V54" s="30">
        <f t="shared" ref="V54:AA57" si="85">K54</f>
        <v>834.577</v>
      </c>
      <c r="W54" s="30">
        <f t="shared" si="85"/>
        <v>655.74</v>
      </c>
      <c r="X54" s="30">
        <f t="shared" si="85"/>
        <v>476.90199999999999</v>
      </c>
      <c r="Y54" s="30">
        <f t="shared" si="85"/>
        <v>499</v>
      </c>
      <c r="Z54" s="30">
        <f t="shared" si="85"/>
        <v>321</v>
      </c>
      <c r="AA54" s="30">
        <f t="shared" si="85"/>
        <v>479</v>
      </c>
      <c r="AB54" s="87">
        <f t="shared" ref="AB54:AB57" si="86">P54</f>
        <v>479</v>
      </c>
      <c r="AC54" s="87">
        <f t="shared" ref="AC54:AC57" si="87">Q54</f>
        <v>0</v>
      </c>
      <c r="AD54" s="87">
        <f t="shared" ref="AD54:AD57" si="88">R54</f>
        <v>499</v>
      </c>
      <c r="AE54" s="87">
        <f t="shared" ref="AE54:AE57" si="89">S54</f>
        <v>0</v>
      </c>
      <c r="AF54" s="87">
        <f t="shared" ref="AF54:AF57" si="90">T54</f>
        <v>0</v>
      </c>
      <c r="AG54" s="11"/>
      <c r="AH54" s="70">
        <f t="shared" si="84"/>
        <v>-1</v>
      </c>
    </row>
    <row r="55" spans="2:34" ht="12.75" customHeight="1">
      <c r="B55" s="9" t="s">
        <v>119</v>
      </c>
      <c r="C55" s="79"/>
      <c r="D55" s="79">
        <v>3530</v>
      </c>
      <c r="E55" s="79">
        <v>3530</v>
      </c>
      <c r="G55" s="111">
        <v>3529.509</v>
      </c>
      <c r="H55" s="111">
        <v>3529.509</v>
      </c>
      <c r="I55" s="111">
        <v>3529.509</v>
      </c>
      <c r="J55" s="87">
        <f t="shared" si="71"/>
        <v>3530</v>
      </c>
      <c r="K55" s="111">
        <v>3529.509</v>
      </c>
      <c r="L55" s="111">
        <v>3529.509</v>
      </c>
      <c r="M55" s="111">
        <v>3529.509</v>
      </c>
      <c r="N55" s="87">
        <f t="shared" si="72"/>
        <v>3530</v>
      </c>
      <c r="O55" s="111">
        <v>3530</v>
      </c>
      <c r="P55" s="111">
        <v>3530</v>
      </c>
      <c r="Q55" s="111"/>
      <c r="R55" s="87">
        <f t="shared" si="73"/>
        <v>3530</v>
      </c>
      <c r="S55" s="111"/>
      <c r="T55" s="111"/>
      <c r="V55" s="30">
        <f t="shared" si="85"/>
        <v>3529.509</v>
      </c>
      <c r="W55" s="30">
        <f t="shared" si="85"/>
        <v>3529.509</v>
      </c>
      <c r="X55" s="30">
        <f t="shared" si="85"/>
        <v>3529.509</v>
      </c>
      <c r="Y55" s="30">
        <f t="shared" si="85"/>
        <v>3530</v>
      </c>
      <c r="Z55" s="30">
        <f t="shared" si="85"/>
        <v>3530</v>
      </c>
      <c r="AA55" s="30">
        <f t="shared" si="85"/>
        <v>3530</v>
      </c>
      <c r="AB55" s="87">
        <f t="shared" si="86"/>
        <v>3530</v>
      </c>
      <c r="AC55" s="87">
        <f t="shared" si="87"/>
        <v>0</v>
      </c>
      <c r="AD55" s="87">
        <f t="shared" si="88"/>
        <v>3530</v>
      </c>
      <c r="AE55" s="87">
        <f t="shared" si="89"/>
        <v>0</v>
      </c>
      <c r="AF55" s="87">
        <f t="shared" si="90"/>
        <v>0</v>
      </c>
      <c r="AG55" s="11"/>
      <c r="AH55" s="70">
        <f t="shared" si="84"/>
        <v>-1</v>
      </c>
    </row>
    <row r="56" spans="2:34" ht="12.75" customHeight="1">
      <c r="B56" s="9" t="s">
        <v>155</v>
      </c>
      <c r="C56" s="79"/>
      <c r="D56" s="79">
        <v>10485</v>
      </c>
      <c r="E56" s="79">
        <v>9635</v>
      </c>
      <c r="G56" s="111">
        <v>7106.6419999999998</v>
      </c>
      <c r="H56" s="111">
        <v>10550.236000000001</v>
      </c>
      <c r="I56" s="111">
        <v>10335.873</v>
      </c>
      <c r="J56" s="87">
        <f t="shared" si="71"/>
        <v>10485</v>
      </c>
      <c r="K56" s="111">
        <v>102.477</v>
      </c>
      <c r="L56" s="111">
        <v>10003.825999999999</v>
      </c>
      <c r="M56" s="111">
        <v>9753.7250000000004</v>
      </c>
      <c r="N56" s="87">
        <f t="shared" si="72"/>
        <v>9635</v>
      </c>
      <c r="O56" s="111">
        <v>9397</v>
      </c>
      <c r="P56" s="111">
        <v>9152</v>
      </c>
      <c r="Q56" s="111"/>
      <c r="R56" s="87">
        <f t="shared" si="73"/>
        <v>9635</v>
      </c>
      <c r="S56" s="111"/>
      <c r="T56" s="111"/>
      <c r="V56" s="30">
        <f t="shared" si="85"/>
        <v>102.477</v>
      </c>
      <c r="W56" s="30">
        <f t="shared" si="85"/>
        <v>10003.825999999999</v>
      </c>
      <c r="X56" s="30">
        <f t="shared" si="85"/>
        <v>9753.7250000000004</v>
      </c>
      <c r="Y56" s="30">
        <f t="shared" si="85"/>
        <v>9635</v>
      </c>
      <c r="Z56" s="30">
        <f t="shared" si="85"/>
        <v>9397</v>
      </c>
      <c r="AA56" s="30">
        <f t="shared" si="85"/>
        <v>9152</v>
      </c>
      <c r="AB56" s="87">
        <f t="shared" si="86"/>
        <v>9152</v>
      </c>
      <c r="AC56" s="87">
        <f t="shared" si="87"/>
        <v>0</v>
      </c>
      <c r="AD56" s="87">
        <f t="shared" si="88"/>
        <v>9635</v>
      </c>
      <c r="AE56" s="87">
        <f t="shared" si="89"/>
        <v>0</v>
      </c>
      <c r="AF56" s="87">
        <f t="shared" si="90"/>
        <v>0</v>
      </c>
      <c r="AG56" s="11"/>
      <c r="AH56" s="70">
        <f t="shared" si="84"/>
        <v>-1</v>
      </c>
    </row>
    <row r="57" spans="2:34" ht="12.75" customHeight="1">
      <c r="B57" s="9" t="s">
        <v>156</v>
      </c>
      <c r="C57" s="79"/>
      <c r="D57" s="79">
        <v>4770</v>
      </c>
      <c r="E57" s="79">
        <v>4670</v>
      </c>
      <c r="G57" s="111">
        <v>28250.748</v>
      </c>
      <c r="H57" s="111">
        <v>3755.9380000000001</v>
      </c>
      <c r="I57" s="111">
        <v>4459.3220000000001</v>
      </c>
      <c r="J57" s="87">
        <f t="shared" si="71"/>
        <v>4770</v>
      </c>
      <c r="K57" s="111">
        <v>4718.7610000000004</v>
      </c>
      <c r="L57" s="111">
        <v>6289.0479999999998</v>
      </c>
      <c r="M57" s="111">
        <v>6722.817</v>
      </c>
      <c r="N57" s="87">
        <f t="shared" si="72"/>
        <v>4670</v>
      </c>
      <c r="O57" s="111">
        <v>5891</v>
      </c>
      <c r="P57" s="111">
        <v>5221</v>
      </c>
      <c r="Q57" s="111"/>
      <c r="R57" s="87">
        <f t="shared" si="73"/>
        <v>4670</v>
      </c>
      <c r="S57" s="111"/>
      <c r="T57" s="111"/>
      <c r="V57" s="30">
        <f t="shared" si="85"/>
        <v>4718.7610000000004</v>
      </c>
      <c r="W57" s="30">
        <f t="shared" si="85"/>
        <v>6289.0479999999998</v>
      </c>
      <c r="X57" s="30">
        <f t="shared" si="85"/>
        <v>6722.817</v>
      </c>
      <c r="Y57" s="30">
        <f t="shared" si="85"/>
        <v>4670</v>
      </c>
      <c r="Z57" s="30">
        <f t="shared" si="85"/>
        <v>5891</v>
      </c>
      <c r="AA57" s="30">
        <f t="shared" si="85"/>
        <v>5221</v>
      </c>
      <c r="AB57" s="87">
        <f t="shared" si="86"/>
        <v>5221</v>
      </c>
      <c r="AC57" s="87">
        <f t="shared" si="87"/>
        <v>0</v>
      </c>
      <c r="AD57" s="87">
        <f t="shared" si="88"/>
        <v>4670</v>
      </c>
      <c r="AE57" s="87">
        <f t="shared" si="89"/>
        <v>0</v>
      </c>
      <c r="AF57" s="87">
        <f t="shared" si="90"/>
        <v>0</v>
      </c>
      <c r="AG57" s="11"/>
      <c r="AH57" s="70">
        <f t="shared" si="84"/>
        <v>-1</v>
      </c>
    </row>
    <row r="58" spans="2:34" ht="12.75" customHeight="1">
      <c r="B58" s="12" t="s">
        <v>23</v>
      </c>
      <c r="C58" s="13">
        <f>SUM(C53:C57)+C50</f>
        <v>0</v>
      </c>
      <c r="D58" s="13">
        <f>SUM(D53:D57)+D50</f>
        <v>348461</v>
      </c>
      <c r="E58" s="13">
        <f>SUM(E53:E57)+E50</f>
        <v>329182</v>
      </c>
      <c r="G58" s="13">
        <f>SUM(G53:G57)+G50</f>
        <v>332062.12300000002</v>
      </c>
      <c r="H58" s="13">
        <f>SUM(H53:H57)+H50</f>
        <v>296932.32900000003</v>
      </c>
      <c r="I58" s="13">
        <f>SUM(I53:I57)+I50</f>
        <v>300557.489</v>
      </c>
      <c r="J58" s="13">
        <f>SUM(J53:J57)+J50</f>
        <v>348461</v>
      </c>
      <c r="K58" s="13">
        <f>SUM(K53:K57)+K50</f>
        <v>330642.31900000002</v>
      </c>
      <c r="L58" s="13">
        <f>SUM(L53:L57)+L50</f>
        <v>343027.04200000002</v>
      </c>
      <c r="M58" s="13">
        <f>SUM(M53:M57)+M50</f>
        <v>348996.56500000006</v>
      </c>
      <c r="N58" s="13">
        <f>SUM(N53:N57)+N50</f>
        <v>329182</v>
      </c>
      <c r="O58" s="13">
        <f>SUM(O53:O57)+O50</f>
        <v>350875</v>
      </c>
      <c r="P58" s="13">
        <f>SUM(P53:P57)+P50</f>
        <v>376399</v>
      </c>
      <c r="Q58" s="13">
        <f>SUM(Q53:Q57)+Q50</f>
        <v>0</v>
      </c>
      <c r="R58" s="13">
        <f>SUM(R53:R57)+R50</f>
        <v>329182</v>
      </c>
      <c r="S58" s="13">
        <f>SUM(S53:S57)+S50</f>
        <v>0</v>
      </c>
      <c r="T58" s="13">
        <f>SUM(T53:T57)+T50</f>
        <v>0</v>
      </c>
      <c r="V58" s="13">
        <f>SUM(V53:V57)+V50</f>
        <v>337848.32400000002</v>
      </c>
      <c r="W58" s="13">
        <f>SUM(W53:W57)+W50</f>
        <v>341935.11800000002</v>
      </c>
      <c r="X58" s="13">
        <f>SUM(X53:X57)+X50</f>
        <v>343031.87199999997</v>
      </c>
      <c r="Y58" s="13">
        <f>SUM(Y53:Y57)+Y50</f>
        <v>346847.61200000008</v>
      </c>
      <c r="Z58" s="13">
        <f>SUM(Z53:Z57)+Z50</f>
        <v>329987</v>
      </c>
      <c r="AA58" s="13">
        <f>SUM(AA53:AA57)+AA50</f>
        <v>350118</v>
      </c>
      <c r="AB58" s="13">
        <f>SUM(AB53:AB57)+AB50</f>
        <v>376399</v>
      </c>
      <c r="AC58" s="13">
        <f>SUM(AC53:AC57)+AC50</f>
        <v>0</v>
      </c>
      <c r="AD58" s="13">
        <f>SUM(AD53:AD57)+AD50</f>
        <v>329182</v>
      </c>
      <c r="AE58" s="13">
        <f>SUM(AE53:AE57)+AE50</f>
        <v>0</v>
      </c>
      <c r="AF58" s="13">
        <f>SUM(AF53:AF57)+AF50</f>
        <v>0</v>
      </c>
      <c r="AG58" s="40"/>
      <c r="AH58" s="71">
        <f>SUM(AF58/AB58)-1</f>
        <v>-1</v>
      </c>
    </row>
    <row r="59" spans="2:34" ht="12.75" customHeight="1">
      <c r="B59" s="23"/>
      <c r="C59" s="49"/>
      <c r="D59" s="39"/>
      <c r="E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37"/>
    </row>
    <row r="60" spans="2:34" ht="12.75" customHeight="1">
      <c r="B60" s="74" t="s">
        <v>58</v>
      </c>
      <c r="C60" s="49"/>
      <c r="D60" s="39"/>
      <c r="E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37"/>
    </row>
    <row r="61" spans="2:34" ht="12.75" customHeight="1">
      <c r="B61" s="110" t="s">
        <v>15</v>
      </c>
      <c r="C61" s="79"/>
      <c r="D61" s="79">
        <v>13229</v>
      </c>
      <c r="E61" s="79">
        <v>15660</v>
      </c>
      <c r="G61" s="111">
        <v>14115.135</v>
      </c>
      <c r="H61" s="111">
        <v>11388.048000000001</v>
      </c>
      <c r="I61" s="111">
        <v>25197.806</v>
      </c>
      <c r="J61" s="87">
        <f t="shared" ref="J61:J64" si="91">D61</f>
        <v>13229</v>
      </c>
      <c r="K61" s="111">
        <v>12956.486000000001</v>
      </c>
      <c r="L61" s="111">
        <v>12084.529</v>
      </c>
      <c r="M61" s="111">
        <v>10851.446</v>
      </c>
      <c r="N61" s="87">
        <f t="shared" ref="N61:N64" si="92">E61</f>
        <v>15660</v>
      </c>
      <c r="O61" s="111">
        <v>17186</v>
      </c>
      <c r="P61" s="111">
        <v>14179</v>
      </c>
      <c r="Q61" s="111"/>
      <c r="R61" s="87">
        <f t="shared" ref="R61:R64" si="93">E61</f>
        <v>15660</v>
      </c>
      <c r="S61" s="111"/>
      <c r="T61" s="111"/>
      <c r="V61" s="30">
        <f t="shared" ref="V61:AA62" si="94">K61</f>
        <v>12956.486000000001</v>
      </c>
      <c r="W61" s="30">
        <f t="shared" si="94"/>
        <v>12084.529</v>
      </c>
      <c r="X61" s="30">
        <f t="shared" si="94"/>
        <v>10851.446</v>
      </c>
      <c r="Y61" s="30">
        <f t="shared" si="94"/>
        <v>15660</v>
      </c>
      <c r="Z61" s="30">
        <f t="shared" si="94"/>
        <v>17186</v>
      </c>
      <c r="AA61" s="30">
        <f t="shared" si="94"/>
        <v>14179</v>
      </c>
      <c r="AB61" s="87">
        <f t="shared" ref="AB61:AB64" si="95">P61</f>
        <v>14179</v>
      </c>
      <c r="AC61" s="87">
        <f t="shared" ref="AC61:AC64" si="96">Q61</f>
        <v>0</v>
      </c>
      <c r="AD61" s="87">
        <f t="shared" ref="AD61:AD64" si="97">R61</f>
        <v>15660</v>
      </c>
      <c r="AE61" s="87">
        <f t="shared" ref="AE61:AE64" si="98">S61</f>
        <v>0</v>
      </c>
      <c r="AF61" s="87">
        <f t="shared" ref="AF61:AF64" si="99">T61</f>
        <v>0</v>
      </c>
      <c r="AG61" s="11"/>
      <c r="AH61" s="70">
        <f t="shared" ref="AH61" si="100">SUM(AF61/AB61)-1</f>
        <v>-1</v>
      </c>
    </row>
    <row r="62" spans="2:34" ht="12.75" customHeight="1">
      <c r="B62" s="110" t="s">
        <v>141</v>
      </c>
      <c r="C62" s="79"/>
      <c r="D62" s="79">
        <v>24990</v>
      </c>
      <c r="E62" s="79">
        <v>32919</v>
      </c>
      <c r="G62" s="111">
        <v>16654.54</v>
      </c>
      <c r="H62" s="111">
        <v>15961.07</v>
      </c>
      <c r="I62" s="111">
        <v>18378.932000000001</v>
      </c>
      <c r="J62" s="87">
        <f t="shared" si="91"/>
        <v>24990</v>
      </c>
      <c r="K62" s="111">
        <v>22672.464</v>
      </c>
      <c r="L62" s="111">
        <v>28745.598000000002</v>
      </c>
      <c r="M62" s="111">
        <v>29863.725999999999</v>
      </c>
      <c r="N62" s="87">
        <f t="shared" si="92"/>
        <v>32919</v>
      </c>
      <c r="O62" s="111">
        <v>33691</v>
      </c>
      <c r="P62" s="111">
        <v>27726</v>
      </c>
      <c r="Q62" s="111"/>
      <c r="R62" s="87">
        <f t="shared" si="93"/>
        <v>32919</v>
      </c>
      <c r="S62" s="111"/>
      <c r="T62" s="111"/>
      <c r="V62" s="30">
        <f t="shared" si="94"/>
        <v>22672.464</v>
      </c>
      <c r="W62" s="30">
        <f t="shared" si="94"/>
        <v>28745.598000000002</v>
      </c>
      <c r="X62" s="30">
        <f t="shared" si="94"/>
        <v>29863.725999999999</v>
      </c>
      <c r="Y62" s="30">
        <f t="shared" si="94"/>
        <v>32919</v>
      </c>
      <c r="Z62" s="30">
        <f t="shared" si="94"/>
        <v>33691</v>
      </c>
      <c r="AA62" s="30">
        <f t="shared" si="94"/>
        <v>27726</v>
      </c>
      <c r="AB62" s="87">
        <f t="shared" si="95"/>
        <v>27726</v>
      </c>
      <c r="AC62" s="87">
        <f t="shared" si="96"/>
        <v>0</v>
      </c>
      <c r="AD62" s="87">
        <f t="shared" si="97"/>
        <v>32919</v>
      </c>
      <c r="AE62" s="87">
        <f t="shared" si="98"/>
        <v>0</v>
      </c>
      <c r="AF62" s="87">
        <f t="shared" si="99"/>
        <v>0</v>
      </c>
      <c r="AG62" s="11"/>
      <c r="AH62" s="70">
        <f t="shared" ref="AH62:AH64" si="101">SUM(AF62/AB62)-1</f>
        <v>-1</v>
      </c>
    </row>
    <row r="63" spans="2:34" ht="12.75" customHeight="1">
      <c r="B63" s="110" t="s">
        <v>157</v>
      </c>
      <c r="C63" s="79"/>
      <c r="D63" s="79">
        <v>143</v>
      </c>
      <c r="E63" s="79">
        <v>182</v>
      </c>
      <c r="G63" s="111">
        <v>142.834</v>
      </c>
      <c r="H63" s="111">
        <v>142.834</v>
      </c>
      <c r="I63" s="111">
        <v>142.834</v>
      </c>
      <c r="J63" s="87">
        <f t="shared" si="91"/>
        <v>143</v>
      </c>
      <c r="K63" s="111">
        <v>142.834</v>
      </c>
      <c r="L63" s="111">
        <v>142.834</v>
      </c>
      <c r="M63" s="111">
        <v>142.834</v>
      </c>
      <c r="N63" s="87">
        <f t="shared" si="92"/>
        <v>182</v>
      </c>
      <c r="O63" s="111">
        <v>1118</v>
      </c>
      <c r="P63" s="111">
        <v>1130</v>
      </c>
      <c r="Q63" s="111"/>
      <c r="R63" s="87">
        <f t="shared" si="93"/>
        <v>182</v>
      </c>
      <c r="S63" s="111"/>
      <c r="T63" s="111"/>
      <c r="V63" s="30"/>
      <c r="W63" s="30"/>
      <c r="X63" s="30"/>
      <c r="Y63" s="30"/>
      <c r="Z63" s="30"/>
      <c r="AA63" s="30"/>
      <c r="AB63" s="87">
        <f t="shared" si="95"/>
        <v>1130</v>
      </c>
      <c r="AC63" s="87">
        <f t="shared" si="96"/>
        <v>0</v>
      </c>
      <c r="AD63" s="87">
        <f t="shared" si="97"/>
        <v>182</v>
      </c>
      <c r="AE63" s="87">
        <f t="shared" si="98"/>
        <v>0</v>
      </c>
      <c r="AF63" s="87">
        <f t="shared" si="99"/>
        <v>0</v>
      </c>
      <c r="AG63" s="11"/>
      <c r="AH63" s="70">
        <f t="shared" si="101"/>
        <v>-1</v>
      </c>
    </row>
    <row r="64" spans="2:34" ht="12.75" customHeight="1">
      <c r="B64" s="110" t="s">
        <v>158</v>
      </c>
      <c r="C64" s="79"/>
      <c r="D64" s="79">
        <v>905</v>
      </c>
      <c r="E64" s="79">
        <v>1045</v>
      </c>
      <c r="G64" s="111">
        <v>654.00300000000004</v>
      </c>
      <c r="H64" s="111">
        <v>579.66099999999994</v>
      </c>
      <c r="I64" s="111">
        <v>720.755</v>
      </c>
      <c r="J64" s="87">
        <f t="shared" si="91"/>
        <v>905</v>
      </c>
      <c r="K64" s="111">
        <v>956.04499999999996</v>
      </c>
      <c r="L64" s="111">
        <v>979.53599999999994</v>
      </c>
      <c r="M64" s="111">
        <v>982.89099999999996</v>
      </c>
      <c r="N64" s="87">
        <f t="shared" si="92"/>
        <v>1045</v>
      </c>
      <c r="O64" s="111">
        <v>1093</v>
      </c>
      <c r="P64" s="111">
        <v>1142</v>
      </c>
      <c r="Q64" s="111"/>
      <c r="R64" s="87">
        <f t="shared" si="93"/>
        <v>1045</v>
      </c>
      <c r="S64" s="111"/>
      <c r="T64" s="111"/>
      <c r="V64" s="30"/>
      <c r="W64" s="30"/>
      <c r="X64" s="30"/>
      <c r="Y64" s="30"/>
      <c r="Z64" s="30"/>
      <c r="AA64" s="30"/>
      <c r="AB64" s="87">
        <f t="shared" si="95"/>
        <v>1142</v>
      </c>
      <c r="AC64" s="87">
        <f t="shared" si="96"/>
        <v>0</v>
      </c>
      <c r="AD64" s="87">
        <f t="shared" si="97"/>
        <v>1045</v>
      </c>
      <c r="AE64" s="87">
        <f t="shared" si="98"/>
        <v>0</v>
      </c>
      <c r="AF64" s="87">
        <f t="shared" si="99"/>
        <v>0</v>
      </c>
      <c r="AG64" s="11"/>
      <c r="AH64" s="70">
        <f t="shared" si="101"/>
        <v>-1</v>
      </c>
    </row>
    <row r="65" spans="2:34" ht="12.75" customHeight="1">
      <c r="B65" s="23" t="s">
        <v>21</v>
      </c>
      <c r="C65" s="24">
        <f>SUM(C61:C64)</f>
        <v>0</v>
      </c>
      <c r="D65" s="24">
        <f>SUM(D61:D64)</f>
        <v>39267</v>
      </c>
      <c r="E65" s="24">
        <f>SUM(E61:E64)</f>
        <v>49806</v>
      </c>
      <c r="G65" s="24">
        <f>SUM(G61:G64)</f>
        <v>31566.512000000002</v>
      </c>
      <c r="H65" s="24">
        <f>SUM(H61:H64)</f>
        <v>28071.613000000001</v>
      </c>
      <c r="I65" s="24">
        <f>SUM(I61:I64)</f>
        <v>44440.326999999997</v>
      </c>
      <c r="J65" s="24">
        <f>SUM(J61:J64)</f>
        <v>39267</v>
      </c>
      <c r="K65" s="24">
        <f>SUM(K61:K64)</f>
        <v>36727.828999999998</v>
      </c>
      <c r="L65" s="24">
        <f>SUM(L61:L64)</f>
        <v>41952.497000000003</v>
      </c>
      <c r="M65" s="24">
        <f>SUM(M61:M64)</f>
        <v>41840.897000000004</v>
      </c>
      <c r="N65" s="24">
        <f>SUM(N61:N64)</f>
        <v>49806</v>
      </c>
      <c r="O65" s="24">
        <f>SUM(O61:O64)</f>
        <v>53088</v>
      </c>
      <c r="P65" s="24">
        <f>SUM(P61:P64)</f>
        <v>44177</v>
      </c>
      <c r="Q65" s="24">
        <f>SUM(Q61:Q64)</f>
        <v>0</v>
      </c>
      <c r="R65" s="24">
        <f>SUM(R61:R64)</f>
        <v>49806</v>
      </c>
      <c r="S65" s="24">
        <f>SUM(S61:S64)</f>
        <v>0</v>
      </c>
      <c r="T65" s="24">
        <f>SUM(T61:T64)</f>
        <v>0</v>
      </c>
      <c r="U65" s="47"/>
      <c r="V65" s="24">
        <f>SUM(V61:V64)</f>
        <v>35628.949999999997</v>
      </c>
      <c r="W65" s="24">
        <f>SUM(W61:W64)</f>
        <v>40830.127</v>
      </c>
      <c r="X65" s="24">
        <f>SUM(X61:X64)</f>
        <v>40715.171999999999</v>
      </c>
      <c r="Y65" s="24">
        <f>SUM(Y61:Y64)</f>
        <v>48579</v>
      </c>
      <c r="Z65" s="24">
        <f>SUM(Z61:Z64)</f>
        <v>50877</v>
      </c>
      <c r="AA65" s="24">
        <f>SUM(AA61:AA64)</f>
        <v>41905</v>
      </c>
      <c r="AB65" s="24">
        <f>SUM(AB61:AB64)</f>
        <v>44177</v>
      </c>
      <c r="AC65" s="24">
        <f>SUM(AC61:AC64)</f>
        <v>0</v>
      </c>
      <c r="AD65" s="24">
        <f>SUM(AD61:AD64)</f>
        <v>49806</v>
      </c>
      <c r="AE65" s="24">
        <f>SUM(AE61:AE64)</f>
        <v>0</v>
      </c>
      <c r="AF65" s="24">
        <f>SUM(AF61:AF64)</f>
        <v>0</v>
      </c>
      <c r="AG65" s="40"/>
      <c r="AH65" s="71">
        <f>SUM(AF65/AB65)-1</f>
        <v>-1</v>
      </c>
    </row>
    <row r="66" spans="2:34" ht="5.0999999999999996" customHeight="1">
      <c r="B66" s="23"/>
      <c r="C66" s="49"/>
      <c r="D66" s="39"/>
      <c r="E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37"/>
    </row>
    <row r="67" spans="2:34">
      <c r="B67" s="74" t="s">
        <v>109</v>
      </c>
      <c r="C67" s="49"/>
      <c r="D67" s="39"/>
      <c r="E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37"/>
    </row>
    <row r="68" spans="2:34" ht="12.75" customHeight="1">
      <c r="B68" s="110" t="s">
        <v>159</v>
      </c>
      <c r="C68" s="79"/>
      <c r="D68" s="79">
        <v>142833</v>
      </c>
      <c r="E68" s="79">
        <v>130594</v>
      </c>
      <c r="G68" s="111">
        <v>138423.052</v>
      </c>
      <c r="H68" s="111">
        <v>139810.93100000001</v>
      </c>
      <c r="I68" s="111">
        <v>141365.70600000001</v>
      </c>
      <c r="J68" s="87">
        <f t="shared" ref="J68:J72" si="102">D68</f>
        <v>142833</v>
      </c>
      <c r="K68" s="111">
        <v>144300.93</v>
      </c>
      <c r="L68" s="111">
        <v>140312.07</v>
      </c>
      <c r="M68" s="111">
        <v>142025.54199999999</v>
      </c>
      <c r="N68" s="87">
        <f t="shared" ref="N68:N72" si="103">E68</f>
        <v>130594</v>
      </c>
      <c r="O68" s="111">
        <v>130847</v>
      </c>
      <c r="P68" s="111">
        <v>131074</v>
      </c>
      <c r="Q68" s="111"/>
      <c r="R68" s="87">
        <f t="shared" ref="R68:R72" si="104">E68</f>
        <v>130594</v>
      </c>
      <c r="S68" s="111"/>
      <c r="T68" s="111"/>
      <c r="V68" s="30">
        <f t="shared" ref="V68:AA69" si="105">K68</f>
        <v>144300.93</v>
      </c>
      <c r="W68" s="30">
        <f t="shared" si="105"/>
        <v>140312.07</v>
      </c>
      <c r="X68" s="30">
        <f t="shared" si="105"/>
        <v>142025.54199999999</v>
      </c>
      <c r="Y68" s="30">
        <f t="shared" si="105"/>
        <v>130594</v>
      </c>
      <c r="Z68" s="30">
        <f t="shared" si="105"/>
        <v>130847</v>
      </c>
      <c r="AA68" s="30">
        <f t="shared" si="105"/>
        <v>131074</v>
      </c>
      <c r="AB68" s="87">
        <f t="shared" ref="AB68:AB72" si="106">P68</f>
        <v>131074</v>
      </c>
      <c r="AC68" s="87">
        <f t="shared" ref="AC68:AC72" si="107">Q68</f>
        <v>0</v>
      </c>
      <c r="AD68" s="87">
        <f t="shared" ref="AD68:AD72" si="108">R68</f>
        <v>130594</v>
      </c>
      <c r="AE68" s="87">
        <f t="shared" ref="AE68:AE72" si="109">S68</f>
        <v>0</v>
      </c>
      <c r="AF68" s="87">
        <f t="shared" ref="AF68:AF72" si="110">T68</f>
        <v>0</v>
      </c>
      <c r="AG68" s="40"/>
      <c r="AH68" s="70">
        <f t="shared" ref="AH68:AH72" si="111">SUM(AF68/AB68)-1</f>
        <v>-1</v>
      </c>
    </row>
    <row r="69" spans="2:34" ht="12.75" customHeight="1">
      <c r="B69" s="110" t="s">
        <v>160</v>
      </c>
      <c r="C69" s="79"/>
      <c r="D69" s="79">
        <v>1833</v>
      </c>
      <c r="E69" s="79">
        <v>1690</v>
      </c>
      <c r="G69" s="111">
        <v>1940.1559999999999</v>
      </c>
      <c r="H69" s="111">
        <v>1904.4480000000001</v>
      </c>
      <c r="I69" s="111">
        <v>1868.739</v>
      </c>
      <c r="J69" s="87">
        <f t="shared" si="102"/>
        <v>1833</v>
      </c>
      <c r="K69" s="111">
        <v>1797.3230000000001</v>
      </c>
      <c r="L69" s="111">
        <v>1761.614</v>
      </c>
      <c r="M69" s="111">
        <v>1725.9059999999999</v>
      </c>
      <c r="N69" s="87">
        <f t="shared" si="103"/>
        <v>1690</v>
      </c>
      <c r="O69" s="111">
        <v>1654</v>
      </c>
      <c r="P69" s="111">
        <v>1619</v>
      </c>
      <c r="Q69" s="111"/>
      <c r="R69" s="87">
        <f t="shared" si="104"/>
        <v>1690</v>
      </c>
      <c r="S69" s="111"/>
      <c r="T69" s="111"/>
      <c r="V69" s="30">
        <f t="shared" si="105"/>
        <v>1797.3230000000001</v>
      </c>
      <c r="W69" s="30">
        <f t="shared" si="105"/>
        <v>1761.614</v>
      </c>
      <c r="X69" s="30">
        <f t="shared" si="105"/>
        <v>1725.9059999999999</v>
      </c>
      <c r="Y69" s="30">
        <f t="shared" si="105"/>
        <v>1690</v>
      </c>
      <c r="Z69" s="30">
        <f t="shared" si="105"/>
        <v>1654</v>
      </c>
      <c r="AA69" s="30">
        <f t="shared" si="105"/>
        <v>1619</v>
      </c>
      <c r="AB69" s="87">
        <f t="shared" si="106"/>
        <v>1619</v>
      </c>
      <c r="AC69" s="87">
        <f t="shared" si="107"/>
        <v>0</v>
      </c>
      <c r="AD69" s="87">
        <f t="shared" si="108"/>
        <v>1690</v>
      </c>
      <c r="AE69" s="87">
        <f t="shared" si="109"/>
        <v>0</v>
      </c>
      <c r="AF69" s="87">
        <f t="shared" si="110"/>
        <v>0</v>
      </c>
      <c r="AG69" s="40"/>
      <c r="AH69" s="70">
        <f t="shared" si="111"/>
        <v>-1</v>
      </c>
    </row>
    <row r="70" spans="2:34" ht="12.75" customHeight="1">
      <c r="B70" s="110" t="s">
        <v>161</v>
      </c>
      <c r="C70" s="79"/>
      <c r="D70" s="79">
        <v>1500</v>
      </c>
      <c r="E70" s="79">
        <v>1688</v>
      </c>
      <c r="G70" s="111">
        <v>1500</v>
      </c>
      <c r="H70" s="111">
        <v>1500</v>
      </c>
      <c r="I70" s="111">
        <v>1500</v>
      </c>
      <c r="J70" s="87">
        <f t="shared" si="102"/>
        <v>1500</v>
      </c>
      <c r="K70" s="111">
        <v>1500</v>
      </c>
      <c r="L70" s="111">
        <v>1567.1389999999999</v>
      </c>
      <c r="M70" s="111">
        <v>1567.1389999999999</v>
      </c>
      <c r="N70" s="87">
        <f t="shared" si="103"/>
        <v>1688</v>
      </c>
      <c r="O70" s="111">
        <v>1688</v>
      </c>
      <c r="P70" s="111">
        <v>1688</v>
      </c>
      <c r="Q70" s="111"/>
      <c r="R70" s="87">
        <f t="shared" si="104"/>
        <v>1688</v>
      </c>
      <c r="S70" s="111"/>
      <c r="T70" s="111"/>
      <c r="V70" s="30"/>
      <c r="W70" s="30"/>
      <c r="X70" s="30"/>
      <c r="Y70" s="30"/>
      <c r="Z70" s="30"/>
      <c r="AA70" s="30"/>
      <c r="AB70" s="87">
        <f t="shared" si="106"/>
        <v>1688</v>
      </c>
      <c r="AC70" s="87">
        <f t="shared" si="107"/>
        <v>0</v>
      </c>
      <c r="AD70" s="87">
        <f t="shared" si="108"/>
        <v>1688</v>
      </c>
      <c r="AE70" s="87">
        <f t="shared" si="109"/>
        <v>0</v>
      </c>
      <c r="AF70" s="87">
        <f t="shared" si="110"/>
        <v>0</v>
      </c>
      <c r="AG70" s="40"/>
      <c r="AH70" s="70">
        <f t="shared" si="111"/>
        <v>-1</v>
      </c>
    </row>
    <row r="71" spans="2:34" ht="12.75" customHeight="1">
      <c r="B71" s="110" t="s">
        <v>162</v>
      </c>
      <c r="C71" s="79"/>
      <c r="D71" s="79">
        <v>10704</v>
      </c>
      <c r="E71" s="79">
        <v>9779</v>
      </c>
      <c r="G71" s="111">
        <v>7284.0789999999997</v>
      </c>
      <c r="H71" s="111">
        <v>10870.906999999999</v>
      </c>
      <c r="I71" s="111">
        <v>10636.083000000001</v>
      </c>
      <c r="J71" s="87">
        <f t="shared" si="102"/>
        <v>10704</v>
      </c>
      <c r="K71" s="111">
        <v>10468.109</v>
      </c>
      <c r="L71" s="111">
        <v>10221.914000000001</v>
      </c>
      <c r="M71" s="111">
        <v>9965.0879999999997</v>
      </c>
      <c r="N71" s="87">
        <f t="shared" si="103"/>
        <v>9779</v>
      </c>
      <c r="O71" s="111">
        <v>9487</v>
      </c>
      <c r="P71" s="111">
        <v>9182</v>
      </c>
      <c r="Q71" s="111"/>
      <c r="R71" s="87">
        <f t="shared" si="104"/>
        <v>9779</v>
      </c>
      <c r="S71" s="111"/>
      <c r="T71" s="111"/>
      <c r="V71" s="30"/>
      <c r="W71" s="30"/>
      <c r="X71" s="30"/>
      <c r="Y71" s="30"/>
      <c r="Z71" s="30"/>
      <c r="AA71" s="30"/>
      <c r="AB71" s="87">
        <f t="shared" si="106"/>
        <v>9182</v>
      </c>
      <c r="AC71" s="87">
        <f t="shared" si="107"/>
        <v>0</v>
      </c>
      <c r="AD71" s="87">
        <f t="shared" si="108"/>
        <v>9779</v>
      </c>
      <c r="AE71" s="87">
        <f t="shared" si="109"/>
        <v>0</v>
      </c>
      <c r="AF71" s="87">
        <f t="shared" si="110"/>
        <v>0</v>
      </c>
      <c r="AG71" s="40"/>
      <c r="AH71" s="70">
        <f t="shared" si="111"/>
        <v>-1</v>
      </c>
    </row>
    <row r="72" spans="2:34" ht="12.75" customHeight="1">
      <c r="B72" s="110" t="s">
        <v>163</v>
      </c>
      <c r="C72" s="79"/>
      <c r="D72" s="79">
        <v>350</v>
      </c>
      <c r="E72" s="79">
        <v>419</v>
      </c>
      <c r="G72" s="111">
        <v>385.62799999999999</v>
      </c>
      <c r="H72" s="111">
        <v>373.90300000000002</v>
      </c>
      <c r="I72" s="111">
        <v>362.17899999999997</v>
      </c>
      <c r="J72" s="87">
        <f t="shared" si="102"/>
        <v>350</v>
      </c>
      <c r="K72" s="111">
        <v>338.73099999999999</v>
      </c>
      <c r="L72" s="111">
        <v>449.51299999999998</v>
      </c>
      <c r="M72" s="111">
        <v>434.64699999999999</v>
      </c>
      <c r="N72" s="87">
        <f t="shared" si="103"/>
        <v>419</v>
      </c>
      <c r="O72" s="111">
        <v>405</v>
      </c>
      <c r="P72" s="111">
        <v>390</v>
      </c>
      <c r="Q72" s="111"/>
      <c r="R72" s="87">
        <f t="shared" si="104"/>
        <v>419</v>
      </c>
      <c r="S72" s="111"/>
      <c r="T72" s="111"/>
      <c r="V72" s="30"/>
      <c r="W72" s="30"/>
      <c r="X72" s="30"/>
      <c r="Y72" s="30"/>
      <c r="Z72" s="30"/>
      <c r="AA72" s="30"/>
      <c r="AB72" s="87">
        <f t="shared" si="106"/>
        <v>390</v>
      </c>
      <c r="AC72" s="87">
        <f t="shared" si="107"/>
        <v>0</v>
      </c>
      <c r="AD72" s="87">
        <f t="shared" si="108"/>
        <v>419</v>
      </c>
      <c r="AE72" s="87">
        <f t="shared" si="109"/>
        <v>0</v>
      </c>
      <c r="AF72" s="87">
        <f t="shared" si="110"/>
        <v>0</v>
      </c>
      <c r="AG72" s="40"/>
      <c r="AH72" s="70">
        <f t="shared" si="111"/>
        <v>-1</v>
      </c>
    </row>
    <row r="73" spans="2:34" ht="12.75" customHeight="1">
      <c r="B73" s="12" t="s">
        <v>19</v>
      </c>
      <c r="C73" s="13">
        <f>SUM(C68:C72)+C65</f>
        <v>0</v>
      </c>
      <c r="D73" s="13">
        <f>SUM(D68:D72)+D65</f>
        <v>196487</v>
      </c>
      <c r="E73" s="13">
        <f>SUM(E68:E72)+E65</f>
        <v>193976</v>
      </c>
      <c r="G73" s="13">
        <f>SUM(G68:G72)+G65</f>
        <v>181099.42699999997</v>
      </c>
      <c r="H73" s="13">
        <f>SUM(H68:H72)+H65</f>
        <v>182531.80200000003</v>
      </c>
      <c r="I73" s="13">
        <f>SUM(I68:I72)+I65</f>
        <v>200173.03400000001</v>
      </c>
      <c r="J73" s="13">
        <f>SUM(J68:J72)+J65</f>
        <v>196487</v>
      </c>
      <c r="K73" s="13">
        <f>SUM(K68:K72)+K65</f>
        <v>195132.92199999999</v>
      </c>
      <c r="L73" s="13">
        <f>SUM(L68:L72)+L65</f>
        <v>196264.747</v>
      </c>
      <c r="M73" s="13">
        <f>SUM(M68:M72)+M65</f>
        <v>197559.21899999995</v>
      </c>
      <c r="N73" s="13">
        <f>SUM(N68:N72)+N65</f>
        <v>193976</v>
      </c>
      <c r="O73" s="13">
        <f>SUM(O68:O72)+O65</f>
        <v>197169</v>
      </c>
      <c r="P73" s="13">
        <f>SUM(P68:P72)+P65</f>
        <v>188130</v>
      </c>
      <c r="Q73" s="13">
        <f>SUM(Q68:Q72)+Q65</f>
        <v>0</v>
      </c>
      <c r="R73" s="13">
        <f>SUM(R68:R72)+R65</f>
        <v>193976</v>
      </c>
      <c r="S73" s="13">
        <f>SUM(S68:S72)+S65</f>
        <v>0</v>
      </c>
      <c r="T73" s="13">
        <f>SUM(T68:T72)+T65</f>
        <v>0</v>
      </c>
      <c r="V73" s="13">
        <f>SUM(V68:V72)+V65</f>
        <v>181727.20299999998</v>
      </c>
      <c r="W73" s="13">
        <f>SUM(W68:W72)+W65</f>
        <v>182903.81100000002</v>
      </c>
      <c r="X73" s="13">
        <f>SUM(X68:X72)+X65</f>
        <v>184466.61999999997</v>
      </c>
      <c r="Y73" s="13">
        <f>SUM(Y68:Y72)+Y65</f>
        <v>180863</v>
      </c>
      <c r="Z73" s="13">
        <f>SUM(Z68:Z72)+Z65</f>
        <v>183378</v>
      </c>
      <c r="AA73" s="13">
        <f>SUM(AA68:AA72)+AA65</f>
        <v>174598</v>
      </c>
      <c r="AB73" s="13">
        <f>SUM(AB68:AB72)+AB65</f>
        <v>188130</v>
      </c>
      <c r="AC73" s="13">
        <f>SUM(AC68:AC72)+AC65</f>
        <v>0</v>
      </c>
      <c r="AD73" s="13">
        <f>SUM(AD68:AD72)+AD65</f>
        <v>193976</v>
      </c>
      <c r="AE73" s="13">
        <f>SUM(AE68:AE72)+AE65</f>
        <v>0</v>
      </c>
      <c r="AF73" s="13">
        <f>SUM(AF68:AF72)+AF65</f>
        <v>0</v>
      </c>
      <c r="AG73" s="40"/>
      <c r="AH73" s="71">
        <f>SUM(AF73/AB73)-1</f>
        <v>-1</v>
      </c>
    </row>
    <row r="74" spans="2:34" ht="5.0999999999999996" customHeight="1">
      <c r="B74" s="23"/>
      <c r="C74" s="48"/>
      <c r="D74" s="39"/>
      <c r="E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37"/>
    </row>
    <row r="75" spans="2:34" ht="12.75" customHeight="1">
      <c r="B75" s="9" t="s">
        <v>164</v>
      </c>
      <c r="C75" s="79"/>
      <c r="D75" s="79" t="s">
        <v>150</v>
      </c>
      <c r="E75" s="79" t="s">
        <v>150</v>
      </c>
      <c r="G75" s="111" t="s">
        <v>150</v>
      </c>
      <c r="H75" s="111" t="s">
        <v>150</v>
      </c>
      <c r="I75" s="111" t="s">
        <v>150</v>
      </c>
      <c r="J75" s="87" t="str">
        <f t="shared" ref="J75:J78" si="112">D75</f>
        <v>-</v>
      </c>
      <c r="K75" s="111" t="s">
        <v>150</v>
      </c>
      <c r="L75" s="111" t="s">
        <v>150</v>
      </c>
      <c r="M75" s="111">
        <v>0</v>
      </c>
      <c r="N75" s="87" t="str">
        <f t="shared" ref="N75:N78" si="113">E75</f>
        <v>-</v>
      </c>
      <c r="O75" s="111" t="s">
        <v>150</v>
      </c>
      <c r="P75" s="111" t="s">
        <v>150</v>
      </c>
      <c r="Q75" s="111"/>
      <c r="R75" s="87" t="str">
        <f t="shared" ref="R75:R78" si="114">E75</f>
        <v>-</v>
      </c>
      <c r="S75" s="111"/>
      <c r="T75" s="111"/>
      <c r="V75" s="30" t="str">
        <f t="shared" ref="V75:AA75" si="115">K75</f>
        <v>-</v>
      </c>
      <c r="W75" s="30" t="str">
        <f t="shared" si="115"/>
        <v>-</v>
      </c>
      <c r="X75" s="30">
        <f t="shared" si="115"/>
        <v>0</v>
      </c>
      <c r="Y75" s="30" t="str">
        <f t="shared" si="115"/>
        <v>-</v>
      </c>
      <c r="Z75" s="30" t="str">
        <f t="shared" si="115"/>
        <v>-</v>
      </c>
      <c r="AA75" s="30" t="str">
        <f t="shared" si="115"/>
        <v>-</v>
      </c>
      <c r="AB75" s="87" t="str">
        <f t="shared" ref="AB75:AB78" si="116">P75</f>
        <v>-</v>
      </c>
      <c r="AC75" s="87">
        <f t="shared" ref="AC75:AC78" si="117">Q75</f>
        <v>0</v>
      </c>
      <c r="AD75" s="87" t="str">
        <f t="shared" ref="AD75:AD78" si="118">R75</f>
        <v>-</v>
      </c>
      <c r="AE75" s="87">
        <f t="shared" ref="AE75:AE78" si="119">S75</f>
        <v>0</v>
      </c>
      <c r="AF75" s="87">
        <f t="shared" ref="AF75:AF78" si="120">T75</f>
        <v>0</v>
      </c>
      <c r="AG75" s="11"/>
      <c r="AH75" s="70" t="e">
        <f t="shared" ref="AH75:AH78" si="121">SUM(AF75/AB75)-1</f>
        <v>#VALUE!</v>
      </c>
    </row>
    <row r="76" spans="2:34" ht="12.75" customHeight="1">
      <c r="B76" s="9" t="s">
        <v>165</v>
      </c>
      <c r="C76" s="79"/>
      <c r="D76" s="79">
        <v>22</v>
      </c>
      <c r="E76" s="79">
        <v>23</v>
      </c>
      <c r="G76" s="111">
        <v>19.635000000000002</v>
      </c>
      <c r="H76" s="111">
        <v>19.635999999999999</v>
      </c>
      <c r="I76" s="111">
        <v>19.678000000000001</v>
      </c>
      <c r="J76" s="87">
        <f t="shared" si="112"/>
        <v>22</v>
      </c>
      <c r="K76" s="111">
        <v>22.225999999999999</v>
      </c>
      <c r="L76" s="111">
        <v>22.452999999999999</v>
      </c>
      <c r="M76" s="111">
        <v>22.596</v>
      </c>
      <c r="N76" s="87">
        <f t="shared" si="113"/>
        <v>23</v>
      </c>
      <c r="O76" s="111">
        <v>23</v>
      </c>
      <c r="P76" s="111">
        <v>23</v>
      </c>
      <c r="Q76" s="111"/>
      <c r="R76" s="87">
        <f t="shared" si="114"/>
        <v>23</v>
      </c>
      <c r="S76" s="111"/>
      <c r="T76" s="111"/>
      <c r="V76" s="30"/>
      <c r="W76" s="30"/>
      <c r="X76" s="30"/>
      <c r="Y76" s="30"/>
      <c r="Z76" s="30"/>
      <c r="AA76" s="30"/>
      <c r="AB76" s="87">
        <f t="shared" si="116"/>
        <v>23</v>
      </c>
      <c r="AC76" s="87">
        <f t="shared" si="117"/>
        <v>0</v>
      </c>
      <c r="AD76" s="87">
        <f t="shared" si="118"/>
        <v>23</v>
      </c>
      <c r="AE76" s="87">
        <f t="shared" si="119"/>
        <v>0</v>
      </c>
      <c r="AF76" s="87">
        <f t="shared" si="120"/>
        <v>0</v>
      </c>
      <c r="AG76" s="11"/>
      <c r="AH76" s="70">
        <f t="shared" si="121"/>
        <v>-1</v>
      </c>
    </row>
    <row r="77" spans="2:34" ht="12.75" customHeight="1">
      <c r="B77" s="9" t="s">
        <v>120</v>
      </c>
      <c r="C77" s="79"/>
      <c r="D77" s="79">
        <v>629969</v>
      </c>
      <c r="E77" s="79">
        <v>641439</v>
      </c>
      <c r="G77" s="111">
        <v>564034.00800000003</v>
      </c>
      <c r="H77" s="111">
        <v>565266.375</v>
      </c>
      <c r="I77" s="111">
        <v>566149.84600000002</v>
      </c>
      <c r="J77" s="87">
        <f t="shared" si="112"/>
        <v>629969</v>
      </c>
      <c r="K77" s="111">
        <v>630437.88</v>
      </c>
      <c r="L77" s="111">
        <v>637916.03500000003</v>
      </c>
      <c r="M77" s="111">
        <v>640025.88800000004</v>
      </c>
      <c r="N77" s="87">
        <f t="shared" si="113"/>
        <v>641439</v>
      </c>
      <c r="O77" s="111">
        <v>642133</v>
      </c>
      <c r="P77" s="111">
        <v>644634</v>
      </c>
      <c r="Q77" s="111"/>
      <c r="R77" s="87">
        <f t="shared" si="114"/>
        <v>641439</v>
      </c>
      <c r="S77" s="111"/>
      <c r="T77" s="111"/>
      <c r="V77" s="30"/>
      <c r="W77" s="30"/>
      <c r="X77" s="30"/>
      <c r="Y77" s="30"/>
      <c r="Z77" s="30"/>
      <c r="AA77" s="30"/>
      <c r="AB77" s="87">
        <f t="shared" si="116"/>
        <v>644634</v>
      </c>
      <c r="AC77" s="87">
        <f t="shared" si="117"/>
        <v>0</v>
      </c>
      <c r="AD77" s="87">
        <f t="shared" si="118"/>
        <v>641439</v>
      </c>
      <c r="AE77" s="87">
        <f t="shared" si="119"/>
        <v>0</v>
      </c>
      <c r="AF77" s="87">
        <f t="shared" si="120"/>
        <v>0</v>
      </c>
      <c r="AG77" s="11"/>
      <c r="AH77" s="70">
        <f t="shared" si="121"/>
        <v>-1</v>
      </c>
    </row>
    <row r="78" spans="2:34" ht="12.75" customHeight="1">
      <c r="B78" s="9" t="s">
        <v>121</v>
      </c>
      <c r="C78" s="79"/>
      <c r="D78" s="79">
        <v>-478017</v>
      </c>
      <c r="E78" s="79">
        <v>-506256</v>
      </c>
      <c r="G78" s="111">
        <v>-437120.57799999998</v>
      </c>
      <c r="H78" s="111">
        <v>-450885.484</v>
      </c>
      <c r="I78" s="111">
        <v>-465784.98800000001</v>
      </c>
      <c r="J78" s="87">
        <f t="shared" si="112"/>
        <v>-478017</v>
      </c>
      <c r="K78" s="111">
        <v>-484805.48599999998</v>
      </c>
      <c r="L78" s="111">
        <v>-491176.19300000003</v>
      </c>
      <c r="M78" s="111">
        <v>-488611.13799999998</v>
      </c>
      <c r="N78" s="87">
        <f t="shared" si="113"/>
        <v>-506256</v>
      </c>
      <c r="O78" s="111">
        <v>-488450</v>
      </c>
      <c r="P78" s="111">
        <v>-456388</v>
      </c>
      <c r="Q78" s="111"/>
      <c r="R78" s="87">
        <f t="shared" si="114"/>
        <v>-506256</v>
      </c>
      <c r="S78" s="111"/>
      <c r="T78" s="111"/>
      <c r="V78" s="30">
        <f t="shared" ref="V78:AA78" si="122">K78</f>
        <v>-484805.48599999998</v>
      </c>
      <c r="W78" s="30">
        <f t="shared" si="122"/>
        <v>-491176.19300000003</v>
      </c>
      <c r="X78" s="30">
        <f t="shared" si="122"/>
        <v>-488611.13799999998</v>
      </c>
      <c r="Y78" s="30">
        <f t="shared" si="122"/>
        <v>-506256</v>
      </c>
      <c r="Z78" s="30">
        <f t="shared" si="122"/>
        <v>-488450</v>
      </c>
      <c r="AA78" s="30">
        <f t="shared" si="122"/>
        <v>-456388</v>
      </c>
      <c r="AB78" s="87">
        <f t="shared" si="116"/>
        <v>-456388</v>
      </c>
      <c r="AC78" s="87">
        <f t="shared" si="117"/>
        <v>0</v>
      </c>
      <c r="AD78" s="87">
        <f t="shared" si="118"/>
        <v>-506256</v>
      </c>
      <c r="AE78" s="87">
        <f t="shared" si="119"/>
        <v>0</v>
      </c>
      <c r="AF78" s="87">
        <f t="shared" si="120"/>
        <v>0</v>
      </c>
      <c r="AG78" s="11"/>
      <c r="AH78" s="70">
        <f t="shared" si="121"/>
        <v>-1</v>
      </c>
    </row>
    <row r="79" spans="2:34" ht="12.75" customHeight="1">
      <c r="B79" s="12" t="s">
        <v>18</v>
      </c>
      <c r="C79" s="13">
        <f>SUM(C75:C78)</f>
        <v>0</v>
      </c>
      <c r="D79" s="13">
        <f>SUM(D75:D78)</f>
        <v>151974</v>
      </c>
      <c r="E79" s="13">
        <f>SUM(E75:E78)</f>
        <v>135206</v>
      </c>
      <c r="F79" s="50"/>
      <c r="G79" s="13">
        <f>SUM(G75:G78)</f>
        <v>126933.06500000006</v>
      </c>
      <c r="H79" s="13">
        <f>SUM(H75:H78)</f>
        <v>114400.52700000006</v>
      </c>
      <c r="I79" s="13">
        <f>SUM(I75:I78)</f>
        <v>100384.53599999996</v>
      </c>
      <c r="J79" s="13">
        <f>SUM(J75:J78)</f>
        <v>151974</v>
      </c>
      <c r="K79" s="13">
        <f>SUM(K75:K78)</f>
        <v>145654.62000000005</v>
      </c>
      <c r="L79" s="13">
        <f>SUM(L75:L78)</f>
        <v>146762.29499999998</v>
      </c>
      <c r="M79" s="13">
        <f>SUM(M75:M78)</f>
        <v>151437.34600000008</v>
      </c>
      <c r="N79" s="13">
        <f>SUM(N75:N78)</f>
        <v>135206</v>
      </c>
      <c r="O79" s="13">
        <f>SUM(O75:O78)</f>
        <v>153706</v>
      </c>
      <c r="P79" s="13">
        <f>SUM(P75:P78)</f>
        <v>188269</v>
      </c>
      <c r="Q79" s="13">
        <f>SUM(Q75:Q78)</f>
        <v>0</v>
      </c>
      <c r="R79" s="13">
        <f>SUM(R75:R78)</f>
        <v>135206</v>
      </c>
      <c r="S79" s="13">
        <f>SUM(S75:S78)</f>
        <v>0</v>
      </c>
      <c r="T79" s="13">
        <f>SUM(T75:T78)</f>
        <v>0</v>
      </c>
      <c r="V79" s="13">
        <f>SUM(V75:V78)</f>
        <v>-484805.48599999998</v>
      </c>
      <c r="W79" s="13">
        <f>SUM(W75:W78)</f>
        <v>-491176.19300000003</v>
      </c>
      <c r="X79" s="13">
        <f>SUM(X75:X78)</f>
        <v>-488611.13799999998</v>
      </c>
      <c r="Y79" s="13">
        <f>SUM(Y75:Y78)</f>
        <v>-506256</v>
      </c>
      <c r="Z79" s="13">
        <f>SUM(Z75:Z78)</f>
        <v>-488450</v>
      </c>
      <c r="AA79" s="13">
        <f>SUM(AA75:AA78)</f>
        <v>-456388</v>
      </c>
      <c r="AB79" s="13">
        <f>SUM(AB75:AB78)</f>
        <v>188269</v>
      </c>
      <c r="AC79" s="13">
        <f>SUM(AC75:AC78)</f>
        <v>0</v>
      </c>
      <c r="AD79" s="13">
        <f>SUM(AD75:AD78)</f>
        <v>135206</v>
      </c>
      <c r="AE79" s="13">
        <f>SUM(AE75:AE78)</f>
        <v>0</v>
      </c>
      <c r="AF79" s="13">
        <f>SUM(AF75:AF78)</f>
        <v>0</v>
      </c>
      <c r="AG79" s="40"/>
      <c r="AH79" s="71">
        <f>SUM(AF79/AB79)-1</f>
        <v>-1</v>
      </c>
    </row>
    <row r="80" spans="2:34" ht="12.75" customHeight="1">
      <c r="B80" s="23" t="s">
        <v>68</v>
      </c>
      <c r="C80" s="30">
        <f>SUM(C79+C73)</f>
        <v>0</v>
      </c>
      <c r="D80" s="30">
        <f>SUM(D79+D73)</f>
        <v>348461</v>
      </c>
      <c r="E80" s="30">
        <f>SUM(E79+E73)</f>
        <v>329182</v>
      </c>
      <c r="F80" s="30"/>
      <c r="G80" s="30">
        <f>SUM(G79+G73)</f>
        <v>308032.49200000003</v>
      </c>
      <c r="H80" s="30">
        <f>SUM(H79+H73)</f>
        <v>296932.32900000009</v>
      </c>
      <c r="I80" s="30">
        <f>SUM(I79+I73)</f>
        <v>300557.56999999995</v>
      </c>
      <c r="J80" s="30">
        <f>SUM(J79+J73)</f>
        <v>348461</v>
      </c>
      <c r="K80" s="30">
        <f>SUM(K79+K73)</f>
        <v>340787.54200000002</v>
      </c>
      <c r="L80" s="30">
        <f>SUM(L79+L73)</f>
        <v>343027.04200000002</v>
      </c>
      <c r="M80" s="30">
        <f>SUM(M79+M73)</f>
        <v>348996.56500000006</v>
      </c>
      <c r="N80" s="30">
        <f>SUM(N79+N73)</f>
        <v>329182</v>
      </c>
      <c r="O80" s="30">
        <f>SUM(O79+O73)</f>
        <v>350875</v>
      </c>
      <c r="P80" s="30">
        <f>SUM(P79+P73)</f>
        <v>376399</v>
      </c>
      <c r="Q80" s="30">
        <f>SUM(Q79+Q73)</f>
        <v>0</v>
      </c>
      <c r="R80" s="30">
        <f>SUM(R79+R73)</f>
        <v>329182</v>
      </c>
      <c r="S80" s="30">
        <f>SUM(S79+S73)</f>
        <v>0</v>
      </c>
      <c r="T80" s="30">
        <f>SUM(T79+T73)</f>
        <v>0</v>
      </c>
      <c r="U80" s="30"/>
      <c r="V80" s="30">
        <f>SUM(V79+V73)</f>
        <v>-303078.283</v>
      </c>
      <c r="W80" s="30">
        <f>SUM(W79+W73)</f>
        <v>-308272.38199999998</v>
      </c>
      <c r="X80" s="30">
        <f>SUM(X79+X73)</f>
        <v>-304144.51800000004</v>
      </c>
      <c r="Y80" s="30">
        <f>SUM(Y79+Y73)</f>
        <v>-325393</v>
      </c>
      <c r="Z80" s="30">
        <f>SUM(Z79+Z73)</f>
        <v>-305072</v>
      </c>
      <c r="AA80" s="30">
        <f>SUM(AA79+AA73)</f>
        <v>-281790</v>
      </c>
      <c r="AB80" s="30">
        <f>SUM(AB79+AB73)</f>
        <v>376399</v>
      </c>
      <c r="AC80" s="30">
        <f>SUM(AC79+AC73)</f>
        <v>0</v>
      </c>
      <c r="AD80" s="30">
        <f>SUM(AD79+AD73)</f>
        <v>329182</v>
      </c>
      <c r="AE80" s="30">
        <f>SUM(AE79+AE73)</f>
        <v>0</v>
      </c>
      <c r="AF80" s="30">
        <f>SUM(AF79+AF73)</f>
        <v>0</v>
      </c>
      <c r="AG80" s="11"/>
      <c r="AH80" s="71">
        <f>SUM(AF80/AB80)-1</f>
        <v>-1</v>
      </c>
    </row>
    <row r="81" spans="1:34" ht="5.0999999999999996" customHeight="1">
      <c r="B81" s="23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11"/>
    </row>
    <row r="82" spans="1:34" ht="12.75" customHeight="1">
      <c r="B82" s="64" t="s">
        <v>79</v>
      </c>
      <c r="C82" s="65">
        <f>C80-C58</f>
        <v>0</v>
      </c>
      <c r="D82" s="65">
        <f>D80-D58</f>
        <v>0</v>
      </c>
      <c r="E82" s="65">
        <f>E80-E58</f>
        <v>0</v>
      </c>
      <c r="F82" s="66"/>
      <c r="G82" s="65">
        <f>G80-G58</f>
        <v>-24029.630999999994</v>
      </c>
      <c r="H82" s="65">
        <f>H80-H58</f>
        <v>0</v>
      </c>
      <c r="I82" s="65">
        <f>I80-I58</f>
        <v>8.0999999947380275E-2</v>
      </c>
      <c r="J82" s="65">
        <f>J80-J58</f>
        <v>0</v>
      </c>
      <c r="K82" s="65">
        <f>K80-K58</f>
        <v>10145.222999999998</v>
      </c>
      <c r="L82" s="65">
        <f>L80-L58</f>
        <v>0</v>
      </c>
      <c r="M82" s="65">
        <f>M80-M58</f>
        <v>0</v>
      </c>
      <c r="N82" s="65">
        <f>N80-N58</f>
        <v>0</v>
      </c>
      <c r="O82" s="65">
        <f>O80-O58</f>
        <v>0</v>
      </c>
      <c r="P82" s="65">
        <f>P80-P58</f>
        <v>0</v>
      </c>
      <c r="Q82" s="65">
        <f>Q80-Q58</f>
        <v>0</v>
      </c>
      <c r="R82" s="65">
        <f>R80-R58</f>
        <v>0</v>
      </c>
      <c r="S82" s="65">
        <f>S80-S58</f>
        <v>0</v>
      </c>
      <c r="T82" s="65">
        <f>T80-T58</f>
        <v>0</v>
      </c>
      <c r="U82" s="26"/>
      <c r="V82" s="65">
        <f>V80-V58</f>
        <v>-640926.60700000008</v>
      </c>
      <c r="W82" s="65">
        <f>W80-W58</f>
        <v>-650207.5</v>
      </c>
      <c r="X82" s="65">
        <f>X80-X58</f>
        <v>-647176.39</v>
      </c>
      <c r="Y82" s="65">
        <f>Y80-Y58</f>
        <v>-672240.61200000008</v>
      </c>
      <c r="Z82" s="65">
        <f>Z80-Z58</f>
        <v>-635059</v>
      </c>
      <c r="AA82" s="65">
        <f>AA80-AA58</f>
        <v>-631908</v>
      </c>
      <c r="AB82" s="65">
        <f>AB80-AB58</f>
        <v>0</v>
      </c>
      <c r="AC82" s="65">
        <f>AC80-AC58</f>
        <v>0</v>
      </c>
      <c r="AD82" s="65">
        <f>AD80-AD58</f>
        <v>0</v>
      </c>
      <c r="AE82" s="65">
        <f>AE80-AE58</f>
        <v>0</v>
      </c>
      <c r="AF82" s="65">
        <f>AF80-AF58</f>
        <v>0</v>
      </c>
    </row>
    <row r="83" spans="1:34" ht="5.0999999999999996" customHeight="1" thickBot="1">
      <c r="B83" s="106"/>
      <c r="C83" s="107"/>
      <c r="D83" s="107"/>
      <c r="E83" s="107"/>
      <c r="F83" s="108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9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68"/>
      <c r="AH83" s="68"/>
    </row>
    <row r="84" spans="1:34" ht="12.75" customHeight="1">
      <c r="B84" s="144" t="s">
        <v>143</v>
      </c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  <c r="AA84" s="145"/>
      <c r="AB84" s="145"/>
      <c r="AC84" s="145"/>
      <c r="AD84" s="145"/>
      <c r="AE84" s="145"/>
      <c r="AF84" s="145"/>
      <c r="AG84" s="145"/>
      <c r="AH84" s="145"/>
    </row>
    <row r="85" spans="1:34">
      <c r="B85" s="63"/>
      <c r="C85" s="22"/>
      <c r="D85" s="22"/>
      <c r="E85" s="22"/>
      <c r="F85" s="51"/>
    </row>
    <row r="86" spans="1:34" ht="12.75" customHeight="1">
      <c r="A86" s="5" t="s">
        <v>20</v>
      </c>
      <c r="B86" s="88" t="s">
        <v>17</v>
      </c>
      <c r="C86" s="92" t="s">
        <v>0</v>
      </c>
      <c r="D86" s="92"/>
      <c r="E86" s="92"/>
      <c r="F86" s="93"/>
      <c r="G86" s="92" t="s">
        <v>1</v>
      </c>
      <c r="H86" s="92"/>
      <c r="I86" s="92"/>
      <c r="J86" s="92"/>
      <c r="K86" s="92"/>
      <c r="L86" s="92"/>
      <c r="M86" s="92"/>
      <c r="N86" s="92"/>
      <c r="O86" s="92"/>
      <c r="P86" s="92"/>
      <c r="Q86" s="92" t="s">
        <v>1</v>
      </c>
      <c r="R86" s="92"/>
      <c r="S86" s="92"/>
      <c r="T86" s="92"/>
      <c r="U86" s="88"/>
      <c r="V86" s="92"/>
      <c r="W86" s="92"/>
      <c r="X86" s="92"/>
      <c r="Y86" s="92"/>
      <c r="Z86" s="92"/>
      <c r="AA86" s="92"/>
      <c r="AB86" s="92" t="s">
        <v>10</v>
      </c>
      <c r="AC86" s="92"/>
      <c r="AD86" s="92"/>
      <c r="AE86" s="92"/>
      <c r="AF86" s="92"/>
      <c r="AG86" s="93"/>
      <c r="AH86" s="143" t="s">
        <v>26</v>
      </c>
    </row>
    <row r="87" spans="1:34" ht="12.75" customHeight="1">
      <c r="B87" s="89" t="str">
        <f>B7</f>
        <v>Fiscal Period</v>
      </c>
      <c r="C87" s="94">
        <f>C7</f>
        <v>2021</v>
      </c>
      <c r="D87" s="94">
        <f>D7</f>
        <v>2022</v>
      </c>
      <c r="E87" s="94">
        <f>E7</f>
        <v>2023</v>
      </c>
      <c r="F87" s="93"/>
      <c r="G87" s="94" t="str">
        <f>G7</f>
        <v>1Q22</v>
      </c>
      <c r="H87" s="94" t="str">
        <f>H7</f>
        <v>2Q22</v>
      </c>
      <c r="I87" s="94" t="str">
        <f>I7</f>
        <v>3Q22</v>
      </c>
      <c r="J87" s="94" t="str">
        <f>J7</f>
        <v>4Q22</v>
      </c>
      <c r="K87" s="94" t="str">
        <f>K7</f>
        <v>1Q23</v>
      </c>
      <c r="L87" s="94" t="str">
        <f>L7</f>
        <v>2Q23</v>
      </c>
      <c r="M87" s="94" t="str">
        <f>M7</f>
        <v>3Q23</v>
      </c>
      <c r="N87" s="94" t="str">
        <f>N7</f>
        <v>4Q23</v>
      </c>
      <c r="O87" s="94" t="str">
        <f>O7</f>
        <v>1Q24</v>
      </c>
      <c r="P87" s="94" t="str">
        <f>P7</f>
        <v>2Q24</v>
      </c>
      <c r="Q87" s="94" t="str">
        <f>Q7</f>
        <v>3Q24</v>
      </c>
      <c r="R87" s="94" t="str">
        <f>R7</f>
        <v>4Q24</v>
      </c>
      <c r="S87" s="94" t="str">
        <f>S7</f>
        <v>1Q25</v>
      </c>
      <c r="T87" s="94" t="str">
        <f>T7</f>
        <v>2Q25</v>
      </c>
      <c r="U87" s="94"/>
      <c r="V87" s="94" t="str">
        <f>V7</f>
        <v>4Q22</v>
      </c>
      <c r="W87" s="94" t="str">
        <f>W7</f>
        <v>1Q23</v>
      </c>
      <c r="X87" s="94" t="str">
        <f>X7</f>
        <v>2Q23</v>
      </c>
      <c r="Y87" s="94" t="str">
        <f>Y7</f>
        <v>3Q23</v>
      </c>
      <c r="Z87" s="94" t="str">
        <f>Z7</f>
        <v>4Q23</v>
      </c>
      <c r="AA87" s="94" t="str">
        <f>AA7</f>
        <v>1Q24</v>
      </c>
      <c r="AB87" s="94" t="str">
        <f>AB7</f>
        <v>2Q24</v>
      </c>
      <c r="AC87" s="94" t="str">
        <f>AC7</f>
        <v>3Q24</v>
      </c>
      <c r="AD87" s="94" t="str">
        <f>AD7</f>
        <v>4Q24</v>
      </c>
      <c r="AE87" s="94" t="str">
        <f>AE7</f>
        <v>1Q25</v>
      </c>
      <c r="AF87" s="94" t="str">
        <f>AF7</f>
        <v>2Q25</v>
      </c>
      <c r="AG87" s="93"/>
      <c r="AH87" s="143"/>
    </row>
    <row r="88" spans="1:34" ht="12.75" customHeight="1">
      <c r="B88" s="89" t="str">
        <f>B8</f>
        <v>Fiscal Period End Date</v>
      </c>
      <c r="C88" s="95">
        <f>C8</f>
        <v>44561</v>
      </c>
      <c r="D88" s="95">
        <f>D8</f>
        <v>44926</v>
      </c>
      <c r="E88" s="95">
        <f>E8</f>
        <v>45291</v>
      </c>
      <c r="F88" s="93"/>
      <c r="G88" s="95">
        <f>G8</f>
        <v>44651</v>
      </c>
      <c r="H88" s="95">
        <f>H8</f>
        <v>44742</v>
      </c>
      <c r="I88" s="95">
        <f>I8</f>
        <v>44834</v>
      </c>
      <c r="J88" s="95">
        <f>J8</f>
        <v>44926</v>
      </c>
      <c r="K88" s="95">
        <f>K8</f>
        <v>45016</v>
      </c>
      <c r="L88" s="95">
        <f>L8</f>
        <v>45107</v>
      </c>
      <c r="M88" s="95">
        <f>M8</f>
        <v>45199</v>
      </c>
      <c r="N88" s="95">
        <f>N8</f>
        <v>45291</v>
      </c>
      <c r="O88" s="95">
        <f>O8</f>
        <v>45382</v>
      </c>
      <c r="P88" s="95">
        <f>P8</f>
        <v>45473</v>
      </c>
      <c r="Q88" s="95">
        <f>Q8</f>
        <v>45565</v>
      </c>
      <c r="R88" s="95">
        <f>R8</f>
        <v>45657</v>
      </c>
      <c r="S88" s="95">
        <f>S8</f>
        <v>45747</v>
      </c>
      <c r="T88" s="95">
        <f>T8</f>
        <v>45838</v>
      </c>
      <c r="U88" s="95"/>
      <c r="V88" s="95">
        <f>V8</f>
        <v>44926</v>
      </c>
      <c r="W88" s="95">
        <f>W8</f>
        <v>45016</v>
      </c>
      <c r="X88" s="95">
        <f>X8</f>
        <v>45107</v>
      </c>
      <c r="Y88" s="95">
        <f>Y8</f>
        <v>45199</v>
      </c>
      <c r="Z88" s="95">
        <f>Z8</f>
        <v>45291</v>
      </c>
      <c r="AA88" s="95">
        <f>AA8</f>
        <v>45382</v>
      </c>
      <c r="AB88" s="95">
        <f>AB8</f>
        <v>45473</v>
      </c>
      <c r="AC88" s="95">
        <f>AC8</f>
        <v>45565</v>
      </c>
      <c r="AD88" s="95">
        <f>AD8</f>
        <v>45657</v>
      </c>
      <c r="AE88" s="95">
        <f>AE8</f>
        <v>45747</v>
      </c>
      <c r="AF88" s="95">
        <f>AF8</f>
        <v>45838</v>
      </c>
      <c r="AG88" s="93"/>
      <c r="AH88" s="143"/>
    </row>
    <row r="89" spans="1:34" ht="5.0999999999999996" customHeight="1">
      <c r="B89" s="52"/>
      <c r="C89" s="46"/>
      <c r="D89" s="46"/>
      <c r="E89" s="46"/>
    </row>
    <row r="90" spans="1:34" ht="12.75" customHeight="1">
      <c r="B90" s="53" t="s">
        <v>69</v>
      </c>
      <c r="C90" s="54"/>
      <c r="D90" s="54"/>
      <c r="E90" s="54"/>
    </row>
    <row r="91" spans="1:34" ht="12.75" customHeight="1">
      <c r="B91" s="55" t="s">
        <v>70</v>
      </c>
      <c r="C91" s="30">
        <f>C32</f>
        <v>-71648</v>
      </c>
      <c r="D91" s="30">
        <f>D32</f>
        <v>-65904</v>
      </c>
      <c r="E91" s="30">
        <f>E32</f>
        <v>-28239</v>
      </c>
      <c r="F91" s="30"/>
      <c r="G91" s="30">
        <f>G32</f>
        <v>-25007.856999999996</v>
      </c>
      <c r="H91" s="104">
        <f>H32</f>
        <v>-13764.906000000003</v>
      </c>
      <c r="I91" s="30">
        <f>I32</f>
        <v>-14899.503999999997</v>
      </c>
      <c r="J91" s="30">
        <f>J32</f>
        <v>-12231.732999999993</v>
      </c>
      <c r="K91" s="30">
        <f>K32</f>
        <v>-6788.8150000000041</v>
      </c>
      <c r="L91" s="104">
        <f>L32</f>
        <v>-6370.7070000000049</v>
      </c>
      <c r="M91" s="30">
        <f>M32</f>
        <v>2565.0549999999994</v>
      </c>
      <c r="N91" s="30">
        <f t="shared" ref="N91" si="123">SUM(D91-SUM(K91:M91))</f>
        <v>-55309.532999999996</v>
      </c>
      <c r="O91" s="30">
        <f>O32</f>
        <v>17841</v>
      </c>
      <c r="P91" s="30">
        <f>P32</f>
        <v>32078</v>
      </c>
      <c r="Q91" s="30">
        <f>Q32</f>
        <v>0</v>
      </c>
      <c r="R91" s="30">
        <f>SUM(E91-SUM(O91:Q91))</f>
        <v>-78158</v>
      </c>
      <c r="S91" s="30">
        <f>S32</f>
        <v>0</v>
      </c>
      <c r="T91" s="30">
        <f>T32</f>
        <v>0</v>
      </c>
      <c r="V91" s="30">
        <f t="shared" ref="V91:AA91" si="124">SUM(H91:K91)</f>
        <v>-47684.957999999999</v>
      </c>
      <c r="W91" s="30">
        <f t="shared" si="124"/>
        <v>-40290.758999999998</v>
      </c>
      <c r="X91" s="30">
        <f t="shared" si="124"/>
        <v>-22826.2</v>
      </c>
      <c r="Y91" s="30">
        <f t="shared" si="124"/>
        <v>-65904</v>
      </c>
      <c r="Z91" s="30">
        <f t="shared" si="124"/>
        <v>-41274.184999999998</v>
      </c>
      <c r="AA91" s="30">
        <f t="shared" si="124"/>
        <v>-2825.4779999999955</v>
      </c>
      <c r="AB91" s="30">
        <f t="shared" ref="AB91" si="125">SUM(M91:P91)</f>
        <v>-2825.4779999999955</v>
      </c>
      <c r="AC91" s="30">
        <f t="shared" ref="AC91" si="126">SUM(N91:Q91)</f>
        <v>-5390.5329999999958</v>
      </c>
      <c r="AD91" s="30">
        <f t="shared" ref="AD91" si="127">SUM(O91:R91)</f>
        <v>-28239</v>
      </c>
      <c r="AE91" s="30">
        <f t="shared" ref="AE91" si="128">SUM(P91:S91)</f>
        <v>-46080</v>
      </c>
      <c r="AF91" s="30">
        <f>SUM(Q91:T91)</f>
        <v>-78158</v>
      </c>
      <c r="AG91" s="11"/>
      <c r="AH91" s="70">
        <f>SUM(AF91/AB91)-1</f>
        <v>26.661868186551132</v>
      </c>
    </row>
    <row r="92" spans="1:34" ht="5.0999999999999996" customHeight="1"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11"/>
      <c r="AH92" s="70"/>
    </row>
    <row r="93" spans="1:34" ht="12.75" customHeight="1">
      <c r="B93" s="34" t="s">
        <v>78</v>
      </c>
      <c r="C93" s="30"/>
      <c r="D93" s="30"/>
      <c r="E93" s="30"/>
      <c r="F93" s="30"/>
      <c r="G93" s="30"/>
      <c r="H93" s="30"/>
      <c r="I93" s="30"/>
      <c r="J93" s="30"/>
      <c r="K93" s="79"/>
      <c r="L93" s="79"/>
      <c r="M93" s="79"/>
      <c r="N93" s="30"/>
      <c r="O93" s="79"/>
      <c r="P93" s="79"/>
      <c r="Q93" s="79"/>
      <c r="R93" s="30"/>
      <c r="S93" s="79"/>
      <c r="T93" s="79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57"/>
      <c r="AH93" s="70"/>
    </row>
    <row r="94" spans="1:34" ht="12.75" customHeight="1">
      <c r="B94" s="58" t="s">
        <v>71</v>
      </c>
      <c r="C94" s="79">
        <v>5496</v>
      </c>
      <c r="D94" s="79">
        <v>7113</v>
      </c>
      <c r="E94" s="79">
        <v>8332</v>
      </c>
      <c r="F94" s="30"/>
      <c r="G94" s="79">
        <v>1590217</v>
      </c>
      <c r="H94" s="30">
        <v>3314500</v>
      </c>
      <c r="I94" s="30">
        <v>5176492</v>
      </c>
      <c r="J94" s="30">
        <f>SUM(C94-SUM(G94:I94))</f>
        <v>-10075713</v>
      </c>
      <c r="K94" s="79">
        <v>2032965</v>
      </c>
      <c r="L94" s="30">
        <v>4130542</v>
      </c>
      <c r="M94" s="30">
        <v>6223050</v>
      </c>
      <c r="N94" s="30">
        <f t="shared" ref="N94:N100" si="129">SUM(D94-SUM(K94:M94))</f>
        <v>-12379444</v>
      </c>
      <c r="O94" s="79">
        <v>2114</v>
      </c>
      <c r="P94" s="30">
        <v>4161</v>
      </c>
      <c r="Q94" s="30"/>
      <c r="R94" s="30">
        <f t="shared" ref="R94:R100" si="130">SUM(E94-SUM(O94:Q94))</f>
        <v>2057</v>
      </c>
      <c r="S94" s="79"/>
      <c r="T94" s="30"/>
      <c r="V94" s="30">
        <f t="shared" ref="V94:AA97" si="131">SUM(H94:K94)</f>
        <v>448244</v>
      </c>
      <c r="W94" s="30">
        <f t="shared" si="131"/>
        <v>1264286</v>
      </c>
      <c r="X94" s="30">
        <f t="shared" si="131"/>
        <v>2310844</v>
      </c>
      <c r="Y94" s="30">
        <f t="shared" si="131"/>
        <v>7113</v>
      </c>
      <c r="Z94" s="30">
        <f t="shared" si="131"/>
        <v>-2023738</v>
      </c>
      <c r="AA94" s="30">
        <f t="shared" si="131"/>
        <v>-6150119</v>
      </c>
      <c r="AB94" s="30">
        <f t="shared" ref="AB94" si="132">SUM(M94:P94)</f>
        <v>-6150119</v>
      </c>
      <c r="AC94" s="30">
        <f t="shared" ref="AC94" si="133">SUM(N94:Q94)</f>
        <v>-12373169</v>
      </c>
      <c r="AD94" s="30">
        <f t="shared" ref="AD94" si="134">SUM(O94:R94)</f>
        <v>8332</v>
      </c>
      <c r="AE94" s="30">
        <f t="shared" ref="AE94" si="135">SUM(P94:S94)</f>
        <v>6218</v>
      </c>
      <c r="AF94" s="30">
        <f>SUM(Q94:T94)</f>
        <v>2057</v>
      </c>
      <c r="AG94" s="11"/>
      <c r="AH94" s="70">
        <f t="shared" ref="AH94:AH103" si="136">SUM(AF94/AB94)-1</f>
        <v>-1.0003344650729522</v>
      </c>
    </row>
    <row r="95" spans="1:34" ht="12.75" customHeight="1">
      <c r="B95" s="58" t="s">
        <v>166</v>
      </c>
      <c r="C95" s="79">
        <v>221</v>
      </c>
      <c r="D95" s="79">
        <v>427</v>
      </c>
      <c r="E95" s="79">
        <v>182</v>
      </c>
      <c r="F95" s="30"/>
      <c r="G95" s="79">
        <v>2000</v>
      </c>
      <c r="H95" s="30">
        <v>2638</v>
      </c>
      <c r="I95" s="30">
        <v>8408</v>
      </c>
      <c r="J95" s="30">
        <f t="shared" ref="J95:J100" si="137">SUM(C95-SUM(G95:I95))</f>
        <v>-12825</v>
      </c>
      <c r="K95" s="79">
        <v>18096</v>
      </c>
      <c r="L95" s="30">
        <v>18096</v>
      </c>
      <c r="M95" s="30">
        <v>110947</v>
      </c>
      <c r="N95" s="30">
        <f t="shared" si="129"/>
        <v>-146712</v>
      </c>
      <c r="O95" s="79">
        <v>23</v>
      </c>
      <c r="P95" s="30">
        <v>24</v>
      </c>
      <c r="Q95" s="30"/>
      <c r="R95" s="30">
        <f t="shared" si="130"/>
        <v>135</v>
      </c>
      <c r="S95" s="79"/>
      <c r="T95" s="30"/>
      <c r="V95" s="30">
        <f t="shared" si="131"/>
        <v>16317</v>
      </c>
      <c r="W95" s="30">
        <f t="shared" si="131"/>
        <v>31775</v>
      </c>
      <c r="X95" s="30">
        <f t="shared" si="131"/>
        <v>134314</v>
      </c>
      <c r="Y95" s="30">
        <f t="shared" si="131"/>
        <v>427</v>
      </c>
      <c r="Z95" s="30">
        <f t="shared" si="131"/>
        <v>-17646</v>
      </c>
      <c r="AA95" s="30">
        <f t="shared" si="131"/>
        <v>-35718</v>
      </c>
      <c r="AB95" s="30">
        <f t="shared" ref="AB95:AB100" si="138">SUM(M95:P95)</f>
        <v>-35718</v>
      </c>
      <c r="AC95" s="30">
        <f t="shared" ref="AC95:AC100" si="139">SUM(N95:Q95)</f>
        <v>-146665</v>
      </c>
      <c r="AD95" s="30">
        <f t="shared" ref="AD95:AD100" si="140">SUM(O95:R95)</f>
        <v>182</v>
      </c>
      <c r="AE95" s="30">
        <f t="shared" ref="AE95:AE100" si="141">SUM(P95:S95)</f>
        <v>159</v>
      </c>
      <c r="AF95" s="30">
        <f t="shared" ref="AF95:AF100" si="142">SUM(Q95:T95)</f>
        <v>135</v>
      </c>
      <c r="AG95" s="11"/>
      <c r="AH95" s="70">
        <f t="shared" si="136"/>
        <v>-1.0037796069208802</v>
      </c>
    </row>
    <row r="96" spans="1:34" ht="12.75" customHeight="1">
      <c r="B96" s="58" t="s">
        <v>167</v>
      </c>
      <c r="C96" s="79">
        <v>0</v>
      </c>
      <c r="D96" s="79">
        <v>2998</v>
      </c>
      <c r="E96" s="79">
        <v>3836</v>
      </c>
      <c r="F96" s="30"/>
      <c r="G96" s="79"/>
      <c r="H96" s="30">
        <v>1045660</v>
      </c>
      <c r="I96" s="30">
        <v>2023932</v>
      </c>
      <c r="J96" s="30">
        <f t="shared" si="137"/>
        <v>-3069592</v>
      </c>
      <c r="K96" s="79">
        <v>979978</v>
      </c>
      <c r="L96" s="30">
        <v>1966160</v>
      </c>
      <c r="M96" s="30">
        <v>2958592</v>
      </c>
      <c r="N96" s="30">
        <f t="shared" si="129"/>
        <v>-5901732</v>
      </c>
      <c r="O96" s="79" t="s">
        <v>150</v>
      </c>
      <c r="P96" s="30" t="s">
        <v>150</v>
      </c>
      <c r="Q96" s="30"/>
      <c r="R96" s="30">
        <f t="shared" si="130"/>
        <v>3836</v>
      </c>
      <c r="S96" s="79"/>
      <c r="T96" s="30"/>
      <c r="V96" s="30">
        <f t="shared" si="131"/>
        <v>979978</v>
      </c>
      <c r="W96" s="30">
        <f t="shared" si="131"/>
        <v>1900478</v>
      </c>
      <c r="X96" s="30">
        <f t="shared" si="131"/>
        <v>2835138</v>
      </c>
      <c r="Y96" s="30">
        <f t="shared" si="131"/>
        <v>2998</v>
      </c>
      <c r="Z96" s="30">
        <f t="shared" si="131"/>
        <v>-976980</v>
      </c>
      <c r="AA96" s="30">
        <f t="shared" si="131"/>
        <v>-2943140</v>
      </c>
      <c r="AB96" s="30">
        <f t="shared" si="138"/>
        <v>-2943140</v>
      </c>
      <c r="AC96" s="30">
        <f t="shared" si="139"/>
        <v>-5901732</v>
      </c>
      <c r="AD96" s="30">
        <f t="shared" si="140"/>
        <v>3836</v>
      </c>
      <c r="AE96" s="30">
        <f t="shared" si="141"/>
        <v>3836</v>
      </c>
      <c r="AF96" s="30">
        <f t="shared" si="142"/>
        <v>3836</v>
      </c>
      <c r="AG96" s="11"/>
      <c r="AH96" s="70">
        <f t="shared" si="136"/>
        <v>-1.0013033698702747</v>
      </c>
    </row>
    <row r="97" spans="2:34" ht="12.75" customHeight="1">
      <c r="B97" s="58" t="s">
        <v>122</v>
      </c>
      <c r="C97" s="79">
        <v>3488</v>
      </c>
      <c r="D97" s="79">
        <v>5215</v>
      </c>
      <c r="E97" s="79">
        <v>6187</v>
      </c>
      <c r="F97" s="30"/>
      <c r="G97" s="79">
        <v>1641388</v>
      </c>
      <c r="H97" s="30">
        <v>2832435</v>
      </c>
      <c r="I97" s="30">
        <v>4145929</v>
      </c>
      <c r="J97" s="30">
        <f t="shared" si="137"/>
        <v>-8616264</v>
      </c>
      <c r="K97" s="79">
        <v>1110166</v>
      </c>
      <c r="L97" s="30">
        <v>2747204</v>
      </c>
      <c r="M97" s="30">
        <v>4441845</v>
      </c>
      <c r="N97" s="30">
        <f t="shared" si="129"/>
        <v>-8294000</v>
      </c>
      <c r="O97" s="79">
        <v>2141</v>
      </c>
      <c r="P97" s="30">
        <v>5004</v>
      </c>
      <c r="Q97" s="30"/>
      <c r="R97" s="30">
        <f t="shared" si="130"/>
        <v>-958</v>
      </c>
      <c r="S97" s="79"/>
      <c r="T97" s="30"/>
      <c r="V97" s="30">
        <f t="shared" si="131"/>
        <v>-527734</v>
      </c>
      <c r="W97" s="30">
        <f t="shared" si="131"/>
        <v>-612965</v>
      </c>
      <c r="X97" s="30">
        <f t="shared" si="131"/>
        <v>-317049</v>
      </c>
      <c r="Y97" s="30">
        <f t="shared" si="131"/>
        <v>5215</v>
      </c>
      <c r="Z97" s="30">
        <f t="shared" si="131"/>
        <v>-1102810</v>
      </c>
      <c r="AA97" s="30">
        <f t="shared" si="131"/>
        <v>-3845010</v>
      </c>
      <c r="AB97" s="30">
        <f t="shared" si="138"/>
        <v>-3845010</v>
      </c>
      <c r="AC97" s="30">
        <f t="shared" si="139"/>
        <v>-8286855</v>
      </c>
      <c r="AD97" s="30">
        <f t="shared" si="140"/>
        <v>6187</v>
      </c>
      <c r="AE97" s="30">
        <f t="shared" si="141"/>
        <v>4046</v>
      </c>
      <c r="AF97" s="30">
        <f t="shared" si="142"/>
        <v>-958</v>
      </c>
      <c r="AG97" s="11"/>
      <c r="AH97" s="70">
        <f t="shared" si="136"/>
        <v>-0.99975084590157115</v>
      </c>
    </row>
    <row r="98" spans="2:34" ht="12.75" customHeight="1">
      <c r="B98" s="58" t="s">
        <v>168</v>
      </c>
      <c r="C98" s="79">
        <v>1897</v>
      </c>
      <c r="D98" s="79">
        <v>2402</v>
      </c>
      <c r="E98" s="79">
        <v>2594</v>
      </c>
      <c r="F98" s="30"/>
      <c r="G98" s="79">
        <v>584842</v>
      </c>
      <c r="H98" s="30">
        <v>927061</v>
      </c>
      <c r="I98" s="30">
        <v>1908127</v>
      </c>
      <c r="J98" s="30">
        <f t="shared" si="137"/>
        <v>-3418133</v>
      </c>
      <c r="K98" s="79">
        <v>487889</v>
      </c>
      <c r="L98" s="30">
        <v>1174750</v>
      </c>
      <c r="M98" s="30">
        <v>1895790</v>
      </c>
      <c r="N98" s="30">
        <f t="shared" si="129"/>
        <v>-3556027</v>
      </c>
      <c r="O98" s="79">
        <v>253</v>
      </c>
      <c r="P98" s="30">
        <v>480</v>
      </c>
      <c r="Q98" s="30"/>
      <c r="R98" s="30">
        <f t="shared" si="130"/>
        <v>1861</v>
      </c>
      <c r="S98" s="79"/>
      <c r="T98" s="30"/>
      <c r="V98" s="30"/>
      <c r="W98" s="30"/>
      <c r="X98" s="30"/>
      <c r="Y98" s="30"/>
      <c r="Z98" s="30"/>
      <c r="AA98" s="30"/>
      <c r="AB98" s="30">
        <f t="shared" si="138"/>
        <v>-1659504</v>
      </c>
      <c r="AC98" s="30">
        <f t="shared" si="139"/>
        <v>-3555294</v>
      </c>
      <c r="AD98" s="30">
        <f t="shared" si="140"/>
        <v>2594</v>
      </c>
      <c r="AE98" s="30">
        <f t="shared" si="141"/>
        <v>2341</v>
      </c>
      <c r="AF98" s="30">
        <f t="shared" si="142"/>
        <v>1861</v>
      </c>
      <c r="AG98" s="11"/>
      <c r="AH98" s="70">
        <f t="shared" si="136"/>
        <v>-1.0011214194120652</v>
      </c>
    </row>
    <row r="99" spans="2:34" ht="12.75" customHeight="1">
      <c r="B99" s="58" t="s">
        <v>144</v>
      </c>
      <c r="C99" s="79">
        <v>0</v>
      </c>
      <c r="D99" s="79">
        <v>6670</v>
      </c>
      <c r="E99" s="79">
        <v>26174</v>
      </c>
      <c r="F99" s="30"/>
      <c r="G99" s="79">
        <v>6669941</v>
      </c>
      <c r="H99" s="30">
        <v>6669941</v>
      </c>
      <c r="I99" s="30">
        <v>6669941</v>
      </c>
      <c r="J99" s="30">
        <f t="shared" si="137"/>
        <v>-20009823</v>
      </c>
      <c r="K99" s="79" t="s">
        <v>150</v>
      </c>
      <c r="L99" s="30" t="s">
        <v>150</v>
      </c>
      <c r="M99" s="30">
        <v>0</v>
      </c>
      <c r="N99" s="30">
        <f t="shared" si="129"/>
        <v>6670</v>
      </c>
      <c r="O99" s="79"/>
      <c r="P99" s="30"/>
      <c r="Q99" s="30"/>
      <c r="R99" s="30">
        <f t="shared" si="130"/>
        <v>26174</v>
      </c>
      <c r="S99" s="79"/>
      <c r="T99" s="30"/>
      <c r="V99" s="30"/>
      <c r="W99" s="30"/>
      <c r="X99" s="30"/>
      <c r="Y99" s="30"/>
      <c r="Z99" s="30"/>
      <c r="AA99" s="30"/>
      <c r="AB99" s="30">
        <f t="shared" si="138"/>
        <v>6670</v>
      </c>
      <c r="AC99" s="30">
        <f t="shared" si="139"/>
        <v>6670</v>
      </c>
      <c r="AD99" s="30">
        <f t="shared" si="140"/>
        <v>26174</v>
      </c>
      <c r="AE99" s="30">
        <f t="shared" si="141"/>
        <v>26174</v>
      </c>
      <c r="AF99" s="30">
        <f t="shared" si="142"/>
        <v>26174</v>
      </c>
      <c r="AG99" s="11"/>
      <c r="AH99" s="70">
        <f t="shared" si="136"/>
        <v>2.9241379310344828</v>
      </c>
    </row>
    <row r="100" spans="2:34" ht="12.75" customHeight="1">
      <c r="B100" s="58" t="s">
        <v>169</v>
      </c>
      <c r="C100" s="79">
        <v>-143</v>
      </c>
      <c r="D100" s="79">
        <v>-143</v>
      </c>
      <c r="E100" s="79">
        <v>-143</v>
      </c>
      <c r="F100" s="30"/>
      <c r="G100" s="79">
        <v>-35708</v>
      </c>
      <c r="H100" s="30">
        <v>-71417</v>
      </c>
      <c r="I100" s="30">
        <v>-107125</v>
      </c>
      <c r="J100" s="30">
        <f t="shared" si="137"/>
        <v>214107</v>
      </c>
      <c r="K100" s="79">
        <v>-35708</v>
      </c>
      <c r="L100" s="30">
        <v>-71417</v>
      </c>
      <c r="M100" s="30">
        <v>-107125</v>
      </c>
      <c r="N100" s="30">
        <f t="shared" si="129"/>
        <v>214107</v>
      </c>
      <c r="O100" s="79">
        <v>-36</v>
      </c>
      <c r="P100" s="30">
        <v>-71</v>
      </c>
      <c r="Q100" s="30"/>
      <c r="R100" s="30">
        <f t="shared" si="130"/>
        <v>-36</v>
      </c>
      <c r="S100" s="79"/>
      <c r="T100" s="30"/>
      <c r="V100" s="30"/>
      <c r="W100" s="30"/>
      <c r="X100" s="30"/>
      <c r="Y100" s="30"/>
      <c r="Z100" s="30"/>
      <c r="AA100" s="30"/>
      <c r="AB100" s="30">
        <f t="shared" si="138"/>
        <v>106875</v>
      </c>
      <c r="AC100" s="30">
        <f t="shared" si="139"/>
        <v>214000</v>
      </c>
      <c r="AD100" s="30">
        <f t="shared" si="140"/>
        <v>-143</v>
      </c>
      <c r="AE100" s="30">
        <f t="shared" si="141"/>
        <v>-107</v>
      </c>
      <c r="AF100" s="30">
        <f t="shared" si="142"/>
        <v>-36</v>
      </c>
      <c r="AG100" s="11"/>
      <c r="AH100" s="70">
        <f t="shared" si="136"/>
        <v>-1.0003368421052632</v>
      </c>
    </row>
    <row r="101" spans="2:34" ht="5.0999999999999996" customHeight="1">
      <c r="B101" s="8"/>
      <c r="C101" s="79"/>
      <c r="D101" s="79"/>
      <c r="E101" s="79"/>
      <c r="F101" s="30"/>
      <c r="G101" s="79"/>
      <c r="H101" s="30"/>
      <c r="I101" s="30"/>
      <c r="J101" s="30"/>
      <c r="K101" s="79"/>
      <c r="L101" s="30"/>
      <c r="M101" s="30"/>
      <c r="N101" s="30"/>
      <c r="O101" s="79"/>
      <c r="P101" s="30"/>
      <c r="Q101" s="30"/>
      <c r="R101" s="30"/>
      <c r="S101" s="79"/>
      <c r="T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11"/>
      <c r="AH101" s="70"/>
    </row>
    <row r="102" spans="2:34" ht="12.75" customHeight="1">
      <c r="B102" s="34" t="s">
        <v>16</v>
      </c>
      <c r="C102" s="79"/>
      <c r="D102" s="79"/>
      <c r="E102" s="79"/>
      <c r="F102" s="30"/>
      <c r="G102" s="79"/>
      <c r="H102" s="30"/>
      <c r="I102" s="30"/>
      <c r="J102" s="30"/>
      <c r="K102" s="79"/>
      <c r="L102" s="30"/>
      <c r="M102" s="30"/>
      <c r="N102" s="30"/>
      <c r="O102" s="79"/>
      <c r="P102" s="30"/>
      <c r="Q102" s="30"/>
      <c r="R102" s="30"/>
      <c r="S102" s="79"/>
      <c r="T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57"/>
      <c r="AH102" s="70"/>
    </row>
    <row r="103" spans="2:34" ht="12.75" customHeight="1">
      <c r="B103" s="58" t="s">
        <v>14</v>
      </c>
      <c r="C103" s="79">
        <v>-15340</v>
      </c>
      <c r="D103" s="79">
        <v>13072</v>
      </c>
      <c r="E103" s="79">
        <v>-11916</v>
      </c>
      <c r="F103" s="30"/>
      <c r="G103" s="79">
        <v>2947233</v>
      </c>
      <c r="H103" s="30">
        <v>9693011</v>
      </c>
      <c r="I103" s="30">
        <v>7674472</v>
      </c>
      <c r="J103" s="30">
        <f t="shared" ref="J103:J109" si="143">SUM(C103-SUM(G103:I103))</f>
        <v>-20330056</v>
      </c>
      <c r="K103" s="79">
        <v>-11013446</v>
      </c>
      <c r="L103" s="30">
        <v>-21226562</v>
      </c>
      <c r="M103" s="30">
        <v>-15813632</v>
      </c>
      <c r="N103" s="30">
        <f t="shared" ref="N103:N108" si="144">SUM(D103-SUM(K103:M103))</f>
        <v>48066712</v>
      </c>
      <c r="O103" s="79">
        <v>-22200</v>
      </c>
      <c r="P103" s="30">
        <v>-2692</v>
      </c>
      <c r="Q103" s="30"/>
      <c r="R103" s="30">
        <f t="shared" ref="R103:R109" si="145">SUM(E103-SUM(O103:Q103))</f>
        <v>12976</v>
      </c>
      <c r="S103" s="79"/>
      <c r="T103" s="30"/>
      <c r="V103" s="30">
        <f t="shared" ref="V103:AA109" si="146">SUM(H103:K103)</f>
        <v>-13976019</v>
      </c>
      <c r="W103" s="30">
        <f t="shared" si="146"/>
        <v>-44895592</v>
      </c>
      <c r="X103" s="30">
        <f t="shared" si="146"/>
        <v>-68383696</v>
      </c>
      <c r="Y103" s="30">
        <f t="shared" si="146"/>
        <v>13072</v>
      </c>
      <c r="Z103" s="30">
        <f t="shared" si="146"/>
        <v>11004318</v>
      </c>
      <c r="AA103" s="30">
        <f t="shared" si="146"/>
        <v>32228188</v>
      </c>
      <c r="AB103" s="30">
        <f t="shared" ref="AB103:AB109" si="147">SUM(M103:P103)</f>
        <v>32228188</v>
      </c>
      <c r="AC103" s="30">
        <f t="shared" ref="AC103:AC109" si="148">SUM(N103:Q103)</f>
        <v>48041820</v>
      </c>
      <c r="AD103" s="30">
        <f t="shared" ref="AD103:AD109" si="149">SUM(O103:R103)</f>
        <v>-11916</v>
      </c>
      <c r="AE103" s="30">
        <f t="shared" ref="AE103:AE109" si="150">SUM(P103:S103)</f>
        <v>10284</v>
      </c>
      <c r="AF103" s="30">
        <f t="shared" ref="AF103:AF109" si="151">SUM(Q103:T103)</f>
        <v>12976</v>
      </c>
      <c r="AG103" s="57"/>
      <c r="AH103" s="70">
        <f t="shared" si="136"/>
        <v>-0.99959737109638302</v>
      </c>
    </row>
    <row r="104" spans="2:34" ht="12.75" customHeight="1">
      <c r="B104" s="58" t="s">
        <v>152</v>
      </c>
      <c r="C104" s="79">
        <v>-43188</v>
      </c>
      <c r="D104" s="79">
        <v>-38556</v>
      </c>
      <c r="E104" s="79">
        <v>-9626</v>
      </c>
      <c r="F104" s="30"/>
      <c r="G104" s="79">
        <v>-14422219</v>
      </c>
      <c r="H104" s="30">
        <v>-21351368</v>
      </c>
      <c r="I104" s="30">
        <v>-38189543</v>
      </c>
      <c r="J104" s="30">
        <f t="shared" si="143"/>
        <v>73919942</v>
      </c>
      <c r="K104" s="79">
        <v>-704826</v>
      </c>
      <c r="L104" s="30">
        <v>1499984</v>
      </c>
      <c r="M104" s="30">
        <v>163942</v>
      </c>
      <c r="N104" s="30">
        <f t="shared" si="144"/>
        <v>-997656</v>
      </c>
      <c r="O104" s="79">
        <v>-4826</v>
      </c>
      <c r="P104" s="30">
        <v>-6904</v>
      </c>
      <c r="Q104" s="30"/>
      <c r="R104" s="30"/>
      <c r="S104" s="79"/>
      <c r="T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57"/>
      <c r="AH104" s="70"/>
    </row>
    <row r="105" spans="2:34" ht="12.75" customHeight="1">
      <c r="B105" s="58" t="s">
        <v>153</v>
      </c>
      <c r="C105" s="79">
        <v>-1293</v>
      </c>
      <c r="D105" s="79">
        <v>-756</v>
      </c>
      <c r="E105" s="79">
        <v>-239</v>
      </c>
      <c r="F105" s="30"/>
      <c r="G105" s="79">
        <v>-1180056</v>
      </c>
      <c r="H105" s="30">
        <v>-1060683</v>
      </c>
      <c r="I105" s="30">
        <v>-1033238</v>
      </c>
      <c r="J105" s="30">
        <f t="shared" si="143"/>
        <v>3272684</v>
      </c>
      <c r="K105" s="79">
        <v>716465</v>
      </c>
      <c r="L105" s="30">
        <v>-123590</v>
      </c>
      <c r="M105" s="30">
        <v>-12309</v>
      </c>
      <c r="N105" s="30">
        <f t="shared" si="144"/>
        <v>-581322</v>
      </c>
      <c r="O105" s="79">
        <v>1593</v>
      </c>
      <c r="P105" s="30">
        <v>-190</v>
      </c>
      <c r="Q105" s="30"/>
      <c r="R105" s="30">
        <f t="shared" si="145"/>
        <v>-1642</v>
      </c>
      <c r="S105" s="79"/>
      <c r="T105" s="30"/>
      <c r="V105" s="30">
        <f t="shared" si="146"/>
        <v>1895228</v>
      </c>
      <c r="W105" s="30">
        <f t="shared" si="146"/>
        <v>2832321</v>
      </c>
      <c r="X105" s="30">
        <f t="shared" si="146"/>
        <v>3853250</v>
      </c>
      <c r="Y105" s="30">
        <f t="shared" si="146"/>
        <v>-756</v>
      </c>
      <c r="Z105" s="30">
        <f t="shared" si="146"/>
        <v>-715628</v>
      </c>
      <c r="AA105" s="30">
        <f t="shared" si="146"/>
        <v>-592228</v>
      </c>
      <c r="AB105" s="30">
        <f t="shared" si="147"/>
        <v>-592228</v>
      </c>
      <c r="AC105" s="30">
        <f t="shared" si="148"/>
        <v>-579919</v>
      </c>
      <c r="AD105" s="30">
        <f t="shared" si="149"/>
        <v>-239</v>
      </c>
      <c r="AE105" s="30">
        <f t="shared" si="150"/>
        <v>-1832</v>
      </c>
      <c r="AF105" s="30">
        <f t="shared" si="151"/>
        <v>-1642</v>
      </c>
      <c r="AG105" s="57"/>
      <c r="AH105" s="70">
        <f t="shared" ref="AH105:AH109" si="152">SUM(AF105/AB105)-1</f>
        <v>-0.99722741916964408</v>
      </c>
    </row>
    <row r="106" spans="2:34" ht="12.75" customHeight="1">
      <c r="B106" s="58" t="s">
        <v>156</v>
      </c>
      <c r="C106" s="79">
        <v>-1775</v>
      </c>
      <c r="D106" s="79">
        <v>122</v>
      </c>
      <c r="E106" s="79">
        <v>1080</v>
      </c>
      <c r="F106" s="30"/>
      <c r="G106" s="79">
        <v>1397672</v>
      </c>
      <c r="H106" s="30">
        <v>684777</v>
      </c>
      <c r="I106" s="30">
        <v>195756</v>
      </c>
      <c r="J106" s="30">
        <f t="shared" si="143"/>
        <v>-2279980</v>
      </c>
      <c r="K106" s="79">
        <v>289232</v>
      </c>
      <c r="L106" s="30">
        <v>-1037181</v>
      </c>
      <c r="M106" s="30">
        <v>-1220849</v>
      </c>
      <c r="N106" s="30">
        <f t="shared" si="144"/>
        <v>1968920</v>
      </c>
      <c r="O106" s="79">
        <v>-982</v>
      </c>
      <c r="P106" s="30">
        <v>-68</v>
      </c>
      <c r="Q106" s="30"/>
      <c r="R106" s="30">
        <f t="shared" si="145"/>
        <v>2130</v>
      </c>
      <c r="S106" s="79"/>
      <c r="T106" s="30"/>
      <c r="V106" s="30">
        <f t="shared" si="146"/>
        <v>-1110215</v>
      </c>
      <c r="W106" s="30">
        <f t="shared" si="146"/>
        <v>-2832173</v>
      </c>
      <c r="X106" s="30">
        <f t="shared" si="146"/>
        <v>-4248778</v>
      </c>
      <c r="Y106" s="30">
        <f t="shared" si="146"/>
        <v>122</v>
      </c>
      <c r="Z106" s="30">
        <f t="shared" si="146"/>
        <v>-290092</v>
      </c>
      <c r="AA106" s="30">
        <f t="shared" si="146"/>
        <v>747021</v>
      </c>
      <c r="AB106" s="30">
        <f t="shared" si="147"/>
        <v>747021</v>
      </c>
      <c r="AC106" s="30">
        <f t="shared" si="148"/>
        <v>1967870</v>
      </c>
      <c r="AD106" s="30">
        <f t="shared" si="149"/>
        <v>1080</v>
      </c>
      <c r="AE106" s="30">
        <f t="shared" si="150"/>
        <v>2062</v>
      </c>
      <c r="AF106" s="30">
        <f t="shared" si="151"/>
        <v>2130</v>
      </c>
      <c r="AG106" s="57"/>
      <c r="AH106" s="70">
        <f t="shared" si="152"/>
        <v>-0.99714867453525402</v>
      </c>
    </row>
    <row r="107" spans="2:34" ht="12.75" customHeight="1">
      <c r="B107" s="58" t="s">
        <v>15</v>
      </c>
      <c r="C107" s="79">
        <v>1356</v>
      </c>
      <c r="D107" s="79">
        <v>800</v>
      </c>
      <c r="E107" s="79">
        <v>3839</v>
      </c>
      <c r="F107" s="30"/>
      <c r="G107" s="79">
        <v>1685724</v>
      </c>
      <c r="H107" s="30">
        <v>-1041361</v>
      </c>
      <c r="I107" s="30">
        <v>12768396</v>
      </c>
      <c r="J107" s="30">
        <f t="shared" si="143"/>
        <v>-13411403</v>
      </c>
      <c r="K107" s="79">
        <v>-272904</v>
      </c>
      <c r="L107" s="30">
        <v>-1144862</v>
      </c>
      <c r="M107" s="30">
        <v>-1154769</v>
      </c>
      <c r="N107" s="30">
        <f t="shared" si="144"/>
        <v>2573335</v>
      </c>
      <c r="O107" s="79">
        <v>447</v>
      </c>
      <c r="P107" s="30">
        <v>-1410</v>
      </c>
      <c r="Q107" s="30"/>
      <c r="R107" s="30">
        <f t="shared" si="145"/>
        <v>4802</v>
      </c>
      <c r="S107" s="79"/>
      <c r="T107" s="30"/>
      <c r="V107" s="30">
        <f t="shared" si="146"/>
        <v>-1957272</v>
      </c>
      <c r="W107" s="30">
        <f t="shared" si="146"/>
        <v>-2060773</v>
      </c>
      <c r="X107" s="30">
        <f t="shared" si="146"/>
        <v>-15983938</v>
      </c>
      <c r="Y107" s="30">
        <f t="shared" si="146"/>
        <v>800</v>
      </c>
      <c r="Z107" s="30">
        <f t="shared" si="146"/>
        <v>274151</v>
      </c>
      <c r="AA107" s="30">
        <f t="shared" si="146"/>
        <v>1417603</v>
      </c>
      <c r="AB107" s="30">
        <f t="shared" si="147"/>
        <v>1417603</v>
      </c>
      <c r="AC107" s="30">
        <f t="shared" si="148"/>
        <v>2572372</v>
      </c>
      <c r="AD107" s="30">
        <f t="shared" si="149"/>
        <v>3839</v>
      </c>
      <c r="AE107" s="30">
        <f t="shared" si="150"/>
        <v>3392</v>
      </c>
      <c r="AF107" s="30">
        <f t="shared" si="151"/>
        <v>4802</v>
      </c>
      <c r="AG107" s="57"/>
      <c r="AH107" s="70">
        <f t="shared" si="152"/>
        <v>-0.99661259181872497</v>
      </c>
    </row>
    <row r="108" spans="2:34" ht="12.75" customHeight="1">
      <c r="B108" s="58" t="s">
        <v>170</v>
      </c>
      <c r="C108" s="79">
        <v>8341</v>
      </c>
      <c r="D108" s="79">
        <v>7534</v>
      </c>
      <c r="E108" s="79">
        <v>7530</v>
      </c>
      <c r="F108" s="30"/>
      <c r="G108" s="79">
        <v>-1775526</v>
      </c>
      <c r="H108" s="30">
        <v>-1461621</v>
      </c>
      <c r="I108" s="30">
        <v>667193</v>
      </c>
      <c r="J108" s="30">
        <f t="shared" si="143"/>
        <v>2578295</v>
      </c>
      <c r="K108" s="79">
        <v>-1353815</v>
      </c>
      <c r="L108" s="30">
        <v>4738377</v>
      </c>
      <c r="M108" s="30">
        <v>4874378</v>
      </c>
      <c r="N108" s="30">
        <f t="shared" si="144"/>
        <v>-8251406</v>
      </c>
      <c r="O108" s="79">
        <v>772</v>
      </c>
      <c r="P108" s="30">
        <v>-5193</v>
      </c>
      <c r="Q108" s="30"/>
      <c r="R108" s="30">
        <f t="shared" si="145"/>
        <v>11951</v>
      </c>
      <c r="S108" s="79"/>
      <c r="T108" s="30"/>
      <c r="V108" s="30">
        <f t="shared" si="146"/>
        <v>430052</v>
      </c>
      <c r="W108" s="30">
        <f t="shared" si="146"/>
        <v>6630050</v>
      </c>
      <c r="X108" s="30">
        <f t="shared" si="146"/>
        <v>10837235</v>
      </c>
      <c r="Y108" s="30">
        <f t="shared" si="146"/>
        <v>7534</v>
      </c>
      <c r="Z108" s="30">
        <f t="shared" si="146"/>
        <v>1362121</v>
      </c>
      <c r="AA108" s="30">
        <f t="shared" si="146"/>
        <v>-3381449</v>
      </c>
      <c r="AB108" s="30">
        <f t="shared" si="147"/>
        <v>-3381449</v>
      </c>
      <c r="AC108" s="30">
        <f t="shared" si="148"/>
        <v>-8255827</v>
      </c>
      <c r="AD108" s="30">
        <f t="shared" si="149"/>
        <v>7530</v>
      </c>
      <c r="AE108" s="30">
        <f t="shared" si="150"/>
        <v>6758</v>
      </c>
      <c r="AF108" s="30">
        <f t="shared" si="151"/>
        <v>11951</v>
      </c>
      <c r="AG108" s="57"/>
      <c r="AH108" s="70">
        <f t="shared" si="152"/>
        <v>-1.0035342836754302</v>
      </c>
    </row>
    <row r="109" spans="2:34" ht="12.75" customHeight="1">
      <c r="B109" s="58" t="s">
        <v>171</v>
      </c>
      <c r="C109" s="79">
        <v>219</v>
      </c>
      <c r="D109" s="79">
        <v>-502</v>
      </c>
      <c r="E109" s="79">
        <v>-791</v>
      </c>
      <c r="F109" s="30"/>
      <c r="G109" s="79">
        <v>-111064</v>
      </c>
      <c r="H109" s="30">
        <v>-254991</v>
      </c>
      <c r="I109" s="30">
        <v>-365415</v>
      </c>
      <c r="J109" s="30">
        <f t="shared" si="143"/>
        <v>731689</v>
      </c>
      <c r="K109" s="79">
        <v>-187551</v>
      </c>
      <c r="L109" s="30">
        <v>-293009</v>
      </c>
      <c r="M109" s="30">
        <v>-561345</v>
      </c>
      <c r="N109" s="30">
        <f>SUM(D109-SUM(K109:M109))</f>
        <v>1041403</v>
      </c>
      <c r="O109" s="79">
        <v>677</v>
      </c>
      <c r="P109" s="30">
        <v>419</v>
      </c>
      <c r="Q109" s="30"/>
      <c r="R109" s="30">
        <f t="shared" si="145"/>
        <v>-1887</v>
      </c>
      <c r="S109" s="79"/>
      <c r="T109" s="30"/>
      <c r="V109" s="30">
        <f t="shared" si="146"/>
        <v>-76268</v>
      </c>
      <c r="W109" s="30">
        <f t="shared" si="146"/>
        <v>-114286</v>
      </c>
      <c r="X109" s="30">
        <f t="shared" si="146"/>
        <v>-310216</v>
      </c>
      <c r="Y109" s="30">
        <f t="shared" si="146"/>
        <v>-502</v>
      </c>
      <c r="Z109" s="30">
        <f t="shared" si="146"/>
        <v>187726</v>
      </c>
      <c r="AA109" s="30">
        <f t="shared" si="146"/>
        <v>481154</v>
      </c>
      <c r="AB109" s="30">
        <f t="shared" si="147"/>
        <v>481154</v>
      </c>
      <c r="AC109" s="30">
        <f t="shared" si="148"/>
        <v>1042499</v>
      </c>
      <c r="AD109" s="30">
        <f t="shared" si="149"/>
        <v>-791</v>
      </c>
      <c r="AE109" s="30">
        <f t="shared" si="150"/>
        <v>-1468</v>
      </c>
      <c r="AF109" s="30">
        <f t="shared" si="151"/>
        <v>-1887</v>
      </c>
      <c r="AG109" s="57"/>
      <c r="AH109" s="70">
        <f t="shared" si="152"/>
        <v>-1.0039218212879868</v>
      </c>
    </row>
    <row r="110" spans="2:34" ht="12.75" customHeight="1">
      <c r="B110" s="12" t="s">
        <v>72</v>
      </c>
      <c r="C110" s="13">
        <f>SUM(C91:C109)</f>
        <v>-112369</v>
      </c>
      <c r="D110" s="13">
        <f>SUM(D91:D109)</f>
        <v>-59508</v>
      </c>
      <c r="E110" s="13">
        <f>SUM(E91:E109)</f>
        <v>8800</v>
      </c>
      <c r="G110" s="13">
        <f>SUM(G91:G109)</f>
        <v>-1030563.8570000008</v>
      </c>
      <c r="H110" s="13">
        <f>SUM(H91:H109)</f>
        <v>-85182.905999999493</v>
      </c>
      <c r="I110" s="13">
        <f>SUM(I91:I109)</f>
        <v>1528425.4959999993</v>
      </c>
      <c r="J110" s="13">
        <f>SUM(J91:J109)</f>
        <v>-519303.73299999535</v>
      </c>
      <c r="K110" s="32">
        <f>SUM(K91:K109)</f>
        <v>-7940247.8149999995</v>
      </c>
      <c r="L110" s="13">
        <f>SUM(L91:L109)</f>
        <v>-7627878.7070000004</v>
      </c>
      <c r="M110" s="13">
        <f>SUM(M91:M109)</f>
        <v>1801080.0549999997</v>
      </c>
      <c r="N110" s="13">
        <f>SUM(N91:N109)</f>
        <v>13707538.467</v>
      </c>
      <c r="O110" s="13">
        <f>SUM(O91:O109)</f>
        <v>-2183</v>
      </c>
      <c r="P110" s="13">
        <f>SUM(P91:P109)</f>
        <v>25638</v>
      </c>
      <c r="Q110" s="13">
        <f>SUM(Q91:Q109)</f>
        <v>0</v>
      </c>
      <c r="R110" s="13">
        <f>SUM(R91:R109)</f>
        <v>-16759</v>
      </c>
      <c r="S110" s="13">
        <f>SUM(S91:S109)</f>
        <v>0</v>
      </c>
      <c r="T110" s="13">
        <f>SUM(T91:T109)</f>
        <v>0</v>
      </c>
      <c r="V110" s="13">
        <f>SUM(V91:V109)</f>
        <v>-13925373.958000001</v>
      </c>
      <c r="W110" s="13">
        <f>SUM(W91:W109)</f>
        <v>-37897169.759000003</v>
      </c>
      <c r="X110" s="13">
        <f>SUM(X91:X109)</f>
        <v>-69295722.200000003</v>
      </c>
      <c r="Y110" s="13">
        <f>SUM(Y91:Y109)</f>
        <v>-29881</v>
      </c>
      <c r="Z110" s="13">
        <f>SUM(Z91:Z109)</f>
        <v>7660147.8149999995</v>
      </c>
      <c r="AA110" s="13">
        <f>SUM(AA91:AA109)</f>
        <v>17923476.522</v>
      </c>
      <c r="AB110" s="13">
        <f>SUM(AB91:AB109)</f>
        <v>16377517.522</v>
      </c>
      <c r="AC110" s="13">
        <f>SUM(AC91:AC109)</f>
        <v>14740379.467</v>
      </c>
      <c r="AD110" s="13">
        <f>SUM(AD91:AD109)</f>
        <v>18426</v>
      </c>
      <c r="AE110" s="13">
        <f>SUM(AE91:AE109)</f>
        <v>15783</v>
      </c>
      <c r="AF110" s="13">
        <f>SUM(AF91:AF109)</f>
        <v>-16759</v>
      </c>
      <c r="AG110" s="40"/>
      <c r="AH110" s="71">
        <f>SUM(AF110/AB110)-1</f>
        <v>-1.001023293058761</v>
      </c>
    </row>
    <row r="111" spans="2:34" ht="12.75" customHeight="1">
      <c r="B111" s="51"/>
      <c r="C111" s="59"/>
      <c r="D111" s="59"/>
      <c r="E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37"/>
    </row>
    <row r="112" spans="2:34" ht="12.75" customHeight="1">
      <c r="B112" s="138" t="s">
        <v>73</v>
      </c>
      <c r="C112" s="56"/>
      <c r="D112" s="56"/>
      <c r="E112" s="56"/>
      <c r="G112" s="56"/>
      <c r="H112" s="56"/>
      <c r="I112" s="56"/>
      <c r="J112" s="30"/>
      <c r="K112" s="79"/>
      <c r="L112" s="79"/>
      <c r="M112" s="79"/>
      <c r="N112" s="30"/>
      <c r="O112" s="79"/>
      <c r="P112" s="79"/>
      <c r="Q112" s="79"/>
      <c r="R112" s="30"/>
      <c r="S112" s="79"/>
      <c r="T112" s="79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7"/>
      <c r="AH112" s="37"/>
    </row>
    <row r="113" spans="2:34" ht="12.75" customHeight="1">
      <c r="B113" s="58" t="s">
        <v>172</v>
      </c>
      <c r="C113" s="79">
        <v>-13511</v>
      </c>
      <c r="D113" s="79">
        <v>-13911</v>
      </c>
      <c r="E113" s="79">
        <v>-4771</v>
      </c>
      <c r="F113" s="30"/>
      <c r="G113" s="79">
        <v>-2842085</v>
      </c>
      <c r="H113" s="30">
        <v>-6782169</v>
      </c>
      <c r="I113" s="30">
        <v>-10162650</v>
      </c>
      <c r="J113" s="30">
        <f t="shared" ref="J113:J114" si="153">SUM(C113-SUM(G113:I113))</f>
        <v>19773393</v>
      </c>
      <c r="K113" s="79">
        <v>-1944596</v>
      </c>
      <c r="L113" s="30">
        <v>-2817229</v>
      </c>
      <c r="M113" s="30">
        <v>-3573786</v>
      </c>
      <c r="N113" s="30">
        <f t="shared" ref="N113:N114" si="154">SUM(D113-SUM(K113:M113))</f>
        <v>8321700</v>
      </c>
      <c r="O113" s="79">
        <v>-2347</v>
      </c>
      <c r="P113" s="30">
        <v>-4413</v>
      </c>
      <c r="Q113" s="30"/>
      <c r="R113" s="30">
        <f t="shared" ref="R113:R114" si="155">SUM(E113-SUM(O113:Q113))</f>
        <v>1989</v>
      </c>
      <c r="S113" s="79"/>
      <c r="T113" s="30"/>
      <c r="U113" s="30"/>
      <c r="V113" s="30">
        <f t="shared" ref="V113:AA114" si="156">SUM(H113:K113)</f>
        <v>883978</v>
      </c>
      <c r="W113" s="30">
        <f t="shared" si="156"/>
        <v>4848918</v>
      </c>
      <c r="X113" s="30">
        <f t="shared" si="156"/>
        <v>11437782</v>
      </c>
      <c r="Y113" s="30">
        <f t="shared" si="156"/>
        <v>-13911</v>
      </c>
      <c r="Z113" s="30">
        <f t="shared" si="156"/>
        <v>1928338</v>
      </c>
      <c r="AA113" s="30">
        <f t="shared" si="156"/>
        <v>4741154</v>
      </c>
      <c r="AB113" s="30">
        <f t="shared" ref="AB113:AB114" si="157">SUM(M113:P113)</f>
        <v>4741154</v>
      </c>
      <c r="AC113" s="30">
        <f t="shared" ref="AC113:AC114" si="158">SUM(N113:Q113)</f>
        <v>8314940</v>
      </c>
      <c r="AD113" s="30">
        <f t="shared" ref="AD113:AD114" si="159">SUM(O113:R113)</f>
        <v>-4771</v>
      </c>
      <c r="AE113" s="30">
        <f t="shared" ref="AE113:AE114" si="160">SUM(P113:S113)</f>
        <v>-2424</v>
      </c>
      <c r="AF113" s="30">
        <f t="shared" ref="AF113:AF114" si="161">SUM(Q113:T113)</f>
        <v>1989</v>
      </c>
      <c r="AG113" s="57"/>
      <c r="AH113" s="70">
        <f t="shared" ref="AH113:AH114" si="162">SUM(AF113/AB113)-1</f>
        <v>-0.99958048188268089</v>
      </c>
    </row>
    <row r="114" spans="2:34" ht="12.75" customHeight="1">
      <c r="B114" s="58" t="s">
        <v>173</v>
      </c>
      <c r="C114" s="79">
        <v>0</v>
      </c>
      <c r="D114" s="79">
        <v>0</v>
      </c>
      <c r="E114" s="79">
        <v>-210</v>
      </c>
      <c r="F114" s="30"/>
      <c r="G114" s="79"/>
      <c r="H114" s="30"/>
      <c r="I114" s="30"/>
      <c r="J114" s="30">
        <f t="shared" si="153"/>
        <v>0</v>
      </c>
      <c r="K114" s="79"/>
      <c r="L114" s="30"/>
      <c r="M114" s="30"/>
      <c r="N114" s="30">
        <f t="shared" si="154"/>
        <v>0</v>
      </c>
      <c r="O114" s="79">
        <v>-15</v>
      </c>
      <c r="P114" s="30">
        <v>-314</v>
      </c>
      <c r="Q114" s="30"/>
      <c r="R114" s="30">
        <f t="shared" si="155"/>
        <v>119</v>
      </c>
      <c r="S114" s="79"/>
      <c r="T114" s="30"/>
      <c r="U114" s="30"/>
      <c r="V114" s="30">
        <f t="shared" si="156"/>
        <v>0</v>
      </c>
      <c r="W114" s="30">
        <f t="shared" si="156"/>
        <v>0</v>
      </c>
      <c r="X114" s="30">
        <f t="shared" si="156"/>
        <v>0</v>
      </c>
      <c r="Y114" s="30">
        <f t="shared" si="156"/>
        <v>0</v>
      </c>
      <c r="Z114" s="30">
        <f t="shared" si="156"/>
        <v>-15</v>
      </c>
      <c r="AA114" s="30">
        <f t="shared" si="156"/>
        <v>-329</v>
      </c>
      <c r="AB114" s="30">
        <f t="shared" si="157"/>
        <v>-329</v>
      </c>
      <c r="AC114" s="30">
        <f t="shared" si="158"/>
        <v>-329</v>
      </c>
      <c r="AD114" s="30">
        <f t="shared" si="159"/>
        <v>-210</v>
      </c>
      <c r="AE114" s="30">
        <f t="shared" si="160"/>
        <v>-195</v>
      </c>
      <c r="AF114" s="30">
        <f t="shared" si="161"/>
        <v>119</v>
      </c>
      <c r="AG114" s="57"/>
      <c r="AH114" s="70">
        <f t="shared" si="162"/>
        <v>-1.3617021276595744</v>
      </c>
    </row>
    <row r="115" spans="2:34" ht="12.75" customHeight="1">
      <c r="B115" s="12" t="s">
        <v>74</v>
      </c>
      <c r="C115" s="13">
        <f>SUM(C113:C114)</f>
        <v>-13511</v>
      </c>
      <c r="D115" s="13">
        <f>SUM(D113:D114)</f>
        <v>-13911</v>
      </c>
      <c r="E115" s="13">
        <f>SUM(E113:E114)</f>
        <v>-4981</v>
      </c>
      <c r="G115" s="13">
        <f t="shared" ref="G115:T115" si="163">SUM(G113:G114)</f>
        <v>-2842085</v>
      </c>
      <c r="H115" s="13">
        <f t="shared" si="163"/>
        <v>-6782169</v>
      </c>
      <c r="I115" s="13">
        <f t="shared" si="163"/>
        <v>-10162650</v>
      </c>
      <c r="J115" s="13">
        <f t="shared" si="163"/>
        <v>19773393</v>
      </c>
      <c r="K115" s="13">
        <f t="shared" si="163"/>
        <v>-1944596</v>
      </c>
      <c r="L115" s="13">
        <f t="shared" si="163"/>
        <v>-2817229</v>
      </c>
      <c r="M115" s="13">
        <f t="shared" si="163"/>
        <v>-3573786</v>
      </c>
      <c r="N115" s="13">
        <f t="shared" si="163"/>
        <v>8321700</v>
      </c>
      <c r="O115" s="13">
        <f t="shared" si="163"/>
        <v>-2362</v>
      </c>
      <c r="P115" s="13">
        <f t="shared" si="163"/>
        <v>-4727</v>
      </c>
      <c r="Q115" s="13">
        <f t="shared" si="163"/>
        <v>0</v>
      </c>
      <c r="R115" s="13">
        <f t="shared" si="163"/>
        <v>2108</v>
      </c>
      <c r="S115" s="13">
        <f t="shared" si="163"/>
        <v>0</v>
      </c>
      <c r="T115" s="13">
        <f t="shared" si="163"/>
        <v>0</v>
      </c>
      <c r="V115" s="13">
        <f t="shared" ref="V115:AF115" si="164">SUM(V113:V114)</f>
        <v>883978</v>
      </c>
      <c r="W115" s="13">
        <f t="shared" si="164"/>
        <v>4848918</v>
      </c>
      <c r="X115" s="13">
        <f t="shared" si="164"/>
        <v>11437782</v>
      </c>
      <c r="Y115" s="13">
        <f t="shared" si="164"/>
        <v>-13911</v>
      </c>
      <c r="Z115" s="13">
        <f t="shared" si="164"/>
        <v>1928323</v>
      </c>
      <c r="AA115" s="13">
        <f t="shared" si="164"/>
        <v>4740825</v>
      </c>
      <c r="AB115" s="13">
        <f t="shared" si="164"/>
        <v>4740825</v>
      </c>
      <c r="AC115" s="13">
        <f t="shared" si="164"/>
        <v>8314611</v>
      </c>
      <c r="AD115" s="13">
        <f t="shared" si="164"/>
        <v>-4981</v>
      </c>
      <c r="AE115" s="13">
        <f t="shared" si="164"/>
        <v>-2619</v>
      </c>
      <c r="AF115" s="13">
        <f t="shared" si="164"/>
        <v>2108</v>
      </c>
      <c r="AG115" s="40"/>
      <c r="AH115" s="71">
        <f>SUM(AF115/AB115)-1</f>
        <v>-0.99955535165292964</v>
      </c>
    </row>
    <row r="116" spans="2:34" ht="5.0999999999999996" customHeight="1">
      <c r="B116" s="50"/>
      <c r="C116" s="59"/>
      <c r="D116" s="59"/>
      <c r="E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37"/>
    </row>
    <row r="117" spans="2:34" ht="12.75" customHeight="1">
      <c r="B117" s="138" t="s">
        <v>75</v>
      </c>
      <c r="C117" s="60"/>
      <c r="D117" s="60"/>
      <c r="E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61"/>
      <c r="AH117" s="37"/>
    </row>
    <row r="118" spans="2:34" ht="12.75" customHeight="1">
      <c r="B118" s="80" t="s">
        <v>174</v>
      </c>
      <c r="C118" s="79">
        <v>0</v>
      </c>
      <c r="D118" s="79">
        <v>-100000</v>
      </c>
      <c r="E118" s="79">
        <v>-158584</v>
      </c>
      <c r="G118" s="79">
        <v>-100000000</v>
      </c>
      <c r="H118" s="30">
        <v>-100000000</v>
      </c>
      <c r="I118" s="30">
        <v>-100000000</v>
      </c>
      <c r="J118" s="30">
        <f t="shared" ref="J118:J126" si="165">SUM(C118-SUM(G118:I118))</f>
        <v>300000000</v>
      </c>
      <c r="K118" s="79"/>
      <c r="L118" s="30" t="s">
        <v>150</v>
      </c>
      <c r="M118" s="30"/>
      <c r="N118" s="30">
        <f t="shared" ref="N118:N126" si="166">SUM(D118-SUM(K118:M118))</f>
        <v>-100000</v>
      </c>
      <c r="O118" s="79"/>
      <c r="P118" s="30"/>
      <c r="Q118" s="30"/>
      <c r="R118" s="30">
        <f t="shared" ref="R118:R126" si="167">SUM(E118-SUM(O118:Q118))</f>
        <v>-158584</v>
      </c>
      <c r="S118" s="79"/>
      <c r="T118" s="30"/>
      <c r="U118" s="30"/>
      <c r="V118" s="30"/>
      <c r="W118" s="30"/>
      <c r="X118" s="30"/>
      <c r="Y118" s="30"/>
      <c r="Z118" s="30"/>
      <c r="AA118" s="30"/>
      <c r="AB118" s="30">
        <f t="shared" ref="AB118:AB119" si="168">SUM(M118:P118)</f>
        <v>-100000</v>
      </c>
      <c r="AC118" s="30">
        <f t="shared" ref="AC118:AC119" si="169">SUM(N118:Q118)</f>
        <v>-100000</v>
      </c>
      <c r="AD118" s="30">
        <f t="shared" ref="AD118:AD119" si="170">SUM(O118:R118)</f>
        <v>-158584</v>
      </c>
      <c r="AE118" s="30">
        <f t="shared" ref="AE118:AE119" si="171">SUM(P118:S118)</f>
        <v>-158584</v>
      </c>
      <c r="AF118" s="30">
        <f t="shared" ref="AF118:AF119" si="172">SUM(Q118:T118)</f>
        <v>-158584</v>
      </c>
      <c r="AG118" s="61"/>
      <c r="AH118" s="70">
        <f t="shared" ref="AH118:AH119" si="173">SUM(AF118/AB118)-1</f>
        <v>0.58583999999999992</v>
      </c>
    </row>
    <row r="119" spans="2:34" ht="12.75" customHeight="1">
      <c r="B119" s="80" t="s">
        <v>175</v>
      </c>
      <c r="C119" s="79">
        <v>121144</v>
      </c>
      <c r="D119" s="79">
        <v>64645</v>
      </c>
      <c r="E119" s="79">
        <v>0</v>
      </c>
      <c r="F119" s="30"/>
      <c r="G119" s="79"/>
      <c r="H119" s="30"/>
      <c r="I119" s="30"/>
      <c r="J119" s="30">
        <f t="shared" si="165"/>
        <v>121144</v>
      </c>
      <c r="K119" s="79"/>
      <c r="L119" s="30"/>
      <c r="M119" s="30"/>
      <c r="N119" s="30">
        <f t="shared" si="166"/>
        <v>64645</v>
      </c>
      <c r="O119" s="79"/>
      <c r="P119" s="30"/>
      <c r="Q119" s="30"/>
      <c r="R119" s="30">
        <f t="shared" si="167"/>
        <v>0</v>
      </c>
      <c r="S119" s="79"/>
      <c r="T119" s="30"/>
      <c r="U119" s="30"/>
      <c r="V119" s="30"/>
      <c r="W119" s="30"/>
      <c r="X119" s="30"/>
      <c r="Y119" s="30"/>
      <c r="Z119" s="30"/>
      <c r="AA119" s="30"/>
      <c r="AB119" s="30">
        <f t="shared" si="168"/>
        <v>64645</v>
      </c>
      <c r="AC119" s="30">
        <f t="shared" si="169"/>
        <v>64645</v>
      </c>
      <c r="AD119" s="30">
        <f t="shared" si="170"/>
        <v>0</v>
      </c>
      <c r="AE119" s="30">
        <f t="shared" si="171"/>
        <v>0</v>
      </c>
      <c r="AF119" s="30">
        <f t="shared" si="172"/>
        <v>0</v>
      </c>
      <c r="AG119" s="61"/>
      <c r="AH119" s="70">
        <f t="shared" si="173"/>
        <v>-1</v>
      </c>
    </row>
    <row r="120" spans="2:34" ht="12.75" customHeight="1">
      <c r="B120" s="80" t="s">
        <v>176</v>
      </c>
      <c r="C120" s="79">
        <v>0</v>
      </c>
      <c r="D120" s="79">
        <v>-2000</v>
      </c>
      <c r="E120" s="79">
        <v>-11140</v>
      </c>
      <c r="F120" s="30"/>
      <c r="G120" s="79">
        <v>-2000000</v>
      </c>
      <c r="H120" s="30">
        <v>-2000000</v>
      </c>
      <c r="I120" s="30">
        <v>-2000000</v>
      </c>
      <c r="J120" s="30">
        <f t="shared" si="165"/>
        <v>6000000</v>
      </c>
      <c r="K120" s="79"/>
      <c r="L120" s="30" t="s">
        <v>150</v>
      </c>
      <c r="M120" s="30"/>
      <c r="N120" s="30">
        <f t="shared" si="166"/>
        <v>-2000</v>
      </c>
      <c r="O120" s="79"/>
      <c r="P120" s="30"/>
      <c r="Q120" s="30"/>
      <c r="R120" s="30">
        <f t="shared" si="167"/>
        <v>-11140</v>
      </c>
      <c r="S120" s="79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61"/>
      <c r="AH120" s="70"/>
    </row>
    <row r="121" spans="2:34" ht="12.75" customHeight="1">
      <c r="B121" s="80" t="s">
        <v>177</v>
      </c>
      <c r="C121" s="79">
        <v>0</v>
      </c>
      <c r="D121" s="79">
        <v>151750</v>
      </c>
      <c r="E121" s="79">
        <v>135000</v>
      </c>
      <c r="F121" s="30"/>
      <c r="G121" s="79">
        <v>151750000</v>
      </c>
      <c r="H121" s="30">
        <v>151750000</v>
      </c>
      <c r="I121" s="30">
        <v>151750000</v>
      </c>
      <c r="J121" s="30">
        <f t="shared" si="165"/>
        <v>-455250000</v>
      </c>
      <c r="K121" s="79"/>
      <c r="L121" s="30"/>
      <c r="M121" s="30"/>
      <c r="N121" s="30">
        <f t="shared" si="166"/>
        <v>151750</v>
      </c>
      <c r="O121" s="79"/>
      <c r="P121" s="30"/>
      <c r="Q121" s="30"/>
      <c r="R121" s="30">
        <f t="shared" si="167"/>
        <v>135000</v>
      </c>
      <c r="S121" s="79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61"/>
      <c r="AH121" s="70"/>
    </row>
    <row r="122" spans="2:34" ht="12.75" customHeight="1">
      <c r="B122" s="80" t="s">
        <v>178</v>
      </c>
      <c r="C122" s="79">
        <v>-62</v>
      </c>
      <c r="D122" s="79">
        <v>-2899</v>
      </c>
      <c r="E122" s="79">
        <v>-1415</v>
      </c>
      <c r="F122" s="30"/>
      <c r="G122" s="79">
        <v>-91367</v>
      </c>
      <c r="H122" s="30">
        <v>-401315</v>
      </c>
      <c r="I122" s="30">
        <v>-831297</v>
      </c>
      <c r="J122" s="30">
        <f t="shared" si="165"/>
        <v>1323917</v>
      </c>
      <c r="K122" s="79">
        <v>-640946</v>
      </c>
      <c r="L122" s="30">
        <v>-865912</v>
      </c>
      <c r="M122" s="30">
        <v>-1074550</v>
      </c>
      <c r="N122" s="30">
        <f t="shared" si="166"/>
        <v>2578509</v>
      </c>
      <c r="O122" s="79">
        <v>-2476</v>
      </c>
      <c r="P122" s="30">
        <v>-3169</v>
      </c>
      <c r="Q122" s="30"/>
      <c r="R122" s="30">
        <f t="shared" si="167"/>
        <v>4230</v>
      </c>
      <c r="S122" s="79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61"/>
      <c r="AH122" s="70"/>
    </row>
    <row r="123" spans="2:34" ht="12.75" customHeight="1">
      <c r="B123" s="80" t="s">
        <v>179</v>
      </c>
      <c r="C123" s="79">
        <v>-34</v>
      </c>
      <c r="D123" s="79">
        <v>-36</v>
      </c>
      <c r="E123" s="79">
        <v>-17</v>
      </c>
      <c r="F123" s="30"/>
      <c r="G123" s="79">
        <v>-8941</v>
      </c>
      <c r="H123" s="30">
        <v>-18034</v>
      </c>
      <c r="I123" s="30">
        <v>-27281</v>
      </c>
      <c r="J123" s="30">
        <f t="shared" si="165"/>
        <v>54222</v>
      </c>
      <c r="K123" s="79">
        <v>-9563</v>
      </c>
      <c r="L123" s="30">
        <v>-16028</v>
      </c>
      <c r="M123" s="30">
        <v>-16028</v>
      </c>
      <c r="N123" s="30">
        <f t="shared" si="166"/>
        <v>41583</v>
      </c>
      <c r="O123" s="79" t="s">
        <v>150</v>
      </c>
      <c r="P123" s="30" t="s">
        <v>150</v>
      </c>
      <c r="Q123" s="30"/>
      <c r="R123" s="30">
        <f t="shared" si="167"/>
        <v>-17</v>
      </c>
      <c r="S123" s="79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61"/>
      <c r="AH123" s="70"/>
    </row>
    <row r="124" spans="2:34" ht="12.75" customHeight="1">
      <c r="B124" s="80" t="s">
        <v>180</v>
      </c>
      <c r="C124" s="79">
        <v>0</v>
      </c>
      <c r="D124" s="79">
        <v>175</v>
      </c>
      <c r="E124" s="79">
        <v>1104</v>
      </c>
      <c r="F124" s="30"/>
      <c r="G124" s="79"/>
      <c r="H124" s="30">
        <v>0</v>
      </c>
      <c r="I124" s="30"/>
      <c r="J124" s="30">
        <f t="shared" si="165"/>
        <v>0</v>
      </c>
      <c r="K124" s="79"/>
      <c r="L124" s="30">
        <v>471546</v>
      </c>
      <c r="M124" s="30">
        <v>1095539</v>
      </c>
      <c r="N124" s="30">
        <f t="shared" si="166"/>
        <v>-1566910</v>
      </c>
      <c r="O124" s="79">
        <v>1029</v>
      </c>
      <c r="P124" s="30">
        <v>1360</v>
      </c>
      <c r="Q124" s="30"/>
      <c r="R124" s="30">
        <f t="shared" si="167"/>
        <v>-1285</v>
      </c>
      <c r="S124" s="79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61"/>
      <c r="AH124" s="70"/>
    </row>
    <row r="125" spans="2:34" ht="12.75" customHeight="1">
      <c r="B125" s="80" t="s">
        <v>181</v>
      </c>
      <c r="C125" s="79">
        <v>0</v>
      </c>
      <c r="D125" s="79">
        <v>0</v>
      </c>
      <c r="E125" s="79">
        <v>-1586</v>
      </c>
      <c r="F125" s="30"/>
      <c r="G125" s="79"/>
      <c r="H125" s="30"/>
      <c r="I125" s="30"/>
      <c r="J125" s="30">
        <f t="shared" si="165"/>
        <v>0</v>
      </c>
      <c r="K125" s="79"/>
      <c r="L125" s="30"/>
      <c r="M125" s="30"/>
      <c r="N125" s="30">
        <f t="shared" si="166"/>
        <v>0</v>
      </c>
      <c r="O125" s="79"/>
      <c r="P125" s="30"/>
      <c r="Q125" s="30"/>
      <c r="R125" s="30">
        <f t="shared" si="167"/>
        <v>-1586</v>
      </c>
      <c r="S125" s="79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61"/>
      <c r="AH125" s="70"/>
    </row>
    <row r="126" spans="2:34" ht="12.75" customHeight="1">
      <c r="B126" s="80" t="s">
        <v>182</v>
      </c>
      <c r="C126" s="79">
        <v>0</v>
      </c>
      <c r="D126" s="79">
        <v>-2783</v>
      </c>
      <c r="E126" s="79">
        <v>-2351</v>
      </c>
      <c r="F126" s="30"/>
      <c r="G126" s="79">
        <v>-2378366</v>
      </c>
      <c r="H126" s="30">
        <v>-2378366</v>
      </c>
      <c r="I126" s="30">
        <v>-2782928</v>
      </c>
      <c r="J126" s="30">
        <f t="shared" si="165"/>
        <v>7539660</v>
      </c>
      <c r="K126" s="79"/>
      <c r="L126" s="30" t="s">
        <v>150</v>
      </c>
      <c r="M126" s="30">
        <v>0</v>
      </c>
      <c r="N126" s="30">
        <f t="shared" si="166"/>
        <v>-2783</v>
      </c>
      <c r="O126" s="79">
        <v>0</v>
      </c>
      <c r="P126" s="30">
        <v>0</v>
      </c>
      <c r="Q126" s="30"/>
      <c r="R126" s="30">
        <f t="shared" si="167"/>
        <v>-2351</v>
      </c>
      <c r="S126" s="79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61"/>
      <c r="AH126" s="70"/>
    </row>
    <row r="127" spans="2:34" ht="12.75" customHeight="1">
      <c r="B127" s="12" t="s">
        <v>76</v>
      </c>
      <c r="C127" s="32">
        <f>SUM(C118:C126)</f>
        <v>121048</v>
      </c>
      <c r="D127" s="32">
        <f>SUM(D118:D126)</f>
        <v>108852</v>
      </c>
      <c r="E127" s="32">
        <f>SUM(E118:E126)</f>
        <v>-38989</v>
      </c>
      <c r="G127" s="32">
        <f>SUM(G118:G126)</f>
        <v>47271326</v>
      </c>
      <c r="H127" s="32">
        <f>SUM(H118:H126)</f>
        <v>46952285</v>
      </c>
      <c r="I127" s="32">
        <f>SUM(I118:I126)</f>
        <v>46108494</v>
      </c>
      <c r="J127" s="32">
        <f>SUM(J118:J126)</f>
        <v>-140211057</v>
      </c>
      <c r="K127" s="32">
        <f>SUM(K118:K126)</f>
        <v>-650509</v>
      </c>
      <c r="L127" s="32">
        <f>SUM(L118:L126)</f>
        <v>-410394</v>
      </c>
      <c r="M127" s="32">
        <f>SUM(M118:M126)</f>
        <v>4961</v>
      </c>
      <c r="N127" s="32">
        <f>SUM(N118:N126)</f>
        <v>1164794</v>
      </c>
      <c r="O127" s="32">
        <f>SUM(O118:O126)</f>
        <v>-1447</v>
      </c>
      <c r="P127" s="32">
        <f>SUM(P118:P126)</f>
        <v>-1809</v>
      </c>
      <c r="Q127" s="32">
        <f>SUM(Q118:Q126)</f>
        <v>0</v>
      </c>
      <c r="R127" s="32">
        <f>SUM(R118:R126)</f>
        <v>-35733</v>
      </c>
      <c r="S127" s="32">
        <f>SUM(S118:S126)</f>
        <v>0</v>
      </c>
      <c r="T127" s="32">
        <f>SUM(T118:T126)</f>
        <v>0</v>
      </c>
      <c r="U127" s="30"/>
      <c r="V127" s="32">
        <f>SUM(V118:V126)</f>
        <v>0</v>
      </c>
      <c r="W127" s="32">
        <f>SUM(W118:W126)</f>
        <v>0</v>
      </c>
      <c r="X127" s="32">
        <f>SUM(X118:X126)</f>
        <v>0</v>
      </c>
      <c r="Y127" s="32">
        <f>SUM(Y118:Y126)</f>
        <v>0</v>
      </c>
      <c r="Z127" s="32">
        <f>SUM(Z118:Z126)</f>
        <v>0</v>
      </c>
      <c r="AA127" s="32">
        <f>SUM(AA118:AA126)</f>
        <v>0</v>
      </c>
      <c r="AB127" s="32">
        <f>SUM(AB118:AB126)</f>
        <v>-35355</v>
      </c>
      <c r="AC127" s="32">
        <f>SUM(AC118:AC126)</f>
        <v>-35355</v>
      </c>
      <c r="AD127" s="32">
        <f>SUM(AD118:AD126)</f>
        <v>-158584</v>
      </c>
      <c r="AE127" s="32">
        <f>SUM(AE118:AE126)</f>
        <v>-158584</v>
      </c>
      <c r="AF127" s="32">
        <f>SUM(AF118:AF126)</f>
        <v>-158584</v>
      </c>
      <c r="AG127" s="40"/>
      <c r="AH127" s="71">
        <f>SUM(AF127/AB127)-1</f>
        <v>3.4854758874275209</v>
      </c>
    </row>
    <row r="128" spans="2:34" ht="5.0999999999999996" customHeight="1">
      <c r="B128" s="8"/>
      <c r="C128" s="62"/>
      <c r="D128" s="62"/>
      <c r="E128" s="62"/>
      <c r="F128" s="30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44"/>
    </row>
    <row r="129" spans="2:34" ht="5.0999999999999996" customHeight="1">
      <c r="B129" s="67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11"/>
      <c r="AH129" s="44"/>
    </row>
    <row r="130" spans="2:34">
      <c r="B130" s="129" t="s">
        <v>81</v>
      </c>
      <c r="C130" s="121"/>
      <c r="D130" s="121">
        <f t="shared" ref="D130:E130" si="174">C136</f>
        <v>-4832</v>
      </c>
      <c r="E130" s="121">
        <f t="shared" si="174"/>
        <v>30601</v>
      </c>
      <c r="F130" s="121"/>
      <c r="G130" s="121"/>
      <c r="H130" s="121">
        <f>G136</f>
        <v>43398677.142999999</v>
      </c>
      <c r="I130" s="121">
        <f t="shared" ref="I130:T130" si="175">H136</f>
        <v>83483610.236999989</v>
      </c>
      <c r="J130" s="121">
        <f t="shared" si="175"/>
        <v>120957879.73299998</v>
      </c>
      <c r="K130" s="121">
        <f t="shared" si="175"/>
        <v>911.99999998509884</v>
      </c>
      <c r="L130" s="121">
        <f t="shared" si="175"/>
        <v>-10534440.815000014</v>
      </c>
      <c r="M130" s="121">
        <f t="shared" si="175"/>
        <v>-21389942.522000015</v>
      </c>
      <c r="N130" s="121">
        <f t="shared" si="175"/>
        <v>-23157687.467000015</v>
      </c>
      <c r="O130" s="121">
        <f t="shared" si="175"/>
        <v>36344.999999985099</v>
      </c>
      <c r="P130" s="121">
        <f t="shared" si="175"/>
        <v>30352.999999985099</v>
      </c>
      <c r="Q130" s="121">
        <f t="shared" si="175"/>
        <v>49454.999999985099</v>
      </c>
      <c r="R130" s="121">
        <f t="shared" si="175"/>
        <v>49454.999999985099</v>
      </c>
      <c r="S130" s="121">
        <f t="shared" si="175"/>
        <v>-929.00000001490116</v>
      </c>
      <c r="T130" s="121">
        <f t="shared" si="175"/>
        <v>-929.00000001490116</v>
      </c>
      <c r="U130" s="121"/>
      <c r="V130" s="121">
        <f t="shared" ref="V130:AF130" si="176">G136</f>
        <v>43398677.142999999</v>
      </c>
      <c r="W130" s="121">
        <f t="shared" si="176"/>
        <v>83483610.236999989</v>
      </c>
      <c r="X130" s="121">
        <f t="shared" si="176"/>
        <v>120957879.73299998</v>
      </c>
      <c r="Y130" s="121">
        <f t="shared" si="176"/>
        <v>911.99999998509884</v>
      </c>
      <c r="Z130" s="121">
        <f t="shared" si="176"/>
        <v>-10534440.815000014</v>
      </c>
      <c r="AA130" s="121">
        <f t="shared" si="176"/>
        <v>-21389942.522000015</v>
      </c>
      <c r="AB130" s="121">
        <f t="shared" si="176"/>
        <v>-23157687.467000015</v>
      </c>
      <c r="AC130" s="121">
        <f t="shared" si="176"/>
        <v>36344.999999985099</v>
      </c>
      <c r="AD130" s="121">
        <f t="shared" si="176"/>
        <v>30352.999999985099</v>
      </c>
      <c r="AE130" s="121">
        <f t="shared" si="176"/>
        <v>49454.999999985099</v>
      </c>
      <c r="AF130" s="123">
        <f t="shared" si="176"/>
        <v>49454.999999985099</v>
      </c>
      <c r="AG130" s="11"/>
      <c r="AH130" s="44"/>
    </row>
    <row r="131" spans="2:34">
      <c r="B131" s="130" t="s">
        <v>110</v>
      </c>
      <c r="C131" s="30"/>
      <c r="D131" s="30">
        <v>0</v>
      </c>
      <c r="E131" s="30">
        <v>0</v>
      </c>
      <c r="F131" s="30"/>
      <c r="G131" s="30"/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/>
      <c r="V131" s="30">
        <f t="shared" ref="V131:AE131" si="177">SUM(H131:K131)</f>
        <v>0</v>
      </c>
      <c r="W131" s="30">
        <f t="shared" si="177"/>
        <v>0</v>
      </c>
      <c r="X131" s="30">
        <f t="shared" si="177"/>
        <v>0</v>
      </c>
      <c r="Y131" s="30">
        <f t="shared" si="177"/>
        <v>0</v>
      </c>
      <c r="Z131" s="30">
        <f t="shared" si="177"/>
        <v>0</v>
      </c>
      <c r="AA131" s="30">
        <f t="shared" si="177"/>
        <v>0</v>
      </c>
      <c r="AB131" s="30">
        <f t="shared" si="177"/>
        <v>0</v>
      </c>
      <c r="AC131" s="30">
        <f t="shared" si="177"/>
        <v>0</v>
      </c>
      <c r="AD131" s="30">
        <f t="shared" si="177"/>
        <v>0</v>
      </c>
      <c r="AE131" s="30">
        <f t="shared" si="177"/>
        <v>0</v>
      </c>
      <c r="AF131" s="124">
        <f>SUM(R131:T131)</f>
        <v>0</v>
      </c>
      <c r="AG131" s="11"/>
      <c r="AH131" s="44"/>
    </row>
    <row r="132" spans="2:34">
      <c r="B132" s="131" t="s">
        <v>95</v>
      </c>
      <c r="C132" s="83">
        <f t="shared" ref="C132:E132" si="178">SUM(C130:C131)</f>
        <v>0</v>
      </c>
      <c r="D132" s="83">
        <f t="shared" si="178"/>
        <v>-4832</v>
      </c>
      <c r="E132" s="83">
        <f t="shared" si="178"/>
        <v>30601</v>
      </c>
      <c r="F132" s="30"/>
      <c r="G132" s="83">
        <f t="shared" ref="G132:T132" si="179">SUM(G130:G131)</f>
        <v>0</v>
      </c>
      <c r="H132" s="83">
        <f t="shared" si="179"/>
        <v>43398677.142999999</v>
      </c>
      <c r="I132" s="83">
        <f t="shared" si="179"/>
        <v>83483610.236999989</v>
      </c>
      <c r="J132" s="83">
        <f t="shared" si="179"/>
        <v>120957879.73299998</v>
      </c>
      <c r="K132" s="83">
        <f t="shared" si="179"/>
        <v>911.99999998509884</v>
      </c>
      <c r="L132" s="83">
        <f t="shared" si="179"/>
        <v>-10534440.815000014</v>
      </c>
      <c r="M132" s="83">
        <f t="shared" si="179"/>
        <v>-21389942.522000015</v>
      </c>
      <c r="N132" s="83">
        <f t="shared" si="179"/>
        <v>-23157687.467000015</v>
      </c>
      <c r="O132" s="83">
        <f t="shared" si="179"/>
        <v>36344.999999985099</v>
      </c>
      <c r="P132" s="83">
        <f t="shared" si="179"/>
        <v>30352.999999985099</v>
      </c>
      <c r="Q132" s="83">
        <f t="shared" si="179"/>
        <v>49454.999999985099</v>
      </c>
      <c r="R132" s="83">
        <f t="shared" si="179"/>
        <v>49454.999999985099</v>
      </c>
      <c r="S132" s="83">
        <f t="shared" si="179"/>
        <v>-929.00000001490116</v>
      </c>
      <c r="T132" s="83">
        <f t="shared" si="179"/>
        <v>-929.00000001490116</v>
      </c>
      <c r="U132" s="30"/>
      <c r="V132" s="120">
        <f t="shared" ref="V132:AF132" si="180">SUM(V130:V131)</f>
        <v>43398677.142999999</v>
      </c>
      <c r="W132" s="120">
        <f t="shared" si="180"/>
        <v>83483610.236999989</v>
      </c>
      <c r="X132" s="120">
        <f t="shared" si="180"/>
        <v>120957879.73299998</v>
      </c>
      <c r="Y132" s="120">
        <f t="shared" si="180"/>
        <v>911.99999998509884</v>
      </c>
      <c r="Z132" s="120">
        <f t="shared" si="180"/>
        <v>-10534440.815000014</v>
      </c>
      <c r="AA132" s="120">
        <f t="shared" si="180"/>
        <v>-21389942.522000015</v>
      </c>
      <c r="AB132" s="120">
        <f t="shared" ref="AB132" si="181">SUM(AB130:AB131)</f>
        <v>-23157687.467000015</v>
      </c>
      <c r="AC132" s="120">
        <f t="shared" ref="AC132" si="182">SUM(AC130:AC131)</f>
        <v>36344.999999985099</v>
      </c>
      <c r="AD132" s="120">
        <f t="shared" ref="AD132" si="183">SUM(AD130:AD131)</f>
        <v>30352.999999985099</v>
      </c>
      <c r="AE132" s="120">
        <f t="shared" ref="AE132" si="184">SUM(AE130:AE131)</f>
        <v>49454.999999985099</v>
      </c>
      <c r="AF132" s="125">
        <f t="shared" si="180"/>
        <v>49454.999999985099</v>
      </c>
      <c r="AG132" s="11"/>
      <c r="AH132" s="44"/>
    </row>
    <row r="133" spans="2:34">
      <c r="B133" s="132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124"/>
      <c r="AG133" s="11"/>
      <c r="AH133" s="44"/>
    </row>
    <row r="134" spans="2:34">
      <c r="B134" s="130" t="s">
        <v>111</v>
      </c>
      <c r="C134" s="79"/>
      <c r="D134" s="79"/>
      <c r="E134" s="79"/>
      <c r="F134" s="30"/>
      <c r="G134" s="79"/>
      <c r="H134" s="79"/>
      <c r="I134" s="79"/>
      <c r="J134" s="30">
        <f>C134</f>
        <v>0</v>
      </c>
      <c r="K134" s="79"/>
      <c r="L134" s="79"/>
      <c r="M134" s="79"/>
      <c r="N134" s="30">
        <f>D134</f>
        <v>0</v>
      </c>
      <c r="O134" s="79"/>
      <c r="P134" s="79"/>
      <c r="Q134" s="79"/>
      <c r="R134" s="30">
        <f>E134</f>
        <v>0</v>
      </c>
      <c r="S134" s="79"/>
      <c r="T134" s="79"/>
      <c r="U134" s="30"/>
      <c r="V134" s="30">
        <f t="shared" ref="V134:AE135" si="185">SUM(H134:K134)</f>
        <v>0</v>
      </c>
      <c r="W134" s="30">
        <f t="shared" si="185"/>
        <v>0</v>
      </c>
      <c r="X134" s="30">
        <f t="shared" si="185"/>
        <v>0</v>
      </c>
      <c r="Y134" s="30">
        <f t="shared" si="185"/>
        <v>0</v>
      </c>
      <c r="Z134" s="30">
        <f t="shared" si="185"/>
        <v>0</v>
      </c>
      <c r="AA134" s="30">
        <f t="shared" si="185"/>
        <v>0</v>
      </c>
      <c r="AB134" s="30">
        <f t="shared" si="185"/>
        <v>0</v>
      </c>
      <c r="AC134" s="30">
        <f t="shared" si="185"/>
        <v>0</v>
      </c>
      <c r="AD134" s="30">
        <f t="shared" si="185"/>
        <v>0</v>
      </c>
      <c r="AE134" s="30">
        <f t="shared" si="185"/>
        <v>0</v>
      </c>
      <c r="AF134" s="124">
        <f>SUM(R134:T134)</f>
        <v>0</v>
      </c>
      <c r="AG134" s="11"/>
      <c r="AH134" s="44"/>
    </row>
    <row r="135" spans="2:34">
      <c r="B135" s="132" t="s">
        <v>80</v>
      </c>
      <c r="C135" s="30">
        <f>+C127+C115+C110</f>
        <v>-4832</v>
      </c>
      <c r="D135" s="30">
        <f>+D127+D115+D110</f>
        <v>35433</v>
      </c>
      <c r="E135" s="30">
        <f>+E127+E115+E110</f>
        <v>-35170</v>
      </c>
      <c r="F135" s="30"/>
      <c r="G135" s="30">
        <f>+G127+G115+G110</f>
        <v>43398677.142999999</v>
      </c>
      <c r="H135" s="30">
        <f>+H127+H115+H110</f>
        <v>40084933.093999997</v>
      </c>
      <c r="I135" s="30">
        <f>+I127+I115+I110</f>
        <v>37474269.495999999</v>
      </c>
      <c r="J135" s="30">
        <f>+J127+J115+J110</f>
        <v>-120956967.733</v>
      </c>
      <c r="K135" s="30">
        <f>+K127+K115+K110</f>
        <v>-10535352.814999999</v>
      </c>
      <c r="L135" s="30">
        <f>+L127+L115+L110</f>
        <v>-10855501.707</v>
      </c>
      <c r="M135" s="30">
        <f>+M127+M115+M110</f>
        <v>-1767744.9450000003</v>
      </c>
      <c r="N135" s="30">
        <f>+N127+N115+N110</f>
        <v>23194032.467</v>
      </c>
      <c r="O135" s="30">
        <f>+O127+O115+O110</f>
        <v>-5992</v>
      </c>
      <c r="P135" s="30">
        <f>+P127+P115+P110</f>
        <v>19102</v>
      </c>
      <c r="Q135" s="30">
        <f>+Q127+Q115+Q110</f>
        <v>0</v>
      </c>
      <c r="R135" s="30">
        <f>+R127+R115+R110</f>
        <v>-50384</v>
      </c>
      <c r="S135" s="30">
        <f>+S127+S115+S110</f>
        <v>0</v>
      </c>
      <c r="T135" s="30">
        <f>+T127+T115+T110</f>
        <v>0</v>
      </c>
      <c r="U135" s="30"/>
      <c r="V135" s="30">
        <f t="shared" si="185"/>
        <v>-53933117.957999989</v>
      </c>
      <c r="W135" s="30">
        <f t="shared" si="185"/>
        <v>-104873552.75899999</v>
      </c>
      <c r="X135" s="30">
        <f t="shared" si="185"/>
        <v>-144115567.19999999</v>
      </c>
      <c r="Y135" s="30">
        <f t="shared" si="185"/>
        <v>35433</v>
      </c>
      <c r="Z135" s="30">
        <f t="shared" si="185"/>
        <v>10564793.814999999</v>
      </c>
      <c r="AA135" s="30">
        <f t="shared" si="185"/>
        <v>21439397.522</v>
      </c>
      <c r="AB135" s="30">
        <f t="shared" si="185"/>
        <v>23207142.467</v>
      </c>
      <c r="AC135" s="30">
        <f t="shared" si="185"/>
        <v>-37274</v>
      </c>
      <c r="AD135" s="30">
        <f t="shared" si="185"/>
        <v>-31282</v>
      </c>
      <c r="AE135" s="30">
        <f t="shared" si="185"/>
        <v>-50384</v>
      </c>
      <c r="AF135" s="124">
        <f>SUM(R135:T135)</f>
        <v>-50384</v>
      </c>
      <c r="AG135" s="11"/>
      <c r="AH135" s="44"/>
    </row>
    <row r="136" spans="2:34">
      <c r="B136" s="131" t="s">
        <v>96</v>
      </c>
      <c r="C136" s="83">
        <f t="shared" ref="C136:E136" si="186">SUM(C132:C135)</f>
        <v>-4832</v>
      </c>
      <c r="D136" s="83">
        <f t="shared" si="186"/>
        <v>30601</v>
      </c>
      <c r="E136" s="83">
        <f t="shared" si="186"/>
        <v>-4569</v>
      </c>
      <c r="F136" s="30"/>
      <c r="G136" s="82">
        <f t="shared" ref="G136:T136" si="187">SUM(G132:G135)</f>
        <v>43398677.142999999</v>
      </c>
      <c r="H136" s="82">
        <f t="shared" si="187"/>
        <v>83483610.236999989</v>
      </c>
      <c r="I136" s="82">
        <f t="shared" si="187"/>
        <v>120957879.73299998</v>
      </c>
      <c r="J136" s="82">
        <f t="shared" si="187"/>
        <v>911.99999998509884</v>
      </c>
      <c r="K136" s="82">
        <f t="shared" si="187"/>
        <v>-10534440.815000014</v>
      </c>
      <c r="L136" s="82">
        <f t="shared" si="187"/>
        <v>-21389942.522000015</v>
      </c>
      <c r="M136" s="82">
        <f t="shared" si="187"/>
        <v>-23157687.467000015</v>
      </c>
      <c r="N136" s="82">
        <f t="shared" si="187"/>
        <v>36344.999999985099</v>
      </c>
      <c r="O136" s="82">
        <f t="shared" si="187"/>
        <v>30352.999999985099</v>
      </c>
      <c r="P136" s="82">
        <f t="shared" si="187"/>
        <v>49454.999999985099</v>
      </c>
      <c r="Q136" s="82">
        <f t="shared" si="187"/>
        <v>49454.999999985099</v>
      </c>
      <c r="R136" s="82">
        <f t="shared" si="187"/>
        <v>-929.00000001490116</v>
      </c>
      <c r="S136" s="82">
        <f t="shared" si="187"/>
        <v>-929.00000001490116</v>
      </c>
      <c r="T136" s="82">
        <f t="shared" si="187"/>
        <v>-929.00000001490116</v>
      </c>
      <c r="U136" s="30"/>
      <c r="V136" s="82">
        <f t="shared" ref="V136:AF136" si="188">SUM(V132:V135)</f>
        <v>-10534440.81499999</v>
      </c>
      <c r="W136" s="82">
        <f t="shared" si="188"/>
        <v>-21389942.522</v>
      </c>
      <c r="X136" s="82">
        <f t="shared" si="188"/>
        <v>-23157687.467000008</v>
      </c>
      <c r="Y136" s="82">
        <f t="shared" si="188"/>
        <v>36344.999999985099</v>
      </c>
      <c r="Z136" s="82">
        <f t="shared" si="188"/>
        <v>30352.999999985099</v>
      </c>
      <c r="AA136" s="82">
        <f t="shared" si="188"/>
        <v>49454.999999985099</v>
      </c>
      <c r="AB136" s="82">
        <f t="shared" si="188"/>
        <v>49454.999999985099</v>
      </c>
      <c r="AC136" s="82">
        <f t="shared" si="188"/>
        <v>-929.00000001490116</v>
      </c>
      <c r="AD136" s="82">
        <f t="shared" si="188"/>
        <v>-929.00000001490116</v>
      </c>
      <c r="AE136" s="82">
        <f t="shared" si="188"/>
        <v>-929.00000001490116</v>
      </c>
      <c r="AF136" s="126">
        <f t="shared" si="188"/>
        <v>-929.00000001490116</v>
      </c>
      <c r="AG136" s="11"/>
      <c r="AH136" s="44"/>
    </row>
    <row r="137" spans="2:34" ht="5.0999999999999996" customHeight="1">
      <c r="B137" s="133"/>
      <c r="C137" s="62"/>
      <c r="D137" s="62"/>
      <c r="E137" s="62"/>
      <c r="F137" s="30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22"/>
      <c r="AG137" s="11"/>
      <c r="AH137" s="44"/>
    </row>
    <row r="138" spans="2:34">
      <c r="B138" s="134" t="s">
        <v>79</v>
      </c>
      <c r="C138" s="127">
        <f>C136-C46</f>
        <v>-4832</v>
      </c>
      <c r="D138" s="127">
        <f>D136-D46</f>
        <v>-55921</v>
      </c>
      <c r="E138" s="127">
        <f>E136-E46</f>
        <v>-55921</v>
      </c>
      <c r="F138" s="128"/>
      <c r="G138" s="127">
        <f>G136-G46</f>
        <v>43329172.196999997</v>
      </c>
      <c r="H138" s="127">
        <f>H136-H46</f>
        <v>83431195.183999985</v>
      </c>
      <c r="I138" s="127">
        <f>I136-I46</f>
        <v>120922973.71299998</v>
      </c>
      <c r="J138" s="127">
        <f>J136-J46</f>
        <v>-85610.000000014901</v>
      </c>
      <c r="K138" s="127">
        <f>K136-K46</f>
        <v>-10603644.978000015</v>
      </c>
      <c r="L138" s="127">
        <f>L136-L46</f>
        <v>-21452455.411000013</v>
      </c>
      <c r="M138" s="127">
        <f>M136-M46</f>
        <v>-23231844.232000016</v>
      </c>
      <c r="N138" s="127">
        <f>N136-N46</f>
        <v>-15007.000000014901</v>
      </c>
      <c r="O138" s="127">
        <f>O136-O46</f>
        <v>-14972.000000014901</v>
      </c>
      <c r="P138" s="127">
        <f>P136-P46</f>
        <v>-38789.000000014901</v>
      </c>
      <c r="Q138" s="127">
        <f>Q136-Q46</f>
        <v>49454.999999985099</v>
      </c>
      <c r="R138" s="127">
        <f>R136-R46</f>
        <v>-52281.000000014901</v>
      </c>
      <c r="S138" s="127">
        <f>S136-S46</f>
        <v>-929.00000001490116</v>
      </c>
      <c r="T138" s="127">
        <f>T136-T46</f>
        <v>-929.00000001490116</v>
      </c>
      <c r="U138" s="127"/>
      <c r="V138" s="127">
        <f>V136-V46</f>
        <v>-10620962.81499999</v>
      </c>
      <c r="W138" s="127">
        <f>W136-W46</f>
        <v>-21459146.684999999</v>
      </c>
      <c r="X138" s="127">
        <f>X136-X46</f>
        <v>-23220200.356000006</v>
      </c>
      <c r="Y138" s="127">
        <f>Y136-Y46</f>
        <v>-37811.765000014901</v>
      </c>
      <c r="Z138" s="127">
        <f>Z136-Z46</f>
        <v>-20999.000000014901</v>
      </c>
      <c r="AA138" s="127">
        <f>AA136-AA46</f>
        <v>4129.9999999850988</v>
      </c>
      <c r="AB138" s="127">
        <f>AB136-AB46</f>
        <v>-38789.000000014901</v>
      </c>
      <c r="AC138" s="127">
        <f>AC136-AC46</f>
        <v>-929.00000001490116</v>
      </c>
      <c r="AD138" s="127">
        <f>AD136-AD46</f>
        <v>-52281.000000014901</v>
      </c>
      <c r="AE138" s="127">
        <f>AE136-AE46</f>
        <v>-929.00000001490116</v>
      </c>
      <c r="AF138" s="127">
        <f>AF136-AF46</f>
        <v>-929.00000001490116</v>
      </c>
      <c r="AG138" s="11"/>
      <c r="AH138" s="44"/>
    </row>
    <row r="139" spans="2:34" ht="5.0999999999999996" customHeight="1">
      <c r="B139" s="8"/>
      <c r="C139" s="62"/>
      <c r="D139" s="62"/>
      <c r="E139" s="62"/>
      <c r="F139" s="30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44"/>
    </row>
    <row r="140" spans="2:34">
      <c r="B140" s="8"/>
      <c r="C140" s="62"/>
      <c r="D140" s="62"/>
      <c r="E140" s="62"/>
      <c r="F140" s="30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44"/>
    </row>
    <row r="141" spans="2:34">
      <c r="B141" s="138" t="s">
        <v>142</v>
      </c>
      <c r="C141" s="62"/>
      <c r="D141" s="62"/>
      <c r="E141" s="62"/>
      <c r="F141" s="30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44"/>
    </row>
    <row r="142" spans="2:34">
      <c r="B142" s="80" t="s">
        <v>94</v>
      </c>
      <c r="C142" s="62"/>
      <c r="D142" s="62"/>
      <c r="E142" s="62"/>
      <c r="F142" s="30"/>
      <c r="G142" s="79"/>
      <c r="H142" s="30"/>
      <c r="I142" s="30"/>
      <c r="J142" s="30">
        <f t="shared" ref="J142" si="189">SUM(C142-SUM(G142:I142))</f>
        <v>0</v>
      </c>
      <c r="K142" s="79"/>
      <c r="L142" s="30"/>
      <c r="M142" s="30"/>
      <c r="N142" s="30">
        <f t="shared" ref="N142" si="190">SUM(D142-SUM(K142:M142))</f>
        <v>0</v>
      </c>
      <c r="O142" s="79"/>
      <c r="P142" s="30"/>
      <c r="Q142" s="30"/>
      <c r="R142" s="30">
        <f t="shared" ref="R142" si="191">SUM(E142-SUM(O142:Q142))</f>
        <v>0</v>
      </c>
      <c r="S142" s="79"/>
      <c r="T142" s="30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44"/>
    </row>
    <row r="143" spans="2:34" ht="5.0999999999999996" customHeight="1" thickBot="1">
      <c r="B143" s="68"/>
      <c r="C143" s="69"/>
      <c r="D143" s="69"/>
      <c r="E143" s="69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68"/>
      <c r="AF143" s="68"/>
      <c r="AH143" s="44"/>
    </row>
    <row r="144" spans="2:34" ht="12.75" customHeight="1">
      <c r="B144" s="140" t="s">
        <v>124</v>
      </c>
      <c r="C144" s="140"/>
      <c r="D144" s="140"/>
      <c r="E144" s="140"/>
      <c r="F144" s="140"/>
      <c r="G144" s="140"/>
      <c r="H144" s="140"/>
      <c r="I144" s="140"/>
      <c r="J144" s="140"/>
      <c r="K144" s="140"/>
      <c r="L144" s="140"/>
      <c r="M144" s="140"/>
      <c r="N144" s="140"/>
      <c r="O144" s="140"/>
      <c r="P144" s="140"/>
      <c r="Q144" s="140"/>
      <c r="R144" s="140"/>
      <c r="S144" s="140"/>
      <c r="T144" s="140"/>
      <c r="U144" s="140"/>
      <c r="V144" s="140"/>
      <c r="W144" s="140"/>
      <c r="X144" s="140"/>
      <c r="Y144" s="140"/>
      <c r="Z144" s="140"/>
      <c r="AA144" s="140"/>
      <c r="AB144" s="140"/>
      <c r="AC144" s="140"/>
      <c r="AD144" s="140"/>
      <c r="AE144" s="140"/>
      <c r="AF144" s="140"/>
      <c r="AH144" s="44"/>
    </row>
    <row r="145" spans="2:32" ht="12.75" customHeight="1">
      <c r="B145" s="139" t="s">
        <v>125</v>
      </c>
      <c r="C145" s="139"/>
      <c r="D145" s="139"/>
      <c r="E145" s="139"/>
      <c r="F145" s="139"/>
      <c r="G145" s="139"/>
      <c r="H145" s="139"/>
      <c r="I145" s="139"/>
      <c r="J145" s="139"/>
      <c r="K145" s="139"/>
      <c r="L145" s="139"/>
      <c r="M145" s="139"/>
      <c r="N145" s="139"/>
      <c r="O145" s="139"/>
      <c r="P145" s="139"/>
      <c r="Q145" s="139"/>
      <c r="R145" s="139"/>
      <c r="S145" s="139"/>
      <c r="T145" s="139"/>
      <c r="U145" s="139"/>
      <c r="V145" s="139"/>
      <c r="W145" s="139"/>
      <c r="X145" s="139"/>
      <c r="Y145" s="139"/>
      <c r="Z145" s="139"/>
      <c r="AA145" s="139"/>
      <c r="AB145" s="139"/>
      <c r="AC145" s="139"/>
      <c r="AD145" s="139"/>
      <c r="AE145" s="139"/>
      <c r="AF145" s="139"/>
    </row>
    <row r="146" spans="2:32" ht="12.75" customHeight="1">
      <c r="C146" s="54"/>
      <c r="D146" s="54"/>
      <c r="E146" s="54"/>
    </row>
    <row r="147" spans="2:32" ht="12.75" customHeight="1">
      <c r="C147" s="54"/>
      <c r="D147" s="54"/>
      <c r="E147" s="54"/>
    </row>
    <row r="148" spans="2:32" ht="12.75" customHeight="1">
      <c r="C148" s="54"/>
      <c r="D148" s="54"/>
      <c r="E148" s="54"/>
    </row>
    <row r="149" spans="2:32" ht="12.75" customHeight="1">
      <c r="C149" s="54"/>
      <c r="D149" s="54"/>
      <c r="E149" s="54"/>
    </row>
    <row r="150" spans="2:32" ht="12.75" customHeight="1">
      <c r="C150" s="54"/>
      <c r="D150" s="54"/>
      <c r="E150" s="5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</row>
    <row r="151" spans="2:32" ht="12.75" customHeight="1">
      <c r="C151" s="54"/>
      <c r="D151" s="54"/>
      <c r="E151" s="54"/>
    </row>
    <row r="152" spans="2:32" ht="12.75" customHeight="1">
      <c r="C152" s="54"/>
      <c r="D152" s="54"/>
      <c r="E152" s="5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</row>
    <row r="153" spans="2:32"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</row>
    <row r="154" spans="2:32"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</row>
    <row r="156" spans="2:32"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</row>
    <row r="157" spans="2:32"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</row>
  </sheetData>
  <mergeCells count="6">
    <mergeCell ref="B145:AF145"/>
    <mergeCell ref="B144:AF144"/>
    <mergeCell ref="AH6:AH8"/>
    <mergeCell ref="AH41:AH43"/>
    <mergeCell ref="AH86:AH88"/>
    <mergeCell ref="B84:AH84"/>
  </mergeCells>
  <dataValidations disablePrompts="1" count="1">
    <dataValidation type="list" allowBlank="1" showInputMessage="1" showErrorMessage="1" sqref="B4" xr:uid="{95A5AB56-0215-4703-953B-CB353CAB6883}">
      <formula1>"$ bns except per share, $ mm except per share,$ in thousands except per share"</formula1>
    </dataValidation>
  </dataValidations>
  <pageMargins left="0.7" right="0.7" top="0.75" bottom="0.75" header="0.3" footer="0.3"/>
  <ignoredErrors>
    <ignoredError sqref="AF14:AF16 AF33 F50" formulaRange="1"/>
    <ignoredError sqref="AH115:AH117 AH110:AH112" evalError="1"/>
    <ignoredError sqref="O92:T93 S91:T91 O91:Q91 N91 R9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77D2-8829-42BE-A7B1-460B1A987ED3}">
  <sheetPr>
    <tabColor rgb="FFC00000"/>
  </sheetPr>
  <dimension ref="A2:AE16"/>
  <sheetViews>
    <sheetView showGridLines="0" zoomScaleNormal="100" workbookViewId="0">
      <selection activeCell="S21" sqref="S21"/>
    </sheetView>
  </sheetViews>
  <sheetFormatPr defaultRowHeight="12" outlineLevelCol="1"/>
  <cols>
    <col min="1" max="1" width="1.5" style="8" customWidth="1"/>
    <col min="2" max="2" width="46.5" style="8" bestFit="1" customWidth="1"/>
    <col min="3" max="5" width="8.625" style="8" bestFit="1" customWidth="1"/>
    <col min="6" max="6" width="1.5" style="8" customWidth="1"/>
    <col min="7" max="9" width="7.875" style="8" customWidth="1" outlineLevel="1"/>
    <col min="10" max="10" width="8.75" style="8" customWidth="1" outlineLevel="1"/>
    <col min="11" max="13" width="8" style="8" customWidth="1" outlineLevel="1"/>
    <col min="14" max="14" width="8.75" style="8" customWidth="1" outlineLevel="1"/>
    <col min="15" max="15" width="8.5" style="8" customWidth="1" outlineLevel="1"/>
    <col min="16" max="16" width="8.25" style="8" bestFit="1" customWidth="1"/>
    <col min="17" max="17" width="8.5" style="8" bestFit="1" customWidth="1"/>
    <col min="18" max="20" width="9.125" style="8" bestFit="1" customWidth="1"/>
    <col min="21" max="21" width="1.5" style="8" customWidth="1"/>
    <col min="22" max="27" width="8.75" style="8" hidden="1" customWidth="1" outlineLevel="1"/>
    <col min="28" max="30" width="8.75" style="8" customWidth="1" outlineLevel="1"/>
    <col min="31" max="31" width="8.75" style="8" bestFit="1" customWidth="1"/>
    <col min="32" max="16384" width="9" style="8"/>
  </cols>
  <sheetData>
    <row r="2" spans="1:31" s="5" customFormat="1" ht="12.75" customHeight="1">
      <c r="B2" s="1" t="s">
        <v>146</v>
      </c>
      <c r="C2" s="2"/>
      <c r="D2" s="2"/>
      <c r="E2" s="2"/>
      <c r="F2" s="3"/>
      <c r="G2" s="2" t="s">
        <v>1</v>
      </c>
      <c r="H2" s="2"/>
      <c r="I2" s="2"/>
      <c r="J2" s="2"/>
      <c r="K2" s="2"/>
      <c r="L2" s="2"/>
      <c r="M2" s="2"/>
      <c r="N2" s="2"/>
      <c r="O2" s="2" t="s">
        <v>1</v>
      </c>
      <c r="P2" s="2" t="s">
        <v>1</v>
      </c>
      <c r="Q2" s="2"/>
      <c r="R2" s="2"/>
      <c r="S2" s="2"/>
      <c r="T2" s="2"/>
      <c r="U2" s="3"/>
      <c r="V2" s="2" t="s">
        <v>10</v>
      </c>
      <c r="W2" s="2"/>
      <c r="X2" s="2"/>
      <c r="Y2" s="2"/>
      <c r="Z2" s="2" t="s">
        <v>10</v>
      </c>
      <c r="AA2" s="2"/>
      <c r="AB2" s="2" t="s">
        <v>10</v>
      </c>
      <c r="AC2" s="2"/>
      <c r="AD2" s="2"/>
      <c r="AE2" s="2"/>
    </row>
    <row r="3" spans="1:31" s="5" customFormat="1" ht="12.75" customHeight="1">
      <c r="B3" s="6" t="s">
        <v>87</v>
      </c>
      <c r="C3" s="7">
        <f>'Historical Financials'!C7</f>
        <v>2021</v>
      </c>
      <c r="D3" s="7">
        <f>'Historical Financials'!D7</f>
        <v>2022</v>
      </c>
      <c r="E3" s="7">
        <f>'Historical Financials'!E7</f>
        <v>2023</v>
      </c>
      <c r="F3" s="3"/>
      <c r="G3" s="7" t="str">
        <f>'Historical Financials'!G7</f>
        <v>1Q22</v>
      </c>
      <c r="H3" s="7" t="str">
        <f>'Historical Financials'!H7</f>
        <v>2Q22</v>
      </c>
      <c r="I3" s="7" t="str">
        <f>'Historical Financials'!I7</f>
        <v>3Q22</v>
      </c>
      <c r="J3" s="7" t="str">
        <f>'Historical Financials'!J7</f>
        <v>4Q22</v>
      </c>
      <c r="K3" s="7" t="str">
        <f>'Historical Financials'!K7</f>
        <v>1Q23</v>
      </c>
      <c r="L3" s="7" t="str">
        <f>'Historical Financials'!L7</f>
        <v>2Q23</v>
      </c>
      <c r="M3" s="7" t="str">
        <f>'Historical Financials'!M7</f>
        <v>3Q23</v>
      </c>
      <c r="N3" s="7" t="str">
        <f>'Historical Financials'!N7</f>
        <v>4Q23</v>
      </c>
      <c r="O3" s="7" t="str">
        <f>'Historical Financials'!O7</f>
        <v>1Q24</v>
      </c>
      <c r="P3" s="7" t="str">
        <f>'Historical Financials'!P7</f>
        <v>2Q24</v>
      </c>
      <c r="Q3" s="7" t="str">
        <f>'Historical Financials'!Q7</f>
        <v>3Q24</v>
      </c>
      <c r="R3" s="7" t="str">
        <f>'Historical Financials'!R7</f>
        <v>4Q24</v>
      </c>
      <c r="S3" s="7" t="str">
        <f>'Historical Financials'!S7</f>
        <v>1Q25</v>
      </c>
      <c r="T3" s="7" t="str">
        <f>'Historical Financials'!T7</f>
        <v>2Q25</v>
      </c>
      <c r="U3" s="4"/>
      <c r="V3" s="4" t="str">
        <f t="shared" ref="V3:AA4" si="0">K3</f>
        <v>1Q23</v>
      </c>
      <c r="W3" s="4" t="str">
        <f t="shared" si="0"/>
        <v>2Q23</v>
      </c>
      <c r="X3" s="4" t="str">
        <f t="shared" si="0"/>
        <v>3Q23</v>
      </c>
      <c r="Y3" s="4" t="str">
        <f t="shared" si="0"/>
        <v>4Q23</v>
      </c>
      <c r="Z3" s="4" t="str">
        <f t="shared" si="0"/>
        <v>1Q24</v>
      </c>
      <c r="AA3" s="4" t="str">
        <f t="shared" si="0"/>
        <v>2Q24</v>
      </c>
      <c r="AB3" s="4" t="str">
        <f t="shared" ref="AB3:AD4" si="1">R3</f>
        <v>4Q24</v>
      </c>
      <c r="AC3" s="4" t="str">
        <f t="shared" si="1"/>
        <v>1Q25</v>
      </c>
      <c r="AD3" s="4" t="str">
        <f t="shared" si="1"/>
        <v>2Q25</v>
      </c>
      <c r="AE3" s="4" t="e">
        <f>#REF!</f>
        <v>#REF!</v>
      </c>
    </row>
    <row r="4" spans="1:31" s="5" customFormat="1" ht="12.75" customHeight="1">
      <c r="B4" s="6" t="s">
        <v>139</v>
      </c>
      <c r="C4" s="3">
        <f>'Historical Financials'!C8</f>
        <v>44561</v>
      </c>
      <c r="D4" s="3">
        <f>'Historical Financials'!D8</f>
        <v>44926</v>
      </c>
      <c r="E4" s="3">
        <f>'Historical Financials'!E8</f>
        <v>45291</v>
      </c>
      <c r="F4" s="3"/>
      <c r="G4" s="3">
        <f>'Historical Financials'!G8</f>
        <v>44651</v>
      </c>
      <c r="H4" s="3">
        <f>'Historical Financials'!H8</f>
        <v>44742</v>
      </c>
      <c r="I4" s="3">
        <f>'Historical Financials'!I8</f>
        <v>44834</v>
      </c>
      <c r="J4" s="3">
        <f>'Historical Financials'!J8</f>
        <v>44926</v>
      </c>
      <c r="K4" s="3">
        <f>'Historical Financials'!K8</f>
        <v>45016</v>
      </c>
      <c r="L4" s="3">
        <f>'Historical Financials'!L8</f>
        <v>45107</v>
      </c>
      <c r="M4" s="3">
        <f>'Historical Financials'!M8</f>
        <v>45199</v>
      </c>
      <c r="N4" s="3">
        <f>'Historical Financials'!N8</f>
        <v>45291</v>
      </c>
      <c r="O4" s="3">
        <f>'Historical Financials'!O8</f>
        <v>45382</v>
      </c>
      <c r="P4" s="3">
        <f>'Historical Financials'!P8</f>
        <v>45473</v>
      </c>
      <c r="Q4" s="3">
        <f>'Historical Financials'!Q8</f>
        <v>45565</v>
      </c>
      <c r="R4" s="3">
        <f>'Historical Financials'!R8</f>
        <v>45657</v>
      </c>
      <c r="S4" s="3">
        <f>'Historical Financials'!S8</f>
        <v>45747</v>
      </c>
      <c r="T4" s="3">
        <f>'Historical Financials'!T8</f>
        <v>45838</v>
      </c>
      <c r="U4" s="3"/>
      <c r="V4" s="3">
        <f t="shared" si="0"/>
        <v>45016</v>
      </c>
      <c r="W4" s="3">
        <f t="shared" si="0"/>
        <v>45107</v>
      </c>
      <c r="X4" s="3">
        <f t="shared" si="0"/>
        <v>45199</v>
      </c>
      <c r="Y4" s="3">
        <f t="shared" si="0"/>
        <v>45291</v>
      </c>
      <c r="Z4" s="3">
        <f t="shared" si="0"/>
        <v>45382</v>
      </c>
      <c r="AA4" s="3">
        <f t="shared" si="0"/>
        <v>45473</v>
      </c>
      <c r="AB4" s="3">
        <f t="shared" si="1"/>
        <v>45657</v>
      </c>
      <c r="AC4" s="3">
        <f t="shared" si="1"/>
        <v>45747</v>
      </c>
      <c r="AD4" s="3">
        <f t="shared" si="1"/>
        <v>45838</v>
      </c>
      <c r="AE4" s="3" t="e">
        <f>#REF!</f>
        <v>#REF!</v>
      </c>
    </row>
    <row r="5" spans="1:31" ht="5.0999999999999996" customHeight="1"/>
    <row r="6" spans="1:31" ht="12.75" customHeight="1">
      <c r="A6" s="77" t="s">
        <v>20</v>
      </c>
      <c r="B6" s="74" t="s">
        <v>113</v>
      </c>
      <c r="C6" s="10"/>
      <c r="D6" s="10"/>
      <c r="E6" s="10"/>
      <c r="F6" s="10"/>
      <c r="G6" s="86"/>
      <c r="H6" s="86"/>
      <c r="I6" s="86"/>
      <c r="J6" s="30"/>
      <c r="K6" s="86"/>
      <c r="L6" s="86"/>
      <c r="M6" s="86"/>
      <c r="N6" s="30"/>
      <c r="O6" s="86"/>
      <c r="P6" s="86"/>
      <c r="Q6" s="86"/>
      <c r="R6" s="30"/>
      <c r="S6" s="86"/>
      <c r="T6" s="86"/>
      <c r="U6" s="5"/>
      <c r="V6" s="11"/>
      <c r="W6" s="11"/>
      <c r="X6" s="11"/>
      <c r="Y6" s="11"/>
      <c r="Z6" s="11"/>
      <c r="AA6" s="11"/>
      <c r="AB6" s="11"/>
      <c r="AC6" s="11"/>
      <c r="AD6" s="11"/>
    </row>
    <row r="7" spans="1:31" ht="12.75" customHeight="1">
      <c r="B7" s="9"/>
      <c r="C7" s="78"/>
      <c r="D7" s="78"/>
      <c r="E7" s="78"/>
      <c r="F7" s="78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30"/>
      <c r="S7" s="86"/>
      <c r="T7" s="86"/>
      <c r="U7" s="30"/>
      <c r="V7" s="30">
        <f t="shared" ref="V7:AA8" si="2">SUM(H7:K7)</f>
        <v>0</v>
      </c>
      <c r="W7" s="30">
        <f t="shared" si="2"/>
        <v>0</v>
      </c>
      <c r="X7" s="30">
        <f t="shared" si="2"/>
        <v>0</v>
      </c>
      <c r="Y7" s="30">
        <f t="shared" si="2"/>
        <v>0</v>
      </c>
      <c r="Z7" s="30">
        <f t="shared" si="2"/>
        <v>0</v>
      </c>
      <c r="AA7" s="30">
        <f t="shared" si="2"/>
        <v>0</v>
      </c>
      <c r="AB7" s="30">
        <f t="shared" ref="AB7:AD8" si="3">SUM(O7:R7)</f>
        <v>0</v>
      </c>
      <c r="AC7" s="30">
        <f t="shared" si="3"/>
        <v>0</v>
      </c>
      <c r="AD7" s="30">
        <f t="shared" si="3"/>
        <v>0</v>
      </c>
      <c r="AE7" s="30">
        <f>SUM(R7:T7)</f>
        <v>0</v>
      </c>
    </row>
    <row r="8" spans="1:31" ht="12.75" customHeight="1">
      <c r="B8" s="9"/>
      <c r="C8" s="78"/>
      <c r="D8" s="78"/>
      <c r="E8" s="78"/>
      <c r="F8" s="78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30"/>
      <c r="S8" s="86"/>
      <c r="T8" s="86"/>
      <c r="U8" s="5"/>
      <c r="V8" s="11">
        <f t="shared" si="2"/>
        <v>0</v>
      </c>
      <c r="W8" s="11">
        <f t="shared" si="2"/>
        <v>0</v>
      </c>
      <c r="X8" s="11">
        <f t="shared" si="2"/>
        <v>0</v>
      </c>
      <c r="Y8" s="11">
        <f t="shared" si="2"/>
        <v>0</v>
      </c>
      <c r="Z8" s="11">
        <f t="shared" si="2"/>
        <v>0</v>
      </c>
      <c r="AA8" s="11">
        <f t="shared" si="2"/>
        <v>0</v>
      </c>
      <c r="AB8" s="30">
        <f t="shared" si="3"/>
        <v>0</v>
      </c>
      <c r="AC8" s="30">
        <f t="shared" si="3"/>
        <v>0</v>
      </c>
      <c r="AD8" s="30">
        <f t="shared" si="3"/>
        <v>0</v>
      </c>
      <c r="AE8" s="30">
        <f>SUM(R8:T8)</f>
        <v>0</v>
      </c>
    </row>
    <row r="9" spans="1:31" ht="12.75" customHeight="1">
      <c r="B9" s="12" t="s">
        <v>88</v>
      </c>
      <c r="C9" s="32">
        <f t="shared" ref="C9:E9" si="4">SUM(C7:C8)</f>
        <v>0</v>
      </c>
      <c r="D9" s="32">
        <f t="shared" si="4"/>
        <v>0</v>
      </c>
      <c r="E9" s="32">
        <f t="shared" si="4"/>
        <v>0</v>
      </c>
      <c r="F9" s="11"/>
      <c r="G9" s="32"/>
      <c r="H9" s="32"/>
      <c r="I9" s="32"/>
      <c r="J9" s="32"/>
      <c r="K9" s="32"/>
      <c r="L9" s="32"/>
      <c r="M9" s="32"/>
      <c r="N9" s="32"/>
      <c r="O9" s="32">
        <f t="shared" ref="O9:T9" si="5">SUM(O7:O8)</f>
        <v>0</v>
      </c>
      <c r="P9" s="32">
        <f t="shared" si="5"/>
        <v>0</v>
      </c>
      <c r="Q9" s="32">
        <f t="shared" si="5"/>
        <v>0</v>
      </c>
      <c r="R9" s="32">
        <f t="shared" si="5"/>
        <v>0</v>
      </c>
      <c r="S9" s="32">
        <f t="shared" si="5"/>
        <v>0</v>
      </c>
      <c r="T9" s="32">
        <f t="shared" si="5"/>
        <v>0</v>
      </c>
      <c r="U9" s="5"/>
      <c r="V9" s="32">
        <f t="shared" ref="V9:AE9" si="6">SUM(V7:V8)</f>
        <v>0</v>
      </c>
      <c r="W9" s="32">
        <f t="shared" si="6"/>
        <v>0</v>
      </c>
      <c r="X9" s="32">
        <f t="shared" si="6"/>
        <v>0</v>
      </c>
      <c r="Y9" s="32">
        <f t="shared" si="6"/>
        <v>0</v>
      </c>
      <c r="Z9" s="32">
        <f t="shared" si="6"/>
        <v>0</v>
      </c>
      <c r="AA9" s="32">
        <f t="shared" si="6"/>
        <v>0</v>
      </c>
      <c r="AB9" s="32">
        <f t="shared" si="6"/>
        <v>0</v>
      </c>
      <c r="AC9" s="32">
        <f t="shared" si="6"/>
        <v>0</v>
      </c>
      <c r="AD9" s="32">
        <f t="shared" si="6"/>
        <v>0</v>
      </c>
      <c r="AE9" s="32">
        <f t="shared" si="6"/>
        <v>0</v>
      </c>
    </row>
    <row r="10" spans="1:31">
      <c r="B10" s="75" t="s">
        <v>79</v>
      </c>
      <c r="C10" s="76">
        <f>+C9-'Historical Financials'!C11</f>
        <v>-80943</v>
      </c>
      <c r="D10" s="76">
        <f>+D9-'Historical Financials'!D11</f>
        <v>-154080</v>
      </c>
      <c r="E10" s="76">
        <f>+E9-'Historical Financials'!E11</f>
        <v>-258215</v>
      </c>
      <c r="F10" s="11"/>
      <c r="G10" s="119"/>
      <c r="H10" s="119"/>
      <c r="I10" s="119"/>
      <c r="J10" s="119"/>
      <c r="K10" s="119"/>
      <c r="L10" s="119"/>
      <c r="M10" s="119"/>
      <c r="N10" s="119"/>
      <c r="O10" s="76">
        <f>+O9-'Historical Financials'!O11</f>
        <v>-81875</v>
      </c>
      <c r="P10" s="76">
        <f>+P9-'Historical Financials'!P11</f>
        <v>-107191</v>
      </c>
      <c r="Q10" s="76">
        <f>+Q9-'Historical Financials'!Q11</f>
        <v>0</v>
      </c>
      <c r="R10" s="76">
        <f>+R9-'Historical Financials'!R11</f>
        <v>-69149</v>
      </c>
      <c r="S10" s="76">
        <f>+S9-'Historical Financials'!S11</f>
        <v>0</v>
      </c>
      <c r="T10" s="76">
        <f>+T9-'Historical Financials'!T11</f>
        <v>0</v>
      </c>
      <c r="U10" s="76"/>
      <c r="V10" s="76">
        <f>V9-'Historical Financials'!V11</f>
        <v>-154080</v>
      </c>
      <c r="W10" s="76">
        <f>W9-'Historical Financials'!W11</f>
        <v>-181890.44099999999</v>
      </c>
      <c r="X10" s="76">
        <f>X9-'Historical Financials'!X11</f>
        <v>-208108.625</v>
      </c>
      <c r="Y10" s="76">
        <f>Y9-'Historical Financials'!Y11</f>
        <v>-234293.08600000001</v>
      </c>
      <c r="Z10" s="76">
        <f>Z9-'Historical Financials'!Z11</f>
        <v>-258215</v>
      </c>
      <c r="AA10" s="76">
        <f>AA9-'Historical Financials'!AA11</f>
        <v>-283176.46600000001</v>
      </c>
      <c r="AB10" s="76">
        <f>AB9-'Historical Financials'!AC11</f>
        <v>-262969.67700000003</v>
      </c>
      <c r="AC10" s="76">
        <f>AC9-'Historical Financials'!AD11</f>
        <v>-258215</v>
      </c>
      <c r="AD10" s="76">
        <f>AD9-'Historical Financials'!AE11</f>
        <v>-176340</v>
      </c>
      <c r="AE10" s="76">
        <f>AE9-'Historical Financials'!AF11</f>
        <v>-69149</v>
      </c>
    </row>
    <row r="11" spans="1:31">
      <c r="B11" s="16"/>
      <c r="C11" s="17"/>
      <c r="D11" s="17"/>
      <c r="E11" s="17"/>
      <c r="F11" s="18"/>
      <c r="G11" s="19"/>
      <c r="H11" s="19"/>
      <c r="I11" s="19"/>
      <c r="J11" s="20"/>
      <c r="K11" s="19"/>
      <c r="L11" s="19"/>
      <c r="M11" s="19"/>
      <c r="N11" s="20"/>
      <c r="O11" s="19"/>
      <c r="P11" s="19"/>
      <c r="Q11" s="19"/>
      <c r="R11" s="19"/>
      <c r="S11" s="19"/>
      <c r="T11" s="19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</row>
    <row r="12" spans="1:31" ht="12.75" customHeight="1">
      <c r="A12" s="77" t="s">
        <v>20</v>
      </c>
      <c r="B12" s="74" t="s">
        <v>145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5"/>
      <c r="V12" s="11"/>
      <c r="W12" s="11"/>
      <c r="X12" s="11"/>
      <c r="Y12" s="11"/>
      <c r="Z12" s="11"/>
      <c r="AA12" s="11"/>
      <c r="AB12" s="11"/>
      <c r="AC12" s="11"/>
      <c r="AD12" s="11"/>
    </row>
    <row r="13" spans="1:31" ht="12.75" customHeight="1">
      <c r="B13" s="9" t="s">
        <v>183</v>
      </c>
      <c r="C13" s="78">
        <v>70626</v>
      </c>
      <c r="D13" s="78">
        <v>146427</v>
      </c>
      <c r="E13" s="78">
        <v>244881</v>
      </c>
      <c r="F13" s="78"/>
      <c r="G13" s="86">
        <v>27316.151000000002</v>
      </c>
      <c r="H13" s="86">
        <v>31274.844000000001</v>
      </c>
      <c r="I13" s="86">
        <v>37854.167000000001</v>
      </c>
      <c r="J13" s="86">
        <v>49981.837999999989</v>
      </c>
      <c r="K13" s="86">
        <v>52694.722999999998</v>
      </c>
      <c r="L13" s="86">
        <v>56607.815000000002</v>
      </c>
      <c r="M13" s="86">
        <v>64617.747000000003</v>
      </c>
      <c r="N13" s="86">
        <v>70960.714999999997</v>
      </c>
      <c r="O13" s="86">
        <v>77991</v>
      </c>
      <c r="P13" s="86">
        <v>102726</v>
      </c>
      <c r="Q13" s="86"/>
      <c r="R13" s="30"/>
      <c r="S13" s="86"/>
      <c r="T13" s="86"/>
      <c r="U13" s="5"/>
      <c r="V13" s="11">
        <f t="shared" ref="V13:AA14" si="7">SUM(H13:K13)</f>
        <v>171805.57199999999</v>
      </c>
      <c r="W13" s="11">
        <f t="shared" si="7"/>
        <v>197138.54300000001</v>
      </c>
      <c r="X13" s="11">
        <f t="shared" si="7"/>
        <v>223902.12299999999</v>
      </c>
      <c r="Y13" s="11">
        <f t="shared" si="7"/>
        <v>244881</v>
      </c>
      <c r="Z13" s="11">
        <f t="shared" si="7"/>
        <v>270177.277</v>
      </c>
      <c r="AA13" s="11">
        <f t="shared" si="7"/>
        <v>316295.462</v>
      </c>
      <c r="AB13" s="30">
        <f t="shared" ref="AB13:AD14" si="8">SUM(O13:R13)</f>
        <v>180717</v>
      </c>
      <c r="AC13" s="30">
        <f t="shared" si="8"/>
        <v>102726</v>
      </c>
      <c r="AD13" s="30">
        <f t="shared" si="8"/>
        <v>0</v>
      </c>
      <c r="AE13" s="30">
        <f>SUM(R13:T13)</f>
        <v>0</v>
      </c>
    </row>
    <row r="14" spans="1:31" ht="12.75" customHeight="1">
      <c r="B14" s="9" t="s">
        <v>184</v>
      </c>
      <c r="C14" s="78">
        <v>10317</v>
      </c>
      <c r="D14" s="78">
        <v>7653</v>
      </c>
      <c r="E14" s="78">
        <v>13334</v>
      </c>
      <c r="F14" s="78"/>
      <c r="G14" s="86">
        <v>1786.942</v>
      </c>
      <c r="H14" s="86">
        <v>2630.163</v>
      </c>
      <c r="I14" s="86">
        <v>3235.97</v>
      </c>
      <c r="J14" s="86">
        <v>-7.4999999998908606E-2</v>
      </c>
      <c r="K14" s="86">
        <v>4218.8109999999997</v>
      </c>
      <c r="L14" s="86">
        <v>3515.3760000000002</v>
      </c>
      <c r="M14" s="86">
        <v>2656.8510000000001</v>
      </c>
      <c r="N14" s="86">
        <v>2942.9619999999995</v>
      </c>
      <c r="O14" s="86">
        <v>3884</v>
      </c>
      <c r="P14" s="86">
        <v>4465</v>
      </c>
      <c r="Q14" s="86"/>
      <c r="R14" s="30"/>
      <c r="S14" s="86"/>
      <c r="T14" s="86"/>
      <c r="U14" s="5"/>
      <c r="V14" s="11">
        <f t="shared" si="7"/>
        <v>10084.869000000001</v>
      </c>
      <c r="W14" s="11">
        <f t="shared" si="7"/>
        <v>10970.082</v>
      </c>
      <c r="X14" s="11">
        <f t="shared" si="7"/>
        <v>10390.963000000002</v>
      </c>
      <c r="Y14" s="11">
        <f t="shared" si="7"/>
        <v>13334</v>
      </c>
      <c r="Z14" s="11">
        <f t="shared" si="7"/>
        <v>12999.189</v>
      </c>
      <c r="AA14" s="11">
        <f t="shared" si="7"/>
        <v>13948.813</v>
      </c>
      <c r="AB14" s="30">
        <f t="shared" si="8"/>
        <v>8349</v>
      </c>
      <c r="AC14" s="30">
        <f t="shared" si="8"/>
        <v>4465</v>
      </c>
      <c r="AD14" s="30">
        <f t="shared" si="8"/>
        <v>0</v>
      </c>
      <c r="AE14" s="30">
        <f>SUM(R14:T14)</f>
        <v>0</v>
      </c>
    </row>
    <row r="15" spans="1:31" ht="12.75" customHeight="1">
      <c r="B15" s="12" t="s">
        <v>112</v>
      </c>
      <c r="C15" s="32">
        <f t="shared" ref="C15:E15" si="9">SUM(C13:C14)</f>
        <v>80943</v>
      </c>
      <c r="D15" s="32">
        <f t="shared" si="9"/>
        <v>154080</v>
      </c>
      <c r="E15" s="32">
        <f t="shared" si="9"/>
        <v>258215</v>
      </c>
      <c r="F15" s="11"/>
      <c r="G15" s="32"/>
      <c r="H15" s="32"/>
      <c r="I15" s="32"/>
      <c r="J15" s="32"/>
      <c r="K15" s="32"/>
      <c r="L15" s="32"/>
      <c r="M15" s="32"/>
      <c r="N15" s="32"/>
      <c r="O15" s="32">
        <f t="shared" ref="O15:T15" si="10">SUM(O13:O14)</f>
        <v>81875</v>
      </c>
      <c r="P15" s="32">
        <f t="shared" si="10"/>
        <v>107191</v>
      </c>
      <c r="Q15" s="32">
        <f t="shared" si="10"/>
        <v>0</v>
      </c>
      <c r="R15" s="32">
        <f t="shared" si="10"/>
        <v>0</v>
      </c>
      <c r="S15" s="32">
        <f t="shared" si="10"/>
        <v>0</v>
      </c>
      <c r="T15" s="32">
        <f t="shared" si="10"/>
        <v>0</v>
      </c>
      <c r="U15" s="5"/>
      <c r="V15" s="32">
        <f t="shared" ref="V15:AE15" si="11">SUM(V13:V14)</f>
        <v>181890.44099999999</v>
      </c>
      <c r="W15" s="32">
        <f t="shared" si="11"/>
        <v>208108.625</v>
      </c>
      <c r="X15" s="32">
        <f t="shared" si="11"/>
        <v>234293.08599999998</v>
      </c>
      <c r="Y15" s="32">
        <f t="shared" si="11"/>
        <v>258215</v>
      </c>
      <c r="Z15" s="32">
        <f t="shared" si="11"/>
        <v>283176.46600000001</v>
      </c>
      <c r="AA15" s="32">
        <f t="shared" si="11"/>
        <v>330244.27500000002</v>
      </c>
      <c r="AB15" s="32">
        <f t="shared" si="11"/>
        <v>189066</v>
      </c>
      <c r="AC15" s="32">
        <f t="shared" si="11"/>
        <v>107191</v>
      </c>
      <c r="AD15" s="32">
        <f t="shared" si="11"/>
        <v>0</v>
      </c>
      <c r="AE15" s="32">
        <f t="shared" si="11"/>
        <v>0</v>
      </c>
    </row>
    <row r="16" spans="1:31" ht="12.75" customHeight="1">
      <c r="B16" s="75" t="s">
        <v>79</v>
      </c>
      <c r="C16" s="76">
        <f t="shared" ref="C16:E16" si="12">+C15-C9</f>
        <v>80943</v>
      </c>
      <c r="D16" s="76">
        <f t="shared" si="12"/>
        <v>154080</v>
      </c>
      <c r="E16" s="76">
        <f t="shared" si="12"/>
        <v>258215</v>
      </c>
      <c r="F16" s="11"/>
      <c r="G16" s="119"/>
      <c r="H16" s="119"/>
      <c r="I16" s="119"/>
      <c r="J16" s="119"/>
      <c r="K16" s="119"/>
      <c r="L16" s="119"/>
      <c r="M16" s="119"/>
      <c r="N16" s="119"/>
      <c r="O16" s="76">
        <f t="shared" ref="O16" si="13">+O15-O9</f>
        <v>81875</v>
      </c>
      <c r="P16" s="76">
        <f t="shared" ref="P16" si="14">+P15-P9</f>
        <v>107191</v>
      </c>
      <c r="Q16" s="76">
        <f t="shared" ref="Q16" si="15">+Q15-Q9</f>
        <v>0</v>
      </c>
      <c r="R16" s="76">
        <f t="shared" ref="R16" si="16">+R15-R9</f>
        <v>0</v>
      </c>
      <c r="S16" s="76">
        <f t="shared" ref="S16" si="17">+S15-S9</f>
        <v>0</v>
      </c>
      <c r="T16" s="76">
        <f t="shared" ref="T16" si="18">+T15-T9</f>
        <v>0</v>
      </c>
      <c r="U16" s="76"/>
      <c r="V16" s="76">
        <f>V15-'Historical Financials'!V17</f>
        <v>185735.68099999998</v>
      </c>
      <c r="W16" s="76">
        <f>W15-'Historical Financials'!W17</f>
        <v>212483.739</v>
      </c>
      <c r="X16" s="76">
        <f>X15-'Historical Financials'!X17</f>
        <v>238222.15599999999</v>
      </c>
      <c r="Y16" s="76">
        <f>Y15-'Historical Financials'!Y17</f>
        <v>261515</v>
      </c>
      <c r="Z16" s="76">
        <f>Z15-'Historical Financials'!Z17</f>
        <v>286071.11499999999</v>
      </c>
      <c r="AA16" s="76">
        <f>AA15-'Historical Financials'!AA17</f>
        <v>332295.66400000005</v>
      </c>
      <c r="AB16" s="76">
        <f t="shared" ref="AB16" si="19">+AB15-AB9</f>
        <v>189066</v>
      </c>
      <c r="AC16" s="76">
        <f t="shared" ref="AC16" si="20">+AC15-AC9</f>
        <v>107191</v>
      </c>
      <c r="AD16" s="76">
        <f t="shared" ref="AD16" si="21">+AD15-AD9</f>
        <v>0</v>
      </c>
      <c r="AE16" s="76">
        <f t="shared" ref="AE16" si="22">+AE15-AE9</f>
        <v>0</v>
      </c>
    </row>
  </sheetData>
  <dataValidations count="1">
    <dataValidation type="list" allowBlank="1" showInputMessage="1" showErrorMessage="1" sqref="B4" xr:uid="{62176FD9-E514-4BEC-85E1-6C6963572068}">
      <formula1>"$ bns except per share, $ mm except per share,$ in thousands except per share"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C0D2-A617-43BF-9493-F1D2AA08251E}">
  <sheetPr>
    <tabColor theme="6" tint="-0.249977111117893"/>
  </sheetPr>
  <dimension ref="A2:AK77"/>
  <sheetViews>
    <sheetView showGridLines="0" zoomScaleNormal="100" workbookViewId="0">
      <selection activeCell="B2" sqref="B2"/>
    </sheetView>
  </sheetViews>
  <sheetFormatPr defaultRowHeight="12" outlineLevelCol="1"/>
  <cols>
    <col min="1" max="1" width="1.5" style="8" customWidth="1"/>
    <col min="2" max="2" width="41.625" style="8" customWidth="1"/>
    <col min="3" max="3" width="8.625" style="8" hidden="1" customWidth="1" outlineLevel="1"/>
    <col min="4" max="4" width="9" style="8" bestFit="1" customWidth="1" collapsed="1"/>
    <col min="5" max="5" width="9.25" style="8" bestFit="1" customWidth="1"/>
    <col min="6" max="6" width="9" style="8"/>
    <col min="7" max="7" width="1.5" style="8" customWidth="1"/>
    <col min="8" max="11" width="7.875" style="8" hidden="1" customWidth="1" outlineLevel="1"/>
    <col min="12" max="12" width="9" style="8" hidden="1" customWidth="1" outlineLevel="1"/>
    <col min="13" max="13" width="8.5" style="8" hidden="1" customWidth="1" outlineLevel="1"/>
    <col min="14" max="14" width="7.875" style="8" hidden="1" customWidth="1" outlineLevel="1"/>
    <col min="15" max="15" width="9" style="8" hidden="1" customWidth="1" outlineLevel="1"/>
    <col min="16" max="16" width="9.25" style="8" hidden="1" customWidth="1" outlineLevel="1"/>
    <col min="17" max="17" width="9.75" style="8" hidden="1" customWidth="1" outlineLevel="1"/>
    <col min="18" max="18" width="9" style="8" customWidth="1" collapsed="1"/>
    <col min="19" max="21" width="9" style="8" bestFit="1" customWidth="1"/>
    <col min="22" max="22" width="8.5" style="8" bestFit="1" customWidth="1"/>
    <col min="23" max="23" width="1.625" style="8" customWidth="1"/>
    <col min="24" max="24" width="9" style="8" hidden="1" customWidth="1" outlineLevel="1"/>
    <col min="25" max="25" width="8.625" style="8" hidden="1" customWidth="1" outlineLevel="1"/>
    <col min="26" max="26" width="8.5" style="8" hidden="1" customWidth="1" outlineLevel="1"/>
    <col min="27" max="28" width="8.25" style="8" hidden="1" customWidth="1" outlineLevel="1"/>
    <col min="29" max="29" width="9.25" style="8" hidden="1" customWidth="1" outlineLevel="1"/>
    <col min="30" max="30" width="9.75" style="8" hidden="1" customWidth="1" outlineLevel="1"/>
    <col min="31" max="31" width="9" style="8" bestFit="1" customWidth="1" collapsed="1"/>
    <col min="32" max="34" width="9" style="8" hidden="1" customWidth="1" outlineLevel="1"/>
    <col min="35" max="35" width="8.5" style="8" bestFit="1" customWidth="1" collapsed="1"/>
    <col min="36" max="36" width="1.5" style="8" customWidth="1"/>
    <col min="37" max="37" width="8.375" style="118" bestFit="1" customWidth="1"/>
    <col min="38" max="16384" width="9" style="8"/>
  </cols>
  <sheetData>
    <row r="2" spans="2:37" s="5" customFormat="1" ht="12.75" customHeight="1">
      <c r="B2" s="1" t="s">
        <v>146</v>
      </c>
      <c r="C2" s="2"/>
      <c r="D2" s="2" t="s">
        <v>0</v>
      </c>
      <c r="E2" s="2"/>
      <c r="F2" s="2"/>
      <c r="G2" s="3"/>
      <c r="H2" s="2" t="s">
        <v>1</v>
      </c>
      <c r="I2" s="2"/>
      <c r="J2" s="2"/>
      <c r="K2" s="2"/>
      <c r="L2" s="2"/>
      <c r="M2" s="2"/>
      <c r="N2" s="2"/>
      <c r="O2" s="2"/>
      <c r="P2" s="2"/>
      <c r="Q2" s="2" t="s">
        <v>1</v>
      </c>
      <c r="R2" s="2" t="s">
        <v>1</v>
      </c>
      <c r="S2" s="2"/>
      <c r="T2" s="2"/>
      <c r="U2" s="2"/>
      <c r="V2" s="2"/>
      <c r="W2" s="3"/>
      <c r="X2" s="2" t="s">
        <v>10</v>
      </c>
      <c r="Y2" s="2"/>
      <c r="Z2" s="2"/>
      <c r="AA2" s="2"/>
      <c r="AB2" s="2"/>
      <c r="AC2" s="2"/>
      <c r="AD2" s="2"/>
      <c r="AE2" s="2" t="s">
        <v>10</v>
      </c>
      <c r="AF2" s="2"/>
      <c r="AG2" s="2"/>
      <c r="AH2" s="2"/>
      <c r="AI2" s="2"/>
      <c r="AJ2" s="3"/>
      <c r="AK2" s="146" t="s">
        <v>26</v>
      </c>
    </row>
    <row r="3" spans="2:37" s="5" customFormat="1" ht="12.75" customHeight="1">
      <c r="B3" s="6" t="s">
        <v>27</v>
      </c>
      <c r="C3" s="7" t="e">
        <f>'Historical Financials'!#REF!</f>
        <v>#REF!</v>
      </c>
      <c r="D3" s="7">
        <f>'Historical Financials'!C7</f>
        <v>2021</v>
      </c>
      <c r="E3" s="7">
        <f>'Historical Financials'!D7</f>
        <v>2022</v>
      </c>
      <c r="F3" s="7">
        <f>'Historical Financials'!E7</f>
        <v>2023</v>
      </c>
      <c r="G3" s="3"/>
      <c r="H3" s="7" t="str">
        <f>'Historical Financials'!G7</f>
        <v>1Q22</v>
      </c>
      <c r="I3" s="7" t="str">
        <f>'Historical Financials'!H7</f>
        <v>2Q22</v>
      </c>
      <c r="J3" s="7" t="str">
        <f>'Historical Financials'!I7</f>
        <v>3Q22</v>
      </c>
      <c r="K3" s="7" t="str">
        <f>'Historical Financials'!J7</f>
        <v>4Q22</v>
      </c>
      <c r="L3" s="7" t="str">
        <f>'Historical Financials'!K7</f>
        <v>1Q23</v>
      </c>
      <c r="M3" s="7" t="str">
        <f>'Historical Financials'!L7</f>
        <v>2Q23</v>
      </c>
      <c r="N3" s="7" t="str">
        <f>'Historical Financials'!M7</f>
        <v>3Q23</v>
      </c>
      <c r="O3" s="7" t="str">
        <f>'Historical Financials'!N7</f>
        <v>4Q23</v>
      </c>
      <c r="P3" s="7" t="str">
        <f>'Historical Financials'!O7</f>
        <v>1Q24</v>
      </c>
      <c r="Q3" s="7" t="str">
        <f>'Historical Financials'!P7</f>
        <v>2Q24</v>
      </c>
      <c r="R3" s="7" t="str">
        <f>'Historical Financials'!Q7</f>
        <v>3Q24</v>
      </c>
      <c r="S3" s="7" t="str">
        <f>'Historical Financials'!R7</f>
        <v>4Q24</v>
      </c>
      <c r="T3" s="7" t="str">
        <f>'Historical Financials'!S7</f>
        <v>1Q25</v>
      </c>
      <c r="U3" s="7" t="str">
        <f>'Historical Financials'!T7</f>
        <v>2Q25</v>
      </c>
      <c r="V3" s="7" t="e">
        <f>'Historical Financials'!#REF!</f>
        <v>#REF!</v>
      </c>
      <c r="W3" s="3"/>
      <c r="X3" s="4" t="str">
        <f t="shared" ref="X3:AH4" si="0">K3</f>
        <v>4Q22</v>
      </c>
      <c r="Y3" s="4" t="str">
        <f t="shared" si="0"/>
        <v>1Q23</v>
      </c>
      <c r="Z3" s="4" t="str">
        <f t="shared" si="0"/>
        <v>2Q23</v>
      </c>
      <c r="AA3" s="4" t="str">
        <f t="shared" si="0"/>
        <v>3Q23</v>
      </c>
      <c r="AB3" s="4" t="str">
        <f t="shared" si="0"/>
        <v>4Q23</v>
      </c>
      <c r="AC3" s="4" t="str">
        <f t="shared" si="0"/>
        <v>1Q24</v>
      </c>
      <c r="AD3" s="4" t="str">
        <f t="shared" si="0"/>
        <v>2Q24</v>
      </c>
      <c r="AE3" s="4" t="str">
        <f t="shared" si="0"/>
        <v>3Q24</v>
      </c>
      <c r="AF3" s="4" t="str">
        <f t="shared" si="0"/>
        <v>4Q24</v>
      </c>
      <c r="AG3" s="4" t="str">
        <f t="shared" si="0"/>
        <v>1Q25</v>
      </c>
      <c r="AH3" s="4" t="str">
        <f t="shared" si="0"/>
        <v>2Q25</v>
      </c>
      <c r="AI3" s="4" t="e">
        <f>V3</f>
        <v>#REF!</v>
      </c>
      <c r="AJ3" s="3"/>
      <c r="AK3" s="146"/>
    </row>
    <row r="4" spans="2:37" s="5" customFormat="1" ht="12.75" customHeight="1">
      <c r="B4" s="6" t="s">
        <v>139</v>
      </c>
      <c r="C4" s="3" t="e">
        <f>'Historical Financials'!#REF!</f>
        <v>#REF!</v>
      </c>
      <c r="D4" s="3">
        <f>'Historical Financials'!C8</f>
        <v>44561</v>
      </c>
      <c r="E4" s="3">
        <f>'Historical Financials'!D8</f>
        <v>44926</v>
      </c>
      <c r="F4" s="3">
        <f>'Historical Financials'!E8</f>
        <v>45291</v>
      </c>
      <c r="G4" s="3"/>
      <c r="H4" s="3">
        <f>'Historical Financials'!G8</f>
        <v>44651</v>
      </c>
      <c r="I4" s="3">
        <f>'Historical Financials'!H8</f>
        <v>44742</v>
      </c>
      <c r="J4" s="3">
        <f>'Historical Financials'!I8</f>
        <v>44834</v>
      </c>
      <c r="K4" s="3">
        <f>'Historical Financials'!J8</f>
        <v>44926</v>
      </c>
      <c r="L4" s="3">
        <f>'Historical Financials'!K8</f>
        <v>45016</v>
      </c>
      <c r="M4" s="3">
        <f>'Historical Financials'!L8</f>
        <v>45107</v>
      </c>
      <c r="N4" s="3">
        <f>'Historical Financials'!M8</f>
        <v>45199</v>
      </c>
      <c r="O4" s="3">
        <f>'Historical Financials'!N8</f>
        <v>45291</v>
      </c>
      <c r="P4" s="3">
        <f>'Historical Financials'!O8</f>
        <v>45382</v>
      </c>
      <c r="Q4" s="3">
        <f>'Historical Financials'!P8</f>
        <v>45473</v>
      </c>
      <c r="R4" s="3">
        <f>'Historical Financials'!Q8</f>
        <v>45565</v>
      </c>
      <c r="S4" s="3">
        <f>'Historical Financials'!R8</f>
        <v>45657</v>
      </c>
      <c r="T4" s="3">
        <f>'Historical Financials'!S8</f>
        <v>45747</v>
      </c>
      <c r="U4" s="3">
        <f>'Historical Financials'!T8</f>
        <v>45838</v>
      </c>
      <c r="V4" s="3" t="e">
        <f>'Historical Financials'!#REF!</f>
        <v>#REF!</v>
      </c>
      <c r="W4" s="3"/>
      <c r="X4" s="3">
        <f t="shared" si="0"/>
        <v>44926</v>
      </c>
      <c r="Y4" s="3">
        <f t="shared" si="0"/>
        <v>45016</v>
      </c>
      <c r="Z4" s="3">
        <f t="shared" si="0"/>
        <v>45107</v>
      </c>
      <c r="AA4" s="3">
        <f t="shared" si="0"/>
        <v>45199</v>
      </c>
      <c r="AB4" s="3">
        <f t="shared" si="0"/>
        <v>45291</v>
      </c>
      <c r="AC4" s="3">
        <f t="shared" si="0"/>
        <v>45382</v>
      </c>
      <c r="AD4" s="3">
        <f t="shared" si="0"/>
        <v>45473</v>
      </c>
      <c r="AE4" s="3">
        <f t="shared" si="0"/>
        <v>45565</v>
      </c>
      <c r="AF4" s="3">
        <f t="shared" si="0"/>
        <v>45657</v>
      </c>
      <c r="AG4" s="3">
        <f t="shared" si="0"/>
        <v>45747</v>
      </c>
      <c r="AH4" s="3">
        <f t="shared" si="0"/>
        <v>45838</v>
      </c>
      <c r="AI4" s="3" t="e">
        <f>V4</f>
        <v>#REF!</v>
      </c>
      <c r="AJ4" s="3"/>
      <c r="AK4" s="146"/>
    </row>
    <row r="5" spans="2:37" ht="5.0999999999999996" customHeight="1">
      <c r="AK5" s="114"/>
    </row>
    <row r="6" spans="2:37" ht="12.75" customHeight="1">
      <c r="B6" s="9"/>
      <c r="C6" s="135"/>
      <c r="D6" s="85"/>
      <c r="E6" s="85"/>
      <c r="F6" s="85"/>
      <c r="G6" s="10"/>
      <c r="H6" s="135"/>
      <c r="I6" s="135"/>
      <c r="J6" s="135"/>
      <c r="K6" s="135"/>
      <c r="L6" s="135"/>
      <c r="M6" s="135"/>
      <c r="N6" s="135"/>
      <c r="O6" s="135"/>
      <c r="P6" s="85">
        <f>'Revenue Drivers'!O7</f>
        <v>0</v>
      </c>
      <c r="Q6" s="85">
        <f>'Revenue Drivers'!P7</f>
        <v>0</v>
      </c>
      <c r="R6" s="85"/>
      <c r="S6" s="85"/>
      <c r="T6" s="85"/>
      <c r="U6" s="85"/>
      <c r="V6" s="85"/>
      <c r="W6" s="5"/>
      <c r="X6" s="135"/>
      <c r="Y6" s="135"/>
      <c r="Z6" s="135"/>
      <c r="AA6" s="135"/>
      <c r="AB6" s="135"/>
      <c r="AC6" s="10">
        <f t="shared" ref="AB6:AH8" si="1">SUM(M6:P6)</f>
        <v>0</v>
      </c>
      <c r="AD6" s="10">
        <f t="shared" si="1"/>
        <v>0</v>
      </c>
      <c r="AE6" s="10">
        <f t="shared" si="1"/>
        <v>0</v>
      </c>
      <c r="AF6" s="10">
        <f t="shared" si="1"/>
        <v>0</v>
      </c>
      <c r="AG6" s="10">
        <f t="shared" si="1"/>
        <v>0</v>
      </c>
      <c r="AH6" s="10">
        <f t="shared" si="1"/>
        <v>0</v>
      </c>
      <c r="AI6" s="10">
        <f>SUM(S6:V6)</f>
        <v>0</v>
      </c>
      <c r="AK6" s="115" t="e">
        <f>SUM(AI6/AE6)-1</f>
        <v>#DIV/0!</v>
      </c>
    </row>
    <row r="7" spans="2:37" ht="12.75" customHeight="1">
      <c r="B7" s="9"/>
      <c r="C7" s="135"/>
      <c r="D7" s="85"/>
      <c r="E7" s="85"/>
      <c r="F7" s="85"/>
      <c r="G7" s="10"/>
      <c r="H7" s="135"/>
      <c r="I7" s="135"/>
      <c r="J7" s="135"/>
      <c r="K7" s="135"/>
      <c r="L7" s="135"/>
      <c r="M7" s="135"/>
      <c r="N7" s="135"/>
      <c r="O7" s="135"/>
      <c r="P7" s="85">
        <f>'Revenue Drivers'!O8</f>
        <v>0</v>
      </c>
      <c r="Q7" s="85">
        <f>'Revenue Drivers'!P8</f>
        <v>0</v>
      </c>
      <c r="R7" s="85"/>
      <c r="S7" s="85"/>
      <c r="T7" s="85"/>
      <c r="U7" s="85"/>
      <c r="V7" s="85"/>
      <c r="W7" s="5"/>
      <c r="X7" s="135"/>
      <c r="Y7" s="135"/>
      <c r="Z7" s="135"/>
      <c r="AA7" s="135"/>
      <c r="AB7" s="135"/>
      <c r="AC7" s="10">
        <f t="shared" si="1"/>
        <v>0</v>
      </c>
      <c r="AD7" s="10">
        <f t="shared" si="1"/>
        <v>0</v>
      </c>
      <c r="AE7" s="10">
        <f t="shared" si="1"/>
        <v>0</v>
      </c>
      <c r="AF7" s="10">
        <f t="shared" si="1"/>
        <v>0</v>
      </c>
      <c r="AG7" s="10">
        <f t="shared" si="1"/>
        <v>0</v>
      </c>
      <c r="AH7" s="10">
        <f t="shared" si="1"/>
        <v>0</v>
      </c>
      <c r="AI7" s="10">
        <f>SUM(S7:V7)</f>
        <v>0</v>
      </c>
      <c r="AK7" s="115" t="e">
        <f>SUM(AI7/AE7)-1</f>
        <v>#DIV/0!</v>
      </c>
    </row>
    <row r="8" spans="2:37" ht="12.75" customHeight="1">
      <c r="B8" s="12" t="s">
        <v>12</v>
      </c>
      <c r="C8" s="13" t="e">
        <f>'Historical Financials'!#REF!</f>
        <v>#REF!</v>
      </c>
      <c r="D8" s="13">
        <f>SUM(D6:D7)</f>
        <v>0</v>
      </c>
      <c r="E8" s="13">
        <f>SUM(E6:E7)</f>
        <v>0</v>
      </c>
      <c r="F8" s="13">
        <f>SUM(F6:F7)</f>
        <v>0</v>
      </c>
      <c r="G8" s="10"/>
      <c r="H8" s="13">
        <f>'Historical Financials'!G11</f>
        <v>29103.093000000001</v>
      </c>
      <c r="I8" s="13">
        <f>'Historical Financials'!H11</f>
        <v>33905.006999999998</v>
      </c>
      <c r="J8" s="13">
        <f>'Historical Financials'!I11</f>
        <v>41090.137000000002</v>
      </c>
      <c r="K8" s="13">
        <f>'Historical Financials'!J11</f>
        <v>49981.763000000006</v>
      </c>
      <c r="L8" s="13">
        <f>'Historical Financials'!K11</f>
        <v>56913.534</v>
      </c>
      <c r="M8" s="13">
        <f>'Historical Financials'!L11</f>
        <v>60123.190999999999</v>
      </c>
      <c r="N8" s="13">
        <f>'Historical Financials'!M11</f>
        <v>67274.597999999998</v>
      </c>
      <c r="O8" s="13">
        <f>'Historical Financials'!N11</f>
        <v>73903.676999999996</v>
      </c>
      <c r="P8" s="13">
        <f t="shared" ref="P8:V8" si="2">SUM(P6:P7)</f>
        <v>0</v>
      </c>
      <c r="Q8" s="13">
        <f t="shared" si="2"/>
        <v>0</v>
      </c>
      <c r="R8" s="13">
        <f t="shared" si="2"/>
        <v>0</v>
      </c>
      <c r="S8" s="13">
        <f t="shared" si="2"/>
        <v>0</v>
      </c>
      <c r="T8" s="13">
        <f t="shared" si="2"/>
        <v>0</v>
      </c>
      <c r="U8" s="13">
        <f t="shared" si="2"/>
        <v>0</v>
      </c>
      <c r="V8" s="13">
        <f t="shared" si="2"/>
        <v>0</v>
      </c>
      <c r="W8" s="5"/>
      <c r="X8" s="13">
        <f t="shared" ref="X8" si="3">SUM(H8:K8)</f>
        <v>154080</v>
      </c>
      <c r="Y8" s="13">
        <f t="shared" ref="Y8" si="4">SUM(I8:L8)</f>
        <v>181890.44099999999</v>
      </c>
      <c r="Z8" s="13">
        <f t="shared" ref="Z8" si="5">SUM(J8:M8)</f>
        <v>208108.625</v>
      </c>
      <c r="AA8" s="13">
        <f t="shared" ref="AA8" si="6">SUM(K8:N8)</f>
        <v>234293.08600000001</v>
      </c>
      <c r="AB8" s="13">
        <f t="shared" si="1"/>
        <v>258215</v>
      </c>
      <c r="AC8" s="13">
        <f t="shared" ref="AC8:AH8" si="7">SUM(AC6:AC7)</f>
        <v>0</v>
      </c>
      <c r="AD8" s="13">
        <f t="shared" si="7"/>
        <v>0</v>
      </c>
      <c r="AE8" s="13">
        <f t="shared" si="7"/>
        <v>0</v>
      </c>
      <c r="AF8" s="13">
        <f t="shared" si="7"/>
        <v>0</v>
      </c>
      <c r="AG8" s="13">
        <f t="shared" si="7"/>
        <v>0</v>
      </c>
      <c r="AH8" s="13">
        <f t="shared" si="7"/>
        <v>0</v>
      </c>
      <c r="AI8" s="13">
        <f>SUM(AI6:AI7)</f>
        <v>0</v>
      </c>
      <c r="AK8" s="116" t="e">
        <f>SUM(AI8/AE8)-1</f>
        <v>#DIV/0!</v>
      </c>
    </row>
    <row r="9" spans="2:37" ht="12.75" customHeight="1">
      <c r="B9" s="14" t="s">
        <v>34</v>
      </c>
      <c r="C9" s="135"/>
      <c r="D9" s="15" t="e">
        <f>SUM(D8/C8)-1</f>
        <v>#REF!</v>
      </c>
      <c r="E9" s="15" t="e">
        <f>SUM(E8/D8)-1</f>
        <v>#DIV/0!</v>
      </c>
      <c r="F9" s="15" t="e">
        <f>SUM(F8/E8)-1</f>
        <v>#DIV/0!</v>
      </c>
      <c r="G9" s="11"/>
      <c r="H9" s="135"/>
      <c r="I9" s="135"/>
      <c r="J9" s="135"/>
      <c r="K9" s="135"/>
      <c r="L9" s="135"/>
      <c r="M9" s="15">
        <f>SUM(M8/I8)-1</f>
        <v>0.77328354481684669</v>
      </c>
      <c r="N9" s="15">
        <f t="shared" ref="N9:V9" si="8">SUM(N8/J8)-1</f>
        <v>0.63724443167468614</v>
      </c>
      <c r="O9" s="15">
        <f t="shared" si="8"/>
        <v>0.47861284925063541</v>
      </c>
      <c r="P9" s="15">
        <f t="shared" si="8"/>
        <v>-1</v>
      </c>
      <c r="Q9" s="15">
        <f t="shared" si="8"/>
        <v>-1</v>
      </c>
      <c r="R9" s="15">
        <f t="shared" si="8"/>
        <v>-1</v>
      </c>
      <c r="S9" s="15">
        <f t="shared" si="8"/>
        <v>-1</v>
      </c>
      <c r="T9" s="15" t="e">
        <f t="shared" si="8"/>
        <v>#DIV/0!</v>
      </c>
      <c r="U9" s="15" t="e">
        <f t="shared" si="8"/>
        <v>#DIV/0!</v>
      </c>
      <c r="V9" s="15" t="e">
        <f t="shared" si="8"/>
        <v>#DIV/0!</v>
      </c>
      <c r="W9" s="5"/>
      <c r="X9" s="105"/>
      <c r="Y9" s="105"/>
      <c r="Z9" s="105"/>
      <c r="AA9" s="105"/>
      <c r="AB9" s="15">
        <f t="shared" ref="AB9:AI9" si="9">SUM(AB8/X8)-1</f>
        <v>0.6758502076843198</v>
      </c>
      <c r="AC9" s="15">
        <f t="shared" si="9"/>
        <v>-1</v>
      </c>
      <c r="AD9" s="15">
        <f t="shared" si="9"/>
        <v>-1</v>
      </c>
      <c r="AE9" s="15">
        <f t="shared" si="9"/>
        <v>-1</v>
      </c>
      <c r="AF9" s="15">
        <f t="shared" si="9"/>
        <v>-1</v>
      </c>
      <c r="AG9" s="15" t="e">
        <f t="shared" si="9"/>
        <v>#DIV/0!</v>
      </c>
      <c r="AH9" s="15" t="e">
        <f t="shared" si="9"/>
        <v>#DIV/0!</v>
      </c>
      <c r="AI9" s="15" t="e">
        <f t="shared" si="9"/>
        <v>#DIV/0!</v>
      </c>
      <c r="AK9" s="117" t="e">
        <f>SUM(AI9-AE9)*10000</f>
        <v>#DIV/0!</v>
      </c>
    </row>
    <row r="10" spans="2:37" ht="12.75" customHeight="1">
      <c r="B10" s="14" t="s">
        <v>35</v>
      </c>
      <c r="C10" s="15" t="s">
        <v>36</v>
      </c>
      <c r="D10" s="15" t="s">
        <v>36</v>
      </c>
      <c r="E10" s="15" t="s">
        <v>36</v>
      </c>
      <c r="F10" s="15" t="s">
        <v>36</v>
      </c>
      <c r="G10" s="11"/>
      <c r="H10" s="135"/>
      <c r="I10" s="135"/>
      <c r="J10" s="15">
        <f>SUM(J8/I8)-1</f>
        <v>0.21191943714979922</v>
      </c>
      <c r="K10" s="15">
        <f t="shared" ref="K10:V10" si="10">SUM(K8/J8)-1</f>
        <v>0.21639319430840542</v>
      </c>
      <c r="L10" s="15">
        <f t="shared" si="10"/>
        <v>0.13868600433322031</v>
      </c>
      <c r="M10" s="15">
        <f t="shared" si="10"/>
        <v>5.6395320663095605E-2</v>
      </c>
      <c r="N10" s="15">
        <f t="shared" si="10"/>
        <v>0.11894589892941654</v>
      </c>
      <c r="O10" s="15">
        <f t="shared" si="10"/>
        <v>9.8537623368630145E-2</v>
      </c>
      <c r="P10" s="15">
        <f t="shared" si="10"/>
        <v>-1</v>
      </c>
      <c r="Q10" s="15" t="e">
        <f t="shared" si="10"/>
        <v>#DIV/0!</v>
      </c>
      <c r="R10" s="15" t="e">
        <f t="shared" si="10"/>
        <v>#DIV/0!</v>
      </c>
      <c r="S10" s="15" t="e">
        <f t="shared" si="10"/>
        <v>#DIV/0!</v>
      </c>
      <c r="T10" s="15" t="e">
        <f t="shared" si="10"/>
        <v>#DIV/0!</v>
      </c>
      <c r="U10" s="15" t="e">
        <f t="shared" si="10"/>
        <v>#DIV/0!</v>
      </c>
      <c r="V10" s="15" t="e">
        <f t="shared" si="10"/>
        <v>#DIV/0!</v>
      </c>
      <c r="W10" s="5"/>
      <c r="X10" s="15" t="s">
        <v>36</v>
      </c>
      <c r="Y10" s="15" t="s">
        <v>36</v>
      </c>
      <c r="Z10" s="15" t="s">
        <v>36</v>
      </c>
      <c r="AA10" s="15" t="s">
        <v>36</v>
      </c>
      <c r="AB10" s="15" t="s">
        <v>36</v>
      </c>
      <c r="AC10" s="15" t="s">
        <v>36</v>
      </c>
      <c r="AD10" s="15" t="s">
        <v>36</v>
      </c>
      <c r="AE10" s="15" t="s">
        <v>36</v>
      </c>
      <c r="AF10" s="15" t="s">
        <v>36</v>
      </c>
      <c r="AG10" s="15" t="s">
        <v>36</v>
      </c>
      <c r="AH10" s="15" t="s">
        <v>36</v>
      </c>
      <c r="AI10" s="15" t="s">
        <v>36</v>
      </c>
      <c r="AK10" s="114"/>
    </row>
    <row r="11" spans="2:37" ht="5.0999999999999996" customHeight="1">
      <c r="B11" s="16"/>
      <c r="C11" s="17"/>
      <c r="D11" s="17"/>
      <c r="E11" s="17"/>
      <c r="F11" s="17"/>
      <c r="G11" s="18"/>
      <c r="H11" s="19"/>
      <c r="I11" s="19"/>
      <c r="J11" s="19"/>
      <c r="K11" s="19"/>
      <c r="L11" s="20"/>
      <c r="M11" s="19"/>
      <c r="N11" s="19"/>
      <c r="O11" s="19"/>
      <c r="P11" s="20"/>
      <c r="Q11" s="19"/>
      <c r="R11" s="19"/>
      <c r="S11" s="19"/>
      <c r="T11" s="19"/>
      <c r="U11" s="19"/>
      <c r="V11" s="19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K11" s="114"/>
    </row>
    <row r="12" spans="2:37" ht="12.75" customHeight="1">
      <c r="B12" s="21" t="s">
        <v>37</v>
      </c>
      <c r="C12" s="85" t="e">
        <f>'Historical Financials'!#REF!</f>
        <v>#REF!</v>
      </c>
      <c r="D12" s="85"/>
      <c r="E12" s="85"/>
      <c r="F12" s="85"/>
      <c r="G12" s="10"/>
      <c r="H12" s="85">
        <f>'Historical Financials'!G13</f>
        <v>-25441.045999999998</v>
      </c>
      <c r="I12" s="85">
        <f>'Historical Financials'!H13</f>
        <v>-26135.614000000001</v>
      </c>
      <c r="J12" s="85">
        <f>'Historical Financials'!I13</f>
        <v>-31433.495999999999</v>
      </c>
      <c r="K12" s="85">
        <f>'Historical Financials'!J13</f>
        <v>-35804.843999999997</v>
      </c>
      <c r="L12" s="85">
        <f>'Historical Financials'!K13</f>
        <v>-40400.544000000002</v>
      </c>
      <c r="M12" s="85">
        <f>'Historical Financials'!L13</f>
        <v>-43433.188000000002</v>
      </c>
      <c r="N12" s="85">
        <f>'Historical Financials'!M13</f>
        <v>-42622.012999999999</v>
      </c>
      <c r="O12" s="85">
        <f>'Historical Financials'!N13</f>
        <v>-42817.255000000005</v>
      </c>
      <c r="P12" s="85">
        <f>'Historical Financials'!O13</f>
        <v>-42767</v>
      </c>
      <c r="Q12" s="85">
        <f>'Historical Financials'!P13</f>
        <v>-49738</v>
      </c>
      <c r="R12" s="85"/>
      <c r="S12" s="85"/>
      <c r="T12" s="85"/>
      <c r="U12" s="85"/>
      <c r="V12" s="85"/>
      <c r="W12" s="5"/>
      <c r="X12" s="10">
        <f>SUM(G12:K12)</f>
        <v>-118815</v>
      </c>
      <c r="Y12" s="10">
        <f t="shared" ref="Y12:AH12" si="11">SUM(I12:L12)</f>
        <v>-133774.49799999999</v>
      </c>
      <c r="Z12" s="10">
        <f t="shared" si="11"/>
        <v>-151072.07199999999</v>
      </c>
      <c r="AA12" s="10">
        <f t="shared" si="11"/>
        <v>-162260.58900000001</v>
      </c>
      <c r="AB12" s="10">
        <f t="shared" si="11"/>
        <v>-169273</v>
      </c>
      <c r="AC12" s="10">
        <f t="shared" si="11"/>
        <v>-171639.45600000001</v>
      </c>
      <c r="AD12" s="10">
        <f t="shared" si="11"/>
        <v>-177944.26800000001</v>
      </c>
      <c r="AE12" s="10">
        <f t="shared" si="11"/>
        <v>-135322.255</v>
      </c>
      <c r="AF12" s="10">
        <f t="shared" si="11"/>
        <v>-92505</v>
      </c>
      <c r="AG12" s="10">
        <f t="shared" si="11"/>
        <v>-49738</v>
      </c>
      <c r="AH12" s="10">
        <f t="shared" si="11"/>
        <v>0</v>
      </c>
      <c r="AI12" s="10">
        <f>SUM(S12:V12)</f>
        <v>0</v>
      </c>
      <c r="AK12" s="115">
        <f>SUM(AI12/AE12)-1</f>
        <v>-1</v>
      </c>
    </row>
    <row r="13" spans="2:37" ht="12.75" customHeight="1">
      <c r="B13" s="23" t="s">
        <v>24</v>
      </c>
      <c r="C13" s="24" t="e">
        <f>+C8+C12</f>
        <v>#REF!</v>
      </c>
      <c r="D13" s="24">
        <f>+D8+D12</f>
        <v>0</v>
      </c>
      <c r="E13" s="24">
        <f>+E8+E12</f>
        <v>0</v>
      </c>
      <c r="F13" s="24">
        <f>+F8+F12</f>
        <v>0</v>
      </c>
      <c r="G13" s="5"/>
      <c r="H13" s="24">
        <f t="shared" ref="H13" si="12">+H8+H12</f>
        <v>3662.0470000000023</v>
      </c>
      <c r="I13" s="24">
        <f t="shared" ref="I13:V13" si="13">+I8+I12</f>
        <v>7769.3929999999964</v>
      </c>
      <c r="J13" s="24">
        <f t="shared" si="13"/>
        <v>9656.6410000000033</v>
      </c>
      <c r="K13" s="24">
        <f t="shared" si="13"/>
        <v>14176.919000000009</v>
      </c>
      <c r="L13" s="24">
        <f t="shared" si="13"/>
        <v>16512.989999999998</v>
      </c>
      <c r="M13" s="24">
        <f t="shared" si="13"/>
        <v>16690.002999999997</v>
      </c>
      <c r="N13" s="24">
        <f t="shared" si="13"/>
        <v>24652.584999999999</v>
      </c>
      <c r="O13" s="24">
        <f t="shared" si="13"/>
        <v>31086.421999999991</v>
      </c>
      <c r="P13" s="24">
        <f t="shared" si="13"/>
        <v>-42767</v>
      </c>
      <c r="Q13" s="24">
        <f t="shared" si="13"/>
        <v>-49738</v>
      </c>
      <c r="R13" s="24">
        <f t="shared" si="13"/>
        <v>0</v>
      </c>
      <c r="S13" s="24">
        <f t="shared" si="13"/>
        <v>0</v>
      </c>
      <c r="T13" s="24">
        <f t="shared" si="13"/>
        <v>0</v>
      </c>
      <c r="U13" s="24">
        <f t="shared" si="13"/>
        <v>0</v>
      </c>
      <c r="V13" s="24">
        <f t="shared" si="13"/>
        <v>0</v>
      </c>
      <c r="W13" s="5"/>
      <c r="X13" s="24">
        <f t="shared" ref="X13:AH13" si="14">+X8+X12</f>
        <v>35265</v>
      </c>
      <c r="Y13" s="24">
        <f t="shared" si="14"/>
        <v>48115.942999999999</v>
      </c>
      <c r="Z13" s="24">
        <f t="shared" si="14"/>
        <v>57036.553000000014</v>
      </c>
      <c r="AA13" s="24">
        <f t="shared" si="14"/>
        <v>72032.497000000003</v>
      </c>
      <c r="AB13" s="24">
        <f t="shared" si="14"/>
        <v>88942</v>
      </c>
      <c r="AC13" s="24">
        <f t="shared" si="14"/>
        <v>-171639.45600000001</v>
      </c>
      <c r="AD13" s="24">
        <f t="shared" si="14"/>
        <v>-177944.26800000001</v>
      </c>
      <c r="AE13" s="24">
        <f t="shared" si="14"/>
        <v>-135322.255</v>
      </c>
      <c r="AF13" s="24">
        <f t="shared" si="14"/>
        <v>-92505</v>
      </c>
      <c r="AG13" s="24">
        <f t="shared" si="14"/>
        <v>-49738</v>
      </c>
      <c r="AH13" s="24">
        <f t="shared" si="14"/>
        <v>0</v>
      </c>
      <c r="AI13" s="24">
        <f>+AI8+AI12</f>
        <v>0</v>
      </c>
      <c r="AK13" s="116">
        <f>SUM(AI13/AE13)-1</f>
        <v>-1</v>
      </c>
    </row>
    <row r="14" spans="2:37" ht="12.75" customHeight="1">
      <c r="B14" s="14" t="s">
        <v>38</v>
      </c>
      <c r="C14" s="15" t="e">
        <f>C13/C8</f>
        <v>#REF!</v>
      </c>
      <c r="D14" s="15" t="e">
        <f>D13/D8</f>
        <v>#DIV/0!</v>
      </c>
      <c r="E14" s="15" t="e">
        <f>E13/E8</f>
        <v>#DIV/0!</v>
      </c>
      <c r="F14" s="15" t="e">
        <f>F13/F8</f>
        <v>#DIV/0!</v>
      </c>
      <c r="G14" s="25"/>
      <c r="H14" s="15">
        <f t="shared" ref="H14" si="15">H13/H8</f>
        <v>0.12583016519927975</v>
      </c>
      <c r="I14" s="15">
        <f t="shared" ref="I14:V14" si="16">I13/I8</f>
        <v>0.22915178870188693</v>
      </c>
      <c r="J14" s="15">
        <f t="shared" si="16"/>
        <v>0.23501116581821088</v>
      </c>
      <c r="K14" s="15">
        <f t="shared" si="16"/>
        <v>0.28364183552308886</v>
      </c>
      <c r="L14" s="15">
        <f t="shared" si="16"/>
        <v>0.29014170864877231</v>
      </c>
      <c r="M14" s="15">
        <f t="shared" si="16"/>
        <v>0.27759675962641434</v>
      </c>
      <c r="N14" s="15">
        <f t="shared" si="16"/>
        <v>0.36644715439250936</v>
      </c>
      <c r="O14" s="15">
        <f t="shared" si="16"/>
        <v>0.42063430754602366</v>
      </c>
      <c r="P14" s="15" t="e">
        <f t="shared" si="16"/>
        <v>#DIV/0!</v>
      </c>
      <c r="Q14" s="15" t="e">
        <f t="shared" si="16"/>
        <v>#DIV/0!</v>
      </c>
      <c r="R14" s="15" t="e">
        <f t="shared" si="16"/>
        <v>#DIV/0!</v>
      </c>
      <c r="S14" s="15" t="e">
        <f t="shared" si="16"/>
        <v>#DIV/0!</v>
      </c>
      <c r="T14" s="15" t="e">
        <f t="shared" si="16"/>
        <v>#DIV/0!</v>
      </c>
      <c r="U14" s="15" t="e">
        <f t="shared" si="16"/>
        <v>#DIV/0!</v>
      </c>
      <c r="V14" s="15" t="e">
        <f t="shared" si="16"/>
        <v>#DIV/0!</v>
      </c>
      <c r="W14" s="26"/>
      <c r="X14" s="15">
        <f t="shared" ref="X14:AH14" si="17">X13/X8</f>
        <v>0.22887461059190031</v>
      </c>
      <c r="Y14" s="15">
        <f t="shared" si="17"/>
        <v>0.26453255451725471</v>
      </c>
      <c r="Z14" s="15">
        <f t="shared" si="17"/>
        <v>0.27407106745335524</v>
      </c>
      <c r="AA14" s="15">
        <f t="shared" si="17"/>
        <v>0.30744610619879753</v>
      </c>
      <c r="AB14" s="15">
        <f t="shared" si="17"/>
        <v>0.34444939294773735</v>
      </c>
      <c r="AC14" s="15" t="e">
        <f t="shared" si="17"/>
        <v>#DIV/0!</v>
      </c>
      <c r="AD14" s="15" t="e">
        <f t="shared" si="17"/>
        <v>#DIV/0!</v>
      </c>
      <c r="AE14" s="15" t="e">
        <f t="shared" si="17"/>
        <v>#DIV/0!</v>
      </c>
      <c r="AF14" s="15" t="e">
        <f t="shared" si="17"/>
        <v>#DIV/0!</v>
      </c>
      <c r="AG14" s="15" t="e">
        <f t="shared" si="17"/>
        <v>#DIV/0!</v>
      </c>
      <c r="AH14" s="15" t="e">
        <f t="shared" si="17"/>
        <v>#DIV/0!</v>
      </c>
      <c r="AI14" s="15" t="e">
        <f>AI13/AI8</f>
        <v>#DIV/0!</v>
      </c>
      <c r="AK14" s="117" t="e">
        <f>SUM(AI14-AE14)*10000</f>
        <v>#DIV/0!</v>
      </c>
    </row>
    <row r="15" spans="2:37" ht="5.0999999999999996" customHeight="1">
      <c r="B15" s="27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5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K15" s="114"/>
    </row>
    <row r="16" spans="2:37" ht="12.75" customHeight="1">
      <c r="B16" s="21" t="s">
        <v>126</v>
      </c>
      <c r="C16" s="85" t="e">
        <f>'Historical Financials'!#REF!</f>
        <v>#REF!</v>
      </c>
      <c r="D16" s="85"/>
      <c r="E16" s="85"/>
      <c r="F16" s="85"/>
      <c r="G16" s="85"/>
      <c r="H16" s="85">
        <f>'Historical Financials'!G17</f>
        <v>-624.11099999999999</v>
      </c>
      <c r="I16" s="85">
        <f>'Historical Financials'!H17</f>
        <v>-873.38599999999997</v>
      </c>
      <c r="J16" s="85">
        <f>'Historical Financials'!I17</f>
        <v>-1041.9469999999999</v>
      </c>
      <c r="K16" s="85">
        <f>'Historical Financials'!J17</f>
        <v>-1074.5560000000005</v>
      </c>
      <c r="L16" s="85">
        <f>'Historical Financials'!K17</f>
        <v>-855.351</v>
      </c>
      <c r="M16" s="85">
        <f>'Historical Financials'!L17</f>
        <v>-1403.26</v>
      </c>
      <c r="N16" s="85">
        <f>'Historical Financials'!M17</f>
        <v>-595.90300000000002</v>
      </c>
      <c r="O16" s="85">
        <f>'Historical Financials'!N17</f>
        <v>-445.48599999999988</v>
      </c>
      <c r="P16" s="85">
        <f>'Historical Financials'!O17</f>
        <v>-450</v>
      </c>
      <c r="Q16" s="85">
        <f>'Historical Financials'!P17</f>
        <v>-560</v>
      </c>
      <c r="R16" s="85"/>
      <c r="S16" s="85"/>
      <c r="T16" s="85"/>
      <c r="U16" s="85"/>
      <c r="V16" s="85"/>
      <c r="W16" s="5"/>
      <c r="X16" s="10">
        <f t="shared" ref="X16:X19" si="18">SUM(G16:K16)</f>
        <v>-3614</v>
      </c>
      <c r="Y16" s="10">
        <f t="shared" ref="Y16:Y19" si="19">SUM(I16:L16)</f>
        <v>-3845.2400000000002</v>
      </c>
      <c r="Z16" s="10">
        <f t="shared" ref="Z16:Z19" si="20">SUM(J16:M16)</f>
        <v>-4375.1140000000005</v>
      </c>
      <c r="AA16" s="10">
        <f t="shared" ref="AA16:AA19" si="21">SUM(K16:N16)</f>
        <v>-3929.0700000000006</v>
      </c>
      <c r="AB16" s="10">
        <f t="shared" ref="AB16:AB19" si="22">SUM(L16:O16)</f>
        <v>-3300</v>
      </c>
      <c r="AC16" s="10">
        <f t="shared" ref="AC16:AC19" si="23">SUM(M16:P16)</f>
        <v>-2894.6489999999999</v>
      </c>
      <c r="AD16" s="10">
        <f t="shared" ref="AD16:AD19" si="24">SUM(N16:Q16)</f>
        <v>-2051.3890000000001</v>
      </c>
      <c r="AE16" s="10">
        <f t="shared" ref="AE16:AE19" si="25">SUM(O16:R16)</f>
        <v>-1455.4859999999999</v>
      </c>
      <c r="AF16" s="10">
        <f t="shared" ref="AF16:AF19" si="26">SUM(P16:S16)</f>
        <v>-1010</v>
      </c>
      <c r="AG16" s="10">
        <f t="shared" ref="AG16:AG19" si="27">SUM(Q16:T16)</f>
        <v>-560</v>
      </c>
      <c r="AH16" s="10">
        <f t="shared" ref="AH16:AH19" si="28">SUM(R16:U16)</f>
        <v>0</v>
      </c>
      <c r="AI16" s="10">
        <f t="shared" ref="AI16:AI19" si="29">SUM(S16:V16)</f>
        <v>0</v>
      </c>
      <c r="AK16" s="115">
        <f>SUM(AI16/AE16)-1</f>
        <v>-1</v>
      </c>
    </row>
    <row r="17" spans="2:37" ht="12.75" customHeight="1">
      <c r="B17" s="21" t="s">
        <v>127</v>
      </c>
      <c r="C17" s="85" t="e">
        <f>'Historical Financials'!#REF!</f>
        <v>#REF!</v>
      </c>
      <c r="D17" s="85"/>
      <c r="E17" s="85"/>
      <c r="F17" s="85"/>
      <c r="G17" s="85"/>
      <c r="H17" s="85">
        <f>'Historical Financials'!G19</f>
        <v>-178.83799999999999</v>
      </c>
      <c r="I17" s="85">
        <f>'Historical Financials'!H19</f>
        <v>-178.83799999999999</v>
      </c>
      <c r="J17" s="85">
        <f>'Historical Financials'!I19</f>
        <v>-178.83799999999999</v>
      </c>
      <c r="K17" s="85">
        <f>'Historical Financials'!J19</f>
        <v>-178.48599999999999</v>
      </c>
      <c r="L17" s="85">
        <f>'Historical Financials'!K19</f>
        <v>-178.83799999999999</v>
      </c>
      <c r="M17" s="85">
        <f>'Historical Financials'!L19</f>
        <v>-178.83799999999999</v>
      </c>
      <c r="N17" s="85">
        <f>'Historical Financials'!M19</f>
        <v>-178.83799999999999</v>
      </c>
      <c r="O17" s="85">
        <f>'Historical Financials'!N19</f>
        <v>-187.48599999999999</v>
      </c>
      <c r="P17" s="85">
        <f>'Historical Financials'!O19</f>
        <v>-193</v>
      </c>
      <c r="Q17" s="85">
        <f>'Historical Financials'!P19</f>
        <v>-142</v>
      </c>
      <c r="R17" s="85"/>
      <c r="S17" s="85"/>
      <c r="T17" s="85"/>
      <c r="U17" s="85"/>
      <c r="V17" s="85"/>
      <c r="W17" s="5"/>
      <c r="X17" s="10">
        <f t="shared" si="18"/>
        <v>-715</v>
      </c>
      <c r="Y17" s="10">
        <f t="shared" si="19"/>
        <v>-715</v>
      </c>
      <c r="Z17" s="10">
        <f t="shared" si="20"/>
        <v>-714.99999999999989</v>
      </c>
      <c r="AA17" s="10">
        <f t="shared" si="21"/>
        <v>-714.99999999999989</v>
      </c>
      <c r="AB17" s="10">
        <f t="shared" si="22"/>
        <v>-724</v>
      </c>
      <c r="AC17" s="10">
        <f t="shared" si="23"/>
        <v>-738.16200000000003</v>
      </c>
      <c r="AD17" s="10">
        <f t="shared" si="24"/>
        <v>-701.32399999999996</v>
      </c>
      <c r="AE17" s="10">
        <f t="shared" si="25"/>
        <v>-522.48599999999999</v>
      </c>
      <c r="AF17" s="10">
        <f t="shared" si="26"/>
        <v>-335</v>
      </c>
      <c r="AG17" s="10">
        <f t="shared" si="27"/>
        <v>-142</v>
      </c>
      <c r="AH17" s="10">
        <f t="shared" si="28"/>
        <v>0</v>
      </c>
      <c r="AI17" s="10">
        <f t="shared" si="29"/>
        <v>0</v>
      </c>
      <c r="AK17" s="115">
        <f t="shared" ref="AK17:AK18" si="30">SUM(AI17/AE17)-1</f>
        <v>-1</v>
      </c>
    </row>
    <row r="18" spans="2:37" ht="12.75" customHeight="1">
      <c r="B18" s="21" t="s">
        <v>128</v>
      </c>
      <c r="C18" s="85" t="e">
        <f>'Historical Financials'!#REF!</f>
        <v>#REF!</v>
      </c>
      <c r="D18" s="85"/>
      <c r="E18" s="85"/>
      <c r="F18" s="85"/>
      <c r="G18" s="85"/>
      <c r="H18" s="85" t="e">
        <f>'Historical Financials'!#REF!</f>
        <v>#REF!</v>
      </c>
      <c r="I18" s="85" t="e">
        <f>'Historical Financials'!#REF!</f>
        <v>#REF!</v>
      </c>
      <c r="J18" s="85" t="e">
        <f>'Historical Financials'!#REF!</f>
        <v>#REF!</v>
      </c>
      <c r="K18" s="85" t="e">
        <f>'Historical Financials'!#REF!</f>
        <v>#REF!</v>
      </c>
      <c r="L18" s="85" t="e">
        <f>'Historical Financials'!#REF!</f>
        <v>#REF!</v>
      </c>
      <c r="M18" s="85" t="e">
        <f>'Historical Financials'!#REF!</f>
        <v>#REF!</v>
      </c>
      <c r="N18" s="85" t="e">
        <f>'Historical Financials'!#REF!</f>
        <v>#REF!</v>
      </c>
      <c r="O18" s="85" t="e">
        <f>'Historical Financials'!#REF!</f>
        <v>#REF!</v>
      </c>
      <c r="P18" s="85" t="e">
        <f>'Historical Financials'!#REF!</f>
        <v>#REF!</v>
      </c>
      <c r="Q18" s="85" t="e">
        <f>'Historical Financials'!#REF!</f>
        <v>#REF!</v>
      </c>
      <c r="R18" s="85"/>
      <c r="S18" s="85"/>
      <c r="T18" s="85"/>
      <c r="U18" s="85"/>
      <c r="V18" s="85"/>
      <c r="W18" s="5"/>
      <c r="X18" s="10" t="e">
        <f t="shared" si="18"/>
        <v>#REF!</v>
      </c>
      <c r="Y18" s="10" t="e">
        <f t="shared" si="19"/>
        <v>#REF!</v>
      </c>
      <c r="Z18" s="10" t="e">
        <f t="shared" si="20"/>
        <v>#REF!</v>
      </c>
      <c r="AA18" s="10" t="e">
        <f t="shared" si="21"/>
        <v>#REF!</v>
      </c>
      <c r="AB18" s="10" t="e">
        <f t="shared" si="22"/>
        <v>#REF!</v>
      </c>
      <c r="AC18" s="10" t="e">
        <f t="shared" si="23"/>
        <v>#REF!</v>
      </c>
      <c r="AD18" s="10" t="e">
        <f t="shared" si="24"/>
        <v>#REF!</v>
      </c>
      <c r="AE18" s="10" t="e">
        <f t="shared" si="25"/>
        <v>#REF!</v>
      </c>
      <c r="AF18" s="10" t="e">
        <f t="shared" si="26"/>
        <v>#REF!</v>
      </c>
      <c r="AG18" s="10" t="e">
        <f t="shared" si="27"/>
        <v>#REF!</v>
      </c>
      <c r="AH18" s="10">
        <f t="shared" si="28"/>
        <v>0</v>
      </c>
      <c r="AI18" s="10">
        <f t="shared" si="29"/>
        <v>0</v>
      </c>
      <c r="AK18" s="115" t="e">
        <f t="shared" si="30"/>
        <v>#REF!</v>
      </c>
    </row>
    <row r="19" spans="2:37" ht="12.75" customHeight="1">
      <c r="B19" s="21" t="s">
        <v>129</v>
      </c>
      <c r="C19" s="85" t="e">
        <f>'Historical Financials'!#REF!</f>
        <v>#REF!</v>
      </c>
      <c r="D19" s="85"/>
      <c r="E19" s="85"/>
      <c r="F19" s="85"/>
      <c r="G19" s="85"/>
      <c r="H19" s="85">
        <f>'Historical Financials'!G20</f>
        <v>-13699.575000000001</v>
      </c>
      <c r="I19" s="85">
        <f>'Historical Financials'!H20</f>
        <v>-11970.422</v>
      </c>
      <c r="J19" s="85">
        <f>'Historical Financials'!I20</f>
        <v>-12893.138999999999</v>
      </c>
      <c r="K19" s="85">
        <f>'Historical Financials'!J20</f>
        <v>-13894.864000000001</v>
      </c>
      <c r="L19" s="85">
        <f>'Historical Financials'!K20</f>
        <v>-14511.656000000001</v>
      </c>
      <c r="M19" s="85">
        <f>'Historical Financials'!L20</f>
        <v>-14247.558000000001</v>
      </c>
      <c r="N19" s="85">
        <f>'Historical Financials'!M20</f>
        <v>-14725.787</v>
      </c>
      <c r="O19" s="85">
        <f>'Historical Financials'!N20</f>
        <v>-15534.998999999996</v>
      </c>
      <c r="P19" s="85">
        <f>'Historical Financials'!O20</f>
        <v>-15639</v>
      </c>
      <c r="Q19" s="85">
        <f>'Historical Financials'!P20</f>
        <v>-16608</v>
      </c>
      <c r="R19" s="85"/>
      <c r="S19" s="85"/>
      <c r="T19" s="85"/>
      <c r="U19" s="85"/>
      <c r="V19" s="85"/>
      <c r="W19" s="5"/>
      <c r="X19" s="10">
        <f t="shared" si="18"/>
        <v>-52458</v>
      </c>
      <c r="Y19" s="10">
        <f t="shared" si="19"/>
        <v>-53270.081000000006</v>
      </c>
      <c r="Z19" s="10">
        <f t="shared" si="20"/>
        <v>-55547.217000000004</v>
      </c>
      <c r="AA19" s="10">
        <f t="shared" si="21"/>
        <v>-57379.865000000005</v>
      </c>
      <c r="AB19" s="10">
        <f t="shared" si="22"/>
        <v>-59020</v>
      </c>
      <c r="AC19" s="10">
        <f t="shared" si="23"/>
        <v>-60147.343999999997</v>
      </c>
      <c r="AD19" s="10">
        <f t="shared" si="24"/>
        <v>-62507.785999999993</v>
      </c>
      <c r="AE19" s="10">
        <f t="shared" si="25"/>
        <v>-47781.998999999996</v>
      </c>
      <c r="AF19" s="10">
        <f t="shared" si="26"/>
        <v>-32247</v>
      </c>
      <c r="AG19" s="10">
        <f t="shared" si="27"/>
        <v>-16608</v>
      </c>
      <c r="AH19" s="10">
        <f t="shared" si="28"/>
        <v>0</v>
      </c>
      <c r="AI19" s="10">
        <f t="shared" si="29"/>
        <v>0</v>
      </c>
      <c r="AK19" s="115">
        <f>SUM(AI19/AE19)-1</f>
        <v>-1</v>
      </c>
    </row>
    <row r="20" spans="2:37" ht="12.75" customHeight="1">
      <c r="B20" s="12" t="s">
        <v>39</v>
      </c>
      <c r="C20" s="13" t="e">
        <f>SUM(C13+SUM(C16:C19))</f>
        <v>#REF!</v>
      </c>
      <c r="D20" s="13">
        <f>SUM(D13+SUM(D16:D19))</f>
        <v>0</v>
      </c>
      <c r="E20" s="13">
        <f>SUM(E13+SUM(E16:E19))</f>
        <v>0</v>
      </c>
      <c r="F20" s="13">
        <f>SUM(F13+SUM(F16:F19))</f>
        <v>0</v>
      </c>
      <c r="G20" s="11"/>
      <c r="H20" s="13" t="e">
        <f t="shared" ref="H20" si="31">SUM(H13+SUM(H16:H19))</f>
        <v>#REF!</v>
      </c>
      <c r="I20" s="13" t="e">
        <f t="shared" ref="I20:V20" si="32">SUM(I13+SUM(I16:I19))</f>
        <v>#REF!</v>
      </c>
      <c r="J20" s="13" t="e">
        <f t="shared" si="32"/>
        <v>#REF!</v>
      </c>
      <c r="K20" s="13" t="e">
        <f t="shared" si="32"/>
        <v>#REF!</v>
      </c>
      <c r="L20" s="13" t="e">
        <f t="shared" si="32"/>
        <v>#REF!</v>
      </c>
      <c r="M20" s="13" t="e">
        <f t="shared" si="32"/>
        <v>#REF!</v>
      </c>
      <c r="N20" s="13" t="e">
        <f t="shared" si="32"/>
        <v>#REF!</v>
      </c>
      <c r="O20" s="13" t="e">
        <f t="shared" si="32"/>
        <v>#REF!</v>
      </c>
      <c r="P20" s="13" t="e">
        <f t="shared" si="32"/>
        <v>#REF!</v>
      </c>
      <c r="Q20" s="13" t="e">
        <f t="shared" si="32"/>
        <v>#REF!</v>
      </c>
      <c r="R20" s="13">
        <f t="shared" si="32"/>
        <v>0</v>
      </c>
      <c r="S20" s="13">
        <f t="shared" si="32"/>
        <v>0</v>
      </c>
      <c r="T20" s="13">
        <f t="shared" si="32"/>
        <v>0</v>
      </c>
      <c r="U20" s="13">
        <f t="shared" si="32"/>
        <v>0</v>
      </c>
      <c r="V20" s="13">
        <f t="shared" si="32"/>
        <v>0</v>
      </c>
      <c r="W20" s="5"/>
      <c r="X20" s="13" t="e">
        <f t="shared" ref="X20:AH20" si="33">SUM(X13+SUM(X16:X19))</f>
        <v>#REF!</v>
      </c>
      <c r="Y20" s="13" t="e">
        <f t="shared" si="33"/>
        <v>#REF!</v>
      </c>
      <c r="Z20" s="13" t="e">
        <f t="shared" si="33"/>
        <v>#REF!</v>
      </c>
      <c r="AA20" s="13" t="e">
        <f t="shared" si="33"/>
        <v>#REF!</v>
      </c>
      <c r="AB20" s="13" t="e">
        <f t="shared" si="33"/>
        <v>#REF!</v>
      </c>
      <c r="AC20" s="13" t="e">
        <f t="shared" si="33"/>
        <v>#REF!</v>
      </c>
      <c r="AD20" s="13" t="e">
        <f t="shared" si="33"/>
        <v>#REF!</v>
      </c>
      <c r="AE20" s="13" t="e">
        <f t="shared" si="33"/>
        <v>#REF!</v>
      </c>
      <c r="AF20" s="13" t="e">
        <f t="shared" si="33"/>
        <v>#REF!</v>
      </c>
      <c r="AG20" s="13" t="e">
        <f t="shared" si="33"/>
        <v>#REF!</v>
      </c>
      <c r="AH20" s="13">
        <f t="shared" si="33"/>
        <v>0</v>
      </c>
      <c r="AI20" s="13">
        <f>SUM(AI13+SUM(AI16:AI19))</f>
        <v>0</v>
      </c>
      <c r="AK20" s="116" t="e">
        <f>SUM(AI20/AE20)-1</f>
        <v>#REF!</v>
      </c>
    </row>
    <row r="21" spans="2:37" ht="12.75" customHeight="1">
      <c r="B21" s="14" t="s">
        <v>40</v>
      </c>
      <c r="C21" s="15" t="e">
        <f>C20/C8</f>
        <v>#REF!</v>
      </c>
      <c r="D21" s="15" t="e">
        <f>D20/D8</f>
        <v>#DIV/0!</v>
      </c>
      <c r="E21" s="15" t="e">
        <f>E20/E8</f>
        <v>#DIV/0!</v>
      </c>
      <c r="F21" s="15" t="e">
        <f>F20/F8</f>
        <v>#DIV/0!</v>
      </c>
      <c r="G21" s="25"/>
      <c r="H21" s="15" t="e">
        <f t="shared" ref="H21" si="34">H20/H8</f>
        <v>#REF!</v>
      </c>
      <c r="I21" s="15" t="e">
        <f t="shared" ref="I21:V21" si="35">I20/I8</f>
        <v>#REF!</v>
      </c>
      <c r="J21" s="15" t="e">
        <f t="shared" si="35"/>
        <v>#REF!</v>
      </c>
      <c r="K21" s="15" t="e">
        <f t="shared" si="35"/>
        <v>#REF!</v>
      </c>
      <c r="L21" s="15" t="e">
        <f t="shared" si="35"/>
        <v>#REF!</v>
      </c>
      <c r="M21" s="15" t="e">
        <f t="shared" si="35"/>
        <v>#REF!</v>
      </c>
      <c r="N21" s="15" t="e">
        <f t="shared" si="35"/>
        <v>#REF!</v>
      </c>
      <c r="O21" s="15" t="e">
        <f t="shared" si="35"/>
        <v>#REF!</v>
      </c>
      <c r="P21" s="15" t="e">
        <f t="shared" si="35"/>
        <v>#REF!</v>
      </c>
      <c r="Q21" s="15" t="e">
        <f t="shared" si="35"/>
        <v>#REF!</v>
      </c>
      <c r="R21" s="15" t="e">
        <f t="shared" si="35"/>
        <v>#DIV/0!</v>
      </c>
      <c r="S21" s="15" t="e">
        <f t="shared" si="35"/>
        <v>#DIV/0!</v>
      </c>
      <c r="T21" s="15" t="e">
        <f t="shared" si="35"/>
        <v>#DIV/0!</v>
      </c>
      <c r="U21" s="15" t="e">
        <f t="shared" si="35"/>
        <v>#DIV/0!</v>
      </c>
      <c r="V21" s="15" t="e">
        <f t="shared" si="35"/>
        <v>#DIV/0!</v>
      </c>
      <c r="W21" s="26"/>
      <c r="X21" s="15" t="e">
        <f t="shared" ref="X21:AH21" si="36">X20/X8</f>
        <v>#REF!</v>
      </c>
      <c r="Y21" s="15" t="e">
        <f t="shared" si="36"/>
        <v>#REF!</v>
      </c>
      <c r="Z21" s="15" t="e">
        <f t="shared" si="36"/>
        <v>#REF!</v>
      </c>
      <c r="AA21" s="15" t="e">
        <f t="shared" si="36"/>
        <v>#REF!</v>
      </c>
      <c r="AB21" s="15" t="e">
        <f t="shared" si="36"/>
        <v>#REF!</v>
      </c>
      <c r="AC21" s="15" t="e">
        <f t="shared" si="36"/>
        <v>#REF!</v>
      </c>
      <c r="AD21" s="15" t="e">
        <f t="shared" si="36"/>
        <v>#REF!</v>
      </c>
      <c r="AE21" s="15" t="e">
        <f t="shared" si="36"/>
        <v>#REF!</v>
      </c>
      <c r="AF21" s="15" t="e">
        <f t="shared" si="36"/>
        <v>#REF!</v>
      </c>
      <c r="AG21" s="15" t="e">
        <f t="shared" si="36"/>
        <v>#REF!</v>
      </c>
      <c r="AH21" s="15" t="e">
        <f t="shared" si="36"/>
        <v>#DIV/0!</v>
      </c>
      <c r="AI21" s="15" t="e">
        <f>AI20/AI8</f>
        <v>#DIV/0!</v>
      </c>
      <c r="AK21" s="117" t="e">
        <f>SUM(AI21-AE21)*10000</f>
        <v>#DIV/0!</v>
      </c>
    </row>
    <row r="22" spans="2:37" ht="5.0999999999999996" customHeight="1">
      <c r="AK22" s="114"/>
    </row>
    <row r="23" spans="2:37" ht="12.75" customHeight="1">
      <c r="B23" s="29" t="s">
        <v>41</v>
      </c>
      <c r="C23" s="112" t="e">
        <f>-C19</f>
        <v>#REF!</v>
      </c>
      <c r="D23" s="112"/>
      <c r="E23" s="112"/>
      <c r="F23" s="112"/>
      <c r="G23" s="136"/>
      <c r="H23" s="112">
        <f t="shared" ref="H23:Q23" si="37">-H19</f>
        <v>13699.575000000001</v>
      </c>
      <c r="I23" s="112">
        <f t="shared" si="37"/>
        <v>11970.422</v>
      </c>
      <c r="J23" s="112">
        <f t="shared" si="37"/>
        <v>12893.138999999999</v>
      </c>
      <c r="K23" s="112">
        <f t="shared" si="37"/>
        <v>13894.864000000001</v>
      </c>
      <c r="L23" s="112">
        <f t="shared" si="37"/>
        <v>14511.656000000001</v>
      </c>
      <c r="M23" s="112">
        <f t="shared" si="37"/>
        <v>14247.558000000001</v>
      </c>
      <c r="N23" s="112">
        <f t="shared" si="37"/>
        <v>14725.787</v>
      </c>
      <c r="O23" s="112">
        <f t="shared" si="37"/>
        <v>15534.998999999996</v>
      </c>
      <c r="P23" s="112">
        <f t="shared" si="37"/>
        <v>15639</v>
      </c>
      <c r="Q23" s="112">
        <f t="shared" si="37"/>
        <v>16608</v>
      </c>
      <c r="R23" s="112"/>
      <c r="S23" s="112"/>
      <c r="T23" s="112"/>
      <c r="U23" s="112"/>
      <c r="V23" s="112"/>
      <c r="X23" s="10">
        <f>SUM(G23:K23)</f>
        <v>52458</v>
      </c>
      <c r="Y23" s="10">
        <f t="shared" ref="Y23:AH23" si="38">SUM(I23:L23)</f>
        <v>53270.081000000006</v>
      </c>
      <c r="Z23" s="10">
        <f t="shared" si="38"/>
        <v>55547.217000000004</v>
      </c>
      <c r="AA23" s="10">
        <f t="shared" si="38"/>
        <v>57379.865000000005</v>
      </c>
      <c r="AB23" s="10">
        <f t="shared" si="38"/>
        <v>59020</v>
      </c>
      <c r="AC23" s="10">
        <f t="shared" si="38"/>
        <v>60147.343999999997</v>
      </c>
      <c r="AD23" s="10">
        <f t="shared" si="38"/>
        <v>62507.785999999993</v>
      </c>
      <c r="AE23" s="10">
        <f t="shared" si="38"/>
        <v>47781.998999999996</v>
      </c>
      <c r="AF23" s="10">
        <f t="shared" si="38"/>
        <v>32247</v>
      </c>
      <c r="AG23" s="10">
        <f t="shared" si="38"/>
        <v>16608</v>
      </c>
      <c r="AH23" s="10">
        <f t="shared" si="38"/>
        <v>0</v>
      </c>
      <c r="AI23" s="10">
        <f>SUM(S23:V23)</f>
        <v>0</v>
      </c>
      <c r="AK23" s="115">
        <f>SUM(AI23/AE23)-1</f>
        <v>-1</v>
      </c>
    </row>
    <row r="24" spans="2:37" ht="12.75" customHeight="1">
      <c r="B24" s="23" t="s">
        <v>11</v>
      </c>
      <c r="C24" s="24" t="e">
        <f>SUM(C20+C23)</f>
        <v>#REF!</v>
      </c>
      <c r="D24" s="24">
        <f>SUM(D20+D23)</f>
        <v>0</v>
      </c>
      <c r="E24" s="24">
        <f>SUM(E20+E23)</f>
        <v>0</v>
      </c>
      <c r="F24" s="24">
        <f>SUM(F20+F23)</f>
        <v>0</v>
      </c>
      <c r="H24" s="24" t="e">
        <f t="shared" ref="H24" si="39">SUM(H20+H23)</f>
        <v>#REF!</v>
      </c>
      <c r="I24" s="24" t="e">
        <f t="shared" ref="I24:R24" si="40">SUM(I20+I23)</f>
        <v>#REF!</v>
      </c>
      <c r="J24" s="24" t="e">
        <f t="shared" si="40"/>
        <v>#REF!</v>
      </c>
      <c r="K24" s="24" t="e">
        <f t="shared" si="40"/>
        <v>#REF!</v>
      </c>
      <c r="L24" s="24" t="e">
        <f t="shared" si="40"/>
        <v>#REF!</v>
      </c>
      <c r="M24" s="24" t="e">
        <f t="shared" si="40"/>
        <v>#REF!</v>
      </c>
      <c r="N24" s="24" t="e">
        <f t="shared" si="40"/>
        <v>#REF!</v>
      </c>
      <c r="O24" s="24" t="e">
        <f t="shared" si="40"/>
        <v>#REF!</v>
      </c>
      <c r="P24" s="24" t="e">
        <f t="shared" si="40"/>
        <v>#REF!</v>
      </c>
      <c r="Q24" s="24" t="e">
        <f t="shared" si="40"/>
        <v>#REF!</v>
      </c>
      <c r="R24" s="24">
        <f t="shared" si="40"/>
        <v>0</v>
      </c>
      <c r="S24" s="24">
        <f>SUM(S20+S23)</f>
        <v>0</v>
      </c>
      <c r="T24" s="24">
        <f>SUM(T20+T23)</f>
        <v>0</v>
      </c>
      <c r="U24" s="24">
        <f>SUM(U20+U23)</f>
        <v>0</v>
      </c>
      <c r="V24" s="24">
        <f>SUM(V20+V23)</f>
        <v>0</v>
      </c>
      <c r="X24" s="24" t="e">
        <f t="shared" ref="X24:AH24" si="41">SUM(X20+X23)</f>
        <v>#REF!</v>
      </c>
      <c r="Y24" s="24" t="e">
        <f t="shared" si="41"/>
        <v>#REF!</v>
      </c>
      <c r="Z24" s="24" t="e">
        <f t="shared" si="41"/>
        <v>#REF!</v>
      </c>
      <c r="AA24" s="24" t="e">
        <f t="shared" si="41"/>
        <v>#REF!</v>
      </c>
      <c r="AB24" s="24" t="e">
        <f t="shared" si="41"/>
        <v>#REF!</v>
      </c>
      <c r="AC24" s="24" t="e">
        <f t="shared" si="41"/>
        <v>#REF!</v>
      </c>
      <c r="AD24" s="24" t="e">
        <f t="shared" si="41"/>
        <v>#REF!</v>
      </c>
      <c r="AE24" s="24" t="e">
        <f t="shared" si="41"/>
        <v>#REF!</v>
      </c>
      <c r="AF24" s="24" t="e">
        <f t="shared" si="41"/>
        <v>#REF!</v>
      </c>
      <c r="AG24" s="24" t="e">
        <f t="shared" si="41"/>
        <v>#REF!</v>
      </c>
      <c r="AH24" s="24">
        <f t="shared" si="41"/>
        <v>0</v>
      </c>
      <c r="AI24" s="24">
        <f>SUM(AI20+AI23)</f>
        <v>0</v>
      </c>
      <c r="AK24" s="116" t="e">
        <f>SUM(AI24/AE24)-1</f>
        <v>#REF!</v>
      </c>
    </row>
    <row r="25" spans="2:37" ht="12.75" customHeight="1">
      <c r="B25" s="14" t="s">
        <v>42</v>
      </c>
      <c r="C25" s="15" t="e">
        <f>C24/C8</f>
        <v>#REF!</v>
      </c>
      <c r="D25" s="15" t="e">
        <f>D24/D8</f>
        <v>#DIV/0!</v>
      </c>
      <c r="E25" s="15" t="e">
        <f>E24/E8</f>
        <v>#DIV/0!</v>
      </c>
      <c r="F25" s="15" t="e">
        <f>F24/F8</f>
        <v>#DIV/0!</v>
      </c>
      <c r="H25" s="15" t="e">
        <f t="shared" ref="H25" si="42">H24/H8</f>
        <v>#REF!</v>
      </c>
      <c r="I25" s="15" t="e">
        <f t="shared" ref="I25:V25" si="43">I24/I8</f>
        <v>#REF!</v>
      </c>
      <c r="J25" s="15" t="e">
        <f t="shared" si="43"/>
        <v>#REF!</v>
      </c>
      <c r="K25" s="15" t="e">
        <f t="shared" si="43"/>
        <v>#REF!</v>
      </c>
      <c r="L25" s="15" t="e">
        <f t="shared" si="43"/>
        <v>#REF!</v>
      </c>
      <c r="M25" s="15" t="e">
        <f t="shared" si="43"/>
        <v>#REF!</v>
      </c>
      <c r="N25" s="15" t="e">
        <f t="shared" si="43"/>
        <v>#REF!</v>
      </c>
      <c r="O25" s="15" t="e">
        <f t="shared" si="43"/>
        <v>#REF!</v>
      </c>
      <c r="P25" s="15" t="e">
        <f t="shared" si="43"/>
        <v>#REF!</v>
      </c>
      <c r="Q25" s="15" t="e">
        <f t="shared" si="43"/>
        <v>#REF!</v>
      </c>
      <c r="R25" s="15" t="e">
        <f t="shared" si="43"/>
        <v>#DIV/0!</v>
      </c>
      <c r="S25" s="15" t="e">
        <f t="shared" si="43"/>
        <v>#DIV/0!</v>
      </c>
      <c r="T25" s="15" t="e">
        <f t="shared" si="43"/>
        <v>#DIV/0!</v>
      </c>
      <c r="U25" s="15" t="e">
        <f t="shared" si="43"/>
        <v>#DIV/0!</v>
      </c>
      <c r="V25" s="15" t="e">
        <f t="shared" si="43"/>
        <v>#DIV/0!</v>
      </c>
      <c r="X25" s="15" t="e">
        <f t="shared" ref="X25:AH25" si="44">X24/X8</f>
        <v>#REF!</v>
      </c>
      <c r="Y25" s="15" t="e">
        <f t="shared" si="44"/>
        <v>#REF!</v>
      </c>
      <c r="Z25" s="15" t="e">
        <f t="shared" si="44"/>
        <v>#REF!</v>
      </c>
      <c r="AA25" s="15" t="e">
        <f t="shared" si="44"/>
        <v>#REF!</v>
      </c>
      <c r="AB25" s="15" t="e">
        <f t="shared" si="44"/>
        <v>#REF!</v>
      </c>
      <c r="AC25" s="15" t="e">
        <f t="shared" si="44"/>
        <v>#REF!</v>
      </c>
      <c r="AD25" s="15" t="e">
        <f t="shared" si="44"/>
        <v>#REF!</v>
      </c>
      <c r="AE25" s="15" t="e">
        <f t="shared" si="44"/>
        <v>#REF!</v>
      </c>
      <c r="AF25" s="15" t="e">
        <f t="shared" si="44"/>
        <v>#REF!</v>
      </c>
      <c r="AG25" s="15" t="e">
        <f t="shared" si="44"/>
        <v>#REF!</v>
      </c>
      <c r="AH25" s="15" t="e">
        <f t="shared" si="44"/>
        <v>#DIV/0!</v>
      </c>
      <c r="AI25" s="15" t="e">
        <f>AI24/AI8</f>
        <v>#DIV/0!</v>
      </c>
      <c r="AK25" s="117" t="e">
        <f>SUM(AI25-AE25)*10000</f>
        <v>#DIV/0!</v>
      </c>
    </row>
    <row r="26" spans="2:37" ht="5.0999999999999996" customHeight="1">
      <c r="AK26" s="114"/>
    </row>
    <row r="27" spans="2:37" ht="12.75" customHeight="1">
      <c r="B27" s="29" t="s">
        <v>43</v>
      </c>
      <c r="C27" s="85" t="e">
        <f>'Historical Financials'!#REF!</f>
        <v>#REF!</v>
      </c>
      <c r="D27" s="85"/>
      <c r="E27" s="85"/>
      <c r="F27" s="85"/>
      <c r="H27" s="85">
        <f>'Historical Financials'!G95</f>
        <v>2000</v>
      </c>
      <c r="I27" s="85">
        <f>'Historical Financials'!H95</f>
        <v>2638</v>
      </c>
      <c r="J27" s="85">
        <f>'Historical Financials'!I95</f>
        <v>8408</v>
      </c>
      <c r="K27" s="85">
        <f>'Historical Financials'!J95</f>
        <v>-12825</v>
      </c>
      <c r="L27" s="85">
        <f>'Historical Financials'!K95</f>
        <v>18096</v>
      </c>
      <c r="M27" s="85">
        <f>'Historical Financials'!L95</f>
        <v>18096</v>
      </c>
      <c r="N27" s="85">
        <f>'Historical Financials'!M95</f>
        <v>110947</v>
      </c>
      <c r="O27" s="85">
        <f>'Historical Financials'!N95</f>
        <v>-146712</v>
      </c>
      <c r="P27" s="85">
        <f>'Historical Financials'!O95</f>
        <v>23</v>
      </c>
      <c r="Q27" s="85">
        <f>'Historical Financials'!P95</f>
        <v>24</v>
      </c>
      <c r="R27" s="85"/>
      <c r="S27" s="85"/>
      <c r="T27" s="85"/>
      <c r="U27" s="85"/>
      <c r="V27" s="85"/>
      <c r="X27" s="10">
        <f>SUM(G27:K27)</f>
        <v>221</v>
      </c>
      <c r="Y27" s="10">
        <f t="shared" ref="Y27" si="45">SUM(I27:L27)</f>
        <v>16317</v>
      </c>
      <c r="Z27" s="10">
        <f t="shared" ref="Z27" si="46">SUM(J27:M27)</f>
        <v>31775</v>
      </c>
      <c r="AA27" s="10">
        <f t="shared" ref="AA27" si="47">SUM(K27:N27)</f>
        <v>134314</v>
      </c>
      <c r="AB27" s="10">
        <f t="shared" ref="AB27" si="48">SUM(L27:O27)</f>
        <v>427</v>
      </c>
      <c r="AC27" s="10">
        <f t="shared" ref="AC27" si="49">SUM(M27:P27)</f>
        <v>-17646</v>
      </c>
      <c r="AD27" s="10">
        <f t="shared" ref="AD27" si="50">SUM(N27:Q27)</f>
        <v>-35718</v>
      </c>
      <c r="AE27" s="10">
        <f t="shared" ref="AE27" si="51">SUM(O27:R27)</f>
        <v>-146665</v>
      </c>
      <c r="AF27" s="10">
        <f t="shared" ref="AF27" si="52">SUM(P27:S27)</f>
        <v>47</v>
      </c>
      <c r="AG27" s="10">
        <f t="shared" ref="AG27" si="53">SUM(Q27:T27)</f>
        <v>24</v>
      </c>
      <c r="AH27" s="10">
        <f t="shared" ref="AH27" si="54">SUM(R27:U27)</f>
        <v>0</v>
      </c>
      <c r="AI27" s="10">
        <f t="shared" ref="AI27" si="55">SUM(S27:V27)</f>
        <v>0</v>
      </c>
      <c r="AK27" s="115">
        <f>SUM(AI27/AE27)-1</f>
        <v>-1</v>
      </c>
    </row>
    <row r="28" spans="2:37" ht="12.75" customHeight="1">
      <c r="B28" s="12" t="s">
        <v>44</v>
      </c>
      <c r="C28" s="13" t="e">
        <f>+SUM(C24+SUM(C27:C27))</f>
        <v>#REF!</v>
      </c>
      <c r="D28" s="13">
        <f>+SUM(D24+SUM(D27:D27))</f>
        <v>0</v>
      </c>
      <c r="E28" s="13">
        <f>+SUM(E24+SUM(E27:E27))</f>
        <v>0</v>
      </c>
      <c r="F28" s="13">
        <f>+SUM(F24+SUM(F27:F27))</f>
        <v>0</v>
      </c>
      <c r="G28" s="11"/>
      <c r="H28" s="13" t="e">
        <f t="shared" ref="H28:V28" si="56">+SUM(H24+SUM(H27:H27))</f>
        <v>#REF!</v>
      </c>
      <c r="I28" s="13" t="e">
        <f t="shared" si="56"/>
        <v>#REF!</v>
      </c>
      <c r="J28" s="13" t="e">
        <f t="shared" si="56"/>
        <v>#REF!</v>
      </c>
      <c r="K28" s="13" t="e">
        <f t="shared" si="56"/>
        <v>#REF!</v>
      </c>
      <c r="L28" s="13" t="e">
        <f t="shared" si="56"/>
        <v>#REF!</v>
      </c>
      <c r="M28" s="13" t="e">
        <f t="shared" si="56"/>
        <v>#REF!</v>
      </c>
      <c r="N28" s="13" t="e">
        <f t="shared" si="56"/>
        <v>#REF!</v>
      </c>
      <c r="O28" s="13" t="e">
        <f t="shared" si="56"/>
        <v>#REF!</v>
      </c>
      <c r="P28" s="13" t="e">
        <f t="shared" si="56"/>
        <v>#REF!</v>
      </c>
      <c r="Q28" s="13" t="e">
        <f t="shared" si="56"/>
        <v>#REF!</v>
      </c>
      <c r="R28" s="13">
        <f t="shared" si="56"/>
        <v>0</v>
      </c>
      <c r="S28" s="13">
        <f t="shared" si="56"/>
        <v>0</v>
      </c>
      <c r="T28" s="13">
        <f t="shared" si="56"/>
        <v>0</v>
      </c>
      <c r="U28" s="13">
        <f t="shared" si="56"/>
        <v>0</v>
      </c>
      <c r="V28" s="13">
        <f t="shared" si="56"/>
        <v>0</v>
      </c>
      <c r="X28" s="13" t="e">
        <f t="shared" ref="X28:AI28" si="57">+SUM(X24+SUM(X27:X27))</f>
        <v>#REF!</v>
      </c>
      <c r="Y28" s="13" t="e">
        <f t="shared" si="57"/>
        <v>#REF!</v>
      </c>
      <c r="Z28" s="13" t="e">
        <f t="shared" si="57"/>
        <v>#REF!</v>
      </c>
      <c r="AA28" s="13" t="e">
        <f t="shared" si="57"/>
        <v>#REF!</v>
      </c>
      <c r="AB28" s="13" t="e">
        <f t="shared" si="57"/>
        <v>#REF!</v>
      </c>
      <c r="AC28" s="13" t="e">
        <f t="shared" si="57"/>
        <v>#REF!</v>
      </c>
      <c r="AD28" s="13" t="e">
        <f t="shared" si="57"/>
        <v>#REF!</v>
      </c>
      <c r="AE28" s="13" t="e">
        <f t="shared" si="57"/>
        <v>#REF!</v>
      </c>
      <c r="AF28" s="13" t="e">
        <f t="shared" si="57"/>
        <v>#REF!</v>
      </c>
      <c r="AG28" s="13" t="e">
        <f t="shared" si="57"/>
        <v>#REF!</v>
      </c>
      <c r="AH28" s="13">
        <f t="shared" si="57"/>
        <v>0</v>
      </c>
      <c r="AI28" s="13">
        <f t="shared" si="57"/>
        <v>0</v>
      </c>
      <c r="AK28" s="116" t="e">
        <f>SUM(AI28/AE28)-1</f>
        <v>#REF!</v>
      </c>
    </row>
    <row r="29" spans="2:37" ht="12.75" customHeight="1">
      <c r="B29" s="14" t="s">
        <v>45</v>
      </c>
      <c r="C29" s="15" t="e">
        <f>C28/C8</f>
        <v>#REF!</v>
      </c>
      <c r="D29" s="15" t="e">
        <f>D28/D8</f>
        <v>#DIV/0!</v>
      </c>
      <c r="E29" s="15" t="e">
        <f>E28/E8</f>
        <v>#DIV/0!</v>
      </c>
      <c r="F29" s="15" t="e">
        <f>F28/F8</f>
        <v>#DIV/0!</v>
      </c>
      <c r="H29" s="15" t="e">
        <f t="shared" ref="H29:V29" si="58">H28/H8</f>
        <v>#REF!</v>
      </c>
      <c r="I29" s="15" t="e">
        <f t="shared" si="58"/>
        <v>#REF!</v>
      </c>
      <c r="J29" s="15" t="e">
        <f t="shared" si="58"/>
        <v>#REF!</v>
      </c>
      <c r="K29" s="15" t="e">
        <f t="shared" si="58"/>
        <v>#REF!</v>
      </c>
      <c r="L29" s="15" t="e">
        <f t="shared" si="58"/>
        <v>#REF!</v>
      </c>
      <c r="M29" s="15" t="e">
        <f t="shared" si="58"/>
        <v>#REF!</v>
      </c>
      <c r="N29" s="15" t="e">
        <f t="shared" si="58"/>
        <v>#REF!</v>
      </c>
      <c r="O29" s="15" t="e">
        <f t="shared" si="58"/>
        <v>#REF!</v>
      </c>
      <c r="P29" s="15" t="e">
        <f t="shared" si="58"/>
        <v>#REF!</v>
      </c>
      <c r="Q29" s="15" t="e">
        <f t="shared" si="58"/>
        <v>#REF!</v>
      </c>
      <c r="R29" s="15" t="e">
        <f t="shared" si="58"/>
        <v>#DIV/0!</v>
      </c>
      <c r="S29" s="15" t="e">
        <f t="shared" si="58"/>
        <v>#DIV/0!</v>
      </c>
      <c r="T29" s="15" t="e">
        <f t="shared" si="58"/>
        <v>#DIV/0!</v>
      </c>
      <c r="U29" s="15" t="e">
        <f t="shared" si="58"/>
        <v>#DIV/0!</v>
      </c>
      <c r="V29" s="15" t="e">
        <f t="shared" si="58"/>
        <v>#DIV/0!</v>
      </c>
      <c r="X29" s="15" t="e">
        <f t="shared" ref="X29:AI29" si="59">X28/X8</f>
        <v>#REF!</v>
      </c>
      <c r="Y29" s="15" t="e">
        <f t="shared" si="59"/>
        <v>#REF!</v>
      </c>
      <c r="Z29" s="15" t="e">
        <f t="shared" si="59"/>
        <v>#REF!</v>
      </c>
      <c r="AA29" s="15" t="e">
        <f t="shared" si="59"/>
        <v>#REF!</v>
      </c>
      <c r="AB29" s="15" t="e">
        <f t="shared" si="59"/>
        <v>#REF!</v>
      </c>
      <c r="AC29" s="15" t="e">
        <f t="shared" si="59"/>
        <v>#REF!</v>
      </c>
      <c r="AD29" s="15" t="e">
        <f t="shared" si="59"/>
        <v>#REF!</v>
      </c>
      <c r="AE29" s="15" t="e">
        <f t="shared" si="59"/>
        <v>#REF!</v>
      </c>
      <c r="AF29" s="15" t="e">
        <f t="shared" si="59"/>
        <v>#REF!</v>
      </c>
      <c r="AG29" s="15" t="e">
        <f t="shared" si="59"/>
        <v>#REF!</v>
      </c>
      <c r="AH29" s="15" t="e">
        <f t="shared" si="59"/>
        <v>#DIV/0!</v>
      </c>
      <c r="AI29" s="15" t="e">
        <f t="shared" si="59"/>
        <v>#DIV/0!</v>
      </c>
      <c r="AK29" s="117" t="e">
        <f>SUM(AI29-AE29)*10000</f>
        <v>#DIV/0!</v>
      </c>
    </row>
    <row r="30" spans="2:37" ht="5.0999999999999996" customHeight="1">
      <c r="AK30" s="114"/>
    </row>
    <row r="31" spans="2:37" ht="12.75" customHeight="1">
      <c r="B31" s="21" t="s">
        <v>46</v>
      </c>
      <c r="C31" s="85" t="e">
        <f>SUM('Historical Financials'!#REF!+'Historical Financials'!#REF!)</f>
        <v>#REF!</v>
      </c>
      <c r="D31" s="85"/>
      <c r="E31" s="85"/>
      <c r="F31" s="85"/>
      <c r="H31" s="85">
        <f>SUM('Historical Financials'!G113+'Historical Financials'!G114)</f>
        <v>-2842085</v>
      </c>
      <c r="I31" s="85">
        <f>SUM('Historical Financials'!H113+'Historical Financials'!H114)</f>
        <v>-6782169</v>
      </c>
      <c r="J31" s="85">
        <f>SUM('Historical Financials'!I113+'Historical Financials'!I114)</f>
        <v>-10162650</v>
      </c>
      <c r="K31" s="85">
        <f>SUM('Historical Financials'!J113+'Historical Financials'!J114)</f>
        <v>19773393</v>
      </c>
      <c r="L31" s="85">
        <f>SUM('Historical Financials'!K113+'Historical Financials'!K114)</f>
        <v>-1944596</v>
      </c>
      <c r="M31" s="85">
        <f>SUM('Historical Financials'!L113+'Historical Financials'!L114)</f>
        <v>-2817229</v>
      </c>
      <c r="N31" s="85">
        <f>SUM('Historical Financials'!M113+'Historical Financials'!M114)</f>
        <v>-3573786</v>
      </c>
      <c r="O31" s="85">
        <f>SUM('Historical Financials'!N113+'Historical Financials'!N114)</f>
        <v>8321700</v>
      </c>
      <c r="P31" s="85">
        <f>SUM('Historical Financials'!O113+'Historical Financials'!O114)</f>
        <v>-2362</v>
      </c>
      <c r="Q31" s="85">
        <f>SUM('Historical Financials'!P113+'Historical Financials'!P114)</f>
        <v>-4727</v>
      </c>
      <c r="R31" s="85"/>
      <c r="S31" s="85"/>
      <c r="T31" s="85"/>
      <c r="U31" s="85"/>
      <c r="V31" s="85"/>
      <c r="X31" s="10">
        <f t="shared" ref="X31:X34" si="60">SUM(G31:K31)</f>
        <v>-13511</v>
      </c>
      <c r="Y31" s="10">
        <f t="shared" ref="Y31:Y34" si="61">SUM(I31:L31)</f>
        <v>883978</v>
      </c>
      <c r="Z31" s="10">
        <f t="shared" ref="Z31:Z34" si="62">SUM(J31:M31)</f>
        <v>4848918</v>
      </c>
      <c r="AA31" s="10">
        <f t="shared" ref="AA31:AA34" si="63">SUM(K31:N31)</f>
        <v>11437782</v>
      </c>
      <c r="AB31" s="10">
        <f t="shared" ref="AB31:AB34" si="64">SUM(L31:O31)</f>
        <v>-13911</v>
      </c>
      <c r="AC31" s="10">
        <f t="shared" ref="AC31:AC34" si="65">SUM(M31:P31)</f>
        <v>1928323</v>
      </c>
      <c r="AD31" s="10">
        <f t="shared" ref="AD31:AD34" si="66">SUM(N31:Q31)</f>
        <v>4740825</v>
      </c>
      <c r="AE31" s="10">
        <f t="shared" ref="AE31:AE34" si="67">SUM(O31:R31)</f>
        <v>8314611</v>
      </c>
      <c r="AF31" s="10">
        <f t="shared" ref="AF31:AF34" si="68">SUM(P31:S31)</f>
        <v>-7089</v>
      </c>
      <c r="AG31" s="10">
        <f t="shared" ref="AG31:AG34" si="69">SUM(Q31:T31)</f>
        <v>-4727</v>
      </c>
      <c r="AH31" s="10">
        <f t="shared" ref="AH31:AH34" si="70">SUM(R31:U31)</f>
        <v>0</v>
      </c>
      <c r="AI31" s="10">
        <f t="shared" ref="AI31:AI34" si="71">SUM(S31:V31)</f>
        <v>0</v>
      </c>
      <c r="AK31" s="115">
        <f>SUM(AI31/AE31)-1</f>
        <v>-1</v>
      </c>
    </row>
    <row r="32" spans="2:37" ht="12.75" customHeight="1">
      <c r="B32" s="21" t="s">
        <v>47</v>
      </c>
      <c r="C32" s="85" t="e">
        <f>'Historical Financials'!#REF!</f>
        <v>#REF!</v>
      </c>
      <c r="D32" s="85"/>
      <c r="E32" s="85"/>
      <c r="F32" s="85"/>
      <c r="H32" s="85">
        <f>'Historical Financials'!G31</f>
        <v>0</v>
      </c>
      <c r="I32" s="85">
        <f>'Historical Financials'!H31</f>
        <v>0</v>
      </c>
      <c r="J32" s="85">
        <f>'Historical Financials'!I31</f>
        <v>0</v>
      </c>
      <c r="K32" s="85">
        <f>'Historical Financials'!J31</f>
        <v>0</v>
      </c>
      <c r="L32" s="85">
        <f>'Historical Financials'!K31</f>
        <v>0</v>
      </c>
      <c r="M32" s="85">
        <f>'Historical Financials'!L31</f>
        <v>0</v>
      </c>
      <c r="N32" s="85">
        <f>'Historical Financials'!M31</f>
        <v>0</v>
      </c>
      <c r="O32" s="85">
        <f>'Historical Financials'!N31</f>
        <v>0</v>
      </c>
      <c r="P32" s="85">
        <f>'Historical Financials'!O31</f>
        <v>-595</v>
      </c>
      <c r="Q32" s="85">
        <f>'Historical Financials'!P31</f>
        <v>-3789</v>
      </c>
      <c r="R32" s="85"/>
      <c r="S32" s="85"/>
      <c r="T32" s="85"/>
      <c r="U32" s="85"/>
      <c r="V32" s="85"/>
      <c r="X32" s="10">
        <f t="shared" si="60"/>
        <v>0</v>
      </c>
      <c r="Y32" s="10">
        <f t="shared" si="61"/>
        <v>0</v>
      </c>
      <c r="Z32" s="10">
        <f t="shared" si="62"/>
        <v>0</v>
      </c>
      <c r="AA32" s="10">
        <f t="shared" si="63"/>
        <v>0</v>
      </c>
      <c r="AB32" s="10">
        <f t="shared" si="64"/>
        <v>0</v>
      </c>
      <c r="AC32" s="10">
        <f t="shared" si="65"/>
        <v>-595</v>
      </c>
      <c r="AD32" s="10">
        <f t="shared" si="66"/>
        <v>-4384</v>
      </c>
      <c r="AE32" s="10">
        <f t="shared" si="67"/>
        <v>-4384</v>
      </c>
      <c r="AF32" s="10">
        <f t="shared" si="68"/>
        <v>-4384</v>
      </c>
      <c r="AG32" s="10">
        <f t="shared" si="69"/>
        <v>-3789</v>
      </c>
      <c r="AH32" s="10">
        <f t="shared" si="70"/>
        <v>0</v>
      </c>
      <c r="AI32" s="10">
        <f t="shared" si="71"/>
        <v>0</v>
      </c>
      <c r="AK32" s="115">
        <f>SUM(AI32/AE32)-1</f>
        <v>-1</v>
      </c>
    </row>
    <row r="33" spans="1:37" ht="12.75" customHeight="1">
      <c r="B33" s="21" t="s">
        <v>97</v>
      </c>
      <c r="C33" s="78">
        <v>0</v>
      </c>
      <c r="D33" s="78"/>
      <c r="E33" s="78"/>
      <c r="F33" s="78"/>
      <c r="H33" s="78">
        <v>0</v>
      </c>
      <c r="I33" s="78">
        <v>0</v>
      </c>
      <c r="J33" s="78">
        <v>0</v>
      </c>
      <c r="K33" s="112">
        <f>D33</f>
        <v>0</v>
      </c>
      <c r="L33" s="78">
        <v>0</v>
      </c>
      <c r="M33" s="78">
        <v>0</v>
      </c>
      <c r="N33" s="78">
        <v>0</v>
      </c>
      <c r="O33" s="112">
        <f>E33</f>
        <v>0</v>
      </c>
      <c r="P33" s="78">
        <v>0</v>
      </c>
      <c r="Q33" s="78">
        <v>0</v>
      </c>
      <c r="R33" s="78"/>
      <c r="S33" s="112"/>
      <c r="T33" s="78"/>
      <c r="U33" s="78"/>
      <c r="V33" s="78"/>
      <c r="X33" s="10">
        <f t="shared" si="60"/>
        <v>0</v>
      </c>
      <c r="Y33" s="10">
        <f t="shared" si="61"/>
        <v>0</v>
      </c>
      <c r="Z33" s="10">
        <f t="shared" si="62"/>
        <v>0</v>
      </c>
      <c r="AA33" s="10">
        <f t="shared" si="63"/>
        <v>0</v>
      </c>
      <c r="AB33" s="10">
        <f t="shared" si="64"/>
        <v>0</v>
      </c>
      <c r="AC33" s="10">
        <f t="shared" si="65"/>
        <v>0</v>
      </c>
      <c r="AD33" s="10">
        <f t="shared" si="66"/>
        <v>0</v>
      </c>
      <c r="AE33" s="10">
        <f t="shared" si="67"/>
        <v>0</v>
      </c>
      <c r="AF33" s="10">
        <f t="shared" si="68"/>
        <v>0</v>
      </c>
      <c r="AG33" s="10">
        <f t="shared" si="69"/>
        <v>0</v>
      </c>
      <c r="AH33" s="10">
        <f t="shared" si="70"/>
        <v>0</v>
      </c>
      <c r="AI33" s="10">
        <f t="shared" si="71"/>
        <v>0</v>
      </c>
      <c r="AK33" s="115" t="e">
        <f>SUM(AI33/AE33)-1</f>
        <v>#DIV/0!</v>
      </c>
    </row>
    <row r="34" spans="1:37" ht="12.75" customHeight="1">
      <c r="B34" s="21" t="s">
        <v>48</v>
      </c>
      <c r="C34" s="85" t="e">
        <f>SUM('Historical Financials'!#REF!)</f>
        <v>#REF!</v>
      </c>
      <c r="D34" s="85"/>
      <c r="E34" s="85"/>
      <c r="F34" s="85"/>
      <c r="H34" s="85">
        <f>SUM('Historical Financials'!G103:G109)</f>
        <v>-11458236</v>
      </c>
      <c r="I34" s="85">
        <f>SUM('Historical Financials'!H103:H109)</f>
        <v>-14792236</v>
      </c>
      <c r="J34" s="85">
        <f>SUM('Historical Financials'!I103:I109)</f>
        <v>-18282379</v>
      </c>
      <c r="K34" s="85">
        <f>SUM('Historical Financials'!J103:J109)</f>
        <v>44481171</v>
      </c>
      <c r="L34" s="85">
        <f>SUM('Historical Financials'!K103:K109)</f>
        <v>-12526845</v>
      </c>
      <c r="M34" s="85">
        <f>SUM('Historical Financials'!L103:L109)</f>
        <v>-17586843</v>
      </c>
      <c r="N34" s="85">
        <f>SUM('Historical Financials'!M103:M109)</f>
        <v>-13724584</v>
      </c>
      <c r="O34" s="85">
        <f>SUM('Historical Financials'!N103:N109)</f>
        <v>43819986</v>
      </c>
      <c r="P34" s="85">
        <f>SUM('Historical Financials'!O103:O109)</f>
        <v>-24519</v>
      </c>
      <c r="Q34" s="85">
        <f>SUM('Historical Financials'!P103:P109)</f>
        <v>-16038</v>
      </c>
      <c r="R34" s="85"/>
      <c r="S34" s="85"/>
      <c r="T34" s="85"/>
      <c r="U34" s="85"/>
      <c r="V34" s="85"/>
      <c r="X34" s="10">
        <f t="shared" si="60"/>
        <v>-51680</v>
      </c>
      <c r="Y34" s="10">
        <f t="shared" si="61"/>
        <v>-1120289</v>
      </c>
      <c r="Z34" s="10">
        <f t="shared" si="62"/>
        <v>-3914896</v>
      </c>
      <c r="AA34" s="10">
        <f t="shared" si="63"/>
        <v>642899</v>
      </c>
      <c r="AB34" s="10">
        <f t="shared" si="64"/>
        <v>-18286</v>
      </c>
      <c r="AC34" s="10">
        <f t="shared" si="65"/>
        <v>12484040</v>
      </c>
      <c r="AD34" s="10">
        <f t="shared" si="66"/>
        <v>30054845</v>
      </c>
      <c r="AE34" s="10">
        <f t="shared" si="67"/>
        <v>43779429</v>
      </c>
      <c r="AF34" s="10">
        <f t="shared" si="68"/>
        <v>-40557</v>
      </c>
      <c r="AG34" s="10">
        <f t="shared" si="69"/>
        <v>-16038</v>
      </c>
      <c r="AH34" s="10">
        <f t="shared" si="70"/>
        <v>0</v>
      </c>
      <c r="AI34" s="10">
        <f t="shared" si="71"/>
        <v>0</v>
      </c>
      <c r="AK34" s="115">
        <f>SUM(AI34/AE34)-1</f>
        <v>-1</v>
      </c>
    </row>
    <row r="35" spans="1:37" ht="12.75" customHeight="1">
      <c r="B35" s="12" t="s">
        <v>49</v>
      </c>
      <c r="C35" s="13" t="e">
        <f>SUM(C28+SUM(C31:C34))</f>
        <v>#REF!</v>
      </c>
      <c r="D35" s="13">
        <f>SUM(D28+SUM(D31:D34))</f>
        <v>0</v>
      </c>
      <c r="E35" s="13">
        <f>SUM(E28+SUM(E31:E34))</f>
        <v>0</v>
      </c>
      <c r="F35" s="13">
        <f>SUM(F28+SUM(F31:F34))</f>
        <v>0</v>
      </c>
      <c r="H35" s="13" t="e">
        <f t="shared" ref="H35" si="72">SUM(H28+SUM(H31:H34))</f>
        <v>#REF!</v>
      </c>
      <c r="I35" s="13" t="e">
        <f t="shared" ref="I35:V35" si="73">SUM(I28+SUM(I31:I34))</f>
        <v>#REF!</v>
      </c>
      <c r="J35" s="13" t="e">
        <f t="shared" si="73"/>
        <v>#REF!</v>
      </c>
      <c r="K35" s="13" t="e">
        <f t="shared" si="73"/>
        <v>#REF!</v>
      </c>
      <c r="L35" s="13" t="e">
        <f t="shared" si="73"/>
        <v>#REF!</v>
      </c>
      <c r="M35" s="13" t="e">
        <f t="shared" si="73"/>
        <v>#REF!</v>
      </c>
      <c r="N35" s="13" t="e">
        <f t="shared" si="73"/>
        <v>#REF!</v>
      </c>
      <c r="O35" s="13" t="e">
        <f t="shared" si="73"/>
        <v>#REF!</v>
      </c>
      <c r="P35" s="13" t="e">
        <f t="shared" si="73"/>
        <v>#REF!</v>
      </c>
      <c r="Q35" s="13" t="e">
        <f t="shared" si="73"/>
        <v>#REF!</v>
      </c>
      <c r="R35" s="13">
        <f t="shared" si="73"/>
        <v>0</v>
      </c>
      <c r="S35" s="13">
        <f t="shared" si="73"/>
        <v>0</v>
      </c>
      <c r="T35" s="13">
        <f t="shared" si="73"/>
        <v>0</v>
      </c>
      <c r="U35" s="13">
        <f t="shared" si="73"/>
        <v>0</v>
      </c>
      <c r="V35" s="13">
        <f t="shared" si="73"/>
        <v>0</v>
      </c>
      <c r="X35" s="13" t="e">
        <f t="shared" ref="X35:AH35" si="74">SUM(X28+SUM(X31:X34))</f>
        <v>#REF!</v>
      </c>
      <c r="Y35" s="13" t="e">
        <f t="shared" si="74"/>
        <v>#REF!</v>
      </c>
      <c r="Z35" s="13" t="e">
        <f t="shared" si="74"/>
        <v>#REF!</v>
      </c>
      <c r="AA35" s="13" t="e">
        <f t="shared" si="74"/>
        <v>#REF!</v>
      </c>
      <c r="AB35" s="13" t="e">
        <f t="shared" si="74"/>
        <v>#REF!</v>
      </c>
      <c r="AC35" s="13" t="e">
        <f t="shared" si="74"/>
        <v>#REF!</v>
      </c>
      <c r="AD35" s="13" t="e">
        <f t="shared" si="74"/>
        <v>#REF!</v>
      </c>
      <c r="AE35" s="13" t="e">
        <f t="shared" si="74"/>
        <v>#REF!</v>
      </c>
      <c r="AF35" s="13" t="e">
        <f t="shared" si="74"/>
        <v>#REF!</v>
      </c>
      <c r="AG35" s="13" t="e">
        <f t="shared" si="74"/>
        <v>#REF!</v>
      </c>
      <c r="AH35" s="13">
        <f t="shared" si="74"/>
        <v>0</v>
      </c>
      <c r="AI35" s="13">
        <f>SUM(AI28+SUM(AI31:AI34))</f>
        <v>0</v>
      </c>
      <c r="AK35" s="116" t="e">
        <f>SUM(AI35/AE35)-1</f>
        <v>#REF!</v>
      </c>
    </row>
    <row r="36" spans="1:37" ht="5.0999999999999996" customHeight="1"/>
    <row r="37" spans="1:37" ht="12.75" customHeight="1">
      <c r="B37" s="29" t="s">
        <v>114</v>
      </c>
      <c r="C37" s="85" t="e">
        <f>'Historical Financials'!#REF!</f>
        <v>#REF!</v>
      </c>
      <c r="D37" s="85"/>
      <c r="E37" s="85"/>
      <c r="F37" s="85"/>
      <c r="G37" s="30"/>
      <c r="H37" s="85" t="e">
        <f>'Historical Financials'!#REF!</f>
        <v>#REF!</v>
      </c>
      <c r="I37" s="85" t="e">
        <f>'Historical Financials'!#REF!</f>
        <v>#REF!</v>
      </c>
      <c r="J37" s="85" t="e">
        <f>'Historical Financials'!#REF!</f>
        <v>#REF!</v>
      </c>
      <c r="K37" s="85" t="e">
        <f>'Historical Financials'!#REF!</f>
        <v>#REF!</v>
      </c>
      <c r="L37" s="85" t="e">
        <f>'Historical Financials'!#REF!</f>
        <v>#REF!</v>
      </c>
      <c r="M37" s="85" t="e">
        <f>'Historical Financials'!#REF!</f>
        <v>#REF!</v>
      </c>
      <c r="N37" s="85" t="e">
        <f>'Historical Financials'!#REF!</f>
        <v>#REF!</v>
      </c>
      <c r="O37" s="85" t="e">
        <f>'Historical Financials'!#REF!</f>
        <v>#REF!</v>
      </c>
      <c r="P37" s="85" t="e">
        <f>'Historical Financials'!#REF!</f>
        <v>#REF!</v>
      </c>
      <c r="Q37" s="85" t="e">
        <f>'Historical Financials'!#REF!</f>
        <v>#REF!</v>
      </c>
      <c r="R37" s="85"/>
      <c r="S37" s="85"/>
      <c r="T37" s="85"/>
      <c r="U37" s="85"/>
      <c r="V37" s="85"/>
      <c r="X37" s="10" t="e">
        <f>SUM(G37:K37)</f>
        <v>#REF!</v>
      </c>
      <c r="Y37" s="10" t="e">
        <f t="shared" ref="Y37:AI37" si="75">SUM(I37:L37)</f>
        <v>#REF!</v>
      </c>
      <c r="Z37" s="10" t="e">
        <f t="shared" si="75"/>
        <v>#REF!</v>
      </c>
      <c r="AA37" s="10" t="e">
        <f t="shared" si="75"/>
        <v>#REF!</v>
      </c>
      <c r="AB37" s="10" t="e">
        <f t="shared" si="75"/>
        <v>#REF!</v>
      </c>
      <c r="AC37" s="10" t="e">
        <f t="shared" si="75"/>
        <v>#REF!</v>
      </c>
      <c r="AD37" s="10" t="e">
        <f t="shared" si="75"/>
        <v>#REF!</v>
      </c>
      <c r="AE37" s="10" t="e">
        <f t="shared" si="75"/>
        <v>#REF!</v>
      </c>
      <c r="AF37" s="10" t="e">
        <f t="shared" si="75"/>
        <v>#REF!</v>
      </c>
      <c r="AG37" s="10" t="e">
        <f t="shared" si="75"/>
        <v>#REF!</v>
      </c>
      <c r="AH37" s="10">
        <f t="shared" si="75"/>
        <v>0</v>
      </c>
      <c r="AI37" s="10">
        <f t="shared" si="75"/>
        <v>0</v>
      </c>
    </row>
    <row r="38" spans="1:37" ht="12.75" customHeight="1">
      <c r="B38" s="29" t="s">
        <v>130</v>
      </c>
      <c r="C38" s="85" t="e">
        <f>SUM('Historical Financials'!#REF!)</f>
        <v>#REF!</v>
      </c>
      <c r="D38" s="85"/>
      <c r="E38" s="85"/>
      <c r="F38" s="85"/>
      <c r="G38" s="30"/>
      <c r="H38" s="85" t="e">
        <f>SUM('Historical Financials'!#REF!)</f>
        <v>#REF!</v>
      </c>
      <c r="I38" s="85" t="e">
        <f>SUM('Historical Financials'!#REF!)</f>
        <v>#REF!</v>
      </c>
      <c r="J38" s="85" t="e">
        <f>SUM('Historical Financials'!#REF!)</f>
        <v>#REF!</v>
      </c>
      <c r="K38" s="85" t="e">
        <f>SUM('Historical Financials'!#REF!)</f>
        <v>#REF!</v>
      </c>
      <c r="L38" s="85" t="e">
        <f>SUM('Historical Financials'!#REF!)</f>
        <v>#REF!</v>
      </c>
      <c r="M38" s="85" t="e">
        <f>SUM('Historical Financials'!#REF!)</f>
        <v>#REF!</v>
      </c>
      <c r="N38" s="85" t="e">
        <f>SUM('Historical Financials'!#REF!)</f>
        <v>#REF!</v>
      </c>
      <c r="O38" s="85" t="e">
        <f>SUM('Historical Financials'!#REF!)</f>
        <v>#REF!</v>
      </c>
      <c r="P38" s="85" t="e">
        <f>SUM('Historical Financials'!#REF!)</f>
        <v>#REF!</v>
      </c>
      <c r="Q38" s="85" t="e">
        <f>SUM('Historical Financials'!#REF!)</f>
        <v>#REF!</v>
      </c>
      <c r="R38" s="85"/>
      <c r="S38" s="85"/>
      <c r="T38" s="85"/>
      <c r="U38" s="85"/>
      <c r="V38" s="85"/>
      <c r="X38" s="10" t="e">
        <f t="shared" ref="X38:X43" si="76">SUM(G38:K38)</f>
        <v>#REF!</v>
      </c>
      <c r="Y38" s="10" t="e">
        <f t="shared" ref="Y38:Y43" si="77">SUM(I38:L38)</f>
        <v>#REF!</v>
      </c>
      <c r="Z38" s="10" t="e">
        <f t="shared" ref="Z38:Z43" si="78">SUM(J38:M38)</f>
        <v>#REF!</v>
      </c>
      <c r="AA38" s="10" t="e">
        <f t="shared" ref="AA38:AA43" si="79">SUM(K38:N38)</f>
        <v>#REF!</v>
      </c>
      <c r="AB38" s="10" t="e">
        <f t="shared" ref="AB38:AB43" si="80">SUM(L38:O38)</f>
        <v>#REF!</v>
      </c>
      <c r="AC38" s="10" t="e">
        <f t="shared" ref="AC38:AC43" si="81">SUM(M38:P38)</f>
        <v>#REF!</v>
      </c>
      <c r="AD38" s="10" t="e">
        <f t="shared" ref="AD38:AD43" si="82">SUM(N38:Q38)</f>
        <v>#REF!</v>
      </c>
      <c r="AE38" s="10" t="e">
        <f t="shared" ref="AE38:AE43" si="83">SUM(O38:R38)</f>
        <v>#REF!</v>
      </c>
      <c r="AF38" s="10" t="e">
        <f t="shared" ref="AF38:AF43" si="84">SUM(P38:S38)</f>
        <v>#REF!</v>
      </c>
      <c r="AG38" s="10" t="e">
        <f t="shared" ref="AG38:AG43" si="85">SUM(Q38:T38)</f>
        <v>#REF!</v>
      </c>
      <c r="AH38" s="10">
        <f t="shared" ref="AH38:AH43" si="86">SUM(R38:U38)</f>
        <v>0</v>
      </c>
      <c r="AI38" s="10">
        <f t="shared" ref="AI38:AI43" si="87">SUM(S38:V38)</f>
        <v>0</v>
      </c>
    </row>
    <row r="39" spans="1:37" ht="12.75" customHeight="1">
      <c r="B39" s="29" t="s">
        <v>131</v>
      </c>
      <c r="C39" s="85" t="e">
        <f>'Historical Financials'!#REF!</f>
        <v>#REF!</v>
      </c>
      <c r="D39" s="85"/>
      <c r="E39" s="85"/>
      <c r="F39" s="85"/>
      <c r="G39" s="30"/>
      <c r="H39" s="85" t="e">
        <f>'Historical Financials'!#REF!</f>
        <v>#REF!</v>
      </c>
      <c r="I39" s="85" t="e">
        <f>'Historical Financials'!#REF!</f>
        <v>#REF!</v>
      </c>
      <c r="J39" s="85" t="e">
        <f>'Historical Financials'!#REF!</f>
        <v>#REF!</v>
      </c>
      <c r="K39" s="85" t="e">
        <f>'Historical Financials'!#REF!</f>
        <v>#REF!</v>
      </c>
      <c r="L39" s="85" t="e">
        <f>'Historical Financials'!#REF!</f>
        <v>#REF!</v>
      </c>
      <c r="M39" s="85" t="e">
        <f>'Historical Financials'!#REF!</f>
        <v>#REF!</v>
      </c>
      <c r="N39" s="85" t="e">
        <f>'Historical Financials'!#REF!</f>
        <v>#REF!</v>
      </c>
      <c r="O39" s="85" t="e">
        <f>'Historical Financials'!#REF!</f>
        <v>#REF!</v>
      </c>
      <c r="P39" s="85" t="e">
        <f>'Historical Financials'!#REF!</f>
        <v>#REF!</v>
      </c>
      <c r="Q39" s="85" t="e">
        <f>'Historical Financials'!#REF!</f>
        <v>#REF!</v>
      </c>
      <c r="R39" s="85"/>
      <c r="S39" s="85"/>
      <c r="T39" s="85"/>
      <c r="U39" s="85"/>
      <c r="V39" s="85"/>
      <c r="X39" s="10" t="e">
        <f t="shared" si="76"/>
        <v>#REF!</v>
      </c>
      <c r="Y39" s="10" t="e">
        <f t="shared" si="77"/>
        <v>#REF!</v>
      </c>
      <c r="Z39" s="10" t="e">
        <f t="shared" si="78"/>
        <v>#REF!</v>
      </c>
      <c r="AA39" s="10" t="e">
        <f t="shared" si="79"/>
        <v>#REF!</v>
      </c>
      <c r="AB39" s="10" t="e">
        <f t="shared" si="80"/>
        <v>#REF!</v>
      </c>
      <c r="AC39" s="10" t="e">
        <f t="shared" si="81"/>
        <v>#REF!</v>
      </c>
      <c r="AD39" s="10" t="e">
        <f t="shared" si="82"/>
        <v>#REF!</v>
      </c>
      <c r="AE39" s="10" t="e">
        <f t="shared" si="83"/>
        <v>#REF!</v>
      </c>
      <c r="AF39" s="10" t="e">
        <f t="shared" si="84"/>
        <v>#REF!</v>
      </c>
      <c r="AG39" s="10" t="e">
        <f t="shared" si="85"/>
        <v>#REF!</v>
      </c>
      <c r="AH39" s="10">
        <f t="shared" si="86"/>
        <v>0</v>
      </c>
      <c r="AI39" s="10">
        <f t="shared" si="87"/>
        <v>0</v>
      </c>
    </row>
    <row r="40" spans="1:37" ht="12.75" customHeight="1">
      <c r="B40" s="29" t="s">
        <v>132</v>
      </c>
      <c r="C40" s="85" t="e">
        <f>'Historical Financials'!#REF!</f>
        <v>#REF!</v>
      </c>
      <c r="D40" s="85"/>
      <c r="E40" s="85"/>
      <c r="F40" s="85"/>
      <c r="G40" s="30"/>
      <c r="H40" s="85" t="e">
        <f>'Historical Financials'!#REF!</f>
        <v>#REF!</v>
      </c>
      <c r="I40" s="85" t="e">
        <f>'Historical Financials'!#REF!</f>
        <v>#REF!</v>
      </c>
      <c r="J40" s="85" t="e">
        <f>'Historical Financials'!#REF!</f>
        <v>#REF!</v>
      </c>
      <c r="K40" s="85" t="e">
        <f>'Historical Financials'!#REF!</f>
        <v>#REF!</v>
      </c>
      <c r="L40" s="85" t="e">
        <f>'Historical Financials'!#REF!</f>
        <v>#REF!</v>
      </c>
      <c r="M40" s="85" t="e">
        <f>'Historical Financials'!#REF!</f>
        <v>#REF!</v>
      </c>
      <c r="N40" s="85" t="e">
        <f>'Historical Financials'!#REF!</f>
        <v>#REF!</v>
      </c>
      <c r="O40" s="85" t="e">
        <f>'Historical Financials'!#REF!</f>
        <v>#REF!</v>
      </c>
      <c r="P40" s="85" t="e">
        <f>'Historical Financials'!#REF!</f>
        <v>#REF!</v>
      </c>
      <c r="Q40" s="85" t="e">
        <f>'Historical Financials'!#REF!</f>
        <v>#REF!</v>
      </c>
      <c r="R40" s="85"/>
      <c r="S40" s="85"/>
      <c r="T40" s="85"/>
      <c r="U40" s="85"/>
      <c r="V40" s="85"/>
      <c r="X40" s="10" t="e">
        <f t="shared" si="76"/>
        <v>#REF!</v>
      </c>
      <c r="Y40" s="10" t="e">
        <f t="shared" si="77"/>
        <v>#REF!</v>
      </c>
      <c r="Z40" s="10" t="e">
        <f t="shared" si="78"/>
        <v>#REF!</v>
      </c>
      <c r="AA40" s="10" t="e">
        <f t="shared" si="79"/>
        <v>#REF!</v>
      </c>
      <c r="AB40" s="10" t="e">
        <f t="shared" si="80"/>
        <v>#REF!</v>
      </c>
      <c r="AC40" s="10" t="e">
        <f t="shared" si="81"/>
        <v>#REF!</v>
      </c>
      <c r="AD40" s="10" t="e">
        <f t="shared" si="82"/>
        <v>#REF!</v>
      </c>
      <c r="AE40" s="10" t="e">
        <f t="shared" si="83"/>
        <v>#REF!</v>
      </c>
      <c r="AF40" s="10" t="e">
        <f t="shared" si="84"/>
        <v>#REF!</v>
      </c>
      <c r="AG40" s="10" t="e">
        <f t="shared" si="85"/>
        <v>#REF!</v>
      </c>
      <c r="AH40" s="10">
        <f t="shared" si="86"/>
        <v>0</v>
      </c>
      <c r="AI40" s="10">
        <f t="shared" si="87"/>
        <v>0</v>
      </c>
    </row>
    <row r="41" spans="1:37" ht="12.75" customHeight="1">
      <c r="B41" s="29" t="s">
        <v>115</v>
      </c>
      <c r="C41" s="85" t="e">
        <f>'Historical Financials'!#REF!</f>
        <v>#REF!</v>
      </c>
      <c r="D41" s="85"/>
      <c r="E41" s="85"/>
      <c r="F41" s="85"/>
      <c r="G41" s="30"/>
      <c r="H41" s="85" t="e">
        <f>'Historical Financials'!#REF!</f>
        <v>#REF!</v>
      </c>
      <c r="I41" s="85" t="e">
        <f>'Historical Financials'!#REF!</f>
        <v>#REF!</v>
      </c>
      <c r="J41" s="85" t="e">
        <f>'Historical Financials'!#REF!</f>
        <v>#REF!</v>
      </c>
      <c r="K41" s="85" t="e">
        <f>'Historical Financials'!#REF!</f>
        <v>#REF!</v>
      </c>
      <c r="L41" s="85" t="e">
        <f>'Historical Financials'!#REF!</f>
        <v>#REF!</v>
      </c>
      <c r="M41" s="85" t="e">
        <f>'Historical Financials'!#REF!</f>
        <v>#REF!</v>
      </c>
      <c r="N41" s="85" t="e">
        <f>'Historical Financials'!#REF!</f>
        <v>#REF!</v>
      </c>
      <c r="O41" s="85" t="e">
        <f>'Historical Financials'!#REF!</f>
        <v>#REF!</v>
      </c>
      <c r="P41" s="85" t="e">
        <f>'Historical Financials'!#REF!</f>
        <v>#REF!</v>
      </c>
      <c r="Q41" s="85" t="e">
        <f>'Historical Financials'!#REF!</f>
        <v>#REF!</v>
      </c>
      <c r="R41" s="85"/>
      <c r="S41" s="85"/>
      <c r="T41" s="85"/>
      <c r="U41" s="85"/>
      <c r="V41" s="85"/>
      <c r="X41" s="10" t="e">
        <f t="shared" si="76"/>
        <v>#REF!</v>
      </c>
      <c r="Y41" s="10" t="e">
        <f t="shared" si="77"/>
        <v>#REF!</v>
      </c>
      <c r="Z41" s="10" t="e">
        <f t="shared" si="78"/>
        <v>#REF!</v>
      </c>
      <c r="AA41" s="10" t="e">
        <f t="shared" si="79"/>
        <v>#REF!</v>
      </c>
      <c r="AB41" s="10" t="e">
        <f t="shared" si="80"/>
        <v>#REF!</v>
      </c>
      <c r="AC41" s="10" t="e">
        <f t="shared" si="81"/>
        <v>#REF!</v>
      </c>
      <c r="AD41" s="10" t="e">
        <f t="shared" si="82"/>
        <v>#REF!</v>
      </c>
      <c r="AE41" s="10" t="e">
        <f t="shared" si="83"/>
        <v>#REF!</v>
      </c>
      <c r="AF41" s="10" t="e">
        <f t="shared" si="84"/>
        <v>#REF!</v>
      </c>
      <c r="AG41" s="10" t="e">
        <f t="shared" si="85"/>
        <v>#REF!</v>
      </c>
      <c r="AH41" s="10">
        <f t="shared" si="86"/>
        <v>0</v>
      </c>
      <c r="AI41" s="10">
        <f t="shared" si="87"/>
        <v>0</v>
      </c>
    </row>
    <row r="42" spans="1:37" ht="12.75" customHeight="1">
      <c r="B42" s="29" t="s">
        <v>133</v>
      </c>
      <c r="C42" s="85" t="e">
        <f>'Historical Financials'!#REF!</f>
        <v>#REF!</v>
      </c>
      <c r="D42" s="85"/>
      <c r="E42" s="85"/>
      <c r="F42" s="85"/>
      <c r="G42" s="30"/>
      <c r="H42" s="85" t="e">
        <f>'Historical Financials'!#REF!</f>
        <v>#REF!</v>
      </c>
      <c r="I42" s="85" t="e">
        <f>'Historical Financials'!#REF!</f>
        <v>#REF!</v>
      </c>
      <c r="J42" s="85" t="e">
        <f>'Historical Financials'!#REF!</f>
        <v>#REF!</v>
      </c>
      <c r="K42" s="85" t="e">
        <f>'Historical Financials'!#REF!</f>
        <v>#REF!</v>
      </c>
      <c r="L42" s="85" t="e">
        <f>'Historical Financials'!#REF!</f>
        <v>#REF!</v>
      </c>
      <c r="M42" s="85" t="e">
        <f>'Historical Financials'!#REF!</f>
        <v>#REF!</v>
      </c>
      <c r="N42" s="85" t="e">
        <f>'Historical Financials'!#REF!</f>
        <v>#REF!</v>
      </c>
      <c r="O42" s="85" t="e">
        <f>'Historical Financials'!#REF!</f>
        <v>#REF!</v>
      </c>
      <c r="P42" s="85" t="e">
        <f>'Historical Financials'!#REF!</f>
        <v>#REF!</v>
      </c>
      <c r="Q42" s="85" t="e">
        <f>'Historical Financials'!#REF!</f>
        <v>#REF!</v>
      </c>
      <c r="R42" s="85"/>
      <c r="S42" s="85"/>
      <c r="T42" s="85"/>
      <c r="U42" s="85"/>
      <c r="V42" s="85"/>
      <c r="X42" s="10" t="e">
        <f t="shared" si="76"/>
        <v>#REF!</v>
      </c>
      <c r="Y42" s="10" t="e">
        <f t="shared" si="77"/>
        <v>#REF!</v>
      </c>
      <c r="Z42" s="10" t="e">
        <f t="shared" si="78"/>
        <v>#REF!</v>
      </c>
      <c r="AA42" s="10" t="e">
        <f t="shared" si="79"/>
        <v>#REF!</v>
      </c>
      <c r="AB42" s="10" t="e">
        <f t="shared" si="80"/>
        <v>#REF!</v>
      </c>
      <c r="AC42" s="10" t="e">
        <f t="shared" si="81"/>
        <v>#REF!</v>
      </c>
      <c r="AD42" s="10" t="e">
        <f t="shared" si="82"/>
        <v>#REF!</v>
      </c>
      <c r="AE42" s="10" t="e">
        <f t="shared" si="83"/>
        <v>#REF!</v>
      </c>
      <c r="AF42" s="10" t="e">
        <f t="shared" si="84"/>
        <v>#REF!</v>
      </c>
      <c r="AG42" s="10" t="e">
        <f t="shared" si="85"/>
        <v>#REF!</v>
      </c>
      <c r="AH42" s="10">
        <f t="shared" si="86"/>
        <v>0</v>
      </c>
      <c r="AI42" s="10">
        <f t="shared" si="87"/>
        <v>0</v>
      </c>
    </row>
    <row r="43" spans="1:37" ht="12.75" customHeight="1">
      <c r="B43" s="29" t="s">
        <v>89</v>
      </c>
      <c r="C43" s="30"/>
      <c r="D43" s="30"/>
      <c r="E43" s="30"/>
      <c r="F43" s="30"/>
      <c r="G43" s="30"/>
      <c r="H43" s="30" t="e">
        <f>SUM(H48:H49)-SUM(C48:C49)-SUM(H35:H42)</f>
        <v>#REF!</v>
      </c>
      <c r="I43" s="30" t="e">
        <f t="shared" ref="I43:Q43" si="88">SUM(I48:I49)-SUM(H48:H49)-SUM(I35:I42)</f>
        <v>#REF!</v>
      </c>
      <c r="J43" s="30" t="e">
        <f t="shared" si="88"/>
        <v>#REF!</v>
      </c>
      <c r="K43" s="30" t="e">
        <f t="shared" si="88"/>
        <v>#REF!</v>
      </c>
      <c r="L43" s="30" t="e">
        <f t="shared" si="88"/>
        <v>#REF!</v>
      </c>
      <c r="M43" s="30" t="e">
        <f t="shared" si="88"/>
        <v>#REF!</v>
      </c>
      <c r="N43" s="30" t="e">
        <f t="shared" si="88"/>
        <v>#REF!</v>
      </c>
      <c r="O43" s="30" t="e">
        <f t="shared" si="88"/>
        <v>#REF!</v>
      </c>
      <c r="P43" s="30" t="e">
        <f t="shared" si="88"/>
        <v>#REF!</v>
      </c>
      <c r="Q43" s="30" t="e">
        <f t="shared" si="88"/>
        <v>#REF!</v>
      </c>
      <c r="R43" s="30"/>
      <c r="S43" s="30"/>
      <c r="T43" s="30"/>
      <c r="U43" s="30"/>
      <c r="V43" s="30"/>
      <c r="X43" s="10" t="e">
        <f t="shared" si="76"/>
        <v>#REF!</v>
      </c>
      <c r="Y43" s="10" t="e">
        <f t="shared" si="77"/>
        <v>#REF!</v>
      </c>
      <c r="Z43" s="10" t="e">
        <f t="shared" si="78"/>
        <v>#REF!</v>
      </c>
      <c r="AA43" s="10" t="e">
        <f t="shared" si="79"/>
        <v>#REF!</v>
      </c>
      <c r="AB43" s="10" t="e">
        <f t="shared" si="80"/>
        <v>#REF!</v>
      </c>
      <c r="AC43" s="10" t="e">
        <f t="shared" si="81"/>
        <v>#REF!</v>
      </c>
      <c r="AD43" s="10" t="e">
        <f t="shared" si="82"/>
        <v>#REF!</v>
      </c>
      <c r="AE43" s="10" t="e">
        <f t="shared" si="83"/>
        <v>#REF!</v>
      </c>
      <c r="AF43" s="10" t="e">
        <f t="shared" si="84"/>
        <v>#REF!</v>
      </c>
      <c r="AG43" s="10" t="e">
        <f t="shared" si="85"/>
        <v>#REF!</v>
      </c>
      <c r="AH43" s="10">
        <f t="shared" si="86"/>
        <v>0</v>
      </c>
      <c r="AI43" s="10">
        <f t="shared" si="87"/>
        <v>0</v>
      </c>
    </row>
    <row r="44" spans="1:37" ht="12.75" customHeight="1">
      <c r="B44" s="12" t="s">
        <v>50</v>
      </c>
      <c r="C44" s="13" t="e">
        <f>SUM(C35+SUM(C37:C43))</f>
        <v>#REF!</v>
      </c>
      <c r="D44" s="13">
        <f>SUM(D35+SUM(D37:D43))</f>
        <v>0</v>
      </c>
      <c r="E44" s="13">
        <f>SUM(E35+SUM(E37:E43))</f>
        <v>0</v>
      </c>
      <c r="F44" s="13">
        <f>SUM(F35+SUM(F37:F43))</f>
        <v>0</v>
      </c>
      <c r="H44" s="13" t="e">
        <f t="shared" ref="H44:V44" si="89">SUM(H35+SUM(H37:H43))</f>
        <v>#REF!</v>
      </c>
      <c r="I44" s="13" t="e">
        <f t="shared" si="89"/>
        <v>#REF!</v>
      </c>
      <c r="J44" s="13" t="e">
        <f t="shared" si="89"/>
        <v>#REF!</v>
      </c>
      <c r="K44" s="13" t="e">
        <f t="shared" si="89"/>
        <v>#REF!</v>
      </c>
      <c r="L44" s="13" t="e">
        <f t="shared" si="89"/>
        <v>#REF!</v>
      </c>
      <c r="M44" s="13" t="e">
        <f t="shared" si="89"/>
        <v>#REF!</v>
      </c>
      <c r="N44" s="13" t="e">
        <f t="shared" si="89"/>
        <v>#REF!</v>
      </c>
      <c r="O44" s="13" t="e">
        <f t="shared" si="89"/>
        <v>#REF!</v>
      </c>
      <c r="P44" s="13" t="e">
        <f t="shared" si="89"/>
        <v>#REF!</v>
      </c>
      <c r="Q44" s="13" t="e">
        <f t="shared" si="89"/>
        <v>#REF!</v>
      </c>
      <c r="R44" s="13">
        <f t="shared" si="89"/>
        <v>0</v>
      </c>
      <c r="S44" s="13">
        <f t="shared" si="89"/>
        <v>0</v>
      </c>
      <c r="T44" s="13">
        <f t="shared" si="89"/>
        <v>0</v>
      </c>
      <c r="U44" s="13">
        <f t="shared" si="89"/>
        <v>0</v>
      </c>
      <c r="V44" s="13">
        <f t="shared" si="89"/>
        <v>0</v>
      </c>
      <c r="X44" s="13" t="e">
        <f t="shared" ref="X44:AI44" si="90">SUM(X35+SUM(X37:X43))</f>
        <v>#REF!</v>
      </c>
      <c r="Y44" s="13" t="e">
        <f t="shared" si="90"/>
        <v>#REF!</v>
      </c>
      <c r="Z44" s="13" t="e">
        <f t="shared" si="90"/>
        <v>#REF!</v>
      </c>
      <c r="AA44" s="13" t="e">
        <f t="shared" si="90"/>
        <v>#REF!</v>
      </c>
      <c r="AB44" s="13" t="e">
        <f t="shared" si="90"/>
        <v>#REF!</v>
      </c>
      <c r="AC44" s="13" t="e">
        <f t="shared" si="90"/>
        <v>#REF!</v>
      </c>
      <c r="AD44" s="13" t="e">
        <f t="shared" si="90"/>
        <v>#REF!</v>
      </c>
      <c r="AE44" s="13" t="e">
        <f t="shared" si="90"/>
        <v>#REF!</v>
      </c>
      <c r="AF44" s="13" t="e">
        <f t="shared" si="90"/>
        <v>#REF!</v>
      </c>
      <c r="AG44" s="13" t="e">
        <f t="shared" si="90"/>
        <v>#REF!</v>
      </c>
      <c r="AH44" s="13">
        <f t="shared" si="90"/>
        <v>0</v>
      </c>
      <c r="AI44" s="13">
        <f t="shared" si="90"/>
        <v>0</v>
      </c>
    </row>
    <row r="45" spans="1:37" ht="5.0999999999999996" customHeight="1"/>
    <row r="46" spans="1:37" ht="12.75" customHeight="1">
      <c r="A46" s="5"/>
      <c r="B46" s="31" t="s">
        <v>51</v>
      </c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</row>
    <row r="47" spans="1:37" ht="5.0999999999999996" customHeight="1"/>
    <row r="48" spans="1:37" ht="12.75" customHeight="1">
      <c r="B48" s="8" t="s">
        <v>52</v>
      </c>
      <c r="C48" s="85" t="e">
        <f>'Historical Financials'!#REF!</f>
        <v>#REF!</v>
      </c>
      <c r="D48" s="85"/>
      <c r="E48" s="85"/>
      <c r="F48" s="85"/>
      <c r="G48" s="30"/>
      <c r="H48" s="85">
        <f>'Historical Financials'!G46</f>
        <v>69504.945999999996</v>
      </c>
      <c r="I48" s="85">
        <f>'Historical Financials'!H46</f>
        <v>52415.053</v>
      </c>
      <c r="J48" s="85">
        <f>'Historical Financials'!I46</f>
        <v>34906.019999999997</v>
      </c>
      <c r="K48" s="85">
        <f>'Historical Financials'!J46</f>
        <v>86522</v>
      </c>
      <c r="L48" s="85">
        <f>'Historical Financials'!K46</f>
        <v>69204.163</v>
      </c>
      <c r="M48" s="85">
        <f>'Historical Financials'!L46</f>
        <v>62512.889000000003</v>
      </c>
      <c r="N48" s="85">
        <f>'Historical Financials'!M46</f>
        <v>74156.764999999999</v>
      </c>
      <c r="O48" s="85">
        <f>'Historical Financials'!N46</f>
        <v>51352</v>
      </c>
      <c r="P48" s="85">
        <f>'Historical Financials'!O46</f>
        <v>45325</v>
      </c>
      <c r="Q48" s="85">
        <f>'Historical Financials'!P46</f>
        <v>88244</v>
      </c>
      <c r="R48" s="85"/>
      <c r="S48" s="85"/>
      <c r="T48" s="85"/>
      <c r="U48" s="85"/>
      <c r="V48" s="85"/>
      <c r="X48" s="10">
        <f t="shared" ref="X48:AH48" si="91">K48</f>
        <v>86522</v>
      </c>
      <c r="Y48" s="10">
        <f t="shared" si="91"/>
        <v>69204.163</v>
      </c>
      <c r="Z48" s="10">
        <f t="shared" si="91"/>
        <v>62512.889000000003</v>
      </c>
      <c r="AA48" s="10">
        <f t="shared" si="91"/>
        <v>74156.764999999999</v>
      </c>
      <c r="AB48" s="10">
        <f t="shared" si="91"/>
        <v>51352</v>
      </c>
      <c r="AC48" s="10">
        <f t="shared" si="91"/>
        <v>45325</v>
      </c>
      <c r="AD48" s="10">
        <f t="shared" si="91"/>
        <v>88244</v>
      </c>
      <c r="AE48" s="10">
        <f t="shared" si="91"/>
        <v>0</v>
      </c>
      <c r="AF48" s="10">
        <f t="shared" si="91"/>
        <v>0</v>
      </c>
      <c r="AG48" s="10">
        <f t="shared" si="91"/>
        <v>0</v>
      </c>
      <c r="AH48" s="10">
        <f t="shared" si="91"/>
        <v>0</v>
      </c>
      <c r="AI48" s="10">
        <f>V48</f>
        <v>0</v>
      </c>
    </row>
    <row r="49" spans="2:35" ht="12.75" customHeight="1">
      <c r="B49" s="8" t="s">
        <v>108</v>
      </c>
      <c r="C49" s="85" t="e">
        <f>'Historical Financials'!#REF!</f>
        <v>#REF!</v>
      </c>
      <c r="D49" s="85"/>
      <c r="E49" s="85"/>
      <c r="F49" s="85"/>
      <c r="G49" s="30"/>
      <c r="H49" s="85">
        <f>'Historical Financials'!G49</f>
        <v>5519.3010000000004</v>
      </c>
      <c r="I49" s="85">
        <f>'Historical Financials'!H49</f>
        <v>5399.9279999999999</v>
      </c>
      <c r="J49" s="85">
        <f>'Historical Financials'!I49</f>
        <v>5372.4840000000004</v>
      </c>
      <c r="K49" s="85">
        <f>'Historical Financials'!J49</f>
        <v>5095</v>
      </c>
      <c r="L49" s="85">
        <f>'Historical Financials'!K49</f>
        <v>4378.6809999999996</v>
      </c>
      <c r="M49" s="85">
        <f>'Historical Financials'!L49</f>
        <v>5218.7349999999997</v>
      </c>
      <c r="N49" s="85">
        <f>'Historical Financials'!M49</f>
        <v>5107.4549999999999</v>
      </c>
      <c r="O49" s="85">
        <f>'Historical Financials'!N49</f>
        <v>5334</v>
      </c>
      <c r="P49" s="85">
        <f>'Historical Financials'!O49</f>
        <v>3741</v>
      </c>
      <c r="Q49" s="85">
        <f>'Historical Financials'!P49</f>
        <v>5524</v>
      </c>
      <c r="R49" s="85"/>
      <c r="S49" s="85"/>
      <c r="T49" s="85"/>
      <c r="U49" s="85"/>
      <c r="V49" s="85"/>
      <c r="X49" s="10">
        <f t="shared" ref="X49:X51" si="92">K49</f>
        <v>5095</v>
      </c>
      <c r="Y49" s="10">
        <f t="shared" ref="Y49:Y51" si="93">L49</f>
        <v>4378.6809999999996</v>
      </c>
      <c r="Z49" s="10">
        <f t="shared" ref="Z49:Z51" si="94">M49</f>
        <v>5218.7349999999997</v>
      </c>
      <c r="AA49" s="10">
        <f t="shared" ref="AA49:AA51" si="95">N49</f>
        <v>5107.4549999999999</v>
      </c>
      <c r="AB49" s="10">
        <f t="shared" ref="AB49:AB51" si="96">O49</f>
        <v>5334</v>
      </c>
      <c r="AC49" s="10">
        <f t="shared" ref="AC49:AC51" si="97">P49</f>
        <v>3741</v>
      </c>
      <c r="AD49" s="10">
        <f t="shared" ref="AD49:AD51" si="98">Q49</f>
        <v>5524</v>
      </c>
      <c r="AE49" s="10">
        <f t="shared" ref="AE49:AE51" si="99">R49</f>
        <v>0</v>
      </c>
      <c r="AF49" s="10">
        <f t="shared" ref="AF49:AF51" si="100">S49</f>
        <v>0</v>
      </c>
      <c r="AG49" s="10">
        <f t="shared" ref="AG49:AG51" si="101">T49</f>
        <v>0</v>
      </c>
      <c r="AH49" s="10">
        <f t="shared" ref="AH49:AH51" si="102">U49</f>
        <v>0</v>
      </c>
      <c r="AI49" s="10">
        <f t="shared" ref="AI49:AI51" si="103">V49</f>
        <v>0</v>
      </c>
    </row>
    <row r="50" spans="2:35" ht="12.75" customHeight="1">
      <c r="B50" s="8" t="s">
        <v>134</v>
      </c>
      <c r="C50" s="85" t="e">
        <f>'Historical Financials'!#REF!</f>
        <v>#REF!</v>
      </c>
      <c r="D50" s="85"/>
      <c r="E50" s="85"/>
      <c r="F50" s="85"/>
      <c r="G50" s="30"/>
      <c r="H50" s="85" t="e">
        <f>'Historical Financials'!#REF!</f>
        <v>#REF!</v>
      </c>
      <c r="I50" s="85" t="e">
        <f>'Historical Financials'!#REF!</f>
        <v>#REF!</v>
      </c>
      <c r="J50" s="85" t="e">
        <f>'Historical Financials'!#REF!</f>
        <v>#REF!</v>
      </c>
      <c r="K50" s="85" t="e">
        <f>'Historical Financials'!#REF!</f>
        <v>#REF!</v>
      </c>
      <c r="L50" s="85" t="e">
        <f>'Historical Financials'!#REF!</f>
        <v>#REF!</v>
      </c>
      <c r="M50" s="85" t="e">
        <f>'Historical Financials'!#REF!</f>
        <v>#REF!</v>
      </c>
      <c r="N50" s="85" t="e">
        <f>'Historical Financials'!#REF!</f>
        <v>#REF!</v>
      </c>
      <c r="O50" s="85" t="e">
        <f>'Historical Financials'!#REF!</f>
        <v>#REF!</v>
      </c>
      <c r="P50" s="85" t="e">
        <f>'Historical Financials'!#REF!</f>
        <v>#REF!</v>
      </c>
      <c r="Q50" s="85" t="e">
        <f>'Historical Financials'!#REF!</f>
        <v>#REF!</v>
      </c>
      <c r="R50" s="85"/>
      <c r="S50" s="85"/>
      <c r="T50" s="85"/>
      <c r="U50" s="85"/>
      <c r="V50" s="85"/>
      <c r="X50" s="10" t="e">
        <f t="shared" si="92"/>
        <v>#REF!</v>
      </c>
      <c r="Y50" s="10" t="e">
        <f t="shared" si="93"/>
        <v>#REF!</v>
      </c>
      <c r="Z50" s="10" t="e">
        <f t="shared" si="94"/>
        <v>#REF!</v>
      </c>
      <c r="AA50" s="10" t="e">
        <f t="shared" si="95"/>
        <v>#REF!</v>
      </c>
      <c r="AB50" s="10" t="e">
        <f t="shared" si="96"/>
        <v>#REF!</v>
      </c>
      <c r="AC50" s="10" t="e">
        <f t="shared" si="97"/>
        <v>#REF!</v>
      </c>
      <c r="AD50" s="10" t="e">
        <f t="shared" si="98"/>
        <v>#REF!</v>
      </c>
      <c r="AE50" s="10">
        <f t="shared" si="99"/>
        <v>0</v>
      </c>
      <c r="AF50" s="10">
        <f t="shared" si="100"/>
        <v>0</v>
      </c>
      <c r="AG50" s="10">
        <f t="shared" si="101"/>
        <v>0</v>
      </c>
      <c r="AH50" s="10">
        <f t="shared" si="102"/>
        <v>0</v>
      </c>
      <c r="AI50" s="10">
        <f t="shared" si="103"/>
        <v>0</v>
      </c>
    </row>
    <row r="51" spans="2:35" ht="12.75" customHeight="1">
      <c r="B51" s="8" t="s">
        <v>135</v>
      </c>
      <c r="C51" s="85" t="e">
        <f>'Historical Financials'!#REF!</f>
        <v>#REF!</v>
      </c>
      <c r="D51" s="85"/>
      <c r="E51" s="85"/>
      <c r="F51" s="85"/>
      <c r="G51" s="30"/>
      <c r="H51" s="85">
        <f>'Historical Financials'!G53</f>
        <v>53220.048000000003</v>
      </c>
      <c r="I51" s="85">
        <f>'Historical Financials'!H53</f>
        <v>54951.267</v>
      </c>
      <c r="J51" s="85">
        <f>'Historical Financials'!I53</f>
        <v>56946.008999999998</v>
      </c>
      <c r="K51" s="85">
        <f>'Historical Financials'!J53</f>
        <v>58261</v>
      </c>
      <c r="L51" s="85">
        <f>'Historical Financials'!K53</f>
        <v>57370.783000000003</v>
      </c>
      <c r="M51" s="85">
        <f>'Historical Financials'!L53</f>
        <v>56305.62</v>
      </c>
      <c r="N51" s="85">
        <f>'Historical Financials'!M53</f>
        <v>54814.607000000004</v>
      </c>
      <c r="O51" s="85">
        <f>'Historical Financials'!N53</f>
        <v>53835</v>
      </c>
      <c r="P51" s="85">
        <f>'Historical Financials'!O53</f>
        <v>55317</v>
      </c>
      <c r="Q51" s="85">
        <f>'Historical Financials'!P53</f>
        <v>54326</v>
      </c>
      <c r="R51" s="85"/>
      <c r="S51" s="85"/>
      <c r="T51" s="85"/>
      <c r="U51" s="85"/>
      <c r="V51" s="85"/>
      <c r="X51" s="10">
        <f t="shared" si="92"/>
        <v>58261</v>
      </c>
      <c r="Y51" s="10">
        <f t="shared" si="93"/>
        <v>57370.783000000003</v>
      </c>
      <c r="Z51" s="10">
        <f t="shared" si="94"/>
        <v>56305.62</v>
      </c>
      <c r="AA51" s="10">
        <f t="shared" si="95"/>
        <v>54814.607000000004</v>
      </c>
      <c r="AB51" s="10">
        <f t="shared" si="96"/>
        <v>53835</v>
      </c>
      <c r="AC51" s="10">
        <f t="shared" si="97"/>
        <v>55317</v>
      </c>
      <c r="AD51" s="10">
        <f t="shared" si="98"/>
        <v>54326</v>
      </c>
      <c r="AE51" s="10">
        <f t="shared" si="99"/>
        <v>0</v>
      </c>
      <c r="AF51" s="10">
        <f t="shared" si="100"/>
        <v>0</v>
      </c>
      <c r="AG51" s="10">
        <f t="shared" si="101"/>
        <v>0</v>
      </c>
      <c r="AH51" s="10">
        <f t="shared" si="102"/>
        <v>0</v>
      </c>
      <c r="AI51" s="10">
        <f t="shared" si="103"/>
        <v>0</v>
      </c>
    </row>
    <row r="52" spans="2:35" ht="12.75" customHeight="1">
      <c r="B52" s="12" t="s">
        <v>53</v>
      </c>
      <c r="C52" s="13" t="e">
        <f>SUM(C48:C51)</f>
        <v>#REF!</v>
      </c>
      <c r="D52" s="13">
        <f>SUM(D48:D51)</f>
        <v>0</v>
      </c>
      <c r="E52" s="13">
        <f>SUM(E48:E51)</f>
        <v>0</v>
      </c>
      <c r="F52" s="13">
        <f>SUM(F48:F51)</f>
        <v>0</v>
      </c>
      <c r="G52" s="30"/>
      <c r="H52" s="13" t="e">
        <f t="shared" ref="H52:AI52" si="104">SUM(H48:H51)</f>
        <v>#REF!</v>
      </c>
      <c r="I52" s="13" t="e">
        <f t="shared" si="104"/>
        <v>#REF!</v>
      </c>
      <c r="J52" s="13" t="e">
        <f t="shared" si="104"/>
        <v>#REF!</v>
      </c>
      <c r="K52" s="13" t="e">
        <f t="shared" si="104"/>
        <v>#REF!</v>
      </c>
      <c r="L52" s="13" t="e">
        <f t="shared" si="104"/>
        <v>#REF!</v>
      </c>
      <c r="M52" s="13" t="e">
        <f t="shared" si="104"/>
        <v>#REF!</v>
      </c>
      <c r="N52" s="13" t="e">
        <f t="shared" si="104"/>
        <v>#REF!</v>
      </c>
      <c r="O52" s="13" t="e">
        <f t="shared" si="104"/>
        <v>#REF!</v>
      </c>
      <c r="P52" s="13" t="e">
        <f t="shared" si="104"/>
        <v>#REF!</v>
      </c>
      <c r="Q52" s="13" t="e">
        <f t="shared" si="104"/>
        <v>#REF!</v>
      </c>
      <c r="R52" s="13">
        <f t="shared" si="104"/>
        <v>0</v>
      </c>
      <c r="S52" s="13">
        <f t="shared" si="104"/>
        <v>0</v>
      </c>
      <c r="T52" s="13">
        <f t="shared" si="104"/>
        <v>0</v>
      </c>
      <c r="U52" s="13">
        <f t="shared" si="104"/>
        <v>0</v>
      </c>
      <c r="V52" s="13">
        <f t="shared" si="104"/>
        <v>0</v>
      </c>
      <c r="X52" s="13" t="e">
        <f t="shared" si="104"/>
        <v>#REF!</v>
      </c>
      <c r="Y52" s="13" t="e">
        <f t="shared" si="104"/>
        <v>#REF!</v>
      </c>
      <c r="Z52" s="13" t="e">
        <f t="shared" si="104"/>
        <v>#REF!</v>
      </c>
      <c r="AA52" s="13" t="e">
        <f t="shared" si="104"/>
        <v>#REF!</v>
      </c>
      <c r="AB52" s="13" t="e">
        <f t="shared" si="104"/>
        <v>#REF!</v>
      </c>
      <c r="AC52" s="13" t="e">
        <f t="shared" si="104"/>
        <v>#REF!</v>
      </c>
      <c r="AD52" s="13" t="e">
        <f t="shared" si="104"/>
        <v>#REF!</v>
      </c>
      <c r="AE52" s="13">
        <f t="shared" si="104"/>
        <v>0</v>
      </c>
      <c r="AF52" s="13">
        <f t="shared" si="104"/>
        <v>0</v>
      </c>
      <c r="AG52" s="13">
        <f t="shared" si="104"/>
        <v>0</v>
      </c>
      <c r="AH52" s="13">
        <f t="shared" si="104"/>
        <v>0</v>
      </c>
      <c r="AI52" s="13">
        <f t="shared" si="104"/>
        <v>0</v>
      </c>
    </row>
    <row r="53" spans="2:35" ht="5.0999999999999996" customHeight="1"/>
    <row r="54" spans="2:35" ht="12.75" customHeight="1">
      <c r="B54" s="33" t="s">
        <v>54</v>
      </c>
    </row>
    <row r="55" spans="2:35" ht="12.75" customHeight="1">
      <c r="B55" s="8" t="s">
        <v>55</v>
      </c>
      <c r="C55" s="85" t="e">
        <f>'Historical Financials'!#REF!</f>
        <v>#REF!</v>
      </c>
      <c r="D55" s="85"/>
      <c r="E55" s="85"/>
      <c r="F55" s="85"/>
      <c r="H55" s="85" t="e">
        <f>'Historical Financials'!#REF!</f>
        <v>#REF!</v>
      </c>
      <c r="I55" s="85" t="e">
        <f>'Historical Financials'!#REF!</f>
        <v>#REF!</v>
      </c>
      <c r="J55" s="85" t="e">
        <f>'Historical Financials'!#REF!</f>
        <v>#REF!</v>
      </c>
      <c r="K55" s="85" t="e">
        <f>'Historical Financials'!#REF!</f>
        <v>#REF!</v>
      </c>
      <c r="L55" s="85" t="e">
        <f>'Historical Financials'!#REF!</f>
        <v>#REF!</v>
      </c>
      <c r="M55" s="85" t="e">
        <f>'Historical Financials'!#REF!</f>
        <v>#REF!</v>
      </c>
      <c r="N55" s="85" t="e">
        <f>'Historical Financials'!#REF!</f>
        <v>#REF!</v>
      </c>
      <c r="O55" s="85" t="e">
        <f>'Historical Financials'!#REF!</f>
        <v>#REF!</v>
      </c>
      <c r="P55" s="85" t="e">
        <f>'Historical Financials'!#REF!</f>
        <v>#REF!</v>
      </c>
      <c r="Q55" s="85" t="e">
        <f>'Historical Financials'!#REF!</f>
        <v>#REF!</v>
      </c>
      <c r="R55" s="85"/>
      <c r="S55" s="85"/>
      <c r="T55" s="85"/>
      <c r="U55" s="85"/>
      <c r="V55" s="85"/>
      <c r="W55" s="10"/>
      <c r="X55" s="10" t="e">
        <f t="shared" ref="X55:X61" si="105">K55</f>
        <v>#REF!</v>
      </c>
      <c r="Y55" s="10" t="e">
        <f t="shared" ref="Y55:Y61" si="106">L55</f>
        <v>#REF!</v>
      </c>
      <c r="Z55" s="10" t="e">
        <f t="shared" ref="Z55:Z61" si="107">M55</f>
        <v>#REF!</v>
      </c>
      <c r="AA55" s="10" t="e">
        <f t="shared" ref="AA55:AA61" si="108">N55</f>
        <v>#REF!</v>
      </c>
      <c r="AB55" s="10" t="e">
        <f t="shared" ref="AB55:AB61" si="109">O55</f>
        <v>#REF!</v>
      </c>
      <c r="AC55" s="10" t="e">
        <f t="shared" ref="AC55:AC61" si="110">P55</f>
        <v>#REF!</v>
      </c>
      <c r="AD55" s="10" t="e">
        <f t="shared" ref="AD55:AD61" si="111">Q55</f>
        <v>#REF!</v>
      </c>
      <c r="AE55" s="10">
        <f t="shared" ref="AE55:AE61" si="112">R55</f>
        <v>0</v>
      </c>
      <c r="AF55" s="10">
        <f t="shared" ref="AF55:AF61" si="113">S55</f>
        <v>0</v>
      </c>
      <c r="AG55" s="10">
        <f t="shared" ref="AG55:AG61" si="114">T55</f>
        <v>0</v>
      </c>
      <c r="AH55" s="10">
        <f t="shared" ref="AH55:AH61" si="115">U55</f>
        <v>0</v>
      </c>
      <c r="AI55" s="10">
        <f t="shared" ref="AI55:AI61" si="116">V55</f>
        <v>0</v>
      </c>
    </row>
    <row r="56" spans="2:35" ht="12.75" customHeight="1">
      <c r="B56" s="8" t="s">
        <v>56</v>
      </c>
      <c r="C56" s="85" t="e">
        <f>'Historical Financials'!#REF!</f>
        <v>#REF!</v>
      </c>
      <c r="D56" s="85"/>
      <c r="E56" s="85"/>
      <c r="F56" s="85"/>
      <c r="G56" s="85"/>
      <c r="H56" s="85">
        <f>'Historical Financials'!G61</f>
        <v>14115.135</v>
      </c>
      <c r="I56" s="85">
        <f>'Historical Financials'!H61</f>
        <v>11388.048000000001</v>
      </c>
      <c r="J56" s="85">
        <f>'Historical Financials'!I61</f>
        <v>25197.806</v>
      </c>
      <c r="K56" s="85">
        <f>'Historical Financials'!J61</f>
        <v>13229</v>
      </c>
      <c r="L56" s="85">
        <f>'Historical Financials'!K61</f>
        <v>12956.486000000001</v>
      </c>
      <c r="M56" s="85">
        <f>'Historical Financials'!L61</f>
        <v>12084.529</v>
      </c>
      <c r="N56" s="85">
        <f>'Historical Financials'!M61</f>
        <v>10851.446</v>
      </c>
      <c r="O56" s="85">
        <f>'Historical Financials'!N61</f>
        <v>15660</v>
      </c>
      <c r="P56" s="85">
        <f>'Historical Financials'!O61</f>
        <v>17186</v>
      </c>
      <c r="Q56" s="85">
        <f>'Historical Financials'!P61</f>
        <v>14179</v>
      </c>
      <c r="R56" s="85"/>
      <c r="S56" s="85"/>
      <c r="T56" s="85"/>
      <c r="U56" s="85"/>
      <c r="V56" s="85"/>
      <c r="X56" s="10">
        <f t="shared" si="105"/>
        <v>13229</v>
      </c>
      <c r="Y56" s="10">
        <f t="shared" si="106"/>
        <v>12956.486000000001</v>
      </c>
      <c r="Z56" s="10">
        <f t="shared" si="107"/>
        <v>12084.529</v>
      </c>
      <c r="AA56" s="10">
        <f t="shared" si="108"/>
        <v>10851.446</v>
      </c>
      <c r="AB56" s="10">
        <f t="shared" si="109"/>
        <v>15660</v>
      </c>
      <c r="AC56" s="10">
        <f t="shared" si="110"/>
        <v>17186</v>
      </c>
      <c r="AD56" s="10">
        <f t="shared" si="111"/>
        <v>14179</v>
      </c>
      <c r="AE56" s="10">
        <f t="shared" si="112"/>
        <v>0</v>
      </c>
      <c r="AF56" s="10">
        <f t="shared" si="113"/>
        <v>0</v>
      </c>
      <c r="AG56" s="10">
        <f t="shared" si="114"/>
        <v>0</v>
      </c>
      <c r="AH56" s="10">
        <f t="shared" si="115"/>
        <v>0</v>
      </c>
      <c r="AI56" s="10">
        <f t="shared" si="116"/>
        <v>0</v>
      </c>
    </row>
    <row r="57" spans="2:35" ht="12.75" customHeight="1">
      <c r="B57" s="8" t="s">
        <v>136</v>
      </c>
      <c r="C57" s="85" t="e">
        <f>'Historical Financials'!#REF!</f>
        <v>#REF!</v>
      </c>
      <c r="D57" s="85"/>
      <c r="E57" s="85"/>
      <c r="F57" s="85"/>
      <c r="G57" s="85"/>
      <c r="H57" s="85" t="e">
        <f>'Historical Financials'!#REF!</f>
        <v>#REF!</v>
      </c>
      <c r="I57" s="85" t="e">
        <f>'Historical Financials'!#REF!</f>
        <v>#REF!</v>
      </c>
      <c r="J57" s="85" t="e">
        <f>'Historical Financials'!#REF!</f>
        <v>#REF!</v>
      </c>
      <c r="K57" s="85" t="e">
        <f>'Historical Financials'!#REF!</f>
        <v>#REF!</v>
      </c>
      <c r="L57" s="85" t="e">
        <f>'Historical Financials'!#REF!</f>
        <v>#REF!</v>
      </c>
      <c r="M57" s="85" t="e">
        <f>'Historical Financials'!#REF!</f>
        <v>#REF!</v>
      </c>
      <c r="N57" s="85" t="e">
        <f>'Historical Financials'!#REF!</f>
        <v>#REF!</v>
      </c>
      <c r="O57" s="85" t="e">
        <f>'Historical Financials'!#REF!</f>
        <v>#REF!</v>
      </c>
      <c r="P57" s="85" t="e">
        <f>'Historical Financials'!#REF!</f>
        <v>#REF!</v>
      </c>
      <c r="Q57" s="85" t="e">
        <f>'Historical Financials'!#REF!</f>
        <v>#REF!</v>
      </c>
      <c r="R57" s="85"/>
      <c r="S57" s="85"/>
      <c r="T57" s="85"/>
      <c r="U57" s="85"/>
      <c r="V57" s="85"/>
      <c r="X57" s="10" t="e">
        <f t="shared" si="105"/>
        <v>#REF!</v>
      </c>
      <c r="Y57" s="10" t="e">
        <f t="shared" si="106"/>
        <v>#REF!</v>
      </c>
      <c r="Z57" s="10" t="e">
        <f t="shared" si="107"/>
        <v>#REF!</v>
      </c>
      <c r="AA57" s="10" t="e">
        <f t="shared" si="108"/>
        <v>#REF!</v>
      </c>
      <c r="AB57" s="10" t="e">
        <f t="shared" si="109"/>
        <v>#REF!</v>
      </c>
      <c r="AC57" s="10" t="e">
        <f t="shared" si="110"/>
        <v>#REF!</v>
      </c>
      <c r="AD57" s="10" t="e">
        <f t="shared" si="111"/>
        <v>#REF!</v>
      </c>
      <c r="AE57" s="10">
        <f t="shared" si="112"/>
        <v>0</v>
      </c>
      <c r="AF57" s="10">
        <f t="shared" si="113"/>
        <v>0</v>
      </c>
      <c r="AG57" s="10">
        <f t="shared" si="114"/>
        <v>0</v>
      </c>
      <c r="AH57" s="10">
        <f t="shared" si="115"/>
        <v>0</v>
      </c>
      <c r="AI57" s="10">
        <f t="shared" si="116"/>
        <v>0</v>
      </c>
    </row>
    <row r="58" spans="2:35" ht="12.75" customHeight="1">
      <c r="B58" s="8" t="s">
        <v>137</v>
      </c>
      <c r="C58" s="85" t="e">
        <f>'Historical Financials'!#REF!</f>
        <v>#REF!</v>
      </c>
      <c r="D58" s="85"/>
      <c r="E58" s="85"/>
      <c r="F58" s="85"/>
      <c r="G58" s="85"/>
      <c r="H58" s="85" t="e">
        <f>'Historical Financials'!#REF!</f>
        <v>#REF!</v>
      </c>
      <c r="I58" s="85" t="e">
        <f>'Historical Financials'!#REF!</f>
        <v>#REF!</v>
      </c>
      <c r="J58" s="85" t="e">
        <f>'Historical Financials'!#REF!</f>
        <v>#REF!</v>
      </c>
      <c r="K58" s="85" t="e">
        <f>'Historical Financials'!#REF!</f>
        <v>#REF!</v>
      </c>
      <c r="L58" s="85" t="e">
        <f>'Historical Financials'!#REF!</f>
        <v>#REF!</v>
      </c>
      <c r="M58" s="85" t="e">
        <f>'Historical Financials'!#REF!</f>
        <v>#REF!</v>
      </c>
      <c r="N58" s="85" t="e">
        <f>'Historical Financials'!#REF!</f>
        <v>#REF!</v>
      </c>
      <c r="O58" s="85" t="e">
        <f>'Historical Financials'!#REF!</f>
        <v>#REF!</v>
      </c>
      <c r="P58" s="85" t="e">
        <f>'Historical Financials'!#REF!</f>
        <v>#REF!</v>
      </c>
      <c r="Q58" s="85" t="e">
        <f>'Historical Financials'!#REF!</f>
        <v>#REF!</v>
      </c>
      <c r="R58" s="85"/>
      <c r="S58" s="85"/>
      <c r="T58" s="85"/>
      <c r="U58" s="85"/>
      <c r="V58" s="85"/>
      <c r="X58" s="10" t="e">
        <f t="shared" ref="X58" si="117">K58</f>
        <v>#REF!</v>
      </c>
      <c r="Y58" s="10" t="e">
        <f t="shared" ref="Y58" si="118">L58</f>
        <v>#REF!</v>
      </c>
      <c r="Z58" s="10" t="e">
        <f t="shared" ref="Z58" si="119">M58</f>
        <v>#REF!</v>
      </c>
      <c r="AA58" s="10" t="e">
        <f t="shared" ref="AA58" si="120">N58</f>
        <v>#REF!</v>
      </c>
      <c r="AB58" s="10" t="e">
        <f t="shared" ref="AB58" si="121">O58</f>
        <v>#REF!</v>
      </c>
      <c r="AC58" s="10" t="e">
        <f t="shared" ref="AC58" si="122">P58</f>
        <v>#REF!</v>
      </c>
      <c r="AD58" s="10" t="e">
        <f t="shared" ref="AD58" si="123">Q58</f>
        <v>#REF!</v>
      </c>
      <c r="AE58" s="10">
        <f t="shared" ref="AE58" si="124">R58</f>
        <v>0</v>
      </c>
      <c r="AF58" s="10">
        <f t="shared" ref="AF58" si="125">S58</f>
        <v>0</v>
      </c>
      <c r="AG58" s="10">
        <f t="shared" ref="AG58" si="126">T58</f>
        <v>0</v>
      </c>
      <c r="AH58" s="10">
        <f t="shared" ref="AH58" si="127">U58</f>
        <v>0</v>
      </c>
      <c r="AI58" s="10">
        <f t="shared" ref="AI58" si="128">V58</f>
        <v>0</v>
      </c>
    </row>
    <row r="59" spans="2:35" ht="12.75" customHeight="1">
      <c r="B59" s="8" t="s">
        <v>57</v>
      </c>
      <c r="C59" s="85" t="e">
        <f>'Historical Financials'!#REF!</f>
        <v>#REF!</v>
      </c>
      <c r="D59" s="85"/>
      <c r="E59" s="85"/>
      <c r="F59" s="85"/>
      <c r="G59" s="85"/>
      <c r="H59" s="85">
        <f>'Historical Financials'!G55</f>
        <v>3529.509</v>
      </c>
      <c r="I59" s="85">
        <f>'Historical Financials'!H55</f>
        <v>3529.509</v>
      </c>
      <c r="J59" s="85">
        <f>'Historical Financials'!I55</f>
        <v>3529.509</v>
      </c>
      <c r="K59" s="85">
        <f>'Historical Financials'!J55</f>
        <v>3530</v>
      </c>
      <c r="L59" s="85">
        <f>'Historical Financials'!K55</f>
        <v>3529.509</v>
      </c>
      <c r="M59" s="85">
        <f>'Historical Financials'!L55</f>
        <v>3529.509</v>
      </c>
      <c r="N59" s="85">
        <f>'Historical Financials'!M55</f>
        <v>3529.509</v>
      </c>
      <c r="O59" s="85">
        <f>'Historical Financials'!N55</f>
        <v>3530</v>
      </c>
      <c r="P59" s="85">
        <f>'Historical Financials'!O55</f>
        <v>3530</v>
      </c>
      <c r="Q59" s="85">
        <f>'Historical Financials'!P55</f>
        <v>3530</v>
      </c>
      <c r="R59" s="85"/>
      <c r="S59" s="85"/>
      <c r="T59" s="85"/>
      <c r="U59" s="85"/>
      <c r="V59" s="85"/>
      <c r="X59" s="10">
        <f t="shared" si="105"/>
        <v>3530</v>
      </c>
      <c r="Y59" s="10">
        <f t="shared" si="106"/>
        <v>3529.509</v>
      </c>
      <c r="Z59" s="10">
        <f t="shared" si="107"/>
        <v>3529.509</v>
      </c>
      <c r="AA59" s="10">
        <f t="shared" si="108"/>
        <v>3529.509</v>
      </c>
      <c r="AB59" s="10">
        <f t="shared" si="109"/>
        <v>3530</v>
      </c>
      <c r="AC59" s="10">
        <f t="shared" si="110"/>
        <v>3530</v>
      </c>
      <c r="AD59" s="10">
        <f t="shared" si="111"/>
        <v>3530</v>
      </c>
      <c r="AE59" s="10">
        <f t="shared" si="112"/>
        <v>0</v>
      </c>
      <c r="AF59" s="10">
        <f t="shared" si="113"/>
        <v>0</v>
      </c>
      <c r="AG59" s="10">
        <f t="shared" si="114"/>
        <v>0</v>
      </c>
      <c r="AH59" s="10">
        <f t="shared" si="115"/>
        <v>0</v>
      </c>
      <c r="AI59" s="10">
        <f t="shared" si="116"/>
        <v>0</v>
      </c>
    </row>
    <row r="60" spans="2:35" ht="12.75" customHeight="1">
      <c r="B60" s="8" t="s">
        <v>58</v>
      </c>
      <c r="C60" s="85" t="e">
        <f>'Historical Financials'!#REF!</f>
        <v>#REF!</v>
      </c>
      <c r="D60" s="85"/>
      <c r="E60" s="85"/>
      <c r="F60" s="85"/>
      <c r="G60" s="85"/>
      <c r="H60" s="85">
        <f>'Historical Financials'!G65</f>
        <v>31566.512000000002</v>
      </c>
      <c r="I60" s="85">
        <f>'Historical Financials'!H65</f>
        <v>28071.613000000001</v>
      </c>
      <c r="J60" s="85">
        <f>'Historical Financials'!I65</f>
        <v>44440.326999999997</v>
      </c>
      <c r="K60" s="85">
        <f>'Historical Financials'!J65</f>
        <v>39267</v>
      </c>
      <c r="L60" s="85">
        <f>'Historical Financials'!K65</f>
        <v>36727.828999999998</v>
      </c>
      <c r="M60" s="85">
        <f>'Historical Financials'!L65</f>
        <v>41952.497000000003</v>
      </c>
      <c r="N60" s="85">
        <f>'Historical Financials'!M65</f>
        <v>41840.897000000004</v>
      </c>
      <c r="O60" s="85">
        <f>'Historical Financials'!N65</f>
        <v>49806</v>
      </c>
      <c r="P60" s="85">
        <f>'Historical Financials'!O65</f>
        <v>53088</v>
      </c>
      <c r="Q60" s="85">
        <f>'Historical Financials'!P65</f>
        <v>44177</v>
      </c>
      <c r="R60" s="85"/>
      <c r="S60" s="85"/>
      <c r="T60" s="85"/>
      <c r="U60" s="85"/>
      <c r="V60" s="85"/>
      <c r="X60" s="10">
        <f t="shared" si="105"/>
        <v>39267</v>
      </c>
      <c r="Y60" s="10">
        <f t="shared" si="106"/>
        <v>36727.828999999998</v>
      </c>
      <c r="Z60" s="10">
        <f t="shared" si="107"/>
        <v>41952.497000000003</v>
      </c>
      <c r="AA60" s="10">
        <f t="shared" si="108"/>
        <v>41840.897000000004</v>
      </c>
      <c r="AB60" s="10">
        <f t="shared" si="109"/>
        <v>49806</v>
      </c>
      <c r="AC60" s="10">
        <f t="shared" si="110"/>
        <v>53088</v>
      </c>
      <c r="AD60" s="10">
        <f t="shared" si="111"/>
        <v>44177</v>
      </c>
      <c r="AE60" s="10">
        <f t="shared" si="112"/>
        <v>0</v>
      </c>
      <c r="AF60" s="10">
        <f t="shared" si="113"/>
        <v>0</v>
      </c>
      <c r="AG60" s="10">
        <f t="shared" si="114"/>
        <v>0</v>
      </c>
      <c r="AH60" s="10">
        <f t="shared" si="115"/>
        <v>0</v>
      </c>
      <c r="AI60" s="10">
        <f t="shared" si="116"/>
        <v>0</v>
      </c>
    </row>
    <row r="61" spans="2:35" ht="12.75" customHeight="1">
      <c r="B61" s="8" t="s">
        <v>19</v>
      </c>
      <c r="C61" s="85" t="e">
        <f>'Historical Financials'!#REF!</f>
        <v>#REF!</v>
      </c>
      <c r="D61" s="85"/>
      <c r="E61" s="85"/>
      <c r="F61" s="85"/>
      <c r="G61" s="85"/>
      <c r="H61" s="85">
        <f>'Historical Financials'!G73</f>
        <v>181099.42699999997</v>
      </c>
      <c r="I61" s="85">
        <f>'Historical Financials'!H73</f>
        <v>182531.80200000003</v>
      </c>
      <c r="J61" s="85">
        <f>'Historical Financials'!I73</f>
        <v>200173.03400000001</v>
      </c>
      <c r="K61" s="85">
        <f>'Historical Financials'!J73</f>
        <v>196487</v>
      </c>
      <c r="L61" s="85">
        <f>'Historical Financials'!K73</f>
        <v>195132.92199999999</v>
      </c>
      <c r="M61" s="85">
        <f>'Historical Financials'!L73</f>
        <v>196264.747</v>
      </c>
      <c r="N61" s="85">
        <f>'Historical Financials'!M73</f>
        <v>197559.21899999995</v>
      </c>
      <c r="O61" s="85">
        <f>'Historical Financials'!N73</f>
        <v>193976</v>
      </c>
      <c r="P61" s="85">
        <f>'Historical Financials'!O73</f>
        <v>197169</v>
      </c>
      <c r="Q61" s="85">
        <f>'Historical Financials'!P73</f>
        <v>188130</v>
      </c>
      <c r="R61" s="85"/>
      <c r="S61" s="85"/>
      <c r="T61" s="85"/>
      <c r="U61" s="85"/>
      <c r="V61" s="85"/>
      <c r="X61" s="10">
        <f t="shared" si="105"/>
        <v>196487</v>
      </c>
      <c r="Y61" s="10">
        <f t="shared" si="106"/>
        <v>195132.92199999999</v>
      </c>
      <c r="Z61" s="10">
        <f t="shared" si="107"/>
        <v>196264.747</v>
      </c>
      <c r="AA61" s="10">
        <f t="shared" si="108"/>
        <v>197559.21899999995</v>
      </c>
      <c r="AB61" s="10">
        <f t="shared" si="109"/>
        <v>193976</v>
      </c>
      <c r="AC61" s="10">
        <f t="shared" si="110"/>
        <v>197169</v>
      </c>
      <c r="AD61" s="10">
        <f t="shared" si="111"/>
        <v>188130</v>
      </c>
      <c r="AE61" s="10">
        <f t="shared" si="112"/>
        <v>0</v>
      </c>
      <c r="AF61" s="10">
        <f t="shared" si="113"/>
        <v>0</v>
      </c>
      <c r="AG61" s="10">
        <f t="shared" si="114"/>
        <v>0</v>
      </c>
      <c r="AH61" s="10">
        <f t="shared" si="115"/>
        <v>0</v>
      </c>
      <c r="AI61" s="10">
        <f t="shared" si="116"/>
        <v>0</v>
      </c>
    </row>
    <row r="62" spans="2:35" ht="5.0999999999999996" customHeight="1"/>
    <row r="63" spans="2:35" ht="12.75" customHeight="1">
      <c r="B63" s="29" t="s">
        <v>138</v>
      </c>
      <c r="C63" s="78">
        <v>0</v>
      </c>
      <c r="D63" s="78"/>
      <c r="E63" s="78"/>
      <c r="F63" s="78"/>
      <c r="H63" s="78">
        <v>0</v>
      </c>
      <c r="I63" s="78">
        <v>0</v>
      </c>
      <c r="J63" s="78">
        <v>0</v>
      </c>
      <c r="K63" s="112">
        <f>D63</f>
        <v>0</v>
      </c>
      <c r="L63" s="78">
        <v>0</v>
      </c>
      <c r="M63" s="78">
        <v>0</v>
      </c>
      <c r="N63" s="78">
        <v>0</v>
      </c>
      <c r="O63" s="112">
        <f>E63</f>
        <v>0</v>
      </c>
      <c r="P63" s="78">
        <v>0</v>
      </c>
      <c r="Q63" s="78">
        <v>0</v>
      </c>
      <c r="R63" s="78"/>
      <c r="S63" s="112"/>
      <c r="T63" s="78"/>
      <c r="U63" s="78"/>
      <c r="V63" s="78"/>
      <c r="W63" s="113"/>
      <c r="X63" s="10">
        <f t="shared" ref="X63:AI63" si="129">K63</f>
        <v>0</v>
      </c>
      <c r="Y63" s="10">
        <f t="shared" si="129"/>
        <v>0</v>
      </c>
      <c r="Z63" s="10">
        <f t="shared" si="129"/>
        <v>0</v>
      </c>
      <c r="AA63" s="10">
        <f t="shared" si="129"/>
        <v>0</v>
      </c>
      <c r="AB63" s="10">
        <f t="shared" si="129"/>
        <v>0</v>
      </c>
      <c r="AC63" s="10">
        <f t="shared" si="129"/>
        <v>0</v>
      </c>
      <c r="AD63" s="10">
        <f t="shared" si="129"/>
        <v>0</v>
      </c>
      <c r="AE63" s="10">
        <f t="shared" si="129"/>
        <v>0</v>
      </c>
      <c r="AF63" s="10">
        <f t="shared" si="129"/>
        <v>0</v>
      </c>
      <c r="AG63" s="10">
        <f t="shared" si="129"/>
        <v>0</v>
      </c>
      <c r="AH63" s="10">
        <f t="shared" si="129"/>
        <v>0</v>
      </c>
      <c r="AI63" s="10">
        <f t="shared" si="129"/>
        <v>0</v>
      </c>
    </row>
    <row r="64" spans="2:35" ht="12.75" customHeight="1">
      <c r="B64" s="12" t="s">
        <v>25</v>
      </c>
      <c r="C64" s="13">
        <f>SUM(C63:C63)</f>
        <v>0</v>
      </c>
      <c r="D64" s="13">
        <f>SUM(D63:D63)</f>
        <v>0</v>
      </c>
      <c r="E64" s="13">
        <f>SUM(E63:E63)</f>
        <v>0</v>
      </c>
      <c r="F64" s="13">
        <f>SUM(F63:F63)</f>
        <v>0</v>
      </c>
      <c r="H64" s="13">
        <f t="shared" ref="H64:V64" si="130">SUM(H63:H63)</f>
        <v>0</v>
      </c>
      <c r="I64" s="13">
        <f t="shared" si="130"/>
        <v>0</v>
      </c>
      <c r="J64" s="13">
        <f t="shared" si="130"/>
        <v>0</v>
      </c>
      <c r="K64" s="13">
        <f t="shared" si="130"/>
        <v>0</v>
      </c>
      <c r="L64" s="13">
        <f t="shared" si="130"/>
        <v>0</v>
      </c>
      <c r="M64" s="13">
        <f t="shared" si="130"/>
        <v>0</v>
      </c>
      <c r="N64" s="13">
        <f t="shared" si="130"/>
        <v>0</v>
      </c>
      <c r="O64" s="13">
        <f t="shared" si="130"/>
        <v>0</v>
      </c>
      <c r="P64" s="13">
        <f t="shared" si="130"/>
        <v>0</v>
      </c>
      <c r="Q64" s="13">
        <f t="shared" si="130"/>
        <v>0</v>
      </c>
      <c r="R64" s="13">
        <f t="shared" si="130"/>
        <v>0</v>
      </c>
      <c r="S64" s="13">
        <f t="shared" si="130"/>
        <v>0</v>
      </c>
      <c r="T64" s="13">
        <f t="shared" si="130"/>
        <v>0</v>
      </c>
      <c r="U64" s="13">
        <f t="shared" si="130"/>
        <v>0</v>
      </c>
      <c r="V64" s="13">
        <f t="shared" si="130"/>
        <v>0</v>
      </c>
      <c r="X64" s="13">
        <f t="shared" ref="X64:AI64" si="131">SUM(X63:X63)</f>
        <v>0</v>
      </c>
      <c r="Y64" s="13">
        <f t="shared" si="131"/>
        <v>0</v>
      </c>
      <c r="Z64" s="13">
        <f t="shared" si="131"/>
        <v>0</v>
      </c>
      <c r="AA64" s="13">
        <f t="shared" si="131"/>
        <v>0</v>
      </c>
      <c r="AB64" s="13">
        <f t="shared" si="131"/>
        <v>0</v>
      </c>
      <c r="AC64" s="13">
        <f t="shared" si="131"/>
        <v>0</v>
      </c>
      <c r="AD64" s="13">
        <f t="shared" si="131"/>
        <v>0</v>
      </c>
      <c r="AE64" s="13">
        <f t="shared" si="131"/>
        <v>0</v>
      </c>
      <c r="AF64" s="13">
        <f t="shared" si="131"/>
        <v>0</v>
      </c>
      <c r="AG64" s="13">
        <f t="shared" si="131"/>
        <v>0</v>
      </c>
      <c r="AH64" s="13">
        <f t="shared" si="131"/>
        <v>0</v>
      </c>
      <c r="AI64" s="13">
        <f t="shared" si="131"/>
        <v>0</v>
      </c>
    </row>
    <row r="65" spans="1:35" ht="5.0999999999999996" customHeight="1"/>
    <row r="66" spans="1:35" ht="12.75" customHeight="1">
      <c r="B66" s="8" t="s">
        <v>59</v>
      </c>
      <c r="C66" s="85" t="e">
        <f>'Historical Financials'!#REF!</f>
        <v>#REF!</v>
      </c>
      <c r="D66" s="85"/>
      <c r="E66" s="85"/>
      <c r="F66" s="85"/>
      <c r="H66" s="85">
        <f>'Historical Financials'!G79</f>
        <v>126933.06500000006</v>
      </c>
      <c r="I66" s="85">
        <f>'Historical Financials'!H79</f>
        <v>114400.52700000006</v>
      </c>
      <c r="J66" s="85">
        <f>'Historical Financials'!I79</f>
        <v>100384.53599999996</v>
      </c>
      <c r="K66" s="85">
        <f>'Historical Financials'!J79</f>
        <v>151974</v>
      </c>
      <c r="L66" s="85">
        <f>'Historical Financials'!K79</f>
        <v>145654.62000000005</v>
      </c>
      <c r="M66" s="85">
        <f>'Historical Financials'!L79</f>
        <v>146762.29499999998</v>
      </c>
      <c r="N66" s="85">
        <f>'Historical Financials'!M79</f>
        <v>151437.34600000008</v>
      </c>
      <c r="O66" s="85">
        <f>'Historical Financials'!N79</f>
        <v>135206</v>
      </c>
      <c r="P66" s="85">
        <f>'Historical Financials'!O79</f>
        <v>153706</v>
      </c>
      <c r="Q66" s="85">
        <f>'Historical Financials'!P79</f>
        <v>188269</v>
      </c>
      <c r="R66" s="85"/>
      <c r="S66" s="85"/>
      <c r="T66" s="85"/>
      <c r="U66" s="85"/>
      <c r="V66" s="85"/>
      <c r="X66" s="10">
        <f t="shared" ref="X66:AH66" si="132">K66</f>
        <v>151974</v>
      </c>
      <c r="Y66" s="10">
        <f t="shared" si="132"/>
        <v>145654.62000000005</v>
      </c>
      <c r="Z66" s="10">
        <f t="shared" si="132"/>
        <v>146762.29499999998</v>
      </c>
      <c r="AA66" s="10">
        <f t="shared" si="132"/>
        <v>151437.34600000008</v>
      </c>
      <c r="AB66" s="10">
        <f t="shared" si="132"/>
        <v>135206</v>
      </c>
      <c r="AC66" s="10">
        <f t="shared" si="132"/>
        <v>153706</v>
      </c>
      <c r="AD66" s="10">
        <f t="shared" si="132"/>
        <v>188269</v>
      </c>
      <c r="AE66" s="10">
        <f t="shared" si="132"/>
        <v>0</v>
      </c>
      <c r="AF66" s="10">
        <f t="shared" si="132"/>
        <v>0</v>
      </c>
      <c r="AG66" s="10">
        <f t="shared" si="132"/>
        <v>0</v>
      </c>
      <c r="AH66" s="10">
        <f t="shared" si="132"/>
        <v>0</v>
      </c>
      <c r="AI66" s="10">
        <f>V66</f>
        <v>0</v>
      </c>
    </row>
    <row r="67" spans="1:35" ht="12.75" customHeight="1">
      <c r="B67" s="12" t="s">
        <v>60</v>
      </c>
      <c r="C67" s="13" t="e">
        <f>SUM(C64:C66)</f>
        <v>#REF!</v>
      </c>
      <c r="D67" s="13">
        <f>SUM(D64:D66)</f>
        <v>0</v>
      </c>
      <c r="E67" s="13">
        <f>SUM(E64:E66)</f>
        <v>0</v>
      </c>
      <c r="F67" s="13">
        <f>SUM(F64:F66)</f>
        <v>0</v>
      </c>
      <c r="H67" s="13">
        <f t="shared" ref="H67" si="133">SUM(H64:H66)</f>
        <v>126933.06500000006</v>
      </c>
      <c r="I67" s="13">
        <f t="shared" ref="I67:R67" si="134">SUM(I64:I66)</f>
        <v>114400.52700000006</v>
      </c>
      <c r="J67" s="13">
        <f t="shared" si="134"/>
        <v>100384.53599999996</v>
      </c>
      <c r="K67" s="13">
        <f t="shared" si="134"/>
        <v>151974</v>
      </c>
      <c r="L67" s="13">
        <f t="shared" si="134"/>
        <v>145654.62000000005</v>
      </c>
      <c r="M67" s="13">
        <f t="shared" si="134"/>
        <v>146762.29499999998</v>
      </c>
      <c r="N67" s="13">
        <f t="shared" si="134"/>
        <v>151437.34600000008</v>
      </c>
      <c r="O67" s="13">
        <f t="shared" si="134"/>
        <v>135206</v>
      </c>
      <c r="P67" s="13">
        <f t="shared" si="134"/>
        <v>153706</v>
      </c>
      <c r="Q67" s="13">
        <f t="shared" si="134"/>
        <v>188269</v>
      </c>
      <c r="R67" s="13">
        <f t="shared" si="134"/>
        <v>0</v>
      </c>
      <c r="S67" s="13">
        <f>SUM(S64:S66)</f>
        <v>0</v>
      </c>
      <c r="T67" s="13">
        <f>SUM(T64:T66)</f>
        <v>0</v>
      </c>
      <c r="U67" s="13">
        <f>SUM(U64:U66)</f>
        <v>0</v>
      </c>
      <c r="V67" s="13">
        <f>SUM(V64:V66)</f>
        <v>0</v>
      </c>
      <c r="X67" s="13">
        <f t="shared" ref="X67:AH67" si="135">SUM(X64:X66)</f>
        <v>151974</v>
      </c>
      <c r="Y67" s="13">
        <f t="shared" si="135"/>
        <v>145654.62000000005</v>
      </c>
      <c r="Z67" s="13">
        <f t="shared" si="135"/>
        <v>146762.29499999998</v>
      </c>
      <c r="AA67" s="13">
        <f t="shared" si="135"/>
        <v>151437.34600000008</v>
      </c>
      <c r="AB67" s="13">
        <f t="shared" si="135"/>
        <v>135206</v>
      </c>
      <c r="AC67" s="13">
        <f t="shared" si="135"/>
        <v>153706</v>
      </c>
      <c r="AD67" s="13">
        <f t="shared" si="135"/>
        <v>188269</v>
      </c>
      <c r="AE67" s="13">
        <f t="shared" si="135"/>
        <v>0</v>
      </c>
      <c r="AF67" s="13">
        <f t="shared" si="135"/>
        <v>0</v>
      </c>
      <c r="AG67" s="13">
        <f t="shared" si="135"/>
        <v>0</v>
      </c>
      <c r="AH67" s="13">
        <f t="shared" si="135"/>
        <v>0</v>
      </c>
      <c r="AI67" s="13">
        <f>SUM(AI64:AI66)</f>
        <v>0</v>
      </c>
    </row>
    <row r="68" spans="1:35" ht="5.0999999999999996" customHeight="1"/>
    <row r="69" spans="1:35" ht="12.75" customHeight="1">
      <c r="A69" s="5"/>
      <c r="B69" s="31" t="s">
        <v>90</v>
      </c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</row>
    <row r="70" spans="1:35" ht="5.0999999999999996" customHeight="1"/>
    <row r="71" spans="1:35" ht="12.75" customHeight="1">
      <c r="B71" s="8" t="s">
        <v>61</v>
      </c>
      <c r="C71" s="137" t="s">
        <v>93</v>
      </c>
      <c r="D71" s="137"/>
      <c r="E71" s="137"/>
      <c r="F71" s="137"/>
      <c r="H71" s="135"/>
      <c r="I71" s="135"/>
      <c r="J71" s="135"/>
      <c r="K71" s="135"/>
      <c r="L71" s="137" t="s">
        <v>93</v>
      </c>
      <c r="M71" s="137" t="s">
        <v>93</v>
      </c>
      <c r="N71" s="137" t="s">
        <v>93</v>
      </c>
      <c r="O71" s="137" t="s">
        <v>93</v>
      </c>
      <c r="P71" s="137" t="s">
        <v>93</v>
      </c>
      <c r="Q71" s="137" t="s">
        <v>93</v>
      </c>
      <c r="R71" s="137"/>
      <c r="S71" s="137"/>
      <c r="T71" s="137"/>
      <c r="U71" s="137"/>
      <c r="V71" s="137"/>
      <c r="W71" s="137"/>
      <c r="X71" s="137" t="s">
        <v>93</v>
      </c>
      <c r="Y71" s="137" t="s">
        <v>93</v>
      </c>
      <c r="Z71" s="137" t="s">
        <v>93</v>
      </c>
      <c r="AA71" s="137" t="s">
        <v>93</v>
      </c>
      <c r="AB71" s="137" t="s">
        <v>93</v>
      </c>
      <c r="AC71" s="137" t="s">
        <v>93</v>
      </c>
      <c r="AD71" s="137" t="s">
        <v>93</v>
      </c>
      <c r="AE71" s="137"/>
      <c r="AF71" s="137"/>
      <c r="AG71" s="137"/>
      <c r="AH71" s="137"/>
      <c r="AI71" s="137"/>
    </row>
    <row r="72" spans="1:35" ht="12.75" customHeight="1">
      <c r="B72" s="8" t="s">
        <v>62</v>
      </c>
      <c r="C72" s="137" t="s">
        <v>93</v>
      </c>
      <c r="D72" s="137"/>
      <c r="E72" s="137"/>
      <c r="F72" s="137"/>
      <c r="H72" s="135"/>
      <c r="I72" s="135"/>
      <c r="J72" s="135"/>
      <c r="K72" s="135"/>
      <c r="L72" s="137" t="s">
        <v>93</v>
      </c>
      <c r="M72" s="137" t="s">
        <v>93</v>
      </c>
      <c r="N72" s="137" t="s">
        <v>93</v>
      </c>
      <c r="O72" s="137" t="s">
        <v>93</v>
      </c>
      <c r="P72" s="137" t="s">
        <v>93</v>
      </c>
      <c r="Q72" s="137" t="s">
        <v>93</v>
      </c>
      <c r="R72" s="137"/>
      <c r="S72" s="137"/>
      <c r="T72" s="137"/>
      <c r="U72" s="137"/>
      <c r="V72" s="137"/>
      <c r="W72" s="137"/>
      <c r="X72" s="137" t="s">
        <v>93</v>
      </c>
      <c r="Y72" s="137" t="s">
        <v>93</v>
      </c>
      <c r="Z72" s="137" t="s">
        <v>93</v>
      </c>
      <c r="AA72" s="137" t="s">
        <v>93</v>
      </c>
      <c r="AB72" s="137" t="s">
        <v>93</v>
      </c>
      <c r="AC72" s="137" t="s">
        <v>93</v>
      </c>
      <c r="AD72" s="137" t="s">
        <v>93</v>
      </c>
      <c r="AE72" s="137"/>
      <c r="AF72" s="137"/>
      <c r="AG72" s="137"/>
      <c r="AH72" s="137"/>
      <c r="AI72" s="137"/>
    </row>
    <row r="73" spans="1:35" ht="12.75" customHeight="1">
      <c r="B73" s="8" t="s">
        <v>63</v>
      </c>
      <c r="C73" s="137" t="s">
        <v>93</v>
      </c>
      <c r="D73" s="137"/>
      <c r="E73" s="137"/>
      <c r="F73" s="137"/>
      <c r="H73" s="135"/>
      <c r="I73" s="135"/>
      <c r="J73" s="135"/>
      <c r="K73" s="135"/>
      <c r="L73" s="137" t="s">
        <v>93</v>
      </c>
      <c r="M73" s="137" t="s">
        <v>93</v>
      </c>
      <c r="N73" s="137" t="s">
        <v>93</v>
      </c>
      <c r="O73" s="137" t="s">
        <v>93</v>
      </c>
      <c r="P73" s="137" t="s">
        <v>93</v>
      </c>
      <c r="Q73" s="137" t="s">
        <v>93</v>
      </c>
      <c r="R73" s="137"/>
      <c r="S73" s="137"/>
      <c r="T73" s="137"/>
      <c r="U73" s="137"/>
      <c r="V73" s="137"/>
      <c r="X73" s="137" t="s">
        <v>93</v>
      </c>
      <c r="Y73" s="137" t="s">
        <v>93</v>
      </c>
      <c r="Z73" s="137" t="s">
        <v>93</v>
      </c>
      <c r="AA73" s="137" t="s">
        <v>93</v>
      </c>
      <c r="AB73" s="137" t="s">
        <v>93</v>
      </c>
      <c r="AC73" s="137" t="s">
        <v>93</v>
      </c>
      <c r="AD73" s="137" t="s">
        <v>93</v>
      </c>
      <c r="AE73" s="137"/>
      <c r="AF73" s="137"/>
      <c r="AG73" s="137"/>
      <c r="AH73" s="137"/>
      <c r="AI73" s="137"/>
    </row>
    <row r="74" spans="1:35" ht="12.75" customHeight="1">
      <c r="B74" s="8" t="s">
        <v>64</v>
      </c>
      <c r="C74" s="137" t="s">
        <v>93</v>
      </c>
      <c r="D74" s="137"/>
      <c r="E74" s="137"/>
      <c r="F74" s="137"/>
      <c r="H74" s="135"/>
      <c r="I74" s="135"/>
      <c r="J74" s="135"/>
      <c r="K74" s="135"/>
      <c r="L74" s="137" t="s">
        <v>93</v>
      </c>
      <c r="M74" s="137" t="s">
        <v>93</v>
      </c>
      <c r="N74" s="137" t="s">
        <v>93</v>
      </c>
      <c r="O74" s="137" t="s">
        <v>93</v>
      </c>
      <c r="P74" s="137" t="s">
        <v>93</v>
      </c>
      <c r="Q74" s="137" t="s">
        <v>93</v>
      </c>
      <c r="R74" s="137"/>
      <c r="S74" s="137"/>
      <c r="T74" s="137"/>
      <c r="U74" s="137"/>
      <c r="V74" s="137"/>
      <c r="X74" s="137" t="s">
        <v>93</v>
      </c>
      <c r="Y74" s="137" t="s">
        <v>93</v>
      </c>
      <c r="Z74" s="137" t="s">
        <v>93</v>
      </c>
      <c r="AA74" s="137" t="s">
        <v>93</v>
      </c>
      <c r="AB74" s="137" t="s">
        <v>93</v>
      </c>
      <c r="AC74" s="137" t="s">
        <v>93</v>
      </c>
      <c r="AD74" s="137" t="s">
        <v>93</v>
      </c>
      <c r="AE74" s="137"/>
      <c r="AF74" s="137"/>
      <c r="AG74" s="137"/>
      <c r="AH74" s="137"/>
      <c r="AI74" s="137"/>
    </row>
    <row r="75" spans="1:35" ht="12.75" customHeight="1">
      <c r="B75" s="8" t="s">
        <v>65</v>
      </c>
      <c r="C75" s="137" t="s">
        <v>93</v>
      </c>
      <c r="D75" s="137"/>
      <c r="E75" s="137"/>
      <c r="F75" s="137"/>
      <c r="H75" s="135"/>
      <c r="I75" s="135"/>
      <c r="J75" s="135"/>
      <c r="K75" s="135"/>
      <c r="L75" s="137" t="s">
        <v>93</v>
      </c>
      <c r="M75" s="137" t="s">
        <v>93</v>
      </c>
      <c r="N75" s="137" t="s">
        <v>93</v>
      </c>
      <c r="O75" s="137" t="s">
        <v>93</v>
      </c>
      <c r="P75" s="137" t="s">
        <v>93</v>
      </c>
      <c r="Q75" s="137" t="s">
        <v>93</v>
      </c>
      <c r="R75" s="137"/>
      <c r="S75" s="137"/>
      <c r="T75" s="137"/>
      <c r="U75" s="137"/>
      <c r="V75" s="137"/>
      <c r="X75" s="137" t="s">
        <v>93</v>
      </c>
      <c r="Y75" s="137" t="s">
        <v>93</v>
      </c>
      <c r="Z75" s="137" t="s">
        <v>93</v>
      </c>
      <c r="AA75" s="137" t="s">
        <v>93</v>
      </c>
      <c r="AB75" s="137" t="s">
        <v>93</v>
      </c>
      <c r="AC75" s="137" t="s">
        <v>93</v>
      </c>
      <c r="AD75" s="137" t="s">
        <v>93</v>
      </c>
      <c r="AE75" s="137"/>
      <c r="AF75" s="137"/>
      <c r="AG75" s="137"/>
      <c r="AH75" s="137"/>
      <c r="AI75" s="137"/>
    </row>
    <row r="76" spans="1:35" ht="12.75" customHeight="1">
      <c r="B76" s="8" t="s">
        <v>66</v>
      </c>
      <c r="C76" s="137" t="s">
        <v>93</v>
      </c>
      <c r="D76" s="137"/>
      <c r="E76" s="137"/>
      <c r="F76" s="137"/>
      <c r="H76" s="135"/>
      <c r="I76" s="135"/>
      <c r="J76" s="135"/>
      <c r="K76" s="135"/>
      <c r="L76" s="137" t="s">
        <v>93</v>
      </c>
      <c r="M76" s="137" t="s">
        <v>93</v>
      </c>
      <c r="N76" s="137" t="s">
        <v>93</v>
      </c>
      <c r="O76" s="137" t="s">
        <v>93</v>
      </c>
      <c r="P76" s="137" t="s">
        <v>93</v>
      </c>
      <c r="Q76" s="137" t="s">
        <v>93</v>
      </c>
      <c r="R76" s="137"/>
      <c r="S76" s="137"/>
      <c r="T76" s="137"/>
      <c r="U76" s="137"/>
      <c r="V76" s="137"/>
      <c r="X76" s="137" t="s">
        <v>93</v>
      </c>
      <c r="Y76" s="137" t="s">
        <v>93</v>
      </c>
      <c r="Z76" s="137" t="s">
        <v>93</v>
      </c>
      <c r="AA76" s="137" t="s">
        <v>93</v>
      </c>
      <c r="AB76" s="137" t="s">
        <v>93</v>
      </c>
      <c r="AC76" s="137" t="s">
        <v>93</v>
      </c>
      <c r="AD76" s="137" t="s">
        <v>93</v>
      </c>
      <c r="AE76" s="137"/>
      <c r="AF76" s="137"/>
      <c r="AG76" s="137"/>
      <c r="AH76" s="137"/>
      <c r="AI76" s="137"/>
    </row>
    <row r="77" spans="1:35" ht="5.0999999999999996" customHeight="1" thickBot="1"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</row>
  </sheetData>
  <mergeCells count="1">
    <mergeCell ref="AK2:AK4"/>
  </mergeCells>
  <dataValidations count="1">
    <dataValidation type="list" allowBlank="1" showInputMessage="1" showErrorMessage="1" sqref="B4" xr:uid="{060857CB-86CD-4220-87C0-9A83C6E53284}">
      <formula1>"$ bns except per share, $ mm except per share,$ in thousands except per share"</formula1>
    </dataValidation>
  </dataValidations>
  <pageMargins left="0.7" right="0.7" top="0.75" bottom="0.75" header="0.3" footer="0.3"/>
  <ignoredErrors>
    <ignoredError sqref="AJ34:AJ35 G31:G32 AJ36:AK39 G37:G39 I35:V36 C35:G36 G34" formulaRange="1"/>
    <ignoredError sqref="G73 G76 G71:G72 G74 G75 W74 W75 W76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Historical Financials</vt:lpstr>
      <vt:lpstr>Revenue Drivers</vt:lpstr>
      <vt:lpstr>FCF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Garcia</dc:creator>
  <cp:lastModifiedBy>Felix Garcia</cp:lastModifiedBy>
  <dcterms:created xsi:type="dcterms:W3CDTF">2024-08-10T06:01:52Z</dcterms:created>
  <dcterms:modified xsi:type="dcterms:W3CDTF">2025-11-08T08:29:23Z</dcterms:modified>
</cp:coreProperties>
</file>