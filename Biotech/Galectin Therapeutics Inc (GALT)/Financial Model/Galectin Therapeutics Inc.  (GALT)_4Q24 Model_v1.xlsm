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3A788100-F619-4AC6-93F9-D8FDCA2B947D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FCF" sheetId="9" r:id="rId2"/>
    <sheet name="Cash Burn Analysis" sheetId="12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8" l="1"/>
  <c r="I32" i="8"/>
  <c r="J32" i="8"/>
  <c r="L32" i="8"/>
  <c r="L21" i="12" s="1"/>
  <c r="V21" i="12" s="1"/>
  <c r="P32" i="8"/>
  <c r="Z32" i="8" s="1"/>
  <c r="M32" i="8"/>
  <c r="M21" i="12" s="1"/>
  <c r="W21" i="12" s="1"/>
  <c r="Q32" i="8"/>
  <c r="Q21" i="12" s="1"/>
  <c r="AA21" i="12" s="1"/>
  <c r="N32" i="8"/>
  <c r="N21" i="12"/>
  <c r="X21" i="12" s="1"/>
  <c r="R32" i="8"/>
  <c r="AB32" i="8"/>
  <c r="C32" i="8"/>
  <c r="D32" i="8"/>
  <c r="D21" i="12"/>
  <c r="E32" i="8"/>
  <c r="E21" i="12"/>
  <c r="F32" i="8"/>
  <c r="S32" i="8" s="1"/>
  <c r="AB25" i="12"/>
  <c r="AA25" i="12"/>
  <c r="Z25" i="12"/>
  <c r="Y25" i="12"/>
  <c r="X25" i="12"/>
  <c r="W25" i="12"/>
  <c r="V25" i="12"/>
  <c r="U25" i="12"/>
  <c r="R25" i="12"/>
  <c r="Q25" i="12"/>
  <c r="P25" i="12"/>
  <c r="O25" i="12"/>
  <c r="N25" i="12"/>
  <c r="M25" i="12"/>
  <c r="L25" i="12"/>
  <c r="K25" i="12"/>
  <c r="J25" i="12"/>
  <c r="I25" i="12"/>
  <c r="H25" i="12"/>
  <c r="F25" i="12"/>
  <c r="E25" i="12"/>
  <c r="D25" i="12"/>
  <c r="C25" i="12"/>
  <c r="J21" i="12"/>
  <c r="I21" i="12"/>
  <c r="H21" i="12"/>
  <c r="C21" i="12"/>
  <c r="S12" i="12"/>
  <c r="R12" i="12"/>
  <c r="Q12" i="12"/>
  <c r="P12" i="12"/>
  <c r="O12" i="12"/>
  <c r="AB12" i="12" s="1"/>
  <c r="N12" i="12"/>
  <c r="M12" i="12"/>
  <c r="Z12" i="12" s="1"/>
  <c r="L12" i="12"/>
  <c r="X12" i="12" s="1"/>
  <c r="K12" i="12"/>
  <c r="J12" i="12"/>
  <c r="I12" i="12"/>
  <c r="H12" i="12"/>
  <c r="F12" i="12"/>
  <c r="E12" i="12"/>
  <c r="D12" i="12"/>
  <c r="C12" i="12"/>
  <c r="AC12" i="12"/>
  <c r="Y12" i="12"/>
  <c r="V12" i="12"/>
  <c r="U12" i="12"/>
  <c r="AB11" i="12"/>
  <c r="AA11" i="12"/>
  <c r="Z11" i="12"/>
  <c r="Y11" i="12"/>
  <c r="X11" i="12"/>
  <c r="W11" i="12"/>
  <c r="V11" i="12"/>
  <c r="U11" i="12"/>
  <c r="AC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F11" i="12"/>
  <c r="E11" i="12"/>
  <c r="D11" i="12"/>
  <c r="C11" i="12"/>
  <c r="S7" i="12"/>
  <c r="R7" i="12"/>
  <c r="AB7" i="12" s="1"/>
  <c r="Q7" i="12"/>
  <c r="P7" i="12"/>
  <c r="O7" i="12"/>
  <c r="N7" i="12"/>
  <c r="M7" i="12"/>
  <c r="W7" i="12" s="1"/>
  <c r="L7" i="12"/>
  <c r="K7" i="12"/>
  <c r="J7" i="12"/>
  <c r="I7" i="12"/>
  <c r="H7" i="12"/>
  <c r="F7" i="12"/>
  <c r="E7" i="12"/>
  <c r="D7" i="12"/>
  <c r="C7" i="12"/>
  <c r="C8" i="12" s="1"/>
  <c r="C4" i="12"/>
  <c r="C3" i="12"/>
  <c r="S59" i="9"/>
  <c r="R59" i="9"/>
  <c r="AB59" i="9" s="1"/>
  <c r="Q59" i="9"/>
  <c r="P59" i="9"/>
  <c r="O59" i="9"/>
  <c r="Y59" i="9" s="1"/>
  <c r="N59" i="9"/>
  <c r="X59" i="9" s="1"/>
  <c r="M59" i="9"/>
  <c r="L59" i="9"/>
  <c r="V59" i="9" s="1"/>
  <c r="K59" i="9"/>
  <c r="U59" i="9" s="1"/>
  <c r="J59" i="9"/>
  <c r="I59" i="9"/>
  <c r="H59" i="9"/>
  <c r="F59" i="9"/>
  <c r="E59" i="9"/>
  <c r="D59" i="9"/>
  <c r="C59" i="9"/>
  <c r="S56" i="9"/>
  <c r="R56" i="9"/>
  <c r="Q56" i="9"/>
  <c r="P56" i="9"/>
  <c r="O56" i="9"/>
  <c r="Y56" i="9" s="1"/>
  <c r="N56" i="9"/>
  <c r="M56" i="9"/>
  <c r="L56" i="9"/>
  <c r="V56" i="9" s="1"/>
  <c r="K56" i="9"/>
  <c r="J56" i="9"/>
  <c r="I56" i="9"/>
  <c r="S55" i="9"/>
  <c r="R55" i="9"/>
  <c r="AB55" i="9" s="1"/>
  <c r="Q55" i="9"/>
  <c r="P55" i="9"/>
  <c r="O55" i="9"/>
  <c r="Y55" i="9" s="1"/>
  <c r="N55" i="9"/>
  <c r="M55" i="9"/>
  <c r="L55" i="9"/>
  <c r="K55" i="9"/>
  <c r="J55" i="9"/>
  <c r="I55" i="9"/>
  <c r="H56" i="9"/>
  <c r="H55" i="9"/>
  <c r="F56" i="9"/>
  <c r="E56" i="9"/>
  <c r="D56" i="9"/>
  <c r="C56" i="9"/>
  <c r="F55" i="9"/>
  <c r="E55" i="9"/>
  <c r="D55" i="9"/>
  <c r="C55" i="9"/>
  <c r="S53" i="9"/>
  <c r="AC53" i="9" s="1"/>
  <c r="R53" i="9"/>
  <c r="AB53" i="9" s="1"/>
  <c r="Q53" i="9"/>
  <c r="P53" i="9"/>
  <c r="O53" i="9"/>
  <c r="N53" i="9"/>
  <c r="M53" i="9"/>
  <c r="L53" i="9"/>
  <c r="K53" i="9"/>
  <c r="U53" i="9" s="1"/>
  <c r="J53" i="9"/>
  <c r="I53" i="9"/>
  <c r="S52" i="9"/>
  <c r="R52" i="9"/>
  <c r="Q52" i="9"/>
  <c r="P52" i="9"/>
  <c r="Z52" i="9" s="1"/>
  <c r="O52" i="9"/>
  <c r="Y52" i="9" s="1"/>
  <c r="N52" i="9"/>
  <c r="X52" i="9" s="1"/>
  <c r="M52" i="9"/>
  <c r="W52" i="9" s="1"/>
  <c r="L52" i="9"/>
  <c r="K52" i="9"/>
  <c r="J52" i="9"/>
  <c r="I52" i="9"/>
  <c r="H53" i="9"/>
  <c r="H52" i="9"/>
  <c r="F53" i="9"/>
  <c r="E53" i="9"/>
  <c r="D53" i="9"/>
  <c r="F52" i="9"/>
  <c r="E52" i="9"/>
  <c r="D52" i="9"/>
  <c r="C53" i="9"/>
  <c r="C52" i="9"/>
  <c r="S49" i="9"/>
  <c r="R49" i="9"/>
  <c r="Q49" i="9"/>
  <c r="P49" i="9"/>
  <c r="O49" i="9"/>
  <c r="Y49" i="9" s="1"/>
  <c r="N49" i="9"/>
  <c r="X49" i="9" s="1"/>
  <c r="M49" i="9"/>
  <c r="W49" i="9" s="1"/>
  <c r="L49" i="9"/>
  <c r="V49" i="9" s="1"/>
  <c r="K49" i="9"/>
  <c r="J49" i="9"/>
  <c r="I49" i="9"/>
  <c r="S48" i="9"/>
  <c r="R48" i="9"/>
  <c r="AB48" i="9" s="1"/>
  <c r="Q48" i="9"/>
  <c r="P48" i="9"/>
  <c r="O48" i="9"/>
  <c r="Y48" i="9" s="1"/>
  <c r="N48" i="9"/>
  <c r="M48" i="9"/>
  <c r="L48" i="9"/>
  <c r="K48" i="9"/>
  <c r="J48" i="9"/>
  <c r="I48" i="9"/>
  <c r="S47" i="9"/>
  <c r="R47" i="9"/>
  <c r="AB47" i="9" s="1"/>
  <c r="Q47" i="9"/>
  <c r="P47" i="9"/>
  <c r="O47" i="9"/>
  <c r="N47" i="9"/>
  <c r="M47" i="9"/>
  <c r="W47" i="9" s="1"/>
  <c r="L47" i="9"/>
  <c r="V47" i="9" s="1"/>
  <c r="K47" i="9"/>
  <c r="J47" i="9"/>
  <c r="I47" i="9"/>
  <c r="S46" i="9"/>
  <c r="R46" i="9"/>
  <c r="Q46" i="9"/>
  <c r="P46" i="9"/>
  <c r="O46" i="9"/>
  <c r="Y46" i="9" s="1"/>
  <c r="N46" i="9"/>
  <c r="X46" i="9" s="1"/>
  <c r="M46" i="9"/>
  <c r="W46" i="9" s="1"/>
  <c r="L46" i="9"/>
  <c r="K46" i="9"/>
  <c r="J46" i="9"/>
  <c r="I46" i="9"/>
  <c r="H49" i="9"/>
  <c r="H48" i="9"/>
  <c r="H47" i="9"/>
  <c r="H46" i="9"/>
  <c r="F49" i="9"/>
  <c r="E49" i="9"/>
  <c r="D49" i="9"/>
  <c r="F48" i="9"/>
  <c r="E48" i="9"/>
  <c r="D48" i="9"/>
  <c r="F47" i="9"/>
  <c r="E47" i="9"/>
  <c r="D47" i="9"/>
  <c r="F46" i="9"/>
  <c r="E46" i="9"/>
  <c r="D46" i="9"/>
  <c r="C49" i="9"/>
  <c r="C48" i="9"/>
  <c r="C47" i="9"/>
  <c r="C46" i="9"/>
  <c r="AA59" i="9"/>
  <c r="Z59" i="9"/>
  <c r="W59" i="9"/>
  <c r="AC59" i="9"/>
  <c r="AC56" i="9"/>
  <c r="AB56" i="9"/>
  <c r="AA56" i="9"/>
  <c r="Z56" i="9"/>
  <c r="X56" i="9"/>
  <c r="W56" i="9"/>
  <c r="U56" i="9"/>
  <c r="AC55" i="9"/>
  <c r="AA55" i="9"/>
  <c r="AA57" i="9" s="1"/>
  <c r="Z55" i="9"/>
  <c r="X55" i="9"/>
  <c r="W55" i="9"/>
  <c r="V55" i="9"/>
  <c r="U55" i="9"/>
  <c r="AA53" i="9"/>
  <c r="Z53" i="9"/>
  <c r="Y53" i="9"/>
  <c r="X53" i="9"/>
  <c r="W53" i="9"/>
  <c r="V53" i="9"/>
  <c r="AB52" i="9"/>
  <c r="AA52" i="9"/>
  <c r="V52" i="9"/>
  <c r="U52" i="9"/>
  <c r="AC52" i="9"/>
  <c r="AB49" i="9"/>
  <c r="AA49" i="9"/>
  <c r="Z49" i="9"/>
  <c r="U49" i="9"/>
  <c r="AA48" i="9"/>
  <c r="Z48" i="9"/>
  <c r="X48" i="9"/>
  <c r="W48" i="9"/>
  <c r="V48" i="9"/>
  <c r="U48" i="9"/>
  <c r="AA47" i="9"/>
  <c r="Z47" i="9"/>
  <c r="Y47" i="9"/>
  <c r="X47" i="9"/>
  <c r="U47" i="9"/>
  <c r="AB46" i="9"/>
  <c r="AA46" i="9"/>
  <c r="Z46" i="9"/>
  <c r="V46" i="9"/>
  <c r="U46" i="9"/>
  <c r="AC48" i="9"/>
  <c r="AC47" i="9"/>
  <c r="AC46" i="9"/>
  <c r="AC49" i="9"/>
  <c r="S42" i="9"/>
  <c r="AC42" i="9" s="1"/>
  <c r="R42" i="9"/>
  <c r="AB42" i="9" s="1"/>
  <c r="AB43" i="9" s="1"/>
  <c r="Q42" i="9"/>
  <c r="AA42" i="9" s="1"/>
  <c r="AA43" i="9" s="1"/>
  <c r="P42" i="9"/>
  <c r="Z42" i="9" s="1"/>
  <c r="O42" i="9"/>
  <c r="Y42" i="9" s="1"/>
  <c r="N42" i="9"/>
  <c r="X42" i="9" s="1"/>
  <c r="M42" i="9"/>
  <c r="W42" i="9" s="1"/>
  <c r="L42" i="9"/>
  <c r="V42" i="9" s="1"/>
  <c r="K42" i="9"/>
  <c r="U42" i="9" s="1"/>
  <c r="J42" i="9"/>
  <c r="I42" i="9"/>
  <c r="H42" i="9"/>
  <c r="F42" i="9"/>
  <c r="E42" i="9"/>
  <c r="D42" i="9"/>
  <c r="C42" i="9"/>
  <c r="S36" i="9"/>
  <c r="R36" i="9"/>
  <c r="Q36" i="9"/>
  <c r="P36" i="9"/>
  <c r="O36" i="9"/>
  <c r="N36" i="9"/>
  <c r="AA36" i="9" s="1"/>
  <c r="M36" i="9"/>
  <c r="L36" i="9"/>
  <c r="K36" i="9"/>
  <c r="J36" i="9"/>
  <c r="I36" i="9"/>
  <c r="S35" i="9"/>
  <c r="R35" i="9"/>
  <c r="Q35" i="9"/>
  <c r="P35" i="9"/>
  <c r="O35" i="9"/>
  <c r="N35" i="9"/>
  <c r="M35" i="9"/>
  <c r="L35" i="9"/>
  <c r="K35" i="9"/>
  <c r="J35" i="9"/>
  <c r="I35" i="9"/>
  <c r="U35" i="9" s="1"/>
  <c r="S34" i="9"/>
  <c r="R34" i="9"/>
  <c r="Q34" i="9"/>
  <c r="P34" i="9"/>
  <c r="O34" i="9"/>
  <c r="N34" i="9"/>
  <c r="AA34" i="9" s="1"/>
  <c r="M34" i="9"/>
  <c r="L34" i="9"/>
  <c r="Y34" i="9" s="1"/>
  <c r="K34" i="9"/>
  <c r="J34" i="9"/>
  <c r="I34" i="9"/>
  <c r="H36" i="9"/>
  <c r="H35" i="9"/>
  <c r="H34" i="9"/>
  <c r="F36" i="9"/>
  <c r="E36" i="9"/>
  <c r="D36" i="9"/>
  <c r="F35" i="9"/>
  <c r="E35" i="9"/>
  <c r="D35" i="9"/>
  <c r="F34" i="9"/>
  <c r="E34" i="9"/>
  <c r="D34" i="9"/>
  <c r="C36" i="9"/>
  <c r="C35" i="9"/>
  <c r="C34" i="9"/>
  <c r="S31" i="9"/>
  <c r="R31" i="9"/>
  <c r="Q31" i="9"/>
  <c r="P31" i="9"/>
  <c r="O31" i="9"/>
  <c r="AB31" i="9" s="1"/>
  <c r="N31" i="9"/>
  <c r="AA31" i="9" s="1"/>
  <c r="M31" i="9"/>
  <c r="L31" i="9"/>
  <c r="K31" i="9"/>
  <c r="J31" i="9"/>
  <c r="I31" i="9"/>
  <c r="H31" i="9"/>
  <c r="F31" i="9"/>
  <c r="E31" i="9"/>
  <c r="D31" i="9"/>
  <c r="C31" i="9"/>
  <c r="S30" i="9"/>
  <c r="R30" i="9"/>
  <c r="Q30" i="9"/>
  <c r="P30" i="9"/>
  <c r="O30" i="9"/>
  <c r="AB30" i="9" s="1"/>
  <c r="N30" i="9"/>
  <c r="M30" i="9"/>
  <c r="L30" i="9"/>
  <c r="K30" i="9"/>
  <c r="J30" i="9"/>
  <c r="I30" i="9"/>
  <c r="H30" i="9"/>
  <c r="F30" i="9"/>
  <c r="E30" i="9"/>
  <c r="D30" i="9"/>
  <c r="C30" i="9"/>
  <c r="S29" i="9"/>
  <c r="R29" i="9"/>
  <c r="Q29" i="9"/>
  <c r="P29" i="9"/>
  <c r="O29" i="9"/>
  <c r="AB29" i="9" s="1"/>
  <c r="N29" i="9"/>
  <c r="M29" i="9"/>
  <c r="L29" i="9"/>
  <c r="K29" i="9"/>
  <c r="J29" i="9"/>
  <c r="I29" i="9"/>
  <c r="H29" i="9"/>
  <c r="F29" i="9"/>
  <c r="E29" i="9"/>
  <c r="D29" i="9"/>
  <c r="C29" i="9"/>
  <c r="S28" i="9"/>
  <c r="R28" i="9"/>
  <c r="Q28" i="9"/>
  <c r="P28" i="9"/>
  <c r="O28" i="9"/>
  <c r="AB28" i="9" s="1"/>
  <c r="N28" i="9"/>
  <c r="M28" i="9"/>
  <c r="L28" i="9"/>
  <c r="K28" i="9"/>
  <c r="J28" i="9"/>
  <c r="I28" i="9"/>
  <c r="H28" i="9"/>
  <c r="F28" i="9"/>
  <c r="E28" i="9"/>
  <c r="D28" i="9"/>
  <c r="C28" i="9"/>
  <c r="S24" i="9"/>
  <c r="R24" i="9"/>
  <c r="Q24" i="9"/>
  <c r="P24" i="9"/>
  <c r="O24" i="9"/>
  <c r="AB24" i="9" s="1"/>
  <c r="N24" i="9"/>
  <c r="AA24" i="9" s="1"/>
  <c r="M24" i="9"/>
  <c r="L24" i="9"/>
  <c r="K24" i="9"/>
  <c r="J24" i="9"/>
  <c r="I24" i="9"/>
  <c r="H24" i="9"/>
  <c r="F24" i="9"/>
  <c r="E24" i="9"/>
  <c r="D24" i="9"/>
  <c r="C24" i="9"/>
  <c r="S20" i="9"/>
  <c r="R20" i="9"/>
  <c r="Q20" i="9"/>
  <c r="P20" i="9"/>
  <c r="AB20" i="9" s="1"/>
  <c r="O20" i="9"/>
  <c r="N20" i="9"/>
  <c r="AA20" i="9" s="1"/>
  <c r="M20" i="9"/>
  <c r="L20" i="9"/>
  <c r="K20" i="9"/>
  <c r="J20" i="9"/>
  <c r="I20" i="9"/>
  <c r="H20" i="9"/>
  <c r="F20" i="9"/>
  <c r="E20" i="9"/>
  <c r="D20" i="9"/>
  <c r="C20" i="9"/>
  <c r="S16" i="9"/>
  <c r="R16" i="9"/>
  <c r="Q16" i="9"/>
  <c r="P16" i="9"/>
  <c r="O16" i="9"/>
  <c r="AB16" i="9" s="1"/>
  <c r="N16" i="9"/>
  <c r="AA16" i="9" s="1"/>
  <c r="M16" i="9"/>
  <c r="L16" i="9"/>
  <c r="K16" i="9"/>
  <c r="J16" i="9"/>
  <c r="I16" i="9"/>
  <c r="S15" i="9"/>
  <c r="R15" i="9"/>
  <c r="Q15" i="9"/>
  <c r="P15" i="9"/>
  <c r="O15" i="9"/>
  <c r="N15" i="9"/>
  <c r="M15" i="9"/>
  <c r="L15" i="9"/>
  <c r="K15" i="9"/>
  <c r="J15" i="9"/>
  <c r="W15" i="9" s="1"/>
  <c r="I15" i="9"/>
  <c r="V15" i="9" s="1"/>
  <c r="H16" i="9"/>
  <c r="H15" i="9"/>
  <c r="F16" i="9"/>
  <c r="E16" i="9"/>
  <c r="D16" i="9"/>
  <c r="C16" i="9"/>
  <c r="F15" i="9"/>
  <c r="E15" i="9"/>
  <c r="D15" i="9"/>
  <c r="C15" i="9"/>
  <c r="S6" i="9"/>
  <c r="R6" i="9"/>
  <c r="Q6" i="9"/>
  <c r="P6" i="9"/>
  <c r="O6" i="9"/>
  <c r="AB6" i="9" s="1"/>
  <c r="N6" i="9"/>
  <c r="M6" i="9"/>
  <c r="L6" i="9"/>
  <c r="K6" i="9"/>
  <c r="J6" i="9"/>
  <c r="I6" i="9"/>
  <c r="H6" i="9"/>
  <c r="S11" i="9"/>
  <c r="R11" i="9"/>
  <c r="Q11" i="9"/>
  <c r="P11" i="9"/>
  <c r="O11" i="9"/>
  <c r="N11" i="9"/>
  <c r="M11" i="9"/>
  <c r="L11" i="9"/>
  <c r="K11" i="9"/>
  <c r="X11" i="9" s="1"/>
  <c r="J11" i="9"/>
  <c r="W11" i="9" s="1"/>
  <c r="I11" i="9"/>
  <c r="H11" i="9"/>
  <c r="F11" i="9"/>
  <c r="E11" i="9"/>
  <c r="D11" i="9"/>
  <c r="C11" i="9"/>
  <c r="E6" i="9"/>
  <c r="D6" i="9"/>
  <c r="C6" i="9"/>
  <c r="F6" i="9"/>
  <c r="B6" i="9"/>
  <c r="AC113" i="8"/>
  <c r="AB113" i="8"/>
  <c r="AA113" i="8"/>
  <c r="AC112" i="8"/>
  <c r="AB112" i="8"/>
  <c r="AA112" i="8"/>
  <c r="AC114" i="8"/>
  <c r="AB114" i="8"/>
  <c r="AA114" i="8"/>
  <c r="Z114" i="8"/>
  <c r="Y114" i="8"/>
  <c r="X114" i="8"/>
  <c r="W114" i="8"/>
  <c r="V114" i="8"/>
  <c r="U114" i="8"/>
  <c r="U108" i="8"/>
  <c r="Y103" i="8"/>
  <c r="AA98" i="8"/>
  <c r="Z98" i="8"/>
  <c r="AB72" i="8"/>
  <c r="AA72" i="8"/>
  <c r="Z72" i="8"/>
  <c r="X72" i="8"/>
  <c r="W72" i="8"/>
  <c r="V72" i="8"/>
  <c r="AB71" i="8"/>
  <c r="AA71" i="8"/>
  <c r="Z71" i="8"/>
  <c r="X71" i="8"/>
  <c r="W71" i="8"/>
  <c r="V71" i="8"/>
  <c r="U71" i="8"/>
  <c r="AB70" i="8"/>
  <c r="AA70" i="8"/>
  <c r="Z70" i="8"/>
  <c r="X70" i="8"/>
  <c r="W70" i="8"/>
  <c r="V70" i="8"/>
  <c r="U70" i="8"/>
  <c r="AB69" i="8"/>
  <c r="AC72" i="8"/>
  <c r="AC70" i="8"/>
  <c r="AB66" i="8"/>
  <c r="AA66" i="8"/>
  <c r="Z66" i="8"/>
  <c r="Y66" i="8"/>
  <c r="X66" i="8"/>
  <c r="W66" i="8"/>
  <c r="V66" i="8"/>
  <c r="AB65" i="8"/>
  <c r="AA65" i="8"/>
  <c r="Z65" i="8"/>
  <c r="Y65" i="8"/>
  <c r="X65" i="8"/>
  <c r="W65" i="8"/>
  <c r="V65" i="8"/>
  <c r="AB64" i="8"/>
  <c r="AA64" i="8"/>
  <c r="Z64" i="8"/>
  <c r="X64" i="8"/>
  <c r="W64" i="8"/>
  <c r="V64" i="8"/>
  <c r="AB63" i="8"/>
  <c r="AA63" i="8"/>
  <c r="Z63" i="8"/>
  <c r="X63" i="8"/>
  <c r="W63" i="8"/>
  <c r="V63" i="8"/>
  <c r="AC63" i="8"/>
  <c r="AB59" i="8"/>
  <c r="AA59" i="8"/>
  <c r="Z59" i="8"/>
  <c r="X59" i="8"/>
  <c r="W59" i="8"/>
  <c r="V59" i="8"/>
  <c r="AB58" i="8"/>
  <c r="AA58" i="8"/>
  <c r="Z58" i="8"/>
  <c r="X58" i="8"/>
  <c r="W58" i="8"/>
  <c r="V58" i="8"/>
  <c r="U58" i="8"/>
  <c r="AB57" i="8"/>
  <c r="AA57" i="8"/>
  <c r="Z57" i="8"/>
  <c r="X57" i="8"/>
  <c r="W57" i="8"/>
  <c r="V57" i="8"/>
  <c r="U57" i="8"/>
  <c r="AB56" i="8"/>
  <c r="AA56" i="8"/>
  <c r="Z56" i="8"/>
  <c r="X56" i="8"/>
  <c r="W56" i="8"/>
  <c r="V56" i="8"/>
  <c r="U56" i="8"/>
  <c r="AB55" i="8"/>
  <c r="AA55" i="8"/>
  <c r="Z55" i="8"/>
  <c r="X55" i="8"/>
  <c r="W55" i="8"/>
  <c r="V55" i="8"/>
  <c r="U55" i="8"/>
  <c r="AC59" i="8"/>
  <c r="AC57" i="8"/>
  <c r="AB51" i="8"/>
  <c r="AA51" i="8"/>
  <c r="Z51" i="8"/>
  <c r="X51" i="8"/>
  <c r="W51" i="8"/>
  <c r="V51" i="8"/>
  <c r="AB50" i="8"/>
  <c r="AA50" i="8"/>
  <c r="Z50" i="8"/>
  <c r="X50" i="8"/>
  <c r="W50" i="8"/>
  <c r="V50" i="8"/>
  <c r="AB46" i="8"/>
  <c r="AA46" i="8"/>
  <c r="Z46" i="8"/>
  <c r="Y46" i="8"/>
  <c r="X46" i="8"/>
  <c r="W46" i="8"/>
  <c r="V46" i="8"/>
  <c r="AB45" i="8"/>
  <c r="AA45" i="8"/>
  <c r="Z45" i="8"/>
  <c r="Y45" i="8"/>
  <c r="X45" i="8"/>
  <c r="W45" i="8"/>
  <c r="V45" i="8"/>
  <c r="AC46" i="8"/>
  <c r="AC45" i="8"/>
  <c r="AB35" i="8"/>
  <c r="AA35" i="8"/>
  <c r="Z35" i="8"/>
  <c r="X35" i="8"/>
  <c r="W35" i="8"/>
  <c r="V35" i="8"/>
  <c r="AA32" i="8"/>
  <c r="X32" i="8"/>
  <c r="W32" i="8"/>
  <c r="Z23" i="8"/>
  <c r="AC17" i="8"/>
  <c r="U17" i="8"/>
  <c r="AB10" i="8"/>
  <c r="AA10" i="8"/>
  <c r="Z10" i="8"/>
  <c r="X10" i="8"/>
  <c r="W10" i="8"/>
  <c r="V10" i="8"/>
  <c r="U10" i="8"/>
  <c r="AB8" i="8"/>
  <c r="AA8" i="8"/>
  <c r="Z8" i="8"/>
  <c r="X8" i="8"/>
  <c r="W8" i="8"/>
  <c r="V8" i="8"/>
  <c r="AB7" i="8"/>
  <c r="AA7" i="8"/>
  <c r="Z7" i="8"/>
  <c r="Y7" i="8"/>
  <c r="X7" i="8"/>
  <c r="W7" i="8"/>
  <c r="V7" i="8"/>
  <c r="U7" i="8"/>
  <c r="AC7" i="8"/>
  <c r="S70" i="8"/>
  <c r="F69" i="8"/>
  <c r="S69" i="8" s="1"/>
  <c r="AC69" i="8" s="1"/>
  <c r="C4" i="9"/>
  <c r="C3" i="9"/>
  <c r="B2" i="12"/>
  <c r="Q88" i="8"/>
  <c r="R88" i="8" s="1"/>
  <c r="S88" i="8" s="1"/>
  <c r="S113" i="8"/>
  <c r="Z113" i="8" s="1"/>
  <c r="O113" i="8"/>
  <c r="V113" i="8" s="1"/>
  <c r="K113" i="8"/>
  <c r="Q90" i="8"/>
  <c r="R90" i="8" s="1"/>
  <c r="S90" i="8" s="1"/>
  <c r="M90" i="8"/>
  <c r="I90" i="8"/>
  <c r="Q89" i="8"/>
  <c r="R89" i="8" s="1"/>
  <c r="M89" i="8"/>
  <c r="N89" i="8" s="1"/>
  <c r="I89" i="8"/>
  <c r="M88" i="8"/>
  <c r="N88" i="8" s="1"/>
  <c r="I88" i="8"/>
  <c r="Q87" i="8"/>
  <c r="R87" i="8" s="1"/>
  <c r="M87" i="8"/>
  <c r="N87" i="8" s="1"/>
  <c r="I87" i="8"/>
  <c r="O104" i="8"/>
  <c r="O98" i="8"/>
  <c r="AB98" i="8" s="1"/>
  <c r="Q94" i="8"/>
  <c r="R94" i="8" s="1"/>
  <c r="M94" i="8"/>
  <c r="I94" i="8"/>
  <c r="Q93" i="8"/>
  <c r="R93" i="8" s="1"/>
  <c r="M93" i="8"/>
  <c r="I93" i="8"/>
  <c r="Q92" i="8"/>
  <c r="R92" i="8" s="1"/>
  <c r="N92" i="8"/>
  <c r="M92" i="8"/>
  <c r="I92" i="8"/>
  <c r="I98" i="8"/>
  <c r="R104" i="8"/>
  <c r="I104" i="8"/>
  <c r="J104" i="8" s="1"/>
  <c r="Q103" i="8"/>
  <c r="R103" i="8" s="1"/>
  <c r="S103" i="8" s="1"/>
  <c r="N103" i="8"/>
  <c r="O103" i="8" s="1"/>
  <c r="AB103" i="8" s="1"/>
  <c r="I103" i="8"/>
  <c r="J103" i="8" s="1"/>
  <c r="Q102" i="8"/>
  <c r="R102" i="8" s="1"/>
  <c r="M102" i="8"/>
  <c r="I102" i="8"/>
  <c r="R69" i="8"/>
  <c r="Q69" i="8"/>
  <c r="AA69" i="8" s="1"/>
  <c r="P69" i="8"/>
  <c r="Z69" i="8" s="1"/>
  <c r="N69" i="8"/>
  <c r="X69" i="8" s="1"/>
  <c r="M69" i="8"/>
  <c r="W69" i="8" s="1"/>
  <c r="L69" i="8"/>
  <c r="V69" i="8" s="1"/>
  <c r="J69" i="8"/>
  <c r="J73" i="8" s="1"/>
  <c r="I69" i="8"/>
  <c r="I73" i="8" s="1"/>
  <c r="H69" i="8"/>
  <c r="O72" i="8"/>
  <c r="Y72" i="8" s="1"/>
  <c r="O71" i="8"/>
  <c r="Y71" i="8" s="1"/>
  <c r="O70" i="8"/>
  <c r="Y70" i="8" s="1"/>
  <c r="K72" i="8"/>
  <c r="U72" i="8" s="1"/>
  <c r="K71" i="8"/>
  <c r="K70" i="8"/>
  <c r="O66" i="8"/>
  <c r="O65" i="8"/>
  <c r="O64" i="8"/>
  <c r="Y64" i="8" s="1"/>
  <c r="O63" i="8"/>
  <c r="Y63" i="8" s="1"/>
  <c r="K66" i="8"/>
  <c r="K65" i="8"/>
  <c r="U65" i="8" s="1"/>
  <c r="K64" i="8"/>
  <c r="U64" i="8" s="1"/>
  <c r="K63" i="8"/>
  <c r="U63" i="8" s="1"/>
  <c r="O59" i="8"/>
  <c r="Y59" i="8" s="1"/>
  <c r="O58" i="8"/>
  <c r="Y58" i="8" s="1"/>
  <c r="O57" i="8"/>
  <c r="Y57" i="8" s="1"/>
  <c r="O56" i="8"/>
  <c r="Y56" i="8" s="1"/>
  <c r="O55" i="8"/>
  <c r="K59" i="8"/>
  <c r="U59" i="8" s="1"/>
  <c r="K58" i="8"/>
  <c r="K57" i="8"/>
  <c r="K56" i="8"/>
  <c r="K55" i="8"/>
  <c r="O51" i="8"/>
  <c r="O50" i="8"/>
  <c r="Y50" i="8" s="1"/>
  <c r="K51" i="8"/>
  <c r="K50" i="8"/>
  <c r="U50" i="8" s="1"/>
  <c r="O46" i="8"/>
  <c r="O45" i="8"/>
  <c r="K46" i="8"/>
  <c r="U46" i="8" s="1"/>
  <c r="K45" i="8"/>
  <c r="E69" i="8"/>
  <c r="O69" i="8" s="1"/>
  <c r="Y69" i="8" s="1"/>
  <c r="D69" i="8"/>
  <c r="K69" i="8" s="1"/>
  <c r="U69" i="8" s="1"/>
  <c r="C69" i="8"/>
  <c r="C73" i="8" s="1"/>
  <c r="S104" i="8"/>
  <c r="S98" i="8"/>
  <c r="S72" i="8"/>
  <c r="S71" i="8"/>
  <c r="AC71" i="8" s="1"/>
  <c r="S66" i="8"/>
  <c r="S65" i="8"/>
  <c r="AC65" i="8" s="1"/>
  <c r="S64" i="8"/>
  <c r="AC64" i="8" s="1"/>
  <c r="S63" i="8"/>
  <c r="S59" i="8"/>
  <c r="S58" i="8"/>
  <c r="AC58" i="8" s="1"/>
  <c r="S57" i="8"/>
  <c r="S56" i="8"/>
  <c r="AC56" i="8" s="1"/>
  <c r="S55" i="8"/>
  <c r="AC55" i="8" s="1"/>
  <c r="S51" i="8"/>
  <c r="AC51" i="8" s="1"/>
  <c r="S50" i="8"/>
  <c r="AC50" i="8" s="1"/>
  <c r="K32" i="8"/>
  <c r="K21" i="12" s="1"/>
  <c r="U21" i="12" s="1"/>
  <c r="O32" i="8"/>
  <c r="Y32" i="8" s="1"/>
  <c r="C110" i="8"/>
  <c r="C105" i="8"/>
  <c r="C99" i="8"/>
  <c r="C81" i="8"/>
  <c r="C80" i="8"/>
  <c r="C60" i="8"/>
  <c r="C67" i="8" s="1"/>
  <c r="C47" i="8"/>
  <c r="C52" i="8" s="1"/>
  <c r="C42" i="8"/>
  <c r="C41" i="8"/>
  <c r="C11" i="8"/>
  <c r="C14" i="8" s="1"/>
  <c r="C19" i="8" s="1"/>
  <c r="O10" i="8"/>
  <c r="Y10" i="8" s="1"/>
  <c r="K10" i="8"/>
  <c r="K11" i="8" s="1"/>
  <c r="X109" i="8"/>
  <c r="W109" i="8"/>
  <c r="U109" i="8"/>
  <c r="AA7" i="12"/>
  <c r="Z7" i="12"/>
  <c r="X7" i="12"/>
  <c r="V7" i="12"/>
  <c r="R4" i="12"/>
  <c r="AB4" i="12" s="1"/>
  <c r="Q4" i="12"/>
  <c r="AA4" i="12" s="1"/>
  <c r="P4" i="12"/>
  <c r="Z4" i="12" s="1"/>
  <c r="N4" i="12"/>
  <c r="X4" i="12" s="1"/>
  <c r="M4" i="12"/>
  <c r="W4" i="12" s="1"/>
  <c r="L4" i="12"/>
  <c r="V4" i="12" s="1"/>
  <c r="J4" i="12"/>
  <c r="I4" i="12"/>
  <c r="S3" i="12"/>
  <c r="AC3" i="12" s="1"/>
  <c r="R3" i="12"/>
  <c r="AB3" i="12" s="1"/>
  <c r="Q3" i="12"/>
  <c r="AA3" i="12" s="1"/>
  <c r="P3" i="12"/>
  <c r="Z3" i="12" s="1"/>
  <c r="O3" i="12"/>
  <c r="Y3" i="12" s="1"/>
  <c r="N3" i="12"/>
  <c r="X3" i="12" s="1"/>
  <c r="M3" i="12"/>
  <c r="W3" i="12" s="1"/>
  <c r="L3" i="12"/>
  <c r="V3" i="12" s="1"/>
  <c r="K3" i="12"/>
  <c r="U3" i="12" s="1"/>
  <c r="J3" i="12"/>
  <c r="I3" i="12"/>
  <c r="H4" i="12"/>
  <c r="H3" i="12"/>
  <c r="F4" i="12"/>
  <c r="E4" i="12"/>
  <c r="D4" i="12"/>
  <c r="F3" i="12"/>
  <c r="E3" i="12"/>
  <c r="D3" i="12"/>
  <c r="S46" i="8"/>
  <c r="J4" i="9"/>
  <c r="I4" i="9"/>
  <c r="H4" i="9"/>
  <c r="K3" i="9"/>
  <c r="U3" i="9" s="1"/>
  <c r="J3" i="9"/>
  <c r="I3" i="9"/>
  <c r="H3" i="9"/>
  <c r="W113" i="8"/>
  <c r="X113" i="8"/>
  <c r="S112" i="8"/>
  <c r="Y113" i="8"/>
  <c r="O112" i="8"/>
  <c r="Y112" i="8" s="1"/>
  <c r="O109" i="8"/>
  <c r="K112" i="8"/>
  <c r="U112" i="8" s="1"/>
  <c r="V109" i="8"/>
  <c r="H60" i="8"/>
  <c r="I60" i="8"/>
  <c r="J60" i="8"/>
  <c r="S28" i="8"/>
  <c r="AC28" i="8" s="1"/>
  <c r="O28" i="8"/>
  <c r="AB28" i="8" s="1"/>
  <c r="K28" i="8"/>
  <c r="V28" i="8" s="1"/>
  <c r="K35" i="8"/>
  <c r="S23" i="8"/>
  <c r="AC23" i="8" s="1"/>
  <c r="O23" i="8"/>
  <c r="AB23" i="8" s="1"/>
  <c r="K23" i="8"/>
  <c r="S22" i="8"/>
  <c r="AC22" i="8" s="1"/>
  <c r="O22" i="8"/>
  <c r="Y22" i="8" s="1"/>
  <c r="K22" i="8"/>
  <c r="X22" i="8" s="1"/>
  <c r="S18" i="8"/>
  <c r="O18" i="8"/>
  <c r="K18" i="8"/>
  <c r="S17" i="8"/>
  <c r="O17" i="8"/>
  <c r="K17" i="8"/>
  <c r="S13" i="8"/>
  <c r="O13" i="8"/>
  <c r="K13" i="8"/>
  <c r="S10" i="8"/>
  <c r="K8" i="8"/>
  <c r="K42" i="8" s="1"/>
  <c r="H105" i="8"/>
  <c r="H99" i="8"/>
  <c r="J81" i="8"/>
  <c r="I81" i="8"/>
  <c r="H81" i="8"/>
  <c r="K80" i="8"/>
  <c r="J80" i="8"/>
  <c r="I80" i="8"/>
  <c r="H80" i="8"/>
  <c r="H73" i="8"/>
  <c r="J47" i="8"/>
  <c r="J52" i="8" s="1"/>
  <c r="I47" i="8"/>
  <c r="I52" i="8" s="1"/>
  <c r="H47" i="8"/>
  <c r="H52" i="8" s="1"/>
  <c r="J42" i="8"/>
  <c r="I42" i="8"/>
  <c r="H42" i="8"/>
  <c r="K41" i="8"/>
  <c r="J41" i="8"/>
  <c r="I41" i="8"/>
  <c r="H41" i="8"/>
  <c r="J11" i="8"/>
  <c r="J14" i="8" s="1"/>
  <c r="J19" i="8" s="1"/>
  <c r="I11" i="8"/>
  <c r="I14" i="8" s="1"/>
  <c r="I19" i="8" s="1"/>
  <c r="H11" i="8"/>
  <c r="H14" i="8" s="1"/>
  <c r="S35" i="8"/>
  <c r="AC35" i="8" s="1"/>
  <c r="O35" i="8"/>
  <c r="Y35" i="8" s="1"/>
  <c r="S45" i="8"/>
  <c r="V32" i="8" l="1"/>
  <c r="P21" i="12"/>
  <c r="Z21" i="12" s="1"/>
  <c r="R21" i="12"/>
  <c r="AB21" i="12" s="1"/>
  <c r="O21" i="12"/>
  <c r="Y21" i="12" s="1"/>
  <c r="AC32" i="8"/>
  <c r="S21" i="12"/>
  <c r="AC21" i="12" s="1"/>
  <c r="F21" i="12"/>
  <c r="S25" i="12"/>
  <c r="AC25" i="12" s="1"/>
  <c r="AE25" i="12" s="1"/>
  <c r="W12" i="12"/>
  <c r="AA12" i="12"/>
  <c r="C13" i="12"/>
  <c r="C17" i="12" s="1"/>
  <c r="C22" i="12"/>
  <c r="C26" i="12"/>
  <c r="C16" i="12"/>
  <c r="AA11" i="9"/>
  <c r="Z15" i="9"/>
  <c r="W16" i="9"/>
  <c r="W20" i="9"/>
  <c r="W24" i="9"/>
  <c r="U36" i="9"/>
  <c r="AC34" i="9"/>
  <c r="W36" i="9"/>
  <c r="U16" i="9"/>
  <c r="W28" i="9"/>
  <c r="AA6" i="9"/>
  <c r="AA28" i="9"/>
  <c r="AA29" i="9"/>
  <c r="AA30" i="9"/>
  <c r="Y11" i="9"/>
  <c r="U6" i="9"/>
  <c r="X15" i="9"/>
  <c r="AC16" i="9"/>
  <c r="U20" i="9"/>
  <c r="U24" i="9"/>
  <c r="AC24" i="9"/>
  <c r="U28" i="9"/>
  <c r="AC28" i="9"/>
  <c r="U29" i="9"/>
  <c r="AC29" i="9"/>
  <c r="U30" i="9"/>
  <c r="AC30" i="9"/>
  <c r="U31" i="9"/>
  <c r="AC31" i="9"/>
  <c r="U34" i="9"/>
  <c r="Z11" i="9"/>
  <c r="V6" i="9"/>
  <c r="Y15" i="9"/>
  <c r="V16" i="9"/>
  <c r="V20" i="9"/>
  <c r="V24" i="9"/>
  <c r="V28" i="9"/>
  <c r="V29" i="9"/>
  <c r="V30" i="9"/>
  <c r="V31" i="9"/>
  <c r="AB34" i="9"/>
  <c r="Y35" i="9"/>
  <c r="V36" i="9"/>
  <c r="V11" i="9"/>
  <c r="AB11" i="9"/>
  <c r="Z6" i="9"/>
  <c r="AA15" i="9"/>
  <c r="Z16" i="9"/>
  <c r="Z20" i="9"/>
  <c r="X24" i="9"/>
  <c r="Z29" i="9"/>
  <c r="Z30" i="9"/>
  <c r="Z31" i="9"/>
  <c r="X34" i="9"/>
  <c r="Z35" i="9"/>
  <c r="Y36" i="9"/>
  <c r="Z34" i="9"/>
  <c r="W35" i="9"/>
  <c r="X35" i="9"/>
  <c r="AC36" i="9"/>
  <c r="W30" i="9"/>
  <c r="X6" i="9"/>
  <c r="X16" i="9"/>
  <c r="X20" i="9"/>
  <c r="X29" i="9"/>
  <c r="X31" i="9"/>
  <c r="X36" i="9"/>
  <c r="Y6" i="9"/>
  <c r="U15" i="9"/>
  <c r="Y16" i="9"/>
  <c r="Y28" i="9"/>
  <c r="Y30" i="9"/>
  <c r="Y31" i="9"/>
  <c r="AB35" i="9"/>
  <c r="U11" i="9"/>
  <c r="AC11" i="9"/>
  <c r="AB15" i="9"/>
  <c r="Y24" i="9"/>
  <c r="X28" i="9"/>
  <c r="W29" i="9"/>
  <c r="AA35" i="9"/>
  <c r="Z36" i="9"/>
  <c r="AC15" i="9"/>
  <c r="Z24" i="9"/>
  <c r="Y29" i="9"/>
  <c r="V34" i="9"/>
  <c r="AB36" i="9"/>
  <c r="AC20" i="9"/>
  <c r="W34" i="9"/>
  <c r="V35" i="9"/>
  <c r="X30" i="9"/>
  <c r="W6" i="9"/>
  <c r="Z28" i="9"/>
  <c r="W31" i="9"/>
  <c r="AC35" i="9"/>
  <c r="AC43" i="9"/>
  <c r="Y20" i="9"/>
  <c r="AC57" i="9"/>
  <c r="AC60" i="9" s="1"/>
  <c r="AC69" i="9" s="1"/>
  <c r="AB57" i="9"/>
  <c r="AB60" i="9" s="1"/>
  <c r="AB69" i="9" s="1"/>
  <c r="AC6" i="9"/>
  <c r="AC7" i="9" s="1"/>
  <c r="AC12" i="9" s="1"/>
  <c r="AB7" i="9"/>
  <c r="AB12" i="9" s="1"/>
  <c r="AA7" i="9"/>
  <c r="AA60" i="9"/>
  <c r="AA69" i="9" s="1"/>
  <c r="D57" i="9"/>
  <c r="AE71" i="8"/>
  <c r="Z93" i="8"/>
  <c r="AE70" i="8"/>
  <c r="AA92" i="8"/>
  <c r="AA89" i="8"/>
  <c r="U8" i="8"/>
  <c r="AC13" i="8"/>
  <c r="AB13" i="8"/>
  <c r="AB17" i="8"/>
  <c r="AA18" i="8"/>
  <c r="Z22" i="8"/>
  <c r="Y23" i="8"/>
  <c r="AE23" i="8" s="1"/>
  <c r="W28" i="8"/>
  <c r="U32" i="8"/>
  <c r="U35" i="8"/>
  <c r="Y51" i="8"/>
  <c r="AC90" i="8"/>
  <c r="Y98" i="8"/>
  <c r="V104" i="8"/>
  <c r="AA22" i="8"/>
  <c r="X28" i="8"/>
  <c r="U13" i="8"/>
  <c r="AB18" i="8"/>
  <c r="V13" i="8"/>
  <c r="V17" i="8"/>
  <c r="U18" i="8"/>
  <c r="AC18" i="8"/>
  <c r="AB22" i="8"/>
  <c r="AA23" i="8"/>
  <c r="Y28" i="8"/>
  <c r="N93" i="8"/>
  <c r="W13" i="8"/>
  <c r="W17" i="8"/>
  <c r="V18" i="8"/>
  <c r="U22" i="8"/>
  <c r="Z28" i="8"/>
  <c r="U45" i="8"/>
  <c r="Y89" i="8"/>
  <c r="Z103" i="8"/>
  <c r="Y104" i="8"/>
  <c r="X13" i="8"/>
  <c r="X17" i="8"/>
  <c r="W18" i="8"/>
  <c r="V22" i="8"/>
  <c r="U23" i="8"/>
  <c r="AA28" i="8"/>
  <c r="U51" i="8"/>
  <c r="AC98" i="8"/>
  <c r="AA103" i="8"/>
  <c r="Z104" i="8"/>
  <c r="Y13" i="8"/>
  <c r="Y17" i="8"/>
  <c r="X18" i="8"/>
  <c r="W22" i="8"/>
  <c r="V23" i="8"/>
  <c r="AC66" i="8"/>
  <c r="Y92" i="8"/>
  <c r="AA104" i="8"/>
  <c r="Z13" i="8"/>
  <c r="Z17" i="8"/>
  <c r="Y18" i="8"/>
  <c r="W23" i="8"/>
  <c r="U28" i="8"/>
  <c r="Y55" i="8"/>
  <c r="U66" i="8"/>
  <c r="AC88" i="8"/>
  <c r="U103" i="8"/>
  <c r="AC103" i="8"/>
  <c r="AB104" i="8"/>
  <c r="AA13" i="8"/>
  <c r="AA17" i="8"/>
  <c r="Z18" i="8"/>
  <c r="X23" i="8"/>
  <c r="V103" i="8"/>
  <c r="U104" i="8"/>
  <c r="AC104" i="8"/>
  <c r="O92" i="8"/>
  <c r="AB92" i="8" s="1"/>
  <c r="O93" i="8"/>
  <c r="AB93" i="8" s="1"/>
  <c r="K103" i="8"/>
  <c r="X103" i="8" s="1"/>
  <c r="K104" i="8"/>
  <c r="O87" i="8"/>
  <c r="AA87" i="8" s="1"/>
  <c r="O88" i="8"/>
  <c r="O89" i="8"/>
  <c r="AB89" i="8" s="1"/>
  <c r="N102" i="8"/>
  <c r="S87" i="8"/>
  <c r="AC87" i="8" s="1"/>
  <c r="J87" i="8"/>
  <c r="J88" i="8"/>
  <c r="J89" i="8"/>
  <c r="J90" i="8"/>
  <c r="N90" i="8"/>
  <c r="S89" i="8"/>
  <c r="AC89" i="8" s="1"/>
  <c r="J92" i="8"/>
  <c r="J93" i="8"/>
  <c r="J94" i="8"/>
  <c r="N94" i="8"/>
  <c r="J102" i="8"/>
  <c r="S102" i="8"/>
  <c r="AC102" i="8" s="1"/>
  <c r="S93" i="8"/>
  <c r="AC93" i="8" s="1"/>
  <c r="J98" i="8"/>
  <c r="AE45" i="8"/>
  <c r="P8" i="12"/>
  <c r="P26" i="12" s="1"/>
  <c r="AE65" i="8"/>
  <c r="C74" i="8"/>
  <c r="C76" i="8" s="1"/>
  <c r="AE63" i="8"/>
  <c r="C25" i="8"/>
  <c r="C20" i="8"/>
  <c r="C15" i="8"/>
  <c r="AE56" i="8"/>
  <c r="AE46" i="8"/>
  <c r="V112" i="8"/>
  <c r="Y109" i="8"/>
  <c r="W112" i="8"/>
  <c r="U113" i="8"/>
  <c r="K4" i="12"/>
  <c r="U4" i="12" s="1"/>
  <c r="Z109" i="8"/>
  <c r="X112" i="8"/>
  <c r="AA109" i="8"/>
  <c r="AB109" i="8"/>
  <c r="Z112" i="8"/>
  <c r="AE51" i="8"/>
  <c r="K43" i="9"/>
  <c r="AE64" i="8"/>
  <c r="AE55" i="8"/>
  <c r="AE50" i="8"/>
  <c r="AC7" i="12"/>
  <c r="AC8" i="12" s="1"/>
  <c r="U7" i="12"/>
  <c r="U8" i="12" s="1"/>
  <c r="E57" i="9"/>
  <c r="N57" i="9"/>
  <c r="Y7" i="12"/>
  <c r="Y8" i="12" s="1"/>
  <c r="C57" i="9"/>
  <c r="L57" i="9"/>
  <c r="M8" i="12"/>
  <c r="F57" i="9"/>
  <c r="H57" i="9"/>
  <c r="H60" i="9" s="1"/>
  <c r="H69" i="9" s="1"/>
  <c r="P57" i="9"/>
  <c r="I57" i="9"/>
  <c r="I60" i="9" s="1"/>
  <c r="I69" i="9" s="1"/>
  <c r="Q57" i="9"/>
  <c r="J57" i="9"/>
  <c r="J60" i="9" s="1"/>
  <c r="J69" i="9" s="1"/>
  <c r="R57" i="9"/>
  <c r="M57" i="9"/>
  <c r="J43" i="9"/>
  <c r="I8" i="12"/>
  <c r="Q8" i="12"/>
  <c r="J8" i="12"/>
  <c r="R8" i="12"/>
  <c r="X8" i="12"/>
  <c r="X22" i="12" s="1"/>
  <c r="D8" i="12"/>
  <c r="AA8" i="12"/>
  <c r="L8" i="12"/>
  <c r="L26" i="12" s="1"/>
  <c r="N8" i="12"/>
  <c r="AB8" i="12"/>
  <c r="H8" i="12"/>
  <c r="W8" i="12"/>
  <c r="W16" i="12" s="1"/>
  <c r="F8" i="12"/>
  <c r="E8" i="12"/>
  <c r="K7" i="9"/>
  <c r="K12" i="9" s="1"/>
  <c r="H43" i="9"/>
  <c r="I43" i="9"/>
  <c r="K4" i="9"/>
  <c r="U4" i="9" s="1"/>
  <c r="H7" i="9"/>
  <c r="H12" i="9" s="1"/>
  <c r="H17" i="9" s="1"/>
  <c r="H21" i="9" s="1"/>
  <c r="J7" i="9"/>
  <c r="I7" i="9"/>
  <c r="O24" i="8"/>
  <c r="I99" i="8"/>
  <c r="K24" i="8"/>
  <c r="S24" i="8"/>
  <c r="AC24" i="8" s="1"/>
  <c r="I105" i="8"/>
  <c r="J67" i="8"/>
  <c r="I67" i="8"/>
  <c r="S92" i="8"/>
  <c r="AC92" i="8" s="1"/>
  <c r="H67" i="8"/>
  <c r="K73" i="8"/>
  <c r="K60" i="8"/>
  <c r="K47" i="8"/>
  <c r="K52" i="8" s="1"/>
  <c r="K14" i="8"/>
  <c r="K19" i="8" s="1"/>
  <c r="K81" i="8"/>
  <c r="I25" i="8"/>
  <c r="I20" i="8"/>
  <c r="H19" i="8"/>
  <c r="H15" i="8"/>
  <c r="J25" i="8"/>
  <c r="J20" i="8"/>
  <c r="I15" i="8"/>
  <c r="J15" i="8"/>
  <c r="AE35" i="8"/>
  <c r="C18" i="12" l="1"/>
  <c r="AA12" i="9"/>
  <c r="AA17" i="9" s="1"/>
  <c r="AC17" i="9"/>
  <c r="AC13" i="9"/>
  <c r="AB13" i="9"/>
  <c r="AB17" i="9"/>
  <c r="I9" i="9"/>
  <c r="U89" i="8"/>
  <c r="V94" i="8"/>
  <c r="U98" i="8"/>
  <c r="X104" i="8"/>
  <c r="W104" i="8"/>
  <c r="W103" i="8"/>
  <c r="AB88" i="8"/>
  <c r="Y88" i="8"/>
  <c r="K92" i="8"/>
  <c r="X92" i="8" s="1"/>
  <c r="V92" i="8"/>
  <c r="AA93" i="8"/>
  <c r="O90" i="8"/>
  <c r="AB90" i="8" s="1"/>
  <c r="Y93" i="8"/>
  <c r="Z88" i="8"/>
  <c r="AB24" i="8"/>
  <c r="AA24" i="8"/>
  <c r="Z24" i="8"/>
  <c r="Y24" i="8"/>
  <c r="K102" i="8"/>
  <c r="X102" i="8" s="1"/>
  <c r="K90" i="8"/>
  <c r="X90" i="8" s="1"/>
  <c r="O102" i="8"/>
  <c r="AB102" i="8" s="1"/>
  <c r="Z92" i="8"/>
  <c r="V87" i="8"/>
  <c r="W93" i="8"/>
  <c r="K98" i="8"/>
  <c r="W98" i="8"/>
  <c r="W24" i="8"/>
  <c r="V24" i="8"/>
  <c r="U24" i="8"/>
  <c r="X24" i="8"/>
  <c r="O94" i="8"/>
  <c r="AB94" i="8" s="1"/>
  <c r="AA88" i="8"/>
  <c r="AB87" i="8"/>
  <c r="Z87" i="8"/>
  <c r="Y87" i="8"/>
  <c r="K94" i="8"/>
  <c r="V88" i="8"/>
  <c r="W88" i="8"/>
  <c r="U102" i="8"/>
  <c r="Z89" i="8"/>
  <c r="V93" i="8"/>
  <c r="K88" i="8"/>
  <c r="K87" i="8"/>
  <c r="X87" i="8" s="1"/>
  <c r="K93" i="8"/>
  <c r="X93" i="8" s="1"/>
  <c r="K89" i="8"/>
  <c r="P22" i="12"/>
  <c r="P16" i="12"/>
  <c r="K57" i="9"/>
  <c r="C26" i="8"/>
  <c r="C29" i="8"/>
  <c r="S57" i="9"/>
  <c r="V8" i="12"/>
  <c r="V16" i="12" s="1"/>
  <c r="K8" i="12"/>
  <c r="K16" i="12" s="1"/>
  <c r="O57" i="9"/>
  <c r="AE16" i="9"/>
  <c r="Z8" i="12"/>
  <c r="Z16" i="12" s="1"/>
  <c r="F26" i="12"/>
  <c r="F16" i="12"/>
  <c r="AE7" i="12"/>
  <c r="AC22" i="12"/>
  <c r="AE8" i="12"/>
  <c r="AC26" i="12"/>
  <c r="AC16" i="12"/>
  <c r="N16" i="12"/>
  <c r="N22" i="12"/>
  <c r="O8" i="12"/>
  <c r="O16" i="12" s="1"/>
  <c r="J16" i="12"/>
  <c r="J26" i="12"/>
  <c r="K67" i="8"/>
  <c r="W26" i="12"/>
  <c r="U22" i="12"/>
  <c r="U26" i="12"/>
  <c r="U16" i="12"/>
  <c r="L16" i="12"/>
  <c r="L22" i="12"/>
  <c r="R16" i="12"/>
  <c r="R26" i="12"/>
  <c r="W22" i="12"/>
  <c r="H74" i="8"/>
  <c r="H76" i="8" s="1"/>
  <c r="Y16" i="12"/>
  <c r="Y26" i="12"/>
  <c r="D22" i="12"/>
  <c r="F22" i="12"/>
  <c r="J74" i="8"/>
  <c r="J76" i="8" s="1"/>
  <c r="E16" i="12"/>
  <c r="E22" i="12"/>
  <c r="E26" i="12"/>
  <c r="I74" i="8"/>
  <c r="I76" i="8" s="1"/>
  <c r="H26" i="12"/>
  <c r="H22" i="12"/>
  <c r="H16" i="12"/>
  <c r="D16" i="12"/>
  <c r="D26" i="12"/>
  <c r="Q26" i="12"/>
  <c r="Q16" i="12"/>
  <c r="Q22" i="12"/>
  <c r="S8" i="12"/>
  <c r="S16" i="12" s="1"/>
  <c r="X26" i="12"/>
  <c r="X16" i="12"/>
  <c r="I16" i="12"/>
  <c r="I26" i="12"/>
  <c r="I22" i="12"/>
  <c r="N26" i="12"/>
  <c r="R22" i="12"/>
  <c r="AE21" i="12"/>
  <c r="AA16" i="12"/>
  <c r="AA26" i="12"/>
  <c r="AA22" i="12"/>
  <c r="AB16" i="12"/>
  <c r="AB22" i="12"/>
  <c r="AB26" i="12"/>
  <c r="M22" i="12"/>
  <c r="M16" i="12"/>
  <c r="M26" i="12"/>
  <c r="J22" i="12"/>
  <c r="K9" i="9"/>
  <c r="J105" i="8"/>
  <c r="J99" i="8"/>
  <c r="I12" i="9"/>
  <c r="I17" i="9" s="1"/>
  <c r="I21" i="9" s="1"/>
  <c r="J12" i="9"/>
  <c r="J13" i="9" s="1"/>
  <c r="J9" i="9"/>
  <c r="H13" i="9"/>
  <c r="K13" i="9"/>
  <c r="K17" i="9"/>
  <c r="H18" i="9"/>
  <c r="S94" i="8"/>
  <c r="K15" i="8"/>
  <c r="K25" i="8"/>
  <c r="K20" i="8"/>
  <c r="J29" i="8"/>
  <c r="J26" i="8"/>
  <c r="H25" i="8"/>
  <c r="H20" i="8"/>
  <c r="I29" i="8"/>
  <c r="I26" i="8"/>
  <c r="AC109" i="8"/>
  <c r="R109" i="8"/>
  <c r="Q109" i="8"/>
  <c r="N109" i="8"/>
  <c r="L105" i="8"/>
  <c r="M105" i="8"/>
  <c r="N105" i="8"/>
  <c r="M109" i="8"/>
  <c r="P109" i="8"/>
  <c r="AA13" i="9" l="1"/>
  <c r="AB21" i="9"/>
  <c r="AB18" i="9"/>
  <c r="AC21" i="9"/>
  <c r="AC18" i="9"/>
  <c r="AA18" i="9"/>
  <c r="AA21" i="9"/>
  <c r="Y94" i="8"/>
  <c r="W90" i="8"/>
  <c r="U92" i="8"/>
  <c r="X89" i="8"/>
  <c r="X94" i="8"/>
  <c r="U94" i="8"/>
  <c r="Z90" i="8"/>
  <c r="W102" i="8"/>
  <c r="V89" i="8"/>
  <c r="W92" i="8"/>
  <c r="U93" i="8"/>
  <c r="Y102" i="8"/>
  <c r="X88" i="8"/>
  <c r="U88" i="8"/>
  <c r="Y90" i="8"/>
  <c r="Z102" i="8"/>
  <c r="W87" i="8"/>
  <c r="V102" i="8"/>
  <c r="AC94" i="8"/>
  <c r="W94" i="8"/>
  <c r="W89" i="8"/>
  <c r="AA102" i="8"/>
  <c r="AA90" i="8"/>
  <c r="U87" i="8"/>
  <c r="Z94" i="8"/>
  <c r="AA94" i="8"/>
  <c r="X98" i="8"/>
  <c r="V98" i="8"/>
  <c r="V90" i="8"/>
  <c r="U90" i="8"/>
  <c r="K60" i="9"/>
  <c r="K69" i="9" s="1"/>
  <c r="K74" i="8"/>
  <c r="K76" i="8" s="1"/>
  <c r="V22" i="12"/>
  <c r="K22" i="12"/>
  <c r="K26" i="12"/>
  <c r="C36" i="8"/>
  <c r="C33" i="8"/>
  <c r="C84" i="8"/>
  <c r="C95" i="8" s="1"/>
  <c r="C114" i="8" s="1"/>
  <c r="C115" i="8" s="1"/>
  <c r="H108" i="8" s="1"/>
  <c r="C30" i="8"/>
  <c r="V26" i="12"/>
  <c r="Z26" i="12"/>
  <c r="Z22" i="12"/>
  <c r="S22" i="12"/>
  <c r="S26" i="12"/>
  <c r="O22" i="12"/>
  <c r="O26" i="12"/>
  <c r="AE88" i="8"/>
  <c r="Y22" i="12"/>
  <c r="AE22" i="12" s="1"/>
  <c r="AE16" i="12"/>
  <c r="AE26" i="12"/>
  <c r="K105" i="8"/>
  <c r="J17" i="9"/>
  <c r="J21" i="9" s="1"/>
  <c r="J25" i="9" s="1"/>
  <c r="K99" i="8"/>
  <c r="I13" i="9"/>
  <c r="I18" i="9"/>
  <c r="H25" i="9"/>
  <c r="H22" i="9"/>
  <c r="K18" i="9"/>
  <c r="I33" i="8"/>
  <c r="I84" i="8"/>
  <c r="I36" i="8"/>
  <c r="I30" i="8"/>
  <c r="H29" i="8"/>
  <c r="H26" i="8"/>
  <c r="J33" i="8"/>
  <c r="J84" i="8"/>
  <c r="J36" i="8"/>
  <c r="J30" i="8"/>
  <c r="K29" i="8"/>
  <c r="K26" i="8"/>
  <c r="AE104" i="8"/>
  <c r="AE89" i="8"/>
  <c r="F7" i="9"/>
  <c r="C7" i="9"/>
  <c r="D7" i="9"/>
  <c r="E7" i="9"/>
  <c r="O7" i="9"/>
  <c r="O8" i="9" s="1"/>
  <c r="M7" i="9"/>
  <c r="M8" i="9" s="1"/>
  <c r="N7" i="9"/>
  <c r="N8" i="9" s="1"/>
  <c r="L7" i="9"/>
  <c r="R7" i="9"/>
  <c r="Q7" i="9"/>
  <c r="S7" i="9"/>
  <c r="P7" i="9"/>
  <c r="K109" i="8"/>
  <c r="S109" i="8"/>
  <c r="AB25" i="9" l="1"/>
  <c r="AB22" i="9"/>
  <c r="AA25" i="9"/>
  <c r="AA22" i="9"/>
  <c r="AC25" i="9"/>
  <c r="AC22" i="9"/>
  <c r="K21" i="9"/>
  <c r="K22" i="9" s="1"/>
  <c r="C117" i="8"/>
  <c r="D108" i="8"/>
  <c r="AE90" i="8"/>
  <c r="J95" i="8"/>
  <c r="J114" i="8" s="1"/>
  <c r="I95" i="8"/>
  <c r="J18" i="9"/>
  <c r="AE12" i="12"/>
  <c r="J22" i="9"/>
  <c r="I25" i="9"/>
  <c r="I22" i="9"/>
  <c r="L9" i="9"/>
  <c r="L8" i="9"/>
  <c r="J26" i="9"/>
  <c r="J68" i="9" a="1"/>
  <c r="J68" i="9" s="1"/>
  <c r="J67" i="9" a="1"/>
  <c r="J67" i="9" s="1"/>
  <c r="J66" i="9" a="1"/>
  <c r="J66" i="9" s="1"/>
  <c r="J64" i="9"/>
  <c r="J32" i="9"/>
  <c r="J37" i="9" s="1" a="1"/>
  <c r="J37" i="9" s="1"/>
  <c r="J65" i="9"/>
  <c r="H68" i="9" a="1"/>
  <c r="H68" i="9" s="1"/>
  <c r="H67" i="9" a="1"/>
  <c r="H67" i="9" s="1"/>
  <c r="H66" i="9" a="1"/>
  <c r="H66" i="9" s="1"/>
  <c r="H32" i="9"/>
  <c r="H38" i="9" s="1"/>
  <c r="H26" i="9"/>
  <c r="H64" i="9"/>
  <c r="H65" i="9"/>
  <c r="H33" i="8"/>
  <c r="H30" i="8"/>
  <c r="H36" i="8"/>
  <c r="H84" i="8"/>
  <c r="K33" i="8"/>
  <c r="K84" i="8"/>
  <c r="K30" i="8"/>
  <c r="K36" i="8"/>
  <c r="AE103" i="8"/>
  <c r="AE11" i="9"/>
  <c r="AB32" i="9" l="1"/>
  <c r="AB66" i="9"/>
  <c r="AB68" i="9" a="1"/>
  <c r="AB68" i="9" s="1"/>
  <c r="AB26" i="9"/>
  <c r="AB67" i="9" a="1"/>
  <c r="AB67" i="9" s="1"/>
  <c r="AB65" i="9"/>
  <c r="AB64" i="9"/>
  <c r="AC67" i="9" a="1"/>
  <c r="AC67" i="9" s="1"/>
  <c r="AC32" i="9"/>
  <c r="AC66" i="9"/>
  <c r="AC64" i="9"/>
  <c r="AC26" i="9"/>
  <c r="AC68" i="9" a="1"/>
  <c r="AC68" i="9" s="1"/>
  <c r="AC65" i="9"/>
  <c r="AA32" i="9"/>
  <c r="AA66" i="9"/>
  <c r="AA67" i="9" a="1"/>
  <c r="AA67" i="9" s="1"/>
  <c r="AA26" i="9"/>
  <c r="AA68" i="9" a="1"/>
  <c r="AA68" i="9" s="1"/>
  <c r="AA64" i="9"/>
  <c r="AA65" i="9"/>
  <c r="K25" i="9"/>
  <c r="K65" i="9" s="1"/>
  <c r="H95" i="8"/>
  <c r="H114" i="8" s="1"/>
  <c r="U84" i="8"/>
  <c r="J13" i="12"/>
  <c r="J17" i="12" s="1"/>
  <c r="J18" i="12" s="1"/>
  <c r="I114" i="8"/>
  <c r="K95" i="8"/>
  <c r="H13" i="12"/>
  <c r="H17" i="12" s="1"/>
  <c r="H18" i="12" s="1"/>
  <c r="I13" i="12"/>
  <c r="I17" i="12" s="1"/>
  <c r="I18" i="12" s="1"/>
  <c r="J38" i="9"/>
  <c r="I64" i="9"/>
  <c r="I26" i="9"/>
  <c r="I32" i="9"/>
  <c r="I37" i="9" s="1" a="1"/>
  <c r="I37" i="9" s="1"/>
  <c r="I65" i="9"/>
  <c r="I67" i="9" a="1"/>
  <c r="I67" i="9" s="1"/>
  <c r="I68" i="9" a="1"/>
  <c r="I68" i="9" s="1"/>
  <c r="I66" i="9" a="1"/>
  <c r="I66" i="9" s="1"/>
  <c r="AE13" i="8"/>
  <c r="K26" i="9" l="1"/>
  <c r="K32" i="9"/>
  <c r="K37" i="9" s="1" a="1"/>
  <c r="K37" i="9" s="1"/>
  <c r="U37" i="9" s="1"/>
  <c r="K66" i="9" a="1"/>
  <c r="K66" i="9" s="1"/>
  <c r="K67" i="9" a="1"/>
  <c r="K67" i="9" s="1"/>
  <c r="K64" i="9"/>
  <c r="K68" i="9" a="1"/>
  <c r="K68" i="9" s="1"/>
  <c r="K114" i="8"/>
  <c r="K13" i="12"/>
  <c r="K17" i="12" s="1"/>
  <c r="K18" i="12" s="1"/>
  <c r="I38" i="9"/>
  <c r="S8" i="8"/>
  <c r="O8" i="8"/>
  <c r="K38" i="9" l="1"/>
  <c r="O4" i="12"/>
  <c r="Y4" i="12" s="1"/>
  <c r="Y8" i="8"/>
  <c r="S4" i="12"/>
  <c r="AC4" i="12" s="1"/>
  <c r="AC8" i="8"/>
  <c r="L99" i="8"/>
  <c r="E43" i="9"/>
  <c r="D43" i="9"/>
  <c r="N43" i="9"/>
  <c r="F43" i="9"/>
  <c r="R43" i="9"/>
  <c r="C43" i="9"/>
  <c r="M43" i="9"/>
  <c r="L43" i="9"/>
  <c r="P43" i="9"/>
  <c r="Q43" i="9"/>
  <c r="P99" i="8"/>
  <c r="Q99" i="8"/>
  <c r="M99" i="8"/>
  <c r="N99" i="8"/>
  <c r="R99" i="8" l="1"/>
  <c r="N47" i="8" l="1"/>
  <c r="B2" i="9"/>
  <c r="R60" i="8"/>
  <c r="Q60" i="8"/>
  <c r="P60" i="8"/>
  <c r="N60" i="8"/>
  <c r="M60" i="8"/>
  <c r="L60" i="8"/>
  <c r="F60" i="8"/>
  <c r="E60" i="8"/>
  <c r="D60" i="8"/>
  <c r="F99" i="8"/>
  <c r="E99" i="8"/>
  <c r="D99" i="8"/>
  <c r="AE66" i="8"/>
  <c r="AC81" i="8"/>
  <c r="AC80" i="8"/>
  <c r="F105" i="8"/>
  <c r="E105" i="8"/>
  <c r="D105" i="8"/>
  <c r="Y43" i="9"/>
  <c r="Y57" i="9"/>
  <c r="S4" i="9"/>
  <c r="AC4" i="9" s="1"/>
  <c r="R4" i="9"/>
  <c r="AB4" i="9" s="1"/>
  <c r="Q4" i="9"/>
  <c r="AA4" i="9" s="1"/>
  <c r="P4" i="9"/>
  <c r="Z4" i="9" s="1"/>
  <c r="O4" i="9"/>
  <c r="Y4" i="9" s="1"/>
  <c r="N4" i="9"/>
  <c r="X4" i="9" s="1"/>
  <c r="M4" i="9"/>
  <c r="W4" i="9" s="1"/>
  <c r="L4" i="9"/>
  <c r="V4" i="9" s="1"/>
  <c r="S3" i="9"/>
  <c r="AC3" i="9" s="1"/>
  <c r="R3" i="9"/>
  <c r="AB3" i="9" s="1"/>
  <c r="Q3" i="9"/>
  <c r="AA3" i="9" s="1"/>
  <c r="P3" i="9"/>
  <c r="Z3" i="9" s="1"/>
  <c r="O3" i="9"/>
  <c r="Y3" i="9" s="1"/>
  <c r="N3" i="9"/>
  <c r="X3" i="9" s="1"/>
  <c r="M3" i="9"/>
  <c r="W3" i="9" s="1"/>
  <c r="L3" i="9"/>
  <c r="V3" i="9" s="1"/>
  <c r="F4" i="9"/>
  <c r="E4" i="9"/>
  <c r="D4" i="9"/>
  <c r="F3" i="9"/>
  <c r="E3" i="9"/>
  <c r="D3" i="9"/>
  <c r="Y47" i="8"/>
  <c r="N73" i="8"/>
  <c r="S81" i="8"/>
  <c r="R81" i="8"/>
  <c r="Q81" i="8"/>
  <c r="P81" i="8"/>
  <c r="O81" i="8"/>
  <c r="N81" i="8"/>
  <c r="M81" i="8"/>
  <c r="L81" i="8"/>
  <c r="S80" i="8"/>
  <c r="R80" i="8"/>
  <c r="Q80" i="8"/>
  <c r="P80" i="8"/>
  <c r="O80" i="8"/>
  <c r="N80" i="8"/>
  <c r="M80" i="8"/>
  <c r="L80" i="8"/>
  <c r="R73" i="8"/>
  <c r="Q73" i="8"/>
  <c r="P73" i="8"/>
  <c r="M73" i="8"/>
  <c r="L73" i="8"/>
  <c r="S42" i="8"/>
  <c r="R42" i="8"/>
  <c r="Q42" i="8"/>
  <c r="P42" i="8"/>
  <c r="O42" i="8"/>
  <c r="N42" i="8"/>
  <c r="M42" i="8"/>
  <c r="L42" i="8"/>
  <c r="S41" i="8"/>
  <c r="R41" i="8"/>
  <c r="Q41" i="8"/>
  <c r="P41" i="8"/>
  <c r="O41" i="8"/>
  <c r="N41" i="8"/>
  <c r="M41" i="8"/>
  <c r="L41" i="8"/>
  <c r="F42" i="8"/>
  <c r="E42" i="8"/>
  <c r="D42" i="8"/>
  <c r="F41" i="8"/>
  <c r="E41" i="8"/>
  <c r="D41" i="8"/>
  <c r="Q11" i="8"/>
  <c r="P11" i="8"/>
  <c r="N11" i="8"/>
  <c r="M11" i="8"/>
  <c r="L11" i="8"/>
  <c r="AE57" i="8" l="1"/>
  <c r="AE58" i="8"/>
  <c r="AB47" i="8"/>
  <c r="AA47" i="8"/>
  <c r="AC47" i="8"/>
  <c r="N14" i="8"/>
  <c r="N15" i="8" s="1"/>
  <c r="P14" i="8"/>
  <c r="P19" i="8" s="1"/>
  <c r="P25" i="8" s="1"/>
  <c r="P29" i="8" s="1"/>
  <c r="M14" i="8"/>
  <c r="M15" i="8" s="1"/>
  <c r="L14" i="8"/>
  <c r="L15" i="8" s="1"/>
  <c r="Q14" i="8"/>
  <c r="Q19" i="8" s="1"/>
  <c r="AE59" i="8"/>
  <c r="AE69" i="8"/>
  <c r="AE72" i="8"/>
  <c r="O43" i="9"/>
  <c r="S99" i="8"/>
  <c r="O99" i="8"/>
  <c r="N52" i="8"/>
  <c r="AA60" i="8"/>
  <c r="AB60" i="8"/>
  <c r="AC60" i="8"/>
  <c r="Y60" i="8"/>
  <c r="O60" i="8"/>
  <c r="S60" i="8"/>
  <c r="N67" i="8"/>
  <c r="AC73" i="8"/>
  <c r="AC10" i="8"/>
  <c r="M67" i="8"/>
  <c r="AC41" i="8"/>
  <c r="AC42" i="8"/>
  <c r="V57" i="9"/>
  <c r="L67" i="8"/>
  <c r="X57" i="9"/>
  <c r="U57" i="9"/>
  <c r="W57" i="9"/>
  <c r="Z57" i="9"/>
  <c r="M47" i="8"/>
  <c r="M52" i="8" s="1"/>
  <c r="P105" i="8"/>
  <c r="Q105" i="8"/>
  <c r="R47" i="8"/>
  <c r="R52" i="8" s="1"/>
  <c r="L47" i="8"/>
  <c r="L52" i="8" s="1"/>
  <c r="Q47" i="8"/>
  <c r="Q52" i="8" s="1"/>
  <c r="P47" i="8"/>
  <c r="P52" i="8" s="1"/>
  <c r="F67" i="8"/>
  <c r="X43" i="9"/>
  <c r="W43" i="9"/>
  <c r="U43" i="9"/>
  <c r="O11" i="8"/>
  <c r="O14" i="8" s="1"/>
  <c r="O73" i="8"/>
  <c r="O47" i="8"/>
  <c r="O52" i="8" s="1"/>
  <c r="S47" i="8"/>
  <c r="S52" i="8" s="1"/>
  <c r="Z47" i="8" l="1"/>
  <c r="N19" i="8"/>
  <c r="N25" i="8" s="1"/>
  <c r="N29" i="8" s="1"/>
  <c r="N84" i="8" s="1"/>
  <c r="P84" i="8"/>
  <c r="P33" i="8"/>
  <c r="P36" i="8"/>
  <c r="M19" i="8"/>
  <c r="M25" i="8" s="1"/>
  <c r="Q15" i="8"/>
  <c r="P15" i="8"/>
  <c r="L19" i="8"/>
  <c r="Z60" i="8"/>
  <c r="AE98" i="8"/>
  <c r="AE17" i="8"/>
  <c r="AE102" i="8"/>
  <c r="AC52" i="8"/>
  <c r="AE93" i="8"/>
  <c r="AC67" i="8"/>
  <c r="AC74" i="8" s="1"/>
  <c r="AE60" i="8"/>
  <c r="AE92" i="8"/>
  <c r="AE28" i="8"/>
  <c r="AE22" i="8"/>
  <c r="AE18" i="8"/>
  <c r="AC11" i="8"/>
  <c r="AC14" i="8" s="1"/>
  <c r="AE10" i="8"/>
  <c r="S43" i="9"/>
  <c r="Z43" i="9"/>
  <c r="X60" i="9"/>
  <c r="X69" i="9" s="1"/>
  <c r="W60" i="9"/>
  <c r="W69" i="9" s="1"/>
  <c r="U60" i="9"/>
  <c r="U69" i="9" s="1"/>
  <c r="Y60" i="9"/>
  <c r="Y69" i="9" s="1"/>
  <c r="M74" i="8"/>
  <c r="M76" i="8" s="1"/>
  <c r="V60" i="9"/>
  <c r="V69" i="9" s="1"/>
  <c r="O19" i="8"/>
  <c r="N74" i="8"/>
  <c r="N76" i="8" s="1"/>
  <c r="AE94" i="8"/>
  <c r="L74" i="8"/>
  <c r="L76" i="8" s="1"/>
  <c r="R105" i="8"/>
  <c r="V43" i="9"/>
  <c r="Q67" i="8"/>
  <c r="P67" i="8"/>
  <c r="O67" i="8"/>
  <c r="R67" i="8"/>
  <c r="Q20" i="8"/>
  <c r="Q25" i="8"/>
  <c r="P20" i="8"/>
  <c r="AC76" i="8" l="1"/>
  <c r="N20" i="8"/>
  <c r="N36" i="8"/>
  <c r="N33" i="8"/>
  <c r="M20" i="8"/>
  <c r="L25" i="8"/>
  <c r="L20" i="8"/>
  <c r="AE24" i="8"/>
  <c r="AC19" i="8"/>
  <c r="AC20" i="8" s="1"/>
  <c r="AE30" i="9"/>
  <c r="P74" i="8"/>
  <c r="P76" i="8" s="1"/>
  <c r="Q74" i="8"/>
  <c r="Q76" i="8" s="1"/>
  <c r="O15" i="8"/>
  <c r="Z99" i="8"/>
  <c r="AB99" i="8"/>
  <c r="AA99" i="8"/>
  <c r="AC99" i="8"/>
  <c r="AE15" i="9"/>
  <c r="Q26" i="8"/>
  <c r="Q29" i="8"/>
  <c r="M29" i="8"/>
  <c r="AC15" i="8"/>
  <c r="AB105" i="8"/>
  <c r="AC105" i="8"/>
  <c r="X99" i="8"/>
  <c r="Z105" i="8"/>
  <c r="X105" i="8"/>
  <c r="AA105" i="8"/>
  <c r="S105" i="8"/>
  <c r="R74" i="8"/>
  <c r="R76" i="8" s="1"/>
  <c r="O74" i="8"/>
  <c r="O76" i="8" s="1"/>
  <c r="AE87" i="8"/>
  <c r="Y99" i="8"/>
  <c r="W99" i="8"/>
  <c r="V99" i="8"/>
  <c r="AE28" i="9"/>
  <c r="AE31" i="9"/>
  <c r="U99" i="8"/>
  <c r="O20" i="8"/>
  <c r="O25" i="8"/>
  <c r="M26" i="8"/>
  <c r="N95" i="8"/>
  <c r="N26" i="8"/>
  <c r="P95" i="8"/>
  <c r="P26" i="8"/>
  <c r="P114" i="8" l="1"/>
  <c r="N13" i="12"/>
  <c r="N17" i="12" s="1"/>
  <c r="N18" i="12" s="1"/>
  <c r="M36" i="8"/>
  <c r="M33" i="8"/>
  <c r="Q84" i="8"/>
  <c r="Q36" i="8"/>
  <c r="Q33" i="8"/>
  <c r="X7" i="9"/>
  <c r="V7" i="9"/>
  <c r="L29" i="8"/>
  <c r="L26" i="8"/>
  <c r="AC25" i="8"/>
  <c r="AC29" i="8" s="1"/>
  <c r="AE32" i="8"/>
  <c r="AE99" i="8"/>
  <c r="AE29" i="9"/>
  <c r="M84" i="8"/>
  <c r="AE24" i="9"/>
  <c r="U105" i="8"/>
  <c r="M30" i="8"/>
  <c r="O26" i="8"/>
  <c r="O29" i="8"/>
  <c r="V105" i="8"/>
  <c r="N114" i="8"/>
  <c r="O105" i="8"/>
  <c r="Y105" i="8"/>
  <c r="AE105" i="8" s="1"/>
  <c r="W105" i="8"/>
  <c r="Q30" i="8"/>
  <c r="N30" i="8"/>
  <c r="P30" i="8"/>
  <c r="X12" i="9" l="1"/>
  <c r="X17" i="9" s="1"/>
  <c r="X21" i="9" s="1"/>
  <c r="AB8" i="9"/>
  <c r="Q95" i="8"/>
  <c r="M95" i="8"/>
  <c r="M114" i="8" s="1"/>
  <c r="P13" i="12"/>
  <c r="P17" i="12" s="1"/>
  <c r="P18" i="12" s="1"/>
  <c r="AC30" i="8"/>
  <c r="AC33" i="8"/>
  <c r="AC36" i="8"/>
  <c r="O84" i="8"/>
  <c r="O33" i="8"/>
  <c r="O36" i="8"/>
  <c r="L36" i="8"/>
  <c r="L33" i="8"/>
  <c r="AC26" i="8"/>
  <c r="Y7" i="9"/>
  <c r="U7" i="9"/>
  <c r="W7" i="9"/>
  <c r="AE20" i="9"/>
  <c r="V12" i="9"/>
  <c r="V17" i="9" s="1"/>
  <c r="V21" i="9" s="1"/>
  <c r="L84" i="8"/>
  <c r="L30" i="8"/>
  <c r="O30" i="8"/>
  <c r="U12" i="9" l="1"/>
  <c r="U13" i="9" s="1"/>
  <c r="X13" i="9"/>
  <c r="Y12" i="9"/>
  <c r="Y17" i="9" s="1"/>
  <c r="AC8" i="9"/>
  <c r="W12" i="9"/>
  <c r="W17" i="9" s="1"/>
  <c r="AA8" i="9"/>
  <c r="Y84" i="8"/>
  <c r="W84" i="8"/>
  <c r="X84" i="8"/>
  <c r="V84" i="8"/>
  <c r="AA84" i="8"/>
  <c r="Z84" i="8"/>
  <c r="Q114" i="8"/>
  <c r="L95" i="8"/>
  <c r="M13" i="12"/>
  <c r="M17" i="12" s="1"/>
  <c r="M18" i="12" s="1"/>
  <c r="Q13" i="12"/>
  <c r="Q17" i="12" s="1"/>
  <c r="Q18" i="12" s="1"/>
  <c r="Y8" i="9"/>
  <c r="Z7" i="9"/>
  <c r="Z12" i="9" s="1"/>
  <c r="V13" i="9"/>
  <c r="X18" i="9"/>
  <c r="X25" i="9"/>
  <c r="X66" i="9" s="1"/>
  <c r="V18" i="9"/>
  <c r="AE6" i="9"/>
  <c r="V22" i="9"/>
  <c r="V25" i="9"/>
  <c r="O95" i="8"/>
  <c r="U17" i="9" l="1"/>
  <c r="U18" i="9" s="1"/>
  <c r="Y13" i="9"/>
  <c r="W13" i="9"/>
  <c r="L114" i="8"/>
  <c r="L13" i="12"/>
  <c r="L17" i="12" s="1"/>
  <c r="L18" i="12" s="1"/>
  <c r="U13" i="12"/>
  <c r="U17" i="12" s="1"/>
  <c r="U18" i="12" s="1"/>
  <c r="O114" i="8"/>
  <c r="W21" i="9"/>
  <c r="W22" i="9" s="1"/>
  <c r="Y18" i="9"/>
  <c r="Y21" i="9"/>
  <c r="Y25" i="9" s="1"/>
  <c r="Y66" i="9" s="1"/>
  <c r="W18" i="9"/>
  <c r="Z8" i="9"/>
  <c r="Z17" i="9"/>
  <c r="Z21" i="9" s="1"/>
  <c r="Z13" i="9"/>
  <c r="AE7" i="9"/>
  <c r="AE8" i="9"/>
  <c r="X68" i="9" a="1"/>
  <c r="X68" i="9" s="1"/>
  <c r="X22" i="9"/>
  <c r="V68" i="9" a="1"/>
  <c r="V68" i="9" s="1"/>
  <c r="V66" i="9"/>
  <c r="V67" i="9" a="1"/>
  <c r="V67" i="9" s="1"/>
  <c r="V65" i="9"/>
  <c r="X65" i="9"/>
  <c r="X64" i="9"/>
  <c r="X67" i="9" a="1"/>
  <c r="X67" i="9" s="1"/>
  <c r="V26" i="9"/>
  <c r="X32" i="9"/>
  <c r="V32" i="9"/>
  <c r="X26" i="9"/>
  <c r="V64" i="9"/>
  <c r="B81" i="8"/>
  <c r="B80" i="8"/>
  <c r="F81" i="8"/>
  <c r="E81" i="8"/>
  <c r="D81" i="8"/>
  <c r="F80" i="8"/>
  <c r="E80" i="8"/>
  <c r="D80" i="8"/>
  <c r="B42" i="8"/>
  <c r="B41" i="8"/>
  <c r="AB42" i="8"/>
  <c r="AA42" i="8"/>
  <c r="Z42" i="8"/>
  <c r="X42" i="8"/>
  <c r="W42" i="8"/>
  <c r="V42" i="8"/>
  <c r="Y42" i="8"/>
  <c r="U42" i="8"/>
  <c r="AB41" i="8"/>
  <c r="AA41" i="8"/>
  <c r="Z41" i="8"/>
  <c r="Y41" i="8"/>
  <c r="X41" i="8"/>
  <c r="W41" i="8"/>
  <c r="V41" i="8"/>
  <c r="U41" i="8"/>
  <c r="U21" i="9" l="1"/>
  <c r="U25" i="9" s="1"/>
  <c r="O13" i="12"/>
  <c r="O17" i="12" s="1"/>
  <c r="O18" i="12" s="1"/>
  <c r="X13" i="12"/>
  <c r="X17" i="12" s="1"/>
  <c r="X18" i="12" s="1"/>
  <c r="W13" i="12"/>
  <c r="W17" i="12" s="1"/>
  <c r="W18" i="12" s="1"/>
  <c r="V13" i="12"/>
  <c r="V17" i="12" s="1"/>
  <c r="V18" i="12" s="1"/>
  <c r="W25" i="9"/>
  <c r="Y32" i="9"/>
  <c r="Y26" i="9"/>
  <c r="Y67" i="9" a="1"/>
  <c r="Y67" i="9" s="1"/>
  <c r="Y64" i="9"/>
  <c r="Y65" i="9"/>
  <c r="Y68" i="9" a="1"/>
  <c r="Y68" i="9" s="1"/>
  <c r="Y22" i="9"/>
  <c r="U22" i="9"/>
  <c r="AE13" i="9"/>
  <c r="AE12" i="9"/>
  <c r="Z18" i="9"/>
  <c r="U66" i="9"/>
  <c r="U32" i="9"/>
  <c r="U64" i="9"/>
  <c r="U67" i="9" a="1"/>
  <c r="U67" i="9" s="1"/>
  <c r="U68" i="9" a="1"/>
  <c r="U68" i="9" s="1"/>
  <c r="U26" i="9"/>
  <c r="U65" i="9"/>
  <c r="U80" i="8"/>
  <c r="V80" i="8"/>
  <c r="V81" i="8"/>
  <c r="Y80" i="8"/>
  <c r="Z80" i="8"/>
  <c r="U81" i="8"/>
  <c r="Z81" i="8"/>
  <c r="AA81" i="8"/>
  <c r="X80" i="8"/>
  <c r="AA80" i="8"/>
  <c r="X81" i="8"/>
  <c r="W81" i="8"/>
  <c r="AB80" i="8"/>
  <c r="Y81" i="8"/>
  <c r="W80" i="8"/>
  <c r="AB81" i="8"/>
  <c r="W67" i="9" l="1" a="1"/>
  <c r="W67" i="9" s="1"/>
  <c r="W66" i="9"/>
  <c r="W32" i="9"/>
  <c r="W26" i="9"/>
  <c r="W64" i="9"/>
  <c r="W65" i="9"/>
  <c r="W68" i="9" a="1"/>
  <c r="W68" i="9" s="1"/>
  <c r="Z25" i="9"/>
  <c r="Z22" i="9"/>
  <c r="AE18" i="9"/>
  <c r="AE17" i="9"/>
  <c r="AE21" i="9" l="1"/>
  <c r="AE22" i="9"/>
  <c r="Z66" i="9"/>
  <c r="Z65" i="9"/>
  <c r="Z32" i="9"/>
  <c r="Z67" i="9" a="1"/>
  <c r="Z67" i="9" s="1"/>
  <c r="Z26" i="9"/>
  <c r="Z68" i="9" a="1"/>
  <c r="Z68" i="9" s="1"/>
  <c r="Z64" i="9"/>
  <c r="AE25" i="9" l="1"/>
  <c r="AE26" i="9"/>
  <c r="AE32" i="9"/>
  <c r="S73" i="8" l="1"/>
  <c r="Z60" i="9" l="1"/>
  <c r="Z69" i="9" s="1"/>
  <c r="E12" i="9"/>
  <c r="P12" i="9"/>
  <c r="N12" i="9"/>
  <c r="Q12" i="9"/>
  <c r="C12" i="9"/>
  <c r="L12" i="9"/>
  <c r="F12" i="9"/>
  <c r="D12" i="9"/>
  <c r="S12" i="9"/>
  <c r="O12" i="9"/>
  <c r="M12" i="9"/>
  <c r="R12" i="9" l="1"/>
  <c r="W11" i="8" l="1"/>
  <c r="E47" i="8"/>
  <c r="E52" i="8" s="1"/>
  <c r="D47" i="8"/>
  <c r="D52" i="8" s="1"/>
  <c r="F47" i="8"/>
  <c r="F52" i="8" s="1"/>
  <c r="W14" i="8" l="1"/>
  <c r="X11" i="8"/>
  <c r="X47" i="8"/>
  <c r="X52" i="8" s="1"/>
  <c r="X73" i="8"/>
  <c r="U73" i="8"/>
  <c r="V47" i="8"/>
  <c r="V52" i="8" s="1"/>
  <c r="X60" i="8"/>
  <c r="X67" i="8" s="1"/>
  <c r="W60" i="8"/>
  <c r="W67" i="8" s="1"/>
  <c r="U11" i="8"/>
  <c r="W47" i="8"/>
  <c r="W52" i="8" s="1"/>
  <c r="V73" i="8"/>
  <c r="V11" i="8"/>
  <c r="V60" i="8"/>
  <c r="V67" i="8" s="1"/>
  <c r="W73" i="8"/>
  <c r="Z73" i="8"/>
  <c r="Z52" i="8"/>
  <c r="AA73" i="8"/>
  <c r="Z11" i="8"/>
  <c r="Z14" i="8" s="1"/>
  <c r="Z67" i="8"/>
  <c r="AA67" i="8"/>
  <c r="Y11" i="8"/>
  <c r="Y14" i="8" s="1"/>
  <c r="AA11" i="8"/>
  <c r="AA14" i="8" s="1"/>
  <c r="AA52" i="8"/>
  <c r="V14" i="8" l="1"/>
  <c r="U14" i="8"/>
  <c r="X14" i="8"/>
  <c r="AE11" i="8"/>
  <c r="W19" i="8"/>
  <c r="W25" i="8" s="1"/>
  <c r="W29" i="8" s="1"/>
  <c r="X74" i="8"/>
  <c r="X76" i="8" s="1"/>
  <c r="V74" i="8"/>
  <c r="V76" i="8" s="1"/>
  <c r="W74" i="8"/>
  <c r="W76" i="8" s="1"/>
  <c r="W15" i="8"/>
  <c r="Z74" i="8"/>
  <c r="Z76" i="8" s="1"/>
  <c r="AE14" i="8"/>
  <c r="AA74" i="8"/>
  <c r="AA76" i="8" s="1"/>
  <c r="W36" i="8" l="1"/>
  <c r="W33" i="8"/>
  <c r="Y19" i="8"/>
  <c r="U19" i="8"/>
  <c r="U25" i="8" s="1"/>
  <c r="U29" i="8" s="1"/>
  <c r="Z19" i="8"/>
  <c r="Z25" i="8" s="1"/>
  <c r="Z29" i="8" s="1"/>
  <c r="V19" i="8"/>
  <c r="V20" i="8" s="1"/>
  <c r="X19" i="8"/>
  <c r="X25" i="8" s="1"/>
  <c r="X29" i="8" s="1"/>
  <c r="W20" i="8"/>
  <c r="AA19" i="8"/>
  <c r="AA20" i="8" s="1"/>
  <c r="Z15" i="8"/>
  <c r="Y15" i="8"/>
  <c r="AE15" i="8" s="1"/>
  <c r="V15" i="8"/>
  <c r="AA15" i="8"/>
  <c r="X15" i="8"/>
  <c r="W26" i="8"/>
  <c r="U15" i="8"/>
  <c r="X36" i="8" l="1"/>
  <c r="X33" i="8"/>
  <c r="Z36" i="8"/>
  <c r="Z33" i="8"/>
  <c r="U33" i="8"/>
  <c r="U36" i="8"/>
  <c r="Y25" i="8"/>
  <c r="Y26" i="8" s="1"/>
  <c r="AE26" i="8" s="1"/>
  <c r="AE19" i="8"/>
  <c r="U20" i="8"/>
  <c r="Z20" i="8"/>
  <c r="Y20" i="8"/>
  <c r="AE20" i="8" s="1"/>
  <c r="X20" i="8"/>
  <c r="V25" i="8"/>
  <c r="V29" i="8" s="1"/>
  <c r="AA25" i="8"/>
  <c r="AA29" i="8" s="1"/>
  <c r="U26" i="8"/>
  <c r="Z26" i="8"/>
  <c r="W30" i="8"/>
  <c r="U30" i="8"/>
  <c r="X26" i="8"/>
  <c r="V30" i="8" l="1"/>
  <c r="V36" i="8"/>
  <c r="V33" i="8"/>
  <c r="AA33" i="8"/>
  <c r="AA36" i="8"/>
  <c r="Y29" i="8"/>
  <c r="AE25" i="8"/>
  <c r="V26" i="8"/>
  <c r="AA26" i="8"/>
  <c r="X30" i="8"/>
  <c r="Z30" i="8"/>
  <c r="AA30" i="8"/>
  <c r="AE29" i="8" l="1"/>
  <c r="Y33" i="8"/>
  <c r="AE33" i="8" s="1"/>
  <c r="Y36" i="8"/>
  <c r="AE36" i="8" s="1"/>
  <c r="Y30" i="8"/>
  <c r="AE30" i="8" s="1"/>
  <c r="U60" i="8" l="1"/>
  <c r="Y67" i="8"/>
  <c r="AE67" i="8" s="1"/>
  <c r="U67" i="8" l="1"/>
  <c r="U74" i="8" s="1"/>
  <c r="R11" i="8" l="1"/>
  <c r="F11" i="8"/>
  <c r="F14" i="8" s="1"/>
  <c r="E11" i="8"/>
  <c r="E14" i="8" s="1"/>
  <c r="D11" i="8"/>
  <c r="D14" i="8" s="1"/>
  <c r="F73" i="8"/>
  <c r="E73" i="8"/>
  <c r="D73" i="8"/>
  <c r="S67" i="8"/>
  <c r="AB11" i="8"/>
  <c r="AB14" i="8" s="1"/>
  <c r="L60" i="9"/>
  <c r="L69" i="9" s="1"/>
  <c r="R14" i="8" l="1"/>
  <c r="R19" i="8" s="1"/>
  <c r="E67" i="8"/>
  <c r="D67" i="8"/>
  <c r="M60" i="9"/>
  <c r="M69" i="9" s="1"/>
  <c r="D60" i="9"/>
  <c r="D69" i="9" s="1"/>
  <c r="N60" i="9"/>
  <c r="N69" i="9" s="1"/>
  <c r="F60" i="9"/>
  <c r="F69" i="9" s="1"/>
  <c r="N17" i="9"/>
  <c r="N21" i="9" s="1"/>
  <c r="E60" i="9"/>
  <c r="E69" i="9" s="1"/>
  <c r="Y73" i="8"/>
  <c r="E19" i="8"/>
  <c r="D19" i="8"/>
  <c r="F19" i="8"/>
  <c r="AB67" i="8"/>
  <c r="AB73" i="8"/>
  <c r="F17" i="9"/>
  <c r="F21" i="9" s="1"/>
  <c r="F8" i="9"/>
  <c r="D17" i="9"/>
  <c r="D21" i="9" s="1"/>
  <c r="D8" i="9"/>
  <c r="E17" i="9"/>
  <c r="E21" i="9" s="1"/>
  <c r="E8" i="9"/>
  <c r="P60" i="9"/>
  <c r="P69" i="9" s="1"/>
  <c r="C17" i="9"/>
  <c r="C21" i="9" s="1"/>
  <c r="Q60" i="9"/>
  <c r="Q69" i="9" s="1"/>
  <c r="R60" i="9"/>
  <c r="R69" i="9" s="1"/>
  <c r="C60" i="9"/>
  <c r="C69" i="9" s="1"/>
  <c r="Y74" i="8" l="1"/>
  <c r="AE73" i="8"/>
  <c r="D74" i="8"/>
  <c r="D76" i="8" s="1"/>
  <c r="F25" i="8"/>
  <c r="F29" i="8" s="1"/>
  <c r="R20" i="8"/>
  <c r="D25" i="8"/>
  <c r="D29" i="8" s="1"/>
  <c r="E20" i="8"/>
  <c r="R15" i="8"/>
  <c r="S60" i="9"/>
  <c r="S69" i="9" s="1"/>
  <c r="S74" i="8"/>
  <c r="S76" i="8" s="1"/>
  <c r="AE47" i="8"/>
  <c r="U47" i="8"/>
  <c r="E74" i="8"/>
  <c r="E76" i="8" s="1"/>
  <c r="F74" i="8"/>
  <c r="F76" i="8" s="1"/>
  <c r="O60" i="9"/>
  <c r="O69" i="9" s="1"/>
  <c r="O9" i="9"/>
  <c r="S8" i="9"/>
  <c r="P8" i="9"/>
  <c r="Q9" i="9"/>
  <c r="S17" i="9"/>
  <c r="S21" i="9" s="1"/>
  <c r="N9" i="9"/>
  <c r="P9" i="9"/>
  <c r="M9" i="9"/>
  <c r="Q17" i="9"/>
  <c r="Q21" i="9" s="1"/>
  <c r="O17" i="9"/>
  <c r="O21" i="9" s="1"/>
  <c r="Q8" i="9"/>
  <c r="AB52" i="8"/>
  <c r="E15" i="8"/>
  <c r="F15" i="8"/>
  <c r="D15" i="8"/>
  <c r="AB19" i="8"/>
  <c r="N13" i="9"/>
  <c r="E13" i="9"/>
  <c r="R8" i="9"/>
  <c r="R17" i="9"/>
  <c r="R21" i="9" s="1"/>
  <c r="R9" i="9"/>
  <c r="M17" i="9"/>
  <c r="M21" i="9" s="1"/>
  <c r="S9" i="9"/>
  <c r="C13" i="9"/>
  <c r="L17" i="9"/>
  <c r="L21" i="9" s="1"/>
  <c r="F13" i="9"/>
  <c r="P17" i="9"/>
  <c r="P21" i="9" s="1"/>
  <c r="D13" i="9"/>
  <c r="AE74" i="8" l="1"/>
  <c r="F84" i="8"/>
  <c r="F33" i="8"/>
  <c r="F36" i="8"/>
  <c r="D33" i="8"/>
  <c r="D36" i="8"/>
  <c r="Q13" i="9"/>
  <c r="Q18" i="9"/>
  <c r="F20" i="8"/>
  <c r="E25" i="8"/>
  <c r="E29" i="8" s="1"/>
  <c r="R25" i="8"/>
  <c r="R29" i="8" s="1"/>
  <c r="D20" i="8"/>
  <c r="U52" i="8"/>
  <c r="U76" i="8" s="1"/>
  <c r="Y52" i="8"/>
  <c r="Y76" i="8" s="1"/>
  <c r="AB25" i="8"/>
  <c r="AB29" i="8" s="1"/>
  <c r="D26" i="8"/>
  <c r="AB20" i="8"/>
  <c r="F26" i="8"/>
  <c r="AB74" i="8"/>
  <c r="AB76" i="8" s="1"/>
  <c r="S13" i="9"/>
  <c r="O13" i="9"/>
  <c r="F30" i="8"/>
  <c r="AB15" i="8"/>
  <c r="D25" i="9"/>
  <c r="D66" i="9" s="1"/>
  <c r="D18" i="9"/>
  <c r="C25" i="9"/>
  <c r="C66" i="9" s="1"/>
  <c r="C18" i="9"/>
  <c r="P13" i="9"/>
  <c r="E25" i="9"/>
  <c r="E66" i="9" s="1"/>
  <c r="E18" i="9"/>
  <c r="N25" i="9"/>
  <c r="N18" i="9"/>
  <c r="R13" i="9"/>
  <c r="S25" i="9"/>
  <c r="S18" i="9"/>
  <c r="O18" i="9"/>
  <c r="O25" i="9"/>
  <c r="F18" i="9"/>
  <c r="F25" i="9"/>
  <c r="F66" i="9" s="1"/>
  <c r="L13" i="9"/>
  <c r="M13" i="9"/>
  <c r="F95" i="8" l="1"/>
  <c r="AB36" i="8"/>
  <c r="AB33" i="8"/>
  <c r="E84" i="8"/>
  <c r="E36" i="8"/>
  <c r="E33" i="8"/>
  <c r="R36" i="8"/>
  <c r="R33" i="8"/>
  <c r="AE52" i="8"/>
  <c r="R84" i="8"/>
  <c r="E26" i="8"/>
  <c r="E30" i="8"/>
  <c r="R26" i="8"/>
  <c r="D30" i="8"/>
  <c r="D84" i="8"/>
  <c r="D95" i="8" s="1"/>
  <c r="D13" i="12" s="1"/>
  <c r="D17" i="12" s="1"/>
  <c r="D18" i="12" s="1"/>
  <c r="Q25" i="9"/>
  <c r="AB26" i="8"/>
  <c r="R30" i="8"/>
  <c r="F22" i="9"/>
  <c r="M25" i="9"/>
  <c r="M18" i="9"/>
  <c r="S22" i="9"/>
  <c r="E22" i="9"/>
  <c r="C22" i="9"/>
  <c r="N22" i="9"/>
  <c r="R18" i="9"/>
  <c r="R25" i="9"/>
  <c r="D22" i="9"/>
  <c r="P18" i="9"/>
  <c r="P25" i="9"/>
  <c r="L25" i="9"/>
  <c r="L18" i="9"/>
  <c r="O22" i="9"/>
  <c r="AB84" i="8" l="1"/>
  <c r="R95" i="8"/>
  <c r="Y95" i="8"/>
  <c r="F114" i="8"/>
  <c r="F13" i="12"/>
  <c r="F17" i="12" s="1"/>
  <c r="F18" i="12" s="1"/>
  <c r="E95" i="8"/>
  <c r="P66" i="9" a="1"/>
  <c r="P66" i="9" s="1"/>
  <c r="O66" i="9" a="1"/>
  <c r="O66" i="9" s="1"/>
  <c r="M66" i="9" a="1"/>
  <c r="M66" i="9" s="1"/>
  <c r="S66" i="9" a="1"/>
  <c r="S66" i="9" s="1"/>
  <c r="L66" i="9" a="1"/>
  <c r="L66" i="9" s="1"/>
  <c r="Q66" i="9" a="1"/>
  <c r="Q66" i="9" s="1"/>
  <c r="N66" i="9" a="1"/>
  <c r="N66" i="9" s="1"/>
  <c r="R66" i="9" a="1"/>
  <c r="R66" i="9" s="1"/>
  <c r="D114" i="8"/>
  <c r="X95" i="8"/>
  <c r="Q22" i="9"/>
  <c r="L22" i="9"/>
  <c r="P22" i="9"/>
  <c r="Q68" i="9" a="1"/>
  <c r="Q68" i="9" s="1"/>
  <c r="M22" i="9"/>
  <c r="C67" i="9" a="1"/>
  <c r="C67" i="9" s="1"/>
  <c r="C68" i="9" a="1"/>
  <c r="C68" i="9" s="1"/>
  <c r="C32" i="9"/>
  <c r="C26" i="9"/>
  <c r="C65" i="9"/>
  <c r="C64" i="9"/>
  <c r="E68" i="9" a="1"/>
  <c r="E68" i="9" s="1"/>
  <c r="E67" i="9" a="1"/>
  <c r="E67" i="9" s="1"/>
  <c r="E26" i="9"/>
  <c r="E32" i="9"/>
  <c r="E37" i="9" s="1" a="1"/>
  <c r="E37" i="9" s="1"/>
  <c r="E64" i="9"/>
  <c r="E65" i="9"/>
  <c r="F67" i="9" a="1"/>
  <c r="F67" i="9" s="1"/>
  <c r="F68" i="9" a="1"/>
  <c r="F68" i="9" s="1"/>
  <c r="F26" i="9"/>
  <c r="F65" i="9"/>
  <c r="F32" i="9"/>
  <c r="F37" i="9" s="1" a="1"/>
  <c r="F37" i="9" s="1"/>
  <c r="F64" i="9"/>
  <c r="Q26" i="9"/>
  <c r="Q32" i="9"/>
  <c r="Q37" i="9" s="1" a="1"/>
  <c r="Q37" i="9" s="1"/>
  <c r="O32" i="9"/>
  <c r="O37" i="9" s="1" a="1"/>
  <c r="O37" i="9" s="1"/>
  <c r="O26" i="9"/>
  <c r="N32" i="9"/>
  <c r="N37" i="9" s="1" a="1"/>
  <c r="N37" i="9" s="1"/>
  <c r="N26" i="9"/>
  <c r="R22" i="9"/>
  <c r="D68" i="9" a="1"/>
  <c r="D68" i="9" s="1"/>
  <c r="D32" i="9"/>
  <c r="D37" i="9" s="1" a="1"/>
  <c r="D37" i="9" s="1"/>
  <c r="D26" i="9"/>
  <c r="D67" i="9" a="1"/>
  <c r="D67" i="9" s="1"/>
  <c r="D65" i="9"/>
  <c r="D64" i="9"/>
  <c r="S26" i="9"/>
  <c r="S32" i="9"/>
  <c r="S37" i="9" s="1" a="1"/>
  <c r="S37" i="9" s="1"/>
  <c r="R114" i="8" l="1"/>
  <c r="E114" i="8"/>
  <c r="E13" i="12"/>
  <c r="E17" i="12" s="1"/>
  <c r="E18" i="12" s="1"/>
  <c r="R13" i="12"/>
  <c r="R17" i="12" s="1"/>
  <c r="R18" i="12" s="1"/>
  <c r="Y13" i="12"/>
  <c r="Y17" i="12" s="1"/>
  <c r="Y18" i="12" s="1"/>
  <c r="U95" i="8"/>
  <c r="V95" i="8"/>
  <c r="W95" i="8"/>
  <c r="AB30" i="8"/>
  <c r="Q67" i="9" a="1"/>
  <c r="Q67" i="9" s="1"/>
  <c r="C38" i="9"/>
  <c r="R67" i="9" a="1"/>
  <c r="R67" i="9" s="1"/>
  <c r="M68" i="9" a="1"/>
  <c r="M68" i="9" s="1"/>
  <c r="M67" i="9" a="1"/>
  <c r="M67" i="9" s="1"/>
  <c r="M64" i="9"/>
  <c r="M65" i="9"/>
  <c r="L67" i="9" a="1"/>
  <c r="L67" i="9" s="1"/>
  <c r="P32" i="9"/>
  <c r="P37" i="9" s="1" a="1"/>
  <c r="P37" i="9" s="1"/>
  <c r="S67" i="9" a="1"/>
  <c r="S67" i="9" s="1"/>
  <c r="S68" i="9" a="1"/>
  <c r="S68" i="9" s="1"/>
  <c r="P26" i="9"/>
  <c r="S64" i="9"/>
  <c r="S65" i="9"/>
  <c r="Q65" i="9"/>
  <c r="R64" i="9"/>
  <c r="F38" i="9"/>
  <c r="Q64" i="9"/>
  <c r="N67" i="9" a="1"/>
  <c r="N67" i="9" s="1"/>
  <c r="N68" i="9" a="1"/>
  <c r="N68" i="9" s="1"/>
  <c r="N64" i="9"/>
  <c r="N65" i="9"/>
  <c r="E38" i="9"/>
  <c r="L64" i="9"/>
  <c r="P68" i="9" a="1"/>
  <c r="P68" i="9" s="1"/>
  <c r="M32" i="9"/>
  <c r="M37" i="9" s="1" a="1"/>
  <c r="M37" i="9" s="1"/>
  <c r="Z37" i="9" s="1"/>
  <c r="M26" i="9"/>
  <c r="P67" i="9" a="1"/>
  <c r="P67" i="9" s="1"/>
  <c r="P64" i="9"/>
  <c r="P65" i="9"/>
  <c r="R68" i="9" a="1"/>
  <c r="R68" i="9" s="1"/>
  <c r="L68" i="9" a="1"/>
  <c r="L68" i="9" s="1"/>
  <c r="D38" i="9"/>
  <c r="R26" i="9"/>
  <c r="R32" i="9"/>
  <c r="R37" i="9" s="1" a="1"/>
  <c r="R37" i="9" s="1"/>
  <c r="S38" i="9"/>
  <c r="O67" i="9" a="1"/>
  <c r="O67" i="9" s="1"/>
  <c r="O68" i="9" a="1"/>
  <c r="O68" i="9" s="1"/>
  <c r="L32" i="9"/>
  <c r="L37" i="9" s="1" a="1"/>
  <c r="L37" i="9" s="1"/>
  <c r="L26" i="9"/>
  <c r="O64" i="9"/>
  <c r="O65" i="9"/>
  <c r="R65" i="9"/>
  <c r="L65" i="9"/>
  <c r="AB37" i="9" l="1"/>
  <c r="AB38" i="9"/>
  <c r="Y37" i="9"/>
  <c r="Y38" i="9" s="1"/>
  <c r="V37" i="9"/>
  <c r="V38" i="9" s="1"/>
  <c r="X37" i="9"/>
  <c r="X38" i="9" s="1"/>
  <c r="W37" i="9"/>
  <c r="W38" i="9" s="1"/>
  <c r="AC37" i="9"/>
  <c r="AC38" i="9" s="1"/>
  <c r="AA37" i="9"/>
  <c r="AA38" i="9" s="1"/>
  <c r="Z38" i="9"/>
  <c r="U38" i="9"/>
  <c r="R38" i="9"/>
  <c r="Q38" i="9"/>
  <c r="L38" i="9"/>
  <c r="N38" i="9"/>
  <c r="O38" i="9"/>
  <c r="M38" i="9" l="1"/>
  <c r="P38" i="9"/>
  <c r="H110" i="8" l="1"/>
  <c r="H115" i="8" s="1"/>
  <c r="D110" i="8"/>
  <c r="D115" i="8" s="1"/>
  <c r="D117" i="8" l="1"/>
  <c r="E108" i="8"/>
  <c r="H117" i="8"/>
  <c r="I108" i="8"/>
  <c r="I110" i="8" s="1"/>
  <c r="I115" i="8" s="1"/>
  <c r="E110" i="8"/>
  <c r="E115" i="8" s="1"/>
  <c r="E117" i="8" l="1"/>
  <c r="F108" i="8"/>
  <c r="F110" i="8" s="1"/>
  <c r="F115" i="8" s="1"/>
  <c r="F117" i="8" s="1"/>
  <c r="I117" i="8"/>
  <c r="J108" i="8"/>
  <c r="J110" i="8" s="1"/>
  <c r="J115" i="8" s="1"/>
  <c r="J117" i="8" l="1"/>
  <c r="U110" i="8"/>
  <c r="K108" i="8"/>
  <c r="K110" i="8" s="1"/>
  <c r="K115" i="8" s="1"/>
  <c r="K117" i="8" l="1"/>
  <c r="V108" i="8"/>
  <c r="V110" i="8" s="1"/>
  <c r="L108" i="8"/>
  <c r="L110" i="8" l="1"/>
  <c r="L115" i="8" s="1"/>
  <c r="L117" i="8" l="1"/>
  <c r="W108" i="8"/>
  <c r="W110" i="8" s="1"/>
  <c r="M108" i="8"/>
  <c r="M110" i="8" s="1"/>
  <c r="M115" i="8" s="1"/>
  <c r="M117" i="8" l="1"/>
  <c r="X108" i="8"/>
  <c r="X110" i="8" s="1"/>
  <c r="N108" i="8"/>
  <c r="N110" i="8" s="1"/>
  <c r="N115" i="8" s="1"/>
  <c r="N117" i="8" l="1"/>
  <c r="Y108" i="8"/>
  <c r="Y110" i="8" s="1"/>
  <c r="O108" i="8"/>
  <c r="O110" i="8" s="1"/>
  <c r="O115" i="8" s="1"/>
  <c r="O117" i="8" l="1"/>
  <c r="Z108" i="8"/>
  <c r="Z110" i="8" s="1"/>
  <c r="P108" i="8"/>
  <c r="P110" i="8" s="1"/>
  <c r="P115" i="8" s="1"/>
  <c r="P117" i="8" l="1"/>
  <c r="AA108" i="8"/>
  <c r="AA110" i="8" s="1"/>
  <c r="W115" i="8"/>
  <c r="W117" i="8" s="1"/>
  <c r="Q108" i="8"/>
  <c r="Q110" i="8" s="1"/>
  <c r="Q115" i="8" s="1"/>
  <c r="Q117" i="8" l="1"/>
  <c r="AB108" i="8"/>
  <c r="AB110" i="8" s="1"/>
  <c r="X115" i="8"/>
  <c r="X117" i="8" s="1"/>
  <c r="R108" i="8"/>
  <c r="R110" i="8" s="1"/>
  <c r="R115" i="8" s="1"/>
  <c r="R117" i="8" s="1"/>
  <c r="AC108" i="8" l="1"/>
  <c r="AC110" i="8" s="1"/>
  <c r="Y115" i="8"/>
  <c r="Y117" i="8" s="1"/>
  <c r="S108" i="8"/>
  <c r="S110" i="8" s="1"/>
  <c r="S11" i="8" l="1"/>
  <c r="S14" i="8" l="1"/>
  <c r="S19" i="8" s="1"/>
  <c r="S15" i="8" l="1"/>
  <c r="S25" i="8"/>
  <c r="S29" i="8" s="1"/>
  <c r="S84" i="8" l="1"/>
  <c r="AC84" i="8" s="1"/>
  <c r="S36" i="8"/>
  <c r="S33" i="8"/>
  <c r="S20" i="8"/>
  <c r="S26" i="8"/>
  <c r="S30" i="8" l="1"/>
  <c r="AC95" i="8" l="1"/>
  <c r="AE95" i="8" s="1"/>
  <c r="AE84" i="8"/>
  <c r="Z95" i="8"/>
  <c r="AA95" i="8"/>
  <c r="S95" i="8"/>
  <c r="S114" i="8" l="1"/>
  <c r="S115" i="8"/>
  <c r="S117" i="8" s="1"/>
  <c r="AB95" i="8"/>
  <c r="Z115" i="8" l="1"/>
  <c r="Z117" i="8" s="1"/>
  <c r="AA115" i="8"/>
  <c r="AA117" i="8" s="1"/>
  <c r="U115" i="8"/>
  <c r="U117" i="8" s="1"/>
  <c r="S13" i="12"/>
  <c r="S17" i="12" s="1"/>
  <c r="S18" i="12" s="1"/>
  <c r="AA13" i="12"/>
  <c r="AA17" i="12" s="1"/>
  <c r="AA18" i="12" s="1"/>
  <c r="AB13" i="12"/>
  <c r="AB17" i="12" s="1"/>
  <c r="AB18" i="12" s="1"/>
  <c r="Z13" i="12"/>
  <c r="Z17" i="12" s="1"/>
  <c r="Z18" i="12" s="1"/>
  <c r="AE11" i="12" l="1"/>
  <c r="AC13" i="12"/>
  <c r="AB115" i="8"/>
  <c r="AB117" i="8" s="1"/>
  <c r="V115" i="8"/>
  <c r="V117" i="8" s="1"/>
  <c r="AE13" i="12" l="1"/>
  <c r="AC17" i="12"/>
  <c r="AC115" i="8"/>
  <c r="AC117" i="8" s="1"/>
  <c r="AE17" i="12" l="1"/>
  <c r="AC18" i="12"/>
  <c r="AE18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<sst xmlns="http://schemas.openxmlformats.org/spreadsheetml/2006/main" count="224" uniqueCount="158">
  <si>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</si>
  <si>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</si>
  <si>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</si>
  <si>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</si>
  <si>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</si>
  <si>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</si>
  <si>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</si>
  <si>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</si>
  <si>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</si>
  <si>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</si>
  <si>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</si>
  <si>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</si>
  <si>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</si>
  <si>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</si>
  <si>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</si>
  <si>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</si>
  <si>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</si>
  <si>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</si>
  <si>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</si>
  <si>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</si>
  <si>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</si>
  <si>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</si>
  <si>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</si>
  <si>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</si>
  <si>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</si>
  <si>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</si>
  <si>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</si>
  <si>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</si>
  <si>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</si>
  <si>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</si>
  <si>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</si>
  <si>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</si>
  <si>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</si>
  <si>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</si>
  <si>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</si>
  <si>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</si>
  <si>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</si>
  <si>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</si>
  <si>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</si>
  <si>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</si>
  <si>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</si>
  <si>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</si>
  <si>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</si>
  <si>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</si>
  <si>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</si>
  <si>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</si>
  <si>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</si>
  <si>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</si>
  <si>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</si>
  <si>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</si>
  <si>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</si>
  <si>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</si>
  <si>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</si>
  <si>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</si>
  <si>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</si>
  <si>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</si>
  <si>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</si>
  <si>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</si>
  <si>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</si>
  <si>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</si>
  <si>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</si>
  <si>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 xml:space="preserve">Provision for taxes </t>
  </si>
  <si>
    <t>Net Margin (%)</t>
  </si>
  <si>
    <t>Basic EPS</t>
  </si>
  <si>
    <t>Fully Diluted Shares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</si>
  <si>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</si>
  <si>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</si>
  <si>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</si>
  <si>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</si>
  <si>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</si>
  <si>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</si>
  <si>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</si>
  <si>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</si>
  <si>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</si>
  <si>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</si>
  <si>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</si>
  <si>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</si>
  <si>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</si>
  <si>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</si>
  <si>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</si>
  <si>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</si>
  <si>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</si>
  <si>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</si>
  <si>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General and Administrative (G&amp;A)</t>
  </si>
  <si>
    <t>Property and equipment, net</t>
  </si>
  <si>
    <t>Purchases of property and equipment</t>
  </si>
  <si>
    <t>Fully Diluted EPS</t>
  </si>
  <si>
    <t>Basic Shares</t>
  </si>
  <si>
    <t>Cash Position Variance Check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</si>
  <si>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</si>
  <si>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</si>
  <si>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</si>
  <si>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</si>
  <si>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</si>
  <si>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</si>
  <si>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Stock-based compensation expense</t>
  </si>
  <si>
    <t>EOP Restricted Cash Adjustment</t>
  </si>
  <si>
    <t>BOP Restricted Cash Adjustment</t>
  </si>
  <si>
    <t>$ in thousands except per share</t>
  </si>
  <si>
    <t>Summary Debt:</t>
  </si>
  <si>
    <t>CPLTD</t>
  </si>
  <si>
    <t>LTD</t>
  </si>
  <si>
    <t>(-) Cost of Revenues</t>
  </si>
  <si>
    <t>4Q22</t>
  </si>
  <si>
    <t>3Q22</t>
  </si>
  <si>
    <t>2Q22</t>
  </si>
  <si>
    <t>1Q22</t>
  </si>
  <si>
    <t>Research and Development (R&amp;D)</t>
  </si>
  <si>
    <t>Interest income</t>
  </si>
  <si>
    <t>Interest expense</t>
  </si>
  <si>
    <t>Prepaid expenses and other current assets</t>
  </si>
  <si>
    <t>Other long-term assets</t>
  </si>
  <si>
    <t>Accrued expenses</t>
  </si>
  <si>
    <t>Common Stock</t>
  </si>
  <si>
    <t>Additional paid-in capital</t>
  </si>
  <si>
    <t>Accumulated deficit</t>
  </si>
  <si>
    <t>1) "Other Gains, Losses, and Adjustments Consist of: Change in fair value of common stock warrant liabilities, Gain on PPP loan forgiveness, Employee retention credit, Loss on extinguishment of debt, and Transaction costs expensed.</t>
  </si>
  <si>
    <t>Non-cash interest expense</t>
  </si>
  <si>
    <t>(-) Research and Development (R&amp;D)</t>
  </si>
  <si>
    <t>(-) General and Administrative (G&amp;A)</t>
  </si>
  <si>
    <t>(+) Stock-Based Compensation (SBC)</t>
  </si>
  <si>
    <t>Cash Analysis</t>
  </si>
  <si>
    <t>($ In Thousands)</t>
  </si>
  <si>
    <t>Cash Burn Rate</t>
  </si>
  <si>
    <t>CFO</t>
  </si>
  <si>
    <t>Capex</t>
  </si>
  <si>
    <t>Total Cash Burn Rate</t>
  </si>
  <si>
    <t>Cash Runway</t>
  </si>
  <si>
    <t>Monthly Cash Burn Rate</t>
  </si>
  <si>
    <t>Total Cash Liquidity</t>
  </si>
  <si>
    <t>Cash Liquidity</t>
  </si>
  <si>
    <t xml:space="preserve">Basic Cash Per Share </t>
  </si>
  <si>
    <t>Cash Per Basic Share</t>
  </si>
  <si>
    <t xml:space="preserve">Fully Diluted Cash Per Share </t>
  </si>
  <si>
    <t>Cash Per Fully Diluted Shares</t>
  </si>
  <si>
    <t>Change in fair value of derivatives</t>
  </si>
  <si>
    <t>Accrued dividends payable</t>
  </si>
  <si>
    <t>Convertible notes payable and accrued interest</t>
  </si>
  <si>
    <t xml:space="preserve">Derivative liabilities </t>
  </si>
  <si>
    <t>Other liabilities</t>
  </si>
  <si>
    <t>Preferred Stock</t>
  </si>
  <si>
    <t>-</t>
  </si>
  <si>
    <t>Amortization of right to use asset</t>
  </si>
  <si>
    <t>Prepaid expenses and other assets</t>
  </si>
  <si>
    <t>Accounts payable, accrued expenses and other liabilities</t>
  </si>
  <si>
    <t>Accrued interest on conv. NP &amp; line of credit</t>
  </si>
  <si>
    <t xml:space="preserve">Proceeds from convertible line of credit </t>
  </si>
  <si>
    <t>Proceeds from exercise of warrants</t>
  </si>
  <si>
    <t xml:space="preserve">Proceeds from convertible notes payable </t>
  </si>
  <si>
    <t>Galectin Therapeutics Inc.  (NASDAQ: GALT)</t>
  </si>
  <si>
    <t>Borrowing under convertible line of credit</t>
  </si>
  <si>
    <t>Cost of Revenues</t>
  </si>
  <si>
    <t>(+) Amortization of right to use asset</t>
  </si>
  <si>
    <t xml:space="preserve">(+/-) Proceeds from convertible line of credit </t>
  </si>
  <si>
    <t>(+/-) Proceeds from exercise of warrants</t>
  </si>
  <si>
    <t xml:space="preserve">(+/-) Proceeds from convertible notes payable </t>
  </si>
  <si>
    <t>Convertible Line of Credit</t>
  </si>
  <si>
    <t xml:space="preserve">Convertible 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</si>
</sst>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1" formatCode="#,##0\ &quot;Months&quot;"/>
  </numFmts>
  <fonts count="29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7" fontId="24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6" fillId="0" borderId="8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1" xfId="0" applyFont="1" applyFill="1" applyBorder="1" applyAlignment="1">
      <alignment vertical="top" wrapText="1"/>
    </xf>
    <xf numFmtId="7" fontId="8" fillId="0" borderId="1" xfId="0" applyNumberFormat="1" applyFont="1" applyFill="1" applyBorder="1" applyAlignment="1">
      <alignment horizontal="right" vertical="top" wrapText="1"/>
    </xf>
    <xf numFmtId="9" fontId="13" fillId="0" borderId="1" xfId="1" applyFont="1" applyFill="1" applyBorder="1" applyAlignment="1">
      <alignment horizontal="right" vertical="center" wrapText="1"/>
    </xf>
    <xf numFmtId="7" fontId="24" fillId="0" borderId="1" xfId="0" applyNumberFormat="1" applyFont="1" applyFill="1" applyBorder="1" applyAlignment="1">
      <alignment horizontal="right"/>
    </xf>
    <xf numFmtId="9" fontId="6" fillId="0" borderId="1" xfId="1" applyFont="1" applyFill="1" applyBorder="1" applyAlignment="1">
      <alignment horizontal="right" vertical="center" wrapText="1"/>
    </xf>
    <xf numFmtId="166" fontId="9" fillId="0" borderId="1" xfId="1" applyNumberFormat="1" applyFont="1" applyFill="1" applyBorder="1" applyAlignment="1">
      <alignment horizontal="right" vertical="center" wrapText="1"/>
    </xf>
    <xf numFmtId="0" fontId="10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wrapText="1"/>
    </xf>
    <xf numFmtId="41" fontId="11" fillId="0" borderId="0" xfId="0" applyNumberFormat="1" applyFont="1" applyFill="1" applyAlignment="1">
      <alignment horizontal="right" vertical="center" wrapText="1"/>
    </xf>
    <xf numFmtId="0" fontId="6" fillId="0" borderId="0" xfId="0" applyFont="1" applyFill="1" applyAlignment="1">
      <alignment vertical="top" wrapText="1"/>
    </xf>
    <xf numFmtId="171" fontId="8" fillId="0" borderId="2" xfId="0" applyNumberFormat="1" applyFont="1" applyBorder="1" applyAlignment="1">
      <alignment horizontal="right" vertical="top" wrapText="1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5" fontId="8" fillId="0" borderId="2" xfId="0" applyNumberFormat="1" applyFont="1" applyFill="1" applyBorder="1" applyAlignment="1">
      <alignment horizontal="right" vertical="top" wrapText="1"/>
    </xf>
    <xf numFmtId="0" fontId="0" fillId="0" borderId="0" xfId="0" applyFill="1"/>
    <xf numFmtId="0" fontId="8" fillId="0" borderId="5" xfId="0" applyFont="1" applyFill="1" applyBorder="1" applyAlignment="1">
      <alignment horizontal="left" vertical="top" indent="1"/>
    </xf>
    <xf numFmtId="0" fontId="8" fillId="0" borderId="0" xfId="0" applyFont="1" applyAlignment="1">
      <alignment horizontal="left" vertical="top" wrapText="1" indent="1"/>
    </xf>
    <xf numFmtId="41" fontId="6" fillId="0" borderId="0" xfId="0" applyNumberFormat="1" applyFont="1" applyAlignment="1">
      <alignment vertical="center"/>
    </xf>
    <xf numFmtId="0" fontId="8" fillId="0" borderId="6" xfId="0" applyFont="1" applyBorder="1" applyAlignment="1">
      <alignment vertical="top"/>
    </xf>
    <xf numFmtId="41" fontId="6" fillId="0" borderId="0" xfId="0" applyNumberFormat="1" applyFont="1" applyBorder="1" applyAlignment="1">
      <alignment horizontal="right" vertical="top" wrapText="1"/>
    </xf>
    <xf numFmtId="5" fontId="8" fillId="5" borderId="10" xfId="0" applyNumberFormat="1" applyFont="1" applyFill="1" applyBorder="1" applyAlignment="1">
      <alignment horizontal="right" vertical="top" wrapText="1"/>
    </xf>
    <xf numFmtId="41" fontId="11" fillId="0" borderId="0" xfId="0" applyNumberFormat="1" applyFont="1" applyBorder="1" applyAlignment="1">
      <alignment horizontal="right" vertical="top" wrapText="1"/>
    </xf>
    <xf numFmtId="5" fontId="8" fillId="5" borderId="0" xfId="0" applyNumberFormat="1" applyFont="1" applyFill="1" applyBorder="1" applyAlignment="1">
      <alignment horizontal="right" vertical="top" wrapText="1"/>
    </xf>
    <xf numFmtId="41" fontId="8" fillId="0" borderId="0" xfId="0" applyNumberFormat="1" applyFont="1" applyBorder="1" applyAlignment="1">
      <alignment horizontal="right" vertical="top" wrapText="1"/>
    </xf>
    <xf numFmtId="37" fontId="4" fillId="0" borderId="0" xfId="0" applyNumberFormat="1" applyFont="1" applyBorder="1" applyAlignment="1">
      <alignment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32"/>
  <sheetViews>
    <sheetView showGridLines="0" tabSelected="1" zoomScale="115" zoomScaleNormal="115" workbookViewId="0">
      <selection activeCell="B2" sqref="B2"/>
    </sheetView>
  </sheetViews>
  <sheetFormatPr defaultRowHeight="12" outlineLevelCol="1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4" width="8.875" style="5" hidden="1" customWidth="1" outlineLevel="1"/>
    <col min="15" max="15" width="8.875" style="5" customWidth="1" collapsed="1"/>
    <col min="16" max="17" width="8.875" style="5" customWidth="1"/>
    <col min="18" max="19" width="8.875" style="5" bestFit="1" customWidth="1"/>
    <col min="20" max="20" width="1.5" style="5" customWidth="1"/>
    <col min="21" max="24" width="8.75" style="5" hidden="1" customWidth="1" outlineLevel="1"/>
    <col min="25" max="25" width="9" style="5" bestFit="1" customWidth="1" collapsed="1"/>
    <col min="26" max="28" width="9" style="5" hidden="1" customWidth="1" outlineLevel="1"/>
    <col min="29" max="29" width="9" style="5" bestFit="1" customWidth="1" collapsed="1"/>
    <col min="30" max="30" width="1.25" style="5" customWidth="1"/>
    <col min="31" max="31" width="8" style="5" bestFit="1" customWidth="1"/>
    <col min="32" max="32" width="1.375" style="5" customWidth="1"/>
    <col min="33" max="16384" width="9" style="5"/>
  </cols>
  <sheetData>
    <row r="2" spans="1:31" ht="12.75" customHeight="1">
      <c r="B2" s="1" t="s">
        <v>149</v>
      </c>
      <c r="C2" s="96"/>
      <c r="D2" s="96"/>
      <c r="E2" s="96"/>
      <c r="F2" s="96"/>
      <c r="G2" s="3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"/>
      <c r="U2" s="96"/>
      <c r="V2" s="96"/>
      <c r="W2" s="96"/>
      <c r="X2" s="96"/>
      <c r="Y2" s="96"/>
      <c r="Z2" s="96"/>
      <c r="AA2" s="96"/>
      <c r="AB2" s="96"/>
      <c r="AC2" s="96"/>
      <c r="AD2" s="3"/>
      <c r="AE2" s="1"/>
    </row>
    <row r="3" spans="1:31" ht="12.75" customHeight="1">
      <c r="B3" s="6" t="s">
        <v>72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3"/>
      <c r="U3" s="4"/>
      <c r="V3" s="4"/>
      <c r="W3" s="4"/>
      <c r="X3" s="4"/>
      <c r="Y3" s="4"/>
      <c r="Z3" s="4"/>
      <c r="AA3" s="4"/>
      <c r="AB3" s="4"/>
      <c r="AC3" s="4"/>
      <c r="AD3" s="3"/>
      <c r="AE3" s="1"/>
    </row>
    <row r="4" spans="1:31" ht="12.75" customHeight="1">
      <c r="B4" s="6" t="s">
        <v>98</v>
      </c>
      <c r="C4" s="3"/>
      <c r="D4" s="3"/>
      <c r="E4" s="80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"/>
    </row>
    <row r="6" spans="1:31" ht="12.75" customHeight="1">
      <c r="A6" s="5" t="s">
        <v>18</v>
      </c>
      <c r="B6" s="1" t="s">
        <v>70</v>
      </c>
      <c r="C6" s="2" t="s">
        <v>0</v>
      </c>
      <c r="D6" s="2" t="s">
        <v>0</v>
      </c>
      <c r="E6" s="2"/>
      <c r="F6" s="2"/>
      <c r="G6" s="3"/>
      <c r="H6" s="2" t="s">
        <v>1</v>
      </c>
      <c r="I6" s="2"/>
      <c r="J6" s="2"/>
      <c r="K6" s="2"/>
      <c r="L6" s="2" t="s">
        <v>1</v>
      </c>
      <c r="M6" s="2"/>
      <c r="N6" s="2"/>
      <c r="O6" s="2" t="s">
        <v>1</v>
      </c>
      <c r="P6" s="2"/>
      <c r="Q6" s="2"/>
      <c r="R6" s="2"/>
      <c r="S6" s="2"/>
      <c r="T6" s="3"/>
      <c r="U6" s="2"/>
      <c r="V6" s="2"/>
      <c r="W6" s="2"/>
      <c r="X6" s="2" t="s">
        <v>10</v>
      </c>
      <c r="Y6" s="2" t="s">
        <v>10</v>
      </c>
      <c r="Z6" s="2"/>
      <c r="AA6" s="2"/>
      <c r="AB6" s="2"/>
      <c r="AC6" s="2"/>
      <c r="AD6" s="38"/>
      <c r="AE6" s="141" t="s">
        <v>24</v>
      </c>
    </row>
    <row r="7" spans="1:31" ht="12.75" customHeight="1">
      <c r="B7" s="6" t="s">
        <v>73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106</v>
      </c>
      <c r="I7" s="4" t="s">
        <v>105</v>
      </c>
      <c r="J7" s="4" t="s">
        <v>104</v>
      </c>
      <c r="K7" s="4" t="s">
        <v>103</v>
      </c>
      <c r="L7" s="4" t="s">
        <v>6</v>
      </c>
      <c r="M7" s="4" t="s">
        <v>7</v>
      </c>
      <c r="N7" s="4" t="s">
        <v>8</v>
      </c>
      <c r="O7" s="4" t="s">
        <v>9</v>
      </c>
      <c r="P7" s="4" t="s">
        <v>2</v>
      </c>
      <c r="Q7" s="4" t="s">
        <v>3</v>
      </c>
      <c r="R7" s="4" t="s">
        <v>4</v>
      </c>
      <c r="S7" s="4" t="s">
        <v>5</v>
      </c>
      <c r="T7" s="4"/>
      <c r="U7" s="4" t="str">
        <f>K7</f>
        <v>4Q22</v>
      </c>
      <c r="V7" s="4" t="str">
        <f>L7</f>
        <v>1Q23</v>
      </c>
      <c r="W7" s="4" t="str">
        <f>M7</f>
        <v>2Q23</v>
      </c>
      <c r="X7" s="4" t="str">
        <f>N7</f>
        <v>3Q23</v>
      </c>
      <c r="Y7" s="4" t="str">
        <f>O7</f>
        <v>4Q23</v>
      </c>
      <c r="Z7" s="4" t="str">
        <f>P7</f>
        <v>1Q24</v>
      </c>
      <c r="AA7" s="4" t="str">
        <f>Q7</f>
        <v>2Q24</v>
      </c>
      <c r="AB7" s="4" t="str">
        <f>R7</f>
        <v>3Q24</v>
      </c>
      <c r="AC7" s="4" t="str">
        <f>S7</f>
        <v>4Q24</v>
      </c>
      <c r="AD7" s="38"/>
      <c r="AE7" s="141"/>
    </row>
    <row r="8" spans="1:31" ht="12.75" customHeight="1">
      <c r="B8" s="6" t="s">
        <v>74</v>
      </c>
      <c r="C8" s="3">
        <v>44561</v>
      </c>
      <c r="D8" s="3">
        <v>44926</v>
      </c>
      <c r="E8" s="80">
        <v>45291</v>
      </c>
      <c r="F8" s="3">
        <v>45657</v>
      </c>
      <c r="G8" s="3"/>
      <c r="H8" s="3">
        <v>44651</v>
      </c>
      <c r="I8" s="3">
        <v>44742</v>
      </c>
      <c r="J8" s="3">
        <v>44834</v>
      </c>
      <c r="K8" s="3">
        <f>D8</f>
        <v>44926</v>
      </c>
      <c r="L8" s="3">
        <v>45016</v>
      </c>
      <c r="M8" s="3">
        <v>45107</v>
      </c>
      <c r="N8" s="3">
        <v>45199</v>
      </c>
      <c r="O8" s="3">
        <f>E8</f>
        <v>45291</v>
      </c>
      <c r="P8" s="3">
        <v>45382</v>
      </c>
      <c r="Q8" s="3">
        <v>45473</v>
      </c>
      <c r="R8" s="3">
        <v>45565</v>
      </c>
      <c r="S8" s="3">
        <f>F8</f>
        <v>45657</v>
      </c>
      <c r="T8" s="3"/>
      <c r="U8" s="3">
        <f>K8</f>
        <v>44926</v>
      </c>
      <c r="V8" s="3">
        <f>L8</f>
        <v>45016</v>
      </c>
      <c r="W8" s="3">
        <f>M8</f>
        <v>45107</v>
      </c>
      <c r="X8" s="3">
        <f>N8</f>
        <v>45199</v>
      </c>
      <c r="Y8" s="3">
        <f>O8</f>
        <v>45291</v>
      </c>
      <c r="Z8" s="3">
        <f>P8</f>
        <v>45382</v>
      </c>
      <c r="AA8" s="3">
        <f>Q8</f>
        <v>45473</v>
      </c>
      <c r="AB8" s="3">
        <f>R8</f>
        <v>45565</v>
      </c>
      <c r="AC8" s="3">
        <f>S8</f>
        <v>45657</v>
      </c>
      <c r="AD8" s="38"/>
      <c r="AE8" s="141"/>
    </row>
    <row r="9" spans="1:31" ht="5.0999999999999996" customHeight="1">
      <c r="AE9" s="95"/>
    </row>
    <row r="10" spans="1:31" ht="12.75" customHeight="1">
      <c r="B10" s="9" t="s">
        <v>57</v>
      </c>
      <c r="C10" s="116">
        <v>0</v>
      </c>
      <c r="D10" s="116">
        <v>0</v>
      </c>
      <c r="E10" s="116">
        <v>0</v>
      </c>
      <c r="F10" s="116">
        <v>0</v>
      </c>
      <c r="G10" s="11"/>
      <c r="H10" s="77">
        <v>0</v>
      </c>
      <c r="I10" s="77">
        <v>0</v>
      </c>
      <c r="J10" s="77">
        <v>0</v>
      </c>
      <c r="K10" s="32">
        <f>SUM(D10-SUM(H10:J10))</f>
        <v>0</v>
      </c>
      <c r="L10" s="77">
        <v>0</v>
      </c>
      <c r="M10" s="77">
        <v>0</v>
      </c>
      <c r="N10" s="77">
        <v>0</v>
      </c>
      <c r="O10" s="32">
        <f>SUM(E10-SUM(L10:N10))</f>
        <v>0</v>
      </c>
      <c r="P10" s="77">
        <v>0</v>
      </c>
      <c r="Q10" s="77">
        <v>0</v>
      </c>
      <c r="R10" s="77">
        <v>0</v>
      </c>
      <c r="S10" s="32">
        <f>SUM(F10-SUM(P10:R10))</f>
        <v>0</v>
      </c>
      <c r="U10" s="32">
        <f>SUM(K10:K10)</f>
        <v>0</v>
      </c>
      <c r="V10" s="32">
        <f>SUM(L10:L10)</f>
        <v>0</v>
      </c>
      <c r="W10" s="32">
        <f>SUM(M10:M10)</f>
        <v>0</v>
      </c>
      <c r="X10" s="32">
        <f>SUM(N10:N10)</f>
        <v>0</v>
      </c>
      <c r="Y10" s="32">
        <f>SUM(O10:O10)</f>
        <v>0</v>
      </c>
      <c r="Z10" s="32">
        <f>SUM(P10:P10)</f>
        <v>0</v>
      </c>
      <c r="AA10" s="32">
        <f>SUM(Q10:Q10)</f>
        <v>0</v>
      </c>
      <c r="AB10" s="32">
        <f>SUM(R10:R10)</f>
        <v>0</v>
      </c>
      <c r="AC10" s="32">
        <f>SUM(S10:S10)</f>
        <v>0</v>
      </c>
      <c r="AD10" s="40"/>
      <c r="AE10" s="12" t="e">
        <f>SUM(AC10/Y10)-1</f>
        <v>#DIV/0!</v>
      </c>
    </row>
    <row r="11" spans="1:31" ht="12.75" customHeight="1">
      <c r="B11" s="13" t="s">
        <v>12</v>
      </c>
      <c r="C11" s="14">
        <f t="shared" ref="C11" si="0">+SUM(C10:C10)</f>
        <v>0</v>
      </c>
      <c r="D11" s="14">
        <f t="shared" ref="D11:F11" si="1">+SUM(D10:D10)</f>
        <v>0</v>
      </c>
      <c r="E11" s="14">
        <f t="shared" si="1"/>
        <v>0</v>
      </c>
      <c r="F11" s="14">
        <f t="shared" si="1"/>
        <v>0</v>
      </c>
      <c r="G11" s="11"/>
      <c r="H11" s="14">
        <f t="shared" ref="H11:K11" si="2">+SUM(H10:H10)</f>
        <v>0</v>
      </c>
      <c r="I11" s="14">
        <f t="shared" si="2"/>
        <v>0</v>
      </c>
      <c r="J11" s="14">
        <f t="shared" si="2"/>
        <v>0</v>
      </c>
      <c r="K11" s="14">
        <f t="shared" si="2"/>
        <v>0</v>
      </c>
      <c r="L11" s="14">
        <f t="shared" ref="L11:S11" si="3">+SUM(L10:L10)</f>
        <v>0</v>
      </c>
      <c r="M11" s="14">
        <f t="shared" si="3"/>
        <v>0</v>
      </c>
      <c r="N11" s="14">
        <f t="shared" si="3"/>
        <v>0</v>
      </c>
      <c r="O11" s="14">
        <f t="shared" si="3"/>
        <v>0</v>
      </c>
      <c r="P11" s="14">
        <f t="shared" si="3"/>
        <v>0</v>
      </c>
      <c r="Q11" s="14">
        <f t="shared" si="3"/>
        <v>0</v>
      </c>
      <c r="R11" s="14">
        <f t="shared" si="3"/>
        <v>0</v>
      </c>
      <c r="S11" s="14">
        <f t="shared" si="3"/>
        <v>0</v>
      </c>
      <c r="U11" s="14">
        <f t="shared" ref="U11:AB11" si="4">+SUM(U10:U10)</f>
        <v>0</v>
      </c>
      <c r="V11" s="14">
        <f t="shared" si="4"/>
        <v>0</v>
      </c>
      <c r="W11" s="14">
        <f t="shared" si="4"/>
        <v>0</v>
      </c>
      <c r="X11" s="14">
        <f t="shared" si="4"/>
        <v>0</v>
      </c>
      <c r="Y11" s="14">
        <f t="shared" si="4"/>
        <v>0</v>
      </c>
      <c r="Z11" s="14">
        <f t="shared" si="4"/>
        <v>0</v>
      </c>
      <c r="AA11" s="14">
        <f t="shared" si="4"/>
        <v>0</v>
      </c>
      <c r="AB11" s="14">
        <f t="shared" si="4"/>
        <v>0</v>
      </c>
      <c r="AC11" s="14">
        <f>+SUM(AC10:AC10)</f>
        <v>0</v>
      </c>
      <c r="AD11" s="40"/>
      <c r="AE11" s="15" t="e">
        <f>SUM(AC11/Y11)-1</f>
        <v>#DIV/0!</v>
      </c>
    </row>
    <row r="12" spans="1:31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AE12" s="73"/>
    </row>
    <row r="13" spans="1:31" ht="12.75" customHeight="1">
      <c r="B13" s="9" t="s">
        <v>151</v>
      </c>
      <c r="C13" s="77">
        <v>0</v>
      </c>
      <c r="D13" s="77">
        <v>0</v>
      </c>
      <c r="E13" s="77">
        <v>0</v>
      </c>
      <c r="F13" s="77">
        <v>0</v>
      </c>
      <c r="G13" s="24"/>
      <c r="H13" s="77">
        <v>0</v>
      </c>
      <c r="I13" s="77">
        <v>0</v>
      </c>
      <c r="J13" s="77">
        <v>0</v>
      </c>
      <c r="K13" s="32">
        <f>SUM(D13-SUM(H13:J13))</f>
        <v>0</v>
      </c>
      <c r="L13" s="77">
        <v>0</v>
      </c>
      <c r="M13" s="77">
        <v>0</v>
      </c>
      <c r="N13" s="77">
        <v>0</v>
      </c>
      <c r="O13" s="32">
        <f>SUM(E13-SUM(L13:N13))</f>
        <v>0</v>
      </c>
      <c r="P13" s="77">
        <v>0</v>
      </c>
      <c r="Q13" s="77">
        <v>0</v>
      </c>
      <c r="R13" s="77">
        <v>0</v>
      </c>
      <c r="S13" s="32">
        <f>SUM(F13-SUM(P13:R13))</f>
        <v>0</v>
      </c>
      <c r="U13" s="32">
        <f>SUM(H13:K13)</f>
        <v>0</v>
      </c>
      <c r="V13" s="32">
        <f>SUM(I13:L13)</f>
        <v>0</v>
      </c>
      <c r="W13" s="32">
        <f>SUM(J13:M13)</f>
        <v>0</v>
      </c>
      <c r="X13" s="32">
        <f>SUM(K13:N13)</f>
        <v>0</v>
      </c>
      <c r="Y13" s="32">
        <f>SUM(L13:O13)</f>
        <v>0</v>
      </c>
      <c r="Z13" s="32">
        <f>SUM(M13:P13)</f>
        <v>0</v>
      </c>
      <c r="AA13" s="32">
        <f>SUM(N13:Q13)</f>
        <v>0</v>
      </c>
      <c r="AB13" s="32">
        <f>SUM(O13:R13)</f>
        <v>0</v>
      </c>
      <c r="AC13" s="32">
        <f>SUM(P13:S13)</f>
        <v>0</v>
      </c>
      <c r="AD13" s="11"/>
      <c r="AE13" s="12" t="e">
        <f t="shared" ref="AE13" si="5">SUM(AC13/Y13)-1</f>
        <v>#DIV/0!</v>
      </c>
    </row>
    <row r="14" spans="1:31" ht="12.75" customHeight="1">
      <c r="B14" s="25" t="s">
        <v>22</v>
      </c>
      <c r="C14" s="26">
        <f>+SUM(C11+SUM(C13:C13))</f>
        <v>0</v>
      </c>
      <c r="D14" s="26">
        <f>+SUM(D11+SUM(D13:D13))</f>
        <v>0</v>
      </c>
      <c r="E14" s="26">
        <f>+SUM(E11+SUM(E13:E13))</f>
        <v>0</v>
      </c>
      <c r="F14" s="26">
        <f>+SUM(F11+SUM(F13:F13))</f>
        <v>0</v>
      </c>
      <c r="H14" s="26">
        <f t="shared" ref="H14" si="6">+SUM(H11+SUM(H13:H13))</f>
        <v>0</v>
      </c>
      <c r="I14" s="26">
        <f t="shared" ref="I14" si="7">+SUM(I11+SUM(I13:I13))</f>
        <v>0</v>
      </c>
      <c r="J14" s="26">
        <f t="shared" ref="J14" si="8">+SUM(J11+SUM(J13:J13))</f>
        <v>0</v>
      </c>
      <c r="K14" s="26">
        <f t="shared" ref="K14" si="9">+SUM(K11+SUM(K13:K13))</f>
        <v>0</v>
      </c>
      <c r="L14" s="26">
        <f t="shared" ref="L14:S14" si="10">+SUM(L11+SUM(L13:L13))</f>
        <v>0</v>
      </c>
      <c r="M14" s="26">
        <f t="shared" si="10"/>
        <v>0</v>
      </c>
      <c r="N14" s="26">
        <f t="shared" si="10"/>
        <v>0</v>
      </c>
      <c r="O14" s="26">
        <f t="shared" si="10"/>
        <v>0</v>
      </c>
      <c r="P14" s="26">
        <f t="shared" si="10"/>
        <v>0</v>
      </c>
      <c r="Q14" s="26">
        <f t="shared" si="10"/>
        <v>0</v>
      </c>
      <c r="R14" s="26">
        <f t="shared" si="10"/>
        <v>0</v>
      </c>
      <c r="S14" s="26">
        <f t="shared" si="10"/>
        <v>0</v>
      </c>
      <c r="U14" s="26">
        <f t="shared" ref="U14:AC14" si="11">+SUM(U11+SUM(U13:U13))</f>
        <v>0</v>
      </c>
      <c r="V14" s="26">
        <f t="shared" si="11"/>
        <v>0</v>
      </c>
      <c r="W14" s="26">
        <f t="shared" si="11"/>
        <v>0</v>
      </c>
      <c r="X14" s="26">
        <f t="shared" si="11"/>
        <v>0</v>
      </c>
      <c r="Y14" s="26">
        <f t="shared" si="11"/>
        <v>0</v>
      </c>
      <c r="Z14" s="26">
        <f t="shared" si="11"/>
        <v>0</v>
      </c>
      <c r="AA14" s="26">
        <f t="shared" si="11"/>
        <v>0</v>
      </c>
      <c r="AB14" s="26">
        <f t="shared" si="11"/>
        <v>0</v>
      </c>
      <c r="AC14" s="26">
        <f t="shared" si="11"/>
        <v>0</v>
      </c>
      <c r="AD14" s="42"/>
      <c r="AE14" s="74" t="e">
        <f>SUM(AC14/Y14)-1</f>
        <v>#DIV/0!</v>
      </c>
    </row>
    <row r="15" spans="1:31" ht="12.75" customHeight="1">
      <c r="B15" s="16" t="s">
        <v>29</v>
      </c>
      <c r="C15" s="17" t="e">
        <f>C14/C11</f>
        <v>#DIV/0!</v>
      </c>
      <c r="D15" s="17" t="e">
        <f>D14/D11</f>
        <v>#DIV/0!</v>
      </c>
      <c r="E15" s="17" t="e">
        <f>E14/E11</f>
        <v>#DIV/0!</v>
      </c>
      <c r="F15" s="17" t="e">
        <f>F14/F11</f>
        <v>#DIV/0!</v>
      </c>
      <c r="G15" s="27"/>
      <c r="H15" s="17" t="e">
        <f t="shared" ref="H15" si="12">H14/H11</f>
        <v>#DIV/0!</v>
      </c>
      <c r="I15" s="17" t="e">
        <f t="shared" ref="I15" si="13">I14/I11</f>
        <v>#DIV/0!</v>
      </c>
      <c r="J15" s="17" t="e">
        <f t="shared" ref="J15" si="14">J14/J11</f>
        <v>#DIV/0!</v>
      </c>
      <c r="K15" s="17" t="e">
        <f t="shared" ref="K15" si="15">K14/K11</f>
        <v>#DIV/0!</v>
      </c>
      <c r="L15" s="17" t="e">
        <f t="shared" ref="L15:S15" si="16">L14/L11</f>
        <v>#DIV/0!</v>
      </c>
      <c r="M15" s="17" t="e">
        <f t="shared" si="16"/>
        <v>#DIV/0!</v>
      </c>
      <c r="N15" s="17" t="e">
        <f t="shared" si="16"/>
        <v>#DIV/0!</v>
      </c>
      <c r="O15" s="17" t="e">
        <f t="shared" si="16"/>
        <v>#DIV/0!</v>
      </c>
      <c r="P15" s="17" t="e">
        <f t="shared" si="16"/>
        <v>#DIV/0!</v>
      </c>
      <c r="Q15" s="17" t="e">
        <f t="shared" si="16"/>
        <v>#DIV/0!</v>
      </c>
      <c r="R15" s="17" t="e">
        <f t="shared" si="16"/>
        <v>#DIV/0!</v>
      </c>
      <c r="S15" s="17" t="e">
        <f t="shared" si="16"/>
        <v>#DIV/0!</v>
      </c>
      <c r="T15" s="28"/>
      <c r="U15" s="17" t="e">
        <f t="shared" ref="U15:AC15" si="17">U14/U11</f>
        <v>#DIV/0!</v>
      </c>
      <c r="V15" s="17" t="e">
        <f t="shared" si="17"/>
        <v>#DIV/0!</v>
      </c>
      <c r="W15" s="17" t="e">
        <f t="shared" si="17"/>
        <v>#DIV/0!</v>
      </c>
      <c r="X15" s="17" t="e">
        <f t="shared" si="17"/>
        <v>#DIV/0!</v>
      </c>
      <c r="Y15" s="17" t="e">
        <f t="shared" si="17"/>
        <v>#DIV/0!</v>
      </c>
      <c r="Z15" s="17" t="e">
        <f t="shared" si="17"/>
        <v>#DIV/0!</v>
      </c>
      <c r="AA15" s="17" t="e">
        <f t="shared" si="17"/>
        <v>#DIV/0!</v>
      </c>
      <c r="AB15" s="17" t="e">
        <f t="shared" si="17"/>
        <v>#DIV/0!</v>
      </c>
      <c r="AC15" s="17" t="e">
        <f t="shared" si="17"/>
        <v>#DIV/0!</v>
      </c>
      <c r="AD15" s="42"/>
      <c r="AE15" s="75" t="e">
        <f>SUM(AC15-Y15)*1000</f>
        <v>#DIV/0!</v>
      </c>
    </row>
    <row r="16" spans="1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U16" s="30"/>
      <c r="V16" s="30"/>
      <c r="W16" s="30"/>
      <c r="X16" s="30"/>
      <c r="Y16" s="30"/>
      <c r="Z16" s="30"/>
      <c r="AA16" s="30"/>
      <c r="AB16" s="30"/>
      <c r="AC16" s="30"/>
      <c r="AD16" s="42"/>
      <c r="AE16" s="73"/>
    </row>
    <row r="17" spans="2:31" ht="12.75" customHeight="1">
      <c r="B17" s="9" t="s">
        <v>107</v>
      </c>
      <c r="C17" s="77">
        <v>-23818</v>
      </c>
      <c r="D17" s="77">
        <v>-31737</v>
      </c>
      <c r="E17" s="77">
        <v>-32130</v>
      </c>
      <c r="F17" s="77">
        <v>-36571</v>
      </c>
      <c r="G17" s="32"/>
      <c r="H17" s="91">
        <v>-8058</v>
      </c>
      <c r="I17" s="91">
        <v>-8074</v>
      </c>
      <c r="J17" s="91">
        <v>-6598</v>
      </c>
      <c r="K17" s="32">
        <f>SUM(D17-SUM(H17:J17))</f>
        <v>-9007</v>
      </c>
      <c r="L17" s="77">
        <v>-8799</v>
      </c>
      <c r="M17" s="77">
        <v>-7371</v>
      </c>
      <c r="N17" s="77">
        <v>-7732</v>
      </c>
      <c r="O17" s="32">
        <f>SUM(E17-SUM(L17:N17))</f>
        <v>-8228</v>
      </c>
      <c r="P17" s="77">
        <v>-8054</v>
      </c>
      <c r="Q17" s="77">
        <v>-9813</v>
      </c>
      <c r="R17" s="77">
        <v>-7595</v>
      </c>
      <c r="S17" s="32">
        <f>SUM(F17-SUM(P17:R17))</f>
        <v>-11109</v>
      </c>
      <c r="U17" s="32">
        <f>SUM(H17:K17)</f>
        <v>-31737</v>
      </c>
      <c r="V17" s="32">
        <f>SUM(I17:L17)</f>
        <v>-32478</v>
      </c>
      <c r="W17" s="32">
        <f>SUM(J17:M17)</f>
        <v>-31775</v>
      </c>
      <c r="X17" s="32">
        <f>SUM(K17:N17)</f>
        <v>-32909</v>
      </c>
      <c r="Y17" s="32">
        <f>SUM(L17:O17)</f>
        <v>-32130</v>
      </c>
      <c r="Z17" s="32">
        <f>SUM(M17:P17)</f>
        <v>-31385</v>
      </c>
      <c r="AA17" s="32">
        <f>SUM(N17:Q17)</f>
        <v>-33827</v>
      </c>
      <c r="AB17" s="32">
        <f>SUM(O17:R17)</f>
        <v>-33690</v>
      </c>
      <c r="AC17" s="32">
        <f>SUM(P17:S17)</f>
        <v>-36571</v>
      </c>
      <c r="AD17" s="11"/>
      <c r="AE17" s="73">
        <f>SUM(AC17/Y17)-1</f>
        <v>0.1382197323373795</v>
      </c>
    </row>
    <row r="18" spans="2:31" ht="12.75" customHeight="1">
      <c r="B18" s="9" t="s">
        <v>83</v>
      </c>
      <c r="C18" s="77">
        <v>-6361</v>
      </c>
      <c r="D18" s="77">
        <v>-6615</v>
      </c>
      <c r="E18" s="77">
        <v>-5942</v>
      </c>
      <c r="F18" s="77">
        <v>-5862</v>
      </c>
      <c r="G18" s="32"/>
      <c r="H18" s="91">
        <v>-1877</v>
      </c>
      <c r="I18" s="91">
        <v>-1588</v>
      </c>
      <c r="J18" s="91">
        <v>-1524</v>
      </c>
      <c r="K18" s="32">
        <f>SUM(D18-SUM(H18:J18))</f>
        <v>-1626</v>
      </c>
      <c r="L18" s="77">
        <v>-1543</v>
      </c>
      <c r="M18" s="77">
        <v>-1632</v>
      </c>
      <c r="N18" s="77">
        <v>-1434</v>
      </c>
      <c r="O18" s="32">
        <f>SUM(E18-SUM(L18:N18))</f>
        <v>-1333</v>
      </c>
      <c r="P18" s="77">
        <v>-1594</v>
      </c>
      <c r="Q18" s="77">
        <v>-1478</v>
      </c>
      <c r="R18" s="77">
        <v>-1471</v>
      </c>
      <c r="S18" s="32">
        <f>SUM(F18-SUM(P18:R18))</f>
        <v>-1319</v>
      </c>
      <c r="U18" s="32">
        <f>SUM(H18:K18)</f>
        <v>-6615</v>
      </c>
      <c r="V18" s="32">
        <f>SUM(I18:L18)</f>
        <v>-6281</v>
      </c>
      <c r="W18" s="32">
        <f>SUM(J18:M18)</f>
        <v>-6325</v>
      </c>
      <c r="X18" s="32">
        <f>SUM(K18:N18)</f>
        <v>-6235</v>
      </c>
      <c r="Y18" s="32">
        <f>SUM(L18:O18)</f>
        <v>-5942</v>
      </c>
      <c r="Z18" s="32">
        <f>SUM(M18:P18)</f>
        <v>-5993</v>
      </c>
      <c r="AA18" s="32">
        <f>SUM(N18:Q18)</f>
        <v>-5839</v>
      </c>
      <c r="AB18" s="32">
        <f>SUM(O18:R18)</f>
        <v>-5876</v>
      </c>
      <c r="AC18" s="32">
        <f>SUM(P18:S18)</f>
        <v>-5862</v>
      </c>
      <c r="AD18" s="11"/>
      <c r="AE18" s="73">
        <f>SUM(AC18/Y18)-1</f>
        <v>-1.3463480309660047E-2</v>
      </c>
    </row>
    <row r="19" spans="2:31" ht="12.75" customHeight="1">
      <c r="B19" s="25" t="s">
        <v>75</v>
      </c>
      <c r="C19" s="26">
        <f>+SUM(C14+SUM(C17:C18))</f>
        <v>-30179</v>
      </c>
      <c r="D19" s="26">
        <f>+SUM(D14+SUM(D17:D18))</f>
        <v>-38352</v>
      </c>
      <c r="E19" s="26">
        <f>+SUM(E14+SUM(E17:E18))</f>
        <v>-38072</v>
      </c>
      <c r="F19" s="26">
        <f>+SUM(F14+SUM(F17:F18))</f>
        <v>-42433</v>
      </c>
      <c r="G19" s="32"/>
      <c r="H19" s="26">
        <f>+SUM(H14+SUM(H17:H18))</f>
        <v>-9935</v>
      </c>
      <c r="I19" s="26">
        <f>+SUM(I14+SUM(I17:I18))</f>
        <v>-9662</v>
      </c>
      <c r="J19" s="26">
        <f>+SUM(J14+SUM(J17:J18))</f>
        <v>-8122</v>
      </c>
      <c r="K19" s="26">
        <f>+SUM(K14+SUM(K17:K18))</f>
        <v>-10633</v>
      </c>
      <c r="L19" s="26">
        <f>+SUM(L14+SUM(L17:L18))</f>
        <v>-10342</v>
      </c>
      <c r="M19" s="26">
        <f>+SUM(M14+SUM(M17:M18))</f>
        <v>-9003</v>
      </c>
      <c r="N19" s="26">
        <f>+SUM(N14+SUM(N17:N18))</f>
        <v>-9166</v>
      </c>
      <c r="O19" s="26">
        <f>+SUM(O14+SUM(O17:O18))</f>
        <v>-9561</v>
      </c>
      <c r="P19" s="26">
        <f>+SUM(P14+SUM(P17:P18))</f>
        <v>-9648</v>
      </c>
      <c r="Q19" s="26">
        <f>+SUM(Q14+SUM(Q17:Q18))</f>
        <v>-11291</v>
      </c>
      <c r="R19" s="26">
        <f>+SUM(R14+SUM(R17:R18))</f>
        <v>-9066</v>
      </c>
      <c r="S19" s="26">
        <f>+SUM(S14+SUM(S17:S18))</f>
        <v>-12428</v>
      </c>
      <c r="U19" s="26">
        <f>+SUM(U14+SUM(U17:U18))</f>
        <v>-38352</v>
      </c>
      <c r="V19" s="26">
        <f>+SUM(V14+SUM(V17:V18))</f>
        <v>-38759</v>
      </c>
      <c r="W19" s="26">
        <f>+SUM(W14+SUM(W17:W18))</f>
        <v>-38100</v>
      </c>
      <c r="X19" s="26">
        <f>+SUM(X14+SUM(X17:X18))</f>
        <v>-39144</v>
      </c>
      <c r="Y19" s="26">
        <f>+SUM(Y14+SUM(Y17:Y18))</f>
        <v>-38072</v>
      </c>
      <c r="Z19" s="26">
        <f>+SUM(Z14+SUM(Z17:Z18))</f>
        <v>-37378</v>
      </c>
      <c r="AA19" s="26">
        <f>+SUM(AA14+SUM(AA17:AA18))</f>
        <v>-39666</v>
      </c>
      <c r="AB19" s="26">
        <f>+SUM(AB14+SUM(AB17:AB18))</f>
        <v>-39566</v>
      </c>
      <c r="AC19" s="26">
        <f>+SUM(AC14+SUM(AC17:AC18))</f>
        <v>-42433</v>
      </c>
      <c r="AD19" s="11"/>
      <c r="AE19" s="74">
        <f>SUM(AC19/Y19)-1</f>
        <v>0.11454612313511237</v>
      </c>
    </row>
    <row r="20" spans="2:31" ht="12.75" customHeight="1">
      <c r="B20" s="16" t="s">
        <v>31</v>
      </c>
      <c r="C20" s="17" t="e">
        <f>C19/C11</f>
        <v>#DIV/0!</v>
      </c>
      <c r="D20" s="17" t="e">
        <f>D19/D11</f>
        <v>#DIV/0!</v>
      </c>
      <c r="E20" s="17" t="e">
        <f>E19/E11</f>
        <v>#DIV/0!</v>
      </c>
      <c r="F20" s="17" t="e">
        <f>F19/F11</f>
        <v>#DIV/0!</v>
      </c>
      <c r="G20" s="32"/>
      <c r="H20" s="17" t="e">
        <f>H19/H11</f>
        <v>#DIV/0!</v>
      </c>
      <c r="I20" s="17" t="e">
        <f>I19/I11</f>
        <v>#DIV/0!</v>
      </c>
      <c r="J20" s="17" t="e">
        <f>J19/J11</f>
        <v>#DIV/0!</v>
      </c>
      <c r="K20" s="17" t="e">
        <f>K19/K11</f>
        <v>#DIV/0!</v>
      </c>
      <c r="L20" s="17" t="e">
        <f>L19/L11</f>
        <v>#DIV/0!</v>
      </c>
      <c r="M20" s="17" t="e">
        <f>M19/M11</f>
        <v>#DIV/0!</v>
      </c>
      <c r="N20" s="17" t="e">
        <f>N19/N11</f>
        <v>#DIV/0!</v>
      </c>
      <c r="O20" s="17" t="e">
        <f>O19/O11</f>
        <v>#DIV/0!</v>
      </c>
      <c r="P20" s="17" t="e">
        <f>P19/P11</f>
        <v>#DIV/0!</v>
      </c>
      <c r="Q20" s="17" t="e">
        <f>Q19/Q11</f>
        <v>#DIV/0!</v>
      </c>
      <c r="R20" s="17" t="e">
        <f>R19/R11</f>
        <v>#DIV/0!</v>
      </c>
      <c r="S20" s="17" t="e">
        <f>S19/S11</f>
        <v>#DIV/0!</v>
      </c>
      <c r="U20" s="17" t="e">
        <f>U19/U11</f>
        <v>#DIV/0!</v>
      </c>
      <c r="V20" s="17" t="e">
        <f>V19/V11</f>
        <v>#DIV/0!</v>
      </c>
      <c r="W20" s="17" t="e">
        <f>W19/W11</f>
        <v>#DIV/0!</v>
      </c>
      <c r="X20" s="17" t="e">
        <f>X19/X11</f>
        <v>#DIV/0!</v>
      </c>
      <c r="Y20" s="17" t="e">
        <f>Y19/Y11</f>
        <v>#DIV/0!</v>
      </c>
      <c r="Z20" s="17" t="e">
        <f>Z19/Z11</f>
        <v>#DIV/0!</v>
      </c>
      <c r="AA20" s="17" t="e">
        <f>AA19/AA11</f>
        <v>#DIV/0!</v>
      </c>
      <c r="AB20" s="17" t="e">
        <f>AB19/AB11</f>
        <v>#DIV/0!</v>
      </c>
      <c r="AC20" s="17" t="e">
        <f>AC19/AC11</f>
        <v>#DIV/0!</v>
      </c>
      <c r="AD20" s="11"/>
      <c r="AE20" s="75" t="e">
        <f>SUM(AC20-Y20)*1000</f>
        <v>#DIV/0!</v>
      </c>
    </row>
    <row r="21" spans="2:31" ht="5.0999999999999996" customHeight="1">
      <c r="B21" s="16"/>
      <c r="C21" s="17"/>
      <c r="D21" s="17"/>
      <c r="E21" s="17"/>
      <c r="F21" s="17"/>
      <c r="G21" s="32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U21" s="32"/>
      <c r="V21" s="32"/>
      <c r="W21" s="32"/>
      <c r="X21" s="32"/>
      <c r="Y21" s="32"/>
      <c r="Z21" s="32"/>
      <c r="AA21" s="32"/>
      <c r="AB21" s="32"/>
      <c r="AC21" s="32"/>
      <c r="AD21" s="11"/>
      <c r="AE21" s="73"/>
    </row>
    <row r="22" spans="2:31" ht="12.75" customHeight="1">
      <c r="B22" s="9" t="s">
        <v>108</v>
      </c>
      <c r="C22" s="77">
        <v>3</v>
      </c>
      <c r="D22" s="77">
        <v>52</v>
      </c>
      <c r="E22" s="77">
        <v>230</v>
      </c>
      <c r="F22" s="77">
        <v>338</v>
      </c>
      <c r="G22" s="32"/>
      <c r="H22" s="77">
        <v>1</v>
      </c>
      <c r="I22" s="77">
        <v>3</v>
      </c>
      <c r="J22" s="77">
        <v>18</v>
      </c>
      <c r="K22" s="32">
        <f>SUM(D22-SUM(H22:J22))</f>
        <v>30</v>
      </c>
      <c r="L22" s="77">
        <v>44</v>
      </c>
      <c r="M22" s="77">
        <v>50</v>
      </c>
      <c r="N22" s="77">
        <v>62</v>
      </c>
      <c r="O22" s="32">
        <f>SUM(E22-SUM(L22:N22))</f>
        <v>74</v>
      </c>
      <c r="P22" s="77">
        <v>80</v>
      </c>
      <c r="Q22" s="77">
        <v>80</v>
      </c>
      <c r="R22" s="77">
        <v>93</v>
      </c>
      <c r="S22" s="32">
        <f>SUM(F22-SUM(P22:R22))</f>
        <v>85</v>
      </c>
      <c r="U22" s="32">
        <f>SUM(H22:K22)</f>
        <v>52</v>
      </c>
      <c r="V22" s="32">
        <f>SUM(I22:L22)</f>
        <v>95</v>
      </c>
      <c r="W22" s="32">
        <f>SUM(J22:M22)</f>
        <v>142</v>
      </c>
      <c r="X22" s="32">
        <f>SUM(K22:N22)</f>
        <v>186</v>
      </c>
      <c r="Y22" s="32">
        <f>SUM(L22:O22)</f>
        <v>230</v>
      </c>
      <c r="Z22" s="32">
        <f>SUM(M22:P22)</f>
        <v>266</v>
      </c>
      <c r="AA22" s="32">
        <f>SUM(N22:Q22)</f>
        <v>296</v>
      </c>
      <c r="AB22" s="32">
        <f>SUM(O22:R22)</f>
        <v>327</v>
      </c>
      <c r="AC22" s="32">
        <f>SUM(P22:S22)</f>
        <v>338</v>
      </c>
      <c r="AD22" s="11"/>
      <c r="AE22" s="73">
        <f>SUM(AC22/Y22)-1</f>
        <v>0.4695652173913043</v>
      </c>
    </row>
    <row r="23" spans="2:31" ht="12.75" customHeight="1">
      <c r="B23" s="9" t="s">
        <v>109</v>
      </c>
      <c r="C23" s="77">
        <v>-489</v>
      </c>
      <c r="D23" s="77">
        <v>-1033</v>
      </c>
      <c r="E23" s="77">
        <v>-2792</v>
      </c>
      <c r="F23" s="77">
        <v>-5540</v>
      </c>
      <c r="G23" s="32"/>
      <c r="H23" s="77">
        <v>-227</v>
      </c>
      <c r="I23" s="77">
        <v>-229</v>
      </c>
      <c r="J23" s="77">
        <v>-269</v>
      </c>
      <c r="K23" s="32">
        <f t="shared" ref="K23:K24" si="18">SUM(D23-SUM(H23:J23))</f>
        <v>-308</v>
      </c>
      <c r="L23" s="77">
        <v>-460</v>
      </c>
      <c r="M23" s="77">
        <v>-650</v>
      </c>
      <c r="N23" s="77">
        <v>-835</v>
      </c>
      <c r="O23" s="32">
        <f t="shared" ref="O23:O24" si="19">SUM(E23-SUM(L23:N23))</f>
        <v>-847</v>
      </c>
      <c r="P23" s="77">
        <v>-869</v>
      </c>
      <c r="Q23" s="77">
        <v>-1269</v>
      </c>
      <c r="R23" s="77">
        <v>-1494</v>
      </c>
      <c r="S23" s="32">
        <f t="shared" ref="S23:S24" si="20">SUM(F23-SUM(P23:R23))</f>
        <v>-1908</v>
      </c>
      <c r="U23" s="32">
        <f>SUM(H23:K23)</f>
        <v>-1033</v>
      </c>
      <c r="V23" s="32">
        <f>SUM(I23:L23)</f>
        <v>-1266</v>
      </c>
      <c r="W23" s="32">
        <f>SUM(J23:M23)</f>
        <v>-1687</v>
      </c>
      <c r="X23" s="32">
        <f>SUM(K23:N23)</f>
        <v>-2253</v>
      </c>
      <c r="Y23" s="32">
        <f>SUM(L23:O23)</f>
        <v>-2792</v>
      </c>
      <c r="Z23" s="32">
        <f>SUM(M23:P23)</f>
        <v>-3201</v>
      </c>
      <c r="AA23" s="32">
        <f>SUM(N23:Q23)</f>
        <v>-3820</v>
      </c>
      <c r="AB23" s="32">
        <f>SUM(O23:R23)</f>
        <v>-4479</v>
      </c>
      <c r="AC23" s="32">
        <f>SUM(P23:S23)</f>
        <v>-5540</v>
      </c>
      <c r="AD23" s="11"/>
      <c r="AE23" s="73">
        <f>SUM(AC23/Y23)-1</f>
        <v>0.98424068767908302</v>
      </c>
    </row>
    <row r="24" spans="2:31" ht="12.75" customHeight="1">
      <c r="B24" s="9" t="s">
        <v>135</v>
      </c>
      <c r="C24" s="77">
        <v>138</v>
      </c>
      <c r="D24" s="77">
        <v>557</v>
      </c>
      <c r="E24" s="77">
        <v>-432</v>
      </c>
      <c r="F24" s="77">
        <v>588</v>
      </c>
      <c r="G24" s="32"/>
      <c r="H24" s="77">
        <v>229</v>
      </c>
      <c r="I24" s="77">
        <v>275</v>
      </c>
      <c r="J24" s="77">
        <v>-224</v>
      </c>
      <c r="K24" s="32">
        <f t="shared" si="18"/>
        <v>277</v>
      </c>
      <c r="L24" s="77">
        <v>-769</v>
      </c>
      <c r="M24" s="77">
        <v>489</v>
      </c>
      <c r="N24" s="77">
        <v>-489</v>
      </c>
      <c r="O24" s="32">
        <f t="shared" si="19"/>
        <v>337</v>
      </c>
      <c r="P24" s="77">
        <v>-1052</v>
      </c>
      <c r="Q24" s="77">
        <v>109</v>
      </c>
      <c r="R24" s="77">
        <v>-753</v>
      </c>
      <c r="S24" s="32">
        <f t="shared" si="20"/>
        <v>2284</v>
      </c>
      <c r="U24" s="32">
        <f>SUM(H24:K24)</f>
        <v>557</v>
      </c>
      <c r="V24" s="32">
        <f>SUM(I24:L24)</f>
        <v>-441</v>
      </c>
      <c r="W24" s="32">
        <f>SUM(J24:M24)</f>
        <v>-227</v>
      </c>
      <c r="X24" s="32">
        <f>SUM(K24:N24)</f>
        <v>-492</v>
      </c>
      <c r="Y24" s="32">
        <f>SUM(L24:O24)</f>
        <v>-432</v>
      </c>
      <c r="Z24" s="32">
        <f>SUM(M24:P24)</f>
        <v>-715</v>
      </c>
      <c r="AA24" s="32">
        <f>SUM(N24:Q24)</f>
        <v>-1095</v>
      </c>
      <c r="AB24" s="32">
        <f>SUM(O24:R24)</f>
        <v>-1359</v>
      </c>
      <c r="AC24" s="32">
        <f>SUM(P24:S24)</f>
        <v>588</v>
      </c>
      <c r="AD24" s="11"/>
      <c r="AE24" s="73">
        <f>SUM(AC24/Y24)-1</f>
        <v>-2.3611111111111112</v>
      </c>
    </row>
    <row r="25" spans="2:31" ht="12.75" customHeight="1">
      <c r="B25" s="25" t="s">
        <v>76</v>
      </c>
      <c r="C25" s="26">
        <f>SUM(C19+SUM(C22:C24))</f>
        <v>-30527</v>
      </c>
      <c r="D25" s="26">
        <f>SUM(D19+SUM(D22:D24))</f>
        <v>-38776</v>
      </c>
      <c r="E25" s="26">
        <f>SUM(E19+SUM(E22:E24))</f>
        <v>-41066</v>
      </c>
      <c r="F25" s="26">
        <f>SUM(F19+SUM(F22:F24))</f>
        <v>-47047</v>
      </c>
      <c r="H25" s="26">
        <f>SUM(H19+SUM(H22:H24))</f>
        <v>-9932</v>
      </c>
      <c r="I25" s="26">
        <f>SUM(I19+SUM(I22:I24))</f>
        <v>-9613</v>
      </c>
      <c r="J25" s="26">
        <f>SUM(J19+SUM(J22:J24))</f>
        <v>-8597</v>
      </c>
      <c r="K25" s="26">
        <f>SUM(K19+SUM(K22:K24))</f>
        <v>-10634</v>
      </c>
      <c r="L25" s="26">
        <f>SUM(L19+SUM(L22:L24))</f>
        <v>-11527</v>
      </c>
      <c r="M25" s="26">
        <f>SUM(M19+SUM(M22:M24))</f>
        <v>-9114</v>
      </c>
      <c r="N25" s="26">
        <f>SUM(N19+SUM(N22:N24))</f>
        <v>-10428</v>
      </c>
      <c r="O25" s="26">
        <f>SUM(O19+SUM(O22:O24))</f>
        <v>-9997</v>
      </c>
      <c r="P25" s="26">
        <f>SUM(P19+SUM(P22:P24))</f>
        <v>-11489</v>
      </c>
      <c r="Q25" s="26">
        <f>SUM(Q19+SUM(Q22:Q24))</f>
        <v>-12371</v>
      </c>
      <c r="R25" s="26">
        <f>SUM(R19+SUM(R22:R24))</f>
        <v>-11220</v>
      </c>
      <c r="S25" s="26">
        <f>SUM(S19+SUM(S22:S24))</f>
        <v>-11967</v>
      </c>
      <c r="U25" s="26">
        <f>SUM(U19+SUM(U22:U24))</f>
        <v>-38776</v>
      </c>
      <c r="V25" s="26">
        <f>SUM(V19+SUM(V22:V24))</f>
        <v>-40371</v>
      </c>
      <c r="W25" s="26">
        <f>SUM(W19+SUM(W22:W24))</f>
        <v>-39872</v>
      </c>
      <c r="X25" s="26">
        <f>SUM(X19+SUM(X22:X24))</f>
        <v>-41703</v>
      </c>
      <c r="Y25" s="26">
        <f>SUM(Y19+SUM(Y22:Y24))</f>
        <v>-41066</v>
      </c>
      <c r="Z25" s="26">
        <f>SUM(Z19+SUM(Z22:Z24))</f>
        <v>-41028</v>
      </c>
      <c r="AA25" s="26">
        <f>SUM(AA19+SUM(AA22:AA24))</f>
        <v>-44285</v>
      </c>
      <c r="AB25" s="26">
        <f>SUM(AB19+SUM(AB22:AB24))</f>
        <v>-45077</v>
      </c>
      <c r="AC25" s="26">
        <f>SUM(AC19+SUM(AC22:AC24))</f>
        <v>-47047</v>
      </c>
      <c r="AD25" s="42"/>
      <c r="AE25" s="74">
        <f>SUM(AC25/Y25)-1</f>
        <v>0.14564359811035898</v>
      </c>
    </row>
    <row r="26" spans="2:31" ht="12.75" customHeight="1">
      <c r="B26" s="16" t="s">
        <v>77</v>
      </c>
      <c r="C26" s="17" t="e">
        <f>C25/C11</f>
        <v>#DIV/0!</v>
      </c>
      <c r="D26" s="17" t="e">
        <f>D25/D11</f>
        <v>#DIV/0!</v>
      </c>
      <c r="E26" s="17" t="e">
        <f>E25/E11</f>
        <v>#DIV/0!</v>
      </c>
      <c r="F26" s="17" t="e">
        <f>F25/F11</f>
        <v>#DIV/0!</v>
      </c>
      <c r="G26" s="27"/>
      <c r="H26" s="17" t="e">
        <f>H25/H11</f>
        <v>#DIV/0!</v>
      </c>
      <c r="I26" s="17" t="e">
        <f>I25/I11</f>
        <v>#DIV/0!</v>
      </c>
      <c r="J26" s="17" t="e">
        <f>J25/J11</f>
        <v>#DIV/0!</v>
      </c>
      <c r="K26" s="17" t="e">
        <f>K25/K11</f>
        <v>#DIV/0!</v>
      </c>
      <c r="L26" s="17" t="e">
        <f>L25/L11</f>
        <v>#DIV/0!</v>
      </c>
      <c r="M26" s="17" t="e">
        <f>M25/M11</f>
        <v>#DIV/0!</v>
      </c>
      <c r="N26" s="17" t="e">
        <f>N25/N11</f>
        <v>#DIV/0!</v>
      </c>
      <c r="O26" s="17" t="e">
        <f>O25/O11</f>
        <v>#DIV/0!</v>
      </c>
      <c r="P26" s="17" t="e">
        <f>P25/P11</f>
        <v>#DIV/0!</v>
      </c>
      <c r="Q26" s="17" t="e">
        <f>Q25/Q11</f>
        <v>#DIV/0!</v>
      </c>
      <c r="R26" s="17" t="e">
        <f>R25/R11</f>
        <v>#DIV/0!</v>
      </c>
      <c r="S26" s="17" t="e">
        <f>S25/S11</f>
        <v>#DIV/0!</v>
      </c>
      <c r="T26" s="28"/>
      <c r="U26" s="17" t="e">
        <f>U25/U11</f>
        <v>#DIV/0!</v>
      </c>
      <c r="V26" s="17" t="e">
        <f>V25/V11</f>
        <v>#DIV/0!</v>
      </c>
      <c r="W26" s="17" t="e">
        <f>W25/W11</f>
        <v>#DIV/0!</v>
      </c>
      <c r="X26" s="17" t="e">
        <f>X25/X11</f>
        <v>#DIV/0!</v>
      </c>
      <c r="Y26" s="17" t="e">
        <f>Y25/Y11</f>
        <v>#DIV/0!</v>
      </c>
      <c r="Z26" s="17" t="e">
        <f>Z25/Z11</f>
        <v>#DIV/0!</v>
      </c>
      <c r="AA26" s="17" t="e">
        <f>AA25/AA11</f>
        <v>#DIV/0!</v>
      </c>
      <c r="AB26" s="17" t="e">
        <f>AB25/AB11</f>
        <v>#DIV/0!</v>
      </c>
      <c r="AC26" s="17" t="e">
        <f>AC25/AC11</f>
        <v>#DIV/0!</v>
      </c>
      <c r="AD26" s="43"/>
      <c r="AE26" s="75" t="e">
        <f>SUM(AC26-Y26)*1000</f>
        <v>#DIV/0!</v>
      </c>
    </row>
    <row r="27" spans="2:31" ht="5.0999999999999996" customHeight="1">
      <c r="B27" s="29"/>
      <c r="C27" s="44"/>
      <c r="D27" s="44"/>
      <c r="E27" s="44"/>
      <c r="F27" s="44"/>
      <c r="G27" s="30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U27" s="44"/>
      <c r="V27" s="44"/>
      <c r="W27" s="44"/>
      <c r="X27" s="44"/>
      <c r="Y27" s="44"/>
      <c r="Z27" s="44"/>
      <c r="AA27" s="44"/>
      <c r="AB27" s="44"/>
      <c r="AC27" s="44"/>
      <c r="AD27" s="43"/>
      <c r="AE27" s="73"/>
    </row>
    <row r="28" spans="2:31" ht="12.75" customHeight="1">
      <c r="B28" s="45" t="s">
        <v>61</v>
      </c>
      <c r="C28" s="77">
        <v>0</v>
      </c>
      <c r="D28" s="77">
        <v>0</v>
      </c>
      <c r="E28" s="77">
        <v>0</v>
      </c>
      <c r="F28" s="77">
        <v>0</v>
      </c>
      <c r="G28" s="32"/>
      <c r="H28" s="77">
        <v>0</v>
      </c>
      <c r="I28" s="77">
        <v>0</v>
      </c>
      <c r="J28" s="77">
        <v>0</v>
      </c>
      <c r="K28" s="32">
        <f t="shared" ref="K28" si="21">SUM(D28-SUM(H28:J28))</f>
        <v>0</v>
      </c>
      <c r="L28" s="77">
        <v>0</v>
      </c>
      <c r="M28" s="77">
        <v>0</v>
      </c>
      <c r="N28" s="77">
        <v>0</v>
      </c>
      <c r="O28" s="32">
        <f t="shared" ref="O28" si="22">SUM(E28-SUM(L28:N28))</f>
        <v>0</v>
      </c>
      <c r="P28" s="77">
        <v>0</v>
      </c>
      <c r="Q28" s="77">
        <v>0</v>
      </c>
      <c r="R28" s="77">
        <v>0</v>
      </c>
      <c r="S28" s="32">
        <f t="shared" ref="S28" si="23">SUM(F28-SUM(P28:R28))</f>
        <v>0</v>
      </c>
      <c r="T28" s="32"/>
      <c r="U28" s="32">
        <f>SUM(H28:K28)</f>
        <v>0</v>
      </c>
      <c r="V28" s="32">
        <f>SUM(I28:L28)</f>
        <v>0</v>
      </c>
      <c r="W28" s="32">
        <f>SUM(J28:M28)</f>
        <v>0</v>
      </c>
      <c r="X28" s="32">
        <f>SUM(K28:N28)</f>
        <v>0</v>
      </c>
      <c r="Y28" s="32">
        <f>SUM(L28:O28)</f>
        <v>0</v>
      </c>
      <c r="Z28" s="32">
        <f>SUM(M28:P28)</f>
        <v>0</v>
      </c>
      <c r="AA28" s="32">
        <f>SUM(N28:Q28)</f>
        <v>0</v>
      </c>
      <c r="AB28" s="32">
        <f>SUM(O28:R28)</f>
        <v>0</v>
      </c>
      <c r="AC28" s="32">
        <f>SUM(P28:S28)</f>
        <v>0</v>
      </c>
      <c r="AD28" s="43"/>
      <c r="AE28" s="73" t="e">
        <f>SUM(AC28/Y28)-1</f>
        <v>#DIV/0!</v>
      </c>
    </row>
    <row r="29" spans="2:31" ht="12.75" customHeight="1">
      <c r="B29" s="13" t="s">
        <v>48</v>
      </c>
      <c r="C29" s="14">
        <f t="shared" ref="C29" si="24">SUM(C25+SUM(C28:C28))</f>
        <v>-30527</v>
      </c>
      <c r="D29" s="14">
        <f t="shared" ref="D29:F29" si="25">SUM(D25+SUM(D28:D28))</f>
        <v>-38776</v>
      </c>
      <c r="E29" s="14">
        <f t="shared" si="25"/>
        <v>-41066</v>
      </c>
      <c r="F29" s="14">
        <f t="shared" si="25"/>
        <v>-47047</v>
      </c>
      <c r="G29" s="11"/>
      <c r="H29" s="14">
        <f t="shared" ref="H29:K29" si="26">SUM(H25+SUM(H28:H28))</f>
        <v>-9932</v>
      </c>
      <c r="I29" s="14">
        <f t="shared" si="26"/>
        <v>-9613</v>
      </c>
      <c r="J29" s="14">
        <f t="shared" si="26"/>
        <v>-8597</v>
      </c>
      <c r="K29" s="14">
        <f t="shared" si="26"/>
        <v>-10634</v>
      </c>
      <c r="L29" s="14">
        <f t="shared" ref="L29:S29" si="27">SUM(L25+SUM(L28:L28))</f>
        <v>-11527</v>
      </c>
      <c r="M29" s="14">
        <f t="shared" si="27"/>
        <v>-9114</v>
      </c>
      <c r="N29" s="14">
        <f t="shared" si="27"/>
        <v>-10428</v>
      </c>
      <c r="O29" s="14">
        <f t="shared" si="27"/>
        <v>-9997</v>
      </c>
      <c r="P29" s="14">
        <f t="shared" si="27"/>
        <v>-11489</v>
      </c>
      <c r="Q29" s="14">
        <f t="shared" si="27"/>
        <v>-12371</v>
      </c>
      <c r="R29" s="14">
        <f t="shared" si="27"/>
        <v>-11220</v>
      </c>
      <c r="S29" s="14">
        <f t="shared" si="27"/>
        <v>-11967</v>
      </c>
      <c r="T29" s="32"/>
      <c r="U29" s="14">
        <f t="shared" ref="U29:AC29" si="28">SUM(U25+SUM(U28:U28))</f>
        <v>-38776</v>
      </c>
      <c r="V29" s="14">
        <f t="shared" si="28"/>
        <v>-40371</v>
      </c>
      <c r="W29" s="14">
        <f t="shared" si="28"/>
        <v>-39872</v>
      </c>
      <c r="X29" s="14">
        <f t="shared" si="28"/>
        <v>-41703</v>
      </c>
      <c r="Y29" s="14">
        <f t="shared" si="28"/>
        <v>-41066</v>
      </c>
      <c r="Z29" s="14">
        <f t="shared" si="28"/>
        <v>-41028</v>
      </c>
      <c r="AA29" s="14">
        <f t="shared" si="28"/>
        <v>-44285</v>
      </c>
      <c r="AB29" s="14">
        <f t="shared" si="28"/>
        <v>-45077</v>
      </c>
      <c r="AC29" s="14">
        <f t="shared" si="28"/>
        <v>-47047</v>
      </c>
      <c r="AD29" s="36"/>
      <c r="AE29" s="74">
        <f>SUM(AC29/Y29)-1</f>
        <v>0.14564359811035898</v>
      </c>
    </row>
    <row r="30" spans="2:31" ht="12.75" customHeight="1">
      <c r="B30" s="16" t="s">
        <v>62</v>
      </c>
      <c r="C30" s="17" t="e">
        <f>C29/C11</f>
        <v>#DIV/0!</v>
      </c>
      <c r="D30" s="17" t="e">
        <f>D29/D11</f>
        <v>#DIV/0!</v>
      </c>
      <c r="E30" s="17" t="e">
        <f>E29/E11</f>
        <v>#DIV/0!</v>
      </c>
      <c r="F30" s="17" t="e">
        <f>F29/F11</f>
        <v>#DIV/0!</v>
      </c>
      <c r="G30" s="27"/>
      <c r="H30" s="17" t="e">
        <f>H29/H11</f>
        <v>#DIV/0!</v>
      </c>
      <c r="I30" s="17" t="e">
        <f>I29/I11</f>
        <v>#DIV/0!</v>
      </c>
      <c r="J30" s="17" t="e">
        <f>J29/J11</f>
        <v>#DIV/0!</v>
      </c>
      <c r="K30" s="17" t="e">
        <f>K29/K11</f>
        <v>#DIV/0!</v>
      </c>
      <c r="L30" s="17" t="e">
        <f>L29/L11</f>
        <v>#DIV/0!</v>
      </c>
      <c r="M30" s="17" t="e">
        <f>M29/M11</f>
        <v>#DIV/0!</v>
      </c>
      <c r="N30" s="17" t="e">
        <f>N29/N11</f>
        <v>#DIV/0!</v>
      </c>
      <c r="O30" s="17" t="e">
        <f>O29/O11</f>
        <v>#DIV/0!</v>
      </c>
      <c r="P30" s="17" t="e">
        <f>P29/P11</f>
        <v>#DIV/0!</v>
      </c>
      <c r="Q30" s="17" t="e">
        <f>Q29/Q11</f>
        <v>#DIV/0!</v>
      </c>
      <c r="R30" s="17" t="e">
        <f>R29/R11</f>
        <v>#DIV/0!</v>
      </c>
      <c r="S30" s="17" t="e">
        <f>S29/S11</f>
        <v>#DIV/0!</v>
      </c>
      <c r="T30" s="28"/>
      <c r="U30" s="17" t="e">
        <f>U29/U11</f>
        <v>#DIV/0!</v>
      </c>
      <c r="V30" s="17" t="e">
        <f>V29/V11</f>
        <v>#DIV/0!</v>
      </c>
      <c r="W30" s="17" t="e">
        <f>W29/W11</f>
        <v>#DIV/0!</v>
      </c>
      <c r="X30" s="17" t="e">
        <f>X29/X11</f>
        <v>#DIV/0!</v>
      </c>
      <c r="Y30" s="17" t="e">
        <f>Y29/Y11</f>
        <v>#DIV/0!</v>
      </c>
      <c r="Z30" s="17" t="e">
        <f>Z29/Z11</f>
        <v>#DIV/0!</v>
      </c>
      <c r="AA30" s="17" t="e">
        <f>AA29/AA11</f>
        <v>#DIV/0!</v>
      </c>
      <c r="AB30" s="17" t="e">
        <f>AB29/AB11</f>
        <v>#DIV/0!</v>
      </c>
      <c r="AC30" s="17" t="e">
        <f>AC29/AC11</f>
        <v>#DIV/0!</v>
      </c>
      <c r="AD30" s="43"/>
      <c r="AE30" s="75" t="e">
        <f>SUM(AC30-Y30)*1000</f>
        <v>#DIV/0!</v>
      </c>
    </row>
    <row r="31" spans="2:31" ht="5.0999999999999996" customHeight="1">
      <c r="B31" s="16"/>
      <c r="C31" s="17"/>
      <c r="D31" s="17"/>
      <c r="E31" s="17"/>
      <c r="F31" s="17"/>
      <c r="G31" s="2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28"/>
      <c r="U31" s="17"/>
      <c r="V31" s="17"/>
      <c r="W31" s="17"/>
      <c r="X31" s="17"/>
      <c r="Y31" s="17"/>
      <c r="Z31" s="17"/>
      <c r="AA31" s="17"/>
      <c r="AB31" s="17"/>
      <c r="AC31" s="17"/>
      <c r="AD31" s="43"/>
      <c r="AE31" s="75"/>
    </row>
    <row r="32" spans="2:31" ht="12.75" customHeight="1">
      <c r="B32" s="45" t="s">
        <v>87</v>
      </c>
      <c r="C32" s="77">
        <f>58527-21478.755</f>
        <v>37048.244999999995</v>
      </c>
      <c r="D32" s="77">
        <f>59391-26963.382</f>
        <v>32427.617999999999</v>
      </c>
      <c r="E32" s="77">
        <f>60159-36341.777</f>
        <v>23817.222999999998</v>
      </c>
      <c r="F32" s="77">
        <f>62309-49077.798</f>
        <v>13231.201999999997</v>
      </c>
      <c r="G32" s="27"/>
      <c r="H32" s="77">
        <f>59354-22364.208</f>
        <v>36989.792000000001</v>
      </c>
      <c r="I32" s="77">
        <f>59389-22522.026</f>
        <v>36866.974000000002</v>
      </c>
      <c r="J32" s="77">
        <f>59396-23172.203</f>
        <v>36223.796999999999</v>
      </c>
      <c r="K32" s="32">
        <f>D32</f>
        <v>32427.617999999999</v>
      </c>
      <c r="L32" s="77">
        <f>59480-31482.348</f>
        <v>27997.651999999998</v>
      </c>
      <c r="M32" s="77">
        <f>59582-35035.069</f>
        <v>24546.930999999997</v>
      </c>
      <c r="N32" s="77">
        <f>59704-33232.64</f>
        <v>26471.360000000001</v>
      </c>
      <c r="O32" s="32">
        <f>E32</f>
        <v>23817.222999999998</v>
      </c>
      <c r="P32" s="77">
        <f>61976-41643.616</f>
        <v>20332.383999999998</v>
      </c>
      <c r="Q32" s="77">
        <f>62233-45441.81</f>
        <v>16791.190000000002</v>
      </c>
      <c r="R32" s="77">
        <f>62278-49402.846</f>
        <v>12875.154000000002</v>
      </c>
      <c r="S32" s="32">
        <f>F32</f>
        <v>13231.201999999997</v>
      </c>
      <c r="T32" s="128"/>
      <c r="U32" s="32">
        <f>K32</f>
        <v>32427.617999999999</v>
      </c>
      <c r="V32" s="32">
        <f>L32</f>
        <v>27997.651999999998</v>
      </c>
      <c r="W32" s="32">
        <f>M32</f>
        <v>24546.930999999997</v>
      </c>
      <c r="X32" s="32">
        <f>N32</f>
        <v>26471.360000000001</v>
      </c>
      <c r="Y32" s="32">
        <f>O32</f>
        <v>23817.222999999998</v>
      </c>
      <c r="Z32" s="32">
        <f>P32</f>
        <v>20332.383999999998</v>
      </c>
      <c r="AA32" s="32">
        <f>Q32</f>
        <v>16791.190000000002</v>
      </c>
      <c r="AB32" s="32">
        <f>R32</f>
        <v>12875.154000000002</v>
      </c>
      <c r="AC32" s="32">
        <f>S32</f>
        <v>13231.201999999997</v>
      </c>
      <c r="AD32" s="43"/>
      <c r="AE32" s="73">
        <f>SUM(AC32/Y32)-1</f>
        <v>-0.44446915578696988</v>
      </c>
    </row>
    <row r="33" spans="1:31" ht="12.75" customHeight="1">
      <c r="B33" s="13" t="s">
        <v>63</v>
      </c>
      <c r="C33" s="139">
        <f t="shared" ref="C33" si="29">C29/C32</f>
        <v>-0.82397965139779239</v>
      </c>
      <c r="D33" s="139">
        <f t="shared" ref="D33:E33" si="30">D29/D32</f>
        <v>-1.1957708395356081</v>
      </c>
      <c r="E33" s="139">
        <f t="shared" si="30"/>
        <v>-1.7242144476709145</v>
      </c>
      <c r="F33" s="139">
        <f>F29/F32</f>
        <v>-3.5557616004955563</v>
      </c>
      <c r="G33" s="27"/>
      <c r="H33" s="139">
        <f t="shared" ref="H33:K33" si="31">H29/H32</f>
        <v>-0.2685065112017932</v>
      </c>
      <c r="I33" s="139">
        <f t="shared" si="31"/>
        <v>-0.26074827839138626</v>
      </c>
      <c r="J33" s="139">
        <f t="shared" si="31"/>
        <v>-0.23733017275908433</v>
      </c>
      <c r="K33" s="139">
        <f t="shared" si="31"/>
        <v>-0.32793034628692125</v>
      </c>
      <c r="L33" s="139">
        <f t="shared" ref="L33:Q33" si="32">L29/L32</f>
        <v>-0.41171309651252186</v>
      </c>
      <c r="M33" s="139">
        <f t="shared" si="32"/>
        <v>-0.37128877740357852</v>
      </c>
      <c r="N33" s="139">
        <f t="shared" si="32"/>
        <v>-0.39393518126760391</v>
      </c>
      <c r="O33" s="139">
        <f t="shared" si="32"/>
        <v>-0.41973827091428756</v>
      </c>
      <c r="P33" s="139">
        <f t="shared" si="32"/>
        <v>-0.56505916866413708</v>
      </c>
      <c r="Q33" s="139">
        <f t="shared" si="32"/>
        <v>-0.73675540566213582</v>
      </c>
      <c r="R33" s="139">
        <f>R29/R32</f>
        <v>-0.87144588717152416</v>
      </c>
      <c r="S33" s="139">
        <f t="shared" ref="S33" si="33">S29/S32</f>
        <v>-0.90445297411376546</v>
      </c>
      <c r="T33" s="128"/>
      <c r="U33" s="139">
        <f t="shared" ref="U33" si="34">U29/U32</f>
        <v>-1.1957708395356081</v>
      </c>
      <c r="V33" s="139">
        <f t="shared" ref="V33" si="35">V29/V32</f>
        <v>-1.4419423457367069</v>
      </c>
      <c r="W33" s="139">
        <f t="shared" ref="W33" si="36">W29/W32</f>
        <v>-1.624317109132706</v>
      </c>
      <c r="X33" s="139">
        <f t="shared" ref="X33" si="37">X29/X32</f>
        <v>-1.5754007349830155</v>
      </c>
      <c r="Y33" s="139">
        <f t="shared" ref="Y33" si="38">Y29/Y32</f>
        <v>-1.7242144476709145</v>
      </c>
      <c r="Z33" s="139">
        <f t="shared" ref="Z33" si="39">Z29/Z32</f>
        <v>-2.017864702929081</v>
      </c>
      <c r="AA33" s="139">
        <f t="shared" ref="AA33" si="40">AA29/AA32</f>
        <v>-2.6373949672417498</v>
      </c>
      <c r="AB33" s="139">
        <f t="shared" ref="AB33" si="41">AB29/AB32</f>
        <v>-3.501084336544634</v>
      </c>
      <c r="AC33" s="139">
        <f t="shared" ref="AC33" si="42">AC29/AC32</f>
        <v>-3.5557616004955563</v>
      </c>
      <c r="AD33" s="43"/>
      <c r="AE33" s="74">
        <f>SUM(AC33/Y33)-1</f>
        <v>1.062250206346846</v>
      </c>
    </row>
    <row r="34" spans="1:31" ht="12.75" customHeight="1">
      <c r="B34" s="25"/>
      <c r="C34" s="49"/>
      <c r="D34" s="49"/>
      <c r="E34" s="49"/>
      <c r="F34" s="49"/>
      <c r="G34" s="13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43"/>
      <c r="AE34" s="73"/>
    </row>
    <row r="35" spans="1:31" ht="12.75" customHeight="1">
      <c r="B35" s="45" t="s">
        <v>64</v>
      </c>
      <c r="C35" s="77">
        <v>58527</v>
      </c>
      <c r="D35" s="77">
        <v>59391</v>
      </c>
      <c r="E35" s="77">
        <v>60159</v>
      </c>
      <c r="F35" s="77">
        <v>62309</v>
      </c>
      <c r="G35" s="138"/>
      <c r="H35" s="77">
        <v>59354</v>
      </c>
      <c r="I35" s="77">
        <v>59389</v>
      </c>
      <c r="J35" s="77">
        <v>59396</v>
      </c>
      <c r="K35" s="32">
        <f>D35</f>
        <v>59391</v>
      </c>
      <c r="L35" s="77">
        <v>59480</v>
      </c>
      <c r="M35" s="77">
        <v>59582</v>
      </c>
      <c r="N35" s="77">
        <v>59704</v>
      </c>
      <c r="O35" s="32">
        <f>E35</f>
        <v>60159</v>
      </c>
      <c r="P35" s="77">
        <v>61976</v>
      </c>
      <c r="Q35" s="77">
        <v>62233</v>
      </c>
      <c r="R35" s="77">
        <v>62278</v>
      </c>
      <c r="S35" s="32">
        <f>F35</f>
        <v>62309</v>
      </c>
      <c r="T35" s="128"/>
      <c r="U35" s="32">
        <f t="shared" ref="U35" si="43">K35</f>
        <v>59391</v>
      </c>
      <c r="V35" s="32">
        <f t="shared" ref="V35" si="44">L35</f>
        <v>59480</v>
      </c>
      <c r="W35" s="32">
        <f t="shared" ref="W35" si="45">M35</f>
        <v>59582</v>
      </c>
      <c r="X35" s="32">
        <f t="shared" ref="X35" si="46">N35</f>
        <v>59704</v>
      </c>
      <c r="Y35" s="32">
        <f t="shared" ref="Y35" si="47">O35</f>
        <v>60159</v>
      </c>
      <c r="Z35" s="32">
        <f t="shared" ref="Z35" si="48">P35</f>
        <v>61976</v>
      </c>
      <c r="AA35" s="32">
        <f t="shared" ref="AA35" si="49">Q35</f>
        <v>62233</v>
      </c>
      <c r="AB35" s="32">
        <f t="shared" ref="AB35" si="50">R35</f>
        <v>62278</v>
      </c>
      <c r="AC35" s="32">
        <f>S35</f>
        <v>62309</v>
      </c>
      <c r="AD35" s="43"/>
      <c r="AE35" s="73">
        <f>SUM(AC35/Y35)-1</f>
        <v>3.5738625974500948E-2</v>
      </c>
    </row>
    <row r="36" spans="1:31" ht="12.75" customHeight="1">
      <c r="B36" s="13" t="s">
        <v>86</v>
      </c>
      <c r="C36" s="139">
        <f t="shared" ref="C36" si="51">C29/C35</f>
        <v>-0.52158832675517286</v>
      </c>
      <c r="D36" s="139">
        <f t="shared" ref="D36:E36" si="52">D29/D35</f>
        <v>-0.65289353605765188</v>
      </c>
      <c r="E36" s="139">
        <f t="shared" si="52"/>
        <v>-0.68262437872969961</v>
      </c>
      <c r="F36" s="139">
        <f>F29/F35</f>
        <v>-0.75505946171500105</v>
      </c>
      <c r="G36" s="27"/>
      <c r="H36" s="139">
        <f t="shared" ref="H36:K36" si="53">H29/H35</f>
        <v>-0.167334973211578</v>
      </c>
      <c r="I36" s="139">
        <f t="shared" si="53"/>
        <v>-0.16186499183350453</v>
      </c>
      <c r="J36" s="139">
        <f t="shared" si="53"/>
        <v>-0.14474038655801738</v>
      </c>
      <c r="K36" s="139">
        <f t="shared" si="53"/>
        <v>-0.17905069791719283</v>
      </c>
      <c r="L36" s="139">
        <f t="shared" ref="L36:Q36" si="54">L29/L35</f>
        <v>-0.19379623402824478</v>
      </c>
      <c r="M36" s="139">
        <f t="shared" si="54"/>
        <v>-0.15296566077003121</v>
      </c>
      <c r="N36" s="139">
        <f t="shared" si="54"/>
        <v>-0.17466166421010318</v>
      </c>
      <c r="O36" s="139">
        <f t="shared" si="54"/>
        <v>-0.16617629947306306</v>
      </c>
      <c r="P36" s="139">
        <f t="shared" si="54"/>
        <v>-0.18537821092035628</v>
      </c>
      <c r="Q36" s="139">
        <f t="shared" si="54"/>
        <v>-0.19878521041890959</v>
      </c>
      <c r="R36" s="139">
        <f>R29/R35</f>
        <v>-0.18015992806448505</v>
      </c>
      <c r="S36" s="139">
        <f t="shared" ref="S36" si="55">S29/S35</f>
        <v>-0.19205893209648686</v>
      </c>
      <c r="T36" s="128"/>
      <c r="U36" s="139">
        <f t="shared" ref="U36" si="56">U29/U35</f>
        <v>-0.65289353605765188</v>
      </c>
      <c r="V36" s="139">
        <f t="shared" ref="V36" si="57">V29/V35</f>
        <v>-0.67873234700739749</v>
      </c>
      <c r="W36" s="139">
        <f t="shared" ref="W36" si="58">W29/W35</f>
        <v>-0.66919539458225641</v>
      </c>
      <c r="X36" s="139">
        <f t="shared" ref="X36" si="59">X29/X35</f>
        <v>-0.69849591317164683</v>
      </c>
      <c r="Y36" s="139">
        <f t="shared" ref="Y36" si="60">Y29/Y35</f>
        <v>-0.68262437872969961</v>
      </c>
      <c r="Z36" s="139">
        <f t="shared" ref="Z36" si="61">Z29/Z35</f>
        <v>-0.66199819284884476</v>
      </c>
      <c r="AA36" s="139">
        <f t="shared" ref="AA36" si="62">AA29/AA35</f>
        <v>-0.71159995500779327</v>
      </c>
      <c r="AB36" s="139">
        <f t="shared" ref="AB36" si="63">AB29/AB35</f>
        <v>-0.7238029480715501</v>
      </c>
      <c r="AC36" s="139">
        <f t="shared" ref="AC36" si="64">AC29/AC35</f>
        <v>-0.75505946171500105</v>
      </c>
      <c r="AD36" s="43"/>
      <c r="AE36" s="74">
        <f>SUM(AC36/Y36)-1</f>
        <v>0.10611265176332618</v>
      </c>
    </row>
    <row r="37" spans="1:31" s="145" customFormat="1" ht="5.0999999999999996" customHeight="1" thickBot="1">
      <c r="B37" s="146"/>
      <c r="C37" s="147"/>
      <c r="D37" s="147"/>
      <c r="E37" s="147"/>
      <c r="F37" s="147"/>
      <c r="G37" s="148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9"/>
      <c r="U37" s="147"/>
      <c r="V37" s="147"/>
      <c r="W37" s="147"/>
      <c r="X37" s="147"/>
      <c r="Y37" s="147"/>
      <c r="Z37" s="147"/>
      <c r="AA37" s="147"/>
      <c r="AB37" s="147"/>
      <c r="AC37" s="147"/>
      <c r="AD37" s="150"/>
      <c r="AE37" s="151"/>
    </row>
    <row r="38" spans="1:31" s="145" customFormat="1" ht="12.75" customHeight="1">
      <c r="B38" s="152" t="s">
        <v>116</v>
      </c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</row>
    <row r="39" spans="1:31">
      <c r="B39" s="16"/>
      <c r="C39" s="17"/>
      <c r="D39" s="17"/>
      <c r="E39" s="17"/>
      <c r="F39" s="17"/>
      <c r="G39" s="2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28"/>
      <c r="U39" s="17"/>
      <c r="V39" s="17"/>
      <c r="W39" s="17"/>
      <c r="X39" s="17"/>
      <c r="Y39" s="17"/>
      <c r="Z39" s="17"/>
      <c r="AA39" s="17"/>
      <c r="AB39" s="17"/>
      <c r="AC39" s="17"/>
      <c r="AD39" s="43"/>
    </row>
    <row r="40" spans="1:31" ht="12.75" customHeight="1">
      <c r="A40" s="5" t="s">
        <v>18</v>
      </c>
      <c r="B40" s="101" t="s">
        <v>71</v>
      </c>
      <c r="C40" s="102" t="s">
        <v>0</v>
      </c>
      <c r="D40" s="102" t="s">
        <v>0</v>
      </c>
      <c r="E40" s="102"/>
      <c r="F40" s="102"/>
      <c r="G40" s="103"/>
      <c r="H40" s="102" t="s">
        <v>1</v>
      </c>
      <c r="I40" s="102"/>
      <c r="J40" s="102"/>
      <c r="K40" s="102"/>
      <c r="L40" s="102" t="s">
        <v>1</v>
      </c>
      <c r="M40" s="102"/>
      <c r="N40" s="102"/>
      <c r="O40" s="102"/>
      <c r="P40" s="102"/>
      <c r="Q40" s="102"/>
      <c r="R40" s="102" t="s">
        <v>1</v>
      </c>
      <c r="S40" s="102"/>
      <c r="T40" s="101"/>
      <c r="U40" s="102"/>
      <c r="V40" s="102"/>
      <c r="W40" s="102"/>
      <c r="X40" s="102" t="s">
        <v>10</v>
      </c>
      <c r="Y40" s="102" t="s">
        <v>10</v>
      </c>
      <c r="Z40" s="102"/>
      <c r="AA40" s="102"/>
      <c r="AB40" s="102"/>
      <c r="AC40" s="102"/>
      <c r="AD40" s="103"/>
      <c r="AE40" s="142" t="s">
        <v>24</v>
      </c>
    </row>
    <row r="41" spans="1:31" ht="12.75" customHeight="1">
      <c r="B41" s="105" t="str">
        <f>B7</f>
        <v>Fiscal Period</v>
      </c>
      <c r="C41" s="104">
        <f>C7</f>
        <v>2021</v>
      </c>
      <c r="D41" s="104">
        <f>D7</f>
        <v>2022</v>
      </c>
      <c r="E41" s="104">
        <f>E7</f>
        <v>2023</v>
      </c>
      <c r="F41" s="104">
        <f>F7</f>
        <v>2024</v>
      </c>
      <c r="G41" s="103"/>
      <c r="H41" s="104" t="str">
        <f>H7</f>
        <v>1Q22</v>
      </c>
      <c r="I41" s="104" t="str">
        <f>I7</f>
        <v>2Q22</v>
      </c>
      <c r="J41" s="104" t="str">
        <f>J7</f>
        <v>3Q22</v>
      </c>
      <c r="K41" s="104" t="str">
        <f>K7</f>
        <v>4Q22</v>
      </c>
      <c r="L41" s="104" t="str">
        <f>L7</f>
        <v>1Q23</v>
      </c>
      <c r="M41" s="104" t="str">
        <f>M7</f>
        <v>2Q23</v>
      </c>
      <c r="N41" s="104" t="str">
        <f>N7</f>
        <v>3Q23</v>
      </c>
      <c r="O41" s="104" t="str">
        <f>O7</f>
        <v>4Q23</v>
      </c>
      <c r="P41" s="104" t="str">
        <f>P7</f>
        <v>1Q24</v>
      </c>
      <c r="Q41" s="104" t="str">
        <f>Q7</f>
        <v>2Q24</v>
      </c>
      <c r="R41" s="104" t="str">
        <f>R7</f>
        <v>3Q24</v>
      </c>
      <c r="S41" s="104" t="str">
        <f>S7</f>
        <v>4Q24</v>
      </c>
      <c r="T41" s="106"/>
      <c r="U41" s="104" t="str">
        <f>U7</f>
        <v>4Q22</v>
      </c>
      <c r="V41" s="104" t="str">
        <f>V7</f>
        <v>1Q23</v>
      </c>
      <c r="W41" s="104" t="str">
        <f>W7</f>
        <v>2Q23</v>
      </c>
      <c r="X41" s="104" t="str">
        <f>X7</f>
        <v>3Q23</v>
      </c>
      <c r="Y41" s="104" t="str">
        <f>Y7</f>
        <v>4Q23</v>
      </c>
      <c r="Z41" s="104" t="str">
        <f>Z7</f>
        <v>1Q24</v>
      </c>
      <c r="AA41" s="104" t="str">
        <f>AA7</f>
        <v>2Q24</v>
      </c>
      <c r="AB41" s="104" t="str">
        <f>AB7</f>
        <v>3Q24</v>
      </c>
      <c r="AC41" s="104" t="str">
        <f>AC7</f>
        <v>4Q24</v>
      </c>
      <c r="AD41" s="103"/>
      <c r="AE41" s="142"/>
    </row>
    <row r="42" spans="1:31" ht="12.75" customHeight="1">
      <c r="B42" s="105" t="str">
        <f>B8</f>
        <v>Fiscal Period End Date</v>
      </c>
      <c r="C42" s="107">
        <f>C8</f>
        <v>44561</v>
      </c>
      <c r="D42" s="107">
        <f>D8</f>
        <v>44926</v>
      </c>
      <c r="E42" s="107">
        <f>E8</f>
        <v>45291</v>
      </c>
      <c r="F42" s="107">
        <f>F8</f>
        <v>45657</v>
      </c>
      <c r="G42" s="103"/>
      <c r="H42" s="107">
        <f>H8</f>
        <v>44651</v>
      </c>
      <c r="I42" s="107">
        <f>I8</f>
        <v>44742</v>
      </c>
      <c r="J42" s="107">
        <f>J8</f>
        <v>44834</v>
      </c>
      <c r="K42" s="107">
        <f>K8</f>
        <v>44926</v>
      </c>
      <c r="L42" s="107">
        <f>L8</f>
        <v>45016</v>
      </c>
      <c r="M42" s="107">
        <f>M8</f>
        <v>45107</v>
      </c>
      <c r="N42" s="107">
        <f>N8</f>
        <v>45199</v>
      </c>
      <c r="O42" s="107">
        <f>O8</f>
        <v>45291</v>
      </c>
      <c r="P42" s="107">
        <f>P8</f>
        <v>45382</v>
      </c>
      <c r="Q42" s="107">
        <f>Q8</f>
        <v>45473</v>
      </c>
      <c r="R42" s="107">
        <f>R8</f>
        <v>45565</v>
      </c>
      <c r="S42" s="107">
        <f>S8</f>
        <v>45657</v>
      </c>
      <c r="T42" s="108"/>
      <c r="U42" s="107">
        <f>U8</f>
        <v>44926</v>
      </c>
      <c r="V42" s="107">
        <f>V8</f>
        <v>45016</v>
      </c>
      <c r="W42" s="107">
        <f>W8</f>
        <v>45107</v>
      </c>
      <c r="X42" s="107">
        <f>X8</f>
        <v>45199</v>
      </c>
      <c r="Y42" s="107">
        <f>Y8</f>
        <v>45291</v>
      </c>
      <c r="Z42" s="107">
        <f>Z8</f>
        <v>45382</v>
      </c>
      <c r="AA42" s="107">
        <f>AA8</f>
        <v>45473</v>
      </c>
      <c r="AB42" s="107">
        <f>AB8</f>
        <v>45565</v>
      </c>
      <c r="AC42" s="107">
        <f>AC8</f>
        <v>45657</v>
      </c>
      <c r="AD42" s="103"/>
      <c r="AE42" s="142"/>
    </row>
    <row r="43" spans="1:31" ht="5.0999999999999996" customHeight="1">
      <c r="B43" s="47"/>
      <c r="C43" s="48"/>
      <c r="D43" s="48"/>
      <c r="E43" s="48"/>
      <c r="F43" s="48"/>
    </row>
    <row r="44" spans="1:31">
      <c r="B44" s="76" t="s">
        <v>78</v>
      </c>
      <c r="C44" s="48"/>
      <c r="D44" s="48"/>
      <c r="E44" s="48"/>
      <c r="F44" s="48"/>
    </row>
    <row r="45" spans="1:31" s="117" customFormat="1" ht="12.75" customHeight="1">
      <c r="B45" s="109" t="s">
        <v>94</v>
      </c>
      <c r="C45" s="118">
        <v>39648</v>
      </c>
      <c r="D45" s="118">
        <v>18592</v>
      </c>
      <c r="E45" s="118">
        <v>25660</v>
      </c>
      <c r="F45" s="118">
        <v>15120</v>
      </c>
      <c r="H45" s="116">
        <v>31606</v>
      </c>
      <c r="I45" s="116">
        <v>24178</v>
      </c>
      <c r="J45" s="116">
        <v>15831</v>
      </c>
      <c r="K45" s="32">
        <f t="shared" ref="K45:K46" si="65">D45</f>
        <v>18592</v>
      </c>
      <c r="L45" s="116">
        <v>17799</v>
      </c>
      <c r="M45" s="116">
        <v>17966</v>
      </c>
      <c r="N45" s="116">
        <v>20362</v>
      </c>
      <c r="O45" s="32">
        <f t="shared" ref="O45:O46" si="66">E45</f>
        <v>25660</v>
      </c>
      <c r="P45" s="116">
        <v>23555</v>
      </c>
      <c r="Q45" s="116">
        <v>25598</v>
      </c>
      <c r="R45" s="116">
        <v>27060</v>
      </c>
      <c r="S45" s="32">
        <f t="shared" ref="S45:S46" si="67">F45</f>
        <v>15120</v>
      </c>
      <c r="U45" s="92">
        <f>K45</f>
        <v>18592</v>
      </c>
      <c r="V45" s="92">
        <f>L45</f>
        <v>17799</v>
      </c>
      <c r="W45" s="92">
        <f>M45</f>
        <v>17966</v>
      </c>
      <c r="X45" s="92">
        <f>N45</f>
        <v>20362</v>
      </c>
      <c r="Y45" s="92">
        <f>O45</f>
        <v>25660</v>
      </c>
      <c r="Z45" s="92">
        <f>P45</f>
        <v>23555</v>
      </c>
      <c r="AA45" s="92">
        <f>Q45</f>
        <v>25598</v>
      </c>
      <c r="AB45" s="92">
        <f>R45</f>
        <v>27060</v>
      </c>
      <c r="AC45" s="92">
        <f>S45</f>
        <v>15120</v>
      </c>
      <c r="AD45" s="119"/>
      <c r="AE45" s="73">
        <f t="shared" ref="AE45:AE46" si="68">SUM(AC45/Y45)-1</f>
        <v>-0.4107560405300078</v>
      </c>
    </row>
    <row r="46" spans="1:31" s="117" customFormat="1" ht="12.75" customHeight="1">
      <c r="B46" s="155" t="s">
        <v>110</v>
      </c>
      <c r="C46" s="154">
        <v>2172</v>
      </c>
      <c r="D46" s="154">
        <v>1960</v>
      </c>
      <c r="E46" s="154">
        <v>2050</v>
      </c>
      <c r="F46" s="154">
        <v>2132</v>
      </c>
      <c r="G46" s="154"/>
      <c r="H46" s="116">
        <v>1901</v>
      </c>
      <c r="I46" s="116">
        <v>1607</v>
      </c>
      <c r="J46" s="116">
        <v>1290</v>
      </c>
      <c r="K46" s="32">
        <f t="shared" si="65"/>
        <v>1960</v>
      </c>
      <c r="L46" s="116">
        <v>1753</v>
      </c>
      <c r="M46" s="116">
        <v>1502</v>
      </c>
      <c r="N46" s="116">
        <v>1249</v>
      </c>
      <c r="O46" s="32">
        <f t="shared" si="66"/>
        <v>2050</v>
      </c>
      <c r="P46" s="116">
        <v>1905</v>
      </c>
      <c r="Q46" s="116">
        <v>1689</v>
      </c>
      <c r="R46" s="116">
        <v>1606</v>
      </c>
      <c r="S46" s="32">
        <f t="shared" si="67"/>
        <v>2132</v>
      </c>
      <c r="U46" s="92">
        <f>K46</f>
        <v>1960</v>
      </c>
      <c r="V46" s="92">
        <f>L46</f>
        <v>1753</v>
      </c>
      <c r="W46" s="92">
        <f>M46</f>
        <v>1502</v>
      </c>
      <c r="X46" s="92">
        <f>N46</f>
        <v>1249</v>
      </c>
      <c r="Y46" s="92">
        <f>O46</f>
        <v>2050</v>
      </c>
      <c r="Z46" s="92">
        <f>P46</f>
        <v>1905</v>
      </c>
      <c r="AA46" s="92">
        <f>Q46</f>
        <v>1689</v>
      </c>
      <c r="AB46" s="92">
        <f>R46</f>
        <v>1606</v>
      </c>
      <c r="AC46" s="92">
        <f>S46</f>
        <v>2132</v>
      </c>
      <c r="AD46" s="119"/>
      <c r="AE46" s="73">
        <f t="shared" si="68"/>
        <v>4.0000000000000036E-2</v>
      </c>
    </row>
    <row r="47" spans="1:31" ht="12.75" customHeight="1">
      <c r="B47" s="25" t="s">
        <v>20</v>
      </c>
      <c r="C47" s="26">
        <f>SUM(C45:C46)</f>
        <v>41820</v>
      </c>
      <c r="D47" s="26">
        <f>SUM(D45:D46)</f>
        <v>20552</v>
      </c>
      <c r="E47" s="26">
        <f>SUM(E45:E46)</f>
        <v>27710</v>
      </c>
      <c r="F47" s="26">
        <f>SUM(F45:F46)</f>
        <v>17252</v>
      </c>
      <c r="G47" s="49"/>
      <c r="H47" s="26">
        <f>SUM(H45:H46)</f>
        <v>33507</v>
      </c>
      <c r="I47" s="26">
        <f>SUM(I45:I46)</f>
        <v>25785</v>
      </c>
      <c r="J47" s="26">
        <f>SUM(J45:J46)</f>
        <v>17121</v>
      </c>
      <c r="K47" s="26">
        <f>SUM(K45:K46)</f>
        <v>20552</v>
      </c>
      <c r="L47" s="26">
        <f>SUM(L45:L46)</f>
        <v>19552</v>
      </c>
      <c r="M47" s="26">
        <f>SUM(M45:M46)</f>
        <v>19468</v>
      </c>
      <c r="N47" s="26">
        <f>SUM(N45:N46)</f>
        <v>21611</v>
      </c>
      <c r="O47" s="26">
        <f>SUM(O45:O46)</f>
        <v>27710</v>
      </c>
      <c r="P47" s="26">
        <f>SUM(P45:P46)</f>
        <v>25460</v>
      </c>
      <c r="Q47" s="26">
        <f>SUM(Q45:Q46)</f>
        <v>27287</v>
      </c>
      <c r="R47" s="26">
        <f>SUM(R45:R46)</f>
        <v>28666</v>
      </c>
      <c r="S47" s="26">
        <f>SUM(S45:S46)</f>
        <v>17252</v>
      </c>
      <c r="T47" s="49"/>
      <c r="U47" s="26">
        <f>SUM(U45:U46)</f>
        <v>20552</v>
      </c>
      <c r="V47" s="26">
        <f>SUM(V45:V46)</f>
        <v>19552</v>
      </c>
      <c r="W47" s="26">
        <f>SUM(W45:W46)</f>
        <v>19468</v>
      </c>
      <c r="X47" s="26">
        <f>SUM(X45:X46)</f>
        <v>21611</v>
      </c>
      <c r="Y47" s="26">
        <f>SUM(Y45:Y46)</f>
        <v>27710</v>
      </c>
      <c r="Z47" s="26">
        <f>SUM(Z45:Z46)</f>
        <v>25460</v>
      </c>
      <c r="AA47" s="26">
        <f>SUM(AA45:AA46)</f>
        <v>27287</v>
      </c>
      <c r="AB47" s="26">
        <f>SUM(AB45:AB46)</f>
        <v>28666</v>
      </c>
      <c r="AC47" s="26">
        <f>SUM(AC45:AC46)</f>
        <v>17252</v>
      </c>
      <c r="AD47" s="42"/>
      <c r="AE47" s="74">
        <f>SUM(AC47/Y47)-1</f>
        <v>-0.377408877661494</v>
      </c>
    </row>
    <row r="48" spans="1:31" ht="5.0999999999999996" customHeight="1">
      <c r="B48" s="25"/>
      <c r="C48" s="50"/>
      <c r="D48" s="50"/>
      <c r="E48" s="41"/>
      <c r="F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39"/>
    </row>
    <row r="49" spans="2:31" ht="12.75" customHeight="1">
      <c r="B49" s="76" t="s">
        <v>79</v>
      </c>
      <c r="C49" s="77"/>
      <c r="D49" s="77"/>
      <c r="E49" s="77"/>
      <c r="F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U49" s="32"/>
      <c r="V49" s="32"/>
      <c r="W49" s="32"/>
      <c r="X49" s="32"/>
      <c r="Y49" s="32"/>
      <c r="Z49" s="32"/>
      <c r="AA49" s="32"/>
      <c r="AB49" s="32"/>
      <c r="AC49" s="32"/>
      <c r="AD49" s="11"/>
      <c r="AE49" s="73"/>
    </row>
    <row r="50" spans="2:31" ht="12.75" customHeight="1">
      <c r="B50" s="9" t="s">
        <v>84</v>
      </c>
      <c r="C50" s="77">
        <v>0</v>
      </c>
      <c r="D50" s="77">
        <v>0</v>
      </c>
      <c r="E50" s="77">
        <v>0</v>
      </c>
      <c r="F50" s="77">
        <v>0</v>
      </c>
      <c r="H50" s="116"/>
      <c r="I50" s="116">
        <v>0</v>
      </c>
      <c r="J50" s="116" t="s">
        <v>141</v>
      </c>
      <c r="K50" s="32">
        <f t="shared" ref="K50:K51" si="69">D50</f>
        <v>0</v>
      </c>
      <c r="L50" s="116">
        <v>0</v>
      </c>
      <c r="M50" s="116">
        <v>0</v>
      </c>
      <c r="N50" s="116">
        <v>0</v>
      </c>
      <c r="O50" s="32">
        <f t="shared" ref="O50:O51" si="70">E50</f>
        <v>0</v>
      </c>
      <c r="P50" s="116">
        <v>0</v>
      </c>
      <c r="Q50" s="116">
        <v>0</v>
      </c>
      <c r="R50" s="116" t="s">
        <v>141</v>
      </c>
      <c r="S50" s="32">
        <f t="shared" ref="S50:S51" si="71">F50</f>
        <v>0</v>
      </c>
      <c r="U50" s="92">
        <f>K50</f>
        <v>0</v>
      </c>
      <c r="V50" s="92">
        <f>L50</f>
        <v>0</v>
      </c>
      <c r="W50" s="92">
        <f>M50</f>
        <v>0</v>
      </c>
      <c r="X50" s="92">
        <f>N50</f>
        <v>0</v>
      </c>
      <c r="Y50" s="92">
        <f>O50</f>
        <v>0</v>
      </c>
      <c r="Z50" s="92">
        <f>P50</f>
        <v>0</v>
      </c>
      <c r="AA50" s="92">
        <f>Q50</f>
        <v>0</v>
      </c>
      <c r="AB50" s="92" t="str">
        <f>R50</f>
        <v>-</v>
      </c>
      <c r="AC50" s="92">
        <f>S50</f>
        <v>0</v>
      </c>
      <c r="AD50" s="11"/>
      <c r="AE50" s="73" t="e">
        <f t="shared" ref="AE50:AE52" si="72">SUM(AC50/Y50)-1</f>
        <v>#DIV/0!</v>
      </c>
    </row>
    <row r="51" spans="2:31" ht="12.75" customHeight="1">
      <c r="B51" s="9" t="s">
        <v>111</v>
      </c>
      <c r="C51" s="77">
        <v>7</v>
      </c>
      <c r="D51" s="77">
        <v>733</v>
      </c>
      <c r="E51" s="77">
        <v>490</v>
      </c>
      <c r="F51" s="77">
        <v>243</v>
      </c>
      <c r="H51" s="116">
        <v>108</v>
      </c>
      <c r="I51" s="116">
        <v>101</v>
      </c>
      <c r="J51" s="116">
        <v>793</v>
      </c>
      <c r="K51" s="32">
        <f t="shared" si="69"/>
        <v>733</v>
      </c>
      <c r="L51" s="116">
        <v>673</v>
      </c>
      <c r="M51" s="116">
        <v>613</v>
      </c>
      <c r="N51" s="116">
        <v>552</v>
      </c>
      <c r="O51" s="32">
        <f t="shared" si="70"/>
        <v>490</v>
      </c>
      <c r="P51" s="116">
        <v>430</v>
      </c>
      <c r="Q51" s="116">
        <v>368</v>
      </c>
      <c r="R51" s="116">
        <v>306</v>
      </c>
      <c r="S51" s="32">
        <f t="shared" si="71"/>
        <v>243</v>
      </c>
      <c r="U51" s="92">
        <f>K51</f>
        <v>733</v>
      </c>
      <c r="V51" s="92">
        <f>L51</f>
        <v>673</v>
      </c>
      <c r="W51" s="92">
        <f>M51</f>
        <v>613</v>
      </c>
      <c r="X51" s="92">
        <f>N51</f>
        <v>552</v>
      </c>
      <c r="Y51" s="92">
        <f>O51</f>
        <v>490</v>
      </c>
      <c r="Z51" s="92">
        <f>P51</f>
        <v>430</v>
      </c>
      <c r="AA51" s="92">
        <f>Q51</f>
        <v>368</v>
      </c>
      <c r="AB51" s="92">
        <f>R51</f>
        <v>306</v>
      </c>
      <c r="AC51" s="92">
        <f>S51</f>
        <v>243</v>
      </c>
      <c r="AD51" s="11"/>
      <c r="AE51" s="73">
        <f t="shared" si="72"/>
        <v>-0.50408163265306127</v>
      </c>
    </row>
    <row r="52" spans="2:31" ht="12.75" customHeight="1">
      <c r="B52" s="13" t="s">
        <v>21</v>
      </c>
      <c r="C52" s="14">
        <f>SUM(C50:C51)+C47</f>
        <v>41827</v>
      </c>
      <c r="D52" s="14">
        <f>SUM(D50:D51)+D47</f>
        <v>21285</v>
      </c>
      <c r="E52" s="14">
        <f>SUM(E50:E51)+E47</f>
        <v>28200</v>
      </c>
      <c r="F52" s="14">
        <f>SUM(F50:F51)+F47</f>
        <v>17495</v>
      </c>
      <c r="H52" s="14">
        <f>SUM(H50:H51)+H47</f>
        <v>33615</v>
      </c>
      <c r="I52" s="14">
        <f>SUM(I50:I51)+I47</f>
        <v>25886</v>
      </c>
      <c r="J52" s="14">
        <f>SUM(J50:J51)+J47</f>
        <v>17914</v>
      </c>
      <c r="K52" s="14">
        <f>SUM(K50:K51)+K47</f>
        <v>21285</v>
      </c>
      <c r="L52" s="14">
        <f>SUM(L50:L51)+L47</f>
        <v>20225</v>
      </c>
      <c r="M52" s="14">
        <f>SUM(M50:M51)+M47</f>
        <v>20081</v>
      </c>
      <c r="N52" s="14">
        <f>SUM(N50:N51)+N47</f>
        <v>22163</v>
      </c>
      <c r="O52" s="14">
        <f>SUM(O50:O51)+O47</f>
        <v>28200</v>
      </c>
      <c r="P52" s="14">
        <f>SUM(P50:P51)+P47</f>
        <v>25890</v>
      </c>
      <c r="Q52" s="14">
        <f>SUM(Q50:Q51)+Q47</f>
        <v>27655</v>
      </c>
      <c r="R52" s="14">
        <f>SUM(R50:R51)+R47</f>
        <v>28972</v>
      </c>
      <c r="S52" s="14">
        <f>SUM(S50:S51)+S47</f>
        <v>17495</v>
      </c>
      <c r="U52" s="14">
        <f>SUM(U50:U51)+U47</f>
        <v>21285</v>
      </c>
      <c r="V52" s="14">
        <f>SUM(V50:V51)+V47</f>
        <v>20225</v>
      </c>
      <c r="W52" s="14">
        <f>SUM(W50:W51)+W47</f>
        <v>20081</v>
      </c>
      <c r="X52" s="14">
        <f>SUM(X50:X51)+X47</f>
        <v>22163</v>
      </c>
      <c r="Y52" s="14">
        <f>SUM(Y50:Y51)+Y47</f>
        <v>28200</v>
      </c>
      <c r="Z52" s="14">
        <f>SUM(Z50:Z51)+Z47</f>
        <v>25890</v>
      </c>
      <c r="AA52" s="14">
        <f>SUM(AA50:AA51)+AA47</f>
        <v>27655</v>
      </c>
      <c r="AB52" s="14">
        <f>SUM(AB50:AB51)+AB47</f>
        <v>28972</v>
      </c>
      <c r="AC52" s="34">
        <f>SUM(AC50:AC51)+AC47</f>
        <v>17495</v>
      </c>
      <c r="AD52" s="42"/>
      <c r="AE52" s="74">
        <f t="shared" si="72"/>
        <v>-0.37960992907801416</v>
      </c>
    </row>
    <row r="53" spans="2:31" ht="12.75" customHeight="1">
      <c r="B53" s="25"/>
      <c r="C53" s="51"/>
      <c r="D53" s="51"/>
      <c r="E53" s="41"/>
      <c r="F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39"/>
    </row>
    <row r="54" spans="2:31" ht="12.75" customHeight="1">
      <c r="B54" s="76" t="s">
        <v>44</v>
      </c>
      <c r="C54" s="51"/>
      <c r="D54" s="51"/>
      <c r="E54" s="41"/>
      <c r="F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39"/>
    </row>
    <row r="55" spans="2:31" ht="12.75" customHeight="1">
      <c r="B55" s="115" t="s">
        <v>13</v>
      </c>
      <c r="C55" s="116">
        <v>1805</v>
      </c>
      <c r="D55" s="116">
        <v>3890</v>
      </c>
      <c r="E55" s="116">
        <v>6431</v>
      </c>
      <c r="F55" s="116">
        <v>5656</v>
      </c>
      <c r="H55" s="116">
        <v>1906</v>
      </c>
      <c r="I55" s="116">
        <v>2964</v>
      </c>
      <c r="J55" s="116">
        <v>2352</v>
      </c>
      <c r="K55" s="32">
        <f t="shared" ref="K55:K59" si="73">D55</f>
        <v>3890</v>
      </c>
      <c r="L55" s="116">
        <v>2553</v>
      </c>
      <c r="M55" s="116">
        <v>1976</v>
      </c>
      <c r="N55" s="116">
        <v>2681</v>
      </c>
      <c r="O55" s="32">
        <f t="shared" ref="O55:O59" si="74">E55</f>
        <v>6431</v>
      </c>
      <c r="P55" s="116">
        <v>3797</v>
      </c>
      <c r="Q55" s="116">
        <v>3698</v>
      </c>
      <c r="R55" s="116">
        <v>2795</v>
      </c>
      <c r="S55" s="32">
        <f t="shared" ref="S55" si="75">F55</f>
        <v>5656</v>
      </c>
      <c r="U55" s="92">
        <f t="shared" ref="U55:U59" si="76">K55</f>
        <v>3890</v>
      </c>
      <c r="V55" s="92">
        <f t="shared" ref="V55:V59" si="77">L55</f>
        <v>2553</v>
      </c>
      <c r="W55" s="92">
        <f t="shared" ref="W55:W59" si="78">M55</f>
        <v>1976</v>
      </c>
      <c r="X55" s="92">
        <f t="shared" ref="X55:X59" si="79">N55</f>
        <v>2681</v>
      </c>
      <c r="Y55" s="92">
        <f t="shared" ref="Y55:Y59" si="80">O55</f>
        <v>6431</v>
      </c>
      <c r="Z55" s="92">
        <f t="shared" ref="Z55:Z59" si="81">P55</f>
        <v>3797</v>
      </c>
      <c r="AA55" s="92">
        <f t="shared" ref="AA55:AA59" si="82">Q55</f>
        <v>3698</v>
      </c>
      <c r="AB55" s="92">
        <f t="shared" ref="AB55:AB59" si="83">R55</f>
        <v>2795</v>
      </c>
      <c r="AC55" s="92">
        <f t="shared" ref="AC55:AC59" si="84">S55</f>
        <v>5656</v>
      </c>
      <c r="AD55" s="11"/>
      <c r="AE55" s="73">
        <f t="shared" ref="AE55:AE58" si="85">SUM(AC55/Y55)-1</f>
        <v>-0.12051002954439438</v>
      </c>
    </row>
    <row r="56" spans="2:31" ht="12.75" customHeight="1">
      <c r="B56" s="115" t="s">
        <v>112</v>
      </c>
      <c r="C56" s="116">
        <v>7163</v>
      </c>
      <c r="D56" s="116">
        <v>9058</v>
      </c>
      <c r="E56" s="116">
        <v>9182</v>
      </c>
      <c r="F56" s="116">
        <v>8204</v>
      </c>
      <c r="H56" s="116">
        <v>7629</v>
      </c>
      <c r="I56" s="116">
        <v>7864</v>
      </c>
      <c r="J56" s="116">
        <v>7236</v>
      </c>
      <c r="K56" s="32">
        <f t="shared" si="73"/>
        <v>9058</v>
      </c>
      <c r="L56" s="116">
        <v>8980</v>
      </c>
      <c r="M56" s="116">
        <v>7913</v>
      </c>
      <c r="N56" s="116">
        <v>7841</v>
      </c>
      <c r="O56" s="32">
        <f t="shared" si="74"/>
        <v>9182</v>
      </c>
      <c r="P56" s="116">
        <v>8836</v>
      </c>
      <c r="Q56" s="116">
        <v>10856</v>
      </c>
      <c r="R56" s="116">
        <v>11586</v>
      </c>
      <c r="S56" s="32">
        <f t="shared" ref="S56:S59" si="86">F56</f>
        <v>8204</v>
      </c>
      <c r="U56" s="92">
        <f t="shared" si="76"/>
        <v>9058</v>
      </c>
      <c r="V56" s="92">
        <f t="shared" si="77"/>
        <v>8980</v>
      </c>
      <c r="W56" s="92">
        <f t="shared" si="78"/>
        <v>7913</v>
      </c>
      <c r="X56" s="92">
        <f t="shared" si="79"/>
        <v>7841</v>
      </c>
      <c r="Y56" s="92">
        <f t="shared" si="80"/>
        <v>9182</v>
      </c>
      <c r="Z56" s="92">
        <f t="shared" si="81"/>
        <v>8836</v>
      </c>
      <c r="AA56" s="92">
        <f t="shared" si="82"/>
        <v>10856</v>
      </c>
      <c r="AB56" s="92">
        <f t="shared" si="83"/>
        <v>11586</v>
      </c>
      <c r="AC56" s="92">
        <f t="shared" si="84"/>
        <v>8204</v>
      </c>
      <c r="AD56" s="11"/>
      <c r="AE56" s="73">
        <f t="shared" si="85"/>
        <v>-0.1065127423219342</v>
      </c>
    </row>
    <row r="57" spans="2:31" ht="12.75" customHeight="1">
      <c r="B57" s="115" t="s">
        <v>136</v>
      </c>
      <c r="C57" s="116">
        <v>65</v>
      </c>
      <c r="D57" s="116">
        <v>64</v>
      </c>
      <c r="E57" s="116">
        <v>63</v>
      </c>
      <c r="F57" s="116">
        <v>63</v>
      </c>
      <c r="H57" s="77">
        <v>0</v>
      </c>
      <c r="I57" s="116">
        <v>64</v>
      </c>
      <c r="J57" s="77">
        <v>0</v>
      </c>
      <c r="K57" s="32">
        <f t="shared" si="73"/>
        <v>64</v>
      </c>
      <c r="L57" s="77">
        <v>0</v>
      </c>
      <c r="M57" s="116">
        <v>64</v>
      </c>
      <c r="N57" s="77">
        <v>0</v>
      </c>
      <c r="O57" s="32">
        <f t="shared" si="74"/>
        <v>63</v>
      </c>
      <c r="P57" s="116">
        <v>0</v>
      </c>
      <c r="Q57" s="116">
        <v>63</v>
      </c>
      <c r="R57" s="77">
        <v>0</v>
      </c>
      <c r="S57" s="32">
        <f t="shared" si="86"/>
        <v>63</v>
      </c>
      <c r="U57" s="92">
        <f t="shared" si="76"/>
        <v>64</v>
      </c>
      <c r="V57" s="92">
        <f t="shared" si="77"/>
        <v>0</v>
      </c>
      <c r="W57" s="92">
        <f t="shared" si="78"/>
        <v>64</v>
      </c>
      <c r="X57" s="92">
        <f t="shared" si="79"/>
        <v>0</v>
      </c>
      <c r="Y57" s="92">
        <f t="shared" si="80"/>
        <v>63</v>
      </c>
      <c r="Z57" s="92">
        <f t="shared" si="81"/>
        <v>0</v>
      </c>
      <c r="AA57" s="92">
        <f t="shared" si="82"/>
        <v>63</v>
      </c>
      <c r="AB57" s="92">
        <f t="shared" si="83"/>
        <v>0</v>
      </c>
      <c r="AC57" s="92">
        <f t="shared" si="84"/>
        <v>63</v>
      </c>
      <c r="AD57" s="11"/>
      <c r="AE57" s="73">
        <f t="shared" si="85"/>
        <v>0</v>
      </c>
    </row>
    <row r="58" spans="2:31" ht="12.75" customHeight="1">
      <c r="B58" s="115" t="s">
        <v>137</v>
      </c>
      <c r="C58" s="116">
        <v>0</v>
      </c>
      <c r="D58" s="116">
        <v>0</v>
      </c>
      <c r="E58" s="116">
        <v>0</v>
      </c>
      <c r="F58" s="116">
        <v>21117</v>
      </c>
      <c r="H58" s="77">
        <v>0</v>
      </c>
      <c r="I58" s="77">
        <v>0</v>
      </c>
      <c r="J58" s="77">
        <v>0</v>
      </c>
      <c r="K58" s="32">
        <f t="shared" si="73"/>
        <v>0</v>
      </c>
      <c r="L58" s="77">
        <v>0</v>
      </c>
      <c r="M58" s="77">
        <v>0</v>
      </c>
      <c r="N58" s="77">
        <v>0</v>
      </c>
      <c r="O58" s="32">
        <f t="shared" si="74"/>
        <v>0</v>
      </c>
      <c r="P58" s="77">
        <v>0</v>
      </c>
      <c r="Q58" s="77">
        <v>0</v>
      </c>
      <c r="R58" s="116">
        <v>10518</v>
      </c>
      <c r="S58" s="32">
        <f t="shared" si="86"/>
        <v>21117</v>
      </c>
      <c r="U58" s="92">
        <f t="shared" si="76"/>
        <v>0</v>
      </c>
      <c r="V58" s="92">
        <f t="shared" si="77"/>
        <v>0</v>
      </c>
      <c r="W58" s="92">
        <f t="shared" si="78"/>
        <v>0</v>
      </c>
      <c r="X58" s="92">
        <f t="shared" si="79"/>
        <v>0</v>
      </c>
      <c r="Y58" s="92">
        <f t="shared" si="80"/>
        <v>0</v>
      </c>
      <c r="Z58" s="92">
        <f t="shared" si="81"/>
        <v>0</v>
      </c>
      <c r="AA58" s="92">
        <f t="shared" si="82"/>
        <v>0</v>
      </c>
      <c r="AB58" s="92">
        <f t="shared" si="83"/>
        <v>10518</v>
      </c>
      <c r="AC58" s="92">
        <f t="shared" si="84"/>
        <v>21117</v>
      </c>
      <c r="AD58" s="11"/>
      <c r="AE58" s="73" t="e">
        <f t="shared" si="85"/>
        <v>#DIV/0!</v>
      </c>
    </row>
    <row r="59" spans="2:31" ht="12.75" customHeight="1">
      <c r="B59" s="115" t="s">
        <v>138</v>
      </c>
      <c r="C59" s="116">
        <v>0</v>
      </c>
      <c r="D59" s="116">
        <v>0</v>
      </c>
      <c r="E59" s="116">
        <v>0</v>
      </c>
      <c r="F59" s="116">
        <v>369</v>
      </c>
      <c r="H59" s="77">
        <v>0</v>
      </c>
      <c r="I59" s="77">
        <v>0</v>
      </c>
      <c r="J59" s="77">
        <v>0</v>
      </c>
      <c r="K59" s="32">
        <f t="shared" si="73"/>
        <v>0</v>
      </c>
      <c r="L59" s="77">
        <v>0</v>
      </c>
      <c r="M59" s="77">
        <v>0</v>
      </c>
      <c r="N59" s="77">
        <v>0</v>
      </c>
      <c r="O59" s="32">
        <f t="shared" si="74"/>
        <v>0</v>
      </c>
      <c r="P59" s="77">
        <v>0</v>
      </c>
      <c r="Q59" s="77">
        <v>0</v>
      </c>
      <c r="R59" s="116">
        <v>359</v>
      </c>
      <c r="S59" s="32">
        <f t="shared" si="86"/>
        <v>369</v>
      </c>
      <c r="U59" s="92">
        <f t="shared" si="76"/>
        <v>0</v>
      </c>
      <c r="V59" s="92">
        <f t="shared" si="77"/>
        <v>0</v>
      </c>
      <c r="W59" s="92">
        <f t="shared" si="78"/>
        <v>0</v>
      </c>
      <c r="X59" s="92">
        <f t="shared" si="79"/>
        <v>0</v>
      </c>
      <c r="Y59" s="92">
        <f t="shared" si="80"/>
        <v>0</v>
      </c>
      <c r="Z59" s="92">
        <f t="shared" si="81"/>
        <v>0</v>
      </c>
      <c r="AA59" s="92">
        <f t="shared" si="82"/>
        <v>0</v>
      </c>
      <c r="AB59" s="92">
        <f t="shared" si="83"/>
        <v>359</v>
      </c>
      <c r="AC59" s="92">
        <f t="shared" si="84"/>
        <v>369</v>
      </c>
      <c r="AD59" s="11"/>
      <c r="AE59" s="73" t="e">
        <f t="shared" ref="AE59:AE60" si="87">SUM(AC59/Y59)-1</f>
        <v>#DIV/0!</v>
      </c>
    </row>
    <row r="60" spans="2:31" ht="12.75" customHeight="1">
      <c r="B60" s="25" t="s">
        <v>19</v>
      </c>
      <c r="C60" s="26">
        <f>SUM(C55:C59)</f>
        <v>9033</v>
      </c>
      <c r="D60" s="26">
        <f>SUM(D55:D59)</f>
        <v>13012</v>
      </c>
      <c r="E60" s="26">
        <f>SUM(E55:E59)</f>
        <v>15676</v>
      </c>
      <c r="F60" s="26">
        <f>SUM(F55:F59)</f>
        <v>35409</v>
      </c>
      <c r="H60" s="26">
        <f>SUM(H55:H59)</f>
        <v>9535</v>
      </c>
      <c r="I60" s="26">
        <f>SUM(I55:I59)</f>
        <v>10892</v>
      </c>
      <c r="J60" s="26">
        <f>SUM(J55:J59)</f>
        <v>9588</v>
      </c>
      <c r="K60" s="26">
        <f>SUM(K55:K59)</f>
        <v>13012</v>
      </c>
      <c r="L60" s="26">
        <f>SUM(L55:L59)</f>
        <v>11533</v>
      </c>
      <c r="M60" s="26">
        <f>SUM(M55:M59)</f>
        <v>9953</v>
      </c>
      <c r="N60" s="26">
        <f>SUM(N55:N59)</f>
        <v>10522</v>
      </c>
      <c r="O60" s="26">
        <f>SUM(O55:O59)</f>
        <v>15676</v>
      </c>
      <c r="P60" s="26">
        <f>SUM(P55:P59)</f>
        <v>12633</v>
      </c>
      <c r="Q60" s="26">
        <f>SUM(Q55:Q59)</f>
        <v>14617</v>
      </c>
      <c r="R60" s="26">
        <f>SUM(R55:R59)</f>
        <v>25258</v>
      </c>
      <c r="S60" s="26">
        <f>SUM(S55:S59)</f>
        <v>35409</v>
      </c>
      <c r="T60" s="49"/>
      <c r="U60" s="26">
        <f>SUM(U55:U59)</f>
        <v>13012</v>
      </c>
      <c r="V60" s="26">
        <f>SUM(V55:V59)</f>
        <v>11533</v>
      </c>
      <c r="W60" s="26">
        <f>SUM(W55:W59)</f>
        <v>9953</v>
      </c>
      <c r="X60" s="26">
        <f>SUM(X55:X59)</f>
        <v>10522</v>
      </c>
      <c r="Y60" s="26">
        <f>SUM(Y55:Y59)</f>
        <v>15676</v>
      </c>
      <c r="Z60" s="26">
        <f>SUM(Z55:Z59)</f>
        <v>12633</v>
      </c>
      <c r="AA60" s="26">
        <f>SUM(AA55:AA59)</f>
        <v>14617</v>
      </c>
      <c r="AB60" s="26">
        <f>SUM(AB55:AB59)</f>
        <v>25258</v>
      </c>
      <c r="AC60" s="26">
        <f>SUM(AC55:AC59)</f>
        <v>35409</v>
      </c>
      <c r="AD60" s="42"/>
      <c r="AE60" s="74">
        <f t="shared" si="87"/>
        <v>1.2588032661393211</v>
      </c>
    </row>
    <row r="61" spans="2:31" ht="5.0999999999999996" customHeight="1">
      <c r="B61" s="25"/>
      <c r="C61" s="51"/>
      <c r="D61" s="51"/>
      <c r="E61" s="41"/>
      <c r="F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39"/>
    </row>
    <row r="62" spans="2:31">
      <c r="B62" s="76" t="s">
        <v>80</v>
      </c>
      <c r="C62" s="51"/>
      <c r="D62" s="51"/>
      <c r="E62" s="41"/>
      <c r="F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39"/>
    </row>
    <row r="63" spans="2:31" ht="12.75" customHeight="1">
      <c r="B63" s="115" t="s">
        <v>137</v>
      </c>
      <c r="C63" s="116">
        <v>29048</v>
      </c>
      <c r="D63" s="116">
        <v>29964</v>
      </c>
      <c r="E63" s="116">
        <v>30902</v>
      </c>
      <c r="F63" s="116">
        <v>10733</v>
      </c>
      <c r="G63" s="52"/>
      <c r="H63" s="116">
        <v>29275</v>
      </c>
      <c r="I63" s="116">
        <v>29504</v>
      </c>
      <c r="J63" s="116">
        <v>29734</v>
      </c>
      <c r="K63" s="32">
        <f t="shared" ref="K63:K66" si="88">D63</f>
        <v>29964</v>
      </c>
      <c r="L63" s="116">
        <v>30200</v>
      </c>
      <c r="M63" s="116">
        <v>30433</v>
      </c>
      <c r="N63" s="116">
        <v>30666</v>
      </c>
      <c r="O63" s="32">
        <f t="shared" ref="O63:O66" si="89">E63</f>
        <v>30902</v>
      </c>
      <c r="P63" s="116">
        <v>31139</v>
      </c>
      <c r="Q63" s="116">
        <v>31375</v>
      </c>
      <c r="R63" s="116">
        <v>21094</v>
      </c>
      <c r="S63" s="32">
        <f t="shared" ref="S63:S66" si="90">F63</f>
        <v>10733</v>
      </c>
      <c r="T63" s="116"/>
      <c r="U63" s="92">
        <f t="shared" ref="U63:U66" si="91">K63</f>
        <v>29964</v>
      </c>
      <c r="V63" s="92">
        <f t="shared" ref="V63:V66" si="92">L63</f>
        <v>30200</v>
      </c>
      <c r="W63" s="92">
        <f t="shared" ref="W63:W66" si="93">M63</f>
        <v>30433</v>
      </c>
      <c r="X63" s="92">
        <f t="shared" ref="X63:X66" si="94">N63</f>
        <v>30666</v>
      </c>
      <c r="Y63" s="92">
        <f t="shared" ref="Y63:Y66" si="95">O63</f>
        <v>30902</v>
      </c>
      <c r="Z63" s="92">
        <f t="shared" ref="Z63:Z66" si="96">P63</f>
        <v>31139</v>
      </c>
      <c r="AA63" s="92">
        <f t="shared" ref="AA63:AA66" si="97">Q63</f>
        <v>31375</v>
      </c>
      <c r="AB63" s="92">
        <f t="shared" ref="AB63:AB66" si="98">R63</f>
        <v>21094</v>
      </c>
      <c r="AC63" s="92">
        <f t="shared" ref="AC63:AC66" si="99">S63</f>
        <v>10733</v>
      </c>
      <c r="AD63" s="42"/>
      <c r="AE63" s="73">
        <f t="shared" ref="AE63:AE66" si="100">SUM(AC63/Y63)-1</f>
        <v>-0.65267620218756073</v>
      </c>
    </row>
    <row r="64" spans="2:31" ht="12.75" customHeight="1">
      <c r="B64" s="115" t="s">
        <v>138</v>
      </c>
      <c r="C64" s="116">
        <v>1130</v>
      </c>
      <c r="D64" s="116">
        <v>573</v>
      </c>
      <c r="E64" s="116">
        <v>1004</v>
      </c>
      <c r="F64" s="116">
        <v>47</v>
      </c>
      <c r="G64" s="52"/>
      <c r="H64" s="116">
        <v>901</v>
      </c>
      <c r="I64" s="116">
        <v>626</v>
      </c>
      <c r="J64" s="116">
        <v>850</v>
      </c>
      <c r="K64" s="32">
        <f t="shared" si="88"/>
        <v>573</v>
      </c>
      <c r="L64" s="116">
        <v>1342</v>
      </c>
      <c r="M64" s="116">
        <v>852</v>
      </c>
      <c r="N64" s="116">
        <v>1342</v>
      </c>
      <c r="O64" s="32">
        <f t="shared" si="89"/>
        <v>1004</v>
      </c>
      <c r="P64" s="116">
        <v>1873</v>
      </c>
      <c r="Q64" s="116">
        <v>1764</v>
      </c>
      <c r="R64" s="116">
        <v>2159</v>
      </c>
      <c r="S64" s="32">
        <f t="shared" si="90"/>
        <v>47</v>
      </c>
      <c r="T64" s="116"/>
      <c r="U64" s="92">
        <f t="shared" si="91"/>
        <v>573</v>
      </c>
      <c r="V64" s="92">
        <f t="shared" si="92"/>
        <v>1342</v>
      </c>
      <c r="W64" s="92">
        <f t="shared" si="93"/>
        <v>852</v>
      </c>
      <c r="X64" s="92">
        <f t="shared" si="94"/>
        <v>1342</v>
      </c>
      <c r="Y64" s="92">
        <f t="shared" si="95"/>
        <v>1004</v>
      </c>
      <c r="Z64" s="92">
        <f t="shared" si="96"/>
        <v>1873</v>
      </c>
      <c r="AA64" s="92">
        <f t="shared" si="97"/>
        <v>1764</v>
      </c>
      <c r="AB64" s="92">
        <f t="shared" si="98"/>
        <v>2159</v>
      </c>
      <c r="AC64" s="92">
        <f t="shared" si="99"/>
        <v>47</v>
      </c>
      <c r="AD64" s="42"/>
      <c r="AE64" s="73">
        <f t="shared" si="100"/>
        <v>-0.95318725099601598</v>
      </c>
    </row>
    <row r="65" spans="1:31" ht="12.75" customHeight="1">
      <c r="B65" s="115" t="s">
        <v>150</v>
      </c>
      <c r="C65" s="116">
        <v>0</v>
      </c>
      <c r="D65" s="116">
        <v>9864</v>
      </c>
      <c r="E65" s="116">
        <v>40839</v>
      </c>
      <c r="F65" s="116">
        <v>74376</v>
      </c>
      <c r="G65" s="52"/>
      <c r="H65" s="116"/>
      <c r="I65" s="116">
        <v>0</v>
      </c>
      <c r="J65" s="116"/>
      <c r="K65" s="32">
        <f t="shared" si="88"/>
        <v>9864</v>
      </c>
      <c r="L65" s="116">
        <v>19741</v>
      </c>
      <c r="M65" s="116">
        <v>29926</v>
      </c>
      <c r="N65" s="116">
        <v>30474</v>
      </c>
      <c r="O65" s="32">
        <f t="shared" si="89"/>
        <v>40839</v>
      </c>
      <c r="P65" s="116">
        <v>51324</v>
      </c>
      <c r="Q65" s="116">
        <v>62046</v>
      </c>
      <c r="R65" s="116">
        <v>72942</v>
      </c>
      <c r="S65" s="32">
        <f t="shared" si="90"/>
        <v>74376</v>
      </c>
      <c r="T65" s="116"/>
      <c r="U65" s="92">
        <f t="shared" si="91"/>
        <v>9864</v>
      </c>
      <c r="V65" s="92">
        <f t="shared" si="92"/>
        <v>19741</v>
      </c>
      <c r="W65" s="92">
        <f t="shared" si="93"/>
        <v>29926</v>
      </c>
      <c r="X65" s="92">
        <f t="shared" si="94"/>
        <v>30474</v>
      </c>
      <c r="Y65" s="92">
        <f t="shared" si="95"/>
        <v>40839</v>
      </c>
      <c r="Z65" s="92">
        <f t="shared" si="96"/>
        <v>51324</v>
      </c>
      <c r="AA65" s="92">
        <f t="shared" si="97"/>
        <v>62046</v>
      </c>
      <c r="AB65" s="92">
        <f t="shared" si="98"/>
        <v>72942</v>
      </c>
      <c r="AC65" s="92">
        <f t="shared" si="99"/>
        <v>74376</v>
      </c>
      <c r="AD65" s="42"/>
      <c r="AE65" s="73">
        <f t="shared" si="100"/>
        <v>0.821200323220451</v>
      </c>
    </row>
    <row r="66" spans="1:31" ht="12.75" customHeight="1">
      <c r="B66" s="115" t="s">
        <v>139</v>
      </c>
      <c r="C66" s="116">
        <v>0</v>
      </c>
      <c r="D66" s="116">
        <v>66</v>
      </c>
      <c r="E66" s="116">
        <v>20</v>
      </c>
      <c r="F66" s="116">
        <v>0</v>
      </c>
      <c r="G66" s="52"/>
      <c r="H66" s="116">
        <v>97</v>
      </c>
      <c r="I66" s="116">
        <v>87</v>
      </c>
      <c r="J66" s="116">
        <v>77</v>
      </c>
      <c r="K66" s="32">
        <f t="shared" si="88"/>
        <v>66</v>
      </c>
      <c r="L66" s="116">
        <v>55</v>
      </c>
      <c r="M66" s="116">
        <v>44</v>
      </c>
      <c r="N66" s="116">
        <v>32</v>
      </c>
      <c r="O66" s="32">
        <f t="shared" si="89"/>
        <v>20</v>
      </c>
      <c r="P66" s="116">
        <v>7</v>
      </c>
      <c r="Q66" s="116">
        <v>0</v>
      </c>
      <c r="R66" s="116" t="s">
        <v>141</v>
      </c>
      <c r="S66" s="32">
        <f t="shared" si="90"/>
        <v>0</v>
      </c>
      <c r="T66" s="116"/>
      <c r="U66" s="92">
        <f t="shared" si="91"/>
        <v>66</v>
      </c>
      <c r="V66" s="92">
        <f t="shared" si="92"/>
        <v>55</v>
      </c>
      <c r="W66" s="92">
        <f t="shared" si="93"/>
        <v>44</v>
      </c>
      <c r="X66" s="92">
        <f t="shared" si="94"/>
        <v>32</v>
      </c>
      <c r="Y66" s="92">
        <f t="shared" si="95"/>
        <v>20</v>
      </c>
      <c r="Z66" s="92">
        <f t="shared" si="96"/>
        <v>7</v>
      </c>
      <c r="AA66" s="92">
        <f t="shared" si="97"/>
        <v>0</v>
      </c>
      <c r="AB66" s="92" t="str">
        <f t="shared" si="98"/>
        <v>-</v>
      </c>
      <c r="AC66" s="92">
        <f t="shared" si="99"/>
        <v>0</v>
      </c>
      <c r="AD66" s="42"/>
      <c r="AE66" s="73">
        <f t="shared" si="100"/>
        <v>-1</v>
      </c>
    </row>
    <row r="67" spans="1:31" ht="12.75" customHeight="1">
      <c r="B67" s="13" t="s">
        <v>17</v>
      </c>
      <c r="C67" s="14">
        <f>SUM(C63:C66)+C60</f>
        <v>39211</v>
      </c>
      <c r="D67" s="14">
        <f>SUM(D63:D66)+D60</f>
        <v>53479</v>
      </c>
      <c r="E67" s="14">
        <f>SUM(E63:E66)+E60</f>
        <v>88441</v>
      </c>
      <c r="F67" s="14">
        <f>SUM(F63:F66)+F60</f>
        <v>120565</v>
      </c>
      <c r="H67" s="14">
        <f>SUM(H63:H66)+H60</f>
        <v>39808</v>
      </c>
      <c r="I67" s="14">
        <f>SUM(I63:I66)+I60</f>
        <v>41109</v>
      </c>
      <c r="J67" s="14">
        <f>SUM(J63:J66)+J60</f>
        <v>40249</v>
      </c>
      <c r="K67" s="14">
        <f>SUM(K63:K66)+K60</f>
        <v>53479</v>
      </c>
      <c r="L67" s="14">
        <f>SUM(L63:L66)+L60</f>
        <v>62871</v>
      </c>
      <c r="M67" s="14">
        <f>SUM(M63:M66)+M60</f>
        <v>71208</v>
      </c>
      <c r="N67" s="14">
        <f>SUM(N63:N66)+N60</f>
        <v>73036</v>
      </c>
      <c r="O67" s="14">
        <f>SUM(O63:O66)+O60</f>
        <v>88441</v>
      </c>
      <c r="P67" s="14">
        <f>SUM(P63:P66)+P60</f>
        <v>96976</v>
      </c>
      <c r="Q67" s="14">
        <f>SUM(Q63:Q66)+Q60</f>
        <v>109802</v>
      </c>
      <c r="R67" s="14">
        <f>SUM(R63:R66)+R60</f>
        <v>121453</v>
      </c>
      <c r="S67" s="14">
        <f>SUM(S63:S66)+S60</f>
        <v>120565</v>
      </c>
      <c r="U67" s="14">
        <f>SUM(U63:U66)+U60</f>
        <v>53479</v>
      </c>
      <c r="V67" s="14">
        <f>SUM(V63:V66)+V60</f>
        <v>62871</v>
      </c>
      <c r="W67" s="14">
        <f>SUM(W63:W66)+W60</f>
        <v>71208</v>
      </c>
      <c r="X67" s="14">
        <f>SUM(X63:X66)+X60</f>
        <v>73036</v>
      </c>
      <c r="Y67" s="14">
        <f>SUM(Y63:Y66)+Y60</f>
        <v>88441</v>
      </c>
      <c r="Z67" s="14">
        <f>SUM(Z63:Z66)+Z60</f>
        <v>96976</v>
      </c>
      <c r="AA67" s="14">
        <f>SUM(AA63:AA66)+AA60</f>
        <v>109802</v>
      </c>
      <c r="AB67" s="14">
        <f>SUM(AB63:AB66)+AB60</f>
        <v>121453</v>
      </c>
      <c r="AC67" s="14">
        <f>SUM(AC63:AC66)+AC60</f>
        <v>120565</v>
      </c>
      <c r="AD67" s="42"/>
      <c r="AE67" s="74">
        <f t="shared" ref="AE67:AE74" si="101">SUM(AC67/Y67)-1</f>
        <v>0.36322520098144517</v>
      </c>
    </row>
    <row r="68" spans="1:31" ht="5.0999999999999996" customHeight="1">
      <c r="B68" s="25"/>
      <c r="C68" s="50"/>
      <c r="D68" s="50"/>
      <c r="E68" s="41"/>
      <c r="F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39"/>
    </row>
    <row r="69" spans="1:31" ht="12.75" customHeight="1">
      <c r="B69" s="9" t="s">
        <v>140</v>
      </c>
      <c r="C69" s="77">
        <f>527+1723</f>
        <v>2250</v>
      </c>
      <c r="D69" s="77">
        <f>510+1723</f>
        <v>2233</v>
      </c>
      <c r="E69" s="77">
        <f>500+1723</f>
        <v>2223</v>
      </c>
      <c r="F69" s="77">
        <f>1723+500</f>
        <v>2223</v>
      </c>
      <c r="G69" s="32"/>
      <c r="H69" s="116">
        <f>1723+527</f>
        <v>2250</v>
      </c>
      <c r="I69" s="116">
        <f>1723+510</f>
        <v>2233</v>
      </c>
      <c r="J69" s="116">
        <f>1723+510</f>
        <v>2233</v>
      </c>
      <c r="K69" s="32">
        <f t="shared" ref="K69:K72" si="102">D69</f>
        <v>2233</v>
      </c>
      <c r="L69" s="116">
        <f>1723+510</f>
        <v>2233</v>
      </c>
      <c r="M69" s="116">
        <f>1723+510</f>
        <v>2233</v>
      </c>
      <c r="N69" s="116">
        <f>1723+510</f>
        <v>2233</v>
      </c>
      <c r="O69" s="32">
        <f t="shared" ref="O69:O72" si="103">E69</f>
        <v>2223</v>
      </c>
      <c r="P69" s="116">
        <f>1723+500</f>
        <v>2223</v>
      </c>
      <c r="Q69" s="116">
        <f>1723+500</f>
        <v>2223</v>
      </c>
      <c r="R69" s="116">
        <f>1723+500</f>
        <v>2223</v>
      </c>
      <c r="S69" s="32">
        <f t="shared" ref="S69:S72" si="104">F69</f>
        <v>2223</v>
      </c>
      <c r="U69" s="92">
        <f t="shared" ref="U69:U72" si="105">K69</f>
        <v>2233</v>
      </c>
      <c r="V69" s="92">
        <f t="shared" ref="V69:V72" si="106">L69</f>
        <v>2233</v>
      </c>
      <c r="W69" s="92">
        <f t="shared" ref="W69:W72" si="107">M69</f>
        <v>2233</v>
      </c>
      <c r="X69" s="92">
        <f t="shared" ref="X69:X72" si="108">N69</f>
        <v>2233</v>
      </c>
      <c r="Y69" s="92">
        <f t="shared" ref="Y69:Y72" si="109">O69</f>
        <v>2223</v>
      </c>
      <c r="Z69" s="92">
        <f t="shared" ref="Z69:Z72" si="110">P69</f>
        <v>2223</v>
      </c>
      <c r="AA69" s="92">
        <f t="shared" ref="AA69:AA72" si="111">Q69</f>
        <v>2223</v>
      </c>
      <c r="AB69" s="92">
        <f t="shared" ref="AB69:AB72" si="112">R69</f>
        <v>2223</v>
      </c>
      <c r="AC69" s="92">
        <f t="shared" ref="AC69:AC72" si="113">S69</f>
        <v>2223</v>
      </c>
      <c r="AD69" s="11"/>
      <c r="AE69" s="73">
        <f t="shared" si="101"/>
        <v>0</v>
      </c>
    </row>
    <row r="70" spans="1:31" ht="12.75" customHeight="1">
      <c r="B70" s="9" t="s">
        <v>113</v>
      </c>
      <c r="C70" s="77">
        <v>59</v>
      </c>
      <c r="D70" s="77">
        <v>59</v>
      </c>
      <c r="E70" s="77">
        <v>61</v>
      </c>
      <c r="F70" s="77">
        <v>62</v>
      </c>
      <c r="G70" s="32"/>
      <c r="H70" s="116">
        <v>59</v>
      </c>
      <c r="I70" s="116">
        <v>59</v>
      </c>
      <c r="J70" s="116">
        <v>59</v>
      </c>
      <c r="K70" s="32">
        <f t="shared" si="102"/>
        <v>59</v>
      </c>
      <c r="L70" s="116">
        <v>59</v>
      </c>
      <c r="M70" s="116">
        <v>59</v>
      </c>
      <c r="N70" s="116">
        <v>61</v>
      </c>
      <c r="O70" s="32">
        <f t="shared" si="103"/>
        <v>61</v>
      </c>
      <c r="P70" s="116">
        <v>61</v>
      </c>
      <c r="Q70" s="116">
        <v>62</v>
      </c>
      <c r="R70" s="116">
        <v>62</v>
      </c>
      <c r="S70" s="32">
        <f t="shared" si="104"/>
        <v>62</v>
      </c>
      <c r="U70" s="92">
        <f t="shared" si="105"/>
        <v>59</v>
      </c>
      <c r="V70" s="92">
        <f t="shared" si="106"/>
        <v>59</v>
      </c>
      <c r="W70" s="92">
        <f t="shared" si="107"/>
        <v>59</v>
      </c>
      <c r="X70" s="92">
        <f t="shared" si="108"/>
        <v>61</v>
      </c>
      <c r="Y70" s="92">
        <f t="shared" si="109"/>
        <v>61</v>
      </c>
      <c r="Z70" s="92">
        <f t="shared" si="110"/>
        <v>61</v>
      </c>
      <c r="AA70" s="92">
        <f t="shared" si="111"/>
        <v>62</v>
      </c>
      <c r="AB70" s="92">
        <f t="shared" si="112"/>
        <v>62</v>
      </c>
      <c r="AC70" s="92">
        <f t="shared" si="113"/>
        <v>62</v>
      </c>
      <c r="AD70" s="11"/>
      <c r="AE70" s="73">
        <f t="shared" si="101"/>
        <v>1.6393442622950838E-2</v>
      </c>
    </row>
    <row r="71" spans="1:31" ht="12.75" customHeight="1">
      <c r="B71" s="9" t="s">
        <v>114</v>
      </c>
      <c r="C71" s="77">
        <v>271001</v>
      </c>
      <c r="D71" s="77">
        <v>275081</v>
      </c>
      <c r="E71" s="77">
        <v>291847</v>
      </c>
      <c r="F71" s="77">
        <v>296217</v>
      </c>
      <c r="G71" s="32"/>
      <c r="H71" s="116">
        <v>272108</v>
      </c>
      <c r="I71" s="116">
        <v>272772</v>
      </c>
      <c r="J71" s="116">
        <v>274241</v>
      </c>
      <c r="K71" s="32">
        <f t="shared" si="102"/>
        <v>275081</v>
      </c>
      <c r="L71" s="116">
        <v>276156</v>
      </c>
      <c r="M71" s="116">
        <v>276852</v>
      </c>
      <c r="N71" s="116">
        <v>291145</v>
      </c>
      <c r="O71" s="32">
        <f t="shared" si="103"/>
        <v>291847</v>
      </c>
      <c r="P71" s="116">
        <v>292499</v>
      </c>
      <c r="Q71" s="116">
        <v>293872</v>
      </c>
      <c r="R71" s="116">
        <v>294776</v>
      </c>
      <c r="S71" s="32">
        <f t="shared" si="104"/>
        <v>296217</v>
      </c>
      <c r="U71" s="92">
        <f t="shared" si="105"/>
        <v>275081</v>
      </c>
      <c r="V71" s="92">
        <f t="shared" si="106"/>
        <v>276156</v>
      </c>
      <c r="W71" s="92">
        <f t="shared" si="107"/>
        <v>276852</v>
      </c>
      <c r="X71" s="92">
        <f t="shared" si="108"/>
        <v>291145</v>
      </c>
      <c r="Y71" s="92">
        <f t="shared" si="109"/>
        <v>291847</v>
      </c>
      <c r="Z71" s="92">
        <f t="shared" si="110"/>
        <v>292499</v>
      </c>
      <c r="AA71" s="92">
        <f t="shared" si="111"/>
        <v>293872</v>
      </c>
      <c r="AB71" s="92">
        <f t="shared" si="112"/>
        <v>294776</v>
      </c>
      <c r="AC71" s="92">
        <f t="shared" si="113"/>
        <v>296217</v>
      </c>
      <c r="AD71" s="11"/>
      <c r="AE71" s="73">
        <f t="shared" si="101"/>
        <v>1.4973599180392538E-2</v>
      </c>
    </row>
    <row r="72" spans="1:31" ht="12.75" customHeight="1">
      <c r="B72" s="9" t="s">
        <v>115</v>
      </c>
      <c r="C72" s="77">
        <v>-270694</v>
      </c>
      <c r="D72" s="77">
        <v>-309567</v>
      </c>
      <c r="E72" s="77">
        <v>-354372</v>
      </c>
      <c r="F72" s="77">
        <v>-401572</v>
      </c>
      <c r="G72" s="32"/>
      <c r="H72" s="116">
        <v>-280610</v>
      </c>
      <c r="I72" s="116">
        <v>-290287</v>
      </c>
      <c r="J72" s="116">
        <v>-298868</v>
      </c>
      <c r="K72" s="32">
        <f t="shared" si="102"/>
        <v>-309567</v>
      </c>
      <c r="L72" s="116">
        <v>-321094</v>
      </c>
      <c r="M72" s="116">
        <v>-330271</v>
      </c>
      <c r="N72" s="116">
        <v>-344312</v>
      </c>
      <c r="O72" s="32">
        <f t="shared" si="103"/>
        <v>-354372</v>
      </c>
      <c r="P72" s="116">
        <v>-365869</v>
      </c>
      <c r="Q72" s="116">
        <v>-378304</v>
      </c>
      <c r="R72" s="116">
        <v>-389542</v>
      </c>
      <c r="S72" s="32">
        <f t="shared" si="104"/>
        <v>-401572</v>
      </c>
      <c r="U72" s="92">
        <f t="shared" si="105"/>
        <v>-309567</v>
      </c>
      <c r="V72" s="92">
        <f t="shared" si="106"/>
        <v>-321094</v>
      </c>
      <c r="W72" s="92">
        <f t="shared" si="107"/>
        <v>-330271</v>
      </c>
      <c r="X72" s="92">
        <f t="shared" si="108"/>
        <v>-344312</v>
      </c>
      <c r="Y72" s="92">
        <f t="shared" si="109"/>
        <v>-354372</v>
      </c>
      <c r="Z72" s="92">
        <f t="shared" si="110"/>
        <v>-365869</v>
      </c>
      <c r="AA72" s="92">
        <f t="shared" si="111"/>
        <v>-378304</v>
      </c>
      <c r="AB72" s="92">
        <f t="shared" si="112"/>
        <v>-389542</v>
      </c>
      <c r="AC72" s="92">
        <f t="shared" si="113"/>
        <v>-401572</v>
      </c>
      <c r="AD72" s="11"/>
      <c r="AE72" s="73">
        <f t="shared" si="101"/>
        <v>0.13319336742180532</v>
      </c>
    </row>
    <row r="73" spans="1:31" ht="12.75" customHeight="1">
      <c r="B73" s="13" t="s">
        <v>16</v>
      </c>
      <c r="C73" s="14">
        <f>SUM(C69:C72)</f>
        <v>2616</v>
      </c>
      <c r="D73" s="14">
        <f>SUM(D69:D72)</f>
        <v>-32194</v>
      </c>
      <c r="E73" s="14">
        <f>SUM(E69:E72)</f>
        <v>-60241</v>
      </c>
      <c r="F73" s="14">
        <f>SUM(F69:F72)</f>
        <v>-103070</v>
      </c>
      <c r="G73" s="53"/>
      <c r="H73" s="14">
        <f>SUM(H69:H72)</f>
        <v>-6193</v>
      </c>
      <c r="I73" s="14">
        <f>SUM(I69:I72)</f>
        <v>-15223</v>
      </c>
      <c r="J73" s="14">
        <f>SUM(J69:J72)</f>
        <v>-22335</v>
      </c>
      <c r="K73" s="14">
        <f>SUM(K69:K72)</f>
        <v>-32194</v>
      </c>
      <c r="L73" s="14">
        <f>SUM(L69:L72)</f>
        <v>-42646</v>
      </c>
      <c r="M73" s="14">
        <f>SUM(M69:M72)</f>
        <v>-51127</v>
      </c>
      <c r="N73" s="14">
        <f>SUM(N69:N72)</f>
        <v>-50873</v>
      </c>
      <c r="O73" s="14">
        <f>SUM(O69:O72)</f>
        <v>-60241</v>
      </c>
      <c r="P73" s="14">
        <f>SUM(P69:P72)</f>
        <v>-71086</v>
      </c>
      <c r="Q73" s="14">
        <f>SUM(Q69:Q72)</f>
        <v>-82147</v>
      </c>
      <c r="R73" s="14">
        <f>SUM(R69:R72)</f>
        <v>-92481</v>
      </c>
      <c r="S73" s="14">
        <f>SUM(S69:S72)</f>
        <v>-103070</v>
      </c>
      <c r="U73" s="14">
        <f>SUM(U69:U72)</f>
        <v>-32194</v>
      </c>
      <c r="V73" s="14">
        <f>SUM(V69:V72)</f>
        <v>-42646</v>
      </c>
      <c r="W73" s="14">
        <f>SUM(W69:W72)</f>
        <v>-51127</v>
      </c>
      <c r="X73" s="14">
        <f>SUM(X69:X72)</f>
        <v>-50873</v>
      </c>
      <c r="Y73" s="14">
        <f>SUM(Y69:Y72)</f>
        <v>-60241</v>
      </c>
      <c r="Z73" s="14">
        <f>SUM(Z69:Z72)</f>
        <v>-71086</v>
      </c>
      <c r="AA73" s="14">
        <f>SUM(AA69:AA72)</f>
        <v>-82147</v>
      </c>
      <c r="AB73" s="14">
        <f>SUM(AB69:AB72)</f>
        <v>-92481</v>
      </c>
      <c r="AC73" s="14">
        <f>SUM(AC69:AC72)</f>
        <v>-103070</v>
      </c>
      <c r="AD73" s="42"/>
      <c r="AE73" s="73">
        <f t="shared" si="101"/>
        <v>0.71096097342341591</v>
      </c>
    </row>
    <row r="74" spans="1:31" ht="12.75" customHeight="1">
      <c r="B74" s="25" t="s">
        <v>49</v>
      </c>
      <c r="C74" s="32">
        <f>SUM(C73+C67)</f>
        <v>41827</v>
      </c>
      <c r="D74" s="32">
        <f>SUM(D73+D67)</f>
        <v>21285</v>
      </c>
      <c r="E74" s="32">
        <f>SUM(E73+E67)</f>
        <v>28200</v>
      </c>
      <c r="F74" s="32">
        <f>SUM(F73+F67)</f>
        <v>17495</v>
      </c>
      <c r="G74" s="32"/>
      <c r="H74" s="32">
        <f>SUM(H73+H67)</f>
        <v>33615</v>
      </c>
      <c r="I74" s="32">
        <f>SUM(I73+I67)</f>
        <v>25886</v>
      </c>
      <c r="J74" s="32">
        <f>SUM(J73+J67)</f>
        <v>17914</v>
      </c>
      <c r="K74" s="32">
        <f>SUM(K73+K67)</f>
        <v>21285</v>
      </c>
      <c r="L74" s="32">
        <f>SUM(L73+L67)</f>
        <v>20225</v>
      </c>
      <c r="M74" s="32">
        <f>SUM(M73+M67)</f>
        <v>20081</v>
      </c>
      <c r="N74" s="32">
        <f>SUM(N73+N67)</f>
        <v>22163</v>
      </c>
      <c r="O74" s="32">
        <f>SUM(O73+O67)</f>
        <v>28200</v>
      </c>
      <c r="P74" s="32">
        <f>SUM(P73+P67)</f>
        <v>25890</v>
      </c>
      <c r="Q74" s="32">
        <f>SUM(Q73+Q67)</f>
        <v>27655</v>
      </c>
      <c r="R74" s="32">
        <f>SUM(R73+R67)</f>
        <v>28972</v>
      </c>
      <c r="S74" s="32">
        <f>SUM(S73+S67)</f>
        <v>17495</v>
      </c>
      <c r="T74" s="32"/>
      <c r="U74" s="32">
        <f>SUM(U73+U67)</f>
        <v>21285</v>
      </c>
      <c r="V74" s="32">
        <f>SUM(V73+V67)</f>
        <v>20225</v>
      </c>
      <c r="W74" s="32">
        <f>SUM(W73+W67)</f>
        <v>20081</v>
      </c>
      <c r="X74" s="32">
        <f>SUM(X73+X67)</f>
        <v>22163</v>
      </c>
      <c r="Y74" s="32">
        <f>SUM(Y73+Y67)</f>
        <v>28200</v>
      </c>
      <c r="Z74" s="32">
        <f>SUM(Z73+Z67)</f>
        <v>25890</v>
      </c>
      <c r="AA74" s="32">
        <f>SUM(AA73+AA67)</f>
        <v>27655</v>
      </c>
      <c r="AB74" s="32">
        <f>SUM(AB73+AB67)</f>
        <v>28972</v>
      </c>
      <c r="AC74" s="32">
        <f>SUM(AC73+AC67)</f>
        <v>17495</v>
      </c>
      <c r="AD74" s="11"/>
      <c r="AE74" s="74">
        <f t="shared" si="101"/>
        <v>-0.37960992907801416</v>
      </c>
    </row>
    <row r="75" spans="1:31" ht="5.0999999999999996" customHeight="1">
      <c r="B75" s="25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11"/>
    </row>
    <row r="76" spans="1:31" ht="12.75" customHeight="1">
      <c r="B76" s="134" t="s">
        <v>59</v>
      </c>
      <c r="C76" s="68">
        <f>C74-C52</f>
        <v>0</v>
      </c>
      <c r="D76" s="68">
        <f>D74-D52</f>
        <v>0</v>
      </c>
      <c r="E76" s="68">
        <f>E74-E52</f>
        <v>0</v>
      </c>
      <c r="F76" s="68">
        <f>F74-F52</f>
        <v>0</v>
      </c>
      <c r="G76" s="69"/>
      <c r="H76" s="68">
        <f>H74-H52</f>
        <v>0</v>
      </c>
      <c r="I76" s="68">
        <f>I74-I52</f>
        <v>0</v>
      </c>
      <c r="J76" s="68">
        <f>J74-J52</f>
        <v>0</v>
      </c>
      <c r="K76" s="68">
        <f>K74-K52</f>
        <v>0</v>
      </c>
      <c r="L76" s="68">
        <f>L74-L52</f>
        <v>0</v>
      </c>
      <c r="M76" s="68">
        <f>M74-M52</f>
        <v>0</v>
      </c>
      <c r="N76" s="68">
        <f>N74-N52</f>
        <v>0</v>
      </c>
      <c r="O76" s="68">
        <f>O74-O52</f>
        <v>0</v>
      </c>
      <c r="P76" s="68">
        <f>P74-P52</f>
        <v>0</v>
      </c>
      <c r="Q76" s="68">
        <f>Q74-Q52</f>
        <v>0</v>
      </c>
      <c r="R76" s="68">
        <f>R74-R52</f>
        <v>0</v>
      </c>
      <c r="S76" s="68">
        <f>S74-S52</f>
        <v>0</v>
      </c>
      <c r="T76" s="28"/>
      <c r="U76" s="68">
        <f>U74-U52</f>
        <v>0</v>
      </c>
      <c r="V76" s="68">
        <f>V74-V52</f>
        <v>0</v>
      </c>
      <c r="W76" s="68">
        <f>W74-W52</f>
        <v>0</v>
      </c>
      <c r="X76" s="68">
        <f>X74-X52</f>
        <v>0</v>
      </c>
      <c r="Y76" s="68">
        <f t="shared" ref="Y76:AC76" si="114">Y74-Y52</f>
        <v>0</v>
      </c>
      <c r="Z76" s="68">
        <f t="shared" si="114"/>
        <v>0</v>
      </c>
      <c r="AA76" s="68">
        <f t="shared" si="114"/>
        <v>0</v>
      </c>
      <c r="AB76" s="68">
        <f t="shared" si="114"/>
        <v>0</v>
      </c>
      <c r="AC76" s="68">
        <f t="shared" si="114"/>
        <v>0</v>
      </c>
    </row>
    <row r="77" spans="1:31" ht="5.0999999999999996" customHeight="1" thickBot="1">
      <c r="B77" s="111"/>
      <c r="C77" s="112"/>
      <c r="D77" s="112"/>
      <c r="E77" s="112"/>
      <c r="F77" s="112"/>
      <c r="G77" s="113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4"/>
      <c r="U77" s="112"/>
      <c r="V77" s="112"/>
      <c r="W77" s="112"/>
      <c r="X77" s="112"/>
      <c r="Y77" s="112"/>
      <c r="Z77" s="112"/>
      <c r="AA77" s="112"/>
      <c r="AB77" s="112"/>
      <c r="AC77" s="112"/>
      <c r="AD77" s="71"/>
      <c r="AE77" s="71"/>
    </row>
    <row r="78" spans="1:31">
      <c r="B78" s="67"/>
      <c r="C78" s="24"/>
      <c r="D78" s="24"/>
      <c r="E78" s="24"/>
      <c r="F78" s="24"/>
      <c r="G78" s="54"/>
    </row>
    <row r="79" spans="1:31" ht="12.75" customHeight="1">
      <c r="A79" s="5" t="s">
        <v>18</v>
      </c>
      <c r="B79" s="93" t="s">
        <v>15</v>
      </c>
      <c r="C79" s="97" t="s">
        <v>0</v>
      </c>
      <c r="D79" s="97" t="s">
        <v>0</v>
      </c>
      <c r="E79" s="97"/>
      <c r="F79" s="97"/>
      <c r="G79" s="98"/>
      <c r="H79" s="97" t="s">
        <v>1</v>
      </c>
      <c r="I79" s="97"/>
      <c r="J79" s="97"/>
      <c r="K79" s="97"/>
      <c r="L79" s="97" t="s">
        <v>1</v>
      </c>
      <c r="M79" s="97"/>
      <c r="N79" s="97"/>
      <c r="O79" s="97"/>
      <c r="P79" s="97"/>
      <c r="Q79" s="97"/>
      <c r="R79" s="97" t="s">
        <v>1</v>
      </c>
      <c r="S79" s="97"/>
      <c r="T79" s="93"/>
      <c r="U79" s="97"/>
      <c r="V79" s="97"/>
      <c r="W79" s="97"/>
      <c r="X79" s="97" t="s">
        <v>10</v>
      </c>
      <c r="Y79" s="97" t="s">
        <v>10</v>
      </c>
      <c r="Z79" s="97"/>
      <c r="AA79" s="97"/>
      <c r="AB79" s="97"/>
      <c r="AC79" s="97"/>
      <c r="AD79" s="98"/>
      <c r="AE79" s="143" t="s">
        <v>24</v>
      </c>
    </row>
    <row r="80" spans="1:31" ht="12.75" customHeight="1">
      <c r="B80" s="94" t="str">
        <f>B7</f>
        <v>Fiscal Period</v>
      </c>
      <c r="C80" s="99">
        <f>C7</f>
        <v>2021</v>
      </c>
      <c r="D80" s="99">
        <f>D7</f>
        <v>2022</v>
      </c>
      <c r="E80" s="99">
        <f>E7</f>
        <v>2023</v>
      </c>
      <c r="F80" s="99">
        <f>F7</f>
        <v>2024</v>
      </c>
      <c r="G80" s="98"/>
      <c r="H80" s="99" t="str">
        <f>H7</f>
        <v>1Q22</v>
      </c>
      <c r="I80" s="99" t="str">
        <f>I7</f>
        <v>2Q22</v>
      </c>
      <c r="J80" s="99" t="str">
        <f>J7</f>
        <v>3Q22</v>
      </c>
      <c r="K80" s="99" t="str">
        <f>K7</f>
        <v>4Q22</v>
      </c>
      <c r="L80" s="99" t="str">
        <f>L7</f>
        <v>1Q23</v>
      </c>
      <c r="M80" s="99" t="str">
        <f>M7</f>
        <v>2Q23</v>
      </c>
      <c r="N80" s="99" t="str">
        <f>N7</f>
        <v>3Q23</v>
      </c>
      <c r="O80" s="99" t="str">
        <f>O7</f>
        <v>4Q23</v>
      </c>
      <c r="P80" s="99" t="str">
        <f>P7</f>
        <v>1Q24</v>
      </c>
      <c r="Q80" s="99" t="str">
        <f>Q7</f>
        <v>2Q24</v>
      </c>
      <c r="R80" s="99" t="str">
        <f>R7</f>
        <v>3Q24</v>
      </c>
      <c r="S80" s="99" t="str">
        <f>S7</f>
        <v>4Q24</v>
      </c>
      <c r="T80" s="99"/>
      <c r="U80" s="99" t="str">
        <f>U7</f>
        <v>4Q22</v>
      </c>
      <c r="V80" s="99" t="str">
        <f>V7</f>
        <v>1Q23</v>
      </c>
      <c r="W80" s="99" t="str">
        <f>W7</f>
        <v>2Q23</v>
      </c>
      <c r="X80" s="99" t="str">
        <f>X7</f>
        <v>3Q23</v>
      </c>
      <c r="Y80" s="99" t="str">
        <f>Y7</f>
        <v>4Q23</v>
      </c>
      <c r="Z80" s="99" t="str">
        <f>Z7</f>
        <v>1Q24</v>
      </c>
      <c r="AA80" s="99" t="str">
        <f>AA7</f>
        <v>2Q24</v>
      </c>
      <c r="AB80" s="99" t="str">
        <f>AB7</f>
        <v>3Q24</v>
      </c>
      <c r="AC80" s="99" t="str">
        <f>AC7</f>
        <v>4Q24</v>
      </c>
      <c r="AD80" s="98"/>
      <c r="AE80" s="143"/>
    </row>
    <row r="81" spans="2:31" ht="12.75" customHeight="1">
      <c r="B81" s="94" t="str">
        <f>B8</f>
        <v>Fiscal Period End Date</v>
      </c>
      <c r="C81" s="100">
        <f>C8</f>
        <v>44561</v>
      </c>
      <c r="D81" s="100">
        <f>D8</f>
        <v>44926</v>
      </c>
      <c r="E81" s="100">
        <f>E8</f>
        <v>45291</v>
      </c>
      <c r="F81" s="100">
        <f>F8</f>
        <v>45657</v>
      </c>
      <c r="G81" s="98"/>
      <c r="H81" s="100">
        <f>H8</f>
        <v>44651</v>
      </c>
      <c r="I81" s="100">
        <f>I8</f>
        <v>44742</v>
      </c>
      <c r="J81" s="100">
        <f>J8</f>
        <v>44834</v>
      </c>
      <c r="K81" s="100">
        <f>K8</f>
        <v>44926</v>
      </c>
      <c r="L81" s="100">
        <f>L8</f>
        <v>45016</v>
      </c>
      <c r="M81" s="100">
        <f>M8</f>
        <v>45107</v>
      </c>
      <c r="N81" s="100">
        <f>N8</f>
        <v>45199</v>
      </c>
      <c r="O81" s="100">
        <f>O8</f>
        <v>45291</v>
      </c>
      <c r="P81" s="100">
        <f>P8</f>
        <v>45382</v>
      </c>
      <c r="Q81" s="100">
        <f>Q8</f>
        <v>45473</v>
      </c>
      <c r="R81" s="100">
        <f>R8</f>
        <v>45565</v>
      </c>
      <c r="S81" s="100">
        <f>S8</f>
        <v>45657</v>
      </c>
      <c r="T81" s="100"/>
      <c r="U81" s="100">
        <f>U8</f>
        <v>44926</v>
      </c>
      <c r="V81" s="100">
        <f>V8</f>
        <v>45016</v>
      </c>
      <c r="W81" s="100">
        <f>W8</f>
        <v>45107</v>
      </c>
      <c r="X81" s="100">
        <f>X8</f>
        <v>45199</v>
      </c>
      <c r="Y81" s="100">
        <f>Y8</f>
        <v>45291</v>
      </c>
      <c r="Z81" s="100">
        <f>Z8</f>
        <v>45382</v>
      </c>
      <c r="AA81" s="100">
        <f>AA8</f>
        <v>45473</v>
      </c>
      <c r="AB81" s="100">
        <f>AB8</f>
        <v>45565</v>
      </c>
      <c r="AC81" s="100">
        <f>AC8</f>
        <v>45657</v>
      </c>
      <c r="AD81" s="98"/>
      <c r="AE81" s="143"/>
    </row>
    <row r="82" spans="2:31" ht="5.0999999999999996" customHeight="1">
      <c r="B82" s="55"/>
      <c r="C82" s="48"/>
      <c r="D82" s="48"/>
      <c r="E82" s="48"/>
      <c r="F82" s="48"/>
    </row>
    <row r="83" spans="2:31" ht="12.75" customHeight="1">
      <c r="B83" s="56" t="s">
        <v>50</v>
      </c>
      <c r="C83" s="57"/>
      <c r="D83" s="57"/>
      <c r="E83" s="57"/>
      <c r="F83" s="57"/>
    </row>
    <row r="84" spans="2:31" ht="12.75" customHeight="1">
      <c r="B84" s="58" t="s">
        <v>51</v>
      </c>
      <c r="C84" s="32">
        <f>C29</f>
        <v>-30527</v>
      </c>
      <c r="D84" s="32">
        <f>D29</f>
        <v>-38776</v>
      </c>
      <c r="E84" s="32">
        <f>E29</f>
        <v>-41066</v>
      </c>
      <c r="F84" s="32">
        <f>F29</f>
        <v>-47047</v>
      </c>
      <c r="G84" s="32"/>
      <c r="H84" s="32">
        <f>H29</f>
        <v>-9932</v>
      </c>
      <c r="I84" s="32">
        <f>I29</f>
        <v>-9613</v>
      </c>
      <c r="J84" s="32">
        <f>J29</f>
        <v>-8597</v>
      </c>
      <c r="K84" s="32">
        <f>K29</f>
        <v>-10634</v>
      </c>
      <c r="L84" s="32">
        <f>L29</f>
        <v>-11527</v>
      </c>
      <c r="M84" s="32">
        <f>M29</f>
        <v>-9114</v>
      </c>
      <c r="N84" s="32">
        <f>N29</f>
        <v>-10428</v>
      </c>
      <c r="O84" s="32">
        <f>O29</f>
        <v>-9997</v>
      </c>
      <c r="P84" s="32">
        <f>P29</f>
        <v>-11489</v>
      </c>
      <c r="Q84" s="32">
        <f>Q29</f>
        <v>-12371</v>
      </c>
      <c r="R84" s="32">
        <f>R29</f>
        <v>-11220</v>
      </c>
      <c r="S84" s="32">
        <f>S29</f>
        <v>-11967</v>
      </c>
      <c r="U84" s="32">
        <f>SUM(H84:K84)</f>
        <v>-38776</v>
      </c>
      <c r="V84" s="32">
        <f>SUM(I84:L84)</f>
        <v>-40371</v>
      </c>
      <c r="W84" s="32">
        <f>SUM(J84:M84)</f>
        <v>-39872</v>
      </c>
      <c r="X84" s="32">
        <f>SUM(K84:N84)</f>
        <v>-41703</v>
      </c>
      <c r="Y84" s="32">
        <f>SUM(L84:O84)</f>
        <v>-41066</v>
      </c>
      <c r="Z84" s="32">
        <f>SUM(M84:P84)</f>
        <v>-41028</v>
      </c>
      <c r="AA84" s="32">
        <f>SUM(N84:Q84)</f>
        <v>-44285</v>
      </c>
      <c r="AB84" s="32">
        <f>SUM(O84:R84)</f>
        <v>-45077</v>
      </c>
      <c r="AC84" s="32">
        <f>SUM(P84:S84)</f>
        <v>-47047</v>
      </c>
      <c r="AD84" s="11"/>
      <c r="AE84" s="73">
        <f>SUM(AC84/Y84)-1</f>
        <v>0.14564359811035898</v>
      </c>
    </row>
    <row r="85" spans="2:31" ht="5.0999999999999996" customHeight="1"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U85" s="32"/>
      <c r="V85" s="32"/>
      <c r="W85" s="32"/>
      <c r="X85" s="32"/>
      <c r="Y85" s="32"/>
      <c r="Z85" s="32"/>
      <c r="AA85" s="32"/>
      <c r="AB85" s="32"/>
      <c r="AC85" s="32"/>
      <c r="AD85" s="11"/>
      <c r="AE85" s="73"/>
    </row>
    <row r="86" spans="2:31" ht="12.75" customHeight="1">
      <c r="B86" s="36" t="s">
        <v>58</v>
      </c>
      <c r="C86" s="32"/>
      <c r="D86" s="32"/>
      <c r="E86" s="32"/>
      <c r="F86" s="32"/>
      <c r="G86" s="32"/>
      <c r="H86" s="77"/>
      <c r="I86" s="77"/>
      <c r="J86" s="77"/>
      <c r="K86" s="77"/>
      <c r="L86" s="77"/>
      <c r="M86" s="77"/>
      <c r="N86" s="77"/>
      <c r="O86" s="32"/>
      <c r="P86" s="77"/>
      <c r="Q86" s="77"/>
      <c r="R86" s="77"/>
      <c r="S86" s="32"/>
      <c r="U86" s="32"/>
      <c r="V86" s="32"/>
      <c r="W86" s="32"/>
      <c r="X86" s="32"/>
      <c r="Y86" s="32"/>
      <c r="Z86" s="32"/>
      <c r="AA86" s="32"/>
      <c r="AB86" s="32"/>
      <c r="AC86" s="32"/>
      <c r="AD86" s="60"/>
      <c r="AE86" s="73"/>
    </row>
    <row r="87" spans="2:31" ht="12.75" customHeight="1">
      <c r="B87" s="61" t="s">
        <v>95</v>
      </c>
      <c r="C87" s="77">
        <v>2076</v>
      </c>
      <c r="D87" s="77">
        <v>2867</v>
      </c>
      <c r="E87" s="77">
        <v>2261</v>
      </c>
      <c r="F87" s="77">
        <v>2447</v>
      </c>
      <c r="G87" s="32"/>
      <c r="H87" s="77">
        <v>858</v>
      </c>
      <c r="I87" s="77">
        <f>1505-H87</f>
        <v>647</v>
      </c>
      <c r="J87" s="77">
        <f>2186-I87-H87</f>
        <v>681</v>
      </c>
      <c r="K87" s="32">
        <f t="shared" ref="K87:K94" si="115">SUM(D87-SUM(H87:J87))</f>
        <v>681</v>
      </c>
      <c r="L87" s="77">
        <v>662</v>
      </c>
      <c r="M87" s="77">
        <f>1178-L87</f>
        <v>516</v>
      </c>
      <c r="N87" s="77">
        <f>1764-M87-L87</f>
        <v>586</v>
      </c>
      <c r="O87" s="32">
        <f t="shared" ref="O87:O90" si="116">SUM(E87-SUM(L87:N87))</f>
        <v>497</v>
      </c>
      <c r="P87" s="77">
        <v>604</v>
      </c>
      <c r="Q87" s="77">
        <f>1342-P87</f>
        <v>738</v>
      </c>
      <c r="R87" s="77">
        <f>1857-Q87-P87</f>
        <v>515</v>
      </c>
      <c r="S87" s="32">
        <f t="shared" ref="S87" si="117">SUM(F87-SUM(P87:R87))</f>
        <v>590</v>
      </c>
      <c r="U87" s="32">
        <f>SUM(H87:K87)</f>
        <v>2867</v>
      </c>
      <c r="V87" s="32">
        <f>SUM(I87:L87)</f>
        <v>2671</v>
      </c>
      <c r="W87" s="32">
        <f>SUM(J87:M87)</f>
        <v>2540</v>
      </c>
      <c r="X87" s="32">
        <f>SUM(K87:N87)</f>
        <v>2445</v>
      </c>
      <c r="Y87" s="32">
        <f>SUM(L87:O87)</f>
        <v>2261</v>
      </c>
      <c r="Z87" s="32">
        <f>SUM(M87:P87)</f>
        <v>2203</v>
      </c>
      <c r="AA87" s="32">
        <f>SUM(N87:Q87)</f>
        <v>2425</v>
      </c>
      <c r="AB87" s="32">
        <f>SUM(O87:R87)</f>
        <v>2354</v>
      </c>
      <c r="AC87" s="32">
        <f>SUM(P87:S87)</f>
        <v>2447</v>
      </c>
      <c r="AD87" s="11"/>
      <c r="AE87" s="73">
        <f t="shared" ref="AE87:AE95" si="118">SUM(AC87/Y87)-1</f>
        <v>8.226448474126502E-2</v>
      </c>
    </row>
    <row r="88" spans="2:31" ht="12.75" customHeight="1">
      <c r="B88" s="61" t="s">
        <v>142</v>
      </c>
      <c r="C88" s="77">
        <v>41</v>
      </c>
      <c r="D88" s="77">
        <v>32</v>
      </c>
      <c r="E88" s="77">
        <v>33</v>
      </c>
      <c r="F88" s="77">
        <v>37</v>
      </c>
      <c r="G88" s="32"/>
      <c r="H88" s="77">
        <v>10</v>
      </c>
      <c r="I88" s="77">
        <f>17-H88</f>
        <v>7</v>
      </c>
      <c r="J88" s="77">
        <f>24-I88-H88</f>
        <v>7</v>
      </c>
      <c r="K88" s="32">
        <f t="shared" si="115"/>
        <v>8</v>
      </c>
      <c r="L88" s="77">
        <v>32</v>
      </c>
      <c r="M88" s="77">
        <f>16-L88</f>
        <v>-16</v>
      </c>
      <c r="N88" s="77">
        <f>24-M88-L88</f>
        <v>8</v>
      </c>
      <c r="O88" s="32">
        <f t="shared" si="116"/>
        <v>9</v>
      </c>
      <c r="P88" s="77">
        <v>9</v>
      </c>
      <c r="Q88" s="77">
        <f>18-P88</f>
        <v>9</v>
      </c>
      <c r="R88" s="77">
        <f>27-Q88-P88</f>
        <v>9</v>
      </c>
      <c r="S88" s="32">
        <f t="shared" ref="S88:S90" si="119">SUM(F88-SUM(P88:R88))</f>
        <v>10</v>
      </c>
      <c r="U88" s="32">
        <f>SUM(H88:K88)</f>
        <v>32</v>
      </c>
      <c r="V88" s="32">
        <f>SUM(I88:L88)</f>
        <v>54</v>
      </c>
      <c r="W88" s="32">
        <f>SUM(J88:M88)</f>
        <v>31</v>
      </c>
      <c r="X88" s="32">
        <f>SUM(K88:N88)</f>
        <v>32</v>
      </c>
      <c r="Y88" s="32">
        <f>SUM(L88:O88)</f>
        <v>33</v>
      </c>
      <c r="Z88" s="32">
        <f>SUM(M88:P88)</f>
        <v>10</v>
      </c>
      <c r="AA88" s="32">
        <f>SUM(N88:Q88)</f>
        <v>35</v>
      </c>
      <c r="AB88" s="32">
        <f>SUM(O88:R88)</f>
        <v>36</v>
      </c>
      <c r="AC88" s="32">
        <f>SUM(P88:S88)</f>
        <v>37</v>
      </c>
      <c r="AD88" s="11"/>
      <c r="AE88" s="73">
        <f t="shared" si="118"/>
        <v>0.1212121212121211</v>
      </c>
    </row>
    <row r="89" spans="2:31" ht="12.75" customHeight="1">
      <c r="B89" s="61" t="s">
        <v>117</v>
      </c>
      <c r="C89" s="77">
        <v>283</v>
      </c>
      <c r="D89" s="77">
        <v>410</v>
      </c>
      <c r="E89" s="77">
        <v>697</v>
      </c>
      <c r="F89" s="77">
        <v>1100</v>
      </c>
      <c r="G89" s="32"/>
      <c r="H89" s="77">
        <v>80</v>
      </c>
      <c r="I89" s="77">
        <f>158-H89</f>
        <v>78</v>
      </c>
      <c r="J89" s="77">
        <f>276-I89-H89</f>
        <v>118</v>
      </c>
      <c r="K89" s="32">
        <f t="shared" si="115"/>
        <v>134</v>
      </c>
      <c r="L89" s="77">
        <v>144</v>
      </c>
      <c r="M89" s="77">
        <f>313-L89</f>
        <v>169</v>
      </c>
      <c r="N89" s="77">
        <f>505-M89-L89</f>
        <v>192</v>
      </c>
      <c r="O89" s="32">
        <f t="shared" si="116"/>
        <v>192</v>
      </c>
      <c r="P89" s="77">
        <v>208</v>
      </c>
      <c r="Q89" s="77">
        <f>457-P89</f>
        <v>249</v>
      </c>
      <c r="R89" s="77">
        <f>748-Q89-P89</f>
        <v>291</v>
      </c>
      <c r="S89" s="32">
        <f t="shared" si="119"/>
        <v>352</v>
      </c>
      <c r="U89" s="32">
        <f>SUM(H89:K89)</f>
        <v>410</v>
      </c>
      <c r="V89" s="32">
        <f>SUM(I89:L89)</f>
        <v>474</v>
      </c>
      <c r="W89" s="32">
        <f>SUM(J89:M89)</f>
        <v>565</v>
      </c>
      <c r="X89" s="32">
        <f>SUM(K89:N89)</f>
        <v>639</v>
      </c>
      <c r="Y89" s="32">
        <f>SUM(L89:O89)</f>
        <v>697</v>
      </c>
      <c r="Z89" s="32">
        <f>SUM(M89:P89)</f>
        <v>761</v>
      </c>
      <c r="AA89" s="32">
        <f>SUM(N89:Q89)</f>
        <v>841</v>
      </c>
      <c r="AB89" s="32">
        <f>SUM(O89:R89)</f>
        <v>940</v>
      </c>
      <c r="AC89" s="32">
        <f>SUM(P89:S89)</f>
        <v>1100</v>
      </c>
      <c r="AD89" s="11"/>
      <c r="AE89" s="73">
        <f t="shared" si="118"/>
        <v>0.57819225251076034</v>
      </c>
    </row>
    <row r="90" spans="2:31" ht="12.75" customHeight="1">
      <c r="B90" s="61" t="s">
        <v>135</v>
      </c>
      <c r="C90" s="77">
        <v>-138</v>
      </c>
      <c r="D90" s="77">
        <v>-557</v>
      </c>
      <c r="E90" s="77">
        <v>432</v>
      </c>
      <c r="F90" s="77">
        <v>-588</v>
      </c>
      <c r="G90" s="32"/>
      <c r="H90" s="77">
        <v>-229</v>
      </c>
      <c r="I90" s="77">
        <f>-504-H90</f>
        <v>-275</v>
      </c>
      <c r="J90" s="77">
        <f>-280-I90-H90</f>
        <v>224</v>
      </c>
      <c r="K90" s="32">
        <f t="shared" si="115"/>
        <v>-277</v>
      </c>
      <c r="L90" s="77">
        <v>769</v>
      </c>
      <c r="M90" s="77">
        <f>279-L90</f>
        <v>-490</v>
      </c>
      <c r="N90" s="77">
        <f>769-M90-L90</f>
        <v>490</v>
      </c>
      <c r="O90" s="32">
        <f t="shared" si="116"/>
        <v>-337</v>
      </c>
      <c r="P90" s="77">
        <v>868</v>
      </c>
      <c r="Q90" s="77">
        <f>760-P90</f>
        <v>-108</v>
      </c>
      <c r="R90" s="77">
        <f>1514-Q90-P90</f>
        <v>754</v>
      </c>
      <c r="S90" s="32">
        <f t="shared" si="119"/>
        <v>-2102</v>
      </c>
      <c r="U90" s="32">
        <f>SUM(H90:K90)</f>
        <v>-557</v>
      </c>
      <c r="V90" s="32">
        <f>SUM(I90:L90)</f>
        <v>441</v>
      </c>
      <c r="W90" s="32">
        <f>SUM(J90:M90)</f>
        <v>226</v>
      </c>
      <c r="X90" s="32">
        <f>SUM(K90:N90)</f>
        <v>492</v>
      </c>
      <c r="Y90" s="32">
        <f>SUM(L90:O90)</f>
        <v>432</v>
      </c>
      <c r="Z90" s="32">
        <f>SUM(M90:P90)</f>
        <v>531</v>
      </c>
      <c r="AA90" s="32">
        <f>SUM(N90:Q90)</f>
        <v>913</v>
      </c>
      <c r="AB90" s="32">
        <f>SUM(O90:R90)</f>
        <v>1177</v>
      </c>
      <c r="AC90" s="32">
        <f>SUM(P90:S90)</f>
        <v>-588</v>
      </c>
      <c r="AD90" s="11"/>
      <c r="AE90" s="73">
        <f t="shared" si="118"/>
        <v>-2.3611111111111112</v>
      </c>
    </row>
    <row r="91" spans="2:31" ht="12.75" customHeight="1">
      <c r="B91" s="36" t="s">
        <v>14</v>
      </c>
      <c r="C91" s="77"/>
      <c r="D91" s="77"/>
      <c r="E91" s="77"/>
      <c r="F91" s="77"/>
      <c r="G91" s="32"/>
      <c r="H91" s="77"/>
      <c r="I91" s="77"/>
      <c r="J91" s="77"/>
      <c r="K91" s="77"/>
      <c r="L91" s="77"/>
      <c r="M91" s="77"/>
      <c r="N91" s="77"/>
      <c r="O91" s="32"/>
      <c r="P91" s="77"/>
      <c r="Q91" s="77"/>
      <c r="R91" s="77"/>
      <c r="S91" s="32"/>
      <c r="U91" s="32"/>
      <c r="V91" s="32"/>
      <c r="W91" s="32"/>
      <c r="X91" s="32"/>
      <c r="Y91" s="32"/>
      <c r="Z91" s="32"/>
      <c r="AA91" s="32"/>
      <c r="AB91" s="32"/>
      <c r="AC91" s="32"/>
      <c r="AD91" s="60"/>
      <c r="AE91" s="73"/>
    </row>
    <row r="92" spans="2:31" ht="12.75" customHeight="1">
      <c r="B92" s="61" t="s">
        <v>143</v>
      </c>
      <c r="C92" s="77">
        <v>65</v>
      </c>
      <c r="D92" s="77">
        <v>101</v>
      </c>
      <c r="E92" s="77">
        <v>-90</v>
      </c>
      <c r="F92" s="77">
        <v>-82</v>
      </c>
      <c r="G92" s="32"/>
      <c r="H92" s="77">
        <v>160</v>
      </c>
      <c r="I92" s="77">
        <f>454-H92</f>
        <v>294</v>
      </c>
      <c r="J92" s="77">
        <f>772-I92-H92</f>
        <v>318</v>
      </c>
      <c r="K92" s="32">
        <f t="shared" si="115"/>
        <v>-671</v>
      </c>
      <c r="L92" s="77">
        <v>183</v>
      </c>
      <c r="M92" s="77">
        <f>458-L92</f>
        <v>275</v>
      </c>
      <c r="N92" s="77">
        <f>711-M92-L92</f>
        <v>253</v>
      </c>
      <c r="O92" s="32">
        <f t="shared" ref="O92:O94" si="120">SUM(E92-SUM(L92:N92))</f>
        <v>-801</v>
      </c>
      <c r="P92" s="77">
        <v>145</v>
      </c>
      <c r="Q92" s="77">
        <f>361-P92</f>
        <v>216</v>
      </c>
      <c r="R92" s="77">
        <f>444-Q92-P92</f>
        <v>83</v>
      </c>
      <c r="S92" s="32">
        <f t="shared" ref="S92:S94" si="121">SUM(F92-SUM(P92:R92))</f>
        <v>-526</v>
      </c>
      <c r="U92" s="32">
        <f>SUM(H92:K92)</f>
        <v>101</v>
      </c>
      <c r="V92" s="32">
        <f>SUM(I92:L92)</f>
        <v>124</v>
      </c>
      <c r="W92" s="32">
        <f>SUM(J92:M92)</f>
        <v>105</v>
      </c>
      <c r="X92" s="32">
        <f>SUM(K92:N92)</f>
        <v>40</v>
      </c>
      <c r="Y92" s="32">
        <f>SUM(L92:O92)</f>
        <v>-90</v>
      </c>
      <c r="Z92" s="32">
        <f>SUM(M92:P92)</f>
        <v>-128</v>
      </c>
      <c r="AA92" s="32">
        <f>SUM(N92:Q92)</f>
        <v>-187</v>
      </c>
      <c r="AB92" s="32">
        <f>SUM(O92:R92)</f>
        <v>-357</v>
      </c>
      <c r="AC92" s="32">
        <f>SUM(P92:S92)</f>
        <v>-82</v>
      </c>
      <c r="AD92" s="60"/>
      <c r="AE92" s="73">
        <f t="shared" si="118"/>
        <v>-8.8888888888888906E-2</v>
      </c>
    </row>
    <row r="93" spans="2:31" ht="12.75" customHeight="1">
      <c r="B93" s="61" t="s">
        <v>144</v>
      </c>
      <c r="C93" s="77">
        <v>3686</v>
      </c>
      <c r="D93" s="77">
        <v>4244</v>
      </c>
      <c r="E93" s="77">
        <v>2671</v>
      </c>
      <c r="F93" s="77">
        <v>-2074</v>
      </c>
      <c r="G93" s="32"/>
      <c r="H93" s="77">
        <v>864</v>
      </c>
      <c r="I93" s="77">
        <f>2147-H93</f>
        <v>1283</v>
      </c>
      <c r="J93" s="77">
        <f>899-I93-H93</f>
        <v>-1248</v>
      </c>
      <c r="K93" s="32">
        <f t="shared" si="115"/>
        <v>3345</v>
      </c>
      <c r="L93" s="77">
        <v>-1372</v>
      </c>
      <c r="M93" s="77">
        <f>-3027-L93</f>
        <v>-1655</v>
      </c>
      <c r="N93" s="77">
        <f>-2406-M93-L93</f>
        <v>621</v>
      </c>
      <c r="O93" s="32">
        <f t="shared" si="120"/>
        <v>5077</v>
      </c>
      <c r="P93" s="77">
        <v>-3293</v>
      </c>
      <c r="Q93" s="77">
        <f>-1380-P93</f>
        <v>1913</v>
      </c>
      <c r="R93" s="77">
        <f>-1553-Q93-P93</f>
        <v>-173</v>
      </c>
      <c r="S93" s="32">
        <f t="shared" si="121"/>
        <v>-521</v>
      </c>
      <c r="U93" s="32">
        <f>SUM(H93:K93)</f>
        <v>4244</v>
      </c>
      <c r="V93" s="32">
        <f>SUM(I93:L93)</f>
        <v>2008</v>
      </c>
      <c r="W93" s="32">
        <f>SUM(J93:M93)</f>
        <v>-930</v>
      </c>
      <c r="X93" s="32">
        <f>SUM(K93:N93)</f>
        <v>939</v>
      </c>
      <c r="Y93" s="32">
        <f>SUM(L93:O93)</f>
        <v>2671</v>
      </c>
      <c r="Z93" s="32">
        <f>SUM(M93:P93)</f>
        <v>750</v>
      </c>
      <c r="AA93" s="32">
        <f>SUM(N93:Q93)</f>
        <v>4318</v>
      </c>
      <c r="AB93" s="32">
        <f>SUM(O93:R93)</f>
        <v>3524</v>
      </c>
      <c r="AC93" s="32">
        <f>SUM(P93:S93)</f>
        <v>-2074</v>
      </c>
      <c r="AD93" s="60"/>
      <c r="AE93" s="73">
        <f t="shared" si="118"/>
        <v>-1.7764882066641707</v>
      </c>
    </row>
    <row r="94" spans="2:31" ht="12.75" customHeight="1">
      <c r="B94" s="61" t="s">
        <v>145</v>
      </c>
      <c r="C94" s="77">
        <v>206</v>
      </c>
      <c r="D94" s="77">
        <v>623</v>
      </c>
      <c r="E94" s="77">
        <v>2097</v>
      </c>
      <c r="F94" s="77">
        <v>4440</v>
      </c>
      <c r="G94" s="32"/>
      <c r="H94" s="77">
        <v>147</v>
      </c>
      <c r="I94" s="77">
        <f>298-H94</f>
        <v>151</v>
      </c>
      <c r="J94" s="77">
        <f>448-I94-H94</f>
        <v>150</v>
      </c>
      <c r="K94" s="32">
        <f t="shared" si="115"/>
        <v>175</v>
      </c>
      <c r="L94" s="77">
        <v>316</v>
      </c>
      <c r="M94" s="77">
        <f>798-L94</f>
        <v>482</v>
      </c>
      <c r="N94" s="77">
        <f>1439-M94-L94</f>
        <v>641</v>
      </c>
      <c r="O94" s="32">
        <f t="shared" si="120"/>
        <v>658</v>
      </c>
      <c r="P94" s="77">
        <v>843</v>
      </c>
      <c r="Q94" s="77">
        <f>1864-P94</f>
        <v>1021</v>
      </c>
      <c r="R94" s="77">
        <f>3067-Q94-P94</f>
        <v>1203</v>
      </c>
      <c r="S94" s="32">
        <f t="shared" si="121"/>
        <v>1373</v>
      </c>
      <c r="U94" s="32">
        <f>SUM(H94:K94)</f>
        <v>623</v>
      </c>
      <c r="V94" s="32">
        <f>SUM(I94:L94)</f>
        <v>792</v>
      </c>
      <c r="W94" s="32">
        <f>SUM(J94:M94)</f>
        <v>1123</v>
      </c>
      <c r="X94" s="32">
        <f>SUM(K94:N94)</f>
        <v>1614</v>
      </c>
      <c r="Y94" s="32">
        <f>SUM(L94:O94)</f>
        <v>2097</v>
      </c>
      <c r="Z94" s="32">
        <f>SUM(M94:P94)</f>
        <v>2624</v>
      </c>
      <c r="AA94" s="32">
        <f>SUM(N94:Q94)</f>
        <v>3163</v>
      </c>
      <c r="AB94" s="32">
        <f>SUM(O94:R94)</f>
        <v>3725</v>
      </c>
      <c r="AC94" s="32">
        <f>SUM(P94:S94)</f>
        <v>4440</v>
      </c>
      <c r="AD94" s="60"/>
      <c r="AE94" s="73">
        <f t="shared" si="118"/>
        <v>1.1173104434907009</v>
      </c>
    </row>
    <row r="95" spans="2:31" ht="12.75" customHeight="1">
      <c r="B95" s="13" t="s">
        <v>52</v>
      </c>
      <c r="C95" s="14">
        <f>SUM(C84:C94)</f>
        <v>-24308</v>
      </c>
      <c r="D95" s="14">
        <f>SUM(D84:D94)</f>
        <v>-31056</v>
      </c>
      <c r="E95" s="14">
        <f>SUM(E84:E94)</f>
        <v>-32965</v>
      </c>
      <c r="F95" s="14">
        <f>SUM(F84:F94)</f>
        <v>-41767</v>
      </c>
      <c r="H95" s="14">
        <f>SUM(H84:H94)</f>
        <v>-8042</v>
      </c>
      <c r="I95" s="14">
        <f>SUM(I84:I94)</f>
        <v>-7428</v>
      </c>
      <c r="J95" s="14">
        <f>SUM(J84:J94)</f>
        <v>-8347</v>
      </c>
      <c r="K95" s="14">
        <f>SUM(K84:K94)</f>
        <v>-7239</v>
      </c>
      <c r="L95" s="14">
        <f>SUM(L84:L94)</f>
        <v>-10793</v>
      </c>
      <c r="M95" s="14">
        <f>SUM(M84:M94)</f>
        <v>-9833</v>
      </c>
      <c r="N95" s="14">
        <f>SUM(N84:N94)</f>
        <v>-7637</v>
      </c>
      <c r="O95" s="14">
        <f>SUM(O84:O94)</f>
        <v>-4702</v>
      </c>
      <c r="P95" s="14">
        <f>SUM(P84:P94)</f>
        <v>-12105</v>
      </c>
      <c r="Q95" s="14">
        <f>SUM(Q84:Q94)</f>
        <v>-8333</v>
      </c>
      <c r="R95" s="14">
        <f>SUM(R84:R94)</f>
        <v>-8538</v>
      </c>
      <c r="S95" s="14">
        <f>SUM(S84:S94)</f>
        <v>-12791</v>
      </c>
      <c r="U95" s="14">
        <f>SUM(U84:U94)</f>
        <v>-31056</v>
      </c>
      <c r="V95" s="14">
        <f>SUM(V84:V94)</f>
        <v>-33807</v>
      </c>
      <c r="W95" s="14">
        <f>SUM(W84:W94)</f>
        <v>-36212</v>
      </c>
      <c r="X95" s="14">
        <f>SUM(X84:X94)</f>
        <v>-35502</v>
      </c>
      <c r="Y95" s="14">
        <f>SUM(Y84:Y94)</f>
        <v>-32965</v>
      </c>
      <c r="Z95" s="14">
        <f>SUM(Z84:Z94)</f>
        <v>-34277</v>
      </c>
      <c r="AA95" s="14">
        <f>SUM(AA84:AA94)</f>
        <v>-32777</v>
      </c>
      <c r="AB95" s="14">
        <f>SUM(AB84:AB94)</f>
        <v>-33678</v>
      </c>
      <c r="AC95" s="14">
        <f>SUM(AC84:AC94)</f>
        <v>-41767</v>
      </c>
      <c r="AD95" s="42"/>
      <c r="AE95" s="74">
        <f t="shared" si="118"/>
        <v>0.26701046564538156</v>
      </c>
    </row>
    <row r="96" spans="2:31" ht="12.75" customHeight="1">
      <c r="B96" s="54"/>
      <c r="C96" s="62"/>
      <c r="D96" s="62"/>
      <c r="E96" s="62"/>
      <c r="F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39"/>
    </row>
    <row r="97" spans="2:31" ht="12.75" customHeight="1">
      <c r="B97" s="54" t="s">
        <v>53</v>
      </c>
      <c r="C97" s="59"/>
      <c r="D97" s="59"/>
      <c r="E97" s="59"/>
      <c r="F97" s="59"/>
      <c r="H97" s="77"/>
      <c r="I97" s="77"/>
      <c r="J97" s="77"/>
      <c r="K97" s="77"/>
      <c r="L97" s="77"/>
      <c r="M97" s="77"/>
      <c r="N97" s="77"/>
      <c r="O97" s="32"/>
      <c r="P97" s="77"/>
      <c r="Q97" s="77"/>
      <c r="R97" s="77"/>
      <c r="S97" s="32"/>
      <c r="U97" s="59"/>
      <c r="V97" s="59"/>
      <c r="W97" s="59"/>
      <c r="X97" s="59"/>
      <c r="Y97" s="59"/>
      <c r="Z97" s="59"/>
      <c r="AA97" s="59"/>
      <c r="AB97" s="59"/>
      <c r="AC97" s="59"/>
      <c r="AD97" s="60"/>
      <c r="AE97" s="39"/>
    </row>
    <row r="98" spans="2:31" ht="12.75" customHeight="1">
      <c r="B98" s="61" t="s">
        <v>85</v>
      </c>
      <c r="C98" s="77">
        <v>0</v>
      </c>
      <c r="D98" s="77">
        <v>0</v>
      </c>
      <c r="E98" s="77">
        <v>0</v>
      </c>
      <c r="F98" s="77">
        <v>0</v>
      </c>
      <c r="G98" s="32"/>
      <c r="H98" s="77">
        <v>0</v>
      </c>
      <c r="I98" s="77">
        <f t="shared" ref="I98" si="122">0-H98</f>
        <v>0</v>
      </c>
      <c r="J98" s="77">
        <f t="shared" ref="J98" si="123">0-I98-H98</f>
        <v>0</v>
      </c>
      <c r="K98" s="32">
        <f t="shared" ref="K98" si="124">SUM(D98-SUM(H98:J98))</f>
        <v>0</v>
      </c>
      <c r="L98" s="77">
        <v>0</v>
      </c>
      <c r="M98" s="77">
        <v>0</v>
      </c>
      <c r="N98" s="77">
        <v>0</v>
      </c>
      <c r="O98" s="32">
        <f t="shared" ref="O98" si="125">SUM(E98-SUM(L98:N98))</f>
        <v>0</v>
      </c>
      <c r="P98" s="77">
        <v>0</v>
      </c>
      <c r="Q98" s="77">
        <v>0</v>
      </c>
      <c r="R98" s="77">
        <v>0</v>
      </c>
      <c r="S98" s="32">
        <f t="shared" ref="S98" si="126">SUM(F98-SUM(P98:R98))</f>
        <v>0</v>
      </c>
      <c r="T98" s="32"/>
      <c r="U98" s="32">
        <f>SUM(H98:K98)</f>
        <v>0</v>
      </c>
      <c r="V98" s="32">
        <f>SUM(I98:L98)</f>
        <v>0</v>
      </c>
      <c r="W98" s="32">
        <f>SUM(J98:M98)</f>
        <v>0</v>
      </c>
      <c r="X98" s="32">
        <f>SUM(K98:N98)</f>
        <v>0</v>
      </c>
      <c r="Y98" s="32">
        <f>SUM(L98:O98)</f>
        <v>0</v>
      </c>
      <c r="Z98" s="32">
        <f>SUM(M98:P98)</f>
        <v>0</v>
      </c>
      <c r="AA98" s="32">
        <f>SUM(N98:Q98)</f>
        <v>0</v>
      </c>
      <c r="AB98" s="32">
        <f>SUM(O98:R98)</f>
        <v>0</v>
      </c>
      <c r="AC98" s="32">
        <f>SUM(P98:S98)</f>
        <v>0</v>
      </c>
      <c r="AD98" s="60"/>
      <c r="AE98" s="73" t="e">
        <f t="shared" ref="AE98:AE105" si="127">SUM(AC98/Y98)-1</f>
        <v>#DIV/0!</v>
      </c>
    </row>
    <row r="99" spans="2:31" ht="12.75" customHeight="1">
      <c r="B99" s="13" t="s">
        <v>54</v>
      </c>
      <c r="C99" s="14">
        <f>SUM(C98:C98)</f>
        <v>0</v>
      </c>
      <c r="D99" s="14">
        <f>SUM(D98:D98)</f>
        <v>0</v>
      </c>
      <c r="E99" s="14">
        <f>SUM(E98:E98)</f>
        <v>0</v>
      </c>
      <c r="F99" s="14">
        <f>SUM(F98:F98)</f>
        <v>0</v>
      </c>
      <c r="H99" s="14">
        <f>SUM(H98:H98)</f>
        <v>0</v>
      </c>
      <c r="I99" s="14">
        <f>SUM(I98:I98)</f>
        <v>0</v>
      </c>
      <c r="J99" s="14">
        <f>SUM(J98:J98)</f>
        <v>0</v>
      </c>
      <c r="K99" s="14">
        <f>SUM(K98:K98)</f>
        <v>0</v>
      </c>
      <c r="L99" s="14">
        <f>SUM(L98:L98)</f>
        <v>0</v>
      </c>
      <c r="M99" s="14">
        <f>SUM(M98:M98)</f>
        <v>0</v>
      </c>
      <c r="N99" s="14">
        <f>SUM(N98:N98)</f>
        <v>0</v>
      </c>
      <c r="O99" s="14">
        <f>SUM(O98:O98)</f>
        <v>0</v>
      </c>
      <c r="P99" s="14">
        <f>SUM(P98:P98)</f>
        <v>0</v>
      </c>
      <c r="Q99" s="14">
        <f>SUM(Q98:Q98)</f>
        <v>0</v>
      </c>
      <c r="R99" s="14">
        <f>SUM(R98:R98)</f>
        <v>0</v>
      </c>
      <c r="S99" s="14">
        <f>SUM(S98:S98)</f>
        <v>0</v>
      </c>
      <c r="U99" s="14">
        <f>SUM(U98:U98)</f>
        <v>0</v>
      </c>
      <c r="V99" s="14">
        <f>SUM(V98:V98)</f>
        <v>0</v>
      </c>
      <c r="W99" s="14">
        <f>SUM(W98:W98)</f>
        <v>0</v>
      </c>
      <c r="X99" s="14">
        <f>SUM(X98:X98)</f>
        <v>0</v>
      </c>
      <c r="Y99" s="14">
        <f>SUM(Y98:Y98)</f>
        <v>0</v>
      </c>
      <c r="Z99" s="14">
        <f>SUM(Z98:Z98)</f>
        <v>0</v>
      </c>
      <c r="AA99" s="14">
        <f>SUM(AA98:AA98)</f>
        <v>0</v>
      </c>
      <c r="AB99" s="14">
        <f>SUM(AB98:AB98)</f>
        <v>0</v>
      </c>
      <c r="AC99" s="14">
        <f>SUM(AC98:AC98)</f>
        <v>0</v>
      </c>
      <c r="AD99" s="42"/>
      <c r="AE99" s="74" t="e">
        <f t="shared" si="127"/>
        <v>#DIV/0!</v>
      </c>
    </row>
    <row r="100" spans="2:31" ht="5.0999999999999996" customHeight="1">
      <c r="B100" s="53"/>
      <c r="C100" s="62"/>
      <c r="D100" s="62"/>
      <c r="E100" s="62"/>
      <c r="F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39"/>
    </row>
    <row r="101" spans="2:31" ht="12.75" customHeight="1">
      <c r="B101" s="54" t="s">
        <v>55</v>
      </c>
      <c r="C101" s="63"/>
      <c r="D101" s="63"/>
      <c r="E101" s="63"/>
      <c r="F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64"/>
      <c r="AE101" s="73"/>
    </row>
    <row r="102" spans="2:31" ht="12.75" customHeight="1">
      <c r="B102" s="79" t="s">
        <v>146</v>
      </c>
      <c r="C102" s="77">
        <v>0</v>
      </c>
      <c r="D102" s="77">
        <v>10000</v>
      </c>
      <c r="E102" s="77">
        <v>30000</v>
      </c>
      <c r="F102" s="77">
        <v>30000</v>
      </c>
      <c r="H102" s="77">
        <v>0</v>
      </c>
      <c r="I102" s="77">
        <f>0-H102</f>
        <v>0</v>
      </c>
      <c r="J102" s="77">
        <f>0-I102-H102</f>
        <v>0</v>
      </c>
      <c r="K102" s="32">
        <f t="shared" ref="K102:K104" si="128">SUM(D102-SUM(H102:J102))</f>
        <v>10000</v>
      </c>
      <c r="L102" s="77">
        <v>10000</v>
      </c>
      <c r="M102" s="77">
        <f>20000-L102</f>
        <v>10000</v>
      </c>
      <c r="N102" s="77">
        <f>20000-M102-L102</f>
        <v>0</v>
      </c>
      <c r="O102" s="32">
        <f t="shared" ref="O102:O104" si="129">SUM(E102-SUM(L102:N102))</f>
        <v>10000</v>
      </c>
      <c r="P102" s="77">
        <v>10000</v>
      </c>
      <c r="Q102" s="77">
        <f>20000-P102</f>
        <v>10000</v>
      </c>
      <c r="R102" s="77">
        <f>30000-Q102-P102</f>
        <v>10000</v>
      </c>
      <c r="S102" s="32">
        <f t="shared" ref="S102" si="130">SUM(F102-SUM(P102:R102))</f>
        <v>0</v>
      </c>
      <c r="T102" s="32"/>
      <c r="U102" s="32">
        <f>SUM(H102:K102)</f>
        <v>10000</v>
      </c>
      <c r="V102" s="32">
        <f>SUM(I102:L102)</f>
        <v>20000</v>
      </c>
      <c r="W102" s="32">
        <f>SUM(J102:M102)</f>
        <v>30000</v>
      </c>
      <c r="X102" s="32">
        <f>SUM(K102:N102)</f>
        <v>30000</v>
      </c>
      <c r="Y102" s="32">
        <f>SUM(L102:O102)</f>
        <v>30000</v>
      </c>
      <c r="Z102" s="32">
        <f>SUM(M102:P102)</f>
        <v>30000</v>
      </c>
      <c r="AA102" s="32">
        <f>SUM(N102:Q102)</f>
        <v>30000</v>
      </c>
      <c r="AB102" s="32">
        <f>SUM(O102:R102)</f>
        <v>40000</v>
      </c>
      <c r="AC102" s="32">
        <f>SUM(P102:S102)</f>
        <v>30000</v>
      </c>
      <c r="AD102" s="64"/>
      <c r="AE102" s="73">
        <f t="shared" si="127"/>
        <v>0</v>
      </c>
    </row>
    <row r="103" spans="2:31" ht="12.75" customHeight="1">
      <c r="B103" s="79" t="s">
        <v>147</v>
      </c>
      <c r="C103" s="77">
        <v>6814</v>
      </c>
      <c r="D103" s="77">
        <v>0</v>
      </c>
      <c r="E103" s="77">
        <v>10033</v>
      </c>
      <c r="F103" s="77">
        <v>1227</v>
      </c>
      <c r="H103" s="77">
        <v>0</v>
      </c>
      <c r="I103" s="77">
        <f t="shared" ref="I103:I104" si="131">0-H103</f>
        <v>0</v>
      </c>
      <c r="J103" s="77">
        <f t="shared" ref="J103:J104" si="132">0-I103-H103</f>
        <v>0</v>
      </c>
      <c r="K103" s="32">
        <f t="shared" si="128"/>
        <v>0</v>
      </c>
      <c r="L103" s="77">
        <v>0</v>
      </c>
      <c r="M103" s="77">
        <v>0</v>
      </c>
      <c r="N103" s="77">
        <f>10033-M103-L103</f>
        <v>10033</v>
      </c>
      <c r="O103" s="32">
        <f t="shared" si="129"/>
        <v>0</v>
      </c>
      <c r="P103" s="77">
        <v>0</v>
      </c>
      <c r="Q103" s="77">
        <f>376-P103</f>
        <v>376</v>
      </c>
      <c r="R103" s="77">
        <f>376-Q103-P103</f>
        <v>0</v>
      </c>
      <c r="S103" s="32">
        <f t="shared" ref="S103" si="133">SUM(F103-SUM(P103:R103))</f>
        <v>851</v>
      </c>
      <c r="T103" s="32"/>
      <c r="U103" s="32">
        <f>SUM(H103:K103)</f>
        <v>0</v>
      </c>
      <c r="V103" s="32">
        <f>SUM(I103:L103)</f>
        <v>0</v>
      </c>
      <c r="W103" s="32">
        <f>SUM(J103:M103)</f>
        <v>0</v>
      </c>
      <c r="X103" s="32">
        <f>SUM(K103:N103)</f>
        <v>10033</v>
      </c>
      <c r="Y103" s="32">
        <f>SUM(L103:O103)</f>
        <v>10033</v>
      </c>
      <c r="Z103" s="32">
        <f>SUM(M103:P103)</f>
        <v>10033</v>
      </c>
      <c r="AA103" s="32">
        <f>SUM(N103:Q103)</f>
        <v>10409</v>
      </c>
      <c r="AB103" s="32">
        <f>SUM(O103:R103)</f>
        <v>376</v>
      </c>
      <c r="AC103" s="32">
        <f>SUM(P103:S103)</f>
        <v>1227</v>
      </c>
      <c r="AD103" s="64"/>
      <c r="AE103" s="73">
        <f t="shared" si="127"/>
        <v>-0.87770357819196654</v>
      </c>
    </row>
    <row r="104" spans="2:31" ht="12.75" customHeight="1">
      <c r="B104" s="79" t="s">
        <v>148</v>
      </c>
      <c r="C104" s="77">
        <v>30000</v>
      </c>
      <c r="D104" s="77">
        <v>0</v>
      </c>
      <c r="E104" s="77">
        <v>0</v>
      </c>
      <c r="F104" s="77">
        <v>0</v>
      </c>
      <c r="H104" s="77">
        <v>0</v>
      </c>
      <c r="I104" s="77">
        <f t="shared" si="131"/>
        <v>0</v>
      </c>
      <c r="J104" s="77">
        <f t="shared" si="132"/>
        <v>0</v>
      </c>
      <c r="K104" s="32">
        <f t="shared" si="128"/>
        <v>0</v>
      </c>
      <c r="L104" s="77">
        <v>0</v>
      </c>
      <c r="M104" s="77">
        <v>0</v>
      </c>
      <c r="N104" s="77">
        <v>0</v>
      </c>
      <c r="O104" s="32">
        <f t="shared" si="129"/>
        <v>0</v>
      </c>
      <c r="P104" s="77">
        <v>0</v>
      </c>
      <c r="Q104" s="77">
        <v>0</v>
      </c>
      <c r="R104" s="77">
        <f>0-Q104-P104</f>
        <v>0</v>
      </c>
      <c r="S104" s="32">
        <f t="shared" ref="S104" si="134">SUM(F104-SUM(P104:R104))</f>
        <v>0</v>
      </c>
      <c r="T104" s="32"/>
      <c r="U104" s="32">
        <f>SUM(H104:K104)</f>
        <v>0</v>
      </c>
      <c r="V104" s="32">
        <f>SUM(I104:L104)</f>
        <v>0</v>
      </c>
      <c r="W104" s="32">
        <f>SUM(J104:M104)</f>
        <v>0</v>
      </c>
      <c r="X104" s="32">
        <f>SUM(K104:N104)</f>
        <v>0</v>
      </c>
      <c r="Y104" s="32">
        <f>SUM(L104:O104)</f>
        <v>0</v>
      </c>
      <c r="Z104" s="32">
        <f>SUM(M104:P104)</f>
        <v>0</v>
      </c>
      <c r="AA104" s="32">
        <f>SUM(N104:Q104)</f>
        <v>0</v>
      </c>
      <c r="AB104" s="32">
        <f>SUM(O104:R104)</f>
        <v>0</v>
      </c>
      <c r="AC104" s="32">
        <f>SUM(P104:S104)</f>
        <v>0</v>
      </c>
      <c r="AD104" s="64"/>
      <c r="AE104" s="73" t="e">
        <f t="shared" si="127"/>
        <v>#DIV/0!</v>
      </c>
    </row>
    <row r="105" spans="2:31" ht="12.75" customHeight="1">
      <c r="B105" s="13" t="s">
        <v>56</v>
      </c>
      <c r="C105" s="34">
        <f>SUM(C102:C104)</f>
        <v>36814</v>
      </c>
      <c r="D105" s="34">
        <f>SUM(D102:D104)</f>
        <v>10000</v>
      </c>
      <c r="E105" s="34">
        <f>SUM(E102:E104)</f>
        <v>40033</v>
      </c>
      <c r="F105" s="34">
        <f>SUM(F102:F104)</f>
        <v>31227</v>
      </c>
      <c r="G105" s="32"/>
      <c r="H105" s="34">
        <f>SUM(H102:H104)</f>
        <v>0</v>
      </c>
      <c r="I105" s="34">
        <f>SUM(I102:I104)</f>
        <v>0</v>
      </c>
      <c r="J105" s="34">
        <f>SUM(J102:J104)</f>
        <v>0</v>
      </c>
      <c r="K105" s="34">
        <f>SUM(K102:K104)</f>
        <v>10000</v>
      </c>
      <c r="L105" s="34">
        <f>SUM(L102:L104)</f>
        <v>10000</v>
      </c>
      <c r="M105" s="34">
        <f>SUM(M102:M104)</f>
        <v>10000</v>
      </c>
      <c r="N105" s="34">
        <f>SUM(N102:N104)</f>
        <v>10033</v>
      </c>
      <c r="O105" s="34">
        <f>SUM(O102:O104)</f>
        <v>10000</v>
      </c>
      <c r="P105" s="34">
        <f>SUM(P102:P104)</f>
        <v>10000</v>
      </c>
      <c r="Q105" s="34">
        <f>SUM(Q102:Q104)</f>
        <v>10376</v>
      </c>
      <c r="R105" s="34">
        <f>SUM(R102:R104)</f>
        <v>10000</v>
      </c>
      <c r="S105" s="34">
        <f>SUM(S102:S104)</f>
        <v>851</v>
      </c>
      <c r="T105" s="32"/>
      <c r="U105" s="34">
        <f>SUM(U102:U104)</f>
        <v>10000</v>
      </c>
      <c r="V105" s="34">
        <f>SUM(V102:V104)</f>
        <v>20000</v>
      </c>
      <c r="W105" s="34">
        <f>SUM(W102:W104)</f>
        <v>30000</v>
      </c>
      <c r="X105" s="34">
        <f>SUM(X102:X104)</f>
        <v>40033</v>
      </c>
      <c r="Y105" s="34">
        <f>SUM(Y102:Y104)</f>
        <v>40033</v>
      </c>
      <c r="Z105" s="34">
        <f>SUM(Z102:Z104)</f>
        <v>40033</v>
      </c>
      <c r="AA105" s="34">
        <f>SUM(AA102:AA104)</f>
        <v>40409</v>
      </c>
      <c r="AB105" s="34">
        <f>SUM(AB102:AB104)</f>
        <v>40376</v>
      </c>
      <c r="AC105" s="34">
        <f>SUM(AC102:AC104)</f>
        <v>31227</v>
      </c>
      <c r="AD105" s="42"/>
      <c r="AE105" s="74">
        <f t="shared" si="127"/>
        <v>-0.21996852596607797</v>
      </c>
    </row>
    <row r="106" spans="2:31" ht="5.0999999999999996" customHeight="1">
      <c r="B106" s="8"/>
      <c r="C106" s="65"/>
      <c r="D106" s="65"/>
      <c r="E106" s="65"/>
      <c r="F106" s="65"/>
      <c r="G106" s="32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46"/>
    </row>
    <row r="107" spans="2:31" ht="5.0999999999999996" customHeight="1">
      <c r="B107" s="70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11"/>
      <c r="AE107" s="46"/>
    </row>
    <row r="108" spans="2:31">
      <c r="B108" s="88" t="s">
        <v>81</v>
      </c>
      <c r="C108" s="89">
        <v>27142</v>
      </c>
      <c r="D108" s="89">
        <f>C115</f>
        <v>39648</v>
      </c>
      <c r="E108" s="89">
        <f t="shared" ref="E108:F108" si="135">D115</f>
        <v>18592</v>
      </c>
      <c r="F108" s="89">
        <f t="shared" si="135"/>
        <v>25660</v>
      </c>
      <c r="G108" s="89"/>
      <c r="H108" s="89">
        <f>C115</f>
        <v>39648</v>
      </c>
      <c r="I108" s="89">
        <f t="shared" ref="I108" si="136">H115</f>
        <v>31606</v>
      </c>
      <c r="J108" s="89">
        <f t="shared" ref="J108" si="137">I115</f>
        <v>24178</v>
      </c>
      <c r="K108" s="89">
        <f t="shared" ref="K108" si="138">J115</f>
        <v>15831</v>
      </c>
      <c r="L108" s="89">
        <f t="shared" ref="L108" si="139">K115</f>
        <v>18592</v>
      </c>
      <c r="M108" s="89">
        <f t="shared" ref="M108:S108" si="140">L115</f>
        <v>17799</v>
      </c>
      <c r="N108" s="89">
        <f t="shared" si="140"/>
        <v>17966</v>
      </c>
      <c r="O108" s="89">
        <f t="shared" si="140"/>
        <v>20362</v>
      </c>
      <c r="P108" s="89">
        <f t="shared" si="140"/>
        <v>25660</v>
      </c>
      <c r="Q108" s="89">
        <f t="shared" si="140"/>
        <v>23555</v>
      </c>
      <c r="R108" s="89">
        <f t="shared" si="140"/>
        <v>25598</v>
      </c>
      <c r="S108" s="89">
        <f t="shared" si="140"/>
        <v>27060</v>
      </c>
      <c r="T108" s="89"/>
      <c r="U108" s="89">
        <f>K110</f>
        <v>15831</v>
      </c>
      <c r="V108" s="89">
        <f>K115</f>
        <v>18592</v>
      </c>
      <c r="W108" s="89">
        <f>L115</f>
        <v>17799</v>
      </c>
      <c r="X108" s="89">
        <f>M115</f>
        <v>17966</v>
      </c>
      <c r="Y108" s="89">
        <f>N115</f>
        <v>20362</v>
      </c>
      <c r="Z108" s="89">
        <f>O115</f>
        <v>25660</v>
      </c>
      <c r="AA108" s="89">
        <f>P115</f>
        <v>23555</v>
      </c>
      <c r="AB108" s="89">
        <f>Q115</f>
        <v>25598</v>
      </c>
      <c r="AC108" s="135">
        <f>R115</f>
        <v>27060</v>
      </c>
      <c r="AD108" s="11"/>
      <c r="AE108" s="46"/>
    </row>
    <row r="109" spans="2:31">
      <c r="B109" s="127" t="s">
        <v>97</v>
      </c>
      <c r="C109" s="165"/>
      <c r="D109" s="165"/>
      <c r="E109" s="165"/>
      <c r="F109" s="165"/>
      <c r="G109" s="165"/>
      <c r="H109" s="167">
        <v>0</v>
      </c>
      <c r="I109" s="167">
        <v>0</v>
      </c>
      <c r="J109" s="167">
        <v>0</v>
      </c>
      <c r="K109" s="165">
        <f>D109</f>
        <v>0</v>
      </c>
      <c r="L109" s="165"/>
      <c r="M109" s="165">
        <f t="shared" ref="M109:S109" si="141">-L113</f>
        <v>0</v>
      </c>
      <c r="N109" s="165">
        <f t="shared" si="141"/>
        <v>0</v>
      </c>
      <c r="O109" s="165">
        <f>-N113</f>
        <v>0</v>
      </c>
      <c r="P109" s="165">
        <f t="shared" si="141"/>
        <v>0</v>
      </c>
      <c r="Q109" s="165">
        <f t="shared" si="141"/>
        <v>0</v>
      </c>
      <c r="R109" s="165">
        <f t="shared" si="141"/>
        <v>0</v>
      </c>
      <c r="S109" s="165">
        <f t="shared" si="141"/>
        <v>0</v>
      </c>
      <c r="T109" s="165"/>
      <c r="U109" s="165">
        <f>-J113</f>
        <v>0</v>
      </c>
      <c r="V109" s="165">
        <f>-K113</f>
        <v>0</v>
      </c>
      <c r="W109" s="165">
        <f>-L113</f>
        <v>0</v>
      </c>
      <c r="X109" s="165">
        <f>-M113</f>
        <v>0</v>
      </c>
      <c r="Y109" s="165">
        <f>-N113</f>
        <v>0</v>
      </c>
      <c r="Z109" s="165">
        <f>-O113</f>
        <v>0</v>
      </c>
      <c r="AA109" s="165">
        <f>-P113</f>
        <v>0</v>
      </c>
      <c r="AB109" s="165">
        <f>-Q113</f>
        <v>0</v>
      </c>
      <c r="AC109" s="129">
        <f>-R113</f>
        <v>0</v>
      </c>
      <c r="AD109" s="11"/>
      <c r="AE109" s="46"/>
    </row>
    <row r="110" spans="2:31">
      <c r="B110" s="85" t="s">
        <v>67</v>
      </c>
      <c r="C110" s="81">
        <f t="shared" ref="C110" si="142">SUM(C108:C109)</f>
        <v>27142</v>
      </c>
      <c r="D110" s="81">
        <f t="shared" ref="D110:F110" si="143">SUM(D108:D109)</f>
        <v>39648</v>
      </c>
      <c r="E110" s="81">
        <f t="shared" si="143"/>
        <v>18592</v>
      </c>
      <c r="F110" s="81">
        <f t="shared" si="143"/>
        <v>25660</v>
      </c>
      <c r="G110" s="165"/>
      <c r="H110" s="81">
        <f t="shared" ref="H110:K110" si="144">SUM(H108:H109)</f>
        <v>39648</v>
      </c>
      <c r="I110" s="81">
        <f t="shared" si="144"/>
        <v>31606</v>
      </c>
      <c r="J110" s="81">
        <f t="shared" si="144"/>
        <v>24178</v>
      </c>
      <c r="K110" s="81">
        <f t="shared" si="144"/>
        <v>15831</v>
      </c>
      <c r="L110" s="81">
        <f t="shared" ref="L110:S110" si="145">SUM(L108:L109)</f>
        <v>18592</v>
      </c>
      <c r="M110" s="81">
        <f t="shared" si="145"/>
        <v>17799</v>
      </c>
      <c r="N110" s="81">
        <f t="shared" si="145"/>
        <v>17966</v>
      </c>
      <c r="O110" s="81">
        <f t="shared" si="145"/>
        <v>20362</v>
      </c>
      <c r="P110" s="81">
        <f t="shared" si="145"/>
        <v>25660</v>
      </c>
      <c r="Q110" s="81">
        <f t="shared" si="145"/>
        <v>23555</v>
      </c>
      <c r="R110" s="81">
        <f t="shared" si="145"/>
        <v>25598</v>
      </c>
      <c r="S110" s="81">
        <f t="shared" si="145"/>
        <v>27060</v>
      </c>
      <c r="T110" s="165"/>
      <c r="U110" s="168">
        <f t="shared" ref="U110:AC110" si="146">SUM(U108:U109)</f>
        <v>15831</v>
      </c>
      <c r="V110" s="168">
        <f t="shared" si="146"/>
        <v>18592</v>
      </c>
      <c r="W110" s="168">
        <f t="shared" si="146"/>
        <v>17799</v>
      </c>
      <c r="X110" s="168">
        <f t="shared" si="146"/>
        <v>17966</v>
      </c>
      <c r="Y110" s="168">
        <f t="shared" si="146"/>
        <v>20362</v>
      </c>
      <c r="Z110" s="168">
        <f t="shared" si="146"/>
        <v>25660</v>
      </c>
      <c r="AA110" s="168">
        <f t="shared" si="146"/>
        <v>23555</v>
      </c>
      <c r="AB110" s="168">
        <f t="shared" si="146"/>
        <v>25598</v>
      </c>
      <c r="AC110" s="166">
        <f t="shared" si="146"/>
        <v>27060</v>
      </c>
      <c r="AD110" s="11"/>
      <c r="AE110" s="46"/>
    </row>
    <row r="111" spans="2:31" ht="5.0999999999999996" customHeight="1">
      <c r="B111" s="132"/>
      <c r="C111" s="169"/>
      <c r="D111" s="169"/>
      <c r="E111" s="169"/>
      <c r="F111" s="169"/>
      <c r="G111" s="165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5"/>
      <c r="U111" s="169"/>
      <c r="V111" s="169"/>
      <c r="W111" s="169"/>
      <c r="X111" s="169"/>
      <c r="Y111" s="169"/>
      <c r="Z111" s="169"/>
      <c r="AA111" s="169"/>
      <c r="AB111" s="169"/>
      <c r="AC111" s="130"/>
      <c r="AD111" s="11"/>
      <c r="AE111" s="46"/>
    </row>
    <row r="112" spans="2:31">
      <c r="B112" s="127" t="s">
        <v>82</v>
      </c>
      <c r="C112" s="167">
        <v>0</v>
      </c>
      <c r="D112" s="167">
        <v>0</v>
      </c>
      <c r="E112" s="167">
        <v>0</v>
      </c>
      <c r="F112" s="167">
        <v>0</v>
      </c>
      <c r="G112" s="165"/>
      <c r="H112" s="167">
        <v>0</v>
      </c>
      <c r="I112" s="167">
        <v>0</v>
      </c>
      <c r="J112" s="167">
        <v>0</v>
      </c>
      <c r="K112" s="165">
        <f>SUM(D112-SUM(H112:J112))</f>
        <v>0</v>
      </c>
      <c r="L112" s="167">
        <v>0</v>
      </c>
      <c r="M112" s="167">
        <v>0</v>
      </c>
      <c r="N112" s="167">
        <v>0</v>
      </c>
      <c r="O112" s="165">
        <f>SUM(E112-SUM(L112:N112))</f>
        <v>0</v>
      </c>
      <c r="P112" s="167">
        <v>0</v>
      </c>
      <c r="Q112" s="167">
        <v>0</v>
      </c>
      <c r="R112" s="167">
        <v>0</v>
      </c>
      <c r="S112" s="165">
        <f>SUM(I112-SUM(P112:R112))</f>
        <v>0</v>
      </c>
      <c r="T112" s="165"/>
      <c r="U112" s="165">
        <f>SUM(K112:N112)</f>
        <v>0</v>
      </c>
      <c r="V112" s="165">
        <f>SUM(L112:O112)</f>
        <v>0</v>
      </c>
      <c r="W112" s="165">
        <f>SUM(M112:P112)</f>
        <v>0</v>
      </c>
      <c r="X112" s="165">
        <f>SUM(N112:Q112)</f>
        <v>0</v>
      </c>
      <c r="Y112" s="165">
        <f>SUM(O112:R112)</f>
        <v>0</v>
      </c>
      <c r="Z112" s="165">
        <f>SUM(P112:S112)</f>
        <v>0</v>
      </c>
      <c r="AA112" s="165">
        <f t="shared" ref="AA112:AC112" si="147">SUM(Q112:T112)</f>
        <v>0</v>
      </c>
      <c r="AB112" s="165">
        <f t="shared" si="147"/>
        <v>0</v>
      </c>
      <c r="AC112" s="129">
        <f t="shared" si="147"/>
        <v>0</v>
      </c>
      <c r="AD112" s="11"/>
      <c r="AE112" s="46"/>
    </row>
    <row r="113" spans="2:31">
      <c r="B113" s="127" t="s">
        <v>96</v>
      </c>
      <c r="C113" s="167">
        <v>0</v>
      </c>
      <c r="D113" s="167">
        <v>0</v>
      </c>
      <c r="E113" s="167">
        <v>0</v>
      </c>
      <c r="F113" s="167">
        <v>0</v>
      </c>
      <c r="G113" s="165"/>
      <c r="H113" s="167">
        <v>0</v>
      </c>
      <c r="I113" s="167">
        <v>0</v>
      </c>
      <c r="J113" s="167">
        <v>0</v>
      </c>
      <c r="K113" s="165">
        <f>SUM(D113-SUM(H113:J113))</f>
        <v>0</v>
      </c>
      <c r="L113" s="167">
        <v>0</v>
      </c>
      <c r="M113" s="167">
        <v>0</v>
      </c>
      <c r="N113" s="167">
        <v>0</v>
      </c>
      <c r="O113" s="165">
        <f>SUM(E113-SUM(L113:N113))</f>
        <v>0</v>
      </c>
      <c r="P113" s="167">
        <v>0</v>
      </c>
      <c r="Q113" s="167">
        <v>0</v>
      </c>
      <c r="R113" s="167">
        <v>0</v>
      </c>
      <c r="S113" s="165">
        <f>SUM(I113-SUM(P113:R113))</f>
        <v>0</v>
      </c>
      <c r="T113" s="165"/>
      <c r="U113" s="165">
        <f>N113</f>
        <v>0</v>
      </c>
      <c r="V113" s="165">
        <f>O113</f>
        <v>0</v>
      </c>
      <c r="W113" s="165">
        <f>P113</f>
        <v>0</v>
      </c>
      <c r="X113" s="165">
        <f>Q113</f>
        <v>0</v>
      </c>
      <c r="Y113" s="165">
        <f>R113</f>
        <v>0</v>
      </c>
      <c r="Z113" s="165">
        <f>S113</f>
        <v>0</v>
      </c>
      <c r="AA113" s="165">
        <f t="shared" ref="AA113:AC113" si="148">T113</f>
        <v>0</v>
      </c>
      <c r="AB113" s="165">
        <f t="shared" si="148"/>
        <v>0</v>
      </c>
      <c r="AC113" s="129">
        <f t="shared" si="148"/>
        <v>0</v>
      </c>
      <c r="AD113" s="11"/>
      <c r="AE113" s="46"/>
    </row>
    <row r="114" spans="2:31">
      <c r="B114" s="127" t="s">
        <v>60</v>
      </c>
      <c r="C114" s="165">
        <f>+C105+C99+C95</f>
        <v>12506</v>
      </c>
      <c r="D114" s="165">
        <f>+D105+D99+D95</f>
        <v>-21056</v>
      </c>
      <c r="E114" s="165">
        <f>+E105+E99+E95</f>
        <v>7068</v>
      </c>
      <c r="F114" s="165">
        <f>+F105+F99+F95</f>
        <v>-10540</v>
      </c>
      <c r="G114" s="165"/>
      <c r="H114" s="165">
        <f>+H105+H99+H95</f>
        <v>-8042</v>
      </c>
      <c r="I114" s="165">
        <f>+I105+I99+I95</f>
        <v>-7428</v>
      </c>
      <c r="J114" s="165">
        <f>+J105+J99+J95</f>
        <v>-8347</v>
      </c>
      <c r="K114" s="165">
        <f>+K105+K99+K95</f>
        <v>2761</v>
      </c>
      <c r="L114" s="165">
        <f>+L105+L99+L95</f>
        <v>-793</v>
      </c>
      <c r="M114" s="165">
        <f>+M105+M99+M95</f>
        <v>167</v>
      </c>
      <c r="N114" s="165">
        <f>+N105+N99+N95</f>
        <v>2396</v>
      </c>
      <c r="O114" s="165">
        <f>+O105+O99+O95</f>
        <v>5298</v>
      </c>
      <c r="P114" s="165">
        <f>+P105+P99+P95</f>
        <v>-2105</v>
      </c>
      <c r="Q114" s="165">
        <f>+Q105+Q99+Q95</f>
        <v>2043</v>
      </c>
      <c r="R114" s="165">
        <f>+R105+R99+R95</f>
        <v>1462</v>
      </c>
      <c r="S114" s="165">
        <f>+S105+S99+S95</f>
        <v>-11940</v>
      </c>
      <c r="T114" s="165"/>
      <c r="U114" s="32">
        <f>K114</f>
        <v>2761</v>
      </c>
      <c r="V114" s="165">
        <f t="shared" ref="V114:AC114" si="149">L114</f>
        <v>-793</v>
      </c>
      <c r="W114" s="165">
        <f t="shared" si="149"/>
        <v>167</v>
      </c>
      <c r="X114" s="165">
        <f t="shared" si="149"/>
        <v>2396</v>
      </c>
      <c r="Y114" s="165">
        <f t="shared" si="149"/>
        <v>5298</v>
      </c>
      <c r="Z114" s="165">
        <f t="shared" si="149"/>
        <v>-2105</v>
      </c>
      <c r="AA114" s="165">
        <f t="shared" si="149"/>
        <v>2043</v>
      </c>
      <c r="AB114" s="165">
        <f t="shared" si="149"/>
        <v>1462</v>
      </c>
      <c r="AC114" s="129">
        <f t="shared" si="149"/>
        <v>-11940</v>
      </c>
      <c r="AD114" s="11"/>
      <c r="AE114" s="46"/>
    </row>
    <row r="115" spans="2:31">
      <c r="B115" s="85" t="s">
        <v>68</v>
      </c>
      <c r="C115" s="81">
        <f t="shared" ref="C115" si="150">SUM(C110:C114)</f>
        <v>39648</v>
      </c>
      <c r="D115" s="81">
        <f t="shared" ref="D115:F115" si="151">SUM(D110:D114)</f>
        <v>18592</v>
      </c>
      <c r="E115" s="81">
        <f t="shared" si="151"/>
        <v>25660</v>
      </c>
      <c r="F115" s="81">
        <f t="shared" si="151"/>
        <v>15120</v>
      </c>
      <c r="G115" s="165"/>
      <c r="H115" s="81">
        <f t="shared" ref="H115:K115" si="152">SUM(H110:H114)</f>
        <v>31606</v>
      </c>
      <c r="I115" s="81">
        <f t="shared" si="152"/>
        <v>24178</v>
      </c>
      <c r="J115" s="81">
        <f t="shared" si="152"/>
        <v>15831</v>
      </c>
      <c r="K115" s="81">
        <f t="shared" si="152"/>
        <v>18592</v>
      </c>
      <c r="L115" s="81">
        <f t="shared" ref="L115:S115" si="153">SUM(L110:L114)</f>
        <v>17799</v>
      </c>
      <c r="M115" s="81">
        <f t="shared" si="153"/>
        <v>17966</v>
      </c>
      <c r="N115" s="81">
        <f t="shared" si="153"/>
        <v>20362</v>
      </c>
      <c r="O115" s="81">
        <f t="shared" si="153"/>
        <v>25660</v>
      </c>
      <c r="P115" s="81">
        <f t="shared" si="153"/>
        <v>23555</v>
      </c>
      <c r="Q115" s="81">
        <f t="shared" si="153"/>
        <v>25598</v>
      </c>
      <c r="R115" s="81">
        <f t="shared" si="153"/>
        <v>27060</v>
      </c>
      <c r="S115" s="81">
        <f t="shared" si="153"/>
        <v>15120</v>
      </c>
      <c r="T115" s="165"/>
      <c r="U115" s="168">
        <f t="shared" ref="U115:AC115" si="154">SUM(U110:U114)</f>
        <v>18592</v>
      </c>
      <c r="V115" s="168">
        <f t="shared" si="154"/>
        <v>17799</v>
      </c>
      <c r="W115" s="168">
        <f t="shared" si="154"/>
        <v>17966</v>
      </c>
      <c r="X115" s="168">
        <f t="shared" si="154"/>
        <v>20362</v>
      </c>
      <c r="Y115" s="168">
        <f t="shared" si="154"/>
        <v>25660</v>
      </c>
      <c r="Z115" s="168">
        <f t="shared" si="154"/>
        <v>23555</v>
      </c>
      <c r="AA115" s="168">
        <f t="shared" si="154"/>
        <v>25598</v>
      </c>
      <c r="AB115" s="168">
        <f t="shared" si="154"/>
        <v>27060</v>
      </c>
      <c r="AC115" s="166">
        <f t="shared" si="154"/>
        <v>15120</v>
      </c>
      <c r="AD115" s="11"/>
      <c r="AE115" s="46"/>
    </row>
    <row r="116" spans="2:31" ht="5.0999999999999996" customHeight="1">
      <c r="B116" s="86"/>
      <c r="C116" s="65"/>
      <c r="D116" s="65"/>
      <c r="E116" s="65"/>
      <c r="F116" s="65"/>
      <c r="G116" s="1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153"/>
      <c r="U116" s="170"/>
      <c r="V116" s="170"/>
      <c r="W116" s="170"/>
      <c r="X116" s="170"/>
      <c r="Y116" s="170"/>
      <c r="Z116" s="170"/>
      <c r="AA116" s="170"/>
      <c r="AB116" s="170"/>
      <c r="AC116" s="87"/>
      <c r="AD116" s="11"/>
      <c r="AE116" s="46"/>
    </row>
    <row r="117" spans="2:31">
      <c r="B117" s="133" t="s">
        <v>88</v>
      </c>
      <c r="C117" s="83">
        <f>ROUND(C115-C45,1)</f>
        <v>0</v>
      </c>
      <c r="D117" s="83">
        <f>ROUND(D115-D45,1)</f>
        <v>0</v>
      </c>
      <c r="E117" s="83">
        <f>ROUND(E115-E45,1)</f>
        <v>0</v>
      </c>
      <c r="F117" s="83">
        <f>ROUND(F115-F45,1)</f>
        <v>0</v>
      </c>
      <c r="G117" s="84"/>
      <c r="H117" s="83">
        <f>ROUND(H115-H45,1)</f>
        <v>0</v>
      </c>
      <c r="I117" s="83">
        <f>ROUND(I115-I45,1)</f>
        <v>0</v>
      </c>
      <c r="J117" s="83">
        <f>ROUND(J115-J45,1)</f>
        <v>0</v>
      </c>
      <c r="K117" s="83">
        <f>ROUND(K115-K45,1)</f>
        <v>0</v>
      </c>
      <c r="L117" s="83">
        <f>ROUND(L115-L45,1)</f>
        <v>0</v>
      </c>
      <c r="M117" s="83">
        <f>ROUND(M115-M45,1)</f>
        <v>0</v>
      </c>
      <c r="N117" s="83">
        <f>ROUND(N115-N45,1)</f>
        <v>0</v>
      </c>
      <c r="O117" s="83">
        <f>ROUND(O115-O45,1)</f>
        <v>0</v>
      </c>
      <c r="P117" s="83">
        <f>ROUND(P115-P45,1)</f>
        <v>0</v>
      </c>
      <c r="Q117" s="83">
        <f>ROUND(Q115-Q45,1)</f>
        <v>0</v>
      </c>
      <c r="R117" s="83">
        <f>ROUND(R115-R45,1)</f>
        <v>0</v>
      </c>
      <c r="S117" s="83">
        <f>ROUND(S115-S45,1)</f>
        <v>0</v>
      </c>
      <c r="T117" s="83"/>
      <c r="U117" s="83">
        <f>U115-U45</f>
        <v>0</v>
      </c>
      <c r="V117" s="83">
        <f>V115-V45</f>
        <v>0</v>
      </c>
      <c r="W117" s="83">
        <f>W115-W45</f>
        <v>0</v>
      </c>
      <c r="X117" s="83">
        <f>X115-X45</f>
        <v>0</v>
      </c>
      <c r="Y117" s="83">
        <f>Y115-Y45</f>
        <v>0</v>
      </c>
      <c r="Z117" s="83">
        <f>Z115-Z45</f>
        <v>0</v>
      </c>
      <c r="AA117" s="83">
        <f>AA115-AA45</f>
        <v>0</v>
      </c>
      <c r="AB117" s="83">
        <f>AB115-AB45</f>
        <v>0</v>
      </c>
      <c r="AC117" s="131">
        <f>AC115-AC45</f>
        <v>0</v>
      </c>
      <c r="AD117" s="11"/>
      <c r="AE117" s="46"/>
    </row>
    <row r="118" spans="2:31" ht="5.0999999999999996" customHeight="1" thickBot="1">
      <c r="B118" s="71"/>
      <c r="C118" s="72"/>
      <c r="D118" s="72"/>
      <c r="E118" s="72"/>
      <c r="F118" s="72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E118" s="46"/>
    </row>
    <row r="119" spans="2:31" ht="12.75" customHeight="1"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  <c r="AA119" s="140"/>
      <c r="AB119" s="140"/>
      <c r="AC119" s="126"/>
      <c r="AE119" s="46"/>
    </row>
    <row r="120" spans="2:31" ht="12.75" customHeight="1">
      <c r="B120" s="54"/>
      <c r="C120" s="66"/>
      <c r="D120" s="66"/>
      <c r="E120" s="66"/>
      <c r="F120" s="66"/>
    </row>
    <row r="121" spans="2:31" ht="12.75" customHeight="1">
      <c r="C121" s="57"/>
      <c r="D121" s="57"/>
      <c r="E121" s="57"/>
      <c r="F121" s="57"/>
    </row>
    <row r="122" spans="2:31" ht="12.75" customHeight="1">
      <c r="C122" s="57"/>
      <c r="D122" s="57"/>
      <c r="E122" s="57"/>
      <c r="F122" s="57"/>
    </row>
    <row r="123" spans="2:31" ht="12.75" customHeight="1">
      <c r="C123" s="57"/>
      <c r="D123" s="57"/>
      <c r="E123" s="57"/>
      <c r="F123" s="57"/>
    </row>
    <row r="124" spans="2:31" ht="12.75" customHeight="1">
      <c r="C124" s="57"/>
      <c r="D124" s="57"/>
      <c r="E124" s="57"/>
      <c r="F124" s="57"/>
    </row>
    <row r="125" spans="2:31" ht="12.75" customHeight="1">
      <c r="C125" s="57"/>
      <c r="D125" s="57"/>
      <c r="E125" s="57"/>
      <c r="F125" s="57"/>
      <c r="H125" s="82"/>
      <c r="I125" s="82"/>
      <c r="J125" s="82"/>
      <c r="K125" s="82"/>
      <c r="L125" s="82"/>
      <c r="M125" s="82"/>
      <c r="N125" s="82"/>
      <c r="O125" s="82"/>
      <c r="P125" s="82"/>
      <c r="Q125" s="82"/>
    </row>
    <row r="126" spans="2:31" ht="12.75" customHeight="1">
      <c r="C126" s="57"/>
      <c r="D126" s="57"/>
      <c r="E126" s="57"/>
      <c r="F126" s="57"/>
    </row>
    <row r="127" spans="2:31" ht="12.75" customHeight="1">
      <c r="C127" s="57"/>
      <c r="D127" s="57"/>
      <c r="E127" s="57"/>
      <c r="F127" s="57"/>
      <c r="H127" s="82"/>
      <c r="I127" s="82"/>
      <c r="J127" s="82"/>
      <c r="K127" s="82"/>
      <c r="L127" s="82"/>
      <c r="M127" s="82"/>
      <c r="N127" s="82"/>
      <c r="O127" s="82"/>
      <c r="P127" s="82"/>
      <c r="Q127" s="82"/>
    </row>
    <row r="128" spans="2:31">
      <c r="H128" s="82"/>
      <c r="I128" s="82"/>
      <c r="J128" s="82"/>
      <c r="K128" s="82"/>
      <c r="L128" s="82"/>
      <c r="M128" s="82"/>
      <c r="N128" s="82"/>
      <c r="O128" s="82"/>
      <c r="P128" s="82"/>
      <c r="Q128" s="82"/>
    </row>
    <row r="129" spans="8:17">
      <c r="H129" s="82"/>
      <c r="I129" s="82"/>
      <c r="J129" s="82"/>
      <c r="K129" s="82"/>
      <c r="L129" s="82"/>
      <c r="M129" s="82"/>
      <c r="N129" s="82"/>
      <c r="O129" s="82"/>
      <c r="P129" s="82"/>
      <c r="Q129" s="82"/>
    </row>
    <row r="131" spans="8:17">
      <c r="H131" s="82"/>
      <c r="I131" s="82"/>
      <c r="J131" s="82"/>
      <c r="K131" s="82"/>
      <c r="L131" s="82"/>
      <c r="M131" s="82"/>
      <c r="N131" s="82"/>
      <c r="O131" s="82"/>
      <c r="P131" s="82"/>
      <c r="Q131" s="82"/>
    </row>
    <row r="132" spans="8:17">
      <c r="H132" s="82"/>
      <c r="I132" s="82"/>
      <c r="J132" s="82"/>
      <c r="K132" s="82"/>
      <c r="L132" s="82"/>
      <c r="M132" s="82"/>
      <c r="N132" s="82"/>
      <c r="O132" s="82"/>
      <c r="P132" s="82"/>
      <c r="Q132" s="82"/>
    </row>
  </sheetData>
  <mergeCells count="5">
    <mergeCell ref="B119:AB119"/>
    <mergeCell ref="AE6:AE8"/>
    <mergeCell ref="AE40:AE42"/>
    <mergeCell ref="AE79:AE81"/>
    <mergeCell ref="B38:AE38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U20:X21 U25:X27" formulaRange="1"/>
    <ignoredError sqref="D15:F16 D20:F21 D25:F27 D29:F31 L31:S31 L25:S27 L29:S30 L19:S21 L15:S16 K17:K18 K15:K16 K22:K24 K19:K21 K29:K30 K28:S28 K25:K27 Y19:AC19 Y15:AA16 AC15:AC16 Y30:AA30 AC30 AA20:AC21 Y29:AC29 AA25:AC27 AE10:AE32 B48:B49 B47 H47:S47 AC99:AE99 AC96:AD97 AD98:AE98 AC100:AD100 AC101:AE101 AC95:AE95 AE100 AE96:AE97 H91:S91 H99:S99 H96:S97 H100:S100 H95:S95 H101:S101 AD45:AE46 U48:AE49 U47:AE47 U91:AE91 U99:AB99 U96:AB97 AD104:AE104 U100:AB100 U95:AB95 U101:AB101 U52:AE54 AD50:AE51 U60:AE62 AD55:AE59 AD63:AE66 AD102:AE103 AD92:AE93 G45:G46 D48:S49 D47:F47 T45:T46 D52:S54 T50:T51 D60:S62 G59 T55:T59 G63:G66 T63:T66 T92:T93 T98 T104 T102:T103 O17:O18 S17:S18 O22:O24 S22:S24 S45:S46 G50 G51 G55 G56 G57 G58 S92:S93 B52:B54 B60:B62 AD94:AE94 T94 S94 T47 T91 T99 T96:T97 T100 T95 T101 T48:T49 T52:T54 T60:T62" evalError="1"/>
    <ignoredError sqref="H112:S112" formula="1"/>
    <ignoredError sqref="Y25:Z27 Y20:Z21 AB30 AB15:AB16 G47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E70"/>
  <sheetViews>
    <sheetView showGridLines="0" zoomScaleNormal="100" workbookViewId="0">
      <selection activeCell="Q12" sqref="Q12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13" width="8" style="8" hidden="1" customWidth="1" outlineLevel="1"/>
    <col min="14" max="14" width="8.875" style="8" hidden="1" customWidth="1" outlineLevel="1"/>
    <col min="15" max="15" width="8.875" style="8" customWidth="1" collapsed="1"/>
    <col min="16" max="17" width="8.875" style="8" customWidth="1"/>
    <col min="18" max="19" width="8.875" style="8" bestFit="1" customWidth="1"/>
    <col min="20" max="20" width="1.625" style="8" customWidth="1"/>
    <col min="21" max="21" width="8.25" style="8" hidden="1" customWidth="1" outlineLevel="1"/>
    <col min="22" max="22" width="9.25" style="8" hidden="1" customWidth="1" outlineLevel="1"/>
    <col min="23" max="23" width="9.75" style="8" hidden="1" customWidth="1" outlineLevel="1"/>
    <col min="24" max="24" width="9" style="8" hidden="1" customWidth="1" outlineLevel="1"/>
    <col min="25" max="25" width="9" style="8" customWidth="1" collapsed="1"/>
    <col min="26" max="27" width="9" style="8" hidden="1" customWidth="1" outlineLevel="1"/>
    <col min="28" max="28" width="8.5" style="8" hidden="1" customWidth="1" outlineLevel="1"/>
    <col min="29" max="29" width="8.5" style="8" bestFit="1" customWidth="1" collapsed="1"/>
    <col min="30" max="30" width="1.5" style="8" customWidth="1"/>
    <col min="31" max="31" width="9.375" style="125" bestFit="1" customWidth="1"/>
    <col min="32" max="16384" width="9" style="8"/>
  </cols>
  <sheetData>
    <row r="2" spans="2:31" s="5" customFormat="1" ht="12.75" customHeight="1">
      <c r="B2" s="1" t="str">
        <f>'Historical Financials'!B2</f>
        <v>Galectin Therapeutics Inc.  (NASDAQ: GALT)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 t="s">
        <v>10</v>
      </c>
      <c r="Z2" s="2"/>
      <c r="AA2" s="2"/>
      <c r="AB2" s="2"/>
      <c r="AC2" s="2"/>
      <c r="AD2" s="3"/>
      <c r="AE2" s="144" t="s">
        <v>24</v>
      </c>
    </row>
    <row r="3" spans="2:31" s="5" customFormat="1" ht="12.75" customHeight="1">
      <c r="B3" s="6" t="s">
        <v>25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3"/>
      <c r="U3" s="4" t="str">
        <f>K3</f>
        <v>4Q22</v>
      </c>
      <c r="V3" s="4" t="str">
        <f>L3</f>
        <v>1Q23</v>
      </c>
      <c r="W3" s="4" t="str">
        <f>M3</f>
        <v>2Q23</v>
      </c>
      <c r="X3" s="4" t="str">
        <f>N3</f>
        <v>3Q23</v>
      </c>
      <c r="Y3" s="4" t="str">
        <f>O3</f>
        <v>4Q23</v>
      </c>
      <c r="Z3" s="4" t="str">
        <f>P3</f>
        <v>1Q24</v>
      </c>
      <c r="AA3" s="4" t="str">
        <f>Q3</f>
        <v>2Q24</v>
      </c>
      <c r="AB3" s="4" t="str">
        <f>R3</f>
        <v>3Q24</v>
      </c>
      <c r="AC3" s="4" t="str">
        <f>S3</f>
        <v>4Q24</v>
      </c>
      <c r="AD3" s="3"/>
      <c r="AE3" s="144"/>
    </row>
    <row r="4" spans="2:31" s="5" customFormat="1" ht="12.75" customHeight="1">
      <c r="B4" s="158" t="s">
        <v>122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>K4</f>
        <v>44926</v>
      </c>
      <c r="V4" s="3">
        <f>L4</f>
        <v>45016</v>
      </c>
      <c r="W4" s="3">
        <f>M4</f>
        <v>45107</v>
      </c>
      <c r="X4" s="3">
        <f>N4</f>
        <v>45199</v>
      </c>
      <c r="Y4" s="3">
        <f>O4</f>
        <v>45291</v>
      </c>
      <c r="Z4" s="3">
        <f>P4</f>
        <v>45382</v>
      </c>
      <c r="AA4" s="3">
        <f>Q4</f>
        <v>45473</v>
      </c>
      <c r="AB4" s="3">
        <f>R4</f>
        <v>45565</v>
      </c>
      <c r="AC4" s="3">
        <f>S4</f>
        <v>45657</v>
      </c>
      <c r="AD4" s="3"/>
      <c r="AE4" s="144"/>
    </row>
    <row r="5" spans="2:31" ht="5.0999999999999996" customHeight="1">
      <c r="AE5" s="121"/>
    </row>
    <row r="6" spans="2:31" ht="12.75" customHeight="1">
      <c r="B6" s="9" t="str">
        <f>'Historical Financials'!B10</f>
        <v>Consolidated Revenue</v>
      </c>
      <c r="C6" s="90">
        <f>'Historical Financials'!C10</f>
        <v>0</v>
      </c>
      <c r="D6" s="90">
        <f>'Historical Financials'!D10</f>
        <v>0</v>
      </c>
      <c r="E6" s="90">
        <f>'Historical Financials'!E10</f>
        <v>0</v>
      </c>
      <c r="F6" s="90">
        <f>'Historical Financials'!F10</f>
        <v>0</v>
      </c>
      <c r="G6" s="10"/>
      <c r="H6" s="90">
        <f>'Historical Financials'!H10</f>
        <v>0</v>
      </c>
      <c r="I6" s="90">
        <f>'Historical Financials'!I10</f>
        <v>0</v>
      </c>
      <c r="J6" s="90">
        <f>'Historical Financials'!J10</f>
        <v>0</v>
      </c>
      <c r="K6" s="90">
        <f>'Historical Financials'!K10</f>
        <v>0</v>
      </c>
      <c r="L6" s="90">
        <f>'Historical Financials'!L10</f>
        <v>0</v>
      </c>
      <c r="M6" s="90">
        <f>'Historical Financials'!M10</f>
        <v>0</v>
      </c>
      <c r="N6" s="90">
        <f>'Historical Financials'!N10</f>
        <v>0</v>
      </c>
      <c r="O6" s="90">
        <f>'Historical Financials'!O10</f>
        <v>0</v>
      </c>
      <c r="P6" s="90">
        <f>'Historical Financials'!P10</f>
        <v>0</v>
      </c>
      <c r="Q6" s="90">
        <f>'Historical Financials'!Q10</f>
        <v>0</v>
      </c>
      <c r="R6" s="90">
        <f>'Historical Financials'!R10</f>
        <v>0</v>
      </c>
      <c r="S6" s="90">
        <f>'Historical Financials'!S10</f>
        <v>0</v>
      </c>
      <c r="T6" s="5"/>
      <c r="U6" s="137">
        <f t="shared" ref="U6:AB6" si="0">SUM(H6:K6)</f>
        <v>0</v>
      </c>
      <c r="V6" s="137">
        <f t="shared" si="0"/>
        <v>0</v>
      </c>
      <c r="W6" s="137">
        <f t="shared" si="0"/>
        <v>0</v>
      </c>
      <c r="X6" s="137">
        <f t="shared" si="0"/>
        <v>0</v>
      </c>
      <c r="Y6" s="137">
        <f t="shared" si="0"/>
        <v>0</v>
      </c>
      <c r="Z6" s="137">
        <f t="shared" si="0"/>
        <v>0</v>
      </c>
      <c r="AA6" s="137">
        <f t="shared" si="0"/>
        <v>0</v>
      </c>
      <c r="AB6" s="137">
        <f t="shared" si="0"/>
        <v>0</v>
      </c>
      <c r="AC6" s="137">
        <f>SUM(P6:S6)</f>
        <v>0</v>
      </c>
      <c r="AE6" s="122" t="e">
        <f>SUM(AC6/Y6)-1</f>
        <v>#DIV/0!</v>
      </c>
    </row>
    <row r="7" spans="2:31" ht="12.75" customHeight="1">
      <c r="B7" s="13" t="s">
        <v>12</v>
      </c>
      <c r="C7" s="14">
        <f>SUM(C6:C6)</f>
        <v>0</v>
      </c>
      <c r="D7" s="14">
        <f>SUM(D6:D6)</f>
        <v>0</v>
      </c>
      <c r="E7" s="14">
        <f>SUM(E6:E6)</f>
        <v>0</v>
      </c>
      <c r="F7" s="14">
        <f>SUM(F6:F6)</f>
        <v>0</v>
      </c>
      <c r="G7" s="10"/>
      <c r="H7" s="14">
        <f>SUM(H6:H6)</f>
        <v>0</v>
      </c>
      <c r="I7" s="14">
        <f>SUM(I6:I6)</f>
        <v>0</v>
      </c>
      <c r="J7" s="14">
        <f>SUM(J6:J6)</f>
        <v>0</v>
      </c>
      <c r="K7" s="14">
        <f>SUM(K6:K6)</f>
        <v>0</v>
      </c>
      <c r="L7" s="14">
        <f>SUM(L6:L6)</f>
        <v>0</v>
      </c>
      <c r="M7" s="14">
        <f>SUM(M6:M6)</f>
        <v>0</v>
      </c>
      <c r="N7" s="14">
        <f>SUM(N6:N6)</f>
        <v>0</v>
      </c>
      <c r="O7" s="14">
        <f>SUM(O6:O6)</f>
        <v>0</v>
      </c>
      <c r="P7" s="14">
        <f>SUM(P6:P6)</f>
        <v>0</v>
      </c>
      <c r="Q7" s="14">
        <f>SUM(Q6:Q6)</f>
        <v>0</v>
      </c>
      <c r="R7" s="14">
        <f>SUM(R6:R6)</f>
        <v>0</v>
      </c>
      <c r="S7" s="14">
        <f>SUM(S6:S6)</f>
        <v>0</v>
      </c>
      <c r="T7" s="5"/>
      <c r="U7" s="14">
        <f>SUM(U6:U6)</f>
        <v>0</v>
      </c>
      <c r="V7" s="14">
        <f>SUM(V6:V6)</f>
        <v>0</v>
      </c>
      <c r="W7" s="14">
        <f>SUM(W6:W6)</f>
        <v>0</v>
      </c>
      <c r="X7" s="14">
        <f>SUM(X6:X6)</f>
        <v>0</v>
      </c>
      <c r="Y7" s="14">
        <f>SUM(Y6:Y6)</f>
        <v>0</v>
      </c>
      <c r="Z7" s="14">
        <f>SUM(Z6:Z6)</f>
        <v>0</v>
      </c>
      <c r="AA7" s="14">
        <f>SUM(AA6:AA6)</f>
        <v>0</v>
      </c>
      <c r="AB7" s="14">
        <f>SUM(AB6:AB6)</f>
        <v>0</v>
      </c>
      <c r="AC7" s="14">
        <f>SUM(AC6:AC6)</f>
        <v>0</v>
      </c>
      <c r="AE7" s="123" t="e">
        <f>SUM(AC7/Y7)-1</f>
        <v>#DIV/0!</v>
      </c>
    </row>
    <row r="8" spans="2:31" ht="12.75" customHeight="1">
      <c r="B8" s="16" t="s">
        <v>26</v>
      </c>
      <c r="C8" s="110"/>
      <c r="D8" s="17" t="e">
        <f>SUM(D7/C7)-1</f>
        <v>#DIV/0!</v>
      </c>
      <c r="E8" s="17" t="e">
        <f>SUM(E7/D7)-1</f>
        <v>#DIV/0!</v>
      </c>
      <c r="F8" s="17" t="e">
        <f>SUM(F7/E7)-1</f>
        <v>#DIV/0!</v>
      </c>
      <c r="G8" s="11"/>
      <c r="H8" s="110"/>
      <c r="I8" s="110"/>
      <c r="J8" s="110"/>
      <c r="K8" s="110"/>
      <c r="L8" s="17" t="e">
        <f t="shared" ref="L8" si="1">SUM(L7/H7)-1</f>
        <v>#DIV/0!</v>
      </c>
      <c r="M8" s="17" t="e">
        <f t="shared" ref="M8" si="2">SUM(M7/I7)-1</f>
        <v>#DIV/0!</v>
      </c>
      <c r="N8" s="17" t="e">
        <f t="shared" ref="N8" si="3">SUM(N7/J7)-1</f>
        <v>#DIV/0!</v>
      </c>
      <c r="O8" s="17" t="e">
        <f t="shared" ref="O8" si="4">SUM(O7/K7)-1</f>
        <v>#DIV/0!</v>
      </c>
      <c r="P8" s="17" t="e">
        <f t="shared" ref="P8:S8" si="5">SUM(P7/L7)-1</f>
        <v>#DIV/0!</v>
      </c>
      <c r="Q8" s="17" t="e">
        <f t="shared" si="5"/>
        <v>#DIV/0!</v>
      </c>
      <c r="R8" s="17" t="e">
        <f t="shared" si="5"/>
        <v>#DIV/0!</v>
      </c>
      <c r="S8" s="17" t="e">
        <f t="shared" si="5"/>
        <v>#DIV/0!</v>
      </c>
      <c r="T8" s="5"/>
      <c r="U8" s="110"/>
      <c r="V8" s="110"/>
      <c r="W8" s="110"/>
      <c r="X8" s="110"/>
      <c r="Y8" s="17" t="e">
        <f t="shared" ref="Y8:AC8" si="6">SUM(Y7/U7)-1</f>
        <v>#DIV/0!</v>
      </c>
      <c r="Z8" s="17" t="e">
        <f t="shared" si="6"/>
        <v>#DIV/0!</v>
      </c>
      <c r="AA8" s="17" t="e">
        <f t="shared" si="6"/>
        <v>#DIV/0!</v>
      </c>
      <c r="AB8" s="17" t="e">
        <f t="shared" si="6"/>
        <v>#DIV/0!</v>
      </c>
      <c r="AC8" s="17" t="e">
        <f t="shared" si="6"/>
        <v>#DIV/0!</v>
      </c>
      <c r="AE8" s="124" t="e">
        <f>SUM(AC8-Y8)*10000</f>
        <v>#DIV/0!</v>
      </c>
    </row>
    <row r="9" spans="2:31" ht="12.75" customHeight="1">
      <c r="B9" s="16" t="s">
        <v>27</v>
      </c>
      <c r="C9" s="17" t="s">
        <v>28</v>
      </c>
      <c r="D9" s="17" t="s">
        <v>28</v>
      </c>
      <c r="E9" s="17" t="s">
        <v>28</v>
      </c>
      <c r="F9" s="17" t="s">
        <v>28</v>
      </c>
      <c r="G9" s="11"/>
      <c r="H9" s="110"/>
      <c r="I9" s="17" t="e">
        <f t="shared" ref="I9" si="7">SUM(I7/H7)-1</f>
        <v>#DIV/0!</v>
      </c>
      <c r="J9" s="17" t="e">
        <f t="shared" ref="J9" si="8">SUM(J7/I7)-1</f>
        <v>#DIV/0!</v>
      </c>
      <c r="K9" s="17" t="e">
        <f t="shared" ref="K9" si="9">SUM(K7/J7)-1</f>
        <v>#DIV/0!</v>
      </c>
      <c r="L9" s="17" t="e">
        <f t="shared" ref="L9" si="10">SUM(L7/K7)-1</f>
        <v>#DIV/0!</v>
      </c>
      <c r="M9" s="17" t="e">
        <f t="shared" ref="M9:S9" si="11">SUM(M7/L7)-1</f>
        <v>#DIV/0!</v>
      </c>
      <c r="N9" s="17" t="e">
        <f t="shared" si="11"/>
        <v>#DIV/0!</v>
      </c>
      <c r="O9" s="17" t="e">
        <f t="shared" si="11"/>
        <v>#DIV/0!</v>
      </c>
      <c r="P9" s="17" t="e">
        <f t="shared" si="11"/>
        <v>#DIV/0!</v>
      </c>
      <c r="Q9" s="17" t="e">
        <f t="shared" si="11"/>
        <v>#DIV/0!</v>
      </c>
      <c r="R9" s="17" t="e">
        <f t="shared" si="11"/>
        <v>#DIV/0!</v>
      </c>
      <c r="S9" s="17" t="e">
        <f t="shared" si="11"/>
        <v>#DIV/0!</v>
      </c>
      <c r="T9" s="5"/>
      <c r="U9" s="17" t="s">
        <v>28</v>
      </c>
      <c r="V9" s="17" t="s">
        <v>28</v>
      </c>
      <c r="W9" s="17" t="s">
        <v>28</v>
      </c>
      <c r="X9" s="17" t="s">
        <v>28</v>
      </c>
      <c r="Y9" s="17" t="s">
        <v>28</v>
      </c>
      <c r="Z9" s="17" t="s">
        <v>28</v>
      </c>
      <c r="AA9" s="17" t="s">
        <v>28</v>
      </c>
      <c r="AB9" s="17" t="s">
        <v>28</v>
      </c>
      <c r="AC9" s="17" t="s">
        <v>28</v>
      </c>
      <c r="AE9" s="121"/>
    </row>
    <row r="10" spans="2:31" ht="5.0999999999999996" customHeight="1">
      <c r="B10" s="18"/>
      <c r="C10" s="19"/>
      <c r="D10" s="19"/>
      <c r="E10" s="19"/>
      <c r="F10" s="19"/>
      <c r="G10" s="20"/>
      <c r="H10" s="21"/>
      <c r="I10" s="21"/>
      <c r="J10" s="21"/>
      <c r="K10" s="21"/>
      <c r="L10" s="21"/>
      <c r="M10" s="21"/>
      <c r="N10" s="21"/>
      <c r="O10" s="22"/>
      <c r="P10" s="21"/>
      <c r="Q10" s="21"/>
      <c r="R10" s="21"/>
      <c r="S10" s="21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E10" s="121"/>
    </row>
    <row r="11" spans="2:31" ht="12.75" customHeight="1">
      <c r="B11" s="23" t="s">
        <v>102</v>
      </c>
      <c r="C11" s="90">
        <f>'Historical Financials'!C13</f>
        <v>0</v>
      </c>
      <c r="D11" s="90">
        <f>'Historical Financials'!D13</f>
        <v>0</v>
      </c>
      <c r="E11" s="90">
        <f>'Historical Financials'!E13</f>
        <v>0</v>
      </c>
      <c r="F11" s="90">
        <f>'Historical Financials'!F13</f>
        <v>0</v>
      </c>
      <c r="G11" s="10"/>
      <c r="H11" s="90">
        <f>'Historical Financials'!H13</f>
        <v>0</v>
      </c>
      <c r="I11" s="90">
        <f>'Historical Financials'!I13</f>
        <v>0</v>
      </c>
      <c r="J11" s="90">
        <f>'Historical Financials'!J13</f>
        <v>0</v>
      </c>
      <c r="K11" s="90">
        <f>'Historical Financials'!K13</f>
        <v>0</v>
      </c>
      <c r="L11" s="90">
        <f>'Historical Financials'!L13</f>
        <v>0</v>
      </c>
      <c r="M11" s="90">
        <f>'Historical Financials'!M13</f>
        <v>0</v>
      </c>
      <c r="N11" s="90">
        <f>'Historical Financials'!N13</f>
        <v>0</v>
      </c>
      <c r="O11" s="90">
        <f>'Historical Financials'!O13</f>
        <v>0</v>
      </c>
      <c r="P11" s="90">
        <f>'Historical Financials'!P13</f>
        <v>0</v>
      </c>
      <c r="Q11" s="90">
        <f>'Historical Financials'!Q13</f>
        <v>0</v>
      </c>
      <c r="R11" s="90">
        <f>'Historical Financials'!R13</f>
        <v>0</v>
      </c>
      <c r="S11" s="90">
        <f>'Historical Financials'!S13</f>
        <v>0</v>
      </c>
      <c r="T11" s="5"/>
      <c r="U11" s="137">
        <f t="shared" ref="U11:AC11" si="12">SUM(H11:K11)</f>
        <v>0</v>
      </c>
      <c r="V11" s="137">
        <f t="shared" si="12"/>
        <v>0</v>
      </c>
      <c r="W11" s="137">
        <f t="shared" si="12"/>
        <v>0</v>
      </c>
      <c r="X11" s="137">
        <f t="shared" si="12"/>
        <v>0</v>
      </c>
      <c r="Y11" s="137">
        <f t="shared" si="12"/>
        <v>0</v>
      </c>
      <c r="Z11" s="137">
        <f t="shared" si="12"/>
        <v>0</v>
      </c>
      <c r="AA11" s="137">
        <f t="shared" si="12"/>
        <v>0</v>
      </c>
      <c r="AB11" s="137">
        <f t="shared" si="12"/>
        <v>0</v>
      </c>
      <c r="AC11" s="137">
        <f t="shared" si="12"/>
        <v>0</v>
      </c>
      <c r="AE11" s="122" t="e">
        <f>SUM(AC11/Y11)-1</f>
        <v>#DIV/0!</v>
      </c>
    </row>
    <row r="12" spans="2:31" ht="12.75" customHeight="1">
      <c r="B12" s="25" t="s">
        <v>22</v>
      </c>
      <c r="C12" s="26">
        <f>SUM(C7+SUM(C11:C11))</f>
        <v>0</v>
      </c>
      <c r="D12" s="26">
        <f>SUM(D7+SUM(D11:D11))</f>
        <v>0</v>
      </c>
      <c r="E12" s="26">
        <f>SUM(E7+SUM(E11:E11))</f>
        <v>0</v>
      </c>
      <c r="F12" s="26">
        <f>SUM(F7+SUM(F11:F11))</f>
        <v>0</v>
      </c>
      <c r="G12" s="5"/>
      <c r="H12" s="26">
        <f t="shared" ref="H12" si="13">SUM(H7+SUM(H11:H11))</f>
        <v>0</v>
      </c>
      <c r="I12" s="26">
        <f t="shared" ref="I12" si="14">SUM(I7+SUM(I11:I11))</f>
        <v>0</v>
      </c>
      <c r="J12" s="26">
        <f t="shared" ref="J12" si="15">SUM(J7+SUM(J11:J11))</f>
        <v>0</v>
      </c>
      <c r="K12" s="26">
        <f t="shared" ref="K12" si="16">SUM(K7+SUM(K11:K11))</f>
        <v>0</v>
      </c>
      <c r="L12" s="26">
        <f t="shared" ref="L12:S12" si="17">SUM(L7+SUM(L11:L11))</f>
        <v>0</v>
      </c>
      <c r="M12" s="26">
        <f t="shared" si="17"/>
        <v>0</v>
      </c>
      <c r="N12" s="26">
        <f t="shared" si="17"/>
        <v>0</v>
      </c>
      <c r="O12" s="26">
        <f t="shared" si="17"/>
        <v>0</v>
      </c>
      <c r="P12" s="26">
        <f t="shared" si="17"/>
        <v>0</v>
      </c>
      <c r="Q12" s="26">
        <f t="shared" si="17"/>
        <v>0</v>
      </c>
      <c r="R12" s="26">
        <f t="shared" si="17"/>
        <v>0</v>
      </c>
      <c r="S12" s="26">
        <f t="shared" si="17"/>
        <v>0</v>
      </c>
      <c r="T12" s="5"/>
      <c r="U12" s="26">
        <f t="shared" ref="U12:AC12" si="18">SUM(U7+SUM(U11:U11))</f>
        <v>0</v>
      </c>
      <c r="V12" s="26">
        <f t="shared" si="18"/>
        <v>0</v>
      </c>
      <c r="W12" s="26">
        <f t="shared" si="18"/>
        <v>0</v>
      </c>
      <c r="X12" s="26">
        <f t="shared" si="18"/>
        <v>0</v>
      </c>
      <c r="Y12" s="26">
        <f t="shared" si="18"/>
        <v>0</v>
      </c>
      <c r="Z12" s="26">
        <f t="shared" si="18"/>
        <v>0</v>
      </c>
      <c r="AA12" s="26">
        <f t="shared" si="18"/>
        <v>0</v>
      </c>
      <c r="AB12" s="26">
        <f t="shared" si="18"/>
        <v>0</v>
      </c>
      <c r="AC12" s="26">
        <f t="shared" si="18"/>
        <v>0</v>
      </c>
      <c r="AE12" s="123" t="e">
        <f>SUM(AC12/Y12)-1</f>
        <v>#DIV/0!</v>
      </c>
    </row>
    <row r="13" spans="2:31" ht="12.75" customHeight="1">
      <c r="B13" s="16" t="s">
        <v>29</v>
      </c>
      <c r="C13" s="17" t="e">
        <f>C12/C7</f>
        <v>#DIV/0!</v>
      </c>
      <c r="D13" s="17" t="e">
        <f>D12/D7</f>
        <v>#DIV/0!</v>
      </c>
      <c r="E13" s="17" t="e">
        <f>E12/E7</f>
        <v>#DIV/0!</v>
      </c>
      <c r="F13" s="17" t="e">
        <f>F12/F7</f>
        <v>#DIV/0!</v>
      </c>
      <c r="G13" s="27"/>
      <c r="H13" s="17" t="e">
        <f t="shared" ref="H13" si="19">H12/H7</f>
        <v>#DIV/0!</v>
      </c>
      <c r="I13" s="17" t="e">
        <f t="shared" ref="I13" si="20">I12/I7</f>
        <v>#DIV/0!</v>
      </c>
      <c r="J13" s="17" t="e">
        <f t="shared" ref="J13" si="21">J12/J7</f>
        <v>#DIV/0!</v>
      </c>
      <c r="K13" s="17" t="e">
        <f t="shared" ref="K13" si="22">K12/K7</f>
        <v>#DIV/0!</v>
      </c>
      <c r="L13" s="17" t="e">
        <f t="shared" ref="L13:S13" si="23">L12/L7</f>
        <v>#DIV/0!</v>
      </c>
      <c r="M13" s="17" t="e">
        <f t="shared" si="23"/>
        <v>#DIV/0!</v>
      </c>
      <c r="N13" s="17" t="e">
        <f t="shared" si="23"/>
        <v>#DIV/0!</v>
      </c>
      <c r="O13" s="17" t="e">
        <f t="shared" si="23"/>
        <v>#DIV/0!</v>
      </c>
      <c r="P13" s="17" t="e">
        <f t="shared" si="23"/>
        <v>#DIV/0!</v>
      </c>
      <c r="Q13" s="17" t="e">
        <f t="shared" si="23"/>
        <v>#DIV/0!</v>
      </c>
      <c r="R13" s="17" t="e">
        <f t="shared" si="23"/>
        <v>#DIV/0!</v>
      </c>
      <c r="S13" s="17" t="e">
        <f t="shared" si="23"/>
        <v>#DIV/0!</v>
      </c>
      <c r="T13" s="28"/>
      <c r="U13" s="17" t="e">
        <f t="shared" ref="U13:AC13" si="24">U12/U7</f>
        <v>#DIV/0!</v>
      </c>
      <c r="V13" s="17" t="e">
        <f t="shared" si="24"/>
        <v>#DIV/0!</v>
      </c>
      <c r="W13" s="17" t="e">
        <f t="shared" si="24"/>
        <v>#DIV/0!</v>
      </c>
      <c r="X13" s="17" t="e">
        <f t="shared" si="24"/>
        <v>#DIV/0!</v>
      </c>
      <c r="Y13" s="17" t="e">
        <f t="shared" si="24"/>
        <v>#DIV/0!</v>
      </c>
      <c r="Z13" s="17" t="e">
        <f t="shared" si="24"/>
        <v>#DIV/0!</v>
      </c>
      <c r="AA13" s="17" t="e">
        <f t="shared" si="24"/>
        <v>#DIV/0!</v>
      </c>
      <c r="AB13" s="17" t="e">
        <f t="shared" si="24"/>
        <v>#DIV/0!</v>
      </c>
      <c r="AC13" s="17" t="e">
        <f t="shared" si="24"/>
        <v>#DIV/0!</v>
      </c>
      <c r="AE13" s="124" t="e">
        <f>SUM(AC13-Y13)*10000</f>
        <v>#DIV/0!</v>
      </c>
    </row>
    <row r="14" spans="2:31" ht="5.0999999999999996" customHeight="1"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5"/>
      <c r="U14" s="30"/>
      <c r="V14" s="30"/>
      <c r="W14" s="30"/>
      <c r="X14" s="30"/>
      <c r="Y14" s="30"/>
      <c r="Z14" s="30"/>
      <c r="AA14" s="30"/>
      <c r="AB14" s="30"/>
      <c r="AC14" s="30"/>
      <c r="AE14" s="121"/>
    </row>
    <row r="15" spans="2:31" ht="12.75" customHeight="1">
      <c r="B15" s="23" t="s">
        <v>118</v>
      </c>
      <c r="C15" s="136">
        <f>'Historical Financials'!C17</f>
        <v>-23818</v>
      </c>
      <c r="D15" s="136">
        <f>'Historical Financials'!D17</f>
        <v>-31737</v>
      </c>
      <c r="E15" s="136">
        <f>'Historical Financials'!E17</f>
        <v>-32130</v>
      </c>
      <c r="F15" s="136">
        <f>'Historical Financials'!F17</f>
        <v>-36571</v>
      </c>
      <c r="G15" s="90"/>
      <c r="H15" s="136">
        <f>'Historical Financials'!H17</f>
        <v>-8058</v>
      </c>
      <c r="I15" s="136">
        <f>'Historical Financials'!I17</f>
        <v>-8074</v>
      </c>
      <c r="J15" s="136">
        <f>'Historical Financials'!J17</f>
        <v>-6598</v>
      </c>
      <c r="K15" s="136">
        <f>'Historical Financials'!K17</f>
        <v>-9007</v>
      </c>
      <c r="L15" s="136">
        <f>'Historical Financials'!L17</f>
        <v>-8799</v>
      </c>
      <c r="M15" s="136">
        <f>'Historical Financials'!M17</f>
        <v>-7371</v>
      </c>
      <c r="N15" s="136">
        <f>'Historical Financials'!N17</f>
        <v>-7732</v>
      </c>
      <c r="O15" s="136">
        <f>'Historical Financials'!O17</f>
        <v>-8228</v>
      </c>
      <c r="P15" s="136">
        <f>'Historical Financials'!P17</f>
        <v>-8054</v>
      </c>
      <c r="Q15" s="136">
        <f>'Historical Financials'!Q17</f>
        <v>-9813</v>
      </c>
      <c r="R15" s="136">
        <f>'Historical Financials'!R17</f>
        <v>-7595</v>
      </c>
      <c r="S15" s="136">
        <f>'Historical Financials'!S17</f>
        <v>-11109</v>
      </c>
      <c r="T15" s="5"/>
      <c r="U15" s="137">
        <f t="shared" ref="U15:U16" si="25">SUM(H15:K15)</f>
        <v>-31737</v>
      </c>
      <c r="V15" s="137">
        <f t="shared" ref="V15:V16" si="26">SUM(I15:L15)</f>
        <v>-32478</v>
      </c>
      <c r="W15" s="137">
        <f t="shared" ref="W15:W16" si="27">SUM(J15:M15)</f>
        <v>-31775</v>
      </c>
      <c r="X15" s="137">
        <f t="shared" ref="X15:X16" si="28">SUM(K15:N15)</f>
        <v>-32909</v>
      </c>
      <c r="Y15" s="137">
        <f t="shared" ref="Y15:Y16" si="29">SUM(L15:O15)</f>
        <v>-32130</v>
      </c>
      <c r="Z15" s="137">
        <f t="shared" ref="Z15:Z16" si="30">SUM(M15:P15)</f>
        <v>-31385</v>
      </c>
      <c r="AA15" s="137">
        <f t="shared" ref="AA15:AA16" si="31">SUM(N15:Q15)</f>
        <v>-33827</v>
      </c>
      <c r="AB15" s="137">
        <f t="shared" ref="AB15:AB16" si="32">SUM(O15:R15)</f>
        <v>-33690</v>
      </c>
      <c r="AC15" s="137">
        <f t="shared" ref="AC15:AC16" si="33">SUM(P15:S15)</f>
        <v>-36571</v>
      </c>
      <c r="AE15" s="122">
        <f>SUM(AC15/Y15)-1</f>
        <v>0.1382197323373795</v>
      </c>
    </row>
    <row r="16" spans="2:31" ht="12.75" customHeight="1">
      <c r="B16" s="23" t="s">
        <v>119</v>
      </c>
      <c r="C16" s="136">
        <f>'Historical Financials'!C18</f>
        <v>-6361</v>
      </c>
      <c r="D16" s="136">
        <f>'Historical Financials'!D18</f>
        <v>-6615</v>
      </c>
      <c r="E16" s="136">
        <f>'Historical Financials'!E18</f>
        <v>-5942</v>
      </c>
      <c r="F16" s="136">
        <f>'Historical Financials'!F18</f>
        <v>-5862</v>
      </c>
      <c r="G16" s="90"/>
      <c r="H16" s="136">
        <f>'Historical Financials'!H18</f>
        <v>-1877</v>
      </c>
      <c r="I16" s="136">
        <f>'Historical Financials'!I18</f>
        <v>-1588</v>
      </c>
      <c r="J16" s="136">
        <f>'Historical Financials'!J18</f>
        <v>-1524</v>
      </c>
      <c r="K16" s="136">
        <f>'Historical Financials'!K18</f>
        <v>-1626</v>
      </c>
      <c r="L16" s="136">
        <f>'Historical Financials'!L18</f>
        <v>-1543</v>
      </c>
      <c r="M16" s="136">
        <f>'Historical Financials'!M18</f>
        <v>-1632</v>
      </c>
      <c r="N16" s="136">
        <f>'Historical Financials'!N18</f>
        <v>-1434</v>
      </c>
      <c r="O16" s="136">
        <f>'Historical Financials'!O18</f>
        <v>-1333</v>
      </c>
      <c r="P16" s="136">
        <f>'Historical Financials'!P18</f>
        <v>-1594</v>
      </c>
      <c r="Q16" s="136">
        <f>'Historical Financials'!Q18</f>
        <v>-1478</v>
      </c>
      <c r="R16" s="136">
        <f>'Historical Financials'!R18</f>
        <v>-1471</v>
      </c>
      <c r="S16" s="136">
        <f>'Historical Financials'!S18</f>
        <v>-1319</v>
      </c>
      <c r="T16" s="5"/>
      <c r="U16" s="137">
        <f t="shared" si="25"/>
        <v>-6615</v>
      </c>
      <c r="V16" s="137">
        <f t="shared" si="26"/>
        <v>-6281</v>
      </c>
      <c r="W16" s="137">
        <f t="shared" si="27"/>
        <v>-6325</v>
      </c>
      <c r="X16" s="137">
        <f t="shared" si="28"/>
        <v>-6235</v>
      </c>
      <c r="Y16" s="137">
        <f t="shared" si="29"/>
        <v>-5942</v>
      </c>
      <c r="Z16" s="137">
        <f t="shared" si="30"/>
        <v>-5993</v>
      </c>
      <c r="AA16" s="137">
        <f t="shared" si="31"/>
        <v>-5839</v>
      </c>
      <c r="AB16" s="137">
        <f t="shared" si="32"/>
        <v>-5876</v>
      </c>
      <c r="AC16" s="137">
        <f t="shared" si="33"/>
        <v>-5862</v>
      </c>
      <c r="AE16" s="122">
        <f>SUM(AC16/Y16)-1</f>
        <v>-1.3463480309660047E-2</v>
      </c>
    </row>
    <row r="17" spans="2:31" ht="12.75" customHeight="1">
      <c r="B17" s="13" t="s">
        <v>30</v>
      </c>
      <c r="C17" s="14">
        <f>SUM(C12+SUM(C15:C16))</f>
        <v>-30179</v>
      </c>
      <c r="D17" s="14">
        <f>SUM(D12+SUM(D15:D16))</f>
        <v>-38352</v>
      </c>
      <c r="E17" s="14">
        <f>SUM(E12+SUM(E15:E16))</f>
        <v>-38072</v>
      </c>
      <c r="F17" s="14">
        <f>SUM(F12+SUM(F15:F16))</f>
        <v>-42433</v>
      </c>
      <c r="G17" s="11"/>
      <c r="H17" s="14">
        <f>SUM(H12+SUM(H15:H16))</f>
        <v>-9935</v>
      </c>
      <c r="I17" s="14">
        <f>SUM(I12+SUM(I15:I16))</f>
        <v>-9662</v>
      </c>
      <c r="J17" s="14">
        <f>SUM(J12+SUM(J15:J16))</f>
        <v>-8122</v>
      </c>
      <c r="K17" s="14">
        <f>SUM(K12+SUM(K15:K16))</f>
        <v>-10633</v>
      </c>
      <c r="L17" s="14">
        <f>SUM(L12+SUM(L15:L16))</f>
        <v>-10342</v>
      </c>
      <c r="M17" s="14">
        <f>SUM(M12+SUM(M15:M16))</f>
        <v>-9003</v>
      </c>
      <c r="N17" s="14">
        <f>SUM(N12+SUM(N15:N16))</f>
        <v>-9166</v>
      </c>
      <c r="O17" s="14">
        <f>SUM(O12+SUM(O15:O16))</f>
        <v>-9561</v>
      </c>
      <c r="P17" s="14">
        <f>SUM(P12+SUM(P15:P16))</f>
        <v>-9648</v>
      </c>
      <c r="Q17" s="14">
        <f>SUM(Q12+SUM(Q15:Q16))</f>
        <v>-11291</v>
      </c>
      <c r="R17" s="14">
        <f>SUM(R12+SUM(R15:R16))</f>
        <v>-9066</v>
      </c>
      <c r="S17" s="14">
        <f>SUM(S12+SUM(S15:S16))</f>
        <v>-12428</v>
      </c>
      <c r="T17" s="5"/>
      <c r="U17" s="14">
        <f>SUM(U12+SUM(U15:U16))</f>
        <v>-38352</v>
      </c>
      <c r="V17" s="14">
        <f>SUM(V12+SUM(V15:V16))</f>
        <v>-38759</v>
      </c>
      <c r="W17" s="14">
        <f>SUM(W12+SUM(W15:W16))</f>
        <v>-38100</v>
      </c>
      <c r="X17" s="14">
        <f>SUM(X12+SUM(X15:X16))</f>
        <v>-39144</v>
      </c>
      <c r="Y17" s="14">
        <f>SUM(Y12+SUM(Y15:Y16))</f>
        <v>-38072</v>
      </c>
      <c r="Z17" s="14">
        <f>SUM(Z12+SUM(Z15:Z16))</f>
        <v>-37378</v>
      </c>
      <c r="AA17" s="14">
        <f>SUM(AA12+SUM(AA15:AA16))</f>
        <v>-39666</v>
      </c>
      <c r="AB17" s="14">
        <f>SUM(AB12+SUM(AB15:AB16))</f>
        <v>-39566</v>
      </c>
      <c r="AC17" s="14">
        <f>SUM(AC12+SUM(AC15:AC16))</f>
        <v>-42433</v>
      </c>
      <c r="AE17" s="123">
        <f>SUM(AC17/Y17)-1</f>
        <v>0.11454612313511237</v>
      </c>
    </row>
    <row r="18" spans="2:31" ht="12.75" customHeight="1">
      <c r="B18" s="16" t="s">
        <v>31</v>
      </c>
      <c r="C18" s="17" t="e">
        <f>C17/C7</f>
        <v>#DIV/0!</v>
      </c>
      <c r="D18" s="17" t="e">
        <f>D17/D7</f>
        <v>#DIV/0!</v>
      </c>
      <c r="E18" s="17" t="e">
        <f>E17/E7</f>
        <v>#DIV/0!</v>
      </c>
      <c r="F18" s="17" t="e">
        <f>F17/F7</f>
        <v>#DIV/0!</v>
      </c>
      <c r="G18" s="27"/>
      <c r="H18" s="17" t="e">
        <f>H17/H7</f>
        <v>#DIV/0!</v>
      </c>
      <c r="I18" s="17" t="e">
        <f>I17/I7</f>
        <v>#DIV/0!</v>
      </c>
      <c r="J18" s="17" t="e">
        <f>J17/J7</f>
        <v>#DIV/0!</v>
      </c>
      <c r="K18" s="17" t="e">
        <f>K17/K7</f>
        <v>#DIV/0!</v>
      </c>
      <c r="L18" s="17" t="e">
        <f>L17/L7</f>
        <v>#DIV/0!</v>
      </c>
      <c r="M18" s="17" t="e">
        <f>M17/M7</f>
        <v>#DIV/0!</v>
      </c>
      <c r="N18" s="17" t="e">
        <f>N17/N7</f>
        <v>#DIV/0!</v>
      </c>
      <c r="O18" s="17" t="e">
        <f>O17/O7</f>
        <v>#DIV/0!</v>
      </c>
      <c r="P18" s="17" t="e">
        <f>P17/P7</f>
        <v>#DIV/0!</v>
      </c>
      <c r="Q18" s="17" t="e">
        <f>Q17/Q7</f>
        <v>#DIV/0!</v>
      </c>
      <c r="R18" s="17" t="e">
        <f>R17/R7</f>
        <v>#DIV/0!</v>
      </c>
      <c r="S18" s="17" t="e">
        <f>S17/S7</f>
        <v>#DIV/0!</v>
      </c>
      <c r="T18" s="28"/>
      <c r="U18" s="17" t="e">
        <f>U17/U7</f>
        <v>#DIV/0!</v>
      </c>
      <c r="V18" s="17" t="e">
        <f>V17/V7</f>
        <v>#DIV/0!</v>
      </c>
      <c r="W18" s="17" t="e">
        <f>W17/W7</f>
        <v>#DIV/0!</v>
      </c>
      <c r="X18" s="17" t="e">
        <f>X17/X7</f>
        <v>#DIV/0!</v>
      </c>
      <c r="Y18" s="17" t="e">
        <f>Y17/Y7</f>
        <v>#DIV/0!</v>
      </c>
      <c r="Z18" s="17" t="e">
        <f>Z17/Z7</f>
        <v>#DIV/0!</v>
      </c>
      <c r="AA18" s="17" t="e">
        <f>AA17/AA7</f>
        <v>#DIV/0!</v>
      </c>
      <c r="AB18" s="17" t="e">
        <f>AB17/AB7</f>
        <v>#DIV/0!</v>
      </c>
      <c r="AC18" s="17" t="e">
        <f>AC17/AC7</f>
        <v>#DIV/0!</v>
      </c>
      <c r="AE18" s="124" t="e">
        <f>SUM(AC18-Y18)*10000</f>
        <v>#DIV/0!</v>
      </c>
    </row>
    <row r="19" spans="2:31" ht="5.0999999999999996" customHeight="1">
      <c r="AE19" s="121"/>
    </row>
    <row r="20" spans="2:31" ht="12.75" customHeight="1">
      <c r="B20" s="31" t="s">
        <v>152</v>
      </c>
      <c r="C20" s="136">
        <f>'Historical Financials'!C88</f>
        <v>41</v>
      </c>
      <c r="D20" s="136">
        <f>'Historical Financials'!D88</f>
        <v>32</v>
      </c>
      <c r="E20" s="136">
        <f>'Historical Financials'!E88</f>
        <v>33</v>
      </c>
      <c r="F20" s="136">
        <f>'Historical Financials'!F88</f>
        <v>37</v>
      </c>
      <c r="H20" s="136">
        <f>'Historical Financials'!H88</f>
        <v>10</v>
      </c>
      <c r="I20" s="136">
        <f>'Historical Financials'!I88</f>
        <v>7</v>
      </c>
      <c r="J20" s="136">
        <f>'Historical Financials'!J88</f>
        <v>7</v>
      </c>
      <c r="K20" s="136">
        <f>'Historical Financials'!K88</f>
        <v>8</v>
      </c>
      <c r="L20" s="136">
        <f>'Historical Financials'!L88</f>
        <v>32</v>
      </c>
      <c r="M20" s="136">
        <f>'Historical Financials'!M88</f>
        <v>-16</v>
      </c>
      <c r="N20" s="136">
        <f>'Historical Financials'!N88</f>
        <v>8</v>
      </c>
      <c r="O20" s="136">
        <f>'Historical Financials'!O88</f>
        <v>9</v>
      </c>
      <c r="P20" s="136">
        <f>'Historical Financials'!P88</f>
        <v>9</v>
      </c>
      <c r="Q20" s="136">
        <f>'Historical Financials'!Q88</f>
        <v>9</v>
      </c>
      <c r="R20" s="136">
        <f>'Historical Financials'!R88</f>
        <v>9</v>
      </c>
      <c r="S20" s="136">
        <f>'Historical Financials'!S88</f>
        <v>10</v>
      </c>
      <c r="U20" s="137">
        <f t="shared" ref="U20:AC20" si="34">SUM(H20:K20)</f>
        <v>32</v>
      </c>
      <c r="V20" s="137">
        <f t="shared" si="34"/>
        <v>54</v>
      </c>
      <c r="W20" s="137">
        <f t="shared" si="34"/>
        <v>31</v>
      </c>
      <c r="X20" s="137">
        <f t="shared" si="34"/>
        <v>32</v>
      </c>
      <c r="Y20" s="137">
        <f t="shared" si="34"/>
        <v>33</v>
      </c>
      <c r="Z20" s="137">
        <f t="shared" si="34"/>
        <v>10</v>
      </c>
      <c r="AA20" s="137">
        <f t="shared" si="34"/>
        <v>35</v>
      </c>
      <c r="AB20" s="137">
        <f t="shared" si="34"/>
        <v>36</v>
      </c>
      <c r="AC20" s="137">
        <f t="shared" si="34"/>
        <v>37</v>
      </c>
      <c r="AE20" s="122">
        <f>SUM(AC20/Y20)-1</f>
        <v>0.1212121212121211</v>
      </c>
    </row>
    <row r="21" spans="2:31" ht="12.75" customHeight="1">
      <c r="B21" s="25" t="s">
        <v>11</v>
      </c>
      <c r="C21" s="26">
        <f>SUM(C17+SUM(C20:C20))</f>
        <v>-30138</v>
      </c>
      <c r="D21" s="26">
        <f>SUM(D17+SUM(D20:D20))</f>
        <v>-38320</v>
      </c>
      <c r="E21" s="26">
        <f>SUM(E17+SUM(E20:E20))</f>
        <v>-38039</v>
      </c>
      <c r="F21" s="26">
        <f>SUM(F17+SUM(F20:F20))</f>
        <v>-42396</v>
      </c>
      <c r="H21" s="26">
        <f>SUM(H17+SUM(H20:H20))</f>
        <v>-9925</v>
      </c>
      <c r="I21" s="26">
        <f>SUM(I17+SUM(I20:I20))</f>
        <v>-9655</v>
      </c>
      <c r="J21" s="26">
        <f>SUM(J17+SUM(J20:J20))</f>
        <v>-8115</v>
      </c>
      <c r="K21" s="26">
        <f>SUM(K17+SUM(K20:K20))</f>
        <v>-10625</v>
      </c>
      <c r="L21" s="26">
        <f>SUM(L17+SUM(L20:L20))</f>
        <v>-10310</v>
      </c>
      <c r="M21" s="26">
        <f>SUM(M17+SUM(M20:M20))</f>
        <v>-9019</v>
      </c>
      <c r="N21" s="26">
        <f>SUM(N17+SUM(N20:N20))</f>
        <v>-9158</v>
      </c>
      <c r="O21" s="26">
        <f>SUM(O17+SUM(O20:O20))</f>
        <v>-9552</v>
      </c>
      <c r="P21" s="26">
        <f>SUM(P17+SUM(P20:P20))</f>
        <v>-9639</v>
      </c>
      <c r="Q21" s="26">
        <f>SUM(Q17+SUM(Q20:Q20))</f>
        <v>-11282</v>
      </c>
      <c r="R21" s="26">
        <f>SUM(R17+SUM(R20:R20))</f>
        <v>-9057</v>
      </c>
      <c r="S21" s="26">
        <f>SUM(S17+SUM(S20:S20))</f>
        <v>-12418</v>
      </c>
      <c r="U21" s="26">
        <f>SUM(U17+SUM(U20:U20))</f>
        <v>-38320</v>
      </c>
      <c r="V21" s="26">
        <f>SUM(V17+SUM(V20:V20))</f>
        <v>-38705</v>
      </c>
      <c r="W21" s="26">
        <f>SUM(W17+SUM(W20:W20))</f>
        <v>-38069</v>
      </c>
      <c r="X21" s="26">
        <f>SUM(X17+SUM(X20:X20))</f>
        <v>-39112</v>
      </c>
      <c r="Y21" s="26">
        <f>SUM(Y17+SUM(Y20:Y20))</f>
        <v>-38039</v>
      </c>
      <c r="Z21" s="26">
        <f>SUM(Z17+SUM(Z20:Z20))</f>
        <v>-37368</v>
      </c>
      <c r="AA21" s="26">
        <f>SUM(AA17+SUM(AA20:AA20))</f>
        <v>-39631</v>
      </c>
      <c r="AB21" s="26">
        <f>SUM(AB17+SUM(AB20:AB20))</f>
        <v>-39530</v>
      </c>
      <c r="AC21" s="26">
        <f>SUM(AC17+SUM(AC20:AC20))</f>
        <v>-42396</v>
      </c>
      <c r="AE21" s="123">
        <f>SUM(AC21/Y21)-1</f>
        <v>0.11454034017718651</v>
      </c>
    </row>
    <row r="22" spans="2:31" ht="12.75" customHeight="1">
      <c r="B22" s="16" t="s">
        <v>32</v>
      </c>
      <c r="C22" s="17" t="e">
        <f>C21/C7</f>
        <v>#DIV/0!</v>
      </c>
      <c r="D22" s="17" t="e">
        <f>D21/D7</f>
        <v>#DIV/0!</v>
      </c>
      <c r="E22" s="17" t="e">
        <f>E21/E7</f>
        <v>#DIV/0!</v>
      </c>
      <c r="F22" s="17" t="e">
        <f>F21/F7</f>
        <v>#DIV/0!</v>
      </c>
      <c r="H22" s="17" t="e">
        <f>H21/H7</f>
        <v>#DIV/0!</v>
      </c>
      <c r="I22" s="17" t="e">
        <f>I21/I7</f>
        <v>#DIV/0!</v>
      </c>
      <c r="J22" s="17" t="e">
        <f>J21/J7</f>
        <v>#DIV/0!</v>
      </c>
      <c r="K22" s="17" t="e">
        <f>K21/K7</f>
        <v>#DIV/0!</v>
      </c>
      <c r="L22" s="17" t="e">
        <f>L21/L7</f>
        <v>#DIV/0!</v>
      </c>
      <c r="M22" s="17" t="e">
        <f>M21/M7</f>
        <v>#DIV/0!</v>
      </c>
      <c r="N22" s="17" t="e">
        <f>N21/N7</f>
        <v>#DIV/0!</v>
      </c>
      <c r="O22" s="17" t="e">
        <f>O21/O7</f>
        <v>#DIV/0!</v>
      </c>
      <c r="P22" s="17" t="e">
        <f>P21/P7</f>
        <v>#DIV/0!</v>
      </c>
      <c r="Q22" s="17" t="e">
        <f>Q21/Q7</f>
        <v>#DIV/0!</v>
      </c>
      <c r="R22" s="17" t="e">
        <f>R21/R7</f>
        <v>#DIV/0!</v>
      </c>
      <c r="S22" s="17" t="e">
        <f>S21/S7</f>
        <v>#DIV/0!</v>
      </c>
      <c r="U22" s="17" t="e">
        <f>U21/U7</f>
        <v>#DIV/0!</v>
      </c>
      <c r="V22" s="17" t="e">
        <f>V21/V7</f>
        <v>#DIV/0!</v>
      </c>
      <c r="W22" s="17" t="e">
        <f>W21/W7</f>
        <v>#DIV/0!</v>
      </c>
      <c r="X22" s="17" t="e">
        <f>X21/X7</f>
        <v>#DIV/0!</v>
      </c>
      <c r="Y22" s="17" t="e">
        <f>Y21/Y7</f>
        <v>#DIV/0!</v>
      </c>
      <c r="Z22" s="17" t="e">
        <f>Z21/Z7</f>
        <v>#DIV/0!</v>
      </c>
      <c r="AA22" s="17" t="e">
        <f>AA21/AA7</f>
        <v>#DIV/0!</v>
      </c>
      <c r="AB22" s="17" t="e">
        <f>AB21/AB7</f>
        <v>#DIV/0!</v>
      </c>
      <c r="AC22" s="17" t="e">
        <f>AC21/AC7</f>
        <v>#DIV/0!</v>
      </c>
      <c r="AE22" s="124" t="e">
        <f>SUM(AC22-Y22)*10000</f>
        <v>#DIV/0!</v>
      </c>
    </row>
    <row r="23" spans="2:31" ht="5.0999999999999996" customHeight="1">
      <c r="AE23" s="121"/>
    </row>
    <row r="24" spans="2:31" ht="12.75" customHeight="1">
      <c r="B24" s="31" t="s">
        <v>120</v>
      </c>
      <c r="C24" s="136">
        <f>'Historical Financials'!C87</f>
        <v>2076</v>
      </c>
      <c r="D24" s="136">
        <f>'Historical Financials'!D87</f>
        <v>2867</v>
      </c>
      <c r="E24" s="136">
        <f>'Historical Financials'!E87</f>
        <v>2261</v>
      </c>
      <c r="F24" s="136">
        <f>'Historical Financials'!F87</f>
        <v>2447</v>
      </c>
      <c r="H24" s="136">
        <f>'Historical Financials'!H87</f>
        <v>858</v>
      </c>
      <c r="I24" s="136">
        <f>'Historical Financials'!I87</f>
        <v>647</v>
      </c>
      <c r="J24" s="136">
        <f>'Historical Financials'!J87</f>
        <v>681</v>
      </c>
      <c r="K24" s="136">
        <f>'Historical Financials'!K87</f>
        <v>681</v>
      </c>
      <c r="L24" s="136">
        <f>'Historical Financials'!L87</f>
        <v>662</v>
      </c>
      <c r="M24" s="136">
        <f>'Historical Financials'!M87</f>
        <v>516</v>
      </c>
      <c r="N24" s="136">
        <f>'Historical Financials'!N87</f>
        <v>586</v>
      </c>
      <c r="O24" s="136">
        <f>'Historical Financials'!O87</f>
        <v>497</v>
      </c>
      <c r="P24" s="136">
        <f>'Historical Financials'!P87</f>
        <v>604</v>
      </c>
      <c r="Q24" s="136">
        <f>'Historical Financials'!Q87</f>
        <v>738</v>
      </c>
      <c r="R24" s="136">
        <f>'Historical Financials'!R87</f>
        <v>515</v>
      </c>
      <c r="S24" s="136">
        <f>'Historical Financials'!S87</f>
        <v>590</v>
      </c>
      <c r="U24" s="137">
        <f t="shared" ref="U24:AC24" si="35">SUM(H24:K24)</f>
        <v>2867</v>
      </c>
      <c r="V24" s="137">
        <f t="shared" si="35"/>
        <v>2671</v>
      </c>
      <c r="W24" s="137">
        <f t="shared" si="35"/>
        <v>2540</v>
      </c>
      <c r="X24" s="137">
        <f t="shared" si="35"/>
        <v>2445</v>
      </c>
      <c r="Y24" s="137">
        <f t="shared" si="35"/>
        <v>2261</v>
      </c>
      <c r="Z24" s="137">
        <f t="shared" si="35"/>
        <v>2203</v>
      </c>
      <c r="AA24" s="137">
        <f t="shared" si="35"/>
        <v>2425</v>
      </c>
      <c r="AB24" s="137">
        <f t="shared" si="35"/>
        <v>2354</v>
      </c>
      <c r="AC24" s="137">
        <f t="shared" si="35"/>
        <v>2447</v>
      </c>
      <c r="AE24" s="122">
        <f>SUM(AC24/Y24)-1</f>
        <v>8.226448474126502E-2</v>
      </c>
    </row>
    <row r="25" spans="2:31" ht="12.75" customHeight="1">
      <c r="B25" s="13" t="s">
        <v>33</v>
      </c>
      <c r="C25" s="14">
        <f>+SUM(C21+SUM(C24:C24))</f>
        <v>-28062</v>
      </c>
      <c r="D25" s="14">
        <f>+SUM(D21+SUM(D24:D24))</f>
        <v>-35453</v>
      </c>
      <c r="E25" s="14">
        <f>+SUM(E21+SUM(E24:E24))</f>
        <v>-35778</v>
      </c>
      <c r="F25" s="14">
        <f>+SUM(F21+SUM(F24:F24))</f>
        <v>-39949</v>
      </c>
      <c r="G25" s="11"/>
      <c r="H25" s="14">
        <f t="shared" ref="H25:K25" si="36">+SUM(H21+SUM(H24:H24))</f>
        <v>-9067</v>
      </c>
      <c r="I25" s="14">
        <f t="shared" si="36"/>
        <v>-9008</v>
      </c>
      <c r="J25" s="14">
        <f t="shared" si="36"/>
        <v>-7434</v>
      </c>
      <c r="K25" s="14">
        <f t="shared" si="36"/>
        <v>-9944</v>
      </c>
      <c r="L25" s="14">
        <f t="shared" ref="L25:S25" si="37">+SUM(L21+SUM(L24:L24))</f>
        <v>-9648</v>
      </c>
      <c r="M25" s="14">
        <f t="shared" si="37"/>
        <v>-8503</v>
      </c>
      <c r="N25" s="14">
        <f t="shared" si="37"/>
        <v>-8572</v>
      </c>
      <c r="O25" s="14">
        <f t="shared" si="37"/>
        <v>-9055</v>
      </c>
      <c r="P25" s="14">
        <f t="shared" si="37"/>
        <v>-9035</v>
      </c>
      <c r="Q25" s="14">
        <f t="shared" si="37"/>
        <v>-10544</v>
      </c>
      <c r="R25" s="14">
        <f t="shared" si="37"/>
        <v>-8542</v>
      </c>
      <c r="S25" s="14">
        <f t="shared" si="37"/>
        <v>-11828</v>
      </c>
      <c r="U25" s="14">
        <f t="shared" ref="U25:AC25" si="38">+SUM(U21+SUM(U24:U24))</f>
        <v>-35453</v>
      </c>
      <c r="V25" s="14">
        <f t="shared" si="38"/>
        <v>-36034</v>
      </c>
      <c r="W25" s="14">
        <f t="shared" si="38"/>
        <v>-35529</v>
      </c>
      <c r="X25" s="14">
        <f t="shared" si="38"/>
        <v>-36667</v>
      </c>
      <c r="Y25" s="14">
        <f t="shared" si="38"/>
        <v>-35778</v>
      </c>
      <c r="Z25" s="14">
        <f t="shared" si="38"/>
        <v>-35165</v>
      </c>
      <c r="AA25" s="14">
        <f t="shared" si="38"/>
        <v>-37206</v>
      </c>
      <c r="AB25" s="14">
        <f t="shared" si="38"/>
        <v>-37176</v>
      </c>
      <c r="AC25" s="14">
        <f t="shared" si="38"/>
        <v>-39949</v>
      </c>
      <c r="AE25" s="123">
        <f>SUM(AC25/Y25)-1</f>
        <v>0.11658002124210398</v>
      </c>
    </row>
    <row r="26" spans="2:31" ht="12.75" customHeight="1">
      <c r="B26" s="16" t="s">
        <v>34</v>
      </c>
      <c r="C26" s="17" t="e">
        <f>C25/C7</f>
        <v>#DIV/0!</v>
      </c>
      <c r="D26" s="17" t="e">
        <f>D25/D7</f>
        <v>#DIV/0!</v>
      </c>
      <c r="E26" s="17" t="e">
        <f>E25/E7</f>
        <v>#DIV/0!</v>
      </c>
      <c r="F26" s="17" t="e">
        <f>F25/F7</f>
        <v>#DIV/0!</v>
      </c>
      <c r="H26" s="17" t="e">
        <f>H25/H7</f>
        <v>#DIV/0!</v>
      </c>
      <c r="I26" s="17" t="e">
        <f>I25/I7</f>
        <v>#DIV/0!</v>
      </c>
      <c r="J26" s="17" t="e">
        <f>J25/J7</f>
        <v>#DIV/0!</v>
      </c>
      <c r="K26" s="17" t="e">
        <f>K25/K7</f>
        <v>#DIV/0!</v>
      </c>
      <c r="L26" s="17" t="e">
        <f>L25/L7</f>
        <v>#DIV/0!</v>
      </c>
      <c r="M26" s="17" t="e">
        <f>M25/M7</f>
        <v>#DIV/0!</v>
      </c>
      <c r="N26" s="17" t="e">
        <f>N25/N7</f>
        <v>#DIV/0!</v>
      </c>
      <c r="O26" s="17" t="e">
        <f>O25/O7</f>
        <v>#DIV/0!</v>
      </c>
      <c r="P26" s="17" t="e">
        <f>P25/P7</f>
        <v>#DIV/0!</v>
      </c>
      <c r="Q26" s="17" t="e">
        <f>Q25/Q7</f>
        <v>#DIV/0!</v>
      </c>
      <c r="R26" s="17" t="e">
        <f>R25/R7</f>
        <v>#DIV/0!</v>
      </c>
      <c r="S26" s="17" t="e">
        <f>S25/S7</f>
        <v>#DIV/0!</v>
      </c>
      <c r="U26" s="17" t="e">
        <f>U25/U7</f>
        <v>#DIV/0!</v>
      </c>
      <c r="V26" s="17" t="e">
        <f>V25/V7</f>
        <v>#DIV/0!</v>
      </c>
      <c r="W26" s="17" t="e">
        <f>W25/W7</f>
        <v>#DIV/0!</v>
      </c>
      <c r="X26" s="17" t="e">
        <f>X25/X7</f>
        <v>#DIV/0!</v>
      </c>
      <c r="Y26" s="17" t="e">
        <f>Y25/Y7</f>
        <v>#DIV/0!</v>
      </c>
      <c r="Z26" s="17" t="e">
        <f>Z25/Z7</f>
        <v>#DIV/0!</v>
      </c>
      <c r="AA26" s="17" t="e">
        <f>AA25/AA7</f>
        <v>#DIV/0!</v>
      </c>
      <c r="AB26" s="17" t="e">
        <f>AB25/AB7</f>
        <v>#DIV/0!</v>
      </c>
      <c r="AC26" s="17" t="e">
        <f>AC25/AC7</f>
        <v>#DIV/0!</v>
      </c>
      <c r="AE26" s="124" t="e">
        <f>SUM(AC26-Y26)*10000</f>
        <v>#DIV/0!</v>
      </c>
    </row>
    <row r="27" spans="2:31" ht="5.0999999999999996" customHeight="1">
      <c r="AE27" s="121"/>
    </row>
    <row r="28" spans="2:31" ht="12.75" customHeight="1">
      <c r="B28" s="23" t="s">
        <v>35</v>
      </c>
      <c r="C28" s="136">
        <f>'Historical Financials'!C98</f>
        <v>0</v>
      </c>
      <c r="D28" s="136">
        <f>'Historical Financials'!D98</f>
        <v>0</v>
      </c>
      <c r="E28" s="136">
        <f>'Historical Financials'!E98</f>
        <v>0</v>
      </c>
      <c r="F28" s="136">
        <f>'Historical Financials'!F98</f>
        <v>0</v>
      </c>
      <c r="H28" s="136">
        <f>'Historical Financials'!H98</f>
        <v>0</v>
      </c>
      <c r="I28" s="136">
        <f>'Historical Financials'!I98</f>
        <v>0</v>
      </c>
      <c r="J28" s="136">
        <f>'Historical Financials'!J98</f>
        <v>0</v>
      </c>
      <c r="K28" s="136">
        <f>'Historical Financials'!K98</f>
        <v>0</v>
      </c>
      <c r="L28" s="136">
        <f>'Historical Financials'!L98</f>
        <v>0</v>
      </c>
      <c r="M28" s="136">
        <f>'Historical Financials'!M98</f>
        <v>0</v>
      </c>
      <c r="N28" s="136">
        <f>'Historical Financials'!N98</f>
        <v>0</v>
      </c>
      <c r="O28" s="136">
        <f>'Historical Financials'!O98</f>
        <v>0</v>
      </c>
      <c r="P28" s="136">
        <f>'Historical Financials'!P98</f>
        <v>0</v>
      </c>
      <c r="Q28" s="136">
        <f>'Historical Financials'!Q98</f>
        <v>0</v>
      </c>
      <c r="R28" s="136">
        <f>'Historical Financials'!R98</f>
        <v>0</v>
      </c>
      <c r="S28" s="136">
        <f>'Historical Financials'!S98</f>
        <v>0</v>
      </c>
      <c r="U28" s="137">
        <f t="shared" ref="U28:U31" si="39">SUM(H28:K28)</f>
        <v>0</v>
      </c>
      <c r="V28" s="137">
        <f t="shared" ref="V28:V31" si="40">SUM(I28:L28)</f>
        <v>0</v>
      </c>
      <c r="W28" s="137">
        <f t="shared" ref="W28:W31" si="41">SUM(J28:M28)</f>
        <v>0</v>
      </c>
      <c r="X28" s="137">
        <f t="shared" ref="X28:X31" si="42">SUM(K28:N28)</f>
        <v>0</v>
      </c>
      <c r="Y28" s="137">
        <f t="shared" ref="Y28:Y31" si="43">SUM(L28:O28)</f>
        <v>0</v>
      </c>
      <c r="Z28" s="137">
        <f t="shared" ref="Z28:Z31" si="44">SUM(M28:P28)</f>
        <v>0</v>
      </c>
      <c r="AA28" s="137">
        <f t="shared" ref="AA28:AA31" si="45">SUM(N28:Q28)</f>
        <v>0</v>
      </c>
      <c r="AB28" s="137">
        <f t="shared" ref="AB28:AB31" si="46">SUM(O28:R28)</f>
        <v>0</v>
      </c>
      <c r="AC28" s="137">
        <f t="shared" ref="AC28:AC31" si="47">SUM(P28:S28)</f>
        <v>0</v>
      </c>
      <c r="AE28" s="122" t="e">
        <f>SUM(AC28/Y28)-1</f>
        <v>#DIV/0!</v>
      </c>
    </row>
    <row r="29" spans="2:31" ht="12.75" customHeight="1">
      <c r="B29" s="23" t="s">
        <v>36</v>
      </c>
      <c r="C29" s="136">
        <f>'Historical Financials'!C28</f>
        <v>0</v>
      </c>
      <c r="D29" s="136">
        <f>'Historical Financials'!D28</f>
        <v>0</v>
      </c>
      <c r="E29" s="136">
        <f>'Historical Financials'!E28</f>
        <v>0</v>
      </c>
      <c r="F29" s="136">
        <f>'Historical Financials'!F28</f>
        <v>0</v>
      </c>
      <c r="H29" s="136">
        <f>'Historical Financials'!H28</f>
        <v>0</v>
      </c>
      <c r="I29" s="136">
        <f>'Historical Financials'!I28</f>
        <v>0</v>
      </c>
      <c r="J29" s="136">
        <f>'Historical Financials'!J28</f>
        <v>0</v>
      </c>
      <c r="K29" s="136">
        <f>'Historical Financials'!K28</f>
        <v>0</v>
      </c>
      <c r="L29" s="136">
        <f>'Historical Financials'!L28</f>
        <v>0</v>
      </c>
      <c r="M29" s="136">
        <f>'Historical Financials'!M28</f>
        <v>0</v>
      </c>
      <c r="N29" s="136">
        <f>'Historical Financials'!N28</f>
        <v>0</v>
      </c>
      <c r="O29" s="136">
        <f>'Historical Financials'!O28</f>
        <v>0</v>
      </c>
      <c r="P29" s="136">
        <f>'Historical Financials'!P28</f>
        <v>0</v>
      </c>
      <c r="Q29" s="136">
        <f>'Historical Financials'!Q28</f>
        <v>0</v>
      </c>
      <c r="R29" s="136">
        <f>'Historical Financials'!R28</f>
        <v>0</v>
      </c>
      <c r="S29" s="136">
        <f>'Historical Financials'!S28</f>
        <v>0</v>
      </c>
      <c r="U29" s="137">
        <f t="shared" si="39"/>
        <v>0</v>
      </c>
      <c r="V29" s="137">
        <f t="shared" si="40"/>
        <v>0</v>
      </c>
      <c r="W29" s="137">
        <f t="shared" si="41"/>
        <v>0</v>
      </c>
      <c r="X29" s="137">
        <f t="shared" si="42"/>
        <v>0</v>
      </c>
      <c r="Y29" s="137">
        <f t="shared" si="43"/>
        <v>0</v>
      </c>
      <c r="Z29" s="137">
        <f t="shared" si="44"/>
        <v>0</v>
      </c>
      <c r="AA29" s="137">
        <f t="shared" si="45"/>
        <v>0</v>
      </c>
      <c r="AB29" s="137">
        <f t="shared" si="46"/>
        <v>0</v>
      </c>
      <c r="AC29" s="137">
        <f t="shared" si="47"/>
        <v>0</v>
      </c>
      <c r="AE29" s="122" t="e">
        <f>SUM(AC29/Y29)-1</f>
        <v>#DIV/0!</v>
      </c>
    </row>
    <row r="30" spans="2:31" ht="12.75" customHeight="1">
      <c r="B30" s="23" t="s">
        <v>69</v>
      </c>
      <c r="C30" s="136">
        <f>'Historical Financials'!C23</f>
        <v>-489</v>
      </c>
      <c r="D30" s="136">
        <f>'Historical Financials'!D23</f>
        <v>-1033</v>
      </c>
      <c r="E30" s="136">
        <f>'Historical Financials'!E23</f>
        <v>-2792</v>
      </c>
      <c r="F30" s="136">
        <f>'Historical Financials'!F23</f>
        <v>-5540</v>
      </c>
      <c r="H30" s="136">
        <f>'Historical Financials'!H23</f>
        <v>-227</v>
      </c>
      <c r="I30" s="136">
        <f>'Historical Financials'!I23</f>
        <v>-229</v>
      </c>
      <c r="J30" s="136">
        <f>'Historical Financials'!J23</f>
        <v>-269</v>
      </c>
      <c r="K30" s="136">
        <f>'Historical Financials'!K23</f>
        <v>-308</v>
      </c>
      <c r="L30" s="136">
        <f>'Historical Financials'!L23</f>
        <v>-460</v>
      </c>
      <c r="M30" s="136">
        <f>'Historical Financials'!M23</f>
        <v>-650</v>
      </c>
      <c r="N30" s="136">
        <f>'Historical Financials'!N23</f>
        <v>-835</v>
      </c>
      <c r="O30" s="136">
        <f>'Historical Financials'!O23</f>
        <v>-847</v>
      </c>
      <c r="P30" s="136">
        <f>'Historical Financials'!P23</f>
        <v>-869</v>
      </c>
      <c r="Q30" s="136">
        <f>'Historical Financials'!Q23</f>
        <v>-1269</v>
      </c>
      <c r="R30" s="136">
        <f>'Historical Financials'!R23</f>
        <v>-1494</v>
      </c>
      <c r="S30" s="136">
        <f>'Historical Financials'!S23</f>
        <v>-1908</v>
      </c>
      <c r="U30" s="137">
        <f t="shared" si="39"/>
        <v>-1033</v>
      </c>
      <c r="V30" s="137">
        <f t="shared" si="40"/>
        <v>-1266</v>
      </c>
      <c r="W30" s="137">
        <f t="shared" si="41"/>
        <v>-1687</v>
      </c>
      <c r="X30" s="137">
        <f t="shared" si="42"/>
        <v>-2253</v>
      </c>
      <c r="Y30" s="137">
        <f t="shared" si="43"/>
        <v>-2792</v>
      </c>
      <c r="Z30" s="137">
        <f t="shared" si="44"/>
        <v>-3201</v>
      </c>
      <c r="AA30" s="137">
        <f t="shared" si="45"/>
        <v>-3820</v>
      </c>
      <c r="AB30" s="137">
        <f t="shared" si="46"/>
        <v>-4479</v>
      </c>
      <c r="AC30" s="137">
        <f t="shared" si="47"/>
        <v>-5540</v>
      </c>
      <c r="AE30" s="122">
        <f>SUM(AC30/Y30)-1</f>
        <v>0.98424068767908302</v>
      </c>
    </row>
    <row r="31" spans="2:31" ht="12.75" customHeight="1">
      <c r="B31" s="23" t="s">
        <v>37</v>
      </c>
      <c r="C31" s="136">
        <f>SUM('Historical Financials'!C92:C94)</f>
        <v>3957</v>
      </c>
      <c r="D31" s="136">
        <f>SUM('Historical Financials'!D92:D94)</f>
        <v>4968</v>
      </c>
      <c r="E31" s="136">
        <f>SUM('Historical Financials'!E92:E94)</f>
        <v>4678</v>
      </c>
      <c r="F31" s="136">
        <f>SUM('Historical Financials'!F92:F94)</f>
        <v>2284</v>
      </c>
      <c r="H31" s="136">
        <f>SUM('Historical Financials'!H92:H94)</f>
        <v>1171</v>
      </c>
      <c r="I31" s="136">
        <f>SUM('Historical Financials'!I92:I94)</f>
        <v>1728</v>
      </c>
      <c r="J31" s="136">
        <f>SUM('Historical Financials'!J92:J94)</f>
        <v>-780</v>
      </c>
      <c r="K31" s="136">
        <f>SUM('Historical Financials'!K92:K94)</f>
        <v>2849</v>
      </c>
      <c r="L31" s="136">
        <f>SUM('Historical Financials'!L92:L94)</f>
        <v>-873</v>
      </c>
      <c r="M31" s="136">
        <f>SUM('Historical Financials'!M92:M94)</f>
        <v>-898</v>
      </c>
      <c r="N31" s="136">
        <f>SUM('Historical Financials'!N92:N94)</f>
        <v>1515</v>
      </c>
      <c r="O31" s="136">
        <f>SUM('Historical Financials'!O92:O94)</f>
        <v>4934</v>
      </c>
      <c r="P31" s="136">
        <f>SUM('Historical Financials'!P92:P94)</f>
        <v>-2305</v>
      </c>
      <c r="Q31" s="136">
        <f>SUM('Historical Financials'!Q92:Q94)</f>
        <v>3150</v>
      </c>
      <c r="R31" s="136">
        <f>SUM('Historical Financials'!R92:R94)</f>
        <v>1113</v>
      </c>
      <c r="S31" s="136">
        <f>SUM('Historical Financials'!S92:S94)</f>
        <v>326</v>
      </c>
      <c r="U31" s="137">
        <f t="shared" si="39"/>
        <v>4968</v>
      </c>
      <c r="V31" s="137">
        <f t="shared" si="40"/>
        <v>2924</v>
      </c>
      <c r="W31" s="137">
        <f t="shared" si="41"/>
        <v>298</v>
      </c>
      <c r="X31" s="137">
        <f t="shared" si="42"/>
        <v>2593</v>
      </c>
      <c r="Y31" s="137">
        <f t="shared" si="43"/>
        <v>4678</v>
      </c>
      <c r="Z31" s="137">
        <f t="shared" si="44"/>
        <v>3246</v>
      </c>
      <c r="AA31" s="137">
        <f t="shared" si="45"/>
        <v>7294</v>
      </c>
      <c r="AB31" s="137">
        <f t="shared" si="46"/>
        <v>6892</v>
      </c>
      <c r="AC31" s="137">
        <f t="shared" si="47"/>
        <v>2284</v>
      </c>
      <c r="AE31" s="122">
        <f>SUM(AC31/Y31)-1</f>
        <v>-0.51175716117999137</v>
      </c>
    </row>
    <row r="32" spans="2:31" ht="12.75" customHeight="1">
      <c r="B32" s="13" t="s">
        <v>38</v>
      </c>
      <c r="C32" s="14">
        <f>SUM(C25+SUM(C28:C31))</f>
        <v>-24594</v>
      </c>
      <c r="D32" s="14">
        <f>SUM(D25+SUM(D28:D31))</f>
        <v>-31518</v>
      </c>
      <c r="E32" s="14">
        <f>SUM(E25+SUM(E28:E31))</f>
        <v>-33892</v>
      </c>
      <c r="F32" s="14">
        <f>SUM(F25+SUM(F28:F31))</f>
        <v>-43205</v>
      </c>
      <c r="H32" s="14">
        <f t="shared" ref="H32:K32" si="48">SUM(H25+SUM(H28:H31))</f>
        <v>-8123</v>
      </c>
      <c r="I32" s="14">
        <f t="shared" si="48"/>
        <v>-7509</v>
      </c>
      <c r="J32" s="14">
        <f t="shared" si="48"/>
        <v>-8483</v>
      </c>
      <c r="K32" s="14">
        <f t="shared" si="48"/>
        <v>-7403</v>
      </c>
      <c r="L32" s="14">
        <f t="shared" ref="L32:S32" si="49">SUM(L25+SUM(L28:L31))</f>
        <v>-10981</v>
      </c>
      <c r="M32" s="14">
        <f t="shared" si="49"/>
        <v>-10051</v>
      </c>
      <c r="N32" s="14">
        <f t="shared" si="49"/>
        <v>-7892</v>
      </c>
      <c r="O32" s="14">
        <f t="shared" si="49"/>
        <v>-4968</v>
      </c>
      <c r="P32" s="14">
        <f t="shared" si="49"/>
        <v>-12209</v>
      </c>
      <c r="Q32" s="14">
        <f t="shared" si="49"/>
        <v>-8663</v>
      </c>
      <c r="R32" s="14">
        <f t="shared" si="49"/>
        <v>-8923</v>
      </c>
      <c r="S32" s="14">
        <f t="shared" si="49"/>
        <v>-13410</v>
      </c>
      <c r="U32" s="14">
        <f t="shared" ref="U32:AA32" si="50">SUM(U25+SUM(U28:U31))</f>
        <v>-31518</v>
      </c>
      <c r="V32" s="14">
        <f t="shared" si="50"/>
        <v>-34376</v>
      </c>
      <c r="W32" s="14">
        <f t="shared" si="50"/>
        <v>-36918</v>
      </c>
      <c r="X32" s="14">
        <f t="shared" si="50"/>
        <v>-36327</v>
      </c>
      <c r="Y32" s="14">
        <f t="shared" si="50"/>
        <v>-33892</v>
      </c>
      <c r="Z32" s="14">
        <f t="shared" si="50"/>
        <v>-35120</v>
      </c>
      <c r="AA32" s="14">
        <f t="shared" si="50"/>
        <v>-33732</v>
      </c>
      <c r="AB32" s="14">
        <f>SUM(AB25+SUM(AB28:AB31))</f>
        <v>-34763</v>
      </c>
      <c r="AC32" s="14">
        <f>SUM(AC25+SUM(AC28:AC31))</f>
        <v>-43205</v>
      </c>
      <c r="AE32" s="123">
        <f>SUM(AC32/Y32)-1</f>
        <v>0.27478460993744847</v>
      </c>
    </row>
    <row r="33" spans="1:29" ht="5.0999999999999996" customHeight="1"/>
    <row r="34" spans="1:29" ht="12.75" customHeight="1">
      <c r="B34" s="31" t="s">
        <v>153</v>
      </c>
      <c r="C34" s="136">
        <f>'Historical Financials'!C102</f>
        <v>0</v>
      </c>
      <c r="D34" s="136">
        <f>'Historical Financials'!D102</f>
        <v>10000</v>
      </c>
      <c r="E34" s="136">
        <f>'Historical Financials'!E102</f>
        <v>30000</v>
      </c>
      <c r="F34" s="136">
        <f>'Historical Financials'!F102</f>
        <v>30000</v>
      </c>
      <c r="G34" s="32"/>
      <c r="H34" s="136">
        <f>'Historical Financials'!H102</f>
        <v>0</v>
      </c>
      <c r="I34" s="136">
        <f>'Historical Financials'!I102</f>
        <v>0</v>
      </c>
      <c r="J34" s="136">
        <f>'Historical Financials'!J102</f>
        <v>0</v>
      </c>
      <c r="K34" s="136">
        <f>'Historical Financials'!K102</f>
        <v>10000</v>
      </c>
      <c r="L34" s="136">
        <f>'Historical Financials'!L102</f>
        <v>10000</v>
      </c>
      <c r="M34" s="136">
        <f>'Historical Financials'!M102</f>
        <v>10000</v>
      </c>
      <c r="N34" s="136">
        <f>'Historical Financials'!N102</f>
        <v>0</v>
      </c>
      <c r="O34" s="136">
        <f>'Historical Financials'!O102</f>
        <v>10000</v>
      </c>
      <c r="P34" s="136">
        <f>'Historical Financials'!P102</f>
        <v>10000</v>
      </c>
      <c r="Q34" s="136">
        <f>'Historical Financials'!Q102</f>
        <v>10000</v>
      </c>
      <c r="R34" s="136">
        <f>'Historical Financials'!R102</f>
        <v>10000</v>
      </c>
      <c r="S34" s="136">
        <f>'Historical Financials'!S102</f>
        <v>0</v>
      </c>
      <c r="U34" s="137">
        <f t="shared" ref="U34:U37" si="51">SUM(H34:K34)</f>
        <v>10000</v>
      </c>
      <c r="V34" s="137">
        <f t="shared" ref="V34:V37" si="52">SUM(I34:L34)</f>
        <v>20000</v>
      </c>
      <c r="W34" s="137">
        <f t="shared" ref="W34:W37" si="53">SUM(J34:M34)</f>
        <v>30000</v>
      </c>
      <c r="X34" s="137">
        <f t="shared" ref="X34:X37" si="54">SUM(K34:N34)</f>
        <v>30000</v>
      </c>
      <c r="Y34" s="137">
        <f t="shared" ref="Y34:Y37" si="55">SUM(L34:O34)</f>
        <v>30000</v>
      </c>
      <c r="Z34" s="137">
        <f t="shared" ref="Z34:Z37" si="56">SUM(M34:P34)</f>
        <v>30000</v>
      </c>
      <c r="AA34" s="137">
        <f t="shared" ref="AA34:AA37" si="57">SUM(N34:Q34)</f>
        <v>30000</v>
      </c>
      <c r="AB34" s="137">
        <f t="shared" ref="AB34:AB37" si="58">SUM(O34:R34)</f>
        <v>40000</v>
      </c>
      <c r="AC34" s="137">
        <f t="shared" ref="AC34:AC37" si="59">SUM(P34:S34)</f>
        <v>30000</v>
      </c>
    </row>
    <row r="35" spans="1:29" ht="12.75" customHeight="1">
      <c r="B35" s="31" t="s">
        <v>154</v>
      </c>
      <c r="C35" s="136">
        <f>'Historical Financials'!C103</f>
        <v>6814</v>
      </c>
      <c r="D35" s="136">
        <f>'Historical Financials'!D103</f>
        <v>0</v>
      </c>
      <c r="E35" s="136">
        <f>'Historical Financials'!E103</f>
        <v>10033</v>
      </c>
      <c r="F35" s="136">
        <f>'Historical Financials'!F103</f>
        <v>1227</v>
      </c>
      <c r="G35" s="32"/>
      <c r="H35" s="136">
        <f>'Historical Financials'!H103</f>
        <v>0</v>
      </c>
      <c r="I35" s="136">
        <f>'Historical Financials'!I103</f>
        <v>0</v>
      </c>
      <c r="J35" s="136">
        <f>'Historical Financials'!J103</f>
        <v>0</v>
      </c>
      <c r="K35" s="136">
        <f>'Historical Financials'!K103</f>
        <v>0</v>
      </c>
      <c r="L35" s="136">
        <f>'Historical Financials'!L103</f>
        <v>0</v>
      </c>
      <c r="M35" s="136">
        <f>'Historical Financials'!M103</f>
        <v>0</v>
      </c>
      <c r="N35" s="136">
        <f>'Historical Financials'!N103</f>
        <v>10033</v>
      </c>
      <c r="O35" s="136">
        <f>'Historical Financials'!O103</f>
        <v>0</v>
      </c>
      <c r="P35" s="136">
        <f>'Historical Financials'!P103</f>
        <v>0</v>
      </c>
      <c r="Q35" s="136">
        <f>'Historical Financials'!Q103</f>
        <v>376</v>
      </c>
      <c r="R35" s="136">
        <f>'Historical Financials'!R103</f>
        <v>0</v>
      </c>
      <c r="S35" s="136">
        <f>'Historical Financials'!S103</f>
        <v>851</v>
      </c>
      <c r="U35" s="137">
        <f t="shared" si="51"/>
        <v>0</v>
      </c>
      <c r="V35" s="137">
        <f t="shared" si="52"/>
        <v>0</v>
      </c>
      <c r="W35" s="137">
        <f t="shared" si="53"/>
        <v>0</v>
      </c>
      <c r="X35" s="137">
        <f t="shared" si="54"/>
        <v>10033</v>
      </c>
      <c r="Y35" s="137">
        <f t="shared" si="55"/>
        <v>10033</v>
      </c>
      <c r="Z35" s="137">
        <f t="shared" si="56"/>
        <v>10033</v>
      </c>
      <c r="AA35" s="137">
        <f t="shared" si="57"/>
        <v>10409</v>
      </c>
      <c r="AB35" s="137">
        <f t="shared" si="58"/>
        <v>376</v>
      </c>
      <c r="AC35" s="137">
        <f t="shared" si="59"/>
        <v>1227</v>
      </c>
    </row>
    <row r="36" spans="1:29" ht="12.75" customHeight="1">
      <c r="B36" s="31" t="s">
        <v>155</v>
      </c>
      <c r="C36" s="136">
        <f>'Historical Financials'!C104</f>
        <v>30000</v>
      </c>
      <c r="D36" s="136">
        <f>'Historical Financials'!D104</f>
        <v>0</v>
      </c>
      <c r="E36" s="136">
        <f>'Historical Financials'!E104</f>
        <v>0</v>
      </c>
      <c r="F36" s="136">
        <f>'Historical Financials'!F104</f>
        <v>0</v>
      </c>
      <c r="G36" s="32"/>
      <c r="H36" s="136">
        <f>'Historical Financials'!H104</f>
        <v>0</v>
      </c>
      <c r="I36" s="136">
        <f>'Historical Financials'!I104</f>
        <v>0</v>
      </c>
      <c r="J36" s="136">
        <f>'Historical Financials'!J104</f>
        <v>0</v>
      </c>
      <c r="K36" s="136">
        <f>'Historical Financials'!K104</f>
        <v>0</v>
      </c>
      <c r="L36" s="136">
        <f>'Historical Financials'!L104</f>
        <v>0</v>
      </c>
      <c r="M36" s="136">
        <f>'Historical Financials'!M104</f>
        <v>0</v>
      </c>
      <c r="N36" s="136">
        <f>'Historical Financials'!N104</f>
        <v>0</v>
      </c>
      <c r="O36" s="136">
        <f>'Historical Financials'!O104</f>
        <v>0</v>
      </c>
      <c r="P36" s="136">
        <f>'Historical Financials'!P104</f>
        <v>0</v>
      </c>
      <c r="Q36" s="136">
        <f>'Historical Financials'!Q104</f>
        <v>0</v>
      </c>
      <c r="R36" s="136">
        <f>'Historical Financials'!R104</f>
        <v>0</v>
      </c>
      <c r="S36" s="136">
        <f>'Historical Financials'!S104</f>
        <v>0</v>
      </c>
      <c r="U36" s="137">
        <f t="shared" si="51"/>
        <v>0</v>
      </c>
      <c r="V36" s="137">
        <f t="shared" si="52"/>
        <v>0</v>
      </c>
      <c r="W36" s="137">
        <f t="shared" si="53"/>
        <v>0</v>
      </c>
      <c r="X36" s="137">
        <f t="shared" si="54"/>
        <v>0</v>
      </c>
      <c r="Y36" s="137">
        <f t="shared" si="55"/>
        <v>0</v>
      </c>
      <c r="Z36" s="137">
        <f t="shared" si="56"/>
        <v>0</v>
      </c>
      <c r="AA36" s="137">
        <f t="shared" si="57"/>
        <v>0</v>
      </c>
      <c r="AB36" s="137">
        <f t="shared" si="58"/>
        <v>0</v>
      </c>
      <c r="AC36" s="137">
        <f t="shared" si="59"/>
        <v>0</v>
      </c>
    </row>
    <row r="37" spans="1:29" ht="12.75" customHeight="1">
      <c r="B37" s="31" t="s">
        <v>65</v>
      </c>
      <c r="C37" s="92"/>
      <c r="D37" s="92" cm="1">
        <f t="array" ref="D37">SUM(D42:D42-C42:C42)-SUM(D32:D36)</f>
        <v>462</v>
      </c>
      <c r="E37" s="92" cm="1">
        <f t="array" ref="E37">SUM(E42:E42-D42:D42)-SUM(E32:E36)</f>
        <v>927</v>
      </c>
      <c r="F37" s="92" cm="1">
        <f t="array" ref="F37">SUM(F42:F42-E42:E42)-SUM(F32:F36)</f>
        <v>1438</v>
      </c>
      <c r="G37" s="32"/>
      <c r="H37" s="92"/>
      <c r="I37" s="92" cm="1">
        <f t="array" ref="I37">SUM(I42:I42-H42:H42)-SUM(I32:I36)</f>
        <v>81</v>
      </c>
      <c r="J37" s="92" cm="1">
        <f t="array" ref="J37">SUM(J42:J42-I42:I42)-SUM(J32:J36)</f>
        <v>136</v>
      </c>
      <c r="K37" s="92" cm="1">
        <f t="array" ref="K37">SUM(K42:K42-J42:J42)-SUM(K32:K36)</f>
        <v>164</v>
      </c>
      <c r="L37" s="92" cm="1">
        <f t="array" ref="L37">SUM(L42:L42-K42:K42)-SUM(L32:L36)</f>
        <v>188</v>
      </c>
      <c r="M37" s="92" cm="1">
        <f t="array" ref="M37">SUM(M42:M42-L42:L42)-SUM(M32:M36)</f>
        <v>218</v>
      </c>
      <c r="N37" s="92" cm="1">
        <f t="array" ref="N37">SUM(N42:N42-M42:M42)-SUM(N32:N36)</f>
        <v>255</v>
      </c>
      <c r="O37" s="92" cm="1">
        <f t="array" ref="O37">SUM(O42:O42-N42:N42)-SUM(O32:O36)</f>
        <v>266</v>
      </c>
      <c r="P37" s="92" cm="1">
        <f t="array" ref="P37">SUM(P42:P42-O42:O42)-SUM(P32:P36)</f>
        <v>104</v>
      </c>
      <c r="Q37" s="92" cm="1">
        <f t="array" ref="Q37">SUM(Q42:Q42-P42:P42)-SUM(Q32:Q36)</f>
        <v>330</v>
      </c>
      <c r="R37" s="92" cm="1">
        <f t="array" ref="R37">SUM(R42:R42-Q42:Q42)-SUM(R32:R36)</f>
        <v>385</v>
      </c>
      <c r="S37" s="92" cm="1">
        <f t="array" ref="S37">SUM(S42:S42-R42:R42)-SUM(S32:S36)</f>
        <v>619</v>
      </c>
      <c r="U37" s="137">
        <f t="shared" si="51"/>
        <v>381</v>
      </c>
      <c r="V37" s="137">
        <f t="shared" si="52"/>
        <v>569</v>
      </c>
      <c r="W37" s="137">
        <f t="shared" si="53"/>
        <v>706</v>
      </c>
      <c r="X37" s="137">
        <f t="shared" si="54"/>
        <v>825</v>
      </c>
      <c r="Y37" s="137">
        <f t="shared" si="55"/>
        <v>927</v>
      </c>
      <c r="Z37" s="137">
        <f t="shared" si="56"/>
        <v>843</v>
      </c>
      <c r="AA37" s="137">
        <f t="shared" si="57"/>
        <v>955</v>
      </c>
      <c r="AB37" s="137">
        <f t="shared" si="58"/>
        <v>1085</v>
      </c>
      <c r="AC37" s="137">
        <f t="shared" si="59"/>
        <v>1438</v>
      </c>
    </row>
    <row r="38" spans="1:29" ht="12.75" customHeight="1">
      <c r="B38" s="13" t="s">
        <v>39</v>
      </c>
      <c r="C38" s="14">
        <f>SUM(C32+SUM(C34:C37))</f>
        <v>12220</v>
      </c>
      <c r="D38" s="14">
        <f>SUM(D32+SUM(D34:D37))</f>
        <v>-21056</v>
      </c>
      <c r="E38" s="14">
        <f>SUM(E32+SUM(E34:E37))</f>
        <v>7068</v>
      </c>
      <c r="F38" s="14">
        <f>SUM(F32+SUM(F34:F37))</f>
        <v>-10540</v>
      </c>
      <c r="H38" s="14">
        <f>SUM(H32+SUM(H34:H37))</f>
        <v>-8123</v>
      </c>
      <c r="I38" s="14">
        <f>SUM(I32+SUM(I34:I37))</f>
        <v>-7428</v>
      </c>
      <c r="J38" s="14">
        <f>SUM(J32+SUM(J34:J37))</f>
        <v>-8347</v>
      </c>
      <c r="K38" s="14">
        <f>SUM(K32+SUM(K34:K37))</f>
        <v>2761</v>
      </c>
      <c r="L38" s="14">
        <f>SUM(L32+SUM(L34:L37))</f>
        <v>-793</v>
      </c>
      <c r="M38" s="14">
        <f>SUM(M32+SUM(M34:M37))</f>
        <v>167</v>
      </c>
      <c r="N38" s="14">
        <f>SUM(N32+SUM(N34:N37))</f>
        <v>2396</v>
      </c>
      <c r="O38" s="14">
        <f>SUM(O32+SUM(O34:O37))</f>
        <v>5298</v>
      </c>
      <c r="P38" s="14">
        <f>SUM(P32+SUM(P34:P37))</f>
        <v>-2105</v>
      </c>
      <c r="Q38" s="14">
        <f>SUM(Q32+SUM(Q34:Q37))</f>
        <v>2043</v>
      </c>
      <c r="R38" s="14">
        <f>SUM(R32+SUM(R34:R37))</f>
        <v>1462</v>
      </c>
      <c r="S38" s="14">
        <f>SUM(S32+SUM(S34:S37))</f>
        <v>-11940</v>
      </c>
      <c r="U38" s="14">
        <f>SUM(U32+SUM(U34:U37))</f>
        <v>-21137</v>
      </c>
      <c r="V38" s="14">
        <f>SUM(V32+SUM(V34:V37))</f>
        <v>-13807</v>
      </c>
      <c r="W38" s="14">
        <f>SUM(W32+SUM(W34:W37))</f>
        <v>-6212</v>
      </c>
      <c r="X38" s="14">
        <f>SUM(X32+SUM(X34:X37))</f>
        <v>4531</v>
      </c>
      <c r="Y38" s="14">
        <f>SUM(Y32+SUM(Y34:Y37))</f>
        <v>7068</v>
      </c>
      <c r="Z38" s="14">
        <f>SUM(Z32+SUM(Z34:Z37))</f>
        <v>5756</v>
      </c>
      <c r="AA38" s="14">
        <f>SUM(AA32+SUM(AA34:AA37))</f>
        <v>7632</v>
      </c>
      <c r="AB38" s="14">
        <f>SUM(AB32+SUM(AB34:AB37))</f>
        <v>6698</v>
      </c>
      <c r="AC38" s="14">
        <f>SUM(AC32+SUM(AC34:AC37))</f>
        <v>-10540</v>
      </c>
    </row>
    <row r="39" spans="1:29" ht="5.0999999999999996" customHeight="1"/>
    <row r="40" spans="1:29" ht="12.75" customHeight="1">
      <c r="A40" s="5"/>
      <c r="B40" s="33" t="s">
        <v>40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 ht="5.0999999999999996" customHeight="1"/>
    <row r="42" spans="1:29" ht="12.75" customHeight="1">
      <c r="B42" s="8" t="s">
        <v>41</v>
      </c>
      <c r="C42" s="90">
        <f>'Historical Financials'!C45</f>
        <v>39648</v>
      </c>
      <c r="D42" s="90">
        <f>'Historical Financials'!D45</f>
        <v>18592</v>
      </c>
      <c r="E42" s="90">
        <f>'Historical Financials'!E45</f>
        <v>25660</v>
      </c>
      <c r="F42" s="90">
        <f>'Historical Financials'!F45</f>
        <v>15120</v>
      </c>
      <c r="G42" s="32"/>
      <c r="H42" s="90">
        <f>'Historical Financials'!H45</f>
        <v>31606</v>
      </c>
      <c r="I42" s="90">
        <f>'Historical Financials'!I45</f>
        <v>24178</v>
      </c>
      <c r="J42" s="90">
        <f>'Historical Financials'!J45</f>
        <v>15831</v>
      </c>
      <c r="K42" s="90">
        <f>'Historical Financials'!K45</f>
        <v>18592</v>
      </c>
      <c r="L42" s="90">
        <f>'Historical Financials'!L45</f>
        <v>17799</v>
      </c>
      <c r="M42" s="90">
        <f>'Historical Financials'!M45</f>
        <v>17966</v>
      </c>
      <c r="N42" s="90">
        <f>'Historical Financials'!N45</f>
        <v>20362</v>
      </c>
      <c r="O42" s="90">
        <f>'Historical Financials'!O45</f>
        <v>25660</v>
      </c>
      <c r="P42" s="90">
        <f>'Historical Financials'!P45</f>
        <v>23555</v>
      </c>
      <c r="Q42" s="90">
        <f>'Historical Financials'!Q45</f>
        <v>25598</v>
      </c>
      <c r="R42" s="90">
        <f>'Historical Financials'!R45</f>
        <v>27060</v>
      </c>
      <c r="S42" s="90">
        <f>'Historical Financials'!S45</f>
        <v>15120</v>
      </c>
      <c r="U42" s="10">
        <f t="shared" ref="U42:AB42" si="60">K42</f>
        <v>18592</v>
      </c>
      <c r="V42" s="10">
        <f t="shared" si="60"/>
        <v>17799</v>
      </c>
      <c r="W42" s="10">
        <f t="shared" si="60"/>
        <v>17966</v>
      </c>
      <c r="X42" s="10">
        <f t="shared" si="60"/>
        <v>20362</v>
      </c>
      <c r="Y42" s="10">
        <f t="shared" si="60"/>
        <v>25660</v>
      </c>
      <c r="Z42" s="10">
        <f t="shared" si="60"/>
        <v>23555</v>
      </c>
      <c r="AA42" s="10">
        <f t="shared" si="60"/>
        <v>25598</v>
      </c>
      <c r="AB42" s="10">
        <f t="shared" si="60"/>
        <v>27060</v>
      </c>
      <c r="AC42" s="10">
        <f>S42</f>
        <v>15120</v>
      </c>
    </row>
    <row r="43" spans="1:29" ht="12.75" customHeight="1">
      <c r="B43" s="13" t="s">
        <v>42</v>
      </c>
      <c r="C43" s="14">
        <f>SUM(C42:C42)</f>
        <v>39648</v>
      </c>
      <c r="D43" s="14">
        <f>SUM(D42:D42)</f>
        <v>18592</v>
      </c>
      <c r="E43" s="14">
        <f>SUM(E42:E42)</f>
        <v>25660</v>
      </c>
      <c r="F43" s="14">
        <f>SUM(F42:F42)</f>
        <v>15120</v>
      </c>
      <c r="G43" s="32"/>
      <c r="H43" s="14">
        <f>SUM(H42:H42)</f>
        <v>31606</v>
      </c>
      <c r="I43" s="14">
        <f>SUM(I42:I42)</f>
        <v>24178</v>
      </c>
      <c r="J43" s="14">
        <f>SUM(J42:J42)</f>
        <v>15831</v>
      </c>
      <c r="K43" s="14">
        <f>SUM(K42:K42)</f>
        <v>18592</v>
      </c>
      <c r="L43" s="14">
        <f>SUM(L42:L42)</f>
        <v>17799</v>
      </c>
      <c r="M43" s="14">
        <f>SUM(M42:M42)</f>
        <v>17966</v>
      </c>
      <c r="N43" s="14">
        <f>SUM(N42:N42)</f>
        <v>20362</v>
      </c>
      <c r="O43" s="14">
        <f>SUM(O42:O42)</f>
        <v>25660</v>
      </c>
      <c r="P43" s="14">
        <f>SUM(P42:P42)</f>
        <v>23555</v>
      </c>
      <c r="Q43" s="14">
        <f>SUM(Q42:Q42)</f>
        <v>25598</v>
      </c>
      <c r="R43" s="14">
        <f>SUM(R42:R42)</f>
        <v>27060</v>
      </c>
      <c r="S43" s="14">
        <f>SUM(S42:S42)</f>
        <v>15120</v>
      </c>
      <c r="U43" s="14">
        <f>SUM(U42:U42)</f>
        <v>18592</v>
      </c>
      <c r="V43" s="14">
        <f>SUM(V42:V42)</f>
        <v>17799</v>
      </c>
      <c r="W43" s="14">
        <f>SUM(W42:W42)</f>
        <v>17966</v>
      </c>
      <c r="X43" s="14">
        <f>SUM(X42:X42)</f>
        <v>20362</v>
      </c>
      <c r="Y43" s="14">
        <f>SUM(Y42:Y42)</f>
        <v>25660</v>
      </c>
      <c r="Z43" s="14">
        <f>SUM(Z42:Z42)</f>
        <v>23555</v>
      </c>
      <c r="AA43" s="14">
        <f>SUM(AA42:AA42)</f>
        <v>25598</v>
      </c>
      <c r="AB43" s="14">
        <f>SUM(AB42:AB42)</f>
        <v>27060</v>
      </c>
      <c r="AC43" s="14">
        <f>SUM(AC42:AC42)</f>
        <v>15120</v>
      </c>
    </row>
    <row r="44" spans="1:29" ht="5.0999999999999996" customHeight="1"/>
    <row r="45" spans="1:29" ht="12.75" customHeight="1">
      <c r="B45" s="35" t="s">
        <v>43</v>
      </c>
    </row>
    <row r="46" spans="1:29" ht="12.75" customHeight="1">
      <c r="B46" s="8" t="s">
        <v>13</v>
      </c>
      <c r="C46" s="90">
        <f>'Historical Financials'!C55</f>
        <v>1805</v>
      </c>
      <c r="D46" s="90">
        <f>'Historical Financials'!D55</f>
        <v>3890</v>
      </c>
      <c r="E46" s="90">
        <f>'Historical Financials'!E55</f>
        <v>6431</v>
      </c>
      <c r="F46" s="90">
        <f>'Historical Financials'!F55</f>
        <v>5656</v>
      </c>
      <c r="H46" s="90">
        <f>'Historical Financials'!H55</f>
        <v>1906</v>
      </c>
      <c r="I46" s="90">
        <f>'Historical Financials'!I55</f>
        <v>2964</v>
      </c>
      <c r="J46" s="90">
        <f>'Historical Financials'!J55</f>
        <v>2352</v>
      </c>
      <c r="K46" s="90">
        <f>'Historical Financials'!K55</f>
        <v>3890</v>
      </c>
      <c r="L46" s="90">
        <f>'Historical Financials'!L55</f>
        <v>2553</v>
      </c>
      <c r="M46" s="90">
        <f>'Historical Financials'!M55</f>
        <v>1976</v>
      </c>
      <c r="N46" s="90">
        <f>'Historical Financials'!N55</f>
        <v>2681</v>
      </c>
      <c r="O46" s="90">
        <f>'Historical Financials'!O55</f>
        <v>6431</v>
      </c>
      <c r="P46" s="90">
        <f>'Historical Financials'!P55</f>
        <v>3797</v>
      </c>
      <c r="Q46" s="90">
        <f>'Historical Financials'!Q55</f>
        <v>3698</v>
      </c>
      <c r="R46" s="90">
        <f>'Historical Financials'!R55</f>
        <v>2795</v>
      </c>
      <c r="S46" s="90">
        <f>'Historical Financials'!S55</f>
        <v>5656</v>
      </c>
      <c r="T46" s="10"/>
      <c r="U46" s="10">
        <f t="shared" ref="U46:U49" si="61">K46</f>
        <v>3890</v>
      </c>
      <c r="V46" s="10">
        <f t="shared" ref="V46:V49" si="62">L46</f>
        <v>2553</v>
      </c>
      <c r="W46" s="10">
        <f t="shared" ref="W46:W49" si="63">M46</f>
        <v>1976</v>
      </c>
      <c r="X46" s="10">
        <f t="shared" ref="X46:X49" si="64">N46</f>
        <v>2681</v>
      </c>
      <c r="Y46" s="10">
        <f t="shared" ref="Y46:Y49" si="65">O46</f>
        <v>6431</v>
      </c>
      <c r="Z46" s="10">
        <f t="shared" ref="Z46:Z49" si="66">P46</f>
        <v>3797</v>
      </c>
      <c r="AA46" s="10">
        <f t="shared" ref="AA46:AA49" si="67">Q46</f>
        <v>3698</v>
      </c>
      <c r="AB46" s="10">
        <f t="shared" ref="AB46:AB49" si="68">R46</f>
        <v>2795</v>
      </c>
      <c r="AC46" s="10">
        <f t="shared" ref="AC46:AC48" si="69">S46</f>
        <v>5656</v>
      </c>
    </row>
    <row r="47" spans="1:29" ht="12.75" customHeight="1">
      <c r="B47" s="8" t="s">
        <v>136</v>
      </c>
      <c r="C47" s="90">
        <f>'Historical Financials'!C57</f>
        <v>65</v>
      </c>
      <c r="D47" s="90">
        <f>'Historical Financials'!D57</f>
        <v>64</v>
      </c>
      <c r="E47" s="90">
        <f>'Historical Financials'!E57</f>
        <v>63</v>
      </c>
      <c r="F47" s="90">
        <f>'Historical Financials'!F57</f>
        <v>63</v>
      </c>
      <c r="G47" s="90"/>
      <c r="H47" s="90">
        <f>'Historical Financials'!H57</f>
        <v>0</v>
      </c>
      <c r="I47" s="90">
        <f>'Historical Financials'!I57</f>
        <v>64</v>
      </c>
      <c r="J47" s="90">
        <f>'Historical Financials'!J57</f>
        <v>0</v>
      </c>
      <c r="K47" s="90">
        <f>'Historical Financials'!K57</f>
        <v>64</v>
      </c>
      <c r="L47" s="90">
        <f>'Historical Financials'!L57</f>
        <v>0</v>
      </c>
      <c r="M47" s="90">
        <f>'Historical Financials'!M57</f>
        <v>64</v>
      </c>
      <c r="N47" s="90">
        <f>'Historical Financials'!N57</f>
        <v>0</v>
      </c>
      <c r="O47" s="90">
        <f>'Historical Financials'!O57</f>
        <v>63</v>
      </c>
      <c r="P47" s="90">
        <f>'Historical Financials'!P57</f>
        <v>0</v>
      </c>
      <c r="Q47" s="90">
        <f>'Historical Financials'!Q57</f>
        <v>63</v>
      </c>
      <c r="R47" s="90">
        <f>'Historical Financials'!R57</f>
        <v>0</v>
      </c>
      <c r="S47" s="90">
        <f>'Historical Financials'!S57</f>
        <v>63</v>
      </c>
      <c r="U47" s="10">
        <f t="shared" si="61"/>
        <v>64</v>
      </c>
      <c r="V47" s="10">
        <f t="shared" si="62"/>
        <v>0</v>
      </c>
      <c r="W47" s="10">
        <f t="shared" si="63"/>
        <v>64</v>
      </c>
      <c r="X47" s="10">
        <f t="shared" si="64"/>
        <v>0</v>
      </c>
      <c r="Y47" s="10">
        <f t="shared" si="65"/>
        <v>63</v>
      </c>
      <c r="Z47" s="10">
        <f t="shared" si="66"/>
        <v>0</v>
      </c>
      <c r="AA47" s="10">
        <f t="shared" si="67"/>
        <v>63</v>
      </c>
      <c r="AB47" s="10">
        <f t="shared" si="68"/>
        <v>0</v>
      </c>
      <c r="AC47" s="10">
        <f t="shared" si="69"/>
        <v>63</v>
      </c>
    </row>
    <row r="48" spans="1:29" ht="12.75" customHeight="1">
      <c r="B48" s="8" t="s">
        <v>44</v>
      </c>
      <c r="C48" s="90">
        <f>'Historical Financials'!C60</f>
        <v>9033</v>
      </c>
      <c r="D48" s="90">
        <f>'Historical Financials'!D60</f>
        <v>13012</v>
      </c>
      <c r="E48" s="90">
        <f>'Historical Financials'!E60</f>
        <v>15676</v>
      </c>
      <c r="F48" s="90">
        <f>'Historical Financials'!F60</f>
        <v>35409</v>
      </c>
      <c r="G48" s="90"/>
      <c r="H48" s="90">
        <f>'Historical Financials'!H60</f>
        <v>9535</v>
      </c>
      <c r="I48" s="90">
        <f>'Historical Financials'!I60</f>
        <v>10892</v>
      </c>
      <c r="J48" s="90">
        <f>'Historical Financials'!J60</f>
        <v>9588</v>
      </c>
      <c r="K48" s="90">
        <f>'Historical Financials'!K60</f>
        <v>13012</v>
      </c>
      <c r="L48" s="90">
        <f>'Historical Financials'!L60</f>
        <v>11533</v>
      </c>
      <c r="M48" s="90">
        <f>'Historical Financials'!M60</f>
        <v>9953</v>
      </c>
      <c r="N48" s="90">
        <f>'Historical Financials'!N60</f>
        <v>10522</v>
      </c>
      <c r="O48" s="90">
        <f>'Historical Financials'!O60</f>
        <v>15676</v>
      </c>
      <c r="P48" s="90">
        <f>'Historical Financials'!P60</f>
        <v>12633</v>
      </c>
      <c r="Q48" s="90">
        <f>'Historical Financials'!Q60</f>
        <v>14617</v>
      </c>
      <c r="R48" s="90">
        <f>'Historical Financials'!R60</f>
        <v>25258</v>
      </c>
      <c r="S48" s="90">
        <f>'Historical Financials'!S60</f>
        <v>35409</v>
      </c>
      <c r="U48" s="10">
        <f t="shared" si="61"/>
        <v>13012</v>
      </c>
      <c r="V48" s="10">
        <f t="shared" si="62"/>
        <v>11533</v>
      </c>
      <c r="W48" s="10">
        <f t="shared" si="63"/>
        <v>9953</v>
      </c>
      <c r="X48" s="10">
        <f t="shared" si="64"/>
        <v>10522</v>
      </c>
      <c r="Y48" s="10">
        <f t="shared" si="65"/>
        <v>15676</v>
      </c>
      <c r="Z48" s="10">
        <f t="shared" si="66"/>
        <v>12633</v>
      </c>
      <c r="AA48" s="10">
        <f t="shared" si="67"/>
        <v>14617</v>
      </c>
      <c r="AB48" s="10">
        <f t="shared" si="68"/>
        <v>25258</v>
      </c>
      <c r="AC48" s="10">
        <f t="shared" si="69"/>
        <v>35409</v>
      </c>
    </row>
    <row r="49" spans="1:29" ht="12.75" customHeight="1">
      <c r="B49" s="8" t="s">
        <v>17</v>
      </c>
      <c r="C49" s="90">
        <f>'Historical Financials'!C67</f>
        <v>39211</v>
      </c>
      <c r="D49" s="90">
        <f>'Historical Financials'!D67</f>
        <v>53479</v>
      </c>
      <c r="E49" s="90">
        <f>'Historical Financials'!E67</f>
        <v>88441</v>
      </c>
      <c r="F49" s="90">
        <f>'Historical Financials'!F67</f>
        <v>120565</v>
      </c>
      <c r="G49" s="90"/>
      <c r="H49" s="90">
        <f>'Historical Financials'!H67</f>
        <v>39808</v>
      </c>
      <c r="I49" s="90">
        <f>'Historical Financials'!I67</f>
        <v>41109</v>
      </c>
      <c r="J49" s="90">
        <f>'Historical Financials'!J67</f>
        <v>40249</v>
      </c>
      <c r="K49" s="90">
        <f>'Historical Financials'!K67</f>
        <v>53479</v>
      </c>
      <c r="L49" s="90">
        <f>'Historical Financials'!L67</f>
        <v>62871</v>
      </c>
      <c r="M49" s="90">
        <f>'Historical Financials'!M67</f>
        <v>71208</v>
      </c>
      <c r="N49" s="90">
        <f>'Historical Financials'!N67</f>
        <v>73036</v>
      </c>
      <c r="O49" s="90">
        <f>'Historical Financials'!O67</f>
        <v>88441</v>
      </c>
      <c r="P49" s="90">
        <f>'Historical Financials'!P67</f>
        <v>96976</v>
      </c>
      <c r="Q49" s="90">
        <f>'Historical Financials'!Q67</f>
        <v>109802</v>
      </c>
      <c r="R49" s="90">
        <f>'Historical Financials'!R67</f>
        <v>121453</v>
      </c>
      <c r="S49" s="90">
        <f>'Historical Financials'!S67</f>
        <v>120565</v>
      </c>
      <c r="U49" s="10">
        <f t="shared" si="61"/>
        <v>53479</v>
      </c>
      <c r="V49" s="10">
        <f t="shared" si="62"/>
        <v>62871</v>
      </c>
      <c r="W49" s="10">
        <f t="shared" si="63"/>
        <v>71208</v>
      </c>
      <c r="X49" s="10">
        <f t="shared" si="64"/>
        <v>73036</v>
      </c>
      <c r="Y49" s="10">
        <f t="shared" si="65"/>
        <v>88441</v>
      </c>
      <c r="Z49" s="10">
        <f t="shared" si="66"/>
        <v>96976</v>
      </c>
      <c r="AA49" s="10">
        <f t="shared" si="67"/>
        <v>109802</v>
      </c>
      <c r="AB49" s="10">
        <f t="shared" si="68"/>
        <v>121453</v>
      </c>
      <c r="AC49" s="10">
        <f>S49</f>
        <v>120565</v>
      </c>
    </row>
    <row r="50" spans="1:29" ht="5.0999999999999996" customHeight="1">
      <c r="F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29">
      <c r="B51" s="35" t="s">
        <v>99</v>
      </c>
      <c r="F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29">
      <c r="B52" s="8" t="s">
        <v>100</v>
      </c>
      <c r="C52" s="90">
        <f>'Historical Financials'!C58</f>
        <v>0</v>
      </c>
      <c r="D52" s="90">
        <f>'Historical Financials'!D58</f>
        <v>0</v>
      </c>
      <c r="E52" s="90">
        <f>'Historical Financials'!E58</f>
        <v>0</v>
      </c>
      <c r="F52" s="90">
        <f>'Historical Financials'!F58</f>
        <v>21117</v>
      </c>
      <c r="H52" s="90">
        <f>'Historical Financials'!H58</f>
        <v>0</v>
      </c>
      <c r="I52" s="90">
        <f>'Historical Financials'!I58</f>
        <v>0</v>
      </c>
      <c r="J52" s="90">
        <f>'Historical Financials'!J58</f>
        <v>0</v>
      </c>
      <c r="K52" s="90">
        <f>'Historical Financials'!K58</f>
        <v>0</v>
      </c>
      <c r="L52" s="90">
        <f>'Historical Financials'!L58</f>
        <v>0</v>
      </c>
      <c r="M52" s="90">
        <f>'Historical Financials'!M58</f>
        <v>0</v>
      </c>
      <c r="N52" s="90">
        <f>'Historical Financials'!N58</f>
        <v>0</v>
      </c>
      <c r="O52" s="90">
        <f>'Historical Financials'!O58</f>
        <v>0</v>
      </c>
      <c r="P52" s="90">
        <f>'Historical Financials'!P58</f>
        <v>0</v>
      </c>
      <c r="Q52" s="90">
        <f>'Historical Financials'!Q58</f>
        <v>0</v>
      </c>
      <c r="R52" s="90">
        <f>'Historical Financials'!R58</f>
        <v>10518</v>
      </c>
      <c r="S52" s="90">
        <f>'Historical Financials'!S58</f>
        <v>21117</v>
      </c>
      <c r="U52" s="10">
        <f t="shared" ref="U52:U53" si="70">K52</f>
        <v>0</v>
      </c>
      <c r="V52" s="10">
        <f t="shared" ref="V52:V53" si="71">L52</f>
        <v>0</v>
      </c>
      <c r="W52" s="10">
        <f t="shared" ref="W52:W53" si="72">M52</f>
        <v>0</v>
      </c>
      <c r="X52" s="10">
        <f t="shared" ref="X52:X53" si="73">N52</f>
        <v>0</v>
      </c>
      <c r="Y52" s="10">
        <f t="shared" ref="Y52:Y53" si="74">O52</f>
        <v>0</v>
      </c>
      <c r="Z52" s="10">
        <f t="shared" ref="Z52:Z53" si="75">P52</f>
        <v>0</v>
      </c>
      <c r="AA52" s="10">
        <f t="shared" ref="AA52:AA53" si="76">Q52</f>
        <v>0</v>
      </c>
      <c r="AB52" s="10">
        <f t="shared" ref="AB52:AB53" si="77">R52</f>
        <v>10518</v>
      </c>
      <c r="AC52" s="10">
        <f t="shared" ref="AC52:AC53" si="78">S52</f>
        <v>21117</v>
      </c>
    </row>
    <row r="53" spans="1:29">
      <c r="B53" s="8" t="s">
        <v>101</v>
      </c>
      <c r="C53" s="90">
        <f>'Historical Financials'!C63+'Historical Financials'!C65</f>
        <v>29048</v>
      </c>
      <c r="D53" s="90">
        <f>'Historical Financials'!D63+'Historical Financials'!D65</f>
        <v>39828</v>
      </c>
      <c r="E53" s="90">
        <f>'Historical Financials'!E63+'Historical Financials'!E65</f>
        <v>71741</v>
      </c>
      <c r="F53" s="90">
        <f>'Historical Financials'!F63+'Historical Financials'!F65</f>
        <v>85109</v>
      </c>
      <c r="H53" s="90">
        <f>'Historical Financials'!H63+'Historical Financials'!H65</f>
        <v>29275</v>
      </c>
      <c r="I53" s="90">
        <f>'Historical Financials'!I63+'Historical Financials'!I65</f>
        <v>29504</v>
      </c>
      <c r="J53" s="90">
        <f>'Historical Financials'!J63+'Historical Financials'!J65</f>
        <v>29734</v>
      </c>
      <c r="K53" s="90">
        <f>'Historical Financials'!K63+'Historical Financials'!K65</f>
        <v>39828</v>
      </c>
      <c r="L53" s="90">
        <f>'Historical Financials'!L63+'Historical Financials'!L65</f>
        <v>49941</v>
      </c>
      <c r="M53" s="90">
        <f>'Historical Financials'!M63+'Historical Financials'!M65</f>
        <v>60359</v>
      </c>
      <c r="N53" s="90">
        <f>'Historical Financials'!N63+'Historical Financials'!N65</f>
        <v>61140</v>
      </c>
      <c r="O53" s="90">
        <f>'Historical Financials'!O63+'Historical Financials'!O65</f>
        <v>71741</v>
      </c>
      <c r="P53" s="90">
        <f>'Historical Financials'!P63+'Historical Financials'!P65</f>
        <v>82463</v>
      </c>
      <c r="Q53" s="90">
        <f>'Historical Financials'!Q63+'Historical Financials'!Q65</f>
        <v>93421</v>
      </c>
      <c r="R53" s="90">
        <f>'Historical Financials'!R63+'Historical Financials'!R65</f>
        <v>94036</v>
      </c>
      <c r="S53" s="90">
        <f>'Historical Financials'!S63+'Historical Financials'!S65</f>
        <v>85109</v>
      </c>
      <c r="U53" s="10">
        <f t="shared" si="70"/>
        <v>39828</v>
      </c>
      <c r="V53" s="10">
        <f t="shared" si="71"/>
        <v>49941</v>
      </c>
      <c r="W53" s="10">
        <f t="shared" si="72"/>
        <v>60359</v>
      </c>
      <c r="X53" s="10">
        <f t="shared" si="73"/>
        <v>61140</v>
      </c>
      <c r="Y53" s="10">
        <f t="shared" si="74"/>
        <v>71741</v>
      </c>
      <c r="Z53" s="10">
        <f t="shared" si="75"/>
        <v>82463</v>
      </c>
      <c r="AA53" s="10">
        <f t="shared" si="76"/>
        <v>93421</v>
      </c>
      <c r="AB53" s="10">
        <f t="shared" si="77"/>
        <v>94036</v>
      </c>
      <c r="AC53" s="10">
        <f t="shared" si="78"/>
        <v>85109</v>
      </c>
    </row>
    <row r="54" spans="1:29">
      <c r="F54" s="10"/>
    </row>
    <row r="55" spans="1:29">
      <c r="B55" s="31" t="s">
        <v>157</v>
      </c>
      <c r="C55" s="90">
        <f>+'Historical Financials'!C58+'Historical Financials'!C63</f>
        <v>29048</v>
      </c>
      <c r="D55" s="90">
        <f>+'Historical Financials'!D58+'Historical Financials'!D63</f>
        <v>29964</v>
      </c>
      <c r="E55" s="90">
        <f>+'Historical Financials'!E58+'Historical Financials'!E63</f>
        <v>30902</v>
      </c>
      <c r="F55" s="90">
        <f>+'Historical Financials'!F58+'Historical Financials'!F63</f>
        <v>31850</v>
      </c>
      <c r="H55" s="90">
        <f>+'Historical Financials'!H58+'Historical Financials'!H63</f>
        <v>29275</v>
      </c>
      <c r="I55" s="90">
        <f>+'Historical Financials'!I58+'Historical Financials'!I63</f>
        <v>29504</v>
      </c>
      <c r="J55" s="90">
        <f>+'Historical Financials'!J58+'Historical Financials'!J63</f>
        <v>29734</v>
      </c>
      <c r="K55" s="90">
        <f>+'Historical Financials'!K58+'Historical Financials'!K63</f>
        <v>29964</v>
      </c>
      <c r="L55" s="90">
        <f>+'Historical Financials'!L58+'Historical Financials'!L63</f>
        <v>30200</v>
      </c>
      <c r="M55" s="90">
        <f>+'Historical Financials'!M58+'Historical Financials'!M63</f>
        <v>30433</v>
      </c>
      <c r="N55" s="90">
        <f>+'Historical Financials'!N58+'Historical Financials'!N63</f>
        <v>30666</v>
      </c>
      <c r="O55" s="90">
        <f>+'Historical Financials'!O58+'Historical Financials'!O63</f>
        <v>30902</v>
      </c>
      <c r="P55" s="90">
        <f>+'Historical Financials'!P58+'Historical Financials'!P63</f>
        <v>31139</v>
      </c>
      <c r="Q55" s="90">
        <f>+'Historical Financials'!Q58+'Historical Financials'!Q63</f>
        <v>31375</v>
      </c>
      <c r="R55" s="90">
        <f>+'Historical Financials'!R58+'Historical Financials'!R63</f>
        <v>31612</v>
      </c>
      <c r="S55" s="90">
        <f>+'Historical Financials'!S58+'Historical Financials'!S63</f>
        <v>31850</v>
      </c>
      <c r="U55" s="10">
        <f t="shared" ref="U55:U56" si="79">K55</f>
        <v>29964</v>
      </c>
      <c r="V55" s="10">
        <f t="shared" ref="V55:V56" si="80">L55</f>
        <v>30200</v>
      </c>
      <c r="W55" s="10">
        <f t="shared" ref="W55:W56" si="81">M55</f>
        <v>30433</v>
      </c>
      <c r="X55" s="10">
        <f t="shared" ref="X55:X56" si="82">N55</f>
        <v>30666</v>
      </c>
      <c r="Y55" s="10">
        <f t="shared" ref="Y55:Y56" si="83">O55</f>
        <v>30902</v>
      </c>
      <c r="Z55" s="10">
        <f t="shared" ref="Z55:Z56" si="84">P55</f>
        <v>31139</v>
      </c>
      <c r="AA55" s="10">
        <f t="shared" ref="AA55:AA56" si="85">Q55</f>
        <v>31375</v>
      </c>
      <c r="AB55" s="10">
        <f t="shared" ref="AB55:AB56" si="86">R55</f>
        <v>31612</v>
      </c>
      <c r="AC55" s="10">
        <f t="shared" ref="AC55:AC56" si="87">S55</f>
        <v>31850</v>
      </c>
    </row>
    <row r="56" spans="1:29" ht="12.75" customHeight="1">
      <c r="B56" s="31" t="s">
        <v>156</v>
      </c>
      <c r="C56" s="90">
        <f>'Historical Financials'!C65</f>
        <v>0</v>
      </c>
      <c r="D56" s="90">
        <f>'Historical Financials'!D65</f>
        <v>9864</v>
      </c>
      <c r="E56" s="90">
        <f>'Historical Financials'!E65</f>
        <v>40839</v>
      </c>
      <c r="F56" s="90">
        <f>'Historical Financials'!F65</f>
        <v>74376</v>
      </c>
      <c r="H56" s="90">
        <f>'Historical Financials'!H65</f>
        <v>0</v>
      </c>
      <c r="I56" s="90">
        <f>'Historical Financials'!I65</f>
        <v>0</v>
      </c>
      <c r="J56" s="90">
        <f>'Historical Financials'!J65</f>
        <v>0</v>
      </c>
      <c r="K56" s="90">
        <f>'Historical Financials'!K65</f>
        <v>9864</v>
      </c>
      <c r="L56" s="90">
        <f>'Historical Financials'!L65</f>
        <v>19741</v>
      </c>
      <c r="M56" s="90">
        <f>'Historical Financials'!M65</f>
        <v>29926</v>
      </c>
      <c r="N56" s="90">
        <f>'Historical Financials'!N65</f>
        <v>30474</v>
      </c>
      <c r="O56" s="90">
        <f>'Historical Financials'!O65</f>
        <v>40839</v>
      </c>
      <c r="P56" s="90">
        <f>'Historical Financials'!P65</f>
        <v>51324</v>
      </c>
      <c r="Q56" s="90">
        <f>'Historical Financials'!Q65</f>
        <v>62046</v>
      </c>
      <c r="R56" s="90">
        <f>'Historical Financials'!R65</f>
        <v>72942</v>
      </c>
      <c r="S56" s="90">
        <f>'Historical Financials'!S65</f>
        <v>74376</v>
      </c>
      <c r="U56" s="10">
        <f t="shared" si="79"/>
        <v>9864</v>
      </c>
      <c r="V56" s="10">
        <f t="shared" si="80"/>
        <v>19741</v>
      </c>
      <c r="W56" s="10">
        <f t="shared" si="81"/>
        <v>29926</v>
      </c>
      <c r="X56" s="10">
        <f t="shared" si="82"/>
        <v>30474</v>
      </c>
      <c r="Y56" s="10">
        <f t="shared" si="83"/>
        <v>40839</v>
      </c>
      <c r="Z56" s="10">
        <f t="shared" si="84"/>
        <v>51324</v>
      </c>
      <c r="AA56" s="10">
        <f t="shared" si="85"/>
        <v>62046</v>
      </c>
      <c r="AB56" s="10">
        <f t="shared" si="86"/>
        <v>72942</v>
      </c>
      <c r="AC56" s="10">
        <f t="shared" si="87"/>
        <v>74376</v>
      </c>
    </row>
    <row r="57" spans="1:29" ht="12.75" customHeight="1">
      <c r="B57" s="13" t="s">
        <v>23</v>
      </c>
      <c r="C57" s="14">
        <f t="shared" ref="C57:F57" si="88">SUM(C55:C56)</f>
        <v>29048</v>
      </c>
      <c r="D57" s="14">
        <f t="shared" si="88"/>
        <v>39828</v>
      </c>
      <c r="E57" s="14">
        <f t="shared" si="88"/>
        <v>71741</v>
      </c>
      <c r="F57" s="14">
        <f t="shared" si="88"/>
        <v>106226</v>
      </c>
      <c r="H57" s="14">
        <f>SUM(H55:H56)</f>
        <v>29275</v>
      </c>
      <c r="I57" s="14">
        <f t="shared" ref="I57:S57" si="89">SUM(I55:I56)</f>
        <v>29504</v>
      </c>
      <c r="J57" s="14">
        <f t="shared" si="89"/>
        <v>29734</v>
      </c>
      <c r="K57" s="14">
        <f t="shared" si="89"/>
        <v>39828</v>
      </c>
      <c r="L57" s="14">
        <f t="shared" si="89"/>
        <v>49941</v>
      </c>
      <c r="M57" s="14">
        <f t="shared" si="89"/>
        <v>60359</v>
      </c>
      <c r="N57" s="14">
        <f t="shared" si="89"/>
        <v>61140</v>
      </c>
      <c r="O57" s="14">
        <f t="shared" si="89"/>
        <v>71741</v>
      </c>
      <c r="P57" s="14">
        <f t="shared" si="89"/>
        <v>82463</v>
      </c>
      <c r="Q57" s="14">
        <f t="shared" si="89"/>
        <v>93421</v>
      </c>
      <c r="R57" s="14">
        <f t="shared" si="89"/>
        <v>104554</v>
      </c>
      <c r="S57" s="14">
        <f t="shared" si="89"/>
        <v>106226</v>
      </c>
      <c r="U57" s="14">
        <f t="shared" ref="U57:X57" si="90">SUM(U56:U56)</f>
        <v>9864</v>
      </c>
      <c r="V57" s="14">
        <f t="shared" si="90"/>
        <v>19741</v>
      </c>
      <c r="W57" s="14">
        <f t="shared" si="90"/>
        <v>29926</v>
      </c>
      <c r="X57" s="14">
        <f t="shared" si="90"/>
        <v>30474</v>
      </c>
      <c r="Y57" s="14">
        <f t="shared" ref="Y57" si="91">SUM(Y55:Y56)</f>
        <v>71741</v>
      </c>
      <c r="Z57" s="14">
        <f t="shared" ref="Z57" si="92">SUM(Z55:Z56)</f>
        <v>82463</v>
      </c>
      <c r="AA57" s="14">
        <f t="shared" ref="AA57" si="93">SUM(AA55:AA56)</f>
        <v>93421</v>
      </c>
      <c r="AB57" s="14">
        <f t="shared" ref="AB57" si="94">SUM(AB55:AB56)</f>
        <v>104554</v>
      </c>
      <c r="AC57" s="14">
        <f t="shared" ref="AC57" si="95">SUM(AC55:AC56)</f>
        <v>106226</v>
      </c>
    </row>
    <row r="58" spans="1:29" ht="5.0999999999999996" customHeight="1"/>
    <row r="59" spans="1:29" ht="12.75" customHeight="1">
      <c r="B59" s="8" t="s">
        <v>45</v>
      </c>
      <c r="C59" s="90">
        <f>'Historical Financials'!C73</f>
        <v>2616</v>
      </c>
      <c r="D59" s="90">
        <f>'Historical Financials'!D73</f>
        <v>-32194</v>
      </c>
      <c r="E59" s="90">
        <f>'Historical Financials'!E73</f>
        <v>-60241</v>
      </c>
      <c r="F59" s="90">
        <f>'Historical Financials'!F73</f>
        <v>-103070</v>
      </c>
      <c r="H59" s="90">
        <f>'Historical Financials'!H73</f>
        <v>-6193</v>
      </c>
      <c r="I59" s="90">
        <f>'Historical Financials'!I73</f>
        <v>-15223</v>
      </c>
      <c r="J59" s="90">
        <f>'Historical Financials'!J73</f>
        <v>-22335</v>
      </c>
      <c r="K59" s="90">
        <f>'Historical Financials'!K73</f>
        <v>-32194</v>
      </c>
      <c r="L59" s="90">
        <f>'Historical Financials'!L73</f>
        <v>-42646</v>
      </c>
      <c r="M59" s="90">
        <f>'Historical Financials'!M73</f>
        <v>-51127</v>
      </c>
      <c r="N59" s="90">
        <f>'Historical Financials'!N73</f>
        <v>-50873</v>
      </c>
      <c r="O59" s="90">
        <f>'Historical Financials'!O73</f>
        <v>-60241</v>
      </c>
      <c r="P59" s="90">
        <f>'Historical Financials'!P73</f>
        <v>-71086</v>
      </c>
      <c r="Q59" s="90">
        <f>'Historical Financials'!Q73</f>
        <v>-82147</v>
      </c>
      <c r="R59" s="90">
        <f>'Historical Financials'!R73</f>
        <v>-92481</v>
      </c>
      <c r="S59" s="90">
        <f>'Historical Financials'!S73</f>
        <v>-103070</v>
      </c>
      <c r="U59" s="10">
        <f t="shared" ref="U59" si="96">K59</f>
        <v>-32194</v>
      </c>
      <c r="V59" s="10">
        <f t="shared" ref="V59" si="97">L59</f>
        <v>-42646</v>
      </c>
      <c r="W59" s="10">
        <f t="shared" ref="W59" si="98">M59</f>
        <v>-51127</v>
      </c>
      <c r="X59" s="10">
        <f t="shared" ref="X59" si="99">N59</f>
        <v>-50873</v>
      </c>
      <c r="Y59" s="10">
        <f t="shared" ref="Y59" si="100">O59</f>
        <v>-60241</v>
      </c>
      <c r="Z59" s="10">
        <f t="shared" ref="Z59" si="101">P59</f>
        <v>-71086</v>
      </c>
      <c r="AA59" s="10">
        <f t="shared" ref="AA59" si="102">Q59</f>
        <v>-82147</v>
      </c>
      <c r="AB59" s="10">
        <f t="shared" ref="AB59" si="103">R59</f>
        <v>-92481</v>
      </c>
      <c r="AC59" s="10">
        <f t="shared" ref="AC59" si="104">S59</f>
        <v>-103070</v>
      </c>
    </row>
    <row r="60" spans="1:29" ht="12.75" customHeight="1">
      <c r="B60" s="13" t="s">
        <v>46</v>
      </c>
      <c r="C60" s="14">
        <f>SUM(C57:C59)</f>
        <v>31664</v>
      </c>
      <c r="D60" s="14">
        <f>SUM(D57:D59)</f>
        <v>7634</v>
      </c>
      <c r="E60" s="14">
        <f>SUM(E57:E59)</f>
        <v>11500</v>
      </c>
      <c r="F60" s="14">
        <f>SUM(F57:F59)</f>
        <v>3156</v>
      </c>
      <c r="H60" s="14">
        <f t="shared" ref="H60:K60" si="105">SUM(H57:H59)</f>
        <v>23082</v>
      </c>
      <c r="I60" s="14">
        <f t="shared" si="105"/>
        <v>14281</v>
      </c>
      <c r="J60" s="14">
        <f t="shared" si="105"/>
        <v>7399</v>
      </c>
      <c r="K60" s="14">
        <f t="shared" si="105"/>
        <v>7634</v>
      </c>
      <c r="L60" s="14">
        <f t="shared" ref="L60:Q60" si="106">SUM(L57:L59)</f>
        <v>7295</v>
      </c>
      <c r="M60" s="14">
        <f t="shared" si="106"/>
        <v>9232</v>
      </c>
      <c r="N60" s="14">
        <f t="shared" si="106"/>
        <v>10267</v>
      </c>
      <c r="O60" s="14">
        <f t="shared" si="106"/>
        <v>11500</v>
      </c>
      <c r="P60" s="14">
        <f t="shared" si="106"/>
        <v>11377</v>
      </c>
      <c r="Q60" s="14">
        <f t="shared" si="106"/>
        <v>11274</v>
      </c>
      <c r="R60" s="14">
        <f>SUM(R57:R59)</f>
        <v>12073</v>
      </c>
      <c r="S60" s="14">
        <f>SUM(S57:S59)</f>
        <v>3156</v>
      </c>
      <c r="U60" s="14">
        <f t="shared" ref="U60:AA60" si="107">SUM(U57:U59)</f>
        <v>-22330</v>
      </c>
      <c r="V60" s="14">
        <f t="shared" si="107"/>
        <v>-22905</v>
      </c>
      <c r="W60" s="14">
        <f t="shared" si="107"/>
        <v>-21201</v>
      </c>
      <c r="X60" s="14">
        <f t="shared" si="107"/>
        <v>-20399</v>
      </c>
      <c r="Y60" s="14">
        <f t="shared" si="107"/>
        <v>11500</v>
      </c>
      <c r="Z60" s="14">
        <f t="shared" si="107"/>
        <v>11377</v>
      </c>
      <c r="AA60" s="14">
        <f t="shared" si="107"/>
        <v>11274</v>
      </c>
      <c r="AB60" s="14">
        <f>SUM(AB57:AB59)</f>
        <v>12073</v>
      </c>
      <c r="AC60" s="14">
        <f>SUM(AC57:AC59)</f>
        <v>3156</v>
      </c>
    </row>
    <row r="61" spans="1:29" ht="5.0999999999999996" customHeight="1"/>
    <row r="62" spans="1:29" ht="12.75" customHeight="1">
      <c r="A62" s="5"/>
      <c r="B62" s="33" t="s">
        <v>66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5.0999999999999996" customHeight="1"/>
    <row r="64" spans="1:29" ht="12.75" customHeight="1">
      <c r="B64" s="31" t="s">
        <v>89</v>
      </c>
      <c r="C64" s="78">
        <f>C57/C25</f>
        <v>-1.0351364835008197</v>
      </c>
      <c r="D64" s="78">
        <f>D57/D25</f>
        <v>-1.1234028149944997</v>
      </c>
      <c r="E64" s="78">
        <f>E57/E25</f>
        <v>-2.0051707753367993</v>
      </c>
      <c r="F64" s="78">
        <f>F57/F25</f>
        <v>-2.6590402763523491</v>
      </c>
      <c r="H64" s="78">
        <f>SUM(H57/SUM(H25:H25))</f>
        <v>-3.2287415903827066</v>
      </c>
      <c r="I64" s="78">
        <f>SUM(I57/SUM(I25:I25))</f>
        <v>-3.2753108348134989</v>
      </c>
      <c r="J64" s="78">
        <f>SUM(J57/SUM(J25:J25))</f>
        <v>-3.999730965832661</v>
      </c>
      <c r="K64" s="78">
        <f>SUM(K57/SUM(K25:K25))</f>
        <v>-4.0052292839903458</v>
      </c>
      <c r="L64" s="78">
        <f>SUM(L57/SUM(L25:L25))</f>
        <v>-5.1763059701492535</v>
      </c>
      <c r="M64" s="78">
        <f>SUM(M57/SUM(L25:M25))</f>
        <v>-3.3253815216792462</v>
      </c>
      <c r="N64" s="78">
        <f>SUM(N57/SUM(L25:N25))</f>
        <v>-2.287916775811099</v>
      </c>
      <c r="O64" s="78">
        <f>SUM(O57/SUM(L25:O25))</f>
        <v>-2.0051707753367993</v>
      </c>
      <c r="P64" s="78">
        <f>SUM(P57/SUM(M25:P25))</f>
        <v>-2.3450305701692025</v>
      </c>
      <c r="Q64" s="78">
        <f>SUM(Q57/SUM(N25:Q25))</f>
        <v>-2.5109122184593882</v>
      </c>
      <c r="R64" s="78">
        <f>SUM(R57/SUM(O25:R25))</f>
        <v>-2.8124058532386487</v>
      </c>
      <c r="S64" s="78">
        <f>SUM(S57/SUM(P25:S25))</f>
        <v>-2.6590402763523491</v>
      </c>
      <c r="T64" s="78"/>
      <c r="U64" s="78">
        <f>U57/U25</f>
        <v>-0.27822751248131328</v>
      </c>
      <c r="V64" s="78">
        <f>V57/V25</f>
        <v>-0.54784370316922903</v>
      </c>
      <c r="W64" s="78">
        <f>W57/W25</f>
        <v>-0.84229784120014639</v>
      </c>
      <c r="X64" s="78">
        <f>X57/X25</f>
        <v>-0.83110153544058696</v>
      </c>
      <c r="Y64" s="78">
        <f>Y57/Y25</f>
        <v>-2.0051707753367993</v>
      </c>
      <c r="Z64" s="78">
        <f>Z57/Z25</f>
        <v>-2.3450305701692025</v>
      </c>
      <c r="AA64" s="78">
        <f>AA57/AA25</f>
        <v>-2.5109122184593882</v>
      </c>
      <c r="AB64" s="78">
        <f>AB57/AB25</f>
        <v>-2.8124058532386487</v>
      </c>
      <c r="AC64" s="78">
        <f>AC57/AC25</f>
        <v>-2.6590402763523491</v>
      </c>
    </row>
    <row r="65" spans="2:29" ht="12.75" customHeight="1">
      <c r="B65" s="31" t="s">
        <v>90</v>
      </c>
      <c r="C65" s="78">
        <f>SUM(C57-C42)/C25</f>
        <v>0.37773501532321291</v>
      </c>
      <c r="D65" s="78">
        <f>SUM(D57-D42)/D25</f>
        <v>-0.59899021239387362</v>
      </c>
      <c r="E65" s="78">
        <f>SUM(E57-E42)/E25</f>
        <v>-1.2879702610542791</v>
      </c>
      <c r="F65" s="78">
        <f>SUM(F57-F42)/F25</f>
        <v>-2.2805577110816291</v>
      </c>
      <c r="H65" s="78">
        <f>SUM(H57-H42)/SUM(H25:H25)</f>
        <v>0.25708613653909784</v>
      </c>
      <c r="I65" s="78">
        <f>SUM(I57-I42)/SUM(I25:I25)</f>
        <v>-0.59125222024866786</v>
      </c>
      <c r="J65" s="78">
        <f>SUM(J57-J42)/SUM(J25:J25)</f>
        <v>-1.870191014258811</v>
      </c>
      <c r="K65" s="78">
        <f>SUM(K57-K42)/SUM(K25:K25)</f>
        <v>-2.1355591311343525</v>
      </c>
      <c r="L65" s="78">
        <f>SUM(L57-L42)/SUM(L25:L25)</f>
        <v>-3.3314676616915424</v>
      </c>
      <c r="M65" s="78">
        <f>SUM(M57-M42)/SUM(L25:M25)</f>
        <v>-2.33557379758691</v>
      </c>
      <c r="N65" s="78">
        <f>SUM(N57-N42)/SUM(L25:N25)</f>
        <v>-1.5259514276091757</v>
      </c>
      <c r="O65" s="78">
        <f>SUM(O57-O42)/SUM(L25:O25)</f>
        <v>-1.2879702610542791</v>
      </c>
      <c r="P65" s="78">
        <f>SUM(P57-P42)/SUM(M25:P25)</f>
        <v>-1.6751883975543864</v>
      </c>
      <c r="Q65" s="78">
        <f>SUM(Q57-Q42)/SUM(N25:Q25)</f>
        <v>-1.8229049078105681</v>
      </c>
      <c r="R65" s="78">
        <f>SUM(R57-R42)/SUM(O25:R25)</f>
        <v>-2.0845168926188937</v>
      </c>
      <c r="S65" s="78">
        <f>SUM(S57-S42)/SUM(P25:S25)</f>
        <v>-2.2805577110816291</v>
      </c>
      <c r="T65" s="78"/>
      <c r="U65" s="78">
        <f>SUM(U57-U42)/U25</f>
        <v>0.24618509011931289</v>
      </c>
      <c r="V65" s="78">
        <f>SUM(V57-V42)/V25</f>
        <v>-5.3893544985291669E-2</v>
      </c>
      <c r="W65" s="78">
        <f>SUM(W57-W42)/W25</f>
        <v>-0.33662641785583608</v>
      </c>
      <c r="X65" s="78">
        <f>SUM(X57-X42)/X25</f>
        <v>-0.27577931109717185</v>
      </c>
      <c r="Y65" s="78">
        <f>SUM(Y57-Y42)/Y25</f>
        <v>-1.2879702610542791</v>
      </c>
      <c r="Z65" s="78">
        <f>SUM(Z57-Z42)/Z25</f>
        <v>-1.6751883975543864</v>
      </c>
      <c r="AA65" s="78">
        <f>SUM(AA57-AA42)/AA25</f>
        <v>-1.8229049078105681</v>
      </c>
      <c r="AB65" s="78">
        <f>SUM(AB57-AB42)/AB25</f>
        <v>-2.0845168926188937</v>
      </c>
      <c r="AC65" s="78">
        <f>SUM(AC57-AC42)/AC25</f>
        <v>-2.2805577110816291</v>
      </c>
    </row>
    <row r="66" spans="2:29" ht="12.75" customHeight="1">
      <c r="B66" s="31" t="s">
        <v>91</v>
      </c>
      <c r="C66" s="78">
        <f>C25/-C30</f>
        <v>-57.386503067484661</v>
      </c>
      <c r="D66" s="78">
        <f>D25/-D30</f>
        <v>-34.320425943852854</v>
      </c>
      <c r="E66" s="78">
        <f>E25/-E30</f>
        <v>-12.814469914040115</v>
      </c>
      <c r="F66" s="78">
        <f>F25/-F30</f>
        <v>-7.2110108303249101</v>
      </c>
      <c r="H66" s="78" cm="1">
        <f t="array" ref="H66">SUM(H25:H25)/SUM(-H30:H30)</f>
        <v>-39.942731277533042</v>
      </c>
      <c r="I66" s="78" cm="1">
        <f t="array" ref="I66">SUM(I25:I25)/SUM(-I30:I30)</f>
        <v>-39.336244541484717</v>
      </c>
      <c r="J66" s="78" cm="1">
        <f t="array" ref="J66">SUM(J25:J25)/SUM(-J30:J30)</f>
        <v>-27.635687732342006</v>
      </c>
      <c r="K66" s="78" cm="1">
        <f t="array" ref="K66">SUM(K25:K25)/SUM(-K30:K30)</f>
        <v>-32.285714285714285</v>
      </c>
      <c r="L66" s="78" cm="1">
        <f t="array" ref="L66">SUM(L25:L25)/SUM(-L30:L30)</f>
        <v>-20.973913043478262</v>
      </c>
      <c r="M66" s="78" cm="1">
        <f t="array" ref="M66">SUM(L25:M25)/SUM(-L30:M30)</f>
        <v>-16.352252252252253</v>
      </c>
      <c r="N66" s="78" cm="1">
        <f t="array" ref="N66">SUM(L25:N25)/SUM(-L30:N30)</f>
        <v>-13.739331619537275</v>
      </c>
      <c r="O66" s="78" cm="1">
        <f t="array" ref="O66">SUM(L25:O25)/SUM(-L30:O30)</f>
        <v>-12.814469914040115</v>
      </c>
      <c r="P66" s="78" cm="1">
        <f t="array" ref="P66">SUM(M25:P25)/SUM(-M30:P30)</f>
        <v>-10.985629490784129</v>
      </c>
      <c r="Q66" s="78" cm="1">
        <f t="array" ref="Q66">SUM(N25:Q25)/SUM(-N30:Q30)</f>
        <v>-9.7397905759162295</v>
      </c>
      <c r="R66" s="78" cm="1">
        <f t="array" ref="R66">SUM(O25:R25)/SUM(-O30:R30)</f>
        <v>-8.300066979236437</v>
      </c>
      <c r="S66" s="78" cm="1">
        <f t="array" ref="S66">SUM(P25:S25)/SUM(-P30:S30)</f>
        <v>-7.2110108303249101</v>
      </c>
      <c r="T66" s="78"/>
      <c r="U66" s="78">
        <f>U25/-U30</f>
        <v>-34.320425943852854</v>
      </c>
      <c r="V66" s="78">
        <f>V25/-V30</f>
        <v>-28.462875197472354</v>
      </c>
      <c r="W66" s="78">
        <f>W25/-W30</f>
        <v>-21.060462359217546</v>
      </c>
      <c r="X66" s="78">
        <f>X25/-X30</f>
        <v>-16.274744784731467</v>
      </c>
      <c r="Y66" s="78">
        <f>Y25/-Y30</f>
        <v>-12.814469914040115</v>
      </c>
      <c r="Z66" s="78">
        <f>Z25/-Z30</f>
        <v>-10.985629490784129</v>
      </c>
      <c r="AA66" s="78">
        <f>AA25/-AA30</f>
        <v>-9.7397905759162295</v>
      </c>
      <c r="AB66" s="78">
        <f>AB25/-AB30</f>
        <v>-8.300066979236437</v>
      </c>
      <c r="AC66" s="78">
        <f>AC25/-AC30</f>
        <v>-7.2110108303249101</v>
      </c>
    </row>
    <row r="67" spans="2:29" ht="12.75" customHeight="1">
      <c r="B67" s="31" t="s">
        <v>92</v>
      </c>
      <c r="C67" s="78" cm="1">
        <f t="array" ref="C67">SUM(C25+C28)/SUM(-C29:C30)</f>
        <v>-57.386503067484661</v>
      </c>
      <c r="D67" s="78" cm="1">
        <f t="array" ref="D67">SUM(D25+D28)/SUM(-D29:D30)</f>
        <v>-34.320425943852854</v>
      </c>
      <c r="E67" s="78" cm="1">
        <f t="array" ref="E67">SUM(E25+E28)/SUM(-E29:E30)</f>
        <v>-12.814469914040115</v>
      </c>
      <c r="F67" s="78" cm="1">
        <f t="array" ref="F67">SUM(F25+F28)/SUM(-F29:F30)</f>
        <v>-7.2110108303249101</v>
      </c>
      <c r="H67" s="78" cm="1">
        <f t="array" ref="H67">SUM(H25:H25+H28:H28)/SUM(-H29:H30)</f>
        <v>-39.942731277533042</v>
      </c>
      <c r="I67" s="78" cm="1">
        <f t="array" ref="I67">SUM(I25:I25+I28:I28)/SUM(-I29:I30)</f>
        <v>-39.336244541484717</v>
      </c>
      <c r="J67" s="78" cm="1">
        <f t="array" ref="J67">SUM(J25:J25+J28:J28)/SUM(-J29:J30)</f>
        <v>-27.635687732342006</v>
      </c>
      <c r="K67" s="78" cm="1">
        <f t="array" ref="K67">SUM(K25:K25+K28:K28)/SUM(-K29:K30)</f>
        <v>-32.285714285714285</v>
      </c>
      <c r="L67" s="78" cm="1">
        <f t="array" ref="L67">SUM(L25:L25+L28:L28)/SUM(-L29:L30)</f>
        <v>-20.973913043478262</v>
      </c>
      <c r="M67" s="78" cm="1">
        <f t="array" ref="M67">SUM(L25:M25+L28:M28)/SUM(-L29:M30)</f>
        <v>-16.352252252252253</v>
      </c>
      <c r="N67" s="78" cm="1">
        <f t="array" ref="N67">SUM(L25:N25+L28:N28)/SUM(-L29:N30)</f>
        <v>-13.739331619537275</v>
      </c>
      <c r="O67" s="78" cm="1">
        <f t="array" ref="O67">SUM(L25:O25+L28:O28)/SUM(-L29:O30)</f>
        <v>-12.814469914040115</v>
      </c>
      <c r="P67" s="78" cm="1">
        <f t="array" ref="P67">SUM(M25:P25+M28:P28)/SUM(-M29:P30)</f>
        <v>-10.985629490784129</v>
      </c>
      <c r="Q67" s="78" cm="1">
        <f t="array" ref="Q67">SUM(N25:Q25+N28:Q28)/SUM(-N29:Q30)</f>
        <v>-9.7397905759162295</v>
      </c>
      <c r="R67" s="78" cm="1">
        <f t="array" ref="R67">SUM(O25:R25+O28:R28)/SUM(-O29:R30)</f>
        <v>-8.300066979236437</v>
      </c>
      <c r="S67" s="78" cm="1">
        <f t="array" ref="S67">SUM(P25:S25+P28:S28)/SUM(-P29:S30)</f>
        <v>-7.2110108303249101</v>
      </c>
      <c r="T67" s="78"/>
      <c r="U67" s="78" cm="1">
        <f t="array" ref="U67">SUM(U25+U28)/SUM(-U29:U30)</f>
        <v>-34.320425943852854</v>
      </c>
      <c r="V67" s="78" cm="1">
        <f t="array" ref="V67">SUM(V25+V28)/SUM(-V29:V30)</f>
        <v>-28.462875197472354</v>
      </c>
      <c r="W67" s="78" cm="1">
        <f t="array" ref="W67">SUM(W25+W28)/SUM(-W29:W30)</f>
        <v>-21.060462359217546</v>
      </c>
      <c r="X67" s="78" cm="1">
        <f t="array" ref="X67">SUM(X25+X28)/SUM(-X29:X30)</f>
        <v>-16.274744784731467</v>
      </c>
      <c r="Y67" s="78" cm="1">
        <f t="array" ref="Y67">SUM(Y25+Y28)/SUM(-Y29:Y30)</f>
        <v>-12.814469914040115</v>
      </c>
      <c r="Z67" s="78" cm="1">
        <f t="array" ref="Z67">SUM(Z25+Z28)/SUM(-Z29:Z30)</f>
        <v>-10.985629490784129</v>
      </c>
      <c r="AA67" s="78" cm="1">
        <f t="array" ref="AA67">SUM(AA25+AA28)/SUM(-AA29:AA30)</f>
        <v>-9.7397905759162295</v>
      </c>
      <c r="AB67" s="78" cm="1">
        <f t="array" ref="AB67">SUM(AB25+AB28)/SUM(-AB29:AB30)</f>
        <v>-8.300066979236437</v>
      </c>
      <c r="AC67" s="78" cm="1">
        <f t="array" ref="AC67">SUM(AC25+AC28)/SUM(-AC29:AC30)</f>
        <v>-7.2110108303249101</v>
      </c>
    </row>
    <row r="68" spans="2:29" ht="12.75" customHeight="1">
      <c r="B68" s="31" t="s">
        <v>93</v>
      </c>
      <c r="C68" s="78" cm="1">
        <f t="array" ref="C68">SUM(C25)/SUM(-C28:C30)</f>
        <v>-57.386503067484661</v>
      </c>
      <c r="D68" s="78" cm="1">
        <f t="array" ref="D68">SUM(D25)/SUM(-D28:D30)</f>
        <v>-34.320425943852854</v>
      </c>
      <c r="E68" s="78" cm="1">
        <f t="array" ref="E68">SUM(E25)/SUM(-E28:E30)</f>
        <v>-12.814469914040115</v>
      </c>
      <c r="F68" s="78" cm="1">
        <f t="array" ref="F68">SUM(F25)/SUM(-F28:F30)</f>
        <v>-7.2110108303249101</v>
      </c>
      <c r="H68" s="78" cm="1">
        <f t="array" ref="H68">SUM(H25:H25)/SUM(-H28:H30)</f>
        <v>-39.942731277533042</v>
      </c>
      <c r="I68" s="78" cm="1">
        <f t="array" ref="I68">SUM(I25:I25)/SUM(-I28:I30)</f>
        <v>-39.336244541484717</v>
      </c>
      <c r="J68" s="78" cm="1">
        <f t="array" ref="J68">SUM(J25:J25)/SUM(-J28:J30)</f>
        <v>-27.635687732342006</v>
      </c>
      <c r="K68" s="78" cm="1">
        <f t="array" ref="K68">SUM(K25:K25)/SUM(-K28:K30)</f>
        <v>-32.285714285714285</v>
      </c>
      <c r="L68" s="78" cm="1">
        <f t="array" ref="L68">SUM(L25:L25)/SUM(-L28:L30)</f>
        <v>-20.973913043478262</v>
      </c>
      <c r="M68" s="78" cm="1">
        <f t="array" ref="M68">SUM(L25:M25)/SUM(-L28:M30)</f>
        <v>-16.352252252252253</v>
      </c>
      <c r="N68" s="78" cm="1">
        <f t="array" ref="N68">SUM(L25:N25)/SUM(-L28:N30)</f>
        <v>-13.739331619537275</v>
      </c>
      <c r="O68" s="78" cm="1">
        <f t="array" ref="O68">SUM(L25:O25)/SUM(-L28:O30)</f>
        <v>-12.814469914040115</v>
      </c>
      <c r="P68" s="78" cm="1">
        <f t="array" ref="P68">SUM(M25:P25)/SUM(-M28:P30)</f>
        <v>-10.985629490784129</v>
      </c>
      <c r="Q68" s="78" cm="1">
        <f t="array" ref="Q68">SUM(N25:Q25)/SUM(-N28:Q30)</f>
        <v>-9.7397905759162295</v>
      </c>
      <c r="R68" s="78" cm="1">
        <f t="array" ref="R68">SUM(O25:R25)/SUM(-O28:R30)</f>
        <v>-8.300066979236437</v>
      </c>
      <c r="S68" s="78" cm="1">
        <f t="array" ref="S68">SUM(P25:S25)/SUM(-P28:S30)</f>
        <v>-7.2110108303249101</v>
      </c>
      <c r="T68" s="78"/>
      <c r="U68" s="78" cm="1">
        <f t="array" ref="U68">SUM(U25)/SUM(-U28:U30)</f>
        <v>-34.320425943852854</v>
      </c>
      <c r="V68" s="78" cm="1">
        <f t="array" ref="V68">SUM(V25)/SUM(-V28:V30)</f>
        <v>-28.462875197472354</v>
      </c>
      <c r="W68" s="78" cm="1">
        <f t="array" ref="W68">SUM(W25)/SUM(-W28:W30)</f>
        <v>-21.060462359217546</v>
      </c>
      <c r="X68" s="78" cm="1">
        <f t="array" ref="X68">SUM(X25)/SUM(-X28:X30)</f>
        <v>-16.274744784731467</v>
      </c>
      <c r="Y68" s="78" cm="1">
        <f t="array" ref="Y68">SUM(Y25)/SUM(-Y28:Y30)</f>
        <v>-12.814469914040115</v>
      </c>
      <c r="Z68" s="78" cm="1">
        <f t="array" ref="Z68">SUM(Z25)/SUM(-Z28:Z30)</f>
        <v>-10.985629490784129</v>
      </c>
      <c r="AA68" s="78" cm="1">
        <f t="array" ref="AA68">SUM(AA25)/SUM(-AA28:AA30)</f>
        <v>-9.7397905759162295</v>
      </c>
      <c r="AB68" s="78" cm="1">
        <f t="array" ref="AB68">SUM(AB25)/SUM(-AB28:AB30)</f>
        <v>-8.300066979236437</v>
      </c>
      <c r="AC68" s="78" cm="1">
        <f t="array" ref="AC68">SUM(AC25)/SUM(-AC28:AC30)</f>
        <v>-7.2110108303249101</v>
      </c>
    </row>
    <row r="69" spans="2:29" ht="12.75" customHeight="1">
      <c r="B69" s="8" t="s">
        <v>47</v>
      </c>
      <c r="C69" s="78">
        <f>C60/C57</f>
        <v>1.090057835307078</v>
      </c>
      <c r="D69" s="78">
        <f>D60/D57</f>
        <v>0.19167419905594055</v>
      </c>
      <c r="E69" s="78">
        <f>E60/E57</f>
        <v>0.16029885281777506</v>
      </c>
      <c r="F69" s="78">
        <f>F60/F57</f>
        <v>2.9710240430779657E-2</v>
      </c>
      <c r="H69" s="78">
        <f t="shared" ref="H69:K69" si="108">H60/H57</f>
        <v>0.78845431255337317</v>
      </c>
      <c r="I69" s="78">
        <f t="shared" si="108"/>
        <v>0.48403606290672452</v>
      </c>
      <c r="J69" s="78">
        <f t="shared" si="108"/>
        <v>0.24883971211407815</v>
      </c>
      <c r="K69" s="78">
        <f t="shared" si="108"/>
        <v>0.19167419905594055</v>
      </c>
      <c r="L69" s="78">
        <f t="shared" ref="L69:S69" si="109">L60/L57</f>
        <v>0.14607236539116156</v>
      </c>
      <c r="M69" s="78">
        <f t="shared" si="109"/>
        <v>0.15295150681754172</v>
      </c>
      <c r="N69" s="78">
        <f t="shared" si="109"/>
        <v>0.16792607131174353</v>
      </c>
      <c r="O69" s="78">
        <f t="shared" si="109"/>
        <v>0.16029885281777506</v>
      </c>
      <c r="P69" s="78">
        <f t="shared" si="109"/>
        <v>0.13796490547275747</v>
      </c>
      <c r="Q69" s="78">
        <f t="shared" si="109"/>
        <v>0.12067950460817162</v>
      </c>
      <c r="R69" s="78">
        <f t="shared" si="109"/>
        <v>0.11547143103085487</v>
      </c>
      <c r="S69" s="78">
        <f t="shared" si="109"/>
        <v>2.9710240430779657E-2</v>
      </c>
      <c r="T69" s="78"/>
      <c r="U69" s="78">
        <f t="shared" ref="U69:AA69" si="110">U60/U57</f>
        <v>-2.2637875101378753</v>
      </c>
      <c r="V69" s="78">
        <f t="shared" si="110"/>
        <v>-1.1602755686135453</v>
      </c>
      <c r="W69" s="78">
        <f t="shared" si="110"/>
        <v>-0.7084475038428123</v>
      </c>
      <c r="X69" s="78">
        <f t="shared" si="110"/>
        <v>-0.6693902999278073</v>
      </c>
      <c r="Y69" s="78">
        <f t="shared" si="110"/>
        <v>0.16029885281777506</v>
      </c>
      <c r="Z69" s="78">
        <f t="shared" si="110"/>
        <v>0.13796490547275747</v>
      </c>
      <c r="AA69" s="78">
        <f t="shared" si="110"/>
        <v>0.12067950460817162</v>
      </c>
      <c r="AB69" s="78">
        <f>AB60/AB57</f>
        <v>0.11547143103085487</v>
      </c>
      <c r="AC69" s="78">
        <f>AC60/AC57</f>
        <v>2.9710240430779657E-2</v>
      </c>
    </row>
    <row r="70" spans="2:29" ht="5.0999999999999996" customHeight="1" thickBot="1"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</row>
  </sheetData>
  <mergeCells count="1">
    <mergeCell ref="AE2:AE4"/>
  </mergeCells>
  <pageMargins left="0.7" right="0.7" top="0.75" bottom="0.75" header="0.3" footer="0.3"/>
  <ignoredErrors>
    <ignoredError sqref="C32:G33 AD33:AE33 G28:G30 G35 AD35:AE35 AD31 AD32 G31 AD34:AE34 G34 M32:S33" formulaRange="1"/>
    <ignoredError sqref="C64:G69 C9:G10 C18:G19 C13:G14 G17 C22:G23 G20 C25:G26 G24 AE21:AE32 G12 AE17:AE20 G21 AE12:AE15 G15 M64:S69 D8:G8 AE7:AE10 AE6 AE11 U64:AC69 V10:AC10 V18:AC19 V13:AC14 V22:AC23 V25:AC26 Y8:AC8 V9:AC9 T64:T69 T9 T8 T25:T26 T22:T23 T13:T14 T18:T19 T10 U9 U25:U26 U22:U23 U13:U14 U18:U19 U10 N9:S9 Q8:S8 M25:S26 M22:S23 M13:S14 M18:S19 M10:S10 T15 T24 T20 H7:U7 H21:U21 H20:S20 U20 H25:L26 H24:S24 U24 H16:U17 H15:S15 U15 H11:U12 H10:L10 H18:L19 H13:L14 H22:L23 H9:M9 H8:P8 U8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71C9-5F12-40F7-947A-920F49338A5A}">
  <sheetPr>
    <tabColor theme="8" tint="-0.249977111117893"/>
  </sheetPr>
  <dimension ref="B2:AE26"/>
  <sheetViews>
    <sheetView showGridLines="0" zoomScale="115" zoomScaleNormal="115" workbookViewId="0">
      <selection activeCell="B2" sqref="B2"/>
    </sheetView>
  </sheetViews>
  <sheetFormatPr defaultRowHeight="14.25" outlineLevelCol="1"/>
  <cols>
    <col min="1" max="1" width="1.625" customWidth="1"/>
    <col min="2" max="2" width="29" bestFit="1" customWidth="1"/>
    <col min="3" max="3" width="8.625" hidden="1" customWidth="1" outlineLevel="1"/>
    <col min="4" max="4" width="8.625" customWidth="1" collapsed="1"/>
    <col min="7" max="7" width="1.625" customWidth="1"/>
    <col min="8" max="14" width="9" hidden="1" customWidth="1" outlineLevel="1"/>
    <col min="15" max="15" width="9" customWidth="1" collapsed="1"/>
    <col min="16" max="17" width="9" customWidth="1"/>
    <col min="20" max="20" width="1.625" customWidth="1"/>
    <col min="21" max="24" width="9" hidden="1" customWidth="1" outlineLevel="1"/>
    <col min="25" max="25" width="9" collapsed="1"/>
    <col min="26" max="28" width="9" hidden="1" customWidth="1" outlineLevel="1"/>
    <col min="29" max="29" width="9" collapsed="1"/>
    <col min="30" max="30" width="1.625" customWidth="1"/>
  </cols>
  <sheetData>
    <row r="2" spans="2:31">
      <c r="B2" s="157" t="str">
        <f>'Historical Financials'!B2</f>
        <v>Galectin Therapeutics Inc.  (NASDAQ: GALT)</v>
      </c>
      <c r="C2" s="2" t="s">
        <v>0</v>
      </c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 t="s">
        <v>10</v>
      </c>
      <c r="Z2" s="2"/>
      <c r="AA2" s="2"/>
      <c r="AB2" s="2"/>
      <c r="AC2" s="2"/>
      <c r="AD2" s="3"/>
      <c r="AE2" s="144" t="s">
        <v>24</v>
      </c>
    </row>
    <row r="3" spans="2:31">
      <c r="B3" s="158" t="s">
        <v>121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3"/>
      <c r="U3" s="4" t="str">
        <f>K3</f>
        <v>4Q22</v>
      </c>
      <c r="V3" s="4" t="str">
        <f>L3</f>
        <v>1Q23</v>
      </c>
      <c r="W3" s="4" t="str">
        <f>M3</f>
        <v>2Q23</v>
      </c>
      <c r="X3" s="4" t="str">
        <f>N3</f>
        <v>3Q23</v>
      </c>
      <c r="Y3" s="4" t="str">
        <f>O3</f>
        <v>4Q23</v>
      </c>
      <c r="Z3" s="4" t="str">
        <f>P3</f>
        <v>1Q24</v>
      </c>
      <c r="AA3" s="4" t="str">
        <f>Q3</f>
        <v>2Q24</v>
      </c>
      <c r="AB3" s="4" t="str">
        <f>R3</f>
        <v>3Q24</v>
      </c>
      <c r="AC3" s="4" t="str">
        <f>S3</f>
        <v>4Q24</v>
      </c>
      <c r="AD3" s="3"/>
      <c r="AE3" s="144"/>
    </row>
    <row r="4" spans="2:31">
      <c r="B4" s="158" t="s">
        <v>122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>K4</f>
        <v>44926</v>
      </c>
      <c r="V4" s="3">
        <f>L4</f>
        <v>45016</v>
      </c>
      <c r="W4" s="3">
        <f>M4</f>
        <v>45107</v>
      </c>
      <c r="X4" s="3">
        <f>N4</f>
        <v>45199</v>
      </c>
      <c r="Y4" s="3">
        <f>O4</f>
        <v>45291</v>
      </c>
      <c r="Z4" s="3">
        <f>P4</f>
        <v>45382</v>
      </c>
      <c r="AA4" s="3">
        <f>Q4</f>
        <v>45473</v>
      </c>
      <c r="AB4" s="3">
        <f>R4</f>
        <v>45565</v>
      </c>
      <c r="AC4" s="3">
        <f>S4</f>
        <v>45657</v>
      </c>
      <c r="AD4" s="3"/>
      <c r="AE4" s="144"/>
    </row>
    <row r="5" spans="2:31" ht="5.0999999999999996" customHeight="1">
      <c r="AE5" s="121"/>
    </row>
    <row r="6" spans="2:31">
      <c r="B6" s="76" t="s">
        <v>130</v>
      </c>
      <c r="AE6" s="122"/>
    </row>
    <row r="7" spans="2:31">
      <c r="B7" s="9" t="s">
        <v>41</v>
      </c>
      <c r="C7" s="90">
        <f>'Historical Financials'!C45</f>
        <v>39648</v>
      </c>
      <c r="D7" s="90">
        <f>'Historical Financials'!D45</f>
        <v>18592</v>
      </c>
      <c r="E7" s="90">
        <f>'Historical Financials'!E45</f>
        <v>25660</v>
      </c>
      <c r="F7" s="90">
        <f>'Historical Financials'!F45</f>
        <v>15120</v>
      </c>
      <c r="H7" s="90">
        <f>'Historical Financials'!H45</f>
        <v>31606</v>
      </c>
      <c r="I7" s="90">
        <f>'Historical Financials'!I45</f>
        <v>24178</v>
      </c>
      <c r="J7" s="90">
        <f>'Historical Financials'!J45</f>
        <v>15831</v>
      </c>
      <c r="K7" s="90">
        <f>'Historical Financials'!K45</f>
        <v>18592</v>
      </c>
      <c r="L7" s="90">
        <f>'Historical Financials'!L45</f>
        <v>17799</v>
      </c>
      <c r="M7" s="90">
        <f>'Historical Financials'!M45</f>
        <v>17966</v>
      </c>
      <c r="N7" s="90">
        <f>'Historical Financials'!N45</f>
        <v>20362</v>
      </c>
      <c r="O7" s="90">
        <f>'Historical Financials'!O45</f>
        <v>25660</v>
      </c>
      <c r="P7" s="90">
        <f>'Historical Financials'!P45</f>
        <v>23555</v>
      </c>
      <c r="Q7" s="90">
        <f>'Historical Financials'!Q45</f>
        <v>25598</v>
      </c>
      <c r="R7" s="90">
        <f>'Historical Financials'!R45</f>
        <v>27060</v>
      </c>
      <c r="S7" s="90">
        <f>'Historical Financials'!S45</f>
        <v>15120</v>
      </c>
      <c r="U7" s="120">
        <f t="shared" ref="U7:AB7" si="0">K7</f>
        <v>18592</v>
      </c>
      <c r="V7" s="120">
        <f t="shared" si="0"/>
        <v>17799</v>
      </c>
      <c r="W7" s="120">
        <f t="shared" si="0"/>
        <v>17966</v>
      </c>
      <c r="X7" s="120">
        <f t="shared" si="0"/>
        <v>20362</v>
      </c>
      <c r="Y7" s="120">
        <f t="shared" si="0"/>
        <v>25660</v>
      </c>
      <c r="Z7" s="120">
        <f t="shared" si="0"/>
        <v>23555</v>
      </c>
      <c r="AA7" s="120">
        <f t="shared" si="0"/>
        <v>25598</v>
      </c>
      <c r="AB7" s="120">
        <f t="shared" si="0"/>
        <v>27060</v>
      </c>
      <c r="AC7" s="120">
        <f>S7</f>
        <v>15120</v>
      </c>
      <c r="AE7" s="122">
        <f t="shared" ref="AE7:AE8" si="1">SUM(AC7/Y7)-1</f>
        <v>-0.4107560405300078</v>
      </c>
    </row>
    <row r="8" spans="2:31">
      <c r="B8" s="161" t="s">
        <v>129</v>
      </c>
      <c r="C8" s="159">
        <f>SUM(C7:C7)</f>
        <v>39648</v>
      </c>
      <c r="D8" s="159">
        <f>SUM(D7:D7)</f>
        <v>18592</v>
      </c>
      <c r="E8" s="159">
        <f>SUM(E7:E7)</f>
        <v>25660</v>
      </c>
      <c r="F8" s="159">
        <f>SUM(F7:F7)</f>
        <v>15120</v>
      </c>
      <c r="G8" s="160"/>
      <c r="H8" s="159">
        <f>SUM(H7:H7)</f>
        <v>31606</v>
      </c>
      <c r="I8" s="159">
        <f>SUM(I7:I7)</f>
        <v>24178</v>
      </c>
      <c r="J8" s="159">
        <f>SUM(J7:J7)</f>
        <v>15831</v>
      </c>
      <c r="K8" s="159">
        <f>SUM(K7:K7)</f>
        <v>18592</v>
      </c>
      <c r="L8" s="159">
        <f>SUM(L7:L7)</f>
        <v>17799</v>
      </c>
      <c r="M8" s="159">
        <f>SUM(M7:M7)</f>
        <v>17966</v>
      </c>
      <c r="N8" s="159">
        <f>SUM(N7:N7)</f>
        <v>20362</v>
      </c>
      <c r="O8" s="159">
        <f>SUM(O7:O7)</f>
        <v>25660</v>
      </c>
      <c r="P8" s="159">
        <f>SUM(P7:P7)</f>
        <v>23555</v>
      </c>
      <c r="Q8" s="159">
        <f>SUM(Q7:Q7)</f>
        <v>25598</v>
      </c>
      <c r="R8" s="159">
        <f>SUM(R7:R7)</f>
        <v>27060</v>
      </c>
      <c r="S8" s="159">
        <f>SUM(S7:S7)</f>
        <v>15120</v>
      </c>
      <c r="T8" s="160"/>
      <c r="U8" s="159">
        <f>SUM(U7:U7)</f>
        <v>18592</v>
      </c>
      <c r="V8" s="159">
        <f>SUM(V7:V7)</f>
        <v>17799</v>
      </c>
      <c r="W8" s="159">
        <f>SUM(W7:W7)</f>
        <v>17966</v>
      </c>
      <c r="X8" s="159">
        <f>SUM(X7:X7)</f>
        <v>20362</v>
      </c>
      <c r="Y8" s="159">
        <f>SUM(Y7:Y7)</f>
        <v>25660</v>
      </c>
      <c r="Z8" s="159">
        <f>SUM(Z7:Z7)</f>
        <v>23555</v>
      </c>
      <c r="AA8" s="159">
        <f>SUM(AA7:AA7)</f>
        <v>25598</v>
      </c>
      <c r="AB8" s="159">
        <f>SUM(AB7:AB7)</f>
        <v>27060</v>
      </c>
      <c r="AC8" s="159">
        <f>SUM(AC7:AC7)</f>
        <v>15120</v>
      </c>
      <c r="AE8" s="123">
        <f t="shared" si="1"/>
        <v>-0.4107560405300078</v>
      </c>
    </row>
    <row r="9" spans="2:31">
      <c r="B9" s="9"/>
      <c r="AE9" s="124"/>
    </row>
    <row r="10" spans="2:31">
      <c r="B10" s="76" t="s">
        <v>123</v>
      </c>
      <c r="AE10" s="121"/>
    </row>
    <row r="11" spans="2:31">
      <c r="B11" s="9" t="s">
        <v>124</v>
      </c>
      <c r="C11" s="90">
        <f>'Historical Financials'!C95</f>
        <v>-24308</v>
      </c>
      <c r="D11" s="90">
        <f>'Historical Financials'!D95</f>
        <v>-31056</v>
      </c>
      <c r="E11" s="90">
        <f>'Historical Financials'!E95</f>
        <v>-32965</v>
      </c>
      <c r="F11" s="90">
        <f>'Historical Financials'!F95</f>
        <v>-41767</v>
      </c>
      <c r="H11" s="90">
        <f>'Historical Financials'!H95</f>
        <v>-8042</v>
      </c>
      <c r="I11" s="90">
        <f>'Historical Financials'!I95</f>
        <v>-7428</v>
      </c>
      <c r="J11" s="90">
        <f>'Historical Financials'!J95</f>
        <v>-8347</v>
      </c>
      <c r="K11" s="90">
        <f>'Historical Financials'!K95</f>
        <v>-7239</v>
      </c>
      <c r="L11" s="90">
        <f>'Historical Financials'!L95</f>
        <v>-10793</v>
      </c>
      <c r="M11" s="90">
        <f>'Historical Financials'!M95</f>
        <v>-9833</v>
      </c>
      <c r="N11" s="90">
        <f>'Historical Financials'!N95</f>
        <v>-7637</v>
      </c>
      <c r="O11" s="90">
        <f>'Historical Financials'!O95</f>
        <v>-4702</v>
      </c>
      <c r="P11" s="90">
        <f>'Historical Financials'!P95</f>
        <v>-12105</v>
      </c>
      <c r="Q11" s="90">
        <f>'Historical Financials'!Q95</f>
        <v>-8333</v>
      </c>
      <c r="R11" s="90">
        <f>'Historical Financials'!R95</f>
        <v>-8538</v>
      </c>
      <c r="S11" s="90">
        <f>'Historical Financials'!S95</f>
        <v>-12791</v>
      </c>
      <c r="U11" s="120">
        <f t="shared" ref="U11:AB11" si="2">SUM(H11:K11)</f>
        <v>-31056</v>
      </c>
      <c r="V11" s="120">
        <f t="shared" si="2"/>
        <v>-33807</v>
      </c>
      <c r="W11" s="120">
        <f t="shared" si="2"/>
        <v>-36212</v>
      </c>
      <c r="X11" s="120">
        <f t="shared" si="2"/>
        <v>-35502</v>
      </c>
      <c r="Y11" s="120">
        <f t="shared" si="2"/>
        <v>-32965</v>
      </c>
      <c r="Z11" s="120">
        <f t="shared" si="2"/>
        <v>-34277</v>
      </c>
      <c r="AA11" s="120">
        <f t="shared" si="2"/>
        <v>-32777</v>
      </c>
      <c r="AB11" s="120">
        <f t="shared" si="2"/>
        <v>-33678</v>
      </c>
      <c r="AC11" s="120">
        <f>SUM(P11:S11)</f>
        <v>-41767</v>
      </c>
      <c r="AE11" s="122">
        <f t="shared" ref="AE11:AE12" si="3">SUM(AC11/Y11)-1</f>
        <v>0.26701046564538156</v>
      </c>
    </row>
    <row r="12" spans="2:31">
      <c r="B12" s="9" t="s">
        <v>125</v>
      </c>
      <c r="C12" s="90">
        <f>'Historical Financials'!C98</f>
        <v>0</v>
      </c>
      <c r="D12" s="90">
        <f>'Historical Financials'!D98</f>
        <v>0</v>
      </c>
      <c r="E12" s="90">
        <f>'Historical Financials'!E98</f>
        <v>0</v>
      </c>
      <c r="F12" s="90">
        <f>'Historical Financials'!F98</f>
        <v>0</v>
      </c>
      <c r="H12" s="90">
        <f>'Historical Financials'!H98</f>
        <v>0</v>
      </c>
      <c r="I12" s="90">
        <f>'Historical Financials'!I98</f>
        <v>0</v>
      </c>
      <c r="J12" s="90">
        <f>'Historical Financials'!J98</f>
        <v>0</v>
      </c>
      <c r="K12" s="90">
        <f>'Historical Financials'!K98</f>
        <v>0</v>
      </c>
      <c r="L12" s="90">
        <f>'Historical Financials'!L98</f>
        <v>0</v>
      </c>
      <c r="M12" s="90">
        <f>'Historical Financials'!M98</f>
        <v>0</v>
      </c>
      <c r="N12" s="90">
        <f>'Historical Financials'!N98</f>
        <v>0</v>
      </c>
      <c r="O12" s="90">
        <f>'Historical Financials'!O98</f>
        <v>0</v>
      </c>
      <c r="P12" s="90">
        <f>'Historical Financials'!P98</f>
        <v>0</v>
      </c>
      <c r="Q12" s="90">
        <f>'Historical Financials'!Q98</f>
        <v>0</v>
      </c>
      <c r="R12" s="90">
        <f>'Historical Financials'!R98</f>
        <v>0</v>
      </c>
      <c r="S12" s="90">
        <f>'Historical Financials'!S98</f>
        <v>0</v>
      </c>
      <c r="U12" s="120">
        <f t="shared" ref="U12" si="4">SUM(H12:K12)</f>
        <v>0</v>
      </c>
      <c r="V12" s="120">
        <f t="shared" ref="V12" si="5">SUM(I12:L12)</f>
        <v>0</v>
      </c>
      <c r="W12" s="120">
        <f t="shared" ref="W12" si="6">SUM(J12:M12)</f>
        <v>0</v>
      </c>
      <c r="X12" s="120">
        <f t="shared" ref="X12" si="7">SUM(K12:N12)</f>
        <v>0</v>
      </c>
      <c r="Y12" s="120">
        <f t="shared" ref="Y12" si="8">SUM(L12:O12)</f>
        <v>0</v>
      </c>
      <c r="Z12" s="120">
        <f t="shared" ref="Z12" si="9">SUM(M12:P12)</f>
        <v>0</v>
      </c>
      <c r="AA12" s="120">
        <f t="shared" ref="AA12" si="10">SUM(N12:Q12)</f>
        <v>0</v>
      </c>
      <c r="AB12" s="120">
        <f t="shared" ref="AB12" si="11">SUM(O12:R12)</f>
        <v>0</v>
      </c>
      <c r="AC12" s="120">
        <f>SUM(P12:S12)</f>
        <v>0</v>
      </c>
      <c r="AE12" s="122" t="e">
        <f>SUM(AC12/Y12)-1</f>
        <v>#DIV/0!</v>
      </c>
    </row>
    <row r="13" spans="2:31">
      <c r="B13" s="162" t="s">
        <v>126</v>
      </c>
      <c r="C13" s="159">
        <f t="shared" ref="C13:F13" si="12">SUM(C11:C12)/12</f>
        <v>-2025.6666666666667</v>
      </c>
      <c r="D13" s="159">
        <f t="shared" si="12"/>
        <v>-2588</v>
      </c>
      <c r="E13" s="159">
        <f t="shared" si="12"/>
        <v>-2747.0833333333335</v>
      </c>
      <c r="F13" s="159">
        <f t="shared" si="12"/>
        <v>-3480.5833333333335</v>
      </c>
      <c r="H13" s="159">
        <f t="shared" ref="H13" si="13">SUM(H11:H12)/12</f>
        <v>-670.16666666666663</v>
      </c>
      <c r="I13" s="159">
        <f t="shared" ref="I13" si="14">SUM(I11:I12)/12</f>
        <v>-619</v>
      </c>
      <c r="J13" s="159">
        <f t="shared" ref="J13" si="15">SUM(J11:J12)/12</f>
        <v>-695.58333333333337</v>
      </c>
      <c r="K13" s="159">
        <f t="shared" ref="K13" si="16">SUM(K11:K12)/12</f>
        <v>-603.25</v>
      </c>
      <c r="L13" s="159">
        <f t="shared" ref="L13" si="17">SUM(L11:L12)/12</f>
        <v>-899.41666666666663</v>
      </c>
      <c r="M13" s="159">
        <f t="shared" ref="M13" si="18">SUM(M11:M12)/12</f>
        <v>-819.41666666666663</v>
      </c>
      <c r="N13" s="159">
        <f t="shared" ref="N13" si="19">SUM(N11:N12)/12</f>
        <v>-636.41666666666663</v>
      </c>
      <c r="O13" s="159">
        <f t="shared" ref="O13" si="20">SUM(O11:O12)/12</f>
        <v>-391.83333333333331</v>
      </c>
      <c r="P13" s="159">
        <f t="shared" ref="P13" si="21">SUM(P11:P12)/12</f>
        <v>-1008.75</v>
      </c>
      <c r="Q13" s="159">
        <f t="shared" ref="Q13" si="22">SUM(Q11:Q12)/12</f>
        <v>-694.41666666666663</v>
      </c>
      <c r="R13" s="159">
        <f t="shared" ref="R13" si="23">SUM(R11:R12)/12</f>
        <v>-711.5</v>
      </c>
      <c r="S13" s="159">
        <f t="shared" ref="S13" si="24">SUM(S11:S12)/12</f>
        <v>-1065.9166666666667</v>
      </c>
      <c r="U13" s="159">
        <f t="shared" ref="U13" si="25">SUM(U11:U12)/12</f>
        <v>-2588</v>
      </c>
      <c r="V13" s="159">
        <f t="shared" ref="V13" si="26">SUM(V11:V12)/12</f>
        <v>-2817.25</v>
      </c>
      <c r="W13" s="159">
        <f t="shared" ref="W13" si="27">SUM(W11:W12)/12</f>
        <v>-3017.6666666666665</v>
      </c>
      <c r="X13" s="159">
        <f t="shared" ref="X13" si="28">SUM(X11:X12)/12</f>
        <v>-2958.5</v>
      </c>
      <c r="Y13" s="159">
        <f t="shared" ref="Y13" si="29">SUM(Y11:Y12)/12</f>
        <v>-2747.0833333333335</v>
      </c>
      <c r="Z13" s="159">
        <f t="shared" ref="Z13" si="30">SUM(Z11:Z12)/12</f>
        <v>-2856.4166666666665</v>
      </c>
      <c r="AA13" s="159">
        <f t="shared" ref="AA13" si="31">SUM(AA11:AA12)/12</f>
        <v>-2731.4166666666665</v>
      </c>
      <c r="AB13" s="159">
        <f t="shared" ref="AB13" si="32">SUM(AB11:AB12)/12</f>
        <v>-2806.5</v>
      </c>
      <c r="AC13" s="159">
        <f t="shared" ref="AC13" si="33">SUM(AC11:AC12)/12</f>
        <v>-3480.5833333333335</v>
      </c>
      <c r="AE13" s="123">
        <f>SUM(AC13/Y13)-1</f>
        <v>0.26701046564538156</v>
      </c>
    </row>
    <row r="14" spans="2:31">
      <c r="B14" s="9"/>
      <c r="AE14" s="124"/>
    </row>
    <row r="15" spans="2:31">
      <c r="B15" s="76" t="s">
        <v>127</v>
      </c>
      <c r="AE15" s="121"/>
    </row>
    <row r="16" spans="2:31">
      <c r="B16" s="9" t="s">
        <v>129</v>
      </c>
      <c r="C16" s="120">
        <f t="shared" ref="C16" si="34">C8</f>
        <v>39648</v>
      </c>
      <c r="D16" s="120">
        <f t="shared" ref="D16:F16" si="35">D8</f>
        <v>18592</v>
      </c>
      <c r="E16" s="120">
        <f t="shared" si="35"/>
        <v>25660</v>
      </c>
      <c r="F16" s="120">
        <f t="shared" si="35"/>
        <v>15120</v>
      </c>
      <c r="H16" s="120">
        <f t="shared" ref="H16" si="36">H8</f>
        <v>31606</v>
      </c>
      <c r="I16" s="120">
        <f t="shared" ref="I16:S16" si="37">I8</f>
        <v>24178</v>
      </c>
      <c r="J16" s="120">
        <f t="shared" si="37"/>
        <v>15831</v>
      </c>
      <c r="K16" s="120">
        <f t="shared" si="37"/>
        <v>18592</v>
      </c>
      <c r="L16" s="120">
        <f t="shared" si="37"/>
        <v>17799</v>
      </c>
      <c r="M16" s="120">
        <f t="shared" si="37"/>
        <v>17966</v>
      </c>
      <c r="N16" s="120">
        <f t="shared" si="37"/>
        <v>20362</v>
      </c>
      <c r="O16" s="120">
        <f t="shared" si="37"/>
        <v>25660</v>
      </c>
      <c r="P16" s="120">
        <f t="shared" si="37"/>
        <v>23555</v>
      </c>
      <c r="Q16" s="120">
        <f t="shared" si="37"/>
        <v>25598</v>
      </c>
      <c r="R16" s="120">
        <f t="shared" si="37"/>
        <v>27060</v>
      </c>
      <c r="S16" s="120">
        <f t="shared" si="37"/>
        <v>15120</v>
      </c>
      <c r="U16" s="120">
        <f t="shared" ref="U16:AC16" si="38">U8</f>
        <v>18592</v>
      </c>
      <c r="V16" s="120">
        <f t="shared" si="38"/>
        <v>17799</v>
      </c>
      <c r="W16" s="120">
        <f t="shared" si="38"/>
        <v>17966</v>
      </c>
      <c r="X16" s="120">
        <f t="shared" si="38"/>
        <v>20362</v>
      </c>
      <c r="Y16" s="120">
        <f t="shared" si="38"/>
        <v>25660</v>
      </c>
      <c r="Z16" s="120">
        <f t="shared" si="38"/>
        <v>23555</v>
      </c>
      <c r="AA16" s="120">
        <f t="shared" si="38"/>
        <v>25598</v>
      </c>
      <c r="AB16" s="120">
        <f t="shared" si="38"/>
        <v>27060</v>
      </c>
      <c r="AC16" s="120">
        <f t="shared" si="38"/>
        <v>15120</v>
      </c>
      <c r="AE16" s="122">
        <f>SUM(AC16/Y16)-1</f>
        <v>-0.4107560405300078</v>
      </c>
    </row>
    <row r="17" spans="2:31">
      <c r="B17" s="9" t="s">
        <v>128</v>
      </c>
      <c r="C17" s="163">
        <f t="shared" ref="C17" si="39">C13</f>
        <v>-2025.6666666666667</v>
      </c>
      <c r="D17" s="163">
        <f t="shared" ref="D17:F17" si="40">D13</f>
        <v>-2588</v>
      </c>
      <c r="E17" s="163">
        <f t="shared" si="40"/>
        <v>-2747.0833333333335</v>
      </c>
      <c r="F17" s="163">
        <f t="shared" si="40"/>
        <v>-3480.5833333333335</v>
      </c>
      <c r="H17" s="163">
        <f t="shared" ref="H17" si="41">H13</f>
        <v>-670.16666666666663</v>
      </c>
      <c r="I17" s="163">
        <f t="shared" ref="I17:S17" si="42">I13</f>
        <v>-619</v>
      </c>
      <c r="J17" s="163">
        <f t="shared" si="42"/>
        <v>-695.58333333333337</v>
      </c>
      <c r="K17" s="163">
        <f t="shared" si="42"/>
        <v>-603.25</v>
      </c>
      <c r="L17" s="163">
        <f t="shared" si="42"/>
        <v>-899.41666666666663</v>
      </c>
      <c r="M17" s="163">
        <f t="shared" si="42"/>
        <v>-819.41666666666663</v>
      </c>
      <c r="N17" s="163">
        <f t="shared" si="42"/>
        <v>-636.41666666666663</v>
      </c>
      <c r="O17" s="163">
        <f t="shared" si="42"/>
        <v>-391.83333333333331</v>
      </c>
      <c r="P17" s="163">
        <f t="shared" si="42"/>
        <v>-1008.75</v>
      </c>
      <c r="Q17" s="163">
        <f t="shared" si="42"/>
        <v>-694.41666666666663</v>
      </c>
      <c r="R17" s="163">
        <f t="shared" si="42"/>
        <v>-711.5</v>
      </c>
      <c r="S17" s="163">
        <f t="shared" si="42"/>
        <v>-1065.9166666666667</v>
      </c>
      <c r="U17" s="163">
        <f t="shared" ref="U17:AC17" si="43">U13</f>
        <v>-2588</v>
      </c>
      <c r="V17" s="163">
        <f t="shared" si="43"/>
        <v>-2817.25</v>
      </c>
      <c r="W17" s="163">
        <f t="shared" si="43"/>
        <v>-3017.6666666666665</v>
      </c>
      <c r="X17" s="163">
        <f t="shared" si="43"/>
        <v>-2958.5</v>
      </c>
      <c r="Y17" s="163">
        <f t="shared" si="43"/>
        <v>-2747.0833333333335</v>
      </c>
      <c r="Z17" s="163">
        <f t="shared" si="43"/>
        <v>-2856.4166666666665</v>
      </c>
      <c r="AA17" s="163">
        <f t="shared" si="43"/>
        <v>-2731.4166666666665</v>
      </c>
      <c r="AB17" s="163">
        <f t="shared" si="43"/>
        <v>-2806.5</v>
      </c>
      <c r="AC17" s="163">
        <f t="shared" si="43"/>
        <v>-3480.5833333333335</v>
      </c>
      <c r="AE17" s="122">
        <f>SUM(AC17/Y17)-1</f>
        <v>0.26701046564538156</v>
      </c>
    </row>
    <row r="18" spans="2:31">
      <c r="B18" s="162" t="s">
        <v>127</v>
      </c>
      <c r="C18" s="156">
        <f t="shared" ref="C18:H18" si="44">C16/-C17</f>
        <v>19.572815533980581</v>
      </c>
      <c r="D18" s="156">
        <f t="shared" si="44"/>
        <v>7.1839258114374038</v>
      </c>
      <c r="E18" s="156">
        <f t="shared" si="44"/>
        <v>9.3408160169877146</v>
      </c>
      <c r="F18" s="156">
        <f t="shared" si="44"/>
        <v>4.3440994086240332</v>
      </c>
      <c r="H18" s="156">
        <f t="shared" si="44"/>
        <v>47.161402636160162</v>
      </c>
      <c r="I18" s="156">
        <f t="shared" ref="I18" si="45">I16/-I17</f>
        <v>39.059773828756057</v>
      </c>
      <c r="J18" s="156">
        <f t="shared" ref="J18" si="46">J16/-J17</f>
        <v>22.759314723852881</v>
      </c>
      <c r="K18" s="156">
        <f t="shared" ref="K18" si="47">K16/-K17</f>
        <v>30.819726481558227</v>
      </c>
      <c r="L18" s="156">
        <f t="shared" ref="L18" si="48">L16/-L17</f>
        <v>19.789493190030576</v>
      </c>
      <c r="M18" s="156">
        <f t="shared" ref="M18" si="49">M16/-M17</f>
        <v>21.925353401810231</v>
      </c>
      <c r="N18" s="156">
        <f t="shared" ref="N18" si="50">N16/-N17</f>
        <v>31.994762341233471</v>
      </c>
      <c r="O18" s="156">
        <f t="shared" ref="O18" si="51">O16/-O17</f>
        <v>65.487026797107617</v>
      </c>
      <c r="P18" s="156">
        <f t="shared" ref="P18" si="52">P16/-P17</f>
        <v>23.350681536555143</v>
      </c>
      <c r="Q18" s="156">
        <f t="shared" ref="Q18" si="53">Q16/-Q17</f>
        <v>36.862594503780151</v>
      </c>
      <c r="R18" s="156">
        <f t="shared" ref="R18" si="54">R16/-R17</f>
        <v>38.032326071679549</v>
      </c>
      <c r="S18" s="156">
        <f t="shared" ref="S18" si="55">S16/-S17</f>
        <v>14.184973809709952</v>
      </c>
      <c r="U18" s="156">
        <f t="shared" ref="U18" si="56">U16/-U17</f>
        <v>7.1839258114374038</v>
      </c>
      <c r="V18" s="156">
        <f t="shared" ref="V18" si="57">V16/-V17</f>
        <v>6.3178631644334011</v>
      </c>
      <c r="W18" s="156">
        <f t="shared" ref="W18" si="58">W16/-W17</f>
        <v>5.9536065392687512</v>
      </c>
      <c r="X18" s="156">
        <f t="shared" ref="X18" si="59">X16/-X17</f>
        <v>6.8825418286293729</v>
      </c>
      <c r="Y18" s="156">
        <f t="shared" ref="Y18" si="60">Y16/-Y17</f>
        <v>9.3408160169877146</v>
      </c>
      <c r="Z18" s="156">
        <f t="shared" ref="Z18" si="61">Z16/-Z17</f>
        <v>8.2463459462613411</v>
      </c>
      <c r="AA18" s="156">
        <f t="shared" ref="AA18" si="62">AA16/-AA17</f>
        <v>9.3716935656100322</v>
      </c>
      <c r="AB18" s="156">
        <f t="shared" ref="AB18" si="63">AB16/-AB17</f>
        <v>9.641902725815072</v>
      </c>
      <c r="AC18" s="156">
        <f t="shared" ref="AC18" si="64">AC16/-AC17</f>
        <v>4.3440994086240332</v>
      </c>
      <c r="AE18" s="123">
        <f>SUM(AC18/Y18)-1</f>
        <v>-0.53493362884745632</v>
      </c>
    </row>
    <row r="19" spans="2:31">
      <c r="AE19" s="124"/>
    </row>
    <row r="20" spans="2:31">
      <c r="B20" s="164" t="s">
        <v>132</v>
      </c>
      <c r="AE20" s="121"/>
    </row>
    <row r="21" spans="2:31">
      <c r="B21" s="45" t="s">
        <v>87</v>
      </c>
      <c r="C21" s="90">
        <f>'Historical Financials'!C32</f>
        <v>37048.244999999995</v>
      </c>
      <c r="D21" s="90">
        <f>'Historical Financials'!D32</f>
        <v>32427.617999999999</v>
      </c>
      <c r="E21" s="90">
        <f>'Historical Financials'!E32</f>
        <v>23817.222999999998</v>
      </c>
      <c r="F21" s="90">
        <f>'Historical Financials'!F32</f>
        <v>13231.201999999997</v>
      </c>
      <c r="H21" s="90">
        <f>'Historical Financials'!H32</f>
        <v>36989.792000000001</v>
      </c>
      <c r="I21" s="90">
        <f>'Historical Financials'!I32</f>
        <v>36866.974000000002</v>
      </c>
      <c r="J21" s="90">
        <f>'Historical Financials'!J32</f>
        <v>36223.796999999999</v>
      </c>
      <c r="K21" s="90">
        <f>'Historical Financials'!K32</f>
        <v>32427.617999999999</v>
      </c>
      <c r="L21" s="90">
        <f>'Historical Financials'!L32</f>
        <v>27997.651999999998</v>
      </c>
      <c r="M21" s="90">
        <f>'Historical Financials'!M32</f>
        <v>24546.930999999997</v>
      </c>
      <c r="N21" s="90">
        <f>'Historical Financials'!N32</f>
        <v>26471.360000000001</v>
      </c>
      <c r="O21" s="90">
        <f>'Historical Financials'!O32</f>
        <v>23817.222999999998</v>
      </c>
      <c r="P21" s="90">
        <f>'Historical Financials'!P32</f>
        <v>20332.383999999998</v>
      </c>
      <c r="Q21" s="90">
        <f>'Historical Financials'!Q32</f>
        <v>16791.190000000002</v>
      </c>
      <c r="R21" s="90">
        <f>'Historical Financials'!R32</f>
        <v>12875.154000000002</v>
      </c>
      <c r="S21" s="90">
        <f>'Historical Financials'!S32</f>
        <v>13231.201999999997</v>
      </c>
      <c r="U21" s="120">
        <f t="shared" ref="U21" si="65">K21</f>
        <v>32427.617999999999</v>
      </c>
      <c r="V21" s="120">
        <f t="shared" ref="V21" si="66">L21</f>
        <v>27997.651999999998</v>
      </c>
      <c r="W21" s="120">
        <f t="shared" ref="W21" si="67">M21</f>
        <v>24546.930999999997</v>
      </c>
      <c r="X21" s="120">
        <f t="shared" ref="X21" si="68">N21</f>
        <v>26471.360000000001</v>
      </c>
      <c r="Y21" s="120">
        <f t="shared" ref="Y21" si="69">O21</f>
        <v>23817.222999999998</v>
      </c>
      <c r="Z21" s="120">
        <f t="shared" ref="Z21" si="70">P21</f>
        <v>20332.383999999998</v>
      </c>
      <c r="AA21" s="120">
        <f t="shared" ref="AA21" si="71">Q21</f>
        <v>16791.190000000002</v>
      </c>
      <c r="AB21" s="120">
        <f t="shared" ref="AB21" si="72">R21</f>
        <v>12875.154000000002</v>
      </c>
      <c r="AC21" s="120">
        <f>S21</f>
        <v>13231.201999999997</v>
      </c>
      <c r="AE21" s="122">
        <f>SUM(AC21/Y21)-1</f>
        <v>-0.44446915578696988</v>
      </c>
    </row>
    <row r="22" spans="2:31">
      <c r="B22" s="13" t="s">
        <v>131</v>
      </c>
      <c r="C22" s="139">
        <f t="shared" ref="C22:H22" si="73">C8/C21</f>
        <v>1.0701721498548717</v>
      </c>
      <c r="D22" s="139">
        <f t="shared" si="73"/>
        <v>0.57333844255843891</v>
      </c>
      <c r="E22" s="139">
        <f t="shared" si="73"/>
        <v>1.0773716146504571</v>
      </c>
      <c r="F22" s="139">
        <f t="shared" si="73"/>
        <v>1.1427533190106238</v>
      </c>
      <c r="H22" s="139">
        <f t="shared" si="73"/>
        <v>0.85445195258194473</v>
      </c>
      <c r="I22" s="139">
        <f t="shared" ref="I22" si="74">I8/I21</f>
        <v>0.65581731768926843</v>
      </c>
      <c r="J22" s="139">
        <f t="shared" ref="J22" si="75">J8/J21</f>
        <v>0.43703314702210816</v>
      </c>
      <c r="K22" s="139">
        <f t="shared" ref="K22" si="76">K8/K21</f>
        <v>0.57333844255843891</v>
      </c>
      <c r="L22" s="139">
        <f t="shared" ref="L22" si="77">L8/L21</f>
        <v>0.63573188208782649</v>
      </c>
      <c r="M22" s="139">
        <f t="shared" ref="M22" si="78">M8/M21</f>
        <v>0.73190412275978622</v>
      </c>
      <c r="N22" s="139">
        <f t="shared" ref="N22" si="79">N8/N21</f>
        <v>0.76920868440457912</v>
      </c>
      <c r="O22" s="139">
        <f t="shared" ref="O22" si="80">O8/O21</f>
        <v>1.0773716146504571</v>
      </c>
      <c r="P22" s="139">
        <f t="shared" ref="P22" si="81">P8/P21</f>
        <v>1.15849671145302</v>
      </c>
      <c r="Q22" s="139">
        <f t="shared" ref="Q22" si="82">Q8/Q21</f>
        <v>1.524489925967129</v>
      </c>
      <c r="R22" s="139">
        <f t="shared" ref="R22" si="83">R8/R21</f>
        <v>2.1017224337666169</v>
      </c>
      <c r="S22" s="139">
        <f t="shared" ref="S22" si="84">S8/S21</f>
        <v>1.1427533190106238</v>
      </c>
      <c r="U22" s="139">
        <f t="shared" ref="U22" si="85">U8/U21</f>
        <v>0.57333844255843891</v>
      </c>
      <c r="V22" s="139">
        <f t="shared" ref="V22" si="86">V8/V21</f>
        <v>0.63573188208782649</v>
      </c>
      <c r="W22" s="139">
        <f t="shared" ref="W22" si="87">W8/W21</f>
        <v>0.73190412275978622</v>
      </c>
      <c r="X22" s="139">
        <f t="shared" ref="X22" si="88">X8/X21</f>
        <v>0.76920868440457912</v>
      </c>
      <c r="Y22" s="139">
        <f t="shared" ref="Y22" si="89">Y8/Y21</f>
        <v>1.0773716146504571</v>
      </c>
      <c r="Z22" s="139">
        <f t="shared" ref="Z22" si="90">Z8/Z21</f>
        <v>1.15849671145302</v>
      </c>
      <c r="AA22" s="139">
        <f t="shared" ref="AA22" si="91">AA8/AA21</f>
        <v>1.524489925967129</v>
      </c>
      <c r="AB22" s="139">
        <f t="shared" ref="AB22" si="92">AB8/AB21</f>
        <v>2.1017224337666169</v>
      </c>
      <c r="AC22" s="139">
        <f t="shared" ref="AC22" si="93">AC8/AC21</f>
        <v>1.1427533190106238</v>
      </c>
      <c r="AE22" s="123">
        <f>SUM(AC22/Y22)-1</f>
        <v>6.0686306814737412E-2</v>
      </c>
    </row>
    <row r="23" spans="2:31">
      <c r="AE23" s="123"/>
    </row>
    <row r="24" spans="2:31">
      <c r="B24" s="164" t="s">
        <v>134</v>
      </c>
      <c r="AE24" s="124"/>
    </row>
    <row r="25" spans="2:31">
      <c r="B25" s="45" t="s">
        <v>64</v>
      </c>
      <c r="C25" s="90">
        <f>'Historical Financials'!C35</f>
        <v>58527</v>
      </c>
      <c r="D25" s="90">
        <f>'Historical Financials'!D35</f>
        <v>59391</v>
      </c>
      <c r="E25" s="90">
        <f>'Historical Financials'!E35</f>
        <v>60159</v>
      </c>
      <c r="F25" s="90">
        <f>'Historical Financials'!F35</f>
        <v>62309</v>
      </c>
      <c r="H25" s="90">
        <f>'Historical Financials'!H35</f>
        <v>59354</v>
      </c>
      <c r="I25" s="90">
        <f>'Historical Financials'!I35</f>
        <v>59389</v>
      </c>
      <c r="J25" s="90">
        <f>'Historical Financials'!J35</f>
        <v>59396</v>
      </c>
      <c r="K25" s="90">
        <f>'Historical Financials'!K35</f>
        <v>59391</v>
      </c>
      <c r="L25" s="90">
        <f>'Historical Financials'!L35</f>
        <v>59480</v>
      </c>
      <c r="M25" s="90">
        <f>'Historical Financials'!M35</f>
        <v>59582</v>
      </c>
      <c r="N25" s="90">
        <f>'Historical Financials'!N35</f>
        <v>59704</v>
      </c>
      <c r="O25" s="90">
        <f>'Historical Financials'!O35</f>
        <v>60159</v>
      </c>
      <c r="P25" s="90">
        <f>'Historical Financials'!P35</f>
        <v>61976</v>
      </c>
      <c r="Q25" s="90">
        <f>'Historical Financials'!Q35</f>
        <v>62233</v>
      </c>
      <c r="R25" s="90">
        <f>'Historical Financials'!R35</f>
        <v>62278</v>
      </c>
      <c r="S25" s="90">
        <f>'Historical Financials'!S35</f>
        <v>62309</v>
      </c>
      <c r="U25" s="120">
        <f t="shared" ref="U25:AB25" si="94">K25</f>
        <v>59391</v>
      </c>
      <c r="V25" s="120">
        <f t="shared" si="94"/>
        <v>59480</v>
      </c>
      <c r="W25" s="120">
        <f t="shared" si="94"/>
        <v>59582</v>
      </c>
      <c r="X25" s="120">
        <f t="shared" si="94"/>
        <v>59704</v>
      </c>
      <c r="Y25" s="120">
        <f t="shared" si="94"/>
        <v>60159</v>
      </c>
      <c r="Z25" s="120">
        <f t="shared" si="94"/>
        <v>61976</v>
      </c>
      <c r="AA25" s="120">
        <f t="shared" si="94"/>
        <v>62233</v>
      </c>
      <c r="AB25" s="120">
        <f t="shared" si="94"/>
        <v>62278</v>
      </c>
      <c r="AC25" s="120">
        <f>S25</f>
        <v>62309</v>
      </c>
      <c r="AE25" s="122">
        <f>SUM(AC25/Y25)-1</f>
        <v>3.5738625974500948E-2</v>
      </c>
    </row>
    <row r="26" spans="2:31">
      <c r="B26" s="13" t="s">
        <v>133</v>
      </c>
      <c r="C26" s="139">
        <f t="shared" ref="C26:H26" si="95">C8/C25</f>
        <v>0.6774309293146753</v>
      </c>
      <c r="D26" s="139">
        <f t="shared" si="95"/>
        <v>0.31304406391540807</v>
      </c>
      <c r="E26" s="139">
        <f t="shared" si="95"/>
        <v>0.42653634535148521</v>
      </c>
      <c r="F26" s="139">
        <f t="shared" si="95"/>
        <v>0.24266157376943942</v>
      </c>
      <c r="H26" s="139">
        <f t="shared" si="95"/>
        <v>0.53249991575967925</v>
      </c>
      <c r="I26" s="139">
        <f t="shared" ref="I26" si="96">I8/I25</f>
        <v>0.40711242822744953</v>
      </c>
      <c r="J26" s="139">
        <f t="shared" ref="J26" si="97">J8/J25</f>
        <v>0.26653309987204526</v>
      </c>
      <c r="K26" s="139">
        <f t="shared" ref="K26" si="98">K8/K25</f>
        <v>0.31304406391540807</v>
      </c>
      <c r="L26" s="139">
        <f t="shared" ref="L26" si="99">L8/L25</f>
        <v>0.29924344317417617</v>
      </c>
      <c r="M26" s="139">
        <f t="shared" ref="M26" si="100">M8/M25</f>
        <v>0.30153402034171395</v>
      </c>
      <c r="N26" s="139">
        <f t="shared" ref="N26" si="101">N8/N25</f>
        <v>0.34104917593461076</v>
      </c>
      <c r="O26" s="139">
        <f t="shared" ref="O26" si="102">O8/O25</f>
        <v>0.42653634535148521</v>
      </c>
      <c r="P26" s="139">
        <f t="shared" ref="P26" si="103">P8/P25</f>
        <v>0.38006647734606946</v>
      </c>
      <c r="Q26" s="139">
        <f t="shared" ref="Q26" si="104">Q8/Q25</f>
        <v>0.41132518117397521</v>
      </c>
      <c r="R26" s="139">
        <f t="shared" ref="R26" si="105">R8/R25</f>
        <v>0.43450335592022865</v>
      </c>
      <c r="S26" s="139">
        <f t="shared" ref="S26" si="106">S8/S25</f>
        <v>0.24266157376943942</v>
      </c>
      <c r="U26" s="139">
        <f t="shared" ref="U26" si="107">U8/U25</f>
        <v>0.31304406391540807</v>
      </c>
      <c r="V26" s="139">
        <f t="shared" ref="V26" si="108">V8/V25</f>
        <v>0.29924344317417617</v>
      </c>
      <c r="W26" s="139">
        <f t="shared" ref="W26" si="109">W8/W25</f>
        <v>0.30153402034171395</v>
      </c>
      <c r="X26" s="139">
        <f t="shared" ref="X26" si="110">X8/X25</f>
        <v>0.34104917593461076</v>
      </c>
      <c r="Y26" s="139">
        <f t="shared" ref="Y26" si="111">Y8/Y25</f>
        <v>0.42653634535148521</v>
      </c>
      <c r="Z26" s="139">
        <f t="shared" ref="Z26" si="112">Z8/Z25</f>
        <v>0.38006647734606946</v>
      </c>
      <c r="AA26" s="139">
        <f t="shared" ref="AA26" si="113">AA8/AA25</f>
        <v>0.41132518117397521</v>
      </c>
      <c r="AB26" s="139">
        <f t="shared" ref="AB26" si="114">AB8/AB25</f>
        <v>0.43450335592022865</v>
      </c>
      <c r="AC26" s="139">
        <f t="shared" ref="AC26" si="115">AC8/AC25</f>
        <v>0.24266157376943942</v>
      </c>
      <c r="AE26" s="123">
        <f>SUM(AC26/Y26)-1</f>
        <v>-0.4310881677164573</v>
      </c>
    </row>
  </sheetData>
  <mergeCells count="1">
    <mergeCell ref="AE2:AE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FCF</vt:lpstr>
      <vt:lpstr>Cash Burn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2025-12-22T03:54:51Z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