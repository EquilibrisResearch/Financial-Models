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elix\AppData\Roaming\Microsoft\Excel\Apple%20Inc%20(APPL)_LTM%203Q25%20Model_v1%20(1)312142813346839800\Models\"/>
    </mc:Choice>
  </mc:AlternateContent>
  <xr:revisionPtr revIDLastSave="0" documentId="8_{2B75002E-C79F-407A-8067-847FE8B52633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14" i="8" l="1"/>
  <c r="AC113" i="8"/>
  <c r="AC110" i="8"/>
  <c r="AC109" i="8"/>
  <c r="AC99" i="8"/>
  <c r="AC100" i="8" s="1"/>
  <c r="AB99" i="8"/>
  <c r="AA99" i="8"/>
  <c r="Z99" i="8"/>
  <c r="Y99" i="8"/>
  <c r="Y100" i="8" s="1"/>
  <c r="AC105" i="8"/>
  <c r="AB105" i="8"/>
  <c r="AA105" i="8"/>
  <c r="Z105" i="8"/>
  <c r="Y105" i="8"/>
  <c r="AC104" i="8"/>
  <c r="AB104" i="8"/>
  <c r="AA104" i="8"/>
  <c r="Z104" i="8"/>
  <c r="Y104" i="8"/>
  <c r="AC103" i="8"/>
  <c r="AB103" i="8"/>
  <c r="AA103" i="8"/>
  <c r="Z103" i="8"/>
  <c r="Y103" i="8"/>
  <c r="AC96" i="8"/>
  <c r="AB96" i="8"/>
  <c r="AA96" i="8"/>
  <c r="Z96" i="8"/>
  <c r="Y96" i="8"/>
  <c r="AC95" i="8"/>
  <c r="AB95" i="8"/>
  <c r="AA95" i="8"/>
  <c r="Z95" i="8"/>
  <c r="Y95" i="8"/>
  <c r="AC94" i="8"/>
  <c r="AB94" i="8"/>
  <c r="AA94" i="8"/>
  <c r="Z94" i="8"/>
  <c r="Y94" i="8"/>
  <c r="AC91" i="8"/>
  <c r="AB91" i="8"/>
  <c r="AA91" i="8"/>
  <c r="Z91" i="8"/>
  <c r="Y91" i="8"/>
  <c r="AC90" i="8"/>
  <c r="AB90" i="8"/>
  <c r="AA90" i="8"/>
  <c r="Z90" i="8"/>
  <c r="Y90" i="8"/>
  <c r="AC89" i="8"/>
  <c r="AB89" i="8"/>
  <c r="AA89" i="8"/>
  <c r="Z89" i="8"/>
  <c r="Y89" i="8"/>
  <c r="AC88" i="8"/>
  <c r="AB88" i="8"/>
  <c r="AA88" i="8"/>
  <c r="Z88" i="8"/>
  <c r="Y88" i="8"/>
  <c r="AB100" i="8"/>
  <c r="AA100" i="8"/>
  <c r="Z100" i="8"/>
  <c r="Q100" i="8"/>
  <c r="P100" i="8"/>
  <c r="O100" i="8"/>
  <c r="N100" i="8"/>
  <c r="M100" i="8"/>
  <c r="L100" i="8"/>
  <c r="K100" i="8"/>
  <c r="J100" i="8"/>
  <c r="I100" i="8"/>
  <c r="H100" i="8"/>
  <c r="G100" i="8"/>
  <c r="E100" i="8"/>
  <c r="D100" i="8"/>
  <c r="C100" i="8"/>
  <c r="Q105" i="8"/>
  <c r="N105" i="8"/>
  <c r="H105" i="8"/>
  <c r="P104" i="8"/>
  <c r="Q104" i="8" s="1"/>
  <c r="M104" i="8"/>
  <c r="N104" i="8" s="1"/>
  <c r="H104" i="8"/>
  <c r="P103" i="8"/>
  <c r="Q103" i="8" s="1"/>
  <c r="M103" i="8"/>
  <c r="N103" i="8" s="1"/>
  <c r="L103" i="8"/>
  <c r="H103" i="8"/>
  <c r="H94" i="8"/>
  <c r="I94" i="8" s="1"/>
  <c r="L94" i="8"/>
  <c r="M94" i="8" s="1"/>
  <c r="P94" i="8"/>
  <c r="Q94" i="8" s="1"/>
  <c r="H95" i="8"/>
  <c r="I95" i="8" s="1"/>
  <c r="L95" i="8"/>
  <c r="P95" i="8"/>
  <c r="Q95" i="8" s="1"/>
  <c r="H96" i="8"/>
  <c r="I96" i="8" s="1"/>
  <c r="L96" i="8"/>
  <c r="M96" i="8" s="1"/>
  <c r="P96" i="8"/>
  <c r="Q96" i="8" s="1"/>
  <c r="P91" i="8"/>
  <c r="Q91" i="8" s="1"/>
  <c r="L91" i="8"/>
  <c r="M91" i="8" s="1"/>
  <c r="I91" i="8"/>
  <c r="H91" i="8"/>
  <c r="P90" i="8"/>
  <c r="Q90" i="8" s="1"/>
  <c r="L90" i="8"/>
  <c r="M90" i="8" s="1"/>
  <c r="N90" i="8" s="1"/>
  <c r="H90" i="8"/>
  <c r="I90" i="8" s="1"/>
  <c r="P89" i="8"/>
  <c r="Q89" i="8" s="1"/>
  <c r="L89" i="8"/>
  <c r="M89" i="8" s="1"/>
  <c r="H89" i="8"/>
  <c r="I89" i="8" s="1"/>
  <c r="P88" i="8"/>
  <c r="Q88" i="8" s="1"/>
  <c r="L88" i="8"/>
  <c r="M88" i="8" s="1"/>
  <c r="H88" i="8"/>
  <c r="I88" i="8" s="1"/>
  <c r="AC35" i="8"/>
  <c r="AB35" i="8"/>
  <c r="AA35" i="8"/>
  <c r="Y35" i="8"/>
  <c r="AB32" i="8"/>
  <c r="AA32" i="8"/>
  <c r="Y32" i="8"/>
  <c r="X32" i="8"/>
  <c r="W32" i="8"/>
  <c r="U32" i="8"/>
  <c r="T32" i="8"/>
  <c r="S32" i="8"/>
  <c r="AC32" i="8"/>
  <c r="AC24" i="8"/>
  <c r="AB24" i="8"/>
  <c r="AA24" i="8"/>
  <c r="Z24" i="8"/>
  <c r="Y24" i="8"/>
  <c r="AC23" i="8"/>
  <c r="AB23" i="8"/>
  <c r="AA23" i="8"/>
  <c r="Z23" i="8"/>
  <c r="Y23" i="8"/>
  <c r="AC22" i="8"/>
  <c r="AB22" i="8"/>
  <c r="AA22" i="8"/>
  <c r="Z22" i="8"/>
  <c r="Y22" i="8"/>
  <c r="U10" i="8"/>
  <c r="T10" i="8"/>
  <c r="S10" i="8"/>
  <c r="AB8" i="8"/>
  <c r="AA8" i="8"/>
  <c r="Z8" i="8"/>
  <c r="Y8" i="8"/>
  <c r="X8" i="8"/>
  <c r="W8" i="8"/>
  <c r="V8" i="8"/>
  <c r="U8" i="8"/>
  <c r="T8" i="8"/>
  <c r="S8" i="8"/>
  <c r="AB7" i="8"/>
  <c r="AA7" i="8"/>
  <c r="Z7" i="8"/>
  <c r="Y7" i="8"/>
  <c r="X7" i="8"/>
  <c r="W7" i="8"/>
  <c r="V7" i="8"/>
  <c r="U7" i="8"/>
  <c r="T7" i="8"/>
  <c r="S7" i="8"/>
  <c r="AC8" i="8"/>
  <c r="AC7" i="8"/>
  <c r="AC72" i="8"/>
  <c r="AB72" i="8"/>
  <c r="AA72" i="8"/>
  <c r="Y72" i="8"/>
  <c r="AC71" i="8"/>
  <c r="AB71" i="8"/>
  <c r="AA71" i="8"/>
  <c r="Y71" i="8"/>
  <c r="AC70" i="8"/>
  <c r="AB70" i="8"/>
  <c r="AA70" i="8"/>
  <c r="Y70" i="8"/>
  <c r="AC69" i="8"/>
  <c r="AB69" i="8"/>
  <c r="AA69" i="8"/>
  <c r="Y69" i="8"/>
  <c r="AC68" i="8"/>
  <c r="AB68" i="8"/>
  <c r="AA68" i="8"/>
  <c r="Y68" i="8"/>
  <c r="AC67" i="8"/>
  <c r="AB67" i="8"/>
  <c r="AA67" i="8"/>
  <c r="Y67" i="8"/>
  <c r="AC64" i="8"/>
  <c r="AB64" i="8"/>
  <c r="AA64" i="8"/>
  <c r="Y64" i="8"/>
  <c r="AC63" i="8"/>
  <c r="AB63" i="8"/>
  <c r="AA63" i="8"/>
  <c r="Y63" i="8"/>
  <c r="AC62" i="8"/>
  <c r="AB62" i="8"/>
  <c r="AA62" i="8"/>
  <c r="Y62" i="8"/>
  <c r="AC61" i="8"/>
  <c r="AB61" i="8"/>
  <c r="AA61" i="8"/>
  <c r="Y61" i="8"/>
  <c r="AC57" i="8"/>
  <c r="AB57" i="8"/>
  <c r="AA57" i="8"/>
  <c r="Y57" i="8"/>
  <c r="AC56" i="8"/>
  <c r="AB56" i="8"/>
  <c r="AA56" i="8"/>
  <c r="Y56" i="8"/>
  <c r="AC55" i="8"/>
  <c r="AB55" i="8"/>
  <c r="AA55" i="8"/>
  <c r="Y55" i="8"/>
  <c r="AC54" i="8"/>
  <c r="AB54" i="8"/>
  <c r="AA54" i="8"/>
  <c r="Y54" i="8"/>
  <c r="AC53" i="8"/>
  <c r="AB53" i="8"/>
  <c r="AA53" i="8"/>
  <c r="Y53" i="8"/>
  <c r="AC49" i="8"/>
  <c r="AB49" i="8"/>
  <c r="AA49" i="8"/>
  <c r="Y49" i="8"/>
  <c r="AC48" i="8"/>
  <c r="AB48" i="8"/>
  <c r="AA48" i="8"/>
  <c r="Y48" i="8"/>
  <c r="AC44" i="8"/>
  <c r="AB44" i="8"/>
  <c r="AA44" i="8"/>
  <c r="Y44" i="8"/>
  <c r="AB43" i="8"/>
  <c r="AA43" i="8"/>
  <c r="Y43" i="8"/>
  <c r="X43" i="8"/>
  <c r="W43" i="8"/>
  <c r="U43" i="8"/>
  <c r="T43" i="8"/>
  <c r="S43" i="8"/>
  <c r="AC43" i="8"/>
  <c r="N44" i="8"/>
  <c r="W44" i="8" s="1"/>
  <c r="N43" i="8"/>
  <c r="Z43" i="8" s="1"/>
  <c r="N49" i="8"/>
  <c r="V49" i="8" s="1"/>
  <c r="N48" i="8"/>
  <c r="W48" i="8" s="1"/>
  <c r="N57" i="8"/>
  <c r="Z57" i="8" s="1"/>
  <c r="N56" i="8"/>
  <c r="Z56" i="8" s="1"/>
  <c r="N55" i="8"/>
  <c r="Z55" i="8" s="1"/>
  <c r="N54" i="8"/>
  <c r="Z54" i="8" s="1"/>
  <c r="N53" i="8"/>
  <c r="Z53" i="8" s="1"/>
  <c r="N64" i="8"/>
  <c r="Z64" i="8" s="1"/>
  <c r="N63" i="8"/>
  <c r="Z63" i="8" s="1"/>
  <c r="N62" i="8"/>
  <c r="Z62" i="8" s="1"/>
  <c r="N61" i="8"/>
  <c r="Z61" i="8" s="1"/>
  <c r="N71" i="8"/>
  <c r="Z71" i="8" s="1"/>
  <c r="N70" i="8"/>
  <c r="Z70" i="8" s="1"/>
  <c r="N69" i="8"/>
  <c r="Z69" i="8" s="1"/>
  <c r="N68" i="8"/>
  <c r="Z68" i="8" s="1"/>
  <c r="N67" i="8"/>
  <c r="Z67" i="8" s="1"/>
  <c r="N72" i="8"/>
  <c r="Z72" i="8" s="1"/>
  <c r="J72" i="8"/>
  <c r="J71" i="8"/>
  <c r="J70" i="8"/>
  <c r="J69" i="8"/>
  <c r="J68" i="8"/>
  <c r="J67" i="8"/>
  <c r="J64" i="8"/>
  <c r="J63" i="8"/>
  <c r="J62" i="8"/>
  <c r="J61" i="8"/>
  <c r="J57" i="8"/>
  <c r="J56" i="8"/>
  <c r="J55" i="8"/>
  <c r="J54" i="8"/>
  <c r="J53" i="8"/>
  <c r="J49" i="8"/>
  <c r="J48" i="8"/>
  <c r="S48" i="8" s="1"/>
  <c r="J44" i="8"/>
  <c r="S44" i="8" s="1"/>
  <c r="J43" i="8"/>
  <c r="V43" i="8" s="1"/>
  <c r="N35" i="8"/>
  <c r="Z35" i="8" s="1"/>
  <c r="N32" i="8"/>
  <c r="Z32" i="8" s="1"/>
  <c r="J35" i="8"/>
  <c r="J32" i="8"/>
  <c r="V32" i="8" s="1"/>
  <c r="N17" i="8"/>
  <c r="AB17" i="8" s="1"/>
  <c r="N18" i="8"/>
  <c r="AC18" i="8" s="1"/>
  <c r="J17" i="8"/>
  <c r="Y17" i="8" s="1"/>
  <c r="J18" i="8"/>
  <c r="Y18" i="8" s="1"/>
  <c r="N13" i="8"/>
  <c r="AB13" i="8" s="1"/>
  <c r="J13" i="8"/>
  <c r="Y13" i="8" s="1"/>
  <c r="N121" i="8"/>
  <c r="J121" i="8"/>
  <c r="X48" i="8"/>
  <c r="V48" i="8"/>
  <c r="U48" i="8"/>
  <c r="T48" i="8"/>
  <c r="X44" i="8"/>
  <c r="V44" i="8"/>
  <c r="U44" i="8"/>
  <c r="T44" i="8"/>
  <c r="E106" i="8"/>
  <c r="X62" i="8"/>
  <c r="W62" i="8"/>
  <c r="U62" i="8"/>
  <c r="T62" i="8"/>
  <c r="S62" i="8"/>
  <c r="X49" i="8"/>
  <c r="W49" i="8"/>
  <c r="U49" i="8"/>
  <c r="T49" i="8"/>
  <c r="S49" i="8"/>
  <c r="C106" i="8"/>
  <c r="J91" i="8" l="1"/>
  <c r="J94" i="8"/>
  <c r="N96" i="8"/>
  <c r="J95" i="8"/>
  <c r="V62" i="8"/>
  <c r="N91" i="8"/>
  <c r="I105" i="8"/>
  <c r="J105" i="8" s="1"/>
  <c r="U105" i="8" s="1"/>
  <c r="U106" i="8" s="1"/>
  <c r="I103" i="8"/>
  <c r="J103" i="8" s="1"/>
  <c r="I104" i="8"/>
  <c r="J104" i="8" s="1"/>
  <c r="J96" i="8"/>
  <c r="J88" i="8"/>
  <c r="N94" i="8"/>
  <c r="M95" i="8"/>
  <c r="N95" i="8" s="1"/>
  <c r="J89" i="8"/>
  <c r="J90" i="8"/>
  <c r="N88" i="8"/>
  <c r="N89" i="8"/>
  <c r="AC17" i="8"/>
  <c r="AC13" i="8"/>
  <c r="Z13" i="8"/>
  <c r="AA13" i="8"/>
  <c r="AA18" i="8"/>
  <c r="Z48" i="8"/>
  <c r="Z18" i="8"/>
  <c r="AB18" i="8"/>
  <c r="Z44" i="8"/>
  <c r="Z17" i="8"/>
  <c r="AA17" i="8"/>
  <c r="Z49" i="8"/>
  <c r="AE43" i="8"/>
  <c r="AE55" i="8"/>
  <c r="AE69" i="8"/>
  <c r="AE64" i="8"/>
  <c r="AE44" i="8"/>
  <c r="AE62" i="8"/>
  <c r="AE57" i="8"/>
  <c r="AE61" i="8"/>
  <c r="AE71" i="8"/>
  <c r="AE49" i="8"/>
  <c r="AE68" i="8"/>
  <c r="AE54" i="8"/>
  <c r="AE63" i="8"/>
  <c r="AE56" i="8"/>
  <c r="AE70" i="8"/>
  <c r="AE48" i="8"/>
  <c r="AE67" i="8"/>
  <c r="AE72" i="8"/>
  <c r="AE105" i="8"/>
  <c r="AE24" i="8"/>
  <c r="AE23" i="8"/>
  <c r="M106" i="8"/>
  <c r="D106" i="8"/>
  <c r="K106" i="8"/>
  <c r="L106" i="8"/>
  <c r="G106" i="8"/>
  <c r="O106" i="8"/>
  <c r="H106" i="8"/>
  <c r="P106" i="8"/>
  <c r="Q106" i="8"/>
  <c r="V105" i="8"/>
  <c r="V106" i="8" s="1"/>
  <c r="W105" i="8"/>
  <c r="W106" i="8" s="1"/>
  <c r="X105" i="8"/>
  <c r="X106" i="8" s="1"/>
  <c r="AE22" i="8" l="1"/>
  <c r="I106" i="8"/>
  <c r="J106" i="8"/>
  <c r="N106" i="8"/>
  <c r="S105" i="8"/>
  <c r="S106" i="8" s="1"/>
  <c r="T105" i="8"/>
  <c r="T106" i="8" s="1"/>
  <c r="AE104" i="8" l="1"/>
  <c r="AA106" i="8"/>
  <c r="Y106" i="8"/>
  <c r="AE91" i="8"/>
  <c r="AE103" i="8"/>
  <c r="AC106" i="8"/>
  <c r="AB106" i="8"/>
  <c r="Z106" i="8"/>
  <c r="AI33" i="9" l="1"/>
  <c r="AG33" i="9"/>
  <c r="AH33" i="9"/>
  <c r="O33" i="9"/>
  <c r="AE33" i="9" s="1"/>
  <c r="K33" i="9"/>
  <c r="AA33" i="9" s="1"/>
  <c r="AF63" i="9"/>
  <c r="O63" i="9"/>
  <c r="AB63" i="9" s="1"/>
  <c r="K63" i="9"/>
  <c r="X63" i="9" s="1"/>
  <c r="Y63" i="9"/>
  <c r="AC63" i="9"/>
  <c r="AE63" i="9"/>
  <c r="AG63" i="9"/>
  <c r="Z63" i="9"/>
  <c r="AA63" i="9"/>
  <c r="AD63" i="9"/>
  <c r="AH63" i="9"/>
  <c r="AI63" i="9"/>
  <c r="H64" i="9"/>
  <c r="AI49" i="9"/>
  <c r="AH49" i="9"/>
  <c r="AG49" i="9"/>
  <c r="AE49" i="9"/>
  <c r="Q49" i="9"/>
  <c r="AD49" i="9" s="1"/>
  <c r="P49" i="9"/>
  <c r="AC49" i="9" s="1"/>
  <c r="N49" i="9"/>
  <c r="AA49" i="9" s="1"/>
  <c r="M49" i="9"/>
  <c r="Z49" i="9" s="1"/>
  <c r="L49" i="9"/>
  <c r="Y49" i="9" s="1"/>
  <c r="J49" i="9"/>
  <c r="I49" i="9"/>
  <c r="H49" i="9"/>
  <c r="C49" i="9"/>
  <c r="M48" i="9"/>
  <c r="N48" i="9"/>
  <c r="P48" i="9"/>
  <c r="N113" i="8"/>
  <c r="K49" i="9"/>
  <c r="X49" i="9" s="1"/>
  <c r="O49" i="9"/>
  <c r="AB49" i="9" s="1"/>
  <c r="Q59" i="9"/>
  <c r="P59" i="9"/>
  <c r="N59" i="9"/>
  <c r="M59" i="9"/>
  <c r="L59" i="9"/>
  <c r="J59" i="9"/>
  <c r="I59" i="9"/>
  <c r="AI58" i="9"/>
  <c r="AH58" i="9"/>
  <c r="AG58" i="9"/>
  <c r="AE58" i="9"/>
  <c r="Q58" i="9"/>
  <c r="AD58" i="9" s="1"/>
  <c r="P58" i="9"/>
  <c r="AC58" i="9" s="1"/>
  <c r="N58" i="9"/>
  <c r="AA58" i="9" s="1"/>
  <c r="M58" i="9"/>
  <c r="Z58" i="9" s="1"/>
  <c r="L58" i="9"/>
  <c r="Y58" i="9" s="1"/>
  <c r="J58" i="9"/>
  <c r="I58" i="9"/>
  <c r="Q57" i="9"/>
  <c r="P57" i="9"/>
  <c r="N57" i="9"/>
  <c r="M57" i="9"/>
  <c r="L57" i="9"/>
  <c r="J57" i="9"/>
  <c r="I57" i="9"/>
  <c r="Q56" i="9"/>
  <c r="P56" i="9"/>
  <c r="N56" i="9"/>
  <c r="M56" i="9"/>
  <c r="L56" i="9"/>
  <c r="J56" i="9"/>
  <c r="I56" i="9"/>
  <c r="Q55" i="9"/>
  <c r="P55" i="9"/>
  <c r="N55" i="9"/>
  <c r="M55" i="9"/>
  <c r="L55" i="9"/>
  <c r="J55" i="9"/>
  <c r="I55" i="9"/>
  <c r="H59" i="9"/>
  <c r="H58" i="9"/>
  <c r="H57" i="9"/>
  <c r="H56" i="9"/>
  <c r="H55" i="9"/>
  <c r="C59" i="9"/>
  <c r="C58" i="9"/>
  <c r="C57" i="9"/>
  <c r="C56" i="9"/>
  <c r="C55" i="9"/>
  <c r="AI51" i="9"/>
  <c r="AH51" i="9"/>
  <c r="AG51" i="9"/>
  <c r="Q51" i="9"/>
  <c r="AD51" i="9" s="1"/>
  <c r="P51" i="9"/>
  <c r="AC51" i="9" s="1"/>
  <c r="N51" i="9"/>
  <c r="AA51" i="9" s="1"/>
  <c r="M51" i="9"/>
  <c r="Z51" i="9" s="1"/>
  <c r="L51" i="9"/>
  <c r="Y51" i="9" s="1"/>
  <c r="J51" i="9"/>
  <c r="I51" i="9"/>
  <c r="H51" i="9"/>
  <c r="C51" i="9"/>
  <c r="AI50" i="9"/>
  <c r="AH50" i="9"/>
  <c r="AG50" i="9"/>
  <c r="AE50" i="9"/>
  <c r="Q50" i="9"/>
  <c r="AD50" i="9" s="1"/>
  <c r="P50" i="9"/>
  <c r="AC50" i="9" s="1"/>
  <c r="N50" i="9"/>
  <c r="AA50" i="9" s="1"/>
  <c r="M50" i="9"/>
  <c r="Z50" i="9" s="1"/>
  <c r="L50" i="9"/>
  <c r="Y50" i="9" s="1"/>
  <c r="J50" i="9"/>
  <c r="I50" i="9"/>
  <c r="H50" i="9"/>
  <c r="C50" i="9"/>
  <c r="Q48" i="9"/>
  <c r="J48" i="9"/>
  <c r="I48" i="9"/>
  <c r="H48" i="9"/>
  <c r="C48" i="9"/>
  <c r="L42" i="9"/>
  <c r="I42" i="9"/>
  <c r="P41" i="9"/>
  <c r="L41" i="9"/>
  <c r="J41" i="9"/>
  <c r="I41" i="9"/>
  <c r="H41" i="9"/>
  <c r="C41" i="9"/>
  <c r="P40" i="9"/>
  <c r="L40" i="9"/>
  <c r="I40" i="9"/>
  <c r="H40" i="9"/>
  <c r="C40" i="9"/>
  <c r="Q39" i="9"/>
  <c r="P39" i="9"/>
  <c r="N39" i="9"/>
  <c r="M39" i="9"/>
  <c r="L39" i="9"/>
  <c r="J39" i="9"/>
  <c r="I39" i="9"/>
  <c r="H39" i="9"/>
  <c r="C39" i="9"/>
  <c r="Q38" i="9"/>
  <c r="P38" i="9"/>
  <c r="L38" i="9"/>
  <c r="H38" i="9"/>
  <c r="C38" i="9"/>
  <c r="P37" i="9"/>
  <c r="L37" i="9"/>
  <c r="J37" i="9"/>
  <c r="H37" i="9"/>
  <c r="C37" i="9"/>
  <c r="P34" i="9"/>
  <c r="L34" i="9"/>
  <c r="H34" i="9"/>
  <c r="C34" i="9"/>
  <c r="Q32" i="9"/>
  <c r="P32" i="9"/>
  <c r="N32" i="9"/>
  <c r="M32" i="9"/>
  <c r="L32" i="9"/>
  <c r="J32" i="9"/>
  <c r="I32" i="9"/>
  <c r="H32" i="9"/>
  <c r="C32" i="9"/>
  <c r="Q31" i="9"/>
  <c r="P31" i="9"/>
  <c r="L31" i="9"/>
  <c r="I31" i="9"/>
  <c r="H31" i="9"/>
  <c r="C31" i="9"/>
  <c r="P27" i="9"/>
  <c r="L27" i="9"/>
  <c r="H27" i="9"/>
  <c r="C27" i="9"/>
  <c r="Q19" i="9"/>
  <c r="Q23" i="9" s="1"/>
  <c r="P19" i="9"/>
  <c r="P23" i="9" s="1"/>
  <c r="N19" i="9"/>
  <c r="N23" i="9" s="1"/>
  <c r="M19" i="9"/>
  <c r="M23" i="9" s="1"/>
  <c r="L19" i="9"/>
  <c r="L23" i="9" s="1"/>
  <c r="J19" i="9"/>
  <c r="J23" i="9" s="1"/>
  <c r="I19" i="9"/>
  <c r="I23" i="9" s="1"/>
  <c r="H19" i="9"/>
  <c r="H23" i="9" s="1"/>
  <c r="C19" i="9"/>
  <c r="C23" i="9" s="1"/>
  <c r="Q18" i="9"/>
  <c r="P18" i="9"/>
  <c r="N18" i="9"/>
  <c r="M18" i="9"/>
  <c r="L18" i="9"/>
  <c r="J18" i="9"/>
  <c r="I18" i="9"/>
  <c r="H18" i="9"/>
  <c r="C18" i="9"/>
  <c r="Q17" i="9"/>
  <c r="P17" i="9"/>
  <c r="N17" i="9"/>
  <c r="M17" i="9"/>
  <c r="L17" i="9"/>
  <c r="J17" i="9"/>
  <c r="I17" i="9"/>
  <c r="H17" i="9"/>
  <c r="C17" i="9"/>
  <c r="Q16" i="9"/>
  <c r="P16" i="9"/>
  <c r="N16" i="9"/>
  <c r="M16" i="9"/>
  <c r="L16" i="9"/>
  <c r="J16" i="9"/>
  <c r="I16" i="9"/>
  <c r="H16" i="9"/>
  <c r="C16" i="9"/>
  <c r="Q12" i="9"/>
  <c r="P12" i="9"/>
  <c r="N12" i="9"/>
  <c r="M12" i="9"/>
  <c r="L12" i="9"/>
  <c r="J12" i="9"/>
  <c r="I12" i="9"/>
  <c r="H12" i="9"/>
  <c r="C12" i="9"/>
  <c r="Q7" i="9"/>
  <c r="P7" i="9"/>
  <c r="Q6" i="9"/>
  <c r="P6" i="9"/>
  <c r="H4" i="9"/>
  <c r="H3" i="9"/>
  <c r="U4" i="9"/>
  <c r="T4" i="9"/>
  <c r="S4" i="9"/>
  <c r="R4" i="9"/>
  <c r="Q4" i="9"/>
  <c r="P4" i="9"/>
  <c r="O4" i="9"/>
  <c r="N4" i="9"/>
  <c r="M4" i="9"/>
  <c r="L4" i="9"/>
  <c r="K4" i="9"/>
  <c r="J4" i="9"/>
  <c r="I4" i="9"/>
  <c r="U3" i="9"/>
  <c r="T3" i="9"/>
  <c r="S3" i="9"/>
  <c r="R3" i="9"/>
  <c r="Q3" i="9"/>
  <c r="P3" i="9"/>
  <c r="O3" i="9"/>
  <c r="N3" i="9"/>
  <c r="M3" i="9"/>
  <c r="L3" i="9"/>
  <c r="K3" i="9"/>
  <c r="J3" i="9"/>
  <c r="I3" i="9"/>
  <c r="V4" i="9"/>
  <c r="V3" i="9"/>
  <c r="H4" i="10"/>
  <c r="I4" i="10"/>
  <c r="J4" i="10"/>
  <c r="K4" i="10"/>
  <c r="L4" i="10"/>
  <c r="W4" i="10" s="1"/>
  <c r="M4" i="10"/>
  <c r="X4" i="10" s="1"/>
  <c r="N4" i="10"/>
  <c r="Y4" i="10" s="1"/>
  <c r="O4" i="10"/>
  <c r="Z4" i="10" s="1"/>
  <c r="AF14" i="10"/>
  <c r="AC13" i="10"/>
  <c r="AE8" i="10"/>
  <c r="AF7" i="10"/>
  <c r="Y7" i="10"/>
  <c r="O39" i="9"/>
  <c r="K39" i="9"/>
  <c r="J42" i="9"/>
  <c r="C42" i="9"/>
  <c r="Q73" i="8"/>
  <c r="P73" i="8"/>
  <c r="Q66" i="9" s="1"/>
  <c r="O73" i="8"/>
  <c r="P66" i="9" s="1"/>
  <c r="M73" i="8"/>
  <c r="N66" i="9" s="1"/>
  <c r="L73" i="8"/>
  <c r="M66" i="9" s="1"/>
  <c r="K73" i="8"/>
  <c r="L66" i="9" s="1"/>
  <c r="I73" i="8"/>
  <c r="J66" i="9" s="1"/>
  <c r="H73" i="8"/>
  <c r="I66" i="9" s="1"/>
  <c r="G73" i="8"/>
  <c r="H66" i="9" s="1"/>
  <c r="E73" i="8"/>
  <c r="D73" i="8"/>
  <c r="C73" i="8"/>
  <c r="C66" i="9"/>
  <c r="AA7" i="10"/>
  <c r="X7" i="10"/>
  <c r="W7" i="10"/>
  <c r="AF4" i="10"/>
  <c r="AF3" i="10"/>
  <c r="U4" i="10"/>
  <c r="AE4" i="10" s="1"/>
  <c r="T4" i="10"/>
  <c r="AD4" i="10" s="1"/>
  <c r="S4" i="10"/>
  <c r="AC4" i="10" s="1"/>
  <c r="R4" i="10"/>
  <c r="Q4" i="10"/>
  <c r="AB4" i="10" s="1"/>
  <c r="P4" i="10"/>
  <c r="AA4" i="10" s="1"/>
  <c r="U3" i="10"/>
  <c r="AE3" i="10" s="1"/>
  <c r="T3" i="10"/>
  <c r="AD3" i="10" s="1"/>
  <c r="S3" i="10"/>
  <c r="AC3" i="10" s="1"/>
  <c r="R3" i="10"/>
  <c r="Q3" i="10"/>
  <c r="AB3" i="10" s="1"/>
  <c r="P3" i="10"/>
  <c r="AA3" i="10" s="1"/>
  <c r="O3" i="10"/>
  <c r="Z3" i="10" s="1"/>
  <c r="N3" i="10"/>
  <c r="Y3" i="10" s="1"/>
  <c r="M3" i="10"/>
  <c r="X3" i="10" s="1"/>
  <c r="L3" i="10"/>
  <c r="W3" i="10" s="1"/>
  <c r="K3" i="10"/>
  <c r="J3" i="10"/>
  <c r="I3" i="10"/>
  <c r="H3" i="10"/>
  <c r="M41" i="9"/>
  <c r="U94" i="8"/>
  <c r="S90" i="8"/>
  <c r="K27" i="9"/>
  <c r="K58" i="9"/>
  <c r="X58" i="9" s="1"/>
  <c r="O18" i="9"/>
  <c r="K19" i="9"/>
  <c r="K23" i="9" s="1"/>
  <c r="U18" i="8"/>
  <c r="X72" i="8"/>
  <c r="W72" i="8"/>
  <c r="U72" i="8"/>
  <c r="T72" i="8"/>
  <c r="S72" i="8"/>
  <c r="X71" i="8"/>
  <c r="W71" i="8"/>
  <c r="U71" i="8"/>
  <c r="T71" i="8"/>
  <c r="S71" i="8"/>
  <c r="X70" i="8"/>
  <c r="W70" i="8"/>
  <c r="U70" i="8"/>
  <c r="T70" i="8"/>
  <c r="S70" i="8"/>
  <c r="X67" i="8"/>
  <c r="W67" i="8"/>
  <c r="U67" i="8"/>
  <c r="T67" i="8"/>
  <c r="S67" i="8"/>
  <c r="X61" i="8"/>
  <c r="W61" i="8"/>
  <c r="U61" i="8"/>
  <c r="T61" i="8"/>
  <c r="S61" i="8"/>
  <c r="X57" i="8"/>
  <c r="W57" i="8"/>
  <c r="U57" i="8"/>
  <c r="T57" i="8"/>
  <c r="S57" i="8"/>
  <c r="X54" i="8"/>
  <c r="W54" i="8"/>
  <c r="U54" i="8"/>
  <c r="T54" i="8"/>
  <c r="S54" i="8"/>
  <c r="X53" i="8"/>
  <c r="W53" i="8"/>
  <c r="U53" i="8"/>
  <c r="T53" i="8"/>
  <c r="S53" i="8"/>
  <c r="X35" i="8"/>
  <c r="W35" i="8"/>
  <c r="U35" i="8"/>
  <c r="T35" i="8"/>
  <c r="S35" i="8"/>
  <c r="N28" i="8"/>
  <c r="J28" i="8"/>
  <c r="S91" i="8"/>
  <c r="V72" i="8"/>
  <c r="V71" i="8"/>
  <c r="V70" i="8"/>
  <c r="V67" i="8"/>
  <c r="V61" i="8"/>
  <c r="K57" i="9"/>
  <c r="V57" i="8"/>
  <c r="V54" i="8"/>
  <c r="K56" i="9"/>
  <c r="K59" i="9"/>
  <c r="K51" i="9"/>
  <c r="X51" i="9" s="1"/>
  <c r="K55" i="9"/>
  <c r="K50" i="9"/>
  <c r="X50" i="9" s="1"/>
  <c r="K48" i="9"/>
  <c r="S13" i="8"/>
  <c r="N10" i="8"/>
  <c r="T22" i="8"/>
  <c r="U17" i="8"/>
  <c r="J10" i="8"/>
  <c r="T28" i="8" l="1"/>
  <c r="Y28" i="8"/>
  <c r="Y10" i="8"/>
  <c r="V10" i="8"/>
  <c r="X10" i="8"/>
  <c r="W10" i="8"/>
  <c r="AB10" i="8"/>
  <c r="AA10" i="8"/>
  <c r="Z10" i="8"/>
  <c r="AC10" i="8"/>
  <c r="AA28" i="8"/>
  <c r="AB28" i="8"/>
  <c r="Z28" i="8"/>
  <c r="AC28" i="8"/>
  <c r="AB33" i="9"/>
  <c r="AC33" i="9"/>
  <c r="AD33" i="9"/>
  <c r="X33" i="9"/>
  <c r="AF33" i="9"/>
  <c r="Y33" i="9"/>
  <c r="Z33" i="9"/>
  <c r="V13" i="8"/>
  <c r="V28" i="8"/>
  <c r="V52" i="9"/>
  <c r="AE53" i="8"/>
  <c r="AA39" i="9"/>
  <c r="J113" i="8"/>
  <c r="T113" i="8" s="1"/>
  <c r="Q52" i="9"/>
  <c r="U52" i="9"/>
  <c r="K52" i="9"/>
  <c r="AE39" i="9"/>
  <c r="X39" i="9"/>
  <c r="Y39" i="9"/>
  <c r="Z39" i="9"/>
  <c r="AE32" i="8"/>
  <c r="AB39" i="9"/>
  <c r="AC39" i="9"/>
  <c r="H67" i="9"/>
  <c r="AD39" i="9"/>
  <c r="T94" i="8"/>
  <c r="N52" i="9"/>
  <c r="R52" i="9"/>
  <c r="O59" i="9"/>
  <c r="M52" i="9"/>
  <c r="H52" i="9"/>
  <c r="J52" i="9"/>
  <c r="I52" i="9"/>
  <c r="AE51" i="9"/>
  <c r="P52" i="9"/>
  <c r="T52" i="9"/>
  <c r="AF50" i="9"/>
  <c r="AF49" i="9"/>
  <c r="AE18" i="9"/>
  <c r="AE35" i="8"/>
  <c r="T13" i="8"/>
  <c r="K18" i="9"/>
  <c r="S17" i="8"/>
  <c r="O17" i="9"/>
  <c r="T18" i="8"/>
  <c r="AB18" i="9"/>
  <c r="X19" i="9"/>
  <c r="AC18" i="9"/>
  <c r="Y19" i="9"/>
  <c r="K16" i="9"/>
  <c r="AD18" i="9"/>
  <c r="Z19" i="9"/>
  <c r="K17" i="9"/>
  <c r="O19" i="9"/>
  <c r="AA19" i="9"/>
  <c r="L48" i="9"/>
  <c r="L52" i="9" s="1"/>
  <c r="W113" i="8"/>
  <c r="Z113" i="8"/>
  <c r="AF51" i="9"/>
  <c r="M27" i="9"/>
  <c r="P42" i="9"/>
  <c r="S22" i="8"/>
  <c r="K12" i="9"/>
  <c r="O16" i="9"/>
  <c r="I38" i="9"/>
  <c r="O50" i="9"/>
  <c r="AB50" i="9" s="1"/>
  <c r="O57" i="9"/>
  <c r="AF58" i="9"/>
  <c r="M37" i="9"/>
  <c r="M40" i="9"/>
  <c r="V18" i="8"/>
  <c r="U22" i="8"/>
  <c r="X13" i="8"/>
  <c r="W13" i="8"/>
  <c r="V53" i="8"/>
  <c r="O56" i="9"/>
  <c r="O58" i="9"/>
  <c r="AB58" i="9" s="1"/>
  <c r="X22" i="8"/>
  <c r="O48" i="9"/>
  <c r="S28" i="8"/>
  <c r="K32" i="9"/>
  <c r="Q34" i="9"/>
  <c r="AA113" i="8"/>
  <c r="Q40" i="9"/>
  <c r="T91" i="8"/>
  <c r="W18" i="8"/>
  <c r="V22" i="8"/>
  <c r="U28" i="8"/>
  <c r="M38" i="9"/>
  <c r="Q27" i="9"/>
  <c r="Q41" i="9"/>
  <c r="AB113" i="8"/>
  <c r="X18" i="8"/>
  <c r="W22" i="8"/>
  <c r="M31" i="9"/>
  <c r="N34" i="9"/>
  <c r="W17" i="8"/>
  <c r="V113" i="8"/>
  <c r="O12" i="9"/>
  <c r="X113" i="8"/>
  <c r="O32" i="9"/>
  <c r="X28" i="8"/>
  <c r="W28" i="8"/>
  <c r="X17" i="8"/>
  <c r="V17" i="8"/>
  <c r="K38" i="9"/>
  <c r="U13" i="8"/>
  <c r="Y113" i="8"/>
  <c r="O55" i="9"/>
  <c r="S89" i="8"/>
  <c r="T17" i="8"/>
  <c r="I27" i="9"/>
  <c r="J38" i="9"/>
  <c r="T89" i="8"/>
  <c r="J27" i="9"/>
  <c r="I34" i="9"/>
  <c r="S18" i="8"/>
  <c r="K41" i="9"/>
  <c r="X41" i="9" s="1"/>
  <c r="H42" i="9"/>
  <c r="T90" i="8"/>
  <c r="S94" i="8"/>
  <c r="I37" i="9"/>
  <c r="Q37" i="9"/>
  <c r="M34" i="9"/>
  <c r="O51" i="9"/>
  <c r="AB51" i="9" s="1"/>
  <c r="P8" i="9"/>
  <c r="AD13" i="10"/>
  <c r="AC14" i="10"/>
  <c r="AD14" i="10"/>
  <c r="AE13" i="10"/>
  <c r="AC8" i="10"/>
  <c r="AF8" i="10"/>
  <c r="AF13" i="10"/>
  <c r="AD8" i="10"/>
  <c r="AD7" i="10"/>
  <c r="AE7" i="10"/>
  <c r="AC7" i="10"/>
  <c r="AE14" i="10"/>
  <c r="Z7" i="10"/>
  <c r="AB7" i="10"/>
  <c r="T73" i="8"/>
  <c r="J73" i="8"/>
  <c r="K66" i="9" s="1"/>
  <c r="V73" i="8"/>
  <c r="X73" i="8"/>
  <c r="Y73" i="8"/>
  <c r="Z73" i="8"/>
  <c r="AB73" i="8"/>
  <c r="U73" i="8"/>
  <c r="N73" i="8"/>
  <c r="O66" i="9" s="1"/>
  <c r="W73" i="8"/>
  <c r="AA73" i="8"/>
  <c r="S73" i="8"/>
  <c r="AC73" i="8"/>
  <c r="J31" i="9"/>
  <c r="J34" i="9"/>
  <c r="W94" i="8"/>
  <c r="U90" i="8"/>
  <c r="AE18" i="8" l="1"/>
  <c r="U113" i="8"/>
  <c r="S113" i="8"/>
  <c r="Z41" i="9"/>
  <c r="V91" i="8"/>
  <c r="Z27" i="9"/>
  <c r="AI39" i="9"/>
  <c r="Z38" i="9"/>
  <c r="AE28" i="8"/>
  <c r="Y41" i="9"/>
  <c r="AH39" i="9"/>
  <c r="AF39" i="9"/>
  <c r="Y38" i="9"/>
  <c r="AG39" i="9"/>
  <c r="X38" i="9"/>
  <c r="Y27" i="9"/>
  <c r="X27" i="9"/>
  <c r="S52" i="9"/>
  <c r="O52" i="9"/>
  <c r="X32" i="9"/>
  <c r="AA32" i="9"/>
  <c r="Z32" i="9"/>
  <c r="Y32" i="9"/>
  <c r="AE32" i="9"/>
  <c r="AB32" i="9"/>
  <c r="AD32" i="9"/>
  <c r="AC32" i="9"/>
  <c r="AI32" i="9"/>
  <c r="AF32" i="9"/>
  <c r="AH32" i="9"/>
  <c r="AG32" i="9"/>
  <c r="AI19" i="9"/>
  <c r="AH19" i="9"/>
  <c r="AG19" i="9"/>
  <c r="AF19" i="9"/>
  <c r="O23" i="9"/>
  <c r="AE19" i="9"/>
  <c r="AD19" i="9"/>
  <c r="AC19" i="9"/>
  <c r="AB19" i="9"/>
  <c r="AE17" i="9"/>
  <c r="AD17" i="9"/>
  <c r="AC17" i="9"/>
  <c r="AB17" i="9"/>
  <c r="AI17" i="9"/>
  <c r="AH17" i="9"/>
  <c r="AG17" i="9"/>
  <c r="AF17" i="9"/>
  <c r="AA17" i="9"/>
  <c r="Z17" i="9"/>
  <c r="Y17" i="9"/>
  <c r="X17" i="9"/>
  <c r="AI16" i="9"/>
  <c r="AH16" i="9"/>
  <c r="AG16" i="9"/>
  <c r="AF16" i="9"/>
  <c r="AA18" i="9"/>
  <c r="Z18" i="9"/>
  <c r="Y18" i="9"/>
  <c r="X18" i="9"/>
  <c r="AI18" i="9"/>
  <c r="AK18" i="9" s="1"/>
  <c r="AH18" i="9"/>
  <c r="AG18" i="9"/>
  <c r="AF18" i="9"/>
  <c r="AE16" i="9"/>
  <c r="AD16" i="9"/>
  <c r="AC16" i="9"/>
  <c r="AB16" i="9"/>
  <c r="AA16" i="9"/>
  <c r="Z16" i="9"/>
  <c r="Y16" i="9"/>
  <c r="X16" i="9"/>
  <c r="N27" i="9"/>
  <c r="AA27" i="9" s="1"/>
  <c r="X91" i="8"/>
  <c r="U96" i="8"/>
  <c r="W88" i="8"/>
  <c r="N41" i="9"/>
  <c r="AB110" i="8"/>
  <c r="Q42" i="9"/>
  <c r="K42" i="9"/>
  <c r="N31" i="9"/>
  <c r="K37" i="9"/>
  <c r="W95" i="8"/>
  <c r="M42" i="9"/>
  <c r="V95" i="8"/>
  <c r="AI40" i="9"/>
  <c r="N38" i="9"/>
  <c r="AA38" i="9" s="1"/>
  <c r="U91" i="8"/>
  <c r="V94" i="8"/>
  <c r="J40" i="9"/>
  <c r="U88" i="8"/>
  <c r="O37" i="9"/>
  <c r="V88" i="8"/>
  <c r="X88" i="8"/>
  <c r="N37" i="9"/>
  <c r="S95" i="8"/>
  <c r="O38" i="9"/>
  <c r="AE38" i="9" s="1"/>
  <c r="X94" i="8"/>
  <c r="U89" i="8"/>
  <c r="N40" i="9"/>
  <c r="X95" i="8"/>
  <c r="W91" i="8"/>
  <c r="AE90" i="8"/>
  <c r="V89" i="8"/>
  <c r="AE94" i="8" l="1"/>
  <c r="AE88" i="8"/>
  <c r="AE96" i="8"/>
  <c r="T95" i="8"/>
  <c r="V96" i="8"/>
  <c r="T88" i="8"/>
  <c r="AA41" i="9"/>
  <c r="AI38" i="9"/>
  <c r="AG38" i="9"/>
  <c r="AH40" i="9"/>
  <c r="AH38" i="9"/>
  <c r="AG40" i="9"/>
  <c r="AF40" i="9"/>
  <c r="AD38" i="9"/>
  <c r="AB38" i="9"/>
  <c r="AF38" i="9"/>
  <c r="AC38" i="9"/>
  <c r="AE95" i="8"/>
  <c r="W90" i="8"/>
  <c r="S88" i="8"/>
  <c r="X90" i="8"/>
  <c r="Z42" i="9"/>
  <c r="Y42" i="9"/>
  <c r="X42" i="9"/>
  <c r="W89" i="8"/>
  <c r="V90" i="8"/>
  <c r="AK17" i="9"/>
  <c r="X89" i="8"/>
  <c r="W96" i="8"/>
  <c r="X96" i="8"/>
  <c r="O40" i="9"/>
  <c r="AC40" i="9" s="1"/>
  <c r="AI31" i="9"/>
  <c r="K40" i="9"/>
  <c r="AA40" i="9" s="1"/>
  <c r="N42" i="9"/>
  <c r="AA42" i="9" s="1"/>
  <c r="O41" i="9"/>
  <c r="AE41" i="9" s="1"/>
  <c r="O27" i="9"/>
  <c r="U95" i="8"/>
  <c r="K34" i="9"/>
  <c r="S96" i="8"/>
  <c r="O34" i="9"/>
  <c r="O31" i="9"/>
  <c r="AD31" i="9" s="1"/>
  <c r="K31" i="9"/>
  <c r="T96" i="8"/>
  <c r="AC41" i="9" l="1"/>
  <c r="AF31" i="9"/>
  <c r="AD41" i="9"/>
  <c r="AH31" i="9"/>
  <c r="AI41" i="9"/>
  <c r="AG41" i="9"/>
  <c r="AF41" i="9"/>
  <c r="AH41" i="9"/>
  <c r="AB41" i="9"/>
  <c r="AA31" i="9"/>
  <c r="X31" i="9"/>
  <c r="Y31" i="9"/>
  <c r="Z31" i="9"/>
  <c r="AD40" i="9"/>
  <c r="Y40" i="9"/>
  <c r="X40" i="9"/>
  <c r="AE31" i="9"/>
  <c r="AB31" i="9"/>
  <c r="Z40" i="9"/>
  <c r="AE40" i="9"/>
  <c r="AB40" i="9"/>
  <c r="AG31" i="9"/>
  <c r="AC31" i="9"/>
  <c r="AE89" i="8"/>
  <c r="AI34" i="9"/>
  <c r="AH34" i="9"/>
  <c r="AG34" i="9"/>
  <c r="AF34" i="9"/>
  <c r="AH27" i="9"/>
  <c r="AG27" i="9"/>
  <c r="AF27" i="9"/>
  <c r="AI27" i="9"/>
  <c r="AD34" i="9"/>
  <c r="AC34" i="9"/>
  <c r="AB34" i="9"/>
  <c r="AE34" i="9"/>
  <c r="AA34" i="9"/>
  <c r="Z34" i="9"/>
  <c r="Y34" i="9"/>
  <c r="X34" i="9"/>
  <c r="AE27" i="9"/>
  <c r="AD27" i="9"/>
  <c r="AC27" i="9"/>
  <c r="AB27" i="9"/>
  <c r="O42" i="9"/>
  <c r="AH42" i="9" l="1"/>
  <c r="AG42" i="9"/>
  <c r="AF42" i="9"/>
  <c r="AI42" i="9"/>
  <c r="AE42" i="9"/>
  <c r="AD42" i="9"/>
  <c r="AC42" i="9"/>
  <c r="AB42" i="9"/>
  <c r="S64" i="9"/>
  <c r="K64" i="9"/>
  <c r="J64" i="9"/>
  <c r="I64" i="9"/>
  <c r="F64" i="9"/>
  <c r="E64" i="9"/>
  <c r="D64" i="9"/>
  <c r="C64" i="9"/>
  <c r="Q58" i="8"/>
  <c r="AI59" i="9"/>
  <c r="AH59" i="9"/>
  <c r="AF59" i="9"/>
  <c r="AE59" i="9"/>
  <c r="AD59" i="9"/>
  <c r="AB59" i="9"/>
  <c r="AA59" i="9"/>
  <c r="Z59" i="9"/>
  <c r="X59" i="9"/>
  <c r="AI57" i="9"/>
  <c r="AH57" i="9"/>
  <c r="AF57" i="9"/>
  <c r="AE57" i="9"/>
  <c r="AD57" i="9"/>
  <c r="AB57" i="9"/>
  <c r="AA57" i="9"/>
  <c r="Z57" i="9"/>
  <c r="X57" i="9"/>
  <c r="AI56" i="9"/>
  <c r="AH56" i="9"/>
  <c r="AF56" i="9"/>
  <c r="AE56" i="9"/>
  <c r="AD56" i="9"/>
  <c r="AB56" i="9"/>
  <c r="AA56" i="9"/>
  <c r="Z56" i="9"/>
  <c r="X56" i="9"/>
  <c r="AI55" i="9"/>
  <c r="AH55" i="9"/>
  <c r="AF55" i="9"/>
  <c r="AE55" i="9"/>
  <c r="AD55" i="9"/>
  <c r="AB55" i="9"/>
  <c r="AA55" i="9"/>
  <c r="Z55" i="9"/>
  <c r="X55" i="9"/>
  <c r="AI48" i="9"/>
  <c r="AI52" i="9" s="1"/>
  <c r="AH48" i="9"/>
  <c r="AH52" i="9" s="1"/>
  <c r="AF48" i="9"/>
  <c r="AF52" i="9" s="1"/>
  <c r="AE48" i="9"/>
  <c r="AE52" i="9" s="1"/>
  <c r="AD48" i="9"/>
  <c r="AD52" i="9" s="1"/>
  <c r="AB48" i="9"/>
  <c r="AB52" i="9" s="1"/>
  <c r="AA48" i="9"/>
  <c r="AA52" i="9" s="1"/>
  <c r="Z48" i="9"/>
  <c r="Z52" i="9" s="1"/>
  <c r="X48" i="9"/>
  <c r="X52" i="9" s="1"/>
  <c r="AI4" i="9"/>
  <c r="AH4" i="9"/>
  <c r="AG4" i="9"/>
  <c r="AF4" i="9"/>
  <c r="AE4" i="9"/>
  <c r="AD4" i="9"/>
  <c r="AC4" i="9"/>
  <c r="AB4" i="9"/>
  <c r="AA4" i="9"/>
  <c r="Z4" i="9"/>
  <c r="Y4" i="9"/>
  <c r="X4" i="9"/>
  <c r="AI3" i="9"/>
  <c r="AH3" i="9"/>
  <c r="AG3" i="9"/>
  <c r="AF3" i="9"/>
  <c r="AE3" i="9"/>
  <c r="AD3" i="9"/>
  <c r="AC3" i="9"/>
  <c r="AB3" i="9"/>
  <c r="AA3" i="9"/>
  <c r="Z3" i="9"/>
  <c r="Y3" i="9"/>
  <c r="X3" i="9"/>
  <c r="F4" i="9"/>
  <c r="E4" i="9"/>
  <c r="D4" i="9"/>
  <c r="C4" i="9"/>
  <c r="F3" i="9"/>
  <c r="E3" i="9"/>
  <c r="D3" i="9"/>
  <c r="C3" i="9"/>
  <c r="X14" i="10"/>
  <c r="Y13" i="10"/>
  <c r="AB14" i="10"/>
  <c r="AA13" i="10"/>
  <c r="S15" i="10"/>
  <c r="U15" i="10"/>
  <c r="T15" i="10"/>
  <c r="R15" i="10"/>
  <c r="Q15" i="10"/>
  <c r="P15" i="10"/>
  <c r="F15" i="10"/>
  <c r="E15" i="10"/>
  <c r="D15" i="10"/>
  <c r="Y14" i="10"/>
  <c r="AB13" i="10"/>
  <c r="Z13" i="10"/>
  <c r="N11" i="8"/>
  <c r="O8" i="9" s="1"/>
  <c r="V35" i="8"/>
  <c r="J11" i="8"/>
  <c r="K8" i="9" s="1"/>
  <c r="AG48" i="9"/>
  <c r="AG52" i="9" s="1"/>
  <c r="Y57" i="9"/>
  <c r="AB66" i="9"/>
  <c r="P45" i="8"/>
  <c r="P50" i="8" s="1"/>
  <c r="O45" i="8"/>
  <c r="O50" i="8" s="1"/>
  <c r="K45" i="8"/>
  <c r="K50" i="8" s="1"/>
  <c r="Q82" i="8"/>
  <c r="P82" i="8"/>
  <c r="O82" i="8"/>
  <c r="N82" i="8"/>
  <c r="M82" i="8"/>
  <c r="L82" i="8"/>
  <c r="K82" i="8"/>
  <c r="J82" i="8"/>
  <c r="I82" i="8"/>
  <c r="H82" i="8"/>
  <c r="Q81" i="8"/>
  <c r="P81" i="8"/>
  <c r="O81" i="8"/>
  <c r="N81" i="8"/>
  <c r="M81" i="8"/>
  <c r="L81" i="8"/>
  <c r="K81" i="8"/>
  <c r="J81" i="8"/>
  <c r="I81" i="8"/>
  <c r="H81" i="8"/>
  <c r="AF66" i="9"/>
  <c r="AE66" i="9"/>
  <c r="AD66" i="9"/>
  <c r="AA66" i="9"/>
  <c r="Z66" i="9"/>
  <c r="Y66" i="9"/>
  <c r="X66" i="9"/>
  <c r="I58" i="8"/>
  <c r="H58" i="8"/>
  <c r="G45" i="8"/>
  <c r="G50" i="8" s="1"/>
  <c r="H45" i="8"/>
  <c r="H50" i="8" s="1"/>
  <c r="I45" i="8"/>
  <c r="I50" i="8" s="1"/>
  <c r="L45" i="8"/>
  <c r="L50" i="8" s="1"/>
  <c r="M45" i="8"/>
  <c r="M50" i="8" s="1"/>
  <c r="Q45" i="8"/>
  <c r="Q50" i="8" s="1"/>
  <c r="Q40" i="8"/>
  <c r="P40" i="8"/>
  <c r="O40" i="8"/>
  <c r="N40" i="8"/>
  <c r="M40" i="8"/>
  <c r="L40" i="8"/>
  <c r="K40" i="8"/>
  <c r="J40" i="8"/>
  <c r="I40" i="8"/>
  <c r="H40" i="8"/>
  <c r="Q39" i="8"/>
  <c r="P39" i="8"/>
  <c r="O39" i="8"/>
  <c r="N39" i="8"/>
  <c r="M39" i="8"/>
  <c r="L39" i="8"/>
  <c r="K39" i="8"/>
  <c r="J39" i="8"/>
  <c r="I39" i="8"/>
  <c r="H39" i="8"/>
  <c r="G40" i="8"/>
  <c r="G39" i="8"/>
  <c r="E40" i="8"/>
  <c r="D40" i="8"/>
  <c r="C40" i="8"/>
  <c r="E39" i="8"/>
  <c r="D39" i="8"/>
  <c r="C39" i="8"/>
  <c r="Q11" i="8"/>
  <c r="Q14" i="8" s="1"/>
  <c r="P11" i="8"/>
  <c r="P14" i="8" s="1"/>
  <c r="O11" i="8"/>
  <c r="O14" i="8" s="1"/>
  <c r="M11" i="8"/>
  <c r="L11" i="8"/>
  <c r="K11" i="8"/>
  <c r="I11" i="8"/>
  <c r="H11" i="8"/>
  <c r="G11" i="8"/>
  <c r="E4" i="10"/>
  <c r="D4" i="10"/>
  <c r="C4" i="10"/>
  <c r="E3" i="10"/>
  <c r="D3" i="10"/>
  <c r="C3" i="10"/>
  <c r="F4" i="10"/>
  <c r="F3" i="10"/>
  <c r="X110" i="8" l="1"/>
  <c r="Y110" i="8"/>
  <c r="U110" i="8"/>
  <c r="G14" i="8"/>
  <c r="G15" i="8" s="1"/>
  <c r="H8" i="9"/>
  <c r="H13" i="9" s="1"/>
  <c r="Q65" i="8"/>
  <c r="H14" i="8"/>
  <c r="H15" i="8" s="1"/>
  <c r="I8" i="9"/>
  <c r="S110" i="8"/>
  <c r="T110" i="8"/>
  <c r="K14" i="8"/>
  <c r="K19" i="8" s="1"/>
  <c r="K25" i="8" s="1"/>
  <c r="K26" i="8" s="1"/>
  <c r="L8" i="9"/>
  <c r="H65" i="8"/>
  <c r="I61" i="9" s="1"/>
  <c r="I60" i="9"/>
  <c r="L14" i="8"/>
  <c r="L15" i="8" s="1"/>
  <c r="M8" i="9"/>
  <c r="I65" i="8"/>
  <c r="J61" i="9" s="1"/>
  <c r="J60" i="9"/>
  <c r="M14" i="8"/>
  <c r="M15" i="8" s="1"/>
  <c r="N8" i="9"/>
  <c r="AA110" i="8"/>
  <c r="Z110" i="8"/>
  <c r="I14" i="8"/>
  <c r="I19" i="8" s="1"/>
  <c r="I25" i="8" s="1"/>
  <c r="J8" i="9"/>
  <c r="W110" i="8"/>
  <c r="V110" i="8"/>
  <c r="N64" i="9"/>
  <c r="D52" i="9"/>
  <c r="M64" i="9"/>
  <c r="E52" i="9"/>
  <c r="U64" i="9"/>
  <c r="C52" i="9"/>
  <c r="O64" i="9"/>
  <c r="Q64" i="9"/>
  <c r="R64" i="9"/>
  <c r="AE64" i="9"/>
  <c r="AE67" i="9" s="1"/>
  <c r="F52" i="9"/>
  <c r="X64" i="9"/>
  <c r="X67" i="9" s="1"/>
  <c r="AF64" i="9"/>
  <c r="AF67" i="9" s="1"/>
  <c r="AB64" i="9"/>
  <c r="AB67" i="9" s="1"/>
  <c r="AH64" i="9"/>
  <c r="AD64" i="9"/>
  <c r="AD67" i="9" s="1"/>
  <c r="AA64" i="9"/>
  <c r="AA67" i="9" s="1"/>
  <c r="Z64" i="9"/>
  <c r="Z67" i="9" s="1"/>
  <c r="L64" i="9"/>
  <c r="Y64" i="9"/>
  <c r="Y67" i="9" s="1"/>
  <c r="P64" i="9"/>
  <c r="AC64" i="9"/>
  <c r="O58" i="8"/>
  <c r="L58" i="8"/>
  <c r="K58" i="8"/>
  <c r="L60" i="9" s="1"/>
  <c r="P58" i="8"/>
  <c r="Q60" i="9" s="1"/>
  <c r="E58" i="8"/>
  <c r="M58" i="8"/>
  <c r="X12" i="9"/>
  <c r="AC56" i="9"/>
  <c r="AA23" i="9"/>
  <c r="Y55" i="9"/>
  <c r="AG55" i="9"/>
  <c r="Y59" i="9"/>
  <c r="AG59" i="9"/>
  <c r="AF12" i="9"/>
  <c r="AC57" i="9"/>
  <c r="Y56" i="9"/>
  <c r="AG56" i="9"/>
  <c r="AC55" i="9"/>
  <c r="AC59" i="9"/>
  <c r="AB12" i="9"/>
  <c r="AI12" i="9"/>
  <c r="AG57" i="9"/>
  <c r="W14" i="10"/>
  <c r="W13" i="10"/>
  <c r="X13" i="10"/>
  <c r="X15" i="10" s="1"/>
  <c r="X16" i="10" s="1"/>
  <c r="AE15" i="10"/>
  <c r="AF15" i="10"/>
  <c r="Z14" i="10"/>
  <c r="Z15" i="10" s="1"/>
  <c r="Z16" i="10" s="1"/>
  <c r="AF7" i="9"/>
  <c r="AA14" i="10"/>
  <c r="AA15" i="10" s="1"/>
  <c r="AA16" i="10" s="1"/>
  <c r="AF6" i="9"/>
  <c r="AH7" i="9"/>
  <c r="AI6" i="9"/>
  <c r="Y15" i="10"/>
  <c r="Y16" i="10" s="1"/>
  <c r="AB15" i="10"/>
  <c r="AB16" i="10" s="1"/>
  <c r="J14" i="8"/>
  <c r="J15" i="8" s="1"/>
  <c r="N14" i="8"/>
  <c r="N15" i="8" s="1"/>
  <c r="AC66" i="9"/>
  <c r="N45" i="8"/>
  <c r="N50" i="8" s="1"/>
  <c r="N58" i="8"/>
  <c r="J45" i="8"/>
  <c r="J50" i="8" s="1"/>
  <c r="J58" i="8"/>
  <c r="P15" i="8"/>
  <c r="P19" i="8"/>
  <c r="Q15" i="8"/>
  <c r="Q19" i="8"/>
  <c r="Q25" i="8" s="1"/>
  <c r="O15" i="8"/>
  <c r="O19" i="8"/>
  <c r="O25" i="8" s="1"/>
  <c r="Y8" i="9" l="1"/>
  <c r="G19" i="8"/>
  <c r="G25" i="8" s="1"/>
  <c r="G26" i="8" s="1"/>
  <c r="X8" i="9"/>
  <c r="AA8" i="9"/>
  <c r="L19" i="8"/>
  <c r="L25" i="8" s="1"/>
  <c r="I74" i="8"/>
  <c r="I76" i="8" s="1"/>
  <c r="Q74" i="8"/>
  <c r="Q76" i="8" s="1"/>
  <c r="H74" i="8"/>
  <c r="H76" i="8" s="1"/>
  <c r="K20" i="8"/>
  <c r="K29" i="8"/>
  <c r="K85" i="8" s="1"/>
  <c r="K97" i="8" s="1"/>
  <c r="K114" i="8" s="1"/>
  <c r="AB8" i="9"/>
  <c r="K15" i="8"/>
  <c r="M19" i="8"/>
  <c r="M25" i="8" s="1"/>
  <c r="Z8" i="9"/>
  <c r="H19" i="8"/>
  <c r="H25" i="8" s="1"/>
  <c r="I15" i="8"/>
  <c r="AF61" i="9"/>
  <c r="AF60" i="9"/>
  <c r="O65" i="8"/>
  <c r="P61" i="9" s="1"/>
  <c r="AC61" i="9" s="1"/>
  <c r="P60" i="9"/>
  <c r="AC60" i="9" s="1"/>
  <c r="M65" i="8"/>
  <c r="N61" i="9" s="1"/>
  <c r="AA61" i="9" s="1"/>
  <c r="N60" i="9"/>
  <c r="AA60" i="9" s="1"/>
  <c r="E65" i="8"/>
  <c r="L65" i="8"/>
  <c r="M61" i="9" s="1"/>
  <c r="Z61" i="9" s="1"/>
  <c r="M60" i="9"/>
  <c r="Z60" i="9" s="1"/>
  <c r="N65" i="8"/>
  <c r="O61" i="9" s="1"/>
  <c r="AB61" i="9" s="1"/>
  <c r="O60" i="9"/>
  <c r="AB60" i="9" s="1"/>
  <c r="H20" i="9"/>
  <c r="H14" i="9"/>
  <c r="J65" i="8"/>
  <c r="K61" i="9" s="1"/>
  <c r="X61" i="9" s="1"/>
  <c r="K60" i="9"/>
  <c r="X60" i="9" s="1"/>
  <c r="AC15" i="10"/>
  <c r="AH6" i="9"/>
  <c r="AH8" i="9" s="1"/>
  <c r="AI7" i="9"/>
  <c r="W15" i="10"/>
  <c r="W16" i="10" s="1"/>
  <c r="AG7" i="9"/>
  <c r="AD6" i="9"/>
  <c r="AE7" i="9"/>
  <c r="AC7" i="9"/>
  <c r="AG64" i="9"/>
  <c r="T64" i="9"/>
  <c r="AC6" i="9"/>
  <c r="AC8" i="9" s="1"/>
  <c r="AG6" i="9"/>
  <c r="AE6" i="9"/>
  <c r="AD7" i="9"/>
  <c r="AD15" i="10"/>
  <c r="AF8" i="9"/>
  <c r="AF13" i="9" s="1"/>
  <c r="AF14" i="9" s="1"/>
  <c r="AI64" i="9"/>
  <c r="V64" i="9"/>
  <c r="AC67" i="9"/>
  <c r="Y37" i="9"/>
  <c r="X37" i="9"/>
  <c r="Y48" i="9"/>
  <c r="Y52" i="9" s="1"/>
  <c r="AC48" i="9"/>
  <c r="AC52" i="9" s="1"/>
  <c r="AI60" i="9"/>
  <c r="AE60" i="9"/>
  <c r="AD60" i="9"/>
  <c r="K65" i="8"/>
  <c r="P65" i="8"/>
  <c r="X23" i="9"/>
  <c r="AE12" i="9"/>
  <c r="Z23" i="9"/>
  <c r="AD12" i="9"/>
  <c r="AH12" i="9"/>
  <c r="AA12" i="9"/>
  <c r="Z12" i="9"/>
  <c r="Y23" i="9"/>
  <c r="AG12" i="9"/>
  <c r="AC12" i="9"/>
  <c r="AG60" i="9"/>
  <c r="Y12" i="9"/>
  <c r="Y60" i="9"/>
  <c r="P20" i="8"/>
  <c r="P25" i="8"/>
  <c r="J19" i="8"/>
  <c r="N19" i="8"/>
  <c r="Q20" i="8"/>
  <c r="O20" i="8"/>
  <c r="I20" i="8"/>
  <c r="G20" i="8" l="1"/>
  <c r="O74" i="8"/>
  <c r="O76" i="8" s="1"/>
  <c r="L20" i="8"/>
  <c r="M20" i="8"/>
  <c r="K36" i="8"/>
  <c r="N74" i="8"/>
  <c r="N76" i="8" s="1"/>
  <c r="M74" i="8"/>
  <c r="M76" i="8" s="1"/>
  <c r="L74" i="8"/>
  <c r="L76" i="8" s="1"/>
  <c r="J74" i="8"/>
  <c r="J76" i="8" s="1"/>
  <c r="K33" i="8"/>
  <c r="K30" i="8"/>
  <c r="H20" i="8"/>
  <c r="H21" i="9"/>
  <c r="H24" i="9"/>
  <c r="P74" i="8"/>
  <c r="P76" i="8" s="1"/>
  <c r="Q61" i="9"/>
  <c r="AD61" i="9" s="1"/>
  <c r="K74" i="8"/>
  <c r="K76" i="8" s="1"/>
  <c r="L61" i="9"/>
  <c r="Y61" i="9" s="1"/>
  <c r="AC13" i="9"/>
  <c r="AC14" i="9" s="1"/>
  <c r="AE8" i="9"/>
  <c r="AE13" i="9" s="1"/>
  <c r="AE14" i="9" s="1"/>
  <c r="AD8" i="9"/>
  <c r="AH9" i="9" s="1"/>
  <c r="Z13" i="9"/>
  <c r="Z14" i="9" s="1"/>
  <c r="AG8" i="9"/>
  <c r="AA13" i="9"/>
  <c r="AA14" i="9" s="1"/>
  <c r="AF9" i="9"/>
  <c r="AF20" i="9"/>
  <c r="AF21" i="9" s="1"/>
  <c r="AH37" i="9"/>
  <c r="AI37" i="9"/>
  <c r="AB37" i="9"/>
  <c r="AG37" i="9"/>
  <c r="Z37" i="9"/>
  <c r="AA37" i="9"/>
  <c r="AH13" i="9"/>
  <c r="AH14" i="9" s="1"/>
  <c r="AB9" i="9"/>
  <c r="AB13" i="9"/>
  <c r="AB14" i="9" s="1"/>
  <c r="X13" i="9"/>
  <c r="AE61" i="9"/>
  <c r="AI23" i="9"/>
  <c r="AE23" i="9"/>
  <c r="AC23" i="9"/>
  <c r="AD23" i="9"/>
  <c r="AB23" i="9"/>
  <c r="AF23" i="9"/>
  <c r="N20" i="8"/>
  <c r="N25" i="8"/>
  <c r="N29" i="8" s="1"/>
  <c r="J25" i="8"/>
  <c r="J29" i="8" s="1"/>
  <c r="J33" i="8" s="1"/>
  <c r="J20" i="8"/>
  <c r="Q29" i="8"/>
  <c r="Q85" i="8" s="1"/>
  <c r="Q26" i="8"/>
  <c r="P26" i="8"/>
  <c r="P29" i="8"/>
  <c r="P85" i="8" s="1"/>
  <c r="I29" i="8"/>
  <c r="I85" i="8" s="1"/>
  <c r="I26" i="8"/>
  <c r="M29" i="8"/>
  <c r="M85" i="8" s="1"/>
  <c r="M26" i="8"/>
  <c r="L29" i="8"/>
  <c r="L26" i="8"/>
  <c r="O29" i="8"/>
  <c r="O85" i="8" s="1"/>
  <c r="O26" i="8"/>
  <c r="H26" i="8"/>
  <c r="H29" i="8"/>
  <c r="H28" i="9" l="1"/>
  <c r="H25" i="9"/>
  <c r="I97" i="8"/>
  <c r="I114" i="8" s="1"/>
  <c r="AC9" i="9"/>
  <c r="AD9" i="9"/>
  <c r="AD13" i="9"/>
  <c r="AD14" i="9" s="1"/>
  <c r="Y13" i="9"/>
  <c r="Y14" i="9" s="1"/>
  <c r="AG9" i="9"/>
  <c r="AE9" i="9"/>
  <c r="AG13" i="9"/>
  <c r="AG20" i="9" s="1"/>
  <c r="AG21" i="9" s="1"/>
  <c r="O97" i="8"/>
  <c r="O114" i="8" s="1"/>
  <c r="P97" i="8"/>
  <c r="P114" i="8" s="1"/>
  <c r="Q97" i="8"/>
  <c r="Q114" i="8" s="1"/>
  <c r="M97" i="8"/>
  <c r="M114" i="8" s="1"/>
  <c r="L85" i="8"/>
  <c r="Z20" i="9"/>
  <c r="Z24" i="9" s="1"/>
  <c r="Z28" i="9" s="1"/>
  <c r="AF24" i="9"/>
  <c r="AF28" i="9" s="1"/>
  <c r="AE20" i="9"/>
  <c r="AE21" i="9" s="1"/>
  <c r="AF37" i="9"/>
  <c r="AH20" i="9"/>
  <c r="AH21" i="9" s="1"/>
  <c r="AA20" i="9"/>
  <c r="AA21" i="9" s="1"/>
  <c r="AB20" i="9"/>
  <c r="AB24" i="9" s="1"/>
  <c r="AB28" i="9" s="1"/>
  <c r="AC20" i="9"/>
  <c r="AC21" i="9" s="1"/>
  <c r="X20" i="9"/>
  <c r="X14" i="9"/>
  <c r="AH23" i="9"/>
  <c r="AG23" i="9"/>
  <c r="H85" i="8"/>
  <c r="J26" i="8"/>
  <c r="J30" i="8"/>
  <c r="J36" i="8"/>
  <c r="J85" i="8"/>
  <c r="N26" i="8"/>
  <c r="N33" i="8"/>
  <c r="N30" i="8"/>
  <c r="N36" i="8"/>
  <c r="L36" i="8"/>
  <c r="L33" i="8"/>
  <c r="L30" i="8"/>
  <c r="Q30" i="8"/>
  <c r="Q36" i="8"/>
  <c r="Q33" i="8"/>
  <c r="M33" i="8"/>
  <c r="M30" i="8"/>
  <c r="M36" i="8"/>
  <c r="O36" i="8"/>
  <c r="O30" i="8"/>
  <c r="O33" i="8"/>
  <c r="I33" i="8"/>
  <c r="I30" i="8"/>
  <c r="I36" i="8"/>
  <c r="H30" i="8"/>
  <c r="H36" i="8"/>
  <c r="H33" i="8"/>
  <c r="P30" i="8"/>
  <c r="P36" i="8"/>
  <c r="P33" i="8"/>
  <c r="H29" i="9" l="1"/>
  <c r="H35" i="9"/>
  <c r="H43" i="9" s="1"/>
  <c r="H97" i="8"/>
  <c r="H114" i="8" s="1"/>
  <c r="S85" i="8"/>
  <c r="J97" i="8"/>
  <c r="J114" i="8" s="1"/>
  <c r="U85" i="8"/>
  <c r="T85" i="8"/>
  <c r="AD20" i="9"/>
  <c r="AD21" i="9" s="1"/>
  <c r="Y20" i="9"/>
  <c r="Y24" i="9" s="1"/>
  <c r="Y28" i="9" s="1"/>
  <c r="AG14" i="9"/>
  <c r="AG24" i="9"/>
  <c r="AG28" i="9" s="1"/>
  <c r="L97" i="8"/>
  <c r="L114" i="8" s="1"/>
  <c r="Z25" i="9"/>
  <c r="Z21" i="9"/>
  <c r="AF25" i="9"/>
  <c r="AH24" i="9"/>
  <c r="AH28" i="9" s="1"/>
  <c r="AE24" i="9"/>
  <c r="AE28" i="9" s="1"/>
  <c r="AC37" i="9"/>
  <c r="AD37" i="9"/>
  <c r="AE37" i="9"/>
  <c r="AB21" i="9"/>
  <c r="AA24" i="9"/>
  <c r="AC24" i="9"/>
  <c r="X24" i="9"/>
  <c r="X28" i="9" s="1"/>
  <c r="X21" i="9"/>
  <c r="AB25" i="9"/>
  <c r="Z29" i="9"/>
  <c r="Z35" i="9"/>
  <c r="AB29" i="9"/>
  <c r="AB35" i="9"/>
  <c r="AF35" i="9"/>
  <c r="AF29" i="9"/>
  <c r="S114" i="8" l="1"/>
  <c r="H44" i="9"/>
  <c r="U114" i="8"/>
  <c r="T114" i="8"/>
  <c r="AD24" i="9"/>
  <c r="AD28" i="9" s="1"/>
  <c r="Y35" i="9"/>
  <c r="Y25" i="9"/>
  <c r="Y21" i="9"/>
  <c r="Y29" i="9"/>
  <c r="AG35" i="9"/>
  <c r="AG25" i="9"/>
  <c r="AG29" i="9"/>
  <c r="AH25" i="9"/>
  <c r="AC25" i="9"/>
  <c r="AC28" i="9"/>
  <c r="AA25" i="9"/>
  <c r="AA28" i="9"/>
  <c r="AE25" i="9"/>
  <c r="X25" i="9"/>
  <c r="AH35" i="9"/>
  <c r="AH29" i="9"/>
  <c r="AD29" i="9" l="1"/>
  <c r="AD25" i="9"/>
  <c r="AD35" i="9"/>
  <c r="AA29" i="9"/>
  <c r="AA35" i="9"/>
  <c r="AC29" i="9"/>
  <c r="AE35" i="9"/>
  <c r="AC35" i="9"/>
  <c r="AE29" i="9"/>
  <c r="X29" i="9"/>
  <c r="X35" i="9"/>
  <c r="B82" i="8"/>
  <c r="B81" i="8"/>
  <c r="G82" i="8"/>
  <c r="G81" i="8"/>
  <c r="E82" i="8"/>
  <c r="D82" i="8"/>
  <c r="C82" i="8"/>
  <c r="E81" i="8"/>
  <c r="D81" i="8"/>
  <c r="C81" i="8"/>
  <c r="B40" i="8"/>
  <c r="B39" i="8"/>
  <c r="AC40" i="8"/>
  <c r="AB40" i="8"/>
  <c r="AA40" i="8"/>
  <c r="Y40" i="8"/>
  <c r="X40" i="8"/>
  <c r="W40" i="8"/>
  <c r="U40" i="8"/>
  <c r="T40" i="8"/>
  <c r="S40" i="8"/>
  <c r="Z40" i="8"/>
  <c r="V40" i="8"/>
  <c r="AC39" i="8"/>
  <c r="AB39" i="8"/>
  <c r="AA39" i="8"/>
  <c r="Z39" i="8"/>
  <c r="Y39" i="8"/>
  <c r="X39" i="8"/>
  <c r="W39" i="8"/>
  <c r="V39" i="8"/>
  <c r="U39" i="8"/>
  <c r="T39" i="8"/>
  <c r="S39" i="8"/>
  <c r="S81" i="8" l="1"/>
  <c r="V81" i="8"/>
  <c r="W81" i="8"/>
  <c r="W82" i="8"/>
  <c r="Z81" i="8"/>
  <c r="AA81" i="8"/>
  <c r="V82" i="8"/>
  <c r="AA82" i="8"/>
  <c r="AB82" i="8"/>
  <c r="Y81" i="8"/>
  <c r="T81" i="8"/>
  <c r="AB81" i="8"/>
  <c r="Y82" i="8"/>
  <c r="X82" i="8"/>
  <c r="U81" i="8"/>
  <c r="AC81" i="8"/>
  <c r="Z82" i="8"/>
  <c r="S82" i="8"/>
  <c r="T82" i="8"/>
  <c r="X81" i="8"/>
  <c r="U82" i="8"/>
  <c r="AC82" i="8"/>
  <c r="E9" i="10" l="1"/>
  <c r="E16" i="10" s="1"/>
  <c r="D9" i="10"/>
  <c r="D16" i="10" s="1"/>
  <c r="U9" i="10"/>
  <c r="T9" i="10"/>
  <c r="S9" i="10"/>
  <c r="R9" i="10"/>
  <c r="Q9" i="10"/>
  <c r="P9" i="10"/>
  <c r="F9" i="10"/>
  <c r="F16" i="10" s="1"/>
  <c r="AG66" i="9"/>
  <c r="AG67" i="9" s="1"/>
  <c r="AI66" i="9"/>
  <c r="R10" i="10" l="1"/>
  <c r="R16" i="10"/>
  <c r="T10" i="10"/>
  <c r="T16" i="10"/>
  <c r="P10" i="10"/>
  <c r="P16" i="10"/>
  <c r="Q10" i="10"/>
  <c r="Q16" i="10"/>
  <c r="S10" i="10"/>
  <c r="S16" i="10"/>
  <c r="U10" i="10"/>
  <c r="U16" i="10"/>
  <c r="E8" i="9"/>
  <c r="Q8" i="9"/>
  <c r="R8" i="9"/>
  <c r="S8" i="9"/>
  <c r="U8" i="9"/>
  <c r="F8" i="9"/>
  <c r="D8" i="9"/>
  <c r="V8" i="9"/>
  <c r="T8" i="9"/>
  <c r="AH66" i="9"/>
  <c r="AH67" i="9" s="1"/>
  <c r="AH60" i="9" l="1"/>
  <c r="AK7" i="9"/>
  <c r="AI67" i="9"/>
  <c r="AI8" i="9"/>
  <c r="AK6" i="9"/>
  <c r="AK8" i="9" l="1"/>
  <c r="X11" i="8" l="1"/>
  <c r="D45" i="8"/>
  <c r="D50" i="8" s="1"/>
  <c r="C45" i="8"/>
  <c r="C50" i="8" s="1"/>
  <c r="E45" i="8"/>
  <c r="E50" i="8" s="1"/>
  <c r="S58" i="8" l="1"/>
  <c r="S65" i="8" s="1"/>
  <c r="S45" i="8"/>
  <c r="S50" i="8" s="1"/>
  <c r="Y11" i="8"/>
  <c r="X14" i="8"/>
  <c r="X19" i="8" s="1"/>
  <c r="X25" i="8" s="1"/>
  <c r="Y45" i="8"/>
  <c r="Y50" i="8" s="1"/>
  <c r="W45" i="8"/>
  <c r="W50" i="8" s="1"/>
  <c r="Y58" i="8"/>
  <c r="Y65" i="8" s="1"/>
  <c r="X58" i="8"/>
  <c r="X65" i="8" s="1"/>
  <c r="T58" i="8"/>
  <c r="T65" i="8" s="1"/>
  <c r="V11" i="8"/>
  <c r="T45" i="8"/>
  <c r="T50" i="8" s="1"/>
  <c r="X45" i="8"/>
  <c r="X50" i="8" s="1"/>
  <c r="W11" i="8"/>
  <c r="U45" i="8"/>
  <c r="U50" i="8" s="1"/>
  <c r="U58" i="8"/>
  <c r="U65" i="8" s="1"/>
  <c r="W58" i="8"/>
  <c r="W65" i="8" s="1"/>
  <c r="AA45" i="8"/>
  <c r="AA50" i="8" s="1"/>
  <c r="AA11" i="8"/>
  <c r="AA58" i="8"/>
  <c r="AA65" i="8" s="1"/>
  <c r="AB58" i="8"/>
  <c r="AB65" i="8" s="1"/>
  <c r="Z11" i="8"/>
  <c r="AB11" i="8"/>
  <c r="AB45" i="8"/>
  <c r="AB50" i="8" s="1"/>
  <c r="X20" i="8" l="1"/>
  <c r="X29" i="8"/>
  <c r="W14" i="8"/>
  <c r="W19" i="8" s="1"/>
  <c r="W25" i="8" s="1"/>
  <c r="AI13" i="9"/>
  <c r="AC9" i="10"/>
  <c r="AC16" i="10" s="1"/>
  <c r="Z8" i="10"/>
  <c r="AA8" i="10"/>
  <c r="AB8" i="10"/>
  <c r="S74" i="8"/>
  <c r="S76" i="8" s="1"/>
  <c r="AA14" i="8"/>
  <c r="AA19" i="8" s="1"/>
  <c r="AA25" i="8" s="1"/>
  <c r="AE10" i="8"/>
  <c r="Y74" i="8"/>
  <c r="Y76" i="8" s="1"/>
  <c r="W74" i="8"/>
  <c r="W76" i="8" s="1"/>
  <c r="U74" i="8"/>
  <c r="U76" i="8" s="1"/>
  <c r="AE17" i="8"/>
  <c r="X74" i="8"/>
  <c r="X76" i="8" s="1"/>
  <c r="Y14" i="8"/>
  <c r="Y19" i="8" s="1"/>
  <c r="Y25" i="8" s="1"/>
  <c r="T74" i="8"/>
  <c r="T76" i="8" s="1"/>
  <c r="V14" i="8"/>
  <c r="V19" i="8" s="1"/>
  <c r="V25" i="8" s="1"/>
  <c r="X15" i="8"/>
  <c r="AE13" i="8"/>
  <c r="AA74" i="8"/>
  <c r="AA76" i="8" s="1"/>
  <c r="AB14" i="8"/>
  <c r="AB19" i="8" s="1"/>
  <c r="AB25" i="8" s="1"/>
  <c r="Z14" i="8"/>
  <c r="Z19" i="8" s="1"/>
  <c r="Z25" i="8" s="1"/>
  <c r="AB74" i="8"/>
  <c r="AB76" i="8" s="1"/>
  <c r="W20" i="8" l="1"/>
  <c r="W29" i="8"/>
  <c r="V20" i="8"/>
  <c r="V29" i="8"/>
  <c r="Y29" i="8"/>
  <c r="Y20" i="8"/>
  <c r="AA29" i="8"/>
  <c r="AA20" i="8"/>
  <c r="Z29" i="8"/>
  <c r="Z20" i="8"/>
  <c r="AB29" i="8"/>
  <c r="AB20" i="8"/>
  <c r="AA15" i="8"/>
  <c r="Z15" i="8"/>
  <c r="W15" i="8"/>
  <c r="AB15" i="8"/>
  <c r="Y15" i="8"/>
  <c r="AI14" i="9"/>
  <c r="AI20" i="9"/>
  <c r="AA9" i="10"/>
  <c r="AA10" i="10" s="1"/>
  <c r="AB9" i="10"/>
  <c r="AB10" i="10" s="1"/>
  <c r="AC10" i="10"/>
  <c r="AD9" i="10"/>
  <c r="AD16" i="10" s="1"/>
  <c r="AF9" i="10"/>
  <c r="AF16" i="10" s="1"/>
  <c r="Z9" i="10"/>
  <c r="Z10" i="10" s="1"/>
  <c r="X8" i="10"/>
  <c r="W8" i="10"/>
  <c r="Y8" i="10"/>
  <c r="X26" i="8"/>
  <c r="V15" i="8"/>
  <c r="Y9" i="10" l="1"/>
  <c r="X9" i="10"/>
  <c r="W26" i="8"/>
  <c r="V26" i="8"/>
  <c r="AA26" i="8"/>
  <c r="W30" i="8"/>
  <c r="AI24" i="9"/>
  <c r="AI28" i="9" s="1"/>
  <c r="AI21" i="9"/>
  <c r="W9" i="10"/>
  <c r="AE9" i="10"/>
  <c r="AD10" i="10"/>
  <c r="X30" i="8"/>
  <c r="X33" i="8"/>
  <c r="X36" i="8"/>
  <c r="V33" i="8"/>
  <c r="V36" i="8"/>
  <c r="V30" i="8"/>
  <c r="AB26" i="8"/>
  <c r="Y26" i="8"/>
  <c r="Z26" i="8"/>
  <c r="AE10" i="10" l="1"/>
  <c r="AE16" i="10"/>
  <c r="W36" i="8"/>
  <c r="W33" i="8"/>
  <c r="AI25" i="9"/>
  <c r="Z30" i="8"/>
  <c r="Z36" i="8"/>
  <c r="Z33" i="8"/>
  <c r="Y36" i="8"/>
  <c r="Y30" i="8"/>
  <c r="Y33" i="8"/>
  <c r="AA30" i="8"/>
  <c r="AA33" i="8"/>
  <c r="AA36" i="8"/>
  <c r="AB30" i="8"/>
  <c r="AB33" i="8"/>
  <c r="AB36" i="8"/>
  <c r="AI29" i="9" l="1"/>
  <c r="AI35" i="9"/>
  <c r="V58" i="8" l="1"/>
  <c r="Z58" i="8"/>
  <c r="Z65" i="8" s="1"/>
  <c r="V65" i="8" l="1"/>
  <c r="V74" i="8" s="1"/>
  <c r="T100" i="8"/>
  <c r="U100" i="8"/>
  <c r="S100" i="8"/>
  <c r="V100" i="8"/>
  <c r="W100" i="8"/>
  <c r="X100" i="8"/>
  <c r="E11" i="8" l="1"/>
  <c r="F10" i="10" s="1"/>
  <c r="D11" i="8"/>
  <c r="E10" i="10" s="1"/>
  <c r="C11" i="8"/>
  <c r="D10" i="10" s="1"/>
  <c r="C8" i="9"/>
  <c r="G58" i="8"/>
  <c r="D58" i="8"/>
  <c r="C58" i="8"/>
  <c r="C60" i="9"/>
  <c r="AC11" i="8"/>
  <c r="AF10" i="10" s="1"/>
  <c r="U67" i="9"/>
  <c r="M67" i="9"/>
  <c r="AK34" i="9"/>
  <c r="AK27" i="9"/>
  <c r="G65" i="8" l="1"/>
  <c r="H61" i="9" s="1"/>
  <c r="H60" i="9"/>
  <c r="C61" i="9"/>
  <c r="D65" i="8"/>
  <c r="C65" i="8"/>
  <c r="N67" i="9"/>
  <c r="V67" i="9"/>
  <c r="D67" i="9"/>
  <c r="O67" i="9"/>
  <c r="AG61" i="9"/>
  <c r="AE11" i="8"/>
  <c r="AI61" i="9"/>
  <c r="K67" i="9"/>
  <c r="AK23" i="9"/>
  <c r="F67" i="9"/>
  <c r="J67" i="9"/>
  <c r="AK19" i="9"/>
  <c r="AK16" i="9"/>
  <c r="O13" i="9"/>
  <c r="M9" i="9"/>
  <c r="U9" i="9"/>
  <c r="E67" i="9"/>
  <c r="I67" i="9"/>
  <c r="U10" i="9"/>
  <c r="Z74" i="8"/>
  <c r="D14" i="8"/>
  <c r="D19" i="8" s="1"/>
  <c r="D25" i="8" s="1"/>
  <c r="C14" i="8"/>
  <c r="C19" i="8" s="1"/>
  <c r="C25" i="8" s="1"/>
  <c r="E14" i="8"/>
  <c r="E19" i="8" s="1"/>
  <c r="E25" i="8" s="1"/>
  <c r="AC58" i="8"/>
  <c r="AC65" i="8" s="1"/>
  <c r="AE73" i="8"/>
  <c r="F13" i="9"/>
  <c r="F9" i="9"/>
  <c r="D13" i="9"/>
  <c r="D9" i="9"/>
  <c r="E13" i="9"/>
  <c r="E9" i="9"/>
  <c r="M10" i="9"/>
  <c r="AK31" i="9"/>
  <c r="Q67" i="9"/>
  <c r="C13" i="9"/>
  <c r="R67" i="9"/>
  <c r="S67" i="9"/>
  <c r="C67" i="9"/>
  <c r="C74" i="8" l="1"/>
  <c r="C76" i="8" s="1"/>
  <c r="C20" i="8"/>
  <c r="D20" i="8"/>
  <c r="D29" i="8"/>
  <c r="D85" i="8" s="1"/>
  <c r="N85" i="8" s="1"/>
  <c r="G29" i="8"/>
  <c r="E29" i="8"/>
  <c r="E85" i="8" s="1"/>
  <c r="E20" i="8"/>
  <c r="T67" i="9"/>
  <c r="Z45" i="8"/>
  <c r="G74" i="8"/>
  <c r="G76" i="8" s="1"/>
  <c r="V45" i="8"/>
  <c r="D74" i="8"/>
  <c r="D76" i="8" s="1"/>
  <c r="E74" i="8"/>
  <c r="E76" i="8" s="1"/>
  <c r="AH61" i="9"/>
  <c r="P67" i="9"/>
  <c r="AE65" i="8"/>
  <c r="AE58" i="8"/>
  <c r="L67" i="9"/>
  <c r="P10" i="9"/>
  <c r="T9" i="9"/>
  <c r="Q9" i="9"/>
  <c r="R10" i="9"/>
  <c r="T13" i="9"/>
  <c r="T20" i="9" s="1"/>
  <c r="O10" i="9"/>
  <c r="Q10" i="9"/>
  <c r="N10" i="9"/>
  <c r="R13" i="9"/>
  <c r="R14" i="9" s="1"/>
  <c r="P13" i="9"/>
  <c r="P20" i="9" s="1"/>
  <c r="J10" i="9"/>
  <c r="R9" i="9"/>
  <c r="N9" i="9"/>
  <c r="J13" i="9"/>
  <c r="J14" i="9" s="1"/>
  <c r="AK32" i="9"/>
  <c r="P9" i="9"/>
  <c r="AC45" i="8"/>
  <c r="AC50" i="8" s="1"/>
  <c r="D15" i="8"/>
  <c r="E15" i="8"/>
  <c r="C15" i="8"/>
  <c r="AC14" i="8"/>
  <c r="AC19" i="8" s="1"/>
  <c r="O20" i="9"/>
  <c r="O14" i="9"/>
  <c r="AK33" i="9"/>
  <c r="E20" i="9"/>
  <c r="E14" i="9"/>
  <c r="S9" i="9"/>
  <c r="S13" i="9"/>
  <c r="S10" i="9"/>
  <c r="K13" i="9"/>
  <c r="K10" i="9"/>
  <c r="U13" i="9"/>
  <c r="AI9" i="9"/>
  <c r="AK12" i="9"/>
  <c r="N13" i="9"/>
  <c r="T10" i="9"/>
  <c r="C20" i="9"/>
  <c r="C14" i="9"/>
  <c r="V9" i="9"/>
  <c r="V13" i="9"/>
  <c r="V10" i="9"/>
  <c r="L13" i="9"/>
  <c r="L10" i="9"/>
  <c r="O9" i="9"/>
  <c r="M13" i="9"/>
  <c r="F20" i="9"/>
  <c r="F14" i="9"/>
  <c r="Q13" i="9"/>
  <c r="D20" i="9"/>
  <c r="D14" i="9"/>
  <c r="I13" i="9"/>
  <c r="AA85" i="8" l="1"/>
  <c r="AC85" i="8"/>
  <c r="AB85" i="8"/>
  <c r="Z85" i="8"/>
  <c r="Y85" i="8"/>
  <c r="X85" i="8"/>
  <c r="W85" i="8"/>
  <c r="V85" i="8"/>
  <c r="N97" i="8"/>
  <c r="N114" i="8" s="1"/>
  <c r="V50" i="8"/>
  <c r="V76" i="8" s="1"/>
  <c r="Z50" i="8"/>
  <c r="Z76" i="8" s="1"/>
  <c r="AE19" i="8"/>
  <c r="AC25" i="8"/>
  <c r="G30" i="8"/>
  <c r="G36" i="8"/>
  <c r="C26" i="8"/>
  <c r="C29" i="8"/>
  <c r="C36" i="8" s="1"/>
  <c r="AC20" i="8"/>
  <c r="AE20" i="8" s="1"/>
  <c r="E26" i="8"/>
  <c r="D26" i="8"/>
  <c r="AE106" i="8"/>
  <c r="AC74" i="8"/>
  <c r="AE74" i="8" s="1"/>
  <c r="AE50" i="8"/>
  <c r="AE45" i="8"/>
  <c r="T14" i="9"/>
  <c r="P14" i="9"/>
  <c r="E33" i="8"/>
  <c r="E36" i="8"/>
  <c r="D36" i="8"/>
  <c r="D33" i="8"/>
  <c r="R20" i="9"/>
  <c r="R21" i="9" s="1"/>
  <c r="J20" i="9"/>
  <c r="J21" i="9" s="1"/>
  <c r="AE14" i="8"/>
  <c r="E30" i="8"/>
  <c r="E97" i="8"/>
  <c r="E114" i="8" s="1"/>
  <c r="D30" i="8"/>
  <c r="D97" i="8"/>
  <c r="D114" i="8" s="1"/>
  <c r="AE100" i="8"/>
  <c r="AC15" i="8"/>
  <c r="AE15" i="8" s="1"/>
  <c r="I20" i="9"/>
  <c r="I14" i="9"/>
  <c r="D24" i="9"/>
  <c r="D28" i="9" s="1"/>
  <c r="D21" i="9"/>
  <c r="C24" i="9"/>
  <c r="C28" i="9" s="1"/>
  <c r="C21" i="9"/>
  <c r="AK13" i="9"/>
  <c r="AK9" i="9"/>
  <c r="K14" i="9"/>
  <c r="K20" i="9"/>
  <c r="Q20" i="9"/>
  <c r="Q14" i="9"/>
  <c r="L14" i="9"/>
  <c r="L20" i="9"/>
  <c r="E24" i="9"/>
  <c r="E28" i="9" s="1"/>
  <c r="E21" i="9"/>
  <c r="O24" i="9"/>
  <c r="O28" i="9" s="1"/>
  <c r="O21" i="9"/>
  <c r="V20" i="9"/>
  <c r="V14" i="9"/>
  <c r="S14" i="9"/>
  <c r="S20" i="9"/>
  <c r="T24" i="9"/>
  <c r="T28" i="9" s="1"/>
  <c r="T21" i="9"/>
  <c r="P21" i="9"/>
  <c r="P24" i="9"/>
  <c r="P28" i="9" s="1"/>
  <c r="F21" i="9"/>
  <c r="F24" i="9"/>
  <c r="F28" i="9" s="1"/>
  <c r="U20" i="9"/>
  <c r="U14" i="9"/>
  <c r="M20" i="9"/>
  <c r="M14" i="9"/>
  <c r="N20" i="9"/>
  <c r="N14" i="9"/>
  <c r="AC29" i="8" l="1"/>
  <c r="AE25" i="8"/>
  <c r="Y114" i="8"/>
  <c r="X114" i="8"/>
  <c r="W114" i="8"/>
  <c r="V114" i="8"/>
  <c r="C30" i="8"/>
  <c r="C85" i="8"/>
  <c r="C33" i="8"/>
  <c r="G85" i="8"/>
  <c r="G97" i="8" s="1"/>
  <c r="G114" i="8" s="1"/>
  <c r="G33" i="8"/>
  <c r="AC76" i="8"/>
  <c r="R24" i="9"/>
  <c r="R28" i="9" s="1"/>
  <c r="J24" i="9"/>
  <c r="J28" i="9" s="1"/>
  <c r="AC26" i="8"/>
  <c r="AE26" i="8" s="1"/>
  <c r="F25" i="9"/>
  <c r="N24" i="9"/>
  <c r="N28" i="9" s="1"/>
  <c r="N21" i="9"/>
  <c r="T25" i="9"/>
  <c r="E25" i="9"/>
  <c r="C25" i="9"/>
  <c r="AK20" i="9"/>
  <c r="AK14" i="9"/>
  <c r="O25" i="9"/>
  <c r="S21" i="9"/>
  <c r="S24" i="9"/>
  <c r="S28" i="9" s="1"/>
  <c r="D25" i="9"/>
  <c r="U24" i="9"/>
  <c r="U28" i="9" s="1"/>
  <c r="U21" i="9"/>
  <c r="Q21" i="9"/>
  <c r="Q24" i="9"/>
  <c r="Q28" i="9" s="1"/>
  <c r="M24" i="9"/>
  <c r="M28" i="9" s="1"/>
  <c r="M21" i="9"/>
  <c r="P25" i="9"/>
  <c r="L24" i="9"/>
  <c r="L28" i="9" s="1"/>
  <c r="L21" i="9"/>
  <c r="K21" i="9"/>
  <c r="K24" i="9"/>
  <c r="K28" i="9" s="1"/>
  <c r="V24" i="9"/>
  <c r="V28" i="9" s="1"/>
  <c r="V21" i="9"/>
  <c r="I21" i="9"/>
  <c r="I24" i="9"/>
  <c r="I28" i="9" s="1"/>
  <c r="Z114" i="8" l="1"/>
  <c r="AB114" i="8"/>
  <c r="AA114" i="8"/>
  <c r="C97" i="8"/>
  <c r="C114" i="8" s="1"/>
  <c r="Y97" i="8"/>
  <c r="AC36" i="8"/>
  <c r="R25" i="9"/>
  <c r="J25" i="9"/>
  <c r="Z97" i="8"/>
  <c r="M25" i="9"/>
  <c r="Q25" i="9"/>
  <c r="J35" i="9"/>
  <c r="J43" i="9" s="1"/>
  <c r="J29" i="9"/>
  <c r="N25" i="9"/>
  <c r="C35" i="9"/>
  <c r="C29" i="9"/>
  <c r="E29" i="9"/>
  <c r="E35" i="9"/>
  <c r="F29" i="9"/>
  <c r="F35" i="9"/>
  <c r="R29" i="9"/>
  <c r="R35" i="9"/>
  <c r="V25" i="9"/>
  <c r="L25" i="9"/>
  <c r="U25" i="9"/>
  <c r="AK24" i="9"/>
  <c r="AK21" i="9"/>
  <c r="P35" i="9"/>
  <c r="P43" i="9" s="1"/>
  <c r="P29" i="9"/>
  <c r="O35" i="9"/>
  <c r="O43" i="9" s="1"/>
  <c r="O29" i="9"/>
  <c r="S25" i="9"/>
  <c r="I25" i="9"/>
  <c r="K25" i="9"/>
  <c r="D35" i="9"/>
  <c r="D29" i="9"/>
  <c r="T29" i="9"/>
  <c r="T35" i="9"/>
  <c r="V97" i="8" l="1"/>
  <c r="W97" i="8"/>
  <c r="X97" i="8"/>
  <c r="AE29" i="8"/>
  <c r="AC33" i="8"/>
  <c r="AC30" i="8"/>
  <c r="AE30" i="8" s="1"/>
  <c r="C44" i="9"/>
  <c r="K35" i="9"/>
  <c r="K43" i="9" s="1"/>
  <c r="K29" i="9"/>
  <c r="Q35" i="9"/>
  <c r="Q43" i="9" s="1"/>
  <c r="AE43" i="9" s="1"/>
  <c r="Q29" i="9"/>
  <c r="I35" i="9"/>
  <c r="I43" i="9" s="1"/>
  <c r="I29" i="9"/>
  <c r="F44" i="9"/>
  <c r="J44" i="9"/>
  <c r="L35" i="9"/>
  <c r="L43" i="9" s="1"/>
  <c r="L29" i="9"/>
  <c r="E44" i="9"/>
  <c r="U35" i="9"/>
  <c r="U29" i="9"/>
  <c r="N35" i="9"/>
  <c r="N43" i="9" s="1"/>
  <c r="N29" i="9"/>
  <c r="D44" i="9"/>
  <c r="S29" i="9"/>
  <c r="S35" i="9"/>
  <c r="T44" i="9"/>
  <c r="M35" i="9"/>
  <c r="M43" i="9" s="1"/>
  <c r="M29" i="9"/>
  <c r="AK28" i="9"/>
  <c r="AK25" i="9"/>
  <c r="V29" i="9"/>
  <c r="V35" i="9"/>
  <c r="AD43" i="9" l="1"/>
  <c r="AD44" i="9" s="1"/>
  <c r="AC43" i="9"/>
  <c r="AC44" i="9" s="1"/>
  <c r="AB43" i="9"/>
  <c r="AB44" i="9" s="1"/>
  <c r="AI43" i="9"/>
  <c r="AI44" i="9" s="1"/>
  <c r="AH43" i="9"/>
  <c r="AH44" i="9" s="1"/>
  <c r="AG43" i="9"/>
  <c r="AG44" i="9" s="1"/>
  <c r="AF43" i="9"/>
  <c r="AF44" i="9" s="1"/>
  <c r="AA43" i="9"/>
  <c r="AA44" i="9" s="1"/>
  <c r="Z43" i="9"/>
  <c r="Z44" i="9" s="1"/>
  <c r="Y43" i="9"/>
  <c r="X43" i="9"/>
  <c r="AE44" i="9"/>
  <c r="AE33" i="8"/>
  <c r="AE36" i="8"/>
  <c r="U44" i="9"/>
  <c r="V44" i="9"/>
  <c r="S44" i="9"/>
  <c r="K44" i="9"/>
  <c r="R44" i="9"/>
  <c r="AK29" i="9"/>
  <c r="AK35" i="9"/>
  <c r="M44" i="9"/>
  <c r="O44" i="9"/>
  <c r="P44" i="9"/>
  <c r="I44" i="9" l="1"/>
  <c r="Y44" i="9"/>
  <c r="X44" i="9"/>
  <c r="N44" i="9"/>
  <c r="Q44" i="9"/>
  <c r="L44" i="9"/>
  <c r="C111" i="8" l="1"/>
  <c r="C115" i="8" s="1"/>
  <c r="C117" i="8" s="1"/>
  <c r="G111" i="8"/>
  <c r="G115" i="8" s="1"/>
  <c r="G117" i="8" s="1"/>
  <c r="S109" i="8" l="1"/>
  <c r="H109" i="8"/>
  <c r="H111" i="8" s="1"/>
  <c r="H115" i="8" s="1"/>
  <c r="H117" i="8" s="1"/>
  <c r="D109" i="8"/>
  <c r="D111" i="8" s="1"/>
  <c r="D115" i="8" s="1"/>
  <c r="D117" i="8" s="1"/>
  <c r="T109" i="8" l="1"/>
  <c r="E109" i="8"/>
  <c r="E111" i="8" s="1"/>
  <c r="E115" i="8" s="1"/>
  <c r="E117" i="8" s="1"/>
  <c r="I109" i="8"/>
  <c r="I111" i="8" s="1"/>
  <c r="I115" i="8" s="1"/>
  <c r="I117" i="8" s="1"/>
  <c r="U109" i="8" l="1"/>
  <c r="J109" i="8"/>
  <c r="J111" i="8" s="1"/>
  <c r="J115" i="8" s="1"/>
  <c r="J117" i="8" s="1"/>
  <c r="V109" i="8" l="1"/>
  <c r="K109" i="8"/>
  <c r="K111" i="8" s="1"/>
  <c r="K115" i="8" s="1"/>
  <c r="K117" i="8" s="1"/>
  <c r="W109" i="8" l="1"/>
  <c r="L109" i="8"/>
  <c r="L111" i="8" s="1"/>
  <c r="L115" i="8" s="1"/>
  <c r="L117" i="8" s="1"/>
  <c r="X109" i="8" l="1"/>
  <c r="M109" i="8"/>
  <c r="M111" i="8" s="1"/>
  <c r="M115" i="8" s="1"/>
  <c r="M117" i="8" s="1"/>
  <c r="Y109" i="8" l="1"/>
  <c r="Y111" i="8" s="1"/>
  <c r="N109" i="8"/>
  <c r="N111" i="8" s="1"/>
  <c r="N115" i="8" s="1"/>
  <c r="N117" i="8" s="1"/>
  <c r="Z109" i="8" l="1"/>
  <c r="O109" i="8"/>
  <c r="O111" i="8" s="1"/>
  <c r="O115" i="8" s="1"/>
  <c r="O117" i="8" s="1"/>
  <c r="AA109" i="8" l="1"/>
  <c r="P109" i="8"/>
  <c r="P111" i="8" s="1"/>
  <c r="P115" i="8" s="1"/>
  <c r="P117" i="8" s="1"/>
  <c r="AB109" i="8" l="1"/>
  <c r="Q109" i="8"/>
  <c r="Q111" i="8" s="1"/>
  <c r="Q115" i="8" s="1"/>
  <c r="Q117" i="8" s="1"/>
  <c r="S111" i="8" l="1"/>
  <c r="X111" i="8" l="1"/>
  <c r="X115" i="8" s="1"/>
  <c r="X117" i="8" s="1"/>
  <c r="Y115" i="8" l="1"/>
  <c r="Y117" i="8" s="1"/>
  <c r="Z111" i="8" l="1"/>
  <c r="Z115" i="8" s="1"/>
  <c r="Z117" i="8" s="1"/>
  <c r="T111" i="8"/>
  <c r="AA111" i="8" l="1"/>
  <c r="U97" i="8"/>
  <c r="S11" i="8"/>
  <c r="W10" i="10" s="1"/>
  <c r="U11" i="8"/>
  <c r="T11" i="8"/>
  <c r="T14" i="8" s="1"/>
  <c r="X10" i="10" l="1"/>
  <c r="T19" i="8"/>
  <c r="T25" i="8" s="1"/>
  <c r="T15" i="8"/>
  <c r="U14" i="8"/>
  <c r="Y10" i="10"/>
  <c r="S14" i="8"/>
  <c r="U19" i="8" l="1"/>
  <c r="U25" i="8" s="1"/>
  <c r="U15" i="8"/>
  <c r="S15" i="8"/>
  <c r="S19" i="8"/>
  <c r="S25" i="8" s="1"/>
  <c r="T20" i="8"/>
  <c r="T29" i="8" l="1"/>
  <c r="T26" i="8"/>
  <c r="S20" i="8"/>
  <c r="U20" i="8"/>
  <c r="U29" i="8" l="1"/>
  <c r="U26" i="8"/>
  <c r="S26" i="8"/>
  <c r="S29" i="8"/>
  <c r="T33" i="8"/>
  <c r="T30" i="8"/>
  <c r="T36" i="8"/>
  <c r="AA97" i="8" l="1"/>
  <c r="AB97" i="8"/>
  <c r="T97" i="8"/>
  <c r="T115" i="8" s="1"/>
  <c r="T117" i="8" s="1"/>
  <c r="S97" i="8"/>
  <c r="S30" i="8"/>
  <c r="S36" i="8"/>
  <c r="S33" i="8"/>
  <c r="U33" i="8"/>
  <c r="U30" i="8"/>
  <c r="U36" i="8"/>
  <c r="S115" i="8" l="1"/>
  <c r="S117" i="8" s="1"/>
  <c r="AA115" i="8"/>
  <c r="AA117" i="8" s="1"/>
  <c r="AC97" i="8"/>
  <c r="AE85" i="8"/>
  <c r="U111" i="8"/>
  <c r="U115" i="8" s="1"/>
  <c r="U117" i="8" s="1"/>
  <c r="AB111" i="8" l="1"/>
  <c r="AB115" i="8" s="1"/>
  <c r="AB117" i="8" s="1"/>
  <c r="AE97" i="8"/>
  <c r="V111" i="8"/>
  <c r="V115" i="8" s="1"/>
  <c r="V117" i="8" s="1"/>
  <c r="AC111" i="8" l="1"/>
  <c r="AC115" i="8" s="1"/>
  <c r="AC117" i="8" s="1"/>
  <c r="W111" i="8"/>
  <c r="W115" i="8" s="1"/>
  <c r="W117" i="8" s="1"/>
</calcChain>
</file>

<file path=xl/sharedStrings.xml><?xml version="1.0" encoding="utf-8"?>
<sst xmlns="http://schemas.openxmlformats.org/spreadsheetml/2006/main" count="305" uniqueCount="161">
  <si>
    <t>FYE</t>
  </si>
  <si>
    <t>Quarterly</t>
  </si>
  <si>
    <t>1Q24</t>
  </si>
  <si>
    <t>2Q24</t>
  </si>
  <si>
    <t>3Q24</t>
  </si>
  <si>
    <t>1Q23</t>
  </si>
  <si>
    <t>2Q23</t>
  </si>
  <si>
    <t>3Q23</t>
  </si>
  <si>
    <t>4Q23</t>
  </si>
  <si>
    <t>LTM</t>
  </si>
  <si>
    <t>EBITDA</t>
  </si>
  <si>
    <t>Total Revenue</t>
  </si>
  <si>
    <t>Cost of Sales</t>
  </si>
  <si>
    <t>Accounts payable</t>
  </si>
  <si>
    <t>Changes in assets and liabilities:</t>
  </si>
  <si>
    <t>Cash-Flows Statement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</si>
  <si>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</si>
  <si>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</si>
  <si>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</si>
  <si>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</si>
  <si>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</si>
  <si>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</si>
  <si>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</si>
  <si>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</si>
  <si>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</si>
  <si>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</si>
  <si>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</si>
  <si>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</si>
  <si>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</si>
  <si>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</si>
  <si>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Y/Y Growth (%)</t>
  </si>
  <si>
    <t>Q/Q Growth (%)</t>
  </si>
  <si>
    <t>N/A</t>
  </si>
  <si>
    <t>(-) Cost of Sales</t>
  </si>
  <si>
    <t>Gross Margin (%)</t>
  </si>
  <si>
    <t>Earning before Interest &amp; Taxes (EBIT)</t>
  </si>
  <si>
    <t>Operating Margin (%)</t>
  </si>
  <si>
    <t>(+) Depreciation and Amortization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</si>
  <si>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</si>
  <si>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</si>
  <si>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</si>
  <si>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</si>
  <si>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</si>
  <si>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</si>
  <si>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</si>
  <si>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</si>
  <si>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</si>
  <si>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</si>
  <si>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</si>
  <si>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</si>
  <si>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</si>
  <si>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Receivable</t>
  </si>
  <si>
    <t>Accounts Payable</t>
  </si>
  <si>
    <t>Property Plant, and Equiptment</t>
  </si>
  <si>
    <t>Current Liabilities</t>
  </si>
  <si>
    <t>Total Shareholder Equity</t>
  </si>
  <si>
    <t>Total Book Capitalization</t>
  </si>
  <si>
    <t>Total Leverage</t>
  </si>
  <si>
    <t>Net Leverage (C&amp;CE)</t>
  </si>
  <si>
    <t xml:space="preserve">Interest Coverage </t>
  </si>
  <si>
    <t>Debt Service Coverage</t>
  </si>
  <si>
    <t>Fixed Charge Coverage</t>
  </si>
  <si>
    <t>Debt-to-Book Capitalization</t>
  </si>
  <si>
    <t>Net loss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</si>
  <si>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</si>
  <si>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</si>
  <si>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</si>
  <si>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</si>
  <si>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</si>
  <si>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</si>
  <si>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</si>
  <si>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</si>
  <si>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</si>
  <si>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</si>
  <si>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</si>
  <si>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</si>
  <si>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BOP</t>
  </si>
  <si>
    <t>Net Margin (%)</t>
  </si>
  <si>
    <t>Basic shares</t>
  </si>
  <si>
    <t>Basic EPS</t>
  </si>
  <si>
    <t>Fully Diluted Shares</t>
  </si>
  <si>
    <t>Diluted EPS</t>
  </si>
  <si>
    <t>Segment Anaysis</t>
  </si>
  <si>
    <t>Total Net Revenue</t>
  </si>
  <si>
    <t xml:space="preserve">(+/-) Other </t>
  </si>
  <si>
    <t>Credit Metrics</t>
  </si>
  <si>
    <t>Interest income</t>
  </si>
  <si>
    <t>Interest expense</t>
  </si>
  <si>
    <t>NM</t>
  </si>
  <si>
    <t>Cash paid for interest</t>
  </si>
  <si>
    <t>Adjusted Cash Position BOP</t>
  </si>
  <si>
    <t>Adjusted Cash Position EOP</t>
  </si>
  <si>
    <t xml:space="preserve">(-) Cash Interest 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</si>
  <si>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</si>
  <si>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</si>
  <si>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</si>
  <si>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</si>
  <si>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</si>
  <si>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</si>
  <si>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</si>
  <si>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</si>
  <si>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</si>
  <si>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</si>
  <si>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Restricted Cash</t>
  </si>
  <si>
    <t>Non-Current Liabilities</t>
  </si>
  <si>
    <t>BOP Restricted Cash Adjustments (Changes in FX; Restricted Cash)</t>
  </si>
  <si>
    <t>EOP Restricted Cash Adjustments (Changes in FX; Restricted Cash)</t>
  </si>
  <si>
    <t>Total Net U.S Revenue</t>
  </si>
  <si>
    <t>Net Revenues by Channel</t>
  </si>
  <si>
    <t>(+/-) Proceeds / (Purchases) of Equity, net</t>
  </si>
  <si>
    <t>(+/-) Other Financing Activities</t>
  </si>
  <si>
    <t>Research and development</t>
  </si>
  <si>
    <t>Cash and cash equivalents</t>
  </si>
  <si>
    <t>Property and equipment, net</t>
  </si>
  <si>
    <t>Additional paid-in capital</t>
  </si>
  <si>
    <t>Accumulated deficit</t>
  </si>
  <si>
    <t>Provision for taxes</t>
  </si>
  <si>
    <r>
      <t xml:space="preserve">1) </t>
    </r>
    <r>
      <rPr>
        <b/>
        <i/>
        <sz val="8"/>
        <color theme="1"/>
        <rFont val="Calibri"/>
        <family val="2"/>
      </rPr>
      <t xml:space="preserve">Other, net </t>
    </r>
    <r>
      <rPr>
        <i/>
        <sz val="8"/>
        <color theme="1"/>
        <rFont val="Calibri"/>
        <family val="2"/>
      </rPr>
      <t>consists of:Other + Non-cash research and development arrangements+ Deferred income taxes.</t>
    </r>
  </si>
  <si>
    <r>
      <t xml:space="preserve">2) </t>
    </r>
    <r>
      <rPr>
        <b/>
        <i/>
        <sz val="8"/>
        <color theme="1"/>
        <rFont val="Calibri"/>
        <family val="2"/>
      </rPr>
      <t xml:space="preserve">Other Investing </t>
    </r>
    <r>
      <rPr>
        <i/>
        <sz val="8"/>
        <color theme="1"/>
        <rFont val="Calibri"/>
        <family val="2"/>
      </rPr>
      <t>consists of: Other Investing + Intangible asset acquisition costs.</t>
    </r>
  </si>
  <si>
    <t>(-) Research and development</t>
  </si>
  <si>
    <t>(-) Sales and marketing</t>
  </si>
  <si>
    <t>(-) General and administrative</t>
  </si>
  <si>
    <t>(-) Depreciation and amortization</t>
  </si>
  <si>
    <t>(+/-) Maturities / (Purchases) of available-for-sale securities</t>
  </si>
  <si>
    <t>(+/-) Divestitures / (Acquisitions)</t>
  </si>
  <si>
    <t>(+/-) Other Investing Activities</t>
  </si>
  <si>
    <t>(+/-) Other Operating Activities</t>
  </si>
  <si>
    <t>Short-term Investments</t>
  </si>
  <si>
    <t>Long-term Investments</t>
  </si>
  <si>
    <t>Unearned Revenue, Current</t>
  </si>
  <si>
    <t>Unearned Revenue, Non-Current</t>
  </si>
  <si>
    <t>Consolidated Debt</t>
  </si>
  <si>
    <t>$ in thousands except per share</t>
  </si>
  <si>
    <t>Other liabilities</t>
  </si>
  <si>
    <t>Supplemental disclosures of other cash flow information:</t>
  </si>
  <si>
    <r>
      <t xml:space="preserve">1) </t>
    </r>
    <r>
      <rPr>
        <b/>
        <i/>
        <sz val="8"/>
        <rFont val="Calibri"/>
        <family val="2"/>
      </rPr>
      <t>Prepaid expenses and other current assets consists of</t>
    </r>
    <r>
      <rPr>
        <i/>
        <sz val="8"/>
        <rFont val="Calibri"/>
        <family val="2"/>
      </rPr>
      <t>: Prepaid expenses and other current assets + Forward contracts + Deferred offering costs.</t>
    </r>
  </si>
  <si>
    <t>Revenue by Channel</t>
  </si>
  <si>
    <t>Galectin Therapeutics Inc (NASDAQ: GALT)</t>
  </si>
  <si>
    <t>General and administrative</t>
  </si>
  <si>
    <t>Change in fair value of derivatives</t>
  </si>
  <si>
    <t>Prepaid expenses and other current assets</t>
  </si>
  <si>
    <t>Other</t>
  </si>
  <si>
    <t>Accrued expenses</t>
  </si>
  <si>
    <t>Accrued dividends payable</t>
  </si>
  <si>
    <t>Convertible notes payable and accrued interest</t>
  </si>
  <si>
    <t xml:space="preserve">Derivative liabilities </t>
  </si>
  <si>
    <t>Borrowing and accrued interest under convertible line of credit</t>
  </si>
  <si>
    <t>Series C 6% super dividend redeemable convertible preferred stock</t>
  </si>
  <si>
    <t>Common stock, $ 0.001  par value;  150,000,000  shares authorized at December 31, 2023 and 2022,  61,852,914  and  59,426,005  issued and outstanding at December 31, 2023 and 2022,
                respectively</t>
  </si>
  <si>
    <t>Undesignated stock</t>
  </si>
  <si>
    <t>Series A 12% convertible preferred stock</t>
  </si>
  <si>
    <t>-</t>
  </si>
  <si>
    <t>Stock-based compensation expense</t>
  </si>
  <si>
    <t>Amortization of right to use asset</t>
  </si>
  <si>
    <t>Non-cash interest expense</t>
  </si>
  <si>
    <t>Prepaid expenses and other assets</t>
  </si>
  <si>
    <t>Accounts payable, accrued expenses and other liabilities</t>
  </si>
  <si>
    <t>Accrued interest on convertible notes payable and convertible line of credit – related party</t>
  </si>
  <si>
    <t>Net proceeds from convertible line of credit – related party</t>
  </si>
  <si>
    <t>Net proceeds from exercise of common stock purchase warrants</t>
  </si>
  <si>
    <t>Net proceeds from convertible notes payable – related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</si>
</sst>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2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sz val="9"/>
      <color rgb="FF00B03C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b/>
      <i/>
      <sz val="8"/>
      <color theme="1"/>
      <name val="Calibri"/>
      <family val="2"/>
    </font>
    <font>
      <sz val="11"/>
      <color rgb="FF0000CC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48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0" fontId="10" fillId="0" borderId="0" xfId="0" applyFont="1" applyAlignment="1">
      <alignment horizontal="left" vertical="center" wrapText="1" inden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vertical="top"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4" borderId="0" xfId="1" applyNumberFormat="1" applyFont="1" applyFill="1" applyBorder="1" applyAlignment="1">
      <alignment horizontal="right" vertical="center" wrapText="1"/>
    </xf>
    <xf numFmtId="166" fontId="9" fillId="4" borderId="0" xfId="1" applyNumberFormat="1" applyFont="1" applyFill="1" applyBorder="1" applyAlignment="1">
      <alignment horizontal="right" vertical="center" wrapText="1"/>
    </xf>
    <xf numFmtId="168" fontId="9" fillId="4" borderId="0" xfId="1" applyNumberFormat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8" fillId="0" borderId="6" xfId="0" applyFont="1" applyBorder="1" applyAlignment="1">
      <alignment vertical="top" wrapText="1"/>
    </xf>
    <xf numFmtId="0" fontId="24" fillId="0" borderId="0" xfId="0" applyFont="1" applyAlignment="1">
      <alignment horizontal="right" vertical="center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6" fillId="5" borderId="2" xfId="0" applyNumberFormat="1" applyFont="1" applyFill="1" applyBorder="1" applyAlignment="1">
      <alignment horizontal="right" vertical="top" wrapText="1"/>
    </xf>
    <xf numFmtId="41" fontId="8" fillId="5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6" borderId="4" xfId="0" applyFont="1" applyFill="1" applyBorder="1" applyAlignment="1">
      <alignment horizontal="centerContinuous" vertical="center" wrapText="1"/>
    </xf>
    <xf numFmtId="0" fontId="4" fillId="6" borderId="0" xfId="0" applyFont="1" applyFill="1" applyAlignment="1">
      <alignment wrapText="1"/>
    </xf>
    <xf numFmtId="0" fontId="5" fillId="6" borderId="0" xfId="0" applyFont="1" applyFill="1" applyAlignment="1">
      <alignment horizontal="center" vertical="center" wrapText="1"/>
    </xf>
    <xf numFmtId="14" fontId="3" fillId="6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14" fontId="3" fillId="7" borderId="0" xfId="0" applyNumberFormat="1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vertical="center" wrapText="1"/>
    </xf>
    <xf numFmtId="5" fontId="6" fillId="0" borderId="0" xfId="0" applyNumberFormat="1" applyFont="1" applyAlignment="1">
      <alignment horizontal="right" vertical="top" wrapText="1"/>
    </xf>
    <xf numFmtId="166" fontId="10" fillId="8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41" fontId="6" fillId="0" borderId="0" xfId="0" applyNumberFormat="1" applyFont="1"/>
    <xf numFmtId="41" fontId="27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41" fontId="11" fillId="8" borderId="0" xfId="0" applyNumberFormat="1" applyFont="1" applyFill="1"/>
    <xf numFmtId="41" fontId="8" fillId="5" borderId="0" xfId="0" applyNumberFormat="1" applyFont="1" applyFill="1" applyAlignment="1">
      <alignment horizontal="right" vertical="top" wrapText="1"/>
    </xf>
    <xf numFmtId="41" fontId="6" fillId="0" borderId="7" xfId="0" applyNumberFormat="1" applyFont="1" applyBorder="1" applyAlignment="1">
      <alignment horizontal="right" vertical="top" wrapText="1"/>
    </xf>
    <xf numFmtId="37" fontId="4" fillId="0" borderId="8" xfId="0" applyNumberFormat="1" applyFont="1" applyBorder="1" applyAlignment="1">
      <alignment wrapText="1"/>
    </xf>
    <xf numFmtId="41" fontId="6" fillId="0" borderId="8" xfId="0" applyNumberFormat="1" applyFont="1" applyBorder="1" applyAlignment="1">
      <alignment horizontal="right" vertical="top" wrapText="1"/>
    </xf>
    <xf numFmtId="41" fontId="8" fillId="5" borderId="8" xfId="0" applyNumberFormat="1" applyFont="1" applyFill="1" applyBorder="1" applyAlignment="1">
      <alignment horizontal="right" vertical="top" wrapText="1"/>
    </xf>
    <xf numFmtId="41" fontId="6" fillId="5" borderId="9" xfId="0" applyNumberFormat="1" applyFont="1" applyFill="1" applyBorder="1" applyAlignment="1">
      <alignment horizontal="right" vertical="top" wrapText="1"/>
    </xf>
    <xf numFmtId="43" fontId="21" fillId="0" borderId="10" xfId="0" applyNumberFormat="1" applyFont="1" applyBorder="1" applyAlignment="1">
      <alignment wrapText="1"/>
    </xf>
    <xf numFmtId="41" fontId="6" fillId="0" borderId="10" xfId="0" applyNumberFormat="1" applyFont="1" applyBorder="1" applyAlignment="1">
      <alignment horizontal="right" vertical="top" wrapText="1"/>
    </xf>
    <xf numFmtId="41" fontId="8" fillId="0" borderId="11" xfId="0" applyNumberFormat="1" applyFont="1" applyBorder="1" applyAlignment="1">
      <alignment horizontal="right" vertical="top" wrapText="1"/>
    </xf>
    <xf numFmtId="0" fontId="8" fillId="0" borderId="12" xfId="0" applyFont="1" applyBorder="1" applyAlignment="1">
      <alignment horizontal="right" vertical="center" wrapText="1"/>
    </xf>
    <xf numFmtId="0" fontId="8" fillId="5" borderId="12" xfId="0" applyFont="1" applyFill="1" applyBorder="1" applyAlignment="1">
      <alignment horizontal="right" vertical="center" wrapText="1"/>
    </xf>
    <xf numFmtId="41" fontId="8" fillId="0" borderId="12" xfId="0" applyNumberFormat="1" applyFont="1" applyBorder="1" applyAlignment="1">
      <alignment horizontal="right" vertical="top" wrapText="1"/>
    </xf>
    <xf numFmtId="0" fontId="4" fillId="0" borderId="12" xfId="0" applyFont="1" applyBorder="1"/>
    <xf numFmtId="0" fontId="21" fillId="0" borderId="13" xfId="0" applyFont="1" applyBorder="1" applyAlignment="1">
      <alignment horizontal="right" vertical="top" wrapText="1"/>
    </xf>
    <xf numFmtId="41" fontId="25" fillId="8" borderId="0" xfId="0" applyNumberFormat="1" applyFont="1" applyFill="1"/>
    <xf numFmtId="0" fontId="6" fillId="0" borderId="0" xfId="0" applyFont="1"/>
    <xf numFmtId="169" fontId="16" fillId="0" borderId="0" xfId="0" applyNumberFormat="1" applyFont="1" applyAlignment="1">
      <alignment horizontal="right"/>
    </xf>
    <xf numFmtId="0" fontId="15" fillId="0" borderId="6" xfId="0" applyFont="1" applyBorder="1" applyAlignment="1">
      <alignment wrapText="1"/>
    </xf>
    <xf numFmtId="0" fontId="23" fillId="0" borderId="0" xfId="0" applyFont="1" applyAlignment="1">
      <alignment horizontal="left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10" fillId="0" borderId="3" xfId="0" quotePrefix="1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29" fillId="2" borderId="0" xfId="0" applyFont="1" applyFill="1" applyAlignment="1">
      <alignment horizontal="center" vertical="center" wrapText="1"/>
    </xf>
    <xf numFmtId="37" fontId="31" fillId="0" borderId="0" xfId="2" applyNumberFormat="1" applyFont="1" applyBorder="1" applyAlignment="1">
      <alignment wrapText="1"/>
    </xf>
    <xf numFmtId="0" fontId="0" fillId="0" borderId="0" xfId="0" applyAlignment="1">
      <alignment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E136"/>
  <sheetViews>
    <sheetView showGridLines="0" tabSelected="1" zoomScale="115" zoomScaleNormal="115" workbookViewId="0">
      <selection activeCell="B2" sqref="B2"/>
    </sheetView>
  </sheetViews>
  <sheetFormatPr defaultRowHeight="12" outlineLevelCol="1"/>
  <cols>
    <col min="1" max="1" width="1.625" style="5" bestFit="1" customWidth="1"/>
    <col min="2" max="2" width="49.125" style="5" bestFit="1" customWidth="1"/>
    <col min="3" max="5" width="9.125" style="5" bestFit="1" customWidth="1"/>
    <col min="6" max="6" width="1.5" style="5" customWidth="1"/>
    <col min="7" max="9" width="7.875" style="5" customWidth="1"/>
    <col min="10" max="10" width="8.625" style="5" customWidth="1"/>
    <col min="11" max="13" width="7.875" style="5" customWidth="1"/>
    <col min="14" max="14" width="8.625" style="5" customWidth="1"/>
    <col min="15" max="17" width="7.875" style="5" customWidth="1"/>
    <col min="18" max="18" width="1.5" style="5" customWidth="1"/>
    <col min="19" max="19" width="8.625" style="5" hidden="1" customWidth="1" outlineLevel="1"/>
    <col min="20" max="22" width="8" style="5" hidden="1" customWidth="1" outlineLevel="1"/>
    <col min="23" max="23" width="8.625" style="5" hidden="1" customWidth="1" outlineLevel="1"/>
    <col min="24" max="24" width="8.25" style="5" hidden="1" customWidth="1" outlineLevel="1"/>
    <col min="25" max="25" width="8.25" style="5" bestFit="1" customWidth="1" collapsed="1"/>
    <col min="26" max="26" width="8.25" style="5" hidden="1" customWidth="1" outlineLevel="1"/>
    <col min="27" max="27" width="8.625" style="5" hidden="1" customWidth="1" outlineLevel="1"/>
    <col min="28" max="28" width="8.25" style="5" hidden="1" customWidth="1" outlineLevel="1"/>
    <col min="29" max="29" width="8.625" style="5" bestFit="1" customWidth="1" collapsed="1"/>
    <col min="30" max="30" width="1.25" style="5" customWidth="1"/>
    <col min="31" max="31" width="10.5" style="5" bestFit="1" customWidth="1"/>
    <col min="32" max="32" width="1.375" style="5" customWidth="1"/>
    <col min="33" max="16384" width="9" style="5"/>
  </cols>
  <sheetData>
    <row r="2" spans="1:31" ht="12.75" customHeight="1">
      <c r="B2" s="1" t="s">
        <v>137</v>
      </c>
      <c r="C2" s="91"/>
      <c r="D2" s="91"/>
      <c r="E2" s="91"/>
      <c r="F2" s="3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3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3"/>
      <c r="AE2" s="1"/>
    </row>
    <row r="3" spans="1:31" ht="12.75" customHeight="1">
      <c r="B3" s="6" t="s">
        <v>95</v>
      </c>
      <c r="C3" s="7"/>
      <c r="D3" s="7"/>
      <c r="E3" s="7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3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"/>
      <c r="AE3" s="1"/>
    </row>
    <row r="4" spans="1:31" ht="12.75" customHeight="1">
      <c r="B4" s="6" t="s">
        <v>132</v>
      </c>
      <c r="C4" s="3"/>
      <c r="D4" s="81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1"/>
    </row>
    <row r="6" spans="1:31" ht="12.75" customHeight="1">
      <c r="A6" s="5" t="s">
        <v>18</v>
      </c>
      <c r="B6" s="1" t="s">
        <v>93</v>
      </c>
      <c r="C6" s="2" t="s">
        <v>0</v>
      </c>
      <c r="D6" s="2"/>
      <c r="E6" s="2"/>
      <c r="F6" s="3"/>
      <c r="G6" s="2" t="s">
        <v>1</v>
      </c>
      <c r="H6" s="2"/>
      <c r="I6" s="2"/>
      <c r="J6" s="2"/>
      <c r="K6" s="2"/>
      <c r="L6" s="2"/>
      <c r="M6" s="2"/>
      <c r="N6" s="2"/>
      <c r="O6" s="2"/>
      <c r="P6" s="2"/>
      <c r="Q6" s="2" t="s">
        <v>1</v>
      </c>
      <c r="R6" s="3"/>
      <c r="S6" s="2"/>
      <c r="T6" s="2"/>
      <c r="U6" s="2"/>
      <c r="V6" s="2"/>
      <c r="W6" s="2"/>
      <c r="X6" s="2"/>
      <c r="Y6" s="2" t="s">
        <v>9</v>
      </c>
      <c r="Z6" s="2"/>
      <c r="AA6" s="2"/>
      <c r="AB6" s="2"/>
      <c r="AC6" s="2"/>
      <c r="AD6" s="36"/>
      <c r="AE6" s="140" t="s">
        <v>24</v>
      </c>
    </row>
    <row r="7" spans="1:31" ht="12.75" customHeight="1">
      <c r="B7" s="6" t="s">
        <v>96</v>
      </c>
      <c r="C7" s="7">
        <v>2021</v>
      </c>
      <c r="D7" s="7">
        <v>2022</v>
      </c>
      <c r="E7" s="7">
        <v>2023</v>
      </c>
      <c r="F7" s="3"/>
      <c r="G7" s="4" t="s">
        <v>26</v>
      </c>
      <c r="H7" s="4" t="s">
        <v>27</v>
      </c>
      <c r="I7" s="4" t="s">
        <v>28</v>
      </c>
      <c r="J7" s="4" t="s">
        <v>29</v>
      </c>
      <c r="K7" s="4" t="s">
        <v>5</v>
      </c>
      <c r="L7" s="4" t="s">
        <v>6</v>
      </c>
      <c r="M7" s="4" t="s">
        <v>7</v>
      </c>
      <c r="N7" s="4" t="s">
        <v>8</v>
      </c>
      <c r="O7" s="4" t="s">
        <v>2</v>
      </c>
      <c r="P7" s="4" t="s">
        <v>3</v>
      </c>
      <c r="Q7" s="4" t="s">
        <v>4</v>
      </c>
      <c r="R7" s="4"/>
      <c r="S7" s="4" t="str">
        <f t="shared" ref="S7:AB8" si="0">G7</f>
        <v>1Q22</v>
      </c>
      <c r="T7" s="4" t="str">
        <f t="shared" si="0"/>
        <v>2Q22</v>
      </c>
      <c r="U7" s="4" t="str">
        <f t="shared" si="0"/>
        <v>3Q22</v>
      </c>
      <c r="V7" s="4" t="str">
        <f t="shared" si="0"/>
        <v>4Q22</v>
      </c>
      <c r="W7" s="4" t="str">
        <f t="shared" si="0"/>
        <v>1Q23</v>
      </c>
      <c r="X7" s="4" t="str">
        <f t="shared" si="0"/>
        <v>2Q23</v>
      </c>
      <c r="Y7" s="4" t="str">
        <f t="shared" si="0"/>
        <v>3Q23</v>
      </c>
      <c r="Z7" s="4" t="str">
        <f t="shared" si="0"/>
        <v>4Q23</v>
      </c>
      <c r="AA7" s="4" t="str">
        <f t="shared" si="0"/>
        <v>1Q24</v>
      </c>
      <c r="AB7" s="4" t="str">
        <f t="shared" si="0"/>
        <v>2Q24</v>
      </c>
      <c r="AC7" s="4" t="str">
        <f>Q7</f>
        <v>3Q24</v>
      </c>
      <c r="AD7" s="36"/>
      <c r="AE7" s="140"/>
    </row>
    <row r="8" spans="1:31" ht="12.75" customHeight="1">
      <c r="B8" s="6" t="s">
        <v>97</v>
      </c>
      <c r="C8" s="3">
        <v>44561</v>
      </c>
      <c r="D8" s="81">
        <v>44926</v>
      </c>
      <c r="E8" s="3">
        <v>45291</v>
      </c>
      <c r="F8" s="3"/>
      <c r="G8" s="3">
        <v>44651</v>
      </c>
      <c r="H8" s="3">
        <v>44742</v>
      </c>
      <c r="I8" s="3">
        <v>44834</v>
      </c>
      <c r="J8" s="3">
        <v>44926</v>
      </c>
      <c r="K8" s="3">
        <v>45016</v>
      </c>
      <c r="L8" s="3">
        <v>45107</v>
      </c>
      <c r="M8" s="3">
        <v>45199</v>
      </c>
      <c r="N8" s="3">
        <v>45291</v>
      </c>
      <c r="O8" s="3">
        <v>45382</v>
      </c>
      <c r="P8" s="3">
        <v>45473</v>
      </c>
      <c r="Q8" s="3">
        <v>45565</v>
      </c>
      <c r="R8" s="3"/>
      <c r="S8" s="3">
        <f t="shared" si="0"/>
        <v>44651</v>
      </c>
      <c r="T8" s="3">
        <f t="shared" si="0"/>
        <v>44742</v>
      </c>
      <c r="U8" s="3">
        <f t="shared" si="0"/>
        <v>44834</v>
      </c>
      <c r="V8" s="3">
        <f t="shared" si="0"/>
        <v>44926</v>
      </c>
      <c r="W8" s="3">
        <f t="shared" si="0"/>
        <v>45016</v>
      </c>
      <c r="X8" s="3">
        <f t="shared" si="0"/>
        <v>45107</v>
      </c>
      <c r="Y8" s="3">
        <f t="shared" si="0"/>
        <v>45199</v>
      </c>
      <c r="Z8" s="3">
        <f t="shared" si="0"/>
        <v>45291</v>
      </c>
      <c r="AA8" s="3">
        <f t="shared" si="0"/>
        <v>45382</v>
      </c>
      <c r="AB8" s="3">
        <f t="shared" si="0"/>
        <v>45473</v>
      </c>
      <c r="AC8" s="3">
        <f>Q8</f>
        <v>45565</v>
      </c>
      <c r="AD8" s="36"/>
      <c r="AE8" s="140"/>
    </row>
    <row r="9" spans="1:31" ht="5.0999999999999996" customHeight="1">
      <c r="AE9" s="90"/>
    </row>
    <row r="10" spans="1:31" ht="12.75" customHeight="1">
      <c r="B10" s="9" t="s">
        <v>72</v>
      </c>
      <c r="C10" s="79">
        <v>0</v>
      </c>
      <c r="D10" s="79">
        <v>0</v>
      </c>
      <c r="E10" s="79">
        <v>0</v>
      </c>
      <c r="F10" s="11"/>
      <c r="G10" s="79">
        <v>0</v>
      </c>
      <c r="H10" s="79">
        <v>0</v>
      </c>
      <c r="I10" s="79">
        <v>0</v>
      </c>
      <c r="J10" s="30">
        <f>SUM(C10-SUM(G10:I10))</f>
        <v>0</v>
      </c>
      <c r="K10" s="79">
        <v>0</v>
      </c>
      <c r="L10" s="79">
        <v>0</v>
      </c>
      <c r="M10" s="79">
        <v>0</v>
      </c>
      <c r="N10" s="30">
        <f>SUM(D10-SUM(K10:M10))</f>
        <v>0</v>
      </c>
      <c r="O10" s="79">
        <v>0</v>
      </c>
      <c r="P10" s="79">
        <v>0</v>
      </c>
      <c r="Q10" s="79">
        <v>0</v>
      </c>
      <c r="R10" s="30"/>
      <c r="S10" s="30">
        <f t="shared" ref="S10:AB10" si="1">SUM(D10:G10)</f>
        <v>0</v>
      </c>
      <c r="T10" s="30">
        <f t="shared" si="1"/>
        <v>0</v>
      </c>
      <c r="U10" s="30">
        <f t="shared" si="1"/>
        <v>0</v>
      </c>
      <c r="V10" s="30">
        <f t="shared" si="1"/>
        <v>0</v>
      </c>
      <c r="W10" s="30">
        <f t="shared" si="1"/>
        <v>0</v>
      </c>
      <c r="X10" s="30">
        <f t="shared" si="1"/>
        <v>0</v>
      </c>
      <c r="Y10" s="30">
        <f t="shared" si="1"/>
        <v>0</v>
      </c>
      <c r="Z10" s="30">
        <f t="shared" si="1"/>
        <v>0</v>
      </c>
      <c r="AA10" s="30">
        <f t="shared" si="1"/>
        <v>0</v>
      </c>
      <c r="AB10" s="30">
        <f t="shared" si="1"/>
        <v>0</v>
      </c>
      <c r="AC10" s="30">
        <f>SUM(N10:Q10)</f>
        <v>0</v>
      </c>
      <c r="AD10" s="38"/>
      <c r="AE10" s="70" t="e">
        <f>SUM(AC10/Y10)-1</f>
        <v>#DIV/0!</v>
      </c>
    </row>
    <row r="11" spans="1:31" ht="12.75" customHeight="1">
      <c r="B11" s="12" t="s">
        <v>11</v>
      </c>
      <c r="C11" s="13">
        <f t="shared" ref="C11:E11" si="2">+SUM(C10:C10)</f>
        <v>0</v>
      </c>
      <c r="D11" s="13">
        <f t="shared" si="2"/>
        <v>0</v>
      </c>
      <c r="E11" s="13">
        <f t="shared" si="2"/>
        <v>0</v>
      </c>
      <c r="F11" s="11"/>
      <c r="G11" s="13">
        <f t="shared" ref="G11:Q11" si="3">+SUM(G10:G10)</f>
        <v>0</v>
      </c>
      <c r="H11" s="13">
        <f t="shared" si="3"/>
        <v>0</v>
      </c>
      <c r="I11" s="13">
        <f t="shared" si="3"/>
        <v>0</v>
      </c>
      <c r="J11" s="13">
        <f t="shared" si="3"/>
        <v>0</v>
      </c>
      <c r="K11" s="13">
        <f t="shared" si="3"/>
        <v>0</v>
      </c>
      <c r="L11" s="13">
        <f t="shared" si="3"/>
        <v>0</v>
      </c>
      <c r="M11" s="13">
        <f t="shared" si="3"/>
        <v>0</v>
      </c>
      <c r="N11" s="13">
        <f t="shared" si="3"/>
        <v>0</v>
      </c>
      <c r="O11" s="13">
        <f t="shared" si="3"/>
        <v>0</v>
      </c>
      <c r="P11" s="13">
        <f t="shared" si="3"/>
        <v>0</v>
      </c>
      <c r="Q11" s="13">
        <f t="shared" si="3"/>
        <v>0</v>
      </c>
      <c r="S11" s="13">
        <f t="shared" ref="S11:AC11" si="4">+SUM(S10:S10)</f>
        <v>0</v>
      </c>
      <c r="T11" s="13">
        <f t="shared" si="4"/>
        <v>0</v>
      </c>
      <c r="U11" s="13">
        <f t="shared" si="4"/>
        <v>0</v>
      </c>
      <c r="V11" s="13">
        <f t="shared" si="4"/>
        <v>0</v>
      </c>
      <c r="W11" s="13">
        <f t="shared" si="4"/>
        <v>0</v>
      </c>
      <c r="X11" s="13">
        <f t="shared" si="4"/>
        <v>0</v>
      </c>
      <c r="Y11" s="13">
        <f t="shared" si="4"/>
        <v>0</v>
      </c>
      <c r="Z11" s="13">
        <f t="shared" si="4"/>
        <v>0</v>
      </c>
      <c r="AA11" s="13">
        <f t="shared" si="4"/>
        <v>0</v>
      </c>
      <c r="AB11" s="13">
        <f t="shared" si="4"/>
        <v>0</v>
      </c>
      <c r="AC11" s="13">
        <f t="shared" si="4"/>
        <v>0</v>
      </c>
      <c r="AD11" s="38"/>
      <c r="AE11" s="71" t="e">
        <f t="shared" ref="AE11:AE29" si="5">SUM(AC11/Y11)-1</f>
        <v>#DIV/0!</v>
      </c>
    </row>
    <row r="12" spans="1:31" s="18" customFormat="1" ht="5.0999999999999996" customHeight="1">
      <c r="B12" s="16"/>
      <c r="C12" s="17"/>
      <c r="D12" s="17"/>
      <c r="E12" s="1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AE12" s="70"/>
    </row>
    <row r="13" spans="1:31" ht="12.75" customHeight="1">
      <c r="B13" s="9" t="s">
        <v>12</v>
      </c>
      <c r="C13" s="79">
        <v>0</v>
      </c>
      <c r="D13" s="79">
        <v>0</v>
      </c>
      <c r="E13" s="79">
        <v>0</v>
      </c>
      <c r="F13" s="22"/>
      <c r="G13" s="79">
        <v>0</v>
      </c>
      <c r="H13" s="79">
        <v>0</v>
      </c>
      <c r="I13" s="79">
        <v>0</v>
      </c>
      <c r="J13" s="30">
        <f>SUM(C13-SUM(G13:I13))</f>
        <v>0</v>
      </c>
      <c r="K13" s="79">
        <v>0</v>
      </c>
      <c r="L13" s="79">
        <v>0</v>
      </c>
      <c r="M13" s="79">
        <v>0</v>
      </c>
      <c r="N13" s="30">
        <f>SUM(D13-SUM(K13:M13))</f>
        <v>0</v>
      </c>
      <c r="O13" s="79">
        <v>0</v>
      </c>
      <c r="P13" s="79">
        <v>0</v>
      </c>
      <c r="Q13" s="79">
        <v>0</v>
      </c>
      <c r="S13" s="30">
        <f>SUM(H13:K13)</f>
        <v>0</v>
      </c>
      <c r="T13" s="30">
        <f>SUM(I13:L13)</f>
        <v>0</v>
      </c>
      <c r="U13" s="30">
        <f>SUM(J13:M13)</f>
        <v>0</v>
      </c>
      <c r="V13" s="30">
        <f>SUM(K13:N13)</f>
        <v>0</v>
      </c>
      <c r="W13" s="30">
        <f>SUM(L13:O13)</f>
        <v>0</v>
      </c>
      <c r="X13" s="30">
        <f>SUM(M13:P13)</f>
        <v>0</v>
      </c>
      <c r="Y13" s="30">
        <f t="shared" ref="Y13" si="6">SUM(J13:M13)</f>
        <v>0</v>
      </c>
      <c r="Z13" s="30">
        <f t="shared" ref="Z13" si="7">SUM(K13:N13)</f>
        <v>0</v>
      </c>
      <c r="AA13" s="30">
        <f t="shared" ref="AA13" si="8">SUM(L13:O13)</f>
        <v>0</v>
      </c>
      <c r="AB13" s="30">
        <f t="shared" ref="AB13" si="9">SUM(M13:P13)</f>
        <v>0</v>
      </c>
      <c r="AC13" s="30">
        <f>SUM(N13:Q13)</f>
        <v>0</v>
      </c>
      <c r="AD13" s="11"/>
      <c r="AE13" s="70" t="e">
        <f t="shared" si="5"/>
        <v>#DIV/0!</v>
      </c>
    </row>
    <row r="14" spans="1:31" ht="12.75" customHeight="1">
      <c r="B14" s="23" t="s">
        <v>22</v>
      </c>
      <c r="C14" s="24">
        <f t="shared" ref="C14:E14" si="10">+SUM(C11+SUM(C13:C13))</f>
        <v>0</v>
      </c>
      <c r="D14" s="24">
        <f t="shared" si="10"/>
        <v>0</v>
      </c>
      <c r="E14" s="24">
        <f t="shared" si="10"/>
        <v>0</v>
      </c>
      <c r="G14" s="24">
        <f t="shared" ref="G14:Q14" si="11">+SUM(G11+SUM(G13:G13))</f>
        <v>0</v>
      </c>
      <c r="H14" s="24">
        <f t="shared" si="11"/>
        <v>0</v>
      </c>
      <c r="I14" s="24">
        <f t="shared" si="11"/>
        <v>0</v>
      </c>
      <c r="J14" s="24">
        <f t="shared" si="11"/>
        <v>0</v>
      </c>
      <c r="K14" s="24">
        <f t="shared" si="11"/>
        <v>0</v>
      </c>
      <c r="L14" s="24">
        <f t="shared" si="11"/>
        <v>0</v>
      </c>
      <c r="M14" s="24">
        <f t="shared" si="11"/>
        <v>0</v>
      </c>
      <c r="N14" s="24">
        <f t="shared" si="11"/>
        <v>0</v>
      </c>
      <c r="O14" s="24">
        <f t="shared" si="11"/>
        <v>0</v>
      </c>
      <c r="P14" s="24">
        <f t="shared" si="11"/>
        <v>0</v>
      </c>
      <c r="Q14" s="24">
        <f t="shared" si="11"/>
        <v>0</v>
      </c>
      <c r="S14" s="24">
        <f t="shared" ref="S14:AC14" si="12">+SUM(S11+SUM(S13:S13))</f>
        <v>0</v>
      </c>
      <c r="T14" s="24">
        <f t="shared" si="12"/>
        <v>0</v>
      </c>
      <c r="U14" s="24">
        <f t="shared" si="12"/>
        <v>0</v>
      </c>
      <c r="V14" s="24">
        <f t="shared" si="12"/>
        <v>0</v>
      </c>
      <c r="W14" s="24">
        <f t="shared" si="12"/>
        <v>0</v>
      </c>
      <c r="X14" s="24">
        <f t="shared" si="12"/>
        <v>0</v>
      </c>
      <c r="Y14" s="24">
        <f t="shared" si="12"/>
        <v>0</v>
      </c>
      <c r="Z14" s="24">
        <f t="shared" si="12"/>
        <v>0</v>
      </c>
      <c r="AA14" s="24">
        <f t="shared" si="12"/>
        <v>0</v>
      </c>
      <c r="AB14" s="24">
        <f t="shared" si="12"/>
        <v>0</v>
      </c>
      <c r="AC14" s="24">
        <f t="shared" si="12"/>
        <v>0</v>
      </c>
      <c r="AD14" s="40"/>
      <c r="AE14" s="71" t="e">
        <f t="shared" si="5"/>
        <v>#DIV/0!</v>
      </c>
    </row>
    <row r="15" spans="1:31" ht="12.75" customHeight="1">
      <c r="B15" s="14" t="s">
        <v>34</v>
      </c>
      <c r="C15" s="15" t="e">
        <f t="shared" ref="C15:E15" si="13">C14/C11</f>
        <v>#DIV/0!</v>
      </c>
      <c r="D15" s="15" t="e">
        <f t="shared" si="13"/>
        <v>#DIV/0!</v>
      </c>
      <c r="E15" s="15" t="e">
        <f t="shared" si="13"/>
        <v>#DIV/0!</v>
      </c>
      <c r="F15" s="25"/>
      <c r="G15" s="15" t="e">
        <f t="shared" ref="G15:Q15" si="14">G14/G11</f>
        <v>#DIV/0!</v>
      </c>
      <c r="H15" s="15" t="e">
        <f t="shared" si="14"/>
        <v>#DIV/0!</v>
      </c>
      <c r="I15" s="15" t="e">
        <f t="shared" si="14"/>
        <v>#DIV/0!</v>
      </c>
      <c r="J15" s="15" t="e">
        <f t="shared" si="14"/>
        <v>#DIV/0!</v>
      </c>
      <c r="K15" s="15" t="e">
        <f t="shared" si="14"/>
        <v>#DIV/0!</v>
      </c>
      <c r="L15" s="15" t="e">
        <f t="shared" si="14"/>
        <v>#DIV/0!</v>
      </c>
      <c r="M15" s="15" t="e">
        <f t="shared" si="14"/>
        <v>#DIV/0!</v>
      </c>
      <c r="N15" s="15" t="e">
        <f t="shared" si="14"/>
        <v>#DIV/0!</v>
      </c>
      <c r="O15" s="15" t="e">
        <f t="shared" si="14"/>
        <v>#DIV/0!</v>
      </c>
      <c r="P15" s="15" t="e">
        <f t="shared" si="14"/>
        <v>#DIV/0!</v>
      </c>
      <c r="Q15" s="15" t="e">
        <f t="shared" si="14"/>
        <v>#DIV/0!</v>
      </c>
      <c r="R15" s="26"/>
      <c r="S15" s="15" t="e">
        <f t="shared" ref="S15:AC15" si="15">S14/S11</f>
        <v>#DIV/0!</v>
      </c>
      <c r="T15" s="15" t="e">
        <f t="shared" si="15"/>
        <v>#DIV/0!</v>
      </c>
      <c r="U15" s="15" t="e">
        <f t="shared" si="15"/>
        <v>#DIV/0!</v>
      </c>
      <c r="V15" s="15" t="e">
        <f t="shared" si="15"/>
        <v>#DIV/0!</v>
      </c>
      <c r="W15" s="15" t="e">
        <f t="shared" si="15"/>
        <v>#DIV/0!</v>
      </c>
      <c r="X15" s="15" t="e">
        <f t="shared" si="15"/>
        <v>#DIV/0!</v>
      </c>
      <c r="Y15" s="15" t="e">
        <f t="shared" si="15"/>
        <v>#DIV/0!</v>
      </c>
      <c r="Z15" s="15" t="e">
        <f t="shared" si="15"/>
        <v>#DIV/0!</v>
      </c>
      <c r="AA15" s="15" t="e">
        <f t="shared" si="15"/>
        <v>#DIV/0!</v>
      </c>
      <c r="AB15" s="15" t="e">
        <f t="shared" si="15"/>
        <v>#DIV/0!</v>
      </c>
      <c r="AC15" s="15" t="e">
        <f t="shared" si="15"/>
        <v>#DIV/0!</v>
      </c>
      <c r="AD15" s="40"/>
      <c r="AE15" s="72" t="e">
        <f>SUM(AC15-Y15)*1000</f>
        <v>#DIV/0!</v>
      </c>
    </row>
    <row r="16" spans="1:31" ht="5.0999999999999996" customHeight="1"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40"/>
      <c r="AE16" s="70"/>
    </row>
    <row r="17" spans="2:31" ht="12.75" customHeight="1">
      <c r="B17" s="9" t="s">
        <v>111</v>
      </c>
      <c r="C17" s="79">
        <v>-23818</v>
      </c>
      <c r="D17" s="79">
        <v>-31737</v>
      </c>
      <c r="E17" s="79">
        <v>-32130</v>
      </c>
      <c r="F17" s="30"/>
      <c r="G17" s="79">
        <v>-8058</v>
      </c>
      <c r="H17" s="79">
        <v>-8074</v>
      </c>
      <c r="I17" s="79">
        <v>-6598</v>
      </c>
      <c r="J17" s="30">
        <f t="shared" ref="J17" si="16">SUM(D17-SUM(G17:I17))</f>
        <v>-9007</v>
      </c>
      <c r="K17" s="86">
        <v>-8799</v>
      </c>
      <c r="L17" s="86">
        <v>-7371</v>
      </c>
      <c r="M17" s="86">
        <v>-7732</v>
      </c>
      <c r="N17" s="30">
        <f t="shared" ref="N17" si="17">SUM(E17-SUM(K17:M17))</f>
        <v>-8228</v>
      </c>
      <c r="O17" s="79">
        <v>-8054</v>
      </c>
      <c r="P17" s="79">
        <v>-9813</v>
      </c>
      <c r="Q17" s="79">
        <v>-7595</v>
      </c>
      <c r="S17" s="30">
        <f>SUM(H17:K17)</f>
        <v>-32478</v>
      </c>
      <c r="T17" s="30">
        <f>SUM(I17:L17)</f>
        <v>-31775</v>
      </c>
      <c r="U17" s="30">
        <f>SUM(J17:M17)</f>
        <v>-32909</v>
      </c>
      <c r="V17" s="30">
        <f>SUM(K17:N17)</f>
        <v>-32130</v>
      </c>
      <c r="W17" s="30">
        <f>SUM(L17:O17)</f>
        <v>-31385</v>
      </c>
      <c r="X17" s="30">
        <f>SUM(M17:P17)</f>
        <v>-33827</v>
      </c>
      <c r="Y17" s="30">
        <f t="shared" ref="Y17:Y18" si="18">SUM(J17:M17)</f>
        <v>-32909</v>
      </c>
      <c r="Z17" s="30">
        <f t="shared" ref="Z17:Z18" si="19">SUM(K17:N17)</f>
        <v>-32130</v>
      </c>
      <c r="AA17" s="30">
        <f t="shared" ref="AA17:AA18" si="20">SUM(L17:O17)</f>
        <v>-31385</v>
      </c>
      <c r="AB17" s="30">
        <f t="shared" ref="AB17:AB18" si="21">SUM(M17:P17)</f>
        <v>-33827</v>
      </c>
      <c r="AC17" s="30">
        <f t="shared" ref="AC17:AC18" si="22">SUM(N17:Q17)</f>
        <v>-33690</v>
      </c>
      <c r="AD17" s="11"/>
      <c r="AE17" s="70">
        <f t="shared" si="5"/>
        <v>2.3732109757209185E-2</v>
      </c>
    </row>
    <row r="18" spans="2:31" ht="12.75" customHeight="1">
      <c r="B18" s="9" t="s">
        <v>138</v>
      </c>
      <c r="C18" s="79">
        <v>-6361</v>
      </c>
      <c r="D18" s="79">
        <v>-6615</v>
      </c>
      <c r="E18" s="79">
        <v>-5942</v>
      </c>
      <c r="F18" s="30"/>
      <c r="G18" s="79">
        <v>-1877</v>
      </c>
      <c r="H18" s="79">
        <v>-1588</v>
      </c>
      <c r="I18" s="79">
        <v>-1524</v>
      </c>
      <c r="J18" s="30">
        <f>SUM(D18-SUM(G18:I18))</f>
        <v>-1626</v>
      </c>
      <c r="K18" s="86">
        <v>-1543</v>
      </c>
      <c r="L18" s="86">
        <v>-1632</v>
      </c>
      <c r="M18" s="86">
        <v>-1434</v>
      </c>
      <c r="N18" s="30">
        <f>SUM(E18-SUM(K18:M18))</f>
        <v>-1333</v>
      </c>
      <c r="O18" s="79">
        <v>-1594</v>
      </c>
      <c r="P18" s="79">
        <v>-1478</v>
      </c>
      <c r="Q18" s="79">
        <v>-1471</v>
      </c>
      <c r="S18" s="30">
        <f>SUM(H18:K18)</f>
        <v>-6281</v>
      </c>
      <c r="T18" s="30">
        <f>SUM(I18:L18)</f>
        <v>-6325</v>
      </c>
      <c r="U18" s="30">
        <f>SUM(J18:M18)</f>
        <v>-6235</v>
      </c>
      <c r="V18" s="30">
        <f>SUM(K18:N18)</f>
        <v>-5942</v>
      </c>
      <c r="W18" s="30">
        <f>SUM(L18:O18)</f>
        <v>-5993</v>
      </c>
      <c r="X18" s="30">
        <f>SUM(M18:P18)</f>
        <v>-5839</v>
      </c>
      <c r="Y18" s="30">
        <f t="shared" si="18"/>
        <v>-6235</v>
      </c>
      <c r="Z18" s="30">
        <f t="shared" si="19"/>
        <v>-5942</v>
      </c>
      <c r="AA18" s="30">
        <f t="shared" si="20"/>
        <v>-5993</v>
      </c>
      <c r="AB18" s="30">
        <f t="shared" si="21"/>
        <v>-5839</v>
      </c>
      <c r="AC18" s="30">
        <f t="shared" si="22"/>
        <v>-5876</v>
      </c>
      <c r="AD18" s="11"/>
      <c r="AE18" s="70">
        <f t="shared" si="5"/>
        <v>-5.7578187650360824E-2</v>
      </c>
    </row>
    <row r="19" spans="2:31" ht="12.75" customHeight="1">
      <c r="B19" s="23" t="s">
        <v>98</v>
      </c>
      <c r="C19" s="24">
        <f>+SUM(C14+SUM(C17:C18))</f>
        <v>-30179</v>
      </c>
      <c r="D19" s="24">
        <f>+SUM(D14+SUM(D17:D18))</f>
        <v>-38352</v>
      </c>
      <c r="E19" s="24">
        <f>+SUM(E14+SUM(E17:E18))</f>
        <v>-38072</v>
      </c>
      <c r="F19" s="30"/>
      <c r="G19" s="24">
        <f>+SUM(G14+SUM(G17:G18))</f>
        <v>-9935</v>
      </c>
      <c r="H19" s="24">
        <f>+SUM(H14+SUM(H17:H18))</f>
        <v>-9662</v>
      </c>
      <c r="I19" s="24">
        <f>+SUM(I14+SUM(I17:I18))</f>
        <v>-8122</v>
      </c>
      <c r="J19" s="24">
        <f>+SUM(J14+SUM(J17:J18))</f>
        <v>-10633</v>
      </c>
      <c r="K19" s="24">
        <f>+SUM(K14+SUM(K17:K18))</f>
        <v>-10342</v>
      </c>
      <c r="L19" s="24">
        <f>+SUM(L14+SUM(L17:L18))</f>
        <v>-9003</v>
      </c>
      <c r="M19" s="24">
        <f>+SUM(M14+SUM(M17:M18))</f>
        <v>-9166</v>
      </c>
      <c r="N19" s="24">
        <f>+SUM(N14+SUM(N17:N18))</f>
        <v>-9561</v>
      </c>
      <c r="O19" s="24">
        <f>+SUM(O14+SUM(O17:O18))</f>
        <v>-9648</v>
      </c>
      <c r="P19" s="24">
        <f>+SUM(P14+SUM(P17:P18))</f>
        <v>-11291</v>
      </c>
      <c r="Q19" s="24">
        <f>+SUM(Q14+SUM(Q17:Q18))</f>
        <v>-9066</v>
      </c>
      <c r="S19" s="24">
        <f>+SUM(S14+SUM(S17:S18))</f>
        <v>-38759</v>
      </c>
      <c r="T19" s="24">
        <f>+SUM(T14+SUM(T17:T18))</f>
        <v>-38100</v>
      </c>
      <c r="U19" s="24">
        <f>+SUM(U14+SUM(U17:U18))</f>
        <v>-39144</v>
      </c>
      <c r="V19" s="24">
        <f>+SUM(V14+SUM(V17:V18))</f>
        <v>-38072</v>
      </c>
      <c r="W19" s="24">
        <f>+SUM(W14+SUM(W17:W18))</f>
        <v>-37378</v>
      </c>
      <c r="X19" s="24">
        <f>+SUM(X14+SUM(X17:X18))</f>
        <v>-39666</v>
      </c>
      <c r="Y19" s="24">
        <f>+SUM(Y14+SUM(Y17:Y18))</f>
        <v>-39144</v>
      </c>
      <c r="Z19" s="24">
        <f>+SUM(Z14+SUM(Z17:Z18))</f>
        <v>-38072</v>
      </c>
      <c r="AA19" s="24">
        <f>+SUM(AA14+SUM(AA17:AA18))</f>
        <v>-37378</v>
      </c>
      <c r="AB19" s="24">
        <f>+SUM(AB14+SUM(AB17:AB18))</f>
        <v>-39666</v>
      </c>
      <c r="AC19" s="24">
        <f>+SUM(AC14+SUM(AC17:AC18))</f>
        <v>-39566</v>
      </c>
      <c r="AD19" s="11"/>
      <c r="AE19" s="71">
        <f t="shared" si="5"/>
        <v>1.0780707132638456E-2</v>
      </c>
    </row>
    <row r="20" spans="2:31" ht="12.75" customHeight="1">
      <c r="B20" s="14" t="s">
        <v>36</v>
      </c>
      <c r="C20" s="15" t="e">
        <f>C19/C11</f>
        <v>#DIV/0!</v>
      </c>
      <c r="D20" s="15" t="e">
        <f>D19/D11</f>
        <v>#DIV/0!</v>
      </c>
      <c r="E20" s="15" t="e">
        <f>E19/E11</f>
        <v>#DIV/0!</v>
      </c>
      <c r="F20" s="30"/>
      <c r="G20" s="15" t="e">
        <f>G19/G11</f>
        <v>#DIV/0!</v>
      </c>
      <c r="H20" s="15" t="e">
        <f>H19/H11</f>
        <v>#DIV/0!</v>
      </c>
      <c r="I20" s="15" t="e">
        <f>I19/I11</f>
        <v>#DIV/0!</v>
      </c>
      <c r="J20" s="15" t="e">
        <f>J19/J11</f>
        <v>#DIV/0!</v>
      </c>
      <c r="K20" s="15" t="e">
        <f>K19/K11</f>
        <v>#DIV/0!</v>
      </c>
      <c r="L20" s="15" t="e">
        <f>L19/L11</f>
        <v>#DIV/0!</v>
      </c>
      <c r="M20" s="15" t="e">
        <f>M19/M11</f>
        <v>#DIV/0!</v>
      </c>
      <c r="N20" s="15" t="e">
        <f>N19/N11</f>
        <v>#DIV/0!</v>
      </c>
      <c r="O20" s="15" t="e">
        <f>O19/O11</f>
        <v>#DIV/0!</v>
      </c>
      <c r="P20" s="15" t="e">
        <f>P19/P11</f>
        <v>#DIV/0!</v>
      </c>
      <c r="Q20" s="15" t="e">
        <f>Q19/Q11</f>
        <v>#DIV/0!</v>
      </c>
      <c r="S20" s="15" t="e">
        <f>S19/S11</f>
        <v>#DIV/0!</v>
      </c>
      <c r="T20" s="15" t="e">
        <f>T19/T11</f>
        <v>#DIV/0!</v>
      </c>
      <c r="U20" s="15" t="e">
        <f>U19/U11</f>
        <v>#DIV/0!</v>
      </c>
      <c r="V20" s="15" t="e">
        <f>V19/V11</f>
        <v>#DIV/0!</v>
      </c>
      <c r="W20" s="15" t="e">
        <f>W19/W11</f>
        <v>#DIV/0!</v>
      </c>
      <c r="X20" s="15" t="e">
        <f>X19/X11</f>
        <v>#DIV/0!</v>
      </c>
      <c r="Y20" s="15" t="e">
        <f>Y19/Y11</f>
        <v>#DIV/0!</v>
      </c>
      <c r="Z20" s="15" t="e">
        <f>Z19/Z11</f>
        <v>#DIV/0!</v>
      </c>
      <c r="AA20" s="15" t="e">
        <f>AA19/AA11</f>
        <v>#DIV/0!</v>
      </c>
      <c r="AB20" s="15" t="e">
        <f>AB19/AB11</f>
        <v>#DIV/0!</v>
      </c>
      <c r="AC20" s="15" t="e">
        <f>AC19/AC11</f>
        <v>#DIV/0!</v>
      </c>
      <c r="AD20" s="11"/>
      <c r="AE20" s="72" t="e">
        <f>SUM(AC20-Y20)*1000</f>
        <v>#DIV/0!</v>
      </c>
    </row>
    <row r="21" spans="2:31" ht="5.0999999999999996" customHeight="1">
      <c r="B21" s="14"/>
      <c r="C21" s="15"/>
      <c r="D21" s="15"/>
      <c r="E21" s="15"/>
      <c r="F21" s="30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11"/>
      <c r="AE21" s="70"/>
    </row>
    <row r="22" spans="2:31" ht="12.75" customHeight="1">
      <c r="B22" s="9" t="s">
        <v>86</v>
      </c>
      <c r="C22" s="79">
        <v>3</v>
      </c>
      <c r="D22" s="79">
        <v>52</v>
      </c>
      <c r="E22" s="79">
        <v>230</v>
      </c>
      <c r="F22" s="30"/>
      <c r="G22" s="79">
        <v>1</v>
      </c>
      <c r="H22" s="79">
        <v>3</v>
      </c>
      <c r="I22" s="79">
        <v>18</v>
      </c>
      <c r="J22" s="30">
        <v>30</v>
      </c>
      <c r="K22" s="79">
        <v>44</v>
      </c>
      <c r="L22" s="79">
        <v>50</v>
      </c>
      <c r="M22" s="79">
        <v>62</v>
      </c>
      <c r="N22" s="30">
        <v>74</v>
      </c>
      <c r="O22" s="79">
        <v>80</v>
      </c>
      <c r="P22" s="79">
        <v>80</v>
      </c>
      <c r="Q22" s="79">
        <v>93</v>
      </c>
      <c r="S22" s="30">
        <f>SUM(H22:K22)</f>
        <v>95</v>
      </c>
      <c r="T22" s="30">
        <f>SUM(I22:L22)</f>
        <v>142</v>
      </c>
      <c r="U22" s="30">
        <f>SUM(J22:M22)</f>
        <v>186</v>
      </c>
      <c r="V22" s="30">
        <f>SUM(K22:N22)</f>
        <v>230</v>
      </c>
      <c r="W22" s="30">
        <f>SUM(L22:O22)</f>
        <v>266</v>
      </c>
      <c r="X22" s="30">
        <f>SUM(M22:P22)</f>
        <v>296</v>
      </c>
      <c r="Y22" s="30">
        <f t="shared" ref="Y22:Y24" si="23">SUM(J22:M22)</f>
        <v>186</v>
      </c>
      <c r="Z22" s="30">
        <f t="shared" ref="Z22:Z24" si="24">SUM(K22:N22)</f>
        <v>230</v>
      </c>
      <c r="AA22" s="30">
        <f t="shared" ref="AA22:AA24" si="25">SUM(L22:O22)</f>
        <v>266</v>
      </c>
      <c r="AB22" s="30">
        <f t="shared" ref="AB22:AB24" si="26">SUM(M22:P22)</f>
        <v>296</v>
      </c>
      <c r="AC22" s="30">
        <f t="shared" ref="AC22:AC24" si="27">SUM(N22:Q22)</f>
        <v>327</v>
      </c>
      <c r="AD22" s="11"/>
      <c r="AE22" s="70">
        <f t="shared" si="5"/>
        <v>0.75806451612903225</v>
      </c>
    </row>
    <row r="23" spans="2:31" ht="12.75" customHeight="1">
      <c r="B23" s="9" t="s">
        <v>87</v>
      </c>
      <c r="C23" s="79">
        <v>-489</v>
      </c>
      <c r="D23" s="79">
        <v>-1033</v>
      </c>
      <c r="E23" s="79">
        <v>-2792</v>
      </c>
      <c r="F23" s="30"/>
      <c r="G23" s="79">
        <v>-227</v>
      </c>
      <c r="H23" s="79">
        <v>-229</v>
      </c>
      <c r="I23" s="79">
        <v>-269</v>
      </c>
      <c r="J23" s="30">
        <v>-308</v>
      </c>
      <c r="K23" s="79">
        <v>-460</v>
      </c>
      <c r="L23" s="79">
        <v>-650</v>
      </c>
      <c r="M23" s="79">
        <v>-835</v>
      </c>
      <c r="N23" s="30">
        <v>-847</v>
      </c>
      <c r="O23" s="79">
        <v>-869</v>
      </c>
      <c r="P23" s="79">
        <v>-1269</v>
      </c>
      <c r="Q23" s="79">
        <v>-1494</v>
      </c>
      <c r="S23" s="30"/>
      <c r="T23" s="30"/>
      <c r="U23" s="30"/>
      <c r="V23" s="30"/>
      <c r="W23" s="30"/>
      <c r="X23" s="30"/>
      <c r="Y23" s="30">
        <f t="shared" si="23"/>
        <v>-2253</v>
      </c>
      <c r="Z23" s="30">
        <f t="shared" si="24"/>
        <v>-2792</v>
      </c>
      <c r="AA23" s="30">
        <f t="shared" si="25"/>
        <v>-3201</v>
      </c>
      <c r="AB23" s="30">
        <f t="shared" si="26"/>
        <v>-3820</v>
      </c>
      <c r="AC23" s="30">
        <f t="shared" si="27"/>
        <v>-4479</v>
      </c>
      <c r="AD23" s="11"/>
      <c r="AE23" s="70">
        <f t="shared" si="5"/>
        <v>0.98801597869507329</v>
      </c>
    </row>
    <row r="24" spans="2:31" ht="12.75" customHeight="1">
      <c r="B24" s="9" t="s">
        <v>139</v>
      </c>
      <c r="C24" s="79">
        <v>138</v>
      </c>
      <c r="D24" s="79">
        <v>557</v>
      </c>
      <c r="E24" s="79">
        <v>-432</v>
      </c>
      <c r="F24" s="30"/>
      <c r="G24" s="79">
        <v>229</v>
      </c>
      <c r="H24" s="79">
        <v>275</v>
      </c>
      <c r="I24" s="79">
        <v>-224</v>
      </c>
      <c r="J24" s="30">
        <v>277</v>
      </c>
      <c r="K24" s="79">
        <v>-769</v>
      </c>
      <c r="L24" s="79">
        <v>489</v>
      </c>
      <c r="M24" s="79">
        <v>-489</v>
      </c>
      <c r="N24" s="30">
        <v>337</v>
      </c>
      <c r="O24" s="79">
        <v>-1052</v>
      </c>
      <c r="P24" s="79">
        <v>109</v>
      </c>
      <c r="Q24" s="79">
        <v>-753</v>
      </c>
      <c r="S24" s="30"/>
      <c r="T24" s="30"/>
      <c r="U24" s="30"/>
      <c r="V24" s="30"/>
      <c r="W24" s="30"/>
      <c r="X24" s="30"/>
      <c r="Y24" s="30">
        <f t="shared" si="23"/>
        <v>-492</v>
      </c>
      <c r="Z24" s="30">
        <f t="shared" si="24"/>
        <v>-432</v>
      </c>
      <c r="AA24" s="30">
        <f t="shared" si="25"/>
        <v>-715</v>
      </c>
      <c r="AB24" s="30">
        <f t="shared" si="26"/>
        <v>-1095</v>
      </c>
      <c r="AC24" s="30">
        <f t="shared" si="27"/>
        <v>-1359</v>
      </c>
      <c r="AD24" s="11"/>
      <c r="AE24" s="70">
        <f t="shared" si="5"/>
        <v>1.7621951219512195</v>
      </c>
    </row>
    <row r="25" spans="2:31" ht="12.75" customHeight="1">
      <c r="B25" s="23" t="s">
        <v>99</v>
      </c>
      <c r="C25" s="24">
        <f>SUM(C19+SUM(C22:C24))</f>
        <v>-30527</v>
      </c>
      <c r="D25" s="24">
        <f>SUM(D19+SUM(D22:D24))</f>
        <v>-38776</v>
      </c>
      <c r="E25" s="24">
        <f>SUM(E19+SUM(E22:E24))</f>
        <v>-41066</v>
      </c>
      <c r="G25" s="24">
        <f>SUM(G19+SUM(G22:G24))</f>
        <v>-9932</v>
      </c>
      <c r="H25" s="24">
        <f>SUM(H19+SUM(H22:H24))</f>
        <v>-9613</v>
      </c>
      <c r="I25" s="24">
        <f>SUM(I19+SUM(I22:I24))</f>
        <v>-8597</v>
      </c>
      <c r="J25" s="24">
        <f>SUM(J19+SUM(J22:J24))</f>
        <v>-10634</v>
      </c>
      <c r="K25" s="24">
        <f>SUM(K19+SUM(K22:K24))</f>
        <v>-11527</v>
      </c>
      <c r="L25" s="24">
        <f>SUM(L19+SUM(L22:L24))</f>
        <v>-9114</v>
      </c>
      <c r="M25" s="24">
        <f>SUM(M19+SUM(M22:M24))</f>
        <v>-10428</v>
      </c>
      <c r="N25" s="24">
        <f>SUM(N19+SUM(N22:N24))</f>
        <v>-9997</v>
      </c>
      <c r="O25" s="24">
        <f>SUM(O19+SUM(O22:O24))</f>
        <v>-11489</v>
      </c>
      <c r="P25" s="24">
        <f>SUM(P19+SUM(P22:P24))</f>
        <v>-12371</v>
      </c>
      <c r="Q25" s="24">
        <f>SUM(Q19+SUM(Q22:Q24))</f>
        <v>-11220</v>
      </c>
      <c r="S25" s="24">
        <f>SUM(S19+SUM(S22:S24))</f>
        <v>-38664</v>
      </c>
      <c r="T25" s="24">
        <f>SUM(T19+SUM(T22:T24))</f>
        <v>-37958</v>
      </c>
      <c r="U25" s="24">
        <f>SUM(U19+SUM(U22:U24))</f>
        <v>-38958</v>
      </c>
      <c r="V25" s="24">
        <f>SUM(V19+SUM(V22:V24))</f>
        <v>-37842</v>
      </c>
      <c r="W25" s="24">
        <f>SUM(W19+SUM(W22:W24))</f>
        <v>-37112</v>
      </c>
      <c r="X25" s="24">
        <f>SUM(X19+SUM(X22:X24))</f>
        <v>-39370</v>
      </c>
      <c r="Y25" s="24">
        <f>SUM(Y19+SUM(Y22:Y24))</f>
        <v>-41703</v>
      </c>
      <c r="Z25" s="24">
        <f>SUM(Z19+SUM(Z22:Z24))</f>
        <v>-41066</v>
      </c>
      <c r="AA25" s="24">
        <f>SUM(AA19+SUM(AA22:AA24))</f>
        <v>-41028</v>
      </c>
      <c r="AB25" s="24">
        <f>SUM(AB19+SUM(AB22:AB24))</f>
        <v>-44285</v>
      </c>
      <c r="AC25" s="24">
        <f>SUM(AC19+SUM(AC22:AC24))</f>
        <v>-45077</v>
      </c>
      <c r="AD25" s="40"/>
      <c r="AE25" s="71">
        <f t="shared" si="5"/>
        <v>8.0905450447209981E-2</v>
      </c>
    </row>
    <row r="26" spans="2:31" ht="12.75" customHeight="1">
      <c r="B26" s="14" t="s">
        <v>100</v>
      </c>
      <c r="C26" s="15" t="e">
        <f>C25/C11</f>
        <v>#DIV/0!</v>
      </c>
      <c r="D26" s="15" t="e">
        <f>D25/D11</f>
        <v>#DIV/0!</v>
      </c>
      <c r="E26" s="15" t="e">
        <f>E25/E11</f>
        <v>#DIV/0!</v>
      </c>
      <c r="F26" s="25"/>
      <c r="G26" s="15" t="e">
        <f>G25/G11</f>
        <v>#DIV/0!</v>
      </c>
      <c r="H26" s="15" t="e">
        <f>H25/H11</f>
        <v>#DIV/0!</v>
      </c>
      <c r="I26" s="15" t="e">
        <f>I25/I11</f>
        <v>#DIV/0!</v>
      </c>
      <c r="J26" s="15" t="e">
        <f>J25/J11</f>
        <v>#DIV/0!</v>
      </c>
      <c r="K26" s="15" t="e">
        <f>K25/K11</f>
        <v>#DIV/0!</v>
      </c>
      <c r="L26" s="15" t="e">
        <f>L25/L11</f>
        <v>#DIV/0!</v>
      </c>
      <c r="M26" s="15" t="e">
        <f>M25/M11</f>
        <v>#DIV/0!</v>
      </c>
      <c r="N26" s="15" t="e">
        <f>N25/N11</f>
        <v>#DIV/0!</v>
      </c>
      <c r="O26" s="15" t="e">
        <f>O25/O11</f>
        <v>#DIV/0!</v>
      </c>
      <c r="P26" s="15" t="e">
        <f>P25/P11</f>
        <v>#DIV/0!</v>
      </c>
      <c r="Q26" s="15" t="e">
        <f>Q25/Q11</f>
        <v>#DIV/0!</v>
      </c>
      <c r="R26" s="26"/>
      <c r="S26" s="15" t="e">
        <f>S25/S11</f>
        <v>#DIV/0!</v>
      </c>
      <c r="T26" s="15" t="e">
        <f>T25/T11</f>
        <v>#DIV/0!</v>
      </c>
      <c r="U26" s="15" t="e">
        <f>U25/U11</f>
        <v>#DIV/0!</v>
      </c>
      <c r="V26" s="15" t="e">
        <f>V25/V11</f>
        <v>#DIV/0!</v>
      </c>
      <c r="W26" s="15" t="e">
        <f>W25/W11</f>
        <v>#DIV/0!</v>
      </c>
      <c r="X26" s="15" t="e">
        <f>X25/X11</f>
        <v>#DIV/0!</v>
      </c>
      <c r="Y26" s="15" t="e">
        <f>Y25/Y11</f>
        <v>#DIV/0!</v>
      </c>
      <c r="Z26" s="15" t="e">
        <f>Z25/Z11</f>
        <v>#DIV/0!</v>
      </c>
      <c r="AA26" s="15" t="e">
        <f>AA25/AA11</f>
        <v>#DIV/0!</v>
      </c>
      <c r="AB26" s="15" t="e">
        <f>AB25/AB11</f>
        <v>#DIV/0!</v>
      </c>
      <c r="AC26" s="15" t="e">
        <f>AC25/AC11</f>
        <v>#DIV/0!</v>
      </c>
      <c r="AD26" s="41"/>
      <c r="AE26" s="72" t="e">
        <f>SUM(AC26-Y26)*1000</f>
        <v>#DIV/0!</v>
      </c>
    </row>
    <row r="27" spans="2:31" ht="5.0999999999999996" customHeight="1">
      <c r="B27" s="27"/>
      <c r="C27" s="42"/>
      <c r="D27" s="42"/>
      <c r="E27" s="42"/>
      <c r="F27" s="28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1"/>
      <c r="AE27" s="70"/>
    </row>
    <row r="28" spans="2:31" ht="12.75" customHeight="1">
      <c r="B28" s="43" t="s">
        <v>116</v>
      </c>
      <c r="C28" s="79">
        <v>0</v>
      </c>
      <c r="D28" s="79">
        <v>0</v>
      </c>
      <c r="E28" s="79">
        <v>0</v>
      </c>
      <c r="F28" s="30"/>
      <c r="G28" s="79">
        <v>0</v>
      </c>
      <c r="H28" s="79">
        <v>0</v>
      </c>
      <c r="I28" s="79">
        <v>0</v>
      </c>
      <c r="J28" s="30">
        <f t="shared" ref="J28" si="28">SUM(C28-SUM(G28:I28))</f>
        <v>0</v>
      </c>
      <c r="K28" s="79">
        <v>0</v>
      </c>
      <c r="L28" s="79">
        <v>0</v>
      </c>
      <c r="M28" s="79">
        <v>0</v>
      </c>
      <c r="N28" s="30">
        <f t="shared" ref="N28" si="29">SUM(D28-SUM(K28:M28))</f>
        <v>0</v>
      </c>
      <c r="O28" s="79">
        <v>0</v>
      </c>
      <c r="P28" s="79">
        <v>0</v>
      </c>
      <c r="Q28" s="79">
        <v>0</v>
      </c>
      <c r="R28" s="30"/>
      <c r="S28" s="30">
        <f>SUM(H28:K28)</f>
        <v>0</v>
      </c>
      <c r="T28" s="30">
        <f>SUM(I28:L28)</f>
        <v>0</v>
      </c>
      <c r="U28" s="30">
        <f>SUM(J28:M28)</f>
        <v>0</v>
      </c>
      <c r="V28" s="30">
        <f>SUM(K28:N28)</f>
        <v>0</v>
      </c>
      <c r="W28" s="30">
        <f>SUM(L28:O28)</f>
        <v>0</v>
      </c>
      <c r="X28" s="30">
        <f>SUM(M28:P28)</f>
        <v>0</v>
      </c>
      <c r="Y28" s="30">
        <f t="shared" ref="Y28" si="30">SUM(J28:M28)</f>
        <v>0</v>
      </c>
      <c r="Z28" s="30">
        <f t="shared" ref="Z28" si="31">SUM(K28:N28)</f>
        <v>0</v>
      </c>
      <c r="AA28" s="30">
        <f t="shared" ref="AA28" si="32">SUM(L28:O28)</f>
        <v>0</v>
      </c>
      <c r="AB28" s="30">
        <f t="shared" ref="AB28" si="33">SUM(M28:P28)</f>
        <v>0</v>
      </c>
      <c r="AC28" s="30">
        <f>SUM(N28:Q28)</f>
        <v>0</v>
      </c>
      <c r="AD28" s="41"/>
      <c r="AE28" s="70" t="e">
        <f t="shared" si="5"/>
        <v>#DIV/0!</v>
      </c>
    </row>
    <row r="29" spans="2:31" ht="12.75" customHeight="1">
      <c r="B29" s="12" t="s">
        <v>63</v>
      </c>
      <c r="C29" s="13">
        <f t="shared" ref="C29:E29" si="34">SUM(C25+C28)</f>
        <v>-30527</v>
      </c>
      <c r="D29" s="13">
        <f t="shared" si="34"/>
        <v>-38776</v>
      </c>
      <c r="E29" s="13">
        <f t="shared" si="34"/>
        <v>-41066</v>
      </c>
      <c r="F29" s="11"/>
      <c r="G29" s="13">
        <f t="shared" ref="G29:Q29" si="35">SUM(G25+G28)</f>
        <v>-9932</v>
      </c>
      <c r="H29" s="13">
        <f t="shared" si="35"/>
        <v>-9613</v>
      </c>
      <c r="I29" s="13">
        <f t="shared" si="35"/>
        <v>-8597</v>
      </c>
      <c r="J29" s="13">
        <f t="shared" si="35"/>
        <v>-10634</v>
      </c>
      <c r="K29" s="13">
        <f t="shared" si="35"/>
        <v>-11527</v>
      </c>
      <c r="L29" s="13">
        <f t="shared" si="35"/>
        <v>-9114</v>
      </c>
      <c r="M29" s="13">
        <f t="shared" si="35"/>
        <v>-10428</v>
      </c>
      <c r="N29" s="13">
        <f t="shared" si="35"/>
        <v>-9997</v>
      </c>
      <c r="O29" s="13">
        <f t="shared" si="35"/>
        <v>-11489</v>
      </c>
      <c r="P29" s="13">
        <f t="shared" si="35"/>
        <v>-12371</v>
      </c>
      <c r="Q29" s="13">
        <f t="shared" si="35"/>
        <v>-11220</v>
      </c>
      <c r="R29" s="30"/>
      <c r="S29" s="13">
        <f t="shared" ref="S29:AC29" si="36">SUM(S25+S28)</f>
        <v>-38664</v>
      </c>
      <c r="T29" s="13">
        <f t="shared" si="36"/>
        <v>-37958</v>
      </c>
      <c r="U29" s="13">
        <f t="shared" si="36"/>
        <v>-38958</v>
      </c>
      <c r="V29" s="13">
        <f t="shared" si="36"/>
        <v>-37842</v>
      </c>
      <c r="W29" s="13">
        <f t="shared" si="36"/>
        <v>-37112</v>
      </c>
      <c r="X29" s="13">
        <f t="shared" si="36"/>
        <v>-39370</v>
      </c>
      <c r="Y29" s="13">
        <f t="shared" si="36"/>
        <v>-41703</v>
      </c>
      <c r="Z29" s="13">
        <f t="shared" si="36"/>
        <v>-41066</v>
      </c>
      <c r="AA29" s="13">
        <f t="shared" si="36"/>
        <v>-41028</v>
      </c>
      <c r="AB29" s="13">
        <f t="shared" si="36"/>
        <v>-44285</v>
      </c>
      <c r="AC29" s="13">
        <f t="shared" si="36"/>
        <v>-45077</v>
      </c>
      <c r="AD29" s="34"/>
      <c r="AE29" s="71">
        <f t="shared" si="5"/>
        <v>8.0905450447209981E-2</v>
      </c>
    </row>
    <row r="30" spans="2:31" ht="12.75" customHeight="1">
      <c r="B30" s="14" t="s">
        <v>77</v>
      </c>
      <c r="C30" s="15" t="e">
        <f>C29/C11</f>
        <v>#DIV/0!</v>
      </c>
      <c r="D30" s="15" t="e">
        <f>D29/D11</f>
        <v>#DIV/0!</v>
      </c>
      <c r="E30" s="15" t="e">
        <f>E29/E11</f>
        <v>#DIV/0!</v>
      </c>
      <c r="F30" s="25"/>
      <c r="G30" s="15" t="e">
        <f>G29/G11</f>
        <v>#DIV/0!</v>
      </c>
      <c r="H30" s="15" t="e">
        <f>H29/H11</f>
        <v>#DIV/0!</v>
      </c>
      <c r="I30" s="15" t="e">
        <f>I29/I11</f>
        <v>#DIV/0!</v>
      </c>
      <c r="J30" s="15" t="e">
        <f>J29/J11</f>
        <v>#DIV/0!</v>
      </c>
      <c r="K30" s="15" t="e">
        <f>K29/K11</f>
        <v>#DIV/0!</v>
      </c>
      <c r="L30" s="15" t="e">
        <f>L29/L11</f>
        <v>#DIV/0!</v>
      </c>
      <c r="M30" s="15" t="e">
        <f>M29/M11</f>
        <v>#DIV/0!</v>
      </c>
      <c r="N30" s="15" t="e">
        <f>N29/N11</f>
        <v>#DIV/0!</v>
      </c>
      <c r="O30" s="15" t="e">
        <f>O29/O11</f>
        <v>#DIV/0!</v>
      </c>
      <c r="P30" s="15" t="e">
        <f>P29/P11</f>
        <v>#DIV/0!</v>
      </c>
      <c r="Q30" s="15" t="e">
        <f>Q29/Q11</f>
        <v>#DIV/0!</v>
      </c>
      <c r="R30" s="26"/>
      <c r="S30" s="15" t="e">
        <f>S29/S11</f>
        <v>#DIV/0!</v>
      </c>
      <c r="T30" s="15" t="e">
        <f>T29/T11</f>
        <v>#DIV/0!</v>
      </c>
      <c r="U30" s="15" t="e">
        <f>U29/U11</f>
        <v>#DIV/0!</v>
      </c>
      <c r="V30" s="15" t="e">
        <f>V29/V11</f>
        <v>#DIV/0!</v>
      </c>
      <c r="W30" s="15" t="e">
        <f>W29/W11</f>
        <v>#DIV/0!</v>
      </c>
      <c r="X30" s="15" t="e">
        <f>X29/X11</f>
        <v>#DIV/0!</v>
      </c>
      <c r="Y30" s="15" t="e">
        <f>Y29/Y11</f>
        <v>#DIV/0!</v>
      </c>
      <c r="Z30" s="15" t="e">
        <f>Z29/Z11</f>
        <v>#DIV/0!</v>
      </c>
      <c r="AA30" s="15" t="e">
        <f>AA29/AA11</f>
        <v>#DIV/0!</v>
      </c>
      <c r="AB30" s="15" t="e">
        <f>AB29/AB11</f>
        <v>#DIV/0!</v>
      </c>
      <c r="AC30" s="15" t="e">
        <f>AC29/AC11</f>
        <v>#DIV/0!</v>
      </c>
      <c r="AD30" s="41"/>
      <c r="AE30" s="72" t="e">
        <f>SUM(AC30-Y30)*1000</f>
        <v>#DIV/0!</v>
      </c>
    </row>
    <row r="31" spans="2:31" ht="5.0999999999999996" customHeight="1">
      <c r="B31" s="14"/>
      <c r="C31" s="15"/>
      <c r="D31" s="15"/>
      <c r="E31" s="15"/>
      <c r="F31" s="2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26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41"/>
      <c r="AE31" s="72"/>
    </row>
    <row r="32" spans="2:31" ht="12.75" customHeight="1">
      <c r="B32" s="43" t="s">
        <v>78</v>
      </c>
      <c r="C32" s="79"/>
      <c r="D32" s="79"/>
      <c r="E32" s="79"/>
      <c r="F32" s="25"/>
      <c r="G32" s="79"/>
      <c r="H32" s="79"/>
      <c r="I32" s="79"/>
      <c r="J32" s="30">
        <f>D32</f>
        <v>0</v>
      </c>
      <c r="K32" s="79"/>
      <c r="L32" s="79"/>
      <c r="M32" s="79"/>
      <c r="N32" s="30">
        <f>E32</f>
        <v>0</v>
      </c>
      <c r="O32" s="79"/>
      <c r="P32" s="79"/>
      <c r="Q32" s="79"/>
      <c r="R32" s="30"/>
      <c r="S32" s="30">
        <f t="shared" ref="S32:AB32" si="37">G32</f>
        <v>0</v>
      </c>
      <c r="T32" s="30">
        <f t="shared" si="37"/>
        <v>0</v>
      </c>
      <c r="U32" s="30">
        <f t="shared" si="37"/>
        <v>0</v>
      </c>
      <c r="V32" s="30">
        <f t="shared" si="37"/>
        <v>0</v>
      </c>
      <c r="W32" s="30">
        <f t="shared" si="37"/>
        <v>0</v>
      </c>
      <c r="X32" s="30">
        <f t="shared" si="37"/>
        <v>0</v>
      </c>
      <c r="Y32" s="30">
        <f t="shared" si="37"/>
        <v>0</v>
      </c>
      <c r="Z32" s="30">
        <f t="shared" si="37"/>
        <v>0</v>
      </c>
      <c r="AA32" s="30">
        <f t="shared" si="37"/>
        <v>0</v>
      </c>
      <c r="AB32" s="30">
        <f t="shared" si="37"/>
        <v>0</v>
      </c>
      <c r="AC32" s="30">
        <f>Q32</f>
        <v>0</v>
      </c>
      <c r="AD32" s="41"/>
      <c r="AE32" s="70" t="e">
        <f t="shared" ref="AE32" si="38">SUM(AC32/Y32)-1</f>
        <v>#DIV/0!</v>
      </c>
    </row>
    <row r="33" spans="1:31" ht="12.75" customHeight="1">
      <c r="B33" s="12" t="s">
        <v>79</v>
      </c>
      <c r="C33" s="73" t="e">
        <f t="shared" ref="C33:E33" si="39">C29/C32</f>
        <v>#DIV/0!</v>
      </c>
      <c r="D33" s="73" t="e">
        <f t="shared" si="39"/>
        <v>#DIV/0!</v>
      </c>
      <c r="E33" s="73" t="e">
        <f t="shared" si="39"/>
        <v>#DIV/0!</v>
      </c>
      <c r="F33" s="11"/>
      <c r="G33" s="73" t="e">
        <f t="shared" ref="G33:Q33" si="40">G29/G32</f>
        <v>#DIV/0!</v>
      </c>
      <c r="H33" s="73" t="e">
        <f t="shared" si="40"/>
        <v>#DIV/0!</v>
      </c>
      <c r="I33" s="73" t="e">
        <f t="shared" si="40"/>
        <v>#DIV/0!</v>
      </c>
      <c r="J33" s="73" t="e">
        <f t="shared" si="40"/>
        <v>#DIV/0!</v>
      </c>
      <c r="K33" s="73" t="e">
        <f t="shared" si="40"/>
        <v>#DIV/0!</v>
      </c>
      <c r="L33" s="73" t="e">
        <f t="shared" si="40"/>
        <v>#DIV/0!</v>
      </c>
      <c r="M33" s="73" t="e">
        <f t="shared" si="40"/>
        <v>#DIV/0!</v>
      </c>
      <c r="N33" s="73" t="e">
        <f>N29/N32</f>
        <v>#DIV/0!</v>
      </c>
      <c r="O33" s="73" t="e">
        <f t="shared" si="40"/>
        <v>#DIV/0!</v>
      </c>
      <c r="P33" s="73" t="e">
        <f t="shared" si="40"/>
        <v>#DIV/0!</v>
      </c>
      <c r="Q33" s="73" t="e">
        <f t="shared" si="40"/>
        <v>#DIV/0!</v>
      </c>
      <c r="R33" s="26"/>
      <c r="S33" s="73" t="e">
        <f t="shared" ref="S33:AC33" si="41">S29/S32</f>
        <v>#DIV/0!</v>
      </c>
      <c r="T33" s="73" t="e">
        <f t="shared" si="41"/>
        <v>#DIV/0!</v>
      </c>
      <c r="U33" s="73" t="e">
        <f t="shared" si="41"/>
        <v>#DIV/0!</v>
      </c>
      <c r="V33" s="73" t="e">
        <f t="shared" si="41"/>
        <v>#DIV/0!</v>
      </c>
      <c r="W33" s="73" t="e">
        <f t="shared" si="41"/>
        <v>#DIV/0!</v>
      </c>
      <c r="X33" s="73" t="e">
        <f t="shared" si="41"/>
        <v>#DIV/0!</v>
      </c>
      <c r="Y33" s="73" t="e">
        <f t="shared" si="41"/>
        <v>#DIV/0!</v>
      </c>
      <c r="Z33" s="73" t="e">
        <f t="shared" si="41"/>
        <v>#DIV/0!</v>
      </c>
      <c r="AA33" s="73" t="e">
        <f t="shared" si="41"/>
        <v>#DIV/0!</v>
      </c>
      <c r="AB33" s="73" t="e">
        <f t="shared" si="41"/>
        <v>#DIV/0!</v>
      </c>
      <c r="AC33" s="73" t="e">
        <f t="shared" si="41"/>
        <v>#DIV/0!</v>
      </c>
      <c r="AD33" s="34"/>
      <c r="AE33" s="71" t="e">
        <f>SUM(AC33/Y33)-1</f>
        <v>#DIV/0!</v>
      </c>
    </row>
    <row r="34" spans="1:31" ht="5.0999999999999996" customHeight="1">
      <c r="B34" s="14"/>
      <c r="C34" s="15"/>
      <c r="D34" s="15"/>
      <c r="E34" s="15"/>
      <c r="F34" s="2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26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41"/>
      <c r="AE34" s="72"/>
    </row>
    <row r="35" spans="1:31" ht="12.75" customHeight="1">
      <c r="B35" s="43" t="s">
        <v>80</v>
      </c>
      <c r="C35" s="79">
        <v>58527</v>
      </c>
      <c r="D35" s="79">
        <v>59391</v>
      </c>
      <c r="E35" s="79">
        <v>60159</v>
      </c>
      <c r="F35" s="25"/>
      <c r="G35" s="79">
        <v>59354</v>
      </c>
      <c r="H35" s="79">
        <v>59389</v>
      </c>
      <c r="I35" s="79">
        <v>59396</v>
      </c>
      <c r="J35" s="30">
        <f>D35</f>
        <v>59391</v>
      </c>
      <c r="K35" s="79">
        <v>59480</v>
      </c>
      <c r="L35" s="79">
        <v>59582</v>
      </c>
      <c r="M35" s="79">
        <v>59704</v>
      </c>
      <c r="N35" s="30">
        <f>E35</f>
        <v>60159</v>
      </c>
      <c r="O35" s="79">
        <v>61976</v>
      </c>
      <c r="P35" s="79">
        <v>62233</v>
      </c>
      <c r="Q35" s="79">
        <v>62278</v>
      </c>
      <c r="R35" s="30"/>
      <c r="S35" s="30">
        <f>K35</f>
        <v>59480</v>
      </c>
      <c r="T35" s="30">
        <f>L35</f>
        <v>59582</v>
      </c>
      <c r="U35" s="30">
        <f>M35</f>
        <v>59704</v>
      </c>
      <c r="V35" s="30">
        <f>N35</f>
        <v>60159</v>
      </c>
      <c r="W35" s="30">
        <f>O35</f>
        <v>61976</v>
      </c>
      <c r="X35" s="30">
        <f>P35</f>
        <v>62233</v>
      </c>
      <c r="Y35" s="30">
        <f t="shared" ref="Y35" si="42">M35</f>
        <v>59704</v>
      </c>
      <c r="Z35" s="30">
        <f t="shared" ref="Z35" si="43">N35</f>
        <v>60159</v>
      </c>
      <c r="AA35" s="30">
        <f t="shared" ref="AA35" si="44">O35</f>
        <v>61976</v>
      </c>
      <c r="AB35" s="30">
        <f t="shared" ref="AB35" si="45">P35</f>
        <v>62233</v>
      </c>
      <c r="AC35" s="30">
        <f>Q35</f>
        <v>62278</v>
      </c>
      <c r="AD35" s="41"/>
      <c r="AE35" s="70">
        <f t="shared" ref="AE35" si="46">SUM(AC35/Y35)-1</f>
        <v>4.3112689267050808E-2</v>
      </c>
    </row>
    <row r="36" spans="1:31" ht="12.75" customHeight="1">
      <c r="B36" s="12" t="s">
        <v>81</v>
      </c>
      <c r="C36" s="73">
        <f t="shared" ref="C36:E36" si="47">C29/C35</f>
        <v>-0.52158832675517286</v>
      </c>
      <c r="D36" s="73">
        <f t="shared" si="47"/>
        <v>-0.65289353605765188</v>
      </c>
      <c r="E36" s="73">
        <f t="shared" si="47"/>
        <v>-0.68262437872969961</v>
      </c>
      <c r="F36" s="25"/>
      <c r="G36" s="73">
        <f t="shared" ref="G36:Q36" si="48">G29/G35</f>
        <v>-0.167334973211578</v>
      </c>
      <c r="H36" s="73">
        <f t="shared" si="48"/>
        <v>-0.16186499183350453</v>
      </c>
      <c r="I36" s="73">
        <f t="shared" si="48"/>
        <v>-0.14474038655801738</v>
      </c>
      <c r="J36" s="73">
        <f t="shared" si="48"/>
        <v>-0.17905069791719283</v>
      </c>
      <c r="K36" s="73">
        <f t="shared" si="48"/>
        <v>-0.19379623402824478</v>
      </c>
      <c r="L36" s="73">
        <f t="shared" si="48"/>
        <v>-0.15296566077003121</v>
      </c>
      <c r="M36" s="73">
        <f t="shared" si="48"/>
        <v>-0.17466166421010318</v>
      </c>
      <c r="N36" s="73">
        <f t="shared" si="48"/>
        <v>-0.16617629947306306</v>
      </c>
      <c r="O36" s="73">
        <f t="shared" si="48"/>
        <v>-0.18537821092035628</v>
      </c>
      <c r="P36" s="73">
        <f t="shared" si="48"/>
        <v>-0.19878521041890959</v>
      </c>
      <c r="Q36" s="73">
        <f t="shared" si="48"/>
        <v>-0.18015992806448505</v>
      </c>
      <c r="R36" s="30"/>
      <c r="S36" s="73">
        <f t="shared" ref="S36:AC36" si="49">S29/S35</f>
        <v>-0.65003362474781434</v>
      </c>
      <c r="T36" s="73">
        <f t="shared" si="49"/>
        <v>-0.63707159880500819</v>
      </c>
      <c r="U36" s="73">
        <f t="shared" si="49"/>
        <v>-0.65251909419804366</v>
      </c>
      <c r="V36" s="73">
        <f t="shared" si="49"/>
        <v>-0.6290330623846806</v>
      </c>
      <c r="W36" s="73">
        <f t="shared" si="49"/>
        <v>-0.59881244352652641</v>
      </c>
      <c r="X36" s="73">
        <f t="shared" si="49"/>
        <v>-0.63262256359166358</v>
      </c>
      <c r="Y36" s="73">
        <f t="shared" si="49"/>
        <v>-0.69849591317164683</v>
      </c>
      <c r="Z36" s="73">
        <f t="shared" si="49"/>
        <v>-0.68262437872969961</v>
      </c>
      <c r="AA36" s="73">
        <f t="shared" si="49"/>
        <v>-0.66199819284884476</v>
      </c>
      <c r="AB36" s="73">
        <f t="shared" si="49"/>
        <v>-0.71159995500779327</v>
      </c>
      <c r="AC36" s="73">
        <f t="shared" si="49"/>
        <v>-0.7238029480715501</v>
      </c>
      <c r="AD36" s="34"/>
      <c r="AE36" s="71">
        <f>SUM(AC36/Y36)-1</f>
        <v>3.6230755860821251E-2</v>
      </c>
    </row>
    <row r="37" spans="1:31">
      <c r="B37" s="14"/>
      <c r="C37" s="15"/>
      <c r="D37" s="15"/>
      <c r="E37" s="79"/>
      <c r="F37" s="2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26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41"/>
    </row>
    <row r="38" spans="1:31" ht="12.75" customHeight="1">
      <c r="A38" s="5" t="s">
        <v>18</v>
      </c>
      <c r="B38" s="96" t="s">
        <v>94</v>
      </c>
      <c r="C38" s="97" t="s">
        <v>0</v>
      </c>
      <c r="D38" s="97"/>
      <c r="E38" s="97"/>
      <c r="F38" s="98"/>
      <c r="G38" s="97" t="s">
        <v>1</v>
      </c>
      <c r="H38" s="97"/>
      <c r="I38" s="97"/>
      <c r="J38" s="97"/>
      <c r="K38" s="97"/>
      <c r="L38" s="97"/>
      <c r="M38" s="97"/>
      <c r="N38" s="97"/>
      <c r="O38" s="97"/>
      <c r="P38" s="97"/>
      <c r="Q38" s="97" t="s">
        <v>1</v>
      </c>
      <c r="R38" s="96"/>
      <c r="S38" s="97"/>
      <c r="T38" s="97"/>
      <c r="U38" s="97"/>
      <c r="V38" s="97"/>
      <c r="W38" s="97"/>
      <c r="X38" s="97"/>
      <c r="Y38" s="97" t="s">
        <v>9</v>
      </c>
      <c r="Z38" s="97"/>
      <c r="AA38" s="97"/>
      <c r="AB38" s="97"/>
      <c r="AC38" s="97"/>
      <c r="AD38" s="98"/>
      <c r="AE38" s="141" t="s">
        <v>24</v>
      </c>
    </row>
    <row r="39" spans="1:31" ht="12.75" customHeight="1">
      <c r="B39" s="100" t="str">
        <f>B7</f>
        <v>Fiscal Period</v>
      </c>
      <c r="C39" s="99">
        <f>C7</f>
        <v>2021</v>
      </c>
      <c r="D39" s="99">
        <f>D7</f>
        <v>2022</v>
      </c>
      <c r="E39" s="99">
        <f>E7</f>
        <v>2023</v>
      </c>
      <c r="F39" s="98"/>
      <c r="G39" s="99" t="str">
        <f>G7</f>
        <v>1Q22</v>
      </c>
      <c r="H39" s="99" t="str">
        <f>H7</f>
        <v>2Q22</v>
      </c>
      <c r="I39" s="99" t="str">
        <f>I7</f>
        <v>3Q22</v>
      </c>
      <c r="J39" s="99" t="str">
        <f>J7</f>
        <v>4Q22</v>
      </c>
      <c r="K39" s="99" t="str">
        <f>K7</f>
        <v>1Q23</v>
      </c>
      <c r="L39" s="99" t="str">
        <f>L7</f>
        <v>2Q23</v>
      </c>
      <c r="M39" s="99" t="str">
        <f>M7</f>
        <v>3Q23</v>
      </c>
      <c r="N39" s="99" t="str">
        <f>N7</f>
        <v>4Q23</v>
      </c>
      <c r="O39" s="99" t="str">
        <f>O7</f>
        <v>1Q24</v>
      </c>
      <c r="P39" s="99" t="str">
        <f>P7</f>
        <v>2Q24</v>
      </c>
      <c r="Q39" s="99" t="str">
        <f>Q7</f>
        <v>3Q24</v>
      </c>
      <c r="R39" s="101"/>
      <c r="S39" s="99" t="str">
        <f>S7</f>
        <v>1Q22</v>
      </c>
      <c r="T39" s="99" t="str">
        <f>T7</f>
        <v>2Q22</v>
      </c>
      <c r="U39" s="99" t="str">
        <f>U7</f>
        <v>3Q22</v>
      </c>
      <c r="V39" s="99" t="str">
        <f>V7</f>
        <v>4Q22</v>
      </c>
      <c r="W39" s="99" t="str">
        <f>W7</f>
        <v>1Q23</v>
      </c>
      <c r="X39" s="99" t="str">
        <f>X7</f>
        <v>2Q23</v>
      </c>
      <c r="Y39" s="99" t="str">
        <f>Y7</f>
        <v>3Q23</v>
      </c>
      <c r="Z39" s="99" t="str">
        <f>Z7</f>
        <v>4Q23</v>
      </c>
      <c r="AA39" s="99" t="str">
        <f>AA7</f>
        <v>1Q24</v>
      </c>
      <c r="AB39" s="99" t="str">
        <f>AB7</f>
        <v>2Q24</v>
      </c>
      <c r="AC39" s="99" t="str">
        <f>AC7</f>
        <v>3Q24</v>
      </c>
      <c r="AD39" s="98"/>
      <c r="AE39" s="141"/>
    </row>
    <row r="40" spans="1:31" ht="12.75" customHeight="1">
      <c r="B40" s="100" t="str">
        <f>B8</f>
        <v>Fiscal Period End Date</v>
      </c>
      <c r="C40" s="102">
        <f>C8</f>
        <v>44561</v>
      </c>
      <c r="D40" s="102">
        <f>D8</f>
        <v>44926</v>
      </c>
      <c r="E40" s="102">
        <f>E8</f>
        <v>45291</v>
      </c>
      <c r="F40" s="98"/>
      <c r="G40" s="102">
        <f>G8</f>
        <v>44651</v>
      </c>
      <c r="H40" s="102">
        <f>H8</f>
        <v>44742</v>
      </c>
      <c r="I40" s="102">
        <f>I8</f>
        <v>44834</v>
      </c>
      <c r="J40" s="102">
        <f>J8</f>
        <v>44926</v>
      </c>
      <c r="K40" s="102">
        <f>K8</f>
        <v>45016</v>
      </c>
      <c r="L40" s="102">
        <f>L8</f>
        <v>45107</v>
      </c>
      <c r="M40" s="102">
        <f>M8</f>
        <v>45199</v>
      </c>
      <c r="N40" s="102">
        <f>N8</f>
        <v>45291</v>
      </c>
      <c r="O40" s="102">
        <f>O8</f>
        <v>45382</v>
      </c>
      <c r="P40" s="102">
        <f>P8</f>
        <v>45473</v>
      </c>
      <c r="Q40" s="102">
        <f>Q8</f>
        <v>45565</v>
      </c>
      <c r="R40" s="103"/>
      <c r="S40" s="102">
        <f>S8</f>
        <v>44651</v>
      </c>
      <c r="T40" s="102">
        <f>T8</f>
        <v>44742</v>
      </c>
      <c r="U40" s="102">
        <f>U8</f>
        <v>44834</v>
      </c>
      <c r="V40" s="102">
        <f>V8</f>
        <v>44926</v>
      </c>
      <c r="W40" s="102">
        <f>W8</f>
        <v>45016</v>
      </c>
      <c r="X40" s="102">
        <f>X8</f>
        <v>45107</v>
      </c>
      <c r="Y40" s="102">
        <f>Y8</f>
        <v>45199</v>
      </c>
      <c r="Z40" s="102">
        <f>Z8</f>
        <v>45291</v>
      </c>
      <c r="AA40" s="102">
        <f>AA8</f>
        <v>45382</v>
      </c>
      <c r="AB40" s="102">
        <f>AB8</f>
        <v>45473</v>
      </c>
      <c r="AC40" s="102">
        <f>AC8</f>
        <v>45565</v>
      </c>
      <c r="AD40" s="98"/>
      <c r="AE40" s="141"/>
    </row>
    <row r="41" spans="1:31" ht="5.0999999999999996" customHeight="1">
      <c r="B41" s="45"/>
      <c r="C41" s="46"/>
      <c r="D41" s="46"/>
      <c r="E41" s="46"/>
    </row>
    <row r="42" spans="1:31">
      <c r="B42" s="74" t="s">
        <v>101</v>
      </c>
      <c r="C42" s="46"/>
      <c r="D42" s="46"/>
      <c r="E42" s="46"/>
    </row>
    <row r="43" spans="1:31" ht="12.75" customHeight="1">
      <c r="B43" s="110" t="s">
        <v>112</v>
      </c>
      <c r="C43" s="111">
        <v>39648</v>
      </c>
      <c r="D43" s="111">
        <v>18592</v>
      </c>
      <c r="E43" s="111">
        <v>25660</v>
      </c>
      <c r="G43" s="111">
        <v>31606</v>
      </c>
      <c r="H43" s="111">
        <v>24178</v>
      </c>
      <c r="I43" s="111">
        <v>15831</v>
      </c>
      <c r="J43" s="87">
        <f>D43</f>
        <v>18592</v>
      </c>
      <c r="K43" s="111">
        <v>17799</v>
      </c>
      <c r="L43" s="111">
        <v>17966</v>
      </c>
      <c r="M43" s="111">
        <v>20362</v>
      </c>
      <c r="N43" s="87">
        <f t="shared" ref="N43:N44" si="50">E43</f>
        <v>25660</v>
      </c>
      <c r="O43" s="111">
        <v>23555</v>
      </c>
      <c r="P43" s="111">
        <v>25598</v>
      </c>
      <c r="Q43" s="111">
        <v>27060</v>
      </c>
      <c r="R43" s="87"/>
      <c r="S43" s="87">
        <f t="shared" ref="S43:AB43" si="51">G43</f>
        <v>31606</v>
      </c>
      <c r="T43" s="87">
        <f t="shared" si="51"/>
        <v>24178</v>
      </c>
      <c r="U43" s="87">
        <f t="shared" si="51"/>
        <v>15831</v>
      </c>
      <c r="V43" s="87">
        <f t="shared" si="51"/>
        <v>18592</v>
      </c>
      <c r="W43" s="87">
        <f t="shared" si="51"/>
        <v>17799</v>
      </c>
      <c r="X43" s="87">
        <f t="shared" si="51"/>
        <v>17966</v>
      </c>
      <c r="Y43" s="87">
        <f t="shared" si="51"/>
        <v>20362</v>
      </c>
      <c r="Z43" s="87">
        <f t="shared" si="51"/>
        <v>25660</v>
      </c>
      <c r="AA43" s="87">
        <f t="shared" si="51"/>
        <v>23555</v>
      </c>
      <c r="AB43" s="87">
        <f t="shared" si="51"/>
        <v>25598</v>
      </c>
      <c r="AC43" s="87">
        <f>Q43</f>
        <v>27060</v>
      </c>
      <c r="AD43" s="11"/>
      <c r="AE43" s="70">
        <f t="shared" ref="AE43:AE44" si="52">SUM(AC43/Y43)-1</f>
        <v>0.32894607602396619</v>
      </c>
    </row>
    <row r="44" spans="1:31" ht="12.75" customHeight="1">
      <c r="B44" s="110" t="s">
        <v>140</v>
      </c>
      <c r="C44" s="111">
        <v>2172</v>
      </c>
      <c r="D44" s="111">
        <v>1960</v>
      </c>
      <c r="E44" s="111">
        <v>2050</v>
      </c>
      <c r="G44" s="111">
        <v>1901</v>
      </c>
      <c r="H44" s="111">
        <v>1607</v>
      </c>
      <c r="I44" s="111">
        <v>1290</v>
      </c>
      <c r="J44" s="87">
        <f>D44</f>
        <v>1960</v>
      </c>
      <c r="K44" s="111">
        <v>1753</v>
      </c>
      <c r="L44" s="111">
        <v>1502</v>
      </c>
      <c r="M44" s="111">
        <v>1249</v>
      </c>
      <c r="N44" s="87">
        <f t="shared" si="50"/>
        <v>2050</v>
      </c>
      <c r="O44" s="111">
        <v>1905</v>
      </c>
      <c r="P44" s="111">
        <v>1689</v>
      </c>
      <c r="Q44" s="111">
        <v>1606</v>
      </c>
      <c r="R44" s="87"/>
      <c r="S44" s="87">
        <f>J44</f>
        <v>1960</v>
      </c>
      <c r="T44" s="87">
        <f>K44</f>
        <v>1753</v>
      </c>
      <c r="U44" s="87">
        <f>L44</f>
        <v>1502</v>
      </c>
      <c r="V44" s="87">
        <f>M44</f>
        <v>1249</v>
      </c>
      <c r="W44" s="87">
        <f>N44</f>
        <v>2050</v>
      </c>
      <c r="X44" s="87">
        <f>O44</f>
        <v>1905</v>
      </c>
      <c r="Y44" s="87">
        <f t="shared" ref="Y44" si="53">M44</f>
        <v>1249</v>
      </c>
      <c r="Z44" s="87">
        <f t="shared" ref="Z44" si="54">N44</f>
        <v>2050</v>
      </c>
      <c r="AA44" s="87">
        <f t="shared" ref="AA44" si="55">O44</f>
        <v>1905</v>
      </c>
      <c r="AB44" s="87">
        <f t="shared" ref="AB44:AC44" si="56">P44</f>
        <v>1689</v>
      </c>
      <c r="AC44" s="87">
        <f t="shared" si="56"/>
        <v>1606</v>
      </c>
      <c r="AD44" s="11"/>
      <c r="AE44" s="70">
        <f t="shared" si="52"/>
        <v>0.28582866293034437</v>
      </c>
    </row>
    <row r="45" spans="1:31" ht="12.75" customHeight="1">
      <c r="B45" s="23" t="s">
        <v>20</v>
      </c>
      <c r="C45" s="24">
        <f>SUM(C43:C44)</f>
        <v>41820</v>
      </c>
      <c r="D45" s="24">
        <f>SUM(D43:D44)</f>
        <v>20552</v>
      </c>
      <c r="E45" s="24">
        <f>SUM(E43:E44)</f>
        <v>27710</v>
      </c>
      <c r="F45" s="47"/>
      <c r="G45" s="24">
        <f>SUM(G43:G44)</f>
        <v>33507</v>
      </c>
      <c r="H45" s="24">
        <f>SUM(H43:H44)</f>
        <v>25785</v>
      </c>
      <c r="I45" s="24">
        <f>SUM(I43:I44)</f>
        <v>17121</v>
      </c>
      <c r="J45" s="24">
        <f>SUM(J43:J44)</f>
        <v>20552</v>
      </c>
      <c r="K45" s="24">
        <f>SUM(K43:K44)</f>
        <v>19552</v>
      </c>
      <c r="L45" s="24">
        <f>SUM(L43:L44)</f>
        <v>19468</v>
      </c>
      <c r="M45" s="24">
        <f>SUM(M43:M44)</f>
        <v>21611</v>
      </c>
      <c r="N45" s="24">
        <f>SUM(N43:N44)</f>
        <v>27710</v>
      </c>
      <c r="O45" s="24">
        <f>SUM(O43:O44)</f>
        <v>25460</v>
      </c>
      <c r="P45" s="24">
        <f>SUM(P43:P44)</f>
        <v>27287</v>
      </c>
      <c r="Q45" s="24">
        <f>SUM(Q43:Q44)</f>
        <v>28666</v>
      </c>
      <c r="R45" s="47"/>
      <c r="S45" s="24">
        <f>SUM(S43:S44)</f>
        <v>33566</v>
      </c>
      <c r="T45" s="24">
        <f>SUM(T43:T44)</f>
        <v>25931</v>
      </c>
      <c r="U45" s="24">
        <f>SUM(U43:U44)</f>
        <v>17333</v>
      </c>
      <c r="V45" s="24">
        <f>SUM(V43:V44)</f>
        <v>19841</v>
      </c>
      <c r="W45" s="24">
        <f>SUM(W43:W44)</f>
        <v>19849</v>
      </c>
      <c r="X45" s="24">
        <f>SUM(X43:X44)</f>
        <v>19871</v>
      </c>
      <c r="Y45" s="24">
        <f>SUM(Y43:Y44)</f>
        <v>21611</v>
      </c>
      <c r="Z45" s="24">
        <f>SUM(Z43:Z44)</f>
        <v>27710</v>
      </c>
      <c r="AA45" s="24">
        <f>SUM(AA43:AA44)</f>
        <v>25460</v>
      </c>
      <c r="AB45" s="24">
        <f>SUM(AB43:AB44)</f>
        <v>27287</v>
      </c>
      <c r="AC45" s="24">
        <f>SUM(AC43:AC44)</f>
        <v>28666</v>
      </c>
      <c r="AD45" s="40"/>
      <c r="AE45" s="71">
        <f>SUM(AC45/Y45)-1</f>
        <v>0.32645412058673817</v>
      </c>
    </row>
    <row r="46" spans="1:31" ht="5.0999999999999996" customHeight="1">
      <c r="B46" s="23"/>
      <c r="C46" s="48"/>
      <c r="D46" s="39"/>
      <c r="E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37"/>
    </row>
    <row r="47" spans="1:31" ht="12.75" customHeight="1">
      <c r="B47" s="74" t="s">
        <v>102</v>
      </c>
      <c r="C47" s="79"/>
      <c r="D47" s="79"/>
      <c r="E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11"/>
      <c r="AE47" s="70"/>
    </row>
    <row r="48" spans="1:31" ht="12.75" customHeight="1">
      <c r="B48" s="9" t="s">
        <v>113</v>
      </c>
      <c r="C48" s="79">
        <v>0</v>
      </c>
      <c r="D48" s="79">
        <v>0</v>
      </c>
      <c r="E48" s="79">
        <v>0</v>
      </c>
      <c r="G48" s="111"/>
      <c r="H48" s="111">
        <v>0</v>
      </c>
      <c r="I48" s="111" t="s">
        <v>151</v>
      </c>
      <c r="J48" s="87">
        <f t="shared" ref="J48:J49" si="57">D48</f>
        <v>0</v>
      </c>
      <c r="K48" s="111">
        <v>0</v>
      </c>
      <c r="L48" s="111">
        <v>0</v>
      </c>
      <c r="M48" s="111">
        <v>0</v>
      </c>
      <c r="N48" s="87">
        <f t="shared" ref="N48:N49" si="58">E48</f>
        <v>0</v>
      </c>
      <c r="O48" s="111">
        <v>0</v>
      </c>
      <c r="P48" s="111">
        <v>0</v>
      </c>
      <c r="Q48" s="111" t="s">
        <v>151</v>
      </c>
      <c r="R48" s="87"/>
      <c r="S48" s="87">
        <f>J48</f>
        <v>0</v>
      </c>
      <c r="T48" s="87">
        <f>K48</f>
        <v>0</v>
      </c>
      <c r="U48" s="87">
        <f>L48</f>
        <v>0</v>
      </c>
      <c r="V48" s="87">
        <f>M48</f>
        <v>0</v>
      </c>
      <c r="W48" s="87">
        <f>N48</f>
        <v>0</v>
      </c>
      <c r="X48" s="87">
        <f>O48</f>
        <v>0</v>
      </c>
      <c r="Y48" s="87">
        <f t="shared" ref="Y48:Y49" si="59">M48</f>
        <v>0</v>
      </c>
      <c r="Z48" s="87">
        <f t="shared" ref="Z48:Z49" si="60">N48</f>
        <v>0</v>
      </c>
      <c r="AA48" s="87">
        <f t="shared" ref="AA48:AA49" si="61">O48</f>
        <v>0</v>
      </c>
      <c r="AB48" s="87">
        <f t="shared" ref="AB48:AB49" si="62">P48</f>
        <v>0</v>
      </c>
      <c r="AC48" s="87" t="str">
        <f t="shared" ref="AC48:AC49" si="63">Q48</f>
        <v>-</v>
      </c>
      <c r="AD48" s="11"/>
      <c r="AE48" s="70" t="e">
        <f t="shared" ref="AE48:AE49" si="64">SUM(AC48/Y48)-1</f>
        <v>#VALUE!</v>
      </c>
    </row>
    <row r="49" spans="2:31" ht="12.75" customHeight="1">
      <c r="B49" s="9" t="s">
        <v>141</v>
      </c>
      <c r="C49" s="79">
        <v>7</v>
      </c>
      <c r="D49" s="79">
        <v>733</v>
      </c>
      <c r="E49" s="79">
        <v>490</v>
      </c>
      <c r="G49" s="111">
        <v>108</v>
      </c>
      <c r="H49" s="111">
        <v>101</v>
      </c>
      <c r="I49" s="111">
        <v>793</v>
      </c>
      <c r="J49" s="87">
        <f t="shared" si="57"/>
        <v>733</v>
      </c>
      <c r="K49" s="111">
        <v>673</v>
      </c>
      <c r="L49" s="111">
        <v>613</v>
      </c>
      <c r="M49" s="111">
        <v>552</v>
      </c>
      <c r="N49" s="87">
        <f t="shared" si="58"/>
        <v>490</v>
      </c>
      <c r="O49" s="111">
        <v>430</v>
      </c>
      <c r="P49" s="111">
        <v>368</v>
      </c>
      <c r="Q49" s="111">
        <v>306</v>
      </c>
      <c r="S49" s="30">
        <f>K49</f>
        <v>673</v>
      </c>
      <c r="T49" s="30">
        <f>L49</f>
        <v>613</v>
      </c>
      <c r="U49" s="30">
        <f>M49</f>
        <v>552</v>
      </c>
      <c r="V49" s="30">
        <f>N49</f>
        <v>490</v>
      </c>
      <c r="W49" s="30">
        <f>O49</f>
        <v>430</v>
      </c>
      <c r="X49" s="30">
        <f>P49</f>
        <v>368</v>
      </c>
      <c r="Y49" s="87">
        <f t="shared" si="59"/>
        <v>552</v>
      </c>
      <c r="Z49" s="87">
        <f t="shared" si="60"/>
        <v>490</v>
      </c>
      <c r="AA49" s="87">
        <f t="shared" si="61"/>
        <v>430</v>
      </c>
      <c r="AB49" s="87">
        <f t="shared" si="62"/>
        <v>368</v>
      </c>
      <c r="AC49" s="87">
        <f t="shared" si="63"/>
        <v>306</v>
      </c>
      <c r="AD49" s="11"/>
      <c r="AE49" s="70">
        <f t="shared" si="64"/>
        <v>-0.44565217391304346</v>
      </c>
    </row>
    <row r="50" spans="2:31" ht="12.75" customHeight="1">
      <c r="B50" s="12" t="s">
        <v>21</v>
      </c>
      <c r="C50" s="13">
        <f>SUM(C48:C49)+C45</f>
        <v>41827</v>
      </c>
      <c r="D50" s="13">
        <f>SUM(D48:D49)+D45</f>
        <v>21285</v>
      </c>
      <c r="E50" s="13">
        <f>SUM(E48:E49)+E45</f>
        <v>28200</v>
      </c>
      <c r="G50" s="13">
        <f>SUM(G48:G49)+G45</f>
        <v>33615</v>
      </c>
      <c r="H50" s="13">
        <f>SUM(H48:H49)+H45</f>
        <v>25886</v>
      </c>
      <c r="I50" s="13">
        <f>SUM(I48:I49)+I45</f>
        <v>17914</v>
      </c>
      <c r="J50" s="13">
        <f>SUM(J48:J49)+J45</f>
        <v>21285</v>
      </c>
      <c r="K50" s="13">
        <f>SUM(K48:K49)+K45</f>
        <v>20225</v>
      </c>
      <c r="L50" s="13">
        <f>SUM(L48:L49)+L45</f>
        <v>20081</v>
      </c>
      <c r="M50" s="13">
        <f>SUM(M48:M49)+M45</f>
        <v>22163</v>
      </c>
      <c r="N50" s="13">
        <f>SUM(N48:N49)+N45</f>
        <v>28200</v>
      </c>
      <c r="O50" s="13">
        <f>SUM(O48:O49)+O45</f>
        <v>25890</v>
      </c>
      <c r="P50" s="13">
        <f>SUM(P48:P49)+P45</f>
        <v>27655</v>
      </c>
      <c r="Q50" s="13">
        <f>SUM(Q48:Q49)+Q45</f>
        <v>28972</v>
      </c>
      <c r="S50" s="13">
        <f>SUM(S48:S49)+S45</f>
        <v>34239</v>
      </c>
      <c r="T50" s="13">
        <f>SUM(T48:T49)+T45</f>
        <v>26544</v>
      </c>
      <c r="U50" s="13">
        <f>SUM(U48:U49)+U45</f>
        <v>17885</v>
      </c>
      <c r="V50" s="13">
        <f>SUM(V48:V49)+V45</f>
        <v>20331</v>
      </c>
      <c r="W50" s="13">
        <f>SUM(W48:W49)+W45</f>
        <v>20279</v>
      </c>
      <c r="X50" s="13">
        <f>SUM(X48:X49)+X45</f>
        <v>20239</v>
      </c>
      <c r="Y50" s="13">
        <f>SUM(Y48:Y49)+Y45</f>
        <v>22163</v>
      </c>
      <c r="Z50" s="13">
        <f>SUM(Z48:Z49)+Z45</f>
        <v>28200</v>
      </c>
      <c r="AA50" s="13">
        <f>SUM(AA48:AA49)+AA45</f>
        <v>25890</v>
      </c>
      <c r="AB50" s="13">
        <f>SUM(AB48:AB49)+AB45</f>
        <v>27655</v>
      </c>
      <c r="AC50" s="13">
        <f>SUM(AC48:AC49)+AC45</f>
        <v>28972</v>
      </c>
      <c r="AD50" s="40"/>
      <c r="AE50" s="71">
        <f>SUM(AC50/Y50)-1</f>
        <v>0.30722375129720714</v>
      </c>
    </row>
    <row r="51" spans="2:31" ht="12.75" customHeight="1">
      <c r="B51" s="23"/>
      <c r="C51" s="49"/>
      <c r="D51" s="39"/>
      <c r="E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37"/>
    </row>
    <row r="52" spans="2:31" ht="12.75" customHeight="1">
      <c r="B52" s="74" t="s">
        <v>54</v>
      </c>
      <c r="C52" s="49"/>
      <c r="D52" s="39"/>
      <c r="E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37"/>
    </row>
    <row r="53" spans="2:31" ht="12.75" customHeight="1">
      <c r="B53" s="110" t="s">
        <v>13</v>
      </c>
      <c r="C53" s="79">
        <v>1805</v>
      </c>
      <c r="D53" s="79">
        <v>3890</v>
      </c>
      <c r="E53" s="79">
        <v>6431</v>
      </c>
      <c r="G53" s="111">
        <v>1906</v>
      </c>
      <c r="H53" s="111">
        <v>2964</v>
      </c>
      <c r="I53" s="111">
        <v>2352</v>
      </c>
      <c r="J53" s="87">
        <f t="shared" ref="J53:J57" si="65">D53</f>
        <v>3890</v>
      </c>
      <c r="K53" s="111">
        <v>2553</v>
      </c>
      <c r="L53" s="111">
        <v>1976</v>
      </c>
      <c r="M53" s="111">
        <v>2681</v>
      </c>
      <c r="N53" s="87">
        <f t="shared" ref="N53:N57" si="66">E53</f>
        <v>6431</v>
      </c>
      <c r="O53" s="111">
        <v>3797</v>
      </c>
      <c r="P53" s="111">
        <v>3698</v>
      </c>
      <c r="Q53" s="111">
        <v>2795</v>
      </c>
      <c r="S53" s="30">
        <f>K53</f>
        <v>2553</v>
      </c>
      <c r="T53" s="30">
        <f>L53</f>
        <v>1976</v>
      </c>
      <c r="U53" s="30">
        <f>M53</f>
        <v>2681</v>
      </c>
      <c r="V53" s="30">
        <f>N53</f>
        <v>6431</v>
      </c>
      <c r="W53" s="30">
        <f>O53</f>
        <v>3797</v>
      </c>
      <c r="X53" s="30">
        <f>P53</f>
        <v>3698</v>
      </c>
      <c r="Y53" s="87">
        <f t="shared" ref="Y53:Y57" si="67">M53</f>
        <v>2681</v>
      </c>
      <c r="Z53" s="87">
        <f t="shared" ref="Z53:Z57" si="68">N53</f>
        <v>6431</v>
      </c>
      <c r="AA53" s="87">
        <f t="shared" ref="AA53:AA57" si="69">O53</f>
        <v>3797</v>
      </c>
      <c r="AB53" s="87">
        <f t="shared" ref="AB53:AB57" si="70">P53</f>
        <v>3698</v>
      </c>
      <c r="AC53" s="87">
        <f t="shared" ref="AC53:AC57" si="71">Q53</f>
        <v>2795</v>
      </c>
      <c r="AD53" s="11"/>
      <c r="AE53" s="70">
        <f t="shared" ref="AE53" si="72">SUM(AC53/Y53)-1</f>
        <v>4.2521447221186115E-2</v>
      </c>
    </row>
    <row r="54" spans="2:31" ht="12.75" customHeight="1">
      <c r="B54" s="110" t="s">
        <v>142</v>
      </c>
      <c r="C54" s="79">
        <v>7163</v>
      </c>
      <c r="D54" s="79">
        <v>9058</v>
      </c>
      <c r="E54" s="79">
        <v>9182</v>
      </c>
      <c r="G54" s="111">
        <v>7629</v>
      </c>
      <c r="H54" s="111">
        <v>7864</v>
      </c>
      <c r="I54" s="111">
        <v>7236</v>
      </c>
      <c r="J54" s="87">
        <f t="shared" si="65"/>
        <v>9058</v>
      </c>
      <c r="K54" s="111">
        <v>8980</v>
      </c>
      <c r="L54" s="111">
        <v>7913</v>
      </c>
      <c r="M54" s="111">
        <v>7841</v>
      </c>
      <c r="N54" s="87">
        <f t="shared" si="66"/>
        <v>9182</v>
      </c>
      <c r="O54" s="111">
        <v>8836</v>
      </c>
      <c r="P54" s="111">
        <v>10856</v>
      </c>
      <c r="Q54" s="111">
        <v>11586</v>
      </c>
      <c r="S54" s="30">
        <f>K54</f>
        <v>8980</v>
      </c>
      <c r="T54" s="30">
        <f>L54</f>
        <v>7913</v>
      </c>
      <c r="U54" s="30">
        <f>M54</f>
        <v>7841</v>
      </c>
      <c r="V54" s="30">
        <f>N54</f>
        <v>9182</v>
      </c>
      <c r="W54" s="30">
        <f>O54</f>
        <v>8836</v>
      </c>
      <c r="X54" s="30">
        <f>P54</f>
        <v>10856</v>
      </c>
      <c r="Y54" s="87">
        <f t="shared" si="67"/>
        <v>7841</v>
      </c>
      <c r="Z54" s="87">
        <f t="shared" si="68"/>
        <v>9182</v>
      </c>
      <c r="AA54" s="87">
        <f t="shared" si="69"/>
        <v>8836</v>
      </c>
      <c r="AB54" s="87">
        <f t="shared" si="70"/>
        <v>10856</v>
      </c>
      <c r="AC54" s="87">
        <f t="shared" si="71"/>
        <v>11586</v>
      </c>
      <c r="AD54" s="11"/>
      <c r="AE54" s="70">
        <f t="shared" ref="AE54:AE57" si="73">SUM(AC54/Y54)-1</f>
        <v>0.47761765080984575</v>
      </c>
    </row>
    <row r="55" spans="2:31" ht="12.75" customHeight="1">
      <c r="B55" s="110" t="s">
        <v>143</v>
      </c>
      <c r="C55" s="79">
        <v>65</v>
      </c>
      <c r="D55" s="79">
        <v>64</v>
      </c>
      <c r="E55" s="79">
        <v>63</v>
      </c>
      <c r="G55" s="79">
        <v>0</v>
      </c>
      <c r="H55" s="111">
        <v>64</v>
      </c>
      <c r="I55" s="79">
        <v>0</v>
      </c>
      <c r="J55" s="87">
        <f t="shared" si="65"/>
        <v>64</v>
      </c>
      <c r="K55" s="79">
        <v>0</v>
      </c>
      <c r="L55" s="111">
        <v>64</v>
      </c>
      <c r="M55" s="79">
        <v>0</v>
      </c>
      <c r="N55" s="87">
        <f t="shared" si="66"/>
        <v>63</v>
      </c>
      <c r="O55" s="111">
        <v>0</v>
      </c>
      <c r="P55" s="111">
        <v>63</v>
      </c>
      <c r="Q55" s="79">
        <v>0</v>
      </c>
      <c r="S55" s="30"/>
      <c r="T55" s="30"/>
      <c r="U55" s="30"/>
      <c r="V55" s="30"/>
      <c r="W55" s="30"/>
      <c r="X55" s="30"/>
      <c r="Y55" s="87">
        <f t="shared" si="67"/>
        <v>0</v>
      </c>
      <c r="Z55" s="87">
        <f t="shared" si="68"/>
        <v>63</v>
      </c>
      <c r="AA55" s="87">
        <f t="shared" si="69"/>
        <v>0</v>
      </c>
      <c r="AB55" s="87">
        <f t="shared" si="70"/>
        <v>63</v>
      </c>
      <c r="AC55" s="87">
        <f t="shared" si="71"/>
        <v>0</v>
      </c>
      <c r="AD55" s="11"/>
      <c r="AE55" s="70" t="e">
        <f t="shared" si="73"/>
        <v>#DIV/0!</v>
      </c>
    </row>
    <row r="56" spans="2:31" ht="12.75" customHeight="1">
      <c r="B56" s="110" t="s">
        <v>144</v>
      </c>
      <c r="C56" s="79">
        <v>0</v>
      </c>
      <c r="D56" s="79">
        <v>0</v>
      </c>
      <c r="E56" s="79">
        <v>0</v>
      </c>
      <c r="G56" s="79">
        <v>0</v>
      </c>
      <c r="H56" s="79">
        <v>0</v>
      </c>
      <c r="I56" s="79">
        <v>0</v>
      </c>
      <c r="J56" s="87">
        <f t="shared" si="65"/>
        <v>0</v>
      </c>
      <c r="K56" s="79">
        <v>0</v>
      </c>
      <c r="L56" s="79">
        <v>0</v>
      </c>
      <c r="M56" s="79">
        <v>0</v>
      </c>
      <c r="N56" s="87">
        <f t="shared" si="66"/>
        <v>0</v>
      </c>
      <c r="O56" s="79">
        <v>0</v>
      </c>
      <c r="P56" s="79">
        <v>0</v>
      </c>
      <c r="Q56" s="111">
        <v>10518</v>
      </c>
      <c r="S56" s="30"/>
      <c r="T56" s="30"/>
      <c r="U56" s="30"/>
      <c r="V56" s="30"/>
      <c r="W56" s="30"/>
      <c r="X56" s="30"/>
      <c r="Y56" s="87">
        <f t="shared" si="67"/>
        <v>0</v>
      </c>
      <c r="Z56" s="87">
        <f t="shared" si="68"/>
        <v>0</v>
      </c>
      <c r="AA56" s="87">
        <f t="shared" si="69"/>
        <v>0</v>
      </c>
      <c r="AB56" s="87">
        <f t="shared" si="70"/>
        <v>0</v>
      </c>
      <c r="AC56" s="87">
        <f t="shared" si="71"/>
        <v>10518</v>
      </c>
      <c r="AD56" s="11"/>
      <c r="AE56" s="70" t="e">
        <f t="shared" si="73"/>
        <v>#DIV/0!</v>
      </c>
    </row>
    <row r="57" spans="2:31" ht="12.75" customHeight="1">
      <c r="B57" s="110" t="s">
        <v>145</v>
      </c>
      <c r="C57" s="79">
        <v>0</v>
      </c>
      <c r="D57" s="79">
        <v>0</v>
      </c>
      <c r="E57" s="79">
        <v>0</v>
      </c>
      <c r="G57" s="79">
        <v>0</v>
      </c>
      <c r="H57" s="79">
        <v>0</v>
      </c>
      <c r="I57" s="79">
        <v>0</v>
      </c>
      <c r="J57" s="87">
        <f t="shared" si="65"/>
        <v>0</v>
      </c>
      <c r="K57" s="79">
        <v>0</v>
      </c>
      <c r="L57" s="79">
        <v>0</v>
      </c>
      <c r="M57" s="79">
        <v>0</v>
      </c>
      <c r="N57" s="87">
        <f t="shared" si="66"/>
        <v>0</v>
      </c>
      <c r="O57" s="79">
        <v>0</v>
      </c>
      <c r="P57" s="79">
        <v>0</v>
      </c>
      <c r="Q57" s="111">
        <v>359</v>
      </c>
      <c r="S57" s="30">
        <f>K57</f>
        <v>0</v>
      </c>
      <c r="T57" s="30">
        <f>L57</f>
        <v>0</v>
      </c>
      <c r="U57" s="30">
        <f>M57</f>
        <v>0</v>
      </c>
      <c r="V57" s="30">
        <f>N57</f>
        <v>0</v>
      </c>
      <c r="W57" s="30">
        <f>O57</f>
        <v>0</v>
      </c>
      <c r="X57" s="30">
        <f>P57</f>
        <v>0</v>
      </c>
      <c r="Y57" s="87">
        <f t="shared" si="67"/>
        <v>0</v>
      </c>
      <c r="Z57" s="87">
        <f t="shared" si="68"/>
        <v>0</v>
      </c>
      <c r="AA57" s="87">
        <f t="shared" si="69"/>
        <v>0</v>
      </c>
      <c r="AB57" s="87">
        <f t="shared" si="70"/>
        <v>0</v>
      </c>
      <c r="AC57" s="87">
        <f t="shared" si="71"/>
        <v>359</v>
      </c>
      <c r="AD57" s="11"/>
      <c r="AE57" s="70" t="e">
        <f t="shared" si="73"/>
        <v>#DIV/0!</v>
      </c>
    </row>
    <row r="58" spans="2:31" ht="12.75" customHeight="1">
      <c r="B58" s="23" t="s">
        <v>19</v>
      </c>
      <c r="C58" s="24">
        <f>SUM(C53:C57)</f>
        <v>9033</v>
      </c>
      <c r="D58" s="24">
        <f>SUM(D53:D57)</f>
        <v>13012</v>
      </c>
      <c r="E58" s="24">
        <f>SUM(E53:E57)</f>
        <v>15676</v>
      </c>
      <c r="G58" s="24">
        <f>SUM(G53:G57)</f>
        <v>9535</v>
      </c>
      <c r="H58" s="24">
        <f>SUM(H53:H57)</f>
        <v>10892</v>
      </c>
      <c r="I58" s="24">
        <f>SUM(I53:I57)</f>
        <v>9588</v>
      </c>
      <c r="J58" s="24">
        <f>SUM(J53:J57)</f>
        <v>13012</v>
      </c>
      <c r="K58" s="24">
        <f>SUM(K53:K57)</f>
        <v>11533</v>
      </c>
      <c r="L58" s="24">
        <f>SUM(L53:L57)</f>
        <v>9953</v>
      </c>
      <c r="M58" s="24">
        <f>SUM(M53:M57)</f>
        <v>10522</v>
      </c>
      <c r="N58" s="24">
        <f>SUM(N53:N57)</f>
        <v>15676</v>
      </c>
      <c r="O58" s="24">
        <f>SUM(O53:O57)</f>
        <v>12633</v>
      </c>
      <c r="P58" s="24">
        <f>SUM(P53:P57)</f>
        <v>14617</v>
      </c>
      <c r="Q58" s="24">
        <f>SUM(Q53:Q57)</f>
        <v>25258</v>
      </c>
      <c r="R58" s="47"/>
      <c r="S58" s="24">
        <f>SUM(S53:S57)</f>
        <v>11533</v>
      </c>
      <c r="T58" s="24">
        <f>SUM(T53:T57)</f>
        <v>9889</v>
      </c>
      <c r="U58" s="24">
        <f>SUM(U53:U57)</f>
        <v>10522</v>
      </c>
      <c r="V58" s="24">
        <f>SUM(V53:V57)</f>
        <v>15613</v>
      </c>
      <c r="W58" s="24">
        <f>SUM(W53:W57)</f>
        <v>12633</v>
      </c>
      <c r="X58" s="24">
        <f>SUM(X53:X57)</f>
        <v>14554</v>
      </c>
      <c r="Y58" s="24">
        <f>SUM(Y53:Y57)</f>
        <v>10522</v>
      </c>
      <c r="Z58" s="24">
        <f>SUM(Z53:Z57)</f>
        <v>15676</v>
      </c>
      <c r="AA58" s="24">
        <f>SUM(AA53:AA57)</f>
        <v>12633</v>
      </c>
      <c r="AB58" s="24">
        <f>SUM(AB53:AB57)</f>
        <v>14617</v>
      </c>
      <c r="AC58" s="24">
        <f>SUM(AC53:AC57)</f>
        <v>25258</v>
      </c>
      <c r="AD58" s="40"/>
      <c r="AE58" s="71">
        <f>SUM(AC58/Y58)-1</f>
        <v>1.4004942026230753</v>
      </c>
    </row>
    <row r="59" spans="2:31" ht="5.0999999999999996" customHeight="1">
      <c r="B59" s="23"/>
      <c r="C59" s="49"/>
      <c r="D59" s="39"/>
      <c r="E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37"/>
    </row>
    <row r="60" spans="2:31">
      <c r="B60" s="74" t="s">
        <v>104</v>
      </c>
      <c r="C60" s="49"/>
      <c r="D60" s="39"/>
      <c r="E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37"/>
    </row>
    <row r="61" spans="2:31" ht="12.75" customHeight="1">
      <c r="B61" s="110" t="s">
        <v>144</v>
      </c>
      <c r="C61" s="79">
        <v>29048</v>
      </c>
      <c r="D61" s="79">
        <v>29964</v>
      </c>
      <c r="E61" s="79">
        <v>30902</v>
      </c>
      <c r="G61" s="111">
        <v>29275</v>
      </c>
      <c r="H61" s="111">
        <v>29504</v>
      </c>
      <c r="I61" s="111">
        <v>29734</v>
      </c>
      <c r="J61" s="87">
        <f t="shared" ref="J61:J64" si="74">D61</f>
        <v>29964</v>
      </c>
      <c r="K61" s="111">
        <v>30200</v>
      </c>
      <c r="L61" s="111">
        <v>30433</v>
      </c>
      <c r="M61" s="111">
        <v>30666</v>
      </c>
      <c r="N61" s="87">
        <f t="shared" ref="N61:N64" si="75">E61</f>
        <v>30902</v>
      </c>
      <c r="O61" s="111">
        <v>31139</v>
      </c>
      <c r="P61" s="111">
        <v>31375</v>
      </c>
      <c r="Q61" s="111">
        <v>21094</v>
      </c>
      <c r="S61" s="30">
        <f>K61</f>
        <v>30200</v>
      </c>
      <c r="T61" s="30">
        <f>L61</f>
        <v>30433</v>
      </c>
      <c r="U61" s="30">
        <f>M61</f>
        <v>30666</v>
      </c>
      <c r="V61" s="30">
        <f>N61</f>
        <v>30902</v>
      </c>
      <c r="W61" s="30">
        <f>O61</f>
        <v>31139</v>
      </c>
      <c r="X61" s="30">
        <f>P61</f>
        <v>31375</v>
      </c>
      <c r="Y61" s="87">
        <f t="shared" ref="Y61:Y64" si="76">M61</f>
        <v>30666</v>
      </c>
      <c r="Z61" s="87">
        <f t="shared" ref="Z61:Z64" si="77">N61</f>
        <v>30902</v>
      </c>
      <c r="AA61" s="87">
        <f t="shared" ref="AA61:AA64" si="78">O61</f>
        <v>31139</v>
      </c>
      <c r="AB61" s="87">
        <f t="shared" ref="AB61:AB64" si="79">P61</f>
        <v>31375</v>
      </c>
      <c r="AC61" s="87">
        <f t="shared" ref="AC61:AC64" si="80">Q61</f>
        <v>21094</v>
      </c>
      <c r="AD61" s="40"/>
      <c r="AE61" s="70">
        <f t="shared" ref="AE61:AE64" si="81">SUM(AC61/Y61)-1</f>
        <v>-0.31213722037435598</v>
      </c>
    </row>
    <row r="62" spans="2:31" ht="12.75" customHeight="1">
      <c r="B62" s="110" t="s">
        <v>145</v>
      </c>
      <c r="C62" s="79">
        <v>1130</v>
      </c>
      <c r="D62" s="79">
        <v>573</v>
      </c>
      <c r="E62" s="79">
        <v>1004</v>
      </c>
      <c r="G62" s="111">
        <v>901</v>
      </c>
      <c r="H62" s="111">
        <v>626</v>
      </c>
      <c r="I62" s="111">
        <v>850</v>
      </c>
      <c r="J62" s="87">
        <f t="shared" si="74"/>
        <v>573</v>
      </c>
      <c r="K62" s="111">
        <v>1342</v>
      </c>
      <c r="L62" s="111">
        <v>852</v>
      </c>
      <c r="M62" s="111">
        <v>1342</v>
      </c>
      <c r="N62" s="87">
        <f t="shared" si="75"/>
        <v>1004</v>
      </c>
      <c r="O62" s="111">
        <v>1873</v>
      </c>
      <c r="P62" s="111">
        <v>1764</v>
      </c>
      <c r="Q62" s="111">
        <v>2159</v>
      </c>
      <c r="S62" s="30">
        <f>K62</f>
        <v>1342</v>
      </c>
      <c r="T62" s="30">
        <f>L62</f>
        <v>852</v>
      </c>
      <c r="U62" s="30">
        <f>M62</f>
        <v>1342</v>
      </c>
      <c r="V62" s="30">
        <f>N62</f>
        <v>1004</v>
      </c>
      <c r="W62" s="30">
        <f>O62</f>
        <v>1873</v>
      </c>
      <c r="X62" s="30">
        <f>P62</f>
        <v>1764</v>
      </c>
      <c r="Y62" s="87">
        <f t="shared" si="76"/>
        <v>1342</v>
      </c>
      <c r="Z62" s="87">
        <f t="shared" si="77"/>
        <v>1004</v>
      </c>
      <c r="AA62" s="87">
        <f t="shared" si="78"/>
        <v>1873</v>
      </c>
      <c r="AB62" s="87">
        <f t="shared" si="79"/>
        <v>1764</v>
      </c>
      <c r="AC62" s="87">
        <f t="shared" si="80"/>
        <v>2159</v>
      </c>
      <c r="AD62" s="40"/>
      <c r="AE62" s="70">
        <f t="shared" si="81"/>
        <v>0.60879284649776455</v>
      </c>
    </row>
    <row r="63" spans="2:31" ht="12.75" customHeight="1">
      <c r="B63" s="110" t="s">
        <v>146</v>
      </c>
      <c r="C63" s="79">
        <v>0</v>
      </c>
      <c r="D63" s="79">
        <v>9864</v>
      </c>
      <c r="E63" s="79">
        <v>40839</v>
      </c>
      <c r="G63" s="111"/>
      <c r="H63" s="111">
        <v>0</v>
      </c>
      <c r="I63" s="111"/>
      <c r="J63" s="87">
        <f t="shared" si="74"/>
        <v>9864</v>
      </c>
      <c r="K63" s="111">
        <v>19741</v>
      </c>
      <c r="L63" s="111">
        <v>29926</v>
      </c>
      <c r="M63" s="111">
        <v>30474</v>
      </c>
      <c r="N63" s="87">
        <f t="shared" si="75"/>
        <v>40839</v>
      </c>
      <c r="O63" s="111">
        <v>51324</v>
      </c>
      <c r="P63" s="111">
        <v>62046</v>
      </c>
      <c r="Q63" s="111">
        <v>72942</v>
      </c>
      <c r="S63" s="30"/>
      <c r="T63" s="30"/>
      <c r="U63" s="30"/>
      <c r="V63" s="30"/>
      <c r="W63" s="30"/>
      <c r="X63" s="30"/>
      <c r="Y63" s="87">
        <f t="shared" si="76"/>
        <v>30474</v>
      </c>
      <c r="Z63" s="87">
        <f t="shared" si="77"/>
        <v>40839</v>
      </c>
      <c r="AA63" s="87">
        <f t="shared" si="78"/>
        <v>51324</v>
      </c>
      <c r="AB63" s="87">
        <f t="shared" si="79"/>
        <v>62046</v>
      </c>
      <c r="AC63" s="87">
        <f t="shared" si="80"/>
        <v>72942</v>
      </c>
      <c r="AD63" s="40"/>
      <c r="AE63" s="70">
        <f t="shared" si="81"/>
        <v>1.3935814136641071</v>
      </c>
    </row>
    <row r="64" spans="2:31" ht="12.75" customHeight="1">
      <c r="B64" s="110" t="s">
        <v>133</v>
      </c>
      <c r="C64" s="79">
        <v>0</v>
      </c>
      <c r="D64" s="79">
        <v>66</v>
      </c>
      <c r="E64" s="79">
        <v>20</v>
      </c>
      <c r="G64" s="111">
        <v>97</v>
      </c>
      <c r="H64" s="111">
        <v>87</v>
      </c>
      <c r="I64" s="111">
        <v>77</v>
      </c>
      <c r="J64" s="87">
        <f t="shared" si="74"/>
        <v>66</v>
      </c>
      <c r="K64" s="111">
        <v>55</v>
      </c>
      <c r="L64" s="111">
        <v>44</v>
      </c>
      <c r="M64" s="111">
        <v>32</v>
      </c>
      <c r="N64" s="87">
        <f t="shared" si="75"/>
        <v>20</v>
      </c>
      <c r="O64" s="111">
        <v>7</v>
      </c>
      <c r="P64" s="111">
        <v>0</v>
      </c>
      <c r="Q64" s="111" t="s">
        <v>151</v>
      </c>
      <c r="S64" s="30"/>
      <c r="T64" s="30"/>
      <c r="U64" s="30"/>
      <c r="V64" s="30"/>
      <c r="W64" s="30"/>
      <c r="X64" s="30"/>
      <c r="Y64" s="87">
        <f t="shared" si="76"/>
        <v>32</v>
      </c>
      <c r="Z64" s="87">
        <f t="shared" si="77"/>
        <v>20</v>
      </c>
      <c r="AA64" s="87">
        <f t="shared" si="78"/>
        <v>7</v>
      </c>
      <c r="AB64" s="87">
        <f t="shared" si="79"/>
        <v>0</v>
      </c>
      <c r="AC64" s="87" t="str">
        <f t="shared" si="80"/>
        <v>-</v>
      </c>
      <c r="AD64" s="40"/>
      <c r="AE64" s="70" t="e">
        <f t="shared" si="81"/>
        <v>#VALUE!</v>
      </c>
    </row>
    <row r="65" spans="1:31" ht="12.75" customHeight="1">
      <c r="B65" s="12" t="s">
        <v>17</v>
      </c>
      <c r="C65" s="13">
        <f>SUM(C61:C64)+C58</f>
        <v>39211</v>
      </c>
      <c r="D65" s="13">
        <f>SUM(D61:D64)+D58</f>
        <v>53479</v>
      </c>
      <c r="E65" s="13">
        <f>SUM(E61:E64)+E58</f>
        <v>88441</v>
      </c>
      <c r="G65" s="13">
        <f>SUM(G61:G64)+G58</f>
        <v>39808</v>
      </c>
      <c r="H65" s="13">
        <f>SUM(H61:H64)+H58</f>
        <v>41109</v>
      </c>
      <c r="I65" s="13">
        <f>SUM(I61:I64)+I58</f>
        <v>40249</v>
      </c>
      <c r="J65" s="13">
        <f>SUM(J61:J64)+J58</f>
        <v>53479</v>
      </c>
      <c r="K65" s="13">
        <f>SUM(K61:K64)+K58</f>
        <v>62871</v>
      </c>
      <c r="L65" s="13">
        <f>SUM(L61:L64)+L58</f>
        <v>71208</v>
      </c>
      <c r="M65" s="13">
        <f>SUM(M61:M64)+M58</f>
        <v>73036</v>
      </c>
      <c r="N65" s="13">
        <f>SUM(N61:N64)+N58</f>
        <v>88441</v>
      </c>
      <c r="O65" s="13">
        <f>SUM(O61:O64)+O58</f>
        <v>96976</v>
      </c>
      <c r="P65" s="13">
        <f>SUM(P61:P64)+P58</f>
        <v>109802</v>
      </c>
      <c r="Q65" s="13">
        <f>SUM(Q61:Q64)+Q58</f>
        <v>121453</v>
      </c>
      <c r="S65" s="13">
        <f>SUM(S61:S64)+S58</f>
        <v>43075</v>
      </c>
      <c r="T65" s="13">
        <f>SUM(T61:T64)+T58</f>
        <v>41174</v>
      </c>
      <c r="U65" s="13">
        <f>SUM(U61:U64)+U58</f>
        <v>42530</v>
      </c>
      <c r="V65" s="13">
        <f>SUM(V61:V64)+V58</f>
        <v>47519</v>
      </c>
      <c r="W65" s="13">
        <f>SUM(W61:W64)+W58</f>
        <v>45645</v>
      </c>
      <c r="X65" s="13">
        <f>SUM(X61:X64)+X58</f>
        <v>47693</v>
      </c>
      <c r="Y65" s="13">
        <f>SUM(Y61:Y64)+Y58</f>
        <v>73036</v>
      </c>
      <c r="Z65" s="13">
        <f>SUM(Z61:Z64)+Z58</f>
        <v>88441</v>
      </c>
      <c r="AA65" s="13">
        <f>SUM(AA61:AA64)+AA58</f>
        <v>96976</v>
      </c>
      <c r="AB65" s="13">
        <f>SUM(AB61:AB64)+AB58</f>
        <v>109802</v>
      </c>
      <c r="AC65" s="13">
        <f>SUM(AC61:AC64)+AC58</f>
        <v>121453</v>
      </c>
      <c r="AD65" s="40"/>
      <c r="AE65" s="71">
        <f>SUM(AC65/Y65)-1</f>
        <v>0.66291965606002523</v>
      </c>
    </row>
    <row r="66" spans="1:31" ht="5.0999999999999996" customHeight="1">
      <c r="B66" s="23"/>
      <c r="C66" s="48"/>
      <c r="D66" s="39"/>
      <c r="E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37"/>
    </row>
    <row r="67" spans="1:31" ht="12.75" customHeight="1">
      <c r="B67" s="9" t="s">
        <v>147</v>
      </c>
      <c r="C67" s="79">
        <v>1723</v>
      </c>
      <c r="D67" s="79">
        <v>1723</v>
      </c>
      <c r="E67" s="79">
        <v>1723</v>
      </c>
      <c r="G67" s="111">
        <v>1723</v>
      </c>
      <c r="H67" s="111">
        <v>1723</v>
      </c>
      <c r="I67" s="111">
        <v>1723</v>
      </c>
      <c r="J67" s="87">
        <f t="shared" ref="J67:J72" si="82">D67</f>
        <v>1723</v>
      </c>
      <c r="K67" s="111">
        <v>1723</v>
      </c>
      <c r="L67" s="111">
        <v>1723</v>
      </c>
      <c r="M67" s="111">
        <v>1723</v>
      </c>
      <c r="N67" s="87">
        <f t="shared" ref="N67:N71" si="83">E67</f>
        <v>1723</v>
      </c>
      <c r="O67" s="111">
        <v>1723</v>
      </c>
      <c r="P67" s="111">
        <v>1723</v>
      </c>
      <c r="Q67" s="111">
        <v>1723</v>
      </c>
      <c r="S67" s="30">
        <f>K67</f>
        <v>1723</v>
      </c>
      <c r="T67" s="30">
        <f>L67</f>
        <v>1723</v>
      </c>
      <c r="U67" s="30">
        <f>M67</f>
        <v>1723</v>
      </c>
      <c r="V67" s="30">
        <f>N67</f>
        <v>1723</v>
      </c>
      <c r="W67" s="30">
        <f>O67</f>
        <v>1723</v>
      </c>
      <c r="X67" s="30">
        <f>P67</f>
        <v>1723</v>
      </c>
      <c r="Y67" s="87">
        <f t="shared" ref="Y67:Y72" si="84">M67</f>
        <v>1723</v>
      </c>
      <c r="Z67" s="87">
        <f t="shared" ref="Z67:Z72" si="85">N67</f>
        <v>1723</v>
      </c>
      <c r="AA67" s="87">
        <f t="shared" ref="AA67:AA72" si="86">O67</f>
        <v>1723</v>
      </c>
      <c r="AB67" s="87">
        <f t="shared" ref="AB67:AB72" si="87">P67</f>
        <v>1723</v>
      </c>
      <c r="AC67" s="87">
        <f t="shared" ref="AC67:AC72" si="88">Q67</f>
        <v>1723</v>
      </c>
      <c r="AD67" s="11"/>
      <c r="AE67" s="70">
        <f t="shared" ref="AE67:AE72" si="89">SUM(AC67/Y67)-1</f>
        <v>0</v>
      </c>
    </row>
    <row r="68" spans="1:31" ht="12.75" customHeight="1">
      <c r="B68" s="9" t="s">
        <v>149</v>
      </c>
      <c r="C68" s="79">
        <v>0</v>
      </c>
      <c r="D68" s="79">
        <v>0</v>
      </c>
      <c r="E68" s="79">
        <v>0</v>
      </c>
      <c r="G68" s="111">
        <v>0</v>
      </c>
      <c r="H68" s="111">
        <v>0</v>
      </c>
      <c r="I68" s="111">
        <v>0</v>
      </c>
      <c r="J68" s="87">
        <f t="shared" si="82"/>
        <v>0</v>
      </c>
      <c r="K68" s="111">
        <v>0</v>
      </c>
      <c r="L68" s="111">
        <v>0</v>
      </c>
      <c r="M68" s="111">
        <v>0</v>
      </c>
      <c r="N68" s="87">
        <f t="shared" si="83"/>
        <v>0</v>
      </c>
      <c r="O68" s="111">
        <v>0</v>
      </c>
      <c r="P68" s="111">
        <v>0</v>
      </c>
      <c r="Q68" s="111">
        <v>0</v>
      </c>
      <c r="S68" s="30"/>
      <c r="T68" s="30"/>
      <c r="U68" s="30"/>
      <c r="V68" s="30"/>
      <c r="W68" s="30"/>
      <c r="X68" s="30"/>
      <c r="Y68" s="87">
        <f t="shared" si="84"/>
        <v>0</v>
      </c>
      <c r="Z68" s="87">
        <f t="shared" si="85"/>
        <v>0</v>
      </c>
      <c r="AA68" s="87">
        <f t="shared" si="86"/>
        <v>0</v>
      </c>
      <c r="AB68" s="87">
        <f t="shared" si="87"/>
        <v>0</v>
      </c>
      <c r="AC68" s="87">
        <f t="shared" si="88"/>
        <v>0</v>
      </c>
      <c r="AD68" s="11"/>
      <c r="AE68" s="70" t="e">
        <f t="shared" si="89"/>
        <v>#DIV/0!</v>
      </c>
    </row>
    <row r="69" spans="1:31" ht="12.75" customHeight="1">
      <c r="B69" s="9" t="s">
        <v>150</v>
      </c>
      <c r="C69" s="79">
        <v>527</v>
      </c>
      <c r="D69" s="79">
        <v>510</v>
      </c>
      <c r="E69" s="79">
        <v>500</v>
      </c>
      <c r="G69" s="111">
        <v>527</v>
      </c>
      <c r="H69" s="111">
        <v>510</v>
      </c>
      <c r="I69" s="111">
        <v>510</v>
      </c>
      <c r="J69" s="87">
        <f t="shared" si="82"/>
        <v>510</v>
      </c>
      <c r="K69" s="111">
        <v>510</v>
      </c>
      <c r="L69" s="111">
        <v>510</v>
      </c>
      <c r="M69" s="111">
        <v>510</v>
      </c>
      <c r="N69" s="87">
        <f t="shared" si="83"/>
        <v>500</v>
      </c>
      <c r="O69" s="111">
        <v>500</v>
      </c>
      <c r="P69" s="111">
        <v>500</v>
      </c>
      <c r="Q69" s="111">
        <v>500</v>
      </c>
      <c r="S69" s="30"/>
      <c r="T69" s="30"/>
      <c r="U69" s="30"/>
      <c r="V69" s="30"/>
      <c r="W69" s="30"/>
      <c r="X69" s="30"/>
      <c r="Y69" s="87">
        <f t="shared" si="84"/>
        <v>510</v>
      </c>
      <c r="Z69" s="87">
        <f t="shared" si="85"/>
        <v>500</v>
      </c>
      <c r="AA69" s="87">
        <f t="shared" si="86"/>
        <v>500</v>
      </c>
      <c r="AB69" s="87">
        <f t="shared" si="87"/>
        <v>500</v>
      </c>
      <c r="AC69" s="87">
        <f t="shared" si="88"/>
        <v>500</v>
      </c>
      <c r="AD69" s="11"/>
      <c r="AE69" s="70">
        <f t="shared" si="89"/>
        <v>-1.9607843137254943E-2</v>
      </c>
    </row>
    <row r="70" spans="1:31" ht="12.75" customHeight="1">
      <c r="B70" s="9" t="s">
        <v>148</v>
      </c>
      <c r="C70" s="79">
        <v>59</v>
      </c>
      <c r="D70" s="79">
        <v>59</v>
      </c>
      <c r="E70" s="79">
        <v>61</v>
      </c>
      <c r="G70" s="111">
        <v>59</v>
      </c>
      <c r="H70" s="111">
        <v>59</v>
      </c>
      <c r="I70" s="111">
        <v>59</v>
      </c>
      <c r="J70" s="87">
        <f t="shared" si="82"/>
        <v>59</v>
      </c>
      <c r="K70" s="111">
        <v>59</v>
      </c>
      <c r="L70" s="111">
        <v>59</v>
      </c>
      <c r="M70" s="111">
        <v>61</v>
      </c>
      <c r="N70" s="87">
        <f t="shared" si="83"/>
        <v>61</v>
      </c>
      <c r="O70" s="111">
        <v>61</v>
      </c>
      <c r="P70" s="111">
        <v>62</v>
      </c>
      <c r="Q70" s="111">
        <v>62</v>
      </c>
      <c r="S70" s="30">
        <f>K70</f>
        <v>59</v>
      </c>
      <c r="T70" s="30">
        <f>L70</f>
        <v>59</v>
      </c>
      <c r="U70" s="30">
        <f>M70</f>
        <v>61</v>
      </c>
      <c r="V70" s="30">
        <f>N70</f>
        <v>61</v>
      </c>
      <c r="W70" s="30">
        <f>O70</f>
        <v>61</v>
      </c>
      <c r="X70" s="30">
        <f>P70</f>
        <v>62</v>
      </c>
      <c r="Y70" s="87">
        <f t="shared" si="84"/>
        <v>61</v>
      </c>
      <c r="Z70" s="87">
        <f t="shared" si="85"/>
        <v>61</v>
      </c>
      <c r="AA70" s="87">
        <f t="shared" si="86"/>
        <v>61</v>
      </c>
      <c r="AB70" s="87">
        <f t="shared" si="87"/>
        <v>62</v>
      </c>
      <c r="AC70" s="87">
        <f t="shared" si="88"/>
        <v>62</v>
      </c>
      <c r="AD70" s="11"/>
      <c r="AE70" s="70">
        <f t="shared" si="89"/>
        <v>1.6393442622950838E-2</v>
      </c>
    </row>
    <row r="71" spans="1:31" ht="12.75" customHeight="1">
      <c r="B71" s="9" t="s">
        <v>114</v>
      </c>
      <c r="C71" s="79">
        <v>271001</v>
      </c>
      <c r="D71" s="79">
        <v>275081</v>
      </c>
      <c r="E71" s="79">
        <v>291847</v>
      </c>
      <c r="G71" s="111">
        <v>272108</v>
      </c>
      <c r="H71" s="111">
        <v>272772</v>
      </c>
      <c r="I71" s="111">
        <v>274241</v>
      </c>
      <c r="J71" s="87">
        <f t="shared" si="82"/>
        <v>275081</v>
      </c>
      <c r="K71" s="111">
        <v>276156</v>
      </c>
      <c r="L71" s="111">
        <v>276852</v>
      </c>
      <c r="M71" s="111">
        <v>291145</v>
      </c>
      <c r="N71" s="87">
        <f t="shared" si="83"/>
        <v>291847</v>
      </c>
      <c r="O71" s="111">
        <v>292499</v>
      </c>
      <c r="P71" s="111">
        <v>293872</v>
      </c>
      <c r="Q71" s="111">
        <v>294776</v>
      </c>
      <c r="S71" s="30">
        <f>K71</f>
        <v>276156</v>
      </c>
      <c r="T71" s="30">
        <f>L71</f>
        <v>276852</v>
      </c>
      <c r="U71" s="30">
        <f>M71</f>
        <v>291145</v>
      </c>
      <c r="V71" s="30">
        <f>N71</f>
        <v>291847</v>
      </c>
      <c r="W71" s="30">
        <f>O71</f>
        <v>292499</v>
      </c>
      <c r="X71" s="30">
        <f>P71</f>
        <v>293872</v>
      </c>
      <c r="Y71" s="87">
        <f t="shared" si="84"/>
        <v>291145</v>
      </c>
      <c r="Z71" s="87">
        <f t="shared" si="85"/>
        <v>291847</v>
      </c>
      <c r="AA71" s="87">
        <f t="shared" si="86"/>
        <v>292499</v>
      </c>
      <c r="AB71" s="87">
        <f t="shared" si="87"/>
        <v>293872</v>
      </c>
      <c r="AC71" s="87">
        <f t="shared" si="88"/>
        <v>294776</v>
      </c>
      <c r="AD71" s="11"/>
      <c r="AE71" s="70">
        <f t="shared" si="89"/>
        <v>1.2471448934379792E-2</v>
      </c>
    </row>
    <row r="72" spans="1:31" ht="12.75" customHeight="1">
      <c r="B72" s="9" t="s">
        <v>115</v>
      </c>
      <c r="C72" s="79">
        <v>-270694</v>
      </c>
      <c r="D72" s="79">
        <v>-309567</v>
      </c>
      <c r="E72" s="79">
        <v>-354372</v>
      </c>
      <c r="G72" s="111">
        <v>-280610</v>
      </c>
      <c r="H72" s="111">
        <v>-290287</v>
      </c>
      <c r="I72" s="111">
        <v>-298868</v>
      </c>
      <c r="J72" s="87">
        <f t="shared" si="82"/>
        <v>-309567</v>
      </c>
      <c r="K72" s="111">
        <v>-321094</v>
      </c>
      <c r="L72" s="111">
        <v>-330271</v>
      </c>
      <c r="M72" s="111">
        <v>-344312</v>
      </c>
      <c r="N72" s="87">
        <f>E72</f>
        <v>-354372</v>
      </c>
      <c r="O72" s="111">
        <v>-365869</v>
      </c>
      <c r="P72" s="111">
        <v>-378304</v>
      </c>
      <c r="Q72" s="111">
        <v>-389542</v>
      </c>
      <c r="S72" s="30">
        <f>K72</f>
        <v>-321094</v>
      </c>
      <c r="T72" s="30">
        <f>L72</f>
        <v>-330271</v>
      </c>
      <c r="U72" s="30">
        <f>M72</f>
        <v>-344312</v>
      </c>
      <c r="V72" s="30">
        <f>N72</f>
        <v>-354372</v>
      </c>
      <c r="W72" s="30">
        <f>O72</f>
        <v>-365869</v>
      </c>
      <c r="X72" s="30">
        <f>P72</f>
        <v>-378304</v>
      </c>
      <c r="Y72" s="87">
        <f t="shared" si="84"/>
        <v>-344312</v>
      </c>
      <c r="Z72" s="87">
        <f t="shared" si="85"/>
        <v>-354372</v>
      </c>
      <c r="AA72" s="87">
        <f t="shared" si="86"/>
        <v>-365869</v>
      </c>
      <c r="AB72" s="87">
        <f t="shared" si="87"/>
        <v>-378304</v>
      </c>
      <c r="AC72" s="87">
        <f t="shared" si="88"/>
        <v>-389542</v>
      </c>
      <c r="AD72" s="11"/>
      <c r="AE72" s="70">
        <f t="shared" si="89"/>
        <v>0.13136341457747625</v>
      </c>
    </row>
    <row r="73" spans="1:31" ht="12.75" customHeight="1">
      <c r="B73" s="12" t="s">
        <v>16</v>
      </c>
      <c r="C73" s="13">
        <f>SUM(C67:C72)</f>
        <v>2616</v>
      </c>
      <c r="D73" s="13">
        <f>SUM(D67:D72)</f>
        <v>-32194</v>
      </c>
      <c r="E73" s="13">
        <f>SUM(E67:E72)</f>
        <v>-60241</v>
      </c>
      <c r="F73" s="50"/>
      <c r="G73" s="13">
        <f t="shared" ref="G73:Q73" si="90">SUM(G67:G72)</f>
        <v>-6193</v>
      </c>
      <c r="H73" s="13">
        <f t="shared" si="90"/>
        <v>-15223</v>
      </c>
      <c r="I73" s="13">
        <f t="shared" si="90"/>
        <v>-22335</v>
      </c>
      <c r="J73" s="13">
        <f t="shared" si="90"/>
        <v>-32194</v>
      </c>
      <c r="K73" s="13">
        <f t="shared" si="90"/>
        <v>-42646</v>
      </c>
      <c r="L73" s="13">
        <f t="shared" si="90"/>
        <v>-51127</v>
      </c>
      <c r="M73" s="13">
        <f t="shared" si="90"/>
        <v>-50873</v>
      </c>
      <c r="N73" s="13">
        <f t="shared" si="90"/>
        <v>-60241</v>
      </c>
      <c r="O73" s="13">
        <f t="shared" si="90"/>
        <v>-71086</v>
      </c>
      <c r="P73" s="13">
        <f t="shared" si="90"/>
        <v>-82147</v>
      </c>
      <c r="Q73" s="13">
        <f t="shared" si="90"/>
        <v>-92481</v>
      </c>
      <c r="S73" s="13">
        <f t="shared" ref="S73:AC73" si="91">SUM(S67:S72)</f>
        <v>-43156</v>
      </c>
      <c r="T73" s="13">
        <f t="shared" si="91"/>
        <v>-51637</v>
      </c>
      <c r="U73" s="13">
        <f t="shared" si="91"/>
        <v>-51383</v>
      </c>
      <c r="V73" s="13">
        <f t="shared" si="91"/>
        <v>-60741</v>
      </c>
      <c r="W73" s="13">
        <f t="shared" si="91"/>
        <v>-71586</v>
      </c>
      <c r="X73" s="13">
        <f t="shared" si="91"/>
        <v>-82647</v>
      </c>
      <c r="Y73" s="13">
        <f t="shared" si="91"/>
        <v>-50873</v>
      </c>
      <c r="Z73" s="13">
        <f t="shared" si="91"/>
        <v>-60241</v>
      </c>
      <c r="AA73" s="13">
        <f t="shared" si="91"/>
        <v>-71086</v>
      </c>
      <c r="AB73" s="13">
        <f t="shared" si="91"/>
        <v>-82147</v>
      </c>
      <c r="AC73" s="13">
        <f t="shared" si="91"/>
        <v>-92481</v>
      </c>
      <c r="AD73" s="40"/>
      <c r="AE73" s="71">
        <f>SUM(AC73/Y73)-1</f>
        <v>0.81787981837123813</v>
      </c>
    </row>
    <row r="74" spans="1:31" ht="12.75" customHeight="1">
      <c r="B74" s="23" t="s">
        <v>64</v>
      </c>
      <c r="C74" s="30">
        <f>SUM(C73+C65)</f>
        <v>41827</v>
      </c>
      <c r="D74" s="30">
        <f>SUM(D73+D65)</f>
        <v>21285</v>
      </c>
      <c r="E74" s="30">
        <f>SUM(E73+E65)</f>
        <v>28200</v>
      </c>
      <c r="F74" s="30"/>
      <c r="G74" s="30">
        <f t="shared" ref="G74:Q74" si="92">SUM(G73+G65)</f>
        <v>33615</v>
      </c>
      <c r="H74" s="30">
        <f t="shared" si="92"/>
        <v>25886</v>
      </c>
      <c r="I74" s="30">
        <f t="shared" si="92"/>
        <v>17914</v>
      </c>
      <c r="J74" s="30">
        <f t="shared" si="92"/>
        <v>21285</v>
      </c>
      <c r="K74" s="30">
        <f t="shared" si="92"/>
        <v>20225</v>
      </c>
      <c r="L74" s="30">
        <f t="shared" si="92"/>
        <v>20081</v>
      </c>
      <c r="M74" s="30">
        <f t="shared" si="92"/>
        <v>22163</v>
      </c>
      <c r="N74" s="30">
        <f t="shared" si="92"/>
        <v>28200</v>
      </c>
      <c r="O74" s="30">
        <f t="shared" si="92"/>
        <v>25890</v>
      </c>
      <c r="P74" s="30">
        <f t="shared" si="92"/>
        <v>27655</v>
      </c>
      <c r="Q74" s="30">
        <f t="shared" si="92"/>
        <v>28972</v>
      </c>
      <c r="R74" s="30"/>
      <c r="S74" s="30">
        <f t="shared" ref="S74:AC74" si="93">SUM(S73+S65)</f>
        <v>-81</v>
      </c>
      <c r="T74" s="30">
        <f t="shared" si="93"/>
        <v>-10463</v>
      </c>
      <c r="U74" s="30">
        <f t="shared" si="93"/>
        <v>-8853</v>
      </c>
      <c r="V74" s="30">
        <f t="shared" si="93"/>
        <v>-13222</v>
      </c>
      <c r="W74" s="30">
        <f t="shared" si="93"/>
        <v>-25941</v>
      </c>
      <c r="X74" s="30">
        <f t="shared" si="93"/>
        <v>-34954</v>
      </c>
      <c r="Y74" s="30">
        <f t="shared" si="93"/>
        <v>22163</v>
      </c>
      <c r="Z74" s="30">
        <f t="shared" si="93"/>
        <v>28200</v>
      </c>
      <c r="AA74" s="30">
        <f t="shared" si="93"/>
        <v>25890</v>
      </c>
      <c r="AB74" s="30">
        <f t="shared" si="93"/>
        <v>27655</v>
      </c>
      <c r="AC74" s="30">
        <f t="shared" si="93"/>
        <v>28972</v>
      </c>
      <c r="AD74" s="11"/>
      <c r="AE74" s="71">
        <f>SUM(AC74/Y74)-1</f>
        <v>0.30722375129720714</v>
      </c>
    </row>
    <row r="75" spans="1:31" ht="5.0999999999999996" customHeight="1">
      <c r="B75" s="23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11"/>
    </row>
    <row r="76" spans="1:31" ht="12.75" customHeight="1">
      <c r="B76" s="64" t="s">
        <v>74</v>
      </c>
      <c r="C76" s="65">
        <f>C74-C50</f>
        <v>0</v>
      </c>
      <c r="D76" s="65">
        <f>D74-D50</f>
        <v>0</v>
      </c>
      <c r="E76" s="65">
        <f>E74-E50</f>
        <v>0</v>
      </c>
      <c r="F76" s="66"/>
      <c r="G76" s="65">
        <f>G74-G50</f>
        <v>0</v>
      </c>
      <c r="H76" s="65">
        <f>H74-H50</f>
        <v>0</v>
      </c>
      <c r="I76" s="65">
        <f>I74-I50</f>
        <v>0</v>
      </c>
      <c r="J76" s="65">
        <f>J74-J50</f>
        <v>0</v>
      </c>
      <c r="K76" s="65">
        <f>K74-K50</f>
        <v>0</v>
      </c>
      <c r="L76" s="65">
        <f>L74-L50</f>
        <v>0</v>
      </c>
      <c r="M76" s="65">
        <f>M74-M50</f>
        <v>0</v>
      </c>
      <c r="N76" s="65">
        <f>N74-N50</f>
        <v>0</v>
      </c>
      <c r="O76" s="65">
        <f>O74-O50</f>
        <v>0</v>
      </c>
      <c r="P76" s="65">
        <f>P74-P50</f>
        <v>0</v>
      </c>
      <c r="Q76" s="65">
        <f>Q74-Q50</f>
        <v>0</v>
      </c>
      <c r="R76" s="26"/>
      <c r="S76" s="65">
        <f>S74-S50</f>
        <v>-34320</v>
      </c>
      <c r="T76" s="65">
        <f>T74-T50</f>
        <v>-37007</v>
      </c>
      <c r="U76" s="65">
        <f>U74-U50</f>
        <v>-26738</v>
      </c>
      <c r="V76" s="65">
        <f>V74-V50</f>
        <v>-33553</v>
      </c>
      <c r="W76" s="65">
        <f>W74-W50</f>
        <v>-46220</v>
      </c>
      <c r="X76" s="65">
        <f>X74-X50</f>
        <v>-55193</v>
      </c>
      <c r="Y76" s="65">
        <f>Y74-Y50</f>
        <v>0</v>
      </c>
      <c r="Z76" s="65">
        <f>Z74-Z50</f>
        <v>0</v>
      </c>
      <c r="AA76" s="65">
        <f>AA74-AA50</f>
        <v>0</v>
      </c>
      <c r="AB76" s="65">
        <f>AB74-AB50</f>
        <v>0</v>
      </c>
      <c r="AC76" s="65">
        <f>AC74-AC50</f>
        <v>0</v>
      </c>
    </row>
    <row r="77" spans="1:31" ht="5.0999999999999996" customHeight="1" thickBot="1">
      <c r="B77" s="106"/>
      <c r="C77" s="107"/>
      <c r="D77" s="107"/>
      <c r="E77" s="107"/>
      <c r="F77" s="108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9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68"/>
      <c r="AE77" s="68"/>
    </row>
    <row r="78" spans="1:31" ht="12.75" customHeight="1">
      <c r="B78" s="143" t="s">
        <v>135</v>
      </c>
      <c r="C78" s="144"/>
      <c r="D78" s="144"/>
      <c r="E78" s="144"/>
      <c r="F78" s="144"/>
      <c r="G78" s="144"/>
      <c r="H78" s="144"/>
      <c r="I78" s="144"/>
      <c r="J78" s="144"/>
      <c r="K78" s="144"/>
      <c r="L78" s="144"/>
      <c r="M78" s="144"/>
      <c r="N78" s="144"/>
      <c r="O78" s="144"/>
      <c r="P78" s="144"/>
      <c r="Q78" s="144"/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</row>
    <row r="79" spans="1:31">
      <c r="B79" s="63"/>
      <c r="C79" s="22"/>
      <c r="D79" s="22"/>
      <c r="E79" s="22"/>
      <c r="F79" s="51"/>
    </row>
    <row r="80" spans="1:31" ht="12.75" customHeight="1">
      <c r="A80" s="5" t="s">
        <v>18</v>
      </c>
      <c r="B80" s="88" t="s">
        <v>15</v>
      </c>
      <c r="C80" s="92" t="s">
        <v>0</v>
      </c>
      <c r="D80" s="92"/>
      <c r="E80" s="92"/>
      <c r="F80" s="93"/>
      <c r="G80" s="92" t="s">
        <v>1</v>
      </c>
      <c r="H80" s="92"/>
      <c r="I80" s="92"/>
      <c r="J80" s="92"/>
      <c r="K80" s="92"/>
      <c r="L80" s="92"/>
      <c r="M80" s="92"/>
      <c r="N80" s="92"/>
      <c r="O80" s="92"/>
      <c r="P80" s="92"/>
      <c r="Q80" s="92" t="s">
        <v>1</v>
      </c>
      <c r="R80" s="88"/>
      <c r="S80" s="92"/>
      <c r="T80" s="92"/>
      <c r="U80" s="92"/>
      <c r="V80" s="92"/>
      <c r="W80" s="92"/>
      <c r="X80" s="92"/>
      <c r="Y80" s="92" t="s">
        <v>9</v>
      </c>
      <c r="Z80" s="92"/>
      <c r="AA80" s="92"/>
      <c r="AB80" s="92"/>
      <c r="AC80" s="92"/>
      <c r="AD80" s="93"/>
      <c r="AE80" s="142" t="s">
        <v>24</v>
      </c>
    </row>
    <row r="81" spans="2:31" ht="12.75" customHeight="1">
      <c r="B81" s="89" t="str">
        <f>B7</f>
        <v>Fiscal Period</v>
      </c>
      <c r="C81" s="94">
        <f>C7</f>
        <v>2021</v>
      </c>
      <c r="D81" s="94">
        <f>D7</f>
        <v>2022</v>
      </c>
      <c r="E81" s="94">
        <f>E7</f>
        <v>2023</v>
      </c>
      <c r="F81" s="93"/>
      <c r="G81" s="94" t="str">
        <f>G7</f>
        <v>1Q22</v>
      </c>
      <c r="H81" s="94" t="str">
        <f>H7</f>
        <v>2Q22</v>
      </c>
      <c r="I81" s="94" t="str">
        <f>I7</f>
        <v>3Q22</v>
      </c>
      <c r="J81" s="94" t="str">
        <f>J7</f>
        <v>4Q22</v>
      </c>
      <c r="K81" s="94" t="str">
        <f>K7</f>
        <v>1Q23</v>
      </c>
      <c r="L81" s="94" t="str">
        <f>L7</f>
        <v>2Q23</v>
      </c>
      <c r="M81" s="94" t="str">
        <f>M7</f>
        <v>3Q23</v>
      </c>
      <c r="N81" s="94" t="str">
        <f>N7</f>
        <v>4Q23</v>
      </c>
      <c r="O81" s="94" t="str">
        <f>O7</f>
        <v>1Q24</v>
      </c>
      <c r="P81" s="94" t="str">
        <f>P7</f>
        <v>2Q24</v>
      </c>
      <c r="Q81" s="94" t="str">
        <f>Q7</f>
        <v>3Q24</v>
      </c>
      <c r="R81" s="94"/>
      <c r="S81" s="94" t="str">
        <f>S7</f>
        <v>1Q22</v>
      </c>
      <c r="T81" s="94" t="str">
        <f>T7</f>
        <v>2Q22</v>
      </c>
      <c r="U81" s="94" t="str">
        <f>U7</f>
        <v>3Q22</v>
      </c>
      <c r="V81" s="94" t="str">
        <f>V7</f>
        <v>4Q22</v>
      </c>
      <c r="W81" s="94" t="str">
        <f>W7</f>
        <v>1Q23</v>
      </c>
      <c r="X81" s="94" t="str">
        <f>X7</f>
        <v>2Q23</v>
      </c>
      <c r="Y81" s="94" t="str">
        <f>Y7</f>
        <v>3Q23</v>
      </c>
      <c r="Z81" s="94" t="str">
        <f>Z7</f>
        <v>4Q23</v>
      </c>
      <c r="AA81" s="94" t="str">
        <f>AA7</f>
        <v>1Q24</v>
      </c>
      <c r="AB81" s="94" t="str">
        <f>AB7</f>
        <v>2Q24</v>
      </c>
      <c r="AC81" s="94" t="str">
        <f>AC7</f>
        <v>3Q24</v>
      </c>
      <c r="AD81" s="93"/>
      <c r="AE81" s="142"/>
    </row>
    <row r="82" spans="2:31" ht="12.75" customHeight="1">
      <c r="B82" s="89" t="str">
        <f>B8</f>
        <v>Fiscal Period End Date</v>
      </c>
      <c r="C82" s="95">
        <f>C8</f>
        <v>44561</v>
      </c>
      <c r="D82" s="95">
        <f>D8</f>
        <v>44926</v>
      </c>
      <c r="E82" s="95">
        <f>E8</f>
        <v>45291</v>
      </c>
      <c r="F82" s="93"/>
      <c r="G82" s="95">
        <f>G8</f>
        <v>44651</v>
      </c>
      <c r="H82" s="95">
        <f>H8</f>
        <v>44742</v>
      </c>
      <c r="I82" s="95">
        <f>I8</f>
        <v>44834</v>
      </c>
      <c r="J82" s="95">
        <f>J8</f>
        <v>44926</v>
      </c>
      <c r="K82" s="95">
        <f>K8</f>
        <v>45016</v>
      </c>
      <c r="L82" s="95">
        <f>L8</f>
        <v>45107</v>
      </c>
      <c r="M82" s="95">
        <f>M8</f>
        <v>45199</v>
      </c>
      <c r="N82" s="95">
        <f>N8</f>
        <v>45291</v>
      </c>
      <c r="O82" s="95">
        <f>O8</f>
        <v>45382</v>
      </c>
      <c r="P82" s="95">
        <f>P8</f>
        <v>45473</v>
      </c>
      <c r="Q82" s="95">
        <f>Q8</f>
        <v>45565</v>
      </c>
      <c r="R82" s="95"/>
      <c r="S82" s="95">
        <f>S8</f>
        <v>44651</v>
      </c>
      <c r="T82" s="95">
        <f>T8</f>
        <v>44742</v>
      </c>
      <c r="U82" s="95">
        <f>U8</f>
        <v>44834</v>
      </c>
      <c r="V82" s="95">
        <f>V8</f>
        <v>44926</v>
      </c>
      <c r="W82" s="95">
        <f>W8</f>
        <v>45016</v>
      </c>
      <c r="X82" s="95">
        <f>X8</f>
        <v>45107</v>
      </c>
      <c r="Y82" s="95">
        <f>Y8</f>
        <v>45199</v>
      </c>
      <c r="Z82" s="95">
        <f>Z8</f>
        <v>45291</v>
      </c>
      <c r="AA82" s="95">
        <f>AA8</f>
        <v>45382</v>
      </c>
      <c r="AB82" s="95">
        <f>AB8</f>
        <v>45473</v>
      </c>
      <c r="AC82" s="95">
        <f>AC8</f>
        <v>45565</v>
      </c>
      <c r="AD82" s="93"/>
      <c r="AE82" s="142"/>
    </row>
    <row r="83" spans="2:31" ht="5.0999999999999996" customHeight="1">
      <c r="B83" s="52"/>
      <c r="C83" s="46"/>
      <c r="D83" s="46"/>
      <c r="E83" s="46"/>
    </row>
    <row r="84" spans="2:31" ht="12.75" customHeight="1">
      <c r="B84" s="53" t="s">
        <v>65</v>
      </c>
      <c r="C84" s="54"/>
      <c r="D84" s="54"/>
      <c r="E84" s="54"/>
    </row>
    <row r="85" spans="2:31" ht="12.75" customHeight="1">
      <c r="B85" s="55" t="s">
        <v>66</v>
      </c>
      <c r="C85" s="30">
        <f>C29</f>
        <v>-30527</v>
      </c>
      <c r="D85" s="30">
        <f>D29</f>
        <v>-38776</v>
      </c>
      <c r="E85" s="30">
        <f>E29</f>
        <v>-41066</v>
      </c>
      <c r="F85" s="30"/>
      <c r="G85" s="30">
        <f>G29</f>
        <v>-9932</v>
      </c>
      <c r="H85" s="104">
        <f>H29</f>
        <v>-9613</v>
      </c>
      <c r="I85" s="30">
        <f>I29</f>
        <v>-8597</v>
      </c>
      <c r="J85" s="30">
        <f>J29</f>
        <v>-10634</v>
      </c>
      <c r="K85" s="30">
        <f>K29</f>
        <v>-11527</v>
      </c>
      <c r="L85" s="104">
        <f>L29</f>
        <v>-9114</v>
      </c>
      <c r="M85" s="30">
        <f>M29</f>
        <v>-10428</v>
      </c>
      <c r="N85" s="30">
        <f t="shared" ref="N85" si="94">SUM(D85-SUM(K85:M85))</f>
        <v>-7707</v>
      </c>
      <c r="O85" s="30">
        <f>O29</f>
        <v>-11489</v>
      </c>
      <c r="P85" s="30">
        <f>P29</f>
        <v>-12371</v>
      </c>
      <c r="Q85" s="30">
        <f>Q29</f>
        <v>-11220</v>
      </c>
      <c r="S85" s="30">
        <f>SUM(H85:K85)</f>
        <v>-40371</v>
      </c>
      <c r="T85" s="30">
        <f>SUM(I85:L85)</f>
        <v>-39872</v>
      </c>
      <c r="U85" s="30">
        <f>SUM(J85:M85)</f>
        <v>-41703</v>
      </c>
      <c r="V85" s="30">
        <f>SUM(K85:N85)</f>
        <v>-38776</v>
      </c>
      <c r="W85" s="30">
        <f>SUM(L85:O85)</f>
        <v>-38738</v>
      </c>
      <c r="X85" s="30">
        <f>SUM(M85:P85)</f>
        <v>-41995</v>
      </c>
      <c r="Y85" s="30">
        <f>SUM(M85:P85)</f>
        <v>-41995</v>
      </c>
      <c r="Z85" s="30">
        <f>SUM(N85:Q85)</f>
        <v>-42787</v>
      </c>
      <c r="AA85" s="30">
        <f>SUM(O85:Q85)</f>
        <v>-35080</v>
      </c>
      <c r="AB85" s="30">
        <f>SUM(P85:Q85)</f>
        <v>-23591</v>
      </c>
      <c r="AC85" s="30">
        <f>SUM(Q85:Q85)</f>
        <v>-11220</v>
      </c>
      <c r="AD85" s="11"/>
      <c r="AE85" s="70">
        <f>SUM(AC85/Y85)-1</f>
        <v>-0.73282533634956537</v>
      </c>
    </row>
    <row r="86" spans="2:31" ht="5.0999999999999996" customHeight="1"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11"/>
      <c r="AE86" s="70"/>
    </row>
    <row r="87" spans="2:31" ht="12.75" customHeight="1">
      <c r="B87" s="34" t="s">
        <v>73</v>
      </c>
      <c r="C87" s="30"/>
      <c r="D87" s="30"/>
      <c r="E87" s="30"/>
      <c r="F87" s="30"/>
      <c r="G87" s="30"/>
      <c r="H87" s="30"/>
      <c r="I87" s="30"/>
      <c r="J87" s="30"/>
      <c r="K87" s="79"/>
      <c r="L87" s="79"/>
      <c r="M87" s="79"/>
      <c r="N87" s="30"/>
      <c r="O87" s="79"/>
      <c r="P87" s="79"/>
      <c r="Q87" s="79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57"/>
      <c r="AE87" s="70"/>
    </row>
    <row r="88" spans="2:31" ht="12.75" customHeight="1">
      <c r="B88" s="58" t="s">
        <v>152</v>
      </c>
      <c r="C88" s="79">
        <v>2076</v>
      </c>
      <c r="D88" s="79">
        <v>2867</v>
      </c>
      <c r="E88" s="79">
        <v>2261</v>
      </c>
      <c r="F88" s="147"/>
      <c r="G88" s="79">
        <v>858</v>
      </c>
      <c r="H88" s="30">
        <f>1505-G88</f>
        <v>647</v>
      </c>
      <c r="I88" s="30">
        <f>2186-H88-G88</f>
        <v>681</v>
      </c>
      <c r="J88" s="30">
        <f t="shared" ref="J88:J91" si="95">SUM(D88-SUM(G88:I88))</f>
        <v>681</v>
      </c>
      <c r="K88" s="79">
        <v>662</v>
      </c>
      <c r="L88" s="30">
        <f>1178-K88</f>
        <v>516</v>
      </c>
      <c r="M88" s="30">
        <f>1764-L88-K88</f>
        <v>586</v>
      </c>
      <c r="N88" s="30">
        <f t="shared" ref="N88:N91" si="96">SUM(E88-SUM(K88:M88))</f>
        <v>497</v>
      </c>
      <c r="O88" s="79">
        <v>604</v>
      </c>
      <c r="P88" s="30">
        <f>1342-O88</f>
        <v>738</v>
      </c>
      <c r="Q88" s="30">
        <f>1857-P88-O88</f>
        <v>515</v>
      </c>
      <c r="S88" s="30">
        <f>SUM(H88:K88)</f>
        <v>2671</v>
      </c>
      <c r="T88" s="30">
        <f>SUM(I88:L88)</f>
        <v>2540</v>
      </c>
      <c r="U88" s="30">
        <f>SUM(J88:M88)</f>
        <v>2445</v>
      </c>
      <c r="V88" s="30">
        <f>SUM(K88:N88)</f>
        <v>2261</v>
      </c>
      <c r="W88" s="30">
        <f>SUM(L88:O88)</f>
        <v>2203</v>
      </c>
      <c r="X88" s="30">
        <f>SUM(M88:P88)</f>
        <v>2425</v>
      </c>
      <c r="Y88" s="30">
        <f t="shared" ref="Y88:Y91" si="97">SUM(J88:M88)</f>
        <v>2445</v>
      </c>
      <c r="Z88" s="30">
        <f t="shared" ref="Z88:Z91" si="98">SUM(K88:N88)</f>
        <v>2261</v>
      </c>
      <c r="AA88" s="30">
        <f t="shared" ref="AA88:AA91" si="99">SUM(L88:O88)</f>
        <v>2203</v>
      </c>
      <c r="AB88" s="30">
        <f t="shared" ref="AB88:AB91" si="100">SUM(M88:P88)</f>
        <v>2425</v>
      </c>
      <c r="AC88" s="30">
        <f t="shared" ref="AC88:AC91" si="101">SUM(N88:Q88)</f>
        <v>2354</v>
      </c>
      <c r="AD88" s="11"/>
      <c r="AE88" s="70">
        <f t="shared" ref="AE88:AE94" si="102">SUM(AC88/Y88)-1</f>
        <v>-3.7218813905930515E-2</v>
      </c>
    </row>
    <row r="89" spans="2:31" ht="12.75" customHeight="1">
      <c r="B89" s="58" t="s">
        <v>153</v>
      </c>
      <c r="C89" s="79">
        <v>41</v>
      </c>
      <c r="D89" s="79">
        <v>32</v>
      </c>
      <c r="E89" s="79">
        <v>33</v>
      </c>
      <c r="F89" s="147"/>
      <c r="G89" s="79">
        <v>10</v>
      </c>
      <c r="H89" s="30">
        <f>17-G89</f>
        <v>7</v>
      </c>
      <c r="I89" s="30">
        <f>24-H89-G89</f>
        <v>7</v>
      </c>
      <c r="J89" s="30">
        <f t="shared" si="95"/>
        <v>8</v>
      </c>
      <c r="K89" s="79">
        <v>32</v>
      </c>
      <c r="L89" s="30">
        <f>16-K89</f>
        <v>-16</v>
      </c>
      <c r="M89" s="30">
        <f>24-L89-K89</f>
        <v>8</v>
      </c>
      <c r="N89" s="30">
        <f t="shared" si="96"/>
        <v>9</v>
      </c>
      <c r="O89" s="79">
        <v>9</v>
      </c>
      <c r="P89" s="30">
        <f>18-O782</f>
        <v>18</v>
      </c>
      <c r="Q89" s="30">
        <f>27-P89-O89</f>
        <v>0</v>
      </c>
      <c r="S89" s="30">
        <f>SUM(H89:K89)</f>
        <v>54</v>
      </c>
      <c r="T89" s="30">
        <f>SUM(I89:L89)</f>
        <v>31</v>
      </c>
      <c r="U89" s="30">
        <f>SUM(J89:M89)</f>
        <v>32</v>
      </c>
      <c r="V89" s="30">
        <f>SUM(K89:N89)</f>
        <v>33</v>
      </c>
      <c r="W89" s="30">
        <f>SUM(L89:O89)</f>
        <v>10</v>
      </c>
      <c r="X89" s="30">
        <f>SUM(M89:P89)</f>
        <v>44</v>
      </c>
      <c r="Y89" s="30">
        <f t="shared" si="97"/>
        <v>32</v>
      </c>
      <c r="Z89" s="30">
        <f t="shared" si="98"/>
        <v>33</v>
      </c>
      <c r="AA89" s="30">
        <f t="shared" si="99"/>
        <v>10</v>
      </c>
      <c r="AB89" s="30">
        <f t="shared" si="100"/>
        <v>44</v>
      </c>
      <c r="AC89" s="30">
        <f t="shared" si="101"/>
        <v>36</v>
      </c>
      <c r="AD89" s="11"/>
      <c r="AE89" s="70">
        <f t="shared" si="102"/>
        <v>0.125</v>
      </c>
    </row>
    <row r="90" spans="2:31" ht="12.75" customHeight="1">
      <c r="B90" s="58" t="s">
        <v>154</v>
      </c>
      <c r="C90" s="79">
        <v>283</v>
      </c>
      <c r="D90" s="79">
        <v>410</v>
      </c>
      <c r="E90" s="79">
        <v>697</v>
      </c>
      <c r="F90" s="147"/>
      <c r="G90" s="79">
        <v>80</v>
      </c>
      <c r="H90" s="30">
        <f>158-G90</f>
        <v>78</v>
      </c>
      <c r="I90" s="30">
        <f>276-H90-G90</f>
        <v>118</v>
      </c>
      <c r="J90" s="30">
        <f t="shared" si="95"/>
        <v>134</v>
      </c>
      <c r="K90" s="79">
        <v>144</v>
      </c>
      <c r="L90" s="30">
        <f>313-K90</f>
        <v>169</v>
      </c>
      <c r="M90" s="30">
        <f>505-L90-K90</f>
        <v>192</v>
      </c>
      <c r="N90" s="30">
        <f t="shared" si="96"/>
        <v>192</v>
      </c>
      <c r="O90" s="79">
        <v>208</v>
      </c>
      <c r="P90" s="30">
        <f>457-O90</f>
        <v>249</v>
      </c>
      <c r="Q90" s="30">
        <f>748-P90-O90</f>
        <v>291</v>
      </c>
      <c r="S90" s="30">
        <f>SUM(H90:K90)</f>
        <v>474</v>
      </c>
      <c r="T90" s="30">
        <f>SUM(I90:L90)</f>
        <v>565</v>
      </c>
      <c r="U90" s="30">
        <f>SUM(J90:M90)</f>
        <v>639</v>
      </c>
      <c r="V90" s="30">
        <f>SUM(K90:N90)</f>
        <v>697</v>
      </c>
      <c r="W90" s="30">
        <f>SUM(L90:O90)</f>
        <v>761</v>
      </c>
      <c r="X90" s="30">
        <f>SUM(M90:P90)</f>
        <v>841</v>
      </c>
      <c r="Y90" s="30">
        <f t="shared" si="97"/>
        <v>639</v>
      </c>
      <c r="Z90" s="30">
        <f t="shared" si="98"/>
        <v>697</v>
      </c>
      <c r="AA90" s="30">
        <f t="shared" si="99"/>
        <v>761</v>
      </c>
      <c r="AB90" s="30">
        <f t="shared" si="100"/>
        <v>841</v>
      </c>
      <c r="AC90" s="30">
        <f t="shared" si="101"/>
        <v>940</v>
      </c>
      <c r="AD90" s="11"/>
      <c r="AE90" s="70">
        <f t="shared" si="102"/>
        <v>0.47104851330203434</v>
      </c>
    </row>
    <row r="91" spans="2:31" ht="12.75" customHeight="1">
      <c r="B91" s="58" t="s">
        <v>139</v>
      </c>
      <c r="C91" s="79">
        <v>-138</v>
      </c>
      <c r="D91" s="79">
        <v>-557</v>
      </c>
      <c r="E91" s="79">
        <v>432</v>
      </c>
      <c r="F91" s="147"/>
      <c r="G91" s="79">
        <v>-229</v>
      </c>
      <c r="H91" s="30">
        <f>-504-G91</f>
        <v>-275</v>
      </c>
      <c r="I91" s="30">
        <f>-280-H91-G91</f>
        <v>224</v>
      </c>
      <c r="J91" s="30">
        <f t="shared" si="95"/>
        <v>-277</v>
      </c>
      <c r="K91" s="79">
        <v>769</v>
      </c>
      <c r="L91" s="30">
        <f>279-K91</f>
        <v>-490</v>
      </c>
      <c r="M91" s="30">
        <f>769-L91-K91</f>
        <v>490</v>
      </c>
      <c r="N91" s="30">
        <f t="shared" si="96"/>
        <v>-337</v>
      </c>
      <c r="O91" s="79">
        <v>868</v>
      </c>
      <c r="P91" s="30">
        <f>760-O91</f>
        <v>-108</v>
      </c>
      <c r="Q91" s="30">
        <f>1514-P91-O91</f>
        <v>754</v>
      </c>
      <c r="S91" s="30">
        <f>SUM(H91:K91)</f>
        <v>441</v>
      </c>
      <c r="T91" s="30">
        <f>SUM(I91:L91)</f>
        <v>226</v>
      </c>
      <c r="U91" s="30">
        <f>SUM(J91:M91)</f>
        <v>492</v>
      </c>
      <c r="V91" s="30">
        <f>SUM(K91:N91)</f>
        <v>432</v>
      </c>
      <c r="W91" s="30">
        <f>SUM(L91:O91)</f>
        <v>531</v>
      </c>
      <c r="X91" s="30">
        <f>SUM(M91:P91)</f>
        <v>913</v>
      </c>
      <c r="Y91" s="30">
        <f t="shared" si="97"/>
        <v>492</v>
      </c>
      <c r="Z91" s="30">
        <f t="shared" si="98"/>
        <v>432</v>
      </c>
      <c r="AA91" s="30">
        <f t="shared" si="99"/>
        <v>531</v>
      </c>
      <c r="AB91" s="30">
        <f t="shared" si="100"/>
        <v>913</v>
      </c>
      <c r="AC91" s="30">
        <f t="shared" si="101"/>
        <v>1177</v>
      </c>
      <c r="AD91" s="11"/>
      <c r="AE91" s="70">
        <f t="shared" si="102"/>
        <v>1.3922764227642275</v>
      </c>
    </row>
    <row r="92" spans="2:31" ht="5.0999999999999996" customHeight="1">
      <c r="B92" s="8"/>
      <c r="C92" s="146"/>
      <c r="D92" s="146"/>
      <c r="E92" s="146"/>
      <c r="F92" s="147"/>
      <c r="G92" s="79"/>
      <c r="H92" s="30"/>
      <c r="I92" s="30"/>
      <c r="J92" s="30"/>
      <c r="K92" s="79"/>
      <c r="L92" s="30"/>
      <c r="M92" s="30"/>
      <c r="N92" s="30"/>
      <c r="O92" s="79"/>
      <c r="P92" s="30"/>
      <c r="Q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11"/>
      <c r="AE92" s="70"/>
    </row>
    <row r="93" spans="2:31" ht="12.75" customHeight="1">
      <c r="B93" s="34" t="s">
        <v>14</v>
      </c>
      <c r="C93" s="146"/>
      <c r="D93" s="146"/>
      <c r="E93" s="146"/>
      <c r="F93" s="147"/>
      <c r="G93" s="79"/>
      <c r="H93" s="30"/>
      <c r="I93" s="30"/>
      <c r="J93" s="30"/>
      <c r="K93" s="79"/>
      <c r="L93" s="30"/>
      <c r="M93" s="30"/>
      <c r="N93" s="30"/>
      <c r="O93" s="79"/>
      <c r="P93" s="30"/>
      <c r="Q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57"/>
      <c r="AE93" s="70"/>
    </row>
    <row r="94" spans="2:31" ht="12.75" customHeight="1">
      <c r="B94" s="58" t="s">
        <v>155</v>
      </c>
      <c r="C94" s="79">
        <v>65</v>
      </c>
      <c r="D94" s="79">
        <v>101</v>
      </c>
      <c r="E94" s="79">
        <v>-90</v>
      </c>
      <c r="F94" s="147"/>
      <c r="G94" s="79">
        <v>160</v>
      </c>
      <c r="H94" s="30">
        <f>454-G94</f>
        <v>294</v>
      </c>
      <c r="I94" s="30">
        <f>772-H94-G94</f>
        <v>318</v>
      </c>
      <c r="J94" s="30">
        <f t="shared" ref="J94:J96" si="103">SUM(D94-SUM(G94:I94))</f>
        <v>-671</v>
      </c>
      <c r="K94" s="79">
        <v>183</v>
      </c>
      <c r="L94" s="30">
        <f>458-K94</f>
        <v>275</v>
      </c>
      <c r="M94" s="30">
        <f>711-L94-K94</f>
        <v>253</v>
      </c>
      <c r="N94" s="30">
        <f t="shared" ref="N94:N95" si="104">SUM(E94-SUM(K94:M94))</f>
        <v>-801</v>
      </c>
      <c r="O94" s="79">
        <v>145</v>
      </c>
      <c r="P94" s="30">
        <f>361-O94</f>
        <v>216</v>
      </c>
      <c r="Q94" s="30">
        <f>444-P94-O94</f>
        <v>83</v>
      </c>
      <c r="S94" s="30">
        <f>SUM(H94:K94)</f>
        <v>124</v>
      </c>
      <c r="T94" s="30">
        <f>SUM(I94:L94)</f>
        <v>105</v>
      </c>
      <c r="U94" s="30">
        <f>SUM(J94:M94)</f>
        <v>40</v>
      </c>
      <c r="V94" s="30">
        <f>SUM(K94:N94)</f>
        <v>-90</v>
      </c>
      <c r="W94" s="30">
        <f>SUM(L94:O94)</f>
        <v>-128</v>
      </c>
      <c r="X94" s="30">
        <f>SUM(M94:P94)</f>
        <v>-187</v>
      </c>
      <c r="Y94" s="30">
        <f t="shared" ref="Y94:Y96" si="105">SUM(J94:M94)</f>
        <v>40</v>
      </c>
      <c r="Z94" s="30">
        <f t="shared" ref="Z94:Z96" si="106">SUM(K94:N94)</f>
        <v>-90</v>
      </c>
      <c r="AA94" s="30">
        <f t="shared" ref="AA94:AA96" si="107">SUM(L94:O94)</f>
        <v>-128</v>
      </c>
      <c r="AB94" s="30">
        <f t="shared" ref="AB94:AB96" si="108">SUM(M94:P94)</f>
        <v>-187</v>
      </c>
      <c r="AC94" s="30">
        <f t="shared" ref="AC94:AC96" si="109">SUM(N94:Q94)</f>
        <v>-357</v>
      </c>
      <c r="AD94" s="57"/>
      <c r="AE94" s="70">
        <f t="shared" si="102"/>
        <v>-9.9250000000000007</v>
      </c>
    </row>
    <row r="95" spans="2:31" ht="12.75" customHeight="1">
      <c r="B95" s="58" t="s">
        <v>156</v>
      </c>
      <c r="C95" s="79">
        <v>3686</v>
      </c>
      <c r="D95" s="79">
        <v>4244</v>
      </c>
      <c r="E95" s="79">
        <v>2671</v>
      </c>
      <c r="F95" s="147"/>
      <c r="G95" s="79">
        <v>864</v>
      </c>
      <c r="H95" s="30">
        <f>2147-G95</f>
        <v>1283</v>
      </c>
      <c r="I95" s="30">
        <f>899-H95-G95</f>
        <v>-1248</v>
      </c>
      <c r="J95" s="30">
        <f t="shared" si="103"/>
        <v>3345</v>
      </c>
      <c r="K95" s="79">
        <v>-1372</v>
      </c>
      <c r="L95" s="30">
        <f>-3027-K95</f>
        <v>-1655</v>
      </c>
      <c r="M95" s="30">
        <f>-2406-L95-K95</f>
        <v>621</v>
      </c>
      <c r="N95" s="30">
        <f t="shared" si="104"/>
        <v>5077</v>
      </c>
      <c r="O95" s="79">
        <v>-3293</v>
      </c>
      <c r="P95" s="30">
        <f>-1380-O95</f>
        <v>1913</v>
      </c>
      <c r="Q95" s="30">
        <f>-1553-P95-O95</f>
        <v>-173</v>
      </c>
      <c r="S95" s="30">
        <f>SUM(H95:K95)</f>
        <v>2008</v>
      </c>
      <c r="T95" s="30">
        <f>SUM(I95:L95)</f>
        <v>-930</v>
      </c>
      <c r="U95" s="30">
        <f>SUM(J95:M95)</f>
        <v>939</v>
      </c>
      <c r="V95" s="30">
        <f>SUM(K95:N95)</f>
        <v>2671</v>
      </c>
      <c r="W95" s="30">
        <f>SUM(L95:O95)</f>
        <v>750</v>
      </c>
      <c r="X95" s="30">
        <f>SUM(M95:P95)</f>
        <v>4318</v>
      </c>
      <c r="Y95" s="30">
        <f t="shared" si="105"/>
        <v>939</v>
      </c>
      <c r="Z95" s="30">
        <f t="shared" si="106"/>
        <v>2671</v>
      </c>
      <c r="AA95" s="30">
        <f t="shared" si="107"/>
        <v>750</v>
      </c>
      <c r="AB95" s="30">
        <f t="shared" si="108"/>
        <v>4318</v>
      </c>
      <c r="AC95" s="30">
        <f t="shared" si="109"/>
        <v>3524</v>
      </c>
      <c r="AD95" s="57"/>
      <c r="AE95" s="70">
        <f t="shared" ref="AE95:AE96" si="110">SUM(AC95/Y95)-1</f>
        <v>2.7529286474973378</v>
      </c>
    </row>
    <row r="96" spans="2:31" ht="12.75" customHeight="1">
      <c r="B96" s="58" t="s">
        <v>157</v>
      </c>
      <c r="C96" s="79">
        <v>206</v>
      </c>
      <c r="D96" s="79">
        <v>623</v>
      </c>
      <c r="E96" s="79">
        <v>2097</v>
      </c>
      <c r="F96" s="147"/>
      <c r="G96" s="79">
        <v>147</v>
      </c>
      <c r="H96" s="30">
        <f>298-G96</f>
        <v>151</v>
      </c>
      <c r="I96" s="30">
        <f>448-H96-G96</f>
        <v>150</v>
      </c>
      <c r="J96" s="30">
        <f t="shared" si="103"/>
        <v>175</v>
      </c>
      <c r="K96" s="79">
        <v>316</v>
      </c>
      <c r="L96" s="30">
        <f>798-K96</f>
        <v>482</v>
      </c>
      <c r="M96" s="30">
        <f>1439-L96-K96</f>
        <v>641</v>
      </c>
      <c r="N96" s="30">
        <f>SUM(E96-SUM(K96:M96))</f>
        <v>658</v>
      </c>
      <c r="O96" s="79">
        <v>843</v>
      </c>
      <c r="P96" s="30">
        <f>1864-O96</f>
        <v>1021</v>
      </c>
      <c r="Q96" s="30">
        <f>3067-P96-O96</f>
        <v>1203</v>
      </c>
      <c r="S96" s="30">
        <f>SUM(H96:K96)</f>
        <v>792</v>
      </c>
      <c r="T96" s="30">
        <f>SUM(I96:L96)</f>
        <v>1123</v>
      </c>
      <c r="U96" s="30">
        <f>SUM(J96:M96)</f>
        <v>1614</v>
      </c>
      <c r="V96" s="30">
        <f>SUM(K96:N96)</f>
        <v>2097</v>
      </c>
      <c r="W96" s="30">
        <f>SUM(L96:O96)</f>
        <v>2624</v>
      </c>
      <c r="X96" s="30">
        <f>SUM(M96:P96)</f>
        <v>3163</v>
      </c>
      <c r="Y96" s="30">
        <f t="shared" si="105"/>
        <v>1614</v>
      </c>
      <c r="Z96" s="30">
        <f t="shared" si="106"/>
        <v>2097</v>
      </c>
      <c r="AA96" s="30">
        <f t="shared" si="107"/>
        <v>2624</v>
      </c>
      <c r="AB96" s="30">
        <f t="shared" si="108"/>
        <v>3163</v>
      </c>
      <c r="AC96" s="30">
        <f t="shared" si="109"/>
        <v>3725</v>
      </c>
      <c r="AD96" s="57"/>
      <c r="AE96" s="70">
        <f t="shared" si="110"/>
        <v>1.3079306071871128</v>
      </c>
    </row>
    <row r="97" spans="2:31" ht="12.75" customHeight="1">
      <c r="B97" s="12" t="s">
        <v>67</v>
      </c>
      <c r="C97" s="13">
        <f>SUM(C85:C96)</f>
        <v>-24308</v>
      </c>
      <c r="D97" s="13">
        <f>SUM(D85:D96)</f>
        <v>-31056</v>
      </c>
      <c r="E97" s="13">
        <f>SUM(E85:E96)</f>
        <v>-32965</v>
      </c>
      <c r="G97" s="13">
        <f>SUM(G85:G96)</f>
        <v>-8042</v>
      </c>
      <c r="H97" s="13">
        <f>SUM(H85:H96)</f>
        <v>-7428</v>
      </c>
      <c r="I97" s="13">
        <f>SUM(I85:I96)</f>
        <v>-8347</v>
      </c>
      <c r="J97" s="13">
        <f>SUM(J85:J96)</f>
        <v>-7239</v>
      </c>
      <c r="K97" s="32">
        <f>SUM(K85:K96)</f>
        <v>-10793</v>
      </c>
      <c r="L97" s="13">
        <f>SUM(L85:L96)</f>
        <v>-9833</v>
      </c>
      <c r="M97" s="13">
        <f>SUM(M85:M96)</f>
        <v>-7637</v>
      </c>
      <c r="N97" s="13">
        <f>SUM(N85:N96)</f>
        <v>-2412</v>
      </c>
      <c r="O97" s="13">
        <f>SUM(O85:O96)</f>
        <v>-12105</v>
      </c>
      <c r="P97" s="13">
        <f>SUM(P85:P96)</f>
        <v>-8324</v>
      </c>
      <c r="Q97" s="13">
        <f>SUM(Q85:Q96)</f>
        <v>-8547</v>
      </c>
      <c r="S97" s="13">
        <f>SUM(S85:S96)</f>
        <v>-33807</v>
      </c>
      <c r="T97" s="13">
        <f>SUM(T85:T96)</f>
        <v>-36212</v>
      </c>
      <c r="U97" s="13">
        <f>SUM(U85:U96)</f>
        <v>-35502</v>
      </c>
      <c r="V97" s="13">
        <f>SUM(V85:V96)</f>
        <v>-30675</v>
      </c>
      <c r="W97" s="13">
        <f>SUM(W85:W96)</f>
        <v>-31987</v>
      </c>
      <c r="X97" s="13">
        <f>SUM(X85:X96)</f>
        <v>-30478</v>
      </c>
      <c r="Y97" s="13">
        <f>SUM(Y85:Y96)</f>
        <v>-35794</v>
      </c>
      <c r="Z97" s="13">
        <f>SUM(Z85:Z96)</f>
        <v>-34686</v>
      </c>
      <c r="AA97" s="13">
        <f>SUM(AA85:AA96)</f>
        <v>-28329</v>
      </c>
      <c r="AB97" s="13">
        <f>SUM(AB85:AB96)</f>
        <v>-12074</v>
      </c>
      <c r="AC97" s="13">
        <f>SUM(AC85:AC96)</f>
        <v>179</v>
      </c>
      <c r="AD97" s="40"/>
      <c r="AE97" s="71">
        <f>SUM(AC97/Y97)-1</f>
        <v>-1.0050008381292954</v>
      </c>
    </row>
    <row r="98" spans="2:31" ht="12.75" customHeight="1">
      <c r="B98" s="51"/>
      <c r="C98" s="59"/>
      <c r="D98" s="59"/>
      <c r="E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37"/>
    </row>
    <row r="99" spans="2:31" ht="12.75" customHeight="1">
      <c r="B99" s="137" t="s">
        <v>68</v>
      </c>
      <c r="C99" s="56"/>
      <c r="D99" s="56"/>
      <c r="E99" s="56"/>
      <c r="G99" s="56"/>
      <c r="H99" s="56"/>
      <c r="I99" s="56"/>
      <c r="J99" s="30"/>
      <c r="K99" s="79"/>
      <c r="L99" s="79"/>
      <c r="M99" s="79"/>
      <c r="N99" s="30"/>
      <c r="O99" s="79"/>
      <c r="P99" s="79"/>
      <c r="Q99" s="79"/>
      <c r="S99" s="56"/>
      <c r="T99" s="56"/>
      <c r="U99" s="56"/>
      <c r="V99" s="56"/>
      <c r="W99" s="56"/>
      <c r="X99" s="56"/>
      <c r="Y99" s="30">
        <f t="shared" ref="Y99" si="111">SUM(J99:M99)</f>
        <v>0</v>
      </c>
      <c r="Z99" s="30">
        <f t="shared" ref="Z99" si="112">SUM(K99:N99)</f>
        <v>0</v>
      </c>
      <c r="AA99" s="30">
        <f t="shared" ref="AA99" si="113">SUM(L99:O99)</f>
        <v>0</v>
      </c>
      <c r="AB99" s="30">
        <f t="shared" ref="AB99" si="114">SUM(M99:P99)</f>
        <v>0</v>
      </c>
      <c r="AC99" s="30">
        <f t="shared" ref="AC99" si="115">SUM(N99:Q99)</f>
        <v>0</v>
      </c>
      <c r="AD99" s="57"/>
      <c r="AE99" s="37"/>
    </row>
    <row r="100" spans="2:31" ht="12.75" customHeight="1">
      <c r="B100" s="12" t="s">
        <v>69</v>
      </c>
      <c r="C100" s="13">
        <f>+C99</f>
        <v>0</v>
      </c>
      <c r="D100" s="13">
        <f t="shared" ref="D100:E100" si="116">+D99</f>
        <v>0</v>
      </c>
      <c r="E100" s="13">
        <f t="shared" si="116"/>
        <v>0</v>
      </c>
      <c r="G100" s="13">
        <f t="shared" ref="G100" si="117">+G99</f>
        <v>0</v>
      </c>
      <c r="H100" s="13">
        <f t="shared" ref="H100" si="118">+H99</f>
        <v>0</v>
      </c>
      <c r="I100" s="13">
        <f t="shared" ref="I100" si="119">+I99</f>
        <v>0</v>
      </c>
      <c r="J100" s="13">
        <f t="shared" ref="J100" si="120">+J99</f>
        <v>0</v>
      </c>
      <c r="K100" s="13">
        <f t="shared" ref="K100" si="121">+K99</f>
        <v>0</v>
      </c>
      <c r="L100" s="13">
        <f t="shared" ref="L100" si="122">+L99</f>
        <v>0</v>
      </c>
      <c r="M100" s="13">
        <f t="shared" ref="M100" si="123">+M99</f>
        <v>0</v>
      </c>
      <c r="N100" s="13">
        <f t="shared" ref="N100" si="124">+N99</f>
        <v>0</v>
      </c>
      <c r="O100" s="13">
        <f t="shared" ref="O100" si="125">+O99</f>
        <v>0</v>
      </c>
      <c r="P100" s="13">
        <f t="shared" ref="P100" si="126">+P99</f>
        <v>0</v>
      </c>
      <c r="Q100" s="13">
        <f t="shared" ref="Q100" si="127">+Q99</f>
        <v>0</v>
      </c>
      <c r="S100" s="13" t="e">
        <f>SUM(#REF!)</f>
        <v>#REF!</v>
      </c>
      <c r="T100" s="13" t="e">
        <f>SUM(#REF!)</f>
        <v>#REF!</v>
      </c>
      <c r="U100" s="13" t="e">
        <f>SUM(#REF!)</f>
        <v>#REF!</v>
      </c>
      <c r="V100" s="13" t="e">
        <f>SUM(#REF!)</f>
        <v>#REF!</v>
      </c>
      <c r="W100" s="13" t="e">
        <f>SUM(#REF!)</f>
        <v>#REF!</v>
      </c>
      <c r="X100" s="13" t="e">
        <f>SUM(#REF!)</f>
        <v>#REF!</v>
      </c>
      <c r="Y100" s="13">
        <f t="shared" ref="Y100" si="128">+Y99</f>
        <v>0</v>
      </c>
      <c r="Z100" s="13">
        <f t="shared" ref="Z100" si="129">+Z99</f>
        <v>0</v>
      </c>
      <c r="AA100" s="13">
        <f t="shared" ref="AA100" si="130">+AA99</f>
        <v>0</v>
      </c>
      <c r="AB100" s="13">
        <f t="shared" ref="AB100" si="131">+AB99</f>
        <v>0</v>
      </c>
      <c r="AC100" s="13">
        <f t="shared" ref="AC100" si="132">+AC99</f>
        <v>0</v>
      </c>
      <c r="AD100" s="40"/>
      <c r="AE100" s="71" t="e">
        <f>SUM(AC100/Y100)-1</f>
        <v>#DIV/0!</v>
      </c>
    </row>
    <row r="101" spans="2:31" ht="5.0999999999999996" customHeight="1">
      <c r="B101" s="50"/>
      <c r="C101" s="59"/>
      <c r="D101" s="59"/>
      <c r="E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37"/>
    </row>
    <row r="102" spans="2:31" ht="12.75" customHeight="1">
      <c r="B102" s="137" t="s">
        <v>70</v>
      </c>
      <c r="C102" s="60"/>
      <c r="D102" s="60"/>
      <c r="E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61"/>
      <c r="AE102" s="37"/>
    </row>
    <row r="103" spans="2:31" ht="12.75" customHeight="1">
      <c r="B103" s="80" t="s">
        <v>158</v>
      </c>
      <c r="C103" s="79">
        <v>0</v>
      </c>
      <c r="D103" s="79">
        <v>10000</v>
      </c>
      <c r="E103" s="79">
        <v>30000</v>
      </c>
      <c r="F103" s="147"/>
      <c r="G103" s="79">
        <v>0</v>
      </c>
      <c r="H103" s="30">
        <f>0-G103</f>
        <v>0</v>
      </c>
      <c r="I103" s="30">
        <f>0-H103-G103</f>
        <v>0</v>
      </c>
      <c r="J103" s="30">
        <f>D103-G103-H103-I103</f>
        <v>10000</v>
      </c>
      <c r="K103" s="79">
        <v>10000</v>
      </c>
      <c r="L103" s="30">
        <f>20000-K103</f>
        <v>10000</v>
      </c>
      <c r="M103" s="30">
        <f>20000-L103-K103</f>
        <v>0</v>
      </c>
      <c r="N103" s="30">
        <f>E103-M103-L103-K103</f>
        <v>10000</v>
      </c>
      <c r="O103" s="79">
        <v>10000</v>
      </c>
      <c r="P103" s="30">
        <f>20000-O103</f>
        <v>10000</v>
      </c>
      <c r="Q103" s="30">
        <f>30000-P103-O103</f>
        <v>10000</v>
      </c>
      <c r="R103" s="30"/>
      <c r="S103" s="30"/>
      <c r="T103" s="30"/>
      <c r="U103" s="30"/>
      <c r="V103" s="30"/>
      <c r="W103" s="30"/>
      <c r="X103" s="30"/>
      <c r="Y103" s="30">
        <f t="shared" ref="Y103:Y105" si="133">SUM(J103:M103)</f>
        <v>30000</v>
      </c>
      <c r="Z103" s="30">
        <f t="shared" ref="Z103:Z105" si="134">SUM(K103:N103)</f>
        <v>30000</v>
      </c>
      <c r="AA103" s="30">
        <f t="shared" ref="AA103:AA105" si="135">SUM(L103:O103)</f>
        <v>30000</v>
      </c>
      <c r="AB103" s="30">
        <f t="shared" ref="AB103:AB105" si="136">SUM(M103:P103)</f>
        <v>30000</v>
      </c>
      <c r="AC103" s="30">
        <f t="shared" ref="AC103:AC105" si="137">SUM(N103:Q103)</f>
        <v>40000</v>
      </c>
      <c r="AD103" s="61"/>
      <c r="AE103" s="70">
        <f t="shared" ref="AE103:AE104" si="138">SUM(AC103/Y103)-1</f>
        <v>0.33333333333333326</v>
      </c>
    </row>
    <row r="104" spans="2:31" ht="12.75" customHeight="1">
      <c r="B104" s="80" t="s">
        <v>159</v>
      </c>
      <c r="C104" s="79">
        <v>6814</v>
      </c>
      <c r="D104" s="79">
        <v>0</v>
      </c>
      <c r="E104" s="79">
        <v>10033</v>
      </c>
      <c r="F104" s="147"/>
      <c r="G104" s="79">
        <v>0</v>
      </c>
      <c r="H104" s="30">
        <f t="shared" ref="H104:H105" si="139">0-G104</f>
        <v>0</v>
      </c>
      <c r="I104" s="30">
        <f t="shared" ref="I104:I105" si="140">0-H104-G104</f>
        <v>0</v>
      </c>
      <c r="J104" s="30">
        <f>D104-G104-H104-I104</f>
        <v>0</v>
      </c>
      <c r="K104" s="79">
        <v>0</v>
      </c>
      <c r="L104" s="30">
        <v>0</v>
      </c>
      <c r="M104" s="30">
        <f>10033-L104-K104</f>
        <v>10033</v>
      </c>
      <c r="N104" s="30">
        <f t="shared" ref="N104:N105" si="141">E104-M104-L104-K104</f>
        <v>0</v>
      </c>
      <c r="O104" s="79">
        <v>0</v>
      </c>
      <c r="P104" s="30">
        <f>376-O104</f>
        <v>376</v>
      </c>
      <c r="Q104" s="30">
        <f>376-P104-O104</f>
        <v>0</v>
      </c>
      <c r="R104" s="30"/>
      <c r="S104" s="30"/>
      <c r="T104" s="30"/>
      <c r="U104" s="30"/>
      <c r="V104" s="30"/>
      <c r="W104" s="30"/>
      <c r="X104" s="30"/>
      <c r="Y104" s="30">
        <f t="shared" si="133"/>
        <v>10033</v>
      </c>
      <c r="Z104" s="30">
        <f t="shared" si="134"/>
        <v>10033</v>
      </c>
      <c r="AA104" s="30">
        <f t="shared" si="135"/>
        <v>10033</v>
      </c>
      <c r="AB104" s="30">
        <f t="shared" si="136"/>
        <v>10409</v>
      </c>
      <c r="AC104" s="30">
        <f t="shared" si="137"/>
        <v>376</v>
      </c>
      <c r="AD104" s="61"/>
      <c r="AE104" s="70">
        <f t="shared" si="138"/>
        <v>-0.96252367188278676</v>
      </c>
    </row>
    <row r="105" spans="2:31" ht="12.75" customHeight="1">
      <c r="B105" s="80" t="s">
        <v>160</v>
      </c>
      <c r="C105" s="79">
        <v>30000</v>
      </c>
      <c r="D105" s="79"/>
      <c r="E105" s="79"/>
      <c r="F105" s="147"/>
      <c r="G105" s="79">
        <v>0</v>
      </c>
      <c r="H105" s="30">
        <f t="shared" si="139"/>
        <v>0</v>
      </c>
      <c r="I105" s="30">
        <f t="shared" si="140"/>
        <v>0</v>
      </c>
      <c r="J105" s="30">
        <f>D105-G105-H105-I105</f>
        <v>0</v>
      </c>
      <c r="K105" s="79">
        <v>0</v>
      </c>
      <c r="L105" s="30">
        <v>0</v>
      </c>
      <c r="M105" s="30">
        <v>0</v>
      </c>
      <c r="N105" s="30">
        <f t="shared" si="141"/>
        <v>0</v>
      </c>
      <c r="O105" s="79">
        <v>0</v>
      </c>
      <c r="P105" s="30">
        <v>0</v>
      </c>
      <c r="Q105" s="30">
        <f>0-P105-O105</f>
        <v>0</v>
      </c>
      <c r="R105" s="30"/>
      <c r="S105" s="30">
        <f>SUM(H105:K105)</f>
        <v>0</v>
      </c>
      <c r="T105" s="30">
        <f>SUM(I105:L105)</f>
        <v>0</v>
      </c>
      <c r="U105" s="30">
        <f>SUM(J105:M105)</f>
        <v>0</v>
      </c>
      <c r="V105" s="30">
        <f>SUM(K105:N105)</f>
        <v>0</v>
      </c>
      <c r="W105" s="30">
        <f>SUM(L105:O105)</f>
        <v>0</v>
      </c>
      <c r="X105" s="30">
        <f>SUM(M105:P105)</f>
        <v>0</v>
      </c>
      <c r="Y105" s="30">
        <f t="shared" si="133"/>
        <v>0</v>
      </c>
      <c r="Z105" s="30">
        <f t="shared" si="134"/>
        <v>0</v>
      </c>
      <c r="AA105" s="30">
        <f t="shared" si="135"/>
        <v>0</v>
      </c>
      <c r="AB105" s="30">
        <f t="shared" si="136"/>
        <v>0</v>
      </c>
      <c r="AC105" s="30">
        <f t="shared" si="137"/>
        <v>0</v>
      </c>
      <c r="AD105" s="61"/>
      <c r="AE105" s="70" t="e">
        <f t="shared" ref="AE105" si="142">SUM(AC105/Y105)-1</f>
        <v>#DIV/0!</v>
      </c>
    </row>
    <row r="106" spans="2:31" ht="12.75" customHeight="1">
      <c r="B106" s="12" t="s">
        <v>71</v>
      </c>
      <c r="C106" s="32">
        <f>SUM(C103:C105)</f>
        <v>36814</v>
      </c>
      <c r="D106" s="32">
        <f>SUM(D103:D105)</f>
        <v>10000</v>
      </c>
      <c r="E106" s="32">
        <f>SUM(E103:E105)</f>
        <v>40033</v>
      </c>
      <c r="G106" s="32">
        <f>SUM(G103:G105)</f>
        <v>0</v>
      </c>
      <c r="H106" s="32">
        <f>SUM(H103:H105)</f>
        <v>0</v>
      </c>
      <c r="I106" s="32">
        <f>SUM(I103:I105)</f>
        <v>0</v>
      </c>
      <c r="J106" s="32">
        <f>SUM(J103:J105)</f>
        <v>10000</v>
      </c>
      <c r="K106" s="32">
        <f>SUM(K103:K105)</f>
        <v>10000</v>
      </c>
      <c r="L106" s="32">
        <f>SUM(L103:L105)</f>
        <v>10000</v>
      </c>
      <c r="M106" s="32">
        <f>SUM(M103:M105)</f>
        <v>10033</v>
      </c>
      <c r="N106" s="32">
        <f>SUM(N103:N105)</f>
        <v>10000</v>
      </c>
      <c r="O106" s="32">
        <f>SUM(O103:O105)</f>
        <v>10000</v>
      </c>
      <c r="P106" s="32">
        <f>SUM(P103:P105)</f>
        <v>10376</v>
      </c>
      <c r="Q106" s="32">
        <f>SUM(Q103:Q105)</f>
        <v>10000</v>
      </c>
      <c r="R106" s="30"/>
      <c r="S106" s="32">
        <f>SUM(S103:S105)</f>
        <v>0</v>
      </c>
      <c r="T106" s="32">
        <f>SUM(T103:T105)</f>
        <v>0</v>
      </c>
      <c r="U106" s="32">
        <f>SUM(U103:U105)</f>
        <v>0</v>
      </c>
      <c r="V106" s="32">
        <f>SUM(V103:V105)</f>
        <v>0</v>
      </c>
      <c r="W106" s="32">
        <f>SUM(W103:W105)</f>
        <v>0</v>
      </c>
      <c r="X106" s="32">
        <f>SUM(X103:X105)</f>
        <v>0</v>
      </c>
      <c r="Y106" s="32">
        <f>SUM(Y103:Y105)</f>
        <v>40033</v>
      </c>
      <c r="Z106" s="32">
        <f>SUM(Z103:Z105)</f>
        <v>40033</v>
      </c>
      <c r="AA106" s="32">
        <f>SUM(AA103:AA105)</f>
        <v>40033</v>
      </c>
      <c r="AB106" s="32">
        <f>SUM(AB103:AB105)</f>
        <v>40409</v>
      </c>
      <c r="AC106" s="32">
        <f>SUM(AC103:AC105)</f>
        <v>40376</v>
      </c>
      <c r="AD106" s="40"/>
      <c r="AE106" s="71">
        <f>SUM(AC106/Y106)-1</f>
        <v>8.5679314565483278E-3</v>
      </c>
    </row>
    <row r="107" spans="2:31" ht="5.0999999999999996" customHeight="1">
      <c r="B107" s="8"/>
      <c r="C107" s="62"/>
      <c r="D107" s="62"/>
      <c r="E107" s="62"/>
      <c r="F107" s="30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44"/>
    </row>
    <row r="108" spans="2:31" ht="5.0999999999999996" customHeight="1">
      <c r="B108" s="67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11"/>
      <c r="AE108" s="44"/>
    </row>
    <row r="109" spans="2:31">
      <c r="B109" s="128" t="s">
        <v>76</v>
      </c>
      <c r="C109" s="121"/>
      <c r="D109" s="121">
        <f t="shared" ref="D109:E109" si="143">C115</f>
        <v>12506</v>
      </c>
      <c r="E109" s="121">
        <f t="shared" si="143"/>
        <v>-8550</v>
      </c>
      <c r="F109" s="121"/>
      <c r="G109" s="121"/>
      <c r="H109" s="121">
        <f>G115</f>
        <v>-8042</v>
      </c>
      <c r="I109" s="121">
        <f t="shared" ref="I109:Q109" si="144">H115</f>
        <v>-15470</v>
      </c>
      <c r="J109" s="121">
        <f t="shared" si="144"/>
        <v>-23817</v>
      </c>
      <c r="K109" s="121">
        <f t="shared" si="144"/>
        <v>-21056</v>
      </c>
      <c r="L109" s="121">
        <f t="shared" si="144"/>
        <v>-21849</v>
      </c>
      <c r="M109" s="121">
        <f t="shared" si="144"/>
        <v>-21682</v>
      </c>
      <c r="N109" s="121">
        <f t="shared" si="144"/>
        <v>-19286</v>
      </c>
      <c r="O109" s="121">
        <f t="shared" si="144"/>
        <v>-11698</v>
      </c>
      <c r="P109" s="121">
        <f t="shared" si="144"/>
        <v>-13803</v>
      </c>
      <c r="Q109" s="121">
        <f t="shared" si="144"/>
        <v>-11751</v>
      </c>
      <c r="R109" s="121"/>
      <c r="S109" s="121">
        <f>G115</f>
        <v>-8042</v>
      </c>
      <c r="T109" s="121">
        <f>H115</f>
        <v>-15470</v>
      </c>
      <c r="U109" s="121">
        <f>I115</f>
        <v>-23817</v>
      </c>
      <c r="V109" s="121">
        <f>J115</f>
        <v>-21056</v>
      </c>
      <c r="W109" s="121">
        <f>K115</f>
        <v>-21849</v>
      </c>
      <c r="X109" s="121">
        <f>L115</f>
        <v>-21682</v>
      </c>
      <c r="Y109" s="121">
        <f>M115</f>
        <v>-19286</v>
      </c>
      <c r="Z109" s="121">
        <f>N115</f>
        <v>-11698</v>
      </c>
      <c r="AA109" s="121">
        <f>O115</f>
        <v>-13803</v>
      </c>
      <c r="AB109" s="121">
        <f>P115</f>
        <v>-11751</v>
      </c>
      <c r="AC109" s="30">
        <f t="shared" ref="AC109:AC110" si="145">SUM(N109:Q109)</f>
        <v>-56538</v>
      </c>
      <c r="AD109" s="11"/>
      <c r="AE109" s="44"/>
    </row>
    <row r="110" spans="2:31">
      <c r="B110" s="129" t="s">
        <v>105</v>
      </c>
      <c r="C110" s="30"/>
      <c r="D110" s="30">
        <v>0</v>
      </c>
      <c r="E110" s="30">
        <v>0</v>
      </c>
      <c r="F110" s="30"/>
      <c r="G110" s="30"/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/>
      <c r="S110" s="30">
        <f>SUM(H110:K110)</f>
        <v>0</v>
      </c>
      <c r="T110" s="30">
        <f>SUM(I110:L110)</f>
        <v>0</v>
      </c>
      <c r="U110" s="30">
        <f>SUM(J110:M110)</f>
        <v>0</v>
      </c>
      <c r="V110" s="30">
        <f>SUM(K110:N110)</f>
        <v>0</v>
      </c>
      <c r="W110" s="30">
        <f>SUM(L110:O110)</f>
        <v>0</v>
      </c>
      <c r="X110" s="30">
        <f>SUM(M110:P110)</f>
        <v>0</v>
      </c>
      <c r="Y110" s="30">
        <f>SUM(N110:Q110)</f>
        <v>0</v>
      </c>
      <c r="Z110" s="30">
        <f>SUM(O110:Q110)</f>
        <v>0</v>
      </c>
      <c r="AA110" s="30">
        <f>SUM(P110:Q110)</f>
        <v>0</v>
      </c>
      <c r="AB110" s="30">
        <f>SUM(Q110:Q110)</f>
        <v>0</v>
      </c>
      <c r="AC110" s="30">
        <f t="shared" si="145"/>
        <v>0</v>
      </c>
      <c r="AD110" s="11"/>
      <c r="AE110" s="44"/>
    </row>
    <row r="111" spans="2:31">
      <c r="B111" s="130" t="s">
        <v>90</v>
      </c>
      <c r="C111" s="83">
        <f t="shared" ref="C111:E111" si="146">SUM(C109:C110)</f>
        <v>0</v>
      </c>
      <c r="D111" s="83">
        <f t="shared" si="146"/>
        <v>12506</v>
      </c>
      <c r="E111" s="83">
        <f t="shared" si="146"/>
        <v>-8550</v>
      </c>
      <c r="F111" s="30"/>
      <c r="G111" s="83">
        <f t="shared" ref="G111:Q111" si="147">SUM(G109:G110)</f>
        <v>0</v>
      </c>
      <c r="H111" s="83">
        <f t="shared" si="147"/>
        <v>-8042</v>
      </c>
      <c r="I111" s="83">
        <f t="shared" si="147"/>
        <v>-15470</v>
      </c>
      <c r="J111" s="83">
        <f t="shared" si="147"/>
        <v>-23817</v>
      </c>
      <c r="K111" s="83">
        <f t="shared" si="147"/>
        <v>-21056</v>
      </c>
      <c r="L111" s="83">
        <f t="shared" si="147"/>
        <v>-21849</v>
      </c>
      <c r="M111" s="83">
        <f t="shared" si="147"/>
        <v>-21682</v>
      </c>
      <c r="N111" s="83">
        <f t="shared" si="147"/>
        <v>-19286</v>
      </c>
      <c r="O111" s="83">
        <f t="shared" si="147"/>
        <v>-11698</v>
      </c>
      <c r="P111" s="83">
        <f t="shared" si="147"/>
        <v>-13803</v>
      </c>
      <c r="Q111" s="83">
        <f t="shared" si="147"/>
        <v>-11751</v>
      </c>
      <c r="R111" s="30"/>
      <c r="S111" s="120">
        <f t="shared" ref="S111:AC111" si="148">SUM(S109:S110)</f>
        <v>-8042</v>
      </c>
      <c r="T111" s="120">
        <f t="shared" si="148"/>
        <v>-15470</v>
      </c>
      <c r="U111" s="120">
        <f t="shared" si="148"/>
        <v>-23817</v>
      </c>
      <c r="V111" s="120">
        <f t="shared" si="148"/>
        <v>-21056</v>
      </c>
      <c r="W111" s="120">
        <f t="shared" si="148"/>
        <v>-21849</v>
      </c>
      <c r="X111" s="120">
        <f t="shared" si="148"/>
        <v>-21682</v>
      </c>
      <c r="Y111" s="120">
        <f t="shared" ref="Y111" si="149">SUM(Y109:Y110)</f>
        <v>-19286</v>
      </c>
      <c r="Z111" s="120">
        <f t="shared" ref="Z111" si="150">SUM(Z109:Z110)</f>
        <v>-11698</v>
      </c>
      <c r="AA111" s="120">
        <f t="shared" ref="AA111" si="151">SUM(AA109:AA110)</f>
        <v>-13803</v>
      </c>
      <c r="AB111" s="120">
        <f t="shared" ref="AB111" si="152">SUM(AB109:AB110)</f>
        <v>-11751</v>
      </c>
      <c r="AC111" s="124">
        <f t="shared" si="148"/>
        <v>-56538</v>
      </c>
      <c r="AD111" s="11"/>
      <c r="AE111" s="44"/>
    </row>
    <row r="112" spans="2:31">
      <c r="B112" s="131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123"/>
      <c r="AD112" s="11"/>
      <c r="AE112" s="44"/>
    </row>
    <row r="113" spans="2:31">
      <c r="B113" s="129" t="s">
        <v>106</v>
      </c>
      <c r="C113" s="79"/>
      <c r="D113" s="79"/>
      <c r="E113" s="79"/>
      <c r="F113" s="30"/>
      <c r="G113" s="79"/>
      <c r="H113" s="79"/>
      <c r="I113" s="79"/>
      <c r="J113" s="30">
        <f>C113</f>
        <v>0</v>
      </c>
      <c r="K113" s="79"/>
      <c r="L113" s="79"/>
      <c r="M113" s="79"/>
      <c r="N113" s="30">
        <f>D113</f>
        <v>0</v>
      </c>
      <c r="O113" s="79"/>
      <c r="P113" s="79"/>
      <c r="Q113" s="79"/>
      <c r="R113" s="30"/>
      <c r="S113" s="30">
        <f>SUM(H113:K113)</f>
        <v>0</v>
      </c>
      <c r="T113" s="30">
        <f>SUM(I113:L113)</f>
        <v>0</v>
      </c>
      <c r="U113" s="30">
        <f>SUM(J113:M113)</f>
        <v>0</v>
      </c>
      <c r="V113" s="30">
        <f>SUM(K113:N113)</f>
        <v>0</v>
      </c>
      <c r="W113" s="30">
        <f>SUM(L113:O113)</f>
        <v>0</v>
      </c>
      <c r="X113" s="30">
        <f>SUM(M113:P113)</f>
        <v>0</v>
      </c>
      <c r="Y113" s="30">
        <f>SUM(N113:Q113)</f>
        <v>0</v>
      </c>
      <c r="Z113" s="30">
        <f>SUM(O113:Q113)</f>
        <v>0</v>
      </c>
      <c r="AA113" s="30">
        <f>SUM(P113:Q113)</f>
        <v>0</v>
      </c>
      <c r="AB113" s="30">
        <f>SUM(Q113:Q113)</f>
        <v>0</v>
      </c>
      <c r="AC113" s="30">
        <f t="shared" ref="AC113:AC114" si="153">SUM(N113:Q113)</f>
        <v>0</v>
      </c>
      <c r="AD113" s="11"/>
      <c r="AE113" s="44"/>
    </row>
    <row r="114" spans="2:31">
      <c r="B114" s="131" t="s">
        <v>75</v>
      </c>
      <c r="C114" s="30">
        <f>+C106+C100+C97</f>
        <v>12506</v>
      </c>
      <c r="D114" s="30">
        <f>+D106+D100+D97</f>
        <v>-21056</v>
      </c>
      <c r="E114" s="30">
        <f>+E106+E100+E97</f>
        <v>7068</v>
      </c>
      <c r="F114" s="30"/>
      <c r="G114" s="30">
        <f>+G106+G100+G97</f>
        <v>-8042</v>
      </c>
      <c r="H114" s="30">
        <f>+H106+H100+H97</f>
        <v>-7428</v>
      </c>
      <c r="I114" s="30">
        <f>+I106+I100+I97</f>
        <v>-8347</v>
      </c>
      <c r="J114" s="30">
        <f>+J106+J100+J97</f>
        <v>2761</v>
      </c>
      <c r="K114" s="30">
        <f>+K106+K100+K97</f>
        <v>-793</v>
      </c>
      <c r="L114" s="30">
        <f>+L106+L100+L97</f>
        <v>167</v>
      </c>
      <c r="M114" s="30">
        <f>+M106+M100+M97</f>
        <v>2396</v>
      </c>
      <c r="N114" s="30">
        <f>+N106+N100+N97</f>
        <v>7588</v>
      </c>
      <c r="O114" s="30">
        <f>+O106+O100+O97</f>
        <v>-2105</v>
      </c>
      <c r="P114" s="30">
        <f>+P106+P100+P97</f>
        <v>2052</v>
      </c>
      <c r="Q114" s="30">
        <f>+Q106+Q100+Q97</f>
        <v>1453</v>
      </c>
      <c r="R114" s="30"/>
      <c r="S114" s="30">
        <f>SUM(H114:K114)</f>
        <v>-13807</v>
      </c>
      <c r="T114" s="30">
        <f>SUM(I114:L114)</f>
        <v>-6212</v>
      </c>
      <c r="U114" s="30">
        <f>SUM(J114:M114)</f>
        <v>4531</v>
      </c>
      <c r="V114" s="30">
        <f>SUM(K114:N114)</f>
        <v>9358</v>
      </c>
      <c r="W114" s="30">
        <f>SUM(L114:O114)</f>
        <v>8046</v>
      </c>
      <c r="X114" s="30">
        <f>SUM(M114:P114)</f>
        <v>9931</v>
      </c>
      <c r="Y114" s="30">
        <f>SUM(N114:Q114)</f>
        <v>8988</v>
      </c>
      <c r="Z114" s="30">
        <f>SUM(O114:Q114)</f>
        <v>1400</v>
      </c>
      <c r="AA114" s="30">
        <f>SUM(P114:Q114)</f>
        <v>3505</v>
      </c>
      <c r="AB114" s="30">
        <f>SUM(Q114:Q114)</f>
        <v>1453</v>
      </c>
      <c r="AC114" s="30">
        <f t="shared" si="153"/>
        <v>8988</v>
      </c>
      <c r="AD114" s="11"/>
      <c r="AE114" s="44"/>
    </row>
    <row r="115" spans="2:31">
      <c r="B115" s="130" t="s">
        <v>91</v>
      </c>
      <c r="C115" s="83">
        <f t="shared" ref="C115:E115" si="154">SUM(C111:C114)</f>
        <v>12506</v>
      </c>
      <c r="D115" s="83">
        <f t="shared" si="154"/>
        <v>-8550</v>
      </c>
      <c r="E115" s="83">
        <f t="shared" si="154"/>
        <v>-1482</v>
      </c>
      <c r="F115" s="30"/>
      <c r="G115" s="82">
        <f t="shared" ref="G115:Q115" si="155">SUM(G111:G114)</f>
        <v>-8042</v>
      </c>
      <c r="H115" s="82">
        <f t="shared" si="155"/>
        <v>-15470</v>
      </c>
      <c r="I115" s="82">
        <f t="shared" si="155"/>
        <v>-23817</v>
      </c>
      <c r="J115" s="82">
        <f t="shared" si="155"/>
        <v>-21056</v>
      </c>
      <c r="K115" s="82">
        <f t="shared" si="155"/>
        <v>-21849</v>
      </c>
      <c r="L115" s="82">
        <f t="shared" si="155"/>
        <v>-21682</v>
      </c>
      <c r="M115" s="82">
        <f t="shared" si="155"/>
        <v>-19286</v>
      </c>
      <c r="N115" s="82">
        <f t="shared" si="155"/>
        <v>-11698</v>
      </c>
      <c r="O115" s="82">
        <f t="shared" si="155"/>
        <v>-13803</v>
      </c>
      <c r="P115" s="82">
        <f t="shared" si="155"/>
        <v>-11751</v>
      </c>
      <c r="Q115" s="82">
        <f t="shared" si="155"/>
        <v>-10298</v>
      </c>
      <c r="R115" s="30"/>
      <c r="S115" s="82">
        <f t="shared" ref="S115:AC115" si="156">SUM(S111:S114)</f>
        <v>-21849</v>
      </c>
      <c r="T115" s="82">
        <f t="shared" si="156"/>
        <v>-21682</v>
      </c>
      <c r="U115" s="82">
        <f t="shared" si="156"/>
        <v>-19286</v>
      </c>
      <c r="V115" s="82">
        <f t="shared" si="156"/>
        <v>-11698</v>
      </c>
      <c r="W115" s="82">
        <f t="shared" si="156"/>
        <v>-13803</v>
      </c>
      <c r="X115" s="82">
        <f t="shared" si="156"/>
        <v>-11751</v>
      </c>
      <c r="Y115" s="82">
        <f t="shared" si="156"/>
        <v>-10298</v>
      </c>
      <c r="Z115" s="82">
        <f t="shared" si="156"/>
        <v>-10298</v>
      </c>
      <c r="AA115" s="82">
        <f t="shared" si="156"/>
        <v>-10298</v>
      </c>
      <c r="AB115" s="82">
        <f t="shared" si="156"/>
        <v>-10298</v>
      </c>
      <c r="AC115" s="125">
        <f t="shared" si="156"/>
        <v>-47550</v>
      </c>
      <c r="AD115" s="11"/>
      <c r="AE115" s="44"/>
    </row>
    <row r="116" spans="2:31" ht="5.0999999999999996" customHeight="1">
      <c r="B116" s="132"/>
      <c r="C116" s="62"/>
      <c r="D116" s="62"/>
      <c r="E116" s="62"/>
      <c r="F116" s="30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22"/>
      <c r="AD116" s="11"/>
      <c r="AE116" s="44"/>
    </row>
    <row r="117" spans="2:31">
      <c r="B117" s="133" t="s">
        <v>74</v>
      </c>
      <c r="C117" s="126">
        <f>C115-C43</f>
        <v>-27142</v>
      </c>
      <c r="D117" s="126">
        <f>D115-D43</f>
        <v>-27142</v>
      </c>
      <c r="E117" s="126">
        <f>E115-E43</f>
        <v>-27142</v>
      </c>
      <c r="F117" s="127"/>
      <c r="G117" s="126">
        <f>G115-G43</f>
        <v>-39648</v>
      </c>
      <c r="H117" s="126">
        <f>H115-H43</f>
        <v>-39648</v>
      </c>
      <c r="I117" s="126">
        <f>I115-I43</f>
        <v>-39648</v>
      </c>
      <c r="J117" s="126">
        <f>J115-J43</f>
        <v>-39648</v>
      </c>
      <c r="K117" s="126">
        <f>K115-K43</f>
        <v>-39648</v>
      </c>
      <c r="L117" s="126">
        <f>L115-L43</f>
        <v>-39648</v>
      </c>
      <c r="M117" s="126">
        <f>M115-M43</f>
        <v>-39648</v>
      </c>
      <c r="N117" s="126">
        <f>N115-N43</f>
        <v>-37358</v>
      </c>
      <c r="O117" s="126">
        <f>O115-O43</f>
        <v>-37358</v>
      </c>
      <c r="P117" s="126">
        <f>P115-P43</f>
        <v>-37349</v>
      </c>
      <c r="Q117" s="126">
        <f>Q115-Q43</f>
        <v>-37358</v>
      </c>
      <c r="R117" s="126"/>
      <c r="S117" s="126">
        <f>S115-S43</f>
        <v>-53455</v>
      </c>
      <c r="T117" s="126">
        <f>T115-T43</f>
        <v>-45860</v>
      </c>
      <c r="U117" s="126">
        <f>U115-U43</f>
        <v>-35117</v>
      </c>
      <c r="V117" s="126">
        <f>V115-V43</f>
        <v>-30290</v>
      </c>
      <c r="W117" s="126">
        <f>W115-W43</f>
        <v>-31602</v>
      </c>
      <c r="X117" s="126">
        <f>X115-X43</f>
        <v>-29717</v>
      </c>
      <c r="Y117" s="126">
        <f>Y115-Y43</f>
        <v>-30660</v>
      </c>
      <c r="Z117" s="126">
        <f>Z115-Z43</f>
        <v>-35958</v>
      </c>
      <c r="AA117" s="126">
        <f>AA115-AA43</f>
        <v>-33853</v>
      </c>
      <c r="AB117" s="126">
        <f>AB115-AB43</f>
        <v>-35896</v>
      </c>
      <c r="AC117" s="126">
        <f>AC115-AC43</f>
        <v>-74610</v>
      </c>
      <c r="AD117" s="11"/>
      <c r="AE117" s="44"/>
    </row>
    <row r="118" spans="2:31" ht="5.0999999999999996" customHeight="1">
      <c r="B118" s="8"/>
      <c r="C118" s="62"/>
      <c r="D118" s="62"/>
      <c r="E118" s="62"/>
      <c r="F118" s="30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44"/>
    </row>
    <row r="119" spans="2:31">
      <c r="B119" s="8"/>
      <c r="C119" s="62"/>
      <c r="D119" s="62"/>
      <c r="E119" s="62"/>
      <c r="F119" s="30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44"/>
    </row>
    <row r="120" spans="2:31">
      <c r="B120" s="137" t="s">
        <v>134</v>
      </c>
      <c r="C120" s="62"/>
      <c r="D120" s="62"/>
      <c r="E120" s="62"/>
      <c r="F120" s="30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44"/>
    </row>
    <row r="121" spans="2:31">
      <c r="B121" s="80" t="s">
        <v>89</v>
      </c>
      <c r="C121" s="62"/>
      <c r="D121" s="62"/>
      <c r="E121" s="62"/>
      <c r="F121" s="30"/>
      <c r="G121" s="79"/>
      <c r="H121" s="30"/>
      <c r="I121" s="30"/>
      <c r="J121" s="30">
        <f t="shared" ref="J121" si="157">SUM(C121-SUM(G121:I121))</f>
        <v>0</v>
      </c>
      <c r="K121" s="79"/>
      <c r="L121" s="30"/>
      <c r="M121" s="30"/>
      <c r="N121" s="30">
        <f t="shared" ref="N121" si="158">SUM(D121-SUM(K121:M121))</f>
        <v>0</v>
      </c>
      <c r="O121" s="79"/>
      <c r="P121" s="30"/>
      <c r="Q121" s="30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44"/>
    </row>
    <row r="122" spans="2:31" ht="5.0999999999999996" customHeight="1" thickBot="1">
      <c r="B122" s="68"/>
      <c r="C122" s="69"/>
      <c r="D122" s="69"/>
      <c r="E122" s="69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E122" s="44"/>
    </row>
    <row r="123" spans="2:31" ht="12.75" customHeight="1">
      <c r="B123" s="139" t="s">
        <v>117</v>
      </c>
      <c r="C123" s="139"/>
      <c r="D123" s="139"/>
      <c r="E123" s="139"/>
      <c r="F123" s="139"/>
      <c r="G123" s="139"/>
      <c r="H123" s="139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39"/>
      <c r="AB123" s="139"/>
      <c r="AC123" s="139"/>
      <c r="AE123" s="44"/>
    </row>
    <row r="124" spans="2:31" ht="12.75" customHeight="1">
      <c r="B124" s="138" t="s">
        <v>118</v>
      </c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</row>
    <row r="125" spans="2:31" ht="12.75" customHeight="1">
      <c r="C125" s="54"/>
      <c r="D125" s="54"/>
      <c r="E125" s="54"/>
    </row>
    <row r="126" spans="2:31" ht="12.75" customHeight="1">
      <c r="C126" s="54"/>
      <c r="D126" s="54"/>
      <c r="E126" s="54"/>
    </row>
    <row r="127" spans="2:31" ht="12.75" customHeight="1">
      <c r="C127" s="54"/>
      <c r="D127" s="54"/>
      <c r="E127" s="54"/>
    </row>
    <row r="128" spans="2:31" ht="12.75" customHeight="1">
      <c r="C128" s="54"/>
      <c r="D128" s="54"/>
      <c r="E128" s="54"/>
    </row>
    <row r="129" spans="3:17" ht="12.75" customHeight="1">
      <c r="C129" s="54"/>
      <c r="D129" s="54"/>
      <c r="E129" s="5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</row>
    <row r="130" spans="3:17" ht="12.75" customHeight="1">
      <c r="C130" s="54"/>
      <c r="D130" s="54"/>
      <c r="E130" s="54"/>
    </row>
    <row r="131" spans="3:17" ht="12.75" customHeight="1">
      <c r="C131" s="54"/>
      <c r="D131" s="54"/>
      <c r="E131" s="5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</row>
    <row r="132" spans="3:17"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</row>
    <row r="133" spans="3:17"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</row>
    <row r="135" spans="3:17"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</row>
    <row r="136" spans="3:17"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</row>
  </sheetData>
  <mergeCells count="6">
    <mergeCell ref="B124:AC124"/>
    <mergeCell ref="B123:AC123"/>
    <mergeCell ref="AE6:AE8"/>
    <mergeCell ref="AE38:AE40"/>
    <mergeCell ref="AE80:AE82"/>
    <mergeCell ref="B78:AE78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C14:AC16 AC30 F45" formulaRange="1"/>
    <ignoredError sqref="AE100:AE102 AE97:AE99" evalError="1"/>
    <ignoredError sqref="O86:Q87 O85:Q85 N8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F16"/>
  <sheetViews>
    <sheetView showGridLines="0" zoomScaleNormal="100" workbookViewId="0">
      <selection activeCell="B3" sqref="B3"/>
    </sheetView>
  </sheetViews>
  <sheetFormatPr defaultRowHeight="12" outlineLevelCol="1"/>
  <cols>
    <col min="1" max="1" width="1.5" style="8" customWidth="1"/>
    <col min="2" max="2" width="46.5" style="8" bestFit="1" customWidth="1"/>
    <col min="3" max="3" width="8.625" style="8" bestFit="1" customWidth="1" outlineLevel="1"/>
    <col min="4" max="6" width="8.625" style="8" bestFit="1" customWidth="1"/>
    <col min="7" max="7" width="1.5" style="8" customWidth="1"/>
    <col min="8" max="10" width="7.875" style="8" customWidth="1" outlineLevel="1"/>
    <col min="11" max="11" width="8.75" style="8" customWidth="1" outlineLevel="1"/>
    <col min="12" max="14" width="8" style="8" customWidth="1" outlineLevel="1"/>
    <col min="15" max="15" width="8.75" style="8" customWidth="1" outlineLevel="1"/>
    <col min="16" max="16" width="8.5" style="8" customWidth="1" outlineLevel="1"/>
    <col min="17" max="17" width="8.25" style="8" bestFit="1" customWidth="1"/>
    <col min="18" max="18" width="8.5" style="8" bestFit="1" customWidth="1"/>
    <col min="19" max="21" width="9.125" style="8" bestFit="1" customWidth="1"/>
    <col min="22" max="22" width="1.5" style="8" customWidth="1"/>
    <col min="23" max="28" width="8.75" style="8" hidden="1" customWidth="1" outlineLevel="1"/>
    <col min="29" max="31" width="8.75" style="8" customWidth="1" outlineLevel="1"/>
    <col min="32" max="32" width="8.75" style="8" bestFit="1" customWidth="1"/>
    <col min="33" max="16384" width="9" style="8"/>
  </cols>
  <sheetData>
    <row r="2" spans="1:32" s="5" customFormat="1" ht="12.75" customHeight="1">
      <c r="B2" s="1" t="s">
        <v>137</v>
      </c>
      <c r="C2" s="2"/>
      <c r="D2" s="2"/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 t="s">
        <v>1</v>
      </c>
      <c r="Q2" s="2" t="s">
        <v>1</v>
      </c>
      <c r="R2" s="2"/>
      <c r="S2" s="2"/>
      <c r="T2" s="2"/>
      <c r="U2" s="2"/>
      <c r="V2" s="3"/>
      <c r="W2" s="2" t="s">
        <v>9</v>
      </c>
      <c r="X2" s="2"/>
      <c r="Y2" s="2"/>
      <c r="Z2" s="2"/>
      <c r="AA2" s="2" t="s">
        <v>9</v>
      </c>
      <c r="AB2" s="2"/>
      <c r="AC2" s="2" t="s">
        <v>9</v>
      </c>
      <c r="AD2" s="2"/>
      <c r="AE2" s="2"/>
      <c r="AF2" s="2"/>
    </row>
    <row r="3" spans="1:32" s="5" customFormat="1" ht="12.75" customHeight="1">
      <c r="B3" s="6" t="s">
        <v>82</v>
      </c>
      <c r="C3" s="7" t="e">
        <f>'Historical Financials'!#REF!</f>
        <v>#REF!</v>
      </c>
      <c r="D3" s="7">
        <f>'Historical Financials'!C7</f>
        <v>2021</v>
      </c>
      <c r="E3" s="7">
        <f>'Historical Financials'!D7</f>
        <v>2022</v>
      </c>
      <c r="F3" s="7">
        <f>'Historical Financials'!E7</f>
        <v>2023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e">
        <f>'Historical Financials'!#REF!</f>
        <v>#REF!</v>
      </c>
      <c r="T3" s="7" t="e">
        <f>'Historical Financials'!#REF!</f>
        <v>#REF!</v>
      </c>
      <c r="U3" s="7" t="e">
        <f>'Historical Financials'!#REF!</f>
        <v>#REF!</v>
      </c>
      <c r="V3" s="4"/>
      <c r="W3" s="4" t="str">
        <f t="shared" ref="W3:AB4" si="0">L3</f>
        <v>1Q23</v>
      </c>
      <c r="X3" s="4" t="str">
        <f t="shared" si="0"/>
        <v>2Q23</v>
      </c>
      <c r="Y3" s="4" t="str">
        <f t="shared" si="0"/>
        <v>3Q23</v>
      </c>
      <c r="Z3" s="4" t="str">
        <f t="shared" si="0"/>
        <v>4Q23</v>
      </c>
      <c r="AA3" s="4" t="str">
        <f t="shared" si="0"/>
        <v>1Q24</v>
      </c>
      <c r="AB3" s="4" t="str">
        <f t="shared" si="0"/>
        <v>2Q24</v>
      </c>
      <c r="AC3" s="4" t="e">
        <f t="shared" ref="AC3:AE4" si="1">S3</f>
        <v>#REF!</v>
      </c>
      <c r="AD3" s="4" t="e">
        <f t="shared" si="1"/>
        <v>#REF!</v>
      </c>
      <c r="AE3" s="4" t="e">
        <f t="shared" si="1"/>
        <v>#REF!</v>
      </c>
      <c r="AF3" s="4" t="e">
        <f>#REF!</f>
        <v>#REF!</v>
      </c>
    </row>
    <row r="4" spans="1:32" s="5" customFormat="1" ht="12.75" customHeight="1">
      <c r="B4" s="6" t="s">
        <v>132</v>
      </c>
      <c r="C4" s="3" t="e">
        <f>'Historical Financials'!#REF!</f>
        <v>#REF!</v>
      </c>
      <c r="D4" s="3">
        <f>'Historical Financials'!C8</f>
        <v>44561</v>
      </c>
      <c r="E4" s="3">
        <f>'Historical Financials'!D8</f>
        <v>44926</v>
      </c>
      <c r="F4" s="3">
        <f>'Historical Financials'!E8</f>
        <v>45291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 t="e">
        <f>'Historical Financials'!#REF!</f>
        <v>#REF!</v>
      </c>
      <c r="T4" s="3" t="e">
        <f>'Historical Financials'!#REF!</f>
        <v>#REF!</v>
      </c>
      <c r="U4" s="3" t="e">
        <f>'Historical Financials'!#REF!</f>
        <v>#REF!</v>
      </c>
      <c r="V4" s="3"/>
      <c r="W4" s="3">
        <f t="shared" si="0"/>
        <v>45016</v>
      </c>
      <c r="X4" s="3">
        <f t="shared" si="0"/>
        <v>45107</v>
      </c>
      <c r="Y4" s="3">
        <f t="shared" si="0"/>
        <v>45199</v>
      </c>
      <c r="Z4" s="3">
        <f t="shared" si="0"/>
        <v>45291</v>
      </c>
      <c r="AA4" s="3">
        <f t="shared" si="0"/>
        <v>45382</v>
      </c>
      <c r="AB4" s="3">
        <f t="shared" si="0"/>
        <v>45473</v>
      </c>
      <c r="AC4" s="3" t="e">
        <f t="shared" si="1"/>
        <v>#REF!</v>
      </c>
      <c r="AD4" s="3" t="e">
        <f t="shared" si="1"/>
        <v>#REF!</v>
      </c>
      <c r="AE4" s="3" t="e">
        <f t="shared" si="1"/>
        <v>#REF!</v>
      </c>
      <c r="AF4" s="3" t="e">
        <f>#REF!</f>
        <v>#REF!</v>
      </c>
    </row>
    <row r="5" spans="1:32" ht="5.0999999999999996" customHeight="1"/>
    <row r="6" spans="1:32" ht="12.75" customHeight="1">
      <c r="A6" s="77" t="s">
        <v>18</v>
      </c>
      <c r="B6" s="74" t="s">
        <v>108</v>
      </c>
      <c r="C6" s="10"/>
      <c r="D6" s="10"/>
      <c r="E6" s="10"/>
      <c r="F6" s="10"/>
      <c r="G6" s="10"/>
      <c r="H6" s="86"/>
      <c r="I6" s="86"/>
      <c r="J6" s="86"/>
      <c r="K6" s="30"/>
      <c r="L6" s="86"/>
      <c r="M6" s="86"/>
      <c r="N6" s="86"/>
      <c r="O6" s="30"/>
      <c r="P6" s="86"/>
      <c r="Q6" s="86"/>
      <c r="R6" s="86"/>
      <c r="S6" s="30"/>
      <c r="T6" s="86"/>
      <c r="U6" s="86"/>
      <c r="V6" s="5"/>
      <c r="W6" s="11"/>
      <c r="X6" s="11"/>
      <c r="Y6" s="11"/>
      <c r="Z6" s="11"/>
      <c r="AA6" s="11"/>
      <c r="AB6" s="11"/>
      <c r="AC6" s="11"/>
      <c r="AD6" s="11"/>
      <c r="AE6" s="11"/>
    </row>
    <row r="7" spans="1:32" ht="12.75" customHeight="1">
      <c r="B7" s="9"/>
      <c r="C7" s="78"/>
      <c r="D7" s="78"/>
      <c r="E7" s="78"/>
      <c r="F7" s="78"/>
      <c r="G7" s="78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30"/>
      <c r="T7" s="86"/>
      <c r="U7" s="86"/>
      <c r="V7" s="30"/>
      <c r="W7" s="30">
        <f t="shared" ref="W7:AB8" si="2">SUM(I7:L7)</f>
        <v>0</v>
      </c>
      <c r="X7" s="30">
        <f t="shared" si="2"/>
        <v>0</v>
      </c>
      <c r="Y7" s="30">
        <f t="shared" si="2"/>
        <v>0</v>
      </c>
      <c r="Z7" s="30">
        <f t="shared" si="2"/>
        <v>0</v>
      </c>
      <c r="AA7" s="30">
        <f t="shared" si="2"/>
        <v>0</v>
      </c>
      <c r="AB7" s="30">
        <f t="shared" si="2"/>
        <v>0</v>
      </c>
      <c r="AC7" s="30">
        <f t="shared" ref="AC7:AE8" si="3">SUM(P7:S7)</f>
        <v>0</v>
      </c>
      <c r="AD7" s="30">
        <f t="shared" si="3"/>
        <v>0</v>
      </c>
      <c r="AE7" s="30">
        <f t="shared" si="3"/>
        <v>0</v>
      </c>
      <c r="AF7" s="30">
        <f>SUM(S7:U7)</f>
        <v>0</v>
      </c>
    </row>
    <row r="8" spans="1:32" ht="12.75" customHeight="1">
      <c r="B8" s="9"/>
      <c r="C8" s="78"/>
      <c r="D8" s="78"/>
      <c r="E8" s="78"/>
      <c r="F8" s="78"/>
      <c r="G8" s="78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30"/>
      <c r="T8" s="86"/>
      <c r="U8" s="86"/>
      <c r="V8" s="5"/>
      <c r="W8" s="11">
        <f t="shared" si="2"/>
        <v>0</v>
      </c>
      <c r="X8" s="11">
        <f t="shared" si="2"/>
        <v>0</v>
      </c>
      <c r="Y8" s="11">
        <f t="shared" si="2"/>
        <v>0</v>
      </c>
      <c r="Z8" s="11">
        <f t="shared" si="2"/>
        <v>0</v>
      </c>
      <c r="AA8" s="11">
        <f t="shared" si="2"/>
        <v>0</v>
      </c>
      <c r="AB8" s="11">
        <f t="shared" si="2"/>
        <v>0</v>
      </c>
      <c r="AC8" s="30">
        <f t="shared" si="3"/>
        <v>0</v>
      </c>
      <c r="AD8" s="30">
        <f t="shared" si="3"/>
        <v>0</v>
      </c>
      <c r="AE8" s="30">
        <f t="shared" si="3"/>
        <v>0</v>
      </c>
      <c r="AF8" s="30">
        <f>SUM(S8:U8)</f>
        <v>0</v>
      </c>
    </row>
    <row r="9" spans="1:32" ht="12.75" customHeight="1">
      <c r="B9" s="12" t="s">
        <v>83</v>
      </c>
      <c r="C9" s="32"/>
      <c r="D9" s="32">
        <f t="shared" ref="D9:F9" si="4">SUM(D7:D8)</f>
        <v>0</v>
      </c>
      <c r="E9" s="32">
        <f t="shared" si="4"/>
        <v>0</v>
      </c>
      <c r="F9" s="32">
        <f t="shared" si="4"/>
        <v>0</v>
      </c>
      <c r="G9" s="11"/>
      <c r="H9" s="32"/>
      <c r="I9" s="32"/>
      <c r="J9" s="32"/>
      <c r="K9" s="32"/>
      <c r="L9" s="32"/>
      <c r="M9" s="32"/>
      <c r="N9" s="32"/>
      <c r="O9" s="32"/>
      <c r="P9" s="32">
        <f t="shared" ref="P9:U9" si="5">SUM(P7:P8)</f>
        <v>0</v>
      </c>
      <c r="Q9" s="32">
        <f t="shared" si="5"/>
        <v>0</v>
      </c>
      <c r="R9" s="32">
        <f t="shared" si="5"/>
        <v>0</v>
      </c>
      <c r="S9" s="32">
        <f t="shared" si="5"/>
        <v>0</v>
      </c>
      <c r="T9" s="32">
        <f t="shared" si="5"/>
        <v>0</v>
      </c>
      <c r="U9" s="32">
        <f t="shared" si="5"/>
        <v>0</v>
      </c>
      <c r="V9" s="5"/>
      <c r="W9" s="32">
        <f t="shared" ref="W9:AF9" si="6">SUM(W7:W8)</f>
        <v>0</v>
      </c>
      <c r="X9" s="32">
        <f t="shared" si="6"/>
        <v>0</v>
      </c>
      <c r="Y9" s="32">
        <f t="shared" si="6"/>
        <v>0</v>
      </c>
      <c r="Z9" s="32">
        <f t="shared" si="6"/>
        <v>0</v>
      </c>
      <c r="AA9" s="32">
        <f t="shared" si="6"/>
        <v>0</v>
      </c>
      <c r="AB9" s="32">
        <f t="shared" si="6"/>
        <v>0</v>
      </c>
      <c r="AC9" s="32">
        <f t="shared" si="6"/>
        <v>0</v>
      </c>
      <c r="AD9" s="32">
        <f t="shared" si="6"/>
        <v>0</v>
      </c>
      <c r="AE9" s="32">
        <f t="shared" si="6"/>
        <v>0</v>
      </c>
      <c r="AF9" s="32">
        <f t="shared" si="6"/>
        <v>0</v>
      </c>
    </row>
    <row r="10" spans="1:32">
      <c r="B10" s="75" t="s">
        <v>74</v>
      </c>
      <c r="C10" s="119"/>
      <c r="D10" s="76">
        <f>+D9-'Historical Financials'!C11</f>
        <v>0</v>
      </c>
      <c r="E10" s="76">
        <f>+E9-'Historical Financials'!D11</f>
        <v>0</v>
      </c>
      <c r="F10" s="76">
        <f>+F9-'Historical Financials'!E11</f>
        <v>0</v>
      </c>
      <c r="G10" s="11"/>
      <c r="H10" s="119"/>
      <c r="I10" s="119"/>
      <c r="J10" s="119"/>
      <c r="K10" s="119"/>
      <c r="L10" s="119"/>
      <c r="M10" s="119"/>
      <c r="N10" s="119"/>
      <c r="O10" s="119"/>
      <c r="P10" s="76">
        <f>+P9-'Historical Financials'!O11</f>
        <v>0</v>
      </c>
      <c r="Q10" s="76">
        <f>+Q9-'Historical Financials'!P11</f>
        <v>0</v>
      </c>
      <c r="R10" s="76">
        <f>+R9-'Historical Financials'!Q11</f>
        <v>0</v>
      </c>
      <c r="S10" s="76" t="e">
        <f>+S9-'Historical Financials'!#REF!</f>
        <v>#REF!</v>
      </c>
      <c r="T10" s="76" t="e">
        <f>+T9-'Historical Financials'!#REF!</f>
        <v>#REF!</v>
      </c>
      <c r="U10" s="76" t="e">
        <f>+U9-'Historical Financials'!#REF!</f>
        <v>#REF!</v>
      </c>
      <c r="V10" s="76"/>
      <c r="W10" s="76">
        <f>W9-'Historical Financials'!S11</f>
        <v>0</v>
      </c>
      <c r="X10" s="76">
        <f>X9-'Historical Financials'!T11</f>
        <v>0</v>
      </c>
      <c r="Y10" s="76">
        <f>Y9-'Historical Financials'!U11</f>
        <v>0</v>
      </c>
      <c r="Z10" s="76">
        <f>Z9-'Historical Financials'!V11</f>
        <v>0</v>
      </c>
      <c r="AA10" s="76">
        <f>AA9-'Historical Financials'!W11</f>
        <v>0</v>
      </c>
      <c r="AB10" s="76">
        <f>AB9-'Historical Financials'!X11</f>
        <v>0</v>
      </c>
      <c r="AC10" s="76">
        <f>AC9-'Historical Financials'!Z11</f>
        <v>0</v>
      </c>
      <c r="AD10" s="76">
        <f>AD9-'Historical Financials'!AA11</f>
        <v>0</v>
      </c>
      <c r="AE10" s="76">
        <f>AE9-'Historical Financials'!AB11</f>
        <v>0</v>
      </c>
      <c r="AF10" s="76">
        <f>AF9-'Historical Financials'!AC11</f>
        <v>0</v>
      </c>
    </row>
    <row r="11" spans="1:32">
      <c r="B11" s="16"/>
      <c r="C11" s="17"/>
      <c r="D11" s="17"/>
      <c r="E11" s="17"/>
      <c r="F11" s="17"/>
      <c r="G11" s="18"/>
      <c r="H11" s="19"/>
      <c r="I11" s="19"/>
      <c r="J11" s="19"/>
      <c r="K11" s="20"/>
      <c r="L11" s="19"/>
      <c r="M11" s="19"/>
      <c r="N11" s="19"/>
      <c r="O11" s="20"/>
      <c r="P11" s="19"/>
      <c r="Q11" s="19"/>
      <c r="R11" s="19"/>
      <c r="S11" s="19"/>
      <c r="T11" s="19"/>
      <c r="U11" s="19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2.75" customHeight="1">
      <c r="A12" s="77" t="s">
        <v>18</v>
      </c>
      <c r="B12" s="74" t="s">
        <v>136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5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ht="12.75" customHeight="1">
      <c r="B13" s="9"/>
      <c r="C13" s="78"/>
      <c r="D13" s="78"/>
      <c r="E13" s="78"/>
      <c r="F13" s="78"/>
      <c r="G13" s="78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30"/>
      <c r="T13" s="86"/>
      <c r="U13" s="86"/>
      <c r="V13" s="5"/>
      <c r="W13" s="11">
        <f t="shared" ref="W13:AB14" si="7">SUM(I13:L13)</f>
        <v>0</v>
      </c>
      <c r="X13" s="11">
        <f t="shared" si="7"/>
        <v>0</v>
      </c>
      <c r="Y13" s="11">
        <f t="shared" si="7"/>
        <v>0</v>
      </c>
      <c r="Z13" s="11">
        <f t="shared" si="7"/>
        <v>0</v>
      </c>
      <c r="AA13" s="11">
        <f t="shared" si="7"/>
        <v>0</v>
      </c>
      <c r="AB13" s="11">
        <f t="shared" si="7"/>
        <v>0</v>
      </c>
      <c r="AC13" s="30">
        <f t="shared" ref="AC13:AE14" si="8">SUM(P13:S13)</f>
        <v>0</v>
      </c>
      <c r="AD13" s="30">
        <f t="shared" si="8"/>
        <v>0</v>
      </c>
      <c r="AE13" s="30">
        <f t="shared" si="8"/>
        <v>0</v>
      </c>
      <c r="AF13" s="30">
        <f>SUM(S13:U13)</f>
        <v>0</v>
      </c>
    </row>
    <row r="14" spans="1:32" ht="12.75" customHeight="1">
      <c r="B14" s="9"/>
      <c r="C14" s="78"/>
      <c r="D14" s="78"/>
      <c r="E14" s="78"/>
      <c r="F14" s="78"/>
      <c r="G14" s="78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30"/>
      <c r="T14" s="86"/>
      <c r="U14" s="86"/>
      <c r="V14" s="5"/>
      <c r="W14" s="11">
        <f t="shared" si="7"/>
        <v>0</v>
      </c>
      <c r="X14" s="11">
        <f t="shared" si="7"/>
        <v>0</v>
      </c>
      <c r="Y14" s="11">
        <f t="shared" si="7"/>
        <v>0</v>
      </c>
      <c r="Z14" s="11">
        <f t="shared" si="7"/>
        <v>0</v>
      </c>
      <c r="AA14" s="11">
        <f t="shared" si="7"/>
        <v>0</v>
      </c>
      <c r="AB14" s="11">
        <f t="shared" si="7"/>
        <v>0</v>
      </c>
      <c r="AC14" s="30">
        <f t="shared" si="8"/>
        <v>0</v>
      </c>
      <c r="AD14" s="30">
        <f t="shared" si="8"/>
        <v>0</v>
      </c>
      <c r="AE14" s="30">
        <f t="shared" si="8"/>
        <v>0</v>
      </c>
      <c r="AF14" s="30">
        <f>SUM(S14:U14)</f>
        <v>0</v>
      </c>
    </row>
    <row r="15" spans="1:32" ht="12.75" customHeight="1">
      <c r="B15" s="12" t="s">
        <v>107</v>
      </c>
      <c r="C15" s="32"/>
      <c r="D15" s="32">
        <f t="shared" ref="D15:F15" si="9">SUM(D13:D14)</f>
        <v>0</v>
      </c>
      <c r="E15" s="32">
        <f t="shared" si="9"/>
        <v>0</v>
      </c>
      <c r="F15" s="32">
        <f t="shared" si="9"/>
        <v>0</v>
      </c>
      <c r="G15" s="11"/>
      <c r="H15" s="32"/>
      <c r="I15" s="32"/>
      <c r="J15" s="32"/>
      <c r="K15" s="32"/>
      <c r="L15" s="32"/>
      <c r="M15" s="32"/>
      <c r="N15" s="32"/>
      <c r="O15" s="32"/>
      <c r="P15" s="32">
        <f t="shared" ref="P15:U15" si="10">SUM(P13:P14)</f>
        <v>0</v>
      </c>
      <c r="Q15" s="32">
        <f t="shared" si="10"/>
        <v>0</v>
      </c>
      <c r="R15" s="32">
        <f t="shared" si="10"/>
        <v>0</v>
      </c>
      <c r="S15" s="32">
        <f t="shared" si="10"/>
        <v>0</v>
      </c>
      <c r="T15" s="32">
        <f t="shared" si="10"/>
        <v>0</v>
      </c>
      <c r="U15" s="32">
        <f t="shared" si="10"/>
        <v>0</v>
      </c>
      <c r="V15" s="5"/>
      <c r="W15" s="32">
        <f t="shared" ref="W15:AF15" si="11">SUM(W13:W14)</f>
        <v>0</v>
      </c>
      <c r="X15" s="32">
        <f t="shared" si="11"/>
        <v>0</v>
      </c>
      <c r="Y15" s="32">
        <f t="shared" si="11"/>
        <v>0</v>
      </c>
      <c r="Z15" s="32">
        <f t="shared" si="11"/>
        <v>0</v>
      </c>
      <c r="AA15" s="32">
        <f t="shared" si="11"/>
        <v>0</v>
      </c>
      <c r="AB15" s="32">
        <f t="shared" si="11"/>
        <v>0</v>
      </c>
      <c r="AC15" s="32">
        <f t="shared" si="11"/>
        <v>0</v>
      </c>
      <c r="AD15" s="32">
        <f t="shared" si="11"/>
        <v>0</v>
      </c>
      <c r="AE15" s="32">
        <f t="shared" si="11"/>
        <v>0</v>
      </c>
      <c r="AF15" s="32">
        <f t="shared" si="11"/>
        <v>0</v>
      </c>
    </row>
    <row r="16" spans="1:32" ht="12.75" customHeight="1">
      <c r="B16" s="75" t="s">
        <v>74</v>
      </c>
      <c r="C16" s="76"/>
      <c r="D16" s="76">
        <f t="shared" ref="D16:F16" si="12">+D15-D9</f>
        <v>0</v>
      </c>
      <c r="E16" s="76">
        <f t="shared" si="12"/>
        <v>0</v>
      </c>
      <c r="F16" s="76">
        <f t="shared" si="12"/>
        <v>0</v>
      </c>
      <c r="G16" s="11"/>
      <c r="H16" s="119"/>
      <c r="I16" s="119"/>
      <c r="J16" s="119"/>
      <c r="K16" s="119"/>
      <c r="L16" s="119"/>
      <c r="M16" s="119"/>
      <c r="N16" s="119"/>
      <c r="O16" s="119"/>
      <c r="P16" s="76">
        <f t="shared" ref="P16" si="13">+P15-P9</f>
        <v>0</v>
      </c>
      <c r="Q16" s="76">
        <f t="shared" ref="Q16" si="14">+Q15-Q9</f>
        <v>0</v>
      </c>
      <c r="R16" s="76">
        <f t="shared" ref="R16" si="15">+R15-R9</f>
        <v>0</v>
      </c>
      <c r="S16" s="76">
        <f t="shared" ref="S16" si="16">+S15-S9</f>
        <v>0</v>
      </c>
      <c r="T16" s="76">
        <f t="shared" ref="T16" si="17">+T15-T9</f>
        <v>0</v>
      </c>
      <c r="U16" s="76">
        <f t="shared" ref="U16" si="18">+U15-U9</f>
        <v>0</v>
      </c>
      <c r="V16" s="76"/>
      <c r="W16" s="76">
        <f>W15-'Historical Financials'!S17</f>
        <v>32478</v>
      </c>
      <c r="X16" s="76">
        <f>X15-'Historical Financials'!T17</f>
        <v>31775</v>
      </c>
      <c r="Y16" s="76">
        <f>Y15-'Historical Financials'!U17</f>
        <v>32909</v>
      </c>
      <c r="Z16" s="76">
        <f>Z15-'Historical Financials'!V17</f>
        <v>32130</v>
      </c>
      <c r="AA16" s="76">
        <f>AA15-'Historical Financials'!W17</f>
        <v>31385</v>
      </c>
      <c r="AB16" s="76">
        <f>AB15-'Historical Financials'!X17</f>
        <v>33827</v>
      </c>
      <c r="AC16" s="76">
        <f t="shared" ref="AC16" si="19">+AC15-AC9</f>
        <v>0</v>
      </c>
      <c r="AD16" s="76">
        <f t="shared" ref="AD16" si="20">+AD15-AD9</f>
        <v>0</v>
      </c>
      <c r="AE16" s="76">
        <f t="shared" ref="AE16" si="21">+AE15-AE9</f>
        <v>0</v>
      </c>
      <c r="AF16" s="76">
        <f t="shared" ref="AF16" si="22">+AF15-AF9</f>
        <v>0</v>
      </c>
    </row>
  </sheetData>
  <dataValidations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K77"/>
  <sheetViews>
    <sheetView showGridLines="0" zoomScaleNormal="100" workbookViewId="0">
      <selection activeCell="B3" sqref="B3"/>
    </sheetView>
  </sheetViews>
  <sheetFormatPr defaultRowHeight="12" outlineLevelCol="1"/>
  <cols>
    <col min="1" max="1" width="1.5" style="8" customWidth="1"/>
    <col min="2" max="2" width="41.625" style="8" customWidth="1"/>
    <col min="3" max="3" width="8.625" style="8" hidden="1" customWidth="1" outlineLevel="1"/>
    <col min="4" max="4" width="9" style="8" bestFit="1" customWidth="1" collapsed="1"/>
    <col min="5" max="5" width="9.25" style="8" bestFit="1" customWidth="1"/>
    <col min="6" max="6" width="9" style="8"/>
    <col min="7" max="7" width="1.5" style="8" customWidth="1"/>
    <col min="8" max="11" width="7.875" style="8" hidden="1" customWidth="1" outlineLevel="1"/>
    <col min="12" max="12" width="9" style="8" hidden="1" customWidth="1" outlineLevel="1"/>
    <col min="13" max="13" width="8.5" style="8" hidden="1" customWidth="1" outlineLevel="1"/>
    <col min="14" max="14" width="7.875" style="8" hidden="1" customWidth="1" outlineLevel="1"/>
    <col min="15" max="15" width="9" style="8" hidden="1" customWidth="1" outlineLevel="1"/>
    <col min="16" max="16" width="9.25" style="8" hidden="1" customWidth="1" outlineLevel="1"/>
    <col min="17" max="17" width="9.75" style="8" hidden="1" customWidth="1" outlineLevel="1"/>
    <col min="18" max="18" width="9" style="8" customWidth="1" collapsed="1"/>
    <col min="19" max="21" width="9" style="8" bestFit="1" customWidth="1"/>
    <col min="22" max="22" width="8.5" style="8" bestFit="1" customWidth="1"/>
    <col min="23" max="23" width="1.625" style="8" customWidth="1"/>
    <col min="24" max="24" width="9" style="8" hidden="1" customWidth="1" outlineLevel="1"/>
    <col min="25" max="25" width="8.625" style="8" hidden="1" customWidth="1" outlineLevel="1"/>
    <col min="26" max="26" width="8.5" style="8" hidden="1" customWidth="1" outlineLevel="1"/>
    <col min="27" max="28" width="8.25" style="8" hidden="1" customWidth="1" outlineLevel="1"/>
    <col min="29" max="29" width="9.25" style="8" hidden="1" customWidth="1" outlineLevel="1"/>
    <col min="30" max="30" width="9.75" style="8" hidden="1" customWidth="1" outlineLevel="1"/>
    <col min="31" max="31" width="9" style="8" bestFit="1" customWidth="1" collapsed="1"/>
    <col min="32" max="34" width="9" style="8" hidden="1" customWidth="1" outlineLevel="1"/>
    <col min="35" max="35" width="8.5" style="8" bestFit="1" customWidth="1" collapsed="1"/>
    <col min="36" max="36" width="1.5" style="8" customWidth="1"/>
    <col min="37" max="37" width="8.375" style="118" bestFit="1" customWidth="1"/>
    <col min="38" max="16384" width="9" style="8"/>
  </cols>
  <sheetData>
    <row r="2" spans="2:37" s="5" customFormat="1" ht="12.75" customHeight="1">
      <c r="B2" s="1" t="s">
        <v>137</v>
      </c>
      <c r="C2" s="2"/>
      <c r="D2" s="2" t="s">
        <v>0</v>
      </c>
      <c r="E2" s="2"/>
      <c r="F2" s="2"/>
      <c r="G2" s="3"/>
      <c r="H2" s="2" t="s">
        <v>1</v>
      </c>
      <c r="I2" s="2"/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3"/>
      <c r="X2" s="2" t="s">
        <v>9</v>
      </c>
      <c r="Y2" s="2"/>
      <c r="Z2" s="2"/>
      <c r="AA2" s="2"/>
      <c r="AB2" s="2"/>
      <c r="AC2" s="2"/>
      <c r="AD2" s="2"/>
      <c r="AE2" s="2" t="s">
        <v>9</v>
      </c>
      <c r="AF2" s="2"/>
      <c r="AG2" s="2"/>
      <c r="AH2" s="2"/>
      <c r="AI2" s="2"/>
      <c r="AJ2" s="3"/>
      <c r="AK2" s="145" t="s">
        <v>24</v>
      </c>
    </row>
    <row r="3" spans="2:37" s="5" customFormat="1" ht="12.75" customHeight="1">
      <c r="B3" s="6" t="s">
        <v>25</v>
      </c>
      <c r="C3" s="7" t="e">
        <f>'Historical Financials'!#REF!</f>
        <v>#REF!</v>
      </c>
      <c r="D3" s="7">
        <f>'Historical Financials'!C7</f>
        <v>2021</v>
      </c>
      <c r="E3" s="7">
        <f>'Historical Financials'!D7</f>
        <v>2022</v>
      </c>
      <c r="F3" s="7">
        <f>'Historical Financials'!E7</f>
        <v>2023</v>
      </c>
      <c r="G3" s="3"/>
      <c r="H3" s="7" t="str">
        <f>'Historical Financials'!G7</f>
        <v>1Q22</v>
      </c>
      <c r="I3" s="7" t="str">
        <f>'Historical Financials'!H7</f>
        <v>2Q22</v>
      </c>
      <c r="J3" s="7" t="str">
        <f>'Historical Financials'!I7</f>
        <v>3Q22</v>
      </c>
      <c r="K3" s="7" t="str">
        <f>'Historical Financials'!J7</f>
        <v>4Q22</v>
      </c>
      <c r="L3" s="7" t="str">
        <f>'Historical Financials'!K7</f>
        <v>1Q23</v>
      </c>
      <c r="M3" s="7" t="str">
        <f>'Historical Financials'!L7</f>
        <v>2Q23</v>
      </c>
      <c r="N3" s="7" t="str">
        <f>'Historical Financials'!M7</f>
        <v>3Q23</v>
      </c>
      <c r="O3" s="7" t="str">
        <f>'Historical Financials'!N7</f>
        <v>4Q23</v>
      </c>
      <c r="P3" s="7" t="str">
        <f>'Historical Financials'!O7</f>
        <v>1Q24</v>
      </c>
      <c r="Q3" s="7" t="str">
        <f>'Historical Financials'!P7</f>
        <v>2Q24</v>
      </c>
      <c r="R3" s="7" t="str">
        <f>'Historical Financials'!Q7</f>
        <v>3Q24</v>
      </c>
      <c r="S3" s="7" t="e">
        <f>'Historical Financials'!#REF!</f>
        <v>#REF!</v>
      </c>
      <c r="T3" s="7" t="e">
        <f>'Historical Financials'!#REF!</f>
        <v>#REF!</v>
      </c>
      <c r="U3" s="7" t="e">
        <f>'Historical Financials'!#REF!</f>
        <v>#REF!</v>
      </c>
      <c r="V3" s="7" t="e">
        <f>'Historical Financials'!#REF!</f>
        <v>#REF!</v>
      </c>
      <c r="W3" s="3"/>
      <c r="X3" s="4" t="str">
        <f t="shared" ref="X3:AH4" si="0">K3</f>
        <v>4Q22</v>
      </c>
      <c r="Y3" s="4" t="str">
        <f t="shared" si="0"/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e">
        <f t="shared" si="0"/>
        <v>#REF!</v>
      </c>
      <c r="AG3" s="4" t="e">
        <f t="shared" si="0"/>
        <v>#REF!</v>
      </c>
      <c r="AH3" s="4" t="e">
        <f t="shared" si="0"/>
        <v>#REF!</v>
      </c>
      <c r="AI3" s="4" t="e">
        <f>V3</f>
        <v>#REF!</v>
      </c>
      <c r="AJ3" s="3"/>
      <c r="AK3" s="145"/>
    </row>
    <row r="4" spans="2:37" s="5" customFormat="1" ht="12.75" customHeight="1">
      <c r="B4" s="6" t="s">
        <v>132</v>
      </c>
      <c r="C4" s="3" t="e">
        <f>'Historical Financials'!#REF!</f>
        <v>#REF!</v>
      </c>
      <c r="D4" s="3">
        <f>'Historical Financials'!C8</f>
        <v>44561</v>
      </c>
      <c r="E4" s="3">
        <f>'Historical Financials'!D8</f>
        <v>44926</v>
      </c>
      <c r="F4" s="3">
        <f>'Historical Financials'!E8</f>
        <v>45291</v>
      </c>
      <c r="G4" s="3"/>
      <c r="H4" s="3">
        <f>'Historical Financials'!G8</f>
        <v>44651</v>
      </c>
      <c r="I4" s="3">
        <f>'Historical Financials'!H8</f>
        <v>44742</v>
      </c>
      <c r="J4" s="3">
        <f>'Historical Financials'!I8</f>
        <v>44834</v>
      </c>
      <c r="K4" s="3">
        <f>'Historical Financials'!J8</f>
        <v>44926</v>
      </c>
      <c r="L4" s="3">
        <f>'Historical Financials'!K8</f>
        <v>45016</v>
      </c>
      <c r="M4" s="3">
        <f>'Historical Financials'!L8</f>
        <v>45107</v>
      </c>
      <c r="N4" s="3">
        <f>'Historical Financials'!M8</f>
        <v>45199</v>
      </c>
      <c r="O4" s="3">
        <f>'Historical Financials'!N8</f>
        <v>45291</v>
      </c>
      <c r="P4" s="3">
        <f>'Historical Financials'!O8</f>
        <v>45382</v>
      </c>
      <c r="Q4" s="3">
        <f>'Historical Financials'!P8</f>
        <v>45473</v>
      </c>
      <c r="R4" s="3">
        <f>'Historical Financials'!Q8</f>
        <v>45565</v>
      </c>
      <c r="S4" s="3" t="e">
        <f>'Historical Financials'!#REF!</f>
        <v>#REF!</v>
      </c>
      <c r="T4" s="3" t="e">
        <f>'Historical Financials'!#REF!</f>
        <v>#REF!</v>
      </c>
      <c r="U4" s="3" t="e">
        <f>'Historical Financials'!#REF!</f>
        <v>#REF!</v>
      </c>
      <c r="V4" s="3" t="e">
        <f>'Historical Financials'!#REF!</f>
        <v>#REF!</v>
      </c>
      <c r="W4" s="3"/>
      <c r="X4" s="3">
        <f t="shared" si="0"/>
        <v>44926</v>
      </c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 t="e">
        <f t="shared" si="0"/>
        <v>#REF!</v>
      </c>
      <c r="AG4" s="3" t="e">
        <f t="shared" si="0"/>
        <v>#REF!</v>
      </c>
      <c r="AH4" s="3" t="e">
        <f t="shared" si="0"/>
        <v>#REF!</v>
      </c>
      <c r="AI4" s="3" t="e">
        <f>V4</f>
        <v>#REF!</v>
      </c>
      <c r="AJ4" s="3"/>
      <c r="AK4" s="145"/>
    </row>
    <row r="5" spans="2:37" ht="5.0999999999999996" customHeight="1">
      <c r="AK5" s="114"/>
    </row>
    <row r="6" spans="2:37" ht="12.75" customHeight="1">
      <c r="B6" s="9"/>
      <c r="C6" s="134"/>
      <c r="D6" s="85"/>
      <c r="E6" s="85"/>
      <c r="F6" s="85"/>
      <c r="G6" s="10"/>
      <c r="H6" s="134"/>
      <c r="I6" s="134"/>
      <c r="J6" s="134"/>
      <c r="K6" s="134"/>
      <c r="L6" s="134"/>
      <c r="M6" s="134"/>
      <c r="N6" s="134"/>
      <c r="O6" s="134"/>
      <c r="P6" s="85">
        <f>'Revenue Drivers'!P7</f>
        <v>0</v>
      </c>
      <c r="Q6" s="85">
        <f>'Revenue Drivers'!Q7</f>
        <v>0</v>
      </c>
      <c r="R6" s="85"/>
      <c r="S6" s="85"/>
      <c r="T6" s="85"/>
      <c r="U6" s="85"/>
      <c r="V6" s="85"/>
      <c r="W6" s="5"/>
      <c r="X6" s="134"/>
      <c r="Y6" s="134"/>
      <c r="Z6" s="134"/>
      <c r="AA6" s="134"/>
      <c r="AB6" s="134"/>
      <c r="AC6" s="10">
        <f t="shared" ref="AB6:AH8" si="1">SUM(M6:P6)</f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0">
        <f t="shared" si="1"/>
        <v>0</v>
      </c>
      <c r="AH6" s="10">
        <f t="shared" si="1"/>
        <v>0</v>
      </c>
      <c r="AI6" s="10">
        <f>SUM(S6:V6)</f>
        <v>0</v>
      </c>
      <c r="AK6" s="115" t="e">
        <f>SUM(AI6/AE6)-1</f>
        <v>#DIV/0!</v>
      </c>
    </row>
    <row r="7" spans="2:37" ht="12.75" customHeight="1">
      <c r="B7" s="9"/>
      <c r="C7" s="134"/>
      <c r="D7" s="85"/>
      <c r="E7" s="85"/>
      <c r="F7" s="85"/>
      <c r="G7" s="10"/>
      <c r="H7" s="134"/>
      <c r="I7" s="134"/>
      <c r="J7" s="134"/>
      <c r="K7" s="134"/>
      <c r="L7" s="134"/>
      <c r="M7" s="134"/>
      <c r="N7" s="134"/>
      <c r="O7" s="134"/>
      <c r="P7" s="85">
        <f>'Revenue Drivers'!P8</f>
        <v>0</v>
      </c>
      <c r="Q7" s="85">
        <f>'Revenue Drivers'!Q8</f>
        <v>0</v>
      </c>
      <c r="R7" s="85"/>
      <c r="S7" s="85"/>
      <c r="T7" s="85"/>
      <c r="U7" s="85"/>
      <c r="V7" s="85"/>
      <c r="W7" s="5"/>
      <c r="X7" s="134"/>
      <c r="Y7" s="134"/>
      <c r="Z7" s="134"/>
      <c r="AA7" s="134"/>
      <c r="AB7" s="134"/>
      <c r="AC7" s="10">
        <f t="shared" si="1"/>
        <v>0</v>
      </c>
      <c r="AD7" s="10">
        <f t="shared" si="1"/>
        <v>0</v>
      </c>
      <c r="AE7" s="10">
        <f t="shared" si="1"/>
        <v>0</v>
      </c>
      <c r="AF7" s="10">
        <f t="shared" si="1"/>
        <v>0</v>
      </c>
      <c r="AG7" s="10">
        <f t="shared" si="1"/>
        <v>0</v>
      </c>
      <c r="AH7" s="10">
        <f t="shared" si="1"/>
        <v>0</v>
      </c>
      <c r="AI7" s="10">
        <f>SUM(S7:V7)</f>
        <v>0</v>
      </c>
      <c r="AK7" s="115" t="e">
        <f>SUM(AI7/AE7)-1</f>
        <v>#DIV/0!</v>
      </c>
    </row>
    <row r="8" spans="2:37" ht="12.75" customHeight="1">
      <c r="B8" s="12" t="s">
        <v>11</v>
      </c>
      <c r="C8" s="13" t="e">
        <f>'Historical Financials'!#REF!</f>
        <v>#REF!</v>
      </c>
      <c r="D8" s="13">
        <f>SUM(D6:D7)</f>
        <v>0</v>
      </c>
      <c r="E8" s="13">
        <f>SUM(E6:E7)</f>
        <v>0</v>
      </c>
      <c r="F8" s="13">
        <f>SUM(F6:F7)</f>
        <v>0</v>
      </c>
      <c r="G8" s="10"/>
      <c r="H8" s="13">
        <f>'Historical Financials'!G11</f>
        <v>0</v>
      </c>
      <c r="I8" s="13">
        <f>'Historical Financials'!H11</f>
        <v>0</v>
      </c>
      <c r="J8" s="13">
        <f>'Historical Financials'!I11</f>
        <v>0</v>
      </c>
      <c r="K8" s="13">
        <f>'Historical Financials'!J11</f>
        <v>0</v>
      </c>
      <c r="L8" s="13">
        <f>'Historical Financials'!K11</f>
        <v>0</v>
      </c>
      <c r="M8" s="13">
        <f>'Historical Financials'!L11</f>
        <v>0</v>
      </c>
      <c r="N8" s="13">
        <f>'Historical Financials'!M11</f>
        <v>0</v>
      </c>
      <c r="O8" s="13">
        <f>'Historical Financials'!N11</f>
        <v>0</v>
      </c>
      <c r="P8" s="13">
        <f t="shared" ref="P8:V8" si="2">SUM(P6:P7)</f>
        <v>0</v>
      </c>
      <c r="Q8" s="13">
        <f t="shared" si="2"/>
        <v>0</v>
      </c>
      <c r="R8" s="13">
        <f t="shared" si="2"/>
        <v>0</v>
      </c>
      <c r="S8" s="13">
        <f t="shared" si="2"/>
        <v>0</v>
      </c>
      <c r="T8" s="13">
        <f t="shared" si="2"/>
        <v>0</v>
      </c>
      <c r="U8" s="13">
        <f t="shared" si="2"/>
        <v>0</v>
      </c>
      <c r="V8" s="13">
        <f t="shared" si="2"/>
        <v>0</v>
      </c>
      <c r="W8" s="5"/>
      <c r="X8" s="13">
        <f t="shared" ref="X8" si="3">SUM(H8:K8)</f>
        <v>0</v>
      </c>
      <c r="Y8" s="13">
        <f t="shared" ref="Y8" si="4">SUM(I8:L8)</f>
        <v>0</v>
      </c>
      <c r="Z8" s="13">
        <f t="shared" ref="Z8" si="5">SUM(J8:M8)</f>
        <v>0</v>
      </c>
      <c r="AA8" s="13">
        <f t="shared" ref="AA8" si="6">SUM(K8:N8)</f>
        <v>0</v>
      </c>
      <c r="AB8" s="13">
        <f t="shared" si="1"/>
        <v>0</v>
      </c>
      <c r="AC8" s="13">
        <f t="shared" ref="AC8:AH8" si="7">SUM(AC6:AC7)</f>
        <v>0</v>
      </c>
      <c r="AD8" s="13">
        <f t="shared" si="7"/>
        <v>0</v>
      </c>
      <c r="AE8" s="13">
        <f t="shared" si="7"/>
        <v>0</v>
      </c>
      <c r="AF8" s="13">
        <f t="shared" si="7"/>
        <v>0</v>
      </c>
      <c r="AG8" s="13">
        <f t="shared" si="7"/>
        <v>0</v>
      </c>
      <c r="AH8" s="13">
        <f t="shared" si="7"/>
        <v>0</v>
      </c>
      <c r="AI8" s="13">
        <f>SUM(AI6:AI7)</f>
        <v>0</v>
      </c>
      <c r="AK8" s="116" t="e">
        <f>SUM(AI8/AE8)-1</f>
        <v>#DIV/0!</v>
      </c>
    </row>
    <row r="9" spans="2:37" ht="12.75" customHeight="1">
      <c r="B9" s="14" t="s">
        <v>30</v>
      </c>
      <c r="C9" s="134"/>
      <c r="D9" s="15" t="e">
        <f>SUM(D8/C8)-1</f>
        <v>#REF!</v>
      </c>
      <c r="E9" s="15" t="e">
        <f>SUM(E8/D8)-1</f>
        <v>#DIV/0!</v>
      </c>
      <c r="F9" s="15" t="e">
        <f>SUM(F8/E8)-1</f>
        <v>#DIV/0!</v>
      </c>
      <c r="G9" s="11"/>
      <c r="H9" s="134"/>
      <c r="I9" s="134"/>
      <c r="J9" s="134"/>
      <c r="K9" s="134"/>
      <c r="L9" s="134"/>
      <c r="M9" s="15" t="e">
        <f>SUM(M8/I8)-1</f>
        <v>#DIV/0!</v>
      </c>
      <c r="N9" s="15" t="e">
        <f t="shared" ref="N9:V9" si="8">SUM(N8/J8)-1</f>
        <v>#DIV/0!</v>
      </c>
      <c r="O9" s="15" t="e">
        <f t="shared" si="8"/>
        <v>#DIV/0!</v>
      </c>
      <c r="P9" s="15" t="e">
        <f t="shared" si="8"/>
        <v>#DIV/0!</v>
      </c>
      <c r="Q9" s="15" t="e">
        <f t="shared" si="8"/>
        <v>#DIV/0!</v>
      </c>
      <c r="R9" s="15" t="e">
        <f t="shared" si="8"/>
        <v>#DIV/0!</v>
      </c>
      <c r="S9" s="15" t="e">
        <f t="shared" si="8"/>
        <v>#DIV/0!</v>
      </c>
      <c r="T9" s="15" t="e">
        <f t="shared" si="8"/>
        <v>#DIV/0!</v>
      </c>
      <c r="U9" s="15" t="e">
        <f t="shared" si="8"/>
        <v>#DIV/0!</v>
      </c>
      <c r="V9" s="15" t="e">
        <f t="shared" si="8"/>
        <v>#DIV/0!</v>
      </c>
      <c r="W9" s="5"/>
      <c r="X9" s="105"/>
      <c r="Y9" s="105"/>
      <c r="Z9" s="105"/>
      <c r="AA9" s="105"/>
      <c r="AB9" s="15" t="e">
        <f t="shared" ref="AB9:AI9" si="9">SUM(AB8/X8)-1</f>
        <v>#DIV/0!</v>
      </c>
      <c r="AC9" s="15" t="e">
        <f t="shared" si="9"/>
        <v>#DIV/0!</v>
      </c>
      <c r="AD9" s="15" t="e">
        <f t="shared" si="9"/>
        <v>#DIV/0!</v>
      </c>
      <c r="AE9" s="15" t="e">
        <f t="shared" si="9"/>
        <v>#DIV/0!</v>
      </c>
      <c r="AF9" s="15" t="e">
        <f t="shared" si="9"/>
        <v>#DIV/0!</v>
      </c>
      <c r="AG9" s="15" t="e">
        <f t="shared" si="9"/>
        <v>#DIV/0!</v>
      </c>
      <c r="AH9" s="15" t="e">
        <f t="shared" si="9"/>
        <v>#DIV/0!</v>
      </c>
      <c r="AI9" s="15" t="e">
        <f t="shared" si="9"/>
        <v>#DIV/0!</v>
      </c>
      <c r="AK9" s="117" t="e">
        <f>SUM(AI9-AE9)*10000</f>
        <v>#DIV/0!</v>
      </c>
    </row>
    <row r="10" spans="2:37" ht="12.75" customHeight="1">
      <c r="B10" s="14" t="s">
        <v>31</v>
      </c>
      <c r="C10" s="15" t="s">
        <v>32</v>
      </c>
      <c r="D10" s="15" t="s">
        <v>32</v>
      </c>
      <c r="E10" s="15" t="s">
        <v>32</v>
      </c>
      <c r="F10" s="15" t="s">
        <v>32</v>
      </c>
      <c r="G10" s="11"/>
      <c r="H10" s="134"/>
      <c r="I10" s="134"/>
      <c r="J10" s="15" t="e">
        <f>SUM(J8/I8)-1</f>
        <v>#DIV/0!</v>
      </c>
      <c r="K10" s="15" t="e">
        <f t="shared" ref="K10:V10" si="10">SUM(K8/J8)-1</f>
        <v>#DIV/0!</v>
      </c>
      <c r="L10" s="15" t="e">
        <f t="shared" si="10"/>
        <v>#DIV/0!</v>
      </c>
      <c r="M10" s="15" t="e">
        <f t="shared" si="10"/>
        <v>#DIV/0!</v>
      </c>
      <c r="N10" s="15" t="e">
        <f t="shared" si="10"/>
        <v>#DIV/0!</v>
      </c>
      <c r="O10" s="15" t="e">
        <f t="shared" si="10"/>
        <v>#DIV/0!</v>
      </c>
      <c r="P10" s="15" t="e">
        <f t="shared" si="10"/>
        <v>#DIV/0!</v>
      </c>
      <c r="Q10" s="15" t="e">
        <f t="shared" si="10"/>
        <v>#DIV/0!</v>
      </c>
      <c r="R10" s="15" t="e">
        <f t="shared" si="10"/>
        <v>#DIV/0!</v>
      </c>
      <c r="S10" s="15" t="e">
        <f t="shared" si="10"/>
        <v>#DIV/0!</v>
      </c>
      <c r="T10" s="15" t="e">
        <f t="shared" si="10"/>
        <v>#DIV/0!</v>
      </c>
      <c r="U10" s="15" t="e">
        <f t="shared" si="10"/>
        <v>#DIV/0!</v>
      </c>
      <c r="V10" s="15" t="e">
        <f t="shared" si="10"/>
        <v>#DIV/0!</v>
      </c>
      <c r="W10" s="5"/>
      <c r="X10" s="15" t="s">
        <v>32</v>
      </c>
      <c r="Y10" s="15" t="s">
        <v>32</v>
      </c>
      <c r="Z10" s="15" t="s">
        <v>32</v>
      </c>
      <c r="AA10" s="15" t="s">
        <v>32</v>
      </c>
      <c r="AB10" s="15" t="s">
        <v>32</v>
      </c>
      <c r="AC10" s="15" t="s">
        <v>32</v>
      </c>
      <c r="AD10" s="15" t="s">
        <v>32</v>
      </c>
      <c r="AE10" s="15" t="s">
        <v>32</v>
      </c>
      <c r="AF10" s="15" t="s">
        <v>32</v>
      </c>
      <c r="AG10" s="15" t="s">
        <v>32</v>
      </c>
      <c r="AH10" s="15" t="s">
        <v>32</v>
      </c>
      <c r="AI10" s="15" t="s">
        <v>32</v>
      </c>
      <c r="AK10" s="114"/>
    </row>
    <row r="11" spans="2:37" ht="5.0999999999999996" customHeight="1">
      <c r="B11" s="16"/>
      <c r="C11" s="17"/>
      <c r="D11" s="17"/>
      <c r="E11" s="17"/>
      <c r="F11" s="17"/>
      <c r="G11" s="18"/>
      <c r="H11" s="19"/>
      <c r="I11" s="19"/>
      <c r="J11" s="19"/>
      <c r="K11" s="19"/>
      <c r="L11" s="20"/>
      <c r="M11" s="19"/>
      <c r="N11" s="19"/>
      <c r="O11" s="19"/>
      <c r="P11" s="20"/>
      <c r="Q11" s="19"/>
      <c r="R11" s="19"/>
      <c r="S11" s="19"/>
      <c r="T11" s="19"/>
      <c r="U11" s="19"/>
      <c r="V11" s="19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K11" s="114"/>
    </row>
    <row r="12" spans="2:37" ht="12.75" customHeight="1">
      <c r="B12" s="21" t="s">
        <v>33</v>
      </c>
      <c r="C12" s="85" t="e">
        <f>'Historical Financials'!#REF!</f>
        <v>#REF!</v>
      </c>
      <c r="D12" s="85"/>
      <c r="E12" s="85"/>
      <c r="F12" s="85"/>
      <c r="G12" s="10"/>
      <c r="H12" s="85">
        <f>'Historical Financials'!G13</f>
        <v>0</v>
      </c>
      <c r="I12" s="85">
        <f>'Historical Financials'!H13</f>
        <v>0</v>
      </c>
      <c r="J12" s="85">
        <f>'Historical Financials'!I13</f>
        <v>0</v>
      </c>
      <c r="K12" s="85">
        <f>'Historical Financials'!J13</f>
        <v>0</v>
      </c>
      <c r="L12" s="85">
        <f>'Historical Financials'!K13</f>
        <v>0</v>
      </c>
      <c r="M12" s="85">
        <f>'Historical Financials'!L13</f>
        <v>0</v>
      </c>
      <c r="N12" s="85">
        <f>'Historical Financials'!M13</f>
        <v>0</v>
      </c>
      <c r="O12" s="85">
        <f>'Historical Financials'!N13</f>
        <v>0</v>
      </c>
      <c r="P12" s="85">
        <f>'Historical Financials'!O13</f>
        <v>0</v>
      </c>
      <c r="Q12" s="85">
        <f>'Historical Financials'!P13</f>
        <v>0</v>
      </c>
      <c r="R12" s="85"/>
      <c r="S12" s="85"/>
      <c r="T12" s="85"/>
      <c r="U12" s="85"/>
      <c r="V12" s="85"/>
      <c r="W12" s="5"/>
      <c r="X12" s="10">
        <f>SUM(G12:K12)</f>
        <v>0</v>
      </c>
      <c r="Y12" s="10">
        <f t="shared" ref="Y12:AH12" si="11">SUM(I12:L12)</f>
        <v>0</v>
      </c>
      <c r="Z12" s="10">
        <f t="shared" si="11"/>
        <v>0</v>
      </c>
      <c r="AA12" s="10">
        <f t="shared" si="11"/>
        <v>0</v>
      </c>
      <c r="AB12" s="10">
        <f t="shared" si="11"/>
        <v>0</v>
      </c>
      <c r="AC12" s="10">
        <f t="shared" si="11"/>
        <v>0</v>
      </c>
      <c r="AD12" s="10">
        <f t="shared" si="11"/>
        <v>0</v>
      </c>
      <c r="AE12" s="10">
        <f t="shared" si="11"/>
        <v>0</v>
      </c>
      <c r="AF12" s="10">
        <f t="shared" si="11"/>
        <v>0</v>
      </c>
      <c r="AG12" s="10">
        <f t="shared" si="11"/>
        <v>0</v>
      </c>
      <c r="AH12" s="10">
        <f t="shared" si="11"/>
        <v>0</v>
      </c>
      <c r="AI12" s="10">
        <f>SUM(S12:V12)</f>
        <v>0</v>
      </c>
      <c r="AK12" s="115" t="e">
        <f>SUM(AI12/AE12)-1</f>
        <v>#DIV/0!</v>
      </c>
    </row>
    <row r="13" spans="2:37" ht="12.75" customHeight="1">
      <c r="B13" s="23" t="s">
        <v>22</v>
      </c>
      <c r="C13" s="24" t="e">
        <f>+C8+C12</f>
        <v>#REF!</v>
      </c>
      <c r="D13" s="24">
        <f>+D8+D12</f>
        <v>0</v>
      </c>
      <c r="E13" s="24">
        <f>+E8+E12</f>
        <v>0</v>
      </c>
      <c r="F13" s="24">
        <f>+F8+F12</f>
        <v>0</v>
      </c>
      <c r="G13" s="5"/>
      <c r="H13" s="24">
        <f t="shared" ref="H13" si="12">+H8+H12</f>
        <v>0</v>
      </c>
      <c r="I13" s="24">
        <f t="shared" ref="I13:V13" si="13">+I8+I12</f>
        <v>0</v>
      </c>
      <c r="J13" s="24">
        <f t="shared" si="13"/>
        <v>0</v>
      </c>
      <c r="K13" s="24">
        <f t="shared" si="13"/>
        <v>0</v>
      </c>
      <c r="L13" s="24">
        <f t="shared" si="13"/>
        <v>0</v>
      </c>
      <c r="M13" s="24">
        <f t="shared" si="13"/>
        <v>0</v>
      </c>
      <c r="N13" s="24">
        <f t="shared" si="13"/>
        <v>0</v>
      </c>
      <c r="O13" s="24">
        <f t="shared" si="13"/>
        <v>0</v>
      </c>
      <c r="P13" s="24">
        <f t="shared" si="13"/>
        <v>0</v>
      </c>
      <c r="Q13" s="24">
        <f t="shared" si="13"/>
        <v>0</v>
      </c>
      <c r="R13" s="24">
        <f t="shared" si="13"/>
        <v>0</v>
      </c>
      <c r="S13" s="24">
        <f t="shared" si="13"/>
        <v>0</v>
      </c>
      <c r="T13" s="24">
        <f t="shared" si="13"/>
        <v>0</v>
      </c>
      <c r="U13" s="24">
        <f t="shared" si="13"/>
        <v>0</v>
      </c>
      <c r="V13" s="24">
        <f t="shared" si="13"/>
        <v>0</v>
      </c>
      <c r="W13" s="5"/>
      <c r="X13" s="24">
        <f t="shared" ref="X13:AH13" si="14">+X8+X12</f>
        <v>0</v>
      </c>
      <c r="Y13" s="24">
        <f t="shared" si="14"/>
        <v>0</v>
      </c>
      <c r="Z13" s="24">
        <f t="shared" si="14"/>
        <v>0</v>
      </c>
      <c r="AA13" s="24">
        <f t="shared" si="14"/>
        <v>0</v>
      </c>
      <c r="AB13" s="24">
        <f t="shared" si="14"/>
        <v>0</v>
      </c>
      <c r="AC13" s="24">
        <f t="shared" si="14"/>
        <v>0</v>
      </c>
      <c r="AD13" s="24">
        <f t="shared" si="14"/>
        <v>0</v>
      </c>
      <c r="AE13" s="24">
        <f t="shared" si="14"/>
        <v>0</v>
      </c>
      <c r="AF13" s="24">
        <f t="shared" si="14"/>
        <v>0</v>
      </c>
      <c r="AG13" s="24">
        <f t="shared" si="14"/>
        <v>0</v>
      </c>
      <c r="AH13" s="24">
        <f t="shared" si="14"/>
        <v>0</v>
      </c>
      <c r="AI13" s="24">
        <f>+AI8+AI12</f>
        <v>0</v>
      </c>
      <c r="AK13" s="116" t="e">
        <f>SUM(AI13/AE13)-1</f>
        <v>#DIV/0!</v>
      </c>
    </row>
    <row r="14" spans="2:37" ht="12.75" customHeight="1">
      <c r="B14" s="14" t="s">
        <v>34</v>
      </c>
      <c r="C14" s="15" t="e">
        <f>C13/C8</f>
        <v>#REF!</v>
      </c>
      <c r="D14" s="15" t="e">
        <f>D13/D8</f>
        <v>#DIV/0!</v>
      </c>
      <c r="E14" s="15" t="e">
        <f>E13/E8</f>
        <v>#DIV/0!</v>
      </c>
      <c r="F14" s="15" t="e">
        <f>F13/F8</f>
        <v>#DIV/0!</v>
      </c>
      <c r="G14" s="25"/>
      <c r="H14" s="15" t="e">
        <f t="shared" ref="H14" si="15">H13/H8</f>
        <v>#DIV/0!</v>
      </c>
      <c r="I14" s="15" t="e">
        <f t="shared" ref="I14:V14" si="16">I13/I8</f>
        <v>#DIV/0!</v>
      </c>
      <c r="J14" s="15" t="e">
        <f t="shared" si="16"/>
        <v>#DIV/0!</v>
      </c>
      <c r="K14" s="15" t="e">
        <f t="shared" si="16"/>
        <v>#DIV/0!</v>
      </c>
      <c r="L14" s="15" t="e">
        <f t="shared" si="16"/>
        <v>#DIV/0!</v>
      </c>
      <c r="M14" s="15" t="e">
        <f t="shared" si="16"/>
        <v>#DIV/0!</v>
      </c>
      <c r="N14" s="15" t="e">
        <f t="shared" si="16"/>
        <v>#DIV/0!</v>
      </c>
      <c r="O14" s="15" t="e">
        <f t="shared" si="16"/>
        <v>#DIV/0!</v>
      </c>
      <c r="P14" s="15" t="e">
        <f t="shared" si="16"/>
        <v>#DIV/0!</v>
      </c>
      <c r="Q14" s="15" t="e">
        <f t="shared" si="16"/>
        <v>#DIV/0!</v>
      </c>
      <c r="R14" s="15" t="e">
        <f t="shared" si="16"/>
        <v>#DIV/0!</v>
      </c>
      <c r="S14" s="15" t="e">
        <f t="shared" si="16"/>
        <v>#DIV/0!</v>
      </c>
      <c r="T14" s="15" t="e">
        <f t="shared" si="16"/>
        <v>#DIV/0!</v>
      </c>
      <c r="U14" s="15" t="e">
        <f t="shared" si="16"/>
        <v>#DIV/0!</v>
      </c>
      <c r="V14" s="15" t="e">
        <f t="shared" si="16"/>
        <v>#DIV/0!</v>
      </c>
      <c r="W14" s="26"/>
      <c r="X14" s="15" t="e">
        <f t="shared" ref="X14:AH14" si="17">X13/X8</f>
        <v>#DIV/0!</v>
      </c>
      <c r="Y14" s="15" t="e">
        <f t="shared" si="17"/>
        <v>#DIV/0!</v>
      </c>
      <c r="Z14" s="15" t="e">
        <f t="shared" si="17"/>
        <v>#DIV/0!</v>
      </c>
      <c r="AA14" s="15" t="e">
        <f t="shared" si="17"/>
        <v>#DIV/0!</v>
      </c>
      <c r="AB14" s="15" t="e">
        <f t="shared" si="17"/>
        <v>#DIV/0!</v>
      </c>
      <c r="AC14" s="15" t="e">
        <f t="shared" si="17"/>
        <v>#DIV/0!</v>
      </c>
      <c r="AD14" s="15" t="e">
        <f t="shared" si="17"/>
        <v>#DIV/0!</v>
      </c>
      <c r="AE14" s="15" t="e">
        <f t="shared" si="17"/>
        <v>#DIV/0!</v>
      </c>
      <c r="AF14" s="15" t="e">
        <f t="shared" si="17"/>
        <v>#DIV/0!</v>
      </c>
      <c r="AG14" s="15" t="e">
        <f t="shared" si="17"/>
        <v>#DIV/0!</v>
      </c>
      <c r="AH14" s="15" t="e">
        <f t="shared" si="17"/>
        <v>#DIV/0!</v>
      </c>
      <c r="AI14" s="15" t="e">
        <f>AI13/AI8</f>
        <v>#DIV/0!</v>
      </c>
      <c r="AK14" s="117" t="e">
        <f>SUM(AI14-AE14)*10000</f>
        <v>#DIV/0!</v>
      </c>
    </row>
    <row r="15" spans="2:37" ht="5.0999999999999996" customHeight="1"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5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K15" s="114"/>
    </row>
    <row r="16" spans="2:37" ht="12.75" customHeight="1">
      <c r="B16" s="21" t="s">
        <v>119</v>
      </c>
      <c r="C16" s="85" t="e">
        <f>'Historical Financials'!#REF!</f>
        <v>#REF!</v>
      </c>
      <c r="D16" s="85"/>
      <c r="E16" s="85"/>
      <c r="F16" s="85"/>
      <c r="G16" s="85"/>
      <c r="H16" s="85">
        <f>'Historical Financials'!G17</f>
        <v>-8058</v>
      </c>
      <c r="I16" s="85">
        <f>'Historical Financials'!H17</f>
        <v>-8074</v>
      </c>
      <c r="J16" s="85">
        <f>'Historical Financials'!I17</f>
        <v>-6598</v>
      </c>
      <c r="K16" s="85">
        <f>'Historical Financials'!J17</f>
        <v>-9007</v>
      </c>
      <c r="L16" s="85">
        <f>'Historical Financials'!K17</f>
        <v>-8799</v>
      </c>
      <c r="M16" s="85">
        <f>'Historical Financials'!L17</f>
        <v>-7371</v>
      </c>
      <c r="N16" s="85">
        <f>'Historical Financials'!M17</f>
        <v>-7732</v>
      </c>
      <c r="O16" s="85">
        <f>'Historical Financials'!N17</f>
        <v>-8228</v>
      </c>
      <c r="P16" s="85">
        <f>'Historical Financials'!O17</f>
        <v>-8054</v>
      </c>
      <c r="Q16" s="85">
        <f>'Historical Financials'!P17</f>
        <v>-9813</v>
      </c>
      <c r="R16" s="85"/>
      <c r="S16" s="85"/>
      <c r="T16" s="85"/>
      <c r="U16" s="85"/>
      <c r="V16" s="85"/>
      <c r="W16" s="5"/>
      <c r="X16" s="10">
        <f t="shared" ref="X16:X19" si="18">SUM(G16:K16)</f>
        <v>-31737</v>
      </c>
      <c r="Y16" s="10">
        <f t="shared" ref="Y16:Y19" si="19">SUM(I16:L16)</f>
        <v>-32478</v>
      </c>
      <c r="Z16" s="10">
        <f t="shared" ref="Z16:Z19" si="20">SUM(J16:M16)</f>
        <v>-31775</v>
      </c>
      <c r="AA16" s="10">
        <f t="shared" ref="AA16:AA19" si="21">SUM(K16:N16)</f>
        <v>-32909</v>
      </c>
      <c r="AB16" s="10">
        <f t="shared" ref="AB16:AB19" si="22">SUM(L16:O16)</f>
        <v>-32130</v>
      </c>
      <c r="AC16" s="10">
        <f t="shared" ref="AC16:AC19" si="23">SUM(M16:P16)</f>
        <v>-31385</v>
      </c>
      <c r="AD16" s="10">
        <f t="shared" ref="AD16:AD19" si="24">SUM(N16:Q16)</f>
        <v>-33827</v>
      </c>
      <c r="AE16" s="10">
        <f t="shared" ref="AE16:AE19" si="25">SUM(O16:R16)</f>
        <v>-26095</v>
      </c>
      <c r="AF16" s="10">
        <f t="shared" ref="AF16:AF19" si="26">SUM(P16:S16)</f>
        <v>-17867</v>
      </c>
      <c r="AG16" s="10">
        <f t="shared" ref="AG16:AG19" si="27">SUM(Q16:T16)</f>
        <v>-9813</v>
      </c>
      <c r="AH16" s="10">
        <f t="shared" ref="AH16:AH19" si="28">SUM(R16:U16)</f>
        <v>0</v>
      </c>
      <c r="AI16" s="10">
        <f t="shared" ref="AI16:AI19" si="29">SUM(S16:V16)</f>
        <v>0</v>
      </c>
      <c r="AK16" s="115">
        <f>SUM(AI16/AE16)-1</f>
        <v>-1</v>
      </c>
    </row>
    <row r="17" spans="2:37" ht="12.75" customHeight="1">
      <c r="B17" s="21" t="s">
        <v>120</v>
      </c>
      <c r="C17" s="85" t="e">
        <f>'Historical Financials'!#REF!</f>
        <v>#REF!</v>
      </c>
      <c r="D17" s="85"/>
      <c r="E17" s="85"/>
      <c r="F17" s="85"/>
      <c r="G17" s="85"/>
      <c r="H17" s="85">
        <f>'Historical Financials'!G18</f>
        <v>-1877</v>
      </c>
      <c r="I17" s="85">
        <f>'Historical Financials'!H18</f>
        <v>-1588</v>
      </c>
      <c r="J17" s="85">
        <f>'Historical Financials'!I18</f>
        <v>-1524</v>
      </c>
      <c r="K17" s="85">
        <f>'Historical Financials'!J18</f>
        <v>-1626</v>
      </c>
      <c r="L17" s="85">
        <f>'Historical Financials'!K18</f>
        <v>-1543</v>
      </c>
      <c r="M17" s="85">
        <f>'Historical Financials'!L18</f>
        <v>-1632</v>
      </c>
      <c r="N17" s="85">
        <f>'Historical Financials'!M18</f>
        <v>-1434</v>
      </c>
      <c r="O17" s="85">
        <f>'Historical Financials'!N18</f>
        <v>-1333</v>
      </c>
      <c r="P17" s="85">
        <f>'Historical Financials'!O18</f>
        <v>-1594</v>
      </c>
      <c r="Q17" s="85">
        <f>'Historical Financials'!P18</f>
        <v>-1478</v>
      </c>
      <c r="R17" s="85"/>
      <c r="S17" s="85"/>
      <c r="T17" s="85"/>
      <c r="U17" s="85"/>
      <c r="V17" s="85"/>
      <c r="W17" s="5"/>
      <c r="X17" s="10">
        <f t="shared" si="18"/>
        <v>-6615</v>
      </c>
      <c r="Y17" s="10">
        <f t="shared" si="19"/>
        <v>-6281</v>
      </c>
      <c r="Z17" s="10">
        <f t="shared" si="20"/>
        <v>-6325</v>
      </c>
      <c r="AA17" s="10">
        <f t="shared" si="21"/>
        <v>-6235</v>
      </c>
      <c r="AB17" s="10">
        <f t="shared" si="22"/>
        <v>-5942</v>
      </c>
      <c r="AC17" s="10">
        <f t="shared" si="23"/>
        <v>-5993</v>
      </c>
      <c r="AD17" s="10">
        <f t="shared" si="24"/>
        <v>-5839</v>
      </c>
      <c r="AE17" s="10">
        <f t="shared" si="25"/>
        <v>-4405</v>
      </c>
      <c r="AF17" s="10">
        <f t="shared" si="26"/>
        <v>-3072</v>
      </c>
      <c r="AG17" s="10">
        <f t="shared" si="27"/>
        <v>-1478</v>
      </c>
      <c r="AH17" s="10">
        <f t="shared" si="28"/>
        <v>0</v>
      </c>
      <c r="AI17" s="10">
        <f t="shared" si="29"/>
        <v>0</v>
      </c>
      <c r="AK17" s="115">
        <f t="shared" ref="AK17:AK18" si="30">SUM(AI17/AE17)-1</f>
        <v>-1</v>
      </c>
    </row>
    <row r="18" spans="2:37" ht="12.75" customHeight="1">
      <c r="B18" s="21" t="s">
        <v>121</v>
      </c>
      <c r="C18" s="85" t="e">
        <f>'Historical Financials'!#REF!</f>
        <v>#REF!</v>
      </c>
      <c r="D18" s="85"/>
      <c r="E18" s="85"/>
      <c r="F18" s="85"/>
      <c r="G18" s="85"/>
      <c r="H18" s="85" t="e">
        <f>'Historical Financials'!#REF!</f>
        <v>#REF!</v>
      </c>
      <c r="I18" s="85" t="e">
        <f>'Historical Financials'!#REF!</f>
        <v>#REF!</v>
      </c>
      <c r="J18" s="85" t="e">
        <f>'Historical Financials'!#REF!</f>
        <v>#REF!</v>
      </c>
      <c r="K18" s="85" t="e">
        <f>'Historical Financials'!#REF!</f>
        <v>#REF!</v>
      </c>
      <c r="L18" s="85" t="e">
        <f>'Historical Financials'!#REF!</f>
        <v>#REF!</v>
      </c>
      <c r="M18" s="85" t="e">
        <f>'Historical Financials'!#REF!</f>
        <v>#REF!</v>
      </c>
      <c r="N18" s="85" t="e">
        <f>'Historical Financials'!#REF!</f>
        <v>#REF!</v>
      </c>
      <c r="O18" s="85" t="e">
        <f>'Historical Financials'!#REF!</f>
        <v>#REF!</v>
      </c>
      <c r="P18" s="85" t="e">
        <f>'Historical Financials'!#REF!</f>
        <v>#REF!</v>
      </c>
      <c r="Q18" s="85" t="e">
        <f>'Historical Financials'!#REF!</f>
        <v>#REF!</v>
      </c>
      <c r="R18" s="85"/>
      <c r="S18" s="85"/>
      <c r="T18" s="85"/>
      <c r="U18" s="85"/>
      <c r="V18" s="85"/>
      <c r="W18" s="5"/>
      <c r="X18" s="10" t="e">
        <f t="shared" si="18"/>
        <v>#REF!</v>
      </c>
      <c r="Y18" s="10" t="e">
        <f t="shared" si="19"/>
        <v>#REF!</v>
      </c>
      <c r="Z18" s="10" t="e">
        <f t="shared" si="20"/>
        <v>#REF!</v>
      </c>
      <c r="AA18" s="10" t="e">
        <f t="shared" si="21"/>
        <v>#REF!</v>
      </c>
      <c r="AB18" s="10" t="e">
        <f t="shared" si="22"/>
        <v>#REF!</v>
      </c>
      <c r="AC18" s="10" t="e">
        <f t="shared" si="23"/>
        <v>#REF!</v>
      </c>
      <c r="AD18" s="10" t="e">
        <f t="shared" si="24"/>
        <v>#REF!</v>
      </c>
      <c r="AE18" s="10" t="e">
        <f t="shared" si="25"/>
        <v>#REF!</v>
      </c>
      <c r="AF18" s="10" t="e">
        <f t="shared" si="26"/>
        <v>#REF!</v>
      </c>
      <c r="AG18" s="10" t="e">
        <f t="shared" si="27"/>
        <v>#REF!</v>
      </c>
      <c r="AH18" s="10">
        <f t="shared" si="28"/>
        <v>0</v>
      </c>
      <c r="AI18" s="10">
        <f t="shared" si="29"/>
        <v>0</v>
      </c>
      <c r="AK18" s="115" t="e">
        <f t="shared" si="30"/>
        <v>#REF!</v>
      </c>
    </row>
    <row r="19" spans="2:37" ht="12.75" customHeight="1">
      <c r="B19" s="21" t="s">
        <v>122</v>
      </c>
      <c r="C19" s="85" t="e">
        <f>'Historical Financials'!#REF!</f>
        <v>#REF!</v>
      </c>
      <c r="D19" s="85"/>
      <c r="E19" s="85"/>
      <c r="F19" s="85"/>
      <c r="G19" s="85"/>
      <c r="H19" s="85" t="e">
        <f>'Historical Financials'!#REF!</f>
        <v>#REF!</v>
      </c>
      <c r="I19" s="85" t="e">
        <f>'Historical Financials'!#REF!</f>
        <v>#REF!</v>
      </c>
      <c r="J19" s="85" t="e">
        <f>'Historical Financials'!#REF!</f>
        <v>#REF!</v>
      </c>
      <c r="K19" s="85" t="e">
        <f>'Historical Financials'!#REF!</f>
        <v>#REF!</v>
      </c>
      <c r="L19" s="85" t="e">
        <f>'Historical Financials'!#REF!</f>
        <v>#REF!</v>
      </c>
      <c r="M19" s="85" t="e">
        <f>'Historical Financials'!#REF!</f>
        <v>#REF!</v>
      </c>
      <c r="N19" s="85" t="e">
        <f>'Historical Financials'!#REF!</f>
        <v>#REF!</v>
      </c>
      <c r="O19" s="85" t="e">
        <f>'Historical Financials'!#REF!</f>
        <v>#REF!</v>
      </c>
      <c r="P19" s="85" t="e">
        <f>'Historical Financials'!#REF!</f>
        <v>#REF!</v>
      </c>
      <c r="Q19" s="85" t="e">
        <f>'Historical Financials'!#REF!</f>
        <v>#REF!</v>
      </c>
      <c r="R19" s="85"/>
      <c r="S19" s="85"/>
      <c r="T19" s="85"/>
      <c r="U19" s="85"/>
      <c r="V19" s="85"/>
      <c r="W19" s="5"/>
      <c r="X19" s="10" t="e">
        <f t="shared" si="18"/>
        <v>#REF!</v>
      </c>
      <c r="Y19" s="10" t="e">
        <f t="shared" si="19"/>
        <v>#REF!</v>
      </c>
      <c r="Z19" s="10" t="e">
        <f t="shared" si="20"/>
        <v>#REF!</v>
      </c>
      <c r="AA19" s="10" t="e">
        <f t="shared" si="21"/>
        <v>#REF!</v>
      </c>
      <c r="AB19" s="10" t="e">
        <f t="shared" si="22"/>
        <v>#REF!</v>
      </c>
      <c r="AC19" s="10" t="e">
        <f t="shared" si="23"/>
        <v>#REF!</v>
      </c>
      <c r="AD19" s="10" t="e">
        <f t="shared" si="24"/>
        <v>#REF!</v>
      </c>
      <c r="AE19" s="10" t="e">
        <f t="shared" si="25"/>
        <v>#REF!</v>
      </c>
      <c r="AF19" s="10" t="e">
        <f t="shared" si="26"/>
        <v>#REF!</v>
      </c>
      <c r="AG19" s="10" t="e">
        <f t="shared" si="27"/>
        <v>#REF!</v>
      </c>
      <c r="AH19" s="10">
        <f t="shared" si="28"/>
        <v>0</v>
      </c>
      <c r="AI19" s="10">
        <f t="shared" si="29"/>
        <v>0</v>
      </c>
      <c r="AK19" s="115" t="e">
        <f>SUM(AI19/AE19)-1</f>
        <v>#REF!</v>
      </c>
    </row>
    <row r="20" spans="2:37" ht="12.75" customHeight="1">
      <c r="B20" s="12" t="s">
        <v>35</v>
      </c>
      <c r="C20" s="13" t="e">
        <f>SUM(C13+SUM(C16:C19))</f>
        <v>#REF!</v>
      </c>
      <c r="D20" s="13">
        <f>SUM(D13+SUM(D16:D19))</f>
        <v>0</v>
      </c>
      <c r="E20" s="13">
        <f>SUM(E13+SUM(E16:E19))</f>
        <v>0</v>
      </c>
      <c r="F20" s="13">
        <f>SUM(F13+SUM(F16:F19))</f>
        <v>0</v>
      </c>
      <c r="G20" s="11"/>
      <c r="H20" s="13" t="e">
        <f t="shared" ref="H20" si="31">SUM(H13+SUM(H16:H19))</f>
        <v>#REF!</v>
      </c>
      <c r="I20" s="13" t="e">
        <f t="shared" ref="I20:V20" si="32">SUM(I13+SUM(I16:I19))</f>
        <v>#REF!</v>
      </c>
      <c r="J20" s="13" t="e">
        <f t="shared" si="32"/>
        <v>#REF!</v>
      </c>
      <c r="K20" s="13" t="e">
        <f t="shared" si="32"/>
        <v>#REF!</v>
      </c>
      <c r="L20" s="13" t="e">
        <f t="shared" si="32"/>
        <v>#REF!</v>
      </c>
      <c r="M20" s="13" t="e">
        <f t="shared" si="32"/>
        <v>#REF!</v>
      </c>
      <c r="N20" s="13" t="e">
        <f t="shared" si="32"/>
        <v>#REF!</v>
      </c>
      <c r="O20" s="13" t="e">
        <f t="shared" si="32"/>
        <v>#REF!</v>
      </c>
      <c r="P20" s="13" t="e">
        <f t="shared" si="32"/>
        <v>#REF!</v>
      </c>
      <c r="Q20" s="13" t="e">
        <f t="shared" si="32"/>
        <v>#REF!</v>
      </c>
      <c r="R20" s="13">
        <f t="shared" si="32"/>
        <v>0</v>
      </c>
      <c r="S20" s="13">
        <f t="shared" si="32"/>
        <v>0</v>
      </c>
      <c r="T20" s="13">
        <f t="shared" si="32"/>
        <v>0</v>
      </c>
      <c r="U20" s="13">
        <f t="shared" si="32"/>
        <v>0</v>
      </c>
      <c r="V20" s="13">
        <f t="shared" si="32"/>
        <v>0</v>
      </c>
      <c r="W20" s="5"/>
      <c r="X20" s="13" t="e">
        <f t="shared" ref="X20:AH20" si="33">SUM(X13+SUM(X16:X19))</f>
        <v>#REF!</v>
      </c>
      <c r="Y20" s="13" t="e">
        <f t="shared" si="33"/>
        <v>#REF!</v>
      </c>
      <c r="Z20" s="13" t="e">
        <f t="shared" si="33"/>
        <v>#REF!</v>
      </c>
      <c r="AA20" s="13" t="e">
        <f t="shared" si="33"/>
        <v>#REF!</v>
      </c>
      <c r="AB20" s="13" t="e">
        <f t="shared" si="33"/>
        <v>#REF!</v>
      </c>
      <c r="AC20" s="13" t="e">
        <f t="shared" si="33"/>
        <v>#REF!</v>
      </c>
      <c r="AD20" s="13" t="e">
        <f t="shared" si="33"/>
        <v>#REF!</v>
      </c>
      <c r="AE20" s="13" t="e">
        <f t="shared" si="33"/>
        <v>#REF!</v>
      </c>
      <c r="AF20" s="13" t="e">
        <f t="shared" si="33"/>
        <v>#REF!</v>
      </c>
      <c r="AG20" s="13" t="e">
        <f t="shared" si="33"/>
        <v>#REF!</v>
      </c>
      <c r="AH20" s="13">
        <f t="shared" si="33"/>
        <v>0</v>
      </c>
      <c r="AI20" s="13">
        <f>SUM(AI13+SUM(AI16:AI19))</f>
        <v>0</v>
      </c>
      <c r="AK20" s="116" t="e">
        <f>SUM(AI20/AE20)-1</f>
        <v>#REF!</v>
      </c>
    </row>
    <row r="21" spans="2:37" ht="12.75" customHeight="1">
      <c r="B21" s="14" t="s">
        <v>36</v>
      </c>
      <c r="C21" s="15" t="e">
        <f>C20/C8</f>
        <v>#REF!</v>
      </c>
      <c r="D21" s="15" t="e">
        <f>D20/D8</f>
        <v>#DIV/0!</v>
      </c>
      <c r="E21" s="15" t="e">
        <f>E20/E8</f>
        <v>#DIV/0!</v>
      </c>
      <c r="F21" s="15" t="e">
        <f>F20/F8</f>
        <v>#DIV/0!</v>
      </c>
      <c r="G21" s="25"/>
      <c r="H21" s="15" t="e">
        <f t="shared" ref="H21" si="34">H20/H8</f>
        <v>#REF!</v>
      </c>
      <c r="I21" s="15" t="e">
        <f t="shared" ref="I21:V21" si="35">I20/I8</f>
        <v>#REF!</v>
      </c>
      <c r="J21" s="15" t="e">
        <f t="shared" si="35"/>
        <v>#REF!</v>
      </c>
      <c r="K21" s="15" t="e">
        <f t="shared" si="35"/>
        <v>#REF!</v>
      </c>
      <c r="L21" s="15" t="e">
        <f t="shared" si="35"/>
        <v>#REF!</v>
      </c>
      <c r="M21" s="15" t="e">
        <f t="shared" si="35"/>
        <v>#REF!</v>
      </c>
      <c r="N21" s="15" t="e">
        <f t="shared" si="35"/>
        <v>#REF!</v>
      </c>
      <c r="O21" s="15" t="e">
        <f t="shared" si="35"/>
        <v>#REF!</v>
      </c>
      <c r="P21" s="15" t="e">
        <f t="shared" si="35"/>
        <v>#REF!</v>
      </c>
      <c r="Q21" s="15" t="e">
        <f t="shared" si="35"/>
        <v>#REF!</v>
      </c>
      <c r="R21" s="15" t="e">
        <f t="shared" si="35"/>
        <v>#DIV/0!</v>
      </c>
      <c r="S21" s="15" t="e">
        <f t="shared" si="35"/>
        <v>#DIV/0!</v>
      </c>
      <c r="T21" s="15" t="e">
        <f t="shared" si="35"/>
        <v>#DIV/0!</v>
      </c>
      <c r="U21" s="15" t="e">
        <f t="shared" si="35"/>
        <v>#DIV/0!</v>
      </c>
      <c r="V21" s="15" t="e">
        <f t="shared" si="35"/>
        <v>#DIV/0!</v>
      </c>
      <c r="W21" s="26"/>
      <c r="X21" s="15" t="e">
        <f t="shared" ref="X21:AH21" si="36">X20/X8</f>
        <v>#REF!</v>
      </c>
      <c r="Y21" s="15" t="e">
        <f t="shared" si="36"/>
        <v>#REF!</v>
      </c>
      <c r="Z21" s="15" t="e">
        <f t="shared" si="36"/>
        <v>#REF!</v>
      </c>
      <c r="AA21" s="15" t="e">
        <f t="shared" si="36"/>
        <v>#REF!</v>
      </c>
      <c r="AB21" s="15" t="e">
        <f t="shared" si="36"/>
        <v>#REF!</v>
      </c>
      <c r="AC21" s="15" t="e">
        <f t="shared" si="36"/>
        <v>#REF!</v>
      </c>
      <c r="AD21" s="15" t="e">
        <f t="shared" si="36"/>
        <v>#REF!</v>
      </c>
      <c r="AE21" s="15" t="e">
        <f t="shared" si="36"/>
        <v>#REF!</v>
      </c>
      <c r="AF21" s="15" t="e">
        <f t="shared" si="36"/>
        <v>#REF!</v>
      </c>
      <c r="AG21" s="15" t="e">
        <f t="shared" si="36"/>
        <v>#REF!</v>
      </c>
      <c r="AH21" s="15" t="e">
        <f t="shared" si="36"/>
        <v>#DIV/0!</v>
      </c>
      <c r="AI21" s="15" t="e">
        <f>AI20/AI8</f>
        <v>#DIV/0!</v>
      </c>
      <c r="AK21" s="117" t="e">
        <f>SUM(AI21-AE21)*10000</f>
        <v>#DIV/0!</v>
      </c>
    </row>
    <row r="22" spans="2:37" ht="5.0999999999999996" customHeight="1">
      <c r="AK22" s="114"/>
    </row>
    <row r="23" spans="2:37" ht="12.75" customHeight="1">
      <c r="B23" s="29" t="s">
        <v>37</v>
      </c>
      <c r="C23" s="112" t="e">
        <f>-C19</f>
        <v>#REF!</v>
      </c>
      <c r="D23" s="112"/>
      <c r="E23" s="112"/>
      <c r="F23" s="112"/>
      <c r="G23" s="135"/>
      <c r="H23" s="112" t="e">
        <f t="shared" ref="H23:Q23" si="37">-H19</f>
        <v>#REF!</v>
      </c>
      <c r="I23" s="112" t="e">
        <f t="shared" si="37"/>
        <v>#REF!</v>
      </c>
      <c r="J23" s="112" t="e">
        <f t="shared" si="37"/>
        <v>#REF!</v>
      </c>
      <c r="K23" s="112" t="e">
        <f t="shared" si="37"/>
        <v>#REF!</v>
      </c>
      <c r="L23" s="112" t="e">
        <f t="shared" si="37"/>
        <v>#REF!</v>
      </c>
      <c r="M23" s="112" t="e">
        <f t="shared" si="37"/>
        <v>#REF!</v>
      </c>
      <c r="N23" s="112" t="e">
        <f t="shared" si="37"/>
        <v>#REF!</v>
      </c>
      <c r="O23" s="112" t="e">
        <f t="shared" si="37"/>
        <v>#REF!</v>
      </c>
      <c r="P23" s="112" t="e">
        <f t="shared" si="37"/>
        <v>#REF!</v>
      </c>
      <c r="Q23" s="112" t="e">
        <f t="shared" si="37"/>
        <v>#REF!</v>
      </c>
      <c r="R23" s="112"/>
      <c r="S23" s="112"/>
      <c r="T23" s="112"/>
      <c r="U23" s="112"/>
      <c r="V23" s="112"/>
      <c r="X23" s="10" t="e">
        <f>SUM(G23:K23)</f>
        <v>#REF!</v>
      </c>
      <c r="Y23" s="10" t="e">
        <f t="shared" ref="Y23:AH23" si="38">SUM(I23:L23)</f>
        <v>#REF!</v>
      </c>
      <c r="Z23" s="10" t="e">
        <f t="shared" si="38"/>
        <v>#REF!</v>
      </c>
      <c r="AA23" s="10" t="e">
        <f t="shared" si="38"/>
        <v>#REF!</v>
      </c>
      <c r="AB23" s="10" t="e">
        <f t="shared" si="38"/>
        <v>#REF!</v>
      </c>
      <c r="AC23" s="10" t="e">
        <f t="shared" si="38"/>
        <v>#REF!</v>
      </c>
      <c r="AD23" s="10" t="e">
        <f t="shared" si="38"/>
        <v>#REF!</v>
      </c>
      <c r="AE23" s="10" t="e">
        <f t="shared" si="38"/>
        <v>#REF!</v>
      </c>
      <c r="AF23" s="10" t="e">
        <f t="shared" si="38"/>
        <v>#REF!</v>
      </c>
      <c r="AG23" s="10" t="e">
        <f t="shared" si="38"/>
        <v>#REF!</v>
      </c>
      <c r="AH23" s="10">
        <f t="shared" si="38"/>
        <v>0</v>
      </c>
      <c r="AI23" s="10">
        <f>SUM(S23:V23)</f>
        <v>0</v>
      </c>
      <c r="AK23" s="115" t="e">
        <f>SUM(AI23/AE23)-1</f>
        <v>#REF!</v>
      </c>
    </row>
    <row r="24" spans="2:37" ht="12.75" customHeight="1">
      <c r="B24" s="23" t="s">
        <v>10</v>
      </c>
      <c r="C24" s="24" t="e">
        <f>SUM(C20+C23)</f>
        <v>#REF!</v>
      </c>
      <c r="D24" s="24">
        <f>SUM(D20+D23)</f>
        <v>0</v>
      </c>
      <c r="E24" s="24">
        <f>SUM(E20+E23)</f>
        <v>0</v>
      </c>
      <c r="F24" s="24">
        <f>SUM(F20+F23)</f>
        <v>0</v>
      </c>
      <c r="H24" s="24" t="e">
        <f t="shared" ref="H24" si="39">SUM(H20+H23)</f>
        <v>#REF!</v>
      </c>
      <c r="I24" s="24" t="e">
        <f t="shared" ref="I24:R24" si="40">SUM(I20+I23)</f>
        <v>#REF!</v>
      </c>
      <c r="J24" s="24" t="e">
        <f t="shared" si="40"/>
        <v>#REF!</v>
      </c>
      <c r="K24" s="24" t="e">
        <f t="shared" si="40"/>
        <v>#REF!</v>
      </c>
      <c r="L24" s="24" t="e">
        <f t="shared" si="40"/>
        <v>#REF!</v>
      </c>
      <c r="M24" s="24" t="e">
        <f t="shared" si="40"/>
        <v>#REF!</v>
      </c>
      <c r="N24" s="24" t="e">
        <f t="shared" si="40"/>
        <v>#REF!</v>
      </c>
      <c r="O24" s="24" t="e">
        <f t="shared" si="40"/>
        <v>#REF!</v>
      </c>
      <c r="P24" s="24" t="e">
        <f t="shared" si="40"/>
        <v>#REF!</v>
      </c>
      <c r="Q24" s="24" t="e">
        <f t="shared" si="40"/>
        <v>#REF!</v>
      </c>
      <c r="R24" s="24">
        <f t="shared" si="40"/>
        <v>0</v>
      </c>
      <c r="S24" s="24">
        <f>SUM(S20+S23)</f>
        <v>0</v>
      </c>
      <c r="T24" s="24">
        <f>SUM(T20+T23)</f>
        <v>0</v>
      </c>
      <c r="U24" s="24">
        <f>SUM(U20+U23)</f>
        <v>0</v>
      </c>
      <c r="V24" s="24">
        <f>SUM(V20+V23)</f>
        <v>0</v>
      </c>
      <c r="X24" s="24" t="e">
        <f t="shared" ref="X24:AH24" si="41">SUM(X20+X23)</f>
        <v>#REF!</v>
      </c>
      <c r="Y24" s="24" t="e">
        <f t="shared" si="41"/>
        <v>#REF!</v>
      </c>
      <c r="Z24" s="24" t="e">
        <f t="shared" si="41"/>
        <v>#REF!</v>
      </c>
      <c r="AA24" s="24" t="e">
        <f t="shared" si="41"/>
        <v>#REF!</v>
      </c>
      <c r="AB24" s="24" t="e">
        <f t="shared" si="41"/>
        <v>#REF!</v>
      </c>
      <c r="AC24" s="24" t="e">
        <f t="shared" si="41"/>
        <v>#REF!</v>
      </c>
      <c r="AD24" s="24" t="e">
        <f t="shared" si="41"/>
        <v>#REF!</v>
      </c>
      <c r="AE24" s="24" t="e">
        <f t="shared" si="41"/>
        <v>#REF!</v>
      </c>
      <c r="AF24" s="24" t="e">
        <f t="shared" si="41"/>
        <v>#REF!</v>
      </c>
      <c r="AG24" s="24" t="e">
        <f t="shared" si="41"/>
        <v>#REF!</v>
      </c>
      <c r="AH24" s="24">
        <f t="shared" si="41"/>
        <v>0</v>
      </c>
      <c r="AI24" s="24">
        <f>SUM(AI20+AI23)</f>
        <v>0</v>
      </c>
      <c r="AK24" s="116" t="e">
        <f>SUM(AI24/AE24)-1</f>
        <v>#REF!</v>
      </c>
    </row>
    <row r="25" spans="2:37" ht="12.75" customHeight="1">
      <c r="B25" s="14" t="s">
        <v>38</v>
      </c>
      <c r="C25" s="15" t="e">
        <f>C24/C8</f>
        <v>#REF!</v>
      </c>
      <c r="D25" s="15" t="e">
        <f>D24/D8</f>
        <v>#DIV/0!</v>
      </c>
      <c r="E25" s="15" t="e">
        <f>E24/E8</f>
        <v>#DIV/0!</v>
      </c>
      <c r="F25" s="15" t="e">
        <f>F24/F8</f>
        <v>#DIV/0!</v>
      </c>
      <c r="H25" s="15" t="e">
        <f t="shared" ref="H25" si="42">H24/H8</f>
        <v>#REF!</v>
      </c>
      <c r="I25" s="15" t="e">
        <f t="shared" ref="I25:V25" si="43">I24/I8</f>
        <v>#REF!</v>
      </c>
      <c r="J25" s="15" t="e">
        <f t="shared" si="43"/>
        <v>#REF!</v>
      </c>
      <c r="K25" s="15" t="e">
        <f t="shared" si="43"/>
        <v>#REF!</v>
      </c>
      <c r="L25" s="15" t="e">
        <f t="shared" si="43"/>
        <v>#REF!</v>
      </c>
      <c r="M25" s="15" t="e">
        <f t="shared" si="43"/>
        <v>#REF!</v>
      </c>
      <c r="N25" s="15" t="e">
        <f t="shared" si="43"/>
        <v>#REF!</v>
      </c>
      <c r="O25" s="15" t="e">
        <f t="shared" si="43"/>
        <v>#REF!</v>
      </c>
      <c r="P25" s="15" t="e">
        <f t="shared" si="43"/>
        <v>#REF!</v>
      </c>
      <c r="Q25" s="15" t="e">
        <f t="shared" si="43"/>
        <v>#REF!</v>
      </c>
      <c r="R25" s="15" t="e">
        <f t="shared" si="43"/>
        <v>#DIV/0!</v>
      </c>
      <c r="S25" s="15" t="e">
        <f t="shared" si="43"/>
        <v>#DIV/0!</v>
      </c>
      <c r="T25" s="15" t="e">
        <f t="shared" si="43"/>
        <v>#DIV/0!</v>
      </c>
      <c r="U25" s="15" t="e">
        <f t="shared" si="43"/>
        <v>#DIV/0!</v>
      </c>
      <c r="V25" s="15" t="e">
        <f t="shared" si="43"/>
        <v>#DIV/0!</v>
      </c>
      <c r="X25" s="15" t="e">
        <f t="shared" ref="X25:AH25" si="44">X24/X8</f>
        <v>#REF!</v>
      </c>
      <c r="Y25" s="15" t="e">
        <f t="shared" si="44"/>
        <v>#REF!</v>
      </c>
      <c r="Z25" s="15" t="e">
        <f t="shared" si="44"/>
        <v>#REF!</v>
      </c>
      <c r="AA25" s="15" t="e">
        <f t="shared" si="44"/>
        <v>#REF!</v>
      </c>
      <c r="AB25" s="15" t="e">
        <f t="shared" si="44"/>
        <v>#REF!</v>
      </c>
      <c r="AC25" s="15" t="e">
        <f t="shared" si="44"/>
        <v>#REF!</v>
      </c>
      <c r="AD25" s="15" t="e">
        <f t="shared" si="44"/>
        <v>#REF!</v>
      </c>
      <c r="AE25" s="15" t="e">
        <f t="shared" si="44"/>
        <v>#REF!</v>
      </c>
      <c r="AF25" s="15" t="e">
        <f t="shared" si="44"/>
        <v>#REF!</v>
      </c>
      <c r="AG25" s="15" t="e">
        <f t="shared" si="44"/>
        <v>#REF!</v>
      </c>
      <c r="AH25" s="15" t="e">
        <f t="shared" si="44"/>
        <v>#DIV/0!</v>
      </c>
      <c r="AI25" s="15" t="e">
        <f>AI24/AI8</f>
        <v>#DIV/0!</v>
      </c>
      <c r="AK25" s="117" t="e">
        <f>SUM(AI25-AE25)*10000</f>
        <v>#DIV/0!</v>
      </c>
    </row>
    <row r="26" spans="2:37" ht="5.0999999999999996" customHeight="1">
      <c r="AK26" s="114"/>
    </row>
    <row r="27" spans="2:37" ht="12.75" customHeight="1">
      <c r="B27" s="29" t="s">
        <v>39</v>
      </c>
      <c r="C27" s="85" t="e">
        <f>'Historical Financials'!#REF!</f>
        <v>#REF!</v>
      </c>
      <c r="D27" s="85"/>
      <c r="E27" s="85"/>
      <c r="F27" s="85"/>
      <c r="H27" s="85">
        <f>'Historical Financials'!G89</f>
        <v>10</v>
      </c>
      <c r="I27" s="85">
        <f>'Historical Financials'!H89</f>
        <v>7</v>
      </c>
      <c r="J27" s="85">
        <f>'Historical Financials'!I89</f>
        <v>7</v>
      </c>
      <c r="K27" s="85">
        <f>'Historical Financials'!J89</f>
        <v>8</v>
      </c>
      <c r="L27" s="85">
        <f>'Historical Financials'!K89</f>
        <v>32</v>
      </c>
      <c r="M27" s="85">
        <f>'Historical Financials'!L89</f>
        <v>-16</v>
      </c>
      <c r="N27" s="85">
        <f>'Historical Financials'!M89</f>
        <v>8</v>
      </c>
      <c r="O27" s="85">
        <f>'Historical Financials'!N89</f>
        <v>9</v>
      </c>
      <c r="P27" s="85">
        <f>'Historical Financials'!O89</f>
        <v>9</v>
      </c>
      <c r="Q27" s="85">
        <f>'Historical Financials'!P89</f>
        <v>18</v>
      </c>
      <c r="R27" s="85"/>
      <c r="S27" s="85"/>
      <c r="T27" s="85"/>
      <c r="U27" s="85"/>
      <c r="V27" s="85"/>
      <c r="X27" s="10">
        <f>SUM(G27:K27)</f>
        <v>32</v>
      </c>
      <c r="Y27" s="10">
        <f t="shared" ref="Y27" si="45">SUM(I27:L27)</f>
        <v>54</v>
      </c>
      <c r="Z27" s="10">
        <f t="shared" ref="Z27" si="46">SUM(J27:M27)</f>
        <v>31</v>
      </c>
      <c r="AA27" s="10">
        <f t="shared" ref="AA27" si="47">SUM(K27:N27)</f>
        <v>32</v>
      </c>
      <c r="AB27" s="10">
        <f t="shared" ref="AB27" si="48">SUM(L27:O27)</f>
        <v>33</v>
      </c>
      <c r="AC27" s="10">
        <f t="shared" ref="AC27" si="49">SUM(M27:P27)</f>
        <v>10</v>
      </c>
      <c r="AD27" s="10">
        <f t="shared" ref="AD27" si="50">SUM(N27:Q27)</f>
        <v>44</v>
      </c>
      <c r="AE27" s="10">
        <f t="shared" ref="AE27" si="51">SUM(O27:R27)</f>
        <v>36</v>
      </c>
      <c r="AF27" s="10">
        <f t="shared" ref="AF27" si="52">SUM(P27:S27)</f>
        <v>27</v>
      </c>
      <c r="AG27" s="10">
        <f t="shared" ref="AG27" si="53">SUM(Q27:T27)</f>
        <v>18</v>
      </c>
      <c r="AH27" s="10">
        <f t="shared" ref="AH27" si="54">SUM(R27:U27)</f>
        <v>0</v>
      </c>
      <c r="AI27" s="10">
        <f t="shared" ref="AI27" si="55">SUM(S27:V27)</f>
        <v>0</v>
      </c>
      <c r="AK27" s="115">
        <f>SUM(AI27/AE27)-1</f>
        <v>-1</v>
      </c>
    </row>
    <row r="28" spans="2:37" ht="12.75" customHeight="1">
      <c r="B28" s="12" t="s">
        <v>40</v>
      </c>
      <c r="C28" s="13" t="e">
        <f>+SUM(C24+SUM(C27:C27))</f>
        <v>#REF!</v>
      </c>
      <c r="D28" s="13">
        <f>+SUM(D24+SUM(D27:D27))</f>
        <v>0</v>
      </c>
      <c r="E28" s="13">
        <f>+SUM(E24+SUM(E27:E27))</f>
        <v>0</v>
      </c>
      <c r="F28" s="13">
        <f>+SUM(F24+SUM(F27:F27))</f>
        <v>0</v>
      </c>
      <c r="G28" s="11"/>
      <c r="H28" s="13" t="e">
        <f t="shared" ref="H28:V28" si="56">+SUM(H24+SUM(H27:H27))</f>
        <v>#REF!</v>
      </c>
      <c r="I28" s="13" t="e">
        <f t="shared" si="56"/>
        <v>#REF!</v>
      </c>
      <c r="J28" s="13" t="e">
        <f t="shared" si="56"/>
        <v>#REF!</v>
      </c>
      <c r="K28" s="13" t="e">
        <f t="shared" si="56"/>
        <v>#REF!</v>
      </c>
      <c r="L28" s="13" t="e">
        <f t="shared" si="56"/>
        <v>#REF!</v>
      </c>
      <c r="M28" s="13" t="e">
        <f t="shared" si="56"/>
        <v>#REF!</v>
      </c>
      <c r="N28" s="13" t="e">
        <f t="shared" si="56"/>
        <v>#REF!</v>
      </c>
      <c r="O28" s="13" t="e">
        <f t="shared" si="56"/>
        <v>#REF!</v>
      </c>
      <c r="P28" s="13" t="e">
        <f t="shared" si="56"/>
        <v>#REF!</v>
      </c>
      <c r="Q28" s="13" t="e">
        <f t="shared" si="56"/>
        <v>#REF!</v>
      </c>
      <c r="R28" s="13">
        <f t="shared" si="56"/>
        <v>0</v>
      </c>
      <c r="S28" s="13">
        <f t="shared" si="56"/>
        <v>0</v>
      </c>
      <c r="T28" s="13">
        <f t="shared" si="56"/>
        <v>0</v>
      </c>
      <c r="U28" s="13">
        <f t="shared" si="56"/>
        <v>0</v>
      </c>
      <c r="V28" s="13">
        <f t="shared" si="56"/>
        <v>0</v>
      </c>
      <c r="X28" s="13" t="e">
        <f t="shared" ref="X28:AI28" si="57">+SUM(X24+SUM(X27:X27))</f>
        <v>#REF!</v>
      </c>
      <c r="Y28" s="13" t="e">
        <f t="shared" si="57"/>
        <v>#REF!</v>
      </c>
      <c r="Z28" s="13" t="e">
        <f t="shared" si="57"/>
        <v>#REF!</v>
      </c>
      <c r="AA28" s="13" t="e">
        <f t="shared" si="57"/>
        <v>#REF!</v>
      </c>
      <c r="AB28" s="13" t="e">
        <f t="shared" si="57"/>
        <v>#REF!</v>
      </c>
      <c r="AC28" s="13" t="e">
        <f t="shared" si="57"/>
        <v>#REF!</v>
      </c>
      <c r="AD28" s="13" t="e">
        <f t="shared" si="57"/>
        <v>#REF!</v>
      </c>
      <c r="AE28" s="13" t="e">
        <f t="shared" si="57"/>
        <v>#REF!</v>
      </c>
      <c r="AF28" s="13" t="e">
        <f t="shared" si="57"/>
        <v>#REF!</v>
      </c>
      <c r="AG28" s="13" t="e">
        <f t="shared" si="57"/>
        <v>#REF!</v>
      </c>
      <c r="AH28" s="13">
        <f t="shared" si="57"/>
        <v>0</v>
      </c>
      <c r="AI28" s="13">
        <f t="shared" si="57"/>
        <v>0</v>
      </c>
      <c r="AK28" s="116" t="e">
        <f>SUM(AI28/AE28)-1</f>
        <v>#REF!</v>
      </c>
    </row>
    <row r="29" spans="2:37" ht="12.75" customHeight="1">
      <c r="B29" s="14" t="s">
        <v>41</v>
      </c>
      <c r="C29" s="15" t="e">
        <f>C28/C8</f>
        <v>#REF!</v>
      </c>
      <c r="D29" s="15" t="e">
        <f>D28/D8</f>
        <v>#DIV/0!</v>
      </c>
      <c r="E29" s="15" t="e">
        <f>E28/E8</f>
        <v>#DIV/0!</v>
      </c>
      <c r="F29" s="15" t="e">
        <f>F28/F8</f>
        <v>#DIV/0!</v>
      </c>
      <c r="H29" s="15" t="e">
        <f t="shared" ref="H29:V29" si="58">H28/H8</f>
        <v>#REF!</v>
      </c>
      <c r="I29" s="15" t="e">
        <f t="shared" si="58"/>
        <v>#REF!</v>
      </c>
      <c r="J29" s="15" t="e">
        <f t="shared" si="58"/>
        <v>#REF!</v>
      </c>
      <c r="K29" s="15" t="e">
        <f t="shared" si="58"/>
        <v>#REF!</v>
      </c>
      <c r="L29" s="15" t="e">
        <f t="shared" si="58"/>
        <v>#REF!</v>
      </c>
      <c r="M29" s="15" t="e">
        <f t="shared" si="58"/>
        <v>#REF!</v>
      </c>
      <c r="N29" s="15" t="e">
        <f t="shared" si="58"/>
        <v>#REF!</v>
      </c>
      <c r="O29" s="15" t="e">
        <f t="shared" si="58"/>
        <v>#REF!</v>
      </c>
      <c r="P29" s="15" t="e">
        <f t="shared" si="58"/>
        <v>#REF!</v>
      </c>
      <c r="Q29" s="15" t="e">
        <f t="shared" si="58"/>
        <v>#REF!</v>
      </c>
      <c r="R29" s="15" t="e">
        <f t="shared" si="58"/>
        <v>#DIV/0!</v>
      </c>
      <c r="S29" s="15" t="e">
        <f t="shared" si="58"/>
        <v>#DIV/0!</v>
      </c>
      <c r="T29" s="15" t="e">
        <f t="shared" si="58"/>
        <v>#DIV/0!</v>
      </c>
      <c r="U29" s="15" t="e">
        <f t="shared" si="58"/>
        <v>#DIV/0!</v>
      </c>
      <c r="V29" s="15" t="e">
        <f t="shared" si="58"/>
        <v>#DIV/0!</v>
      </c>
      <c r="X29" s="15" t="e">
        <f t="shared" ref="X29:AI29" si="59">X28/X8</f>
        <v>#REF!</v>
      </c>
      <c r="Y29" s="15" t="e">
        <f t="shared" si="59"/>
        <v>#REF!</v>
      </c>
      <c r="Z29" s="15" t="e">
        <f t="shared" si="59"/>
        <v>#REF!</v>
      </c>
      <c r="AA29" s="15" t="e">
        <f t="shared" si="59"/>
        <v>#REF!</v>
      </c>
      <c r="AB29" s="15" t="e">
        <f t="shared" si="59"/>
        <v>#REF!</v>
      </c>
      <c r="AC29" s="15" t="e">
        <f t="shared" si="59"/>
        <v>#REF!</v>
      </c>
      <c r="AD29" s="15" t="e">
        <f t="shared" si="59"/>
        <v>#REF!</v>
      </c>
      <c r="AE29" s="15" t="e">
        <f t="shared" si="59"/>
        <v>#REF!</v>
      </c>
      <c r="AF29" s="15" t="e">
        <f t="shared" si="59"/>
        <v>#REF!</v>
      </c>
      <c r="AG29" s="15" t="e">
        <f t="shared" si="59"/>
        <v>#REF!</v>
      </c>
      <c r="AH29" s="15" t="e">
        <f t="shared" si="59"/>
        <v>#DIV/0!</v>
      </c>
      <c r="AI29" s="15" t="e">
        <f t="shared" si="59"/>
        <v>#DIV/0!</v>
      </c>
      <c r="AK29" s="117" t="e">
        <f>SUM(AI29-AE29)*10000</f>
        <v>#DIV/0!</v>
      </c>
    </row>
    <row r="30" spans="2:37" ht="5.0999999999999996" customHeight="1">
      <c r="AK30" s="114"/>
    </row>
    <row r="31" spans="2:37" ht="12.75" customHeight="1">
      <c r="B31" s="21" t="s">
        <v>42</v>
      </c>
      <c r="C31" s="85" t="e">
        <f>SUM('Historical Financials'!#REF!+'Historical Financials'!#REF!)</f>
        <v>#REF!</v>
      </c>
      <c r="D31" s="85"/>
      <c r="E31" s="85"/>
      <c r="F31" s="85"/>
      <c r="H31" s="85" t="e">
        <f>SUM('Historical Financials'!#REF!+'Historical Financials'!#REF!)</f>
        <v>#REF!</v>
      </c>
      <c r="I31" s="85" t="e">
        <f>SUM('Historical Financials'!#REF!+'Historical Financials'!#REF!)</f>
        <v>#REF!</v>
      </c>
      <c r="J31" s="85" t="e">
        <f>SUM('Historical Financials'!#REF!+'Historical Financials'!#REF!)</f>
        <v>#REF!</v>
      </c>
      <c r="K31" s="85" t="e">
        <f>SUM('Historical Financials'!#REF!+'Historical Financials'!#REF!)</f>
        <v>#REF!</v>
      </c>
      <c r="L31" s="85" t="e">
        <f>SUM('Historical Financials'!#REF!+'Historical Financials'!#REF!)</f>
        <v>#REF!</v>
      </c>
      <c r="M31" s="85" t="e">
        <f>SUM('Historical Financials'!#REF!+'Historical Financials'!#REF!)</f>
        <v>#REF!</v>
      </c>
      <c r="N31" s="85" t="e">
        <f>SUM('Historical Financials'!#REF!+'Historical Financials'!#REF!)</f>
        <v>#REF!</v>
      </c>
      <c r="O31" s="85" t="e">
        <f>SUM('Historical Financials'!#REF!+'Historical Financials'!#REF!)</f>
        <v>#REF!</v>
      </c>
      <c r="P31" s="85" t="e">
        <f>SUM('Historical Financials'!#REF!+'Historical Financials'!#REF!)</f>
        <v>#REF!</v>
      </c>
      <c r="Q31" s="85" t="e">
        <f>SUM('Historical Financials'!#REF!+'Historical Financials'!#REF!)</f>
        <v>#REF!</v>
      </c>
      <c r="R31" s="85"/>
      <c r="S31" s="85"/>
      <c r="T31" s="85"/>
      <c r="U31" s="85"/>
      <c r="V31" s="85"/>
      <c r="X31" s="10" t="e">
        <f t="shared" ref="X31:X34" si="60">SUM(G31:K31)</f>
        <v>#REF!</v>
      </c>
      <c r="Y31" s="10" t="e">
        <f t="shared" ref="Y31:Y34" si="61">SUM(I31:L31)</f>
        <v>#REF!</v>
      </c>
      <c r="Z31" s="10" t="e">
        <f t="shared" ref="Z31:Z34" si="62">SUM(J31:M31)</f>
        <v>#REF!</v>
      </c>
      <c r="AA31" s="10" t="e">
        <f t="shared" ref="AA31:AA34" si="63">SUM(K31:N31)</f>
        <v>#REF!</v>
      </c>
      <c r="AB31" s="10" t="e">
        <f t="shared" ref="AB31:AB34" si="64">SUM(L31:O31)</f>
        <v>#REF!</v>
      </c>
      <c r="AC31" s="10" t="e">
        <f t="shared" ref="AC31:AC34" si="65">SUM(M31:P31)</f>
        <v>#REF!</v>
      </c>
      <c r="AD31" s="10" t="e">
        <f t="shared" ref="AD31:AD34" si="66">SUM(N31:Q31)</f>
        <v>#REF!</v>
      </c>
      <c r="AE31" s="10" t="e">
        <f t="shared" ref="AE31:AE34" si="67">SUM(O31:R31)</f>
        <v>#REF!</v>
      </c>
      <c r="AF31" s="10" t="e">
        <f t="shared" ref="AF31:AF34" si="68">SUM(P31:S31)</f>
        <v>#REF!</v>
      </c>
      <c r="AG31" s="10" t="e">
        <f t="shared" ref="AG31:AG34" si="69">SUM(Q31:T31)</f>
        <v>#REF!</v>
      </c>
      <c r="AH31" s="10">
        <f t="shared" ref="AH31:AH34" si="70">SUM(R31:U31)</f>
        <v>0</v>
      </c>
      <c r="AI31" s="10">
        <f t="shared" ref="AI31:AI34" si="71">SUM(S31:V31)</f>
        <v>0</v>
      </c>
      <c r="AK31" s="115" t="e">
        <f>SUM(AI31/AE31)-1</f>
        <v>#REF!</v>
      </c>
    </row>
    <row r="32" spans="2:37" ht="12.75" customHeight="1">
      <c r="B32" s="21" t="s">
        <v>43</v>
      </c>
      <c r="C32" s="85" t="e">
        <f>'Historical Financials'!#REF!</f>
        <v>#REF!</v>
      </c>
      <c r="D32" s="85"/>
      <c r="E32" s="85"/>
      <c r="F32" s="85"/>
      <c r="H32" s="85">
        <f>'Historical Financials'!G28</f>
        <v>0</v>
      </c>
      <c r="I32" s="85">
        <f>'Historical Financials'!H28</f>
        <v>0</v>
      </c>
      <c r="J32" s="85">
        <f>'Historical Financials'!I28</f>
        <v>0</v>
      </c>
      <c r="K32" s="85">
        <f>'Historical Financials'!J28</f>
        <v>0</v>
      </c>
      <c r="L32" s="85">
        <f>'Historical Financials'!K28</f>
        <v>0</v>
      </c>
      <c r="M32" s="85">
        <f>'Historical Financials'!L28</f>
        <v>0</v>
      </c>
      <c r="N32" s="85">
        <f>'Historical Financials'!M28</f>
        <v>0</v>
      </c>
      <c r="O32" s="85">
        <f>'Historical Financials'!N28</f>
        <v>0</v>
      </c>
      <c r="P32" s="85">
        <f>'Historical Financials'!O28</f>
        <v>0</v>
      </c>
      <c r="Q32" s="85">
        <f>'Historical Financials'!P28</f>
        <v>0</v>
      </c>
      <c r="R32" s="85"/>
      <c r="S32" s="85"/>
      <c r="T32" s="85"/>
      <c r="U32" s="85"/>
      <c r="V32" s="85"/>
      <c r="X32" s="10">
        <f t="shared" si="60"/>
        <v>0</v>
      </c>
      <c r="Y32" s="10">
        <f t="shared" si="61"/>
        <v>0</v>
      </c>
      <c r="Z32" s="10">
        <f t="shared" si="62"/>
        <v>0</v>
      </c>
      <c r="AA32" s="10">
        <f t="shared" si="63"/>
        <v>0</v>
      </c>
      <c r="AB32" s="10">
        <f t="shared" si="64"/>
        <v>0</v>
      </c>
      <c r="AC32" s="10">
        <f t="shared" si="65"/>
        <v>0</v>
      </c>
      <c r="AD32" s="10">
        <f t="shared" si="66"/>
        <v>0</v>
      </c>
      <c r="AE32" s="10">
        <f t="shared" si="67"/>
        <v>0</v>
      </c>
      <c r="AF32" s="10">
        <f t="shared" si="68"/>
        <v>0</v>
      </c>
      <c r="AG32" s="10">
        <f t="shared" si="69"/>
        <v>0</v>
      </c>
      <c r="AH32" s="10">
        <f t="shared" si="70"/>
        <v>0</v>
      </c>
      <c r="AI32" s="10">
        <f t="shared" si="71"/>
        <v>0</v>
      </c>
      <c r="AK32" s="115" t="e">
        <f>SUM(AI32/AE32)-1</f>
        <v>#DIV/0!</v>
      </c>
    </row>
    <row r="33" spans="1:37" ht="12.75" customHeight="1">
      <c r="B33" s="21" t="s">
        <v>92</v>
      </c>
      <c r="C33" s="78">
        <v>0</v>
      </c>
      <c r="D33" s="78"/>
      <c r="E33" s="78"/>
      <c r="F33" s="78"/>
      <c r="H33" s="78">
        <v>0</v>
      </c>
      <c r="I33" s="78">
        <v>0</v>
      </c>
      <c r="J33" s="78">
        <v>0</v>
      </c>
      <c r="K33" s="112">
        <f>D33</f>
        <v>0</v>
      </c>
      <c r="L33" s="78">
        <v>0</v>
      </c>
      <c r="M33" s="78">
        <v>0</v>
      </c>
      <c r="N33" s="78">
        <v>0</v>
      </c>
      <c r="O33" s="112">
        <f>E33</f>
        <v>0</v>
      </c>
      <c r="P33" s="78">
        <v>0</v>
      </c>
      <c r="Q33" s="78">
        <v>0</v>
      </c>
      <c r="R33" s="78"/>
      <c r="S33" s="112"/>
      <c r="T33" s="78"/>
      <c r="U33" s="78"/>
      <c r="V33" s="78"/>
      <c r="X33" s="10">
        <f t="shared" si="60"/>
        <v>0</v>
      </c>
      <c r="Y33" s="10">
        <f t="shared" si="61"/>
        <v>0</v>
      </c>
      <c r="Z33" s="10">
        <f t="shared" si="62"/>
        <v>0</v>
      </c>
      <c r="AA33" s="10">
        <f t="shared" si="63"/>
        <v>0</v>
      </c>
      <c r="AB33" s="10">
        <f t="shared" si="64"/>
        <v>0</v>
      </c>
      <c r="AC33" s="10">
        <f t="shared" si="65"/>
        <v>0</v>
      </c>
      <c r="AD33" s="10">
        <f t="shared" si="66"/>
        <v>0</v>
      </c>
      <c r="AE33" s="10">
        <f t="shared" si="67"/>
        <v>0</v>
      </c>
      <c r="AF33" s="10">
        <f t="shared" si="68"/>
        <v>0</v>
      </c>
      <c r="AG33" s="10">
        <f t="shared" si="69"/>
        <v>0</v>
      </c>
      <c r="AH33" s="10">
        <f t="shared" si="70"/>
        <v>0</v>
      </c>
      <c r="AI33" s="10">
        <f t="shared" si="71"/>
        <v>0</v>
      </c>
      <c r="AK33" s="115" t="e">
        <f>SUM(AI33/AE33)-1</f>
        <v>#DIV/0!</v>
      </c>
    </row>
    <row r="34" spans="1:37" ht="12.75" customHeight="1">
      <c r="B34" s="21" t="s">
        <v>44</v>
      </c>
      <c r="C34" s="85" t="e">
        <f>SUM('Historical Financials'!#REF!)</f>
        <v>#REF!</v>
      </c>
      <c r="D34" s="85"/>
      <c r="E34" s="85"/>
      <c r="F34" s="85"/>
      <c r="H34" s="85">
        <f>SUM('Historical Financials'!G94:G96)</f>
        <v>1171</v>
      </c>
      <c r="I34" s="85">
        <f>SUM('Historical Financials'!H94:H96)</f>
        <v>1728</v>
      </c>
      <c r="J34" s="85">
        <f>SUM('Historical Financials'!I94:I96)</f>
        <v>-780</v>
      </c>
      <c r="K34" s="85">
        <f>SUM('Historical Financials'!J94:J96)</f>
        <v>2849</v>
      </c>
      <c r="L34" s="85">
        <f>SUM('Historical Financials'!K94:K96)</f>
        <v>-873</v>
      </c>
      <c r="M34" s="85">
        <f>SUM('Historical Financials'!L94:L96)</f>
        <v>-898</v>
      </c>
      <c r="N34" s="85">
        <f>SUM('Historical Financials'!M94:M96)</f>
        <v>1515</v>
      </c>
      <c r="O34" s="85">
        <f>SUM('Historical Financials'!N94:N96)</f>
        <v>4934</v>
      </c>
      <c r="P34" s="85">
        <f>SUM('Historical Financials'!O94:O96)</f>
        <v>-2305</v>
      </c>
      <c r="Q34" s="85">
        <f>SUM('Historical Financials'!P94:P96)</f>
        <v>3150</v>
      </c>
      <c r="R34" s="85"/>
      <c r="S34" s="85"/>
      <c r="T34" s="85"/>
      <c r="U34" s="85"/>
      <c r="V34" s="85"/>
      <c r="X34" s="10">
        <f t="shared" si="60"/>
        <v>4968</v>
      </c>
      <c r="Y34" s="10">
        <f t="shared" si="61"/>
        <v>2924</v>
      </c>
      <c r="Z34" s="10">
        <f t="shared" si="62"/>
        <v>298</v>
      </c>
      <c r="AA34" s="10">
        <f t="shared" si="63"/>
        <v>2593</v>
      </c>
      <c r="AB34" s="10">
        <f t="shared" si="64"/>
        <v>4678</v>
      </c>
      <c r="AC34" s="10">
        <f t="shared" si="65"/>
        <v>3246</v>
      </c>
      <c r="AD34" s="10">
        <f t="shared" si="66"/>
        <v>7294</v>
      </c>
      <c r="AE34" s="10">
        <f t="shared" si="67"/>
        <v>5779</v>
      </c>
      <c r="AF34" s="10">
        <f t="shared" si="68"/>
        <v>845</v>
      </c>
      <c r="AG34" s="10">
        <f t="shared" si="69"/>
        <v>3150</v>
      </c>
      <c r="AH34" s="10">
        <f t="shared" si="70"/>
        <v>0</v>
      </c>
      <c r="AI34" s="10">
        <f t="shared" si="71"/>
        <v>0</v>
      </c>
      <c r="AK34" s="115">
        <f>SUM(AI34/AE34)-1</f>
        <v>-1</v>
      </c>
    </row>
    <row r="35" spans="1:37" ht="12.75" customHeight="1">
      <c r="B35" s="12" t="s">
        <v>45</v>
      </c>
      <c r="C35" s="13" t="e">
        <f>SUM(C28+SUM(C31:C34))</f>
        <v>#REF!</v>
      </c>
      <c r="D35" s="13">
        <f>SUM(D28+SUM(D31:D34))</f>
        <v>0</v>
      </c>
      <c r="E35" s="13">
        <f>SUM(E28+SUM(E31:E34))</f>
        <v>0</v>
      </c>
      <c r="F35" s="13">
        <f>SUM(F28+SUM(F31:F34))</f>
        <v>0</v>
      </c>
      <c r="H35" s="13" t="e">
        <f t="shared" ref="H35" si="72">SUM(H28+SUM(H31:H34))</f>
        <v>#REF!</v>
      </c>
      <c r="I35" s="13" t="e">
        <f t="shared" ref="I35:V35" si="73">SUM(I28+SUM(I31:I34))</f>
        <v>#REF!</v>
      </c>
      <c r="J35" s="13" t="e">
        <f t="shared" si="73"/>
        <v>#REF!</v>
      </c>
      <c r="K35" s="13" t="e">
        <f t="shared" si="73"/>
        <v>#REF!</v>
      </c>
      <c r="L35" s="13" t="e">
        <f t="shared" si="73"/>
        <v>#REF!</v>
      </c>
      <c r="M35" s="13" t="e">
        <f t="shared" si="73"/>
        <v>#REF!</v>
      </c>
      <c r="N35" s="13" t="e">
        <f t="shared" si="73"/>
        <v>#REF!</v>
      </c>
      <c r="O35" s="13" t="e">
        <f t="shared" si="73"/>
        <v>#REF!</v>
      </c>
      <c r="P35" s="13" t="e">
        <f t="shared" si="73"/>
        <v>#REF!</v>
      </c>
      <c r="Q35" s="13" t="e">
        <f t="shared" si="73"/>
        <v>#REF!</v>
      </c>
      <c r="R35" s="13">
        <f t="shared" si="73"/>
        <v>0</v>
      </c>
      <c r="S35" s="13">
        <f t="shared" si="73"/>
        <v>0</v>
      </c>
      <c r="T35" s="13">
        <f t="shared" si="73"/>
        <v>0</v>
      </c>
      <c r="U35" s="13">
        <f t="shared" si="73"/>
        <v>0</v>
      </c>
      <c r="V35" s="13">
        <f t="shared" si="73"/>
        <v>0</v>
      </c>
      <c r="X35" s="13" t="e">
        <f t="shared" ref="X35:AH35" si="74">SUM(X28+SUM(X31:X34))</f>
        <v>#REF!</v>
      </c>
      <c r="Y35" s="13" t="e">
        <f t="shared" si="74"/>
        <v>#REF!</v>
      </c>
      <c r="Z35" s="13" t="e">
        <f t="shared" si="74"/>
        <v>#REF!</v>
      </c>
      <c r="AA35" s="13" t="e">
        <f t="shared" si="74"/>
        <v>#REF!</v>
      </c>
      <c r="AB35" s="13" t="e">
        <f t="shared" si="74"/>
        <v>#REF!</v>
      </c>
      <c r="AC35" s="13" t="e">
        <f t="shared" si="74"/>
        <v>#REF!</v>
      </c>
      <c r="AD35" s="13" t="e">
        <f t="shared" si="74"/>
        <v>#REF!</v>
      </c>
      <c r="AE35" s="13" t="e">
        <f t="shared" si="74"/>
        <v>#REF!</v>
      </c>
      <c r="AF35" s="13" t="e">
        <f t="shared" si="74"/>
        <v>#REF!</v>
      </c>
      <c r="AG35" s="13" t="e">
        <f t="shared" si="74"/>
        <v>#REF!</v>
      </c>
      <c r="AH35" s="13">
        <f t="shared" si="74"/>
        <v>0</v>
      </c>
      <c r="AI35" s="13">
        <f>SUM(AI28+SUM(AI31:AI34))</f>
        <v>0</v>
      </c>
      <c r="AK35" s="116" t="e">
        <f>SUM(AI35/AE35)-1</f>
        <v>#REF!</v>
      </c>
    </row>
    <row r="36" spans="1:37" ht="5.0999999999999996" customHeight="1"/>
    <row r="37" spans="1:37" ht="12.75" customHeight="1">
      <c r="B37" s="29" t="s">
        <v>109</v>
      </c>
      <c r="C37" s="85" t="e">
        <f>'Historical Financials'!#REF!</f>
        <v>#REF!</v>
      </c>
      <c r="D37" s="85"/>
      <c r="E37" s="85"/>
      <c r="F37" s="85"/>
      <c r="G37" s="30"/>
      <c r="H37" s="85" t="e">
        <f>'Historical Financials'!#REF!</f>
        <v>#REF!</v>
      </c>
      <c r="I37" s="85" t="e">
        <f>'Historical Financials'!#REF!</f>
        <v>#REF!</v>
      </c>
      <c r="J37" s="85" t="e">
        <f>'Historical Financials'!#REF!</f>
        <v>#REF!</v>
      </c>
      <c r="K37" s="85" t="e">
        <f>'Historical Financials'!#REF!</f>
        <v>#REF!</v>
      </c>
      <c r="L37" s="85" t="e">
        <f>'Historical Financials'!#REF!</f>
        <v>#REF!</v>
      </c>
      <c r="M37" s="85" t="e">
        <f>'Historical Financials'!#REF!</f>
        <v>#REF!</v>
      </c>
      <c r="N37" s="85" t="e">
        <f>'Historical Financials'!#REF!</f>
        <v>#REF!</v>
      </c>
      <c r="O37" s="85" t="e">
        <f>'Historical Financials'!#REF!</f>
        <v>#REF!</v>
      </c>
      <c r="P37" s="85" t="e">
        <f>'Historical Financials'!#REF!</f>
        <v>#REF!</v>
      </c>
      <c r="Q37" s="85" t="e">
        <f>'Historical Financials'!#REF!</f>
        <v>#REF!</v>
      </c>
      <c r="R37" s="85"/>
      <c r="S37" s="85"/>
      <c r="T37" s="85"/>
      <c r="U37" s="85"/>
      <c r="V37" s="85"/>
      <c r="X37" s="10" t="e">
        <f>SUM(G37:K37)</f>
        <v>#REF!</v>
      </c>
      <c r="Y37" s="10" t="e">
        <f t="shared" ref="Y37:AI37" si="75">SUM(I37:L37)</f>
        <v>#REF!</v>
      </c>
      <c r="Z37" s="10" t="e">
        <f t="shared" si="75"/>
        <v>#REF!</v>
      </c>
      <c r="AA37" s="10" t="e">
        <f t="shared" si="75"/>
        <v>#REF!</v>
      </c>
      <c r="AB37" s="10" t="e">
        <f t="shared" si="75"/>
        <v>#REF!</v>
      </c>
      <c r="AC37" s="10" t="e">
        <f t="shared" si="75"/>
        <v>#REF!</v>
      </c>
      <c r="AD37" s="10" t="e">
        <f t="shared" si="75"/>
        <v>#REF!</v>
      </c>
      <c r="AE37" s="10" t="e">
        <f t="shared" si="75"/>
        <v>#REF!</v>
      </c>
      <c r="AF37" s="10" t="e">
        <f t="shared" si="75"/>
        <v>#REF!</v>
      </c>
      <c r="AG37" s="10" t="e">
        <f t="shared" si="75"/>
        <v>#REF!</v>
      </c>
      <c r="AH37" s="10">
        <f t="shared" si="75"/>
        <v>0</v>
      </c>
      <c r="AI37" s="10">
        <f t="shared" si="75"/>
        <v>0</v>
      </c>
    </row>
    <row r="38" spans="1:37" ht="12.75" customHeight="1">
      <c r="B38" s="29" t="s">
        <v>123</v>
      </c>
      <c r="C38" s="85" t="e">
        <f>SUM('Historical Financials'!#REF!)</f>
        <v>#REF!</v>
      </c>
      <c r="D38" s="85"/>
      <c r="E38" s="85"/>
      <c r="F38" s="85"/>
      <c r="G38" s="30"/>
      <c r="H38" s="85" t="e">
        <f>SUM('Historical Financials'!#REF!)</f>
        <v>#REF!</v>
      </c>
      <c r="I38" s="85" t="e">
        <f>SUM('Historical Financials'!#REF!)</f>
        <v>#REF!</v>
      </c>
      <c r="J38" s="85" t="e">
        <f>SUM('Historical Financials'!#REF!)</f>
        <v>#REF!</v>
      </c>
      <c r="K38" s="85" t="e">
        <f>SUM('Historical Financials'!#REF!)</f>
        <v>#REF!</v>
      </c>
      <c r="L38" s="85" t="e">
        <f>SUM('Historical Financials'!#REF!)</f>
        <v>#REF!</v>
      </c>
      <c r="M38" s="85" t="e">
        <f>SUM('Historical Financials'!#REF!)</f>
        <v>#REF!</v>
      </c>
      <c r="N38" s="85" t="e">
        <f>SUM('Historical Financials'!#REF!)</f>
        <v>#REF!</v>
      </c>
      <c r="O38" s="85" t="e">
        <f>SUM('Historical Financials'!#REF!)</f>
        <v>#REF!</v>
      </c>
      <c r="P38" s="85" t="e">
        <f>SUM('Historical Financials'!#REF!)</f>
        <v>#REF!</v>
      </c>
      <c r="Q38" s="85" t="e">
        <f>SUM('Historical Financials'!#REF!)</f>
        <v>#REF!</v>
      </c>
      <c r="R38" s="85"/>
      <c r="S38" s="85"/>
      <c r="T38" s="85"/>
      <c r="U38" s="85"/>
      <c r="V38" s="85"/>
      <c r="X38" s="10" t="e">
        <f t="shared" ref="X38:X43" si="76">SUM(G38:K38)</f>
        <v>#REF!</v>
      </c>
      <c r="Y38" s="10" t="e">
        <f t="shared" ref="Y38:Y43" si="77">SUM(I38:L38)</f>
        <v>#REF!</v>
      </c>
      <c r="Z38" s="10" t="e">
        <f t="shared" ref="Z38:Z43" si="78">SUM(J38:M38)</f>
        <v>#REF!</v>
      </c>
      <c r="AA38" s="10" t="e">
        <f t="shared" ref="AA38:AA43" si="79">SUM(K38:N38)</f>
        <v>#REF!</v>
      </c>
      <c r="AB38" s="10" t="e">
        <f t="shared" ref="AB38:AB43" si="80">SUM(L38:O38)</f>
        <v>#REF!</v>
      </c>
      <c r="AC38" s="10" t="e">
        <f t="shared" ref="AC38:AC43" si="81">SUM(M38:P38)</f>
        <v>#REF!</v>
      </c>
      <c r="AD38" s="10" t="e">
        <f t="shared" ref="AD38:AD43" si="82">SUM(N38:Q38)</f>
        <v>#REF!</v>
      </c>
      <c r="AE38" s="10" t="e">
        <f t="shared" ref="AE38:AE43" si="83">SUM(O38:R38)</f>
        <v>#REF!</v>
      </c>
      <c r="AF38" s="10" t="e">
        <f t="shared" ref="AF38:AF43" si="84">SUM(P38:S38)</f>
        <v>#REF!</v>
      </c>
      <c r="AG38" s="10" t="e">
        <f t="shared" ref="AG38:AG43" si="85">SUM(Q38:T38)</f>
        <v>#REF!</v>
      </c>
      <c r="AH38" s="10">
        <f t="shared" ref="AH38:AH43" si="86">SUM(R38:U38)</f>
        <v>0</v>
      </c>
      <c r="AI38" s="10">
        <f t="shared" ref="AI38:AI43" si="87">SUM(S38:V38)</f>
        <v>0</v>
      </c>
    </row>
    <row r="39" spans="1:37" ht="12.75" customHeight="1">
      <c r="B39" s="29" t="s">
        <v>124</v>
      </c>
      <c r="C39" s="85" t="e">
        <f>'Historical Financials'!#REF!</f>
        <v>#REF!</v>
      </c>
      <c r="D39" s="85"/>
      <c r="E39" s="85"/>
      <c r="F39" s="85"/>
      <c r="G39" s="30"/>
      <c r="H39" s="85" t="e">
        <f>'Historical Financials'!#REF!</f>
        <v>#REF!</v>
      </c>
      <c r="I39" s="85" t="e">
        <f>'Historical Financials'!#REF!</f>
        <v>#REF!</v>
      </c>
      <c r="J39" s="85" t="e">
        <f>'Historical Financials'!#REF!</f>
        <v>#REF!</v>
      </c>
      <c r="K39" s="85" t="e">
        <f>'Historical Financials'!#REF!</f>
        <v>#REF!</v>
      </c>
      <c r="L39" s="85" t="e">
        <f>'Historical Financials'!#REF!</f>
        <v>#REF!</v>
      </c>
      <c r="M39" s="85" t="e">
        <f>'Historical Financials'!#REF!</f>
        <v>#REF!</v>
      </c>
      <c r="N39" s="85" t="e">
        <f>'Historical Financials'!#REF!</f>
        <v>#REF!</v>
      </c>
      <c r="O39" s="85" t="e">
        <f>'Historical Financials'!#REF!</f>
        <v>#REF!</v>
      </c>
      <c r="P39" s="85" t="e">
        <f>'Historical Financials'!#REF!</f>
        <v>#REF!</v>
      </c>
      <c r="Q39" s="85" t="e">
        <f>'Historical Financials'!#REF!</f>
        <v>#REF!</v>
      </c>
      <c r="R39" s="85"/>
      <c r="S39" s="85"/>
      <c r="T39" s="85"/>
      <c r="U39" s="85"/>
      <c r="V39" s="85"/>
      <c r="X39" s="10" t="e">
        <f t="shared" si="76"/>
        <v>#REF!</v>
      </c>
      <c r="Y39" s="10" t="e">
        <f t="shared" si="77"/>
        <v>#REF!</v>
      </c>
      <c r="Z39" s="10" t="e">
        <f t="shared" si="78"/>
        <v>#REF!</v>
      </c>
      <c r="AA39" s="10" t="e">
        <f t="shared" si="79"/>
        <v>#REF!</v>
      </c>
      <c r="AB39" s="10" t="e">
        <f t="shared" si="80"/>
        <v>#REF!</v>
      </c>
      <c r="AC39" s="10" t="e">
        <f t="shared" si="81"/>
        <v>#REF!</v>
      </c>
      <c r="AD39" s="10" t="e">
        <f t="shared" si="82"/>
        <v>#REF!</v>
      </c>
      <c r="AE39" s="10" t="e">
        <f t="shared" si="83"/>
        <v>#REF!</v>
      </c>
      <c r="AF39" s="10" t="e">
        <f t="shared" si="84"/>
        <v>#REF!</v>
      </c>
      <c r="AG39" s="10" t="e">
        <f t="shared" si="85"/>
        <v>#REF!</v>
      </c>
      <c r="AH39" s="10">
        <f t="shared" si="86"/>
        <v>0</v>
      </c>
      <c r="AI39" s="10">
        <f t="shared" si="87"/>
        <v>0</v>
      </c>
    </row>
    <row r="40" spans="1:37" ht="12.75" customHeight="1">
      <c r="B40" s="29" t="s">
        <v>125</v>
      </c>
      <c r="C40" s="85" t="e">
        <f>'Historical Financials'!#REF!</f>
        <v>#REF!</v>
      </c>
      <c r="D40" s="85"/>
      <c r="E40" s="85"/>
      <c r="F40" s="85"/>
      <c r="G40" s="30"/>
      <c r="H40" s="85" t="e">
        <f>'Historical Financials'!#REF!</f>
        <v>#REF!</v>
      </c>
      <c r="I40" s="85" t="e">
        <f>'Historical Financials'!#REF!</f>
        <v>#REF!</v>
      </c>
      <c r="J40" s="85" t="e">
        <f>'Historical Financials'!#REF!</f>
        <v>#REF!</v>
      </c>
      <c r="K40" s="85" t="e">
        <f>'Historical Financials'!#REF!</f>
        <v>#REF!</v>
      </c>
      <c r="L40" s="85" t="e">
        <f>'Historical Financials'!#REF!</f>
        <v>#REF!</v>
      </c>
      <c r="M40" s="85" t="e">
        <f>'Historical Financials'!#REF!</f>
        <v>#REF!</v>
      </c>
      <c r="N40" s="85" t="e">
        <f>'Historical Financials'!#REF!</f>
        <v>#REF!</v>
      </c>
      <c r="O40" s="85" t="e">
        <f>'Historical Financials'!#REF!</f>
        <v>#REF!</v>
      </c>
      <c r="P40" s="85" t="e">
        <f>'Historical Financials'!#REF!</f>
        <v>#REF!</v>
      </c>
      <c r="Q40" s="85" t="e">
        <f>'Historical Financials'!#REF!</f>
        <v>#REF!</v>
      </c>
      <c r="R40" s="85"/>
      <c r="S40" s="85"/>
      <c r="T40" s="85"/>
      <c r="U40" s="85"/>
      <c r="V40" s="85"/>
      <c r="X40" s="10" t="e">
        <f t="shared" si="76"/>
        <v>#REF!</v>
      </c>
      <c r="Y40" s="10" t="e">
        <f t="shared" si="77"/>
        <v>#REF!</v>
      </c>
      <c r="Z40" s="10" t="e">
        <f t="shared" si="78"/>
        <v>#REF!</v>
      </c>
      <c r="AA40" s="10" t="e">
        <f t="shared" si="79"/>
        <v>#REF!</v>
      </c>
      <c r="AB40" s="10" t="e">
        <f t="shared" si="80"/>
        <v>#REF!</v>
      </c>
      <c r="AC40" s="10" t="e">
        <f t="shared" si="81"/>
        <v>#REF!</v>
      </c>
      <c r="AD40" s="10" t="e">
        <f t="shared" si="82"/>
        <v>#REF!</v>
      </c>
      <c r="AE40" s="10" t="e">
        <f t="shared" si="83"/>
        <v>#REF!</v>
      </c>
      <c r="AF40" s="10" t="e">
        <f t="shared" si="84"/>
        <v>#REF!</v>
      </c>
      <c r="AG40" s="10" t="e">
        <f t="shared" si="85"/>
        <v>#REF!</v>
      </c>
      <c r="AH40" s="10">
        <f t="shared" si="86"/>
        <v>0</v>
      </c>
      <c r="AI40" s="10">
        <f t="shared" si="87"/>
        <v>0</v>
      </c>
    </row>
    <row r="41" spans="1:37" ht="12.75" customHeight="1">
      <c r="B41" s="29" t="s">
        <v>110</v>
      </c>
      <c r="C41" s="85" t="e">
        <f>'Historical Financials'!#REF!</f>
        <v>#REF!</v>
      </c>
      <c r="D41" s="85"/>
      <c r="E41" s="85"/>
      <c r="F41" s="85"/>
      <c r="G41" s="30"/>
      <c r="H41" s="85" t="e">
        <f>'Historical Financials'!#REF!</f>
        <v>#REF!</v>
      </c>
      <c r="I41" s="85" t="e">
        <f>'Historical Financials'!#REF!</f>
        <v>#REF!</v>
      </c>
      <c r="J41" s="85" t="e">
        <f>'Historical Financials'!#REF!</f>
        <v>#REF!</v>
      </c>
      <c r="K41" s="85" t="e">
        <f>'Historical Financials'!#REF!</f>
        <v>#REF!</v>
      </c>
      <c r="L41" s="85" t="e">
        <f>'Historical Financials'!#REF!</f>
        <v>#REF!</v>
      </c>
      <c r="M41" s="85" t="e">
        <f>'Historical Financials'!#REF!</f>
        <v>#REF!</v>
      </c>
      <c r="N41" s="85" t="e">
        <f>'Historical Financials'!#REF!</f>
        <v>#REF!</v>
      </c>
      <c r="O41" s="85" t="e">
        <f>'Historical Financials'!#REF!</f>
        <v>#REF!</v>
      </c>
      <c r="P41" s="85" t="e">
        <f>'Historical Financials'!#REF!</f>
        <v>#REF!</v>
      </c>
      <c r="Q41" s="85" t="e">
        <f>'Historical Financials'!#REF!</f>
        <v>#REF!</v>
      </c>
      <c r="R41" s="85"/>
      <c r="S41" s="85"/>
      <c r="T41" s="85"/>
      <c r="U41" s="85"/>
      <c r="V41" s="85"/>
      <c r="X41" s="10" t="e">
        <f t="shared" si="76"/>
        <v>#REF!</v>
      </c>
      <c r="Y41" s="10" t="e">
        <f t="shared" si="77"/>
        <v>#REF!</v>
      </c>
      <c r="Z41" s="10" t="e">
        <f t="shared" si="78"/>
        <v>#REF!</v>
      </c>
      <c r="AA41" s="10" t="e">
        <f t="shared" si="79"/>
        <v>#REF!</v>
      </c>
      <c r="AB41" s="10" t="e">
        <f t="shared" si="80"/>
        <v>#REF!</v>
      </c>
      <c r="AC41" s="10" t="e">
        <f t="shared" si="81"/>
        <v>#REF!</v>
      </c>
      <c r="AD41" s="10" t="e">
        <f t="shared" si="82"/>
        <v>#REF!</v>
      </c>
      <c r="AE41" s="10" t="e">
        <f t="shared" si="83"/>
        <v>#REF!</v>
      </c>
      <c r="AF41" s="10" t="e">
        <f t="shared" si="84"/>
        <v>#REF!</v>
      </c>
      <c r="AG41" s="10" t="e">
        <f t="shared" si="85"/>
        <v>#REF!</v>
      </c>
      <c r="AH41" s="10">
        <f t="shared" si="86"/>
        <v>0</v>
      </c>
      <c r="AI41" s="10">
        <f t="shared" si="87"/>
        <v>0</v>
      </c>
    </row>
    <row r="42" spans="1:37" ht="12.75" customHeight="1">
      <c r="B42" s="29" t="s">
        <v>126</v>
      </c>
      <c r="C42" s="85" t="e">
        <f>'Historical Financials'!#REF!</f>
        <v>#REF!</v>
      </c>
      <c r="D42" s="85"/>
      <c r="E42" s="85"/>
      <c r="F42" s="85"/>
      <c r="G42" s="30"/>
      <c r="H42" s="85" t="e">
        <f>'Historical Financials'!#REF!</f>
        <v>#REF!</v>
      </c>
      <c r="I42" s="85" t="e">
        <f>'Historical Financials'!#REF!</f>
        <v>#REF!</v>
      </c>
      <c r="J42" s="85" t="e">
        <f>'Historical Financials'!#REF!</f>
        <v>#REF!</v>
      </c>
      <c r="K42" s="85" t="e">
        <f>'Historical Financials'!#REF!</f>
        <v>#REF!</v>
      </c>
      <c r="L42" s="85" t="e">
        <f>'Historical Financials'!#REF!</f>
        <v>#REF!</v>
      </c>
      <c r="M42" s="85" t="e">
        <f>'Historical Financials'!#REF!</f>
        <v>#REF!</v>
      </c>
      <c r="N42" s="85" t="e">
        <f>'Historical Financials'!#REF!</f>
        <v>#REF!</v>
      </c>
      <c r="O42" s="85" t="e">
        <f>'Historical Financials'!#REF!</f>
        <v>#REF!</v>
      </c>
      <c r="P42" s="85" t="e">
        <f>'Historical Financials'!#REF!</f>
        <v>#REF!</v>
      </c>
      <c r="Q42" s="85" t="e">
        <f>'Historical Financials'!#REF!</f>
        <v>#REF!</v>
      </c>
      <c r="R42" s="85"/>
      <c r="S42" s="85"/>
      <c r="T42" s="85"/>
      <c r="U42" s="85"/>
      <c r="V42" s="85"/>
      <c r="X42" s="10" t="e">
        <f t="shared" si="76"/>
        <v>#REF!</v>
      </c>
      <c r="Y42" s="10" t="e">
        <f t="shared" si="77"/>
        <v>#REF!</v>
      </c>
      <c r="Z42" s="10" t="e">
        <f t="shared" si="78"/>
        <v>#REF!</v>
      </c>
      <c r="AA42" s="10" t="e">
        <f t="shared" si="79"/>
        <v>#REF!</v>
      </c>
      <c r="AB42" s="10" t="e">
        <f t="shared" si="80"/>
        <v>#REF!</v>
      </c>
      <c r="AC42" s="10" t="e">
        <f t="shared" si="81"/>
        <v>#REF!</v>
      </c>
      <c r="AD42" s="10" t="e">
        <f t="shared" si="82"/>
        <v>#REF!</v>
      </c>
      <c r="AE42" s="10" t="e">
        <f t="shared" si="83"/>
        <v>#REF!</v>
      </c>
      <c r="AF42" s="10" t="e">
        <f t="shared" si="84"/>
        <v>#REF!</v>
      </c>
      <c r="AG42" s="10" t="e">
        <f t="shared" si="85"/>
        <v>#REF!</v>
      </c>
      <c r="AH42" s="10">
        <f t="shared" si="86"/>
        <v>0</v>
      </c>
      <c r="AI42" s="10">
        <f t="shared" si="87"/>
        <v>0</v>
      </c>
    </row>
    <row r="43" spans="1:37" ht="12.75" customHeight="1">
      <c r="B43" s="29" t="s">
        <v>84</v>
      </c>
      <c r="C43" s="30"/>
      <c r="D43" s="30"/>
      <c r="E43" s="30"/>
      <c r="F43" s="30"/>
      <c r="G43" s="30"/>
      <c r="H43" s="30" t="e">
        <f>SUM(H48:H49)-SUM(C48:C49)-SUM(H35:H42)</f>
        <v>#REF!</v>
      </c>
      <c r="I43" s="30" t="e">
        <f t="shared" ref="I43:Q43" si="88">SUM(I48:I49)-SUM(H48:H49)-SUM(I35:I42)</f>
        <v>#REF!</v>
      </c>
      <c r="J43" s="30" t="e">
        <f t="shared" si="88"/>
        <v>#REF!</v>
      </c>
      <c r="K43" s="30" t="e">
        <f t="shared" si="88"/>
        <v>#REF!</v>
      </c>
      <c r="L43" s="30" t="e">
        <f t="shared" si="88"/>
        <v>#REF!</v>
      </c>
      <c r="M43" s="30" t="e">
        <f t="shared" si="88"/>
        <v>#REF!</v>
      </c>
      <c r="N43" s="30" t="e">
        <f t="shared" si="88"/>
        <v>#REF!</v>
      </c>
      <c r="O43" s="30" t="e">
        <f t="shared" si="88"/>
        <v>#REF!</v>
      </c>
      <c r="P43" s="30" t="e">
        <f t="shared" si="88"/>
        <v>#REF!</v>
      </c>
      <c r="Q43" s="30" t="e">
        <f t="shared" si="88"/>
        <v>#REF!</v>
      </c>
      <c r="R43" s="30"/>
      <c r="S43" s="30"/>
      <c r="T43" s="30"/>
      <c r="U43" s="30"/>
      <c r="V43" s="30"/>
      <c r="X43" s="10" t="e">
        <f t="shared" si="76"/>
        <v>#REF!</v>
      </c>
      <c r="Y43" s="10" t="e">
        <f t="shared" si="77"/>
        <v>#REF!</v>
      </c>
      <c r="Z43" s="10" t="e">
        <f t="shared" si="78"/>
        <v>#REF!</v>
      </c>
      <c r="AA43" s="10" t="e">
        <f t="shared" si="79"/>
        <v>#REF!</v>
      </c>
      <c r="AB43" s="10" t="e">
        <f t="shared" si="80"/>
        <v>#REF!</v>
      </c>
      <c r="AC43" s="10" t="e">
        <f t="shared" si="81"/>
        <v>#REF!</v>
      </c>
      <c r="AD43" s="10" t="e">
        <f t="shared" si="82"/>
        <v>#REF!</v>
      </c>
      <c r="AE43" s="10" t="e">
        <f t="shared" si="83"/>
        <v>#REF!</v>
      </c>
      <c r="AF43" s="10" t="e">
        <f t="shared" si="84"/>
        <v>#REF!</v>
      </c>
      <c r="AG43" s="10" t="e">
        <f t="shared" si="85"/>
        <v>#REF!</v>
      </c>
      <c r="AH43" s="10">
        <f t="shared" si="86"/>
        <v>0</v>
      </c>
      <c r="AI43" s="10">
        <f t="shared" si="87"/>
        <v>0</v>
      </c>
    </row>
    <row r="44" spans="1:37" ht="12.75" customHeight="1">
      <c r="B44" s="12" t="s">
        <v>46</v>
      </c>
      <c r="C44" s="13" t="e">
        <f>SUM(C35+SUM(C37:C43))</f>
        <v>#REF!</v>
      </c>
      <c r="D44" s="13">
        <f>SUM(D35+SUM(D37:D43))</f>
        <v>0</v>
      </c>
      <c r="E44" s="13">
        <f>SUM(E35+SUM(E37:E43))</f>
        <v>0</v>
      </c>
      <c r="F44" s="13">
        <f>SUM(F35+SUM(F37:F43))</f>
        <v>0</v>
      </c>
      <c r="H44" s="13" t="e">
        <f t="shared" ref="H44:V44" si="89">SUM(H35+SUM(H37:H43))</f>
        <v>#REF!</v>
      </c>
      <c r="I44" s="13" t="e">
        <f t="shared" si="89"/>
        <v>#REF!</v>
      </c>
      <c r="J44" s="13" t="e">
        <f t="shared" si="89"/>
        <v>#REF!</v>
      </c>
      <c r="K44" s="13" t="e">
        <f t="shared" si="89"/>
        <v>#REF!</v>
      </c>
      <c r="L44" s="13" t="e">
        <f t="shared" si="89"/>
        <v>#REF!</v>
      </c>
      <c r="M44" s="13" t="e">
        <f t="shared" si="89"/>
        <v>#REF!</v>
      </c>
      <c r="N44" s="13" t="e">
        <f t="shared" si="89"/>
        <v>#REF!</v>
      </c>
      <c r="O44" s="13" t="e">
        <f t="shared" si="89"/>
        <v>#REF!</v>
      </c>
      <c r="P44" s="13" t="e">
        <f t="shared" si="89"/>
        <v>#REF!</v>
      </c>
      <c r="Q44" s="13" t="e">
        <f t="shared" si="89"/>
        <v>#REF!</v>
      </c>
      <c r="R44" s="13">
        <f t="shared" si="89"/>
        <v>0</v>
      </c>
      <c r="S44" s="13">
        <f t="shared" si="89"/>
        <v>0</v>
      </c>
      <c r="T44" s="13">
        <f t="shared" si="89"/>
        <v>0</v>
      </c>
      <c r="U44" s="13">
        <f t="shared" si="89"/>
        <v>0</v>
      </c>
      <c r="V44" s="13">
        <f t="shared" si="89"/>
        <v>0</v>
      </c>
      <c r="X44" s="13" t="e">
        <f t="shared" ref="X44:AI44" si="90">SUM(X35+SUM(X37:X43))</f>
        <v>#REF!</v>
      </c>
      <c r="Y44" s="13" t="e">
        <f t="shared" si="90"/>
        <v>#REF!</v>
      </c>
      <c r="Z44" s="13" t="e">
        <f t="shared" si="90"/>
        <v>#REF!</v>
      </c>
      <c r="AA44" s="13" t="e">
        <f t="shared" si="90"/>
        <v>#REF!</v>
      </c>
      <c r="AB44" s="13" t="e">
        <f t="shared" si="90"/>
        <v>#REF!</v>
      </c>
      <c r="AC44" s="13" t="e">
        <f t="shared" si="90"/>
        <v>#REF!</v>
      </c>
      <c r="AD44" s="13" t="e">
        <f t="shared" si="90"/>
        <v>#REF!</v>
      </c>
      <c r="AE44" s="13" t="e">
        <f t="shared" si="90"/>
        <v>#REF!</v>
      </c>
      <c r="AF44" s="13" t="e">
        <f t="shared" si="90"/>
        <v>#REF!</v>
      </c>
      <c r="AG44" s="13" t="e">
        <f t="shared" si="90"/>
        <v>#REF!</v>
      </c>
      <c r="AH44" s="13">
        <f t="shared" si="90"/>
        <v>0</v>
      </c>
      <c r="AI44" s="13">
        <f t="shared" si="90"/>
        <v>0</v>
      </c>
    </row>
    <row r="45" spans="1:37" ht="5.0999999999999996" customHeight="1"/>
    <row r="46" spans="1:37" ht="12.75" customHeight="1">
      <c r="A46" s="5"/>
      <c r="B46" s="31" t="s">
        <v>47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</row>
    <row r="47" spans="1:37" ht="5.0999999999999996" customHeight="1"/>
    <row r="48" spans="1:37" ht="12.75" customHeight="1">
      <c r="B48" s="8" t="s">
        <v>48</v>
      </c>
      <c r="C48" s="85" t="e">
        <f>'Historical Financials'!#REF!</f>
        <v>#REF!</v>
      </c>
      <c r="D48" s="85"/>
      <c r="E48" s="85"/>
      <c r="F48" s="85"/>
      <c r="G48" s="30"/>
      <c r="H48" s="85">
        <f>'Historical Financials'!G43</f>
        <v>31606</v>
      </c>
      <c r="I48" s="85">
        <f>'Historical Financials'!H43</f>
        <v>24178</v>
      </c>
      <c r="J48" s="85">
        <f>'Historical Financials'!I43</f>
        <v>15831</v>
      </c>
      <c r="K48" s="85">
        <f>'Historical Financials'!J43</f>
        <v>18592</v>
      </c>
      <c r="L48" s="85">
        <f>'Historical Financials'!K43</f>
        <v>17799</v>
      </c>
      <c r="M48" s="85">
        <f>'Historical Financials'!L43</f>
        <v>17966</v>
      </c>
      <c r="N48" s="85">
        <f>'Historical Financials'!M43</f>
        <v>20362</v>
      </c>
      <c r="O48" s="85">
        <f>'Historical Financials'!N43</f>
        <v>25660</v>
      </c>
      <c r="P48" s="85">
        <f>'Historical Financials'!O43</f>
        <v>23555</v>
      </c>
      <c r="Q48" s="85">
        <f>'Historical Financials'!P43</f>
        <v>25598</v>
      </c>
      <c r="R48" s="85"/>
      <c r="S48" s="85"/>
      <c r="T48" s="85"/>
      <c r="U48" s="85"/>
      <c r="V48" s="85"/>
      <c r="X48" s="10">
        <f t="shared" ref="X48:AH48" si="91">K48</f>
        <v>18592</v>
      </c>
      <c r="Y48" s="10">
        <f t="shared" si="91"/>
        <v>17799</v>
      </c>
      <c r="Z48" s="10">
        <f t="shared" si="91"/>
        <v>17966</v>
      </c>
      <c r="AA48" s="10">
        <f t="shared" si="91"/>
        <v>20362</v>
      </c>
      <c r="AB48" s="10">
        <f t="shared" si="91"/>
        <v>25660</v>
      </c>
      <c r="AC48" s="10">
        <f t="shared" si="91"/>
        <v>23555</v>
      </c>
      <c r="AD48" s="10">
        <f t="shared" si="91"/>
        <v>25598</v>
      </c>
      <c r="AE48" s="10">
        <f t="shared" si="91"/>
        <v>0</v>
      </c>
      <c r="AF48" s="10">
        <f t="shared" si="91"/>
        <v>0</v>
      </c>
      <c r="AG48" s="10">
        <f t="shared" si="91"/>
        <v>0</v>
      </c>
      <c r="AH48" s="10">
        <f t="shared" si="91"/>
        <v>0</v>
      </c>
      <c r="AI48" s="10">
        <f>V48</f>
        <v>0</v>
      </c>
    </row>
    <row r="49" spans="2:35" ht="12.75" customHeight="1">
      <c r="B49" s="8" t="s">
        <v>103</v>
      </c>
      <c r="C49" s="85" t="e">
        <f>'Historical Financials'!#REF!</f>
        <v>#REF!</v>
      </c>
      <c r="D49" s="85"/>
      <c r="E49" s="85"/>
      <c r="F49" s="85"/>
      <c r="G49" s="30"/>
      <c r="H49" s="85" t="e">
        <f>'Historical Financials'!#REF!</f>
        <v>#REF!</v>
      </c>
      <c r="I49" s="85" t="e">
        <f>'Historical Financials'!#REF!</f>
        <v>#REF!</v>
      </c>
      <c r="J49" s="85" t="e">
        <f>'Historical Financials'!#REF!</f>
        <v>#REF!</v>
      </c>
      <c r="K49" s="85" t="e">
        <f>'Historical Financials'!#REF!</f>
        <v>#REF!</v>
      </c>
      <c r="L49" s="85" t="e">
        <f>'Historical Financials'!#REF!</f>
        <v>#REF!</v>
      </c>
      <c r="M49" s="85" t="e">
        <f>'Historical Financials'!#REF!</f>
        <v>#REF!</v>
      </c>
      <c r="N49" s="85" t="e">
        <f>'Historical Financials'!#REF!</f>
        <v>#REF!</v>
      </c>
      <c r="O49" s="85" t="e">
        <f>'Historical Financials'!#REF!</f>
        <v>#REF!</v>
      </c>
      <c r="P49" s="85" t="e">
        <f>'Historical Financials'!#REF!</f>
        <v>#REF!</v>
      </c>
      <c r="Q49" s="85" t="e">
        <f>'Historical Financials'!#REF!</f>
        <v>#REF!</v>
      </c>
      <c r="R49" s="85"/>
      <c r="S49" s="85"/>
      <c r="T49" s="85"/>
      <c r="U49" s="85"/>
      <c r="V49" s="85"/>
      <c r="X49" s="10" t="e">
        <f t="shared" ref="X49:X51" si="92">K49</f>
        <v>#REF!</v>
      </c>
      <c r="Y49" s="10" t="e">
        <f t="shared" ref="Y49:Y51" si="93">L49</f>
        <v>#REF!</v>
      </c>
      <c r="Z49" s="10" t="e">
        <f t="shared" ref="Z49:Z51" si="94">M49</f>
        <v>#REF!</v>
      </c>
      <c r="AA49" s="10" t="e">
        <f t="shared" ref="AA49:AA51" si="95">N49</f>
        <v>#REF!</v>
      </c>
      <c r="AB49" s="10" t="e">
        <f t="shared" ref="AB49:AB51" si="96">O49</f>
        <v>#REF!</v>
      </c>
      <c r="AC49" s="10" t="e">
        <f t="shared" ref="AC49:AC51" si="97">P49</f>
        <v>#REF!</v>
      </c>
      <c r="AD49" s="10" t="e">
        <f t="shared" ref="AD49:AD51" si="98">Q49</f>
        <v>#REF!</v>
      </c>
      <c r="AE49" s="10">
        <f t="shared" ref="AE49:AE51" si="99">R49</f>
        <v>0</v>
      </c>
      <c r="AF49" s="10">
        <f t="shared" ref="AF49:AF51" si="100">S49</f>
        <v>0</v>
      </c>
      <c r="AG49" s="10">
        <f t="shared" ref="AG49:AG51" si="101">T49</f>
        <v>0</v>
      </c>
      <c r="AH49" s="10">
        <f t="shared" ref="AH49:AH51" si="102">U49</f>
        <v>0</v>
      </c>
      <c r="AI49" s="10">
        <f t="shared" ref="AI49:AI51" si="103">V49</f>
        <v>0</v>
      </c>
    </row>
    <row r="50" spans="2:35" ht="12.75" customHeight="1">
      <c r="B50" s="8" t="s">
        <v>127</v>
      </c>
      <c r="C50" s="85" t="e">
        <f>'Historical Financials'!#REF!</f>
        <v>#REF!</v>
      </c>
      <c r="D50" s="85"/>
      <c r="E50" s="85"/>
      <c r="F50" s="85"/>
      <c r="G50" s="30"/>
      <c r="H50" s="85" t="e">
        <f>'Historical Financials'!#REF!</f>
        <v>#REF!</v>
      </c>
      <c r="I50" s="85" t="e">
        <f>'Historical Financials'!#REF!</f>
        <v>#REF!</v>
      </c>
      <c r="J50" s="85" t="e">
        <f>'Historical Financials'!#REF!</f>
        <v>#REF!</v>
      </c>
      <c r="K50" s="85" t="e">
        <f>'Historical Financials'!#REF!</f>
        <v>#REF!</v>
      </c>
      <c r="L50" s="85" t="e">
        <f>'Historical Financials'!#REF!</f>
        <v>#REF!</v>
      </c>
      <c r="M50" s="85" t="e">
        <f>'Historical Financials'!#REF!</f>
        <v>#REF!</v>
      </c>
      <c r="N50" s="85" t="e">
        <f>'Historical Financials'!#REF!</f>
        <v>#REF!</v>
      </c>
      <c r="O50" s="85" t="e">
        <f>'Historical Financials'!#REF!</f>
        <v>#REF!</v>
      </c>
      <c r="P50" s="85" t="e">
        <f>'Historical Financials'!#REF!</f>
        <v>#REF!</v>
      </c>
      <c r="Q50" s="85" t="e">
        <f>'Historical Financials'!#REF!</f>
        <v>#REF!</v>
      </c>
      <c r="R50" s="85"/>
      <c r="S50" s="85"/>
      <c r="T50" s="85"/>
      <c r="U50" s="85"/>
      <c r="V50" s="85"/>
      <c r="X50" s="10" t="e">
        <f t="shared" si="92"/>
        <v>#REF!</v>
      </c>
      <c r="Y50" s="10" t="e">
        <f t="shared" si="93"/>
        <v>#REF!</v>
      </c>
      <c r="Z50" s="10" t="e">
        <f t="shared" si="94"/>
        <v>#REF!</v>
      </c>
      <c r="AA50" s="10" t="e">
        <f t="shared" si="95"/>
        <v>#REF!</v>
      </c>
      <c r="AB50" s="10" t="e">
        <f t="shared" si="96"/>
        <v>#REF!</v>
      </c>
      <c r="AC50" s="10" t="e">
        <f t="shared" si="97"/>
        <v>#REF!</v>
      </c>
      <c r="AD50" s="10" t="e">
        <f t="shared" si="98"/>
        <v>#REF!</v>
      </c>
      <c r="AE50" s="10">
        <f t="shared" si="99"/>
        <v>0</v>
      </c>
      <c r="AF50" s="10">
        <f t="shared" si="100"/>
        <v>0</v>
      </c>
      <c r="AG50" s="10">
        <f t="shared" si="101"/>
        <v>0</v>
      </c>
      <c r="AH50" s="10">
        <f t="shared" si="102"/>
        <v>0</v>
      </c>
      <c r="AI50" s="10">
        <f t="shared" si="103"/>
        <v>0</v>
      </c>
    </row>
    <row r="51" spans="2:35" ht="12.75" customHeight="1">
      <c r="B51" s="8" t="s">
        <v>128</v>
      </c>
      <c r="C51" s="85" t="e">
        <f>'Historical Financials'!#REF!</f>
        <v>#REF!</v>
      </c>
      <c r="D51" s="85"/>
      <c r="E51" s="85"/>
      <c r="F51" s="85"/>
      <c r="G51" s="30"/>
      <c r="H51" s="85">
        <f>'Historical Financials'!G48</f>
        <v>0</v>
      </c>
      <c r="I51" s="85">
        <f>'Historical Financials'!H48</f>
        <v>0</v>
      </c>
      <c r="J51" s="85" t="str">
        <f>'Historical Financials'!I48</f>
        <v>-</v>
      </c>
      <c r="K51" s="85">
        <f>'Historical Financials'!J48</f>
        <v>0</v>
      </c>
      <c r="L51" s="85">
        <f>'Historical Financials'!K48</f>
        <v>0</v>
      </c>
      <c r="M51" s="85">
        <f>'Historical Financials'!L48</f>
        <v>0</v>
      </c>
      <c r="N51" s="85">
        <f>'Historical Financials'!M48</f>
        <v>0</v>
      </c>
      <c r="O51" s="85">
        <f>'Historical Financials'!N48</f>
        <v>0</v>
      </c>
      <c r="P51" s="85">
        <f>'Historical Financials'!O48</f>
        <v>0</v>
      </c>
      <c r="Q51" s="85">
        <f>'Historical Financials'!P48</f>
        <v>0</v>
      </c>
      <c r="R51" s="85"/>
      <c r="S51" s="85"/>
      <c r="T51" s="85"/>
      <c r="U51" s="85"/>
      <c r="V51" s="85"/>
      <c r="X51" s="10">
        <f t="shared" si="92"/>
        <v>0</v>
      </c>
      <c r="Y51" s="10">
        <f t="shared" si="93"/>
        <v>0</v>
      </c>
      <c r="Z51" s="10">
        <f t="shared" si="94"/>
        <v>0</v>
      </c>
      <c r="AA51" s="10">
        <f t="shared" si="95"/>
        <v>0</v>
      </c>
      <c r="AB51" s="10">
        <f t="shared" si="96"/>
        <v>0</v>
      </c>
      <c r="AC51" s="10">
        <f t="shared" si="97"/>
        <v>0</v>
      </c>
      <c r="AD51" s="10">
        <f t="shared" si="98"/>
        <v>0</v>
      </c>
      <c r="AE51" s="10">
        <f t="shared" si="99"/>
        <v>0</v>
      </c>
      <c r="AF51" s="10">
        <f t="shared" si="100"/>
        <v>0</v>
      </c>
      <c r="AG51" s="10">
        <f t="shared" si="101"/>
        <v>0</v>
      </c>
      <c r="AH51" s="10">
        <f t="shared" si="102"/>
        <v>0</v>
      </c>
      <c r="AI51" s="10">
        <f t="shared" si="103"/>
        <v>0</v>
      </c>
    </row>
    <row r="52" spans="2:35" ht="12.75" customHeight="1">
      <c r="B52" s="12" t="s">
        <v>49</v>
      </c>
      <c r="C52" s="13" t="e">
        <f>SUM(C48:C51)</f>
        <v>#REF!</v>
      </c>
      <c r="D52" s="13">
        <f>SUM(D48:D51)</f>
        <v>0</v>
      </c>
      <c r="E52" s="13">
        <f>SUM(E48:E51)</f>
        <v>0</v>
      </c>
      <c r="F52" s="13">
        <f>SUM(F48:F51)</f>
        <v>0</v>
      </c>
      <c r="G52" s="30"/>
      <c r="H52" s="13" t="e">
        <f t="shared" ref="H52:AI52" si="104">SUM(H48:H51)</f>
        <v>#REF!</v>
      </c>
      <c r="I52" s="13" t="e">
        <f t="shared" si="104"/>
        <v>#REF!</v>
      </c>
      <c r="J52" s="13" t="e">
        <f t="shared" si="104"/>
        <v>#REF!</v>
      </c>
      <c r="K52" s="13" t="e">
        <f t="shared" si="104"/>
        <v>#REF!</v>
      </c>
      <c r="L52" s="13" t="e">
        <f t="shared" si="104"/>
        <v>#REF!</v>
      </c>
      <c r="M52" s="13" t="e">
        <f t="shared" si="104"/>
        <v>#REF!</v>
      </c>
      <c r="N52" s="13" t="e">
        <f t="shared" si="104"/>
        <v>#REF!</v>
      </c>
      <c r="O52" s="13" t="e">
        <f t="shared" si="104"/>
        <v>#REF!</v>
      </c>
      <c r="P52" s="13" t="e">
        <f t="shared" si="104"/>
        <v>#REF!</v>
      </c>
      <c r="Q52" s="13" t="e">
        <f t="shared" si="104"/>
        <v>#REF!</v>
      </c>
      <c r="R52" s="13">
        <f t="shared" si="104"/>
        <v>0</v>
      </c>
      <c r="S52" s="13">
        <f t="shared" si="104"/>
        <v>0</v>
      </c>
      <c r="T52" s="13">
        <f t="shared" si="104"/>
        <v>0</v>
      </c>
      <c r="U52" s="13">
        <f t="shared" si="104"/>
        <v>0</v>
      </c>
      <c r="V52" s="13">
        <f t="shared" si="104"/>
        <v>0</v>
      </c>
      <c r="X52" s="13" t="e">
        <f t="shared" si="104"/>
        <v>#REF!</v>
      </c>
      <c r="Y52" s="13" t="e">
        <f t="shared" si="104"/>
        <v>#REF!</v>
      </c>
      <c r="Z52" s="13" t="e">
        <f t="shared" si="104"/>
        <v>#REF!</v>
      </c>
      <c r="AA52" s="13" t="e">
        <f t="shared" si="104"/>
        <v>#REF!</v>
      </c>
      <c r="AB52" s="13" t="e">
        <f t="shared" si="104"/>
        <v>#REF!</v>
      </c>
      <c r="AC52" s="13" t="e">
        <f t="shared" si="104"/>
        <v>#REF!</v>
      </c>
      <c r="AD52" s="13" t="e">
        <f t="shared" si="104"/>
        <v>#REF!</v>
      </c>
      <c r="AE52" s="13">
        <f t="shared" si="104"/>
        <v>0</v>
      </c>
      <c r="AF52" s="13">
        <f t="shared" si="104"/>
        <v>0</v>
      </c>
      <c r="AG52" s="13">
        <f t="shared" si="104"/>
        <v>0</v>
      </c>
      <c r="AH52" s="13">
        <f t="shared" si="104"/>
        <v>0</v>
      </c>
      <c r="AI52" s="13">
        <f t="shared" si="104"/>
        <v>0</v>
      </c>
    </row>
    <row r="53" spans="2:35" ht="5.0999999999999996" customHeight="1"/>
    <row r="54" spans="2:35" ht="12.75" customHeight="1">
      <c r="B54" s="33" t="s">
        <v>50</v>
      </c>
    </row>
    <row r="55" spans="2:35" ht="12.75" customHeight="1">
      <c r="B55" s="8" t="s">
        <v>51</v>
      </c>
      <c r="C55" s="85" t="e">
        <f>'Historical Financials'!#REF!</f>
        <v>#REF!</v>
      </c>
      <c r="D55" s="85"/>
      <c r="E55" s="85"/>
      <c r="F55" s="85"/>
      <c r="H55" s="85" t="e">
        <f>'Historical Financials'!#REF!</f>
        <v>#REF!</v>
      </c>
      <c r="I55" s="85" t="e">
        <f>'Historical Financials'!#REF!</f>
        <v>#REF!</v>
      </c>
      <c r="J55" s="85" t="e">
        <f>'Historical Financials'!#REF!</f>
        <v>#REF!</v>
      </c>
      <c r="K55" s="85" t="e">
        <f>'Historical Financials'!#REF!</f>
        <v>#REF!</v>
      </c>
      <c r="L55" s="85" t="e">
        <f>'Historical Financials'!#REF!</f>
        <v>#REF!</v>
      </c>
      <c r="M55" s="85" t="e">
        <f>'Historical Financials'!#REF!</f>
        <v>#REF!</v>
      </c>
      <c r="N55" s="85" t="e">
        <f>'Historical Financials'!#REF!</f>
        <v>#REF!</v>
      </c>
      <c r="O55" s="85" t="e">
        <f>'Historical Financials'!#REF!</f>
        <v>#REF!</v>
      </c>
      <c r="P55" s="85" t="e">
        <f>'Historical Financials'!#REF!</f>
        <v>#REF!</v>
      </c>
      <c r="Q55" s="85" t="e">
        <f>'Historical Financials'!#REF!</f>
        <v>#REF!</v>
      </c>
      <c r="R55" s="85"/>
      <c r="S55" s="85"/>
      <c r="T55" s="85"/>
      <c r="U55" s="85"/>
      <c r="V55" s="85"/>
      <c r="W55" s="10"/>
      <c r="X55" s="10" t="e">
        <f t="shared" ref="X55:X61" si="105">K55</f>
        <v>#REF!</v>
      </c>
      <c r="Y55" s="10" t="e">
        <f t="shared" ref="Y55:Y61" si="106">L55</f>
        <v>#REF!</v>
      </c>
      <c r="Z55" s="10" t="e">
        <f t="shared" ref="Z55:Z61" si="107">M55</f>
        <v>#REF!</v>
      </c>
      <c r="AA55" s="10" t="e">
        <f t="shared" ref="AA55:AA61" si="108">N55</f>
        <v>#REF!</v>
      </c>
      <c r="AB55" s="10" t="e">
        <f t="shared" ref="AB55:AB61" si="109">O55</f>
        <v>#REF!</v>
      </c>
      <c r="AC55" s="10" t="e">
        <f t="shared" ref="AC55:AC61" si="110">P55</f>
        <v>#REF!</v>
      </c>
      <c r="AD55" s="10" t="e">
        <f t="shared" ref="AD55:AD61" si="111">Q55</f>
        <v>#REF!</v>
      </c>
      <c r="AE55" s="10">
        <f t="shared" ref="AE55:AE61" si="112">R55</f>
        <v>0</v>
      </c>
      <c r="AF55" s="10">
        <f t="shared" ref="AF55:AF61" si="113">S55</f>
        <v>0</v>
      </c>
      <c r="AG55" s="10">
        <f t="shared" ref="AG55:AG61" si="114">T55</f>
        <v>0</v>
      </c>
      <c r="AH55" s="10">
        <f t="shared" ref="AH55:AH61" si="115">U55</f>
        <v>0</v>
      </c>
      <c r="AI55" s="10">
        <f t="shared" ref="AI55:AI61" si="116">V55</f>
        <v>0</v>
      </c>
    </row>
    <row r="56" spans="2:35" ht="12.75" customHeight="1">
      <c r="B56" s="8" t="s">
        <v>52</v>
      </c>
      <c r="C56" s="85" t="e">
        <f>'Historical Financials'!#REF!</f>
        <v>#REF!</v>
      </c>
      <c r="D56" s="85"/>
      <c r="E56" s="85"/>
      <c r="F56" s="85"/>
      <c r="G56" s="85"/>
      <c r="H56" s="85">
        <f>'Historical Financials'!G53</f>
        <v>1906</v>
      </c>
      <c r="I56" s="85">
        <f>'Historical Financials'!H53</f>
        <v>2964</v>
      </c>
      <c r="J56" s="85">
        <f>'Historical Financials'!I53</f>
        <v>2352</v>
      </c>
      <c r="K56" s="85">
        <f>'Historical Financials'!J53</f>
        <v>3890</v>
      </c>
      <c r="L56" s="85">
        <f>'Historical Financials'!K53</f>
        <v>2553</v>
      </c>
      <c r="M56" s="85">
        <f>'Historical Financials'!L53</f>
        <v>1976</v>
      </c>
      <c r="N56" s="85">
        <f>'Historical Financials'!M53</f>
        <v>2681</v>
      </c>
      <c r="O56" s="85">
        <f>'Historical Financials'!N53</f>
        <v>6431</v>
      </c>
      <c r="P56" s="85">
        <f>'Historical Financials'!O53</f>
        <v>3797</v>
      </c>
      <c r="Q56" s="85">
        <f>'Historical Financials'!P53</f>
        <v>3698</v>
      </c>
      <c r="R56" s="85"/>
      <c r="S56" s="85"/>
      <c r="T56" s="85"/>
      <c r="U56" s="85"/>
      <c r="V56" s="85"/>
      <c r="X56" s="10">
        <f t="shared" si="105"/>
        <v>3890</v>
      </c>
      <c r="Y56" s="10">
        <f t="shared" si="106"/>
        <v>2553</v>
      </c>
      <c r="Z56" s="10">
        <f t="shared" si="107"/>
        <v>1976</v>
      </c>
      <c r="AA56" s="10">
        <f t="shared" si="108"/>
        <v>2681</v>
      </c>
      <c r="AB56" s="10">
        <f t="shared" si="109"/>
        <v>6431</v>
      </c>
      <c r="AC56" s="10">
        <f t="shared" si="110"/>
        <v>3797</v>
      </c>
      <c r="AD56" s="10">
        <f t="shared" si="111"/>
        <v>3698</v>
      </c>
      <c r="AE56" s="10">
        <f t="shared" si="112"/>
        <v>0</v>
      </c>
      <c r="AF56" s="10">
        <f t="shared" si="113"/>
        <v>0</v>
      </c>
      <c r="AG56" s="10">
        <f t="shared" si="114"/>
        <v>0</v>
      </c>
      <c r="AH56" s="10">
        <f t="shared" si="115"/>
        <v>0</v>
      </c>
      <c r="AI56" s="10">
        <f t="shared" si="116"/>
        <v>0</v>
      </c>
    </row>
    <row r="57" spans="2:35" ht="12.75" customHeight="1">
      <c r="B57" s="8" t="s">
        <v>129</v>
      </c>
      <c r="C57" s="85" t="e">
        <f>'Historical Financials'!#REF!</f>
        <v>#REF!</v>
      </c>
      <c r="D57" s="85"/>
      <c r="E57" s="85"/>
      <c r="F57" s="85"/>
      <c r="G57" s="85"/>
      <c r="H57" s="85" t="e">
        <f>'Historical Financials'!#REF!</f>
        <v>#REF!</v>
      </c>
      <c r="I57" s="85" t="e">
        <f>'Historical Financials'!#REF!</f>
        <v>#REF!</v>
      </c>
      <c r="J57" s="85" t="e">
        <f>'Historical Financials'!#REF!</f>
        <v>#REF!</v>
      </c>
      <c r="K57" s="85" t="e">
        <f>'Historical Financials'!#REF!</f>
        <v>#REF!</v>
      </c>
      <c r="L57" s="85" t="e">
        <f>'Historical Financials'!#REF!</f>
        <v>#REF!</v>
      </c>
      <c r="M57" s="85" t="e">
        <f>'Historical Financials'!#REF!</f>
        <v>#REF!</v>
      </c>
      <c r="N57" s="85" t="e">
        <f>'Historical Financials'!#REF!</f>
        <v>#REF!</v>
      </c>
      <c r="O57" s="85" t="e">
        <f>'Historical Financials'!#REF!</f>
        <v>#REF!</v>
      </c>
      <c r="P57" s="85" t="e">
        <f>'Historical Financials'!#REF!</f>
        <v>#REF!</v>
      </c>
      <c r="Q57" s="85" t="e">
        <f>'Historical Financials'!#REF!</f>
        <v>#REF!</v>
      </c>
      <c r="R57" s="85"/>
      <c r="S57" s="85"/>
      <c r="T57" s="85"/>
      <c r="U57" s="85"/>
      <c r="V57" s="85"/>
      <c r="X57" s="10" t="e">
        <f t="shared" si="105"/>
        <v>#REF!</v>
      </c>
      <c r="Y57" s="10" t="e">
        <f t="shared" si="106"/>
        <v>#REF!</v>
      </c>
      <c r="Z57" s="10" t="e">
        <f t="shared" si="107"/>
        <v>#REF!</v>
      </c>
      <c r="AA57" s="10" t="e">
        <f t="shared" si="108"/>
        <v>#REF!</v>
      </c>
      <c r="AB57" s="10" t="e">
        <f t="shared" si="109"/>
        <v>#REF!</v>
      </c>
      <c r="AC57" s="10" t="e">
        <f t="shared" si="110"/>
        <v>#REF!</v>
      </c>
      <c r="AD57" s="10" t="e">
        <f t="shared" si="111"/>
        <v>#REF!</v>
      </c>
      <c r="AE57" s="10">
        <f t="shared" si="112"/>
        <v>0</v>
      </c>
      <c r="AF57" s="10">
        <f t="shared" si="113"/>
        <v>0</v>
      </c>
      <c r="AG57" s="10">
        <f t="shared" si="114"/>
        <v>0</v>
      </c>
      <c r="AH57" s="10">
        <f t="shared" si="115"/>
        <v>0</v>
      </c>
      <c r="AI57" s="10">
        <f t="shared" si="116"/>
        <v>0</v>
      </c>
    </row>
    <row r="58" spans="2:35" ht="12.75" customHeight="1">
      <c r="B58" s="8" t="s">
        <v>130</v>
      </c>
      <c r="C58" s="85" t="e">
        <f>'Historical Financials'!#REF!</f>
        <v>#REF!</v>
      </c>
      <c r="D58" s="85"/>
      <c r="E58" s="85"/>
      <c r="F58" s="85"/>
      <c r="G58" s="85"/>
      <c r="H58" s="85" t="e">
        <f>'Historical Financials'!#REF!</f>
        <v>#REF!</v>
      </c>
      <c r="I58" s="85" t="e">
        <f>'Historical Financials'!#REF!</f>
        <v>#REF!</v>
      </c>
      <c r="J58" s="85" t="e">
        <f>'Historical Financials'!#REF!</f>
        <v>#REF!</v>
      </c>
      <c r="K58" s="85" t="e">
        <f>'Historical Financials'!#REF!</f>
        <v>#REF!</v>
      </c>
      <c r="L58" s="85" t="e">
        <f>'Historical Financials'!#REF!</f>
        <v>#REF!</v>
      </c>
      <c r="M58" s="85" t="e">
        <f>'Historical Financials'!#REF!</f>
        <v>#REF!</v>
      </c>
      <c r="N58" s="85" t="e">
        <f>'Historical Financials'!#REF!</f>
        <v>#REF!</v>
      </c>
      <c r="O58" s="85" t="e">
        <f>'Historical Financials'!#REF!</f>
        <v>#REF!</v>
      </c>
      <c r="P58" s="85" t="e">
        <f>'Historical Financials'!#REF!</f>
        <v>#REF!</v>
      </c>
      <c r="Q58" s="85" t="e">
        <f>'Historical Financials'!#REF!</f>
        <v>#REF!</v>
      </c>
      <c r="R58" s="85"/>
      <c r="S58" s="85"/>
      <c r="T58" s="85"/>
      <c r="U58" s="85"/>
      <c r="V58" s="85"/>
      <c r="X58" s="10" t="e">
        <f t="shared" ref="X58" si="117">K58</f>
        <v>#REF!</v>
      </c>
      <c r="Y58" s="10" t="e">
        <f t="shared" ref="Y58" si="118">L58</f>
        <v>#REF!</v>
      </c>
      <c r="Z58" s="10" t="e">
        <f t="shared" ref="Z58" si="119">M58</f>
        <v>#REF!</v>
      </c>
      <c r="AA58" s="10" t="e">
        <f t="shared" ref="AA58" si="120">N58</f>
        <v>#REF!</v>
      </c>
      <c r="AB58" s="10" t="e">
        <f t="shared" ref="AB58" si="121">O58</f>
        <v>#REF!</v>
      </c>
      <c r="AC58" s="10" t="e">
        <f t="shared" ref="AC58" si="122">P58</f>
        <v>#REF!</v>
      </c>
      <c r="AD58" s="10" t="e">
        <f t="shared" ref="AD58" si="123">Q58</f>
        <v>#REF!</v>
      </c>
      <c r="AE58" s="10">
        <f t="shared" ref="AE58" si="124">R58</f>
        <v>0</v>
      </c>
      <c r="AF58" s="10">
        <f t="shared" ref="AF58" si="125">S58</f>
        <v>0</v>
      </c>
      <c r="AG58" s="10">
        <f t="shared" ref="AG58" si="126">T58</f>
        <v>0</v>
      </c>
      <c r="AH58" s="10">
        <f t="shared" ref="AH58" si="127">U58</f>
        <v>0</v>
      </c>
      <c r="AI58" s="10">
        <f t="shared" ref="AI58" si="128">V58</f>
        <v>0</v>
      </c>
    </row>
    <row r="59" spans="2:35" ht="12.75" customHeight="1">
      <c r="B59" s="8" t="s">
        <v>53</v>
      </c>
      <c r="C59" s="85" t="e">
        <f>'Historical Financials'!#REF!</f>
        <v>#REF!</v>
      </c>
      <c r="D59" s="85"/>
      <c r="E59" s="85"/>
      <c r="F59" s="85"/>
      <c r="G59" s="85"/>
      <c r="H59" s="85" t="e">
        <f>'Historical Financials'!#REF!</f>
        <v>#REF!</v>
      </c>
      <c r="I59" s="85" t="e">
        <f>'Historical Financials'!#REF!</f>
        <v>#REF!</v>
      </c>
      <c r="J59" s="85" t="e">
        <f>'Historical Financials'!#REF!</f>
        <v>#REF!</v>
      </c>
      <c r="K59" s="85" t="e">
        <f>'Historical Financials'!#REF!</f>
        <v>#REF!</v>
      </c>
      <c r="L59" s="85" t="e">
        <f>'Historical Financials'!#REF!</f>
        <v>#REF!</v>
      </c>
      <c r="M59" s="85" t="e">
        <f>'Historical Financials'!#REF!</f>
        <v>#REF!</v>
      </c>
      <c r="N59" s="85" t="e">
        <f>'Historical Financials'!#REF!</f>
        <v>#REF!</v>
      </c>
      <c r="O59" s="85" t="e">
        <f>'Historical Financials'!#REF!</f>
        <v>#REF!</v>
      </c>
      <c r="P59" s="85" t="e">
        <f>'Historical Financials'!#REF!</f>
        <v>#REF!</v>
      </c>
      <c r="Q59" s="85" t="e">
        <f>'Historical Financials'!#REF!</f>
        <v>#REF!</v>
      </c>
      <c r="R59" s="85"/>
      <c r="S59" s="85"/>
      <c r="T59" s="85"/>
      <c r="U59" s="85"/>
      <c r="V59" s="85"/>
      <c r="X59" s="10" t="e">
        <f t="shared" si="105"/>
        <v>#REF!</v>
      </c>
      <c r="Y59" s="10" t="e">
        <f t="shared" si="106"/>
        <v>#REF!</v>
      </c>
      <c r="Z59" s="10" t="e">
        <f t="shared" si="107"/>
        <v>#REF!</v>
      </c>
      <c r="AA59" s="10" t="e">
        <f t="shared" si="108"/>
        <v>#REF!</v>
      </c>
      <c r="AB59" s="10" t="e">
        <f t="shared" si="109"/>
        <v>#REF!</v>
      </c>
      <c r="AC59" s="10" t="e">
        <f t="shared" si="110"/>
        <v>#REF!</v>
      </c>
      <c r="AD59" s="10" t="e">
        <f t="shared" si="111"/>
        <v>#REF!</v>
      </c>
      <c r="AE59" s="10">
        <f t="shared" si="112"/>
        <v>0</v>
      </c>
      <c r="AF59" s="10">
        <f t="shared" si="113"/>
        <v>0</v>
      </c>
      <c r="AG59" s="10">
        <f t="shared" si="114"/>
        <v>0</v>
      </c>
      <c r="AH59" s="10">
        <f t="shared" si="115"/>
        <v>0</v>
      </c>
      <c r="AI59" s="10">
        <f t="shared" si="116"/>
        <v>0</v>
      </c>
    </row>
    <row r="60" spans="2:35" ht="12.75" customHeight="1">
      <c r="B60" s="8" t="s">
        <v>54</v>
      </c>
      <c r="C60" s="85" t="e">
        <f>'Historical Financials'!#REF!</f>
        <v>#REF!</v>
      </c>
      <c r="D60" s="85"/>
      <c r="E60" s="85"/>
      <c r="F60" s="85"/>
      <c r="G60" s="85"/>
      <c r="H60" s="85">
        <f>'Historical Financials'!G58</f>
        <v>9535</v>
      </c>
      <c r="I60" s="85">
        <f>'Historical Financials'!H58</f>
        <v>10892</v>
      </c>
      <c r="J60" s="85">
        <f>'Historical Financials'!I58</f>
        <v>9588</v>
      </c>
      <c r="K60" s="85">
        <f>'Historical Financials'!J58</f>
        <v>13012</v>
      </c>
      <c r="L60" s="85">
        <f>'Historical Financials'!K58</f>
        <v>11533</v>
      </c>
      <c r="M60" s="85">
        <f>'Historical Financials'!L58</f>
        <v>9953</v>
      </c>
      <c r="N60" s="85">
        <f>'Historical Financials'!M58</f>
        <v>10522</v>
      </c>
      <c r="O60" s="85">
        <f>'Historical Financials'!N58</f>
        <v>15676</v>
      </c>
      <c r="P60" s="85">
        <f>'Historical Financials'!O58</f>
        <v>12633</v>
      </c>
      <c r="Q60" s="85">
        <f>'Historical Financials'!P58</f>
        <v>14617</v>
      </c>
      <c r="R60" s="85"/>
      <c r="S60" s="85"/>
      <c r="T60" s="85"/>
      <c r="U60" s="85"/>
      <c r="V60" s="85"/>
      <c r="X60" s="10">
        <f t="shared" si="105"/>
        <v>13012</v>
      </c>
      <c r="Y60" s="10">
        <f t="shared" si="106"/>
        <v>11533</v>
      </c>
      <c r="Z60" s="10">
        <f t="shared" si="107"/>
        <v>9953</v>
      </c>
      <c r="AA60" s="10">
        <f t="shared" si="108"/>
        <v>10522</v>
      </c>
      <c r="AB60" s="10">
        <f t="shared" si="109"/>
        <v>15676</v>
      </c>
      <c r="AC60" s="10">
        <f t="shared" si="110"/>
        <v>12633</v>
      </c>
      <c r="AD60" s="10">
        <f t="shared" si="111"/>
        <v>14617</v>
      </c>
      <c r="AE60" s="10">
        <f t="shared" si="112"/>
        <v>0</v>
      </c>
      <c r="AF60" s="10">
        <f t="shared" si="113"/>
        <v>0</v>
      </c>
      <c r="AG60" s="10">
        <f t="shared" si="114"/>
        <v>0</v>
      </c>
      <c r="AH60" s="10">
        <f t="shared" si="115"/>
        <v>0</v>
      </c>
      <c r="AI60" s="10">
        <f t="shared" si="116"/>
        <v>0</v>
      </c>
    </row>
    <row r="61" spans="2:35" ht="12.75" customHeight="1">
      <c r="B61" s="8" t="s">
        <v>17</v>
      </c>
      <c r="C61" s="85" t="e">
        <f>'Historical Financials'!#REF!</f>
        <v>#REF!</v>
      </c>
      <c r="D61" s="85"/>
      <c r="E61" s="85"/>
      <c r="F61" s="85"/>
      <c r="G61" s="85"/>
      <c r="H61" s="85">
        <f>'Historical Financials'!G65</f>
        <v>39808</v>
      </c>
      <c r="I61" s="85">
        <f>'Historical Financials'!H65</f>
        <v>41109</v>
      </c>
      <c r="J61" s="85">
        <f>'Historical Financials'!I65</f>
        <v>40249</v>
      </c>
      <c r="K61" s="85">
        <f>'Historical Financials'!J65</f>
        <v>53479</v>
      </c>
      <c r="L61" s="85">
        <f>'Historical Financials'!K65</f>
        <v>62871</v>
      </c>
      <c r="M61" s="85">
        <f>'Historical Financials'!L65</f>
        <v>71208</v>
      </c>
      <c r="N61" s="85">
        <f>'Historical Financials'!M65</f>
        <v>73036</v>
      </c>
      <c r="O61" s="85">
        <f>'Historical Financials'!N65</f>
        <v>88441</v>
      </c>
      <c r="P61" s="85">
        <f>'Historical Financials'!O65</f>
        <v>96976</v>
      </c>
      <c r="Q61" s="85">
        <f>'Historical Financials'!P65</f>
        <v>109802</v>
      </c>
      <c r="R61" s="85"/>
      <c r="S61" s="85"/>
      <c r="T61" s="85"/>
      <c r="U61" s="85"/>
      <c r="V61" s="85"/>
      <c r="X61" s="10">
        <f t="shared" si="105"/>
        <v>53479</v>
      </c>
      <c r="Y61" s="10">
        <f t="shared" si="106"/>
        <v>62871</v>
      </c>
      <c r="Z61" s="10">
        <f t="shared" si="107"/>
        <v>71208</v>
      </c>
      <c r="AA61" s="10">
        <f t="shared" si="108"/>
        <v>73036</v>
      </c>
      <c r="AB61" s="10">
        <f t="shared" si="109"/>
        <v>88441</v>
      </c>
      <c r="AC61" s="10">
        <f t="shared" si="110"/>
        <v>96976</v>
      </c>
      <c r="AD61" s="10">
        <f t="shared" si="111"/>
        <v>109802</v>
      </c>
      <c r="AE61" s="10">
        <f t="shared" si="112"/>
        <v>0</v>
      </c>
      <c r="AF61" s="10">
        <f t="shared" si="113"/>
        <v>0</v>
      </c>
      <c r="AG61" s="10">
        <f t="shared" si="114"/>
        <v>0</v>
      </c>
      <c r="AH61" s="10">
        <f t="shared" si="115"/>
        <v>0</v>
      </c>
      <c r="AI61" s="10">
        <f t="shared" si="116"/>
        <v>0</v>
      </c>
    </row>
    <row r="62" spans="2:35" ht="5.0999999999999996" customHeight="1"/>
    <row r="63" spans="2:35" ht="12.75" customHeight="1">
      <c r="B63" s="29" t="s">
        <v>131</v>
      </c>
      <c r="C63" s="78">
        <v>0</v>
      </c>
      <c r="D63" s="78"/>
      <c r="E63" s="78"/>
      <c r="F63" s="78"/>
      <c r="H63" s="78">
        <v>0</v>
      </c>
      <c r="I63" s="78">
        <v>0</v>
      </c>
      <c r="J63" s="78">
        <v>0</v>
      </c>
      <c r="K63" s="112">
        <f>D63</f>
        <v>0</v>
      </c>
      <c r="L63" s="78">
        <v>0</v>
      </c>
      <c r="M63" s="78">
        <v>0</v>
      </c>
      <c r="N63" s="78">
        <v>0</v>
      </c>
      <c r="O63" s="112">
        <f>E63</f>
        <v>0</v>
      </c>
      <c r="P63" s="78">
        <v>0</v>
      </c>
      <c r="Q63" s="78">
        <v>0</v>
      </c>
      <c r="R63" s="78"/>
      <c r="S63" s="112"/>
      <c r="T63" s="78"/>
      <c r="U63" s="78"/>
      <c r="V63" s="78"/>
      <c r="W63" s="113"/>
      <c r="X63" s="10">
        <f t="shared" ref="X63:AI63" si="129">K63</f>
        <v>0</v>
      </c>
      <c r="Y63" s="10">
        <f t="shared" si="129"/>
        <v>0</v>
      </c>
      <c r="Z63" s="10">
        <f t="shared" si="129"/>
        <v>0</v>
      </c>
      <c r="AA63" s="10">
        <f t="shared" si="129"/>
        <v>0</v>
      </c>
      <c r="AB63" s="10">
        <f t="shared" si="129"/>
        <v>0</v>
      </c>
      <c r="AC63" s="10">
        <f t="shared" si="129"/>
        <v>0</v>
      </c>
      <c r="AD63" s="10">
        <f t="shared" si="129"/>
        <v>0</v>
      </c>
      <c r="AE63" s="10">
        <f t="shared" si="129"/>
        <v>0</v>
      </c>
      <c r="AF63" s="10">
        <f t="shared" si="129"/>
        <v>0</v>
      </c>
      <c r="AG63" s="10">
        <f t="shared" si="129"/>
        <v>0</v>
      </c>
      <c r="AH63" s="10">
        <f t="shared" si="129"/>
        <v>0</v>
      </c>
      <c r="AI63" s="10">
        <f t="shared" si="129"/>
        <v>0</v>
      </c>
    </row>
    <row r="64" spans="2:35" ht="12.75" customHeight="1">
      <c r="B64" s="12" t="s">
        <v>23</v>
      </c>
      <c r="C64" s="13">
        <f>SUM(C63:C63)</f>
        <v>0</v>
      </c>
      <c r="D64" s="13">
        <f>SUM(D63:D63)</f>
        <v>0</v>
      </c>
      <c r="E64" s="13">
        <f>SUM(E63:E63)</f>
        <v>0</v>
      </c>
      <c r="F64" s="13">
        <f>SUM(F63:F63)</f>
        <v>0</v>
      </c>
      <c r="H64" s="13">
        <f t="shared" ref="H64:V64" si="130">SUM(H63:H63)</f>
        <v>0</v>
      </c>
      <c r="I64" s="13">
        <f t="shared" si="130"/>
        <v>0</v>
      </c>
      <c r="J64" s="13">
        <f t="shared" si="130"/>
        <v>0</v>
      </c>
      <c r="K64" s="13">
        <f t="shared" si="130"/>
        <v>0</v>
      </c>
      <c r="L64" s="13">
        <f t="shared" si="130"/>
        <v>0</v>
      </c>
      <c r="M64" s="13">
        <f t="shared" si="130"/>
        <v>0</v>
      </c>
      <c r="N64" s="13">
        <f t="shared" si="130"/>
        <v>0</v>
      </c>
      <c r="O64" s="13">
        <f t="shared" si="130"/>
        <v>0</v>
      </c>
      <c r="P64" s="13">
        <f t="shared" si="130"/>
        <v>0</v>
      </c>
      <c r="Q64" s="13">
        <f t="shared" si="130"/>
        <v>0</v>
      </c>
      <c r="R64" s="13">
        <f t="shared" si="130"/>
        <v>0</v>
      </c>
      <c r="S64" s="13">
        <f t="shared" si="130"/>
        <v>0</v>
      </c>
      <c r="T64" s="13">
        <f t="shared" si="130"/>
        <v>0</v>
      </c>
      <c r="U64" s="13">
        <f t="shared" si="130"/>
        <v>0</v>
      </c>
      <c r="V64" s="13">
        <f t="shared" si="130"/>
        <v>0</v>
      </c>
      <c r="X64" s="13">
        <f t="shared" ref="X64:AI64" si="131">SUM(X63:X63)</f>
        <v>0</v>
      </c>
      <c r="Y64" s="13">
        <f t="shared" si="131"/>
        <v>0</v>
      </c>
      <c r="Z64" s="13">
        <f t="shared" si="131"/>
        <v>0</v>
      </c>
      <c r="AA64" s="13">
        <f t="shared" si="131"/>
        <v>0</v>
      </c>
      <c r="AB64" s="13">
        <f t="shared" si="131"/>
        <v>0</v>
      </c>
      <c r="AC64" s="13">
        <f t="shared" si="131"/>
        <v>0</v>
      </c>
      <c r="AD64" s="13">
        <f t="shared" si="131"/>
        <v>0</v>
      </c>
      <c r="AE64" s="13">
        <f t="shared" si="131"/>
        <v>0</v>
      </c>
      <c r="AF64" s="13">
        <f t="shared" si="131"/>
        <v>0</v>
      </c>
      <c r="AG64" s="13">
        <f t="shared" si="131"/>
        <v>0</v>
      </c>
      <c r="AH64" s="13">
        <f t="shared" si="131"/>
        <v>0</v>
      </c>
      <c r="AI64" s="13">
        <f t="shared" si="131"/>
        <v>0</v>
      </c>
    </row>
    <row r="65" spans="1:35" ht="5.0999999999999996" customHeight="1"/>
    <row r="66" spans="1:35" ht="12.75" customHeight="1">
      <c r="B66" s="8" t="s">
        <v>55</v>
      </c>
      <c r="C66" s="85" t="e">
        <f>'Historical Financials'!#REF!</f>
        <v>#REF!</v>
      </c>
      <c r="D66" s="85"/>
      <c r="E66" s="85"/>
      <c r="F66" s="85"/>
      <c r="H66" s="85">
        <f>'Historical Financials'!G73</f>
        <v>-6193</v>
      </c>
      <c r="I66" s="85">
        <f>'Historical Financials'!H73</f>
        <v>-15223</v>
      </c>
      <c r="J66" s="85">
        <f>'Historical Financials'!I73</f>
        <v>-22335</v>
      </c>
      <c r="K66" s="85">
        <f>'Historical Financials'!J73</f>
        <v>-32194</v>
      </c>
      <c r="L66" s="85">
        <f>'Historical Financials'!K73</f>
        <v>-42646</v>
      </c>
      <c r="M66" s="85">
        <f>'Historical Financials'!L73</f>
        <v>-51127</v>
      </c>
      <c r="N66" s="85">
        <f>'Historical Financials'!M73</f>
        <v>-50873</v>
      </c>
      <c r="O66" s="85">
        <f>'Historical Financials'!N73</f>
        <v>-60241</v>
      </c>
      <c r="P66" s="85">
        <f>'Historical Financials'!O73</f>
        <v>-71086</v>
      </c>
      <c r="Q66" s="85">
        <f>'Historical Financials'!P73</f>
        <v>-82147</v>
      </c>
      <c r="R66" s="85"/>
      <c r="S66" s="85"/>
      <c r="T66" s="85"/>
      <c r="U66" s="85"/>
      <c r="V66" s="85"/>
      <c r="X66" s="10">
        <f t="shared" ref="X66:AH66" si="132">K66</f>
        <v>-32194</v>
      </c>
      <c r="Y66" s="10">
        <f t="shared" si="132"/>
        <v>-42646</v>
      </c>
      <c r="Z66" s="10">
        <f t="shared" si="132"/>
        <v>-51127</v>
      </c>
      <c r="AA66" s="10">
        <f t="shared" si="132"/>
        <v>-50873</v>
      </c>
      <c r="AB66" s="10">
        <f t="shared" si="132"/>
        <v>-60241</v>
      </c>
      <c r="AC66" s="10">
        <f t="shared" si="132"/>
        <v>-71086</v>
      </c>
      <c r="AD66" s="10">
        <f t="shared" si="132"/>
        <v>-82147</v>
      </c>
      <c r="AE66" s="10">
        <f t="shared" si="132"/>
        <v>0</v>
      </c>
      <c r="AF66" s="10">
        <f t="shared" si="132"/>
        <v>0</v>
      </c>
      <c r="AG66" s="10">
        <f t="shared" si="132"/>
        <v>0</v>
      </c>
      <c r="AH66" s="10">
        <f t="shared" si="132"/>
        <v>0</v>
      </c>
      <c r="AI66" s="10">
        <f>V66</f>
        <v>0</v>
      </c>
    </row>
    <row r="67" spans="1:35" ht="12.75" customHeight="1">
      <c r="B67" s="12" t="s">
        <v>56</v>
      </c>
      <c r="C67" s="13" t="e">
        <f>SUM(C64:C66)</f>
        <v>#REF!</v>
      </c>
      <c r="D67" s="13">
        <f>SUM(D64:D66)</f>
        <v>0</v>
      </c>
      <c r="E67" s="13">
        <f>SUM(E64:E66)</f>
        <v>0</v>
      </c>
      <c r="F67" s="13">
        <f>SUM(F64:F66)</f>
        <v>0</v>
      </c>
      <c r="H67" s="13">
        <f t="shared" ref="H67" si="133">SUM(H64:H66)</f>
        <v>-6193</v>
      </c>
      <c r="I67" s="13">
        <f t="shared" ref="I67:R67" si="134">SUM(I64:I66)</f>
        <v>-15223</v>
      </c>
      <c r="J67" s="13">
        <f t="shared" si="134"/>
        <v>-22335</v>
      </c>
      <c r="K67" s="13">
        <f t="shared" si="134"/>
        <v>-32194</v>
      </c>
      <c r="L67" s="13">
        <f t="shared" si="134"/>
        <v>-42646</v>
      </c>
      <c r="M67" s="13">
        <f t="shared" si="134"/>
        <v>-51127</v>
      </c>
      <c r="N67" s="13">
        <f t="shared" si="134"/>
        <v>-50873</v>
      </c>
      <c r="O67" s="13">
        <f t="shared" si="134"/>
        <v>-60241</v>
      </c>
      <c r="P67" s="13">
        <f t="shared" si="134"/>
        <v>-71086</v>
      </c>
      <c r="Q67" s="13">
        <f t="shared" si="134"/>
        <v>-82147</v>
      </c>
      <c r="R67" s="13">
        <f t="shared" si="134"/>
        <v>0</v>
      </c>
      <c r="S67" s="13">
        <f>SUM(S64:S66)</f>
        <v>0</v>
      </c>
      <c r="T67" s="13">
        <f>SUM(T64:T66)</f>
        <v>0</v>
      </c>
      <c r="U67" s="13">
        <f>SUM(U64:U66)</f>
        <v>0</v>
      </c>
      <c r="V67" s="13">
        <f>SUM(V64:V66)</f>
        <v>0</v>
      </c>
      <c r="X67" s="13">
        <f t="shared" ref="X67:AH67" si="135">SUM(X64:X66)</f>
        <v>-32194</v>
      </c>
      <c r="Y67" s="13">
        <f t="shared" si="135"/>
        <v>-42646</v>
      </c>
      <c r="Z67" s="13">
        <f t="shared" si="135"/>
        <v>-51127</v>
      </c>
      <c r="AA67" s="13">
        <f t="shared" si="135"/>
        <v>-50873</v>
      </c>
      <c r="AB67" s="13">
        <f t="shared" si="135"/>
        <v>-60241</v>
      </c>
      <c r="AC67" s="13">
        <f t="shared" si="135"/>
        <v>-71086</v>
      </c>
      <c r="AD67" s="13">
        <f t="shared" si="135"/>
        <v>-82147</v>
      </c>
      <c r="AE67" s="13">
        <f t="shared" si="135"/>
        <v>0</v>
      </c>
      <c r="AF67" s="13">
        <f t="shared" si="135"/>
        <v>0</v>
      </c>
      <c r="AG67" s="13">
        <f t="shared" si="135"/>
        <v>0</v>
      </c>
      <c r="AH67" s="13">
        <f t="shared" si="135"/>
        <v>0</v>
      </c>
      <c r="AI67" s="13">
        <f>SUM(AI64:AI66)</f>
        <v>0</v>
      </c>
    </row>
    <row r="68" spans="1:35" ht="5.0999999999999996" customHeight="1"/>
    <row r="69" spans="1:35" ht="12.75" customHeight="1">
      <c r="A69" s="5"/>
      <c r="B69" s="31" t="s">
        <v>85</v>
      </c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</row>
    <row r="70" spans="1:35" ht="5.0999999999999996" customHeight="1"/>
    <row r="71" spans="1:35" ht="12.75" customHeight="1">
      <c r="B71" s="8" t="s">
        <v>57</v>
      </c>
      <c r="C71" s="136" t="s">
        <v>88</v>
      </c>
      <c r="D71" s="136"/>
      <c r="E71" s="136"/>
      <c r="F71" s="136"/>
      <c r="H71" s="134"/>
      <c r="I71" s="134"/>
      <c r="J71" s="134"/>
      <c r="K71" s="134"/>
      <c r="L71" s="136" t="s">
        <v>88</v>
      </c>
      <c r="M71" s="136" t="s">
        <v>88</v>
      </c>
      <c r="N71" s="136" t="s">
        <v>88</v>
      </c>
      <c r="O71" s="136" t="s">
        <v>88</v>
      </c>
      <c r="P71" s="136" t="s">
        <v>88</v>
      </c>
      <c r="Q71" s="136" t="s">
        <v>88</v>
      </c>
      <c r="R71" s="136"/>
      <c r="S71" s="136"/>
      <c r="T71" s="136"/>
      <c r="U71" s="136"/>
      <c r="V71" s="136"/>
      <c r="W71" s="136"/>
      <c r="X71" s="136" t="s">
        <v>88</v>
      </c>
      <c r="Y71" s="136" t="s">
        <v>88</v>
      </c>
      <c r="Z71" s="136" t="s">
        <v>88</v>
      </c>
      <c r="AA71" s="136" t="s">
        <v>88</v>
      </c>
      <c r="AB71" s="136" t="s">
        <v>88</v>
      </c>
      <c r="AC71" s="136" t="s">
        <v>88</v>
      </c>
      <c r="AD71" s="136" t="s">
        <v>88</v>
      </c>
      <c r="AE71" s="136"/>
      <c r="AF71" s="136"/>
      <c r="AG71" s="136"/>
      <c r="AH71" s="136"/>
      <c r="AI71" s="136"/>
    </row>
    <row r="72" spans="1:35" ht="12.75" customHeight="1">
      <c r="B72" s="8" t="s">
        <v>58</v>
      </c>
      <c r="C72" s="136" t="s">
        <v>88</v>
      </c>
      <c r="D72" s="136"/>
      <c r="E72" s="136"/>
      <c r="F72" s="136"/>
      <c r="H72" s="134"/>
      <c r="I72" s="134"/>
      <c r="J72" s="134"/>
      <c r="K72" s="134"/>
      <c r="L72" s="136" t="s">
        <v>88</v>
      </c>
      <c r="M72" s="136" t="s">
        <v>88</v>
      </c>
      <c r="N72" s="136" t="s">
        <v>88</v>
      </c>
      <c r="O72" s="136" t="s">
        <v>88</v>
      </c>
      <c r="P72" s="136" t="s">
        <v>88</v>
      </c>
      <c r="Q72" s="136" t="s">
        <v>88</v>
      </c>
      <c r="R72" s="136"/>
      <c r="S72" s="136"/>
      <c r="T72" s="136"/>
      <c r="U72" s="136"/>
      <c r="V72" s="136"/>
      <c r="W72" s="136"/>
      <c r="X72" s="136" t="s">
        <v>88</v>
      </c>
      <c r="Y72" s="136" t="s">
        <v>88</v>
      </c>
      <c r="Z72" s="136" t="s">
        <v>88</v>
      </c>
      <c r="AA72" s="136" t="s">
        <v>88</v>
      </c>
      <c r="AB72" s="136" t="s">
        <v>88</v>
      </c>
      <c r="AC72" s="136" t="s">
        <v>88</v>
      </c>
      <c r="AD72" s="136" t="s">
        <v>88</v>
      </c>
      <c r="AE72" s="136"/>
      <c r="AF72" s="136"/>
      <c r="AG72" s="136"/>
      <c r="AH72" s="136"/>
      <c r="AI72" s="136"/>
    </row>
    <row r="73" spans="1:35" ht="12.75" customHeight="1">
      <c r="B73" s="8" t="s">
        <v>59</v>
      </c>
      <c r="C73" s="136" t="s">
        <v>88</v>
      </c>
      <c r="D73" s="136"/>
      <c r="E73" s="136"/>
      <c r="F73" s="136"/>
      <c r="H73" s="134"/>
      <c r="I73" s="134"/>
      <c r="J73" s="134"/>
      <c r="K73" s="134"/>
      <c r="L73" s="136" t="s">
        <v>88</v>
      </c>
      <c r="M73" s="136" t="s">
        <v>88</v>
      </c>
      <c r="N73" s="136" t="s">
        <v>88</v>
      </c>
      <c r="O73" s="136" t="s">
        <v>88</v>
      </c>
      <c r="P73" s="136" t="s">
        <v>88</v>
      </c>
      <c r="Q73" s="136" t="s">
        <v>88</v>
      </c>
      <c r="R73" s="136"/>
      <c r="S73" s="136"/>
      <c r="T73" s="136"/>
      <c r="U73" s="136"/>
      <c r="V73" s="136"/>
      <c r="X73" s="136" t="s">
        <v>88</v>
      </c>
      <c r="Y73" s="136" t="s">
        <v>88</v>
      </c>
      <c r="Z73" s="136" t="s">
        <v>88</v>
      </c>
      <c r="AA73" s="136" t="s">
        <v>88</v>
      </c>
      <c r="AB73" s="136" t="s">
        <v>88</v>
      </c>
      <c r="AC73" s="136" t="s">
        <v>88</v>
      </c>
      <c r="AD73" s="136" t="s">
        <v>88</v>
      </c>
      <c r="AE73" s="136"/>
      <c r="AF73" s="136"/>
      <c r="AG73" s="136"/>
      <c r="AH73" s="136"/>
      <c r="AI73" s="136"/>
    </row>
    <row r="74" spans="1:35" ht="12.75" customHeight="1">
      <c r="B74" s="8" t="s">
        <v>60</v>
      </c>
      <c r="C74" s="136" t="s">
        <v>88</v>
      </c>
      <c r="D74" s="136"/>
      <c r="E74" s="136"/>
      <c r="F74" s="136"/>
      <c r="H74" s="134"/>
      <c r="I74" s="134"/>
      <c r="J74" s="134"/>
      <c r="K74" s="134"/>
      <c r="L74" s="136" t="s">
        <v>88</v>
      </c>
      <c r="M74" s="136" t="s">
        <v>88</v>
      </c>
      <c r="N74" s="136" t="s">
        <v>88</v>
      </c>
      <c r="O74" s="136" t="s">
        <v>88</v>
      </c>
      <c r="P74" s="136" t="s">
        <v>88</v>
      </c>
      <c r="Q74" s="136" t="s">
        <v>88</v>
      </c>
      <c r="R74" s="136"/>
      <c r="S74" s="136"/>
      <c r="T74" s="136"/>
      <c r="U74" s="136"/>
      <c r="V74" s="136"/>
      <c r="X74" s="136" t="s">
        <v>88</v>
      </c>
      <c r="Y74" s="136" t="s">
        <v>88</v>
      </c>
      <c r="Z74" s="136" t="s">
        <v>88</v>
      </c>
      <c r="AA74" s="136" t="s">
        <v>88</v>
      </c>
      <c r="AB74" s="136" t="s">
        <v>88</v>
      </c>
      <c r="AC74" s="136" t="s">
        <v>88</v>
      </c>
      <c r="AD74" s="136" t="s">
        <v>88</v>
      </c>
      <c r="AE74" s="136"/>
      <c r="AF74" s="136"/>
      <c r="AG74" s="136"/>
      <c r="AH74" s="136"/>
      <c r="AI74" s="136"/>
    </row>
    <row r="75" spans="1:35" ht="12.75" customHeight="1">
      <c r="B75" s="8" t="s">
        <v>61</v>
      </c>
      <c r="C75" s="136" t="s">
        <v>88</v>
      </c>
      <c r="D75" s="136"/>
      <c r="E75" s="136"/>
      <c r="F75" s="136"/>
      <c r="H75" s="134"/>
      <c r="I75" s="134"/>
      <c r="J75" s="134"/>
      <c r="K75" s="134"/>
      <c r="L75" s="136" t="s">
        <v>88</v>
      </c>
      <c r="M75" s="136" t="s">
        <v>88</v>
      </c>
      <c r="N75" s="136" t="s">
        <v>88</v>
      </c>
      <c r="O75" s="136" t="s">
        <v>88</v>
      </c>
      <c r="P75" s="136" t="s">
        <v>88</v>
      </c>
      <c r="Q75" s="136" t="s">
        <v>88</v>
      </c>
      <c r="R75" s="136"/>
      <c r="S75" s="136"/>
      <c r="T75" s="136"/>
      <c r="U75" s="136"/>
      <c r="V75" s="136"/>
      <c r="X75" s="136" t="s">
        <v>88</v>
      </c>
      <c r="Y75" s="136" t="s">
        <v>88</v>
      </c>
      <c r="Z75" s="136" t="s">
        <v>88</v>
      </c>
      <c r="AA75" s="136" t="s">
        <v>88</v>
      </c>
      <c r="AB75" s="136" t="s">
        <v>88</v>
      </c>
      <c r="AC75" s="136" t="s">
        <v>88</v>
      </c>
      <c r="AD75" s="136" t="s">
        <v>88</v>
      </c>
      <c r="AE75" s="136"/>
      <c r="AF75" s="136"/>
      <c r="AG75" s="136"/>
      <c r="AH75" s="136"/>
      <c r="AI75" s="136"/>
    </row>
    <row r="76" spans="1:35" ht="12.75" customHeight="1">
      <c r="B76" s="8" t="s">
        <v>62</v>
      </c>
      <c r="C76" s="136" t="s">
        <v>88</v>
      </c>
      <c r="D76" s="136"/>
      <c r="E76" s="136"/>
      <c r="F76" s="136"/>
      <c r="H76" s="134"/>
      <c r="I76" s="134"/>
      <c r="J76" s="134"/>
      <c r="K76" s="134"/>
      <c r="L76" s="136" t="s">
        <v>88</v>
      </c>
      <c r="M76" s="136" t="s">
        <v>88</v>
      </c>
      <c r="N76" s="136" t="s">
        <v>88</v>
      </c>
      <c r="O76" s="136" t="s">
        <v>88</v>
      </c>
      <c r="P76" s="136" t="s">
        <v>88</v>
      </c>
      <c r="Q76" s="136" t="s">
        <v>88</v>
      </c>
      <c r="R76" s="136"/>
      <c r="S76" s="136"/>
      <c r="T76" s="136"/>
      <c r="U76" s="136"/>
      <c r="V76" s="136"/>
      <c r="X76" s="136" t="s">
        <v>88</v>
      </c>
      <c r="Y76" s="136" t="s">
        <v>88</v>
      </c>
      <c r="Z76" s="136" t="s">
        <v>88</v>
      </c>
      <c r="AA76" s="136" t="s">
        <v>88</v>
      </c>
      <c r="AB76" s="136" t="s">
        <v>88</v>
      </c>
      <c r="AC76" s="136" t="s">
        <v>88</v>
      </c>
      <c r="AD76" s="136" t="s">
        <v>88</v>
      </c>
      <c r="AE76" s="136"/>
      <c r="AF76" s="136"/>
      <c r="AG76" s="136"/>
      <c r="AH76" s="136"/>
      <c r="AI76" s="136"/>
    </row>
    <row r="77" spans="1:35" ht="5.0999999999999996" customHeight="1" thickBot="1"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</row>
  </sheetData>
  <mergeCells count="1">
    <mergeCell ref="AK2:AK4"/>
  </mergeCells>
  <dataValidations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J34:AJ35 G31:G32 AJ36:AK39 G37:G39 I35:V36 C35:G36 G34" formulaRange="1"/>
    <ignoredError sqref="G73 G76 G71:G72 G74 G75 W74 W75 W76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Historical Financials</vt:lpstr>
      <vt:lpstr>Revenue Drivers</vt:lpstr>
      <vt:lpstr>FCF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2025-11-10T02:24:18Z</dcterms:modified>
</cp:coreProperties>
</file>