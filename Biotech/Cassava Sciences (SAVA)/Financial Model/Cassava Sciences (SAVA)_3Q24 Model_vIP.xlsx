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elix\AppData\Roaming\Microsoft\Excel\Apple%20Inc%20(APPL)_LTM%203Q25%20Model_v1%20(1)312142813346839800\Models\"/>
    </mc:Choice>
  </mc:AlternateContent>
  <xr:revisionPtr revIDLastSave="0" documentId="8_{2004F612-7121-478F-97E9-215E322EE078}" xr6:coauthVersionLast="47" xr6:coauthVersionMax="47" xr10:uidLastSave="{00000000-0000-0000-0000-000000000000}"/>
  <bookViews>
    <workbookView xWindow="-120" yWindow="-120" windowWidth="29040" windowHeight="15720" xr2:uid="{BC9106CE-9107-4097-8948-317996376CB5}"/>
  </bookViews>
  <sheets>
    <sheet name="Historical Financials" sheetId="8" r:id="rId1"/>
    <sheet name="Revenue Drivers" sheetId="10" r:id="rId2"/>
    <sheet name="FCF" sheetId="9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18" i="8" l="1"/>
  <c r="AC115" i="8"/>
  <c r="AB110" i="8"/>
  <c r="Z110" i="8"/>
  <c r="Y110" i="8"/>
  <c r="Y109" i="8"/>
  <c r="AB108" i="8"/>
  <c r="AA108" i="8"/>
  <c r="Z108" i="8"/>
  <c r="AC107" i="8"/>
  <c r="AB107" i="8"/>
  <c r="AA107" i="8"/>
  <c r="Z107" i="8"/>
  <c r="Y107" i="8"/>
  <c r="AC103" i="8"/>
  <c r="AB103" i="8"/>
  <c r="AA103" i="8"/>
  <c r="Z103" i="8"/>
  <c r="Y103" i="8"/>
  <c r="AC99" i="8"/>
  <c r="AB99" i="8"/>
  <c r="AA99" i="8"/>
  <c r="Z99" i="8"/>
  <c r="Y99" i="8"/>
  <c r="AC98" i="8"/>
  <c r="AB98" i="8"/>
  <c r="AA98" i="8"/>
  <c r="Z98" i="8"/>
  <c r="Y98" i="8"/>
  <c r="AC97" i="8"/>
  <c r="AB97" i="8"/>
  <c r="AA97" i="8"/>
  <c r="Z97" i="8"/>
  <c r="Y97" i="8"/>
  <c r="AC96" i="8"/>
  <c r="AB96" i="8"/>
  <c r="AA96" i="8"/>
  <c r="Z96" i="8"/>
  <c r="Y96" i="8"/>
  <c r="AC95" i="8"/>
  <c r="AB95" i="8"/>
  <c r="AA95" i="8"/>
  <c r="Z95" i="8"/>
  <c r="Y95" i="8"/>
  <c r="AC94" i="8"/>
  <c r="AB94" i="8"/>
  <c r="AA94" i="8"/>
  <c r="Z94" i="8"/>
  <c r="Y94" i="8"/>
  <c r="AC91" i="8"/>
  <c r="AB91" i="8"/>
  <c r="AA91" i="8"/>
  <c r="Z91" i="8"/>
  <c r="Y91" i="8"/>
  <c r="AC90" i="8"/>
  <c r="AB90" i="8"/>
  <c r="AA90" i="8"/>
  <c r="Z90" i="8"/>
  <c r="Y90" i="8"/>
  <c r="AC89" i="8"/>
  <c r="AB89" i="8"/>
  <c r="AA89" i="8"/>
  <c r="Z89" i="8"/>
  <c r="Y89" i="8"/>
  <c r="AC88" i="8"/>
  <c r="AB88" i="8"/>
  <c r="AA88" i="8"/>
  <c r="Z88" i="8"/>
  <c r="Y88" i="8"/>
  <c r="AC85" i="8"/>
  <c r="AB85" i="8"/>
  <c r="AA85" i="8"/>
  <c r="Z85" i="8"/>
  <c r="Y85" i="8"/>
  <c r="AC35" i="8"/>
  <c r="AB35" i="8"/>
  <c r="AA35" i="8"/>
  <c r="Z35" i="8"/>
  <c r="Y35" i="8"/>
  <c r="AB32" i="8"/>
  <c r="AA32" i="8"/>
  <c r="Z32" i="8"/>
  <c r="Y32" i="8"/>
  <c r="X32" i="8"/>
  <c r="W32" i="8"/>
  <c r="V32" i="8"/>
  <c r="U32" i="8"/>
  <c r="T32" i="8"/>
  <c r="S32" i="8"/>
  <c r="AC32" i="8"/>
  <c r="AC28" i="8"/>
  <c r="AB28" i="8"/>
  <c r="AA28" i="8"/>
  <c r="Z28" i="8"/>
  <c r="Y28" i="8"/>
  <c r="AC24" i="8"/>
  <c r="AB24" i="8"/>
  <c r="AA24" i="8"/>
  <c r="Z24" i="8"/>
  <c r="Y24" i="8"/>
  <c r="AC23" i="8"/>
  <c r="AB23" i="8"/>
  <c r="AA23" i="8"/>
  <c r="Z23" i="8"/>
  <c r="Y23" i="8"/>
  <c r="AC22" i="8"/>
  <c r="AB22" i="8"/>
  <c r="AA22" i="8"/>
  <c r="Z22" i="8"/>
  <c r="Y22" i="8"/>
  <c r="AC18" i="8"/>
  <c r="AB18" i="8"/>
  <c r="AA18" i="8"/>
  <c r="Z18" i="8"/>
  <c r="Y18" i="8"/>
  <c r="AC17" i="8"/>
  <c r="AB17" i="8"/>
  <c r="AA17" i="8"/>
  <c r="Z17" i="8"/>
  <c r="Y17" i="8"/>
  <c r="AC13" i="8"/>
  <c r="AB13" i="8"/>
  <c r="AA13" i="8"/>
  <c r="Z13" i="8"/>
  <c r="Y13" i="8"/>
  <c r="AB10" i="8"/>
  <c r="AA10" i="8"/>
  <c r="Z10" i="8"/>
  <c r="Y10" i="8"/>
  <c r="X10" i="8"/>
  <c r="W10" i="8"/>
  <c r="V10" i="8"/>
  <c r="U10" i="8"/>
  <c r="T10" i="8"/>
  <c r="S10" i="8"/>
  <c r="AC10" i="8"/>
  <c r="N110" i="8"/>
  <c r="AC110" i="8" s="1"/>
  <c r="N109" i="8"/>
  <c r="AC109" i="8" s="1"/>
  <c r="N108" i="8"/>
  <c r="AC108" i="8" s="1"/>
  <c r="N107" i="8"/>
  <c r="J110" i="8"/>
  <c r="J109" i="8"/>
  <c r="J108" i="8"/>
  <c r="Y108" i="8" s="1"/>
  <c r="J107" i="8"/>
  <c r="P109" i="8"/>
  <c r="Q109" i="8" s="1"/>
  <c r="L107" i="8"/>
  <c r="M107" i="8" s="1"/>
  <c r="H107" i="8"/>
  <c r="I107" i="8" s="1"/>
  <c r="N103" i="8"/>
  <c r="N99" i="8"/>
  <c r="N98" i="8"/>
  <c r="N97" i="8"/>
  <c r="N96" i="8"/>
  <c r="N95" i="8"/>
  <c r="N94" i="8"/>
  <c r="N91" i="8"/>
  <c r="N90" i="8"/>
  <c r="N89" i="8"/>
  <c r="J103" i="8"/>
  <c r="P103" i="8"/>
  <c r="Q103" i="8" s="1"/>
  <c r="L103" i="8"/>
  <c r="M103" i="8" s="1"/>
  <c r="H103" i="8"/>
  <c r="I103" i="8" s="1"/>
  <c r="J95" i="8"/>
  <c r="J89" i="8"/>
  <c r="H94" i="8"/>
  <c r="I94" i="8" s="1"/>
  <c r="L94" i="8"/>
  <c r="M94" i="8" s="1"/>
  <c r="P94" i="8"/>
  <c r="Q94" i="8" s="1"/>
  <c r="H95" i="8"/>
  <c r="I95" i="8" s="1"/>
  <c r="L95" i="8"/>
  <c r="M95" i="8"/>
  <c r="H96" i="8"/>
  <c r="L96" i="8"/>
  <c r="M96" i="8" s="1"/>
  <c r="P96" i="8"/>
  <c r="Q96" i="8" s="1"/>
  <c r="H97" i="8"/>
  <c r="I97" i="8" s="1"/>
  <c r="L97" i="8"/>
  <c r="M97" i="8" s="1"/>
  <c r="P97" i="8"/>
  <c r="Q97" i="8" s="1"/>
  <c r="H98" i="8"/>
  <c r="L98" i="8"/>
  <c r="M98" i="8" s="1"/>
  <c r="P98" i="8"/>
  <c r="Q98" i="8" s="1"/>
  <c r="H99" i="8"/>
  <c r="I99" i="8" s="1"/>
  <c r="L99" i="8"/>
  <c r="M99" i="8" s="1"/>
  <c r="P99" i="8"/>
  <c r="Q99" i="8" s="1"/>
  <c r="P91" i="8"/>
  <c r="Q91" i="8" s="1"/>
  <c r="L91" i="8"/>
  <c r="M91" i="8" s="1"/>
  <c r="H91" i="8"/>
  <c r="I91" i="8" s="1"/>
  <c r="P90" i="8"/>
  <c r="Q90" i="8" s="1"/>
  <c r="L90" i="8"/>
  <c r="H90" i="8"/>
  <c r="I90" i="8" s="1"/>
  <c r="P89" i="8"/>
  <c r="Q89" i="8" s="1"/>
  <c r="P88" i="8"/>
  <c r="Q88" i="8" s="1"/>
  <c r="L88" i="8"/>
  <c r="M88" i="8" s="1"/>
  <c r="N88" i="8" s="1"/>
  <c r="H88" i="8"/>
  <c r="N72" i="8"/>
  <c r="N71" i="8"/>
  <c r="N70" i="8"/>
  <c r="N69" i="8"/>
  <c r="J72" i="8"/>
  <c r="J71" i="8"/>
  <c r="J70" i="8"/>
  <c r="J69" i="8"/>
  <c r="J66" i="8"/>
  <c r="J65" i="8"/>
  <c r="N66" i="8"/>
  <c r="N65" i="8"/>
  <c r="AC72" i="8"/>
  <c r="AB72" i="8"/>
  <c r="AA72" i="8"/>
  <c r="Y72" i="8"/>
  <c r="AC71" i="8"/>
  <c r="AB71" i="8"/>
  <c r="AA71" i="8"/>
  <c r="Y71" i="8"/>
  <c r="AC70" i="8"/>
  <c r="AB70" i="8"/>
  <c r="AA70" i="8"/>
  <c r="Y70" i="8"/>
  <c r="AC69" i="8"/>
  <c r="AB69" i="8"/>
  <c r="AA69" i="8"/>
  <c r="Y69" i="8"/>
  <c r="AC66" i="8"/>
  <c r="AB66" i="8"/>
  <c r="AA66" i="8"/>
  <c r="Y66" i="8"/>
  <c r="AC65" i="8"/>
  <c r="AB65" i="8"/>
  <c r="AA65" i="8"/>
  <c r="Y65" i="8"/>
  <c r="AC61" i="8"/>
  <c r="AB61" i="8"/>
  <c r="AA61" i="8"/>
  <c r="Y61" i="8"/>
  <c r="AC60" i="8"/>
  <c r="AB60" i="8"/>
  <c r="AA60" i="8"/>
  <c r="Y60" i="8"/>
  <c r="AC59" i="8"/>
  <c r="AB59" i="8"/>
  <c r="AA59" i="8"/>
  <c r="Y59" i="8"/>
  <c r="AC58" i="8"/>
  <c r="AB58" i="8"/>
  <c r="AA58" i="8"/>
  <c r="Y58" i="8"/>
  <c r="AC57" i="8"/>
  <c r="AB57" i="8"/>
  <c r="AA57" i="8"/>
  <c r="Y57" i="8"/>
  <c r="AC56" i="8"/>
  <c r="AB56" i="8"/>
  <c r="AA56" i="8"/>
  <c r="Y56" i="8"/>
  <c r="AC52" i="8"/>
  <c r="AB52" i="8"/>
  <c r="AA52" i="8"/>
  <c r="Y52" i="8"/>
  <c r="AC51" i="8"/>
  <c r="AB51" i="8"/>
  <c r="AA51" i="8"/>
  <c r="Y51" i="8"/>
  <c r="AC50" i="8"/>
  <c r="AB50" i="8"/>
  <c r="AA50" i="8"/>
  <c r="Y50" i="8"/>
  <c r="AC49" i="8"/>
  <c r="AB49" i="8"/>
  <c r="AA49" i="8"/>
  <c r="Y49" i="8"/>
  <c r="AB45" i="8"/>
  <c r="AA45" i="8"/>
  <c r="Y45" i="8"/>
  <c r="X45" i="8"/>
  <c r="W45" i="8"/>
  <c r="U45" i="8"/>
  <c r="T45" i="8"/>
  <c r="S45" i="8"/>
  <c r="AB44" i="8"/>
  <c r="AA44" i="8"/>
  <c r="Y44" i="8"/>
  <c r="X44" i="8"/>
  <c r="W44" i="8"/>
  <c r="U44" i="8"/>
  <c r="T44" i="8"/>
  <c r="S44" i="8"/>
  <c r="AB43" i="8"/>
  <c r="AA43" i="8"/>
  <c r="Y43" i="8"/>
  <c r="X43" i="8"/>
  <c r="W43" i="8"/>
  <c r="U43" i="8"/>
  <c r="T43" i="8"/>
  <c r="S43" i="8"/>
  <c r="AC45" i="8"/>
  <c r="AC44" i="8"/>
  <c r="AC43" i="8"/>
  <c r="N61" i="8"/>
  <c r="Z61" i="8" s="1"/>
  <c r="N60" i="8"/>
  <c r="Z60" i="8" s="1"/>
  <c r="N59" i="8"/>
  <c r="Z59" i="8" s="1"/>
  <c r="N58" i="8"/>
  <c r="Z58" i="8" s="1"/>
  <c r="N57" i="8"/>
  <c r="Z57" i="8" s="1"/>
  <c r="N56" i="8"/>
  <c r="Z56" i="8" s="1"/>
  <c r="J61" i="8"/>
  <c r="J60" i="8"/>
  <c r="J59" i="8"/>
  <c r="J58" i="8"/>
  <c r="J57" i="8"/>
  <c r="J56" i="8"/>
  <c r="J52" i="8"/>
  <c r="J51" i="8"/>
  <c r="J50" i="8"/>
  <c r="J49" i="8"/>
  <c r="N52" i="8"/>
  <c r="Z52" i="8" s="1"/>
  <c r="N51" i="8"/>
  <c r="Z51" i="8" s="1"/>
  <c r="N50" i="8"/>
  <c r="Z50" i="8" s="1"/>
  <c r="N49" i="8"/>
  <c r="Z49" i="8" s="1"/>
  <c r="N45" i="8"/>
  <c r="Z45" i="8" s="1"/>
  <c r="N44" i="8"/>
  <c r="Z44" i="8" s="1"/>
  <c r="N43" i="8"/>
  <c r="Z43" i="8" s="1"/>
  <c r="AA110" i="8" l="1"/>
  <c r="Z109" i="8"/>
  <c r="AA109" i="8"/>
  <c r="AB109" i="8"/>
  <c r="M90" i="8"/>
  <c r="J96" i="8"/>
  <c r="J97" i="8"/>
  <c r="J94" i="8"/>
  <c r="J99" i="8"/>
  <c r="I88" i="8"/>
  <c r="J88" i="8" s="1"/>
  <c r="J90" i="8"/>
  <c r="J91" i="8"/>
  <c r="I98" i="8"/>
  <c r="J98" i="8" s="1"/>
  <c r="I96" i="8"/>
  <c r="J45" i="8" l="1"/>
  <c r="V45" i="8" s="1"/>
  <c r="J44" i="8"/>
  <c r="V44" i="8" s="1"/>
  <c r="J43" i="8"/>
  <c r="V43" i="8" s="1"/>
  <c r="N24" i="8"/>
  <c r="N23" i="8"/>
  <c r="N22" i="8"/>
  <c r="J24" i="8"/>
  <c r="J23" i="8"/>
  <c r="J22" i="8"/>
  <c r="N13" i="8"/>
  <c r="J13" i="8"/>
  <c r="AC7" i="8"/>
  <c r="AC8" i="8"/>
  <c r="N18" i="8"/>
  <c r="N17" i="8"/>
  <c r="N10" i="8"/>
  <c r="J10" i="8"/>
  <c r="J18" i="8"/>
  <c r="J17" i="8"/>
  <c r="N126" i="8" l="1"/>
  <c r="J126" i="8"/>
  <c r="Z72" i="8"/>
  <c r="Z71" i="8"/>
  <c r="Z70" i="8"/>
  <c r="Z69" i="8"/>
  <c r="Z65" i="8"/>
  <c r="V50" i="8"/>
  <c r="S49" i="8"/>
  <c r="AE71" i="8"/>
  <c r="X49" i="8"/>
  <c r="W49" i="8"/>
  <c r="V49" i="8"/>
  <c r="U49" i="8"/>
  <c r="T49" i="8"/>
  <c r="AB8" i="8"/>
  <c r="AA8" i="8"/>
  <c r="Z8" i="8"/>
  <c r="Y8" i="8"/>
  <c r="X8" i="8"/>
  <c r="W8" i="8"/>
  <c r="V8" i="8"/>
  <c r="U8" i="8"/>
  <c r="T8" i="8"/>
  <c r="S8" i="8"/>
  <c r="AB7" i="8"/>
  <c r="AA7" i="8"/>
  <c r="Z7" i="8"/>
  <c r="Y7" i="8"/>
  <c r="X7" i="8"/>
  <c r="W7" i="8"/>
  <c r="V7" i="8"/>
  <c r="U7" i="8"/>
  <c r="T7" i="8"/>
  <c r="S7" i="8"/>
  <c r="E111" i="8"/>
  <c r="X66" i="8"/>
  <c r="W66" i="8"/>
  <c r="U66" i="8"/>
  <c r="T66" i="8"/>
  <c r="S66" i="8"/>
  <c r="X50" i="8"/>
  <c r="W50" i="8"/>
  <c r="U50" i="8"/>
  <c r="T50" i="8"/>
  <c r="S50" i="8"/>
  <c r="C111" i="8"/>
  <c r="V66" i="8" l="1"/>
  <c r="Z66" i="8"/>
  <c r="AE43" i="8"/>
  <c r="AE110" i="8"/>
  <c r="AE45" i="8"/>
  <c r="AE60" i="8"/>
  <c r="AE65" i="8"/>
  <c r="AE50" i="8"/>
  <c r="AE52" i="8"/>
  <c r="AE58" i="8"/>
  <c r="AE59" i="8"/>
  <c r="AE57" i="8"/>
  <c r="AE72" i="8"/>
  <c r="AE49" i="8"/>
  <c r="AE61" i="8"/>
  <c r="AE69" i="8"/>
  <c r="AE44" i="8"/>
  <c r="AE51" i="8"/>
  <c r="AE66" i="8"/>
  <c r="AE70" i="8"/>
  <c r="AE109" i="8"/>
  <c r="AE24" i="8"/>
  <c r="AE23" i="8"/>
  <c r="M111" i="8"/>
  <c r="D111" i="8"/>
  <c r="K111" i="8"/>
  <c r="L111" i="8"/>
  <c r="G111" i="8"/>
  <c r="O111" i="8"/>
  <c r="H111" i="8"/>
  <c r="P111" i="8"/>
  <c r="Q111" i="8"/>
  <c r="V109" i="8"/>
  <c r="V111" i="8" s="1"/>
  <c r="W109" i="8"/>
  <c r="W111" i="8" s="1"/>
  <c r="X109" i="8"/>
  <c r="X111" i="8" s="1"/>
  <c r="U109" i="8"/>
  <c r="U111" i="8" s="1"/>
  <c r="AE22" i="8" l="1"/>
  <c r="I111" i="8"/>
  <c r="J111" i="8"/>
  <c r="N111" i="8"/>
  <c r="S109" i="8"/>
  <c r="S111" i="8" s="1"/>
  <c r="T109" i="8"/>
  <c r="T111" i="8" s="1"/>
  <c r="Y111" i="8" l="1"/>
  <c r="AE91" i="8"/>
  <c r="AA111" i="8"/>
  <c r="AE108" i="8"/>
  <c r="AE107" i="8"/>
  <c r="AC111" i="8"/>
  <c r="AB111" i="8"/>
  <c r="Z111" i="8"/>
  <c r="AI33" i="9" l="1"/>
  <c r="AG33" i="9"/>
  <c r="AH33" i="9"/>
  <c r="O33" i="9"/>
  <c r="AE33" i="9" s="1"/>
  <c r="K33" i="9"/>
  <c r="AA33" i="9" s="1"/>
  <c r="AF63" i="9"/>
  <c r="O63" i="9"/>
  <c r="AB63" i="9" s="1"/>
  <c r="K63" i="9"/>
  <c r="X63" i="9" s="1"/>
  <c r="Y63" i="9"/>
  <c r="AC63" i="9"/>
  <c r="AE63" i="9"/>
  <c r="AG63" i="9"/>
  <c r="Z63" i="9"/>
  <c r="AA63" i="9"/>
  <c r="AD63" i="9"/>
  <c r="AH63" i="9"/>
  <c r="AI63" i="9"/>
  <c r="H64" i="9"/>
  <c r="AI49" i="9"/>
  <c r="AH49" i="9"/>
  <c r="AG49" i="9"/>
  <c r="AE49" i="9"/>
  <c r="Q49" i="9"/>
  <c r="AD49" i="9" s="1"/>
  <c r="P49" i="9"/>
  <c r="AC49" i="9" s="1"/>
  <c r="N49" i="9"/>
  <c r="AA49" i="9" s="1"/>
  <c r="M49" i="9"/>
  <c r="Z49" i="9" s="1"/>
  <c r="L49" i="9"/>
  <c r="Y49" i="9" s="1"/>
  <c r="J49" i="9"/>
  <c r="I49" i="9"/>
  <c r="H49" i="9"/>
  <c r="C49" i="9"/>
  <c r="M48" i="9"/>
  <c r="N48" i="9"/>
  <c r="P48" i="9"/>
  <c r="N118" i="8"/>
  <c r="K49" i="9"/>
  <c r="X49" i="9" s="1"/>
  <c r="O49" i="9"/>
  <c r="AB49" i="9" s="1"/>
  <c r="Q59" i="9"/>
  <c r="P59" i="9"/>
  <c r="N59" i="9"/>
  <c r="M59" i="9"/>
  <c r="L59" i="9"/>
  <c r="J59" i="9"/>
  <c r="I59" i="9"/>
  <c r="AI58" i="9"/>
  <c r="AH58" i="9"/>
  <c r="AG58" i="9"/>
  <c r="AE58" i="9"/>
  <c r="Q58" i="9"/>
  <c r="AD58" i="9" s="1"/>
  <c r="P58" i="9"/>
  <c r="AC58" i="9" s="1"/>
  <c r="N58" i="9"/>
  <c r="AA58" i="9" s="1"/>
  <c r="M58" i="9"/>
  <c r="Z58" i="9" s="1"/>
  <c r="L58" i="9"/>
  <c r="Y58" i="9" s="1"/>
  <c r="J58" i="9"/>
  <c r="I58" i="9"/>
  <c r="Q57" i="9"/>
  <c r="P57" i="9"/>
  <c r="N57" i="9"/>
  <c r="M57" i="9"/>
  <c r="L57" i="9"/>
  <c r="J57" i="9"/>
  <c r="I57" i="9"/>
  <c r="Q56" i="9"/>
  <c r="P56" i="9"/>
  <c r="N56" i="9"/>
  <c r="M56" i="9"/>
  <c r="L56" i="9"/>
  <c r="J56" i="9"/>
  <c r="I56" i="9"/>
  <c r="Q55" i="9"/>
  <c r="P55" i="9"/>
  <c r="N55" i="9"/>
  <c r="M55" i="9"/>
  <c r="L55" i="9"/>
  <c r="J55" i="9"/>
  <c r="I55" i="9"/>
  <c r="H59" i="9"/>
  <c r="H58" i="9"/>
  <c r="H57" i="9"/>
  <c r="H56" i="9"/>
  <c r="H55" i="9"/>
  <c r="C59" i="9"/>
  <c r="C58" i="9"/>
  <c r="C57" i="9"/>
  <c r="C56" i="9"/>
  <c r="C55" i="9"/>
  <c r="AI51" i="9"/>
  <c r="AH51" i="9"/>
  <c r="AG51" i="9"/>
  <c r="Q51" i="9"/>
  <c r="AD51" i="9" s="1"/>
  <c r="P51" i="9"/>
  <c r="AC51" i="9" s="1"/>
  <c r="N51" i="9"/>
  <c r="AA51" i="9" s="1"/>
  <c r="M51" i="9"/>
  <c r="Z51" i="9" s="1"/>
  <c r="L51" i="9"/>
  <c r="Y51" i="9" s="1"/>
  <c r="J51" i="9"/>
  <c r="I51" i="9"/>
  <c r="H51" i="9"/>
  <c r="C51" i="9"/>
  <c r="AI50" i="9"/>
  <c r="AH50" i="9"/>
  <c r="AG50" i="9"/>
  <c r="AE50" i="9"/>
  <c r="Q50" i="9"/>
  <c r="AD50" i="9" s="1"/>
  <c r="P50" i="9"/>
  <c r="AC50" i="9" s="1"/>
  <c r="N50" i="9"/>
  <c r="AA50" i="9" s="1"/>
  <c r="M50" i="9"/>
  <c r="Z50" i="9" s="1"/>
  <c r="L50" i="9"/>
  <c r="Y50" i="9" s="1"/>
  <c r="J50" i="9"/>
  <c r="I50" i="9"/>
  <c r="H50" i="9"/>
  <c r="C50" i="9"/>
  <c r="Q48" i="9"/>
  <c r="J48" i="9"/>
  <c r="I48" i="9"/>
  <c r="H48" i="9"/>
  <c r="C48" i="9"/>
  <c r="L42" i="9"/>
  <c r="I42" i="9"/>
  <c r="P41" i="9"/>
  <c r="L41" i="9"/>
  <c r="J41" i="9"/>
  <c r="I41" i="9"/>
  <c r="H41" i="9"/>
  <c r="C41" i="9"/>
  <c r="P40" i="9"/>
  <c r="L40" i="9"/>
  <c r="I40" i="9"/>
  <c r="H40" i="9"/>
  <c r="C40" i="9"/>
  <c r="Q39" i="9"/>
  <c r="P39" i="9"/>
  <c r="N39" i="9"/>
  <c r="M39" i="9"/>
  <c r="L39" i="9"/>
  <c r="J39" i="9"/>
  <c r="I39" i="9"/>
  <c r="H39" i="9"/>
  <c r="C39" i="9"/>
  <c r="Q38" i="9"/>
  <c r="P38" i="9"/>
  <c r="L38" i="9"/>
  <c r="H38" i="9"/>
  <c r="C38" i="9"/>
  <c r="P37" i="9"/>
  <c r="L37" i="9"/>
  <c r="J37" i="9"/>
  <c r="H37" i="9"/>
  <c r="C37" i="9"/>
  <c r="P34" i="9"/>
  <c r="L34" i="9"/>
  <c r="H34" i="9"/>
  <c r="C34" i="9"/>
  <c r="Q32" i="9"/>
  <c r="P32" i="9"/>
  <c r="N32" i="9"/>
  <c r="M32" i="9"/>
  <c r="L32" i="9"/>
  <c r="J32" i="9"/>
  <c r="I32" i="9"/>
  <c r="H32" i="9"/>
  <c r="C32" i="9"/>
  <c r="Q31" i="9"/>
  <c r="P31" i="9"/>
  <c r="L31" i="9"/>
  <c r="I31" i="9"/>
  <c r="H31" i="9"/>
  <c r="C31" i="9"/>
  <c r="P27" i="9"/>
  <c r="L27" i="9"/>
  <c r="H27" i="9"/>
  <c r="C27" i="9"/>
  <c r="Q19" i="9"/>
  <c r="Q23" i="9" s="1"/>
  <c r="P19" i="9"/>
  <c r="P23" i="9" s="1"/>
  <c r="N19" i="9"/>
  <c r="N23" i="9" s="1"/>
  <c r="M19" i="9"/>
  <c r="M23" i="9" s="1"/>
  <c r="L19" i="9"/>
  <c r="L23" i="9" s="1"/>
  <c r="J19" i="9"/>
  <c r="J23" i="9" s="1"/>
  <c r="I19" i="9"/>
  <c r="I23" i="9" s="1"/>
  <c r="H19" i="9"/>
  <c r="H23" i="9" s="1"/>
  <c r="C19" i="9"/>
  <c r="C23" i="9" s="1"/>
  <c r="Q18" i="9"/>
  <c r="P18" i="9"/>
  <c r="N18" i="9"/>
  <c r="M18" i="9"/>
  <c r="L18" i="9"/>
  <c r="J18" i="9"/>
  <c r="I18" i="9"/>
  <c r="H18" i="9"/>
  <c r="C18" i="9"/>
  <c r="Q17" i="9"/>
  <c r="P17" i="9"/>
  <c r="N17" i="9"/>
  <c r="M17" i="9"/>
  <c r="L17" i="9"/>
  <c r="J17" i="9"/>
  <c r="I17" i="9"/>
  <c r="H17" i="9"/>
  <c r="C17" i="9"/>
  <c r="Q16" i="9"/>
  <c r="P16" i="9"/>
  <c r="N16" i="9"/>
  <c r="M16" i="9"/>
  <c r="L16" i="9"/>
  <c r="J16" i="9"/>
  <c r="I16" i="9"/>
  <c r="H16" i="9"/>
  <c r="C16" i="9"/>
  <c r="Q12" i="9"/>
  <c r="P12" i="9"/>
  <c r="N12" i="9"/>
  <c r="M12" i="9"/>
  <c r="L12" i="9"/>
  <c r="J12" i="9"/>
  <c r="I12" i="9"/>
  <c r="H12" i="9"/>
  <c r="C12" i="9"/>
  <c r="Q7" i="9"/>
  <c r="P7" i="9"/>
  <c r="Q6" i="9"/>
  <c r="P6" i="9"/>
  <c r="H4" i="9"/>
  <c r="H3" i="9"/>
  <c r="U4" i="9"/>
  <c r="T4" i="9"/>
  <c r="S4" i="9"/>
  <c r="R4" i="9"/>
  <c r="Q4" i="9"/>
  <c r="P4" i="9"/>
  <c r="O4" i="9"/>
  <c r="N4" i="9"/>
  <c r="M4" i="9"/>
  <c r="L4" i="9"/>
  <c r="K4" i="9"/>
  <c r="J4" i="9"/>
  <c r="I4" i="9"/>
  <c r="U3" i="9"/>
  <c r="T3" i="9"/>
  <c r="S3" i="9"/>
  <c r="R3" i="9"/>
  <c r="Q3" i="9"/>
  <c r="P3" i="9"/>
  <c r="O3" i="9"/>
  <c r="N3" i="9"/>
  <c r="M3" i="9"/>
  <c r="L3" i="9"/>
  <c r="K3" i="9"/>
  <c r="J3" i="9"/>
  <c r="I3" i="9"/>
  <c r="V4" i="9"/>
  <c r="V3" i="9"/>
  <c r="S103" i="8"/>
  <c r="H4" i="10"/>
  <c r="I4" i="10"/>
  <c r="J4" i="10"/>
  <c r="K4" i="10"/>
  <c r="L4" i="10"/>
  <c r="W4" i="10" s="1"/>
  <c r="M4" i="10"/>
  <c r="X4" i="10" s="1"/>
  <c r="N4" i="10"/>
  <c r="Y4" i="10" s="1"/>
  <c r="O4" i="10"/>
  <c r="Z4" i="10" s="1"/>
  <c r="AF14" i="10"/>
  <c r="AC13" i="10"/>
  <c r="AE8" i="10"/>
  <c r="AF7" i="10"/>
  <c r="Y7" i="10"/>
  <c r="O39" i="9"/>
  <c r="K39" i="9"/>
  <c r="J42" i="9"/>
  <c r="C42" i="9"/>
  <c r="Q73" i="8"/>
  <c r="P73" i="8"/>
  <c r="Q66" i="9" s="1"/>
  <c r="O73" i="8"/>
  <c r="P66" i="9" s="1"/>
  <c r="M73" i="8"/>
  <c r="N66" i="9" s="1"/>
  <c r="L73" i="8"/>
  <c r="M66" i="9" s="1"/>
  <c r="K73" i="8"/>
  <c r="L66" i="9" s="1"/>
  <c r="I73" i="8"/>
  <c r="J66" i="9" s="1"/>
  <c r="H73" i="8"/>
  <c r="I66" i="9" s="1"/>
  <c r="G73" i="8"/>
  <c r="H66" i="9" s="1"/>
  <c r="E73" i="8"/>
  <c r="D73" i="8"/>
  <c r="C73" i="8"/>
  <c r="C66" i="9"/>
  <c r="AA7" i="10"/>
  <c r="X7" i="10"/>
  <c r="W7" i="10"/>
  <c r="AF4" i="10"/>
  <c r="AF3" i="10"/>
  <c r="U4" i="10"/>
  <c r="AE4" i="10" s="1"/>
  <c r="T4" i="10"/>
  <c r="AD4" i="10" s="1"/>
  <c r="S4" i="10"/>
  <c r="AC4" i="10" s="1"/>
  <c r="R4" i="10"/>
  <c r="Q4" i="10"/>
  <c r="AB4" i="10" s="1"/>
  <c r="P4" i="10"/>
  <c r="AA4" i="10" s="1"/>
  <c r="U3" i="10"/>
  <c r="AE3" i="10" s="1"/>
  <c r="T3" i="10"/>
  <c r="AD3" i="10" s="1"/>
  <c r="S3" i="10"/>
  <c r="AC3" i="10" s="1"/>
  <c r="R3" i="10"/>
  <c r="Q3" i="10"/>
  <c r="AB3" i="10" s="1"/>
  <c r="P3" i="10"/>
  <c r="AA3" i="10" s="1"/>
  <c r="O3" i="10"/>
  <c r="Z3" i="10" s="1"/>
  <c r="N3" i="10"/>
  <c r="Y3" i="10" s="1"/>
  <c r="M3" i="10"/>
  <c r="X3" i="10" s="1"/>
  <c r="L3" i="10"/>
  <c r="W3" i="10" s="1"/>
  <c r="K3" i="10"/>
  <c r="J3" i="10"/>
  <c r="I3" i="10"/>
  <c r="H3" i="10"/>
  <c r="M41" i="9"/>
  <c r="S97" i="8"/>
  <c r="U94" i="8"/>
  <c r="S90" i="8"/>
  <c r="K27" i="9"/>
  <c r="K58" i="9"/>
  <c r="X58" i="9" s="1"/>
  <c r="O18" i="9"/>
  <c r="K19" i="9"/>
  <c r="K23" i="9" s="1"/>
  <c r="U18" i="8"/>
  <c r="X72" i="8"/>
  <c r="W72" i="8"/>
  <c r="U72" i="8"/>
  <c r="T72" i="8"/>
  <c r="S72" i="8"/>
  <c r="X69" i="8"/>
  <c r="W69" i="8"/>
  <c r="U69" i="8"/>
  <c r="T69" i="8"/>
  <c r="S69" i="8"/>
  <c r="X65" i="8"/>
  <c r="W65" i="8"/>
  <c r="U65" i="8"/>
  <c r="T65" i="8"/>
  <c r="S65" i="8"/>
  <c r="X61" i="8"/>
  <c r="W61" i="8"/>
  <c r="U61" i="8"/>
  <c r="T61" i="8"/>
  <c r="S61" i="8"/>
  <c r="X60" i="8"/>
  <c r="W60" i="8"/>
  <c r="U60" i="8"/>
  <c r="T60" i="8"/>
  <c r="S60" i="8"/>
  <c r="X57" i="8"/>
  <c r="W57" i="8"/>
  <c r="U57" i="8"/>
  <c r="T57" i="8"/>
  <c r="S57" i="8"/>
  <c r="X56" i="8"/>
  <c r="W56" i="8"/>
  <c r="U56" i="8"/>
  <c r="T56" i="8"/>
  <c r="S56" i="8"/>
  <c r="X52" i="8"/>
  <c r="W52" i="8"/>
  <c r="U52" i="8"/>
  <c r="T52" i="8"/>
  <c r="S52" i="8"/>
  <c r="X51" i="8"/>
  <c r="W51" i="8"/>
  <c r="U51" i="8"/>
  <c r="T51" i="8"/>
  <c r="S51" i="8"/>
  <c r="X35" i="8"/>
  <c r="W35" i="8"/>
  <c r="U35" i="8"/>
  <c r="T35" i="8"/>
  <c r="S35" i="8"/>
  <c r="N28" i="8"/>
  <c r="J28" i="8"/>
  <c r="T28" i="8" s="1"/>
  <c r="S91" i="8"/>
  <c r="V72" i="8"/>
  <c r="V69" i="8"/>
  <c r="V65" i="8"/>
  <c r="K57" i="9"/>
  <c r="V60" i="8"/>
  <c r="V57" i="8"/>
  <c r="K56" i="9"/>
  <c r="V52" i="8"/>
  <c r="V51" i="8"/>
  <c r="K59" i="9"/>
  <c r="K51" i="9"/>
  <c r="X51" i="9" s="1"/>
  <c r="K55" i="9"/>
  <c r="K50" i="9"/>
  <c r="X50" i="9" s="1"/>
  <c r="K48" i="9"/>
  <c r="S13" i="8"/>
  <c r="J35" i="8"/>
  <c r="J32" i="8"/>
  <c r="T22" i="8"/>
  <c r="U17" i="8"/>
  <c r="AB33" i="9" l="1"/>
  <c r="AC33" i="9"/>
  <c r="AD33" i="9"/>
  <c r="X33" i="9"/>
  <c r="AF33" i="9"/>
  <c r="Y33" i="9"/>
  <c r="Z33" i="9"/>
  <c r="V13" i="8"/>
  <c r="V28" i="8"/>
  <c r="V52" i="9"/>
  <c r="AE56" i="8"/>
  <c r="AA39" i="9"/>
  <c r="J118" i="8"/>
  <c r="T118" i="8" s="1"/>
  <c r="Q52" i="9"/>
  <c r="U52" i="9"/>
  <c r="T97" i="8"/>
  <c r="K52" i="9"/>
  <c r="AE39" i="9"/>
  <c r="X39" i="9"/>
  <c r="Y39" i="9"/>
  <c r="Z39" i="9"/>
  <c r="AE32" i="8"/>
  <c r="AB39" i="9"/>
  <c r="AC39" i="9"/>
  <c r="H67" i="9"/>
  <c r="AD39" i="9"/>
  <c r="T94" i="8"/>
  <c r="N52" i="9"/>
  <c r="R52" i="9"/>
  <c r="O59" i="9"/>
  <c r="M52" i="9"/>
  <c r="H52" i="9"/>
  <c r="J52" i="9"/>
  <c r="I52" i="9"/>
  <c r="AE51" i="9"/>
  <c r="P52" i="9"/>
  <c r="T52" i="9"/>
  <c r="AF50" i="9"/>
  <c r="AF49" i="9"/>
  <c r="AE18" i="9"/>
  <c r="AE35" i="8"/>
  <c r="T13" i="8"/>
  <c r="K18" i="9"/>
  <c r="S17" i="8"/>
  <c r="O17" i="9"/>
  <c r="T18" i="8"/>
  <c r="AB18" i="9"/>
  <c r="X19" i="9"/>
  <c r="AC18" i="9"/>
  <c r="Y19" i="9"/>
  <c r="K16" i="9"/>
  <c r="AD18" i="9"/>
  <c r="Z19" i="9"/>
  <c r="K17" i="9"/>
  <c r="O19" i="9"/>
  <c r="AA19" i="9"/>
  <c r="L48" i="9"/>
  <c r="L52" i="9" s="1"/>
  <c r="W118" i="8"/>
  <c r="Z118" i="8"/>
  <c r="AF51" i="9"/>
  <c r="M27" i="9"/>
  <c r="P42" i="9"/>
  <c r="S22" i="8"/>
  <c r="K12" i="9"/>
  <c r="O16" i="9"/>
  <c r="I38" i="9"/>
  <c r="O50" i="9"/>
  <c r="AB50" i="9" s="1"/>
  <c r="V61" i="8"/>
  <c r="O57" i="9"/>
  <c r="AF58" i="9"/>
  <c r="M37" i="9"/>
  <c r="M40" i="9"/>
  <c r="V18" i="8"/>
  <c r="U22" i="8"/>
  <c r="X13" i="8"/>
  <c r="W13" i="8"/>
  <c r="V56" i="8"/>
  <c r="O56" i="9"/>
  <c r="O58" i="9"/>
  <c r="AB58" i="9" s="1"/>
  <c r="W103" i="8"/>
  <c r="X22" i="8"/>
  <c r="O48" i="9"/>
  <c r="S28" i="8"/>
  <c r="K32" i="9"/>
  <c r="Q34" i="9"/>
  <c r="AA118" i="8"/>
  <c r="Q40" i="9"/>
  <c r="T91" i="8"/>
  <c r="W18" i="8"/>
  <c r="V22" i="8"/>
  <c r="U28" i="8"/>
  <c r="M38" i="9"/>
  <c r="Q27" i="9"/>
  <c r="U99" i="8"/>
  <c r="Q41" i="9"/>
  <c r="AB118" i="8"/>
  <c r="X18" i="8"/>
  <c r="W22" i="8"/>
  <c r="M31" i="9"/>
  <c r="N34" i="9"/>
  <c r="W17" i="8"/>
  <c r="V118" i="8"/>
  <c r="O12" i="9"/>
  <c r="X118" i="8"/>
  <c r="O32" i="9"/>
  <c r="X28" i="8"/>
  <c r="W28" i="8"/>
  <c r="X17" i="8"/>
  <c r="V17" i="8"/>
  <c r="K38" i="9"/>
  <c r="T103" i="8"/>
  <c r="U13" i="8"/>
  <c r="Y118" i="8"/>
  <c r="O55" i="9"/>
  <c r="S89" i="8"/>
  <c r="T17" i="8"/>
  <c r="I27" i="9"/>
  <c r="J38" i="9"/>
  <c r="T89" i="8"/>
  <c r="J27" i="9"/>
  <c r="I34" i="9"/>
  <c r="S18" i="8"/>
  <c r="K41" i="9"/>
  <c r="X41" i="9" s="1"/>
  <c r="H42" i="9"/>
  <c r="T90" i="8"/>
  <c r="S94" i="8"/>
  <c r="I37" i="9"/>
  <c r="Q37" i="9"/>
  <c r="M34" i="9"/>
  <c r="O51" i="9"/>
  <c r="AB51" i="9" s="1"/>
  <c r="P8" i="9"/>
  <c r="AD13" i="10"/>
  <c r="AC14" i="10"/>
  <c r="AD14" i="10"/>
  <c r="AE13" i="10"/>
  <c r="AC8" i="10"/>
  <c r="AF8" i="10"/>
  <c r="AF13" i="10"/>
  <c r="AD8" i="10"/>
  <c r="AD7" i="10"/>
  <c r="AE7" i="10"/>
  <c r="AC7" i="10"/>
  <c r="AE14" i="10"/>
  <c r="Z7" i="10"/>
  <c r="AB7" i="10"/>
  <c r="T73" i="8"/>
  <c r="J73" i="8"/>
  <c r="K66" i="9" s="1"/>
  <c r="V73" i="8"/>
  <c r="X73" i="8"/>
  <c r="Y73" i="8"/>
  <c r="Z73" i="8"/>
  <c r="AB73" i="8"/>
  <c r="U73" i="8"/>
  <c r="N73" i="8"/>
  <c r="O66" i="9" s="1"/>
  <c r="W73" i="8"/>
  <c r="AA73" i="8"/>
  <c r="S73" i="8"/>
  <c r="AC73" i="8"/>
  <c r="J31" i="9"/>
  <c r="J34" i="9"/>
  <c r="W94" i="8"/>
  <c r="U90" i="8"/>
  <c r="AE98" i="8" l="1"/>
  <c r="AE97" i="8"/>
  <c r="AE18" i="8"/>
  <c r="U118" i="8"/>
  <c r="S118" i="8"/>
  <c r="Z41" i="9"/>
  <c r="V91" i="8"/>
  <c r="Z27" i="9"/>
  <c r="T99" i="8"/>
  <c r="AI39" i="9"/>
  <c r="Z38" i="9"/>
  <c r="AE28" i="8"/>
  <c r="Y41" i="9"/>
  <c r="AH39" i="9"/>
  <c r="AF39" i="9"/>
  <c r="Y38" i="9"/>
  <c r="AG39" i="9"/>
  <c r="X38" i="9"/>
  <c r="W97" i="8"/>
  <c r="Y27" i="9"/>
  <c r="X27" i="9"/>
  <c r="S52" i="9"/>
  <c r="O52" i="9"/>
  <c r="X32" i="9"/>
  <c r="AA32" i="9"/>
  <c r="Z32" i="9"/>
  <c r="Y32" i="9"/>
  <c r="AE32" i="9"/>
  <c r="AB32" i="9"/>
  <c r="AD32" i="9"/>
  <c r="AC32" i="9"/>
  <c r="AI32" i="9"/>
  <c r="AF32" i="9"/>
  <c r="AH32" i="9"/>
  <c r="AG32" i="9"/>
  <c r="AI19" i="9"/>
  <c r="AH19" i="9"/>
  <c r="AG19" i="9"/>
  <c r="AF19" i="9"/>
  <c r="O23" i="9"/>
  <c r="AE19" i="9"/>
  <c r="AD19" i="9"/>
  <c r="AC19" i="9"/>
  <c r="AB19" i="9"/>
  <c r="AE17" i="9"/>
  <c r="AD17" i="9"/>
  <c r="AC17" i="9"/>
  <c r="AB17" i="9"/>
  <c r="AI17" i="9"/>
  <c r="AH17" i="9"/>
  <c r="AG17" i="9"/>
  <c r="AF17" i="9"/>
  <c r="AA17" i="9"/>
  <c r="Z17" i="9"/>
  <c r="Y17" i="9"/>
  <c r="X17" i="9"/>
  <c r="AI16" i="9"/>
  <c r="AH16" i="9"/>
  <c r="AG16" i="9"/>
  <c r="AF16" i="9"/>
  <c r="AA18" i="9"/>
  <c r="Z18" i="9"/>
  <c r="Y18" i="9"/>
  <c r="X18" i="9"/>
  <c r="AI18" i="9"/>
  <c r="AK18" i="9" s="1"/>
  <c r="AH18" i="9"/>
  <c r="AG18" i="9"/>
  <c r="AF18" i="9"/>
  <c r="AE16" i="9"/>
  <c r="AD16" i="9"/>
  <c r="AC16" i="9"/>
  <c r="AB16" i="9"/>
  <c r="AA16" i="9"/>
  <c r="Z16" i="9"/>
  <c r="Y16" i="9"/>
  <c r="X16" i="9"/>
  <c r="N27" i="9"/>
  <c r="AA27" i="9" s="1"/>
  <c r="U103" i="8"/>
  <c r="V103" i="8"/>
  <c r="X91" i="8"/>
  <c r="U96" i="8"/>
  <c r="W88" i="8"/>
  <c r="N41" i="9"/>
  <c r="V98" i="8"/>
  <c r="AB115" i="8"/>
  <c r="V99" i="8"/>
  <c r="S99" i="8"/>
  <c r="Q42" i="9"/>
  <c r="X97" i="8"/>
  <c r="K42" i="9"/>
  <c r="N31" i="9"/>
  <c r="X103" i="8"/>
  <c r="K37" i="9"/>
  <c r="W95" i="8"/>
  <c r="M42" i="9"/>
  <c r="V95" i="8"/>
  <c r="AI40" i="9"/>
  <c r="N38" i="9"/>
  <c r="AA38" i="9" s="1"/>
  <c r="W98" i="8"/>
  <c r="U91" i="8"/>
  <c r="V94" i="8"/>
  <c r="J40" i="9"/>
  <c r="U88" i="8"/>
  <c r="O37" i="9"/>
  <c r="V88" i="8"/>
  <c r="X88" i="8"/>
  <c r="W99" i="8"/>
  <c r="X98" i="8"/>
  <c r="N37" i="9"/>
  <c r="U97" i="8"/>
  <c r="S95" i="8"/>
  <c r="O38" i="9"/>
  <c r="AE38" i="9" s="1"/>
  <c r="X94" i="8"/>
  <c r="X99" i="8"/>
  <c r="U89" i="8"/>
  <c r="N40" i="9"/>
  <c r="X95" i="8"/>
  <c r="T98" i="8"/>
  <c r="W91" i="8"/>
  <c r="V97" i="8"/>
  <c r="AE90" i="8"/>
  <c r="V89" i="8"/>
  <c r="AE94" i="8" l="1"/>
  <c r="AE88" i="8"/>
  <c r="AE96" i="8"/>
  <c r="AE99" i="8"/>
  <c r="T95" i="8"/>
  <c r="V96" i="8"/>
  <c r="T88" i="8"/>
  <c r="AA41" i="9"/>
  <c r="AI38" i="9"/>
  <c r="AG38" i="9"/>
  <c r="AH40" i="9"/>
  <c r="AH38" i="9"/>
  <c r="AG40" i="9"/>
  <c r="AF40" i="9"/>
  <c r="AD38" i="9"/>
  <c r="AB38" i="9"/>
  <c r="AF38" i="9"/>
  <c r="AC38" i="9"/>
  <c r="AE95" i="8"/>
  <c r="W90" i="8"/>
  <c r="S88" i="8"/>
  <c r="X90" i="8"/>
  <c r="Z42" i="9"/>
  <c r="Y42" i="9"/>
  <c r="X42" i="9"/>
  <c r="W89" i="8"/>
  <c r="V90" i="8"/>
  <c r="AK17" i="9"/>
  <c r="X89" i="8"/>
  <c r="W96" i="8"/>
  <c r="AE103" i="8"/>
  <c r="X96" i="8"/>
  <c r="O40" i="9"/>
  <c r="AC40" i="9" s="1"/>
  <c r="AI31" i="9"/>
  <c r="K40" i="9"/>
  <c r="AA40" i="9" s="1"/>
  <c r="N42" i="9"/>
  <c r="AA42" i="9" s="1"/>
  <c r="O41" i="9"/>
  <c r="AE41" i="9" s="1"/>
  <c r="O27" i="9"/>
  <c r="U95" i="8"/>
  <c r="K34" i="9"/>
  <c r="S96" i="8"/>
  <c r="U98" i="8"/>
  <c r="S98" i="8"/>
  <c r="O34" i="9"/>
  <c r="O31" i="9"/>
  <c r="AD31" i="9" s="1"/>
  <c r="K31" i="9"/>
  <c r="T96" i="8"/>
  <c r="AC41" i="9" l="1"/>
  <c r="AF31" i="9"/>
  <c r="AD41" i="9"/>
  <c r="AH31" i="9"/>
  <c r="AI41" i="9"/>
  <c r="AG41" i="9"/>
  <c r="AF41" i="9"/>
  <c r="AH41" i="9"/>
  <c r="AB41" i="9"/>
  <c r="AA31" i="9"/>
  <c r="X31" i="9"/>
  <c r="Y31" i="9"/>
  <c r="Z31" i="9"/>
  <c r="AD40" i="9"/>
  <c r="Y40" i="9"/>
  <c r="X40" i="9"/>
  <c r="AE31" i="9"/>
  <c r="AB31" i="9"/>
  <c r="Z40" i="9"/>
  <c r="AE40" i="9"/>
  <c r="AB40" i="9"/>
  <c r="AG31" i="9"/>
  <c r="AC31" i="9"/>
  <c r="AE89" i="8"/>
  <c r="AI34" i="9"/>
  <c r="AH34" i="9"/>
  <c r="AG34" i="9"/>
  <c r="AF34" i="9"/>
  <c r="AH27" i="9"/>
  <c r="AG27" i="9"/>
  <c r="AF27" i="9"/>
  <c r="AI27" i="9"/>
  <c r="AD34" i="9"/>
  <c r="AC34" i="9"/>
  <c r="AB34" i="9"/>
  <c r="AE34" i="9"/>
  <c r="AA34" i="9"/>
  <c r="Z34" i="9"/>
  <c r="Y34" i="9"/>
  <c r="X34" i="9"/>
  <c r="AE27" i="9"/>
  <c r="AD27" i="9"/>
  <c r="AC27" i="9"/>
  <c r="AB27" i="9"/>
  <c r="O42" i="9"/>
  <c r="AH42" i="9" l="1"/>
  <c r="AG42" i="9"/>
  <c r="AF42" i="9"/>
  <c r="AI42" i="9"/>
  <c r="AE42" i="9"/>
  <c r="AD42" i="9"/>
  <c r="AC42" i="9"/>
  <c r="AB42" i="9"/>
  <c r="S64" i="9"/>
  <c r="K64" i="9"/>
  <c r="J64" i="9"/>
  <c r="I64" i="9"/>
  <c r="F64" i="9"/>
  <c r="E64" i="9"/>
  <c r="D64" i="9"/>
  <c r="C64" i="9"/>
  <c r="Q62" i="8"/>
  <c r="AI59" i="9"/>
  <c r="AH59" i="9"/>
  <c r="AF59" i="9"/>
  <c r="AE59" i="9"/>
  <c r="AD59" i="9"/>
  <c r="AB59" i="9"/>
  <c r="AA59" i="9"/>
  <c r="Z59" i="9"/>
  <c r="X59" i="9"/>
  <c r="AI57" i="9"/>
  <c r="AH57" i="9"/>
  <c r="AF57" i="9"/>
  <c r="AE57" i="9"/>
  <c r="AD57" i="9"/>
  <c r="AB57" i="9"/>
  <c r="AA57" i="9"/>
  <c r="Z57" i="9"/>
  <c r="X57" i="9"/>
  <c r="AI56" i="9"/>
  <c r="AH56" i="9"/>
  <c r="AF56" i="9"/>
  <c r="AE56" i="9"/>
  <c r="AD56" i="9"/>
  <c r="AB56" i="9"/>
  <c r="AA56" i="9"/>
  <c r="Z56" i="9"/>
  <c r="X56" i="9"/>
  <c r="AI55" i="9"/>
  <c r="AH55" i="9"/>
  <c r="AF55" i="9"/>
  <c r="AE55" i="9"/>
  <c r="AD55" i="9"/>
  <c r="AB55" i="9"/>
  <c r="AA55" i="9"/>
  <c r="Z55" i="9"/>
  <c r="X55" i="9"/>
  <c r="AI48" i="9"/>
  <c r="AI52" i="9" s="1"/>
  <c r="AH48" i="9"/>
  <c r="AH52" i="9" s="1"/>
  <c r="AF48" i="9"/>
  <c r="AF52" i="9" s="1"/>
  <c r="AE48" i="9"/>
  <c r="AE52" i="9" s="1"/>
  <c r="AD48" i="9"/>
  <c r="AD52" i="9" s="1"/>
  <c r="AB48" i="9"/>
  <c r="AB52" i="9" s="1"/>
  <c r="AA48" i="9"/>
  <c r="AA52" i="9" s="1"/>
  <c r="Z48" i="9"/>
  <c r="Z52" i="9" s="1"/>
  <c r="X48" i="9"/>
  <c r="X52" i="9" s="1"/>
  <c r="AI4" i="9"/>
  <c r="AH4" i="9"/>
  <c r="AG4" i="9"/>
  <c r="AF4" i="9"/>
  <c r="AE4" i="9"/>
  <c r="AD4" i="9"/>
  <c r="AC4" i="9"/>
  <c r="AB4" i="9"/>
  <c r="AA4" i="9"/>
  <c r="Z4" i="9"/>
  <c r="Y4" i="9"/>
  <c r="X4" i="9"/>
  <c r="AI3" i="9"/>
  <c r="AH3" i="9"/>
  <c r="AG3" i="9"/>
  <c r="AF3" i="9"/>
  <c r="AE3" i="9"/>
  <c r="AD3" i="9"/>
  <c r="AC3" i="9"/>
  <c r="AB3" i="9"/>
  <c r="AA3" i="9"/>
  <c r="Z3" i="9"/>
  <c r="Y3" i="9"/>
  <c r="X3" i="9"/>
  <c r="F4" i="9"/>
  <c r="E4" i="9"/>
  <c r="D4" i="9"/>
  <c r="C4" i="9"/>
  <c r="F3" i="9"/>
  <c r="E3" i="9"/>
  <c r="D3" i="9"/>
  <c r="C3" i="9"/>
  <c r="X14" i="10"/>
  <c r="Y13" i="10"/>
  <c r="AB14" i="10"/>
  <c r="AA13" i="10"/>
  <c r="S15" i="10"/>
  <c r="U15" i="10"/>
  <c r="T15" i="10"/>
  <c r="R15" i="10"/>
  <c r="Q15" i="10"/>
  <c r="P15" i="10"/>
  <c r="F15" i="10"/>
  <c r="E15" i="10"/>
  <c r="D15" i="10"/>
  <c r="Y14" i="10"/>
  <c r="AB13" i="10"/>
  <c r="Z13" i="10"/>
  <c r="O104" i="8"/>
  <c r="K104" i="8"/>
  <c r="N11" i="8"/>
  <c r="O8" i="9" s="1"/>
  <c r="N35" i="8"/>
  <c r="V35" i="8" s="1"/>
  <c r="N32" i="8"/>
  <c r="J11" i="8"/>
  <c r="K8" i="9" s="1"/>
  <c r="AG48" i="9"/>
  <c r="AG52" i="9" s="1"/>
  <c r="Y57" i="9"/>
  <c r="AB66" i="9"/>
  <c r="P46" i="8"/>
  <c r="P53" i="8" s="1"/>
  <c r="O46" i="8"/>
  <c r="O53" i="8" s="1"/>
  <c r="K46" i="8"/>
  <c r="K53" i="8" s="1"/>
  <c r="Q82" i="8"/>
  <c r="P82" i="8"/>
  <c r="O82" i="8"/>
  <c r="N82" i="8"/>
  <c r="M82" i="8"/>
  <c r="L82" i="8"/>
  <c r="K82" i="8"/>
  <c r="J82" i="8"/>
  <c r="I82" i="8"/>
  <c r="H82" i="8"/>
  <c r="Q81" i="8"/>
  <c r="P81" i="8"/>
  <c r="O81" i="8"/>
  <c r="N81" i="8"/>
  <c r="M81" i="8"/>
  <c r="L81" i="8"/>
  <c r="K81" i="8"/>
  <c r="J81" i="8"/>
  <c r="I81" i="8"/>
  <c r="H81" i="8"/>
  <c r="AF66" i="9"/>
  <c r="AE66" i="9"/>
  <c r="AD66" i="9"/>
  <c r="AA66" i="9"/>
  <c r="Z66" i="9"/>
  <c r="Y66" i="9"/>
  <c r="X66" i="9"/>
  <c r="I62" i="8"/>
  <c r="H62" i="8"/>
  <c r="G46" i="8"/>
  <c r="G53" i="8" s="1"/>
  <c r="H46" i="8"/>
  <c r="H53" i="8" s="1"/>
  <c r="I46" i="8"/>
  <c r="I53" i="8" s="1"/>
  <c r="L46" i="8"/>
  <c r="L53" i="8" s="1"/>
  <c r="M46" i="8"/>
  <c r="M53" i="8" s="1"/>
  <c r="Q46" i="8"/>
  <c r="Q53" i="8" s="1"/>
  <c r="Q40" i="8"/>
  <c r="P40" i="8"/>
  <c r="O40" i="8"/>
  <c r="N40" i="8"/>
  <c r="M40" i="8"/>
  <c r="L40" i="8"/>
  <c r="K40" i="8"/>
  <c r="J40" i="8"/>
  <c r="I40" i="8"/>
  <c r="H40" i="8"/>
  <c r="Q39" i="8"/>
  <c r="P39" i="8"/>
  <c r="O39" i="8"/>
  <c r="N39" i="8"/>
  <c r="M39" i="8"/>
  <c r="L39" i="8"/>
  <c r="K39" i="8"/>
  <c r="J39" i="8"/>
  <c r="I39" i="8"/>
  <c r="H39" i="8"/>
  <c r="G40" i="8"/>
  <c r="G39" i="8"/>
  <c r="E40" i="8"/>
  <c r="D40" i="8"/>
  <c r="C40" i="8"/>
  <c r="E39" i="8"/>
  <c r="D39" i="8"/>
  <c r="C39" i="8"/>
  <c r="Q11" i="8"/>
  <c r="Q14" i="8" s="1"/>
  <c r="P11" i="8"/>
  <c r="P14" i="8" s="1"/>
  <c r="O11" i="8"/>
  <c r="O14" i="8" s="1"/>
  <c r="M11" i="8"/>
  <c r="L11" i="8"/>
  <c r="K11" i="8"/>
  <c r="I11" i="8"/>
  <c r="H11" i="8"/>
  <c r="G11" i="8"/>
  <c r="E4" i="10"/>
  <c r="D4" i="10"/>
  <c r="C4" i="10"/>
  <c r="E3" i="10"/>
  <c r="D3" i="10"/>
  <c r="C3" i="10"/>
  <c r="F4" i="10"/>
  <c r="F3" i="10"/>
  <c r="X115" i="8" l="1"/>
  <c r="Y115" i="8"/>
  <c r="U115" i="8"/>
  <c r="G14" i="8"/>
  <c r="G15" i="8" s="1"/>
  <c r="H8" i="9"/>
  <c r="H13" i="9" s="1"/>
  <c r="Q67" i="8"/>
  <c r="H14" i="8"/>
  <c r="H15" i="8" s="1"/>
  <c r="I8" i="9"/>
  <c r="S115" i="8"/>
  <c r="T115" i="8"/>
  <c r="K14" i="8"/>
  <c r="K19" i="8" s="1"/>
  <c r="K25" i="8" s="1"/>
  <c r="K26" i="8" s="1"/>
  <c r="L8" i="9"/>
  <c r="H67" i="8"/>
  <c r="I61" i="9" s="1"/>
  <c r="I60" i="9"/>
  <c r="L14" i="8"/>
  <c r="L15" i="8" s="1"/>
  <c r="M8" i="9"/>
  <c r="I67" i="8"/>
  <c r="J61" i="9" s="1"/>
  <c r="J60" i="9"/>
  <c r="M14" i="8"/>
  <c r="M15" i="8" s="1"/>
  <c r="N8" i="9"/>
  <c r="AA115" i="8"/>
  <c r="Z115" i="8"/>
  <c r="I14" i="8"/>
  <c r="I19" i="8" s="1"/>
  <c r="I25" i="8" s="1"/>
  <c r="J8" i="9"/>
  <c r="W115" i="8"/>
  <c r="V115" i="8"/>
  <c r="N64" i="9"/>
  <c r="D52" i="9"/>
  <c r="M64" i="9"/>
  <c r="E52" i="9"/>
  <c r="U64" i="9"/>
  <c r="C52" i="9"/>
  <c r="O64" i="9"/>
  <c r="Q64" i="9"/>
  <c r="R64" i="9"/>
  <c r="AE64" i="9"/>
  <c r="AE67" i="9" s="1"/>
  <c r="F52" i="9"/>
  <c r="X64" i="9"/>
  <c r="X67" i="9" s="1"/>
  <c r="AF64" i="9"/>
  <c r="AF67" i="9" s="1"/>
  <c r="AB64" i="9"/>
  <c r="AB67" i="9" s="1"/>
  <c r="AH64" i="9"/>
  <c r="AD64" i="9"/>
  <c r="AD67" i="9" s="1"/>
  <c r="AA64" i="9"/>
  <c r="AA67" i="9" s="1"/>
  <c r="Z64" i="9"/>
  <c r="Z67" i="9" s="1"/>
  <c r="L64" i="9"/>
  <c r="Y64" i="9"/>
  <c r="Y67" i="9" s="1"/>
  <c r="P64" i="9"/>
  <c r="AC64" i="9"/>
  <c r="O62" i="8"/>
  <c r="L62" i="8"/>
  <c r="K62" i="8"/>
  <c r="L60" i="9" s="1"/>
  <c r="P62" i="8"/>
  <c r="Q60" i="9" s="1"/>
  <c r="E62" i="8"/>
  <c r="M62" i="8"/>
  <c r="X12" i="9"/>
  <c r="AC56" i="9"/>
  <c r="AA23" i="9"/>
  <c r="Y55" i="9"/>
  <c r="AG55" i="9"/>
  <c r="Y59" i="9"/>
  <c r="AG59" i="9"/>
  <c r="AF12" i="9"/>
  <c r="AC57" i="9"/>
  <c r="Y56" i="9"/>
  <c r="AG56" i="9"/>
  <c r="AC55" i="9"/>
  <c r="AC59" i="9"/>
  <c r="AB12" i="9"/>
  <c r="AI12" i="9"/>
  <c r="AG57" i="9"/>
  <c r="W14" i="10"/>
  <c r="W13" i="10"/>
  <c r="X13" i="10"/>
  <c r="X15" i="10" s="1"/>
  <c r="X16" i="10" s="1"/>
  <c r="AE15" i="10"/>
  <c r="AF15" i="10"/>
  <c r="Z14" i="10"/>
  <c r="Z15" i="10" s="1"/>
  <c r="Z16" i="10" s="1"/>
  <c r="AF7" i="9"/>
  <c r="AA14" i="10"/>
  <c r="AA15" i="10" s="1"/>
  <c r="AA16" i="10" s="1"/>
  <c r="AF6" i="9"/>
  <c r="AH7" i="9"/>
  <c r="AI6" i="9"/>
  <c r="Y15" i="10"/>
  <c r="Y16" i="10" s="1"/>
  <c r="AB15" i="10"/>
  <c r="AB16" i="10" s="1"/>
  <c r="H104" i="8"/>
  <c r="J104" i="8"/>
  <c r="L104" i="8"/>
  <c r="P104" i="8"/>
  <c r="Q104" i="8"/>
  <c r="J14" i="8"/>
  <c r="J15" i="8" s="1"/>
  <c r="N14" i="8"/>
  <c r="N15" i="8" s="1"/>
  <c r="AC66" i="9"/>
  <c r="N46" i="8"/>
  <c r="N53" i="8" s="1"/>
  <c r="N62" i="8"/>
  <c r="J46" i="8"/>
  <c r="J53" i="8" s="1"/>
  <c r="J62" i="8"/>
  <c r="P15" i="8"/>
  <c r="P19" i="8"/>
  <c r="Q15" i="8"/>
  <c r="Q19" i="8"/>
  <c r="Q25" i="8" s="1"/>
  <c r="O15" i="8"/>
  <c r="O19" i="8"/>
  <c r="O25" i="8" s="1"/>
  <c r="Y8" i="9" l="1"/>
  <c r="G19" i="8"/>
  <c r="G25" i="8" s="1"/>
  <c r="G26" i="8" s="1"/>
  <c r="X8" i="9"/>
  <c r="AA8" i="9"/>
  <c r="L19" i="8"/>
  <c r="L25" i="8" s="1"/>
  <c r="I74" i="8"/>
  <c r="I76" i="8" s="1"/>
  <c r="Q74" i="8"/>
  <c r="Q76" i="8" s="1"/>
  <c r="H74" i="8"/>
  <c r="H76" i="8" s="1"/>
  <c r="K20" i="8"/>
  <c r="K29" i="8"/>
  <c r="K85" i="8" s="1"/>
  <c r="K100" i="8" s="1"/>
  <c r="K119" i="8" s="1"/>
  <c r="AB8" i="9"/>
  <c r="K15" i="8"/>
  <c r="M19" i="8"/>
  <c r="M25" i="8" s="1"/>
  <c r="Z8" i="9"/>
  <c r="H19" i="8"/>
  <c r="H25" i="8" s="1"/>
  <c r="I15" i="8"/>
  <c r="AF61" i="9"/>
  <c r="AF60" i="9"/>
  <c r="O67" i="8"/>
  <c r="P61" i="9" s="1"/>
  <c r="AC61" i="9" s="1"/>
  <c r="P60" i="9"/>
  <c r="AC60" i="9" s="1"/>
  <c r="M67" i="8"/>
  <c r="N61" i="9" s="1"/>
  <c r="AA61" i="9" s="1"/>
  <c r="N60" i="9"/>
  <c r="AA60" i="9" s="1"/>
  <c r="E67" i="8"/>
  <c r="L67" i="8"/>
  <c r="M61" i="9" s="1"/>
  <c r="Z61" i="9" s="1"/>
  <c r="M60" i="9"/>
  <c r="Z60" i="9" s="1"/>
  <c r="N67" i="8"/>
  <c r="O61" i="9" s="1"/>
  <c r="AB61" i="9" s="1"/>
  <c r="O60" i="9"/>
  <c r="AB60" i="9" s="1"/>
  <c r="H20" i="9"/>
  <c r="H14" i="9"/>
  <c r="J67" i="8"/>
  <c r="K61" i="9" s="1"/>
  <c r="X61" i="9" s="1"/>
  <c r="K60" i="9"/>
  <c r="X60" i="9" s="1"/>
  <c r="AC15" i="10"/>
  <c r="AH6" i="9"/>
  <c r="AH8" i="9" s="1"/>
  <c r="AI7" i="9"/>
  <c r="W15" i="10"/>
  <c r="W16" i="10" s="1"/>
  <c r="AG7" i="9"/>
  <c r="AD6" i="9"/>
  <c r="AE7" i="9"/>
  <c r="AC7" i="9"/>
  <c r="AG64" i="9"/>
  <c r="T64" i="9"/>
  <c r="AC6" i="9"/>
  <c r="AC8" i="9" s="1"/>
  <c r="AG6" i="9"/>
  <c r="AE6" i="9"/>
  <c r="AD7" i="9"/>
  <c r="AD15" i="10"/>
  <c r="AF8" i="9"/>
  <c r="AF13" i="9" s="1"/>
  <c r="AF14" i="9" s="1"/>
  <c r="AI64" i="9"/>
  <c r="V64" i="9"/>
  <c r="AC67" i="9"/>
  <c r="Y37" i="9"/>
  <c r="X37" i="9"/>
  <c r="Y48" i="9"/>
  <c r="Y52" i="9" s="1"/>
  <c r="AC48" i="9"/>
  <c r="AC52" i="9" s="1"/>
  <c r="AI60" i="9"/>
  <c r="AE60" i="9"/>
  <c r="AD60" i="9"/>
  <c r="K67" i="8"/>
  <c r="P67" i="8"/>
  <c r="X23" i="9"/>
  <c r="AE12" i="9"/>
  <c r="Z23" i="9"/>
  <c r="AD12" i="9"/>
  <c r="AH12" i="9"/>
  <c r="AA12" i="9"/>
  <c r="Z12" i="9"/>
  <c r="Y23" i="9"/>
  <c r="AG12" i="9"/>
  <c r="AC12" i="9"/>
  <c r="AG60" i="9"/>
  <c r="Y12" i="9"/>
  <c r="Y60" i="9"/>
  <c r="M104" i="8"/>
  <c r="I104" i="8"/>
  <c r="N104" i="8"/>
  <c r="P20" i="8"/>
  <c r="P25" i="8"/>
  <c r="J19" i="8"/>
  <c r="N19" i="8"/>
  <c r="Q20" i="8"/>
  <c r="O20" i="8"/>
  <c r="I20" i="8"/>
  <c r="G20" i="8" l="1"/>
  <c r="O74" i="8"/>
  <c r="O76" i="8" s="1"/>
  <c r="L20" i="8"/>
  <c r="M20" i="8"/>
  <c r="K36" i="8"/>
  <c r="N74" i="8"/>
  <c r="N76" i="8" s="1"/>
  <c r="M74" i="8"/>
  <c r="M76" i="8" s="1"/>
  <c r="L74" i="8"/>
  <c r="L76" i="8" s="1"/>
  <c r="J74" i="8"/>
  <c r="J76" i="8" s="1"/>
  <c r="K33" i="8"/>
  <c r="K30" i="8"/>
  <c r="H20" i="8"/>
  <c r="H21" i="9"/>
  <c r="H24" i="9"/>
  <c r="P74" i="8"/>
  <c r="P76" i="8" s="1"/>
  <c r="Q61" i="9"/>
  <c r="AD61" i="9" s="1"/>
  <c r="K74" i="8"/>
  <c r="K76" i="8" s="1"/>
  <c r="L61" i="9"/>
  <c r="Y61" i="9" s="1"/>
  <c r="AC13" i="9"/>
  <c r="AC14" i="9" s="1"/>
  <c r="AE8" i="9"/>
  <c r="AE13" i="9" s="1"/>
  <c r="AE14" i="9" s="1"/>
  <c r="AD8" i="9"/>
  <c r="AH9" i="9" s="1"/>
  <c r="Z13" i="9"/>
  <c r="Z14" i="9" s="1"/>
  <c r="AG8" i="9"/>
  <c r="AA13" i="9"/>
  <c r="AA14" i="9" s="1"/>
  <c r="AF9" i="9"/>
  <c r="AF20" i="9"/>
  <c r="AF21" i="9" s="1"/>
  <c r="AH37" i="9"/>
  <c r="AI37" i="9"/>
  <c r="AB37" i="9"/>
  <c r="AG37" i="9"/>
  <c r="Z37" i="9"/>
  <c r="AA37" i="9"/>
  <c r="AH13" i="9"/>
  <c r="AH14" i="9" s="1"/>
  <c r="AB9" i="9"/>
  <c r="AB13" i="9"/>
  <c r="AB14" i="9" s="1"/>
  <c r="X13" i="9"/>
  <c r="AE61" i="9"/>
  <c r="AI23" i="9"/>
  <c r="AE23" i="9"/>
  <c r="AC23" i="9"/>
  <c r="AD23" i="9"/>
  <c r="AB23" i="9"/>
  <c r="AF23" i="9"/>
  <c r="N20" i="8"/>
  <c r="N25" i="8"/>
  <c r="N29" i="8" s="1"/>
  <c r="J25" i="8"/>
  <c r="J29" i="8" s="1"/>
  <c r="J33" i="8" s="1"/>
  <c r="J20" i="8"/>
  <c r="Q29" i="8"/>
  <c r="Q85" i="8" s="1"/>
  <c r="Q26" i="8"/>
  <c r="P26" i="8"/>
  <c r="P29" i="8"/>
  <c r="P85" i="8" s="1"/>
  <c r="I29" i="8"/>
  <c r="I85" i="8" s="1"/>
  <c r="I26" i="8"/>
  <c r="M29" i="8"/>
  <c r="M85" i="8" s="1"/>
  <c r="M26" i="8"/>
  <c r="L29" i="8"/>
  <c r="L26" i="8"/>
  <c r="O29" i="8"/>
  <c r="O85" i="8" s="1"/>
  <c r="O26" i="8"/>
  <c r="H26" i="8"/>
  <c r="H29" i="8"/>
  <c r="H28" i="9" l="1"/>
  <c r="H25" i="9"/>
  <c r="I100" i="8"/>
  <c r="I119" i="8" s="1"/>
  <c r="AC9" i="9"/>
  <c r="AD9" i="9"/>
  <c r="AD13" i="9"/>
  <c r="AD14" i="9" s="1"/>
  <c r="Y13" i="9"/>
  <c r="Y14" i="9" s="1"/>
  <c r="AG9" i="9"/>
  <c r="AE9" i="9"/>
  <c r="AG13" i="9"/>
  <c r="AG20" i="9" s="1"/>
  <c r="AG21" i="9" s="1"/>
  <c r="O100" i="8"/>
  <c r="O119" i="8" s="1"/>
  <c r="P100" i="8"/>
  <c r="P119" i="8" s="1"/>
  <c r="Q100" i="8"/>
  <c r="Q119" i="8" s="1"/>
  <c r="M100" i="8"/>
  <c r="M119" i="8" s="1"/>
  <c r="L85" i="8"/>
  <c r="Z20" i="9"/>
  <c r="Z24" i="9" s="1"/>
  <c r="Z28" i="9" s="1"/>
  <c r="AF24" i="9"/>
  <c r="AF28" i="9" s="1"/>
  <c r="AE20" i="9"/>
  <c r="AE21" i="9" s="1"/>
  <c r="AF37" i="9"/>
  <c r="AH20" i="9"/>
  <c r="AH21" i="9" s="1"/>
  <c r="AA20" i="9"/>
  <c r="AA21" i="9" s="1"/>
  <c r="AB20" i="9"/>
  <c r="AB24" i="9" s="1"/>
  <c r="AB28" i="9" s="1"/>
  <c r="AC20" i="9"/>
  <c r="AC21" i="9" s="1"/>
  <c r="X20" i="9"/>
  <c r="X14" i="9"/>
  <c r="AH23" i="9"/>
  <c r="AG23" i="9"/>
  <c r="H85" i="8"/>
  <c r="J26" i="8"/>
  <c r="J30" i="8"/>
  <c r="J36" i="8"/>
  <c r="J85" i="8"/>
  <c r="N26" i="8"/>
  <c r="N33" i="8"/>
  <c r="N30" i="8"/>
  <c r="N36" i="8"/>
  <c r="L36" i="8"/>
  <c r="L33" i="8"/>
  <c r="L30" i="8"/>
  <c r="Q30" i="8"/>
  <c r="Q36" i="8"/>
  <c r="Q33" i="8"/>
  <c r="M33" i="8"/>
  <c r="M30" i="8"/>
  <c r="M36" i="8"/>
  <c r="O36" i="8"/>
  <c r="O30" i="8"/>
  <c r="O33" i="8"/>
  <c r="I33" i="8"/>
  <c r="I30" i="8"/>
  <c r="I36" i="8"/>
  <c r="H30" i="8"/>
  <c r="H36" i="8"/>
  <c r="H33" i="8"/>
  <c r="P30" i="8"/>
  <c r="P36" i="8"/>
  <c r="P33" i="8"/>
  <c r="H29" i="9" l="1"/>
  <c r="H35" i="9"/>
  <c r="H43" i="9" s="1"/>
  <c r="H100" i="8"/>
  <c r="H119" i="8" s="1"/>
  <c r="S85" i="8"/>
  <c r="J100" i="8"/>
  <c r="J119" i="8" s="1"/>
  <c r="U85" i="8"/>
  <c r="T85" i="8"/>
  <c r="AD20" i="9"/>
  <c r="AD21" i="9" s="1"/>
  <c r="Y20" i="9"/>
  <c r="Y24" i="9" s="1"/>
  <c r="Y28" i="9" s="1"/>
  <c r="AG14" i="9"/>
  <c r="AG24" i="9"/>
  <c r="AG28" i="9" s="1"/>
  <c r="L100" i="8"/>
  <c r="L119" i="8" s="1"/>
  <c r="Z25" i="9"/>
  <c r="Z21" i="9"/>
  <c r="AF25" i="9"/>
  <c r="AH24" i="9"/>
  <c r="AH28" i="9" s="1"/>
  <c r="AE24" i="9"/>
  <c r="AE28" i="9" s="1"/>
  <c r="AC37" i="9"/>
  <c r="AD37" i="9"/>
  <c r="AE37" i="9"/>
  <c r="AB21" i="9"/>
  <c r="AA24" i="9"/>
  <c r="AC24" i="9"/>
  <c r="X24" i="9"/>
  <c r="X28" i="9" s="1"/>
  <c r="X21" i="9"/>
  <c r="AB25" i="9"/>
  <c r="Z29" i="9"/>
  <c r="Z35" i="9"/>
  <c r="AB29" i="9"/>
  <c r="AB35" i="9"/>
  <c r="AF35" i="9"/>
  <c r="AF29" i="9"/>
  <c r="S119" i="8" l="1"/>
  <c r="H44" i="9"/>
  <c r="U119" i="8"/>
  <c r="T119" i="8"/>
  <c r="AD24" i="9"/>
  <c r="AD28" i="9" s="1"/>
  <c r="Y35" i="9"/>
  <c r="Y25" i="9"/>
  <c r="Y21" i="9"/>
  <c r="Y29" i="9"/>
  <c r="AG35" i="9"/>
  <c r="AG25" i="9"/>
  <c r="AG29" i="9"/>
  <c r="AH25" i="9"/>
  <c r="AC25" i="9"/>
  <c r="AC28" i="9"/>
  <c r="AA25" i="9"/>
  <c r="AA28" i="9"/>
  <c r="AE25" i="9"/>
  <c r="X25" i="9"/>
  <c r="AH35" i="9"/>
  <c r="AH29" i="9"/>
  <c r="AD29" i="9" l="1"/>
  <c r="AD25" i="9"/>
  <c r="AD35" i="9"/>
  <c r="AA29" i="9"/>
  <c r="AA35" i="9"/>
  <c r="AC29" i="9"/>
  <c r="AE35" i="9"/>
  <c r="AC35" i="9"/>
  <c r="AE29" i="9"/>
  <c r="X29" i="9"/>
  <c r="X35" i="9"/>
  <c r="B82" i="8"/>
  <c r="B81" i="8"/>
  <c r="G82" i="8"/>
  <c r="G81" i="8"/>
  <c r="E82" i="8"/>
  <c r="D82" i="8"/>
  <c r="C82" i="8"/>
  <c r="E81" i="8"/>
  <c r="D81" i="8"/>
  <c r="C81" i="8"/>
  <c r="B40" i="8"/>
  <c r="B39" i="8"/>
  <c r="AC40" i="8"/>
  <c r="AB40" i="8"/>
  <c r="AA40" i="8"/>
  <c r="Y40" i="8"/>
  <c r="X40" i="8"/>
  <c r="W40" i="8"/>
  <c r="U40" i="8"/>
  <c r="T40" i="8"/>
  <c r="S40" i="8"/>
  <c r="Z40" i="8"/>
  <c r="V40" i="8"/>
  <c r="AC39" i="8"/>
  <c r="AB39" i="8"/>
  <c r="AA39" i="8"/>
  <c r="Z39" i="8"/>
  <c r="Y39" i="8"/>
  <c r="X39" i="8"/>
  <c r="W39" i="8"/>
  <c r="V39" i="8"/>
  <c r="U39" i="8"/>
  <c r="T39" i="8"/>
  <c r="S39" i="8"/>
  <c r="S81" i="8" l="1"/>
  <c r="V81" i="8"/>
  <c r="W81" i="8"/>
  <c r="W82" i="8"/>
  <c r="Z81" i="8"/>
  <c r="AA81" i="8"/>
  <c r="V82" i="8"/>
  <c r="AA82" i="8"/>
  <c r="AB82" i="8"/>
  <c r="Y81" i="8"/>
  <c r="T81" i="8"/>
  <c r="AB81" i="8"/>
  <c r="Y82" i="8"/>
  <c r="X82" i="8"/>
  <c r="U81" i="8"/>
  <c r="AC81" i="8"/>
  <c r="Z82" i="8"/>
  <c r="S82" i="8"/>
  <c r="T82" i="8"/>
  <c r="X81" i="8"/>
  <c r="U82" i="8"/>
  <c r="AC82" i="8"/>
  <c r="E9" i="10" l="1"/>
  <c r="E16" i="10" s="1"/>
  <c r="D9" i="10"/>
  <c r="D16" i="10" s="1"/>
  <c r="U9" i="10"/>
  <c r="T9" i="10"/>
  <c r="S9" i="10"/>
  <c r="R9" i="10"/>
  <c r="Q9" i="10"/>
  <c r="P9" i="10"/>
  <c r="F9" i="10"/>
  <c r="F16" i="10" s="1"/>
  <c r="AG66" i="9"/>
  <c r="AG67" i="9" s="1"/>
  <c r="AI66" i="9"/>
  <c r="R10" i="10" l="1"/>
  <c r="R16" i="10"/>
  <c r="T10" i="10"/>
  <c r="T16" i="10"/>
  <c r="P10" i="10"/>
  <c r="P16" i="10"/>
  <c r="Q10" i="10"/>
  <c r="Q16" i="10"/>
  <c r="S10" i="10"/>
  <c r="S16" i="10"/>
  <c r="U10" i="10"/>
  <c r="U16" i="10"/>
  <c r="E8" i="9"/>
  <c r="Q8" i="9"/>
  <c r="R8" i="9"/>
  <c r="S8" i="9"/>
  <c r="U8" i="9"/>
  <c r="F8" i="9"/>
  <c r="D8" i="9"/>
  <c r="V8" i="9"/>
  <c r="T8" i="9"/>
  <c r="AH66" i="9"/>
  <c r="AH67" i="9" s="1"/>
  <c r="AH60" i="9" l="1"/>
  <c r="AK7" i="9"/>
  <c r="AI67" i="9"/>
  <c r="AI8" i="9"/>
  <c r="AK6" i="9"/>
  <c r="AK8" i="9" l="1"/>
  <c r="X11" i="8" l="1"/>
  <c r="D46" i="8"/>
  <c r="D53" i="8" s="1"/>
  <c r="C46" i="8"/>
  <c r="C53" i="8" s="1"/>
  <c r="E46" i="8"/>
  <c r="E53" i="8" s="1"/>
  <c r="S62" i="8" l="1"/>
  <c r="S67" i="8" s="1"/>
  <c r="S46" i="8"/>
  <c r="S53" i="8" s="1"/>
  <c r="Y11" i="8"/>
  <c r="X14" i="8"/>
  <c r="X19" i="8" s="1"/>
  <c r="X25" i="8" s="1"/>
  <c r="Y46" i="8"/>
  <c r="Y53" i="8" s="1"/>
  <c r="W46" i="8"/>
  <c r="W53" i="8" s="1"/>
  <c r="Y62" i="8"/>
  <c r="Y67" i="8" s="1"/>
  <c r="X62" i="8"/>
  <c r="X67" i="8" s="1"/>
  <c r="T62" i="8"/>
  <c r="T67" i="8" s="1"/>
  <c r="V11" i="8"/>
  <c r="T46" i="8"/>
  <c r="T53" i="8" s="1"/>
  <c r="X46" i="8"/>
  <c r="X53" i="8" s="1"/>
  <c r="W11" i="8"/>
  <c r="U46" i="8"/>
  <c r="U53" i="8" s="1"/>
  <c r="U62" i="8"/>
  <c r="U67" i="8" s="1"/>
  <c r="W62" i="8"/>
  <c r="W67" i="8" s="1"/>
  <c r="AA46" i="8"/>
  <c r="AA53" i="8" s="1"/>
  <c r="AA11" i="8"/>
  <c r="AA62" i="8"/>
  <c r="AA67" i="8" s="1"/>
  <c r="AB62" i="8"/>
  <c r="AB67" i="8" s="1"/>
  <c r="Z11" i="8"/>
  <c r="AB11" i="8"/>
  <c r="AB46" i="8"/>
  <c r="AB53" i="8" s="1"/>
  <c r="X20" i="8" l="1"/>
  <c r="X29" i="8"/>
  <c r="W14" i="8"/>
  <c r="W19" i="8" s="1"/>
  <c r="W25" i="8" s="1"/>
  <c r="AI13" i="9"/>
  <c r="AC9" i="10"/>
  <c r="AC16" i="10" s="1"/>
  <c r="Z8" i="10"/>
  <c r="AA8" i="10"/>
  <c r="AB8" i="10"/>
  <c r="S74" i="8"/>
  <c r="S76" i="8" s="1"/>
  <c r="AA14" i="8"/>
  <c r="AA19" i="8" s="1"/>
  <c r="AA25" i="8" s="1"/>
  <c r="AE10" i="8"/>
  <c r="Y74" i="8"/>
  <c r="Y76" i="8" s="1"/>
  <c r="W74" i="8"/>
  <c r="W76" i="8" s="1"/>
  <c r="U74" i="8"/>
  <c r="U76" i="8" s="1"/>
  <c r="AE17" i="8"/>
  <c r="X74" i="8"/>
  <c r="X76" i="8" s="1"/>
  <c r="Y14" i="8"/>
  <c r="Y19" i="8" s="1"/>
  <c r="Y25" i="8" s="1"/>
  <c r="T74" i="8"/>
  <c r="T76" i="8" s="1"/>
  <c r="V14" i="8"/>
  <c r="V19" i="8" s="1"/>
  <c r="V25" i="8" s="1"/>
  <c r="X15" i="8"/>
  <c r="AE13" i="8"/>
  <c r="AA74" i="8"/>
  <c r="AA76" i="8" s="1"/>
  <c r="AB14" i="8"/>
  <c r="AB19" i="8" s="1"/>
  <c r="AB25" i="8" s="1"/>
  <c r="Z14" i="8"/>
  <c r="Z19" i="8" s="1"/>
  <c r="Z25" i="8" s="1"/>
  <c r="AB74" i="8"/>
  <c r="AB76" i="8" s="1"/>
  <c r="W20" i="8" l="1"/>
  <c r="W29" i="8"/>
  <c r="V20" i="8"/>
  <c r="V29" i="8"/>
  <c r="Y29" i="8"/>
  <c r="Y20" i="8"/>
  <c r="AA29" i="8"/>
  <c r="AA20" i="8"/>
  <c r="Z29" i="8"/>
  <c r="Z20" i="8"/>
  <c r="AB29" i="8"/>
  <c r="AB20" i="8"/>
  <c r="AA15" i="8"/>
  <c r="Z15" i="8"/>
  <c r="W15" i="8"/>
  <c r="AB15" i="8"/>
  <c r="Y15" i="8"/>
  <c r="AI14" i="9"/>
  <c r="AI20" i="9"/>
  <c r="AA9" i="10"/>
  <c r="AA10" i="10" s="1"/>
  <c r="AB9" i="10"/>
  <c r="AB10" i="10" s="1"/>
  <c r="AC10" i="10"/>
  <c r="AD9" i="10"/>
  <c r="AD16" i="10" s="1"/>
  <c r="AF9" i="10"/>
  <c r="AF16" i="10" s="1"/>
  <c r="Z9" i="10"/>
  <c r="Z10" i="10" s="1"/>
  <c r="X8" i="10"/>
  <c r="W8" i="10"/>
  <c r="Y8" i="10"/>
  <c r="X26" i="8"/>
  <c r="V15" i="8"/>
  <c r="Y9" i="10" l="1"/>
  <c r="X9" i="10"/>
  <c r="W26" i="8"/>
  <c r="V26" i="8"/>
  <c r="AA26" i="8"/>
  <c r="W30" i="8"/>
  <c r="AI24" i="9"/>
  <c r="AI28" i="9" s="1"/>
  <c r="AI21" i="9"/>
  <c r="W9" i="10"/>
  <c r="AE9" i="10"/>
  <c r="AD10" i="10"/>
  <c r="X30" i="8"/>
  <c r="X33" i="8"/>
  <c r="X36" i="8"/>
  <c r="V33" i="8"/>
  <c r="V36" i="8"/>
  <c r="V30" i="8"/>
  <c r="AB26" i="8"/>
  <c r="Y26" i="8"/>
  <c r="Z26" i="8"/>
  <c r="AE10" i="10" l="1"/>
  <c r="AE16" i="10"/>
  <c r="W36" i="8"/>
  <c r="W33" i="8"/>
  <c r="AI25" i="9"/>
  <c r="Z30" i="8"/>
  <c r="Z36" i="8"/>
  <c r="Z33" i="8"/>
  <c r="Y36" i="8"/>
  <c r="Y30" i="8"/>
  <c r="Y33" i="8"/>
  <c r="AA30" i="8"/>
  <c r="AA33" i="8"/>
  <c r="AA36" i="8"/>
  <c r="AB30" i="8"/>
  <c r="AB33" i="8"/>
  <c r="AB36" i="8"/>
  <c r="AI29" i="9" l="1"/>
  <c r="AI35" i="9"/>
  <c r="V62" i="8" l="1"/>
  <c r="Z62" i="8"/>
  <c r="Z67" i="8" s="1"/>
  <c r="V67" i="8" l="1"/>
  <c r="V74" i="8" s="1"/>
  <c r="T104" i="8"/>
  <c r="U104" i="8"/>
  <c r="S104" i="8"/>
  <c r="Y104" i="8"/>
  <c r="V104" i="8"/>
  <c r="W104" i="8"/>
  <c r="X104" i="8"/>
  <c r="Z104" i="8"/>
  <c r="AB104" i="8"/>
  <c r="AA104" i="8"/>
  <c r="E11" i="8" l="1"/>
  <c r="F10" i="10" s="1"/>
  <c r="D11" i="8"/>
  <c r="E10" i="10" s="1"/>
  <c r="C11" i="8"/>
  <c r="D10" i="10" s="1"/>
  <c r="C8" i="9"/>
  <c r="G104" i="8"/>
  <c r="E104" i="8"/>
  <c r="D104" i="8"/>
  <c r="C104" i="8"/>
  <c r="G62" i="8"/>
  <c r="D62" i="8"/>
  <c r="C62" i="8"/>
  <c r="C60" i="9"/>
  <c r="AC11" i="8"/>
  <c r="AF10" i="10" s="1"/>
  <c r="U67" i="9"/>
  <c r="M67" i="9"/>
  <c r="AK34" i="9"/>
  <c r="AK27" i="9"/>
  <c r="G67" i="8" l="1"/>
  <c r="H61" i="9" s="1"/>
  <c r="H60" i="9"/>
  <c r="C61" i="9"/>
  <c r="D67" i="8"/>
  <c r="C67" i="8"/>
  <c r="N67" i="9"/>
  <c r="V67" i="9"/>
  <c r="D67" i="9"/>
  <c r="O67" i="9"/>
  <c r="AG61" i="9"/>
  <c r="AE11" i="8"/>
  <c r="AI61" i="9"/>
  <c r="K67" i="9"/>
  <c r="AK23" i="9"/>
  <c r="F67" i="9"/>
  <c r="J67" i="9"/>
  <c r="AK19" i="9"/>
  <c r="AK16" i="9"/>
  <c r="O13" i="9"/>
  <c r="M9" i="9"/>
  <c r="U9" i="9"/>
  <c r="E67" i="9"/>
  <c r="I67" i="9"/>
  <c r="U10" i="9"/>
  <c r="Z74" i="8"/>
  <c r="D14" i="8"/>
  <c r="D19" i="8" s="1"/>
  <c r="D25" i="8" s="1"/>
  <c r="C14" i="8"/>
  <c r="C19" i="8" s="1"/>
  <c r="C25" i="8" s="1"/>
  <c r="E14" i="8"/>
  <c r="E19" i="8" s="1"/>
  <c r="E25" i="8" s="1"/>
  <c r="AC62" i="8"/>
  <c r="AC67" i="8" s="1"/>
  <c r="AE73" i="8"/>
  <c r="F13" i="9"/>
  <c r="F9" i="9"/>
  <c r="D13" i="9"/>
  <c r="D9" i="9"/>
  <c r="E13" i="9"/>
  <c r="E9" i="9"/>
  <c r="M10" i="9"/>
  <c r="AK31" i="9"/>
  <c r="Q67" i="9"/>
  <c r="C13" i="9"/>
  <c r="R67" i="9"/>
  <c r="S67" i="9"/>
  <c r="C67" i="9"/>
  <c r="C74" i="8" l="1"/>
  <c r="C76" i="8" s="1"/>
  <c r="C20" i="8"/>
  <c r="D20" i="8"/>
  <c r="D29" i="8"/>
  <c r="D85" i="8" s="1"/>
  <c r="N85" i="8" s="1"/>
  <c r="G29" i="8"/>
  <c r="E29" i="8"/>
  <c r="E85" i="8" s="1"/>
  <c r="E20" i="8"/>
  <c r="T67" i="9"/>
  <c r="Z46" i="8"/>
  <c r="G74" i="8"/>
  <c r="G76" i="8" s="1"/>
  <c r="V46" i="8"/>
  <c r="D74" i="8"/>
  <c r="D76" i="8" s="1"/>
  <c r="E74" i="8"/>
  <c r="E76" i="8" s="1"/>
  <c r="AH61" i="9"/>
  <c r="P67" i="9"/>
  <c r="AE67" i="8"/>
  <c r="AE62" i="8"/>
  <c r="L67" i="9"/>
  <c r="P10" i="9"/>
  <c r="T9" i="9"/>
  <c r="Q9" i="9"/>
  <c r="R10" i="9"/>
  <c r="T13" i="9"/>
  <c r="T20" i="9" s="1"/>
  <c r="O10" i="9"/>
  <c r="Q10" i="9"/>
  <c r="N10" i="9"/>
  <c r="R13" i="9"/>
  <c r="R14" i="9" s="1"/>
  <c r="P13" i="9"/>
  <c r="P20" i="9" s="1"/>
  <c r="J10" i="9"/>
  <c r="R9" i="9"/>
  <c r="N9" i="9"/>
  <c r="J13" i="9"/>
  <c r="J14" i="9" s="1"/>
  <c r="AK32" i="9"/>
  <c r="P9" i="9"/>
  <c r="AC46" i="8"/>
  <c r="AC53" i="8" s="1"/>
  <c r="D15" i="8"/>
  <c r="E15" i="8"/>
  <c r="C15" i="8"/>
  <c r="AC14" i="8"/>
  <c r="AC19" i="8" s="1"/>
  <c r="O20" i="9"/>
  <c r="O14" i="9"/>
  <c r="AK33" i="9"/>
  <c r="E20" i="9"/>
  <c r="E14" i="9"/>
  <c r="S9" i="9"/>
  <c r="S13" i="9"/>
  <c r="S10" i="9"/>
  <c r="K13" i="9"/>
  <c r="K10" i="9"/>
  <c r="U13" i="9"/>
  <c r="AI9" i="9"/>
  <c r="AK12" i="9"/>
  <c r="N13" i="9"/>
  <c r="T10" i="9"/>
  <c r="C20" i="9"/>
  <c r="C14" i="9"/>
  <c r="V9" i="9"/>
  <c r="V13" i="9"/>
  <c r="V10" i="9"/>
  <c r="L13" i="9"/>
  <c r="L10" i="9"/>
  <c r="O9" i="9"/>
  <c r="M13" i="9"/>
  <c r="F20" i="9"/>
  <c r="F14" i="9"/>
  <c r="Q13" i="9"/>
  <c r="D20" i="9"/>
  <c r="D14" i="9"/>
  <c r="I13" i="9"/>
  <c r="X85" i="8" l="1"/>
  <c r="W85" i="8"/>
  <c r="V85" i="8"/>
  <c r="N100" i="8"/>
  <c r="N119" i="8" s="1"/>
  <c r="AC119" i="8" s="1"/>
  <c r="V53" i="8"/>
  <c r="V76" i="8" s="1"/>
  <c r="Z53" i="8"/>
  <c r="Z76" i="8" s="1"/>
  <c r="AE19" i="8"/>
  <c r="AC25" i="8"/>
  <c r="G30" i="8"/>
  <c r="G36" i="8"/>
  <c r="C26" i="8"/>
  <c r="C29" i="8"/>
  <c r="C36" i="8" s="1"/>
  <c r="AC20" i="8"/>
  <c r="AE20" i="8" s="1"/>
  <c r="E26" i="8"/>
  <c r="D26" i="8"/>
  <c r="AE111" i="8"/>
  <c r="AC74" i="8"/>
  <c r="AE74" i="8" s="1"/>
  <c r="AE53" i="8"/>
  <c r="AE46" i="8"/>
  <c r="T14" i="9"/>
  <c r="P14" i="9"/>
  <c r="E33" i="8"/>
  <c r="E36" i="8"/>
  <c r="D36" i="8"/>
  <c r="D33" i="8"/>
  <c r="R20" i="9"/>
  <c r="R21" i="9" s="1"/>
  <c r="J20" i="9"/>
  <c r="J21" i="9" s="1"/>
  <c r="AE14" i="8"/>
  <c r="E30" i="8"/>
  <c r="E100" i="8"/>
  <c r="E119" i="8" s="1"/>
  <c r="D30" i="8"/>
  <c r="D100" i="8"/>
  <c r="D119" i="8" s="1"/>
  <c r="AC104" i="8"/>
  <c r="AE104" i="8" s="1"/>
  <c r="AC15" i="8"/>
  <c r="AE15" i="8" s="1"/>
  <c r="I20" i="9"/>
  <c r="I14" i="9"/>
  <c r="D24" i="9"/>
  <c r="D28" i="9" s="1"/>
  <c r="D21" i="9"/>
  <c r="C24" i="9"/>
  <c r="C28" i="9" s="1"/>
  <c r="C21" i="9"/>
  <c r="AK13" i="9"/>
  <c r="AK9" i="9"/>
  <c r="K14" i="9"/>
  <c r="K20" i="9"/>
  <c r="Q20" i="9"/>
  <c r="Q14" i="9"/>
  <c r="L14" i="9"/>
  <c r="L20" i="9"/>
  <c r="E24" i="9"/>
  <c r="E28" i="9" s="1"/>
  <c r="E21" i="9"/>
  <c r="O24" i="9"/>
  <c r="O28" i="9" s="1"/>
  <c r="O21" i="9"/>
  <c r="V20" i="9"/>
  <c r="V14" i="9"/>
  <c r="S14" i="9"/>
  <c r="S20" i="9"/>
  <c r="T24" i="9"/>
  <c r="T28" i="9" s="1"/>
  <c r="T21" i="9"/>
  <c r="P21" i="9"/>
  <c r="P24" i="9"/>
  <c r="P28" i="9" s="1"/>
  <c r="F21" i="9"/>
  <c r="F24" i="9"/>
  <c r="F28" i="9" s="1"/>
  <c r="U20" i="9"/>
  <c r="U14" i="9"/>
  <c r="M20" i="9"/>
  <c r="M14" i="9"/>
  <c r="N20" i="9"/>
  <c r="N14" i="9"/>
  <c r="AC29" i="8" l="1"/>
  <c r="AE25" i="8"/>
  <c r="Y119" i="8"/>
  <c r="X119" i="8"/>
  <c r="W119" i="8"/>
  <c r="V119" i="8"/>
  <c r="C30" i="8"/>
  <c r="C85" i="8"/>
  <c r="C33" i="8"/>
  <c r="G85" i="8"/>
  <c r="G100" i="8" s="1"/>
  <c r="G119" i="8" s="1"/>
  <c r="G33" i="8"/>
  <c r="AC76" i="8"/>
  <c r="R24" i="9"/>
  <c r="R28" i="9" s="1"/>
  <c r="J24" i="9"/>
  <c r="J28" i="9" s="1"/>
  <c r="AC26" i="8"/>
  <c r="AE26" i="8" s="1"/>
  <c r="F25" i="9"/>
  <c r="N24" i="9"/>
  <c r="N28" i="9" s="1"/>
  <c r="N21" i="9"/>
  <c r="T25" i="9"/>
  <c r="E25" i="9"/>
  <c r="C25" i="9"/>
  <c r="AK20" i="9"/>
  <c r="AK14" i="9"/>
  <c r="O25" i="9"/>
  <c r="S21" i="9"/>
  <c r="S24" i="9"/>
  <c r="S28" i="9" s="1"/>
  <c r="D25" i="9"/>
  <c r="U24" i="9"/>
  <c r="U28" i="9" s="1"/>
  <c r="U21" i="9"/>
  <c r="Q21" i="9"/>
  <c r="Q24" i="9"/>
  <c r="Q28" i="9" s="1"/>
  <c r="M24" i="9"/>
  <c r="M28" i="9" s="1"/>
  <c r="M21" i="9"/>
  <c r="P25" i="9"/>
  <c r="L24" i="9"/>
  <c r="L28" i="9" s="1"/>
  <c r="L21" i="9"/>
  <c r="K21" i="9"/>
  <c r="K24" i="9"/>
  <c r="K28" i="9" s="1"/>
  <c r="V24" i="9"/>
  <c r="V28" i="9" s="1"/>
  <c r="V21" i="9"/>
  <c r="I21" i="9"/>
  <c r="I24" i="9"/>
  <c r="I28" i="9" s="1"/>
  <c r="Z119" i="8" l="1"/>
  <c r="AB119" i="8"/>
  <c r="AA119" i="8"/>
  <c r="C100" i="8"/>
  <c r="C119" i="8" s="1"/>
  <c r="Y100" i="8"/>
  <c r="AC36" i="8"/>
  <c r="R25" i="9"/>
  <c r="J25" i="9"/>
  <c r="Z100" i="8"/>
  <c r="M25" i="9"/>
  <c r="Q25" i="9"/>
  <c r="J35" i="9"/>
  <c r="J43" i="9" s="1"/>
  <c r="J29" i="9"/>
  <c r="N25" i="9"/>
  <c r="C35" i="9"/>
  <c r="C29" i="9"/>
  <c r="E29" i="9"/>
  <c r="E35" i="9"/>
  <c r="F29" i="9"/>
  <c r="F35" i="9"/>
  <c r="R29" i="9"/>
  <c r="R35" i="9"/>
  <c r="V25" i="9"/>
  <c r="L25" i="9"/>
  <c r="U25" i="9"/>
  <c r="AK24" i="9"/>
  <c r="AK21" i="9"/>
  <c r="P35" i="9"/>
  <c r="P43" i="9" s="1"/>
  <c r="P29" i="9"/>
  <c r="O35" i="9"/>
  <c r="O43" i="9" s="1"/>
  <c r="O29" i="9"/>
  <c r="S25" i="9"/>
  <c r="I25" i="9"/>
  <c r="K25" i="9"/>
  <c r="D35" i="9"/>
  <c r="D29" i="9"/>
  <c r="T29" i="9"/>
  <c r="T35" i="9"/>
  <c r="V100" i="8" l="1"/>
  <c r="W100" i="8"/>
  <c r="X100" i="8"/>
  <c r="AE29" i="8"/>
  <c r="AC33" i="8"/>
  <c r="AC30" i="8"/>
  <c r="AE30" i="8" s="1"/>
  <c r="C44" i="9"/>
  <c r="K35" i="9"/>
  <c r="K43" i="9" s="1"/>
  <c r="K29" i="9"/>
  <c r="Q35" i="9"/>
  <c r="Q43" i="9" s="1"/>
  <c r="AE43" i="9" s="1"/>
  <c r="Q29" i="9"/>
  <c r="I35" i="9"/>
  <c r="I43" i="9" s="1"/>
  <c r="I29" i="9"/>
  <c r="F44" i="9"/>
  <c r="J44" i="9"/>
  <c r="L35" i="9"/>
  <c r="L43" i="9" s="1"/>
  <c r="L29" i="9"/>
  <c r="E44" i="9"/>
  <c r="U35" i="9"/>
  <c r="U29" i="9"/>
  <c r="N35" i="9"/>
  <c r="N43" i="9" s="1"/>
  <c r="N29" i="9"/>
  <c r="D44" i="9"/>
  <c r="S29" i="9"/>
  <c r="S35" i="9"/>
  <c r="T44" i="9"/>
  <c r="M35" i="9"/>
  <c r="M43" i="9" s="1"/>
  <c r="M29" i="9"/>
  <c r="AK28" i="9"/>
  <c r="AK25" i="9"/>
  <c r="V29" i="9"/>
  <c r="V35" i="9"/>
  <c r="AD43" i="9" l="1"/>
  <c r="AD44" i="9" s="1"/>
  <c r="AC43" i="9"/>
  <c r="AC44" i="9" s="1"/>
  <c r="AB43" i="9"/>
  <c r="AB44" i="9" s="1"/>
  <c r="AI43" i="9"/>
  <c r="AI44" i="9" s="1"/>
  <c r="AH43" i="9"/>
  <c r="AH44" i="9" s="1"/>
  <c r="AG43" i="9"/>
  <c r="AG44" i="9" s="1"/>
  <c r="AF43" i="9"/>
  <c r="AF44" i="9" s="1"/>
  <c r="AA43" i="9"/>
  <c r="AA44" i="9" s="1"/>
  <c r="Z43" i="9"/>
  <c r="Z44" i="9" s="1"/>
  <c r="Y43" i="9"/>
  <c r="X43" i="9"/>
  <c r="AE44" i="9"/>
  <c r="AE33" i="8"/>
  <c r="AE36" i="8"/>
  <c r="U44" i="9"/>
  <c r="V44" i="9"/>
  <c r="S44" i="9"/>
  <c r="K44" i="9"/>
  <c r="R44" i="9"/>
  <c r="AK29" i="9"/>
  <c r="AK35" i="9"/>
  <c r="M44" i="9"/>
  <c r="O44" i="9"/>
  <c r="P44" i="9"/>
  <c r="I44" i="9" l="1"/>
  <c r="Y44" i="9"/>
  <c r="X44" i="9"/>
  <c r="N44" i="9"/>
  <c r="Q44" i="9"/>
  <c r="L44" i="9"/>
  <c r="C116" i="8" l="1"/>
  <c r="C120" i="8" s="1"/>
  <c r="C122" i="8" s="1"/>
  <c r="G116" i="8"/>
  <c r="G120" i="8" s="1"/>
  <c r="G122" i="8" s="1"/>
  <c r="S114" i="8" l="1"/>
  <c r="H114" i="8"/>
  <c r="H116" i="8" s="1"/>
  <c r="H120" i="8" s="1"/>
  <c r="H122" i="8" s="1"/>
  <c r="D114" i="8"/>
  <c r="D116" i="8" s="1"/>
  <c r="D120" i="8" s="1"/>
  <c r="D122" i="8" s="1"/>
  <c r="T114" i="8" l="1"/>
  <c r="E114" i="8"/>
  <c r="E116" i="8" s="1"/>
  <c r="E120" i="8" s="1"/>
  <c r="E122" i="8" s="1"/>
  <c r="I114" i="8"/>
  <c r="I116" i="8" s="1"/>
  <c r="I120" i="8" s="1"/>
  <c r="I122" i="8" s="1"/>
  <c r="U114" i="8" l="1"/>
  <c r="J114" i="8"/>
  <c r="J116" i="8" s="1"/>
  <c r="J120" i="8" s="1"/>
  <c r="J122" i="8" s="1"/>
  <c r="V114" i="8" l="1"/>
  <c r="K114" i="8"/>
  <c r="K116" i="8" s="1"/>
  <c r="K120" i="8" s="1"/>
  <c r="K122" i="8" s="1"/>
  <c r="W114" i="8" l="1"/>
  <c r="L114" i="8"/>
  <c r="L116" i="8" s="1"/>
  <c r="L120" i="8" s="1"/>
  <c r="L122" i="8" s="1"/>
  <c r="X114" i="8" l="1"/>
  <c r="M114" i="8"/>
  <c r="M116" i="8" s="1"/>
  <c r="M120" i="8" s="1"/>
  <c r="M122" i="8" s="1"/>
  <c r="Y114" i="8" l="1"/>
  <c r="Y116" i="8" s="1"/>
  <c r="N114" i="8"/>
  <c r="N116" i="8" l="1"/>
  <c r="N120" i="8" s="1"/>
  <c r="N122" i="8" s="1"/>
  <c r="O114" i="8"/>
  <c r="O116" i="8" s="1"/>
  <c r="O120" i="8" s="1"/>
  <c r="O122" i="8" s="1"/>
  <c r="Z114" i="8" l="1"/>
  <c r="AA114" i="8"/>
  <c r="P114" i="8"/>
  <c r="P116" i="8" l="1"/>
  <c r="P120" i="8" s="1"/>
  <c r="P122" i="8" s="1"/>
  <c r="Q114" i="8"/>
  <c r="Q116" i="8" s="1"/>
  <c r="Q120" i="8" s="1"/>
  <c r="Q122" i="8" s="1"/>
  <c r="AB114" i="8" l="1"/>
  <c r="AC114" i="8"/>
  <c r="S116" i="8"/>
  <c r="X116" i="8" l="1"/>
  <c r="X120" i="8" s="1"/>
  <c r="X122" i="8" s="1"/>
  <c r="Y120" i="8" l="1"/>
  <c r="Y122" i="8" s="1"/>
  <c r="Z116" i="8" l="1"/>
  <c r="Z120" i="8" s="1"/>
  <c r="Z122" i="8" s="1"/>
  <c r="T116" i="8"/>
  <c r="AA116" i="8" l="1"/>
  <c r="U100" i="8"/>
  <c r="S11" i="8"/>
  <c r="W10" i="10" s="1"/>
  <c r="U11" i="8"/>
  <c r="T11" i="8"/>
  <c r="T14" i="8" s="1"/>
  <c r="X10" i="10" l="1"/>
  <c r="T19" i="8"/>
  <c r="T25" i="8" s="1"/>
  <c r="T15" i="8"/>
  <c r="U14" i="8"/>
  <c r="Y10" i="10"/>
  <c r="S14" i="8"/>
  <c r="U19" i="8" l="1"/>
  <c r="U25" i="8" s="1"/>
  <c r="U15" i="8"/>
  <c r="S15" i="8"/>
  <c r="S19" i="8"/>
  <c r="S25" i="8" s="1"/>
  <c r="T20" i="8"/>
  <c r="T29" i="8" l="1"/>
  <c r="T26" i="8"/>
  <c r="S20" i="8"/>
  <c r="U20" i="8"/>
  <c r="U29" i="8" l="1"/>
  <c r="U26" i="8"/>
  <c r="S26" i="8"/>
  <c r="S29" i="8"/>
  <c r="T33" i="8"/>
  <c r="T30" i="8"/>
  <c r="T36" i="8"/>
  <c r="AA100" i="8" l="1"/>
  <c r="AB100" i="8"/>
  <c r="T100" i="8"/>
  <c r="T120" i="8" s="1"/>
  <c r="T122" i="8" s="1"/>
  <c r="S100" i="8"/>
  <c r="S30" i="8"/>
  <c r="S36" i="8"/>
  <c r="S33" i="8"/>
  <c r="U33" i="8"/>
  <c r="U30" i="8"/>
  <c r="U36" i="8"/>
  <c r="S120" i="8" l="1"/>
  <c r="S122" i="8" s="1"/>
  <c r="AA120" i="8"/>
  <c r="AA122" i="8" s="1"/>
  <c r="AC100" i="8"/>
  <c r="AE85" i="8"/>
  <c r="U116" i="8"/>
  <c r="U120" i="8" s="1"/>
  <c r="U122" i="8" s="1"/>
  <c r="AB116" i="8" l="1"/>
  <c r="AB120" i="8" s="1"/>
  <c r="AB122" i="8" s="1"/>
  <c r="AE100" i="8"/>
  <c r="V116" i="8"/>
  <c r="V120" i="8" s="1"/>
  <c r="V122" i="8" s="1"/>
  <c r="AC116" i="8" l="1"/>
  <c r="AC120" i="8" s="1"/>
  <c r="AC122" i="8" s="1"/>
  <c r="W116" i="8"/>
  <c r="W120" i="8" s="1"/>
  <c r="W122" i="8" s="1"/>
</calcChain>
</file>

<file path=xl/sharedStrings.xml><?xml version="1.0" encoding="utf-8"?>
<sst xmlns="http://schemas.openxmlformats.org/spreadsheetml/2006/main" count="317" uniqueCount="165">
  <si>
    <t>FYE</t>
  </si>
  <si>
    <t>Quarterly</t>
  </si>
  <si>
    <t>1Q24</t>
  </si>
  <si>
    <t>2Q24</t>
  </si>
  <si>
    <t>3Q24</t>
  </si>
  <si>
    <t>1Q23</t>
  </si>
  <si>
    <t>2Q23</t>
  </si>
  <si>
    <t>3Q23</t>
  </si>
  <si>
    <t>4Q23</t>
  </si>
  <si>
    <t>LTM</t>
  </si>
  <si>
    <t>EBITDA</t>
  </si>
  <si>
    <t>Total Revenue</t>
  </si>
  <si>
    <t>Cost of Sales</t>
  </si>
  <si>
    <t>Changes in assets and liabilities:</t>
  </si>
  <si>
    <t>Cash-Flows Statement</t>
  </si>
  <si>
    <t>Total stockholders' equity</t>
  </si>
  <si>
    <t>Total Liabilities</t>
  </si>
  <si>
    <t>X</t>
  </si>
  <si>
    <t>Total Current Liabilities</t>
  </si>
  <si>
    <t>Common stock</t>
  </si>
  <si>
    <t>Total Current Assets</t>
  </si>
  <si>
    <t>Total Assets</t>
  </si>
  <si>
    <t>Gross Profit</t>
  </si>
  <si>
    <t>Total Debt</t>
  </si>
  <si>
    <t>Variance</t>
  </si>
  <si>
    <t>FCF Analysis</t>
  </si>
  <si>
    <t>1Q22</t>
  </si>
  <si>
    <t>2Q22</t>
  </si>
  <si>
    <t>3Q22</t>
  </si>
  <si>
    <t>4Q22</t>
  </si>
  <si>
    <t>Y/Y Growth (%)</t>
  </si>
  <si>
    <t>Q/Q Growth (%)</t>
  </si>
  <si>
    <t>N/A</t>
  </si>
  <si>
    <t>(-) Cost of Sales</t>
  </si>
  <si>
    <t>Gross Margin (%)</t>
  </si>
  <si>
    <t>Earning before Interest &amp; Taxes (EBIT)</t>
  </si>
  <si>
    <t>Operating Margin (%)</t>
  </si>
  <si>
    <t>(+) Depreciation and Amortization</t>
  </si>
  <si>
    <t>EBITDA Margin (%)</t>
  </si>
  <si>
    <t xml:space="preserve">(+) Share-based Compensation 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</si>
  <si>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</si>
  <si>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</si>
  <si>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</si>
  <si>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</si>
  <si>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</si>
  <si>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</si>
  <si>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</si>
  <si>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</si>
  <si>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Cash &amp; Cash Equivelants</t>
  </si>
  <si>
    <t>Total Liquidity</t>
  </si>
  <si>
    <t>Balance Sheet Metrics:</t>
  </si>
  <si>
    <t>Accounts Receivable</t>
  </si>
  <si>
    <t>Accounts Payable</t>
  </si>
  <si>
    <t>Property Plant, and Equiptment</t>
  </si>
  <si>
    <t>Current Liabilities</t>
  </si>
  <si>
    <t>Total Shareholder Equity</t>
  </si>
  <si>
    <t>Total Book Capitalization</t>
  </si>
  <si>
    <t>Total Leverage</t>
  </si>
  <si>
    <t>Net Leverage (C&amp;CE)</t>
  </si>
  <si>
    <t xml:space="preserve">Interest Coverage </t>
  </si>
  <si>
    <t>Debt Service Coverage</t>
  </si>
  <si>
    <t>Fixed Charge Coverage</t>
  </si>
  <si>
    <t>Debt-to-Book Capitalization</t>
  </si>
  <si>
    <t>Net loss</t>
  </si>
  <si>
    <t>Total liabilities and stockholders' equity</t>
  </si>
  <si>
    <t>Cash-Flows From Operating Activities</t>
  </si>
  <si>
    <t>Net income (loss)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</si>
  <si>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</si>
  <si>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</si>
  <si>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</si>
  <si>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</si>
  <si>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</si>
  <si>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</si>
  <si>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</si>
  <si>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</si>
  <si>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</si>
  <si>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>Cash BOP</t>
  </si>
  <si>
    <t>Net Margin (%)</t>
  </si>
  <si>
    <t>Basic shares</t>
  </si>
  <si>
    <t>Basic EPS</t>
  </si>
  <si>
    <t>Fully Diluted Shares</t>
  </si>
  <si>
    <t>Diluted EPS</t>
  </si>
  <si>
    <t>Segment Anaysis</t>
  </si>
  <si>
    <t>Total Net Revenue</t>
  </si>
  <si>
    <t xml:space="preserve">(+/-) Other </t>
  </si>
  <si>
    <t>Credit Metrics</t>
  </si>
  <si>
    <t>Interest income</t>
  </si>
  <si>
    <t>NM</t>
  </si>
  <si>
    <t>Cash paid for interest</t>
  </si>
  <si>
    <t>Adjusted Cash Position BOP</t>
  </si>
  <si>
    <t>Adjusted Cash Position EOP</t>
  </si>
  <si>
    <t xml:space="preserve">(-) Cash Interest </t>
  </si>
  <si>
    <t>Preferred stock</t>
  </si>
  <si>
    <t>Income Statement</t>
  </si>
  <si>
    <t xml:space="preserve">Balance Sheet </t>
  </si>
  <si>
    <t>Historical Financials</t>
  </si>
  <si>
    <t>Fiscal Period</t>
  </si>
  <si>
    <t>Fiscal Period End Date</t>
  </si>
  <si>
    <t>Operating Profit</t>
  </si>
  <si>
    <t>Earning Before Taxes</t>
  </si>
  <si>
    <t>EBT Margin (%)</t>
  </si>
  <si>
    <t>Current Assets</t>
  </si>
  <si>
    <t>Non-Current Assets</t>
  </si>
  <si>
    <t>Restricted Cash</t>
  </si>
  <si>
    <t>Non-Current Liabilities</t>
  </si>
  <si>
    <t>BOP Restricted Cash Adjustments (Changes in FX; Restricted Cash)</t>
  </si>
  <si>
    <t>EOP Restricted Cash Adjustments (Changes in FX; Restricted Cash)</t>
  </si>
  <si>
    <t>Total Net U.S Revenue</t>
  </si>
  <si>
    <t>Net Revenues by Channel</t>
  </si>
  <si>
    <t>(+/-) Proceeds / (Purchases) of Equity, net</t>
  </si>
  <si>
    <t>(+/-) Other Financing Activities</t>
  </si>
  <si>
    <t>Cash and cash equivalents</t>
  </si>
  <si>
    <t>Property and equipment, net</t>
  </si>
  <si>
    <t>Operating lease right-of-use assets</t>
  </si>
  <si>
    <t>Additional paid-in capital</t>
  </si>
  <si>
    <t>Accumulated deficit</t>
  </si>
  <si>
    <t>Stock-based compensation</t>
  </si>
  <si>
    <t>Provision for taxes</t>
  </si>
  <si>
    <t>(-) Research and development</t>
  </si>
  <si>
    <t>(-) Sales and marketing</t>
  </si>
  <si>
    <t>(-) General and administrative</t>
  </si>
  <si>
    <t>(-) Depreciation and amortization</t>
  </si>
  <si>
    <t>(+/-) Maturities / (Purchases) of available-for-sale securities</t>
  </si>
  <si>
    <t>(+/-) Divestitures / (Acquisitions)</t>
  </si>
  <si>
    <t>(+/-) Other Investing Activities</t>
  </si>
  <si>
    <t>(+/-) Other Operating Activities</t>
  </si>
  <si>
    <t>Short-term Investments</t>
  </si>
  <si>
    <t>Long-term Investments</t>
  </si>
  <si>
    <t>Unearned Revenue, Current</t>
  </si>
  <si>
    <t>Unearned Revenue, Non-Current</t>
  </si>
  <si>
    <t>Consolidated Debt</t>
  </si>
  <si>
    <t>$ in thousands except per share</t>
  </si>
  <si>
    <t>Other assets</t>
  </si>
  <si>
    <t>Other liabilities</t>
  </si>
  <si>
    <t>Supplemental disclosures of other cash flow information:</t>
  </si>
  <si>
    <t>Revenue by Channel</t>
  </si>
  <si>
    <t>Cassava Sciences (NASDAQ: SAVA)</t>
  </si>
  <si>
    <t>Research and development, net of grant reimbursement</t>
  </si>
  <si>
    <t>General and administrative</t>
  </si>
  <si>
    <t>Other income, net</t>
  </si>
  <si>
    <t>Gain from change in fair value of warrant liabilities</t>
  </si>
  <si>
    <t>Prepaid expenses and other current assets</t>
  </si>
  <si>
    <t xml:space="preserve">Restricted cash </t>
  </si>
  <si>
    <t>Intangible assets, net</t>
  </si>
  <si>
    <t>-</t>
  </si>
  <si>
    <t>Accounts payable and other accrued expenses</t>
  </si>
  <si>
    <t>Accrued development expense</t>
  </si>
  <si>
    <t>Accrued compensation and benefits</t>
  </si>
  <si>
    <t>Operating lease liabilities, current</t>
  </si>
  <si>
    <t>Warrant liabilities</t>
  </si>
  <si>
    <t>Other current liabilities</t>
  </si>
  <si>
    <t>Operating lease liabilities, non-current</t>
  </si>
  <si>
    <t>Other non-current liabilities</t>
  </si>
  <si>
    <t>Depreciation</t>
  </si>
  <si>
    <t>Amortization of intangible assets</t>
  </si>
  <si>
    <t>Prepaid and other assets</t>
  </si>
  <si>
    <t>Operating lease right-of-use assets and liabilities</t>
  </si>
  <si>
    <t>Purchase of property and equipment</t>
  </si>
  <si>
    <t>Proceeds from issuance of common stock upon exercise of stock options</t>
  </si>
  <si>
    <t>Proceeds from issuance of common stock upon exercise of 2018 warrants</t>
  </si>
  <si>
    <t>Proceeds from exercise of common stock warrants, net of exercise costs</t>
  </si>
  <si>
    <t>Proceeds from common stock offering, net of issuance costs</t>
  </si>
  <si>
    <r>
      <t xml:space="preserve">1) </t>
    </r>
    <r>
      <rPr>
        <b/>
        <i/>
        <sz val="8"/>
        <color theme="1"/>
        <rFont val="Calibri"/>
        <family val="2"/>
      </rPr>
      <t>xxx</t>
    </r>
  </si>
  <si>
    <r>
      <t xml:space="preserve">2) </t>
    </r>
    <r>
      <rPr>
        <b/>
        <i/>
        <sz val="8"/>
        <color theme="1"/>
        <rFont val="Calibri"/>
        <family val="2"/>
      </rPr>
      <t>xx</t>
    </r>
    <r>
      <rPr>
        <i/>
        <sz val="8"/>
        <color theme="1"/>
        <rFont val="Calibri"/>
        <family val="2"/>
      </rPr>
      <t>x</t>
    </r>
  </si>
  <si>
    <r>
      <t xml:space="preserve">1) </t>
    </r>
    <r>
      <rPr>
        <b/>
        <i/>
        <sz val="8"/>
        <rFont val="Calibri"/>
        <family val="2"/>
      </rPr>
      <t>xxx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</si>
</sst>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6" formatCode="#,##0.0%;\(#,##0.0%\)"/>
    <numFmt numFmtId="167" formatCode="#,##0.0&quot;bps&quot;_);\(#,##0.0&quot;bps&quot;\)"/>
    <numFmt numFmtId="168" formatCode="#,##0.00&quot;bps&quot;_);\(#,##0.00&quot;bps&quot;\)"/>
    <numFmt numFmtId="169" formatCode="_(* #,##0.00&quot;x&quot;_);_(* \(#,##0.00&quot;x&quot;\);_(* &quot;-&quot;_);_(@_)"/>
  </numFmts>
  <fonts count="33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sz val="9"/>
      <color rgb="FF00B03C"/>
      <name val="Calibri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b/>
      <i/>
      <sz val="8"/>
      <color theme="1"/>
      <name val="Calibri"/>
      <family val="2"/>
    </font>
    <font>
      <sz val="11"/>
      <color rgb="FF0000CC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6" fillId="0" borderId="0" applyNumberFormat="0" applyFont="0" applyFill="0" applyBorder="0" applyAlignment="0" applyProtection="0"/>
  </cellStyleXfs>
  <cellXfs count="147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4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0" fontId="8" fillId="3" borderId="5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horizontal="left" vertical="center" wrapText="1" indent="1"/>
    </xf>
    <xf numFmtId="166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41" fontId="8" fillId="3" borderId="2" xfId="0" applyNumberFormat="1" applyFont="1" applyFill="1" applyBorder="1" applyAlignment="1">
      <alignment horizontal="right" vertical="top" wrapText="1"/>
    </xf>
    <xf numFmtId="0" fontId="15" fillId="0" borderId="6" xfId="0" applyFont="1" applyBorder="1"/>
    <xf numFmtId="0" fontId="15" fillId="0" borderId="0" xfId="0" applyFont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166" fontId="7" fillId="0" borderId="0" xfId="1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37" fontId="15" fillId="0" borderId="0" xfId="0" applyNumberFormat="1" applyFont="1" applyAlignment="1">
      <alignment wrapText="1"/>
    </xf>
    <xf numFmtId="37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6" fontId="7" fillId="4" borderId="0" xfId="1" applyNumberFormat="1" applyFont="1" applyFill="1" applyBorder="1" applyAlignment="1">
      <alignment horizontal="right" vertical="center" wrapText="1"/>
    </xf>
    <xf numFmtId="166" fontId="9" fillId="4" borderId="0" xfId="1" applyNumberFormat="1" applyFont="1" applyFill="1" applyBorder="1" applyAlignment="1">
      <alignment horizontal="right" vertical="center" wrapText="1"/>
    </xf>
    <xf numFmtId="168" fontId="9" fillId="4" borderId="0" xfId="1" applyNumberFormat="1" applyFont="1" applyFill="1" applyBorder="1" applyAlignment="1">
      <alignment horizontal="right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0" fontId="8" fillId="0" borderId="6" xfId="0" applyFont="1" applyBorder="1" applyAlignment="1">
      <alignment vertical="top" wrapText="1"/>
    </xf>
    <xf numFmtId="0" fontId="24" fillId="0" borderId="0" xfId="0" applyFont="1" applyAlignment="1">
      <alignment horizontal="right" vertical="center" wrapText="1"/>
    </xf>
    <xf numFmtId="41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41" fontId="6" fillId="5" borderId="2" xfId="0" applyNumberFormat="1" applyFont="1" applyFill="1" applyBorder="1" applyAlignment="1">
      <alignment horizontal="right" vertical="top" wrapText="1"/>
    </xf>
    <xf numFmtId="41" fontId="8" fillId="5" borderId="2" xfId="0" applyNumberFormat="1" applyFont="1" applyFill="1" applyBorder="1" applyAlignment="1">
      <alignment horizontal="right" vertical="top" wrapText="1"/>
    </xf>
    <xf numFmtId="3" fontId="4" fillId="0" borderId="0" xfId="0" applyNumberFormat="1" applyFont="1" applyAlignment="1">
      <alignment wrapText="1"/>
    </xf>
    <xf numFmtId="41" fontId="25" fillId="0" borderId="0" xfId="0" applyNumberFormat="1" applyFont="1"/>
    <xf numFmtId="37" fontId="11" fillId="0" borderId="0" xfId="0" applyNumberFormat="1" applyFont="1" applyAlignment="1">
      <alignment horizontal="right" vertical="top" wrapText="1"/>
    </xf>
    <xf numFmtId="41" fontId="6" fillId="0" borderId="0" xfId="0" applyNumberFormat="1" applyFont="1" applyAlignment="1">
      <alignment horizontal="right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6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6" borderId="4" xfId="0" applyFont="1" applyFill="1" applyBorder="1" applyAlignment="1">
      <alignment horizontal="centerContinuous" vertical="center" wrapText="1"/>
    </xf>
    <xf numFmtId="0" fontId="4" fillId="6" borderId="0" xfId="0" applyFont="1" applyFill="1" applyAlignment="1">
      <alignment wrapText="1"/>
    </xf>
    <xf numFmtId="0" fontId="5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7" borderId="4" xfId="0" applyFont="1" applyFill="1" applyBorder="1" applyAlignment="1">
      <alignment horizontal="centerContinuous" vertical="center" wrapText="1"/>
    </xf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vertical="center" wrapText="1"/>
    </xf>
    <xf numFmtId="166" fontId="10" fillId="8" borderId="0" xfId="1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41" fontId="6" fillId="0" borderId="0" xfId="0" applyNumberFormat="1" applyFont="1"/>
    <xf numFmtId="41" fontId="27" fillId="0" borderId="0" xfId="0" applyNumberFormat="1" applyFont="1"/>
    <xf numFmtId="0" fontId="14" fillId="3" borderId="0" xfId="0" applyFont="1" applyFill="1"/>
    <xf numFmtId="166" fontId="10" fillId="3" borderId="0" xfId="1" applyNumberFormat="1" applyFont="1" applyFill="1" applyBorder="1" applyAlignment="1">
      <alignment horizontal="right" vertical="center" wrapText="1"/>
    </xf>
    <xf numFmtId="166" fontId="28" fillId="3" borderId="0" xfId="1" applyNumberFormat="1" applyFont="1" applyFill="1" applyBorder="1" applyAlignment="1">
      <alignment horizontal="right" vertical="center" wrapText="1"/>
    </xf>
    <xf numFmtId="167" fontId="28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41" fontId="11" fillId="8" borderId="0" xfId="0" applyNumberFormat="1" applyFont="1" applyFill="1"/>
    <xf numFmtId="41" fontId="8" fillId="5" borderId="0" xfId="0" applyNumberFormat="1" applyFont="1" applyFill="1" applyAlignment="1">
      <alignment horizontal="right" vertical="top" wrapText="1"/>
    </xf>
    <xf numFmtId="41" fontId="6" fillId="0" borderId="7" xfId="0" applyNumberFormat="1" applyFont="1" applyBorder="1" applyAlignment="1">
      <alignment horizontal="right" vertical="top" wrapText="1"/>
    </xf>
    <xf numFmtId="37" fontId="4" fillId="0" borderId="8" xfId="0" applyNumberFormat="1" applyFont="1" applyBorder="1" applyAlignment="1">
      <alignment wrapText="1"/>
    </xf>
    <xf numFmtId="41" fontId="6" fillId="0" borderId="8" xfId="0" applyNumberFormat="1" applyFont="1" applyBorder="1" applyAlignment="1">
      <alignment horizontal="right" vertical="top" wrapText="1"/>
    </xf>
    <xf numFmtId="41" fontId="8" fillId="5" borderId="8" xfId="0" applyNumberFormat="1" applyFont="1" applyFill="1" applyBorder="1" applyAlignment="1">
      <alignment horizontal="right" vertical="top" wrapText="1"/>
    </xf>
    <xf numFmtId="41" fontId="6" fillId="5" borderId="9" xfId="0" applyNumberFormat="1" applyFont="1" applyFill="1" applyBorder="1" applyAlignment="1">
      <alignment horizontal="right" vertical="top" wrapText="1"/>
    </xf>
    <xf numFmtId="43" fontId="21" fillId="0" borderId="10" xfId="0" applyNumberFormat="1" applyFont="1" applyBorder="1" applyAlignment="1">
      <alignment wrapText="1"/>
    </xf>
    <xf numFmtId="41" fontId="6" fillId="0" borderId="10" xfId="0" applyNumberFormat="1" applyFont="1" applyBorder="1" applyAlignment="1">
      <alignment horizontal="right" vertical="top" wrapText="1"/>
    </xf>
    <xf numFmtId="41" fontId="8" fillId="0" borderId="11" xfId="0" applyNumberFormat="1" applyFont="1" applyBorder="1" applyAlignment="1">
      <alignment horizontal="right" vertical="top" wrapText="1"/>
    </xf>
    <xf numFmtId="0" fontId="8" fillId="0" borderId="12" xfId="0" applyFont="1" applyBorder="1" applyAlignment="1">
      <alignment horizontal="right" vertical="center" wrapText="1"/>
    </xf>
    <xf numFmtId="0" fontId="8" fillId="5" borderId="12" xfId="0" applyFont="1" applyFill="1" applyBorder="1" applyAlignment="1">
      <alignment horizontal="right" vertical="center" wrapText="1"/>
    </xf>
    <xf numFmtId="41" fontId="8" fillId="0" borderId="12" xfId="0" applyNumberFormat="1" applyFont="1" applyBorder="1" applyAlignment="1">
      <alignment horizontal="right" vertical="top" wrapText="1"/>
    </xf>
    <xf numFmtId="0" fontId="4" fillId="0" borderId="12" xfId="0" applyFont="1" applyBorder="1"/>
    <xf numFmtId="0" fontId="21" fillId="0" borderId="13" xfId="0" applyFont="1" applyBorder="1" applyAlignment="1">
      <alignment horizontal="right" vertical="top" wrapText="1"/>
    </xf>
    <xf numFmtId="41" fontId="25" fillId="8" borderId="0" xfId="0" applyNumberFormat="1" applyFont="1" applyFill="1"/>
    <xf numFmtId="0" fontId="6" fillId="0" borderId="0" xfId="0" applyFont="1"/>
    <xf numFmtId="169" fontId="16" fillId="0" borderId="0" xfId="0" applyNumberFormat="1" applyFont="1" applyAlignment="1">
      <alignment horizontal="right"/>
    </xf>
    <xf numFmtId="0" fontId="15" fillId="0" borderId="6" xfId="0" applyFont="1" applyBorder="1" applyAlignment="1">
      <alignment wrapText="1"/>
    </xf>
    <xf numFmtId="0" fontId="23" fillId="0" borderId="0" xfId="0" applyFont="1" applyAlignment="1">
      <alignment horizontal="left" wrapText="1"/>
    </xf>
    <xf numFmtId="0" fontId="23" fillId="0" borderId="3" xfId="0" applyFont="1" applyBorder="1" applyAlignment="1">
      <alignment horizontal="left" wrapText="1"/>
    </xf>
    <xf numFmtId="0" fontId="2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10" fillId="0" borderId="3" xfId="0" quotePrefix="1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29" fillId="2" borderId="0" xfId="0" applyFont="1" applyFill="1" applyAlignment="1">
      <alignment horizontal="center" vertical="center" wrapText="1"/>
    </xf>
    <xf numFmtId="37" fontId="31" fillId="0" borderId="0" xfId="2" applyNumberFormat="1" applyFont="1" applyBorder="1"/>
    <xf numFmtId="37" fontId="32" fillId="0" borderId="0" xfId="2" applyNumberFormat="1" applyFont="1" applyBorder="1"/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AE141"/>
  <sheetViews>
    <sheetView showGridLines="0" tabSelected="1" zoomScale="115" zoomScaleNormal="115" workbookViewId="0">
      <selection activeCell="B79" sqref="B79"/>
    </sheetView>
  </sheetViews>
  <sheetFormatPr defaultRowHeight="12" outlineLevelCol="1"/>
  <cols>
    <col min="1" max="1" width="1.625" style="5" bestFit="1" customWidth="1"/>
    <col min="2" max="2" width="49.125" style="5" bestFit="1" customWidth="1"/>
    <col min="3" max="5" width="9.125" style="5" bestFit="1" customWidth="1"/>
    <col min="6" max="6" width="1.5" style="5" customWidth="1"/>
    <col min="7" max="9" width="7.875" style="5" customWidth="1" outlineLevel="1"/>
    <col min="10" max="10" width="8.625" style="5" customWidth="1" outlineLevel="1"/>
    <col min="11" max="13" width="7.875" style="5" customWidth="1" outlineLevel="1"/>
    <col min="14" max="14" width="8.625" style="5" customWidth="1" outlineLevel="1"/>
    <col min="15" max="16" width="7.875" style="5" customWidth="1" outlineLevel="1"/>
    <col min="17" max="17" width="7.875" style="5" customWidth="1"/>
    <col min="18" max="18" width="1.5" style="5" customWidth="1"/>
    <col min="19" max="19" width="8.625" style="5" hidden="1" customWidth="1" outlineLevel="1"/>
    <col min="20" max="22" width="8" style="5" hidden="1" customWidth="1" outlineLevel="1"/>
    <col min="23" max="23" width="8.625" style="5" hidden="1" customWidth="1" outlineLevel="1"/>
    <col min="24" max="24" width="8.25" style="5" hidden="1" customWidth="1" outlineLevel="1"/>
    <col min="25" max="25" width="8.25" style="5" bestFit="1" customWidth="1" collapsed="1"/>
    <col min="26" max="26" width="8.25" style="5" hidden="1" customWidth="1" outlineLevel="1"/>
    <col min="27" max="27" width="8.625" style="5" hidden="1" customWidth="1" outlineLevel="1"/>
    <col min="28" max="28" width="8.25" style="5" hidden="1" customWidth="1" outlineLevel="1"/>
    <col min="29" max="29" width="8.625" style="5" bestFit="1" customWidth="1" collapsed="1"/>
    <col min="30" max="30" width="1.25" style="5" customWidth="1"/>
    <col min="31" max="31" width="10.5" style="5" bestFit="1" customWidth="1"/>
    <col min="32" max="32" width="1.375" style="5" customWidth="1"/>
    <col min="33" max="16384" width="9" style="5"/>
  </cols>
  <sheetData>
    <row r="2" spans="1:31" ht="12.75" customHeight="1">
      <c r="B2" s="1" t="s">
        <v>136</v>
      </c>
      <c r="C2" s="91"/>
      <c r="D2" s="91"/>
      <c r="E2" s="91"/>
      <c r="F2" s="3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3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3"/>
      <c r="AE2" s="1"/>
    </row>
    <row r="3" spans="1:31" ht="12.75" customHeight="1">
      <c r="B3" s="6" t="s">
        <v>95</v>
      </c>
      <c r="C3" s="7"/>
      <c r="D3" s="7"/>
      <c r="E3" s="7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3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3"/>
      <c r="AE3" s="1"/>
    </row>
    <row r="4" spans="1:31" ht="12.75" customHeight="1">
      <c r="B4" s="6" t="s">
        <v>131</v>
      </c>
      <c r="C4" s="3"/>
      <c r="D4" s="8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1"/>
    </row>
    <row r="6" spans="1:31" ht="12.75" customHeight="1">
      <c r="A6" s="5" t="s">
        <v>17</v>
      </c>
      <c r="B6" s="1" t="s">
        <v>93</v>
      </c>
      <c r="C6" s="2" t="s">
        <v>0</v>
      </c>
      <c r="D6" s="2"/>
      <c r="E6" s="2"/>
      <c r="F6" s="3"/>
      <c r="G6" s="2" t="s">
        <v>1</v>
      </c>
      <c r="H6" s="2"/>
      <c r="I6" s="2"/>
      <c r="J6" s="2"/>
      <c r="K6" s="2"/>
      <c r="L6" s="2"/>
      <c r="M6" s="2"/>
      <c r="N6" s="2"/>
      <c r="O6" s="2"/>
      <c r="P6" s="2"/>
      <c r="Q6" s="2" t="s">
        <v>1</v>
      </c>
      <c r="R6" s="3"/>
      <c r="S6" s="2"/>
      <c r="T6" s="2"/>
      <c r="U6" s="2"/>
      <c r="V6" s="2"/>
      <c r="W6" s="2"/>
      <c r="X6" s="2"/>
      <c r="Y6" s="2" t="s">
        <v>9</v>
      </c>
      <c r="Z6" s="2"/>
      <c r="AA6" s="2"/>
      <c r="AB6" s="2"/>
      <c r="AC6" s="2"/>
      <c r="AD6" s="36"/>
      <c r="AE6" s="139" t="s">
        <v>24</v>
      </c>
    </row>
    <row r="7" spans="1:31" ht="12.75" customHeight="1">
      <c r="B7" s="6" t="s">
        <v>96</v>
      </c>
      <c r="C7" s="7">
        <v>2021</v>
      </c>
      <c r="D7" s="7">
        <v>2022</v>
      </c>
      <c r="E7" s="7">
        <v>2023</v>
      </c>
      <c r="F7" s="3"/>
      <c r="G7" s="4" t="s">
        <v>26</v>
      </c>
      <c r="H7" s="4" t="s">
        <v>27</v>
      </c>
      <c r="I7" s="4" t="s">
        <v>28</v>
      </c>
      <c r="J7" s="4" t="s">
        <v>29</v>
      </c>
      <c r="K7" s="4" t="s">
        <v>5</v>
      </c>
      <c r="L7" s="4" t="s">
        <v>6</v>
      </c>
      <c r="M7" s="4" t="s">
        <v>7</v>
      </c>
      <c r="N7" s="4" t="s">
        <v>8</v>
      </c>
      <c r="O7" s="4" t="s">
        <v>2</v>
      </c>
      <c r="P7" s="4" t="s">
        <v>3</v>
      </c>
      <c r="Q7" s="4" t="s">
        <v>4</v>
      </c>
      <c r="R7" s="4"/>
      <c r="S7" s="4" t="str">
        <f>J7</f>
        <v>4Q22</v>
      </c>
      <c r="T7" s="4" t="str">
        <f>K7</f>
        <v>1Q23</v>
      </c>
      <c r="U7" s="4" t="str">
        <f>L7</f>
        <v>2Q23</v>
      </c>
      <c r="V7" s="4" t="str">
        <f>M7</f>
        <v>3Q23</v>
      </c>
      <c r="W7" s="4" t="str">
        <f>N7</f>
        <v>4Q23</v>
      </c>
      <c r="X7" s="4" t="str">
        <f>O7</f>
        <v>1Q24</v>
      </c>
      <c r="Y7" s="4" t="str">
        <f>P7</f>
        <v>2Q24</v>
      </c>
      <c r="Z7" s="4" t="str">
        <f>Q7</f>
        <v>3Q24</v>
      </c>
      <c r="AA7" s="4" t="e">
        <f>#REF!</f>
        <v>#REF!</v>
      </c>
      <c r="AB7" s="4" t="e">
        <f>#REF!</f>
        <v>#REF!</v>
      </c>
      <c r="AC7" s="4" t="str">
        <f>Q7</f>
        <v>3Q24</v>
      </c>
      <c r="AD7" s="36"/>
      <c r="AE7" s="139"/>
    </row>
    <row r="8" spans="1:31" ht="12.75" customHeight="1">
      <c r="B8" s="6" t="s">
        <v>97</v>
      </c>
      <c r="C8" s="3">
        <v>44561</v>
      </c>
      <c r="D8" s="81">
        <v>44926</v>
      </c>
      <c r="E8" s="3">
        <v>45291</v>
      </c>
      <c r="F8" s="3"/>
      <c r="G8" s="3">
        <v>44651</v>
      </c>
      <c r="H8" s="3">
        <v>44742</v>
      </c>
      <c r="I8" s="3">
        <v>44834</v>
      </c>
      <c r="J8" s="3">
        <v>44926</v>
      </c>
      <c r="K8" s="3">
        <v>45016</v>
      </c>
      <c r="L8" s="3">
        <v>45107</v>
      </c>
      <c r="M8" s="3">
        <v>45199</v>
      </c>
      <c r="N8" s="3">
        <v>45291</v>
      </c>
      <c r="O8" s="3">
        <v>45382</v>
      </c>
      <c r="P8" s="3">
        <v>45473</v>
      </c>
      <c r="Q8" s="3">
        <v>45565</v>
      </c>
      <c r="R8" s="3"/>
      <c r="S8" s="3">
        <f>J8</f>
        <v>44926</v>
      </c>
      <c r="T8" s="3">
        <f>K8</f>
        <v>45016</v>
      </c>
      <c r="U8" s="3">
        <f>L8</f>
        <v>45107</v>
      </c>
      <c r="V8" s="3">
        <f>M8</f>
        <v>45199</v>
      </c>
      <c r="W8" s="3">
        <f>N8</f>
        <v>45291</v>
      </c>
      <c r="X8" s="3">
        <f>O8</f>
        <v>45382</v>
      </c>
      <c r="Y8" s="3">
        <f>P8</f>
        <v>45473</v>
      </c>
      <c r="Z8" s="3">
        <f>Q8</f>
        <v>45565</v>
      </c>
      <c r="AA8" s="3" t="e">
        <f>#REF!</f>
        <v>#REF!</v>
      </c>
      <c r="AB8" s="3" t="e">
        <f>#REF!</f>
        <v>#REF!</v>
      </c>
      <c r="AC8" s="3">
        <f>Q8</f>
        <v>45565</v>
      </c>
      <c r="AD8" s="36"/>
      <c r="AE8" s="139"/>
    </row>
    <row r="9" spans="1:31" ht="5.0999999999999996" customHeight="1">
      <c r="AE9" s="90"/>
    </row>
    <row r="10" spans="1:31" ht="12.75" customHeight="1">
      <c r="B10" s="9" t="s">
        <v>72</v>
      </c>
      <c r="C10" s="79">
        <v>0</v>
      </c>
      <c r="D10" s="79">
        <v>0</v>
      </c>
      <c r="E10" s="79">
        <v>0</v>
      </c>
      <c r="F10" s="11"/>
      <c r="G10" s="79">
        <v>0</v>
      </c>
      <c r="H10" s="79">
        <v>0</v>
      </c>
      <c r="I10" s="79">
        <v>0</v>
      </c>
      <c r="J10" s="30">
        <f>SUM(D10-SUM(G10:I10))</f>
        <v>0</v>
      </c>
      <c r="K10" s="79">
        <v>0</v>
      </c>
      <c r="L10" s="79">
        <v>0</v>
      </c>
      <c r="M10" s="79">
        <v>0</v>
      </c>
      <c r="N10" s="30">
        <f>SUM(E10-SUM(K10:M10))</f>
        <v>0</v>
      </c>
      <c r="O10" s="79">
        <v>0</v>
      </c>
      <c r="P10" s="79">
        <v>0</v>
      </c>
      <c r="Q10" s="79">
        <v>0</v>
      </c>
      <c r="R10" s="30"/>
      <c r="S10" s="30">
        <f t="shared" ref="R10:AB10" si="0">SUM(D10:G10)</f>
        <v>0</v>
      </c>
      <c r="T10" s="30">
        <f t="shared" si="0"/>
        <v>0</v>
      </c>
      <c r="U10" s="30">
        <f t="shared" si="0"/>
        <v>0</v>
      </c>
      <c r="V10" s="30">
        <f t="shared" si="0"/>
        <v>0</v>
      </c>
      <c r="W10" s="30">
        <f t="shared" si="0"/>
        <v>0</v>
      </c>
      <c r="X10" s="30">
        <f t="shared" si="0"/>
        <v>0</v>
      </c>
      <c r="Y10" s="30">
        <f t="shared" si="0"/>
        <v>0</v>
      </c>
      <c r="Z10" s="30">
        <f t="shared" si="0"/>
        <v>0</v>
      </c>
      <c r="AA10" s="30">
        <f t="shared" si="0"/>
        <v>0</v>
      </c>
      <c r="AB10" s="30">
        <f t="shared" si="0"/>
        <v>0</v>
      </c>
      <c r="AC10" s="30">
        <f>SUM(N10:Q10)</f>
        <v>0</v>
      </c>
      <c r="AD10" s="38"/>
      <c r="AE10" s="70" t="e">
        <f>SUM(AC10/Y10)-1</f>
        <v>#DIV/0!</v>
      </c>
    </row>
    <row r="11" spans="1:31" ht="12.75" customHeight="1">
      <c r="B11" s="12" t="s">
        <v>11</v>
      </c>
      <c r="C11" s="13">
        <f t="shared" ref="C11:E11" si="1">+SUM(C10:C10)</f>
        <v>0</v>
      </c>
      <c r="D11" s="13">
        <f t="shared" si="1"/>
        <v>0</v>
      </c>
      <c r="E11" s="13">
        <f t="shared" si="1"/>
        <v>0</v>
      </c>
      <c r="F11" s="11"/>
      <c r="G11" s="13">
        <f t="shared" ref="G11:Q11" si="2">+SUM(G10:G10)</f>
        <v>0</v>
      </c>
      <c r="H11" s="13">
        <f t="shared" si="2"/>
        <v>0</v>
      </c>
      <c r="I11" s="13">
        <f t="shared" si="2"/>
        <v>0</v>
      </c>
      <c r="J11" s="13">
        <f t="shared" si="2"/>
        <v>0</v>
      </c>
      <c r="K11" s="13">
        <f t="shared" si="2"/>
        <v>0</v>
      </c>
      <c r="L11" s="13">
        <f t="shared" si="2"/>
        <v>0</v>
      </c>
      <c r="M11" s="13">
        <f t="shared" si="2"/>
        <v>0</v>
      </c>
      <c r="N11" s="13">
        <f t="shared" si="2"/>
        <v>0</v>
      </c>
      <c r="O11" s="13">
        <f t="shared" si="2"/>
        <v>0</v>
      </c>
      <c r="P11" s="13">
        <f t="shared" si="2"/>
        <v>0</v>
      </c>
      <c r="Q11" s="13">
        <f t="shared" si="2"/>
        <v>0</v>
      </c>
      <c r="S11" s="13">
        <f t="shared" ref="S11:AC11" si="3">+SUM(S10:S10)</f>
        <v>0</v>
      </c>
      <c r="T11" s="13">
        <f t="shared" si="3"/>
        <v>0</v>
      </c>
      <c r="U11" s="13">
        <f t="shared" si="3"/>
        <v>0</v>
      </c>
      <c r="V11" s="13">
        <f t="shared" si="3"/>
        <v>0</v>
      </c>
      <c r="W11" s="13">
        <f t="shared" si="3"/>
        <v>0</v>
      </c>
      <c r="X11" s="13">
        <f t="shared" si="3"/>
        <v>0</v>
      </c>
      <c r="Y11" s="13">
        <f t="shared" si="3"/>
        <v>0</v>
      </c>
      <c r="Z11" s="13">
        <f t="shared" si="3"/>
        <v>0</v>
      </c>
      <c r="AA11" s="13">
        <f t="shared" si="3"/>
        <v>0</v>
      </c>
      <c r="AB11" s="13">
        <f t="shared" si="3"/>
        <v>0</v>
      </c>
      <c r="AC11" s="13">
        <f t="shared" si="3"/>
        <v>0</v>
      </c>
      <c r="AD11" s="38"/>
      <c r="AE11" s="71" t="e">
        <f t="shared" ref="AE11:AE29" si="4">SUM(AC11/Y11)-1</f>
        <v>#DIV/0!</v>
      </c>
    </row>
    <row r="12" spans="1:31" s="18" customFormat="1" ht="5.0999999999999996" customHeight="1">
      <c r="B12" s="16"/>
      <c r="C12" s="17"/>
      <c r="D12" s="17"/>
      <c r="E12" s="17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AE12" s="70"/>
    </row>
    <row r="13" spans="1:31" ht="12.75" customHeight="1">
      <c r="B13" s="9" t="s">
        <v>12</v>
      </c>
      <c r="C13" s="79">
        <v>0</v>
      </c>
      <c r="D13" s="79">
        <v>0</v>
      </c>
      <c r="E13" s="79">
        <v>0</v>
      </c>
      <c r="F13" s="22"/>
      <c r="G13" s="79">
        <v>0</v>
      </c>
      <c r="H13" s="79">
        <v>0</v>
      </c>
      <c r="I13" s="79">
        <v>0</v>
      </c>
      <c r="J13" s="30">
        <f>SUM(D13-SUM(G13:I13))</f>
        <v>0</v>
      </c>
      <c r="K13" s="79">
        <v>0</v>
      </c>
      <c r="L13" s="79">
        <v>0</v>
      </c>
      <c r="M13" s="79">
        <v>0</v>
      </c>
      <c r="N13" s="30">
        <f>SUM(E13-SUM(K13:M13))</f>
        <v>0</v>
      </c>
      <c r="O13" s="79">
        <v>0</v>
      </c>
      <c r="P13" s="79">
        <v>0</v>
      </c>
      <c r="Q13" s="79">
        <v>0</v>
      </c>
      <c r="S13" s="30">
        <f>SUM(H13:K13)</f>
        <v>0</v>
      </c>
      <c r="T13" s="30">
        <f>SUM(I13:L13)</f>
        <v>0</v>
      </c>
      <c r="U13" s="30">
        <f>SUM(J13:M13)</f>
        <v>0</v>
      </c>
      <c r="V13" s="30">
        <f>SUM(K13:N13)</f>
        <v>0</v>
      </c>
      <c r="W13" s="30">
        <f>SUM(L13:O13)</f>
        <v>0</v>
      </c>
      <c r="X13" s="30">
        <f>SUM(M13:P13)</f>
        <v>0</v>
      </c>
      <c r="Y13" s="30">
        <f t="shared" ref="Y13" si="5">SUM(J13:M13)</f>
        <v>0</v>
      </c>
      <c r="Z13" s="30">
        <f t="shared" ref="Z13" si="6">SUM(K13:N13)</f>
        <v>0</v>
      </c>
      <c r="AA13" s="30">
        <f t="shared" ref="AA13" si="7">SUM(L13:O13)</f>
        <v>0</v>
      </c>
      <c r="AB13" s="30">
        <f t="shared" ref="AB13" si="8">SUM(M13:P13)</f>
        <v>0</v>
      </c>
      <c r="AC13" s="30">
        <f>SUM(N13:Q13)</f>
        <v>0</v>
      </c>
      <c r="AD13" s="11"/>
      <c r="AE13" s="70" t="e">
        <f t="shared" si="4"/>
        <v>#DIV/0!</v>
      </c>
    </row>
    <row r="14" spans="1:31" ht="12.75" customHeight="1">
      <c r="B14" s="23" t="s">
        <v>22</v>
      </c>
      <c r="C14" s="24">
        <f t="shared" ref="C14:E14" si="9">+SUM(C11+SUM(C13:C13))</f>
        <v>0</v>
      </c>
      <c r="D14" s="24">
        <f t="shared" si="9"/>
        <v>0</v>
      </c>
      <c r="E14" s="24">
        <f t="shared" si="9"/>
        <v>0</v>
      </c>
      <c r="G14" s="24">
        <f t="shared" ref="G14:Q14" si="10">+SUM(G11+SUM(G13:G13))</f>
        <v>0</v>
      </c>
      <c r="H14" s="24">
        <f t="shared" si="10"/>
        <v>0</v>
      </c>
      <c r="I14" s="24">
        <f t="shared" si="10"/>
        <v>0</v>
      </c>
      <c r="J14" s="24">
        <f t="shared" si="10"/>
        <v>0</v>
      </c>
      <c r="K14" s="24">
        <f t="shared" si="10"/>
        <v>0</v>
      </c>
      <c r="L14" s="24">
        <f t="shared" si="10"/>
        <v>0</v>
      </c>
      <c r="M14" s="24">
        <f t="shared" si="10"/>
        <v>0</v>
      </c>
      <c r="N14" s="24">
        <f t="shared" si="10"/>
        <v>0</v>
      </c>
      <c r="O14" s="24">
        <f t="shared" si="10"/>
        <v>0</v>
      </c>
      <c r="P14" s="24">
        <f t="shared" si="10"/>
        <v>0</v>
      </c>
      <c r="Q14" s="24">
        <f t="shared" si="10"/>
        <v>0</v>
      </c>
      <c r="S14" s="24">
        <f t="shared" ref="S14:AC14" si="11">+SUM(S11+SUM(S13:S13))</f>
        <v>0</v>
      </c>
      <c r="T14" s="24">
        <f t="shared" si="11"/>
        <v>0</v>
      </c>
      <c r="U14" s="24">
        <f t="shared" si="11"/>
        <v>0</v>
      </c>
      <c r="V14" s="24">
        <f t="shared" si="11"/>
        <v>0</v>
      </c>
      <c r="W14" s="24">
        <f t="shared" si="11"/>
        <v>0</v>
      </c>
      <c r="X14" s="24">
        <f t="shared" si="11"/>
        <v>0</v>
      </c>
      <c r="Y14" s="24">
        <f t="shared" si="11"/>
        <v>0</v>
      </c>
      <c r="Z14" s="24">
        <f t="shared" si="11"/>
        <v>0</v>
      </c>
      <c r="AA14" s="24">
        <f t="shared" si="11"/>
        <v>0</v>
      </c>
      <c r="AB14" s="24">
        <f t="shared" si="11"/>
        <v>0</v>
      </c>
      <c r="AC14" s="24">
        <f t="shared" si="11"/>
        <v>0</v>
      </c>
      <c r="AD14" s="40"/>
      <c r="AE14" s="71" t="e">
        <f t="shared" si="4"/>
        <v>#DIV/0!</v>
      </c>
    </row>
    <row r="15" spans="1:31" ht="12.75" customHeight="1">
      <c r="B15" s="14" t="s">
        <v>34</v>
      </c>
      <c r="C15" s="15" t="e">
        <f t="shared" ref="C15:E15" si="12">C14/C11</f>
        <v>#DIV/0!</v>
      </c>
      <c r="D15" s="15" t="e">
        <f t="shared" si="12"/>
        <v>#DIV/0!</v>
      </c>
      <c r="E15" s="15" t="e">
        <f t="shared" si="12"/>
        <v>#DIV/0!</v>
      </c>
      <c r="F15" s="25"/>
      <c r="G15" s="15" t="e">
        <f t="shared" ref="G15:Q15" si="13">G14/G11</f>
        <v>#DIV/0!</v>
      </c>
      <c r="H15" s="15" t="e">
        <f t="shared" si="13"/>
        <v>#DIV/0!</v>
      </c>
      <c r="I15" s="15" t="e">
        <f t="shared" si="13"/>
        <v>#DIV/0!</v>
      </c>
      <c r="J15" s="15" t="e">
        <f t="shared" si="13"/>
        <v>#DIV/0!</v>
      </c>
      <c r="K15" s="15" t="e">
        <f t="shared" si="13"/>
        <v>#DIV/0!</v>
      </c>
      <c r="L15" s="15" t="e">
        <f t="shared" si="13"/>
        <v>#DIV/0!</v>
      </c>
      <c r="M15" s="15" t="e">
        <f t="shared" si="13"/>
        <v>#DIV/0!</v>
      </c>
      <c r="N15" s="15" t="e">
        <f t="shared" si="13"/>
        <v>#DIV/0!</v>
      </c>
      <c r="O15" s="15" t="e">
        <f t="shared" si="13"/>
        <v>#DIV/0!</v>
      </c>
      <c r="P15" s="15" t="e">
        <f t="shared" si="13"/>
        <v>#DIV/0!</v>
      </c>
      <c r="Q15" s="15" t="e">
        <f t="shared" si="13"/>
        <v>#DIV/0!</v>
      </c>
      <c r="R15" s="26"/>
      <c r="S15" s="15" t="e">
        <f t="shared" ref="S15:AC15" si="14">S14/S11</f>
        <v>#DIV/0!</v>
      </c>
      <c r="T15" s="15" t="e">
        <f t="shared" si="14"/>
        <v>#DIV/0!</v>
      </c>
      <c r="U15" s="15" t="e">
        <f t="shared" si="14"/>
        <v>#DIV/0!</v>
      </c>
      <c r="V15" s="15" t="e">
        <f t="shared" si="14"/>
        <v>#DIV/0!</v>
      </c>
      <c r="W15" s="15" t="e">
        <f t="shared" si="14"/>
        <v>#DIV/0!</v>
      </c>
      <c r="X15" s="15" t="e">
        <f t="shared" si="14"/>
        <v>#DIV/0!</v>
      </c>
      <c r="Y15" s="15" t="e">
        <f t="shared" si="14"/>
        <v>#DIV/0!</v>
      </c>
      <c r="Z15" s="15" t="e">
        <f t="shared" si="14"/>
        <v>#DIV/0!</v>
      </c>
      <c r="AA15" s="15" t="e">
        <f t="shared" si="14"/>
        <v>#DIV/0!</v>
      </c>
      <c r="AB15" s="15" t="e">
        <f t="shared" si="14"/>
        <v>#DIV/0!</v>
      </c>
      <c r="AC15" s="15" t="e">
        <f t="shared" si="14"/>
        <v>#DIV/0!</v>
      </c>
      <c r="AD15" s="40"/>
      <c r="AE15" s="72" t="e">
        <f>SUM(AC15-Y15)*1000</f>
        <v>#DIV/0!</v>
      </c>
    </row>
    <row r="16" spans="1:31" ht="5.0999999999999996" customHeight="1"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40"/>
      <c r="AE16" s="70"/>
    </row>
    <row r="17" spans="2:31" ht="12.75" customHeight="1">
      <c r="B17" s="9" t="s">
        <v>137</v>
      </c>
      <c r="C17" s="79">
        <v>-24813</v>
      </c>
      <c r="D17" s="79">
        <v>-68032</v>
      </c>
      <c r="E17" s="79">
        <v>-89423</v>
      </c>
      <c r="F17" s="79"/>
      <c r="G17" s="79">
        <v>-14906</v>
      </c>
      <c r="H17" s="79">
        <v>-16948</v>
      </c>
      <c r="I17" s="79">
        <v>-18526</v>
      </c>
      <c r="J17" s="30">
        <f t="shared" ref="J17:J18" si="15">SUM(D17-SUM(G17:I17))</f>
        <v>-17652</v>
      </c>
      <c r="K17" s="79">
        <v>-22120</v>
      </c>
      <c r="L17" s="79">
        <v>-24969</v>
      </c>
      <c r="M17" s="79">
        <v>-23603</v>
      </c>
      <c r="N17" s="30">
        <f t="shared" ref="N17:N18" si="16">SUM(E17-SUM(K17:M17))</f>
        <v>-18731</v>
      </c>
      <c r="O17" s="79">
        <v>-16233</v>
      </c>
      <c r="P17" s="79">
        <v>-15198</v>
      </c>
      <c r="Q17" s="79">
        <v>-17676</v>
      </c>
      <c r="S17" s="30">
        <f>SUM(H17:K17)</f>
        <v>-75246</v>
      </c>
      <c r="T17" s="30">
        <f>SUM(I17:L17)</f>
        <v>-83267</v>
      </c>
      <c r="U17" s="30">
        <f>SUM(J17:M17)</f>
        <v>-88344</v>
      </c>
      <c r="V17" s="30">
        <f>SUM(K17:N17)</f>
        <v>-89423</v>
      </c>
      <c r="W17" s="30">
        <f>SUM(L17:O17)</f>
        <v>-83536</v>
      </c>
      <c r="X17" s="30">
        <f>SUM(M17:P17)</f>
        <v>-73765</v>
      </c>
      <c r="Y17" s="30">
        <f t="shared" ref="Y17:Y18" si="17">SUM(J17:M17)</f>
        <v>-88344</v>
      </c>
      <c r="Z17" s="30">
        <f t="shared" ref="Z17:Z18" si="18">SUM(K17:N17)</f>
        <v>-89423</v>
      </c>
      <c r="AA17" s="30">
        <f t="shared" ref="AA17:AA18" si="19">SUM(L17:O17)</f>
        <v>-83536</v>
      </c>
      <c r="AB17" s="30">
        <f t="shared" ref="AB17:AB18" si="20">SUM(M17:P17)</f>
        <v>-73765</v>
      </c>
      <c r="AC17" s="30">
        <f t="shared" ref="AC17:AC18" si="21">SUM(N17:Q17)</f>
        <v>-67838</v>
      </c>
      <c r="AD17" s="11"/>
      <c r="AE17" s="70">
        <f t="shared" si="4"/>
        <v>-0.23211536720094172</v>
      </c>
    </row>
    <row r="18" spans="2:31" ht="12.75" customHeight="1">
      <c r="B18" s="9" t="s">
        <v>138</v>
      </c>
      <c r="C18" s="79">
        <v>-8055</v>
      </c>
      <c r="D18" s="79">
        <v>-11988</v>
      </c>
      <c r="E18" s="79">
        <v>-16534</v>
      </c>
      <c r="F18" s="79"/>
      <c r="G18" s="79">
        <v>-2915</v>
      </c>
      <c r="H18" s="79">
        <v>-2969</v>
      </c>
      <c r="I18" s="79">
        <v>-2819</v>
      </c>
      <c r="J18" s="30">
        <f t="shared" si="15"/>
        <v>-3285</v>
      </c>
      <c r="K18" s="79">
        <v>-4392</v>
      </c>
      <c r="L18" s="79">
        <v>-3808</v>
      </c>
      <c r="M18" s="79">
        <v>-4276</v>
      </c>
      <c r="N18" s="30">
        <f t="shared" si="16"/>
        <v>-4058</v>
      </c>
      <c r="O18" s="79">
        <v>-3701</v>
      </c>
      <c r="P18" s="79">
        <v>-46204</v>
      </c>
      <c r="Q18" s="79">
        <v>-12947</v>
      </c>
      <c r="S18" s="30">
        <f>SUM(H18:K18)</f>
        <v>-13465</v>
      </c>
      <c r="T18" s="30">
        <f>SUM(I18:L18)</f>
        <v>-14304</v>
      </c>
      <c r="U18" s="30">
        <f>SUM(J18:M18)</f>
        <v>-15761</v>
      </c>
      <c r="V18" s="30">
        <f>SUM(K18:N18)</f>
        <v>-16534</v>
      </c>
      <c r="W18" s="30">
        <f>SUM(L18:O18)</f>
        <v>-15843</v>
      </c>
      <c r="X18" s="30">
        <f>SUM(M18:P18)</f>
        <v>-58239</v>
      </c>
      <c r="Y18" s="30">
        <f t="shared" si="17"/>
        <v>-15761</v>
      </c>
      <c r="Z18" s="30">
        <f t="shared" si="18"/>
        <v>-16534</v>
      </c>
      <c r="AA18" s="30">
        <f t="shared" si="19"/>
        <v>-15843</v>
      </c>
      <c r="AB18" s="30">
        <f t="shared" si="20"/>
        <v>-58239</v>
      </c>
      <c r="AC18" s="30">
        <f t="shared" si="21"/>
        <v>-66910</v>
      </c>
      <c r="AD18" s="11"/>
      <c r="AE18" s="70">
        <f t="shared" si="4"/>
        <v>3.24528900450479</v>
      </c>
    </row>
    <row r="19" spans="2:31" ht="12.75" customHeight="1">
      <c r="B19" s="23" t="s">
        <v>98</v>
      </c>
      <c r="C19" s="24">
        <f>+SUM(C14+SUM(C17:C18))</f>
        <v>-32868</v>
      </c>
      <c r="D19" s="24">
        <f>+SUM(D14+SUM(D17:D18))</f>
        <v>-80020</v>
      </c>
      <c r="E19" s="24">
        <f>+SUM(E14+SUM(E17:E18))</f>
        <v>-105957</v>
      </c>
      <c r="F19" s="30"/>
      <c r="G19" s="24">
        <f>+SUM(G14+SUM(G17:G18))</f>
        <v>-17821</v>
      </c>
      <c r="H19" s="24">
        <f>+SUM(H14+SUM(H17:H18))</f>
        <v>-19917</v>
      </c>
      <c r="I19" s="24">
        <f>+SUM(I14+SUM(I17:I18))</f>
        <v>-21345</v>
      </c>
      <c r="J19" s="24">
        <f>+SUM(J14+SUM(J17:J18))</f>
        <v>-20937</v>
      </c>
      <c r="K19" s="24">
        <f>+SUM(K14+SUM(K17:K18))</f>
        <v>-26512</v>
      </c>
      <c r="L19" s="24">
        <f>+SUM(L14+SUM(L17:L18))</f>
        <v>-28777</v>
      </c>
      <c r="M19" s="24">
        <f>+SUM(M14+SUM(M17:M18))</f>
        <v>-27879</v>
      </c>
      <c r="N19" s="24">
        <f>+SUM(N14+SUM(N17:N18))</f>
        <v>-22789</v>
      </c>
      <c r="O19" s="24">
        <f>+SUM(O14+SUM(O17:O18))</f>
        <v>-19934</v>
      </c>
      <c r="P19" s="24">
        <f>+SUM(P14+SUM(P17:P18))</f>
        <v>-61402</v>
      </c>
      <c r="Q19" s="24">
        <f>+SUM(Q14+SUM(Q17:Q18))</f>
        <v>-30623</v>
      </c>
      <c r="S19" s="24">
        <f>+SUM(S14+SUM(S17:S18))</f>
        <v>-88711</v>
      </c>
      <c r="T19" s="24">
        <f>+SUM(T14+SUM(T17:T18))</f>
        <v>-97571</v>
      </c>
      <c r="U19" s="24">
        <f>+SUM(U14+SUM(U17:U18))</f>
        <v>-104105</v>
      </c>
      <c r="V19" s="24">
        <f>+SUM(V14+SUM(V17:V18))</f>
        <v>-105957</v>
      </c>
      <c r="W19" s="24">
        <f>+SUM(W14+SUM(W17:W18))</f>
        <v>-99379</v>
      </c>
      <c r="X19" s="24">
        <f>+SUM(X14+SUM(X17:X18))</f>
        <v>-132004</v>
      </c>
      <c r="Y19" s="24">
        <f>+SUM(Y14+SUM(Y17:Y18))</f>
        <v>-104105</v>
      </c>
      <c r="Z19" s="24">
        <f>+SUM(Z14+SUM(Z17:Z18))</f>
        <v>-105957</v>
      </c>
      <c r="AA19" s="24">
        <f>+SUM(AA14+SUM(AA17:AA18))</f>
        <v>-99379</v>
      </c>
      <c r="AB19" s="24">
        <f>+SUM(AB14+SUM(AB17:AB18))</f>
        <v>-132004</v>
      </c>
      <c r="AC19" s="24">
        <f>+SUM(AC14+SUM(AC17:AC18))</f>
        <v>-134748</v>
      </c>
      <c r="AD19" s="11"/>
      <c r="AE19" s="71">
        <f t="shared" si="4"/>
        <v>0.29434705345564582</v>
      </c>
    </row>
    <row r="20" spans="2:31" ht="12.75" customHeight="1">
      <c r="B20" s="14" t="s">
        <v>36</v>
      </c>
      <c r="C20" s="15" t="e">
        <f>C19/C11</f>
        <v>#DIV/0!</v>
      </c>
      <c r="D20" s="15" t="e">
        <f>D19/D11</f>
        <v>#DIV/0!</v>
      </c>
      <c r="E20" s="15" t="e">
        <f>E19/E11</f>
        <v>#DIV/0!</v>
      </c>
      <c r="F20" s="30"/>
      <c r="G20" s="15" t="e">
        <f>G19/G11</f>
        <v>#DIV/0!</v>
      </c>
      <c r="H20" s="15" t="e">
        <f>H19/H11</f>
        <v>#DIV/0!</v>
      </c>
      <c r="I20" s="15" t="e">
        <f>I19/I11</f>
        <v>#DIV/0!</v>
      </c>
      <c r="J20" s="15" t="e">
        <f>J19/J11</f>
        <v>#DIV/0!</v>
      </c>
      <c r="K20" s="15" t="e">
        <f>K19/K11</f>
        <v>#DIV/0!</v>
      </c>
      <c r="L20" s="15" t="e">
        <f>L19/L11</f>
        <v>#DIV/0!</v>
      </c>
      <c r="M20" s="15" t="e">
        <f>M19/M11</f>
        <v>#DIV/0!</v>
      </c>
      <c r="N20" s="15" t="e">
        <f>N19/N11</f>
        <v>#DIV/0!</v>
      </c>
      <c r="O20" s="15" t="e">
        <f>O19/O11</f>
        <v>#DIV/0!</v>
      </c>
      <c r="P20" s="15" t="e">
        <f>P19/P11</f>
        <v>#DIV/0!</v>
      </c>
      <c r="Q20" s="15" t="e">
        <f>Q19/Q11</f>
        <v>#DIV/0!</v>
      </c>
      <c r="S20" s="15" t="e">
        <f>S19/S11</f>
        <v>#DIV/0!</v>
      </c>
      <c r="T20" s="15" t="e">
        <f>T19/T11</f>
        <v>#DIV/0!</v>
      </c>
      <c r="U20" s="15" t="e">
        <f>U19/U11</f>
        <v>#DIV/0!</v>
      </c>
      <c r="V20" s="15" t="e">
        <f>V19/V11</f>
        <v>#DIV/0!</v>
      </c>
      <c r="W20" s="15" t="e">
        <f>W19/W11</f>
        <v>#DIV/0!</v>
      </c>
      <c r="X20" s="15" t="e">
        <f>X19/X11</f>
        <v>#DIV/0!</v>
      </c>
      <c r="Y20" s="15" t="e">
        <f>Y19/Y11</f>
        <v>#DIV/0!</v>
      </c>
      <c r="Z20" s="15" t="e">
        <f>Z19/Z11</f>
        <v>#DIV/0!</v>
      </c>
      <c r="AA20" s="15" t="e">
        <f>AA19/AA11</f>
        <v>#DIV/0!</v>
      </c>
      <c r="AB20" s="15" t="e">
        <f>AB19/AB11</f>
        <v>#DIV/0!</v>
      </c>
      <c r="AC20" s="15" t="e">
        <f>AC19/AC11</f>
        <v>#DIV/0!</v>
      </c>
      <c r="AD20" s="11"/>
      <c r="AE20" s="72" t="e">
        <f>SUM(AC20-Y20)*1000</f>
        <v>#DIV/0!</v>
      </c>
    </row>
    <row r="21" spans="2:31" ht="5.0999999999999996" customHeight="1">
      <c r="B21" s="14"/>
      <c r="C21" s="15"/>
      <c r="D21" s="15"/>
      <c r="E21" s="15"/>
      <c r="F21" s="30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11"/>
      <c r="AE21" s="70"/>
    </row>
    <row r="22" spans="2:31" ht="12.75" customHeight="1">
      <c r="B22" s="9" t="s">
        <v>86</v>
      </c>
      <c r="C22" s="79">
        <v>49</v>
      </c>
      <c r="D22" s="79">
        <v>2777</v>
      </c>
      <c r="E22" s="79">
        <v>7833</v>
      </c>
      <c r="F22" s="30"/>
      <c r="G22" s="79">
        <v>31</v>
      </c>
      <c r="H22" s="79">
        <v>314</v>
      </c>
      <c r="I22" s="79">
        <v>878</v>
      </c>
      <c r="J22" s="30">
        <f t="shared" ref="J22:J24" si="22">SUM(D22-SUM(G22:I22))</f>
        <v>1554</v>
      </c>
      <c r="K22" s="79">
        <v>2051</v>
      </c>
      <c r="L22" s="79">
        <v>2198</v>
      </c>
      <c r="M22" s="79">
        <v>2005</v>
      </c>
      <c r="N22" s="30">
        <f t="shared" ref="N22:N24" si="23">SUM(E22-SUM(K22:M22))</f>
        <v>1579</v>
      </c>
      <c r="O22" s="79">
        <v>1776</v>
      </c>
      <c r="P22" s="79">
        <v>2316</v>
      </c>
      <c r="Q22" s="79">
        <v>2618</v>
      </c>
      <c r="S22" s="30">
        <f>SUM(H22:K22)</f>
        <v>4797</v>
      </c>
      <c r="T22" s="30">
        <f>SUM(I22:L22)</f>
        <v>6681</v>
      </c>
      <c r="U22" s="30">
        <f>SUM(J22:M22)</f>
        <v>7808</v>
      </c>
      <c r="V22" s="30">
        <f>SUM(K22:N22)</f>
        <v>7833</v>
      </c>
      <c r="W22" s="30">
        <f>SUM(L22:O22)</f>
        <v>7558</v>
      </c>
      <c r="X22" s="30">
        <f>SUM(M22:P22)</f>
        <v>7676</v>
      </c>
      <c r="Y22" s="30">
        <f t="shared" ref="Y22:Y24" si="24">SUM(J22:M22)</f>
        <v>7808</v>
      </c>
      <c r="Z22" s="30">
        <f t="shared" ref="Z22:Z24" si="25">SUM(K22:N22)</f>
        <v>7833</v>
      </c>
      <c r="AA22" s="30">
        <f t="shared" ref="AA22:AA24" si="26">SUM(L22:O22)</f>
        <v>7558</v>
      </c>
      <c r="AB22" s="30">
        <f t="shared" ref="AB22:AB24" si="27">SUM(M22:P22)</f>
        <v>7676</v>
      </c>
      <c r="AC22" s="30">
        <f t="shared" ref="AC22:AC24" si="28">SUM(N22:Q22)</f>
        <v>8289</v>
      </c>
      <c r="AD22" s="11"/>
      <c r="AE22" s="70">
        <f t="shared" si="4"/>
        <v>6.1603483606557319E-2</v>
      </c>
    </row>
    <row r="23" spans="2:31" ht="12.75" customHeight="1">
      <c r="B23" s="9" t="s">
        <v>139</v>
      </c>
      <c r="C23" s="79">
        <v>434</v>
      </c>
      <c r="D23" s="79">
        <v>997</v>
      </c>
      <c r="E23" s="79">
        <v>907</v>
      </c>
      <c r="F23" s="30"/>
      <c r="G23" s="79">
        <v>263</v>
      </c>
      <c r="H23" s="79">
        <v>275</v>
      </c>
      <c r="I23" s="79">
        <v>210</v>
      </c>
      <c r="J23" s="30">
        <f t="shared" si="22"/>
        <v>249</v>
      </c>
      <c r="K23" s="79">
        <v>190</v>
      </c>
      <c r="L23" s="79">
        <v>203</v>
      </c>
      <c r="M23" s="79">
        <v>223</v>
      </c>
      <c r="N23" s="30">
        <f t="shared" si="23"/>
        <v>291</v>
      </c>
      <c r="O23" s="79">
        <v>160</v>
      </c>
      <c r="P23" s="79">
        <v>99</v>
      </c>
      <c r="Q23" s="79">
        <v>62</v>
      </c>
      <c r="S23" s="30"/>
      <c r="T23" s="30"/>
      <c r="U23" s="30"/>
      <c r="V23" s="30"/>
      <c r="W23" s="30"/>
      <c r="X23" s="30"/>
      <c r="Y23" s="30">
        <f t="shared" si="24"/>
        <v>865</v>
      </c>
      <c r="Z23" s="30">
        <f t="shared" si="25"/>
        <v>907</v>
      </c>
      <c r="AA23" s="30">
        <f t="shared" si="26"/>
        <v>877</v>
      </c>
      <c r="AB23" s="30">
        <f t="shared" si="27"/>
        <v>773</v>
      </c>
      <c r="AC23" s="30">
        <f t="shared" si="28"/>
        <v>612</v>
      </c>
      <c r="AD23" s="11"/>
      <c r="AE23" s="70">
        <f t="shared" si="4"/>
        <v>-0.292485549132948</v>
      </c>
    </row>
    <row r="24" spans="2:31" ht="12.75" customHeight="1">
      <c r="B24" s="9" t="s">
        <v>140</v>
      </c>
      <c r="C24" s="79">
        <v>0</v>
      </c>
      <c r="D24" s="79">
        <v>0</v>
      </c>
      <c r="E24" s="79">
        <v>0</v>
      </c>
      <c r="F24" s="30"/>
      <c r="G24" s="79">
        <v>0</v>
      </c>
      <c r="H24" s="79">
        <v>0</v>
      </c>
      <c r="I24" s="79">
        <v>0</v>
      </c>
      <c r="J24" s="30">
        <f t="shared" si="22"/>
        <v>0</v>
      </c>
      <c r="K24" s="79">
        <v>0</v>
      </c>
      <c r="L24" s="79">
        <v>0</v>
      </c>
      <c r="M24" s="79">
        <v>0</v>
      </c>
      <c r="N24" s="30">
        <f t="shared" si="23"/>
        <v>0</v>
      </c>
      <c r="O24" s="79">
        <v>43041</v>
      </c>
      <c r="P24" s="79">
        <v>65142</v>
      </c>
      <c r="Q24" s="79">
        <v>0</v>
      </c>
      <c r="S24" s="30"/>
      <c r="T24" s="30"/>
      <c r="U24" s="30"/>
      <c r="V24" s="30"/>
      <c r="W24" s="30"/>
      <c r="X24" s="30"/>
      <c r="Y24" s="30">
        <f t="shared" si="24"/>
        <v>0</v>
      </c>
      <c r="Z24" s="30">
        <f t="shared" si="25"/>
        <v>0</v>
      </c>
      <c r="AA24" s="30">
        <f t="shared" si="26"/>
        <v>43041</v>
      </c>
      <c r="AB24" s="30">
        <f t="shared" si="27"/>
        <v>108183</v>
      </c>
      <c r="AC24" s="30">
        <f t="shared" si="28"/>
        <v>108183</v>
      </c>
      <c r="AD24" s="11"/>
      <c r="AE24" s="70" t="e">
        <f t="shared" si="4"/>
        <v>#DIV/0!</v>
      </c>
    </row>
    <row r="25" spans="2:31" ht="12.75" customHeight="1">
      <c r="B25" s="23" t="s">
        <v>99</v>
      </c>
      <c r="C25" s="24">
        <f>SUM(C19+SUM(C22:C24))</f>
        <v>-32385</v>
      </c>
      <c r="D25" s="24">
        <f>SUM(D19+SUM(D22:D24))</f>
        <v>-76246</v>
      </c>
      <c r="E25" s="24">
        <f>SUM(E19+SUM(E22:E24))</f>
        <v>-97217</v>
      </c>
      <c r="G25" s="24">
        <f>SUM(G19+SUM(G22:G24))</f>
        <v>-17527</v>
      </c>
      <c r="H25" s="24">
        <f>SUM(H19+SUM(H22:H24))</f>
        <v>-19328</v>
      </c>
      <c r="I25" s="24">
        <f>SUM(I19+SUM(I22:I24))</f>
        <v>-20257</v>
      </c>
      <c r="J25" s="24">
        <f>SUM(J19+SUM(J22:J24))</f>
        <v>-19134</v>
      </c>
      <c r="K25" s="24">
        <f>SUM(K19+SUM(K22:K24))</f>
        <v>-24271</v>
      </c>
      <c r="L25" s="24">
        <f>SUM(L19+SUM(L22:L24))</f>
        <v>-26376</v>
      </c>
      <c r="M25" s="24">
        <f>SUM(M19+SUM(M22:M24))</f>
        <v>-25651</v>
      </c>
      <c r="N25" s="24">
        <f>SUM(N19+SUM(N22:N24))</f>
        <v>-20919</v>
      </c>
      <c r="O25" s="24">
        <f>SUM(O19+SUM(O22:O24))</f>
        <v>25043</v>
      </c>
      <c r="P25" s="24">
        <f>SUM(P19+SUM(P22:P24))</f>
        <v>6155</v>
      </c>
      <c r="Q25" s="24">
        <f>SUM(Q19+SUM(Q22:Q24))</f>
        <v>-27943</v>
      </c>
      <c r="S25" s="24">
        <f>SUM(S19+SUM(S22:S24))</f>
        <v>-83914</v>
      </c>
      <c r="T25" s="24">
        <f>SUM(T19+SUM(T22:T24))</f>
        <v>-90890</v>
      </c>
      <c r="U25" s="24">
        <f>SUM(U19+SUM(U22:U24))</f>
        <v>-96297</v>
      </c>
      <c r="V25" s="24">
        <f>SUM(V19+SUM(V22:V24))</f>
        <v>-98124</v>
      </c>
      <c r="W25" s="24">
        <f>SUM(W19+SUM(W22:W24))</f>
        <v>-91821</v>
      </c>
      <c r="X25" s="24">
        <f>SUM(X19+SUM(X22:X24))</f>
        <v>-124328</v>
      </c>
      <c r="Y25" s="24">
        <f>SUM(Y19+SUM(Y22:Y24))</f>
        <v>-95432</v>
      </c>
      <c r="Z25" s="24">
        <f>SUM(Z19+SUM(Z22:Z24))</f>
        <v>-97217</v>
      </c>
      <c r="AA25" s="24">
        <f>SUM(AA19+SUM(AA22:AA24))</f>
        <v>-47903</v>
      </c>
      <c r="AB25" s="24">
        <f>SUM(AB19+SUM(AB22:AB24))</f>
        <v>-15372</v>
      </c>
      <c r="AC25" s="24">
        <f>SUM(AC19+SUM(AC22:AC24))</f>
        <v>-17664</v>
      </c>
      <c r="AD25" s="40"/>
      <c r="AE25" s="71">
        <f t="shared" si="4"/>
        <v>-0.8149048537178305</v>
      </c>
    </row>
    <row r="26" spans="2:31" ht="12.75" customHeight="1">
      <c r="B26" s="14" t="s">
        <v>100</v>
      </c>
      <c r="C26" s="15" t="e">
        <f>C25/C11</f>
        <v>#DIV/0!</v>
      </c>
      <c r="D26" s="15" t="e">
        <f>D25/D11</f>
        <v>#DIV/0!</v>
      </c>
      <c r="E26" s="15" t="e">
        <f>E25/E11</f>
        <v>#DIV/0!</v>
      </c>
      <c r="F26" s="25"/>
      <c r="G26" s="15" t="e">
        <f>G25/G11</f>
        <v>#DIV/0!</v>
      </c>
      <c r="H26" s="15" t="e">
        <f>H25/H11</f>
        <v>#DIV/0!</v>
      </c>
      <c r="I26" s="15" t="e">
        <f>I25/I11</f>
        <v>#DIV/0!</v>
      </c>
      <c r="J26" s="15" t="e">
        <f>J25/J11</f>
        <v>#DIV/0!</v>
      </c>
      <c r="K26" s="15" t="e">
        <f>K25/K11</f>
        <v>#DIV/0!</v>
      </c>
      <c r="L26" s="15" t="e">
        <f>L25/L11</f>
        <v>#DIV/0!</v>
      </c>
      <c r="M26" s="15" t="e">
        <f>M25/M11</f>
        <v>#DIV/0!</v>
      </c>
      <c r="N26" s="15" t="e">
        <f>N25/N11</f>
        <v>#DIV/0!</v>
      </c>
      <c r="O26" s="15" t="e">
        <f>O25/O11</f>
        <v>#DIV/0!</v>
      </c>
      <c r="P26" s="15" t="e">
        <f>P25/P11</f>
        <v>#DIV/0!</v>
      </c>
      <c r="Q26" s="15" t="e">
        <f>Q25/Q11</f>
        <v>#DIV/0!</v>
      </c>
      <c r="R26" s="26"/>
      <c r="S26" s="15" t="e">
        <f>S25/S11</f>
        <v>#DIV/0!</v>
      </c>
      <c r="T26" s="15" t="e">
        <f>T25/T11</f>
        <v>#DIV/0!</v>
      </c>
      <c r="U26" s="15" t="e">
        <f>U25/U11</f>
        <v>#DIV/0!</v>
      </c>
      <c r="V26" s="15" t="e">
        <f>V25/V11</f>
        <v>#DIV/0!</v>
      </c>
      <c r="W26" s="15" t="e">
        <f>W25/W11</f>
        <v>#DIV/0!</v>
      </c>
      <c r="X26" s="15" t="e">
        <f>X25/X11</f>
        <v>#DIV/0!</v>
      </c>
      <c r="Y26" s="15" t="e">
        <f>Y25/Y11</f>
        <v>#DIV/0!</v>
      </c>
      <c r="Z26" s="15" t="e">
        <f>Z25/Z11</f>
        <v>#DIV/0!</v>
      </c>
      <c r="AA26" s="15" t="e">
        <f>AA25/AA11</f>
        <v>#DIV/0!</v>
      </c>
      <c r="AB26" s="15" t="e">
        <f>AB25/AB11</f>
        <v>#DIV/0!</v>
      </c>
      <c r="AC26" s="15" t="e">
        <f>AC25/AC11</f>
        <v>#DIV/0!</v>
      </c>
      <c r="AD26" s="41"/>
      <c r="AE26" s="72" t="e">
        <f>SUM(AC26-Y26)*1000</f>
        <v>#DIV/0!</v>
      </c>
    </row>
    <row r="27" spans="2:31" ht="5.0999999999999996" customHeight="1">
      <c r="B27" s="27"/>
      <c r="C27" s="42"/>
      <c r="D27" s="42"/>
      <c r="E27" s="42"/>
      <c r="F27" s="28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1"/>
      <c r="AE27" s="70"/>
    </row>
    <row r="28" spans="2:31" ht="12.75" customHeight="1">
      <c r="B28" s="43" t="s">
        <v>117</v>
      </c>
      <c r="C28" s="79">
        <v>0</v>
      </c>
      <c r="D28" s="79">
        <v>0</v>
      </c>
      <c r="E28" s="79">
        <v>0</v>
      </c>
      <c r="F28" s="30"/>
      <c r="G28" s="79">
        <v>0</v>
      </c>
      <c r="H28" s="79">
        <v>0</v>
      </c>
      <c r="I28" s="79">
        <v>0</v>
      </c>
      <c r="J28" s="30">
        <f t="shared" ref="J28" si="29">SUM(C28-SUM(G28:I28))</f>
        <v>0</v>
      </c>
      <c r="K28" s="79">
        <v>0</v>
      </c>
      <c r="L28" s="79">
        <v>0</v>
      </c>
      <c r="M28" s="79">
        <v>0</v>
      </c>
      <c r="N28" s="30">
        <f t="shared" ref="N28" si="30">SUM(D28-SUM(K28:M28))</f>
        <v>0</v>
      </c>
      <c r="O28" s="79">
        <v>0</v>
      </c>
      <c r="P28" s="79">
        <v>0</v>
      </c>
      <c r="Q28" s="79">
        <v>0</v>
      </c>
      <c r="R28" s="30"/>
      <c r="S28" s="30">
        <f>SUM(H28:K28)</f>
        <v>0</v>
      </c>
      <c r="T28" s="30">
        <f>SUM(I28:L28)</f>
        <v>0</v>
      </c>
      <c r="U28" s="30">
        <f>SUM(J28:M28)</f>
        <v>0</v>
      </c>
      <c r="V28" s="30">
        <f>SUM(K28:N28)</f>
        <v>0</v>
      </c>
      <c r="W28" s="30">
        <f>SUM(L28:O28)</f>
        <v>0</v>
      </c>
      <c r="X28" s="30">
        <f>SUM(M28:P28)</f>
        <v>0</v>
      </c>
      <c r="Y28" s="30">
        <f t="shared" ref="Y28" si="31">SUM(J28:M28)</f>
        <v>0</v>
      </c>
      <c r="Z28" s="30">
        <f t="shared" ref="Z28" si="32">SUM(K28:N28)</f>
        <v>0</v>
      </c>
      <c r="AA28" s="30">
        <f t="shared" ref="AA28" si="33">SUM(L28:O28)</f>
        <v>0</v>
      </c>
      <c r="AB28" s="30">
        <f t="shared" ref="AB28" si="34">SUM(M28:P28)</f>
        <v>0</v>
      </c>
      <c r="AC28" s="30">
        <f>SUM(N28:Q28)</f>
        <v>0</v>
      </c>
      <c r="AD28" s="41"/>
      <c r="AE28" s="70" t="e">
        <f t="shared" si="4"/>
        <v>#DIV/0!</v>
      </c>
    </row>
    <row r="29" spans="2:31" ht="12.75" customHeight="1">
      <c r="B29" s="12" t="s">
        <v>63</v>
      </c>
      <c r="C29" s="13">
        <f t="shared" ref="C29:E29" si="35">SUM(C25+C28)</f>
        <v>-32385</v>
      </c>
      <c r="D29" s="13">
        <f t="shared" si="35"/>
        <v>-76246</v>
      </c>
      <c r="E29" s="13">
        <f t="shared" si="35"/>
        <v>-97217</v>
      </c>
      <c r="F29" s="11"/>
      <c r="G29" s="13">
        <f t="shared" ref="G29:Q29" si="36">SUM(G25+G28)</f>
        <v>-17527</v>
      </c>
      <c r="H29" s="13">
        <f t="shared" si="36"/>
        <v>-19328</v>
      </c>
      <c r="I29" s="13">
        <f t="shared" si="36"/>
        <v>-20257</v>
      </c>
      <c r="J29" s="13">
        <f t="shared" si="36"/>
        <v>-19134</v>
      </c>
      <c r="K29" s="13">
        <f t="shared" si="36"/>
        <v>-24271</v>
      </c>
      <c r="L29" s="13">
        <f t="shared" si="36"/>
        <v>-26376</v>
      </c>
      <c r="M29" s="13">
        <f t="shared" si="36"/>
        <v>-25651</v>
      </c>
      <c r="N29" s="13">
        <f t="shared" si="36"/>
        <v>-20919</v>
      </c>
      <c r="O29" s="13">
        <f t="shared" si="36"/>
        <v>25043</v>
      </c>
      <c r="P29" s="13">
        <f t="shared" si="36"/>
        <v>6155</v>
      </c>
      <c r="Q29" s="13">
        <f t="shared" si="36"/>
        <v>-27943</v>
      </c>
      <c r="R29" s="30"/>
      <c r="S29" s="13">
        <f t="shared" ref="S29:AC29" si="37">SUM(S25+S28)</f>
        <v>-83914</v>
      </c>
      <c r="T29" s="13">
        <f t="shared" si="37"/>
        <v>-90890</v>
      </c>
      <c r="U29" s="13">
        <f t="shared" si="37"/>
        <v>-96297</v>
      </c>
      <c r="V29" s="13">
        <f t="shared" si="37"/>
        <v>-98124</v>
      </c>
      <c r="W29" s="13">
        <f t="shared" si="37"/>
        <v>-91821</v>
      </c>
      <c r="X29" s="13">
        <f t="shared" si="37"/>
        <v>-124328</v>
      </c>
      <c r="Y29" s="13">
        <f t="shared" si="37"/>
        <v>-95432</v>
      </c>
      <c r="Z29" s="13">
        <f t="shared" si="37"/>
        <v>-97217</v>
      </c>
      <c r="AA29" s="13">
        <f t="shared" si="37"/>
        <v>-47903</v>
      </c>
      <c r="AB29" s="13">
        <f t="shared" si="37"/>
        <v>-15372</v>
      </c>
      <c r="AC29" s="13">
        <f t="shared" si="37"/>
        <v>-17664</v>
      </c>
      <c r="AD29" s="34"/>
      <c r="AE29" s="71">
        <f t="shared" si="4"/>
        <v>-0.8149048537178305</v>
      </c>
    </row>
    <row r="30" spans="2:31" ht="12.75" customHeight="1">
      <c r="B30" s="14" t="s">
        <v>77</v>
      </c>
      <c r="C30" s="15" t="e">
        <f>C29/C11</f>
        <v>#DIV/0!</v>
      </c>
      <c r="D30" s="15" t="e">
        <f>D29/D11</f>
        <v>#DIV/0!</v>
      </c>
      <c r="E30" s="15" t="e">
        <f>E29/E11</f>
        <v>#DIV/0!</v>
      </c>
      <c r="F30" s="25"/>
      <c r="G30" s="15" t="e">
        <f>G29/G11</f>
        <v>#DIV/0!</v>
      </c>
      <c r="H30" s="15" t="e">
        <f>H29/H11</f>
        <v>#DIV/0!</v>
      </c>
      <c r="I30" s="15" t="e">
        <f>I29/I11</f>
        <v>#DIV/0!</v>
      </c>
      <c r="J30" s="15" t="e">
        <f>J29/J11</f>
        <v>#DIV/0!</v>
      </c>
      <c r="K30" s="15" t="e">
        <f>K29/K11</f>
        <v>#DIV/0!</v>
      </c>
      <c r="L30" s="15" t="e">
        <f>L29/L11</f>
        <v>#DIV/0!</v>
      </c>
      <c r="M30" s="15" t="e">
        <f>M29/M11</f>
        <v>#DIV/0!</v>
      </c>
      <c r="N30" s="15" t="e">
        <f>N29/N11</f>
        <v>#DIV/0!</v>
      </c>
      <c r="O30" s="15" t="e">
        <f>O29/O11</f>
        <v>#DIV/0!</v>
      </c>
      <c r="P30" s="15" t="e">
        <f>P29/P11</f>
        <v>#DIV/0!</v>
      </c>
      <c r="Q30" s="15" t="e">
        <f>Q29/Q11</f>
        <v>#DIV/0!</v>
      </c>
      <c r="R30" s="26"/>
      <c r="S30" s="15" t="e">
        <f>S29/S11</f>
        <v>#DIV/0!</v>
      </c>
      <c r="T30" s="15" t="e">
        <f>T29/T11</f>
        <v>#DIV/0!</v>
      </c>
      <c r="U30" s="15" t="e">
        <f>U29/U11</f>
        <v>#DIV/0!</v>
      </c>
      <c r="V30" s="15" t="e">
        <f>V29/V11</f>
        <v>#DIV/0!</v>
      </c>
      <c r="W30" s="15" t="e">
        <f>W29/W11</f>
        <v>#DIV/0!</v>
      </c>
      <c r="X30" s="15" t="e">
        <f>X29/X11</f>
        <v>#DIV/0!</v>
      </c>
      <c r="Y30" s="15" t="e">
        <f>Y29/Y11</f>
        <v>#DIV/0!</v>
      </c>
      <c r="Z30" s="15" t="e">
        <f>Z29/Z11</f>
        <v>#DIV/0!</v>
      </c>
      <c r="AA30" s="15" t="e">
        <f>AA29/AA11</f>
        <v>#DIV/0!</v>
      </c>
      <c r="AB30" s="15" t="e">
        <f>AB29/AB11</f>
        <v>#DIV/0!</v>
      </c>
      <c r="AC30" s="15" t="e">
        <f>AC29/AC11</f>
        <v>#DIV/0!</v>
      </c>
      <c r="AD30" s="41"/>
      <c r="AE30" s="72" t="e">
        <f>SUM(AC30-Y30)*1000</f>
        <v>#DIV/0!</v>
      </c>
    </row>
    <row r="31" spans="2:31" ht="5.0999999999999996" customHeight="1">
      <c r="B31" s="14"/>
      <c r="C31" s="15"/>
      <c r="D31" s="15"/>
      <c r="E31" s="15"/>
      <c r="F31" s="2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26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41"/>
      <c r="AE31" s="72"/>
    </row>
    <row r="32" spans="2:31" ht="12.75" customHeight="1">
      <c r="B32" s="43" t="s">
        <v>78</v>
      </c>
      <c r="C32" s="79"/>
      <c r="D32" s="79"/>
      <c r="E32" s="79"/>
      <c r="F32" s="25"/>
      <c r="G32" s="79"/>
      <c r="H32" s="79"/>
      <c r="I32" s="79"/>
      <c r="J32" s="30">
        <f>C32</f>
        <v>0</v>
      </c>
      <c r="K32" s="79"/>
      <c r="L32" s="79"/>
      <c r="M32" s="79"/>
      <c r="N32" s="30">
        <f>D32</f>
        <v>0</v>
      </c>
      <c r="O32" s="79"/>
      <c r="P32" s="79"/>
      <c r="Q32" s="79"/>
      <c r="R32" s="30"/>
      <c r="S32" s="30">
        <f t="shared" ref="R32:AB32" si="38">G32</f>
        <v>0</v>
      </c>
      <c r="T32" s="30">
        <f t="shared" si="38"/>
        <v>0</v>
      </c>
      <c r="U32" s="30">
        <f t="shared" si="38"/>
        <v>0</v>
      </c>
      <c r="V32" s="30">
        <f t="shared" si="38"/>
        <v>0</v>
      </c>
      <c r="W32" s="30">
        <f t="shared" si="38"/>
        <v>0</v>
      </c>
      <c r="X32" s="30">
        <f t="shared" si="38"/>
        <v>0</v>
      </c>
      <c r="Y32" s="30">
        <f t="shared" si="38"/>
        <v>0</v>
      </c>
      <c r="Z32" s="30">
        <f t="shared" si="38"/>
        <v>0</v>
      </c>
      <c r="AA32" s="30">
        <f t="shared" si="38"/>
        <v>0</v>
      </c>
      <c r="AB32" s="30">
        <f t="shared" si="38"/>
        <v>0</v>
      </c>
      <c r="AC32" s="30">
        <f>Q32</f>
        <v>0</v>
      </c>
      <c r="AD32" s="41"/>
      <c r="AE32" s="70" t="e">
        <f t="shared" ref="AE32" si="39">SUM(AC32/Y32)-1</f>
        <v>#DIV/0!</v>
      </c>
    </row>
    <row r="33" spans="1:31" ht="12.75" customHeight="1">
      <c r="B33" s="12" t="s">
        <v>79</v>
      </c>
      <c r="C33" s="73" t="e">
        <f t="shared" ref="C33:E33" si="40">C29/C32</f>
        <v>#DIV/0!</v>
      </c>
      <c r="D33" s="73" t="e">
        <f t="shared" si="40"/>
        <v>#DIV/0!</v>
      </c>
      <c r="E33" s="73" t="e">
        <f t="shared" si="40"/>
        <v>#DIV/0!</v>
      </c>
      <c r="F33" s="11"/>
      <c r="G33" s="73" t="e">
        <f t="shared" ref="G33:Q33" si="41">G29/G32</f>
        <v>#DIV/0!</v>
      </c>
      <c r="H33" s="73" t="e">
        <f t="shared" si="41"/>
        <v>#DIV/0!</v>
      </c>
      <c r="I33" s="73" t="e">
        <f t="shared" si="41"/>
        <v>#DIV/0!</v>
      </c>
      <c r="J33" s="73" t="e">
        <f t="shared" si="41"/>
        <v>#DIV/0!</v>
      </c>
      <c r="K33" s="73" t="e">
        <f t="shared" si="41"/>
        <v>#DIV/0!</v>
      </c>
      <c r="L33" s="73" t="e">
        <f t="shared" si="41"/>
        <v>#DIV/0!</v>
      </c>
      <c r="M33" s="73" t="e">
        <f t="shared" si="41"/>
        <v>#DIV/0!</v>
      </c>
      <c r="N33" s="73" t="e">
        <f>N29/N32</f>
        <v>#DIV/0!</v>
      </c>
      <c r="O33" s="73" t="e">
        <f t="shared" si="41"/>
        <v>#DIV/0!</v>
      </c>
      <c r="P33" s="73" t="e">
        <f t="shared" si="41"/>
        <v>#DIV/0!</v>
      </c>
      <c r="Q33" s="73" t="e">
        <f t="shared" si="41"/>
        <v>#DIV/0!</v>
      </c>
      <c r="R33" s="26"/>
      <c r="S33" s="73" t="e">
        <f t="shared" ref="S33:AC33" si="42">S29/S32</f>
        <v>#DIV/0!</v>
      </c>
      <c r="T33" s="73" t="e">
        <f t="shared" si="42"/>
        <v>#DIV/0!</v>
      </c>
      <c r="U33" s="73" t="e">
        <f t="shared" si="42"/>
        <v>#DIV/0!</v>
      </c>
      <c r="V33" s="73" t="e">
        <f t="shared" si="42"/>
        <v>#DIV/0!</v>
      </c>
      <c r="W33" s="73" t="e">
        <f t="shared" si="42"/>
        <v>#DIV/0!</v>
      </c>
      <c r="X33" s="73" t="e">
        <f t="shared" si="42"/>
        <v>#DIV/0!</v>
      </c>
      <c r="Y33" s="73" t="e">
        <f t="shared" si="42"/>
        <v>#DIV/0!</v>
      </c>
      <c r="Z33" s="73" t="e">
        <f t="shared" si="42"/>
        <v>#DIV/0!</v>
      </c>
      <c r="AA33" s="73" t="e">
        <f t="shared" si="42"/>
        <v>#DIV/0!</v>
      </c>
      <c r="AB33" s="73" t="e">
        <f t="shared" si="42"/>
        <v>#DIV/0!</v>
      </c>
      <c r="AC33" s="73" t="e">
        <f t="shared" si="42"/>
        <v>#DIV/0!</v>
      </c>
      <c r="AD33" s="34"/>
      <c r="AE33" s="71" t="e">
        <f>SUM(AC33/Y33)-1</f>
        <v>#DIV/0!</v>
      </c>
    </row>
    <row r="34" spans="1:31" ht="5.0999999999999996" customHeight="1">
      <c r="B34" s="14"/>
      <c r="C34" s="15"/>
      <c r="D34" s="15"/>
      <c r="E34" s="15"/>
      <c r="F34" s="2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26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41"/>
      <c r="AE34" s="72"/>
    </row>
    <row r="35" spans="1:31" ht="12.75" customHeight="1">
      <c r="B35" s="43" t="s">
        <v>80</v>
      </c>
      <c r="C35" s="79"/>
      <c r="D35" s="79"/>
      <c r="E35" s="79"/>
      <c r="F35" s="25"/>
      <c r="G35" s="79"/>
      <c r="H35" s="79"/>
      <c r="I35" s="79"/>
      <c r="J35" s="79">
        <f>C35</f>
        <v>0</v>
      </c>
      <c r="K35" s="79"/>
      <c r="L35" s="79"/>
      <c r="M35" s="79"/>
      <c r="N35" s="30">
        <f>D35</f>
        <v>0</v>
      </c>
      <c r="O35" s="79"/>
      <c r="P35" s="79"/>
      <c r="Q35" s="79"/>
      <c r="R35" s="30"/>
      <c r="S35" s="30">
        <f>K35</f>
        <v>0</v>
      </c>
      <c r="T35" s="30">
        <f>L35</f>
        <v>0</v>
      </c>
      <c r="U35" s="30">
        <f>M35</f>
        <v>0</v>
      </c>
      <c r="V35" s="30">
        <f>N35</f>
        <v>0</v>
      </c>
      <c r="W35" s="30">
        <f>O35</f>
        <v>0</v>
      </c>
      <c r="X35" s="30">
        <f>P35</f>
        <v>0</v>
      </c>
      <c r="Y35" s="30">
        <f t="shared" ref="Y35" si="43">M35</f>
        <v>0</v>
      </c>
      <c r="Z35" s="30">
        <f t="shared" ref="Z35" si="44">N35</f>
        <v>0</v>
      </c>
      <c r="AA35" s="30">
        <f t="shared" ref="AA35" si="45">O35</f>
        <v>0</v>
      </c>
      <c r="AB35" s="30">
        <f t="shared" ref="AB35" si="46">P35</f>
        <v>0</v>
      </c>
      <c r="AC35" s="30">
        <f>Q35</f>
        <v>0</v>
      </c>
      <c r="AD35" s="41"/>
      <c r="AE35" s="70" t="e">
        <f t="shared" ref="AE35" si="47">SUM(AC35/Y35)-1</f>
        <v>#DIV/0!</v>
      </c>
    </row>
    <row r="36" spans="1:31" ht="12.75" customHeight="1">
      <c r="B36" s="12" t="s">
        <v>81</v>
      </c>
      <c r="C36" s="73" t="e">
        <f t="shared" ref="C36:E36" si="48">C29/C35</f>
        <v>#DIV/0!</v>
      </c>
      <c r="D36" s="73" t="e">
        <f t="shared" si="48"/>
        <v>#DIV/0!</v>
      </c>
      <c r="E36" s="73" t="e">
        <f t="shared" si="48"/>
        <v>#DIV/0!</v>
      </c>
      <c r="F36" s="25"/>
      <c r="G36" s="73" t="e">
        <f t="shared" ref="G36:Q36" si="49">G29/G35</f>
        <v>#DIV/0!</v>
      </c>
      <c r="H36" s="73" t="e">
        <f t="shared" si="49"/>
        <v>#DIV/0!</v>
      </c>
      <c r="I36" s="73" t="e">
        <f t="shared" si="49"/>
        <v>#DIV/0!</v>
      </c>
      <c r="J36" s="73" t="e">
        <f t="shared" si="49"/>
        <v>#DIV/0!</v>
      </c>
      <c r="K36" s="73" t="e">
        <f t="shared" si="49"/>
        <v>#DIV/0!</v>
      </c>
      <c r="L36" s="73" t="e">
        <f t="shared" si="49"/>
        <v>#DIV/0!</v>
      </c>
      <c r="M36" s="73" t="e">
        <f t="shared" si="49"/>
        <v>#DIV/0!</v>
      </c>
      <c r="N36" s="73" t="e">
        <f t="shared" si="49"/>
        <v>#DIV/0!</v>
      </c>
      <c r="O36" s="73" t="e">
        <f t="shared" si="49"/>
        <v>#DIV/0!</v>
      </c>
      <c r="P36" s="73" t="e">
        <f t="shared" si="49"/>
        <v>#DIV/0!</v>
      </c>
      <c r="Q36" s="73" t="e">
        <f t="shared" si="49"/>
        <v>#DIV/0!</v>
      </c>
      <c r="R36" s="30"/>
      <c r="S36" s="73" t="e">
        <f t="shared" ref="S36:AC36" si="50">S29/S35</f>
        <v>#DIV/0!</v>
      </c>
      <c r="T36" s="73" t="e">
        <f t="shared" si="50"/>
        <v>#DIV/0!</v>
      </c>
      <c r="U36" s="73" t="e">
        <f t="shared" si="50"/>
        <v>#DIV/0!</v>
      </c>
      <c r="V36" s="73" t="e">
        <f t="shared" si="50"/>
        <v>#DIV/0!</v>
      </c>
      <c r="W36" s="73" t="e">
        <f t="shared" si="50"/>
        <v>#DIV/0!</v>
      </c>
      <c r="X36" s="73" t="e">
        <f t="shared" si="50"/>
        <v>#DIV/0!</v>
      </c>
      <c r="Y36" s="73" t="e">
        <f t="shared" si="50"/>
        <v>#DIV/0!</v>
      </c>
      <c r="Z36" s="73" t="e">
        <f t="shared" si="50"/>
        <v>#DIV/0!</v>
      </c>
      <c r="AA36" s="73" t="e">
        <f t="shared" si="50"/>
        <v>#DIV/0!</v>
      </c>
      <c r="AB36" s="73" t="e">
        <f t="shared" si="50"/>
        <v>#DIV/0!</v>
      </c>
      <c r="AC36" s="73" t="e">
        <f t="shared" si="50"/>
        <v>#DIV/0!</v>
      </c>
      <c r="AD36" s="34"/>
      <c r="AE36" s="71" t="e">
        <f>SUM(AC36/Y36)-1</f>
        <v>#DIV/0!</v>
      </c>
    </row>
    <row r="37" spans="1:31">
      <c r="B37" s="14"/>
      <c r="C37" s="15"/>
      <c r="D37" s="15"/>
      <c r="E37" s="79"/>
      <c r="F37" s="2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26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41"/>
    </row>
    <row r="38" spans="1:31" ht="12.75" customHeight="1">
      <c r="A38" s="5" t="s">
        <v>17</v>
      </c>
      <c r="B38" s="96" t="s">
        <v>94</v>
      </c>
      <c r="C38" s="97" t="s">
        <v>0</v>
      </c>
      <c r="D38" s="97"/>
      <c r="E38" s="97"/>
      <c r="F38" s="98"/>
      <c r="G38" s="97" t="s">
        <v>1</v>
      </c>
      <c r="H38" s="97"/>
      <c r="I38" s="97"/>
      <c r="J38" s="97"/>
      <c r="K38" s="97"/>
      <c r="L38" s="97"/>
      <c r="M38" s="97"/>
      <c r="N38" s="97"/>
      <c r="O38" s="97"/>
      <c r="P38" s="97"/>
      <c r="Q38" s="97" t="s">
        <v>1</v>
      </c>
      <c r="R38" s="96"/>
      <c r="S38" s="97"/>
      <c r="T38" s="97"/>
      <c r="U38" s="97"/>
      <c r="V38" s="97"/>
      <c r="W38" s="97"/>
      <c r="X38" s="97"/>
      <c r="Y38" s="97" t="s">
        <v>9</v>
      </c>
      <c r="Z38" s="97"/>
      <c r="AA38" s="97"/>
      <c r="AB38" s="97"/>
      <c r="AC38" s="97"/>
      <c r="AD38" s="98"/>
      <c r="AE38" s="140" t="s">
        <v>24</v>
      </c>
    </row>
    <row r="39" spans="1:31" ht="12.75" customHeight="1">
      <c r="B39" s="100" t="str">
        <f>B7</f>
        <v>Fiscal Period</v>
      </c>
      <c r="C39" s="99">
        <f>C7</f>
        <v>2021</v>
      </c>
      <c r="D39" s="99">
        <f>D7</f>
        <v>2022</v>
      </c>
      <c r="E39" s="99">
        <f>E7</f>
        <v>2023</v>
      </c>
      <c r="F39" s="98"/>
      <c r="G39" s="99" t="str">
        <f>G7</f>
        <v>1Q22</v>
      </c>
      <c r="H39" s="99" t="str">
        <f>H7</f>
        <v>2Q22</v>
      </c>
      <c r="I39" s="99" t="str">
        <f>I7</f>
        <v>3Q22</v>
      </c>
      <c r="J39" s="99" t="str">
        <f>J7</f>
        <v>4Q22</v>
      </c>
      <c r="K39" s="99" t="str">
        <f>K7</f>
        <v>1Q23</v>
      </c>
      <c r="L39" s="99" t="str">
        <f>L7</f>
        <v>2Q23</v>
      </c>
      <c r="M39" s="99" t="str">
        <f>M7</f>
        <v>3Q23</v>
      </c>
      <c r="N39" s="99" t="str">
        <f>N7</f>
        <v>4Q23</v>
      </c>
      <c r="O39" s="99" t="str">
        <f>O7</f>
        <v>1Q24</v>
      </c>
      <c r="P39" s="99" t="str">
        <f>P7</f>
        <v>2Q24</v>
      </c>
      <c r="Q39" s="99" t="str">
        <f>Q7</f>
        <v>3Q24</v>
      </c>
      <c r="R39" s="101"/>
      <c r="S39" s="99" t="str">
        <f>S7</f>
        <v>4Q22</v>
      </c>
      <c r="T39" s="99" t="str">
        <f>T7</f>
        <v>1Q23</v>
      </c>
      <c r="U39" s="99" t="str">
        <f>U7</f>
        <v>2Q23</v>
      </c>
      <c r="V39" s="99" t="str">
        <f>V7</f>
        <v>3Q23</v>
      </c>
      <c r="W39" s="99" t="str">
        <f>W7</f>
        <v>4Q23</v>
      </c>
      <c r="X39" s="99" t="str">
        <f>X7</f>
        <v>1Q24</v>
      </c>
      <c r="Y39" s="99" t="str">
        <f>Y7</f>
        <v>2Q24</v>
      </c>
      <c r="Z39" s="99" t="str">
        <f>Z7</f>
        <v>3Q24</v>
      </c>
      <c r="AA39" s="99" t="e">
        <f>AA7</f>
        <v>#REF!</v>
      </c>
      <c r="AB39" s="99" t="e">
        <f>AB7</f>
        <v>#REF!</v>
      </c>
      <c r="AC39" s="99" t="str">
        <f>AC7</f>
        <v>3Q24</v>
      </c>
      <c r="AD39" s="98"/>
      <c r="AE39" s="140"/>
    </row>
    <row r="40" spans="1:31" ht="12.75" customHeight="1">
      <c r="B40" s="100" t="str">
        <f>B8</f>
        <v>Fiscal Period End Date</v>
      </c>
      <c r="C40" s="102">
        <f>C8</f>
        <v>44561</v>
      </c>
      <c r="D40" s="102">
        <f>D8</f>
        <v>44926</v>
      </c>
      <c r="E40" s="102">
        <f>E8</f>
        <v>45291</v>
      </c>
      <c r="F40" s="98"/>
      <c r="G40" s="102">
        <f>G8</f>
        <v>44651</v>
      </c>
      <c r="H40" s="102">
        <f>H8</f>
        <v>44742</v>
      </c>
      <c r="I40" s="102">
        <f>I8</f>
        <v>44834</v>
      </c>
      <c r="J40" s="102">
        <f>J8</f>
        <v>44926</v>
      </c>
      <c r="K40" s="102">
        <f>K8</f>
        <v>45016</v>
      </c>
      <c r="L40" s="102">
        <f>L8</f>
        <v>45107</v>
      </c>
      <c r="M40" s="102">
        <f>M8</f>
        <v>45199</v>
      </c>
      <c r="N40" s="102">
        <f>N8</f>
        <v>45291</v>
      </c>
      <c r="O40" s="102">
        <f>O8</f>
        <v>45382</v>
      </c>
      <c r="P40" s="102">
        <f>P8</f>
        <v>45473</v>
      </c>
      <c r="Q40" s="102">
        <f>Q8</f>
        <v>45565</v>
      </c>
      <c r="R40" s="103"/>
      <c r="S40" s="102">
        <f>S8</f>
        <v>44926</v>
      </c>
      <c r="T40" s="102">
        <f>T8</f>
        <v>45016</v>
      </c>
      <c r="U40" s="102">
        <f>U8</f>
        <v>45107</v>
      </c>
      <c r="V40" s="102">
        <f>V8</f>
        <v>45199</v>
      </c>
      <c r="W40" s="102">
        <f>W8</f>
        <v>45291</v>
      </c>
      <c r="X40" s="102">
        <f>X8</f>
        <v>45382</v>
      </c>
      <c r="Y40" s="102">
        <f>Y8</f>
        <v>45473</v>
      </c>
      <c r="Z40" s="102">
        <f>Z8</f>
        <v>45565</v>
      </c>
      <c r="AA40" s="102" t="e">
        <f>AA8</f>
        <v>#REF!</v>
      </c>
      <c r="AB40" s="102" t="e">
        <f>AB8</f>
        <v>#REF!</v>
      </c>
      <c r="AC40" s="102">
        <f>AC8</f>
        <v>45565</v>
      </c>
      <c r="AD40" s="98"/>
      <c r="AE40" s="140"/>
    </row>
    <row r="41" spans="1:31" ht="5.0999999999999996" customHeight="1">
      <c r="B41" s="45"/>
      <c r="C41" s="46"/>
      <c r="D41" s="46"/>
      <c r="E41" s="46"/>
    </row>
    <row r="42" spans="1:31">
      <c r="B42" s="74" t="s">
        <v>101</v>
      </c>
      <c r="C42" s="46"/>
      <c r="D42" s="46"/>
      <c r="E42" s="46"/>
    </row>
    <row r="43" spans="1:31" ht="12.75" customHeight="1">
      <c r="B43" s="109" t="s">
        <v>111</v>
      </c>
      <c r="C43" s="110">
        <v>233437</v>
      </c>
      <c r="D43" s="110">
        <v>201015</v>
      </c>
      <c r="E43" s="110">
        <v>121136</v>
      </c>
      <c r="G43" s="110">
        <v>209693</v>
      </c>
      <c r="H43" s="110">
        <v>197232</v>
      </c>
      <c r="I43" s="110">
        <v>174662</v>
      </c>
      <c r="J43" s="87">
        <f>D43</f>
        <v>201015</v>
      </c>
      <c r="K43" s="110">
        <v>187467</v>
      </c>
      <c r="L43" s="110">
        <v>168438</v>
      </c>
      <c r="M43" s="110">
        <v>142350</v>
      </c>
      <c r="N43" s="87">
        <f>E43</f>
        <v>121136</v>
      </c>
      <c r="O43" s="110">
        <v>124169</v>
      </c>
      <c r="P43" s="110">
        <v>207291</v>
      </c>
      <c r="Q43" s="110">
        <v>148978</v>
      </c>
      <c r="R43" s="87"/>
      <c r="S43" s="87">
        <f t="shared" ref="S43:AB45" si="51">G43</f>
        <v>209693</v>
      </c>
      <c r="T43" s="87">
        <f t="shared" si="51"/>
        <v>197232</v>
      </c>
      <c r="U43" s="87">
        <f t="shared" si="51"/>
        <v>174662</v>
      </c>
      <c r="V43" s="87">
        <f t="shared" si="51"/>
        <v>201015</v>
      </c>
      <c r="W43" s="87">
        <f t="shared" si="51"/>
        <v>187467</v>
      </c>
      <c r="X43" s="87">
        <f t="shared" si="51"/>
        <v>168438</v>
      </c>
      <c r="Y43" s="87">
        <f t="shared" si="51"/>
        <v>142350</v>
      </c>
      <c r="Z43" s="87">
        <f t="shared" si="51"/>
        <v>121136</v>
      </c>
      <c r="AA43" s="87">
        <f t="shared" si="51"/>
        <v>124169</v>
      </c>
      <c r="AB43" s="87">
        <f t="shared" si="51"/>
        <v>207291</v>
      </c>
      <c r="AC43" s="87">
        <f>Q43</f>
        <v>148978</v>
      </c>
      <c r="AD43" s="11"/>
      <c r="AE43" s="70">
        <f t="shared" ref="AE43:AE45" si="52">SUM(AC43/Y43)-1</f>
        <v>4.6561292588689795E-2</v>
      </c>
    </row>
    <row r="44" spans="1:31" ht="12.75" customHeight="1">
      <c r="B44" s="109" t="s">
        <v>141</v>
      </c>
      <c r="C44" s="110">
        <v>11045</v>
      </c>
      <c r="D44" s="110">
        <v>10211</v>
      </c>
      <c r="E44" s="110">
        <v>8497</v>
      </c>
      <c r="G44" s="110">
        <v>12507</v>
      </c>
      <c r="H44" s="110">
        <v>6969</v>
      </c>
      <c r="I44" s="110">
        <v>8610</v>
      </c>
      <c r="J44" s="87">
        <f t="shared" ref="J44:J45" si="53">D44</f>
        <v>10211</v>
      </c>
      <c r="K44" s="110">
        <v>7532</v>
      </c>
      <c r="L44" s="110">
        <v>6095</v>
      </c>
      <c r="M44" s="110">
        <v>7834</v>
      </c>
      <c r="N44" s="87">
        <f t="shared" ref="N44:N45" si="54">E44</f>
        <v>8497</v>
      </c>
      <c r="O44" s="110">
        <v>9830</v>
      </c>
      <c r="P44" s="110">
        <v>14831</v>
      </c>
      <c r="Q44" s="110">
        <v>13571</v>
      </c>
      <c r="R44" s="87"/>
      <c r="S44" s="87">
        <f t="shared" si="51"/>
        <v>12507</v>
      </c>
      <c r="T44" s="87">
        <f t="shared" si="51"/>
        <v>6969</v>
      </c>
      <c r="U44" s="87">
        <f t="shared" si="51"/>
        <v>8610</v>
      </c>
      <c r="V44" s="87">
        <f t="shared" si="51"/>
        <v>10211</v>
      </c>
      <c r="W44" s="87">
        <f t="shared" si="51"/>
        <v>7532</v>
      </c>
      <c r="X44" s="87">
        <f t="shared" si="51"/>
        <v>6095</v>
      </c>
      <c r="Y44" s="87">
        <f t="shared" si="51"/>
        <v>7834</v>
      </c>
      <c r="Z44" s="87">
        <f t="shared" si="51"/>
        <v>8497</v>
      </c>
      <c r="AA44" s="87">
        <f t="shared" si="51"/>
        <v>9830</v>
      </c>
      <c r="AB44" s="87">
        <f t="shared" si="51"/>
        <v>14831</v>
      </c>
      <c r="AC44" s="87">
        <f t="shared" ref="AC44:AC45" si="55">Q44</f>
        <v>13571</v>
      </c>
      <c r="AD44" s="11"/>
      <c r="AE44" s="70">
        <f t="shared" si="52"/>
        <v>0.73232065356139908</v>
      </c>
    </row>
    <row r="45" spans="1:31" ht="12.75" customHeight="1">
      <c r="B45" s="109" t="s">
        <v>142</v>
      </c>
      <c r="C45" s="110">
        <v>0</v>
      </c>
      <c r="D45" s="110">
        <v>0</v>
      </c>
      <c r="E45" s="110">
        <v>0</v>
      </c>
      <c r="G45" s="110">
        <v>0</v>
      </c>
      <c r="H45" s="110">
        <v>0</v>
      </c>
      <c r="I45" s="110">
        <v>0</v>
      </c>
      <c r="J45" s="87">
        <f t="shared" si="53"/>
        <v>0</v>
      </c>
      <c r="K45" s="110">
        <v>0</v>
      </c>
      <c r="L45" s="110">
        <v>0</v>
      </c>
      <c r="M45" s="110">
        <v>0</v>
      </c>
      <c r="N45" s="87">
        <f t="shared" si="54"/>
        <v>0</v>
      </c>
      <c r="O45" s="110">
        <v>0</v>
      </c>
      <c r="P45" s="110">
        <v>0</v>
      </c>
      <c r="Q45" s="110">
        <v>40000</v>
      </c>
      <c r="R45" s="87"/>
      <c r="S45" s="87">
        <f t="shared" si="51"/>
        <v>0</v>
      </c>
      <c r="T45" s="87">
        <f t="shared" si="51"/>
        <v>0</v>
      </c>
      <c r="U45" s="87">
        <f t="shared" si="51"/>
        <v>0</v>
      </c>
      <c r="V45" s="87">
        <f t="shared" si="51"/>
        <v>0</v>
      </c>
      <c r="W45" s="87">
        <f t="shared" si="51"/>
        <v>0</v>
      </c>
      <c r="X45" s="87">
        <f t="shared" si="51"/>
        <v>0</v>
      </c>
      <c r="Y45" s="87">
        <f t="shared" si="51"/>
        <v>0</v>
      </c>
      <c r="Z45" s="87">
        <f t="shared" si="51"/>
        <v>0</v>
      </c>
      <c r="AA45" s="87">
        <f t="shared" si="51"/>
        <v>0</v>
      </c>
      <c r="AB45" s="87">
        <f t="shared" si="51"/>
        <v>0</v>
      </c>
      <c r="AC45" s="87">
        <f t="shared" si="55"/>
        <v>40000</v>
      </c>
      <c r="AD45" s="11"/>
      <c r="AE45" s="70" t="e">
        <f t="shared" si="52"/>
        <v>#DIV/0!</v>
      </c>
    </row>
    <row r="46" spans="1:31" ht="12.75" customHeight="1">
      <c r="B46" s="23" t="s">
        <v>20</v>
      </c>
      <c r="C46" s="24">
        <f>SUM(C43:C45)</f>
        <v>244482</v>
      </c>
      <c r="D46" s="24">
        <f>SUM(D43:D45)</f>
        <v>211226</v>
      </c>
      <c r="E46" s="24">
        <f>SUM(E43:E45)</f>
        <v>129633</v>
      </c>
      <c r="F46" s="47"/>
      <c r="G46" s="24">
        <f>SUM(G43:G45)</f>
        <v>222200</v>
      </c>
      <c r="H46" s="24">
        <f>SUM(H43:H45)</f>
        <v>204201</v>
      </c>
      <c r="I46" s="24">
        <f>SUM(I43:I45)</f>
        <v>183272</v>
      </c>
      <c r="J46" s="24">
        <f>SUM(J43:J45)</f>
        <v>211226</v>
      </c>
      <c r="K46" s="24">
        <f>SUM(K43:K45)</f>
        <v>194999</v>
      </c>
      <c r="L46" s="24">
        <f>SUM(L43:L45)</f>
        <v>174533</v>
      </c>
      <c r="M46" s="24">
        <f>SUM(M43:M45)</f>
        <v>150184</v>
      </c>
      <c r="N46" s="24">
        <f>SUM(N43:N45)</f>
        <v>129633</v>
      </c>
      <c r="O46" s="24">
        <f>SUM(O43:O45)</f>
        <v>133999</v>
      </c>
      <c r="P46" s="24">
        <f>SUM(P43:P45)</f>
        <v>222122</v>
      </c>
      <c r="Q46" s="24">
        <f>SUM(Q43:Q45)</f>
        <v>202549</v>
      </c>
      <c r="R46" s="47"/>
      <c r="S46" s="24">
        <f>SUM(S43:S45)</f>
        <v>222200</v>
      </c>
      <c r="T46" s="24">
        <f>SUM(T43:T45)</f>
        <v>204201</v>
      </c>
      <c r="U46" s="24">
        <f>SUM(U43:U45)</f>
        <v>183272</v>
      </c>
      <c r="V46" s="24">
        <f>SUM(V43:V45)</f>
        <v>211226</v>
      </c>
      <c r="W46" s="24">
        <f>SUM(W43:W45)</f>
        <v>194999</v>
      </c>
      <c r="X46" s="24">
        <f>SUM(X43:X45)</f>
        <v>174533</v>
      </c>
      <c r="Y46" s="24">
        <f>SUM(Y43:Y45)</f>
        <v>150184</v>
      </c>
      <c r="Z46" s="24">
        <f>SUM(Z43:Z45)</f>
        <v>129633</v>
      </c>
      <c r="AA46" s="24">
        <f>SUM(AA43:AA45)</f>
        <v>133999</v>
      </c>
      <c r="AB46" s="24">
        <f>SUM(AB43:AB45)</f>
        <v>222122</v>
      </c>
      <c r="AC46" s="24">
        <f>SUM(AC43:AC45)</f>
        <v>202549</v>
      </c>
      <c r="AD46" s="40"/>
      <c r="AE46" s="71">
        <f>SUM(AC46/Y46)-1</f>
        <v>0.34867229531774346</v>
      </c>
    </row>
    <row r="47" spans="1:31" ht="5.0999999999999996" customHeight="1">
      <c r="B47" s="23"/>
      <c r="C47" s="48"/>
      <c r="D47" s="39"/>
      <c r="E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37"/>
    </row>
    <row r="48" spans="1:31" ht="12.75" customHeight="1">
      <c r="B48" s="74" t="s">
        <v>102</v>
      </c>
      <c r="C48" s="79"/>
      <c r="D48" s="79"/>
      <c r="E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11"/>
      <c r="AE48" s="70"/>
    </row>
    <row r="49" spans="2:31" ht="12.75" customHeight="1">
      <c r="B49" s="9" t="s">
        <v>113</v>
      </c>
      <c r="C49" s="79">
        <v>210</v>
      </c>
      <c r="D49" s="79">
        <v>122</v>
      </c>
      <c r="E49" s="79">
        <v>0</v>
      </c>
      <c r="G49" s="110">
        <v>188</v>
      </c>
      <c r="H49" s="110">
        <v>166</v>
      </c>
      <c r="I49" s="110">
        <v>144</v>
      </c>
      <c r="J49" s="87">
        <f t="shared" ref="J49:J52" si="56">D49</f>
        <v>122</v>
      </c>
      <c r="K49" s="110" t="s">
        <v>144</v>
      </c>
      <c r="L49" s="110" t="s">
        <v>144</v>
      </c>
      <c r="M49" s="110" t="s">
        <v>144</v>
      </c>
      <c r="N49" s="87">
        <f t="shared" ref="N49:N52" si="57">E49</f>
        <v>0</v>
      </c>
      <c r="O49" s="110" t="s">
        <v>144</v>
      </c>
      <c r="P49" s="110" t="s">
        <v>144</v>
      </c>
      <c r="Q49" s="110" t="s">
        <v>144</v>
      </c>
      <c r="R49" s="87"/>
      <c r="S49" s="87">
        <f>J49</f>
        <v>122</v>
      </c>
      <c r="T49" s="87" t="str">
        <f>K49</f>
        <v>-</v>
      </c>
      <c r="U49" s="87" t="str">
        <f>L49</f>
        <v>-</v>
      </c>
      <c r="V49" s="87" t="str">
        <f>M49</f>
        <v>-</v>
      </c>
      <c r="W49" s="87">
        <f>N49</f>
        <v>0</v>
      </c>
      <c r="X49" s="87" t="str">
        <f>O49</f>
        <v>-</v>
      </c>
      <c r="Y49" s="87" t="str">
        <f t="shared" ref="Y49" si="58">M49</f>
        <v>-</v>
      </c>
      <c r="Z49" s="87">
        <f t="shared" ref="Z49" si="59">N49</f>
        <v>0</v>
      </c>
      <c r="AA49" s="87" t="str">
        <f t="shared" ref="AA49" si="60">O49</f>
        <v>-</v>
      </c>
      <c r="AB49" s="87" t="str">
        <f t="shared" ref="AB49" si="61">P49</f>
        <v>-</v>
      </c>
      <c r="AC49" s="87" t="str">
        <f>Q49</f>
        <v>-</v>
      </c>
      <c r="AD49" s="11"/>
      <c r="AE49" s="70" t="e">
        <f t="shared" ref="AE49:AE52" si="62">SUM(AC49/Y49)-1</f>
        <v>#VALUE!</v>
      </c>
    </row>
    <row r="50" spans="2:31" ht="12.75" customHeight="1">
      <c r="B50" s="9" t="s">
        <v>112</v>
      </c>
      <c r="C50" s="79">
        <v>20616</v>
      </c>
      <c r="D50" s="79">
        <v>22864</v>
      </c>
      <c r="E50" s="79">
        <v>21854</v>
      </c>
      <c r="G50" s="110">
        <v>20863</v>
      </c>
      <c r="H50" s="110">
        <v>22155</v>
      </c>
      <c r="I50" s="110">
        <v>23130</v>
      </c>
      <c r="J50" s="87">
        <f t="shared" si="56"/>
        <v>22864</v>
      </c>
      <c r="K50" s="110">
        <v>22609</v>
      </c>
      <c r="L50" s="110">
        <v>22328</v>
      </c>
      <c r="M50" s="110">
        <v>22077</v>
      </c>
      <c r="N50" s="87">
        <f t="shared" si="57"/>
        <v>21854</v>
      </c>
      <c r="O50" s="110">
        <v>21604</v>
      </c>
      <c r="P50" s="110">
        <v>21364</v>
      </c>
      <c r="Q50" s="110">
        <v>21135</v>
      </c>
      <c r="S50" s="30">
        <f>K50</f>
        <v>22609</v>
      </c>
      <c r="T50" s="30">
        <f>L50</f>
        <v>22328</v>
      </c>
      <c r="U50" s="30">
        <f>M50</f>
        <v>22077</v>
      </c>
      <c r="V50" s="30">
        <f>N50</f>
        <v>21854</v>
      </c>
      <c r="W50" s="30">
        <f>O50</f>
        <v>21604</v>
      </c>
      <c r="X50" s="30">
        <f>P50</f>
        <v>21364</v>
      </c>
      <c r="Y50" s="87">
        <f t="shared" ref="Y50:Y52" si="63">M50</f>
        <v>22077</v>
      </c>
      <c r="Z50" s="87">
        <f t="shared" ref="Z50:Z52" si="64">N50</f>
        <v>21854</v>
      </c>
      <c r="AA50" s="87">
        <f t="shared" ref="AA50:AA52" si="65">O50</f>
        <v>21604</v>
      </c>
      <c r="AB50" s="87">
        <f t="shared" ref="AB50:AB52" si="66">P50</f>
        <v>21364</v>
      </c>
      <c r="AC50" s="87">
        <f t="shared" ref="AC50:AC52" si="67">Q50</f>
        <v>21135</v>
      </c>
      <c r="AD50" s="11"/>
      <c r="AE50" s="70">
        <f t="shared" si="62"/>
        <v>-4.2668840875118907E-2</v>
      </c>
    </row>
    <row r="51" spans="2:31" ht="12.75" customHeight="1">
      <c r="B51" s="9" t="s">
        <v>143</v>
      </c>
      <c r="C51" s="79">
        <v>1075</v>
      </c>
      <c r="D51" s="79">
        <v>622</v>
      </c>
      <c r="E51" s="79">
        <v>176</v>
      </c>
      <c r="G51" s="110">
        <v>940</v>
      </c>
      <c r="H51" s="110">
        <v>859</v>
      </c>
      <c r="I51" s="110">
        <v>740</v>
      </c>
      <c r="J51" s="87">
        <f t="shared" si="56"/>
        <v>622</v>
      </c>
      <c r="K51" s="110">
        <v>503</v>
      </c>
      <c r="L51" s="110">
        <v>387</v>
      </c>
      <c r="M51" s="110">
        <v>268</v>
      </c>
      <c r="N51" s="87">
        <f t="shared" si="57"/>
        <v>176</v>
      </c>
      <c r="O51" s="110">
        <v>115</v>
      </c>
      <c r="P51" s="110">
        <v>82</v>
      </c>
      <c r="Q51" s="110">
        <v>0</v>
      </c>
      <c r="S51" s="30">
        <f>K51</f>
        <v>503</v>
      </c>
      <c r="T51" s="30">
        <f>L51</f>
        <v>387</v>
      </c>
      <c r="U51" s="30">
        <f>M51</f>
        <v>268</v>
      </c>
      <c r="V51" s="30">
        <f>N51</f>
        <v>176</v>
      </c>
      <c r="W51" s="30">
        <f>O51</f>
        <v>115</v>
      </c>
      <c r="X51" s="30">
        <f>P51</f>
        <v>82</v>
      </c>
      <c r="Y51" s="87">
        <f t="shared" si="63"/>
        <v>268</v>
      </c>
      <c r="Z51" s="87">
        <f t="shared" si="64"/>
        <v>176</v>
      </c>
      <c r="AA51" s="87">
        <f t="shared" si="65"/>
        <v>115</v>
      </c>
      <c r="AB51" s="87">
        <f t="shared" si="66"/>
        <v>82</v>
      </c>
      <c r="AC51" s="87">
        <f t="shared" si="67"/>
        <v>0</v>
      </c>
      <c r="AD51" s="11"/>
      <c r="AE51" s="70">
        <f t="shared" si="62"/>
        <v>-1</v>
      </c>
    </row>
    <row r="52" spans="2:31" ht="12.75" customHeight="1">
      <c r="B52" s="9" t="s">
        <v>132</v>
      </c>
      <c r="C52" s="79">
        <v>399</v>
      </c>
      <c r="D52" s="79">
        <v>0</v>
      </c>
      <c r="E52" s="79">
        <v>0</v>
      </c>
      <c r="G52" s="110">
        <v>0</v>
      </c>
      <c r="H52" s="110">
        <v>0</v>
      </c>
      <c r="I52" s="110">
        <v>0</v>
      </c>
      <c r="J52" s="87">
        <f t="shared" si="56"/>
        <v>0</v>
      </c>
      <c r="K52" s="110"/>
      <c r="L52" s="110" t="s">
        <v>144</v>
      </c>
      <c r="M52" s="110" t="s">
        <v>144</v>
      </c>
      <c r="N52" s="87">
        <f t="shared" si="57"/>
        <v>0</v>
      </c>
      <c r="O52" s="110">
        <v>0</v>
      </c>
      <c r="P52" s="110">
        <v>0</v>
      </c>
      <c r="Q52" s="110">
        <v>0</v>
      </c>
      <c r="S52" s="30">
        <f>K52</f>
        <v>0</v>
      </c>
      <c r="T52" s="30" t="str">
        <f>L52</f>
        <v>-</v>
      </c>
      <c r="U52" s="30" t="str">
        <f>M52</f>
        <v>-</v>
      </c>
      <c r="V52" s="30">
        <f>N52</f>
        <v>0</v>
      </c>
      <c r="W52" s="30">
        <f>O52</f>
        <v>0</v>
      </c>
      <c r="X52" s="30">
        <f>P52</f>
        <v>0</v>
      </c>
      <c r="Y52" s="87" t="str">
        <f t="shared" si="63"/>
        <v>-</v>
      </c>
      <c r="Z52" s="87">
        <f t="shared" si="64"/>
        <v>0</v>
      </c>
      <c r="AA52" s="87">
        <f t="shared" si="65"/>
        <v>0</v>
      </c>
      <c r="AB52" s="87">
        <f t="shared" si="66"/>
        <v>0</v>
      </c>
      <c r="AC52" s="87">
        <f t="shared" si="67"/>
        <v>0</v>
      </c>
      <c r="AD52" s="11"/>
      <c r="AE52" s="70" t="e">
        <f t="shared" si="62"/>
        <v>#VALUE!</v>
      </c>
    </row>
    <row r="53" spans="2:31" ht="12.75" customHeight="1">
      <c r="B53" s="12" t="s">
        <v>21</v>
      </c>
      <c r="C53" s="13">
        <f>SUM(C49:C52)+C46</f>
        <v>266782</v>
      </c>
      <c r="D53" s="13">
        <f>SUM(D49:D52)+D46</f>
        <v>234834</v>
      </c>
      <c r="E53" s="13">
        <f>SUM(E49:E52)+E46</f>
        <v>151663</v>
      </c>
      <c r="G53" s="13">
        <f>SUM(G49:G52)+G46</f>
        <v>244191</v>
      </c>
      <c r="H53" s="13">
        <f>SUM(H49:H52)+H46</f>
        <v>227381</v>
      </c>
      <c r="I53" s="13">
        <f>SUM(I49:I52)+I46</f>
        <v>207286</v>
      </c>
      <c r="J53" s="13">
        <f>SUM(J49:J52)+J46</f>
        <v>234834</v>
      </c>
      <c r="K53" s="13">
        <f>SUM(K49:K52)+K46</f>
        <v>218111</v>
      </c>
      <c r="L53" s="13">
        <f>SUM(L49:L52)+L46</f>
        <v>197248</v>
      </c>
      <c r="M53" s="13">
        <f>SUM(M49:M52)+M46</f>
        <v>172529</v>
      </c>
      <c r="N53" s="13">
        <f>SUM(N49:N52)+N46</f>
        <v>151663</v>
      </c>
      <c r="O53" s="13">
        <f>SUM(O49:O52)+O46</f>
        <v>155718</v>
      </c>
      <c r="P53" s="13">
        <f>SUM(P49:P52)+P46</f>
        <v>243568</v>
      </c>
      <c r="Q53" s="13">
        <f>SUM(Q49:Q52)+Q46</f>
        <v>223684</v>
      </c>
      <c r="S53" s="13">
        <f>SUM(S49:S52)+S46</f>
        <v>245434</v>
      </c>
      <c r="T53" s="13">
        <f>SUM(T49:T52)+T46</f>
        <v>226916</v>
      </c>
      <c r="U53" s="13">
        <f>SUM(U49:U52)+U46</f>
        <v>205617</v>
      </c>
      <c r="V53" s="13">
        <f>SUM(V49:V52)+V46</f>
        <v>233256</v>
      </c>
      <c r="W53" s="13">
        <f>SUM(W49:W52)+W46</f>
        <v>216718</v>
      </c>
      <c r="X53" s="13">
        <f>SUM(X49:X52)+X46</f>
        <v>195979</v>
      </c>
      <c r="Y53" s="13">
        <f>SUM(Y49:Y52)+Y46</f>
        <v>172529</v>
      </c>
      <c r="Z53" s="13">
        <f>SUM(Z49:Z52)+Z46</f>
        <v>151663</v>
      </c>
      <c r="AA53" s="13">
        <f>SUM(AA49:AA52)+AA46</f>
        <v>155718</v>
      </c>
      <c r="AB53" s="13">
        <f>SUM(AB49:AB52)+AB46</f>
        <v>243568</v>
      </c>
      <c r="AC53" s="13">
        <f>SUM(AC49:AC52)+AC46</f>
        <v>223684</v>
      </c>
      <c r="AD53" s="40"/>
      <c r="AE53" s="71">
        <f>SUM(AC53/Y53)-1</f>
        <v>0.29650087811324477</v>
      </c>
    </row>
    <row r="54" spans="2:31" ht="12.75" customHeight="1">
      <c r="B54" s="23"/>
      <c r="C54" s="49"/>
      <c r="D54" s="39"/>
      <c r="E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37"/>
    </row>
    <row r="55" spans="2:31" ht="12.75" customHeight="1">
      <c r="B55" s="74" t="s">
        <v>54</v>
      </c>
      <c r="C55" s="49"/>
      <c r="D55" s="39"/>
      <c r="E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37"/>
    </row>
    <row r="56" spans="2:31" ht="12.75" customHeight="1">
      <c r="B56" s="109" t="s">
        <v>145</v>
      </c>
      <c r="C56" s="79">
        <v>7126</v>
      </c>
      <c r="D56" s="79">
        <v>4017</v>
      </c>
      <c r="E56" s="79">
        <v>10573</v>
      </c>
      <c r="G56" s="110">
        <v>3332</v>
      </c>
      <c r="H56" s="110">
        <v>4758</v>
      </c>
      <c r="I56" s="110">
        <v>3534</v>
      </c>
      <c r="J56" s="87">
        <f t="shared" ref="J56:J61" si="68">D56</f>
        <v>4017</v>
      </c>
      <c r="K56" s="110">
        <v>8242</v>
      </c>
      <c r="L56" s="110">
        <v>10338</v>
      </c>
      <c r="M56" s="110">
        <v>9492</v>
      </c>
      <c r="N56" s="87">
        <f t="shared" ref="N56:N61" si="69">E56</f>
        <v>10573</v>
      </c>
      <c r="O56" s="110">
        <v>9603</v>
      </c>
      <c r="P56" s="110">
        <v>52552</v>
      </c>
      <c r="Q56" s="110">
        <v>52244</v>
      </c>
      <c r="S56" s="30">
        <f>K56</f>
        <v>8242</v>
      </c>
      <c r="T56" s="30">
        <f>L56</f>
        <v>10338</v>
      </c>
      <c r="U56" s="30">
        <f>M56</f>
        <v>9492</v>
      </c>
      <c r="V56" s="30">
        <f>N56</f>
        <v>10573</v>
      </c>
      <c r="W56" s="30">
        <f>O56</f>
        <v>9603</v>
      </c>
      <c r="X56" s="30">
        <f>P56</f>
        <v>52552</v>
      </c>
      <c r="Y56" s="87">
        <f t="shared" ref="Y56:Y61" si="70">M56</f>
        <v>9492</v>
      </c>
      <c r="Z56" s="87">
        <f t="shared" ref="Z56:Z61" si="71">N56</f>
        <v>10573</v>
      </c>
      <c r="AA56" s="87">
        <f t="shared" ref="AA56:AA61" si="72">O56</f>
        <v>9603</v>
      </c>
      <c r="AB56" s="87">
        <f t="shared" ref="AB56:AB61" si="73">P56</f>
        <v>52552</v>
      </c>
      <c r="AC56" s="87">
        <f t="shared" ref="AC56:AC61" si="74">Q56</f>
        <v>52244</v>
      </c>
      <c r="AD56" s="11"/>
      <c r="AE56" s="70">
        <f t="shared" ref="AE56" si="75">SUM(AC56/Y56)-1</f>
        <v>4.5040033712600085</v>
      </c>
    </row>
    <row r="57" spans="2:31" ht="12.75" customHeight="1">
      <c r="B57" s="109" t="s">
        <v>146</v>
      </c>
      <c r="C57" s="79">
        <v>2803</v>
      </c>
      <c r="D57" s="79">
        <v>2280</v>
      </c>
      <c r="E57" s="79">
        <v>3037</v>
      </c>
      <c r="G57" s="110">
        <v>2925</v>
      </c>
      <c r="H57" s="110">
        <v>3318</v>
      </c>
      <c r="I57" s="110">
        <v>4096</v>
      </c>
      <c r="J57" s="87">
        <f t="shared" si="68"/>
        <v>2280</v>
      </c>
      <c r="K57" s="110">
        <v>5276</v>
      </c>
      <c r="L57" s="110">
        <v>7044</v>
      </c>
      <c r="M57" s="110">
        <v>7344</v>
      </c>
      <c r="N57" s="87">
        <f t="shared" si="69"/>
        <v>3037</v>
      </c>
      <c r="O57" s="110">
        <v>1797</v>
      </c>
      <c r="P57" s="110">
        <v>1596</v>
      </c>
      <c r="Q57" s="110">
        <v>2543</v>
      </c>
      <c r="S57" s="30">
        <f>K57</f>
        <v>5276</v>
      </c>
      <c r="T57" s="30">
        <f>L57</f>
        <v>7044</v>
      </c>
      <c r="U57" s="30">
        <f>M57</f>
        <v>7344</v>
      </c>
      <c r="V57" s="30">
        <f>N57</f>
        <v>3037</v>
      </c>
      <c r="W57" s="30">
        <f>O57</f>
        <v>1797</v>
      </c>
      <c r="X57" s="30">
        <f>P57</f>
        <v>1596</v>
      </c>
      <c r="Y57" s="87">
        <f t="shared" si="70"/>
        <v>7344</v>
      </c>
      <c r="Z57" s="87">
        <f t="shared" si="71"/>
        <v>3037</v>
      </c>
      <c r="AA57" s="87">
        <f t="shared" si="72"/>
        <v>1797</v>
      </c>
      <c r="AB57" s="87">
        <f t="shared" si="73"/>
        <v>1596</v>
      </c>
      <c r="AC57" s="87">
        <f t="shared" si="74"/>
        <v>2543</v>
      </c>
      <c r="AD57" s="11"/>
      <c r="AE57" s="70">
        <f t="shared" ref="AE57:AE61" si="76">SUM(AC57/Y57)-1</f>
        <v>-0.65373093681917216</v>
      </c>
    </row>
    <row r="58" spans="2:31" ht="12.75" customHeight="1">
      <c r="B58" s="109" t="s">
        <v>147</v>
      </c>
      <c r="C58" s="79">
        <v>1877</v>
      </c>
      <c r="D58" s="79">
        <v>170</v>
      </c>
      <c r="E58" s="79">
        <v>200</v>
      </c>
      <c r="G58" s="110">
        <v>172</v>
      </c>
      <c r="H58" s="110">
        <v>176</v>
      </c>
      <c r="I58" s="110">
        <v>160</v>
      </c>
      <c r="J58" s="87">
        <f t="shared" si="68"/>
        <v>170</v>
      </c>
      <c r="K58" s="110">
        <v>212</v>
      </c>
      <c r="L58" s="110">
        <v>220</v>
      </c>
      <c r="M58" s="110">
        <v>187</v>
      </c>
      <c r="N58" s="87">
        <f t="shared" si="69"/>
        <v>200</v>
      </c>
      <c r="O58" s="110">
        <v>228</v>
      </c>
      <c r="P58" s="110">
        <v>218</v>
      </c>
      <c r="Q58" s="110">
        <v>1950</v>
      </c>
      <c r="S58" s="30"/>
      <c r="T58" s="30"/>
      <c r="U58" s="30"/>
      <c r="V58" s="30"/>
      <c r="W58" s="30"/>
      <c r="X58" s="30"/>
      <c r="Y58" s="87">
        <f t="shared" si="70"/>
        <v>187</v>
      </c>
      <c r="Z58" s="87">
        <f t="shared" si="71"/>
        <v>200</v>
      </c>
      <c r="AA58" s="87">
        <f t="shared" si="72"/>
        <v>228</v>
      </c>
      <c r="AB58" s="87">
        <f t="shared" si="73"/>
        <v>218</v>
      </c>
      <c r="AC58" s="87">
        <f t="shared" si="74"/>
        <v>1950</v>
      </c>
      <c r="AD58" s="11"/>
      <c r="AE58" s="70">
        <f t="shared" si="76"/>
        <v>9.427807486631016</v>
      </c>
    </row>
    <row r="59" spans="2:31" ht="12.75" customHeight="1">
      <c r="B59" s="109" t="s">
        <v>148</v>
      </c>
      <c r="C59" s="79">
        <v>97</v>
      </c>
      <c r="D59" s="79">
        <v>104</v>
      </c>
      <c r="E59" s="79">
        <v>0</v>
      </c>
      <c r="G59" s="110">
        <v>99</v>
      </c>
      <c r="H59" s="110">
        <v>100</v>
      </c>
      <c r="I59" s="110">
        <v>102</v>
      </c>
      <c r="J59" s="87">
        <f t="shared" si="68"/>
        <v>104</v>
      </c>
      <c r="K59" s="110">
        <v>0</v>
      </c>
      <c r="L59" s="110">
        <v>0</v>
      </c>
      <c r="M59" s="110">
        <v>0</v>
      </c>
      <c r="N59" s="87">
        <f t="shared" si="69"/>
        <v>0</v>
      </c>
      <c r="O59" s="110" t="s">
        <v>144</v>
      </c>
      <c r="P59" s="110">
        <v>0</v>
      </c>
      <c r="Q59" s="110">
        <v>0</v>
      </c>
      <c r="S59" s="30"/>
      <c r="T59" s="30"/>
      <c r="U59" s="30"/>
      <c r="V59" s="30"/>
      <c r="W59" s="30"/>
      <c r="X59" s="30"/>
      <c r="Y59" s="87">
        <f t="shared" si="70"/>
        <v>0</v>
      </c>
      <c r="Z59" s="87">
        <f t="shared" si="71"/>
        <v>0</v>
      </c>
      <c r="AA59" s="87" t="str">
        <f t="shared" si="72"/>
        <v>-</v>
      </c>
      <c r="AB59" s="87">
        <f t="shared" si="73"/>
        <v>0</v>
      </c>
      <c r="AC59" s="87">
        <f t="shared" si="74"/>
        <v>0</v>
      </c>
      <c r="AD59" s="11"/>
      <c r="AE59" s="70" t="e">
        <f t="shared" si="76"/>
        <v>#DIV/0!</v>
      </c>
    </row>
    <row r="60" spans="2:31" ht="12.75" customHeight="1">
      <c r="B60" s="109" t="s">
        <v>149</v>
      </c>
      <c r="C60" s="79">
        <v>0</v>
      </c>
      <c r="D60" s="79">
        <v>0</v>
      </c>
      <c r="E60" s="79">
        <v>0</v>
      </c>
      <c r="G60" s="79">
        <v>0</v>
      </c>
      <c r="H60" s="79">
        <v>0</v>
      </c>
      <c r="I60" s="79">
        <v>0</v>
      </c>
      <c r="J60" s="87">
        <f t="shared" si="68"/>
        <v>0</v>
      </c>
      <c r="K60" s="110">
        <v>0</v>
      </c>
      <c r="L60" s="110">
        <v>0</v>
      </c>
      <c r="M60" s="110">
        <v>0</v>
      </c>
      <c r="N60" s="87">
        <f t="shared" si="69"/>
        <v>0</v>
      </c>
      <c r="O60" s="110">
        <v>65368</v>
      </c>
      <c r="P60" s="110">
        <v>0</v>
      </c>
      <c r="Q60" s="110">
        <v>0</v>
      </c>
      <c r="S60" s="30">
        <f>K60</f>
        <v>0</v>
      </c>
      <c r="T60" s="30">
        <f>L60</f>
        <v>0</v>
      </c>
      <c r="U60" s="30">
        <f>M60</f>
        <v>0</v>
      </c>
      <c r="V60" s="30">
        <f>N60</f>
        <v>0</v>
      </c>
      <c r="W60" s="30">
        <f>O60</f>
        <v>65368</v>
      </c>
      <c r="X60" s="30">
        <f>P60</f>
        <v>0</v>
      </c>
      <c r="Y60" s="87">
        <f t="shared" si="70"/>
        <v>0</v>
      </c>
      <c r="Z60" s="87">
        <f t="shared" si="71"/>
        <v>0</v>
      </c>
      <c r="AA60" s="87">
        <f t="shared" si="72"/>
        <v>65368</v>
      </c>
      <c r="AB60" s="87">
        <f t="shared" si="73"/>
        <v>0</v>
      </c>
      <c r="AC60" s="87">
        <f t="shared" si="74"/>
        <v>0</v>
      </c>
      <c r="AD60" s="11"/>
      <c r="AE60" s="70" t="e">
        <f t="shared" si="76"/>
        <v>#DIV/0!</v>
      </c>
    </row>
    <row r="61" spans="2:31" ht="12.75" customHeight="1">
      <c r="B61" s="109" t="s">
        <v>150</v>
      </c>
      <c r="C61" s="79">
        <v>631</v>
      </c>
      <c r="D61" s="79">
        <v>492</v>
      </c>
      <c r="E61" s="79">
        <v>385</v>
      </c>
      <c r="G61" s="110">
        <v>261</v>
      </c>
      <c r="H61" s="110">
        <v>370</v>
      </c>
      <c r="I61" s="110">
        <v>416</v>
      </c>
      <c r="J61" s="87">
        <f t="shared" si="68"/>
        <v>492</v>
      </c>
      <c r="K61" s="110">
        <v>179</v>
      </c>
      <c r="L61" s="110">
        <v>293</v>
      </c>
      <c r="M61" s="110">
        <v>391</v>
      </c>
      <c r="N61" s="87">
        <f t="shared" si="69"/>
        <v>385</v>
      </c>
      <c r="O61" s="110">
        <v>125</v>
      </c>
      <c r="P61" s="110">
        <v>228</v>
      </c>
      <c r="Q61" s="110">
        <v>297</v>
      </c>
      <c r="S61" s="30">
        <f>K61</f>
        <v>179</v>
      </c>
      <c r="T61" s="30">
        <f>L61</f>
        <v>293</v>
      </c>
      <c r="U61" s="30">
        <f>M61</f>
        <v>391</v>
      </c>
      <c r="V61" s="30">
        <f>N61</f>
        <v>385</v>
      </c>
      <c r="W61" s="30">
        <f>O61</f>
        <v>125</v>
      </c>
      <c r="X61" s="30">
        <f>P61</f>
        <v>228</v>
      </c>
      <c r="Y61" s="87">
        <f t="shared" si="70"/>
        <v>391</v>
      </c>
      <c r="Z61" s="87">
        <f t="shared" si="71"/>
        <v>385</v>
      </c>
      <c r="AA61" s="87">
        <f t="shared" si="72"/>
        <v>125</v>
      </c>
      <c r="AB61" s="87">
        <f t="shared" si="73"/>
        <v>228</v>
      </c>
      <c r="AC61" s="87">
        <f t="shared" si="74"/>
        <v>297</v>
      </c>
      <c r="AD61" s="11"/>
      <c r="AE61" s="70">
        <f t="shared" si="76"/>
        <v>-0.24040920716112535</v>
      </c>
    </row>
    <row r="62" spans="2:31" ht="12.75" customHeight="1">
      <c r="B62" s="23" t="s">
        <v>18</v>
      </c>
      <c r="C62" s="24">
        <f>SUM(C56:C61)</f>
        <v>12534</v>
      </c>
      <c r="D62" s="24">
        <f>SUM(D56:D61)</f>
        <v>7063</v>
      </c>
      <c r="E62" s="24">
        <f>SUM(E56:E61)</f>
        <v>14195</v>
      </c>
      <c r="G62" s="24">
        <f t="shared" ref="G62:Q62" si="77">SUM(G56:G61)</f>
        <v>6789</v>
      </c>
      <c r="H62" s="24">
        <f t="shared" si="77"/>
        <v>8722</v>
      </c>
      <c r="I62" s="24">
        <f t="shared" si="77"/>
        <v>8308</v>
      </c>
      <c r="J62" s="24">
        <f t="shared" si="77"/>
        <v>7063</v>
      </c>
      <c r="K62" s="24">
        <f t="shared" si="77"/>
        <v>13909</v>
      </c>
      <c r="L62" s="24">
        <f t="shared" si="77"/>
        <v>17895</v>
      </c>
      <c r="M62" s="24">
        <f t="shared" si="77"/>
        <v>17414</v>
      </c>
      <c r="N62" s="24">
        <f t="shared" si="77"/>
        <v>14195</v>
      </c>
      <c r="O62" s="24">
        <f t="shared" si="77"/>
        <v>77121</v>
      </c>
      <c r="P62" s="24">
        <f t="shared" si="77"/>
        <v>54594</v>
      </c>
      <c r="Q62" s="24">
        <f t="shared" si="77"/>
        <v>57034</v>
      </c>
      <c r="R62" s="47"/>
      <c r="S62" s="24">
        <f t="shared" ref="S62:AC62" si="78">SUM(S56:S61)</f>
        <v>13697</v>
      </c>
      <c r="T62" s="24">
        <f t="shared" si="78"/>
        <v>17675</v>
      </c>
      <c r="U62" s="24">
        <f t="shared" si="78"/>
        <v>17227</v>
      </c>
      <c r="V62" s="24">
        <f t="shared" si="78"/>
        <v>13995</v>
      </c>
      <c r="W62" s="24">
        <f t="shared" si="78"/>
        <v>76893</v>
      </c>
      <c r="X62" s="24">
        <f t="shared" si="78"/>
        <v>54376</v>
      </c>
      <c r="Y62" s="24">
        <f t="shared" si="78"/>
        <v>17414</v>
      </c>
      <c r="Z62" s="24">
        <f t="shared" si="78"/>
        <v>14195</v>
      </c>
      <c r="AA62" s="24">
        <f t="shared" si="78"/>
        <v>77121</v>
      </c>
      <c r="AB62" s="24">
        <f t="shared" si="78"/>
        <v>54594</v>
      </c>
      <c r="AC62" s="24">
        <f t="shared" si="78"/>
        <v>57034</v>
      </c>
      <c r="AD62" s="40"/>
      <c r="AE62" s="71">
        <f>SUM(AC62/Y62)-1</f>
        <v>2.2751808889399334</v>
      </c>
    </row>
    <row r="63" spans="2:31" ht="5.0999999999999996" customHeight="1">
      <c r="B63" s="23"/>
      <c r="C63" s="49"/>
      <c r="D63" s="39"/>
      <c r="E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37"/>
    </row>
    <row r="64" spans="2:31">
      <c r="B64" s="74" t="s">
        <v>104</v>
      </c>
      <c r="C64" s="49"/>
      <c r="D64" s="39"/>
      <c r="E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37"/>
    </row>
    <row r="65" spans="1:31" ht="12.75" customHeight="1">
      <c r="B65" s="109" t="s">
        <v>151</v>
      </c>
      <c r="C65" s="79">
        <v>139</v>
      </c>
      <c r="D65" s="79">
        <v>35</v>
      </c>
      <c r="E65" s="79">
        <v>0</v>
      </c>
      <c r="G65" s="110">
        <v>114</v>
      </c>
      <c r="H65" s="110">
        <v>88</v>
      </c>
      <c r="I65" s="110">
        <v>62</v>
      </c>
      <c r="J65" s="87">
        <f t="shared" ref="J65:J66" si="79">D65</f>
        <v>35</v>
      </c>
      <c r="K65" s="110">
        <v>0</v>
      </c>
      <c r="L65" s="110">
        <v>0</v>
      </c>
      <c r="M65" s="110">
        <v>0</v>
      </c>
      <c r="N65" s="87">
        <f t="shared" ref="N65:N66" si="80">E65</f>
        <v>0</v>
      </c>
      <c r="O65" s="110">
        <v>0</v>
      </c>
      <c r="P65" s="110">
        <v>0</v>
      </c>
      <c r="Q65" s="110">
        <v>0</v>
      </c>
      <c r="S65" s="30">
        <f>K65</f>
        <v>0</v>
      </c>
      <c r="T65" s="30">
        <f>L65</f>
        <v>0</v>
      </c>
      <c r="U65" s="30">
        <f>M65</f>
        <v>0</v>
      </c>
      <c r="V65" s="30">
        <f>N65</f>
        <v>0</v>
      </c>
      <c r="W65" s="30">
        <f>O65</f>
        <v>0</v>
      </c>
      <c r="X65" s="30">
        <f>P65</f>
        <v>0</v>
      </c>
      <c r="Y65" s="87">
        <f t="shared" ref="Y65:Y66" si="81">M65</f>
        <v>0</v>
      </c>
      <c r="Z65" s="87">
        <f t="shared" ref="Z65:Z66" si="82">N65</f>
        <v>0</v>
      </c>
      <c r="AA65" s="87">
        <f t="shared" ref="AA65:AA66" si="83">O65</f>
        <v>0</v>
      </c>
      <c r="AB65" s="87">
        <f t="shared" ref="AB65:AB66" si="84">P65</f>
        <v>0</v>
      </c>
      <c r="AC65" s="87">
        <f t="shared" ref="AC65:AC66" si="85">Q65</f>
        <v>0</v>
      </c>
      <c r="AD65" s="40"/>
      <c r="AE65" s="70" t="e">
        <f t="shared" ref="AE65:AE66" si="86">SUM(AC65/Y65)-1</f>
        <v>#DIV/0!</v>
      </c>
    </row>
    <row r="66" spans="1:31" ht="12.75" customHeight="1">
      <c r="B66" s="109" t="s">
        <v>152</v>
      </c>
      <c r="C66" s="79">
        <v>194</v>
      </c>
      <c r="D66" s="79">
        <v>197</v>
      </c>
      <c r="E66" s="79">
        <v>0</v>
      </c>
      <c r="G66" s="110">
        <v>194</v>
      </c>
      <c r="H66" s="110">
        <v>201</v>
      </c>
      <c r="I66" s="110">
        <v>197</v>
      </c>
      <c r="J66" s="87">
        <f t="shared" si="79"/>
        <v>197</v>
      </c>
      <c r="K66" s="110">
        <v>197</v>
      </c>
      <c r="L66" s="110">
        <v>0</v>
      </c>
      <c r="M66" s="110">
        <v>0</v>
      </c>
      <c r="N66" s="87">
        <f t="shared" si="80"/>
        <v>0</v>
      </c>
      <c r="O66" s="110">
        <v>0</v>
      </c>
      <c r="P66" s="110">
        <v>0</v>
      </c>
      <c r="Q66" s="110">
        <v>80</v>
      </c>
      <c r="S66" s="30">
        <f>K66</f>
        <v>197</v>
      </c>
      <c r="T66" s="30">
        <f>L66</f>
        <v>0</v>
      </c>
      <c r="U66" s="30">
        <f>M66</f>
        <v>0</v>
      </c>
      <c r="V66" s="30">
        <f>N66</f>
        <v>0</v>
      </c>
      <c r="W66" s="30">
        <f>O66</f>
        <v>0</v>
      </c>
      <c r="X66" s="30">
        <f>P66</f>
        <v>0</v>
      </c>
      <c r="Y66" s="87">
        <f t="shared" si="81"/>
        <v>0</v>
      </c>
      <c r="Z66" s="87">
        <f t="shared" si="82"/>
        <v>0</v>
      </c>
      <c r="AA66" s="87">
        <f t="shared" si="83"/>
        <v>0</v>
      </c>
      <c r="AB66" s="87">
        <f t="shared" si="84"/>
        <v>0</v>
      </c>
      <c r="AC66" s="87">
        <f t="shared" si="85"/>
        <v>80</v>
      </c>
      <c r="AD66" s="40"/>
      <c r="AE66" s="70" t="e">
        <f t="shared" si="86"/>
        <v>#DIV/0!</v>
      </c>
    </row>
    <row r="67" spans="1:31" ht="12.75" customHeight="1">
      <c r="B67" s="12" t="s">
        <v>16</v>
      </c>
      <c r="C67" s="13">
        <f>SUM(C65:C66)+C62</f>
        <v>12867</v>
      </c>
      <c r="D67" s="13">
        <f>SUM(D65:D66)+D62</f>
        <v>7295</v>
      </c>
      <c r="E67" s="13">
        <f>SUM(E65:E66)+E62</f>
        <v>14195</v>
      </c>
      <c r="G67" s="13">
        <f>SUM(G65:G66)+G62</f>
        <v>7097</v>
      </c>
      <c r="H67" s="13">
        <f>SUM(H65:H66)+H62</f>
        <v>9011</v>
      </c>
      <c r="I67" s="13">
        <f>SUM(I65:I66)+I62</f>
        <v>8567</v>
      </c>
      <c r="J67" s="13">
        <f>SUM(J65:J66)+J62</f>
        <v>7295</v>
      </c>
      <c r="K67" s="13">
        <f>SUM(K65:K66)+K62</f>
        <v>14106</v>
      </c>
      <c r="L67" s="13">
        <f>SUM(L65:L66)+L62</f>
        <v>17895</v>
      </c>
      <c r="M67" s="13">
        <f>SUM(M65:M66)+M62</f>
        <v>17414</v>
      </c>
      <c r="N67" s="13">
        <f>SUM(N65:N66)+N62</f>
        <v>14195</v>
      </c>
      <c r="O67" s="13">
        <f>SUM(O65:O66)+O62</f>
        <v>77121</v>
      </c>
      <c r="P67" s="13">
        <f>SUM(P65:P66)+P62</f>
        <v>54594</v>
      </c>
      <c r="Q67" s="13">
        <f>SUM(Q65:Q66)+Q62</f>
        <v>57114</v>
      </c>
      <c r="S67" s="13">
        <f>SUM(S65:S66)+S62</f>
        <v>13894</v>
      </c>
      <c r="T67" s="13">
        <f>SUM(T65:T66)+T62</f>
        <v>17675</v>
      </c>
      <c r="U67" s="13">
        <f>SUM(U65:U66)+U62</f>
        <v>17227</v>
      </c>
      <c r="V67" s="13">
        <f>SUM(V65:V66)+V62</f>
        <v>13995</v>
      </c>
      <c r="W67" s="13">
        <f>SUM(W65:W66)+W62</f>
        <v>76893</v>
      </c>
      <c r="X67" s="13">
        <f>SUM(X65:X66)+X62</f>
        <v>54376</v>
      </c>
      <c r="Y67" s="13">
        <f>SUM(Y65:Y66)+Y62</f>
        <v>17414</v>
      </c>
      <c r="Z67" s="13">
        <f>SUM(Z65:Z66)+Z62</f>
        <v>14195</v>
      </c>
      <c r="AA67" s="13">
        <f>SUM(AA65:AA66)+AA62</f>
        <v>77121</v>
      </c>
      <c r="AB67" s="13">
        <f>SUM(AB65:AB66)+AB62</f>
        <v>54594</v>
      </c>
      <c r="AC67" s="13">
        <f>SUM(AC65:AC66)+AC62</f>
        <v>57114</v>
      </c>
      <c r="AD67" s="40"/>
      <c r="AE67" s="71">
        <f>SUM(AC67/Y67)-1</f>
        <v>2.2797748937636384</v>
      </c>
    </row>
    <row r="68" spans="1:31" ht="5.0999999999999996" customHeight="1">
      <c r="B68" s="23"/>
      <c r="C68" s="48"/>
      <c r="D68" s="39"/>
      <c r="E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37"/>
    </row>
    <row r="69" spans="1:31" ht="12.75" customHeight="1">
      <c r="B69" s="9" t="s">
        <v>92</v>
      </c>
      <c r="C69" s="79"/>
      <c r="D69" s="79"/>
      <c r="E69" s="79"/>
      <c r="G69" s="110"/>
      <c r="H69" s="110"/>
      <c r="I69" s="110"/>
      <c r="J69" s="87">
        <f t="shared" ref="J69:J72" si="87">D69</f>
        <v>0</v>
      </c>
      <c r="K69" s="110"/>
      <c r="L69" s="110"/>
      <c r="M69" s="110"/>
      <c r="N69" s="87">
        <f t="shared" ref="N69:N72" si="88">E69</f>
        <v>0</v>
      </c>
      <c r="O69" s="110"/>
      <c r="P69" s="110"/>
      <c r="Q69" s="110"/>
      <c r="S69" s="30">
        <f>K69</f>
        <v>0</v>
      </c>
      <c r="T69" s="30">
        <f>L69</f>
        <v>0</v>
      </c>
      <c r="U69" s="30">
        <f>M69</f>
        <v>0</v>
      </c>
      <c r="V69" s="30">
        <f>N69</f>
        <v>0</v>
      </c>
      <c r="W69" s="30">
        <f>O69</f>
        <v>0</v>
      </c>
      <c r="X69" s="30">
        <f>P69</f>
        <v>0</v>
      </c>
      <c r="Y69" s="87">
        <f t="shared" ref="Y69:Y72" si="89">M69</f>
        <v>0</v>
      </c>
      <c r="Z69" s="87">
        <f t="shared" ref="Z69:Z72" si="90">N69</f>
        <v>0</v>
      </c>
      <c r="AA69" s="87">
        <f t="shared" ref="AA69:AA72" si="91">O69</f>
        <v>0</v>
      </c>
      <c r="AB69" s="87">
        <f t="shared" ref="AB69:AB72" si="92">P69</f>
        <v>0</v>
      </c>
      <c r="AC69" s="87">
        <f t="shared" ref="AC69:AC72" si="93">Q69</f>
        <v>0</v>
      </c>
      <c r="AD69" s="11"/>
      <c r="AE69" s="70" t="e">
        <f t="shared" ref="AE69:AE72" si="94">SUM(AC69/Y69)-1</f>
        <v>#DIV/0!</v>
      </c>
    </row>
    <row r="70" spans="1:31" ht="12.75" customHeight="1">
      <c r="B70" s="9" t="s">
        <v>19</v>
      </c>
      <c r="C70" s="79">
        <v>40</v>
      </c>
      <c r="D70" s="79">
        <v>42</v>
      </c>
      <c r="E70" s="79">
        <v>42</v>
      </c>
      <c r="G70" s="110">
        <v>40</v>
      </c>
      <c r="H70" s="110">
        <v>40</v>
      </c>
      <c r="I70" s="110">
        <v>40</v>
      </c>
      <c r="J70" s="87">
        <f t="shared" si="87"/>
        <v>42</v>
      </c>
      <c r="K70" s="110">
        <v>42</v>
      </c>
      <c r="L70" s="110">
        <v>42</v>
      </c>
      <c r="M70" s="110">
        <v>42</v>
      </c>
      <c r="N70" s="87">
        <f t="shared" si="88"/>
        <v>42</v>
      </c>
      <c r="O70" s="110">
        <v>43</v>
      </c>
      <c r="P70" s="110">
        <v>48</v>
      </c>
      <c r="Q70" s="110">
        <v>48</v>
      </c>
      <c r="S70" s="30"/>
      <c r="T70" s="30"/>
      <c r="U70" s="30"/>
      <c r="V70" s="30"/>
      <c r="W70" s="30"/>
      <c r="X70" s="30"/>
      <c r="Y70" s="87">
        <f t="shared" si="89"/>
        <v>42</v>
      </c>
      <c r="Z70" s="87">
        <f t="shared" si="90"/>
        <v>42</v>
      </c>
      <c r="AA70" s="87">
        <f t="shared" si="91"/>
        <v>43</v>
      </c>
      <c r="AB70" s="87">
        <f t="shared" si="92"/>
        <v>48</v>
      </c>
      <c r="AC70" s="87">
        <f t="shared" si="93"/>
        <v>48</v>
      </c>
      <c r="AD70" s="11"/>
      <c r="AE70" s="70">
        <f t="shared" si="94"/>
        <v>0.14285714285714279</v>
      </c>
    </row>
    <row r="71" spans="1:31" ht="12.75" customHeight="1">
      <c r="B71" s="9" t="s">
        <v>114</v>
      </c>
      <c r="C71" s="79">
        <v>461181</v>
      </c>
      <c r="D71" s="79">
        <v>511049</v>
      </c>
      <c r="E71" s="79">
        <v>518195</v>
      </c>
      <c r="G71" s="110">
        <v>461887</v>
      </c>
      <c r="H71" s="110">
        <v>462491</v>
      </c>
      <c r="I71" s="110">
        <v>463097</v>
      </c>
      <c r="J71" s="87">
        <f t="shared" si="87"/>
        <v>511049</v>
      </c>
      <c r="K71" s="110">
        <v>511786</v>
      </c>
      <c r="L71" s="110">
        <v>513510</v>
      </c>
      <c r="M71" s="110">
        <v>514923</v>
      </c>
      <c r="N71" s="87">
        <f t="shared" si="88"/>
        <v>518195</v>
      </c>
      <c r="O71" s="110">
        <v>434280</v>
      </c>
      <c r="P71" s="110">
        <v>538497</v>
      </c>
      <c r="Q71" s="110">
        <v>544105</v>
      </c>
      <c r="S71" s="30"/>
      <c r="T71" s="30"/>
      <c r="U71" s="30"/>
      <c r="V71" s="30"/>
      <c r="W71" s="30"/>
      <c r="X71" s="30"/>
      <c r="Y71" s="87">
        <f t="shared" si="89"/>
        <v>514923</v>
      </c>
      <c r="Z71" s="87">
        <f t="shared" si="90"/>
        <v>518195</v>
      </c>
      <c r="AA71" s="87">
        <f t="shared" si="91"/>
        <v>434280</v>
      </c>
      <c r="AB71" s="87">
        <f t="shared" si="92"/>
        <v>538497</v>
      </c>
      <c r="AC71" s="87">
        <f t="shared" si="93"/>
        <v>544105</v>
      </c>
      <c r="AD71" s="11"/>
      <c r="AE71" s="70">
        <f t="shared" si="94"/>
        <v>5.6672551041611952E-2</v>
      </c>
    </row>
    <row r="72" spans="1:31" ht="12.75" customHeight="1">
      <c r="B72" s="9" t="s">
        <v>115</v>
      </c>
      <c r="C72" s="79">
        <v>-207306</v>
      </c>
      <c r="D72" s="79">
        <v>-283552</v>
      </c>
      <c r="E72" s="79">
        <v>-380769</v>
      </c>
      <c r="G72" s="110">
        <v>-224833</v>
      </c>
      <c r="H72" s="110">
        <v>-244161</v>
      </c>
      <c r="I72" s="110">
        <v>-264418</v>
      </c>
      <c r="J72" s="87">
        <f t="shared" si="87"/>
        <v>-283552</v>
      </c>
      <c r="K72" s="110">
        <v>-307823</v>
      </c>
      <c r="L72" s="110">
        <v>-334199</v>
      </c>
      <c r="M72" s="110">
        <v>-359850</v>
      </c>
      <c r="N72" s="87">
        <f t="shared" si="88"/>
        <v>-380769</v>
      </c>
      <c r="O72" s="110">
        <v>-355726</v>
      </c>
      <c r="P72" s="110">
        <v>-349571</v>
      </c>
      <c r="Q72" s="110">
        <v>-377514</v>
      </c>
      <c r="S72" s="30">
        <f>K72</f>
        <v>-307823</v>
      </c>
      <c r="T72" s="30">
        <f>L72</f>
        <v>-334199</v>
      </c>
      <c r="U72" s="30">
        <f>M72</f>
        <v>-359850</v>
      </c>
      <c r="V72" s="30">
        <f>N72</f>
        <v>-380769</v>
      </c>
      <c r="W72" s="30">
        <f>O72</f>
        <v>-355726</v>
      </c>
      <c r="X72" s="30">
        <f>P72</f>
        <v>-349571</v>
      </c>
      <c r="Y72" s="87">
        <f t="shared" si="89"/>
        <v>-359850</v>
      </c>
      <c r="Z72" s="87">
        <f t="shared" si="90"/>
        <v>-380769</v>
      </c>
      <c r="AA72" s="87">
        <f t="shared" si="91"/>
        <v>-355726</v>
      </c>
      <c r="AB72" s="87">
        <f t="shared" si="92"/>
        <v>-349571</v>
      </c>
      <c r="AC72" s="87">
        <f t="shared" si="93"/>
        <v>-377514</v>
      </c>
      <c r="AD72" s="11"/>
      <c r="AE72" s="70">
        <f t="shared" si="94"/>
        <v>4.9087119633180576E-2</v>
      </c>
    </row>
    <row r="73" spans="1:31" ht="12.75" customHeight="1">
      <c r="B73" s="12" t="s">
        <v>15</v>
      </c>
      <c r="C73" s="13">
        <f>SUM(C69:C72)</f>
        <v>253915</v>
      </c>
      <c r="D73" s="13">
        <f>SUM(D69:D72)</f>
        <v>227539</v>
      </c>
      <c r="E73" s="13">
        <f>SUM(E69:E72)</f>
        <v>137468</v>
      </c>
      <c r="F73" s="50"/>
      <c r="G73" s="13">
        <f>SUM(G69:G72)</f>
        <v>237094</v>
      </c>
      <c r="H73" s="13">
        <f>SUM(H69:H72)</f>
        <v>218370</v>
      </c>
      <c r="I73" s="13">
        <f>SUM(I69:I72)</f>
        <v>198719</v>
      </c>
      <c r="J73" s="13">
        <f>SUM(J69:J72)</f>
        <v>227539</v>
      </c>
      <c r="K73" s="13">
        <f>SUM(K69:K72)</f>
        <v>204005</v>
      </c>
      <c r="L73" s="13">
        <f>SUM(L69:L72)</f>
        <v>179353</v>
      </c>
      <c r="M73" s="13">
        <f>SUM(M69:M72)</f>
        <v>155115</v>
      </c>
      <c r="N73" s="13">
        <f>SUM(N69:N72)</f>
        <v>137468</v>
      </c>
      <c r="O73" s="13">
        <f>SUM(O69:O72)</f>
        <v>78597</v>
      </c>
      <c r="P73" s="13">
        <f>SUM(P69:P72)</f>
        <v>188974</v>
      </c>
      <c r="Q73" s="13">
        <f>SUM(Q69:Q72)</f>
        <v>166639</v>
      </c>
      <c r="S73" s="13">
        <f>SUM(S69:S72)</f>
        <v>-307823</v>
      </c>
      <c r="T73" s="13">
        <f>SUM(T69:T72)</f>
        <v>-334199</v>
      </c>
      <c r="U73" s="13">
        <f>SUM(U69:U72)</f>
        <v>-359850</v>
      </c>
      <c r="V73" s="13">
        <f>SUM(V69:V72)</f>
        <v>-380769</v>
      </c>
      <c r="W73" s="13">
        <f>SUM(W69:W72)</f>
        <v>-355726</v>
      </c>
      <c r="X73" s="13">
        <f>SUM(X69:X72)</f>
        <v>-349571</v>
      </c>
      <c r="Y73" s="13">
        <f>SUM(Y69:Y72)</f>
        <v>155115</v>
      </c>
      <c r="Z73" s="13">
        <f>SUM(Z69:Z72)</f>
        <v>137468</v>
      </c>
      <c r="AA73" s="13">
        <f>SUM(AA69:AA72)</f>
        <v>78597</v>
      </c>
      <c r="AB73" s="13">
        <f>SUM(AB69:AB72)</f>
        <v>188974</v>
      </c>
      <c r="AC73" s="13">
        <f>SUM(AC69:AC72)</f>
        <v>166639</v>
      </c>
      <c r="AD73" s="40"/>
      <c r="AE73" s="71">
        <f>SUM(AC73/Y73)-1</f>
        <v>7.4293266286303616E-2</v>
      </c>
    </row>
    <row r="74" spans="1:31" ht="12.75" customHeight="1">
      <c r="B74" s="23" t="s">
        <v>64</v>
      </c>
      <c r="C74" s="30">
        <f>SUM(C73+C67)</f>
        <v>266782</v>
      </c>
      <c r="D74" s="30">
        <f>SUM(D73+D67)</f>
        <v>234834</v>
      </c>
      <c r="E74" s="30">
        <f>SUM(E73+E67)</f>
        <v>151663</v>
      </c>
      <c r="F74" s="30"/>
      <c r="G74" s="30">
        <f>SUM(G73+G67)</f>
        <v>244191</v>
      </c>
      <c r="H74" s="30">
        <f>SUM(H73+H67)</f>
        <v>227381</v>
      </c>
      <c r="I74" s="30">
        <f>SUM(I73+I67)</f>
        <v>207286</v>
      </c>
      <c r="J74" s="30">
        <f>SUM(J73+J67)</f>
        <v>234834</v>
      </c>
      <c r="K74" s="30">
        <f>SUM(K73+K67)</f>
        <v>218111</v>
      </c>
      <c r="L74" s="30">
        <f>SUM(L73+L67)</f>
        <v>197248</v>
      </c>
      <c r="M74" s="30">
        <f>SUM(M73+M67)</f>
        <v>172529</v>
      </c>
      <c r="N74" s="30">
        <f>SUM(N73+N67)</f>
        <v>151663</v>
      </c>
      <c r="O74" s="30">
        <f>SUM(O73+O67)</f>
        <v>155718</v>
      </c>
      <c r="P74" s="30">
        <f>SUM(P73+P67)</f>
        <v>243568</v>
      </c>
      <c r="Q74" s="30">
        <f>SUM(Q73+Q67)</f>
        <v>223753</v>
      </c>
      <c r="R74" s="30"/>
      <c r="S74" s="30">
        <f>SUM(S73+S67)</f>
        <v>-293929</v>
      </c>
      <c r="T74" s="30">
        <f>SUM(T73+T67)</f>
        <v>-316524</v>
      </c>
      <c r="U74" s="30">
        <f>SUM(U73+U67)</f>
        <v>-342623</v>
      </c>
      <c r="V74" s="30">
        <f>SUM(V73+V67)</f>
        <v>-366774</v>
      </c>
      <c r="W74" s="30">
        <f>SUM(W73+W67)</f>
        <v>-278833</v>
      </c>
      <c r="X74" s="30">
        <f>SUM(X73+X67)</f>
        <v>-295195</v>
      </c>
      <c r="Y74" s="30">
        <f>SUM(Y73+Y67)</f>
        <v>172529</v>
      </c>
      <c r="Z74" s="30">
        <f>SUM(Z73+Z67)</f>
        <v>151663</v>
      </c>
      <c r="AA74" s="30">
        <f>SUM(AA73+AA67)</f>
        <v>155718</v>
      </c>
      <c r="AB74" s="30">
        <f>SUM(AB73+AB67)</f>
        <v>243568</v>
      </c>
      <c r="AC74" s="30">
        <f>SUM(AC73+AC67)</f>
        <v>223753</v>
      </c>
      <c r="AD74" s="11"/>
      <c r="AE74" s="71">
        <f>SUM(AC74/Y74)-1</f>
        <v>0.29690081087817122</v>
      </c>
    </row>
    <row r="75" spans="1:31" ht="5.0999999999999996" customHeight="1">
      <c r="B75" s="23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11"/>
    </row>
    <row r="76" spans="1:31" ht="12.75" customHeight="1">
      <c r="B76" s="64" t="s">
        <v>74</v>
      </c>
      <c r="C76" s="65">
        <f>C74-C53</f>
        <v>0</v>
      </c>
      <c r="D76" s="65">
        <f>D74-D53</f>
        <v>0</v>
      </c>
      <c r="E76" s="65">
        <f>E74-E53</f>
        <v>0</v>
      </c>
      <c r="F76" s="66"/>
      <c r="G76" s="65">
        <f>G74-G53</f>
        <v>0</v>
      </c>
      <c r="H76" s="65">
        <f>H74-H53</f>
        <v>0</v>
      </c>
      <c r="I76" s="65">
        <f>I74-I53</f>
        <v>0</v>
      </c>
      <c r="J76" s="65">
        <f>J74-J53</f>
        <v>0</v>
      </c>
      <c r="K76" s="65">
        <f>K74-K53</f>
        <v>0</v>
      </c>
      <c r="L76" s="65">
        <f>L74-L53</f>
        <v>0</v>
      </c>
      <c r="M76" s="65">
        <f>M74-M53</f>
        <v>0</v>
      </c>
      <c r="N76" s="65">
        <f>N74-N53</f>
        <v>0</v>
      </c>
      <c r="O76" s="65">
        <f>O74-O53</f>
        <v>0</v>
      </c>
      <c r="P76" s="65">
        <f>P74-P53</f>
        <v>0</v>
      </c>
      <c r="Q76" s="65">
        <f>Q74-Q53</f>
        <v>69</v>
      </c>
      <c r="R76" s="26"/>
      <c r="S76" s="65">
        <f>S74-S53</f>
        <v>-539363</v>
      </c>
      <c r="T76" s="65">
        <f>T74-T53</f>
        <v>-543440</v>
      </c>
      <c r="U76" s="65">
        <f>U74-U53</f>
        <v>-548240</v>
      </c>
      <c r="V76" s="65">
        <f>V74-V53</f>
        <v>-600030</v>
      </c>
      <c r="W76" s="65">
        <f>W74-W53</f>
        <v>-495551</v>
      </c>
      <c r="X76" s="65">
        <f>X74-X53</f>
        <v>-491174</v>
      </c>
      <c r="Y76" s="65">
        <f>Y74-Y53</f>
        <v>0</v>
      </c>
      <c r="Z76" s="65">
        <f>Z74-Z53</f>
        <v>0</v>
      </c>
      <c r="AA76" s="65">
        <f>AA74-AA53</f>
        <v>0</v>
      </c>
      <c r="AB76" s="65">
        <f>AB74-AB53</f>
        <v>0</v>
      </c>
      <c r="AC76" s="65">
        <f>AC74-AC53</f>
        <v>69</v>
      </c>
    </row>
    <row r="77" spans="1:31" ht="5.0999999999999996" customHeight="1" thickBot="1">
      <c r="B77" s="105"/>
      <c r="C77" s="106"/>
      <c r="D77" s="106"/>
      <c r="E77" s="106"/>
      <c r="F77" s="107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8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68"/>
      <c r="AE77" s="68"/>
    </row>
    <row r="78" spans="1:31" ht="12.75" customHeight="1">
      <c r="B78" s="142" t="s">
        <v>164</v>
      </c>
      <c r="C78" s="143"/>
      <c r="D78" s="143"/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</row>
    <row r="79" spans="1:31">
      <c r="B79" s="63"/>
      <c r="C79" s="22"/>
      <c r="D79" s="22"/>
      <c r="E79" s="22"/>
      <c r="F79" s="51"/>
    </row>
    <row r="80" spans="1:31" ht="12.75" customHeight="1">
      <c r="A80" s="5" t="s">
        <v>17</v>
      </c>
      <c r="B80" s="88" t="s">
        <v>14</v>
      </c>
      <c r="C80" s="92" t="s">
        <v>0</v>
      </c>
      <c r="D80" s="92"/>
      <c r="E80" s="92"/>
      <c r="F80" s="93"/>
      <c r="G80" s="92" t="s">
        <v>1</v>
      </c>
      <c r="H80" s="92"/>
      <c r="I80" s="92"/>
      <c r="J80" s="92"/>
      <c r="K80" s="92"/>
      <c r="L80" s="92"/>
      <c r="M80" s="92"/>
      <c r="N80" s="92"/>
      <c r="O80" s="92"/>
      <c r="P80" s="92"/>
      <c r="Q80" s="92" t="s">
        <v>1</v>
      </c>
      <c r="R80" s="88"/>
      <c r="S80" s="92"/>
      <c r="T80" s="92"/>
      <c r="U80" s="92"/>
      <c r="V80" s="92"/>
      <c r="W80" s="92"/>
      <c r="X80" s="92"/>
      <c r="Y80" s="92" t="s">
        <v>9</v>
      </c>
      <c r="Z80" s="92"/>
      <c r="AA80" s="92"/>
      <c r="AB80" s="92"/>
      <c r="AC80" s="92"/>
      <c r="AD80" s="93"/>
      <c r="AE80" s="141" t="s">
        <v>24</v>
      </c>
    </row>
    <row r="81" spans="2:31" ht="12.75" customHeight="1">
      <c r="B81" s="89" t="str">
        <f>B7</f>
        <v>Fiscal Period</v>
      </c>
      <c r="C81" s="94">
        <f>C7</f>
        <v>2021</v>
      </c>
      <c r="D81" s="94">
        <f>D7</f>
        <v>2022</v>
      </c>
      <c r="E81" s="94">
        <f>E7</f>
        <v>2023</v>
      </c>
      <c r="F81" s="93"/>
      <c r="G81" s="94" t="str">
        <f>G7</f>
        <v>1Q22</v>
      </c>
      <c r="H81" s="94" t="str">
        <f>H7</f>
        <v>2Q22</v>
      </c>
      <c r="I81" s="94" t="str">
        <f>I7</f>
        <v>3Q22</v>
      </c>
      <c r="J81" s="94" t="str">
        <f>J7</f>
        <v>4Q22</v>
      </c>
      <c r="K81" s="94" t="str">
        <f>K7</f>
        <v>1Q23</v>
      </c>
      <c r="L81" s="94" t="str">
        <f>L7</f>
        <v>2Q23</v>
      </c>
      <c r="M81" s="94" t="str">
        <f>M7</f>
        <v>3Q23</v>
      </c>
      <c r="N81" s="94" t="str">
        <f>N7</f>
        <v>4Q23</v>
      </c>
      <c r="O81" s="94" t="str">
        <f>O7</f>
        <v>1Q24</v>
      </c>
      <c r="P81" s="94" t="str">
        <f>P7</f>
        <v>2Q24</v>
      </c>
      <c r="Q81" s="94" t="str">
        <f>Q7</f>
        <v>3Q24</v>
      </c>
      <c r="R81" s="94"/>
      <c r="S81" s="94" t="str">
        <f>S7</f>
        <v>4Q22</v>
      </c>
      <c r="T81" s="94" t="str">
        <f>T7</f>
        <v>1Q23</v>
      </c>
      <c r="U81" s="94" t="str">
        <f>U7</f>
        <v>2Q23</v>
      </c>
      <c r="V81" s="94" t="str">
        <f>V7</f>
        <v>3Q23</v>
      </c>
      <c r="W81" s="94" t="str">
        <f>W7</f>
        <v>4Q23</v>
      </c>
      <c r="X81" s="94" t="str">
        <f>X7</f>
        <v>1Q24</v>
      </c>
      <c r="Y81" s="94" t="str">
        <f>Y7</f>
        <v>2Q24</v>
      </c>
      <c r="Z81" s="94" t="str">
        <f>Z7</f>
        <v>3Q24</v>
      </c>
      <c r="AA81" s="94" t="e">
        <f>AA7</f>
        <v>#REF!</v>
      </c>
      <c r="AB81" s="94" t="e">
        <f>AB7</f>
        <v>#REF!</v>
      </c>
      <c r="AC81" s="94" t="str">
        <f>AC7</f>
        <v>3Q24</v>
      </c>
      <c r="AD81" s="93"/>
      <c r="AE81" s="141"/>
    </row>
    <row r="82" spans="2:31" ht="12.75" customHeight="1">
      <c r="B82" s="89" t="str">
        <f>B8</f>
        <v>Fiscal Period End Date</v>
      </c>
      <c r="C82" s="95">
        <f>C8</f>
        <v>44561</v>
      </c>
      <c r="D82" s="95">
        <f>D8</f>
        <v>44926</v>
      </c>
      <c r="E82" s="95">
        <f>E8</f>
        <v>45291</v>
      </c>
      <c r="F82" s="93"/>
      <c r="G82" s="95">
        <f>G8</f>
        <v>44651</v>
      </c>
      <c r="H82" s="95">
        <f>H8</f>
        <v>44742</v>
      </c>
      <c r="I82" s="95">
        <f>I8</f>
        <v>44834</v>
      </c>
      <c r="J82" s="95">
        <f>J8</f>
        <v>44926</v>
      </c>
      <c r="K82" s="95">
        <f>K8</f>
        <v>45016</v>
      </c>
      <c r="L82" s="95">
        <f>L8</f>
        <v>45107</v>
      </c>
      <c r="M82" s="95">
        <f>M8</f>
        <v>45199</v>
      </c>
      <c r="N82" s="95">
        <f>N8</f>
        <v>45291</v>
      </c>
      <c r="O82" s="95">
        <f>O8</f>
        <v>45382</v>
      </c>
      <c r="P82" s="95">
        <f>P8</f>
        <v>45473</v>
      </c>
      <c r="Q82" s="95">
        <f>Q8</f>
        <v>45565</v>
      </c>
      <c r="R82" s="95"/>
      <c r="S82" s="95">
        <f>S8</f>
        <v>44926</v>
      </c>
      <c r="T82" s="95">
        <f>T8</f>
        <v>45016</v>
      </c>
      <c r="U82" s="95">
        <f>U8</f>
        <v>45107</v>
      </c>
      <c r="V82" s="95">
        <f>V8</f>
        <v>45199</v>
      </c>
      <c r="W82" s="95">
        <f>W8</f>
        <v>45291</v>
      </c>
      <c r="X82" s="95">
        <f>X8</f>
        <v>45382</v>
      </c>
      <c r="Y82" s="95">
        <f>Y8</f>
        <v>45473</v>
      </c>
      <c r="Z82" s="95">
        <f>Z8</f>
        <v>45565</v>
      </c>
      <c r="AA82" s="95" t="e">
        <f>AA8</f>
        <v>#REF!</v>
      </c>
      <c r="AB82" s="95" t="e">
        <f>AB8</f>
        <v>#REF!</v>
      </c>
      <c r="AC82" s="95">
        <f>AC8</f>
        <v>45565</v>
      </c>
      <c r="AD82" s="93"/>
      <c r="AE82" s="141"/>
    </row>
    <row r="83" spans="2:31" ht="5.0999999999999996" customHeight="1">
      <c r="B83" s="52"/>
      <c r="C83" s="46"/>
      <c r="D83" s="46"/>
      <c r="E83" s="46"/>
    </row>
    <row r="84" spans="2:31" ht="12.75" customHeight="1">
      <c r="B84" s="53" t="s">
        <v>65</v>
      </c>
      <c r="C84" s="54"/>
      <c r="D84" s="54"/>
      <c r="E84" s="54"/>
    </row>
    <row r="85" spans="2:31" ht="12.75" customHeight="1">
      <c r="B85" s="55" t="s">
        <v>66</v>
      </c>
      <c r="C85" s="30">
        <f>C29</f>
        <v>-32385</v>
      </c>
      <c r="D85" s="30">
        <f>D29</f>
        <v>-76246</v>
      </c>
      <c r="E85" s="30">
        <f>E29</f>
        <v>-97217</v>
      </c>
      <c r="F85" s="30"/>
      <c r="G85" s="30">
        <f>G29</f>
        <v>-17527</v>
      </c>
      <c r="H85" s="30">
        <f>H29</f>
        <v>-19328</v>
      </c>
      <c r="I85" s="30">
        <f>I29</f>
        <v>-20257</v>
      </c>
      <c r="J85" s="30">
        <f>J29</f>
        <v>-19134</v>
      </c>
      <c r="K85" s="30">
        <f>K29</f>
        <v>-24271</v>
      </c>
      <c r="L85" s="30">
        <f>L29</f>
        <v>-26376</v>
      </c>
      <c r="M85" s="30">
        <f>M29</f>
        <v>-25651</v>
      </c>
      <c r="N85" s="30">
        <f t="shared" ref="N85" si="95">SUM(D85-SUM(K85:M85))</f>
        <v>52</v>
      </c>
      <c r="O85" s="30">
        <f>O29</f>
        <v>25043</v>
      </c>
      <c r="P85" s="30">
        <f>P29</f>
        <v>6155</v>
      </c>
      <c r="Q85" s="30">
        <f>Q29</f>
        <v>-27943</v>
      </c>
      <c r="S85" s="30">
        <f>SUM(H85:K85)</f>
        <v>-82990</v>
      </c>
      <c r="T85" s="30">
        <f>SUM(I85:L85)</f>
        <v>-90038</v>
      </c>
      <c r="U85" s="30">
        <f>SUM(J85:M85)</f>
        <v>-95432</v>
      </c>
      <c r="V85" s="30">
        <f>SUM(K85:N85)</f>
        <v>-76246</v>
      </c>
      <c r="W85" s="30">
        <f>SUM(L85:O85)</f>
        <v>-26932</v>
      </c>
      <c r="X85" s="30">
        <f>SUM(M85:P85)</f>
        <v>5599</v>
      </c>
      <c r="Y85" s="30">
        <f t="shared" ref="Y85" si="96">SUM(J85:M85)</f>
        <v>-95432</v>
      </c>
      <c r="Z85" s="30">
        <f t="shared" ref="Z85" si="97">SUM(K85:N85)</f>
        <v>-76246</v>
      </c>
      <c r="AA85" s="30">
        <f t="shared" ref="AA85" si="98">SUM(L85:O85)</f>
        <v>-26932</v>
      </c>
      <c r="AB85" s="30">
        <f t="shared" ref="AB85" si="99">SUM(M85:P85)</f>
        <v>5599</v>
      </c>
      <c r="AC85" s="30">
        <f t="shared" ref="AC85" si="100">SUM(N85:Q85)</f>
        <v>3307</v>
      </c>
      <c r="AD85" s="11"/>
      <c r="AE85" s="70">
        <f>SUM(AC85/Y85)-1</f>
        <v>-1.0346529466007208</v>
      </c>
    </row>
    <row r="86" spans="2:31" ht="5.0999999999999996" customHeight="1"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11"/>
      <c r="AE86" s="70"/>
    </row>
    <row r="87" spans="2:31" ht="12.75" customHeight="1">
      <c r="B87" s="34" t="s">
        <v>73</v>
      </c>
      <c r="C87" s="30"/>
      <c r="D87" s="30"/>
      <c r="E87" s="30"/>
      <c r="F87" s="30"/>
      <c r="G87" s="30"/>
      <c r="H87" s="30"/>
      <c r="I87" s="30"/>
      <c r="J87" s="30"/>
      <c r="K87" s="79"/>
      <c r="L87" s="79"/>
      <c r="M87" s="79"/>
      <c r="N87" s="30"/>
      <c r="O87" s="79"/>
      <c r="P87" s="79"/>
      <c r="Q87" s="79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57"/>
      <c r="AE87" s="70"/>
    </row>
    <row r="88" spans="2:31" ht="12.75" customHeight="1">
      <c r="B88" s="58" t="s">
        <v>116</v>
      </c>
      <c r="C88" s="79">
        <v>1759</v>
      </c>
      <c r="D88" s="79">
        <v>2066</v>
      </c>
      <c r="E88" s="79">
        <v>4586</v>
      </c>
      <c r="F88"/>
      <c r="G88" s="79">
        <v>495</v>
      </c>
      <c r="H88" s="30">
        <f>980-G88</f>
        <v>485</v>
      </c>
      <c r="I88" s="30">
        <f>1450-H88-G88</f>
        <v>470</v>
      </c>
      <c r="J88" s="30">
        <f t="shared" ref="J88:J91" si="101">SUM(D88-SUM(G88:I88))</f>
        <v>616</v>
      </c>
      <c r="K88" s="79">
        <v>673</v>
      </c>
      <c r="L88" s="30">
        <f>1508-K88</f>
        <v>835</v>
      </c>
      <c r="M88" s="30">
        <f>2457-L88-K88</f>
        <v>949</v>
      </c>
      <c r="N88" s="30">
        <f>SUM(E88-SUM(K88:M88))</f>
        <v>2129</v>
      </c>
      <c r="O88" s="79">
        <v>2335</v>
      </c>
      <c r="P88" s="30">
        <f>4939-O88</f>
        <v>2604</v>
      </c>
      <c r="Q88" s="30">
        <f>10547-P88-O88</f>
        <v>5608</v>
      </c>
      <c r="S88" s="30">
        <f>SUM(H88:K88)</f>
        <v>2244</v>
      </c>
      <c r="T88" s="30">
        <f>SUM(I88:L88)</f>
        <v>2594</v>
      </c>
      <c r="U88" s="30">
        <f>SUM(J88:M88)</f>
        <v>3073</v>
      </c>
      <c r="V88" s="30">
        <f>SUM(K88:N88)</f>
        <v>4586</v>
      </c>
      <c r="W88" s="30">
        <f>SUM(L88:O88)</f>
        <v>6248</v>
      </c>
      <c r="X88" s="30">
        <f>SUM(M88:P88)</f>
        <v>8017</v>
      </c>
      <c r="Y88" s="30">
        <f t="shared" ref="Y88:Y91" si="102">SUM(J88:M88)</f>
        <v>3073</v>
      </c>
      <c r="Z88" s="30">
        <f t="shared" ref="Z88:Z91" si="103">SUM(K88:N88)</f>
        <v>4586</v>
      </c>
      <c r="AA88" s="30">
        <f t="shared" ref="AA88:AA91" si="104">SUM(L88:O88)</f>
        <v>6248</v>
      </c>
      <c r="AB88" s="30">
        <f t="shared" ref="AB88:AB91" si="105">SUM(M88:P88)</f>
        <v>8017</v>
      </c>
      <c r="AC88" s="30">
        <f t="shared" ref="AC88:AC91" si="106">SUM(N88:Q88)</f>
        <v>12676</v>
      </c>
      <c r="AD88" s="11"/>
      <c r="AE88" s="70">
        <f t="shared" ref="AE88:AE94" si="107">SUM(AC88/Y88)-1</f>
        <v>3.1249593231369994</v>
      </c>
    </row>
    <row r="89" spans="2:31" ht="12.75" customHeight="1">
      <c r="B89" s="58" t="s">
        <v>140</v>
      </c>
      <c r="C89" s="79"/>
      <c r="D89" s="79"/>
      <c r="E89" s="79"/>
      <c r="F89"/>
      <c r="G89" s="79">
        <v>0</v>
      </c>
      <c r="H89" s="30">
        <v>0</v>
      </c>
      <c r="I89" s="30">
        <v>0</v>
      </c>
      <c r="J89" s="30">
        <f t="shared" si="101"/>
        <v>0</v>
      </c>
      <c r="K89" s="79">
        <v>0</v>
      </c>
      <c r="L89" s="30">
        <v>0</v>
      </c>
      <c r="M89" s="30">
        <v>0</v>
      </c>
      <c r="N89" s="30">
        <f t="shared" ref="N89:N91" si="108">SUM(E89-SUM(K89:M89))</f>
        <v>0</v>
      </c>
      <c r="O89" s="79">
        <v>-43041</v>
      </c>
      <c r="P89" s="30">
        <f>-108183-O89</f>
        <v>-65142</v>
      </c>
      <c r="Q89" s="30">
        <f>-108183-P89-O89</f>
        <v>0</v>
      </c>
      <c r="S89" s="30">
        <f>SUM(H89:K89)</f>
        <v>0</v>
      </c>
      <c r="T89" s="30">
        <f>SUM(I89:L89)</f>
        <v>0</v>
      </c>
      <c r="U89" s="30">
        <f>SUM(J89:M89)</f>
        <v>0</v>
      </c>
      <c r="V89" s="30">
        <f>SUM(K89:N89)</f>
        <v>0</v>
      </c>
      <c r="W89" s="30">
        <f>SUM(L89:O89)</f>
        <v>-43041</v>
      </c>
      <c r="X89" s="30">
        <f>SUM(M89:P89)</f>
        <v>-108183</v>
      </c>
      <c r="Y89" s="30">
        <f t="shared" si="102"/>
        <v>0</v>
      </c>
      <c r="Z89" s="30">
        <f t="shared" si="103"/>
        <v>0</v>
      </c>
      <c r="AA89" s="30">
        <f t="shared" si="104"/>
        <v>-43041</v>
      </c>
      <c r="AB89" s="30">
        <f t="shared" si="105"/>
        <v>-108183</v>
      </c>
      <c r="AC89" s="30">
        <f t="shared" si="106"/>
        <v>-108183</v>
      </c>
      <c r="AD89" s="11"/>
      <c r="AE89" s="70" t="e">
        <f t="shared" si="107"/>
        <v>#DIV/0!</v>
      </c>
    </row>
    <row r="90" spans="2:31" ht="12.75" customHeight="1">
      <c r="B90" s="58" t="s">
        <v>153</v>
      </c>
      <c r="C90" s="79">
        <v>310</v>
      </c>
      <c r="D90" s="79">
        <v>804</v>
      </c>
      <c r="E90" s="79">
        <v>1084</v>
      </c>
      <c r="F90"/>
      <c r="G90" s="79">
        <v>178</v>
      </c>
      <c r="H90" s="30">
        <f>352-G90</f>
        <v>174</v>
      </c>
      <c r="I90" s="30">
        <f>533-H90-G90</f>
        <v>181</v>
      </c>
      <c r="J90" s="30">
        <f t="shared" si="101"/>
        <v>271</v>
      </c>
      <c r="K90" s="79">
        <v>272</v>
      </c>
      <c r="L90" s="30">
        <f>544-K90</f>
        <v>272</v>
      </c>
      <c r="M90" s="30">
        <f>817-L90-K90</f>
        <v>273</v>
      </c>
      <c r="N90" s="30">
        <f t="shared" si="108"/>
        <v>267</v>
      </c>
      <c r="O90" s="79">
        <v>250</v>
      </c>
      <c r="P90" s="30">
        <f>496-O90</f>
        <v>246</v>
      </c>
      <c r="Q90" s="30">
        <f>724-P90-O90</f>
        <v>228</v>
      </c>
      <c r="S90" s="30">
        <f>SUM(H90:K90)</f>
        <v>898</v>
      </c>
      <c r="T90" s="30">
        <f>SUM(I90:L90)</f>
        <v>996</v>
      </c>
      <c r="U90" s="30">
        <f>SUM(J90:M90)</f>
        <v>1088</v>
      </c>
      <c r="V90" s="30">
        <f>SUM(K90:N90)</f>
        <v>1084</v>
      </c>
      <c r="W90" s="30">
        <f>SUM(L90:O90)</f>
        <v>1062</v>
      </c>
      <c r="X90" s="30">
        <f>SUM(M90:P90)</f>
        <v>1036</v>
      </c>
      <c r="Y90" s="30">
        <f t="shared" si="102"/>
        <v>1088</v>
      </c>
      <c r="Z90" s="30">
        <f t="shared" si="103"/>
        <v>1084</v>
      </c>
      <c r="AA90" s="30">
        <f t="shared" si="104"/>
        <v>1062</v>
      </c>
      <c r="AB90" s="30">
        <f t="shared" si="105"/>
        <v>1036</v>
      </c>
      <c r="AC90" s="30">
        <f t="shared" si="106"/>
        <v>991</v>
      </c>
      <c r="AD90" s="11"/>
      <c r="AE90" s="70">
        <f t="shared" si="107"/>
        <v>-8.9154411764705843E-2</v>
      </c>
    </row>
    <row r="91" spans="2:31" ht="12.75" customHeight="1">
      <c r="B91" s="58" t="s">
        <v>154</v>
      </c>
      <c r="C91" s="79">
        <v>224</v>
      </c>
      <c r="D91" s="79">
        <v>497</v>
      </c>
      <c r="E91" s="79">
        <v>446</v>
      </c>
      <c r="F91"/>
      <c r="G91" s="79">
        <v>135</v>
      </c>
      <c r="H91" s="30">
        <f>260-G91</f>
        <v>125</v>
      </c>
      <c r="I91" s="30">
        <f>379-H91-G91</f>
        <v>119</v>
      </c>
      <c r="J91" s="30">
        <f t="shared" si="101"/>
        <v>118</v>
      </c>
      <c r="K91" s="79">
        <v>119</v>
      </c>
      <c r="L91" s="30">
        <f>238-K91</f>
        <v>119</v>
      </c>
      <c r="M91" s="30">
        <f>357-L91-K91</f>
        <v>119</v>
      </c>
      <c r="N91" s="30">
        <f t="shared" si="108"/>
        <v>89</v>
      </c>
      <c r="O91" s="79">
        <v>61</v>
      </c>
      <c r="P91" s="30">
        <f>117-O91</f>
        <v>56</v>
      </c>
      <c r="Q91" s="30">
        <f>148-P91-O91</f>
        <v>31</v>
      </c>
      <c r="S91" s="30">
        <f>SUM(H91:K91)</f>
        <v>481</v>
      </c>
      <c r="T91" s="30">
        <f>SUM(I91:L91)</f>
        <v>475</v>
      </c>
      <c r="U91" s="30">
        <f>SUM(J91:M91)</f>
        <v>475</v>
      </c>
      <c r="V91" s="30">
        <f>SUM(K91:N91)</f>
        <v>446</v>
      </c>
      <c r="W91" s="30">
        <f>SUM(L91:O91)</f>
        <v>388</v>
      </c>
      <c r="X91" s="30">
        <f>SUM(M91:P91)</f>
        <v>325</v>
      </c>
      <c r="Y91" s="30">
        <f t="shared" si="102"/>
        <v>475</v>
      </c>
      <c r="Z91" s="30">
        <f t="shared" si="103"/>
        <v>446</v>
      </c>
      <c r="AA91" s="30">
        <f t="shared" si="104"/>
        <v>388</v>
      </c>
      <c r="AB91" s="30">
        <f t="shared" si="105"/>
        <v>325</v>
      </c>
      <c r="AC91" s="30">
        <f t="shared" si="106"/>
        <v>237</v>
      </c>
      <c r="AD91" s="11"/>
      <c r="AE91" s="70">
        <f t="shared" si="107"/>
        <v>-0.50105263157894742</v>
      </c>
    </row>
    <row r="92" spans="2:31" ht="5.0999999999999996" customHeight="1">
      <c r="B92" s="8"/>
      <c r="C92" s="79"/>
      <c r="D92" s="79"/>
      <c r="E92" s="79"/>
      <c r="F92"/>
      <c r="G92" s="145"/>
      <c r="H92" s="145"/>
      <c r="I92" s="145"/>
      <c r="J92" s="146"/>
      <c r="K92" s="145"/>
      <c r="L92" s="145"/>
      <c r="M92" s="145"/>
      <c r="N92" s="146"/>
      <c r="O92" s="145"/>
      <c r="P92" s="145"/>
      <c r="Q92" s="145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11"/>
      <c r="AE92" s="70"/>
    </row>
    <row r="93" spans="2:31" ht="12.75" customHeight="1">
      <c r="B93" s="34" t="s">
        <v>13</v>
      </c>
      <c r="C93" s="79"/>
      <c r="D93" s="79"/>
      <c r="E93" s="79"/>
      <c r="F93"/>
      <c r="G93" s="145"/>
      <c r="H93" s="145"/>
      <c r="I93" s="145"/>
      <c r="J93" s="146"/>
      <c r="K93" s="145"/>
      <c r="L93" s="145"/>
      <c r="M93" s="145"/>
      <c r="N93" s="146"/>
      <c r="O93" s="145"/>
      <c r="P93" s="145"/>
      <c r="Q93" s="145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57"/>
      <c r="AE93" s="70"/>
    </row>
    <row r="94" spans="2:31" ht="12.75" customHeight="1">
      <c r="B94" s="58" t="s">
        <v>155</v>
      </c>
      <c r="C94" s="79">
        <v>-10956</v>
      </c>
      <c r="D94" s="79">
        <v>1189</v>
      </c>
      <c r="E94" s="79">
        <v>1714</v>
      </c>
      <c r="F94"/>
      <c r="G94" s="79">
        <v>-1063</v>
      </c>
      <c r="H94" s="30">
        <f>4431-G94</f>
        <v>5494</v>
      </c>
      <c r="I94" s="30">
        <f>2790-H94-G94</f>
        <v>-1641</v>
      </c>
      <c r="J94" s="30">
        <f t="shared" ref="J94:J99" si="109">SUM(D94-SUM(G94:I94))</f>
        <v>-1601</v>
      </c>
      <c r="K94" s="79">
        <v>2679</v>
      </c>
      <c r="L94" s="30">
        <f>4116-K94</f>
        <v>1437</v>
      </c>
      <c r="M94" s="30">
        <f>2377-L94-K94</f>
        <v>-1739</v>
      </c>
      <c r="N94" s="30">
        <f t="shared" ref="N94:N99" si="110">SUM(E94-SUM(K94:M94))</f>
        <v>-663</v>
      </c>
      <c r="O94" s="79">
        <v>-1333</v>
      </c>
      <c r="P94" s="30">
        <f>-6334-O94</f>
        <v>-5001</v>
      </c>
      <c r="Q94" s="30">
        <f>+-5074-P94-O94</f>
        <v>1260</v>
      </c>
      <c r="S94" s="30">
        <f>SUM(H94:K94)</f>
        <v>4931</v>
      </c>
      <c r="T94" s="30">
        <f>SUM(I94:L94)</f>
        <v>874</v>
      </c>
      <c r="U94" s="30">
        <f>SUM(J94:M94)</f>
        <v>776</v>
      </c>
      <c r="V94" s="30">
        <f>SUM(K94:N94)</f>
        <v>1714</v>
      </c>
      <c r="W94" s="30">
        <f>SUM(L94:O94)</f>
        <v>-2298</v>
      </c>
      <c r="X94" s="30">
        <f>SUM(M94:P94)</f>
        <v>-8736</v>
      </c>
      <c r="Y94" s="30">
        <f t="shared" ref="Y94:Y99" si="111">SUM(J94:M94)</f>
        <v>776</v>
      </c>
      <c r="Z94" s="30">
        <f t="shared" ref="Z94:Z99" si="112">SUM(K94:N94)</f>
        <v>1714</v>
      </c>
      <c r="AA94" s="30">
        <f t="shared" ref="AA94:AA99" si="113">SUM(L94:O94)</f>
        <v>-2298</v>
      </c>
      <c r="AB94" s="30">
        <f t="shared" ref="AB94:AB99" si="114">SUM(M94:P94)</f>
        <v>-8736</v>
      </c>
      <c r="AC94" s="30">
        <f t="shared" ref="AC94:AC99" si="115">SUM(N94:Q94)</f>
        <v>-5737</v>
      </c>
      <c r="AD94" s="57"/>
      <c r="AE94" s="70">
        <f t="shared" si="107"/>
        <v>-8.3930412371134011</v>
      </c>
    </row>
    <row r="95" spans="2:31" ht="12.75" customHeight="1">
      <c r="B95" s="58" t="s">
        <v>156</v>
      </c>
      <c r="C95" s="79">
        <v>28</v>
      </c>
      <c r="D95" s="79">
        <v>-9</v>
      </c>
      <c r="E95" s="79">
        <v>-17</v>
      </c>
      <c r="F95"/>
      <c r="G95" s="79">
        <v>-1</v>
      </c>
      <c r="H95" s="30">
        <f>-4-G95</f>
        <v>-3</v>
      </c>
      <c r="I95" s="30">
        <f>-6-H95-G95</f>
        <v>-2</v>
      </c>
      <c r="J95" s="30">
        <f t="shared" si="109"/>
        <v>-3</v>
      </c>
      <c r="K95" s="79">
        <v>-17</v>
      </c>
      <c r="L95" s="30">
        <f>-17+K95</f>
        <v>-34</v>
      </c>
      <c r="M95" s="30">
        <f>-17-L95-K95</f>
        <v>34</v>
      </c>
      <c r="N95" s="30">
        <f t="shared" si="110"/>
        <v>0</v>
      </c>
      <c r="O95" s="79" t="s">
        <v>144</v>
      </c>
      <c r="P95" s="30">
        <v>0</v>
      </c>
      <c r="Q95" s="30">
        <v>0</v>
      </c>
      <c r="S95" s="30">
        <f>SUM(H95:K95)</f>
        <v>-25</v>
      </c>
      <c r="T95" s="30">
        <f>SUM(I95:L95)</f>
        <v>-56</v>
      </c>
      <c r="U95" s="30">
        <f>SUM(J95:M95)</f>
        <v>-20</v>
      </c>
      <c r="V95" s="30">
        <f>SUM(K95:N95)</f>
        <v>-17</v>
      </c>
      <c r="W95" s="30">
        <f>SUM(L95:O95)</f>
        <v>0</v>
      </c>
      <c r="X95" s="30">
        <f>SUM(M95:P95)</f>
        <v>34</v>
      </c>
      <c r="Y95" s="30">
        <f t="shared" si="111"/>
        <v>-20</v>
      </c>
      <c r="Z95" s="30">
        <f t="shared" si="112"/>
        <v>-17</v>
      </c>
      <c r="AA95" s="30">
        <f t="shared" si="113"/>
        <v>0</v>
      </c>
      <c r="AB95" s="30">
        <f t="shared" si="114"/>
        <v>34</v>
      </c>
      <c r="AC95" s="30">
        <f t="shared" si="115"/>
        <v>0</v>
      </c>
      <c r="AD95" s="57"/>
      <c r="AE95" s="70">
        <f t="shared" ref="AE95:AE99" si="116">SUM(AC95/Y95)-1</f>
        <v>-1</v>
      </c>
    </row>
    <row r="96" spans="2:31" ht="12.75" customHeight="1">
      <c r="B96" s="58" t="s">
        <v>145</v>
      </c>
      <c r="C96" s="79">
        <v>6215</v>
      </c>
      <c r="D96" s="79">
        <v>-3449</v>
      </c>
      <c r="E96" s="79">
        <v>6896</v>
      </c>
      <c r="F96"/>
      <c r="G96" s="79">
        <v>-3794</v>
      </c>
      <c r="H96" s="30">
        <f>-2368-G96</f>
        <v>1426</v>
      </c>
      <c r="I96" s="30">
        <f>-3592-H96-G96</f>
        <v>-1224</v>
      </c>
      <c r="J96" s="30">
        <f t="shared" si="109"/>
        <v>143</v>
      </c>
      <c r="K96" s="79">
        <v>4565</v>
      </c>
      <c r="L96" s="30">
        <f>6661-K96</f>
        <v>2096</v>
      </c>
      <c r="M96" s="30">
        <f>5815-L96-K96</f>
        <v>-846</v>
      </c>
      <c r="N96" s="30">
        <f t="shared" si="110"/>
        <v>1081</v>
      </c>
      <c r="O96" s="79">
        <v>-970</v>
      </c>
      <c r="P96" s="30">
        <f>41979-O96</f>
        <v>42949</v>
      </c>
      <c r="Q96" s="30">
        <f>41671-P96-O96</f>
        <v>-308</v>
      </c>
      <c r="S96" s="30">
        <f>SUM(H96:K96)</f>
        <v>4910</v>
      </c>
      <c r="T96" s="30">
        <f>SUM(I96:L96)</f>
        <v>5580</v>
      </c>
      <c r="U96" s="30">
        <f>SUM(J96:M96)</f>
        <v>5958</v>
      </c>
      <c r="V96" s="30">
        <f>SUM(K96:N96)</f>
        <v>6896</v>
      </c>
      <c r="W96" s="30">
        <f>SUM(L96:O96)</f>
        <v>1361</v>
      </c>
      <c r="X96" s="30">
        <f>SUM(M96:P96)</f>
        <v>42214</v>
      </c>
      <c r="Y96" s="30">
        <f t="shared" si="111"/>
        <v>5958</v>
      </c>
      <c r="Z96" s="30">
        <f t="shared" si="112"/>
        <v>6896</v>
      </c>
      <c r="AA96" s="30">
        <f t="shared" si="113"/>
        <v>1361</v>
      </c>
      <c r="AB96" s="30">
        <f t="shared" si="114"/>
        <v>42214</v>
      </c>
      <c r="AC96" s="30">
        <f t="shared" si="115"/>
        <v>42752</v>
      </c>
      <c r="AD96" s="57"/>
      <c r="AE96" s="70">
        <f t="shared" si="116"/>
        <v>6.175562269217858</v>
      </c>
    </row>
    <row r="97" spans="2:31" ht="12.75" customHeight="1">
      <c r="B97" s="58" t="s">
        <v>146</v>
      </c>
      <c r="C97" s="79">
        <v>2084</v>
      </c>
      <c r="D97" s="79">
        <v>-523</v>
      </c>
      <c r="E97" s="79">
        <v>757</v>
      </c>
      <c r="F97"/>
      <c r="G97" s="79">
        <v>122</v>
      </c>
      <c r="H97" s="30">
        <f>515-G97</f>
        <v>393</v>
      </c>
      <c r="I97" s="30">
        <f>1293-H97-G97</f>
        <v>778</v>
      </c>
      <c r="J97" s="30">
        <f t="shared" si="109"/>
        <v>-1816</v>
      </c>
      <c r="K97" s="79">
        <v>2996</v>
      </c>
      <c r="L97" s="30">
        <f>4764-K97</f>
        <v>1768</v>
      </c>
      <c r="M97" s="30">
        <f>5064-L97-K97</f>
        <v>300</v>
      </c>
      <c r="N97" s="30">
        <f t="shared" si="110"/>
        <v>-4307</v>
      </c>
      <c r="O97" s="79">
        <v>-1240</v>
      </c>
      <c r="P97" s="30">
        <f>-1441-O97</f>
        <v>-201</v>
      </c>
      <c r="Q97" s="30">
        <f>+-494-P97-O97</f>
        <v>947</v>
      </c>
      <c r="S97" s="30">
        <f>SUM(H97:K97)</f>
        <v>2351</v>
      </c>
      <c r="T97" s="30">
        <f>SUM(I97:L97)</f>
        <v>3726</v>
      </c>
      <c r="U97" s="30">
        <f>SUM(J97:M97)</f>
        <v>3248</v>
      </c>
      <c r="V97" s="30">
        <f>SUM(K97:N97)</f>
        <v>757</v>
      </c>
      <c r="W97" s="30">
        <f>SUM(L97:O97)</f>
        <v>-3479</v>
      </c>
      <c r="X97" s="30">
        <f>SUM(M97:P97)</f>
        <v>-5448</v>
      </c>
      <c r="Y97" s="30">
        <f t="shared" si="111"/>
        <v>3248</v>
      </c>
      <c r="Z97" s="30">
        <f t="shared" si="112"/>
        <v>757</v>
      </c>
      <c r="AA97" s="30">
        <f t="shared" si="113"/>
        <v>-3479</v>
      </c>
      <c r="AB97" s="30">
        <f t="shared" si="114"/>
        <v>-5448</v>
      </c>
      <c r="AC97" s="30">
        <f t="shared" si="115"/>
        <v>-4801</v>
      </c>
      <c r="AD97" s="57"/>
      <c r="AE97" s="70">
        <f t="shared" si="116"/>
        <v>-2.4781403940886699</v>
      </c>
    </row>
    <row r="98" spans="2:31" ht="12.75" customHeight="1">
      <c r="B98" s="58" t="s">
        <v>147</v>
      </c>
      <c r="C98" s="79">
        <v>1794</v>
      </c>
      <c r="D98" s="79">
        <v>-1707</v>
      </c>
      <c r="E98" s="79">
        <v>30</v>
      </c>
      <c r="F98"/>
      <c r="G98" s="79">
        <v>-1705</v>
      </c>
      <c r="H98" s="30">
        <f>-1701-G98</f>
        <v>4</v>
      </c>
      <c r="I98" s="30">
        <f>-1717-H98-G98</f>
        <v>-16</v>
      </c>
      <c r="J98" s="30">
        <f t="shared" si="109"/>
        <v>10</v>
      </c>
      <c r="K98" s="79">
        <v>42</v>
      </c>
      <c r="L98" s="30">
        <f>50-K98</f>
        <v>8</v>
      </c>
      <c r="M98" s="30">
        <f>17-L98-K98</f>
        <v>-33</v>
      </c>
      <c r="N98" s="30">
        <f t="shared" si="110"/>
        <v>13</v>
      </c>
      <c r="O98" s="79">
        <v>28</v>
      </c>
      <c r="P98" s="30">
        <f>18-O98</f>
        <v>-10</v>
      </c>
      <c r="Q98" s="30">
        <f>1750-P98-O98</f>
        <v>1732</v>
      </c>
      <c r="S98" s="30">
        <f>SUM(H98:K98)</f>
        <v>40</v>
      </c>
      <c r="T98" s="30">
        <f>SUM(I98:L98)</f>
        <v>44</v>
      </c>
      <c r="U98" s="30">
        <f>SUM(J98:M98)</f>
        <v>27</v>
      </c>
      <c r="V98" s="30">
        <f>SUM(K98:N98)</f>
        <v>30</v>
      </c>
      <c r="W98" s="30">
        <f>SUM(L98:O98)</f>
        <v>16</v>
      </c>
      <c r="X98" s="30">
        <f>SUM(M98:P98)</f>
        <v>-2</v>
      </c>
      <c r="Y98" s="30">
        <f t="shared" si="111"/>
        <v>27</v>
      </c>
      <c r="Z98" s="30">
        <f t="shared" si="112"/>
        <v>30</v>
      </c>
      <c r="AA98" s="30">
        <f t="shared" si="113"/>
        <v>16</v>
      </c>
      <c r="AB98" s="30">
        <f t="shared" si="114"/>
        <v>-2</v>
      </c>
      <c r="AC98" s="30">
        <f t="shared" si="115"/>
        <v>1763</v>
      </c>
      <c r="AD98" s="57"/>
      <c r="AE98" s="70">
        <f t="shared" si="116"/>
        <v>64.296296296296291</v>
      </c>
    </row>
    <row r="99" spans="2:31" ht="12.75" customHeight="1">
      <c r="B99" s="58" t="s">
        <v>133</v>
      </c>
      <c r="C99" s="79">
        <v>731</v>
      </c>
      <c r="D99" s="79">
        <v>-136</v>
      </c>
      <c r="E99" s="79">
        <v>-304</v>
      </c>
      <c r="F99" s="30"/>
      <c r="G99" s="79">
        <v>-370</v>
      </c>
      <c r="H99" s="30">
        <f>-254-G99</f>
        <v>116</v>
      </c>
      <c r="I99" s="30">
        <f>-212-H99-G99</f>
        <v>42</v>
      </c>
      <c r="J99" s="30">
        <f t="shared" si="109"/>
        <v>76</v>
      </c>
      <c r="K99" s="79">
        <v>-313</v>
      </c>
      <c r="L99" s="30">
        <f>-396-K99</f>
        <v>-83</v>
      </c>
      <c r="M99" s="30">
        <f>-298-L99-K99</f>
        <v>98</v>
      </c>
      <c r="N99" s="30">
        <f t="shared" si="110"/>
        <v>-6</v>
      </c>
      <c r="O99" s="79">
        <v>-260</v>
      </c>
      <c r="P99" s="30">
        <f>-157-O99</f>
        <v>103</v>
      </c>
      <c r="Q99" s="30">
        <f>+-8-P99-O99</f>
        <v>149</v>
      </c>
      <c r="S99" s="30">
        <f>SUM(H99:K99)</f>
        <v>-79</v>
      </c>
      <c r="T99" s="30">
        <f>SUM(I99:L99)</f>
        <v>-278</v>
      </c>
      <c r="U99" s="30">
        <f>SUM(J99:M99)</f>
        <v>-222</v>
      </c>
      <c r="V99" s="30">
        <f>SUM(K99:N99)</f>
        <v>-304</v>
      </c>
      <c r="W99" s="30">
        <f>SUM(L99:O99)</f>
        <v>-251</v>
      </c>
      <c r="X99" s="30">
        <f>SUM(M99:P99)</f>
        <v>-65</v>
      </c>
      <c r="Y99" s="30">
        <f t="shared" si="111"/>
        <v>-222</v>
      </c>
      <c r="Z99" s="30">
        <f t="shared" si="112"/>
        <v>-304</v>
      </c>
      <c r="AA99" s="30">
        <f t="shared" si="113"/>
        <v>-251</v>
      </c>
      <c r="AB99" s="30">
        <f t="shared" si="114"/>
        <v>-65</v>
      </c>
      <c r="AC99" s="30">
        <f t="shared" si="115"/>
        <v>-14</v>
      </c>
      <c r="AD99" s="57"/>
      <c r="AE99" s="70">
        <f t="shared" si="116"/>
        <v>-0.93693693693693691</v>
      </c>
    </row>
    <row r="100" spans="2:31" ht="12.75" customHeight="1">
      <c r="B100" s="12" t="s">
        <v>67</v>
      </c>
      <c r="C100" s="13">
        <f>SUM(C85:C99)</f>
        <v>-30196</v>
      </c>
      <c r="D100" s="13">
        <f>SUM(D85:D99)</f>
        <v>-77514</v>
      </c>
      <c r="E100" s="13">
        <f>SUM(E85:E99)</f>
        <v>-82025</v>
      </c>
      <c r="G100" s="13">
        <f>SUM(G85:G99)</f>
        <v>-23530</v>
      </c>
      <c r="H100" s="13">
        <f>SUM(H85:H99)</f>
        <v>-11114</v>
      </c>
      <c r="I100" s="13">
        <f>SUM(I85:I99)</f>
        <v>-21550</v>
      </c>
      <c r="J100" s="13">
        <f>SUM(J85:J99)</f>
        <v>-21320</v>
      </c>
      <c r="K100" s="32">
        <f>SUM(K85:K99)</f>
        <v>-13255</v>
      </c>
      <c r="L100" s="13">
        <f>SUM(L85:L99)</f>
        <v>-19958</v>
      </c>
      <c r="M100" s="13">
        <f>SUM(M85:M99)</f>
        <v>-26496</v>
      </c>
      <c r="N100" s="13">
        <f>SUM(N85:N99)</f>
        <v>-1345</v>
      </c>
      <c r="O100" s="13">
        <f>SUM(O85:O99)</f>
        <v>-19127</v>
      </c>
      <c r="P100" s="13">
        <f>SUM(P85:P99)</f>
        <v>-18241</v>
      </c>
      <c r="Q100" s="13">
        <f>SUM(Q85:Q99)</f>
        <v>-18296</v>
      </c>
      <c r="S100" s="13">
        <f>SUM(S85:S99)</f>
        <v>-67239</v>
      </c>
      <c r="T100" s="13">
        <f>SUM(T85:T99)</f>
        <v>-76083</v>
      </c>
      <c r="U100" s="13">
        <f>SUM(U85:U99)</f>
        <v>-81029</v>
      </c>
      <c r="V100" s="13">
        <f>SUM(V85:V99)</f>
        <v>-61054</v>
      </c>
      <c r="W100" s="13">
        <f>SUM(W85:W99)</f>
        <v>-66926</v>
      </c>
      <c r="X100" s="13">
        <f>SUM(X85:X99)</f>
        <v>-65209</v>
      </c>
      <c r="Y100" s="13">
        <f>SUM(Y85:Y99)</f>
        <v>-81029</v>
      </c>
      <c r="Z100" s="13">
        <f>SUM(Z85:Z99)</f>
        <v>-61054</v>
      </c>
      <c r="AA100" s="13">
        <f>SUM(AA85:AA99)</f>
        <v>-66926</v>
      </c>
      <c r="AB100" s="13">
        <f>SUM(AB85:AB99)</f>
        <v>-65209</v>
      </c>
      <c r="AC100" s="13">
        <f>SUM(AC85:AC99)</f>
        <v>-57009</v>
      </c>
      <c r="AD100" s="40"/>
      <c r="AE100" s="71">
        <f>SUM(AC100/Y100)-1</f>
        <v>-0.29643707808315545</v>
      </c>
    </row>
    <row r="101" spans="2:31" ht="12.75" customHeight="1">
      <c r="B101" s="51"/>
      <c r="C101" s="59"/>
      <c r="D101" s="59"/>
      <c r="E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37"/>
    </row>
    <row r="102" spans="2:31" ht="12.75" customHeight="1">
      <c r="B102" s="136" t="s">
        <v>68</v>
      </c>
      <c r="C102" s="56"/>
      <c r="D102" s="56"/>
      <c r="E102" s="56"/>
      <c r="G102" s="56"/>
      <c r="H102" s="56"/>
      <c r="I102" s="56"/>
      <c r="J102" s="30"/>
      <c r="K102" s="79"/>
      <c r="L102" s="79"/>
      <c r="M102" s="79"/>
      <c r="N102" s="30"/>
      <c r="O102" s="79"/>
      <c r="P102" s="79"/>
      <c r="Q102" s="79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7"/>
      <c r="AE102" s="37"/>
    </row>
    <row r="103" spans="2:31" ht="12.75" customHeight="1">
      <c r="B103" s="58" t="s">
        <v>157</v>
      </c>
      <c r="C103" s="79">
        <v>-22214</v>
      </c>
      <c r="D103" s="79">
        <v>-2712</v>
      </c>
      <c r="E103" s="79">
        <v>-414</v>
      </c>
      <c r="F103" s="30"/>
      <c r="G103" s="79">
        <v>-425</v>
      </c>
      <c r="H103" s="30">
        <f>-1891-G103</f>
        <v>-1466</v>
      </c>
      <c r="I103" s="30">
        <f>-3047-H103-G103</f>
        <v>-1156</v>
      </c>
      <c r="J103" s="30">
        <f t="shared" ref="J103" si="117">SUM(D103-SUM(G103:I103))</f>
        <v>335</v>
      </c>
      <c r="K103" s="79">
        <v>-357</v>
      </c>
      <c r="L103" s="30">
        <f>-351-K103</f>
        <v>6</v>
      </c>
      <c r="M103" s="30">
        <f>-373-L103-K103</f>
        <v>-22</v>
      </c>
      <c r="N103" s="30">
        <f>SUM(E103-SUM(K103:M103))</f>
        <v>-41</v>
      </c>
      <c r="O103" s="79">
        <v>0</v>
      </c>
      <c r="P103" s="30">
        <f>-29-O103</f>
        <v>-29</v>
      </c>
      <c r="Q103" s="30">
        <f>+-46-P103-O103</f>
        <v>-17</v>
      </c>
      <c r="R103" s="30"/>
      <c r="S103" s="30">
        <f>SUM(H103:K103)</f>
        <v>-2644</v>
      </c>
      <c r="T103" s="30">
        <f>SUM(I103:L103)</f>
        <v>-1172</v>
      </c>
      <c r="U103" s="30">
        <f>SUM(J103:M103)</f>
        <v>-38</v>
      </c>
      <c r="V103" s="30">
        <f>SUM(K103:N103)</f>
        <v>-414</v>
      </c>
      <c r="W103" s="30">
        <f>SUM(L103:O103)</f>
        <v>-57</v>
      </c>
      <c r="X103" s="30">
        <f>SUM(M103:P103)</f>
        <v>-92</v>
      </c>
      <c r="Y103" s="30">
        <f t="shared" ref="Y103" si="118">SUM(J103:M103)</f>
        <v>-38</v>
      </c>
      <c r="Z103" s="30">
        <f t="shared" ref="Z103" si="119">SUM(K103:N103)</f>
        <v>-414</v>
      </c>
      <c r="AA103" s="30">
        <f t="shared" ref="AA103" si="120">SUM(L103:O103)</f>
        <v>-57</v>
      </c>
      <c r="AB103" s="30">
        <f t="shared" ref="AB103" si="121">SUM(M103:P103)</f>
        <v>-92</v>
      </c>
      <c r="AC103" s="30">
        <f t="shared" ref="AC103" si="122">SUM(N103:Q103)</f>
        <v>-87</v>
      </c>
      <c r="AD103" s="57"/>
      <c r="AE103" s="70">
        <f t="shared" ref="AE103" si="123">SUM(AC103/Y103)-1</f>
        <v>1.2894736842105261</v>
      </c>
    </row>
    <row r="104" spans="2:31" ht="12.75" customHeight="1">
      <c r="B104" s="12" t="s">
        <v>69</v>
      </c>
      <c r="C104" s="13">
        <f>SUM(C103:C103)</f>
        <v>-22214</v>
      </c>
      <c r="D104" s="13">
        <f>SUM(D103:D103)</f>
        <v>-2712</v>
      </c>
      <c r="E104" s="13">
        <f>SUM(E103:E103)</f>
        <v>-414</v>
      </c>
      <c r="G104" s="13">
        <f>SUM(G103:G103)</f>
        <v>-425</v>
      </c>
      <c r="H104" s="13">
        <f>SUM(H103:H103)</f>
        <v>-1466</v>
      </c>
      <c r="I104" s="13">
        <f>SUM(I103:I103)</f>
        <v>-1156</v>
      </c>
      <c r="J104" s="13">
        <f>SUM(J103:J103)</f>
        <v>335</v>
      </c>
      <c r="K104" s="13">
        <f>SUM(K103:K103)</f>
        <v>-357</v>
      </c>
      <c r="L104" s="13">
        <f>SUM(L103:L103)</f>
        <v>6</v>
      </c>
      <c r="M104" s="13">
        <f>SUM(M103:M103)</f>
        <v>-22</v>
      </c>
      <c r="N104" s="13">
        <f>SUM(N103:N103)</f>
        <v>-41</v>
      </c>
      <c r="O104" s="13">
        <f>SUM(O103:O103)</f>
        <v>0</v>
      </c>
      <c r="P104" s="13">
        <f>SUM(P103:P103)</f>
        <v>-29</v>
      </c>
      <c r="Q104" s="13">
        <f>SUM(Q103:Q103)</f>
        <v>-17</v>
      </c>
      <c r="S104" s="13">
        <f>SUM(S103:S103)</f>
        <v>-2644</v>
      </c>
      <c r="T104" s="13">
        <f>SUM(T103:T103)</f>
        <v>-1172</v>
      </c>
      <c r="U104" s="13">
        <f>SUM(U103:U103)</f>
        <v>-38</v>
      </c>
      <c r="V104" s="13">
        <f>SUM(V103:V103)</f>
        <v>-414</v>
      </c>
      <c r="W104" s="13">
        <f>SUM(W103:W103)</f>
        <v>-57</v>
      </c>
      <c r="X104" s="13">
        <f>SUM(X103:X103)</f>
        <v>-92</v>
      </c>
      <c r="Y104" s="13">
        <f>SUM(Y103:Y103)</f>
        <v>-38</v>
      </c>
      <c r="Z104" s="13">
        <f>SUM(Z103:Z103)</f>
        <v>-414</v>
      </c>
      <c r="AA104" s="13">
        <f>SUM(AA103:AA103)</f>
        <v>-57</v>
      </c>
      <c r="AB104" s="13">
        <f>SUM(AB103:AB103)</f>
        <v>-92</v>
      </c>
      <c r="AC104" s="13">
        <f>SUM(AC103:AC103)</f>
        <v>-87</v>
      </c>
      <c r="AD104" s="40"/>
      <c r="AE104" s="71">
        <f>SUM(AC104/Y104)-1</f>
        <v>1.2894736842105261</v>
      </c>
    </row>
    <row r="105" spans="2:31" ht="5.0999999999999996" customHeight="1">
      <c r="B105" s="50"/>
      <c r="C105" s="59"/>
      <c r="D105" s="59"/>
      <c r="E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37"/>
    </row>
    <row r="106" spans="2:31" ht="12.75" customHeight="1">
      <c r="B106" s="136" t="s">
        <v>70</v>
      </c>
      <c r="C106" s="60"/>
      <c r="D106" s="60"/>
      <c r="E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61"/>
      <c r="AE106" s="37"/>
    </row>
    <row r="107" spans="2:31" ht="12.75" customHeight="1">
      <c r="B107" s="80" t="s">
        <v>158</v>
      </c>
      <c r="C107" s="79">
        <v>1824</v>
      </c>
      <c r="D107" s="79">
        <v>475</v>
      </c>
      <c r="E107" s="79">
        <v>2560</v>
      </c>
      <c r="F107" s="30"/>
      <c r="G107" s="79">
        <v>211</v>
      </c>
      <c r="H107" s="30">
        <f>330-G107</f>
        <v>119</v>
      </c>
      <c r="I107" s="30">
        <f>466-H107-G107</f>
        <v>136</v>
      </c>
      <c r="J107" s="30">
        <f t="shared" ref="J107:J110" si="124">SUM(D107-SUM(G107:I107))</f>
        <v>9</v>
      </c>
      <c r="K107" s="79">
        <v>64</v>
      </c>
      <c r="L107" s="30">
        <f>953-K107</f>
        <v>889</v>
      </c>
      <c r="M107" s="30">
        <f>1417-L107-K107</f>
        <v>464</v>
      </c>
      <c r="N107" s="30">
        <f t="shared" ref="N107:N110" si="125">SUM(E107-SUM(K107:M107))</f>
        <v>1143</v>
      </c>
      <c r="O107" s="79">
        <v>0</v>
      </c>
      <c r="P107" s="30">
        <v>0</v>
      </c>
      <c r="Q107" s="30">
        <v>0</v>
      </c>
      <c r="R107" s="30"/>
      <c r="S107" s="30"/>
      <c r="T107" s="30"/>
      <c r="U107" s="30"/>
      <c r="V107" s="30"/>
      <c r="W107" s="30"/>
      <c r="X107" s="30"/>
      <c r="Y107" s="30">
        <f t="shared" ref="Y107:Y110" si="126">SUM(J107:M107)</f>
        <v>1426</v>
      </c>
      <c r="Z107" s="30">
        <f t="shared" ref="Z107:Z110" si="127">SUM(K107:N107)</f>
        <v>2560</v>
      </c>
      <c r="AA107" s="30">
        <f t="shared" ref="AA107:AA110" si="128">SUM(L107:O107)</f>
        <v>2496</v>
      </c>
      <c r="AB107" s="30">
        <f t="shared" ref="AB107:AB110" si="129">SUM(M107:P107)</f>
        <v>1607</v>
      </c>
      <c r="AC107" s="30">
        <f t="shared" ref="AC107:AC110" si="130">SUM(N107:Q107)</f>
        <v>1143</v>
      </c>
      <c r="AD107" s="61"/>
      <c r="AE107" s="70">
        <f t="shared" ref="AE107:AE108" si="131">SUM(AC107/Y107)-1</f>
        <v>-0.19845722300140256</v>
      </c>
    </row>
    <row r="108" spans="2:31" ht="12.75" customHeight="1">
      <c r="B108" s="80" t="s">
        <v>159</v>
      </c>
      <c r="C108" s="79">
        <v>692</v>
      </c>
      <c r="D108" s="79">
        <v>0</v>
      </c>
      <c r="E108" s="79">
        <v>0</v>
      </c>
      <c r="F108" s="30"/>
      <c r="G108" s="79">
        <v>0</v>
      </c>
      <c r="H108" s="30">
        <v>0</v>
      </c>
      <c r="I108" s="30">
        <v>0</v>
      </c>
      <c r="J108" s="30">
        <f t="shared" si="124"/>
        <v>0</v>
      </c>
      <c r="K108" s="79">
        <v>0</v>
      </c>
      <c r="L108" s="30">
        <v>0</v>
      </c>
      <c r="M108" s="30">
        <v>0</v>
      </c>
      <c r="N108" s="30">
        <f t="shared" si="125"/>
        <v>0</v>
      </c>
      <c r="O108" s="79">
        <v>0</v>
      </c>
      <c r="P108" s="30">
        <v>0</v>
      </c>
      <c r="Q108" s="30">
        <v>0</v>
      </c>
      <c r="R108" s="30"/>
      <c r="S108" s="30"/>
      <c r="T108" s="30"/>
      <c r="U108" s="30"/>
      <c r="V108" s="30"/>
      <c r="W108" s="30"/>
      <c r="X108" s="30"/>
      <c r="Y108" s="30">
        <f t="shared" si="126"/>
        <v>0</v>
      </c>
      <c r="Z108" s="30">
        <f t="shared" si="127"/>
        <v>0</v>
      </c>
      <c r="AA108" s="30">
        <f t="shared" si="128"/>
        <v>0</v>
      </c>
      <c r="AB108" s="30">
        <f t="shared" si="129"/>
        <v>0</v>
      </c>
      <c r="AC108" s="30">
        <f t="shared" si="130"/>
        <v>0</v>
      </c>
      <c r="AD108" s="61"/>
      <c r="AE108" s="70" t="e">
        <f t="shared" si="131"/>
        <v>#DIV/0!</v>
      </c>
    </row>
    <row r="109" spans="2:31" ht="12.75" customHeight="1">
      <c r="B109" s="80" t="s">
        <v>160</v>
      </c>
      <c r="C109" s="79">
        <v>0</v>
      </c>
      <c r="D109" s="79">
        <v>0</v>
      </c>
      <c r="E109" s="79">
        <v>0</v>
      </c>
      <c r="F109" s="30"/>
      <c r="G109" s="79">
        <v>0</v>
      </c>
      <c r="H109" s="30">
        <v>0</v>
      </c>
      <c r="I109" s="30">
        <v>0</v>
      </c>
      <c r="J109" s="30">
        <f t="shared" si="124"/>
        <v>0</v>
      </c>
      <c r="K109" s="79">
        <v>0</v>
      </c>
      <c r="L109" s="30">
        <v>0</v>
      </c>
      <c r="M109" s="30">
        <v>0</v>
      </c>
      <c r="N109" s="30">
        <f t="shared" si="125"/>
        <v>0</v>
      </c>
      <c r="O109" s="79">
        <v>22160</v>
      </c>
      <c r="P109" s="30">
        <f>123552-O109</f>
        <v>101392</v>
      </c>
      <c r="Q109" s="30">
        <f>123552-P109-O109</f>
        <v>0</v>
      </c>
      <c r="R109" s="30"/>
      <c r="S109" s="30">
        <f>SUM(H109:K109)</f>
        <v>0</v>
      </c>
      <c r="T109" s="30">
        <f>SUM(I109:L109)</f>
        <v>0</v>
      </c>
      <c r="U109" s="30">
        <f>SUM(J109:M109)</f>
        <v>0</v>
      </c>
      <c r="V109" s="30">
        <f>SUM(K109:N109)</f>
        <v>0</v>
      </c>
      <c r="W109" s="30">
        <f>SUM(L109:O109)</f>
        <v>22160</v>
      </c>
      <c r="X109" s="30">
        <f>SUM(M109:P109)</f>
        <v>123552</v>
      </c>
      <c r="Y109" s="30">
        <f t="shared" si="126"/>
        <v>0</v>
      </c>
      <c r="Z109" s="30">
        <f t="shared" si="127"/>
        <v>0</v>
      </c>
      <c r="AA109" s="30">
        <f t="shared" si="128"/>
        <v>22160</v>
      </c>
      <c r="AB109" s="30">
        <f t="shared" si="129"/>
        <v>123552</v>
      </c>
      <c r="AC109" s="30">
        <f t="shared" si="130"/>
        <v>123552</v>
      </c>
      <c r="AD109" s="61"/>
      <c r="AE109" s="70" t="e">
        <f t="shared" ref="AE109:AE110" si="132">SUM(AC109/Y109)-1</f>
        <v>#DIV/0!</v>
      </c>
    </row>
    <row r="110" spans="2:31" ht="12.75" customHeight="1">
      <c r="B110" s="80" t="s">
        <v>161</v>
      </c>
      <c r="C110" s="79">
        <v>189825</v>
      </c>
      <c r="D110" s="79">
        <v>47329</v>
      </c>
      <c r="E110" s="79">
        <v>0</v>
      </c>
      <c r="F110" s="30"/>
      <c r="G110" s="79">
        <v>0</v>
      </c>
      <c r="H110" s="30">
        <v>0</v>
      </c>
      <c r="I110" s="30">
        <v>0</v>
      </c>
      <c r="J110" s="30">
        <f t="shared" si="124"/>
        <v>47329</v>
      </c>
      <c r="K110" s="79">
        <v>0</v>
      </c>
      <c r="L110" s="30">
        <v>0</v>
      </c>
      <c r="M110" s="30">
        <v>0</v>
      </c>
      <c r="N110" s="30">
        <f t="shared" si="125"/>
        <v>0</v>
      </c>
      <c r="O110" s="79">
        <v>0</v>
      </c>
      <c r="P110" s="30">
        <v>0</v>
      </c>
      <c r="Q110" s="30">
        <v>0</v>
      </c>
      <c r="R110" s="30"/>
      <c r="S110" s="30"/>
      <c r="T110" s="30"/>
      <c r="U110" s="30"/>
      <c r="V110" s="30"/>
      <c r="W110" s="30"/>
      <c r="X110" s="30"/>
      <c r="Y110" s="30">
        <f t="shared" si="126"/>
        <v>47329</v>
      </c>
      <c r="Z110" s="30">
        <f t="shared" si="127"/>
        <v>0</v>
      </c>
      <c r="AA110" s="30">
        <f t="shared" si="128"/>
        <v>0</v>
      </c>
      <c r="AB110" s="30">
        <f t="shared" si="129"/>
        <v>0</v>
      </c>
      <c r="AC110" s="30">
        <f t="shared" si="130"/>
        <v>0</v>
      </c>
      <c r="AD110" s="61"/>
      <c r="AE110" s="70">
        <f t="shared" si="132"/>
        <v>-1</v>
      </c>
    </row>
    <row r="111" spans="2:31" ht="12.75" customHeight="1">
      <c r="B111" s="12" t="s">
        <v>71</v>
      </c>
      <c r="C111" s="32">
        <f t="shared" ref="C111:E111" si="133">SUM(C107:C110)</f>
        <v>192341</v>
      </c>
      <c r="D111" s="32">
        <f t="shared" si="133"/>
        <v>47804</v>
      </c>
      <c r="E111" s="32">
        <f t="shared" si="133"/>
        <v>2560</v>
      </c>
      <c r="G111" s="32">
        <f t="shared" ref="G111" si="134">SUM(G107:G110)</f>
        <v>211</v>
      </c>
      <c r="H111" s="32">
        <f t="shared" ref="H111" si="135">SUM(H107:H110)</f>
        <v>119</v>
      </c>
      <c r="I111" s="32">
        <f t="shared" ref="I111" si="136">SUM(I107:I110)</f>
        <v>136</v>
      </c>
      <c r="J111" s="32">
        <f t="shared" ref="J111" si="137">SUM(J107:J110)</f>
        <v>47338</v>
      </c>
      <c r="K111" s="32">
        <f t="shared" ref="K111" si="138">SUM(K107:K110)</f>
        <v>64</v>
      </c>
      <c r="L111" s="32">
        <f t="shared" ref="L111" si="139">SUM(L107:L110)</f>
        <v>889</v>
      </c>
      <c r="M111" s="32">
        <f t="shared" ref="M111" si="140">SUM(M107:M110)</f>
        <v>464</v>
      </c>
      <c r="N111" s="32">
        <f t="shared" ref="N111" si="141">SUM(N107:N110)</f>
        <v>1143</v>
      </c>
      <c r="O111" s="32">
        <f t="shared" ref="O111" si="142">SUM(O107:O110)</f>
        <v>22160</v>
      </c>
      <c r="P111" s="32">
        <f t="shared" ref="P111" si="143">SUM(P107:P110)</f>
        <v>101392</v>
      </c>
      <c r="Q111" s="32">
        <f t="shared" ref="Q111" si="144">SUM(Q107:Q110)</f>
        <v>0</v>
      </c>
      <c r="R111" s="30"/>
      <c r="S111" s="32">
        <f t="shared" ref="S111" si="145">SUM(S107:S110)</f>
        <v>0</v>
      </c>
      <c r="T111" s="32">
        <f t="shared" ref="T111" si="146">SUM(T107:T110)</f>
        <v>0</v>
      </c>
      <c r="U111" s="32">
        <f t="shared" ref="U111" si="147">SUM(U107:U110)</f>
        <v>0</v>
      </c>
      <c r="V111" s="32">
        <f t="shared" ref="V111" si="148">SUM(V107:V110)</f>
        <v>0</v>
      </c>
      <c r="W111" s="32">
        <f t="shared" ref="W111" si="149">SUM(W107:W110)</f>
        <v>22160</v>
      </c>
      <c r="X111" s="32">
        <f t="shared" ref="X111" si="150">SUM(X107:X110)</f>
        <v>123552</v>
      </c>
      <c r="Y111" s="32">
        <f t="shared" ref="Y111" si="151">SUM(Y107:Y110)</f>
        <v>48755</v>
      </c>
      <c r="Z111" s="32">
        <f t="shared" ref="Z111" si="152">SUM(Z107:Z110)</f>
        <v>2560</v>
      </c>
      <c r="AA111" s="32">
        <f t="shared" ref="AA111" si="153">SUM(AA107:AA110)</f>
        <v>24656</v>
      </c>
      <c r="AB111" s="32">
        <f t="shared" ref="AB111" si="154">SUM(AB107:AB110)</f>
        <v>125159</v>
      </c>
      <c r="AC111" s="32">
        <f t="shared" ref="AC111" si="155">SUM(AC107:AC110)</f>
        <v>124695</v>
      </c>
      <c r="AD111" s="40"/>
      <c r="AE111" s="71">
        <f>SUM(AC111/Y111)-1</f>
        <v>1.5575838375551228</v>
      </c>
    </row>
    <row r="112" spans="2:31" ht="5.0999999999999996" customHeight="1">
      <c r="B112" s="8"/>
      <c r="C112" s="62"/>
      <c r="D112" s="62"/>
      <c r="E112" s="62"/>
      <c r="F112" s="30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44"/>
    </row>
    <row r="113" spans="2:31" ht="5.0999999999999996" customHeight="1">
      <c r="B113" s="67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11"/>
      <c r="AE113" s="44"/>
    </row>
    <row r="114" spans="2:31">
      <c r="B114" s="127" t="s">
        <v>76</v>
      </c>
      <c r="C114" s="120"/>
      <c r="D114" s="120">
        <f t="shared" ref="D114:E114" si="156">C120</f>
        <v>139931</v>
      </c>
      <c r="E114" s="120">
        <f t="shared" si="156"/>
        <v>107509</v>
      </c>
      <c r="F114" s="120"/>
      <c r="G114" s="120"/>
      <c r="H114" s="120">
        <f>G120</f>
        <v>-23744</v>
      </c>
      <c r="I114" s="120">
        <f t="shared" ref="I114:Q114" si="157">H120</f>
        <v>-36205</v>
      </c>
      <c r="J114" s="120">
        <f t="shared" si="157"/>
        <v>-58775</v>
      </c>
      <c r="K114" s="120">
        <f t="shared" si="157"/>
        <v>-32422</v>
      </c>
      <c r="L114" s="120">
        <f t="shared" si="157"/>
        <v>-45970</v>
      </c>
      <c r="M114" s="120">
        <f t="shared" si="157"/>
        <v>-65033</v>
      </c>
      <c r="N114" s="120">
        <f t="shared" si="157"/>
        <v>-91087</v>
      </c>
      <c r="O114" s="120">
        <f t="shared" si="157"/>
        <v>-91330</v>
      </c>
      <c r="P114" s="120">
        <f t="shared" si="157"/>
        <v>-88297</v>
      </c>
      <c r="Q114" s="120">
        <f t="shared" si="157"/>
        <v>-5175</v>
      </c>
      <c r="R114" s="120"/>
      <c r="S114" s="120">
        <f>G120</f>
        <v>-23744</v>
      </c>
      <c r="T114" s="120">
        <f>H120</f>
        <v>-36205</v>
      </c>
      <c r="U114" s="120">
        <f>I120</f>
        <v>-58775</v>
      </c>
      <c r="V114" s="120">
        <f>J120</f>
        <v>-32422</v>
      </c>
      <c r="W114" s="120">
        <f>K120</f>
        <v>-45970</v>
      </c>
      <c r="X114" s="120">
        <f>L120</f>
        <v>-65033</v>
      </c>
      <c r="Y114" s="120">
        <f>M120</f>
        <v>-91087</v>
      </c>
      <c r="Z114" s="120">
        <f>N120</f>
        <v>-91330</v>
      </c>
      <c r="AA114" s="120">
        <f>O120</f>
        <v>-88297</v>
      </c>
      <c r="AB114" s="120">
        <f>P120</f>
        <v>-5175</v>
      </c>
      <c r="AC114" s="30">
        <f t="shared" ref="AC114:AC115" si="158">SUM(N114:Q114)</f>
        <v>-275889</v>
      </c>
      <c r="AD114" s="11"/>
      <c r="AE114" s="44"/>
    </row>
    <row r="115" spans="2:31">
      <c r="B115" s="128" t="s">
        <v>105</v>
      </c>
      <c r="C115" s="30"/>
      <c r="D115" s="30">
        <v>0</v>
      </c>
      <c r="E115" s="30">
        <v>0</v>
      </c>
      <c r="F115" s="30"/>
      <c r="G115" s="30"/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/>
      <c r="S115" s="30">
        <f>SUM(H115:K115)</f>
        <v>0</v>
      </c>
      <c r="T115" s="30">
        <f>SUM(I115:L115)</f>
        <v>0</v>
      </c>
      <c r="U115" s="30">
        <f>SUM(J115:M115)</f>
        <v>0</v>
      </c>
      <c r="V115" s="30">
        <f>SUM(K115:N115)</f>
        <v>0</v>
      </c>
      <c r="W115" s="30">
        <f>SUM(L115:O115)</f>
        <v>0</v>
      </c>
      <c r="X115" s="30">
        <f>SUM(M115:P115)</f>
        <v>0</v>
      </c>
      <c r="Y115" s="30">
        <f>SUM(N115:Q115)</f>
        <v>0</v>
      </c>
      <c r="Z115" s="30">
        <f>SUM(O115:Q115)</f>
        <v>0</v>
      </c>
      <c r="AA115" s="30">
        <f>SUM(P115:Q115)</f>
        <v>0</v>
      </c>
      <c r="AB115" s="30">
        <f>SUM(Q115:Q115)</f>
        <v>0</v>
      </c>
      <c r="AC115" s="30">
        <f t="shared" si="158"/>
        <v>0</v>
      </c>
      <c r="AD115" s="11"/>
      <c r="AE115" s="44"/>
    </row>
    <row r="116" spans="2:31">
      <c r="B116" s="129" t="s">
        <v>89</v>
      </c>
      <c r="C116" s="83">
        <f t="shared" ref="C116:E116" si="159">SUM(C114:C115)</f>
        <v>0</v>
      </c>
      <c r="D116" s="83">
        <f t="shared" si="159"/>
        <v>139931</v>
      </c>
      <c r="E116" s="83">
        <f t="shared" si="159"/>
        <v>107509</v>
      </c>
      <c r="F116" s="30"/>
      <c r="G116" s="83">
        <f t="shared" ref="G116:Q116" si="160">SUM(G114:G115)</f>
        <v>0</v>
      </c>
      <c r="H116" s="83">
        <f t="shared" si="160"/>
        <v>-23744</v>
      </c>
      <c r="I116" s="83">
        <f t="shared" si="160"/>
        <v>-36205</v>
      </c>
      <c r="J116" s="83">
        <f t="shared" si="160"/>
        <v>-58775</v>
      </c>
      <c r="K116" s="83">
        <f t="shared" si="160"/>
        <v>-32422</v>
      </c>
      <c r="L116" s="83">
        <f t="shared" si="160"/>
        <v>-45970</v>
      </c>
      <c r="M116" s="83">
        <f t="shared" si="160"/>
        <v>-65033</v>
      </c>
      <c r="N116" s="83">
        <f t="shared" si="160"/>
        <v>-91087</v>
      </c>
      <c r="O116" s="83">
        <f t="shared" si="160"/>
        <v>-91330</v>
      </c>
      <c r="P116" s="83">
        <f t="shared" si="160"/>
        <v>-88297</v>
      </c>
      <c r="Q116" s="83">
        <f t="shared" si="160"/>
        <v>-5175</v>
      </c>
      <c r="R116" s="30"/>
      <c r="S116" s="119">
        <f t="shared" ref="S116:AC116" si="161">SUM(S114:S115)</f>
        <v>-23744</v>
      </c>
      <c r="T116" s="119">
        <f t="shared" si="161"/>
        <v>-36205</v>
      </c>
      <c r="U116" s="119">
        <f t="shared" si="161"/>
        <v>-58775</v>
      </c>
      <c r="V116" s="119">
        <f t="shared" si="161"/>
        <v>-32422</v>
      </c>
      <c r="W116" s="119">
        <f t="shared" si="161"/>
        <v>-45970</v>
      </c>
      <c r="X116" s="119">
        <f t="shared" si="161"/>
        <v>-65033</v>
      </c>
      <c r="Y116" s="119">
        <f t="shared" ref="Y116" si="162">SUM(Y114:Y115)</f>
        <v>-91087</v>
      </c>
      <c r="Z116" s="119">
        <f t="shared" ref="Z116" si="163">SUM(Z114:Z115)</f>
        <v>-91330</v>
      </c>
      <c r="AA116" s="119">
        <f t="shared" ref="AA116" si="164">SUM(AA114:AA115)</f>
        <v>-88297</v>
      </c>
      <c r="AB116" s="119">
        <f t="shared" ref="AB116" si="165">SUM(AB114:AB115)</f>
        <v>-5175</v>
      </c>
      <c r="AC116" s="123">
        <f t="shared" si="161"/>
        <v>-275889</v>
      </c>
      <c r="AD116" s="11"/>
      <c r="AE116" s="44"/>
    </row>
    <row r="117" spans="2:31">
      <c r="B117" s="1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122"/>
      <c r="AD117" s="11"/>
      <c r="AE117" s="44"/>
    </row>
    <row r="118" spans="2:31">
      <c r="B118" s="128" t="s">
        <v>106</v>
      </c>
      <c r="C118" s="79"/>
      <c r="D118" s="79"/>
      <c r="E118" s="79"/>
      <c r="F118" s="30"/>
      <c r="G118" s="79"/>
      <c r="H118" s="79"/>
      <c r="I118" s="79"/>
      <c r="J118" s="30">
        <f>C118</f>
        <v>0</v>
      </c>
      <c r="K118" s="79"/>
      <c r="L118" s="79"/>
      <c r="M118" s="79"/>
      <c r="N118" s="30">
        <f>D118</f>
        <v>0</v>
      </c>
      <c r="O118" s="79"/>
      <c r="P118" s="79"/>
      <c r="Q118" s="79"/>
      <c r="R118" s="30"/>
      <c r="S118" s="30">
        <f>SUM(H118:K118)</f>
        <v>0</v>
      </c>
      <c r="T118" s="30">
        <f>SUM(I118:L118)</f>
        <v>0</v>
      </c>
      <c r="U118" s="30">
        <f>SUM(J118:M118)</f>
        <v>0</v>
      </c>
      <c r="V118" s="30">
        <f>SUM(K118:N118)</f>
        <v>0</v>
      </c>
      <c r="W118" s="30">
        <f>SUM(L118:O118)</f>
        <v>0</v>
      </c>
      <c r="X118" s="30">
        <f>SUM(M118:P118)</f>
        <v>0</v>
      </c>
      <c r="Y118" s="30">
        <f>SUM(N118:Q118)</f>
        <v>0</v>
      </c>
      <c r="Z118" s="30">
        <f>SUM(O118:Q118)</f>
        <v>0</v>
      </c>
      <c r="AA118" s="30">
        <f>SUM(P118:Q118)</f>
        <v>0</v>
      </c>
      <c r="AB118" s="30">
        <f>SUM(Q118:Q118)</f>
        <v>0</v>
      </c>
      <c r="AC118" s="30">
        <f t="shared" ref="AC118:AC119" si="166">SUM(N118:Q118)</f>
        <v>0</v>
      </c>
      <c r="AD118" s="11"/>
      <c r="AE118" s="44"/>
    </row>
    <row r="119" spans="2:31">
      <c r="B119" s="130" t="s">
        <v>75</v>
      </c>
      <c r="C119" s="30">
        <f>+C111+C104+C100</f>
        <v>139931</v>
      </c>
      <c r="D119" s="30">
        <f>+D111+D104+D100</f>
        <v>-32422</v>
      </c>
      <c r="E119" s="30">
        <f>+E111+E104+E100</f>
        <v>-79879</v>
      </c>
      <c r="F119" s="30"/>
      <c r="G119" s="30">
        <f>+G111+G104+G100</f>
        <v>-23744</v>
      </c>
      <c r="H119" s="30">
        <f>+H111+H104+H100</f>
        <v>-12461</v>
      </c>
      <c r="I119" s="30">
        <f>+I111+I104+I100</f>
        <v>-22570</v>
      </c>
      <c r="J119" s="30">
        <f>+J111+J104+J100</f>
        <v>26353</v>
      </c>
      <c r="K119" s="30">
        <f>+K111+K104+K100</f>
        <v>-13548</v>
      </c>
      <c r="L119" s="30">
        <f>+L111+L104+L100</f>
        <v>-19063</v>
      </c>
      <c r="M119" s="30">
        <f>+M111+M104+M100</f>
        <v>-26054</v>
      </c>
      <c r="N119" s="30">
        <f>+N111+N104+N100</f>
        <v>-243</v>
      </c>
      <c r="O119" s="30">
        <f>+O111+O104+O100</f>
        <v>3033</v>
      </c>
      <c r="P119" s="30">
        <f>+P111+P104+P100</f>
        <v>83122</v>
      </c>
      <c r="Q119" s="30">
        <f>+Q111+Q104+Q100</f>
        <v>-18313</v>
      </c>
      <c r="R119" s="30"/>
      <c r="S119" s="30">
        <f>SUM(H119:K119)</f>
        <v>-22226</v>
      </c>
      <c r="T119" s="30">
        <f>SUM(I119:L119)</f>
        <v>-28828</v>
      </c>
      <c r="U119" s="30">
        <f>SUM(J119:M119)</f>
        <v>-32312</v>
      </c>
      <c r="V119" s="30">
        <f>SUM(K119:N119)</f>
        <v>-58908</v>
      </c>
      <c r="W119" s="30">
        <f>SUM(L119:O119)</f>
        <v>-42327</v>
      </c>
      <c r="X119" s="30">
        <f>SUM(M119:P119)</f>
        <v>59858</v>
      </c>
      <c r="Y119" s="30">
        <f>SUM(N119:Q119)</f>
        <v>67599</v>
      </c>
      <c r="Z119" s="30">
        <f>SUM(O119:Q119)</f>
        <v>67842</v>
      </c>
      <c r="AA119" s="30">
        <f>SUM(P119:Q119)</f>
        <v>64809</v>
      </c>
      <c r="AB119" s="30">
        <f>SUM(Q119:Q119)</f>
        <v>-18313</v>
      </c>
      <c r="AC119" s="30">
        <f t="shared" si="166"/>
        <v>67599</v>
      </c>
      <c r="AD119" s="11"/>
      <c r="AE119" s="44"/>
    </row>
    <row r="120" spans="2:31">
      <c r="B120" s="129" t="s">
        <v>90</v>
      </c>
      <c r="C120" s="83">
        <f t="shared" ref="C120:E120" si="167">SUM(C116:C119)</f>
        <v>139931</v>
      </c>
      <c r="D120" s="83">
        <f t="shared" si="167"/>
        <v>107509</v>
      </c>
      <c r="E120" s="83">
        <f t="shared" si="167"/>
        <v>27630</v>
      </c>
      <c r="F120" s="30"/>
      <c r="G120" s="82">
        <f t="shared" ref="G120:Q120" si="168">SUM(G116:G119)</f>
        <v>-23744</v>
      </c>
      <c r="H120" s="82">
        <f t="shared" si="168"/>
        <v>-36205</v>
      </c>
      <c r="I120" s="82">
        <f t="shared" si="168"/>
        <v>-58775</v>
      </c>
      <c r="J120" s="82">
        <f t="shared" si="168"/>
        <v>-32422</v>
      </c>
      <c r="K120" s="82">
        <f t="shared" si="168"/>
        <v>-45970</v>
      </c>
      <c r="L120" s="82">
        <f t="shared" si="168"/>
        <v>-65033</v>
      </c>
      <c r="M120" s="82">
        <f t="shared" si="168"/>
        <v>-91087</v>
      </c>
      <c r="N120" s="82">
        <f t="shared" si="168"/>
        <v>-91330</v>
      </c>
      <c r="O120" s="82">
        <f t="shared" si="168"/>
        <v>-88297</v>
      </c>
      <c r="P120" s="82">
        <f t="shared" si="168"/>
        <v>-5175</v>
      </c>
      <c r="Q120" s="82">
        <f t="shared" si="168"/>
        <v>-23488</v>
      </c>
      <c r="R120" s="30"/>
      <c r="S120" s="82">
        <f t="shared" ref="S120:AC120" si="169">SUM(S116:S119)</f>
        <v>-45970</v>
      </c>
      <c r="T120" s="82">
        <f t="shared" si="169"/>
        <v>-65033</v>
      </c>
      <c r="U120" s="82">
        <f t="shared" si="169"/>
        <v>-91087</v>
      </c>
      <c r="V120" s="82">
        <f t="shared" si="169"/>
        <v>-91330</v>
      </c>
      <c r="W120" s="82">
        <f t="shared" si="169"/>
        <v>-88297</v>
      </c>
      <c r="X120" s="82">
        <f t="shared" si="169"/>
        <v>-5175</v>
      </c>
      <c r="Y120" s="82">
        <f t="shared" si="169"/>
        <v>-23488</v>
      </c>
      <c r="Z120" s="82">
        <f t="shared" si="169"/>
        <v>-23488</v>
      </c>
      <c r="AA120" s="82">
        <f t="shared" si="169"/>
        <v>-23488</v>
      </c>
      <c r="AB120" s="82">
        <f t="shared" si="169"/>
        <v>-23488</v>
      </c>
      <c r="AC120" s="124">
        <f t="shared" si="169"/>
        <v>-208290</v>
      </c>
      <c r="AD120" s="11"/>
      <c r="AE120" s="44"/>
    </row>
    <row r="121" spans="2:31" ht="5.0999999999999996" customHeight="1">
      <c r="B121" s="131"/>
      <c r="C121" s="62"/>
      <c r="D121" s="62"/>
      <c r="E121" s="62"/>
      <c r="F121" s="30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21"/>
      <c r="AD121" s="11"/>
      <c r="AE121" s="44"/>
    </row>
    <row r="122" spans="2:31">
      <c r="B122" s="132" t="s">
        <v>74</v>
      </c>
      <c r="C122" s="125">
        <f>C120-C43</f>
        <v>-93506</v>
      </c>
      <c r="D122" s="125">
        <f>D120-D43</f>
        <v>-93506</v>
      </c>
      <c r="E122" s="125">
        <f>E120-E43</f>
        <v>-93506</v>
      </c>
      <c r="F122" s="126"/>
      <c r="G122" s="125">
        <f>G120-G43</f>
        <v>-233437</v>
      </c>
      <c r="H122" s="125">
        <f>H120-H43</f>
        <v>-233437</v>
      </c>
      <c r="I122" s="125">
        <f>I120-I43</f>
        <v>-233437</v>
      </c>
      <c r="J122" s="125">
        <f>J120-J43</f>
        <v>-233437</v>
      </c>
      <c r="K122" s="125">
        <f>K120-K43</f>
        <v>-233437</v>
      </c>
      <c r="L122" s="125">
        <f>L120-L43</f>
        <v>-233471</v>
      </c>
      <c r="M122" s="125">
        <f>M120-M43</f>
        <v>-233437</v>
      </c>
      <c r="N122" s="125">
        <f>N120-N43</f>
        <v>-212466</v>
      </c>
      <c r="O122" s="125">
        <f>O120-O43</f>
        <v>-212466</v>
      </c>
      <c r="P122" s="125">
        <f>P120-P43</f>
        <v>-212466</v>
      </c>
      <c r="Q122" s="125">
        <f>Q120-Q43</f>
        <v>-172466</v>
      </c>
      <c r="R122" s="125"/>
      <c r="S122" s="125">
        <f>S120-S43</f>
        <v>-255663</v>
      </c>
      <c r="T122" s="125">
        <f>T120-T43</f>
        <v>-262265</v>
      </c>
      <c r="U122" s="125">
        <f>U120-U43</f>
        <v>-265749</v>
      </c>
      <c r="V122" s="125">
        <f>V120-V43</f>
        <v>-292345</v>
      </c>
      <c r="W122" s="125">
        <f>W120-W43</f>
        <v>-275764</v>
      </c>
      <c r="X122" s="125">
        <f>X120-X43</f>
        <v>-173613</v>
      </c>
      <c r="Y122" s="125">
        <f>Y120-Y43</f>
        <v>-165838</v>
      </c>
      <c r="Z122" s="125">
        <f>Z120-Z43</f>
        <v>-144624</v>
      </c>
      <c r="AA122" s="125">
        <f>AA120-AA43</f>
        <v>-147657</v>
      </c>
      <c r="AB122" s="125">
        <f>AB120-AB43</f>
        <v>-230779</v>
      </c>
      <c r="AC122" s="125">
        <f>AC120-AC43</f>
        <v>-357268</v>
      </c>
      <c r="AD122" s="11"/>
      <c r="AE122" s="44"/>
    </row>
    <row r="123" spans="2:31" ht="5.0999999999999996" customHeight="1">
      <c r="B123" s="8"/>
      <c r="C123" s="62"/>
      <c r="D123" s="62"/>
      <c r="E123" s="62"/>
      <c r="F123" s="30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44"/>
    </row>
    <row r="124" spans="2:31">
      <c r="B124" s="8"/>
      <c r="C124" s="62"/>
      <c r="D124" s="62"/>
      <c r="E124" s="62"/>
      <c r="F124" s="30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44"/>
    </row>
    <row r="125" spans="2:31">
      <c r="B125" s="136" t="s">
        <v>134</v>
      </c>
      <c r="C125" s="62"/>
      <c r="D125" s="62"/>
      <c r="E125" s="62"/>
      <c r="F125" s="30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44"/>
    </row>
    <row r="126" spans="2:31">
      <c r="B126" s="80" t="s">
        <v>88</v>
      </c>
      <c r="C126" s="62"/>
      <c r="D126" s="62"/>
      <c r="E126" s="62"/>
      <c r="F126" s="30"/>
      <c r="G126" s="79"/>
      <c r="H126" s="30"/>
      <c r="I126" s="30"/>
      <c r="J126" s="30">
        <f t="shared" ref="J126" si="170">SUM(C126-SUM(G126:I126))</f>
        <v>0</v>
      </c>
      <c r="K126" s="79"/>
      <c r="L126" s="30"/>
      <c r="M126" s="30"/>
      <c r="N126" s="30">
        <f t="shared" ref="N126" si="171">SUM(D126-SUM(K126:M126))</f>
        <v>0</v>
      </c>
      <c r="O126" s="79"/>
      <c r="P126" s="30"/>
      <c r="Q126" s="30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44"/>
    </row>
    <row r="127" spans="2:31" ht="5.0999999999999996" customHeight="1" thickBot="1">
      <c r="B127" s="68"/>
      <c r="C127" s="69"/>
      <c r="D127" s="69"/>
      <c r="E127" s="69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E127" s="44"/>
    </row>
    <row r="128" spans="2:31" ht="12.75" customHeight="1">
      <c r="B128" s="138" t="s">
        <v>162</v>
      </c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  <c r="AC128" s="138"/>
      <c r="AE128" s="44"/>
    </row>
    <row r="129" spans="2:29" ht="12.75" customHeight="1">
      <c r="B129" s="137" t="s">
        <v>163</v>
      </c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</row>
    <row r="130" spans="2:29" ht="12.75" customHeight="1">
      <c r="C130" s="54"/>
      <c r="D130" s="54"/>
      <c r="E130" s="54"/>
    </row>
    <row r="131" spans="2:29" ht="12.75" customHeight="1">
      <c r="C131" s="54"/>
      <c r="D131" s="54"/>
      <c r="E131" s="54"/>
    </row>
    <row r="132" spans="2:29" ht="12.75" customHeight="1">
      <c r="C132" s="54"/>
      <c r="D132" s="54"/>
      <c r="E132" s="54"/>
    </row>
    <row r="133" spans="2:29" ht="12.75" customHeight="1">
      <c r="C133" s="54"/>
      <c r="D133" s="54"/>
      <c r="E133" s="54"/>
    </row>
    <row r="134" spans="2:29" ht="12.75" customHeight="1">
      <c r="C134" s="54"/>
      <c r="D134" s="54"/>
      <c r="E134" s="5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</row>
    <row r="135" spans="2:29" ht="12.75" customHeight="1">
      <c r="C135" s="54"/>
      <c r="D135" s="54"/>
      <c r="E135" s="54"/>
    </row>
    <row r="136" spans="2:29" ht="12.75" customHeight="1">
      <c r="C136" s="54"/>
      <c r="D136" s="54"/>
      <c r="E136" s="5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</row>
    <row r="137" spans="2:29"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</row>
    <row r="138" spans="2:29"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</row>
    <row r="140" spans="2:29"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</row>
    <row r="141" spans="2:29"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</row>
  </sheetData>
  <mergeCells count="6">
    <mergeCell ref="B129:AC129"/>
    <mergeCell ref="B128:AC128"/>
    <mergeCell ref="AE6:AE8"/>
    <mergeCell ref="AE38:AE40"/>
    <mergeCell ref="AE80:AE82"/>
    <mergeCell ref="B78:AE78"/>
  </mergeCells>
  <dataValidations disablePrompts="1" count="1">
    <dataValidation type="list" allowBlank="1" showInputMessage="1" showErrorMessage="1" sqref="B4" xr:uid="{95A5AB56-0215-4703-953B-CB353CAB6883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AC14:AC16 AC30 F46" formulaRange="1"/>
    <ignoredError sqref="AE104:AE106 AE100:AE102" evalError="1"/>
    <ignoredError sqref="O86:Q87 O85:Q85 N8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AF16"/>
  <sheetViews>
    <sheetView showGridLines="0" zoomScaleNormal="100" workbookViewId="0">
      <selection activeCell="B3" sqref="B3"/>
    </sheetView>
  </sheetViews>
  <sheetFormatPr defaultRowHeight="12" outlineLevelCol="1"/>
  <cols>
    <col min="1" max="1" width="1.5" style="8" customWidth="1"/>
    <col min="2" max="2" width="46.5" style="8" bestFit="1" customWidth="1"/>
    <col min="3" max="3" width="8.625" style="8" bestFit="1" customWidth="1" outlineLevel="1"/>
    <col min="4" max="6" width="8.625" style="8" bestFit="1" customWidth="1"/>
    <col min="7" max="7" width="1.5" style="8" customWidth="1"/>
    <col min="8" max="10" width="7.875" style="8" customWidth="1" outlineLevel="1"/>
    <col min="11" max="11" width="8.75" style="8" customWidth="1" outlineLevel="1"/>
    <col min="12" max="14" width="8" style="8" customWidth="1" outlineLevel="1"/>
    <col min="15" max="15" width="8.75" style="8" customWidth="1" outlineLevel="1"/>
    <col min="16" max="16" width="8.5" style="8" customWidth="1" outlineLevel="1"/>
    <col min="17" max="17" width="8.25" style="8" bestFit="1" customWidth="1"/>
    <col min="18" max="18" width="8.5" style="8" bestFit="1" customWidth="1"/>
    <col min="19" max="21" width="9.125" style="8" bestFit="1" customWidth="1"/>
    <col min="22" max="22" width="1.5" style="8" customWidth="1"/>
    <col min="23" max="28" width="8.75" style="8" hidden="1" customWidth="1" outlineLevel="1"/>
    <col min="29" max="31" width="8.75" style="8" customWidth="1" outlineLevel="1"/>
    <col min="32" max="32" width="8.75" style="8" bestFit="1" customWidth="1"/>
    <col min="33" max="16384" width="9" style="8"/>
  </cols>
  <sheetData>
    <row r="2" spans="1:32" s="5" customFormat="1" ht="12.75" customHeight="1">
      <c r="B2" s="1" t="s">
        <v>136</v>
      </c>
      <c r="C2" s="2"/>
      <c r="D2" s="2"/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 t="s">
        <v>1</v>
      </c>
      <c r="Q2" s="2" t="s">
        <v>1</v>
      </c>
      <c r="R2" s="2"/>
      <c r="S2" s="2"/>
      <c r="T2" s="2"/>
      <c r="U2" s="2"/>
      <c r="V2" s="3"/>
      <c r="W2" s="2" t="s">
        <v>9</v>
      </c>
      <c r="X2" s="2"/>
      <c r="Y2" s="2"/>
      <c r="Z2" s="2"/>
      <c r="AA2" s="2" t="s">
        <v>9</v>
      </c>
      <c r="AB2" s="2"/>
      <c r="AC2" s="2" t="s">
        <v>9</v>
      </c>
      <c r="AD2" s="2"/>
      <c r="AE2" s="2"/>
      <c r="AF2" s="2"/>
    </row>
    <row r="3" spans="1:32" s="5" customFormat="1" ht="12.75" customHeight="1">
      <c r="B3" s="6" t="s">
        <v>82</v>
      </c>
      <c r="C3" s="7" t="e">
        <f>'Historical Financials'!#REF!</f>
        <v>#REF!</v>
      </c>
      <c r="D3" s="7">
        <f>'Historical Financials'!C7</f>
        <v>2021</v>
      </c>
      <c r="E3" s="7">
        <f>'Historical Financials'!D7</f>
        <v>2022</v>
      </c>
      <c r="F3" s="7">
        <f>'Historical Financials'!E7</f>
        <v>2023</v>
      </c>
      <c r="G3" s="3"/>
      <c r="H3" s="7" t="str">
        <f>'Historical Financials'!G7</f>
        <v>1Q22</v>
      </c>
      <c r="I3" s="7" t="str">
        <f>'Historical Financials'!H7</f>
        <v>2Q22</v>
      </c>
      <c r="J3" s="7" t="str">
        <f>'Historical Financials'!I7</f>
        <v>3Q22</v>
      </c>
      <c r="K3" s="7" t="str">
        <f>'Historical Financials'!J7</f>
        <v>4Q22</v>
      </c>
      <c r="L3" s="7" t="str">
        <f>'Historical Financials'!K7</f>
        <v>1Q23</v>
      </c>
      <c r="M3" s="7" t="str">
        <f>'Historical Financials'!L7</f>
        <v>2Q23</v>
      </c>
      <c r="N3" s="7" t="str">
        <f>'Historical Financials'!M7</f>
        <v>3Q23</v>
      </c>
      <c r="O3" s="7" t="str">
        <f>'Historical Financials'!N7</f>
        <v>4Q23</v>
      </c>
      <c r="P3" s="7" t="str">
        <f>'Historical Financials'!O7</f>
        <v>1Q24</v>
      </c>
      <c r="Q3" s="7" t="str">
        <f>'Historical Financials'!P7</f>
        <v>2Q24</v>
      </c>
      <c r="R3" s="7" t="str">
        <f>'Historical Financials'!Q7</f>
        <v>3Q24</v>
      </c>
      <c r="S3" s="7" t="e">
        <f>'Historical Financials'!#REF!</f>
        <v>#REF!</v>
      </c>
      <c r="T3" s="7" t="e">
        <f>'Historical Financials'!#REF!</f>
        <v>#REF!</v>
      </c>
      <c r="U3" s="7" t="e">
        <f>'Historical Financials'!#REF!</f>
        <v>#REF!</v>
      </c>
      <c r="V3" s="4"/>
      <c r="W3" s="4" t="str">
        <f t="shared" ref="W3:AB4" si="0">L3</f>
        <v>1Q23</v>
      </c>
      <c r="X3" s="4" t="str">
        <f t="shared" si="0"/>
        <v>2Q23</v>
      </c>
      <c r="Y3" s="4" t="str">
        <f t="shared" si="0"/>
        <v>3Q23</v>
      </c>
      <c r="Z3" s="4" t="str">
        <f t="shared" si="0"/>
        <v>4Q23</v>
      </c>
      <c r="AA3" s="4" t="str">
        <f t="shared" si="0"/>
        <v>1Q24</v>
      </c>
      <c r="AB3" s="4" t="str">
        <f t="shared" si="0"/>
        <v>2Q24</v>
      </c>
      <c r="AC3" s="4" t="e">
        <f t="shared" ref="AC3:AE4" si="1">S3</f>
        <v>#REF!</v>
      </c>
      <c r="AD3" s="4" t="e">
        <f t="shared" si="1"/>
        <v>#REF!</v>
      </c>
      <c r="AE3" s="4" t="e">
        <f t="shared" si="1"/>
        <v>#REF!</v>
      </c>
      <c r="AF3" s="4" t="e">
        <f>#REF!</f>
        <v>#REF!</v>
      </c>
    </row>
    <row r="4" spans="1:32" s="5" customFormat="1" ht="12.75" customHeight="1">
      <c r="B4" s="6" t="s">
        <v>131</v>
      </c>
      <c r="C4" s="3" t="e">
        <f>'Historical Financials'!#REF!</f>
        <v>#REF!</v>
      </c>
      <c r="D4" s="3">
        <f>'Historical Financials'!C8</f>
        <v>44561</v>
      </c>
      <c r="E4" s="3">
        <f>'Historical Financials'!D8</f>
        <v>44926</v>
      </c>
      <c r="F4" s="3">
        <f>'Historical Financials'!E8</f>
        <v>45291</v>
      </c>
      <c r="G4" s="3"/>
      <c r="H4" s="3">
        <f>'Historical Financials'!G8</f>
        <v>44651</v>
      </c>
      <c r="I4" s="3">
        <f>'Historical Financials'!H8</f>
        <v>44742</v>
      </c>
      <c r="J4" s="3">
        <f>'Historical Financials'!I8</f>
        <v>44834</v>
      </c>
      <c r="K4" s="3">
        <f>'Historical Financials'!J8</f>
        <v>44926</v>
      </c>
      <c r="L4" s="3">
        <f>'Historical Financials'!K8</f>
        <v>45016</v>
      </c>
      <c r="M4" s="3">
        <f>'Historical Financials'!L8</f>
        <v>45107</v>
      </c>
      <c r="N4" s="3">
        <f>'Historical Financials'!M8</f>
        <v>45199</v>
      </c>
      <c r="O4" s="3">
        <f>'Historical Financials'!N8</f>
        <v>45291</v>
      </c>
      <c r="P4" s="3">
        <f>'Historical Financials'!O8</f>
        <v>45382</v>
      </c>
      <c r="Q4" s="3">
        <f>'Historical Financials'!P8</f>
        <v>45473</v>
      </c>
      <c r="R4" s="3">
        <f>'Historical Financials'!Q8</f>
        <v>45565</v>
      </c>
      <c r="S4" s="3" t="e">
        <f>'Historical Financials'!#REF!</f>
        <v>#REF!</v>
      </c>
      <c r="T4" s="3" t="e">
        <f>'Historical Financials'!#REF!</f>
        <v>#REF!</v>
      </c>
      <c r="U4" s="3" t="e">
        <f>'Historical Financials'!#REF!</f>
        <v>#REF!</v>
      </c>
      <c r="V4" s="3"/>
      <c r="W4" s="3">
        <f t="shared" si="0"/>
        <v>45016</v>
      </c>
      <c r="X4" s="3">
        <f t="shared" si="0"/>
        <v>45107</v>
      </c>
      <c r="Y4" s="3">
        <f t="shared" si="0"/>
        <v>45199</v>
      </c>
      <c r="Z4" s="3">
        <f t="shared" si="0"/>
        <v>45291</v>
      </c>
      <c r="AA4" s="3">
        <f t="shared" si="0"/>
        <v>45382</v>
      </c>
      <c r="AB4" s="3">
        <f t="shared" si="0"/>
        <v>45473</v>
      </c>
      <c r="AC4" s="3" t="e">
        <f t="shared" si="1"/>
        <v>#REF!</v>
      </c>
      <c r="AD4" s="3" t="e">
        <f t="shared" si="1"/>
        <v>#REF!</v>
      </c>
      <c r="AE4" s="3" t="e">
        <f t="shared" si="1"/>
        <v>#REF!</v>
      </c>
      <c r="AF4" s="3" t="e">
        <f>#REF!</f>
        <v>#REF!</v>
      </c>
    </row>
    <row r="5" spans="1:32" ht="5.0999999999999996" customHeight="1"/>
    <row r="6" spans="1:32" ht="12.75" customHeight="1">
      <c r="A6" s="77" t="s">
        <v>17</v>
      </c>
      <c r="B6" s="74" t="s">
        <v>108</v>
      </c>
      <c r="C6" s="10"/>
      <c r="D6" s="10"/>
      <c r="E6" s="10"/>
      <c r="F6" s="10"/>
      <c r="G6" s="10"/>
      <c r="H6" s="86"/>
      <c r="I6" s="86"/>
      <c r="J6" s="86"/>
      <c r="K6" s="30"/>
      <c r="L6" s="86"/>
      <c r="M6" s="86"/>
      <c r="N6" s="86"/>
      <c r="O6" s="30"/>
      <c r="P6" s="86"/>
      <c r="Q6" s="86"/>
      <c r="R6" s="86"/>
      <c r="S6" s="30"/>
      <c r="T6" s="86"/>
      <c r="U6" s="86"/>
      <c r="V6" s="5"/>
      <c r="W6" s="11"/>
      <c r="X6" s="11"/>
      <c r="Y6" s="11"/>
      <c r="Z6" s="11"/>
      <c r="AA6" s="11"/>
      <c r="AB6" s="11"/>
      <c r="AC6" s="11"/>
      <c r="AD6" s="11"/>
      <c r="AE6" s="11"/>
    </row>
    <row r="7" spans="1:32" ht="12.75" customHeight="1">
      <c r="B7" s="9"/>
      <c r="C7" s="78"/>
      <c r="D7" s="78"/>
      <c r="E7" s="78"/>
      <c r="F7" s="78"/>
      <c r="G7" s="78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30"/>
      <c r="T7" s="86"/>
      <c r="U7" s="86"/>
      <c r="V7" s="30"/>
      <c r="W7" s="30">
        <f t="shared" ref="W7:AB8" si="2">SUM(I7:L7)</f>
        <v>0</v>
      </c>
      <c r="X7" s="30">
        <f t="shared" si="2"/>
        <v>0</v>
      </c>
      <c r="Y7" s="30">
        <f t="shared" si="2"/>
        <v>0</v>
      </c>
      <c r="Z7" s="30">
        <f t="shared" si="2"/>
        <v>0</v>
      </c>
      <c r="AA7" s="30">
        <f t="shared" si="2"/>
        <v>0</v>
      </c>
      <c r="AB7" s="30">
        <f t="shared" si="2"/>
        <v>0</v>
      </c>
      <c r="AC7" s="30">
        <f t="shared" ref="AC7:AE8" si="3">SUM(P7:S7)</f>
        <v>0</v>
      </c>
      <c r="AD7" s="30">
        <f t="shared" si="3"/>
        <v>0</v>
      </c>
      <c r="AE7" s="30">
        <f t="shared" si="3"/>
        <v>0</v>
      </c>
      <c r="AF7" s="30">
        <f>SUM(S7:U7)</f>
        <v>0</v>
      </c>
    </row>
    <row r="8" spans="1:32" ht="12.75" customHeight="1">
      <c r="B8" s="9"/>
      <c r="C8" s="78"/>
      <c r="D8" s="78"/>
      <c r="E8" s="78"/>
      <c r="F8" s="78"/>
      <c r="G8" s="78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30"/>
      <c r="T8" s="86"/>
      <c r="U8" s="86"/>
      <c r="V8" s="5"/>
      <c r="W8" s="11">
        <f t="shared" si="2"/>
        <v>0</v>
      </c>
      <c r="X8" s="11">
        <f t="shared" si="2"/>
        <v>0</v>
      </c>
      <c r="Y8" s="11">
        <f t="shared" si="2"/>
        <v>0</v>
      </c>
      <c r="Z8" s="11">
        <f t="shared" si="2"/>
        <v>0</v>
      </c>
      <c r="AA8" s="11">
        <f t="shared" si="2"/>
        <v>0</v>
      </c>
      <c r="AB8" s="11">
        <f t="shared" si="2"/>
        <v>0</v>
      </c>
      <c r="AC8" s="30">
        <f t="shared" si="3"/>
        <v>0</v>
      </c>
      <c r="AD8" s="30">
        <f t="shared" si="3"/>
        <v>0</v>
      </c>
      <c r="AE8" s="30">
        <f t="shared" si="3"/>
        <v>0</v>
      </c>
      <c r="AF8" s="30">
        <f>SUM(S8:U8)</f>
        <v>0</v>
      </c>
    </row>
    <row r="9" spans="1:32" ht="12.75" customHeight="1">
      <c r="B9" s="12" t="s">
        <v>83</v>
      </c>
      <c r="C9" s="32"/>
      <c r="D9" s="32">
        <f t="shared" ref="D9:F9" si="4">SUM(D7:D8)</f>
        <v>0</v>
      </c>
      <c r="E9" s="32">
        <f t="shared" si="4"/>
        <v>0</v>
      </c>
      <c r="F9" s="32">
        <f t="shared" si="4"/>
        <v>0</v>
      </c>
      <c r="G9" s="11"/>
      <c r="H9" s="32"/>
      <c r="I9" s="32"/>
      <c r="J9" s="32"/>
      <c r="K9" s="32"/>
      <c r="L9" s="32"/>
      <c r="M9" s="32"/>
      <c r="N9" s="32"/>
      <c r="O9" s="32"/>
      <c r="P9" s="32">
        <f t="shared" ref="P9:U9" si="5">SUM(P7:P8)</f>
        <v>0</v>
      </c>
      <c r="Q9" s="32">
        <f t="shared" si="5"/>
        <v>0</v>
      </c>
      <c r="R9" s="32">
        <f t="shared" si="5"/>
        <v>0</v>
      </c>
      <c r="S9" s="32">
        <f t="shared" si="5"/>
        <v>0</v>
      </c>
      <c r="T9" s="32">
        <f t="shared" si="5"/>
        <v>0</v>
      </c>
      <c r="U9" s="32">
        <f t="shared" si="5"/>
        <v>0</v>
      </c>
      <c r="V9" s="5"/>
      <c r="W9" s="32">
        <f t="shared" ref="W9:AF9" si="6">SUM(W7:W8)</f>
        <v>0</v>
      </c>
      <c r="X9" s="32">
        <f t="shared" si="6"/>
        <v>0</v>
      </c>
      <c r="Y9" s="32">
        <f t="shared" si="6"/>
        <v>0</v>
      </c>
      <c r="Z9" s="32">
        <f t="shared" si="6"/>
        <v>0</v>
      </c>
      <c r="AA9" s="32">
        <f t="shared" si="6"/>
        <v>0</v>
      </c>
      <c r="AB9" s="32">
        <f t="shared" si="6"/>
        <v>0</v>
      </c>
      <c r="AC9" s="32">
        <f t="shared" si="6"/>
        <v>0</v>
      </c>
      <c r="AD9" s="32">
        <f t="shared" si="6"/>
        <v>0</v>
      </c>
      <c r="AE9" s="32">
        <f t="shared" si="6"/>
        <v>0</v>
      </c>
      <c r="AF9" s="32">
        <f t="shared" si="6"/>
        <v>0</v>
      </c>
    </row>
    <row r="10" spans="1:32">
      <c r="B10" s="75" t="s">
        <v>74</v>
      </c>
      <c r="C10" s="118"/>
      <c r="D10" s="76">
        <f>+D9-'Historical Financials'!C11</f>
        <v>0</v>
      </c>
      <c r="E10" s="76">
        <f>+E9-'Historical Financials'!D11</f>
        <v>0</v>
      </c>
      <c r="F10" s="76">
        <f>+F9-'Historical Financials'!E11</f>
        <v>0</v>
      </c>
      <c r="G10" s="11"/>
      <c r="H10" s="118"/>
      <c r="I10" s="118"/>
      <c r="J10" s="118"/>
      <c r="K10" s="118"/>
      <c r="L10" s="118"/>
      <c r="M10" s="118"/>
      <c r="N10" s="118"/>
      <c r="O10" s="118"/>
      <c r="P10" s="76">
        <f>+P9-'Historical Financials'!O11</f>
        <v>0</v>
      </c>
      <c r="Q10" s="76">
        <f>+Q9-'Historical Financials'!P11</f>
        <v>0</v>
      </c>
      <c r="R10" s="76">
        <f>+R9-'Historical Financials'!Q11</f>
        <v>0</v>
      </c>
      <c r="S10" s="76" t="e">
        <f>+S9-'Historical Financials'!#REF!</f>
        <v>#REF!</v>
      </c>
      <c r="T10" s="76" t="e">
        <f>+T9-'Historical Financials'!#REF!</f>
        <v>#REF!</v>
      </c>
      <c r="U10" s="76" t="e">
        <f>+U9-'Historical Financials'!#REF!</f>
        <v>#REF!</v>
      </c>
      <c r="V10" s="76"/>
      <c r="W10" s="76">
        <f>W9-'Historical Financials'!S11</f>
        <v>0</v>
      </c>
      <c r="X10" s="76">
        <f>X9-'Historical Financials'!T11</f>
        <v>0</v>
      </c>
      <c r="Y10" s="76">
        <f>Y9-'Historical Financials'!U11</f>
        <v>0</v>
      </c>
      <c r="Z10" s="76">
        <f>Z9-'Historical Financials'!V11</f>
        <v>0</v>
      </c>
      <c r="AA10" s="76">
        <f>AA9-'Historical Financials'!W11</f>
        <v>0</v>
      </c>
      <c r="AB10" s="76">
        <f>AB9-'Historical Financials'!X11</f>
        <v>0</v>
      </c>
      <c r="AC10" s="76">
        <f>AC9-'Historical Financials'!Z11</f>
        <v>0</v>
      </c>
      <c r="AD10" s="76">
        <f>AD9-'Historical Financials'!AA11</f>
        <v>0</v>
      </c>
      <c r="AE10" s="76">
        <f>AE9-'Historical Financials'!AB11</f>
        <v>0</v>
      </c>
      <c r="AF10" s="76">
        <f>AF9-'Historical Financials'!AC11</f>
        <v>0</v>
      </c>
    </row>
    <row r="11" spans="1:32">
      <c r="B11" s="16"/>
      <c r="C11" s="17"/>
      <c r="D11" s="17"/>
      <c r="E11" s="17"/>
      <c r="F11" s="17"/>
      <c r="G11" s="18"/>
      <c r="H11" s="19"/>
      <c r="I11" s="19"/>
      <c r="J11" s="19"/>
      <c r="K11" s="20"/>
      <c r="L11" s="19"/>
      <c r="M11" s="19"/>
      <c r="N11" s="19"/>
      <c r="O11" s="20"/>
      <c r="P11" s="19"/>
      <c r="Q11" s="19"/>
      <c r="R11" s="19"/>
      <c r="S11" s="19"/>
      <c r="T11" s="19"/>
      <c r="U11" s="19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</row>
    <row r="12" spans="1:32" ht="12.75" customHeight="1">
      <c r="A12" s="77" t="s">
        <v>17</v>
      </c>
      <c r="B12" s="74" t="s">
        <v>135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5"/>
      <c r="W12" s="11"/>
      <c r="X12" s="11"/>
      <c r="Y12" s="11"/>
      <c r="Z12" s="11"/>
      <c r="AA12" s="11"/>
      <c r="AB12" s="11"/>
      <c r="AC12" s="11"/>
      <c r="AD12" s="11"/>
      <c r="AE12" s="11"/>
    </row>
    <row r="13" spans="1:32" ht="12.75" customHeight="1">
      <c r="B13" s="9"/>
      <c r="C13" s="78"/>
      <c r="D13" s="78"/>
      <c r="E13" s="78"/>
      <c r="F13" s="78"/>
      <c r="G13" s="78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30"/>
      <c r="T13" s="86"/>
      <c r="U13" s="86"/>
      <c r="V13" s="5"/>
      <c r="W13" s="11">
        <f t="shared" ref="W13:AB14" si="7">SUM(I13:L13)</f>
        <v>0</v>
      </c>
      <c r="X13" s="11">
        <f t="shared" si="7"/>
        <v>0</v>
      </c>
      <c r="Y13" s="11">
        <f t="shared" si="7"/>
        <v>0</v>
      </c>
      <c r="Z13" s="11">
        <f t="shared" si="7"/>
        <v>0</v>
      </c>
      <c r="AA13" s="11">
        <f t="shared" si="7"/>
        <v>0</v>
      </c>
      <c r="AB13" s="11">
        <f t="shared" si="7"/>
        <v>0</v>
      </c>
      <c r="AC13" s="30">
        <f t="shared" ref="AC13:AE14" si="8">SUM(P13:S13)</f>
        <v>0</v>
      </c>
      <c r="AD13" s="30">
        <f t="shared" si="8"/>
        <v>0</v>
      </c>
      <c r="AE13" s="30">
        <f t="shared" si="8"/>
        <v>0</v>
      </c>
      <c r="AF13" s="30">
        <f>SUM(S13:U13)</f>
        <v>0</v>
      </c>
    </row>
    <row r="14" spans="1:32" ht="12.75" customHeight="1">
      <c r="B14" s="9"/>
      <c r="C14" s="78"/>
      <c r="D14" s="78"/>
      <c r="E14" s="78"/>
      <c r="F14" s="78"/>
      <c r="G14" s="78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30"/>
      <c r="T14" s="86"/>
      <c r="U14" s="86"/>
      <c r="V14" s="5"/>
      <c r="W14" s="11">
        <f t="shared" si="7"/>
        <v>0</v>
      </c>
      <c r="X14" s="11">
        <f t="shared" si="7"/>
        <v>0</v>
      </c>
      <c r="Y14" s="11">
        <f t="shared" si="7"/>
        <v>0</v>
      </c>
      <c r="Z14" s="11">
        <f t="shared" si="7"/>
        <v>0</v>
      </c>
      <c r="AA14" s="11">
        <f t="shared" si="7"/>
        <v>0</v>
      </c>
      <c r="AB14" s="11">
        <f t="shared" si="7"/>
        <v>0</v>
      </c>
      <c r="AC14" s="30">
        <f t="shared" si="8"/>
        <v>0</v>
      </c>
      <c r="AD14" s="30">
        <f t="shared" si="8"/>
        <v>0</v>
      </c>
      <c r="AE14" s="30">
        <f t="shared" si="8"/>
        <v>0</v>
      </c>
      <c r="AF14" s="30">
        <f>SUM(S14:U14)</f>
        <v>0</v>
      </c>
    </row>
    <row r="15" spans="1:32" ht="12.75" customHeight="1">
      <c r="B15" s="12" t="s">
        <v>107</v>
      </c>
      <c r="C15" s="32"/>
      <c r="D15" s="32">
        <f t="shared" ref="D15:F15" si="9">SUM(D13:D14)</f>
        <v>0</v>
      </c>
      <c r="E15" s="32">
        <f t="shared" si="9"/>
        <v>0</v>
      </c>
      <c r="F15" s="32">
        <f t="shared" si="9"/>
        <v>0</v>
      </c>
      <c r="G15" s="11"/>
      <c r="H15" s="32"/>
      <c r="I15" s="32"/>
      <c r="J15" s="32"/>
      <c r="K15" s="32"/>
      <c r="L15" s="32"/>
      <c r="M15" s="32"/>
      <c r="N15" s="32"/>
      <c r="O15" s="32"/>
      <c r="P15" s="32">
        <f t="shared" ref="P15:U15" si="10">SUM(P13:P14)</f>
        <v>0</v>
      </c>
      <c r="Q15" s="32">
        <f t="shared" si="10"/>
        <v>0</v>
      </c>
      <c r="R15" s="32">
        <f t="shared" si="10"/>
        <v>0</v>
      </c>
      <c r="S15" s="32">
        <f t="shared" si="10"/>
        <v>0</v>
      </c>
      <c r="T15" s="32">
        <f t="shared" si="10"/>
        <v>0</v>
      </c>
      <c r="U15" s="32">
        <f t="shared" si="10"/>
        <v>0</v>
      </c>
      <c r="V15" s="5"/>
      <c r="W15" s="32">
        <f t="shared" ref="W15:AF15" si="11">SUM(W13:W14)</f>
        <v>0</v>
      </c>
      <c r="X15" s="32">
        <f t="shared" si="11"/>
        <v>0</v>
      </c>
      <c r="Y15" s="32">
        <f t="shared" si="11"/>
        <v>0</v>
      </c>
      <c r="Z15" s="32">
        <f t="shared" si="11"/>
        <v>0</v>
      </c>
      <c r="AA15" s="32">
        <f t="shared" si="11"/>
        <v>0</v>
      </c>
      <c r="AB15" s="32">
        <f t="shared" si="11"/>
        <v>0</v>
      </c>
      <c r="AC15" s="32">
        <f t="shared" si="11"/>
        <v>0</v>
      </c>
      <c r="AD15" s="32">
        <f t="shared" si="11"/>
        <v>0</v>
      </c>
      <c r="AE15" s="32">
        <f t="shared" si="11"/>
        <v>0</v>
      </c>
      <c r="AF15" s="32">
        <f t="shared" si="11"/>
        <v>0</v>
      </c>
    </row>
    <row r="16" spans="1:32" ht="12.75" customHeight="1">
      <c r="B16" s="75" t="s">
        <v>74</v>
      </c>
      <c r="C16" s="76"/>
      <c r="D16" s="76">
        <f t="shared" ref="D16:F16" si="12">+D15-D9</f>
        <v>0</v>
      </c>
      <c r="E16" s="76">
        <f t="shared" si="12"/>
        <v>0</v>
      </c>
      <c r="F16" s="76">
        <f t="shared" si="12"/>
        <v>0</v>
      </c>
      <c r="G16" s="11"/>
      <c r="H16" s="118"/>
      <c r="I16" s="118"/>
      <c r="J16" s="118"/>
      <c r="K16" s="118"/>
      <c r="L16" s="118"/>
      <c r="M16" s="118"/>
      <c r="N16" s="118"/>
      <c r="O16" s="118"/>
      <c r="P16" s="76">
        <f t="shared" ref="P16" si="13">+P15-P9</f>
        <v>0</v>
      </c>
      <c r="Q16" s="76">
        <f t="shared" ref="Q16" si="14">+Q15-Q9</f>
        <v>0</v>
      </c>
      <c r="R16" s="76">
        <f t="shared" ref="R16" si="15">+R15-R9</f>
        <v>0</v>
      </c>
      <c r="S16" s="76">
        <f t="shared" ref="S16" si="16">+S15-S9</f>
        <v>0</v>
      </c>
      <c r="T16" s="76">
        <f t="shared" ref="T16" si="17">+T15-T9</f>
        <v>0</v>
      </c>
      <c r="U16" s="76">
        <f t="shared" ref="U16" si="18">+U15-U9</f>
        <v>0</v>
      </c>
      <c r="V16" s="76"/>
      <c r="W16" s="76">
        <f>W15-'Historical Financials'!S17</f>
        <v>75246</v>
      </c>
      <c r="X16" s="76">
        <f>X15-'Historical Financials'!T17</f>
        <v>83267</v>
      </c>
      <c r="Y16" s="76">
        <f>Y15-'Historical Financials'!U17</f>
        <v>88344</v>
      </c>
      <c r="Z16" s="76">
        <f>Z15-'Historical Financials'!V17</f>
        <v>89423</v>
      </c>
      <c r="AA16" s="76">
        <f>AA15-'Historical Financials'!W17</f>
        <v>83536</v>
      </c>
      <c r="AB16" s="76">
        <f>AB15-'Historical Financials'!X17</f>
        <v>73765</v>
      </c>
      <c r="AC16" s="76">
        <f t="shared" ref="AC16" si="19">+AC15-AC9</f>
        <v>0</v>
      </c>
      <c r="AD16" s="76">
        <f t="shared" ref="AD16" si="20">+AD15-AD9</f>
        <v>0</v>
      </c>
      <c r="AE16" s="76">
        <f t="shared" ref="AE16" si="21">+AE15-AE9</f>
        <v>0</v>
      </c>
      <c r="AF16" s="76">
        <f t="shared" ref="AF16" si="22">+AF15-AF9</f>
        <v>0</v>
      </c>
    </row>
  </sheetData>
  <dataValidations count="1">
    <dataValidation type="list" allowBlank="1" showInputMessage="1" showErrorMessage="1" sqref="B4" xr:uid="{62176FD9-E514-4BEC-85E1-6C6963572068}">
      <formula1>"$ bns except per share, $ mm except per share,$ in thousands except per share"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C0D2-A617-43BF-9493-F1D2AA08251E}">
  <sheetPr>
    <tabColor theme="6" tint="-0.249977111117893"/>
  </sheetPr>
  <dimension ref="A2:AK77"/>
  <sheetViews>
    <sheetView showGridLines="0" zoomScaleNormal="100" workbookViewId="0">
      <selection activeCell="B2" sqref="B2"/>
    </sheetView>
  </sheetViews>
  <sheetFormatPr defaultRowHeight="12" outlineLevelCol="1"/>
  <cols>
    <col min="1" max="1" width="1.5" style="8" customWidth="1"/>
    <col min="2" max="2" width="41.625" style="8" customWidth="1"/>
    <col min="3" max="3" width="8.625" style="8" hidden="1" customWidth="1" outlineLevel="1"/>
    <col min="4" max="4" width="9" style="8" bestFit="1" customWidth="1" collapsed="1"/>
    <col min="5" max="5" width="9.25" style="8" bestFit="1" customWidth="1"/>
    <col min="6" max="6" width="9" style="8"/>
    <col min="7" max="7" width="1.5" style="8" customWidth="1"/>
    <col min="8" max="11" width="7.875" style="8" hidden="1" customWidth="1" outlineLevel="1"/>
    <col min="12" max="12" width="9" style="8" hidden="1" customWidth="1" outlineLevel="1"/>
    <col min="13" max="13" width="8.5" style="8" hidden="1" customWidth="1" outlineLevel="1"/>
    <col min="14" max="14" width="7.875" style="8" hidden="1" customWidth="1" outlineLevel="1"/>
    <col min="15" max="15" width="9" style="8" hidden="1" customWidth="1" outlineLevel="1"/>
    <col min="16" max="16" width="9.25" style="8" hidden="1" customWidth="1" outlineLevel="1"/>
    <col min="17" max="17" width="9.75" style="8" hidden="1" customWidth="1" outlineLevel="1"/>
    <col min="18" max="18" width="9" style="8" customWidth="1" collapsed="1"/>
    <col min="19" max="21" width="9" style="8" bestFit="1" customWidth="1"/>
    <col min="22" max="22" width="8.5" style="8" bestFit="1" customWidth="1"/>
    <col min="23" max="23" width="1.625" style="8" customWidth="1"/>
    <col min="24" max="24" width="9" style="8" hidden="1" customWidth="1" outlineLevel="1"/>
    <col min="25" max="25" width="8.625" style="8" hidden="1" customWidth="1" outlineLevel="1"/>
    <col min="26" max="26" width="8.5" style="8" hidden="1" customWidth="1" outlineLevel="1"/>
    <col min="27" max="28" width="8.25" style="8" hidden="1" customWidth="1" outlineLevel="1"/>
    <col min="29" max="29" width="9.25" style="8" hidden="1" customWidth="1" outlineLevel="1"/>
    <col min="30" max="30" width="9.75" style="8" hidden="1" customWidth="1" outlineLevel="1"/>
    <col min="31" max="31" width="9" style="8" bestFit="1" customWidth="1" collapsed="1"/>
    <col min="32" max="34" width="9" style="8" hidden="1" customWidth="1" outlineLevel="1"/>
    <col min="35" max="35" width="8.5" style="8" bestFit="1" customWidth="1" collapsed="1"/>
    <col min="36" max="36" width="1.5" style="8" customWidth="1"/>
    <col min="37" max="37" width="8.375" style="117" bestFit="1" customWidth="1"/>
    <col min="38" max="16384" width="9" style="8"/>
  </cols>
  <sheetData>
    <row r="2" spans="2:37" s="5" customFormat="1" ht="12.75" customHeight="1">
      <c r="B2" s="1" t="s">
        <v>136</v>
      </c>
      <c r="C2" s="2"/>
      <c r="D2" s="2" t="s">
        <v>0</v>
      </c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/>
      <c r="Q2" s="2" t="s">
        <v>1</v>
      </c>
      <c r="R2" s="2" t="s">
        <v>1</v>
      </c>
      <c r="S2" s="2"/>
      <c r="T2" s="2"/>
      <c r="U2" s="2"/>
      <c r="V2" s="2"/>
      <c r="W2" s="3"/>
      <c r="X2" s="2" t="s">
        <v>9</v>
      </c>
      <c r="Y2" s="2"/>
      <c r="Z2" s="2"/>
      <c r="AA2" s="2"/>
      <c r="AB2" s="2"/>
      <c r="AC2" s="2"/>
      <c r="AD2" s="2"/>
      <c r="AE2" s="2" t="s">
        <v>9</v>
      </c>
      <c r="AF2" s="2"/>
      <c r="AG2" s="2"/>
      <c r="AH2" s="2"/>
      <c r="AI2" s="2"/>
      <c r="AJ2" s="3"/>
      <c r="AK2" s="144" t="s">
        <v>24</v>
      </c>
    </row>
    <row r="3" spans="2:37" s="5" customFormat="1" ht="12.75" customHeight="1">
      <c r="B3" s="6" t="s">
        <v>25</v>
      </c>
      <c r="C3" s="7" t="e">
        <f>'Historical Financials'!#REF!</f>
        <v>#REF!</v>
      </c>
      <c r="D3" s="7">
        <f>'Historical Financials'!C7</f>
        <v>2021</v>
      </c>
      <c r="E3" s="7">
        <f>'Historical Financials'!D7</f>
        <v>2022</v>
      </c>
      <c r="F3" s="7">
        <f>'Historical Financials'!E7</f>
        <v>2023</v>
      </c>
      <c r="G3" s="3"/>
      <c r="H3" s="7" t="str">
        <f>'Historical Financials'!G7</f>
        <v>1Q22</v>
      </c>
      <c r="I3" s="7" t="str">
        <f>'Historical Financials'!H7</f>
        <v>2Q22</v>
      </c>
      <c r="J3" s="7" t="str">
        <f>'Historical Financials'!I7</f>
        <v>3Q22</v>
      </c>
      <c r="K3" s="7" t="str">
        <f>'Historical Financials'!J7</f>
        <v>4Q22</v>
      </c>
      <c r="L3" s="7" t="str">
        <f>'Historical Financials'!K7</f>
        <v>1Q23</v>
      </c>
      <c r="M3" s="7" t="str">
        <f>'Historical Financials'!L7</f>
        <v>2Q23</v>
      </c>
      <c r="N3" s="7" t="str">
        <f>'Historical Financials'!M7</f>
        <v>3Q23</v>
      </c>
      <c r="O3" s="7" t="str">
        <f>'Historical Financials'!N7</f>
        <v>4Q23</v>
      </c>
      <c r="P3" s="7" t="str">
        <f>'Historical Financials'!O7</f>
        <v>1Q24</v>
      </c>
      <c r="Q3" s="7" t="str">
        <f>'Historical Financials'!P7</f>
        <v>2Q24</v>
      </c>
      <c r="R3" s="7" t="str">
        <f>'Historical Financials'!Q7</f>
        <v>3Q24</v>
      </c>
      <c r="S3" s="7" t="e">
        <f>'Historical Financials'!#REF!</f>
        <v>#REF!</v>
      </c>
      <c r="T3" s="7" t="e">
        <f>'Historical Financials'!#REF!</f>
        <v>#REF!</v>
      </c>
      <c r="U3" s="7" t="e">
        <f>'Historical Financials'!#REF!</f>
        <v>#REF!</v>
      </c>
      <c r="V3" s="7" t="e">
        <f>'Historical Financials'!#REF!</f>
        <v>#REF!</v>
      </c>
      <c r="W3" s="3"/>
      <c r="X3" s="4" t="str">
        <f t="shared" ref="X3:AH4" si="0">K3</f>
        <v>4Q22</v>
      </c>
      <c r="Y3" s="4" t="str">
        <f t="shared" si="0"/>
        <v>1Q23</v>
      </c>
      <c r="Z3" s="4" t="str">
        <f t="shared" si="0"/>
        <v>2Q23</v>
      </c>
      <c r="AA3" s="4" t="str">
        <f t="shared" si="0"/>
        <v>3Q23</v>
      </c>
      <c r="AB3" s="4" t="str">
        <f t="shared" si="0"/>
        <v>4Q23</v>
      </c>
      <c r="AC3" s="4" t="str">
        <f t="shared" si="0"/>
        <v>1Q24</v>
      </c>
      <c r="AD3" s="4" t="str">
        <f t="shared" si="0"/>
        <v>2Q24</v>
      </c>
      <c r="AE3" s="4" t="str">
        <f t="shared" si="0"/>
        <v>3Q24</v>
      </c>
      <c r="AF3" s="4" t="e">
        <f t="shared" si="0"/>
        <v>#REF!</v>
      </c>
      <c r="AG3" s="4" t="e">
        <f t="shared" si="0"/>
        <v>#REF!</v>
      </c>
      <c r="AH3" s="4" t="e">
        <f t="shared" si="0"/>
        <v>#REF!</v>
      </c>
      <c r="AI3" s="4" t="e">
        <f>V3</f>
        <v>#REF!</v>
      </c>
      <c r="AJ3" s="3"/>
      <c r="AK3" s="144"/>
    </row>
    <row r="4" spans="2:37" s="5" customFormat="1" ht="12.75" customHeight="1">
      <c r="B4" s="6" t="s">
        <v>131</v>
      </c>
      <c r="C4" s="3" t="e">
        <f>'Historical Financials'!#REF!</f>
        <v>#REF!</v>
      </c>
      <c r="D4" s="3">
        <f>'Historical Financials'!C8</f>
        <v>44561</v>
      </c>
      <c r="E4" s="3">
        <f>'Historical Financials'!D8</f>
        <v>44926</v>
      </c>
      <c r="F4" s="3">
        <f>'Historical Financials'!E8</f>
        <v>45291</v>
      </c>
      <c r="G4" s="3"/>
      <c r="H4" s="3">
        <f>'Historical Financials'!G8</f>
        <v>44651</v>
      </c>
      <c r="I4" s="3">
        <f>'Historical Financials'!H8</f>
        <v>44742</v>
      </c>
      <c r="J4" s="3">
        <f>'Historical Financials'!I8</f>
        <v>44834</v>
      </c>
      <c r="K4" s="3">
        <f>'Historical Financials'!J8</f>
        <v>44926</v>
      </c>
      <c r="L4" s="3">
        <f>'Historical Financials'!K8</f>
        <v>45016</v>
      </c>
      <c r="M4" s="3">
        <f>'Historical Financials'!L8</f>
        <v>45107</v>
      </c>
      <c r="N4" s="3">
        <f>'Historical Financials'!M8</f>
        <v>45199</v>
      </c>
      <c r="O4" s="3">
        <f>'Historical Financials'!N8</f>
        <v>45291</v>
      </c>
      <c r="P4" s="3">
        <f>'Historical Financials'!O8</f>
        <v>45382</v>
      </c>
      <c r="Q4" s="3">
        <f>'Historical Financials'!P8</f>
        <v>45473</v>
      </c>
      <c r="R4" s="3">
        <f>'Historical Financials'!Q8</f>
        <v>45565</v>
      </c>
      <c r="S4" s="3" t="e">
        <f>'Historical Financials'!#REF!</f>
        <v>#REF!</v>
      </c>
      <c r="T4" s="3" t="e">
        <f>'Historical Financials'!#REF!</f>
        <v>#REF!</v>
      </c>
      <c r="U4" s="3" t="e">
        <f>'Historical Financials'!#REF!</f>
        <v>#REF!</v>
      </c>
      <c r="V4" s="3" t="e">
        <f>'Historical Financials'!#REF!</f>
        <v>#REF!</v>
      </c>
      <c r="W4" s="3"/>
      <c r="X4" s="3">
        <f t="shared" si="0"/>
        <v>44926</v>
      </c>
      <c r="Y4" s="3">
        <f t="shared" si="0"/>
        <v>45016</v>
      </c>
      <c r="Z4" s="3">
        <f t="shared" si="0"/>
        <v>45107</v>
      </c>
      <c r="AA4" s="3">
        <f t="shared" si="0"/>
        <v>45199</v>
      </c>
      <c r="AB4" s="3">
        <f t="shared" si="0"/>
        <v>45291</v>
      </c>
      <c r="AC4" s="3">
        <f t="shared" si="0"/>
        <v>45382</v>
      </c>
      <c r="AD4" s="3">
        <f t="shared" si="0"/>
        <v>45473</v>
      </c>
      <c r="AE4" s="3">
        <f t="shared" si="0"/>
        <v>45565</v>
      </c>
      <c r="AF4" s="3" t="e">
        <f t="shared" si="0"/>
        <v>#REF!</v>
      </c>
      <c r="AG4" s="3" t="e">
        <f t="shared" si="0"/>
        <v>#REF!</v>
      </c>
      <c r="AH4" s="3" t="e">
        <f t="shared" si="0"/>
        <v>#REF!</v>
      </c>
      <c r="AI4" s="3" t="e">
        <f>V4</f>
        <v>#REF!</v>
      </c>
      <c r="AJ4" s="3"/>
      <c r="AK4" s="144"/>
    </row>
    <row r="5" spans="2:37" ht="5.0999999999999996" customHeight="1">
      <c r="AK5" s="113"/>
    </row>
    <row r="6" spans="2:37" ht="12.75" customHeight="1">
      <c r="B6" s="9"/>
      <c r="C6" s="133"/>
      <c r="D6" s="85"/>
      <c r="E6" s="85"/>
      <c r="F6" s="85"/>
      <c r="G6" s="10"/>
      <c r="H6" s="133"/>
      <c r="I6" s="133"/>
      <c r="J6" s="133"/>
      <c r="K6" s="133"/>
      <c r="L6" s="133"/>
      <c r="M6" s="133"/>
      <c r="N6" s="133"/>
      <c r="O6" s="133"/>
      <c r="P6" s="85">
        <f>'Revenue Drivers'!P7</f>
        <v>0</v>
      </c>
      <c r="Q6" s="85">
        <f>'Revenue Drivers'!Q7</f>
        <v>0</v>
      </c>
      <c r="R6" s="85"/>
      <c r="S6" s="85"/>
      <c r="T6" s="85"/>
      <c r="U6" s="85"/>
      <c r="V6" s="85"/>
      <c r="W6" s="5"/>
      <c r="X6" s="133"/>
      <c r="Y6" s="133"/>
      <c r="Z6" s="133"/>
      <c r="AA6" s="133"/>
      <c r="AB6" s="133"/>
      <c r="AC6" s="10">
        <f t="shared" ref="AB6:AH8" si="1">SUM(M6:P6)</f>
        <v>0</v>
      </c>
      <c r="AD6" s="10">
        <f t="shared" si="1"/>
        <v>0</v>
      </c>
      <c r="AE6" s="10">
        <f t="shared" si="1"/>
        <v>0</v>
      </c>
      <c r="AF6" s="10">
        <f t="shared" si="1"/>
        <v>0</v>
      </c>
      <c r="AG6" s="10">
        <f t="shared" si="1"/>
        <v>0</v>
      </c>
      <c r="AH6" s="10">
        <f t="shared" si="1"/>
        <v>0</v>
      </c>
      <c r="AI6" s="10">
        <f>SUM(S6:V6)</f>
        <v>0</v>
      </c>
      <c r="AK6" s="114" t="e">
        <f>SUM(AI6/AE6)-1</f>
        <v>#DIV/0!</v>
      </c>
    </row>
    <row r="7" spans="2:37" ht="12.75" customHeight="1">
      <c r="B7" s="9"/>
      <c r="C7" s="133"/>
      <c r="D7" s="85"/>
      <c r="E7" s="85"/>
      <c r="F7" s="85"/>
      <c r="G7" s="10"/>
      <c r="H7" s="133"/>
      <c r="I7" s="133"/>
      <c r="J7" s="133"/>
      <c r="K7" s="133"/>
      <c r="L7" s="133"/>
      <c r="M7" s="133"/>
      <c r="N7" s="133"/>
      <c r="O7" s="133"/>
      <c r="P7" s="85">
        <f>'Revenue Drivers'!P8</f>
        <v>0</v>
      </c>
      <c r="Q7" s="85">
        <f>'Revenue Drivers'!Q8</f>
        <v>0</v>
      </c>
      <c r="R7" s="85"/>
      <c r="S7" s="85"/>
      <c r="T7" s="85"/>
      <c r="U7" s="85"/>
      <c r="V7" s="85"/>
      <c r="W7" s="5"/>
      <c r="X7" s="133"/>
      <c r="Y7" s="133"/>
      <c r="Z7" s="133"/>
      <c r="AA7" s="133"/>
      <c r="AB7" s="133"/>
      <c r="AC7" s="10">
        <f t="shared" si="1"/>
        <v>0</v>
      </c>
      <c r="AD7" s="10">
        <f t="shared" si="1"/>
        <v>0</v>
      </c>
      <c r="AE7" s="10">
        <f t="shared" si="1"/>
        <v>0</v>
      </c>
      <c r="AF7" s="10">
        <f t="shared" si="1"/>
        <v>0</v>
      </c>
      <c r="AG7" s="10">
        <f t="shared" si="1"/>
        <v>0</v>
      </c>
      <c r="AH7" s="10">
        <f t="shared" si="1"/>
        <v>0</v>
      </c>
      <c r="AI7" s="10">
        <f>SUM(S7:V7)</f>
        <v>0</v>
      </c>
      <c r="AK7" s="114" t="e">
        <f>SUM(AI7/AE7)-1</f>
        <v>#DIV/0!</v>
      </c>
    </row>
    <row r="8" spans="2:37" ht="12.75" customHeight="1">
      <c r="B8" s="12" t="s">
        <v>11</v>
      </c>
      <c r="C8" s="13" t="e">
        <f>'Historical Financials'!#REF!</f>
        <v>#REF!</v>
      </c>
      <c r="D8" s="13">
        <f>SUM(D6:D7)</f>
        <v>0</v>
      </c>
      <c r="E8" s="13">
        <f>SUM(E6:E7)</f>
        <v>0</v>
      </c>
      <c r="F8" s="13">
        <f>SUM(F6:F7)</f>
        <v>0</v>
      </c>
      <c r="G8" s="10"/>
      <c r="H8" s="13">
        <f>'Historical Financials'!G11</f>
        <v>0</v>
      </c>
      <c r="I8" s="13">
        <f>'Historical Financials'!H11</f>
        <v>0</v>
      </c>
      <c r="J8" s="13">
        <f>'Historical Financials'!I11</f>
        <v>0</v>
      </c>
      <c r="K8" s="13">
        <f>'Historical Financials'!J11</f>
        <v>0</v>
      </c>
      <c r="L8" s="13">
        <f>'Historical Financials'!K11</f>
        <v>0</v>
      </c>
      <c r="M8" s="13">
        <f>'Historical Financials'!L11</f>
        <v>0</v>
      </c>
      <c r="N8" s="13">
        <f>'Historical Financials'!M11</f>
        <v>0</v>
      </c>
      <c r="O8" s="13">
        <f>'Historical Financials'!N11</f>
        <v>0</v>
      </c>
      <c r="P8" s="13">
        <f t="shared" ref="P8:V8" si="2">SUM(P6:P7)</f>
        <v>0</v>
      </c>
      <c r="Q8" s="13">
        <f t="shared" si="2"/>
        <v>0</v>
      </c>
      <c r="R8" s="13">
        <f t="shared" si="2"/>
        <v>0</v>
      </c>
      <c r="S8" s="13">
        <f t="shared" si="2"/>
        <v>0</v>
      </c>
      <c r="T8" s="13">
        <f t="shared" si="2"/>
        <v>0</v>
      </c>
      <c r="U8" s="13">
        <f t="shared" si="2"/>
        <v>0</v>
      </c>
      <c r="V8" s="13">
        <f t="shared" si="2"/>
        <v>0</v>
      </c>
      <c r="W8" s="5"/>
      <c r="X8" s="13">
        <f t="shared" ref="X8" si="3">SUM(H8:K8)</f>
        <v>0</v>
      </c>
      <c r="Y8" s="13">
        <f t="shared" ref="Y8" si="4">SUM(I8:L8)</f>
        <v>0</v>
      </c>
      <c r="Z8" s="13">
        <f t="shared" ref="Z8" si="5">SUM(J8:M8)</f>
        <v>0</v>
      </c>
      <c r="AA8" s="13">
        <f t="shared" ref="AA8" si="6">SUM(K8:N8)</f>
        <v>0</v>
      </c>
      <c r="AB8" s="13">
        <f t="shared" si="1"/>
        <v>0</v>
      </c>
      <c r="AC8" s="13">
        <f t="shared" ref="AC8:AH8" si="7">SUM(AC6:AC7)</f>
        <v>0</v>
      </c>
      <c r="AD8" s="13">
        <f t="shared" si="7"/>
        <v>0</v>
      </c>
      <c r="AE8" s="13">
        <f t="shared" si="7"/>
        <v>0</v>
      </c>
      <c r="AF8" s="13">
        <f t="shared" si="7"/>
        <v>0</v>
      </c>
      <c r="AG8" s="13">
        <f t="shared" si="7"/>
        <v>0</v>
      </c>
      <c r="AH8" s="13">
        <f t="shared" si="7"/>
        <v>0</v>
      </c>
      <c r="AI8" s="13">
        <f>SUM(AI6:AI7)</f>
        <v>0</v>
      </c>
      <c r="AK8" s="115" t="e">
        <f>SUM(AI8/AE8)-1</f>
        <v>#DIV/0!</v>
      </c>
    </row>
    <row r="9" spans="2:37" ht="12.75" customHeight="1">
      <c r="B9" s="14" t="s">
        <v>30</v>
      </c>
      <c r="C9" s="133"/>
      <c r="D9" s="15" t="e">
        <f>SUM(D8/C8)-1</f>
        <v>#REF!</v>
      </c>
      <c r="E9" s="15" t="e">
        <f>SUM(E8/D8)-1</f>
        <v>#DIV/0!</v>
      </c>
      <c r="F9" s="15" t="e">
        <f>SUM(F8/E8)-1</f>
        <v>#DIV/0!</v>
      </c>
      <c r="G9" s="11"/>
      <c r="H9" s="133"/>
      <c r="I9" s="133"/>
      <c r="J9" s="133"/>
      <c r="K9" s="133"/>
      <c r="L9" s="133"/>
      <c r="M9" s="15" t="e">
        <f>SUM(M8/I8)-1</f>
        <v>#DIV/0!</v>
      </c>
      <c r="N9" s="15" t="e">
        <f t="shared" ref="N9:V9" si="8">SUM(N8/J8)-1</f>
        <v>#DIV/0!</v>
      </c>
      <c r="O9" s="15" t="e">
        <f t="shared" si="8"/>
        <v>#DIV/0!</v>
      </c>
      <c r="P9" s="15" t="e">
        <f t="shared" si="8"/>
        <v>#DIV/0!</v>
      </c>
      <c r="Q9" s="15" t="e">
        <f t="shared" si="8"/>
        <v>#DIV/0!</v>
      </c>
      <c r="R9" s="15" t="e">
        <f t="shared" si="8"/>
        <v>#DIV/0!</v>
      </c>
      <c r="S9" s="15" t="e">
        <f t="shared" si="8"/>
        <v>#DIV/0!</v>
      </c>
      <c r="T9" s="15" t="e">
        <f t="shared" si="8"/>
        <v>#DIV/0!</v>
      </c>
      <c r="U9" s="15" t="e">
        <f t="shared" si="8"/>
        <v>#DIV/0!</v>
      </c>
      <c r="V9" s="15" t="e">
        <f t="shared" si="8"/>
        <v>#DIV/0!</v>
      </c>
      <c r="W9" s="5"/>
      <c r="X9" s="104"/>
      <c r="Y9" s="104"/>
      <c r="Z9" s="104"/>
      <c r="AA9" s="104"/>
      <c r="AB9" s="15" t="e">
        <f t="shared" ref="AB9:AI9" si="9">SUM(AB8/X8)-1</f>
        <v>#DIV/0!</v>
      </c>
      <c r="AC9" s="15" t="e">
        <f t="shared" si="9"/>
        <v>#DIV/0!</v>
      </c>
      <c r="AD9" s="15" t="e">
        <f t="shared" si="9"/>
        <v>#DIV/0!</v>
      </c>
      <c r="AE9" s="15" t="e">
        <f t="shared" si="9"/>
        <v>#DIV/0!</v>
      </c>
      <c r="AF9" s="15" t="e">
        <f t="shared" si="9"/>
        <v>#DIV/0!</v>
      </c>
      <c r="AG9" s="15" t="e">
        <f t="shared" si="9"/>
        <v>#DIV/0!</v>
      </c>
      <c r="AH9" s="15" t="e">
        <f t="shared" si="9"/>
        <v>#DIV/0!</v>
      </c>
      <c r="AI9" s="15" t="e">
        <f t="shared" si="9"/>
        <v>#DIV/0!</v>
      </c>
      <c r="AK9" s="116" t="e">
        <f>SUM(AI9-AE9)*10000</f>
        <v>#DIV/0!</v>
      </c>
    </row>
    <row r="10" spans="2:37" ht="12.75" customHeight="1">
      <c r="B10" s="14" t="s">
        <v>31</v>
      </c>
      <c r="C10" s="15" t="s">
        <v>32</v>
      </c>
      <c r="D10" s="15" t="s">
        <v>32</v>
      </c>
      <c r="E10" s="15" t="s">
        <v>32</v>
      </c>
      <c r="F10" s="15" t="s">
        <v>32</v>
      </c>
      <c r="G10" s="11"/>
      <c r="H10" s="133"/>
      <c r="I10" s="133"/>
      <c r="J10" s="15" t="e">
        <f>SUM(J8/I8)-1</f>
        <v>#DIV/0!</v>
      </c>
      <c r="K10" s="15" t="e">
        <f t="shared" ref="K10:V10" si="10">SUM(K8/J8)-1</f>
        <v>#DIV/0!</v>
      </c>
      <c r="L10" s="15" t="e">
        <f t="shared" si="10"/>
        <v>#DIV/0!</v>
      </c>
      <c r="M10" s="15" t="e">
        <f t="shared" si="10"/>
        <v>#DIV/0!</v>
      </c>
      <c r="N10" s="15" t="e">
        <f t="shared" si="10"/>
        <v>#DIV/0!</v>
      </c>
      <c r="O10" s="15" t="e">
        <f t="shared" si="10"/>
        <v>#DIV/0!</v>
      </c>
      <c r="P10" s="15" t="e">
        <f t="shared" si="10"/>
        <v>#DIV/0!</v>
      </c>
      <c r="Q10" s="15" t="e">
        <f t="shared" si="10"/>
        <v>#DIV/0!</v>
      </c>
      <c r="R10" s="15" t="e">
        <f t="shared" si="10"/>
        <v>#DIV/0!</v>
      </c>
      <c r="S10" s="15" t="e">
        <f t="shared" si="10"/>
        <v>#DIV/0!</v>
      </c>
      <c r="T10" s="15" t="e">
        <f t="shared" si="10"/>
        <v>#DIV/0!</v>
      </c>
      <c r="U10" s="15" t="e">
        <f t="shared" si="10"/>
        <v>#DIV/0!</v>
      </c>
      <c r="V10" s="15" t="e">
        <f t="shared" si="10"/>
        <v>#DIV/0!</v>
      </c>
      <c r="W10" s="5"/>
      <c r="X10" s="15" t="s">
        <v>32</v>
      </c>
      <c r="Y10" s="15" t="s">
        <v>32</v>
      </c>
      <c r="Z10" s="15" t="s">
        <v>32</v>
      </c>
      <c r="AA10" s="15" t="s">
        <v>32</v>
      </c>
      <c r="AB10" s="15" t="s">
        <v>32</v>
      </c>
      <c r="AC10" s="15" t="s">
        <v>32</v>
      </c>
      <c r="AD10" s="15" t="s">
        <v>32</v>
      </c>
      <c r="AE10" s="15" t="s">
        <v>32</v>
      </c>
      <c r="AF10" s="15" t="s">
        <v>32</v>
      </c>
      <c r="AG10" s="15" t="s">
        <v>32</v>
      </c>
      <c r="AH10" s="15" t="s">
        <v>32</v>
      </c>
      <c r="AI10" s="15" t="s">
        <v>32</v>
      </c>
      <c r="AK10" s="113"/>
    </row>
    <row r="11" spans="2:37" ht="5.0999999999999996" customHeight="1">
      <c r="B11" s="16"/>
      <c r="C11" s="17"/>
      <c r="D11" s="17"/>
      <c r="E11" s="17"/>
      <c r="F11" s="17"/>
      <c r="G11" s="18"/>
      <c r="H11" s="19"/>
      <c r="I11" s="19"/>
      <c r="J11" s="19"/>
      <c r="K11" s="19"/>
      <c r="L11" s="20"/>
      <c r="M11" s="19"/>
      <c r="N11" s="19"/>
      <c r="O11" s="19"/>
      <c r="P11" s="20"/>
      <c r="Q11" s="19"/>
      <c r="R11" s="19"/>
      <c r="S11" s="19"/>
      <c r="T11" s="19"/>
      <c r="U11" s="19"/>
      <c r="V11" s="19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K11" s="113"/>
    </row>
    <row r="12" spans="2:37" ht="12.75" customHeight="1">
      <c r="B12" s="21" t="s">
        <v>33</v>
      </c>
      <c r="C12" s="85" t="e">
        <f>'Historical Financials'!#REF!</f>
        <v>#REF!</v>
      </c>
      <c r="D12" s="85"/>
      <c r="E12" s="85"/>
      <c r="F12" s="85"/>
      <c r="G12" s="10"/>
      <c r="H12" s="85">
        <f>'Historical Financials'!G13</f>
        <v>0</v>
      </c>
      <c r="I12" s="85">
        <f>'Historical Financials'!H13</f>
        <v>0</v>
      </c>
      <c r="J12" s="85">
        <f>'Historical Financials'!I13</f>
        <v>0</v>
      </c>
      <c r="K12" s="85">
        <f>'Historical Financials'!J13</f>
        <v>0</v>
      </c>
      <c r="L12" s="85">
        <f>'Historical Financials'!K13</f>
        <v>0</v>
      </c>
      <c r="M12" s="85">
        <f>'Historical Financials'!L13</f>
        <v>0</v>
      </c>
      <c r="N12" s="85">
        <f>'Historical Financials'!M13</f>
        <v>0</v>
      </c>
      <c r="O12" s="85">
        <f>'Historical Financials'!N13</f>
        <v>0</v>
      </c>
      <c r="P12" s="85">
        <f>'Historical Financials'!O13</f>
        <v>0</v>
      </c>
      <c r="Q12" s="85">
        <f>'Historical Financials'!P13</f>
        <v>0</v>
      </c>
      <c r="R12" s="85"/>
      <c r="S12" s="85"/>
      <c r="T12" s="85"/>
      <c r="U12" s="85"/>
      <c r="V12" s="85"/>
      <c r="W12" s="5"/>
      <c r="X12" s="10">
        <f>SUM(G12:K12)</f>
        <v>0</v>
      </c>
      <c r="Y12" s="10">
        <f t="shared" ref="Y12:AH12" si="11">SUM(I12:L12)</f>
        <v>0</v>
      </c>
      <c r="Z12" s="10">
        <f t="shared" si="11"/>
        <v>0</v>
      </c>
      <c r="AA12" s="10">
        <f t="shared" si="11"/>
        <v>0</v>
      </c>
      <c r="AB12" s="10">
        <f t="shared" si="11"/>
        <v>0</v>
      </c>
      <c r="AC12" s="10">
        <f t="shared" si="11"/>
        <v>0</v>
      </c>
      <c r="AD12" s="10">
        <f t="shared" si="11"/>
        <v>0</v>
      </c>
      <c r="AE12" s="10">
        <f t="shared" si="11"/>
        <v>0</v>
      </c>
      <c r="AF12" s="10">
        <f t="shared" si="11"/>
        <v>0</v>
      </c>
      <c r="AG12" s="10">
        <f t="shared" si="11"/>
        <v>0</v>
      </c>
      <c r="AH12" s="10">
        <f t="shared" si="11"/>
        <v>0</v>
      </c>
      <c r="AI12" s="10">
        <f>SUM(S12:V12)</f>
        <v>0</v>
      </c>
      <c r="AK12" s="114" t="e">
        <f>SUM(AI12/AE12)-1</f>
        <v>#DIV/0!</v>
      </c>
    </row>
    <row r="13" spans="2:37" ht="12.75" customHeight="1">
      <c r="B13" s="23" t="s">
        <v>22</v>
      </c>
      <c r="C13" s="24" t="e">
        <f>+C8+C12</f>
        <v>#REF!</v>
      </c>
      <c r="D13" s="24">
        <f>+D8+D12</f>
        <v>0</v>
      </c>
      <c r="E13" s="24">
        <f>+E8+E12</f>
        <v>0</v>
      </c>
      <c r="F13" s="24">
        <f>+F8+F12</f>
        <v>0</v>
      </c>
      <c r="G13" s="5"/>
      <c r="H13" s="24">
        <f t="shared" ref="H13" si="12">+H8+H12</f>
        <v>0</v>
      </c>
      <c r="I13" s="24">
        <f t="shared" ref="I13:V13" si="13">+I8+I12</f>
        <v>0</v>
      </c>
      <c r="J13" s="24">
        <f t="shared" si="13"/>
        <v>0</v>
      </c>
      <c r="K13" s="24">
        <f t="shared" si="13"/>
        <v>0</v>
      </c>
      <c r="L13" s="24">
        <f t="shared" si="13"/>
        <v>0</v>
      </c>
      <c r="M13" s="24">
        <f t="shared" si="13"/>
        <v>0</v>
      </c>
      <c r="N13" s="24">
        <f t="shared" si="13"/>
        <v>0</v>
      </c>
      <c r="O13" s="24">
        <f t="shared" si="13"/>
        <v>0</v>
      </c>
      <c r="P13" s="24">
        <f t="shared" si="13"/>
        <v>0</v>
      </c>
      <c r="Q13" s="24">
        <f t="shared" si="13"/>
        <v>0</v>
      </c>
      <c r="R13" s="24">
        <f t="shared" si="13"/>
        <v>0</v>
      </c>
      <c r="S13" s="24">
        <f t="shared" si="13"/>
        <v>0</v>
      </c>
      <c r="T13" s="24">
        <f t="shared" si="13"/>
        <v>0</v>
      </c>
      <c r="U13" s="24">
        <f t="shared" si="13"/>
        <v>0</v>
      </c>
      <c r="V13" s="24">
        <f t="shared" si="13"/>
        <v>0</v>
      </c>
      <c r="W13" s="5"/>
      <c r="X13" s="24">
        <f t="shared" ref="X13:AH13" si="14">+X8+X12</f>
        <v>0</v>
      </c>
      <c r="Y13" s="24">
        <f t="shared" si="14"/>
        <v>0</v>
      </c>
      <c r="Z13" s="24">
        <f t="shared" si="14"/>
        <v>0</v>
      </c>
      <c r="AA13" s="24">
        <f t="shared" si="14"/>
        <v>0</v>
      </c>
      <c r="AB13" s="24">
        <f t="shared" si="14"/>
        <v>0</v>
      </c>
      <c r="AC13" s="24">
        <f t="shared" si="14"/>
        <v>0</v>
      </c>
      <c r="AD13" s="24">
        <f t="shared" si="14"/>
        <v>0</v>
      </c>
      <c r="AE13" s="24">
        <f t="shared" si="14"/>
        <v>0</v>
      </c>
      <c r="AF13" s="24">
        <f t="shared" si="14"/>
        <v>0</v>
      </c>
      <c r="AG13" s="24">
        <f t="shared" si="14"/>
        <v>0</v>
      </c>
      <c r="AH13" s="24">
        <f t="shared" si="14"/>
        <v>0</v>
      </c>
      <c r="AI13" s="24">
        <f>+AI8+AI12</f>
        <v>0</v>
      </c>
      <c r="AK13" s="115" t="e">
        <f>SUM(AI13/AE13)-1</f>
        <v>#DIV/0!</v>
      </c>
    </row>
    <row r="14" spans="2:37" ht="12.75" customHeight="1">
      <c r="B14" s="14" t="s">
        <v>34</v>
      </c>
      <c r="C14" s="15" t="e">
        <f>C13/C8</f>
        <v>#REF!</v>
      </c>
      <c r="D14" s="15" t="e">
        <f>D13/D8</f>
        <v>#DIV/0!</v>
      </c>
      <c r="E14" s="15" t="e">
        <f>E13/E8</f>
        <v>#DIV/0!</v>
      </c>
      <c r="F14" s="15" t="e">
        <f>F13/F8</f>
        <v>#DIV/0!</v>
      </c>
      <c r="G14" s="25"/>
      <c r="H14" s="15" t="e">
        <f t="shared" ref="H14" si="15">H13/H8</f>
        <v>#DIV/0!</v>
      </c>
      <c r="I14" s="15" t="e">
        <f t="shared" ref="I14:V14" si="16">I13/I8</f>
        <v>#DIV/0!</v>
      </c>
      <c r="J14" s="15" t="e">
        <f t="shared" si="16"/>
        <v>#DIV/0!</v>
      </c>
      <c r="K14" s="15" t="e">
        <f t="shared" si="16"/>
        <v>#DIV/0!</v>
      </c>
      <c r="L14" s="15" t="e">
        <f t="shared" si="16"/>
        <v>#DIV/0!</v>
      </c>
      <c r="M14" s="15" t="e">
        <f t="shared" si="16"/>
        <v>#DIV/0!</v>
      </c>
      <c r="N14" s="15" t="e">
        <f t="shared" si="16"/>
        <v>#DIV/0!</v>
      </c>
      <c r="O14" s="15" t="e">
        <f t="shared" si="16"/>
        <v>#DIV/0!</v>
      </c>
      <c r="P14" s="15" t="e">
        <f t="shared" si="16"/>
        <v>#DIV/0!</v>
      </c>
      <c r="Q14" s="15" t="e">
        <f t="shared" si="16"/>
        <v>#DIV/0!</v>
      </c>
      <c r="R14" s="15" t="e">
        <f t="shared" si="16"/>
        <v>#DIV/0!</v>
      </c>
      <c r="S14" s="15" t="e">
        <f t="shared" si="16"/>
        <v>#DIV/0!</v>
      </c>
      <c r="T14" s="15" t="e">
        <f t="shared" si="16"/>
        <v>#DIV/0!</v>
      </c>
      <c r="U14" s="15" t="e">
        <f t="shared" si="16"/>
        <v>#DIV/0!</v>
      </c>
      <c r="V14" s="15" t="e">
        <f t="shared" si="16"/>
        <v>#DIV/0!</v>
      </c>
      <c r="W14" s="26"/>
      <c r="X14" s="15" t="e">
        <f t="shared" ref="X14:AH14" si="17">X13/X8</f>
        <v>#DIV/0!</v>
      </c>
      <c r="Y14" s="15" t="e">
        <f t="shared" si="17"/>
        <v>#DIV/0!</v>
      </c>
      <c r="Z14" s="15" t="e">
        <f t="shared" si="17"/>
        <v>#DIV/0!</v>
      </c>
      <c r="AA14" s="15" t="e">
        <f t="shared" si="17"/>
        <v>#DIV/0!</v>
      </c>
      <c r="AB14" s="15" t="e">
        <f t="shared" si="17"/>
        <v>#DIV/0!</v>
      </c>
      <c r="AC14" s="15" t="e">
        <f t="shared" si="17"/>
        <v>#DIV/0!</v>
      </c>
      <c r="AD14" s="15" t="e">
        <f t="shared" si="17"/>
        <v>#DIV/0!</v>
      </c>
      <c r="AE14" s="15" t="e">
        <f t="shared" si="17"/>
        <v>#DIV/0!</v>
      </c>
      <c r="AF14" s="15" t="e">
        <f t="shared" si="17"/>
        <v>#DIV/0!</v>
      </c>
      <c r="AG14" s="15" t="e">
        <f t="shared" si="17"/>
        <v>#DIV/0!</v>
      </c>
      <c r="AH14" s="15" t="e">
        <f t="shared" si="17"/>
        <v>#DIV/0!</v>
      </c>
      <c r="AI14" s="15" t="e">
        <f>AI13/AI8</f>
        <v>#DIV/0!</v>
      </c>
      <c r="AK14" s="116" t="e">
        <f>SUM(AI14-AE14)*10000</f>
        <v>#DIV/0!</v>
      </c>
    </row>
    <row r="15" spans="2:37" ht="5.0999999999999996" customHeight="1">
      <c r="B15" s="27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5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K15" s="113"/>
    </row>
    <row r="16" spans="2:37" ht="12.75" customHeight="1">
      <c r="B16" s="21" t="s">
        <v>118</v>
      </c>
      <c r="C16" s="85" t="e">
        <f>'Historical Financials'!#REF!</f>
        <v>#REF!</v>
      </c>
      <c r="D16" s="85"/>
      <c r="E16" s="85"/>
      <c r="F16" s="85"/>
      <c r="G16" s="85"/>
      <c r="H16" s="85">
        <f>'Historical Financials'!G17</f>
        <v>-14906</v>
      </c>
      <c r="I16" s="85">
        <f>'Historical Financials'!H17</f>
        <v>-16948</v>
      </c>
      <c r="J16" s="85">
        <f>'Historical Financials'!I17</f>
        <v>-18526</v>
      </c>
      <c r="K16" s="85">
        <f>'Historical Financials'!J17</f>
        <v>-17652</v>
      </c>
      <c r="L16" s="85">
        <f>'Historical Financials'!K17</f>
        <v>-22120</v>
      </c>
      <c r="M16" s="85">
        <f>'Historical Financials'!L17</f>
        <v>-24969</v>
      </c>
      <c r="N16" s="85">
        <f>'Historical Financials'!M17</f>
        <v>-23603</v>
      </c>
      <c r="O16" s="85">
        <f>'Historical Financials'!N17</f>
        <v>-18731</v>
      </c>
      <c r="P16" s="85">
        <f>'Historical Financials'!O17</f>
        <v>-16233</v>
      </c>
      <c r="Q16" s="85">
        <f>'Historical Financials'!P17</f>
        <v>-15198</v>
      </c>
      <c r="R16" s="85"/>
      <c r="S16" s="85"/>
      <c r="T16" s="85"/>
      <c r="U16" s="85"/>
      <c r="V16" s="85"/>
      <c r="W16" s="5"/>
      <c r="X16" s="10">
        <f t="shared" ref="X16:X19" si="18">SUM(G16:K16)</f>
        <v>-68032</v>
      </c>
      <c r="Y16" s="10">
        <f t="shared" ref="Y16:Y19" si="19">SUM(I16:L16)</f>
        <v>-75246</v>
      </c>
      <c r="Z16" s="10">
        <f t="shared" ref="Z16:Z19" si="20">SUM(J16:M16)</f>
        <v>-83267</v>
      </c>
      <c r="AA16" s="10">
        <f t="shared" ref="AA16:AA19" si="21">SUM(K16:N16)</f>
        <v>-88344</v>
      </c>
      <c r="AB16" s="10">
        <f t="shared" ref="AB16:AB19" si="22">SUM(L16:O16)</f>
        <v>-89423</v>
      </c>
      <c r="AC16" s="10">
        <f t="shared" ref="AC16:AC19" si="23">SUM(M16:P16)</f>
        <v>-83536</v>
      </c>
      <c r="AD16" s="10">
        <f t="shared" ref="AD16:AD19" si="24">SUM(N16:Q16)</f>
        <v>-73765</v>
      </c>
      <c r="AE16" s="10">
        <f t="shared" ref="AE16:AE19" si="25">SUM(O16:R16)</f>
        <v>-50162</v>
      </c>
      <c r="AF16" s="10">
        <f t="shared" ref="AF16:AF19" si="26">SUM(P16:S16)</f>
        <v>-31431</v>
      </c>
      <c r="AG16" s="10">
        <f t="shared" ref="AG16:AG19" si="27">SUM(Q16:T16)</f>
        <v>-15198</v>
      </c>
      <c r="AH16" s="10">
        <f t="shared" ref="AH16:AH19" si="28">SUM(R16:U16)</f>
        <v>0</v>
      </c>
      <c r="AI16" s="10">
        <f t="shared" ref="AI16:AI19" si="29">SUM(S16:V16)</f>
        <v>0</v>
      </c>
      <c r="AK16" s="114">
        <f>SUM(AI16/AE16)-1</f>
        <v>-1</v>
      </c>
    </row>
    <row r="17" spans="2:37" ht="12.75" customHeight="1">
      <c r="B17" s="21" t="s">
        <v>119</v>
      </c>
      <c r="C17" s="85" t="e">
        <f>'Historical Financials'!#REF!</f>
        <v>#REF!</v>
      </c>
      <c r="D17" s="85"/>
      <c r="E17" s="85"/>
      <c r="F17" s="85"/>
      <c r="G17" s="85"/>
      <c r="H17" s="85">
        <f>'Historical Financials'!G18</f>
        <v>-2915</v>
      </c>
      <c r="I17" s="85">
        <f>'Historical Financials'!H18</f>
        <v>-2969</v>
      </c>
      <c r="J17" s="85">
        <f>'Historical Financials'!I18</f>
        <v>-2819</v>
      </c>
      <c r="K17" s="85">
        <f>'Historical Financials'!J18</f>
        <v>-3285</v>
      </c>
      <c r="L17" s="85">
        <f>'Historical Financials'!K18</f>
        <v>-4392</v>
      </c>
      <c r="M17" s="85">
        <f>'Historical Financials'!L18</f>
        <v>-3808</v>
      </c>
      <c r="N17" s="85">
        <f>'Historical Financials'!M18</f>
        <v>-4276</v>
      </c>
      <c r="O17" s="85">
        <f>'Historical Financials'!N18</f>
        <v>-4058</v>
      </c>
      <c r="P17" s="85">
        <f>'Historical Financials'!O18</f>
        <v>-3701</v>
      </c>
      <c r="Q17" s="85">
        <f>'Historical Financials'!P18</f>
        <v>-46204</v>
      </c>
      <c r="R17" s="85"/>
      <c r="S17" s="85"/>
      <c r="T17" s="85"/>
      <c r="U17" s="85"/>
      <c r="V17" s="85"/>
      <c r="W17" s="5"/>
      <c r="X17" s="10">
        <f t="shared" si="18"/>
        <v>-11988</v>
      </c>
      <c r="Y17" s="10">
        <f t="shared" si="19"/>
        <v>-13465</v>
      </c>
      <c r="Z17" s="10">
        <f t="shared" si="20"/>
        <v>-14304</v>
      </c>
      <c r="AA17" s="10">
        <f t="shared" si="21"/>
        <v>-15761</v>
      </c>
      <c r="AB17" s="10">
        <f t="shared" si="22"/>
        <v>-16534</v>
      </c>
      <c r="AC17" s="10">
        <f t="shared" si="23"/>
        <v>-15843</v>
      </c>
      <c r="AD17" s="10">
        <f t="shared" si="24"/>
        <v>-58239</v>
      </c>
      <c r="AE17" s="10">
        <f t="shared" si="25"/>
        <v>-53963</v>
      </c>
      <c r="AF17" s="10">
        <f t="shared" si="26"/>
        <v>-49905</v>
      </c>
      <c r="AG17" s="10">
        <f t="shared" si="27"/>
        <v>-46204</v>
      </c>
      <c r="AH17" s="10">
        <f t="shared" si="28"/>
        <v>0</v>
      </c>
      <c r="AI17" s="10">
        <f t="shared" si="29"/>
        <v>0</v>
      </c>
      <c r="AK17" s="114">
        <f t="shared" ref="AK17:AK18" si="30">SUM(AI17/AE17)-1</f>
        <v>-1</v>
      </c>
    </row>
    <row r="18" spans="2:37" ht="12.75" customHeight="1">
      <c r="B18" s="21" t="s">
        <v>120</v>
      </c>
      <c r="C18" s="85" t="e">
        <f>'Historical Financials'!#REF!</f>
        <v>#REF!</v>
      </c>
      <c r="D18" s="85"/>
      <c r="E18" s="85"/>
      <c r="F18" s="85"/>
      <c r="G18" s="85"/>
      <c r="H18" s="85" t="e">
        <f>'Historical Financials'!#REF!</f>
        <v>#REF!</v>
      </c>
      <c r="I18" s="85" t="e">
        <f>'Historical Financials'!#REF!</f>
        <v>#REF!</v>
      </c>
      <c r="J18" s="85" t="e">
        <f>'Historical Financials'!#REF!</f>
        <v>#REF!</v>
      </c>
      <c r="K18" s="85" t="e">
        <f>'Historical Financials'!#REF!</f>
        <v>#REF!</v>
      </c>
      <c r="L18" s="85" t="e">
        <f>'Historical Financials'!#REF!</f>
        <v>#REF!</v>
      </c>
      <c r="M18" s="85" t="e">
        <f>'Historical Financials'!#REF!</f>
        <v>#REF!</v>
      </c>
      <c r="N18" s="85" t="e">
        <f>'Historical Financials'!#REF!</f>
        <v>#REF!</v>
      </c>
      <c r="O18" s="85" t="e">
        <f>'Historical Financials'!#REF!</f>
        <v>#REF!</v>
      </c>
      <c r="P18" s="85" t="e">
        <f>'Historical Financials'!#REF!</f>
        <v>#REF!</v>
      </c>
      <c r="Q18" s="85" t="e">
        <f>'Historical Financials'!#REF!</f>
        <v>#REF!</v>
      </c>
      <c r="R18" s="85"/>
      <c r="S18" s="85"/>
      <c r="T18" s="85"/>
      <c r="U18" s="85"/>
      <c r="V18" s="85"/>
      <c r="W18" s="5"/>
      <c r="X18" s="10" t="e">
        <f t="shared" si="18"/>
        <v>#REF!</v>
      </c>
      <c r="Y18" s="10" t="e">
        <f t="shared" si="19"/>
        <v>#REF!</v>
      </c>
      <c r="Z18" s="10" t="e">
        <f t="shared" si="20"/>
        <v>#REF!</v>
      </c>
      <c r="AA18" s="10" t="e">
        <f t="shared" si="21"/>
        <v>#REF!</v>
      </c>
      <c r="AB18" s="10" t="e">
        <f t="shared" si="22"/>
        <v>#REF!</v>
      </c>
      <c r="AC18" s="10" t="e">
        <f t="shared" si="23"/>
        <v>#REF!</v>
      </c>
      <c r="AD18" s="10" t="e">
        <f t="shared" si="24"/>
        <v>#REF!</v>
      </c>
      <c r="AE18" s="10" t="e">
        <f t="shared" si="25"/>
        <v>#REF!</v>
      </c>
      <c r="AF18" s="10" t="e">
        <f t="shared" si="26"/>
        <v>#REF!</v>
      </c>
      <c r="AG18" s="10" t="e">
        <f t="shared" si="27"/>
        <v>#REF!</v>
      </c>
      <c r="AH18" s="10">
        <f t="shared" si="28"/>
        <v>0</v>
      </c>
      <c r="AI18" s="10">
        <f t="shared" si="29"/>
        <v>0</v>
      </c>
      <c r="AK18" s="114" t="e">
        <f t="shared" si="30"/>
        <v>#REF!</v>
      </c>
    </row>
    <row r="19" spans="2:37" ht="12.75" customHeight="1">
      <c r="B19" s="21" t="s">
        <v>121</v>
      </c>
      <c r="C19" s="85" t="e">
        <f>'Historical Financials'!#REF!</f>
        <v>#REF!</v>
      </c>
      <c r="D19" s="85"/>
      <c r="E19" s="85"/>
      <c r="F19" s="85"/>
      <c r="G19" s="85"/>
      <c r="H19" s="85" t="e">
        <f>'Historical Financials'!#REF!</f>
        <v>#REF!</v>
      </c>
      <c r="I19" s="85" t="e">
        <f>'Historical Financials'!#REF!</f>
        <v>#REF!</v>
      </c>
      <c r="J19" s="85" t="e">
        <f>'Historical Financials'!#REF!</f>
        <v>#REF!</v>
      </c>
      <c r="K19" s="85" t="e">
        <f>'Historical Financials'!#REF!</f>
        <v>#REF!</v>
      </c>
      <c r="L19" s="85" t="e">
        <f>'Historical Financials'!#REF!</f>
        <v>#REF!</v>
      </c>
      <c r="M19" s="85" t="e">
        <f>'Historical Financials'!#REF!</f>
        <v>#REF!</v>
      </c>
      <c r="N19" s="85" t="e">
        <f>'Historical Financials'!#REF!</f>
        <v>#REF!</v>
      </c>
      <c r="O19" s="85" t="e">
        <f>'Historical Financials'!#REF!</f>
        <v>#REF!</v>
      </c>
      <c r="P19" s="85" t="e">
        <f>'Historical Financials'!#REF!</f>
        <v>#REF!</v>
      </c>
      <c r="Q19" s="85" t="e">
        <f>'Historical Financials'!#REF!</f>
        <v>#REF!</v>
      </c>
      <c r="R19" s="85"/>
      <c r="S19" s="85"/>
      <c r="T19" s="85"/>
      <c r="U19" s="85"/>
      <c r="V19" s="85"/>
      <c r="W19" s="5"/>
      <c r="X19" s="10" t="e">
        <f t="shared" si="18"/>
        <v>#REF!</v>
      </c>
      <c r="Y19" s="10" t="e">
        <f t="shared" si="19"/>
        <v>#REF!</v>
      </c>
      <c r="Z19" s="10" t="e">
        <f t="shared" si="20"/>
        <v>#REF!</v>
      </c>
      <c r="AA19" s="10" t="e">
        <f t="shared" si="21"/>
        <v>#REF!</v>
      </c>
      <c r="AB19" s="10" t="e">
        <f t="shared" si="22"/>
        <v>#REF!</v>
      </c>
      <c r="AC19" s="10" t="e">
        <f t="shared" si="23"/>
        <v>#REF!</v>
      </c>
      <c r="AD19" s="10" t="e">
        <f t="shared" si="24"/>
        <v>#REF!</v>
      </c>
      <c r="AE19" s="10" t="e">
        <f t="shared" si="25"/>
        <v>#REF!</v>
      </c>
      <c r="AF19" s="10" t="e">
        <f t="shared" si="26"/>
        <v>#REF!</v>
      </c>
      <c r="AG19" s="10" t="e">
        <f t="shared" si="27"/>
        <v>#REF!</v>
      </c>
      <c r="AH19" s="10">
        <f t="shared" si="28"/>
        <v>0</v>
      </c>
      <c r="AI19" s="10">
        <f t="shared" si="29"/>
        <v>0</v>
      </c>
      <c r="AK19" s="114" t="e">
        <f>SUM(AI19/AE19)-1</f>
        <v>#REF!</v>
      </c>
    </row>
    <row r="20" spans="2:37" ht="12.75" customHeight="1">
      <c r="B20" s="12" t="s">
        <v>35</v>
      </c>
      <c r="C20" s="13" t="e">
        <f>SUM(C13+SUM(C16:C19))</f>
        <v>#REF!</v>
      </c>
      <c r="D20" s="13">
        <f>SUM(D13+SUM(D16:D19))</f>
        <v>0</v>
      </c>
      <c r="E20" s="13">
        <f>SUM(E13+SUM(E16:E19))</f>
        <v>0</v>
      </c>
      <c r="F20" s="13">
        <f>SUM(F13+SUM(F16:F19))</f>
        <v>0</v>
      </c>
      <c r="G20" s="11"/>
      <c r="H20" s="13" t="e">
        <f t="shared" ref="H20" si="31">SUM(H13+SUM(H16:H19))</f>
        <v>#REF!</v>
      </c>
      <c r="I20" s="13" t="e">
        <f t="shared" ref="I20:V20" si="32">SUM(I13+SUM(I16:I19))</f>
        <v>#REF!</v>
      </c>
      <c r="J20" s="13" t="e">
        <f t="shared" si="32"/>
        <v>#REF!</v>
      </c>
      <c r="K20" s="13" t="e">
        <f t="shared" si="32"/>
        <v>#REF!</v>
      </c>
      <c r="L20" s="13" t="e">
        <f t="shared" si="32"/>
        <v>#REF!</v>
      </c>
      <c r="M20" s="13" t="e">
        <f t="shared" si="32"/>
        <v>#REF!</v>
      </c>
      <c r="N20" s="13" t="e">
        <f t="shared" si="32"/>
        <v>#REF!</v>
      </c>
      <c r="O20" s="13" t="e">
        <f t="shared" si="32"/>
        <v>#REF!</v>
      </c>
      <c r="P20" s="13" t="e">
        <f t="shared" si="32"/>
        <v>#REF!</v>
      </c>
      <c r="Q20" s="13" t="e">
        <f t="shared" si="32"/>
        <v>#REF!</v>
      </c>
      <c r="R20" s="13">
        <f t="shared" si="32"/>
        <v>0</v>
      </c>
      <c r="S20" s="13">
        <f t="shared" si="32"/>
        <v>0</v>
      </c>
      <c r="T20" s="13">
        <f t="shared" si="32"/>
        <v>0</v>
      </c>
      <c r="U20" s="13">
        <f t="shared" si="32"/>
        <v>0</v>
      </c>
      <c r="V20" s="13">
        <f t="shared" si="32"/>
        <v>0</v>
      </c>
      <c r="W20" s="5"/>
      <c r="X20" s="13" t="e">
        <f t="shared" ref="X20:AH20" si="33">SUM(X13+SUM(X16:X19))</f>
        <v>#REF!</v>
      </c>
      <c r="Y20" s="13" t="e">
        <f t="shared" si="33"/>
        <v>#REF!</v>
      </c>
      <c r="Z20" s="13" t="e">
        <f t="shared" si="33"/>
        <v>#REF!</v>
      </c>
      <c r="AA20" s="13" t="e">
        <f t="shared" si="33"/>
        <v>#REF!</v>
      </c>
      <c r="AB20" s="13" t="e">
        <f t="shared" si="33"/>
        <v>#REF!</v>
      </c>
      <c r="AC20" s="13" t="e">
        <f t="shared" si="33"/>
        <v>#REF!</v>
      </c>
      <c r="AD20" s="13" t="e">
        <f t="shared" si="33"/>
        <v>#REF!</v>
      </c>
      <c r="AE20" s="13" t="e">
        <f t="shared" si="33"/>
        <v>#REF!</v>
      </c>
      <c r="AF20" s="13" t="e">
        <f t="shared" si="33"/>
        <v>#REF!</v>
      </c>
      <c r="AG20" s="13" t="e">
        <f t="shared" si="33"/>
        <v>#REF!</v>
      </c>
      <c r="AH20" s="13">
        <f t="shared" si="33"/>
        <v>0</v>
      </c>
      <c r="AI20" s="13">
        <f>SUM(AI13+SUM(AI16:AI19))</f>
        <v>0</v>
      </c>
      <c r="AK20" s="115" t="e">
        <f>SUM(AI20/AE20)-1</f>
        <v>#REF!</v>
      </c>
    </row>
    <row r="21" spans="2:37" ht="12.75" customHeight="1">
      <c r="B21" s="14" t="s">
        <v>36</v>
      </c>
      <c r="C21" s="15" t="e">
        <f>C20/C8</f>
        <v>#REF!</v>
      </c>
      <c r="D21" s="15" t="e">
        <f>D20/D8</f>
        <v>#DIV/0!</v>
      </c>
      <c r="E21" s="15" t="e">
        <f>E20/E8</f>
        <v>#DIV/0!</v>
      </c>
      <c r="F21" s="15" t="e">
        <f>F20/F8</f>
        <v>#DIV/0!</v>
      </c>
      <c r="G21" s="25"/>
      <c r="H21" s="15" t="e">
        <f t="shared" ref="H21" si="34">H20/H8</f>
        <v>#REF!</v>
      </c>
      <c r="I21" s="15" t="e">
        <f t="shared" ref="I21:V21" si="35">I20/I8</f>
        <v>#REF!</v>
      </c>
      <c r="J21" s="15" t="e">
        <f t="shared" si="35"/>
        <v>#REF!</v>
      </c>
      <c r="K21" s="15" t="e">
        <f t="shared" si="35"/>
        <v>#REF!</v>
      </c>
      <c r="L21" s="15" t="e">
        <f t="shared" si="35"/>
        <v>#REF!</v>
      </c>
      <c r="M21" s="15" t="e">
        <f t="shared" si="35"/>
        <v>#REF!</v>
      </c>
      <c r="N21" s="15" t="e">
        <f t="shared" si="35"/>
        <v>#REF!</v>
      </c>
      <c r="O21" s="15" t="e">
        <f t="shared" si="35"/>
        <v>#REF!</v>
      </c>
      <c r="P21" s="15" t="e">
        <f t="shared" si="35"/>
        <v>#REF!</v>
      </c>
      <c r="Q21" s="15" t="e">
        <f t="shared" si="35"/>
        <v>#REF!</v>
      </c>
      <c r="R21" s="15" t="e">
        <f t="shared" si="35"/>
        <v>#DIV/0!</v>
      </c>
      <c r="S21" s="15" t="e">
        <f t="shared" si="35"/>
        <v>#DIV/0!</v>
      </c>
      <c r="T21" s="15" t="e">
        <f t="shared" si="35"/>
        <v>#DIV/0!</v>
      </c>
      <c r="U21" s="15" t="e">
        <f t="shared" si="35"/>
        <v>#DIV/0!</v>
      </c>
      <c r="V21" s="15" t="e">
        <f t="shared" si="35"/>
        <v>#DIV/0!</v>
      </c>
      <c r="W21" s="26"/>
      <c r="X21" s="15" t="e">
        <f t="shared" ref="X21:AH21" si="36">X20/X8</f>
        <v>#REF!</v>
      </c>
      <c r="Y21" s="15" t="e">
        <f t="shared" si="36"/>
        <v>#REF!</v>
      </c>
      <c r="Z21" s="15" t="e">
        <f t="shared" si="36"/>
        <v>#REF!</v>
      </c>
      <c r="AA21" s="15" t="e">
        <f t="shared" si="36"/>
        <v>#REF!</v>
      </c>
      <c r="AB21" s="15" t="e">
        <f t="shared" si="36"/>
        <v>#REF!</v>
      </c>
      <c r="AC21" s="15" t="e">
        <f t="shared" si="36"/>
        <v>#REF!</v>
      </c>
      <c r="AD21" s="15" t="e">
        <f t="shared" si="36"/>
        <v>#REF!</v>
      </c>
      <c r="AE21" s="15" t="e">
        <f t="shared" si="36"/>
        <v>#REF!</v>
      </c>
      <c r="AF21" s="15" t="e">
        <f t="shared" si="36"/>
        <v>#REF!</v>
      </c>
      <c r="AG21" s="15" t="e">
        <f t="shared" si="36"/>
        <v>#REF!</v>
      </c>
      <c r="AH21" s="15" t="e">
        <f t="shared" si="36"/>
        <v>#DIV/0!</v>
      </c>
      <c r="AI21" s="15" t="e">
        <f>AI20/AI8</f>
        <v>#DIV/0!</v>
      </c>
      <c r="AK21" s="116" t="e">
        <f>SUM(AI21-AE21)*10000</f>
        <v>#DIV/0!</v>
      </c>
    </row>
    <row r="22" spans="2:37" ht="5.0999999999999996" customHeight="1">
      <c r="AK22" s="113"/>
    </row>
    <row r="23" spans="2:37" ht="12.75" customHeight="1">
      <c r="B23" s="29" t="s">
        <v>37</v>
      </c>
      <c r="C23" s="111" t="e">
        <f>-C19</f>
        <v>#REF!</v>
      </c>
      <c r="D23" s="111"/>
      <c r="E23" s="111"/>
      <c r="F23" s="111"/>
      <c r="G23" s="134"/>
      <c r="H23" s="111" t="e">
        <f t="shared" ref="H23:Q23" si="37">-H19</f>
        <v>#REF!</v>
      </c>
      <c r="I23" s="111" t="e">
        <f t="shared" si="37"/>
        <v>#REF!</v>
      </c>
      <c r="J23" s="111" t="e">
        <f t="shared" si="37"/>
        <v>#REF!</v>
      </c>
      <c r="K23" s="111" t="e">
        <f t="shared" si="37"/>
        <v>#REF!</v>
      </c>
      <c r="L23" s="111" t="e">
        <f t="shared" si="37"/>
        <v>#REF!</v>
      </c>
      <c r="M23" s="111" t="e">
        <f t="shared" si="37"/>
        <v>#REF!</v>
      </c>
      <c r="N23" s="111" t="e">
        <f t="shared" si="37"/>
        <v>#REF!</v>
      </c>
      <c r="O23" s="111" t="e">
        <f t="shared" si="37"/>
        <v>#REF!</v>
      </c>
      <c r="P23" s="111" t="e">
        <f t="shared" si="37"/>
        <v>#REF!</v>
      </c>
      <c r="Q23" s="111" t="e">
        <f t="shared" si="37"/>
        <v>#REF!</v>
      </c>
      <c r="R23" s="111"/>
      <c r="S23" s="111"/>
      <c r="T23" s="111"/>
      <c r="U23" s="111"/>
      <c r="V23" s="111"/>
      <c r="X23" s="10" t="e">
        <f>SUM(G23:K23)</f>
        <v>#REF!</v>
      </c>
      <c r="Y23" s="10" t="e">
        <f t="shared" ref="Y23:AH23" si="38">SUM(I23:L23)</f>
        <v>#REF!</v>
      </c>
      <c r="Z23" s="10" t="e">
        <f t="shared" si="38"/>
        <v>#REF!</v>
      </c>
      <c r="AA23" s="10" t="e">
        <f t="shared" si="38"/>
        <v>#REF!</v>
      </c>
      <c r="AB23" s="10" t="e">
        <f t="shared" si="38"/>
        <v>#REF!</v>
      </c>
      <c r="AC23" s="10" t="e">
        <f t="shared" si="38"/>
        <v>#REF!</v>
      </c>
      <c r="AD23" s="10" t="e">
        <f t="shared" si="38"/>
        <v>#REF!</v>
      </c>
      <c r="AE23" s="10" t="e">
        <f t="shared" si="38"/>
        <v>#REF!</v>
      </c>
      <c r="AF23" s="10" t="e">
        <f t="shared" si="38"/>
        <v>#REF!</v>
      </c>
      <c r="AG23" s="10" t="e">
        <f t="shared" si="38"/>
        <v>#REF!</v>
      </c>
      <c r="AH23" s="10">
        <f t="shared" si="38"/>
        <v>0</v>
      </c>
      <c r="AI23" s="10">
        <f>SUM(S23:V23)</f>
        <v>0</v>
      </c>
      <c r="AK23" s="114" t="e">
        <f>SUM(AI23/AE23)-1</f>
        <v>#REF!</v>
      </c>
    </row>
    <row r="24" spans="2:37" ht="12.75" customHeight="1">
      <c r="B24" s="23" t="s">
        <v>10</v>
      </c>
      <c r="C24" s="24" t="e">
        <f>SUM(C20+C23)</f>
        <v>#REF!</v>
      </c>
      <c r="D24" s="24">
        <f>SUM(D20+D23)</f>
        <v>0</v>
      </c>
      <c r="E24" s="24">
        <f>SUM(E20+E23)</f>
        <v>0</v>
      </c>
      <c r="F24" s="24">
        <f>SUM(F20+F23)</f>
        <v>0</v>
      </c>
      <c r="H24" s="24" t="e">
        <f t="shared" ref="H24" si="39">SUM(H20+H23)</f>
        <v>#REF!</v>
      </c>
      <c r="I24" s="24" t="e">
        <f t="shared" ref="I24:R24" si="40">SUM(I20+I23)</f>
        <v>#REF!</v>
      </c>
      <c r="J24" s="24" t="e">
        <f t="shared" si="40"/>
        <v>#REF!</v>
      </c>
      <c r="K24" s="24" t="e">
        <f t="shared" si="40"/>
        <v>#REF!</v>
      </c>
      <c r="L24" s="24" t="e">
        <f t="shared" si="40"/>
        <v>#REF!</v>
      </c>
      <c r="M24" s="24" t="e">
        <f t="shared" si="40"/>
        <v>#REF!</v>
      </c>
      <c r="N24" s="24" t="e">
        <f t="shared" si="40"/>
        <v>#REF!</v>
      </c>
      <c r="O24" s="24" t="e">
        <f t="shared" si="40"/>
        <v>#REF!</v>
      </c>
      <c r="P24" s="24" t="e">
        <f t="shared" si="40"/>
        <v>#REF!</v>
      </c>
      <c r="Q24" s="24" t="e">
        <f t="shared" si="40"/>
        <v>#REF!</v>
      </c>
      <c r="R24" s="24">
        <f t="shared" si="40"/>
        <v>0</v>
      </c>
      <c r="S24" s="24">
        <f>SUM(S20+S23)</f>
        <v>0</v>
      </c>
      <c r="T24" s="24">
        <f>SUM(T20+T23)</f>
        <v>0</v>
      </c>
      <c r="U24" s="24">
        <f>SUM(U20+U23)</f>
        <v>0</v>
      </c>
      <c r="V24" s="24">
        <f>SUM(V20+V23)</f>
        <v>0</v>
      </c>
      <c r="X24" s="24" t="e">
        <f t="shared" ref="X24:AH24" si="41">SUM(X20+X23)</f>
        <v>#REF!</v>
      </c>
      <c r="Y24" s="24" t="e">
        <f t="shared" si="41"/>
        <v>#REF!</v>
      </c>
      <c r="Z24" s="24" t="e">
        <f t="shared" si="41"/>
        <v>#REF!</v>
      </c>
      <c r="AA24" s="24" t="e">
        <f t="shared" si="41"/>
        <v>#REF!</v>
      </c>
      <c r="AB24" s="24" t="e">
        <f t="shared" si="41"/>
        <v>#REF!</v>
      </c>
      <c r="AC24" s="24" t="e">
        <f t="shared" si="41"/>
        <v>#REF!</v>
      </c>
      <c r="AD24" s="24" t="e">
        <f t="shared" si="41"/>
        <v>#REF!</v>
      </c>
      <c r="AE24" s="24" t="e">
        <f t="shared" si="41"/>
        <v>#REF!</v>
      </c>
      <c r="AF24" s="24" t="e">
        <f t="shared" si="41"/>
        <v>#REF!</v>
      </c>
      <c r="AG24" s="24" t="e">
        <f t="shared" si="41"/>
        <v>#REF!</v>
      </c>
      <c r="AH24" s="24">
        <f t="shared" si="41"/>
        <v>0</v>
      </c>
      <c r="AI24" s="24">
        <f>SUM(AI20+AI23)</f>
        <v>0</v>
      </c>
      <c r="AK24" s="115" t="e">
        <f>SUM(AI24/AE24)-1</f>
        <v>#REF!</v>
      </c>
    </row>
    <row r="25" spans="2:37" ht="12.75" customHeight="1">
      <c r="B25" s="14" t="s">
        <v>38</v>
      </c>
      <c r="C25" s="15" t="e">
        <f>C24/C8</f>
        <v>#REF!</v>
      </c>
      <c r="D25" s="15" t="e">
        <f>D24/D8</f>
        <v>#DIV/0!</v>
      </c>
      <c r="E25" s="15" t="e">
        <f>E24/E8</f>
        <v>#DIV/0!</v>
      </c>
      <c r="F25" s="15" t="e">
        <f>F24/F8</f>
        <v>#DIV/0!</v>
      </c>
      <c r="H25" s="15" t="e">
        <f t="shared" ref="H25" si="42">H24/H8</f>
        <v>#REF!</v>
      </c>
      <c r="I25" s="15" t="e">
        <f t="shared" ref="I25:V25" si="43">I24/I8</f>
        <v>#REF!</v>
      </c>
      <c r="J25" s="15" t="e">
        <f t="shared" si="43"/>
        <v>#REF!</v>
      </c>
      <c r="K25" s="15" t="e">
        <f t="shared" si="43"/>
        <v>#REF!</v>
      </c>
      <c r="L25" s="15" t="e">
        <f t="shared" si="43"/>
        <v>#REF!</v>
      </c>
      <c r="M25" s="15" t="e">
        <f t="shared" si="43"/>
        <v>#REF!</v>
      </c>
      <c r="N25" s="15" t="e">
        <f t="shared" si="43"/>
        <v>#REF!</v>
      </c>
      <c r="O25" s="15" t="e">
        <f t="shared" si="43"/>
        <v>#REF!</v>
      </c>
      <c r="P25" s="15" t="e">
        <f t="shared" si="43"/>
        <v>#REF!</v>
      </c>
      <c r="Q25" s="15" t="e">
        <f t="shared" si="43"/>
        <v>#REF!</v>
      </c>
      <c r="R25" s="15" t="e">
        <f t="shared" si="43"/>
        <v>#DIV/0!</v>
      </c>
      <c r="S25" s="15" t="e">
        <f t="shared" si="43"/>
        <v>#DIV/0!</v>
      </c>
      <c r="T25" s="15" t="e">
        <f t="shared" si="43"/>
        <v>#DIV/0!</v>
      </c>
      <c r="U25" s="15" t="e">
        <f t="shared" si="43"/>
        <v>#DIV/0!</v>
      </c>
      <c r="V25" s="15" t="e">
        <f t="shared" si="43"/>
        <v>#DIV/0!</v>
      </c>
      <c r="X25" s="15" t="e">
        <f t="shared" ref="X25:AH25" si="44">X24/X8</f>
        <v>#REF!</v>
      </c>
      <c r="Y25" s="15" t="e">
        <f t="shared" si="44"/>
        <v>#REF!</v>
      </c>
      <c r="Z25" s="15" t="e">
        <f t="shared" si="44"/>
        <v>#REF!</v>
      </c>
      <c r="AA25" s="15" t="e">
        <f t="shared" si="44"/>
        <v>#REF!</v>
      </c>
      <c r="AB25" s="15" t="e">
        <f t="shared" si="44"/>
        <v>#REF!</v>
      </c>
      <c r="AC25" s="15" t="e">
        <f t="shared" si="44"/>
        <v>#REF!</v>
      </c>
      <c r="AD25" s="15" t="e">
        <f t="shared" si="44"/>
        <v>#REF!</v>
      </c>
      <c r="AE25" s="15" t="e">
        <f t="shared" si="44"/>
        <v>#REF!</v>
      </c>
      <c r="AF25" s="15" t="e">
        <f t="shared" si="44"/>
        <v>#REF!</v>
      </c>
      <c r="AG25" s="15" t="e">
        <f t="shared" si="44"/>
        <v>#REF!</v>
      </c>
      <c r="AH25" s="15" t="e">
        <f t="shared" si="44"/>
        <v>#DIV/0!</v>
      </c>
      <c r="AI25" s="15" t="e">
        <f>AI24/AI8</f>
        <v>#DIV/0!</v>
      </c>
      <c r="AK25" s="116" t="e">
        <f>SUM(AI25-AE25)*10000</f>
        <v>#DIV/0!</v>
      </c>
    </row>
    <row r="26" spans="2:37" ht="5.0999999999999996" customHeight="1">
      <c r="AK26" s="113"/>
    </row>
    <row r="27" spans="2:37" ht="12.75" customHeight="1">
      <c r="B27" s="29" t="s">
        <v>39</v>
      </c>
      <c r="C27" s="85" t="e">
        <f>'Historical Financials'!#REF!</f>
        <v>#REF!</v>
      </c>
      <c r="D27" s="85"/>
      <c r="E27" s="85"/>
      <c r="F27" s="85"/>
      <c r="H27" s="85">
        <f>'Historical Financials'!G89</f>
        <v>0</v>
      </c>
      <c r="I27" s="85">
        <f>'Historical Financials'!H89</f>
        <v>0</v>
      </c>
      <c r="J27" s="85">
        <f>'Historical Financials'!I89</f>
        <v>0</v>
      </c>
      <c r="K27" s="85">
        <f>'Historical Financials'!J89</f>
        <v>0</v>
      </c>
      <c r="L27" s="85">
        <f>'Historical Financials'!K89</f>
        <v>0</v>
      </c>
      <c r="M27" s="85">
        <f>'Historical Financials'!L89</f>
        <v>0</v>
      </c>
      <c r="N27" s="85">
        <f>'Historical Financials'!M89</f>
        <v>0</v>
      </c>
      <c r="O27" s="85">
        <f>'Historical Financials'!N89</f>
        <v>0</v>
      </c>
      <c r="P27" s="85">
        <f>'Historical Financials'!O89</f>
        <v>-43041</v>
      </c>
      <c r="Q27" s="85">
        <f>'Historical Financials'!P89</f>
        <v>-65142</v>
      </c>
      <c r="R27" s="85"/>
      <c r="S27" s="85"/>
      <c r="T27" s="85"/>
      <c r="U27" s="85"/>
      <c r="V27" s="85"/>
      <c r="X27" s="10">
        <f>SUM(G27:K27)</f>
        <v>0</v>
      </c>
      <c r="Y27" s="10">
        <f t="shared" ref="Y27" si="45">SUM(I27:L27)</f>
        <v>0</v>
      </c>
      <c r="Z27" s="10">
        <f t="shared" ref="Z27" si="46">SUM(J27:M27)</f>
        <v>0</v>
      </c>
      <c r="AA27" s="10">
        <f t="shared" ref="AA27" si="47">SUM(K27:N27)</f>
        <v>0</v>
      </c>
      <c r="AB27" s="10">
        <f t="shared" ref="AB27" si="48">SUM(L27:O27)</f>
        <v>0</v>
      </c>
      <c r="AC27" s="10">
        <f t="shared" ref="AC27" si="49">SUM(M27:P27)</f>
        <v>-43041</v>
      </c>
      <c r="AD27" s="10">
        <f t="shared" ref="AD27" si="50">SUM(N27:Q27)</f>
        <v>-108183</v>
      </c>
      <c r="AE27" s="10">
        <f t="shared" ref="AE27" si="51">SUM(O27:R27)</f>
        <v>-108183</v>
      </c>
      <c r="AF27" s="10">
        <f t="shared" ref="AF27" si="52">SUM(P27:S27)</f>
        <v>-108183</v>
      </c>
      <c r="AG27" s="10">
        <f t="shared" ref="AG27" si="53">SUM(Q27:T27)</f>
        <v>-65142</v>
      </c>
      <c r="AH27" s="10">
        <f t="shared" ref="AH27" si="54">SUM(R27:U27)</f>
        <v>0</v>
      </c>
      <c r="AI27" s="10">
        <f t="shared" ref="AI27" si="55">SUM(S27:V27)</f>
        <v>0</v>
      </c>
      <c r="AK27" s="114">
        <f>SUM(AI27/AE27)-1</f>
        <v>-1</v>
      </c>
    </row>
    <row r="28" spans="2:37" ht="12.75" customHeight="1">
      <c r="B28" s="12" t="s">
        <v>40</v>
      </c>
      <c r="C28" s="13" t="e">
        <f>+SUM(C24+SUM(C27:C27))</f>
        <v>#REF!</v>
      </c>
      <c r="D28" s="13">
        <f>+SUM(D24+SUM(D27:D27))</f>
        <v>0</v>
      </c>
      <c r="E28" s="13">
        <f>+SUM(E24+SUM(E27:E27))</f>
        <v>0</v>
      </c>
      <c r="F28" s="13">
        <f>+SUM(F24+SUM(F27:F27))</f>
        <v>0</v>
      </c>
      <c r="G28" s="11"/>
      <c r="H28" s="13" t="e">
        <f t="shared" ref="H28:V28" si="56">+SUM(H24+SUM(H27:H27))</f>
        <v>#REF!</v>
      </c>
      <c r="I28" s="13" t="e">
        <f t="shared" si="56"/>
        <v>#REF!</v>
      </c>
      <c r="J28" s="13" t="e">
        <f t="shared" si="56"/>
        <v>#REF!</v>
      </c>
      <c r="K28" s="13" t="e">
        <f t="shared" si="56"/>
        <v>#REF!</v>
      </c>
      <c r="L28" s="13" t="e">
        <f t="shared" si="56"/>
        <v>#REF!</v>
      </c>
      <c r="M28" s="13" t="e">
        <f t="shared" si="56"/>
        <v>#REF!</v>
      </c>
      <c r="N28" s="13" t="e">
        <f t="shared" si="56"/>
        <v>#REF!</v>
      </c>
      <c r="O28" s="13" t="e">
        <f t="shared" si="56"/>
        <v>#REF!</v>
      </c>
      <c r="P28" s="13" t="e">
        <f t="shared" si="56"/>
        <v>#REF!</v>
      </c>
      <c r="Q28" s="13" t="e">
        <f t="shared" si="56"/>
        <v>#REF!</v>
      </c>
      <c r="R28" s="13">
        <f t="shared" si="56"/>
        <v>0</v>
      </c>
      <c r="S28" s="13">
        <f t="shared" si="56"/>
        <v>0</v>
      </c>
      <c r="T28" s="13">
        <f t="shared" si="56"/>
        <v>0</v>
      </c>
      <c r="U28" s="13">
        <f t="shared" si="56"/>
        <v>0</v>
      </c>
      <c r="V28" s="13">
        <f t="shared" si="56"/>
        <v>0</v>
      </c>
      <c r="X28" s="13" t="e">
        <f t="shared" ref="X28:AI28" si="57">+SUM(X24+SUM(X27:X27))</f>
        <v>#REF!</v>
      </c>
      <c r="Y28" s="13" t="e">
        <f t="shared" si="57"/>
        <v>#REF!</v>
      </c>
      <c r="Z28" s="13" t="e">
        <f t="shared" si="57"/>
        <v>#REF!</v>
      </c>
      <c r="AA28" s="13" t="e">
        <f t="shared" si="57"/>
        <v>#REF!</v>
      </c>
      <c r="AB28" s="13" t="e">
        <f t="shared" si="57"/>
        <v>#REF!</v>
      </c>
      <c r="AC28" s="13" t="e">
        <f t="shared" si="57"/>
        <v>#REF!</v>
      </c>
      <c r="AD28" s="13" t="e">
        <f t="shared" si="57"/>
        <v>#REF!</v>
      </c>
      <c r="AE28" s="13" t="e">
        <f t="shared" si="57"/>
        <v>#REF!</v>
      </c>
      <c r="AF28" s="13" t="e">
        <f t="shared" si="57"/>
        <v>#REF!</v>
      </c>
      <c r="AG28" s="13" t="e">
        <f t="shared" si="57"/>
        <v>#REF!</v>
      </c>
      <c r="AH28" s="13">
        <f t="shared" si="57"/>
        <v>0</v>
      </c>
      <c r="AI28" s="13">
        <f t="shared" si="57"/>
        <v>0</v>
      </c>
      <c r="AK28" s="115" t="e">
        <f>SUM(AI28/AE28)-1</f>
        <v>#REF!</v>
      </c>
    </row>
    <row r="29" spans="2:37" ht="12.75" customHeight="1">
      <c r="B29" s="14" t="s">
        <v>41</v>
      </c>
      <c r="C29" s="15" t="e">
        <f>C28/C8</f>
        <v>#REF!</v>
      </c>
      <c r="D29" s="15" t="e">
        <f>D28/D8</f>
        <v>#DIV/0!</v>
      </c>
      <c r="E29" s="15" t="e">
        <f>E28/E8</f>
        <v>#DIV/0!</v>
      </c>
      <c r="F29" s="15" t="e">
        <f>F28/F8</f>
        <v>#DIV/0!</v>
      </c>
      <c r="H29" s="15" t="e">
        <f t="shared" ref="H29:V29" si="58">H28/H8</f>
        <v>#REF!</v>
      </c>
      <c r="I29" s="15" t="e">
        <f t="shared" si="58"/>
        <v>#REF!</v>
      </c>
      <c r="J29" s="15" t="e">
        <f t="shared" si="58"/>
        <v>#REF!</v>
      </c>
      <c r="K29" s="15" t="e">
        <f t="shared" si="58"/>
        <v>#REF!</v>
      </c>
      <c r="L29" s="15" t="e">
        <f t="shared" si="58"/>
        <v>#REF!</v>
      </c>
      <c r="M29" s="15" t="e">
        <f t="shared" si="58"/>
        <v>#REF!</v>
      </c>
      <c r="N29" s="15" t="e">
        <f t="shared" si="58"/>
        <v>#REF!</v>
      </c>
      <c r="O29" s="15" t="e">
        <f t="shared" si="58"/>
        <v>#REF!</v>
      </c>
      <c r="P29" s="15" t="e">
        <f t="shared" si="58"/>
        <v>#REF!</v>
      </c>
      <c r="Q29" s="15" t="e">
        <f t="shared" si="58"/>
        <v>#REF!</v>
      </c>
      <c r="R29" s="15" t="e">
        <f t="shared" si="58"/>
        <v>#DIV/0!</v>
      </c>
      <c r="S29" s="15" t="e">
        <f t="shared" si="58"/>
        <v>#DIV/0!</v>
      </c>
      <c r="T29" s="15" t="e">
        <f t="shared" si="58"/>
        <v>#DIV/0!</v>
      </c>
      <c r="U29" s="15" t="e">
        <f t="shared" si="58"/>
        <v>#DIV/0!</v>
      </c>
      <c r="V29" s="15" t="e">
        <f t="shared" si="58"/>
        <v>#DIV/0!</v>
      </c>
      <c r="X29" s="15" t="e">
        <f t="shared" ref="X29:AI29" si="59">X28/X8</f>
        <v>#REF!</v>
      </c>
      <c r="Y29" s="15" t="e">
        <f t="shared" si="59"/>
        <v>#REF!</v>
      </c>
      <c r="Z29" s="15" t="e">
        <f t="shared" si="59"/>
        <v>#REF!</v>
      </c>
      <c r="AA29" s="15" t="e">
        <f t="shared" si="59"/>
        <v>#REF!</v>
      </c>
      <c r="AB29" s="15" t="e">
        <f t="shared" si="59"/>
        <v>#REF!</v>
      </c>
      <c r="AC29" s="15" t="e">
        <f t="shared" si="59"/>
        <v>#REF!</v>
      </c>
      <c r="AD29" s="15" t="e">
        <f t="shared" si="59"/>
        <v>#REF!</v>
      </c>
      <c r="AE29" s="15" t="e">
        <f t="shared" si="59"/>
        <v>#REF!</v>
      </c>
      <c r="AF29" s="15" t="e">
        <f t="shared" si="59"/>
        <v>#REF!</v>
      </c>
      <c r="AG29" s="15" t="e">
        <f t="shared" si="59"/>
        <v>#REF!</v>
      </c>
      <c r="AH29" s="15" t="e">
        <f t="shared" si="59"/>
        <v>#DIV/0!</v>
      </c>
      <c r="AI29" s="15" t="e">
        <f t="shared" si="59"/>
        <v>#DIV/0!</v>
      </c>
      <c r="AK29" s="116" t="e">
        <f>SUM(AI29-AE29)*10000</f>
        <v>#DIV/0!</v>
      </c>
    </row>
    <row r="30" spans="2:37" ht="5.0999999999999996" customHeight="1">
      <c r="AK30" s="113"/>
    </row>
    <row r="31" spans="2:37" ht="12.75" customHeight="1">
      <c r="B31" s="21" t="s">
        <v>42</v>
      </c>
      <c r="C31" s="85" t="e">
        <f>SUM('Historical Financials'!#REF!+'Historical Financials'!#REF!)</f>
        <v>#REF!</v>
      </c>
      <c r="D31" s="85"/>
      <c r="E31" s="85"/>
      <c r="F31" s="85"/>
      <c r="H31" s="85" t="e">
        <f>SUM('Historical Financials'!G103+'Historical Financials'!#REF!)</f>
        <v>#REF!</v>
      </c>
      <c r="I31" s="85" t="e">
        <f>SUM('Historical Financials'!H103+'Historical Financials'!#REF!)</f>
        <v>#REF!</v>
      </c>
      <c r="J31" s="85" t="e">
        <f>SUM('Historical Financials'!I103+'Historical Financials'!#REF!)</f>
        <v>#REF!</v>
      </c>
      <c r="K31" s="85" t="e">
        <f>SUM('Historical Financials'!J103+'Historical Financials'!#REF!)</f>
        <v>#REF!</v>
      </c>
      <c r="L31" s="85" t="e">
        <f>SUM('Historical Financials'!K103+'Historical Financials'!#REF!)</f>
        <v>#REF!</v>
      </c>
      <c r="M31" s="85" t="e">
        <f>SUM('Historical Financials'!L103+'Historical Financials'!#REF!)</f>
        <v>#REF!</v>
      </c>
      <c r="N31" s="85" t="e">
        <f>SUM('Historical Financials'!M103+'Historical Financials'!#REF!)</f>
        <v>#REF!</v>
      </c>
      <c r="O31" s="85" t="e">
        <f>SUM('Historical Financials'!N103+'Historical Financials'!#REF!)</f>
        <v>#REF!</v>
      </c>
      <c r="P31" s="85" t="e">
        <f>SUM('Historical Financials'!O103+'Historical Financials'!#REF!)</f>
        <v>#REF!</v>
      </c>
      <c r="Q31" s="85" t="e">
        <f>SUM('Historical Financials'!P103+'Historical Financials'!#REF!)</f>
        <v>#REF!</v>
      </c>
      <c r="R31" s="85"/>
      <c r="S31" s="85"/>
      <c r="T31" s="85"/>
      <c r="U31" s="85"/>
      <c r="V31" s="85"/>
      <c r="X31" s="10" t="e">
        <f t="shared" ref="X31:X34" si="60">SUM(G31:K31)</f>
        <v>#REF!</v>
      </c>
      <c r="Y31" s="10" t="e">
        <f t="shared" ref="Y31:Y34" si="61">SUM(I31:L31)</f>
        <v>#REF!</v>
      </c>
      <c r="Z31" s="10" t="e">
        <f t="shared" ref="Z31:Z34" si="62">SUM(J31:M31)</f>
        <v>#REF!</v>
      </c>
      <c r="AA31" s="10" t="e">
        <f t="shared" ref="AA31:AA34" si="63">SUM(K31:N31)</f>
        <v>#REF!</v>
      </c>
      <c r="AB31" s="10" t="e">
        <f t="shared" ref="AB31:AB34" si="64">SUM(L31:O31)</f>
        <v>#REF!</v>
      </c>
      <c r="AC31" s="10" t="e">
        <f t="shared" ref="AC31:AC34" si="65">SUM(M31:P31)</f>
        <v>#REF!</v>
      </c>
      <c r="AD31" s="10" t="e">
        <f t="shared" ref="AD31:AD34" si="66">SUM(N31:Q31)</f>
        <v>#REF!</v>
      </c>
      <c r="AE31" s="10" t="e">
        <f t="shared" ref="AE31:AE34" si="67">SUM(O31:R31)</f>
        <v>#REF!</v>
      </c>
      <c r="AF31" s="10" t="e">
        <f t="shared" ref="AF31:AF34" si="68">SUM(P31:S31)</f>
        <v>#REF!</v>
      </c>
      <c r="AG31" s="10" t="e">
        <f t="shared" ref="AG31:AG34" si="69">SUM(Q31:T31)</f>
        <v>#REF!</v>
      </c>
      <c r="AH31" s="10">
        <f t="shared" ref="AH31:AH34" si="70">SUM(R31:U31)</f>
        <v>0</v>
      </c>
      <c r="AI31" s="10">
        <f t="shared" ref="AI31:AI34" si="71">SUM(S31:V31)</f>
        <v>0</v>
      </c>
      <c r="AK31" s="114" t="e">
        <f>SUM(AI31/AE31)-1</f>
        <v>#REF!</v>
      </c>
    </row>
    <row r="32" spans="2:37" ht="12.75" customHeight="1">
      <c r="B32" s="21" t="s">
        <v>43</v>
      </c>
      <c r="C32" s="85" t="e">
        <f>'Historical Financials'!#REF!</f>
        <v>#REF!</v>
      </c>
      <c r="D32" s="85"/>
      <c r="E32" s="85"/>
      <c r="F32" s="85"/>
      <c r="H32" s="85">
        <f>'Historical Financials'!G28</f>
        <v>0</v>
      </c>
      <c r="I32" s="85">
        <f>'Historical Financials'!H28</f>
        <v>0</v>
      </c>
      <c r="J32" s="85">
        <f>'Historical Financials'!I28</f>
        <v>0</v>
      </c>
      <c r="K32" s="85">
        <f>'Historical Financials'!J28</f>
        <v>0</v>
      </c>
      <c r="L32" s="85">
        <f>'Historical Financials'!K28</f>
        <v>0</v>
      </c>
      <c r="M32" s="85">
        <f>'Historical Financials'!L28</f>
        <v>0</v>
      </c>
      <c r="N32" s="85">
        <f>'Historical Financials'!M28</f>
        <v>0</v>
      </c>
      <c r="O32" s="85">
        <f>'Historical Financials'!N28</f>
        <v>0</v>
      </c>
      <c r="P32" s="85">
        <f>'Historical Financials'!O28</f>
        <v>0</v>
      </c>
      <c r="Q32" s="85">
        <f>'Historical Financials'!P28</f>
        <v>0</v>
      </c>
      <c r="R32" s="85"/>
      <c r="S32" s="85"/>
      <c r="T32" s="85"/>
      <c r="U32" s="85"/>
      <c r="V32" s="85"/>
      <c r="X32" s="10">
        <f t="shared" si="60"/>
        <v>0</v>
      </c>
      <c r="Y32" s="10">
        <f t="shared" si="61"/>
        <v>0</v>
      </c>
      <c r="Z32" s="10">
        <f t="shared" si="62"/>
        <v>0</v>
      </c>
      <c r="AA32" s="10">
        <f t="shared" si="63"/>
        <v>0</v>
      </c>
      <c r="AB32" s="10">
        <f t="shared" si="64"/>
        <v>0</v>
      </c>
      <c r="AC32" s="10">
        <f t="shared" si="65"/>
        <v>0</v>
      </c>
      <c r="AD32" s="10">
        <f t="shared" si="66"/>
        <v>0</v>
      </c>
      <c r="AE32" s="10">
        <f t="shared" si="67"/>
        <v>0</v>
      </c>
      <c r="AF32" s="10">
        <f t="shared" si="68"/>
        <v>0</v>
      </c>
      <c r="AG32" s="10">
        <f t="shared" si="69"/>
        <v>0</v>
      </c>
      <c r="AH32" s="10">
        <f t="shared" si="70"/>
        <v>0</v>
      </c>
      <c r="AI32" s="10">
        <f t="shared" si="71"/>
        <v>0</v>
      </c>
      <c r="AK32" s="114" t="e">
        <f>SUM(AI32/AE32)-1</f>
        <v>#DIV/0!</v>
      </c>
    </row>
    <row r="33" spans="1:37" ht="12.75" customHeight="1">
      <c r="B33" s="21" t="s">
        <v>91</v>
      </c>
      <c r="C33" s="78">
        <v>0</v>
      </c>
      <c r="D33" s="78"/>
      <c r="E33" s="78"/>
      <c r="F33" s="78"/>
      <c r="H33" s="78">
        <v>0</v>
      </c>
      <c r="I33" s="78">
        <v>0</v>
      </c>
      <c r="J33" s="78">
        <v>0</v>
      </c>
      <c r="K33" s="111">
        <f>D33</f>
        <v>0</v>
      </c>
      <c r="L33" s="78">
        <v>0</v>
      </c>
      <c r="M33" s="78">
        <v>0</v>
      </c>
      <c r="N33" s="78">
        <v>0</v>
      </c>
      <c r="O33" s="111">
        <f>E33</f>
        <v>0</v>
      </c>
      <c r="P33" s="78">
        <v>0</v>
      </c>
      <c r="Q33" s="78">
        <v>0</v>
      </c>
      <c r="R33" s="78"/>
      <c r="S33" s="111"/>
      <c r="T33" s="78"/>
      <c r="U33" s="78"/>
      <c r="V33" s="78"/>
      <c r="X33" s="10">
        <f t="shared" si="60"/>
        <v>0</v>
      </c>
      <c r="Y33" s="10">
        <f t="shared" si="61"/>
        <v>0</v>
      </c>
      <c r="Z33" s="10">
        <f t="shared" si="62"/>
        <v>0</v>
      </c>
      <c r="AA33" s="10">
        <f t="shared" si="63"/>
        <v>0</v>
      </c>
      <c r="AB33" s="10">
        <f t="shared" si="64"/>
        <v>0</v>
      </c>
      <c r="AC33" s="10">
        <f t="shared" si="65"/>
        <v>0</v>
      </c>
      <c r="AD33" s="10">
        <f t="shared" si="66"/>
        <v>0</v>
      </c>
      <c r="AE33" s="10">
        <f t="shared" si="67"/>
        <v>0</v>
      </c>
      <c r="AF33" s="10">
        <f t="shared" si="68"/>
        <v>0</v>
      </c>
      <c r="AG33" s="10">
        <f t="shared" si="69"/>
        <v>0</v>
      </c>
      <c r="AH33" s="10">
        <f t="shared" si="70"/>
        <v>0</v>
      </c>
      <c r="AI33" s="10">
        <f t="shared" si="71"/>
        <v>0</v>
      </c>
      <c r="AK33" s="114" t="e">
        <f>SUM(AI33/AE33)-1</f>
        <v>#DIV/0!</v>
      </c>
    </row>
    <row r="34" spans="1:37" ht="12.75" customHeight="1">
      <c r="B34" s="21" t="s">
        <v>44</v>
      </c>
      <c r="C34" s="85" t="e">
        <f>SUM('Historical Financials'!#REF!)</f>
        <v>#REF!</v>
      </c>
      <c r="D34" s="85"/>
      <c r="E34" s="85"/>
      <c r="F34" s="85"/>
      <c r="H34" s="85">
        <f>SUM('Historical Financials'!G94:G99)</f>
        <v>-6811</v>
      </c>
      <c r="I34" s="85">
        <f>SUM('Historical Financials'!H94:H99)</f>
        <v>7430</v>
      </c>
      <c r="J34" s="85">
        <f>SUM('Historical Financials'!I94:I99)</f>
        <v>-2063</v>
      </c>
      <c r="K34" s="85">
        <f>SUM('Historical Financials'!J94:J99)</f>
        <v>-3191</v>
      </c>
      <c r="L34" s="85">
        <f>SUM('Historical Financials'!K94:K99)</f>
        <v>9952</v>
      </c>
      <c r="M34" s="85">
        <f>SUM('Historical Financials'!L94:L99)</f>
        <v>5192</v>
      </c>
      <c r="N34" s="85">
        <f>SUM('Historical Financials'!M94:M99)</f>
        <v>-2186</v>
      </c>
      <c r="O34" s="85">
        <f>SUM('Historical Financials'!N94:N99)</f>
        <v>-3882</v>
      </c>
      <c r="P34" s="85">
        <f>SUM('Historical Financials'!O94:O99)</f>
        <v>-3775</v>
      </c>
      <c r="Q34" s="85">
        <f>SUM('Historical Financials'!P94:P99)</f>
        <v>37840</v>
      </c>
      <c r="R34" s="85"/>
      <c r="S34" s="85"/>
      <c r="T34" s="85"/>
      <c r="U34" s="85"/>
      <c r="V34" s="85"/>
      <c r="X34" s="10">
        <f t="shared" si="60"/>
        <v>-4635</v>
      </c>
      <c r="Y34" s="10">
        <f t="shared" si="61"/>
        <v>12128</v>
      </c>
      <c r="Z34" s="10">
        <f t="shared" si="62"/>
        <v>9890</v>
      </c>
      <c r="AA34" s="10">
        <f t="shared" si="63"/>
        <v>9767</v>
      </c>
      <c r="AB34" s="10">
        <f t="shared" si="64"/>
        <v>9076</v>
      </c>
      <c r="AC34" s="10">
        <f t="shared" si="65"/>
        <v>-4651</v>
      </c>
      <c r="AD34" s="10">
        <f t="shared" si="66"/>
        <v>27997</v>
      </c>
      <c r="AE34" s="10">
        <f t="shared" si="67"/>
        <v>30183</v>
      </c>
      <c r="AF34" s="10">
        <f t="shared" si="68"/>
        <v>34065</v>
      </c>
      <c r="AG34" s="10">
        <f t="shared" si="69"/>
        <v>37840</v>
      </c>
      <c r="AH34" s="10">
        <f t="shared" si="70"/>
        <v>0</v>
      </c>
      <c r="AI34" s="10">
        <f t="shared" si="71"/>
        <v>0</v>
      </c>
      <c r="AK34" s="114">
        <f>SUM(AI34/AE34)-1</f>
        <v>-1</v>
      </c>
    </row>
    <row r="35" spans="1:37" ht="12.75" customHeight="1">
      <c r="B35" s="12" t="s">
        <v>45</v>
      </c>
      <c r="C35" s="13" t="e">
        <f>SUM(C28+SUM(C31:C34))</f>
        <v>#REF!</v>
      </c>
      <c r="D35" s="13">
        <f>SUM(D28+SUM(D31:D34))</f>
        <v>0</v>
      </c>
      <c r="E35" s="13">
        <f>SUM(E28+SUM(E31:E34))</f>
        <v>0</v>
      </c>
      <c r="F35" s="13">
        <f>SUM(F28+SUM(F31:F34))</f>
        <v>0</v>
      </c>
      <c r="H35" s="13" t="e">
        <f t="shared" ref="H35" si="72">SUM(H28+SUM(H31:H34))</f>
        <v>#REF!</v>
      </c>
      <c r="I35" s="13" t="e">
        <f t="shared" ref="I35:V35" si="73">SUM(I28+SUM(I31:I34))</f>
        <v>#REF!</v>
      </c>
      <c r="J35" s="13" t="e">
        <f t="shared" si="73"/>
        <v>#REF!</v>
      </c>
      <c r="K35" s="13" t="e">
        <f t="shared" si="73"/>
        <v>#REF!</v>
      </c>
      <c r="L35" s="13" t="e">
        <f t="shared" si="73"/>
        <v>#REF!</v>
      </c>
      <c r="M35" s="13" t="e">
        <f t="shared" si="73"/>
        <v>#REF!</v>
      </c>
      <c r="N35" s="13" t="e">
        <f t="shared" si="73"/>
        <v>#REF!</v>
      </c>
      <c r="O35" s="13" t="e">
        <f t="shared" si="73"/>
        <v>#REF!</v>
      </c>
      <c r="P35" s="13" t="e">
        <f t="shared" si="73"/>
        <v>#REF!</v>
      </c>
      <c r="Q35" s="13" t="e">
        <f t="shared" si="73"/>
        <v>#REF!</v>
      </c>
      <c r="R35" s="13">
        <f t="shared" si="73"/>
        <v>0</v>
      </c>
      <c r="S35" s="13">
        <f t="shared" si="73"/>
        <v>0</v>
      </c>
      <c r="T35" s="13">
        <f t="shared" si="73"/>
        <v>0</v>
      </c>
      <c r="U35" s="13">
        <f t="shared" si="73"/>
        <v>0</v>
      </c>
      <c r="V35" s="13">
        <f t="shared" si="73"/>
        <v>0</v>
      </c>
      <c r="X35" s="13" t="e">
        <f t="shared" ref="X35:AH35" si="74">SUM(X28+SUM(X31:X34))</f>
        <v>#REF!</v>
      </c>
      <c r="Y35" s="13" t="e">
        <f t="shared" si="74"/>
        <v>#REF!</v>
      </c>
      <c r="Z35" s="13" t="e">
        <f t="shared" si="74"/>
        <v>#REF!</v>
      </c>
      <c r="AA35" s="13" t="e">
        <f t="shared" si="74"/>
        <v>#REF!</v>
      </c>
      <c r="AB35" s="13" t="e">
        <f t="shared" si="74"/>
        <v>#REF!</v>
      </c>
      <c r="AC35" s="13" t="e">
        <f t="shared" si="74"/>
        <v>#REF!</v>
      </c>
      <c r="AD35" s="13" t="e">
        <f t="shared" si="74"/>
        <v>#REF!</v>
      </c>
      <c r="AE35" s="13" t="e">
        <f t="shared" si="74"/>
        <v>#REF!</v>
      </c>
      <c r="AF35" s="13" t="e">
        <f t="shared" si="74"/>
        <v>#REF!</v>
      </c>
      <c r="AG35" s="13" t="e">
        <f t="shared" si="74"/>
        <v>#REF!</v>
      </c>
      <c r="AH35" s="13">
        <f t="shared" si="74"/>
        <v>0</v>
      </c>
      <c r="AI35" s="13">
        <f>SUM(AI28+SUM(AI31:AI34))</f>
        <v>0</v>
      </c>
      <c r="AK35" s="115" t="e">
        <f>SUM(AI35/AE35)-1</f>
        <v>#REF!</v>
      </c>
    </row>
    <row r="36" spans="1:37" ht="5.0999999999999996" customHeight="1"/>
    <row r="37" spans="1:37" ht="12.75" customHeight="1">
      <c r="B37" s="29" t="s">
        <v>109</v>
      </c>
      <c r="C37" s="85" t="e">
        <f>'Historical Financials'!#REF!</f>
        <v>#REF!</v>
      </c>
      <c r="D37" s="85"/>
      <c r="E37" s="85"/>
      <c r="F37" s="85"/>
      <c r="G37" s="30"/>
      <c r="H37" s="85" t="e">
        <f>'Historical Financials'!#REF!</f>
        <v>#REF!</v>
      </c>
      <c r="I37" s="85" t="e">
        <f>'Historical Financials'!#REF!</f>
        <v>#REF!</v>
      </c>
      <c r="J37" s="85" t="e">
        <f>'Historical Financials'!#REF!</f>
        <v>#REF!</v>
      </c>
      <c r="K37" s="85" t="e">
        <f>'Historical Financials'!#REF!</f>
        <v>#REF!</v>
      </c>
      <c r="L37" s="85" t="e">
        <f>'Historical Financials'!#REF!</f>
        <v>#REF!</v>
      </c>
      <c r="M37" s="85" t="e">
        <f>'Historical Financials'!#REF!</f>
        <v>#REF!</v>
      </c>
      <c r="N37" s="85" t="e">
        <f>'Historical Financials'!#REF!</f>
        <v>#REF!</v>
      </c>
      <c r="O37" s="85" t="e">
        <f>'Historical Financials'!#REF!</f>
        <v>#REF!</v>
      </c>
      <c r="P37" s="85" t="e">
        <f>'Historical Financials'!#REF!</f>
        <v>#REF!</v>
      </c>
      <c r="Q37" s="85" t="e">
        <f>'Historical Financials'!#REF!</f>
        <v>#REF!</v>
      </c>
      <c r="R37" s="85"/>
      <c r="S37" s="85"/>
      <c r="T37" s="85"/>
      <c r="U37" s="85"/>
      <c r="V37" s="85"/>
      <c r="X37" s="10" t="e">
        <f>SUM(G37:K37)</f>
        <v>#REF!</v>
      </c>
      <c r="Y37" s="10" t="e">
        <f t="shared" ref="Y37:AI37" si="75">SUM(I37:L37)</f>
        <v>#REF!</v>
      </c>
      <c r="Z37" s="10" t="e">
        <f t="shared" si="75"/>
        <v>#REF!</v>
      </c>
      <c r="AA37" s="10" t="e">
        <f t="shared" si="75"/>
        <v>#REF!</v>
      </c>
      <c r="AB37" s="10" t="e">
        <f t="shared" si="75"/>
        <v>#REF!</v>
      </c>
      <c r="AC37" s="10" t="e">
        <f t="shared" si="75"/>
        <v>#REF!</v>
      </c>
      <c r="AD37" s="10" t="e">
        <f t="shared" si="75"/>
        <v>#REF!</v>
      </c>
      <c r="AE37" s="10" t="e">
        <f t="shared" si="75"/>
        <v>#REF!</v>
      </c>
      <c r="AF37" s="10" t="e">
        <f t="shared" si="75"/>
        <v>#REF!</v>
      </c>
      <c r="AG37" s="10" t="e">
        <f t="shared" si="75"/>
        <v>#REF!</v>
      </c>
      <c r="AH37" s="10">
        <f t="shared" si="75"/>
        <v>0</v>
      </c>
      <c r="AI37" s="10">
        <f t="shared" si="75"/>
        <v>0</v>
      </c>
    </row>
    <row r="38" spans="1:37" ht="12.75" customHeight="1">
      <c r="B38" s="29" t="s">
        <v>122</v>
      </c>
      <c r="C38" s="85" t="e">
        <f>SUM('Historical Financials'!#REF!)</f>
        <v>#REF!</v>
      </c>
      <c r="D38" s="85"/>
      <c r="E38" s="85"/>
      <c r="F38" s="85"/>
      <c r="G38" s="30"/>
      <c r="H38" s="85" t="e">
        <f>SUM('Historical Financials'!#REF!)</f>
        <v>#REF!</v>
      </c>
      <c r="I38" s="85" t="e">
        <f>SUM('Historical Financials'!#REF!)</f>
        <v>#REF!</v>
      </c>
      <c r="J38" s="85" t="e">
        <f>SUM('Historical Financials'!#REF!)</f>
        <v>#REF!</v>
      </c>
      <c r="K38" s="85" t="e">
        <f>SUM('Historical Financials'!#REF!)</f>
        <v>#REF!</v>
      </c>
      <c r="L38" s="85" t="e">
        <f>SUM('Historical Financials'!#REF!)</f>
        <v>#REF!</v>
      </c>
      <c r="M38" s="85" t="e">
        <f>SUM('Historical Financials'!#REF!)</f>
        <v>#REF!</v>
      </c>
      <c r="N38" s="85" t="e">
        <f>SUM('Historical Financials'!#REF!)</f>
        <v>#REF!</v>
      </c>
      <c r="O38" s="85" t="e">
        <f>SUM('Historical Financials'!#REF!)</f>
        <v>#REF!</v>
      </c>
      <c r="P38" s="85" t="e">
        <f>SUM('Historical Financials'!#REF!)</f>
        <v>#REF!</v>
      </c>
      <c r="Q38" s="85" t="e">
        <f>SUM('Historical Financials'!#REF!)</f>
        <v>#REF!</v>
      </c>
      <c r="R38" s="85"/>
      <c r="S38" s="85"/>
      <c r="T38" s="85"/>
      <c r="U38" s="85"/>
      <c r="V38" s="85"/>
      <c r="X38" s="10" t="e">
        <f t="shared" ref="X38:X43" si="76">SUM(G38:K38)</f>
        <v>#REF!</v>
      </c>
      <c r="Y38" s="10" t="e">
        <f t="shared" ref="Y38:Y43" si="77">SUM(I38:L38)</f>
        <v>#REF!</v>
      </c>
      <c r="Z38" s="10" t="e">
        <f t="shared" ref="Z38:Z43" si="78">SUM(J38:M38)</f>
        <v>#REF!</v>
      </c>
      <c r="AA38" s="10" t="e">
        <f t="shared" ref="AA38:AA43" si="79">SUM(K38:N38)</f>
        <v>#REF!</v>
      </c>
      <c r="AB38" s="10" t="e">
        <f t="shared" ref="AB38:AB43" si="80">SUM(L38:O38)</f>
        <v>#REF!</v>
      </c>
      <c r="AC38" s="10" t="e">
        <f t="shared" ref="AC38:AC43" si="81">SUM(M38:P38)</f>
        <v>#REF!</v>
      </c>
      <c r="AD38" s="10" t="e">
        <f t="shared" ref="AD38:AD43" si="82">SUM(N38:Q38)</f>
        <v>#REF!</v>
      </c>
      <c r="AE38" s="10" t="e">
        <f t="shared" ref="AE38:AE43" si="83">SUM(O38:R38)</f>
        <v>#REF!</v>
      </c>
      <c r="AF38" s="10" t="e">
        <f t="shared" ref="AF38:AF43" si="84">SUM(P38:S38)</f>
        <v>#REF!</v>
      </c>
      <c r="AG38" s="10" t="e">
        <f t="shared" ref="AG38:AG43" si="85">SUM(Q38:T38)</f>
        <v>#REF!</v>
      </c>
      <c r="AH38" s="10">
        <f t="shared" ref="AH38:AH43" si="86">SUM(R38:U38)</f>
        <v>0</v>
      </c>
      <c r="AI38" s="10">
        <f t="shared" ref="AI38:AI43" si="87">SUM(S38:V38)</f>
        <v>0</v>
      </c>
    </row>
    <row r="39" spans="1:37" ht="12.75" customHeight="1">
      <c r="B39" s="29" t="s">
        <v>123</v>
      </c>
      <c r="C39" s="85" t="e">
        <f>'Historical Financials'!#REF!</f>
        <v>#REF!</v>
      </c>
      <c r="D39" s="85"/>
      <c r="E39" s="85"/>
      <c r="F39" s="85"/>
      <c r="G39" s="30"/>
      <c r="H39" s="85" t="e">
        <f>'Historical Financials'!#REF!</f>
        <v>#REF!</v>
      </c>
      <c r="I39" s="85" t="e">
        <f>'Historical Financials'!#REF!</f>
        <v>#REF!</v>
      </c>
      <c r="J39" s="85" t="e">
        <f>'Historical Financials'!#REF!</f>
        <v>#REF!</v>
      </c>
      <c r="K39" s="85" t="e">
        <f>'Historical Financials'!#REF!</f>
        <v>#REF!</v>
      </c>
      <c r="L39" s="85" t="e">
        <f>'Historical Financials'!#REF!</f>
        <v>#REF!</v>
      </c>
      <c r="M39" s="85" t="e">
        <f>'Historical Financials'!#REF!</f>
        <v>#REF!</v>
      </c>
      <c r="N39" s="85" t="e">
        <f>'Historical Financials'!#REF!</f>
        <v>#REF!</v>
      </c>
      <c r="O39" s="85" t="e">
        <f>'Historical Financials'!#REF!</f>
        <v>#REF!</v>
      </c>
      <c r="P39" s="85" t="e">
        <f>'Historical Financials'!#REF!</f>
        <v>#REF!</v>
      </c>
      <c r="Q39" s="85" t="e">
        <f>'Historical Financials'!#REF!</f>
        <v>#REF!</v>
      </c>
      <c r="R39" s="85"/>
      <c r="S39" s="85"/>
      <c r="T39" s="85"/>
      <c r="U39" s="85"/>
      <c r="V39" s="85"/>
      <c r="X39" s="10" t="e">
        <f t="shared" si="76"/>
        <v>#REF!</v>
      </c>
      <c r="Y39" s="10" t="e">
        <f t="shared" si="77"/>
        <v>#REF!</v>
      </c>
      <c r="Z39" s="10" t="e">
        <f t="shared" si="78"/>
        <v>#REF!</v>
      </c>
      <c r="AA39" s="10" t="e">
        <f t="shared" si="79"/>
        <v>#REF!</v>
      </c>
      <c r="AB39" s="10" t="e">
        <f t="shared" si="80"/>
        <v>#REF!</v>
      </c>
      <c r="AC39" s="10" t="e">
        <f t="shared" si="81"/>
        <v>#REF!</v>
      </c>
      <c r="AD39" s="10" t="e">
        <f t="shared" si="82"/>
        <v>#REF!</v>
      </c>
      <c r="AE39" s="10" t="e">
        <f t="shared" si="83"/>
        <v>#REF!</v>
      </c>
      <c r="AF39" s="10" t="e">
        <f t="shared" si="84"/>
        <v>#REF!</v>
      </c>
      <c r="AG39" s="10" t="e">
        <f t="shared" si="85"/>
        <v>#REF!</v>
      </c>
      <c r="AH39" s="10">
        <f t="shared" si="86"/>
        <v>0</v>
      </c>
      <c r="AI39" s="10">
        <f t="shared" si="87"/>
        <v>0</v>
      </c>
    </row>
    <row r="40" spans="1:37" ht="12.75" customHeight="1">
      <c r="B40" s="29" t="s">
        <v>124</v>
      </c>
      <c r="C40" s="85" t="e">
        <f>'Historical Financials'!#REF!</f>
        <v>#REF!</v>
      </c>
      <c r="D40" s="85"/>
      <c r="E40" s="85"/>
      <c r="F40" s="85"/>
      <c r="G40" s="30"/>
      <c r="H40" s="85" t="e">
        <f>'Historical Financials'!#REF!</f>
        <v>#REF!</v>
      </c>
      <c r="I40" s="85" t="e">
        <f>'Historical Financials'!#REF!</f>
        <v>#REF!</v>
      </c>
      <c r="J40" s="85" t="e">
        <f>'Historical Financials'!#REF!</f>
        <v>#REF!</v>
      </c>
      <c r="K40" s="85" t="e">
        <f>'Historical Financials'!#REF!</f>
        <v>#REF!</v>
      </c>
      <c r="L40" s="85" t="e">
        <f>'Historical Financials'!#REF!</f>
        <v>#REF!</v>
      </c>
      <c r="M40" s="85" t="e">
        <f>'Historical Financials'!#REF!</f>
        <v>#REF!</v>
      </c>
      <c r="N40" s="85" t="e">
        <f>'Historical Financials'!#REF!</f>
        <v>#REF!</v>
      </c>
      <c r="O40" s="85" t="e">
        <f>'Historical Financials'!#REF!</f>
        <v>#REF!</v>
      </c>
      <c r="P40" s="85" t="e">
        <f>'Historical Financials'!#REF!</f>
        <v>#REF!</v>
      </c>
      <c r="Q40" s="85" t="e">
        <f>'Historical Financials'!#REF!</f>
        <v>#REF!</v>
      </c>
      <c r="R40" s="85"/>
      <c r="S40" s="85"/>
      <c r="T40" s="85"/>
      <c r="U40" s="85"/>
      <c r="V40" s="85"/>
      <c r="X40" s="10" t="e">
        <f t="shared" si="76"/>
        <v>#REF!</v>
      </c>
      <c r="Y40" s="10" t="e">
        <f t="shared" si="77"/>
        <v>#REF!</v>
      </c>
      <c r="Z40" s="10" t="e">
        <f t="shared" si="78"/>
        <v>#REF!</v>
      </c>
      <c r="AA40" s="10" t="e">
        <f t="shared" si="79"/>
        <v>#REF!</v>
      </c>
      <c r="AB40" s="10" t="e">
        <f t="shared" si="80"/>
        <v>#REF!</v>
      </c>
      <c r="AC40" s="10" t="e">
        <f t="shared" si="81"/>
        <v>#REF!</v>
      </c>
      <c r="AD40" s="10" t="e">
        <f t="shared" si="82"/>
        <v>#REF!</v>
      </c>
      <c r="AE40" s="10" t="e">
        <f t="shared" si="83"/>
        <v>#REF!</v>
      </c>
      <c r="AF40" s="10" t="e">
        <f t="shared" si="84"/>
        <v>#REF!</v>
      </c>
      <c r="AG40" s="10" t="e">
        <f t="shared" si="85"/>
        <v>#REF!</v>
      </c>
      <c r="AH40" s="10">
        <f t="shared" si="86"/>
        <v>0</v>
      </c>
      <c r="AI40" s="10">
        <f t="shared" si="87"/>
        <v>0</v>
      </c>
    </row>
    <row r="41" spans="1:37" ht="12.75" customHeight="1">
      <c r="B41" s="29" t="s">
        <v>110</v>
      </c>
      <c r="C41" s="85" t="e">
        <f>'Historical Financials'!#REF!</f>
        <v>#REF!</v>
      </c>
      <c r="D41" s="85"/>
      <c r="E41" s="85"/>
      <c r="F41" s="85"/>
      <c r="G41" s="30"/>
      <c r="H41" s="85" t="e">
        <f>'Historical Financials'!#REF!</f>
        <v>#REF!</v>
      </c>
      <c r="I41" s="85" t="e">
        <f>'Historical Financials'!#REF!</f>
        <v>#REF!</v>
      </c>
      <c r="J41" s="85" t="e">
        <f>'Historical Financials'!#REF!</f>
        <v>#REF!</v>
      </c>
      <c r="K41" s="85" t="e">
        <f>'Historical Financials'!#REF!</f>
        <v>#REF!</v>
      </c>
      <c r="L41" s="85" t="e">
        <f>'Historical Financials'!#REF!</f>
        <v>#REF!</v>
      </c>
      <c r="M41" s="85" t="e">
        <f>'Historical Financials'!#REF!</f>
        <v>#REF!</v>
      </c>
      <c r="N41" s="85" t="e">
        <f>'Historical Financials'!#REF!</f>
        <v>#REF!</v>
      </c>
      <c r="O41" s="85" t="e">
        <f>'Historical Financials'!#REF!</f>
        <v>#REF!</v>
      </c>
      <c r="P41" s="85" t="e">
        <f>'Historical Financials'!#REF!</f>
        <v>#REF!</v>
      </c>
      <c r="Q41" s="85" t="e">
        <f>'Historical Financials'!#REF!</f>
        <v>#REF!</v>
      </c>
      <c r="R41" s="85"/>
      <c r="S41" s="85"/>
      <c r="T41" s="85"/>
      <c r="U41" s="85"/>
      <c r="V41" s="85"/>
      <c r="X41" s="10" t="e">
        <f t="shared" si="76"/>
        <v>#REF!</v>
      </c>
      <c r="Y41" s="10" t="e">
        <f t="shared" si="77"/>
        <v>#REF!</v>
      </c>
      <c r="Z41" s="10" t="e">
        <f t="shared" si="78"/>
        <v>#REF!</v>
      </c>
      <c r="AA41" s="10" t="e">
        <f t="shared" si="79"/>
        <v>#REF!</v>
      </c>
      <c r="AB41" s="10" t="e">
        <f t="shared" si="80"/>
        <v>#REF!</v>
      </c>
      <c r="AC41" s="10" t="e">
        <f t="shared" si="81"/>
        <v>#REF!</v>
      </c>
      <c r="AD41" s="10" t="e">
        <f t="shared" si="82"/>
        <v>#REF!</v>
      </c>
      <c r="AE41" s="10" t="e">
        <f t="shared" si="83"/>
        <v>#REF!</v>
      </c>
      <c r="AF41" s="10" t="e">
        <f t="shared" si="84"/>
        <v>#REF!</v>
      </c>
      <c r="AG41" s="10" t="e">
        <f t="shared" si="85"/>
        <v>#REF!</v>
      </c>
      <c r="AH41" s="10">
        <f t="shared" si="86"/>
        <v>0</v>
      </c>
      <c r="AI41" s="10">
        <f t="shared" si="87"/>
        <v>0</v>
      </c>
    </row>
    <row r="42" spans="1:37" ht="12.75" customHeight="1">
      <c r="B42" s="29" t="s">
        <v>125</v>
      </c>
      <c r="C42" s="85" t="e">
        <f>'Historical Financials'!#REF!</f>
        <v>#REF!</v>
      </c>
      <c r="D42" s="85"/>
      <c r="E42" s="85"/>
      <c r="F42" s="85"/>
      <c r="G42" s="30"/>
      <c r="H42" s="85" t="e">
        <f>'Historical Financials'!#REF!</f>
        <v>#REF!</v>
      </c>
      <c r="I42" s="85" t="e">
        <f>'Historical Financials'!#REF!</f>
        <v>#REF!</v>
      </c>
      <c r="J42" s="85" t="e">
        <f>'Historical Financials'!#REF!</f>
        <v>#REF!</v>
      </c>
      <c r="K42" s="85" t="e">
        <f>'Historical Financials'!#REF!</f>
        <v>#REF!</v>
      </c>
      <c r="L42" s="85" t="e">
        <f>'Historical Financials'!#REF!</f>
        <v>#REF!</v>
      </c>
      <c r="M42" s="85" t="e">
        <f>'Historical Financials'!#REF!</f>
        <v>#REF!</v>
      </c>
      <c r="N42" s="85" t="e">
        <f>'Historical Financials'!#REF!</f>
        <v>#REF!</v>
      </c>
      <c r="O42" s="85" t="e">
        <f>'Historical Financials'!#REF!</f>
        <v>#REF!</v>
      </c>
      <c r="P42" s="85" t="e">
        <f>'Historical Financials'!#REF!</f>
        <v>#REF!</v>
      </c>
      <c r="Q42" s="85" t="e">
        <f>'Historical Financials'!#REF!</f>
        <v>#REF!</v>
      </c>
      <c r="R42" s="85"/>
      <c r="S42" s="85"/>
      <c r="T42" s="85"/>
      <c r="U42" s="85"/>
      <c r="V42" s="85"/>
      <c r="X42" s="10" t="e">
        <f t="shared" si="76"/>
        <v>#REF!</v>
      </c>
      <c r="Y42" s="10" t="e">
        <f t="shared" si="77"/>
        <v>#REF!</v>
      </c>
      <c r="Z42" s="10" t="e">
        <f t="shared" si="78"/>
        <v>#REF!</v>
      </c>
      <c r="AA42" s="10" t="e">
        <f t="shared" si="79"/>
        <v>#REF!</v>
      </c>
      <c r="AB42" s="10" t="e">
        <f t="shared" si="80"/>
        <v>#REF!</v>
      </c>
      <c r="AC42" s="10" t="e">
        <f t="shared" si="81"/>
        <v>#REF!</v>
      </c>
      <c r="AD42" s="10" t="e">
        <f t="shared" si="82"/>
        <v>#REF!</v>
      </c>
      <c r="AE42" s="10" t="e">
        <f t="shared" si="83"/>
        <v>#REF!</v>
      </c>
      <c r="AF42" s="10" t="e">
        <f t="shared" si="84"/>
        <v>#REF!</v>
      </c>
      <c r="AG42" s="10" t="e">
        <f t="shared" si="85"/>
        <v>#REF!</v>
      </c>
      <c r="AH42" s="10">
        <f t="shared" si="86"/>
        <v>0</v>
      </c>
      <c r="AI42" s="10">
        <f t="shared" si="87"/>
        <v>0</v>
      </c>
    </row>
    <row r="43" spans="1:37" ht="12.75" customHeight="1">
      <c r="B43" s="29" t="s">
        <v>84</v>
      </c>
      <c r="C43" s="30"/>
      <c r="D43" s="30"/>
      <c r="E43" s="30"/>
      <c r="F43" s="30"/>
      <c r="G43" s="30"/>
      <c r="H43" s="30" t="e">
        <f>SUM(H48:H49)-SUM(C48:C49)-SUM(H35:H42)</f>
        <v>#REF!</v>
      </c>
      <c r="I43" s="30" t="e">
        <f t="shared" ref="I43:Q43" si="88">SUM(I48:I49)-SUM(H48:H49)-SUM(I35:I42)</f>
        <v>#REF!</v>
      </c>
      <c r="J43" s="30" t="e">
        <f t="shared" si="88"/>
        <v>#REF!</v>
      </c>
      <c r="K43" s="30" t="e">
        <f t="shared" si="88"/>
        <v>#REF!</v>
      </c>
      <c r="L43" s="30" t="e">
        <f t="shared" si="88"/>
        <v>#REF!</v>
      </c>
      <c r="M43" s="30" t="e">
        <f t="shared" si="88"/>
        <v>#REF!</v>
      </c>
      <c r="N43" s="30" t="e">
        <f t="shared" si="88"/>
        <v>#REF!</v>
      </c>
      <c r="O43" s="30" t="e">
        <f t="shared" si="88"/>
        <v>#REF!</v>
      </c>
      <c r="P43" s="30" t="e">
        <f t="shared" si="88"/>
        <v>#REF!</v>
      </c>
      <c r="Q43" s="30" t="e">
        <f t="shared" si="88"/>
        <v>#REF!</v>
      </c>
      <c r="R43" s="30"/>
      <c r="S43" s="30"/>
      <c r="T43" s="30"/>
      <c r="U43" s="30"/>
      <c r="V43" s="30"/>
      <c r="X43" s="10" t="e">
        <f t="shared" si="76"/>
        <v>#REF!</v>
      </c>
      <c r="Y43" s="10" t="e">
        <f t="shared" si="77"/>
        <v>#REF!</v>
      </c>
      <c r="Z43" s="10" t="e">
        <f t="shared" si="78"/>
        <v>#REF!</v>
      </c>
      <c r="AA43" s="10" t="e">
        <f t="shared" si="79"/>
        <v>#REF!</v>
      </c>
      <c r="AB43" s="10" t="e">
        <f t="shared" si="80"/>
        <v>#REF!</v>
      </c>
      <c r="AC43" s="10" t="e">
        <f t="shared" si="81"/>
        <v>#REF!</v>
      </c>
      <c r="AD43" s="10" t="e">
        <f t="shared" si="82"/>
        <v>#REF!</v>
      </c>
      <c r="AE43" s="10" t="e">
        <f t="shared" si="83"/>
        <v>#REF!</v>
      </c>
      <c r="AF43" s="10" t="e">
        <f t="shared" si="84"/>
        <v>#REF!</v>
      </c>
      <c r="AG43" s="10" t="e">
        <f t="shared" si="85"/>
        <v>#REF!</v>
      </c>
      <c r="AH43" s="10">
        <f t="shared" si="86"/>
        <v>0</v>
      </c>
      <c r="AI43" s="10">
        <f t="shared" si="87"/>
        <v>0</v>
      </c>
    </row>
    <row r="44" spans="1:37" ht="12.75" customHeight="1">
      <c r="B44" s="12" t="s">
        <v>46</v>
      </c>
      <c r="C44" s="13" t="e">
        <f>SUM(C35+SUM(C37:C43))</f>
        <v>#REF!</v>
      </c>
      <c r="D44" s="13">
        <f>SUM(D35+SUM(D37:D43))</f>
        <v>0</v>
      </c>
      <c r="E44" s="13">
        <f>SUM(E35+SUM(E37:E43))</f>
        <v>0</v>
      </c>
      <c r="F44" s="13">
        <f>SUM(F35+SUM(F37:F43))</f>
        <v>0</v>
      </c>
      <c r="H44" s="13" t="e">
        <f t="shared" ref="H44:V44" si="89">SUM(H35+SUM(H37:H43))</f>
        <v>#REF!</v>
      </c>
      <c r="I44" s="13" t="e">
        <f t="shared" si="89"/>
        <v>#REF!</v>
      </c>
      <c r="J44" s="13" t="e">
        <f t="shared" si="89"/>
        <v>#REF!</v>
      </c>
      <c r="K44" s="13" t="e">
        <f t="shared" si="89"/>
        <v>#REF!</v>
      </c>
      <c r="L44" s="13" t="e">
        <f t="shared" si="89"/>
        <v>#REF!</v>
      </c>
      <c r="M44" s="13" t="e">
        <f t="shared" si="89"/>
        <v>#REF!</v>
      </c>
      <c r="N44" s="13" t="e">
        <f t="shared" si="89"/>
        <v>#REF!</v>
      </c>
      <c r="O44" s="13" t="e">
        <f t="shared" si="89"/>
        <v>#REF!</v>
      </c>
      <c r="P44" s="13" t="e">
        <f t="shared" si="89"/>
        <v>#REF!</v>
      </c>
      <c r="Q44" s="13" t="e">
        <f t="shared" si="89"/>
        <v>#REF!</v>
      </c>
      <c r="R44" s="13">
        <f t="shared" si="89"/>
        <v>0</v>
      </c>
      <c r="S44" s="13">
        <f t="shared" si="89"/>
        <v>0</v>
      </c>
      <c r="T44" s="13">
        <f t="shared" si="89"/>
        <v>0</v>
      </c>
      <c r="U44" s="13">
        <f t="shared" si="89"/>
        <v>0</v>
      </c>
      <c r="V44" s="13">
        <f t="shared" si="89"/>
        <v>0</v>
      </c>
      <c r="X44" s="13" t="e">
        <f t="shared" ref="X44:AI44" si="90">SUM(X35+SUM(X37:X43))</f>
        <v>#REF!</v>
      </c>
      <c r="Y44" s="13" t="e">
        <f t="shared" si="90"/>
        <v>#REF!</v>
      </c>
      <c r="Z44" s="13" t="e">
        <f t="shared" si="90"/>
        <v>#REF!</v>
      </c>
      <c r="AA44" s="13" t="e">
        <f t="shared" si="90"/>
        <v>#REF!</v>
      </c>
      <c r="AB44" s="13" t="e">
        <f t="shared" si="90"/>
        <v>#REF!</v>
      </c>
      <c r="AC44" s="13" t="e">
        <f t="shared" si="90"/>
        <v>#REF!</v>
      </c>
      <c r="AD44" s="13" t="e">
        <f t="shared" si="90"/>
        <v>#REF!</v>
      </c>
      <c r="AE44" s="13" t="e">
        <f t="shared" si="90"/>
        <v>#REF!</v>
      </c>
      <c r="AF44" s="13" t="e">
        <f t="shared" si="90"/>
        <v>#REF!</v>
      </c>
      <c r="AG44" s="13" t="e">
        <f t="shared" si="90"/>
        <v>#REF!</v>
      </c>
      <c r="AH44" s="13">
        <f t="shared" si="90"/>
        <v>0</v>
      </c>
      <c r="AI44" s="13">
        <f t="shared" si="90"/>
        <v>0</v>
      </c>
    </row>
    <row r="45" spans="1:37" ht="5.0999999999999996" customHeight="1"/>
    <row r="46" spans="1:37" ht="12.75" customHeight="1">
      <c r="A46" s="5"/>
      <c r="B46" s="31" t="s">
        <v>47</v>
      </c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</row>
    <row r="47" spans="1:37" ht="5.0999999999999996" customHeight="1"/>
    <row r="48" spans="1:37" ht="12.75" customHeight="1">
      <c r="B48" s="8" t="s">
        <v>48</v>
      </c>
      <c r="C48" s="85" t="e">
        <f>'Historical Financials'!#REF!</f>
        <v>#REF!</v>
      </c>
      <c r="D48" s="85"/>
      <c r="E48" s="85"/>
      <c r="F48" s="85"/>
      <c r="G48" s="30"/>
      <c r="H48" s="85">
        <f>'Historical Financials'!G43</f>
        <v>209693</v>
      </c>
      <c r="I48" s="85">
        <f>'Historical Financials'!H43</f>
        <v>197232</v>
      </c>
      <c r="J48" s="85">
        <f>'Historical Financials'!I43</f>
        <v>174662</v>
      </c>
      <c r="K48" s="85">
        <f>'Historical Financials'!J43</f>
        <v>201015</v>
      </c>
      <c r="L48" s="85">
        <f>'Historical Financials'!K43</f>
        <v>187467</v>
      </c>
      <c r="M48" s="85">
        <f>'Historical Financials'!L43</f>
        <v>168438</v>
      </c>
      <c r="N48" s="85">
        <f>'Historical Financials'!M43</f>
        <v>142350</v>
      </c>
      <c r="O48" s="85">
        <f>'Historical Financials'!N43</f>
        <v>121136</v>
      </c>
      <c r="P48" s="85">
        <f>'Historical Financials'!O43</f>
        <v>124169</v>
      </c>
      <c r="Q48" s="85">
        <f>'Historical Financials'!P43</f>
        <v>207291</v>
      </c>
      <c r="R48" s="85"/>
      <c r="S48" s="85"/>
      <c r="T48" s="85"/>
      <c r="U48" s="85"/>
      <c r="V48" s="85"/>
      <c r="X48" s="10">
        <f t="shared" ref="X48:AH48" si="91">K48</f>
        <v>201015</v>
      </c>
      <c r="Y48" s="10">
        <f t="shared" si="91"/>
        <v>187467</v>
      </c>
      <c r="Z48" s="10">
        <f t="shared" si="91"/>
        <v>168438</v>
      </c>
      <c r="AA48" s="10">
        <f t="shared" si="91"/>
        <v>142350</v>
      </c>
      <c r="AB48" s="10">
        <f t="shared" si="91"/>
        <v>121136</v>
      </c>
      <c r="AC48" s="10">
        <f t="shared" si="91"/>
        <v>124169</v>
      </c>
      <c r="AD48" s="10">
        <f t="shared" si="91"/>
        <v>207291</v>
      </c>
      <c r="AE48" s="10">
        <f t="shared" si="91"/>
        <v>0</v>
      </c>
      <c r="AF48" s="10">
        <f t="shared" si="91"/>
        <v>0</v>
      </c>
      <c r="AG48" s="10">
        <f t="shared" si="91"/>
        <v>0</v>
      </c>
      <c r="AH48" s="10">
        <f t="shared" si="91"/>
        <v>0</v>
      </c>
      <c r="AI48" s="10">
        <f>V48</f>
        <v>0</v>
      </c>
    </row>
    <row r="49" spans="2:35" ht="12.75" customHeight="1">
      <c r="B49" s="8" t="s">
        <v>103</v>
      </c>
      <c r="C49" s="85" t="e">
        <f>'Historical Financials'!#REF!</f>
        <v>#REF!</v>
      </c>
      <c r="D49" s="85"/>
      <c r="E49" s="85"/>
      <c r="F49" s="85"/>
      <c r="G49" s="30"/>
      <c r="H49" s="85" t="e">
        <f>'Historical Financials'!#REF!</f>
        <v>#REF!</v>
      </c>
      <c r="I49" s="85" t="e">
        <f>'Historical Financials'!#REF!</f>
        <v>#REF!</v>
      </c>
      <c r="J49" s="85" t="e">
        <f>'Historical Financials'!#REF!</f>
        <v>#REF!</v>
      </c>
      <c r="K49" s="85" t="e">
        <f>'Historical Financials'!#REF!</f>
        <v>#REF!</v>
      </c>
      <c r="L49" s="85" t="e">
        <f>'Historical Financials'!#REF!</f>
        <v>#REF!</v>
      </c>
      <c r="M49" s="85" t="e">
        <f>'Historical Financials'!#REF!</f>
        <v>#REF!</v>
      </c>
      <c r="N49" s="85" t="e">
        <f>'Historical Financials'!#REF!</f>
        <v>#REF!</v>
      </c>
      <c r="O49" s="85" t="e">
        <f>'Historical Financials'!#REF!</f>
        <v>#REF!</v>
      </c>
      <c r="P49" s="85" t="e">
        <f>'Historical Financials'!#REF!</f>
        <v>#REF!</v>
      </c>
      <c r="Q49" s="85" t="e">
        <f>'Historical Financials'!#REF!</f>
        <v>#REF!</v>
      </c>
      <c r="R49" s="85"/>
      <c r="S49" s="85"/>
      <c r="T49" s="85"/>
      <c r="U49" s="85"/>
      <c r="V49" s="85"/>
      <c r="X49" s="10" t="e">
        <f t="shared" ref="X49:X51" si="92">K49</f>
        <v>#REF!</v>
      </c>
      <c r="Y49" s="10" t="e">
        <f t="shared" ref="Y49:Y51" si="93">L49</f>
        <v>#REF!</v>
      </c>
      <c r="Z49" s="10" t="e">
        <f t="shared" ref="Z49:Z51" si="94">M49</f>
        <v>#REF!</v>
      </c>
      <c r="AA49" s="10" t="e">
        <f t="shared" ref="AA49:AA51" si="95">N49</f>
        <v>#REF!</v>
      </c>
      <c r="AB49" s="10" t="e">
        <f t="shared" ref="AB49:AB51" si="96">O49</f>
        <v>#REF!</v>
      </c>
      <c r="AC49" s="10" t="e">
        <f t="shared" ref="AC49:AC51" si="97">P49</f>
        <v>#REF!</v>
      </c>
      <c r="AD49" s="10" t="e">
        <f t="shared" ref="AD49:AD51" si="98">Q49</f>
        <v>#REF!</v>
      </c>
      <c r="AE49" s="10">
        <f t="shared" ref="AE49:AE51" si="99">R49</f>
        <v>0</v>
      </c>
      <c r="AF49" s="10">
        <f t="shared" ref="AF49:AF51" si="100">S49</f>
        <v>0</v>
      </c>
      <c r="AG49" s="10">
        <f t="shared" ref="AG49:AG51" si="101">T49</f>
        <v>0</v>
      </c>
      <c r="AH49" s="10">
        <f t="shared" ref="AH49:AH51" si="102">U49</f>
        <v>0</v>
      </c>
      <c r="AI49" s="10">
        <f t="shared" ref="AI49:AI51" si="103">V49</f>
        <v>0</v>
      </c>
    </row>
    <row r="50" spans="2:35" ht="12.75" customHeight="1">
      <c r="B50" s="8" t="s">
        <v>126</v>
      </c>
      <c r="C50" s="85" t="e">
        <f>'Historical Financials'!#REF!</f>
        <v>#REF!</v>
      </c>
      <c r="D50" s="85"/>
      <c r="E50" s="85"/>
      <c r="F50" s="85"/>
      <c r="G50" s="30"/>
      <c r="H50" s="85" t="e">
        <f>'Historical Financials'!#REF!</f>
        <v>#REF!</v>
      </c>
      <c r="I50" s="85" t="e">
        <f>'Historical Financials'!#REF!</f>
        <v>#REF!</v>
      </c>
      <c r="J50" s="85" t="e">
        <f>'Historical Financials'!#REF!</f>
        <v>#REF!</v>
      </c>
      <c r="K50" s="85" t="e">
        <f>'Historical Financials'!#REF!</f>
        <v>#REF!</v>
      </c>
      <c r="L50" s="85" t="e">
        <f>'Historical Financials'!#REF!</f>
        <v>#REF!</v>
      </c>
      <c r="M50" s="85" t="e">
        <f>'Historical Financials'!#REF!</f>
        <v>#REF!</v>
      </c>
      <c r="N50" s="85" t="e">
        <f>'Historical Financials'!#REF!</f>
        <v>#REF!</v>
      </c>
      <c r="O50" s="85" t="e">
        <f>'Historical Financials'!#REF!</f>
        <v>#REF!</v>
      </c>
      <c r="P50" s="85" t="e">
        <f>'Historical Financials'!#REF!</f>
        <v>#REF!</v>
      </c>
      <c r="Q50" s="85" t="e">
        <f>'Historical Financials'!#REF!</f>
        <v>#REF!</v>
      </c>
      <c r="R50" s="85"/>
      <c r="S50" s="85"/>
      <c r="T50" s="85"/>
      <c r="U50" s="85"/>
      <c r="V50" s="85"/>
      <c r="X50" s="10" t="e">
        <f t="shared" si="92"/>
        <v>#REF!</v>
      </c>
      <c r="Y50" s="10" t="e">
        <f t="shared" si="93"/>
        <v>#REF!</v>
      </c>
      <c r="Z50" s="10" t="e">
        <f t="shared" si="94"/>
        <v>#REF!</v>
      </c>
      <c r="AA50" s="10" t="e">
        <f t="shared" si="95"/>
        <v>#REF!</v>
      </c>
      <c r="AB50" s="10" t="e">
        <f t="shared" si="96"/>
        <v>#REF!</v>
      </c>
      <c r="AC50" s="10" t="e">
        <f t="shared" si="97"/>
        <v>#REF!</v>
      </c>
      <c r="AD50" s="10" t="e">
        <f t="shared" si="98"/>
        <v>#REF!</v>
      </c>
      <c r="AE50" s="10">
        <f t="shared" si="99"/>
        <v>0</v>
      </c>
      <c r="AF50" s="10">
        <f t="shared" si="100"/>
        <v>0</v>
      </c>
      <c r="AG50" s="10">
        <f t="shared" si="101"/>
        <v>0</v>
      </c>
      <c r="AH50" s="10">
        <f t="shared" si="102"/>
        <v>0</v>
      </c>
      <c r="AI50" s="10">
        <f t="shared" si="103"/>
        <v>0</v>
      </c>
    </row>
    <row r="51" spans="2:35" ht="12.75" customHeight="1">
      <c r="B51" s="8" t="s">
        <v>127</v>
      </c>
      <c r="C51" s="85" t="e">
        <f>'Historical Financials'!#REF!</f>
        <v>#REF!</v>
      </c>
      <c r="D51" s="85"/>
      <c r="E51" s="85"/>
      <c r="F51" s="85"/>
      <c r="G51" s="30"/>
      <c r="H51" s="85">
        <f>'Historical Financials'!G49</f>
        <v>188</v>
      </c>
      <c r="I51" s="85">
        <f>'Historical Financials'!H49</f>
        <v>166</v>
      </c>
      <c r="J51" s="85">
        <f>'Historical Financials'!I49</f>
        <v>144</v>
      </c>
      <c r="K51" s="85">
        <f>'Historical Financials'!J49</f>
        <v>122</v>
      </c>
      <c r="L51" s="85" t="str">
        <f>'Historical Financials'!K49</f>
        <v>-</v>
      </c>
      <c r="M51" s="85" t="str">
        <f>'Historical Financials'!L49</f>
        <v>-</v>
      </c>
      <c r="N51" s="85" t="str">
        <f>'Historical Financials'!M49</f>
        <v>-</v>
      </c>
      <c r="O51" s="85">
        <f>'Historical Financials'!N49</f>
        <v>0</v>
      </c>
      <c r="P51" s="85" t="str">
        <f>'Historical Financials'!O49</f>
        <v>-</v>
      </c>
      <c r="Q51" s="85" t="str">
        <f>'Historical Financials'!P49</f>
        <v>-</v>
      </c>
      <c r="R51" s="85"/>
      <c r="S51" s="85"/>
      <c r="T51" s="85"/>
      <c r="U51" s="85"/>
      <c r="V51" s="85"/>
      <c r="X51" s="10">
        <f t="shared" si="92"/>
        <v>122</v>
      </c>
      <c r="Y51" s="10" t="str">
        <f t="shared" si="93"/>
        <v>-</v>
      </c>
      <c r="Z51" s="10" t="str">
        <f t="shared" si="94"/>
        <v>-</v>
      </c>
      <c r="AA51" s="10" t="str">
        <f t="shared" si="95"/>
        <v>-</v>
      </c>
      <c r="AB51" s="10">
        <f t="shared" si="96"/>
        <v>0</v>
      </c>
      <c r="AC51" s="10" t="str">
        <f t="shared" si="97"/>
        <v>-</v>
      </c>
      <c r="AD51" s="10" t="str">
        <f t="shared" si="98"/>
        <v>-</v>
      </c>
      <c r="AE51" s="10">
        <f t="shared" si="99"/>
        <v>0</v>
      </c>
      <c r="AF51" s="10">
        <f t="shared" si="100"/>
        <v>0</v>
      </c>
      <c r="AG51" s="10">
        <f t="shared" si="101"/>
        <v>0</v>
      </c>
      <c r="AH51" s="10">
        <f t="shared" si="102"/>
        <v>0</v>
      </c>
      <c r="AI51" s="10">
        <f t="shared" si="103"/>
        <v>0</v>
      </c>
    </row>
    <row r="52" spans="2:35" ht="12.75" customHeight="1">
      <c r="B52" s="12" t="s">
        <v>49</v>
      </c>
      <c r="C52" s="13" t="e">
        <f>SUM(C48:C51)</f>
        <v>#REF!</v>
      </c>
      <c r="D52" s="13">
        <f>SUM(D48:D51)</f>
        <v>0</v>
      </c>
      <c r="E52" s="13">
        <f>SUM(E48:E51)</f>
        <v>0</v>
      </c>
      <c r="F52" s="13">
        <f>SUM(F48:F51)</f>
        <v>0</v>
      </c>
      <c r="G52" s="30"/>
      <c r="H52" s="13" t="e">
        <f t="shared" ref="H52:AI52" si="104">SUM(H48:H51)</f>
        <v>#REF!</v>
      </c>
      <c r="I52" s="13" t="e">
        <f t="shared" si="104"/>
        <v>#REF!</v>
      </c>
      <c r="J52" s="13" t="e">
        <f t="shared" si="104"/>
        <v>#REF!</v>
      </c>
      <c r="K52" s="13" t="e">
        <f t="shared" si="104"/>
        <v>#REF!</v>
      </c>
      <c r="L52" s="13" t="e">
        <f t="shared" si="104"/>
        <v>#REF!</v>
      </c>
      <c r="M52" s="13" t="e">
        <f t="shared" si="104"/>
        <v>#REF!</v>
      </c>
      <c r="N52" s="13" t="e">
        <f t="shared" si="104"/>
        <v>#REF!</v>
      </c>
      <c r="O52" s="13" t="e">
        <f t="shared" si="104"/>
        <v>#REF!</v>
      </c>
      <c r="P52" s="13" t="e">
        <f t="shared" si="104"/>
        <v>#REF!</v>
      </c>
      <c r="Q52" s="13" t="e">
        <f t="shared" si="104"/>
        <v>#REF!</v>
      </c>
      <c r="R52" s="13">
        <f t="shared" si="104"/>
        <v>0</v>
      </c>
      <c r="S52" s="13">
        <f t="shared" si="104"/>
        <v>0</v>
      </c>
      <c r="T52" s="13">
        <f t="shared" si="104"/>
        <v>0</v>
      </c>
      <c r="U52" s="13">
        <f t="shared" si="104"/>
        <v>0</v>
      </c>
      <c r="V52" s="13">
        <f t="shared" si="104"/>
        <v>0</v>
      </c>
      <c r="X52" s="13" t="e">
        <f t="shared" si="104"/>
        <v>#REF!</v>
      </c>
      <c r="Y52" s="13" t="e">
        <f t="shared" si="104"/>
        <v>#REF!</v>
      </c>
      <c r="Z52" s="13" t="e">
        <f t="shared" si="104"/>
        <v>#REF!</v>
      </c>
      <c r="AA52" s="13" t="e">
        <f t="shared" si="104"/>
        <v>#REF!</v>
      </c>
      <c r="AB52" s="13" t="e">
        <f t="shared" si="104"/>
        <v>#REF!</v>
      </c>
      <c r="AC52" s="13" t="e">
        <f t="shared" si="104"/>
        <v>#REF!</v>
      </c>
      <c r="AD52" s="13" t="e">
        <f t="shared" si="104"/>
        <v>#REF!</v>
      </c>
      <c r="AE52" s="13">
        <f t="shared" si="104"/>
        <v>0</v>
      </c>
      <c r="AF52" s="13">
        <f t="shared" si="104"/>
        <v>0</v>
      </c>
      <c r="AG52" s="13">
        <f t="shared" si="104"/>
        <v>0</v>
      </c>
      <c r="AH52" s="13">
        <f t="shared" si="104"/>
        <v>0</v>
      </c>
      <c r="AI52" s="13">
        <f t="shared" si="104"/>
        <v>0</v>
      </c>
    </row>
    <row r="53" spans="2:35" ht="5.0999999999999996" customHeight="1"/>
    <row r="54" spans="2:35" ht="12.75" customHeight="1">
      <c r="B54" s="33" t="s">
        <v>50</v>
      </c>
    </row>
    <row r="55" spans="2:35" ht="12.75" customHeight="1">
      <c r="B55" s="8" t="s">
        <v>51</v>
      </c>
      <c r="C55" s="85" t="e">
        <f>'Historical Financials'!#REF!</f>
        <v>#REF!</v>
      </c>
      <c r="D55" s="85"/>
      <c r="E55" s="85"/>
      <c r="F55" s="85"/>
      <c r="H55" s="85" t="e">
        <f>'Historical Financials'!#REF!</f>
        <v>#REF!</v>
      </c>
      <c r="I55" s="85" t="e">
        <f>'Historical Financials'!#REF!</f>
        <v>#REF!</v>
      </c>
      <c r="J55" s="85" t="e">
        <f>'Historical Financials'!#REF!</f>
        <v>#REF!</v>
      </c>
      <c r="K55" s="85" t="e">
        <f>'Historical Financials'!#REF!</f>
        <v>#REF!</v>
      </c>
      <c r="L55" s="85" t="e">
        <f>'Historical Financials'!#REF!</f>
        <v>#REF!</v>
      </c>
      <c r="M55" s="85" t="e">
        <f>'Historical Financials'!#REF!</f>
        <v>#REF!</v>
      </c>
      <c r="N55" s="85" t="e">
        <f>'Historical Financials'!#REF!</f>
        <v>#REF!</v>
      </c>
      <c r="O55" s="85" t="e">
        <f>'Historical Financials'!#REF!</f>
        <v>#REF!</v>
      </c>
      <c r="P55" s="85" t="e">
        <f>'Historical Financials'!#REF!</f>
        <v>#REF!</v>
      </c>
      <c r="Q55" s="85" t="e">
        <f>'Historical Financials'!#REF!</f>
        <v>#REF!</v>
      </c>
      <c r="R55" s="85"/>
      <c r="S55" s="85"/>
      <c r="T55" s="85"/>
      <c r="U55" s="85"/>
      <c r="V55" s="85"/>
      <c r="W55" s="10"/>
      <c r="X55" s="10" t="e">
        <f t="shared" ref="X55:X61" si="105">K55</f>
        <v>#REF!</v>
      </c>
      <c r="Y55" s="10" t="e">
        <f t="shared" ref="Y55:Y61" si="106">L55</f>
        <v>#REF!</v>
      </c>
      <c r="Z55" s="10" t="e">
        <f t="shared" ref="Z55:Z61" si="107">M55</f>
        <v>#REF!</v>
      </c>
      <c r="AA55" s="10" t="e">
        <f t="shared" ref="AA55:AA61" si="108">N55</f>
        <v>#REF!</v>
      </c>
      <c r="AB55" s="10" t="e">
        <f t="shared" ref="AB55:AB61" si="109">O55</f>
        <v>#REF!</v>
      </c>
      <c r="AC55" s="10" t="e">
        <f t="shared" ref="AC55:AC61" si="110">P55</f>
        <v>#REF!</v>
      </c>
      <c r="AD55" s="10" t="e">
        <f t="shared" ref="AD55:AD61" si="111">Q55</f>
        <v>#REF!</v>
      </c>
      <c r="AE55" s="10">
        <f t="shared" ref="AE55:AE61" si="112">R55</f>
        <v>0</v>
      </c>
      <c r="AF55" s="10">
        <f t="shared" ref="AF55:AF61" si="113">S55</f>
        <v>0</v>
      </c>
      <c r="AG55" s="10">
        <f t="shared" ref="AG55:AG61" si="114">T55</f>
        <v>0</v>
      </c>
      <c r="AH55" s="10">
        <f t="shared" ref="AH55:AH61" si="115">U55</f>
        <v>0</v>
      </c>
      <c r="AI55" s="10">
        <f t="shared" ref="AI55:AI61" si="116">V55</f>
        <v>0</v>
      </c>
    </row>
    <row r="56" spans="2:35" ht="12.75" customHeight="1">
      <c r="B56" s="8" t="s">
        <v>52</v>
      </c>
      <c r="C56" s="85" t="e">
        <f>'Historical Financials'!#REF!</f>
        <v>#REF!</v>
      </c>
      <c r="D56" s="85"/>
      <c r="E56" s="85"/>
      <c r="F56" s="85"/>
      <c r="G56" s="85"/>
      <c r="H56" s="85">
        <f>'Historical Financials'!G56</f>
        <v>3332</v>
      </c>
      <c r="I56" s="85">
        <f>'Historical Financials'!H56</f>
        <v>4758</v>
      </c>
      <c r="J56" s="85">
        <f>'Historical Financials'!I56</f>
        <v>3534</v>
      </c>
      <c r="K56" s="85">
        <f>'Historical Financials'!J56</f>
        <v>4017</v>
      </c>
      <c r="L56" s="85">
        <f>'Historical Financials'!K56</f>
        <v>8242</v>
      </c>
      <c r="M56" s="85">
        <f>'Historical Financials'!L56</f>
        <v>10338</v>
      </c>
      <c r="N56" s="85">
        <f>'Historical Financials'!M56</f>
        <v>9492</v>
      </c>
      <c r="O56" s="85">
        <f>'Historical Financials'!N56</f>
        <v>10573</v>
      </c>
      <c r="P56" s="85">
        <f>'Historical Financials'!O56</f>
        <v>9603</v>
      </c>
      <c r="Q56" s="85">
        <f>'Historical Financials'!P56</f>
        <v>52552</v>
      </c>
      <c r="R56" s="85"/>
      <c r="S56" s="85"/>
      <c r="T56" s="85"/>
      <c r="U56" s="85"/>
      <c r="V56" s="85"/>
      <c r="X56" s="10">
        <f t="shared" si="105"/>
        <v>4017</v>
      </c>
      <c r="Y56" s="10">
        <f t="shared" si="106"/>
        <v>8242</v>
      </c>
      <c r="Z56" s="10">
        <f t="shared" si="107"/>
        <v>10338</v>
      </c>
      <c r="AA56" s="10">
        <f t="shared" si="108"/>
        <v>9492</v>
      </c>
      <c r="AB56" s="10">
        <f t="shared" si="109"/>
        <v>10573</v>
      </c>
      <c r="AC56" s="10">
        <f t="shared" si="110"/>
        <v>9603</v>
      </c>
      <c r="AD56" s="10">
        <f t="shared" si="111"/>
        <v>52552</v>
      </c>
      <c r="AE56" s="10">
        <f t="shared" si="112"/>
        <v>0</v>
      </c>
      <c r="AF56" s="10">
        <f t="shared" si="113"/>
        <v>0</v>
      </c>
      <c r="AG56" s="10">
        <f t="shared" si="114"/>
        <v>0</v>
      </c>
      <c r="AH56" s="10">
        <f t="shared" si="115"/>
        <v>0</v>
      </c>
      <c r="AI56" s="10">
        <f t="shared" si="116"/>
        <v>0</v>
      </c>
    </row>
    <row r="57" spans="2:35" ht="12.75" customHeight="1">
      <c r="B57" s="8" t="s">
        <v>128</v>
      </c>
      <c r="C57" s="85" t="e">
        <f>'Historical Financials'!#REF!</f>
        <v>#REF!</v>
      </c>
      <c r="D57" s="85"/>
      <c r="E57" s="85"/>
      <c r="F57" s="85"/>
      <c r="G57" s="85"/>
      <c r="H57" s="85">
        <f>'Historical Financials'!G61</f>
        <v>261</v>
      </c>
      <c r="I57" s="85">
        <f>'Historical Financials'!H61</f>
        <v>370</v>
      </c>
      <c r="J57" s="85">
        <f>'Historical Financials'!I61</f>
        <v>416</v>
      </c>
      <c r="K57" s="85">
        <f>'Historical Financials'!J61</f>
        <v>492</v>
      </c>
      <c r="L57" s="85">
        <f>'Historical Financials'!K61</f>
        <v>179</v>
      </c>
      <c r="M57" s="85">
        <f>'Historical Financials'!L61</f>
        <v>293</v>
      </c>
      <c r="N57" s="85">
        <f>'Historical Financials'!M61</f>
        <v>391</v>
      </c>
      <c r="O57" s="85">
        <f>'Historical Financials'!N61</f>
        <v>385</v>
      </c>
      <c r="P57" s="85">
        <f>'Historical Financials'!O61</f>
        <v>125</v>
      </c>
      <c r="Q57" s="85">
        <f>'Historical Financials'!P61</f>
        <v>228</v>
      </c>
      <c r="R57" s="85"/>
      <c r="S57" s="85"/>
      <c r="T57" s="85"/>
      <c r="U57" s="85"/>
      <c r="V57" s="85"/>
      <c r="X57" s="10">
        <f t="shared" si="105"/>
        <v>492</v>
      </c>
      <c r="Y57" s="10">
        <f t="shared" si="106"/>
        <v>179</v>
      </c>
      <c r="Z57" s="10">
        <f t="shared" si="107"/>
        <v>293</v>
      </c>
      <c r="AA57" s="10">
        <f t="shared" si="108"/>
        <v>391</v>
      </c>
      <c r="AB57" s="10">
        <f t="shared" si="109"/>
        <v>385</v>
      </c>
      <c r="AC57" s="10">
        <f t="shared" si="110"/>
        <v>125</v>
      </c>
      <c r="AD57" s="10">
        <f t="shared" si="111"/>
        <v>228</v>
      </c>
      <c r="AE57" s="10">
        <f t="shared" si="112"/>
        <v>0</v>
      </c>
      <c r="AF57" s="10">
        <f t="shared" si="113"/>
        <v>0</v>
      </c>
      <c r="AG57" s="10">
        <f t="shared" si="114"/>
        <v>0</v>
      </c>
      <c r="AH57" s="10">
        <f t="shared" si="115"/>
        <v>0</v>
      </c>
      <c r="AI57" s="10">
        <f t="shared" si="116"/>
        <v>0</v>
      </c>
    </row>
    <row r="58" spans="2:35" ht="12.75" customHeight="1">
      <c r="B58" s="8" t="s">
        <v>129</v>
      </c>
      <c r="C58" s="85" t="e">
        <f>'Historical Financials'!#REF!</f>
        <v>#REF!</v>
      </c>
      <c r="D58" s="85"/>
      <c r="E58" s="85"/>
      <c r="F58" s="85"/>
      <c r="G58" s="85"/>
      <c r="H58" s="85" t="e">
        <f>'Historical Financials'!#REF!</f>
        <v>#REF!</v>
      </c>
      <c r="I58" s="85" t="e">
        <f>'Historical Financials'!#REF!</f>
        <v>#REF!</v>
      </c>
      <c r="J58" s="85" t="e">
        <f>'Historical Financials'!#REF!</f>
        <v>#REF!</v>
      </c>
      <c r="K58" s="85" t="e">
        <f>'Historical Financials'!#REF!</f>
        <v>#REF!</v>
      </c>
      <c r="L58" s="85" t="e">
        <f>'Historical Financials'!#REF!</f>
        <v>#REF!</v>
      </c>
      <c r="M58" s="85" t="e">
        <f>'Historical Financials'!#REF!</f>
        <v>#REF!</v>
      </c>
      <c r="N58" s="85" t="e">
        <f>'Historical Financials'!#REF!</f>
        <v>#REF!</v>
      </c>
      <c r="O58" s="85" t="e">
        <f>'Historical Financials'!#REF!</f>
        <v>#REF!</v>
      </c>
      <c r="P58" s="85" t="e">
        <f>'Historical Financials'!#REF!</f>
        <v>#REF!</v>
      </c>
      <c r="Q58" s="85" t="e">
        <f>'Historical Financials'!#REF!</f>
        <v>#REF!</v>
      </c>
      <c r="R58" s="85"/>
      <c r="S58" s="85"/>
      <c r="T58" s="85"/>
      <c r="U58" s="85"/>
      <c r="V58" s="85"/>
      <c r="X58" s="10" t="e">
        <f t="shared" ref="X58" si="117">K58</f>
        <v>#REF!</v>
      </c>
      <c r="Y58" s="10" t="e">
        <f t="shared" ref="Y58" si="118">L58</f>
        <v>#REF!</v>
      </c>
      <c r="Z58" s="10" t="e">
        <f t="shared" ref="Z58" si="119">M58</f>
        <v>#REF!</v>
      </c>
      <c r="AA58" s="10" t="e">
        <f t="shared" ref="AA58" si="120">N58</f>
        <v>#REF!</v>
      </c>
      <c r="AB58" s="10" t="e">
        <f t="shared" ref="AB58" si="121">O58</f>
        <v>#REF!</v>
      </c>
      <c r="AC58" s="10" t="e">
        <f t="shared" ref="AC58" si="122">P58</f>
        <v>#REF!</v>
      </c>
      <c r="AD58" s="10" t="e">
        <f t="shared" ref="AD58" si="123">Q58</f>
        <v>#REF!</v>
      </c>
      <c r="AE58" s="10">
        <f t="shared" ref="AE58" si="124">R58</f>
        <v>0</v>
      </c>
      <c r="AF58" s="10">
        <f t="shared" ref="AF58" si="125">S58</f>
        <v>0</v>
      </c>
      <c r="AG58" s="10">
        <f t="shared" ref="AG58" si="126">T58</f>
        <v>0</v>
      </c>
      <c r="AH58" s="10">
        <f t="shared" ref="AH58" si="127">U58</f>
        <v>0</v>
      </c>
      <c r="AI58" s="10">
        <f t="shared" ref="AI58" si="128">V58</f>
        <v>0</v>
      </c>
    </row>
    <row r="59" spans="2:35" ht="12.75" customHeight="1">
      <c r="B59" s="8" t="s">
        <v>53</v>
      </c>
      <c r="C59" s="85" t="e">
        <f>'Historical Financials'!#REF!</f>
        <v>#REF!</v>
      </c>
      <c r="D59" s="85"/>
      <c r="E59" s="85"/>
      <c r="F59" s="85"/>
      <c r="G59" s="85"/>
      <c r="H59" s="85">
        <f>'Historical Financials'!G51</f>
        <v>940</v>
      </c>
      <c r="I59" s="85">
        <f>'Historical Financials'!H51</f>
        <v>859</v>
      </c>
      <c r="J59" s="85">
        <f>'Historical Financials'!I51</f>
        <v>740</v>
      </c>
      <c r="K59" s="85">
        <f>'Historical Financials'!J51</f>
        <v>622</v>
      </c>
      <c r="L59" s="85">
        <f>'Historical Financials'!K51</f>
        <v>503</v>
      </c>
      <c r="M59" s="85">
        <f>'Historical Financials'!L51</f>
        <v>387</v>
      </c>
      <c r="N59" s="85">
        <f>'Historical Financials'!M51</f>
        <v>268</v>
      </c>
      <c r="O59" s="85">
        <f>'Historical Financials'!N51</f>
        <v>176</v>
      </c>
      <c r="P59" s="85">
        <f>'Historical Financials'!O51</f>
        <v>115</v>
      </c>
      <c r="Q59" s="85">
        <f>'Historical Financials'!P51</f>
        <v>82</v>
      </c>
      <c r="R59" s="85"/>
      <c r="S59" s="85"/>
      <c r="T59" s="85"/>
      <c r="U59" s="85"/>
      <c r="V59" s="85"/>
      <c r="X59" s="10">
        <f t="shared" si="105"/>
        <v>622</v>
      </c>
      <c r="Y59" s="10">
        <f t="shared" si="106"/>
        <v>503</v>
      </c>
      <c r="Z59" s="10">
        <f t="shared" si="107"/>
        <v>387</v>
      </c>
      <c r="AA59" s="10">
        <f t="shared" si="108"/>
        <v>268</v>
      </c>
      <c r="AB59" s="10">
        <f t="shared" si="109"/>
        <v>176</v>
      </c>
      <c r="AC59" s="10">
        <f t="shared" si="110"/>
        <v>115</v>
      </c>
      <c r="AD59" s="10">
        <f t="shared" si="111"/>
        <v>82</v>
      </c>
      <c r="AE59" s="10">
        <f t="shared" si="112"/>
        <v>0</v>
      </c>
      <c r="AF59" s="10">
        <f t="shared" si="113"/>
        <v>0</v>
      </c>
      <c r="AG59" s="10">
        <f t="shared" si="114"/>
        <v>0</v>
      </c>
      <c r="AH59" s="10">
        <f t="shared" si="115"/>
        <v>0</v>
      </c>
      <c r="AI59" s="10">
        <f t="shared" si="116"/>
        <v>0</v>
      </c>
    </row>
    <row r="60" spans="2:35" ht="12.75" customHeight="1">
      <c r="B60" s="8" t="s">
        <v>54</v>
      </c>
      <c r="C60" s="85" t="e">
        <f>'Historical Financials'!#REF!</f>
        <v>#REF!</v>
      </c>
      <c r="D60" s="85"/>
      <c r="E60" s="85"/>
      <c r="F60" s="85"/>
      <c r="G60" s="85"/>
      <c r="H60" s="85">
        <f>'Historical Financials'!G62</f>
        <v>6789</v>
      </c>
      <c r="I60" s="85">
        <f>'Historical Financials'!H62</f>
        <v>8722</v>
      </c>
      <c r="J60" s="85">
        <f>'Historical Financials'!I62</f>
        <v>8308</v>
      </c>
      <c r="K60" s="85">
        <f>'Historical Financials'!J62</f>
        <v>7063</v>
      </c>
      <c r="L60" s="85">
        <f>'Historical Financials'!K62</f>
        <v>13909</v>
      </c>
      <c r="M60" s="85">
        <f>'Historical Financials'!L62</f>
        <v>17895</v>
      </c>
      <c r="N60" s="85">
        <f>'Historical Financials'!M62</f>
        <v>17414</v>
      </c>
      <c r="O60" s="85">
        <f>'Historical Financials'!N62</f>
        <v>14195</v>
      </c>
      <c r="P60" s="85">
        <f>'Historical Financials'!O62</f>
        <v>77121</v>
      </c>
      <c r="Q60" s="85">
        <f>'Historical Financials'!P62</f>
        <v>54594</v>
      </c>
      <c r="R60" s="85"/>
      <c r="S60" s="85"/>
      <c r="T60" s="85"/>
      <c r="U60" s="85"/>
      <c r="V60" s="85"/>
      <c r="X60" s="10">
        <f t="shared" si="105"/>
        <v>7063</v>
      </c>
      <c r="Y60" s="10">
        <f t="shared" si="106"/>
        <v>13909</v>
      </c>
      <c r="Z60" s="10">
        <f t="shared" si="107"/>
        <v>17895</v>
      </c>
      <c r="AA60" s="10">
        <f t="shared" si="108"/>
        <v>17414</v>
      </c>
      <c r="AB60" s="10">
        <f t="shared" si="109"/>
        <v>14195</v>
      </c>
      <c r="AC60" s="10">
        <f t="shared" si="110"/>
        <v>77121</v>
      </c>
      <c r="AD60" s="10">
        <f t="shared" si="111"/>
        <v>54594</v>
      </c>
      <c r="AE60" s="10">
        <f t="shared" si="112"/>
        <v>0</v>
      </c>
      <c r="AF60" s="10">
        <f t="shared" si="113"/>
        <v>0</v>
      </c>
      <c r="AG60" s="10">
        <f t="shared" si="114"/>
        <v>0</v>
      </c>
      <c r="AH60" s="10">
        <f t="shared" si="115"/>
        <v>0</v>
      </c>
      <c r="AI60" s="10">
        <f t="shared" si="116"/>
        <v>0</v>
      </c>
    </row>
    <row r="61" spans="2:35" ht="12.75" customHeight="1">
      <c r="B61" s="8" t="s">
        <v>16</v>
      </c>
      <c r="C61" s="85" t="e">
        <f>'Historical Financials'!#REF!</f>
        <v>#REF!</v>
      </c>
      <c r="D61" s="85"/>
      <c r="E61" s="85"/>
      <c r="F61" s="85"/>
      <c r="G61" s="85"/>
      <c r="H61" s="85">
        <f>'Historical Financials'!G67</f>
        <v>7097</v>
      </c>
      <c r="I61" s="85">
        <f>'Historical Financials'!H67</f>
        <v>9011</v>
      </c>
      <c r="J61" s="85">
        <f>'Historical Financials'!I67</f>
        <v>8567</v>
      </c>
      <c r="K61" s="85">
        <f>'Historical Financials'!J67</f>
        <v>7295</v>
      </c>
      <c r="L61" s="85">
        <f>'Historical Financials'!K67</f>
        <v>14106</v>
      </c>
      <c r="M61" s="85">
        <f>'Historical Financials'!L67</f>
        <v>17895</v>
      </c>
      <c r="N61" s="85">
        <f>'Historical Financials'!M67</f>
        <v>17414</v>
      </c>
      <c r="O61" s="85">
        <f>'Historical Financials'!N67</f>
        <v>14195</v>
      </c>
      <c r="P61" s="85">
        <f>'Historical Financials'!O67</f>
        <v>77121</v>
      </c>
      <c r="Q61" s="85">
        <f>'Historical Financials'!P67</f>
        <v>54594</v>
      </c>
      <c r="R61" s="85"/>
      <c r="S61" s="85"/>
      <c r="T61" s="85"/>
      <c r="U61" s="85"/>
      <c r="V61" s="85"/>
      <c r="X61" s="10">
        <f t="shared" si="105"/>
        <v>7295</v>
      </c>
      <c r="Y61" s="10">
        <f t="shared" si="106"/>
        <v>14106</v>
      </c>
      <c r="Z61" s="10">
        <f t="shared" si="107"/>
        <v>17895</v>
      </c>
      <c r="AA61" s="10">
        <f t="shared" si="108"/>
        <v>17414</v>
      </c>
      <c r="AB61" s="10">
        <f t="shared" si="109"/>
        <v>14195</v>
      </c>
      <c r="AC61" s="10">
        <f t="shared" si="110"/>
        <v>77121</v>
      </c>
      <c r="AD61" s="10">
        <f t="shared" si="111"/>
        <v>54594</v>
      </c>
      <c r="AE61" s="10">
        <f t="shared" si="112"/>
        <v>0</v>
      </c>
      <c r="AF61" s="10">
        <f t="shared" si="113"/>
        <v>0</v>
      </c>
      <c r="AG61" s="10">
        <f t="shared" si="114"/>
        <v>0</v>
      </c>
      <c r="AH61" s="10">
        <f t="shared" si="115"/>
        <v>0</v>
      </c>
      <c r="AI61" s="10">
        <f t="shared" si="116"/>
        <v>0</v>
      </c>
    </row>
    <row r="62" spans="2:35" ht="5.0999999999999996" customHeight="1"/>
    <row r="63" spans="2:35" ht="12.75" customHeight="1">
      <c r="B63" s="29" t="s">
        <v>130</v>
      </c>
      <c r="C63" s="78">
        <v>0</v>
      </c>
      <c r="D63" s="78"/>
      <c r="E63" s="78"/>
      <c r="F63" s="78"/>
      <c r="H63" s="78">
        <v>0</v>
      </c>
      <c r="I63" s="78">
        <v>0</v>
      </c>
      <c r="J63" s="78">
        <v>0</v>
      </c>
      <c r="K63" s="111">
        <f>D63</f>
        <v>0</v>
      </c>
      <c r="L63" s="78">
        <v>0</v>
      </c>
      <c r="M63" s="78">
        <v>0</v>
      </c>
      <c r="N63" s="78">
        <v>0</v>
      </c>
      <c r="O63" s="111">
        <f>E63</f>
        <v>0</v>
      </c>
      <c r="P63" s="78">
        <v>0</v>
      </c>
      <c r="Q63" s="78">
        <v>0</v>
      </c>
      <c r="R63" s="78"/>
      <c r="S63" s="111"/>
      <c r="T63" s="78"/>
      <c r="U63" s="78"/>
      <c r="V63" s="78"/>
      <c r="W63" s="112"/>
      <c r="X63" s="10">
        <f t="shared" ref="X63:AI63" si="129">K63</f>
        <v>0</v>
      </c>
      <c r="Y63" s="10">
        <f t="shared" si="129"/>
        <v>0</v>
      </c>
      <c r="Z63" s="10">
        <f t="shared" si="129"/>
        <v>0</v>
      </c>
      <c r="AA63" s="10">
        <f t="shared" si="129"/>
        <v>0</v>
      </c>
      <c r="AB63" s="10">
        <f t="shared" si="129"/>
        <v>0</v>
      </c>
      <c r="AC63" s="10">
        <f t="shared" si="129"/>
        <v>0</v>
      </c>
      <c r="AD63" s="10">
        <f t="shared" si="129"/>
        <v>0</v>
      </c>
      <c r="AE63" s="10">
        <f t="shared" si="129"/>
        <v>0</v>
      </c>
      <c r="AF63" s="10">
        <f t="shared" si="129"/>
        <v>0</v>
      </c>
      <c r="AG63" s="10">
        <f t="shared" si="129"/>
        <v>0</v>
      </c>
      <c r="AH63" s="10">
        <f t="shared" si="129"/>
        <v>0</v>
      </c>
      <c r="AI63" s="10">
        <f t="shared" si="129"/>
        <v>0</v>
      </c>
    </row>
    <row r="64" spans="2:35" ht="12.75" customHeight="1">
      <c r="B64" s="12" t="s">
        <v>23</v>
      </c>
      <c r="C64" s="13">
        <f>SUM(C63:C63)</f>
        <v>0</v>
      </c>
      <c r="D64" s="13">
        <f>SUM(D63:D63)</f>
        <v>0</v>
      </c>
      <c r="E64" s="13">
        <f>SUM(E63:E63)</f>
        <v>0</v>
      </c>
      <c r="F64" s="13">
        <f>SUM(F63:F63)</f>
        <v>0</v>
      </c>
      <c r="H64" s="13">
        <f t="shared" ref="H64:V64" si="130">SUM(H63:H63)</f>
        <v>0</v>
      </c>
      <c r="I64" s="13">
        <f t="shared" si="130"/>
        <v>0</v>
      </c>
      <c r="J64" s="13">
        <f t="shared" si="130"/>
        <v>0</v>
      </c>
      <c r="K64" s="13">
        <f t="shared" si="130"/>
        <v>0</v>
      </c>
      <c r="L64" s="13">
        <f t="shared" si="130"/>
        <v>0</v>
      </c>
      <c r="M64" s="13">
        <f t="shared" si="130"/>
        <v>0</v>
      </c>
      <c r="N64" s="13">
        <f t="shared" si="130"/>
        <v>0</v>
      </c>
      <c r="O64" s="13">
        <f t="shared" si="130"/>
        <v>0</v>
      </c>
      <c r="P64" s="13">
        <f t="shared" si="130"/>
        <v>0</v>
      </c>
      <c r="Q64" s="13">
        <f t="shared" si="130"/>
        <v>0</v>
      </c>
      <c r="R64" s="13">
        <f t="shared" si="130"/>
        <v>0</v>
      </c>
      <c r="S64" s="13">
        <f t="shared" si="130"/>
        <v>0</v>
      </c>
      <c r="T64" s="13">
        <f t="shared" si="130"/>
        <v>0</v>
      </c>
      <c r="U64" s="13">
        <f t="shared" si="130"/>
        <v>0</v>
      </c>
      <c r="V64" s="13">
        <f t="shared" si="130"/>
        <v>0</v>
      </c>
      <c r="X64" s="13">
        <f t="shared" ref="X64:AI64" si="131">SUM(X63:X63)</f>
        <v>0</v>
      </c>
      <c r="Y64" s="13">
        <f t="shared" si="131"/>
        <v>0</v>
      </c>
      <c r="Z64" s="13">
        <f t="shared" si="131"/>
        <v>0</v>
      </c>
      <c r="AA64" s="13">
        <f t="shared" si="131"/>
        <v>0</v>
      </c>
      <c r="AB64" s="13">
        <f t="shared" si="131"/>
        <v>0</v>
      </c>
      <c r="AC64" s="13">
        <f t="shared" si="131"/>
        <v>0</v>
      </c>
      <c r="AD64" s="13">
        <f t="shared" si="131"/>
        <v>0</v>
      </c>
      <c r="AE64" s="13">
        <f t="shared" si="131"/>
        <v>0</v>
      </c>
      <c r="AF64" s="13">
        <f t="shared" si="131"/>
        <v>0</v>
      </c>
      <c r="AG64" s="13">
        <f t="shared" si="131"/>
        <v>0</v>
      </c>
      <c r="AH64" s="13">
        <f t="shared" si="131"/>
        <v>0</v>
      </c>
      <c r="AI64" s="13">
        <f t="shared" si="131"/>
        <v>0</v>
      </c>
    </row>
    <row r="65" spans="1:35" ht="5.0999999999999996" customHeight="1"/>
    <row r="66" spans="1:35" ht="12.75" customHeight="1">
      <c r="B66" s="8" t="s">
        <v>55</v>
      </c>
      <c r="C66" s="85" t="e">
        <f>'Historical Financials'!#REF!</f>
        <v>#REF!</v>
      </c>
      <c r="D66" s="85"/>
      <c r="E66" s="85"/>
      <c r="F66" s="85"/>
      <c r="H66" s="85">
        <f>'Historical Financials'!G73</f>
        <v>237094</v>
      </c>
      <c r="I66" s="85">
        <f>'Historical Financials'!H73</f>
        <v>218370</v>
      </c>
      <c r="J66" s="85">
        <f>'Historical Financials'!I73</f>
        <v>198719</v>
      </c>
      <c r="K66" s="85">
        <f>'Historical Financials'!J73</f>
        <v>227539</v>
      </c>
      <c r="L66" s="85">
        <f>'Historical Financials'!K73</f>
        <v>204005</v>
      </c>
      <c r="M66" s="85">
        <f>'Historical Financials'!L73</f>
        <v>179353</v>
      </c>
      <c r="N66" s="85">
        <f>'Historical Financials'!M73</f>
        <v>155115</v>
      </c>
      <c r="O66" s="85">
        <f>'Historical Financials'!N73</f>
        <v>137468</v>
      </c>
      <c r="P66" s="85">
        <f>'Historical Financials'!O73</f>
        <v>78597</v>
      </c>
      <c r="Q66" s="85">
        <f>'Historical Financials'!P73</f>
        <v>188974</v>
      </c>
      <c r="R66" s="85"/>
      <c r="S66" s="85"/>
      <c r="T66" s="85"/>
      <c r="U66" s="85"/>
      <c r="V66" s="85"/>
      <c r="X66" s="10">
        <f t="shared" ref="X66:AH66" si="132">K66</f>
        <v>227539</v>
      </c>
      <c r="Y66" s="10">
        <f t="shared" si="132"/>
        <v>204005</v>
      </c>
      <c r="Z66" s="10">
        <f t="shared" si="132"/>
        <v>179353</v>
      </c>
      <c r="AA66" s="10">
        <f t="shared" si="132"/>
        <v>155115</v>
      </c>
      <c r="AB66" s="10">
        <f t="shared" si="132"/>
        <v>137468</v>
      </c>
      <c r="AC66" s="10">
        <f t="shared" si="132"/>
        <v>78597</v>
      </c>
      <c r="AD66" s="10">
        <f t="shared" si="132"/>
        <v>188974</v>
      </c>
      <c r="AE66" s="10">
        <f t="shared" si="132"/>
        <v>0</v>
      </c>
      <c r="AF66" s="10">
        <f t="shared" si="132"/>
        <v>0</v>
      </c>
      <c r="AG66" s="10">
        <f t="shared" si="132"/>
        <v>0</v>
      </c>
      <c r="AH66" s="10">
        <f t="shared" si="132"/>
        <v>0</v>
      </c>
      <c r="AI66" s="10">
        <f>V66</f>
        <v>0</v>
      </c>
    </row>
    <row r="67" spans="1:35" ht="12.75" customHeight="1">
      <c r="B67" s="12" t="s">
        <v>56</v>
      </c>
      <c r="C67" s="13" t="e">
        <f>SUM(C64:C66)</f>
        <v>#REF!</v>
      </c>
      <c r="D67" s="13">
        <f>SUM(D64:D66)</f>
        <v>0</v>
      </c>
      <c r="E67" s="13">
        <f>SUM(E64:E66)</f>
        <v>0</v>
      </c>
      <c r="F67" s="13">
        <f>SUM(F64:F66)</f>
        <v>0</v>
      </c>
      <c r="H67" s="13">
        <f t="shared" ref="H67" si="133">SUM(H64:H66)</f>
        <v>237094</v>
      </c>
      <c r="I67" s="13">
        <f t="shared" ref="I67:R67" si="134">SUM(I64:I66)</f>
        <v>218370</v>
      </c>
      <c r="J67" s="13">
        <f t="shared" si="134"/>
        <v>198719</v>
      </c>
      <c r="K67" s="13">
        <f t="shared" si="134"/>
        <v>227539</v>
      </c>
      <c r="L67" s="13">
        <f t="shared" si="134"/>
        <v>204005</v>
      </c>
      <c r="M67" s="13">
        <f t="shared" si="134"/>
        <v>179353</v>
      </c>
      <c r="N67" s="13">
        <f t="shared" si="134"/>
        <v>155115</v>
      </c>
      <c r="O67" s="13">
        <f t="shared" si="134"/>
        <v>137468</v>
      </c>
      <c r="P67" s="13">
        <f t="shared" si="134"/>
        <v>78597</v>
      </c>
      <c r="Q67" s="13">
        <f t="shared" si="134"/>
        <v>188974</v>
      </c>
      <c r="R67" s="13">
        <f t="shared" si="134"/>
        <v>0</v>
      </c>
      <c r="S67" s="13">
        <f>SUM(S64:S66)</f>
        <v>0</v>
      </c>
      <c r="T67" s="13">
        <f>SUM(T64:T66)</f>
        <v>0</v>
      </c>
      <c r="U67" s="13">
        <f>SUM(U64:U66)</f>
        <v>0</v>
      </c>
      <c r="V67" s="13">
        <f>SUM(V64:V66)</f>
        <v>0</v>
      </c>
      <c r="X67" s="13">
        <f t="shared" ref="X67:AH67" si="135">SUM(X64:X66)</f>
        <v>227539</v>
      </c>
      <c r="Y67" s="13">
        <f t="shared" si="135"/>
        <v>204005</v>
      </c>
      <c r="Z67" s="13">
        <f t="shared" si="135"/>
        <v>179353</v>
      </c>
      <c r="AA67" s="13">
        <f t="shared" si="135"/>
        <v>155115</v>
      </c>
      <c r="AB67" s="13">
        <f t="shared" si="135"/>
        <v>137468</v>
      </c>
      <c r="AC67" s="13">
        <f t="shared" si="135"/>
        <v>78597</v>
      </c>
      <c r="AD67" s="13">
        <f t="shared" si="135"/>
        <v>188974</v>
      </c>
      <c r="AE67" s="13">
        <f t="shared" si="135"/>
        <v>0</v>
      </c>
      <c r="AF67" s="13">
        <f t="shared" si="135"/>
        <v>0</v>
      </c>
      <c r="AG67" s="13">
        <f t="shared" si="135"/>
        <v>0</v>
      </c>
      <c r="AH67" s="13">
        <f t="shared" si="135"/>
        <v>0</v>
      </c>
      <c r="AI67" s="13">
        <f>SUM(AI64:AI66)</f>
        <v>0</v>
      </c>
    </row>
    <row r="68" spans="1:35" ht="5.0999999999999996" customHeight="1"/>
    <row r="69" spans="1:35" ht="12.75" customHeight="1">
      <c r="A69" s="5"/>
      <c r="B69" s="31" t="s">
        <v>85</v>
      </c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</row>
    <row r="70" spans="1:35" ht="5.0999999999999996" customHeight="1"/>
    <row r="71" spans="1:35" ht="12.75" customHeight="1">
      <c r="B71" s="8" t="s">
        <v>57</v>
      </c>
      <c r="C71" s="135" t="s">
        <v>87</v>
      </c>
      <c r="D71" s="135"/>
      <c r="E71" s="135"/>
      <c r="F71" s="135"/>
      <c r="H71" s="133"/>
      <c r="I71" s="133"/>
      <c r="J71" s="133"/>
      <c r="K71" s="133"/>
      <c r="L71" s="135" t="s">
        <v>87</v>
      </c>
      <c r="M71" s="135" t="s">
        <v>87</v>
      </c>
      <c r="N71" s="135" t="s">
        <v>87</v>
      </c>
      <c r="O71" s="135" t="s">
        <v>87</v>
      </c>
      <c r="P71" s="135" t="s">
        <v>87</v>
      </c>
      <c r="Q71" s="135" t="s">
        <v>87</v>
      </c>
      <c r="R71" s="135"/>
      <c r="S71" s="135"/>
      <c r="T71" s="135"/>
      <c r="U71" s="135"/>
      <c r="V71" s="135"/>
      <c r="W71" s="135"/>
      <c r="X71" s="135" t="s">
        <v>87</v>
      </c>
      <c r="Y71" s="135" t="s">
        <v>87</v>
      </c>
      <c r="Z71" s="135" t="s">
        <v>87</v>
      </c>
      <c r="AA71" s="135" t="s">
        <v>87</v>
      </c>
      <c r="AB71" s="135" t="s">
        <v>87</v>
      </c>
      <c r="AC71" s="135" t="s">
        <v>87</v>
      </c>
      <c r="AD71" s="135" t="s">
        <v>87</v>
      </c>
      <c r="AE71" s="135"/>
      <c r="AF71" s="135"/>
      <c r="AG71" s="135"/>
      <c r="AH71" s="135"/>
      <c r="AI71" s="135"/>
    </row>
    <row r="72" spans="1:35" ht="12.75" customHeight="1">
      <c r="B72" s="8" t="s">
        <v>58</v>
      </c>
      <c r="C72" s="135" t="s">
        <v>87</v>
      </c>
      <c r="D72" s="135"/>
      <c r="E72" s="135"/>
      <c r="F72" s="135"/>
      <c r="H72" s="133"/>
      <c r="I72" s="133"/>
      <c r="J72" s="133"/>
      <c r="K72" s="133"/>
      <c r="L72" s="135" t="s">
        <v>87</v>
      </c>
      <c r="M72" s="135" t="s">
        <v>87</v>
      </c>
      <c r="N72" s="135" t="s">
        <v>87</v>
      </c>
      <c r="O72" s="135" t="s">
        <v>87</v>
      </c>
      <c r="P72" s="135" t="s">
        <v>87</v>
      </c>
      <c r="Q72" s="135" t="s">
        <v>87</v>
      </c>
      <c r="R72" s="135"/>
      <c r="S72" s="135"/>
      <c r="T72" s="135"/>
      <c r="U72" s="135"/>
      <c r="V72" s="135"/>
      <c r="W72" s="135"/>
      <c r="X72" s="135" t="s">
        <v>87</v>
      </c>
      <c r="Y72" s="135" t="s">
        <v>87</v>
      </c>
      <c r="Z72" s="135" t="s">
        <v>87</v>
      </c>
      <c r="AA72" s="135" t="s">
        <v>87</v>
      </c>
      <c r="AB72" s="135" t="s">
        <v>87</v>
      </c>
      <c r="AC72" s="135" t="s">
        <v>87</v>
      </c>
      <c r="AD72" s="135" t="s">
        <v>87</v>
      </c>
      <c r="AE72" s="135"/>
      <c r="AF72" s="135"/>
      <c r="AG72" s="135"/>
      <c r="AH72" s="135"/>
      <c r="AI72" s="135"/>
    </row>
    <row r="73" spans="1:35" ht="12.75" customHeight="1">
      <c r="B73" s="8" t="s">
        <v>59</v>
      </c>
      <c r="C73" s="135" t="s">
        <v>87</v>
      </c>
      <c r="D73" s="135"/>
      <c r="E73" s="135"/>
      <c r="F73" s="135"/>
      <c r="H73" s="133"/>
      <c r="I73" s="133"/>
      <c r="J73" s="133"/>
      <c r="K73" s="133"/>
      <c r="L73" s="135" t="s">
        <v>87</v>
      </c>
      <c r="M73" s="135" t="s">
        <v>87</v>
      </c>
      <c r="N73" s="135" t="s">
        <v>87</v>
      </c>
      <c r="O73" s="135" t="s">
        <v>87</v>
      </c>
      <c r="P73" s="135" t="s">
        <v>87</v>
      </c>
      <c r="Q73" s="135" t="s">
        <v>87</v>
      </c>
      <c r="R73" s="135"/>
      <c r="S73" s="135"/>
      <c r="T73" s="135"/>
      <c r="U73" s="135"/>
      <c r="V73" s="135"/>
      <c r="X73" s="135" t="s">
        <v>87</v>
      </c>
      <c r="Y73" s="135" t="s">
        <v>87</v>
      </c>
      <c r="Z73" s="135" t="s">
        <v>87</v>
      </c>
      <c r="AA73" s="135" t="s">
        <v>87</v>
      </c>
      <c r="AB73" s="135" t="s">
        <v>87</v>
      </c>
      <c r="AC73" s="135" t="s">
        <v>87</v>
      </c>
      <c r="AD73" s="135" t="s">
        <v>87</v>
      </c>
      <c r="AE73" s="135"/>
      <c r="AF73" s="135"/>
      <c r="AG73" s="135"/>
      <c r="AH73" s="135"/>
      <c r="AI73" s="135"/>
    </row>
    <row r="74" spans="1:35" ht="12.75" customHeight="1">
      <c r="B74" s="8" t="s">
        <v>60</v>
      </c>
      <c r="C74" s="135" t="s">
        <v>87</v>
      </c>
      <c r="D74" s="135"/>
      <c r="E74" s="135"/>
      <c r="F74" s="135"/>
      <c r="H74" s="133"/>
      <c r="I74" s="133"/>
      <c r="J74" s="133"/>
      <c r="K74" s="133"/>
      <c r="L74" s="135" t="s">
        <v>87</v>
      </c>
      <c r="M74" s="135" t="s">
        <v>87</v>
      </c>
      <c r="N74" s="135" t="s">
        <v>87</v>
      </c>
      <c r="O74" s="135" t="s">
        <v>87</v>
      </c>
      <c r="P74" s="135" t="s">
        <v>87</v>
      </c>
      <c r="Q74" s="135" t="s">
        <v>87</v>
      </c>
      <c r="R74" s="135"/>
      <c r="S74" s="135"/>
      <c r="T74" s="135"/>
      <c r="U74" s="135"/>
      <c r="V74" s="135"/>
      <c r="X74" s="135" t="s">
        <v>87</v>
      </c>
      <c r="Y74" s="135" t="s">
        <v>87</v>
      </c>
      <c r="Z74" s="135" t="s">
        <v>87</v>
      </c>
      <c r="AA74" s="135" t="s">
        <v>87</v>
      </c>
      <c r="AB74" s="135" t="s">
        <v>87</v>
      </c>
      <c r="AC74" s="135" t="s">
        <v>87</v>
      </c>
      <c r="AD74" s="135" t="s">
        <v>87</v>
      </c>
      <c r="AE74" s="135"/>
      <c r="AF74" s="135"/>
      <c r="AG74" s="135"/>
      <c r="AH74" s="135"/>
      <c r="AI74" s="135"/>
    </row>
    <row r="75" spans="1:35" ht="12.75" customHeight="1">
      <c r="B75" s="8" t="s">
        <v>61</v>
      </c>
      <c r="C75" s="135" t="s">
        <v>87</v>
      </c>
      <c r="D75" s="135"/>
      <c r="E75" s="135"/>
      <c r="F75" s="135"/>
      <c r="H75" s="133"/>
      <c r="I75" s="133"/>
      <c r="J75" s="133"/>
      <c r="K75" s="133"/>
      <c r="L75" s="135" t="s">
        <v>87</v>
      </c>
      <c r="M75" s="135" t="s">
        <v>87</v>
      </c>
      <c r="N75" s="135" t="s">
        <v>87</v>
      </c>
      <c r="O75" s="135" t="s">
        <v>87</v>
      </c>
      <c r="P75" s="135" t="s">
        <v>87</v>
      </c>
      <c r="Q75" s="135" t="s">
        <v>87</v>
      </c>
      <c r="R75" s="135"/>
      <c r="S75" s="135"/>
      <c r="T75" s="135"/>
      <c r="U75" s="135"/>
      <c r="V75" s="135"/>
      <c r="X75" s="135" t="s">
        <v>87</v>
      </c>
      <c r="Y75" s="135" t="s">
        <v>87</v>
      </c>
      <c r="Z75" s="135" t="s">
        <v>87</v>
      </c>
      <c r="AA75" s="135" t="s">
        <v>87</v>
      </c>
      <c r="AB75" s="135" t="s">
        <v>87</v>
      </c>
      <c r="AC75" s="135" t="s">
        <v>87</v>
      </c>
      <c r="AD75" s="135" t="s">
        <v>87</v>
      </c>
      <c r="AE75" s="135"/>
      <c r="AF75" s="135"/>
      <c r="AG75" s="135"/>
      <c r="AH75" s="135"/>
      <c r="AI75" s="135"/>
    </row>
    <row r="76" spans="1:35" ht="12.75" customHeight="1">
      <c r="B76" s="8" t="s">
        <v>62</v>
      </c>
      <c r="C76" s="135" t="s">
        <v>87</v>
      </c>
      <c r="D76" s="135"/>
      <c r="E76" s="135"/>
      <c r="F76" s="135"/>
      <c r="H76" s="133"/>
      <c r="I76" s="133"/>
      <c r="J76" s="133"/>
      <c r="K76" s="133"/>
      <c r="L76" s="135" t="s">
        <v>87</v>
      </c>
      <c r="M76" s="135" t="s">
        <v>87</v>
      </c>
      <c r="N76" s="135" t="s">
        <v>87</v>
      </c>
      <c r="O76" s="135" t="s">
        <v>87</v>
      </c>
      <c r="P76" s="135" t="s">
        <v>87</v>
      </c>
      <c r="Q76" s="135" t="s">
        <v>87</v>
      </c>
      <c r="R76" s="135"/>
      <c r="S76" s="135"/>
      <c r="T76" s="135"/>
      <c r="U76" s="135"/>
      <c r="V76" s="135"/>
      <c r="X76" s="135" t="s">
        <v>87</v>
      </c>
      <c r="Y76" s="135" t="s">
        <v>87</v>
      </c>
      <c r="Z76" s="135" t="s">
        <v>87</v>
      </c>
      <c r="AA76" s="135" t="s">
        <v>87</v>
      </c>
      <c r="AB76" s="135" t="s">
        <v>87</v>
      </c>
      <c r="AC76" s="135" t="s">
        <v>87</v>
      </c>
      <c r="AD76" s="135" t="s">
        <v>87</v>
      </c>
      <c r="AE76" s="135"/>
      <c r="AF76" s="135"/>
      <c r="AG76" s="135"/>
      <c r="AH76" s="135"/>
      <c r="AI76" s="135"/>
    </row>
    <row r="77" spans="1:35" ht="5.0999999999999996" customHeight="1" thickBot="1"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</row>
  </sheetData>
  <mergeCells count="1">
    <mergeCell ref="AK2:AK4"/>
  </mergeCells>
  <dataValidations count="1">
    <dataValidation type="list" allowBlank="1" showInputMessage="1" showErrorMessage="1" sqref="B4" xr:uid="{060857CB-86CD-4220-87C0-9A83C6E53284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AJ34:AJ35 G31:G32 AJ36:AK39 G37:G39 I35:V36 C35:G36 G34" formulaRange="1"/>
    <ignoredError sqref="G73 G76 G71:G72 G74 G75 W74 W75 W76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Financials</vt:lpstr>
      <vt:lpstr>Revenue Drivers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2025-11-10T02:10:15Z</dcterms:modified>
</cp:coreProperties>
</file>