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af505b8eb0eeb/Documents/"/>
    </mc:Choice>
  </mc:AlternateContent>
  <xr:revisionPtr revIDLastSave="0" documentId="8_{CF8CC93D-F2AA-4147-8F72-E4BF6E90A770}" xr6:coauthVersionLast="47" xr6:coauthVersionMax="47" xr10:uidLastSave="{00000000-0000-0000-0000-000000000000}"/>
  <bookViews>
    <workbookView xWindow="-120" yWindow="-120" windowWidth="29040" windowHeight="15720" xr2:uid="{F8C8E04D-3B49-44C7-9C6A-DD7CB12C10D0}"/>
  </bookViews>
  <sheets>
    <sheet name="Summary Coverage" sheetId="6" r:id="rId1"/>
    <sheet name="Consumer" sheetId="1" r:id="rId2"/>
    <sheet name="FIs" sheetId="2" r:id="rId3"/>
    <sheet name="Healthcare" sheetId="3" r:id="rId4"/>
    <sheet name="Industrials" sheetId="4" r:id="rId5"/>
    <sheet name="TM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" l="1"/>
  <c r="C18" i="6"/>
  <c r="C17" i="6"/>
  <c r="C16" i="6"/>
  <c r="C14" i="6"/>
  <c r="C13" i="6"/>
  <c r="C12" i="6"/>
  <c r="C11" i="6" s="1"/>
  <c r="C9" i="6"/>
  <c r="C8" i="6"/>
  <c r="C23" i="6"/>
  <c r="C22" i="6"/>
  <c r="C21" i="6"/>
  <c r="C15" i="6" l="1"/>
  <c r="C20" i="6"/>
  <c r="C7" i="6"/>
  <c r="C24" i="6" l="1"/>
</calcChain>
</file>

<file path=xl/sharedStrings.xml><?xml version="1.0" encoding="utf-8"?>
<sst xmlns="http://schemas.openxmlformats.org/spreadsheetml/2006/main" count="617" uniqueCount="357">
  <si>
    <t>Coverage Summary List</t>
  </si>
  <si>
    <t>Updated as of 12/28/25</t>
  </si>
  <si>
    <t>Company</t>
  </si>
  <si>
    <t>Ticker</t>
  </si>
  <si>
    <t>Sector</t>
  </si>
  <si>
    <t>Industry Group</t>
  </si>
  <si>
    <t>Sub-Industry</t>
  </si>
  <si>
    <t>Business Model</t>
  </si>
  <si>
    <t>Notes</t>
  </si>
  <si>
    <t>Consumer Defensive</t>
  </si>
  <si>
    <t>Industry Class</t>
  </si>
  <si>
    <t>Beverages</t>
  </si>
  <si>
    <t>Food Retail &amp; Grocery</t>
  </si>
  <si>
    <t>Packaged Foods &amp; Meats</t>
  </si>
  <si>
    <t>Sub-Sector</t>
  </si>
  <si>
    <t xml:space="preserve">Anheuser-Busch Inbev SA </t>
  </si>
  <si>
    <t>BUD</t>
  </si>
  <si>
    <t xml:space="preserve">Coca-Cola Co </t>
  </si>
  <si>
    <t>KO</t>
  </si>
  <si>
    <t xml:space="preserve">Monster Beverage Corporation </t>
  </si>
  <si>
    <t>MNST</t>
  </si>
  <si>
    <t xml:space="preserve">Costco Wholesale Corp </t>
  </si>
  <si>
    <t>COST</t>
  </si>
  <si>
    <t xml:space="preserve">Beyond Meat, Inc. </t>
  </si>
  <si>
    <t>BYND</t>
  </si>
  <si>
    <t xml:space="preserve">Tyson Foods Inc </t>
  </si>
  <si>
    <t>TSN</t>
  </si>
  <si>
    <t>Consumer Discretionary</t>
  </si>
  <si>
    <t>Apparel &amp; Footwear</t>
  </si>
  <si>
    <t>Restaurants</t>
  </si>
  <si>
    <t>Specialty Retail</t>
  </si>
  <si>
    <t xml:space="preserve">Crocs Inc </t>
  </si>
  <si>
    <t>CROX</t>
  </si>
  <si>
    <t>Lululemon Athletica Inc</t>
  </si>
  <si>
    <t>LULU</t>
  </si>
  <si>
    <t xml:space="preserve">Chipotle Mexican Grill Inc </t>
  </si>
  <si>
    <t>CMG</t>
  </si>
  <si>
    <t xml:space="preserve">Starbucks Corp </t>
  </si>
  <si>
    <t>SBUX</t>
  </si>
  <si>
    <t>Beauty &amp; Personal Care Retail</t>
  </si>
  <si>
    <t>Consumer Electronics Retail</t>
  </si>
  <si>
    <t xml:space="preserve">Ulta Beauty Inc </t>
  </si>
  <si>
    <t>ULTA</t>
  </si>
  <si>
    <t xml:space="preserve">Best Buy Co Inc </t>
  </si>
  <si>
    <t>BBY</t>
  </si>
  <si>
    <t xml:space="preserve">Build-A-Bear Workshop, Inc </t>
  </si>
  <si>
    <t>BBW</t>
  </si>
  <si>
    <t>Health Care Services</t>
  </si>
  <si>
    <t>Medical Devices &amp; Diagnostics</t>
  </si>
  <si>
    <t xml:space="preserve">UnitedHealth Group </t>
  </si>
  <si>
    <t>UNH</t>
  </si>
  <si>
    <t>BSX</t>
  </si>
  <si>
    <t>ABT</t>
  </si>
  <si>
    <t xml:space="preserve">Abbott Laboratories Inc </t>
  </si>
  <si>
    <t xml:space="preserve">Boston Scientific Corp. </t>
  </si>
  <si>
    <t>Biotechnology</t>
  </si>
  <si>
    <t>Clinical &amp; Pre-Revenue</t>
  </si>
  <si>
    <t>Commercial Stage</t>
  </si>
  <si>
    <t xml:space="preserve">Anavex Life Sciences Corp </t>
  </si>
  <si>
    <t>AVXL</t>
  </si>
  <si>
    <t xml:space="preserve">Humacyte Inc </t>
  </si>
  <si>
    <t>HUMA</t>
  </si>
  <si>
    <t xml:space="preserve">Galectin Therapeutics Inc </t>
  </si>
  <si>
    <t>GALT</t>
  </si>
  <si>
    <t xml:space="preserve">Cassava Sciences </t>
  </si>
  <si>
    <t>SAVA</t>
  </si>
  <si>
    <t xml:space="preserve">ADMA Biologics Inc </t>
  </si>
  <si>
    <t>ADMA</t>
  </si>
  <si>
    <t>Airlines</t>
  </si>
  <si>
    <t>Automobiles &amp; Components</t>
  </si>
  <si>
    <t>Independent Power Producers (IPP)</t>
  </si>
  <si>
    <t>DAL</t>
  </si>
  <si>
    <t xml:space="preserve">Delta Air Lines Inc </t>
  </si>
  <si>
    <t xml:space="preserve">Spirit Aviation Holdings Inc </t>
  </si>
  <si>
    <t>FLYYQ</t>
  </si>
  <si>
    <t>Advance Auto Parts Inc</t>
  </si>
  <si>
    <t>AAP</t>
  </si>
  <si>
    <t xml:space="preserve">GE Vernova Inc. </t>
  </si>
  <si>
    <t>GEV</t>
  </si>
  <si>
    <t>Electrical Equip. &amp; Power Infra.</t>
  </si>
  <si>
    <t xml:space="preserve">Talen Energy Corporation </t>
  </si>
  <si>
    <t>TLN</t>
  </si>
  <si>
    <t>Media</t>
  </si>
  <si>
    <t>Digital Media Platforms</t>
  </si>
  <si>
    <t>Streaming &amp; Direct-to-Consumer</t>
  </si>
  <si>
    <t>DJT</t>
  </si>
  <si>
    <t xml:space="preserve">Spotify Technology SA. </t>
  </si>
  <si>
    <t>SPOT</t>
  </si>
  <si>
    <t xml:space="preserve">Snap Inc </t>
  </si>
  <si>
    <t>SNAP</t>
  </si>
  <si>
    <t xml:space="preserve">Reddit Inc </t>
  </si>
  <si>
    <t>RDDT</t>
  </si>
  <si>
    <t>Industrials</t>
  </si>
  <si>
    <t>Healthcare</t>
  </si>
  <si>
    <t xml:space="preserve">Consumer </t>
  </si>
  <si>
    <t xml:space="preserve">Fubotv Inc </t>
  </si>
  <si>
    <t>FUBO</t>
  </si>
  <si>
    <t xml:space="preserve">Netflix, Inc. </t>
  </si>
  <si>
    <t>NFLX</t>
  </si>
  <si>
    <t>Technology</t>
  </si>
  <si>
    <t>E-commerce</t>
  </si>
  <si>
    <t>ETSY</t>
  </si>
  <si>
    <t>AMZN</t>
  </si>
  <si>
    <t xml:space="preserve">Etsy Inc </t>
  </si>
  <si>
    <t xml:space="preserve">Amazon.com Inc </t>
  </si>
  <si>
    <t>Fintech</t>
  </si>
  <si>
    <t xml:space="preserve">Visa Inc </t>
  </si>
  <si>
    <t>V</t>
  </si>
  <si>
    <t xml:space="preserve">PayPal Holdings Inc </t>
  </si>
  <si>
    <t>PYPL</t>
  </si>
  <si>
    <t xml:space="preserve">Mastercard Inc </t>
  </si>
  <si>
    <t>MA</t>
  </si>
  <si>
    <t xml:space="preserve">Klarna Group plc </t>
  </si>
  <si>
    <t>KLAR</t>
  </si>
  <si>
    <t xml:space="preserve">Coinbase Global, Inc. </t>
  </si>
  <si>
    <t>COIN</t>
  </si>
  <si>
    <t xml:space="preserve">Affirm Holdings, Inc. </t>
  </si>
  <si>
    <t>AFRM</t>
  </si>
  <si>
    <t xml:space="preserve">Trump Media &amp; Tech. Group Corp </t>
  </si>
  <si>
    <t>GovTech</t>
  </si>
  <si>
    <t xml:space="preserve">Palantir Technologies Inc </t>
  </si>
  <si>
    <t>PLTR</t>
  </si>
  <si>
    <t>IT Software &amp; Services</t>
  </si>
  <si>
    <t xml:space="preserve">Workiva Inc. </t>
  </si>
  <si>
    <t>WK</t>
  </si>
  <si>
    <t>CRM</t>
  </si>
  <si>
    <t xml:space="preserve">Salesforce Inc </t>
  </si>
  <si>
    <t xml:space="preserve">Microstrategy Inc </t>
  </si>
  <si>
    <t>MSTR</t>
  </si>
  <si>
    <t xml:space="preserve">Microsoft Corp. </t>
  </si>
  <si>
    <t>MSFT</t>
  </si>
  <si>
    <t>Internet Software &amp; Services</t>
  </si>
  <si>
    <t xml:space="preserve">Alphabet, Inc. </t>
  </si>
  <si>
    <t>GOOG</t>
  </si>
  <si>
    <t xml:space="preserve">Meta Platforms, Inc. </t>
  </si>
  <si>
    <t>META</t>
  </si>
  <si>
    <t>Quantum Computing</t>
  </si>
  <si>
    <t>RGTI</t>
  </si>
  <si>
    <t xml:space="preserve">Rigetti Computing Inc </t>
  </si>
  <si>
    <t>QMCO</t>
  </si>
  <si>
    <t xml:space="preserve">Quantum Corp </t>
  </si>
  <si>
    <t>QUBT</t>
  </si>
  <si>
    <t xml:space="preserve">Quantom Computing Inc </t>
  </si>
  <si>
    <t>IONQ</t>
  </si>
  <si>
    <t xml:space="preserve">IonQ Inc </t>
  </si>
  <si>
    <t>Semiconductors</t>
  </si>
  <si>
    <t>QCOM</t>
  </si>
  <si>
    <t>ASML</t>
  </si>
  <si>
    <t xml:space="preserve">ASML Holding NV. </t>
  </si>
  <si>
    <t xml:space="preserve">Advanced Micro Devices Inc </t>
  </si>
  <si>
    <t>AMD</t>
  </si>
  <si>
    <t xml:space="preserve">Broadcom Inc </t>
  </si>
  <si>
    <t>AVGO</t>
  </si>
  <si>
    <t>INTC</t>
  </si>
  <si>
    <t xml:space="preserve">Intel Corp </t>
  </si>
  <si>
    <t>NVDA</t>
  </si>
  <si>
    <t xml:space="preserve">NVIDIA Corporation </t>
  </si>
  <si>
    <t xml:space="preserve">Qualcomm </t>
  </si>
  <si>
    <t>Tech Hardware</t>
  </si>
  <si>
    <t xml:space="preserve">Apple, Inc. </t>
  </si>
  <si>
    <t>APPL</t>
  </si>
  <si>
    <t>Summary Coverage Summary List</t>
  </si>
  <si>
    <t>Industry</t>
  </si>
  <si>
    <t>Consumer</t>
  </si>
  <si>
    <t>FIs</t>
  </si>
  <si>
    <t>TMT</t>
  </si>
  <si>
    <t>Tech</t>
  </si>
  <si>
    <t>Telecom</t>
  </si>
  <si>
    <t>Communications Services Providers (CSPs)</t>
  </si>
  <si>
    <t xml:space="preserve">Verizon Communications, Inc. </t>
  </si>
  <si>
    <t>VZ</t>
  </si>
  <si>
    <t>T</t>
  </si>
  <si>
    <t xml:space="preserve">AT&amp;T, Inc. </t>
  </si>
  <si>
    <t>Number of Coverage Industries</t>
  </si>
  <si>
    <t>Total Coverage</t>
  </si>
  <si>
    <t>Alcoholic Beverages</t>
  </si>
  <si>
    <t>Non-Alcoholic Beverages</t>
  </si>
  <si>
    <t>Warehouse Clubs</t>
  </si>
  <si>
    <t>Alternative Proteins</t>
  </si>
  <si>
    <t>Meat &amp; Poultry Processing</t>
  </si>
  <si>
    <t>Footwear</t>
  </si>
  <si>
    <t>Athletic Apparel</t>
  </si>
  <si>
    <t>Fast Casual Restaurants</t>
  </si>
  <si>
    <t>Coffee Chains</t>
  </si>
  <si>
    <t>Experiential Specialty Retail</t>
  </si>
  <si>
    <t>Branded CPG / Global Distribution</t>
  </si>
  <si>
    <t>Branded CPG / Concentrate Model</t>
  </si>
  <si>
    <t>Branded CPG / Licensing</t>
  </si>
  <si>
    <t>Membership-Based Retail</t>
  </si>
  <si>
    <t>Branded Food Manufacturing</t>
  </si>
  <si>
    <t>Vertically Integrated Food Producer</t>
  </si>
  <si>
    <t>Branded Apparel / DTC + Wholesale</t>
  </si>
  <si>
    <t>Premium Branded DTC</t>
  </si>
  <si>
    <t>Company-Owned Restaurants</t>
  </si>
  <si>
    <t>Licensed + Company-Owned Stores</t>
  </si>
  <si>
    <t>Omnichannel Specialty Retail</t>
  </si>
  <si>
    <t>Big-Box Retail + Services</t>
  </si>
  <si>
    <t>Experience-Driven Retail</t>
  </si>
  <si>
    <t>Global scale, pricing power, EM exposure</t>
  </si>
  <si>
    <t>Asset-light bottling model</t>
  </si>
  <si>
    <t>Distribution via Coca-Cola</t>
  </si>
  <si>
    <t>Fee income + low-margin retail</t>
  </si>
  <si>
    <t>Margin volatility</t>
  </si>
  <si>
    <t>Commodity exposure</t>
  </si>
  <si>
    <t>High margins</t>
  </si>
  <si>
    <t>Lifestyle brand</t>
  </si>
  <si>
    <t>Unit growth</t>
  </si>
  <si>
    <t>Global brand</t>
  </si>
  <si>
    <t>Loyalty driven</t>
  </si>
  <si>
    <t>Cyclical demand</t>
  </si>
  <si>
    <t>Mall traffic dependent</t>
  </si>
  <si>
    <t>Retail</t>
  </si>
  <si>
    <t>Food Products</t>
  </si>
  <si>
    <t>Textiles &amp; Apparel</t>
  </si>
  <si>
    <t>Consumer Services</t>
  </si>
  <si>
    <t>Managed Care &amp; Health Services</t>
  </si>
  <si>
    <t>Health Care Equipment</t>
  </si>
  <si>
    <t>Medical Devices</t>
  </si>
  <si>
    <t>CNS-Focused Clinical Biotech</t>
  </si>
  <si>
    <t>Neurodegenerative Disease Biotech</t>
  </si>
  <si>
    <t>Fibrosis &amp; Liver Disease Biotech</t>
  </si>
  <si>
    <t>Regenerative Medicine / Tissue Engineering</t>
  </si>
  <si>
    <t>Plasma-Derived Biologics</t>
  </si>
  <si>
    <t>Insurance + PBM + Care Delivery Platform</t>
  </si>
  <si>
    <t>Diversified MedTech &amp; Diagnostics</t>
  </si>
  <si>
    <t>Pure-Play Medical Devices</t>
  </si>
  <si>
    <t>Single-Asset Drug Development</t>
  </si>
  <si>
    <t>Platform Biotech</t>
  </si>
  <si>
    <t>Commercial Biopharma</t>
  </si>
  <si>
    <t>UnitedHealthcare + Optum</t>
  </si>
  <si>
    <t>Devices, diagnostics, nutrition</t>
  </si>
  <si>
    <t>Interventional focus</t>
  </si>
  <si>
    <t>High binary risk</t>
  </si>
  <si>
    <t>Trial outcome driven</t>
  </si>
  <si>
    <t>Early-stage pipeline</t>
  </si>
  <si>
    <t>Manufacturing-intensive</t>
  </si>
  <si>
    <t>Revenue-generating</t>
  </si>
  <si>
    <t>Transportation</t>
  </si>
  <si>
    <t>Passenger Airlines</t>
  </si>
  <si>
    <t>Network Airline / Hub-and-Spoke</t>
  </si>
  <si>
    <t>Legacy carrier</t>
  </si>
  <si>
    <t>Ultra Low-Cost Airlines</t>
  </si>
  <si>
    <t>ULCC / Point-to-Point</t>
  </si>
  <si>
    <t>Restructuring / distressed</t>
  </si>
  <si>
    <t>Automotive Retail</t>
  </si>
  <si>
    <t>Aftermarket Auto Parts Retail</t>
  </si>
  <si>
    <t>Specialty Retail (Auto Aftermarket)</t>
  </si>
  <si>
    <t>DIY + DIFM exposure</t>
  </si>
  <si>
    <t>Electrical Equip. &amp; Power Infrastructure</t>
  </si>
  <si>
    <t>Electrical Equipment</t>
  </si>
  <si>
    <t>Power Generation &amp; Grid Equipment</t>
  </si>
  <si>
    <t>OEM / Project-Based Manufacturing</t>
  </si>
  <si>
    <t>Energy transition exposure</t>
  </si>
  <si>
    <t>Utilities &amp; Power</t>
  </si>
  <si>
    <t>Merchant Power Generation</t>
  </si>
  <si>
    <t>Merchant IPP</t>
  </si>
  <si>
    <t>Power price volatility</t>
  </si>
  <si>
    <t>Media &amp; Interactive Services</t>
  </si>
  <si>
    <t>User-Generated Content Platforms</t>
  </si>
  <si>
    <t>Advertising + Data Licensing</t>
  </si>
  <si>
    <t>Community-driven platform</t>
  </si>
  <si>
    <t>Social Media Platforms</t>
  </si>
  <si>
    <t>Advertising-Based Platform</t>
  </si>
  <si>
    <t>Youth demographic</t>
  </si>
  <si>
    <t>Audio Streaming Platforms</t>
  </si>
  <si>
    <t>Subscription + Advertising</t>
  </si>
  <si>
    <t>Music &amp; podcast mix</t>
  </si>
  <si>
    <t>Advertising / Subscription (Early)</t>
  </si>
  <si>
    <t>Early-stage platform</t>
  </si>
  <si>
    <t>Entertainment Content</t>
  </si>
  <si>
    <t>Live TV Streaming</t>
  </si>
  <si>
    <t>Subscription Streaming</t>
  </si>
  <si>
    <t>Sports-focused</t>
  </si>
  <si>
    <t>On-Demand Video Streaming</t>
  </si>
  <si>
    <t>Global scale</t>
  </si>
  <si>
    <t>Retail Technology</t>
  </si>
  <si>
    <t>Online Marketplace</t>
  </si>
  <si>
    <t>Marketplace + First-Party Retail</t>
  </si>
  <si>
    <t>AWS optionality</t>
  </si>
  <si>
    <t>Niche Online Marketplace</t>
  </si>
  <si>
    <t>Marketplace Take-Rate Model</t>
  </si>
  <si>
    <t>Handmade focus</t>
  </si>
  <si>
    <t>Financial Technology</t>
  </si>
  <si>
    <t>Buy-Now-Pay-Later</t>
  </si>
  <si>
    <t>Transaction-Based Lending</t>
  </si>
  <si>
    <t>Credit risk sensitive</t>
  </si>
  <si>
    <t>Crypto Exchange</t>
  </si>
  <si>
    <t>Transaction Fees + Custody</t>
  </si>
  <si>
    <t>Crypto cycle driven</t>
  </si>
  <si>
    <t>Merchant Fees + Consumer Credit</t>
  </si>
  <si>
    <t>Private company</t>
  </si>
  <si>
    <t>Payment Networks</t>
  </si>
  <si>
    <t>Transaction Network Fees</t>
  </si>
  <si>
    <t>Asset-light</t>
  </si>
  <si>
    <t>Digital Payments</t>
  </si>
  <si>
    <t>Transaction Fees</t>
  </si>
  <si>
    <t>Consumer &amp; merchant mix</t>
  </si>
  <si>
    <t>Software &amp; Services</t>
  </si>
  <si>
    <t>Government Analytics Software</t>
  </si>
  <si>
    <t>Long-Term Contracts</t>
  </si>
  <si>
    <t>Gov + commercial mix</t>
  </si>
  <si>
    <t>Software</t>
  </si>
  <si>
    <t>Systems &amp; Enterprise Software</t>
  </si>
  <si>
    <t>Subscription + Cloud Platform</t>
  </si>
  <si>
    <t>Azure scale</t>
  </si>
  <si>
    <t>Enterprise Analytics Software</t>
  </si>
  <si>
    <t>Software + Treasury Strategy</t>
  </si>
  <si>
    <t>BTC exposure</t>
  </si>
  <si>
    <t>Enterprise Application Software</t>
  </si>
  <si>
    <t>Subscription SaaS</t>
  </si>
  <si>
    <t>CRM leader</t>
  </si>
  <si>
    <t>Compliance &amp; Reporting Software</t>
  </si>
  <si>
    <t>GRC focus</t>
  </si>
  <si>
    <t>Internet Services</t>
  </si>
  <si>
    <t>Search &amp; Digital Advertising</t>
  </si>
  <si>
    <t>Advertising + Cloud</t>
  </si>
  <si>
    <t>Search dominance</t>
  </si>
  <si>
    <t>Social Networking Platforms</t>
  </si>
  <si>
    <t>Engagement driven</t>
  </si>
  <si>
    <t>Emerging Technology</t>
  </si>
  <si>
    <t>Quantum Hardware</t>
  </si>
  <si>
    <t>R&amp;D / Long-Term Contracts</t>
  </si>
  <si>
    <t>Early-stage</t>
  </si>
  <si>
    <t>Quantum Software &amp; Services</t>
  </si>
  <si>
    <t>R&amp;D Focused</t>
  </si>
  <si>
    <t>Speculative</t>
  </si>
  <si>
    <t>Data Storage Systems</t>
  </si>
  <si>
    <t>Hardware Sales</t>
  </si>
  <si>
    <t>Legacy pivot</t>
  </si>
  <si>
    <t>R&amp;D / Government Contracts</t>
  </si>
  <si>
    <t>Semiconductor Equipment</t>
  </si>
  <si>
    <t>Lithography Systems</t>
  </si>
  <si>
    <t>Capital Equipment OEM</t>
  </si>
  <si>
    <t>EUV monopoly</t>
  </si>
  <si>
    <t>Logic Semiconductors</t>
  </si>
  <si>
    <t>Fabless Chip Designer</t>
  </si>
  <si>
    <t>CPU/GPU exposure</t>
  </si>
  <si>
    <t>Diversified Semiconductors</t>
  </si>
  <si>
    <t>Fabless + Software</t>
  </si>
  <si>
    <t>Infrastructure focus</t>
  </si>
  <si>
    <t>Integrated Device Manufacturer</t>
  </si>
  <si>
    <t>IDM Manufacturing Model</t>
  </si>
  <si>
    <t>Foundry transition</t>
  </si>
  <si>
    <t>GPU &amp; Accelerators</t>
  </si>
  <si>
    <t>AI compute leader</t>
  </si>
  <si>
    <t>Wireless Semiconductors</t>
  </si>
  <si>
    <t>Licensing + Chip Sales</t>
  </si>
  <si>
    <t>Royalty model</t>
  </si>
  <si>
    <t>Consumer Electronics</t>
  </si>
  <si>
    <t>Consumer Devices Ecosystem</t>
  </si>
  <si>
    <t>Hardware + Services Ecosystem</t>
  </si>
  <si>
    <t>Premium brand</t>
  </si>
  <si>
    <t>Telecom Services</t>
  </si>
  <si>
    <t>Wireless &amp; Broadband</t>
  </si>
  <si>
    <t>Subscription Telecom Services</t>
  </si>
  <si>
    <t>High capex</t>
  </si>
  <si>
    <t>Wireless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</si>
</sst>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0" fillId="0" borderId="0" xfId="0" applyAlignment="1"/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inden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vertical="top"/>
    </xf>
    <xf numFmtId="0" fontId="1" fillId="2" borderId="0" xfId="0" applyFont="1" applyFill="1" applyBorder="1" applyAlignment="1">
      <alignment horizontal="centerContinuous" vertical="center"/>
    </xf>
    <xf numFmtId="0" fontId="3" fillId="0" borderId="0" xfId="0" applyFont="1" applyBorder="1" applyAlignment="1">
      <alignment vertical="top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0" xfId="0" applyFont="1" applyFill="1" applyBorder="1" applyAlignment="1">
      <alignment horizontal="centerContinuous" vertical="center"/>
    </xf>
    <xf numFmtId="0" fontId="4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4" fillId="0" borderId="11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1" fillId="2" borderId="8" xfId="0" applyFont="1" applyFill="1" applyBorder="1" applyAlignment="1">
      <alignment horizontal="centerContinuous" vertical="center"/>
    </xf>
  </cellXfs>
  <cellStyles count="1">
    <cellStyle name="Normal" xfId="0" builtinId="0"/>
  </cellStyles>
  <dxfs count="48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Continuous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Continuous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Continuous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Continuous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2AE117-E05A-4476-B9F4-76717F9F4CAA}" name="Table9" displayName="Table9" ref="B4:J17" totalsRowShown="0" headerRowDxfId="18" dataDxfId="19" headerRowBorderDxfId="20">
  <autoFilter ref="B4:J17" xr:uid="{772AE117-E05A-4476-B9F4-76717F9F4CAA}"/>
  <tableColumns count="9">
    <tableColumn id="1" xr3:uid="{DD82CF72-544B-416B-B997-9D1FE0087369}" name="Ticker" dataDxfId="17"/>
    <tableColumn id="2" xr3:uid="{60BBD5FD-3BF1-4EA8-8DE9-08DB895D6F21}" name="Company" dataDxfId="16"/>
    <tableColumn id="3" xr3:uid="{A3C911F6-C99A-4416-BF91-C1F310A29A5F}" name="Industry Class" dataDxfId="15"/>
    <tableColumn id="4" xr3:uid="{496EFE8D-CC1E-43C0-B450-5D23D88D9C54}" name="Sector" dataDxfId="14"/>
    <tableColumn id="11" xr3:uid="{E5A8F470-A373-4284-9AE6-4513FD6D6F19}" name="Sub-Sector" dataDxfId="13"/>
    <tableColumn id="10" xr3:uid="{F0BCCF5A-4E8C-4E24-91DB-1453A13304C9}" name="Industry Group" dataDxfId="12"/>
    <tableColumn id="5" xr3:uid="{1B251AF9-0F3A-420B-A08B-4A5D23231AB5}" name="Sub-Industry" dataDxfId="11"/>
    <tableColumn id="6" xr3:uid="{AD3C36C6-C1A0-482C-81EC-503DBE6D82E8}" name="Business Model" dataDxfId="10"/>
    <tableColumn id="7" xr3:uid="{5F515CD3-559E-4E4E-9C3B-C8A8045566FF}" name="Note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3233C5-71E9-4FE3-A9C1-67E13D435FE0}" name="Table8" displayName="Table8" ref="B4:J12" totalsRowShown="0" headerRowDxfId="30" dataDxfId="31" headerRowBorderDxfId="32">
  <autoFilter ref="B4:J12" xr:uid="{2E3233C5-71E9-4FE3-A9C1-67E13D435FE0}"/>
  <tableColumns count="9">
    <tableColumn id="1" xr3:uid="{6218D47E-37FD-4A76-90A1-A884D833FF46}" name="Ticker" dataDxfId="29"/>
    <tableColumn id="2" xr3:uid="{D3153AB0-F117-4370-B310-F27B3E4AB8F1}" name="Company" dataDxfId="28"/>
    <tableColumn id="3" xr3:uid="{C041DE6A-B3BD-4F11-8704-A696EE74CBAB}" name="Industry Class" dataDxfId="27"/>
    <tableColumn id="4" xr3:uid="{A3381DF9-76D2-4ABD-B8E1-F9BE5523AC19}" name="Sector" dataDxfId="26"/>
    <tableColumn id="5" xr3:uid="{C60012DE-F3E5-4C95-AC3E-CB64F1F8DECC}" name="Sub-Sector" dataDxfId="25"/>
    <tableColumn id="6" xr3:uid="{9119F069-AE98-48BE-B349-4E3A12E06921}" name="Industry Group" dataDxfId="24"/>
    <tableColumn id="7" xr3:uid="{CC60D35F-A31C-4EFB-B9EF-7FB09E46BDF3}" name="Sub-Industry" dataDxfId="23"/>
    <tableColumn id="8" xr3:uid="{D0CB75D9-0F0A-49EF-841B-B11B88ED37CA}" name="Business Model" dataDxfId="22"/>
    <tableColumn id="9" xr3:uid="{242CC2F3-3341-4801-B960-B8D5348F0F6A}" name="Notes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8D9F5E-F711-4EBE-AFF9-C075BB2F2AB9}" name="Table7" displayName="Table7" ref="B4:J9" totalsRowShown="0" headerRowDxfId="42" dataDxfId="43" headerRowBorderDxfId="44">
  <autoFilter ref="B4:J9" xr:uid="{C88D9F5E-F711-4EBE-AFF9-C075BB2F2AB9}"/>
  <tableColumns count="9">
    <tableColumn id="1" xr3:uid="{AB2B1403-7930-43DE-B52A-A652B70A67A0}" name="Ticker" dataDxfId="41"/>
    <tableColumn id="2" xr3:uid="{1FA92391-68EF-46F7-8811-3229772B47B9}" name="Company" dataDxfId="40"/>
    <tableColumn id="3" xr3:uid="{09413530-9B8E-45B6-811D-C7FC1513A997}" name="Industry Class" dataDxfId="39"/>
    <tableColumn id="4" xr3:uid="{4312CE9C-EB46-4674-ABCE-CB67FCB0D5AF}" name="Sector" dataDxfId="38"/>
    <tableColumn id="5" xr3:uid="{6F39086E-C89E-4407-8C48-3A36BE81C26E}" name="Sub-Sector" dataDxfId="37"/>
    <tableColumn id="6" xr3:uid="{E3C3C81C-5A90-4566-9929-FC1E6737556A}" name="Industry Group" dataDxfId="36"/>
    <tableColumn id="7" xr3:uid="{C46A6C4B-C9A5-4576-887D-AFC84546DCA7}" name="Sub-Industry" dataDxfId="35"/>
    <tableColumn id="8" xr3:uid="{1FA2FEFA-3A49-4C2A-A260-5DE00AE42628}" name="Business Model" dataDxfId="34"/>
    <tableColumn id="9" xr3:uid="{65846580-D258-4939-80EA-23B4801FB375}" name="Notes" dataDxfId="3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90B9BD-BDED-459A-AEF7-9935D8F93B97}" name="Table5" displayName="Table5" ref="B4:J38" totalsRowShown="0" headerRowDxfId="45" dataDxfId="46" headerRowBorderDxfId="47">
  <autoFilter ref="B4:J38" xr:uid="{B490B9BD-BDED-459A-AEF7-9935D8F93B97}"/>
  <tableColumns count="9">
    <tableColumn id="1" xr3:uid="{CE2BDDC8-569B-45D8-AF6A-849719A6ECF8}" name="Ticker" dataDxfId="8"/>
    <tableColumn id="2" xr3:uid="{DCCA15AC-32CC-43B6-BE6D-C3AAA0BF8100}" name="Company" dataDxfId="7"/>
    <tableColumn id="3" xr3:uid="{21302DB9-D364-49F9-A03B-2BFE1FA43346}" name="Industry Class" dataDxfId="6"/>
    <tableColumn id="4" xr3:uid="{4F1B8146-A6BA-4EE4-8973-4E70131E80BA}" name="Sector" dataDxfId="5"/>
    <tableColumn id="5" xr3:uid="{D79FAB52-9539-4D1F-9095-0B0FCE351EF6}" name="Sub-Sector" dataDxfId="4"/>
    <tableColumn id="6" xr3:uid="{19D88F32-7E77-48CF-9006-9C30D3DB8939}" name="Industry Group" dataDxfId="3"/>
    <tableColumn id="7" xr3:uid="{CA18065E-BE4A-480E-8549-426BE336C8E7}" name="Sub-Industry" dataDxfId="2"/>
    <tableColumn id="8" xr3:uid="{72C77C9B-55B5-4F74-B008-F39D76876C18}" name="Business Model" dataDxfId="1"/>
    <tableColumn id="9" xr3:uid="{0BDFE405-2AE4-439E-82D4-921BD966615B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7EA-B164-4305-A528-356E01BBAD0F}">
  <dimension ref="B2:C26"/>
  <sheetViews>
    <sheetView showGridLines="0" tabSelected="1" zoomScale="160" zoomScaleNormal="160" workbookViewId="0">
      <selection activeCell="B10" sqref="B10"/>
    </sheetView>
  </sheetViews>
  <sheetFormatPr defaultRowHeight="15" x14ac:dyDescent="0.25"/>
  <cols>
    <col min="1" max="1" width="9.140625" style="4"/>
    <col min="2" max="2" width="28" style="4" bestFit="1" customWidth="1"/>
    <col min="3" max="3" width="26" style="4" bestFit="1" customWidth="1"/>
    <col min="4" max="16384" width="9.140625" style="4"/>
  </cols>
  <sheetData>
    <row r="2" spans="2:3" x14ac:dyDescent="0.25">
      <c r="B2" s="1" t="s">
        <v>161</v>
      </c>
      <c r="C2" s="1"/>
    </row>
    <row r="3" spans="2:3" x14ac:dyDescent="0.25">
      <c r="B3" s="2" t="s">
        <v>1</v>
      </c>
      <c r="C3" s="2"/>
    </row>
    <row r="4" spans="2:3" x14ac:dyDescent="0.25">
      <c r="B4" s="10" t="s">
        <v>162</v>
      </c>
      <c r="C4" s="3" t="s">
        <v>173</v>
      </c>
    </row>
    <row r="5" spans="2:3" ht="3" customHeight="1" x14ac:dyDescent="0.25">
      <c r="B5" s="3"/>
      <c r="C5" s="3"/>
    </row>
    <row r="6" spans="2:3" ht="5.0999999999999996" customHeight="1" x14ac:dyDescent="0.25"/>
    <row r="7" spans="2:3" x14ac:dyDescent="0.25">
      <c r="B7" s="9" t="s">
        <v>163</v>
      </c>
      <c r="C7" s="9">
        <f>SUM(C8:C9)</f>
        <v>13</v>
      </c>
    </row>
    <row r="8" spans="2:3" x14ac:dyDescent="0.25">
      <c r="B8" s="7" t="s">
        <v>9</v>
      </c>
      <c r="C8" s="8">
        <f>COUNTIF(Consumer!E5:E17,Consumer!E5)</f>
        <v>6</v>
      </c>
    </row>
    <row r="9" spans="2:3" x14ac:dyDescent="0.25">
      <c r="B9" s="7" t="s">
        <v>27</v>
      </c>
      <c r="C9" s="8">
        <f>COUNTIF(Consumer!E5:E17,Consumer!E17)</f>
        <v>7</v>
      </c>
    </row>
    <row r="10" spans="2:3" x14ac:dyDescent="0.25">
      <c r="B10" s="9" t="s">
        <v>164</v>
      </c>
      <c r="C10" s="5"/>
    </row>
    <row r="11" spans="2:3" x14ac:dyDescent="0.25">
      <c r="B11" s="9" t="s">
        <v>93</v>
      </c>
      <c r="C11" s="9">
        <f>SUM(C12:C14)</f>
        <v>8</v>
      </c>
    </row>
    <row r="12" spans="2:3" x14ac:dyDescent="0.25">
      <c r="B12" s="7" t="s">
        <v>47</v>
      </c>
      <c r="C12" s="8">
        <f>COUNTIF(Healthcare!E5:E12,Healthcare!E5)</f>
        <v>1</v>
      </c>
    </row>
    <row r="13" spans="2:3" x14ac:dyDescent="0.25">
      <c r="B13" s="7" t="s">
        <v>48</v>
      </c>
      <c r="C13" s="8">
        <f>COUNTIF(Healthcare!E5:E12,Healthcare!E6)</f>
        <v>2</v>
      </c>
    </row>
    <row r="14" spans="2:3" x14ac:dyDescent="0.25">
      <c r="B14" s="7" t="s">
        <v>55</v>
      </c>
      <c r="C14" s="8">
        <f>COUNTIF(Healthcare!E5:E12,Healthcare!E12)</f>
        <v>5</v>
      </c>
    </row>
    <row r="15" spans="2:3" x14ac:dyDescent="0.25">
      <c r="B15" s="9" t="s">
        <v>92</v>
      </c>
      <c r="C15" s="9">
        <f>SUM(C16:C19)</f>
        <v>5</v>
      </c>
    </row>
    <row r="16" spans="2:3" x14ac:dyDescent="0.25">
      <c r="B16" s="7" t="s">
        <v>68</v>
      </c>
      <c r="C16" s="8">
        <f>COUNTIF(Industrials!E5:E9,Industrials!E5)</f>
        <v>2</v>
      </c>
    </row>
    <row r="17" spans="2:3" x14ac:dyDescent="0.25">
      <c r="B17" s="7" t="s">
        <v>69</v>
      </c>
      <c r="C17" s="8">
        <f>COUNTIF(Industrials!E5:E9,Industrials!E7)</f>
        <v>1</v>
      </c>
    </row>
    <row r="18" spans="2:3" x14ac:dyDescent="0.25">
      <c r="B18" s="7" t="s">
        <v>79</v>
      </c>
      <c r="C18" s="8">
        <f>COUNTIF(Industrials!E5:E9,Industrials!E8)</f>
        <v>1</v>
      </c>
    </row>
    <row r="19" spans="2:3" x14ac:dyDescent="0.25">
      <c r="B19" s="7" t="s">
        <v>70</v>
      </c>
      <c r="C19" s="8">
        <f>COUNTIF(Industrials!E5:E9,Industrials!E9)</f>
        <v>1</v>
      </c>
    </row>
    <row r="20" spans="2:3" x14ac:dyDescent="0.25">
      <c r="B20" s="9" t="s">
        <v>165</v>
      </c>
      <c r="C20" s="9">
        <f>SUM(C21:C23)</f>
        <v>34</v>
      </c>
    </row>
    <row r="21" spans="2:3" x14ac:dyDescent="0.25">
      <c r="B21" s="7" t="s">
        <v>82</v>
      </c>
      <c r="C21" s="8">
        <f>COUNTIF(TMT!D5:D38,TMT!D5)</f>
        <v>6</v>
      </c>
    </row>
    <row r="22" spans="2:3" x14ac:dyDescent="0.25">
      <c r="B22" s="7" t="s">
        <v>166</v>
      </c>
      <c r="C22" s="8">
        <f>COUNTIF(TMT!D5:D38,TMT!D11)</f>
        <v>26</v>
      </c>
    </row>
    <row r="23" spans="2:3" x14ac:dyDescent="0.25">
      <c r="B23" s="7" t="s">
        <v>167</v>
      </c>
      <c r="C23" s="8">
        <f>COUNTIF(TMT!D5:D38,TMT!D38)</f>
        <v>2</v>
      </c>
    </row>
    <row r="24" spans="2:3" x14ac:dyDescent="0.25">
      <c r="B24" s="11" t="s">
        <v>174</v>
      </c>
      <c r="C24" s="11">
        <f>C7+C10+C11+C15+C20</f>
        <v>60</v>
      </c>
    </row>
    <row r="25" spans="2:3" x14ac:dyDescent="0.25">
      <c r="B25" s="6"/>
      <c r="C25" s="5"/>
    </row>
    <row r="26" spans="2:3" x14ac:dyDescent="0.25">
      <c r="B26" s="6"/>
      <c r="C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9B05-4ED0-4492-AA3F-3784BDA21B80}">
  <dimension ref="B1:J23"/>
  <sheetViews>
    <sheetView showGridLines="0" zoomScale="130" zoomScaleNormal="130" workbookViewId="0">
      <selection activeCell="E4" sqref="E4"/>
    </sheetView>
  </sheetViews>
  <sheetFormatPr defaultRowHeight="15" x14ac:dyDescent="0.25"/>
  <cols>
    <col min="1" max="1" width="9.140625" style="4"/>
    <col min="2" max="2" width="7.42578125" style="4" customWidth="1"/>
    <col min="3" max="3" width="25.5703125" style="4" bestFit="1" customWidth="1"/>
    <col min="4" max="4" width="10.7109375" style="4" bestFit="1" customWidth="1"/>
    <col min="5" max="5" width="19.7109375" style="4" bestFit="1" customWidth="1"/>
    <col min="6" max="6" width="20.5703125" style="4" bestFit="1" customWidth="1"/>
    <col min="7" max="7" width="24.5703125" style="4" bestFit="1" customWidth="1"/>
    <col min="8" max="9" width="29.42578125" style="4" bestFit="1" customWidth="1"/>
    <col min="10" max="10" width="33.85546875" style="4" bestFit="1" customWidth="1"/>
    <col min="11" max="16384" width="9.140625" style="4"/>
  </cols>
  <sheetData>
    <row r="1" spans="2:10" ht="15.75" thickBot="1" x14ac:dyDescent="0.3"/>
    <row r="2" spans="2:10" x14ac:dyDescent="0.2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x14ac:dyDescent="0.25">
      <c r="B3" s="17" t="s">
        <v>1</v>
      </c>
      <c r="C3" s="18"/>
      <c r="D3" s="18"/>
      <c r="E3" s="18"/>
      <c r="F3" s="18"/>
      <c r="G3" s="18"/>
      <c r="H3" s="18"/>
      <c r="I3" s="18"/>
      <c r="J3" s="19"/>
    </row>
    <row r="4" spans="2:10" x14ac:dyDescent="0.25">
      <c r="B4" s="20" t="s">
        <v>3</v>
      </c>
      <c r="C4" s="3" t="s">
        <v>2</v>
      </c>
      <c r="D4" s="3" t="s">
        <v>10</v>
      </c>
      <c r="E4" s="3" t="s">
        <v>4</v>
      </c>
      <c r="F4" s="3" t="s">
        <v>14</v>
      </c>
      <c r="G4" s="3" t="s">
        <v>5</v>
      </c>
      <c r="H4" s="3" t="s">
        <v>6</v>
      </c>
      <c r="I4" s="12" t="s">
        <v>7</v>
      </c>
      <c r="J4" s="27" t="s">
        <v>8</v>
      </c>
    </row>
    <row r="5" spans="2:10" x14ac:dyDescent="0.25">
      <c r="B5" s="22" t="s">
        <v>16</v>
      </c>
      <c r="C5" s="13" t="s">
        <v>15</v>
      </c>
      <c r="D5" s="13" t="s">
        <v>94</v>
      </c>
      <c r="E5" s="13" t="s">
        <v>9</v>
      </c>
      <c r="F5" s="13" t="s">
        <v>11</v>
      </c>
      <c r="G5" s="13" t="s">
        <v>11</v>
      </c>
      <c r="H5" s="13" t="s">
        <v>175</v>
      </c>
      <c r="I5" s="13" t="s">
        <v>185</v>
      </c>
      <c r="J5" s="23" t="s">
        <v>198</v>
      </c>
    </row>
    <row r="6" spans="2:10" x14ac:dyDescent="0.25">
      <c r="B6" s="22" t="s">
        <v>18</v>
      </c>
      <c r="C6" s="13" t="s">
        <v>17</v>
      </c>
      <c r="D6" s="13" t="s">
        <v>94</v>
      </c>
      <c r="E6" s="13" t="s">
        <v>9</v>
      </c>
      <c r="F6" s="13" t="s">
        <v>11</v>
      </c>
      <c r="G6" s="13" t="s">
        <v>11</v>
      </c>
      <c r="H6" s="13" t="s">
        <v>176</v>
      </c>
      <c r="I6" s="13" t="s">
        <v>186</v>
      </c>
      <c r="J6" s="23" t="s">
        <v>199</v>
      </c>
    </row>
    <row r="7" spans="2:10" x14ac:dyDescent="0.25">
      <c r="B7" s="22" t="s">
        <v>20</v>
      </c>
      <c r="C7" s="13" t="s">
        <v>19</v>
      </c>
      <c r="D7" s="13" t="s">
        <v>94</v>
      </c>
      <c r="E7" s="13" t="s">
        <v>9</v>
      </c>
      <c r="F7" s="13" t="s">
        <v>11</v>
      </c>
      <c r="G7" s="13" t="s">
        <v>11</v>
      </c>
      <c r="H7" s="13" t="s">
        <v>176</v>
      </c>
      <c r="I7" s="13" t="s">
        <v>187</v>
      </c>
      <c r="J7" s="23" t="s">
        <v>200</v>
      </c>
    </row>
    <row r="8" spans="2:10" x14ac:dyDescent="0.25">
      <c r="B8" s="22" t="s">
        <v>22</v>
      </c>
      <c r="C8" s="13" t="s">
        <v>21</v>
      </c>
      <c r="D8" s="13" t="s">
        <v>94</v>
      </c>
      <c r="E8" s="13" t="s">
        <v>9</v>
      </c>
      <c r="F8" s="13" t="s">
        <v>12</v>
      </c>
      <c r="G8" s="13" t="s">
        <v>211</v>
      </c>
      <c r="H8" s="13" t="s">
        <v>177</v>
      </c>
      <c r="I8" s="13" t="s">
        <v>188</v>
      </c>
      <c r="J8" s="23" t="s">
        <v>201</v>
      </c>
    </row>
    <row r="9" spans="2:10" x14ac:dyDescent="0.25">
      <c r="B9" s="22" t="s">
        <v>24</v>
      </c>
      <c r="C9" s="13" t="s">
        <v>23</v>
      </c>
      <c r="D9" s="13" t="s">
        <v>94</v>
      </c>
      <c r="E9" s="13" t="s">
        <v>9</v>
      </c>
      <c r="F9" s="13" t="s">
        <v>13</v>
      </c>
      <c r="G9" s="13" t="s">
        <v>212</v>
      </c>
      <c r="H9" s="13" t="s">
        <v>178</v>
      </c>
      <c r="I9" s="13" t="s">
        <v>189</v>
      </c>
      <c r="J9" s="23" t="s">
        <v>202</v>
      </c>
    </row>
    <row r="10" spans="2:10" x14ac:dyDescent="0.25">
      <c r="B10" s="22" t="s">
        <v>26</v>
      </c>
      <c r="C10" s="13" t="s">
        <v>25</v>
      </c>
      <c r="D10" s="13" t="s">
        <v>94</v>
      </c>
      <c r="E10" s="13" t="s">
        <v>9</v>
      </c>
      <c r="F10" s="13" t="s">
        <v>13</v>
      </c>
      <c r="G10" s="13" t="s">
        <v>212</v>
      </c>
      <c r="H10" s="13" t="s">
        <v>179</v>
      </c>
      <c r="I10" s="13" t="s">
        <v>190</v>
      </c>
      <c r="J10" s="23" t="s">
        <v>203</v>
      </c>
    </row>
    <row r="11" spans="2:10" x14ac:dyDescent="0.25">
      <c r="B11" s="22" t="s">
        <v>32</v>
      </c>
      <c r="C11" s="13" t="s">
        <v>31</v>
      </c>
      <c r="D11" s="13" t="s">
        <v>94</v>
      </c>
      <c r="E11" s="13" t="s">
        <v>27</v>
      </c>
      <c r="F11" s="13" t="s">
        <v>28</v>
      </c>
      <c r="G11" s="13" t="s">
        <v>213</v>
      </c>
      <c r="H11" s="13" t="s">
        <v>180</v>
      </c>
      <c r="I11" s="13" t="s">
        <v>191</v>
      </c>
      <c r="J11" s="23" t="s">
        <v>204</v>
      </c>
    </row>
    <row r="12" spans="2:10" x14ac:dyDescent="0.25">
      <c r="B12" s="22" t="s">
        <v>34</v>
      </c>
      <c r="C12" s="13" t="s">
        <v>33</v>
      </c>
      <c r="D12" s="13" t="s">
        <v>94</v>
      </c>
      <c r="E12" s="13" t="s">
        <v>27</v>
      </c>
      <c r="F12" s="13" t="s">
        <v>28</v>
      </c>
      <c r="G12" s="13" t="s">
        <v>213</v>
      </c>
      <c r="H12" s="13" t="s">
        <v>181</v>
      </c>
      <c r="I12" s="13" t="s">
        <v>192</v>
      </c>
      <c r="J12" s="23" t="s">
        <v>205</v>
      </c>
    </row>
    <row r="13" spans="2:10" x14ac:dyDescent="0.25">
      <c r="B13" s="22" t="s">
        <v>36</v>
      </c>
      <c r="C13" s="13" t="s">
        <v>35</v>
      </c>
      <c r="D13" s="13" t="s">
        <v>94</v>
      </c>
      <c r="E13" s="13" t="s">
        <v>27</v>
      </c>
      <c r="F13" s="13" t="s">
        <v>29</v>
      </c>
      <c r="G13" s="13" t="s">
        <v>214</v>
      </c>
      <c r="H13" s="13" t="s">
        <v>182</v>
      </c>
      <c r="I13" s="13" t="s">
        <v>193</v>
      </c>
      <c r="J13" s="23" t="s">
        <v>206</v>
      </c>
    </row>
    <row r="14" spans="2:10" x14ac:dyDescent="0.25">
      <c r="B14" s="22" t="s">
        <v>38</v>
      </c>
      <c r="C14" s="13" t="s">
        <v>37</v>
      </c>
      <c r="D14" s="13" t="s">
        <v>94</v>
      </c>
      <c r="E14" s="13" t="s">
        <v>27</v>
      </c>
      <c r="F14" s="13" t="s">
        <v>29</v>
      </c>
      <c r="G14" s="13" t="s">
        <v>214</v>
      </c>
      <c r="H14" s="13" t="s">
        <v>183</v>
      </c>
      <c r="I14" s="13" t="s">
        <v>194</v>
      </c>
      <c r="J14" s="23" t="s">
        <v>207</v>
      </c>
    </row>
    <row r="15" spans="2:10" x14ac:dyDescent="0.25">
      <c r="B15" s="22" t="s">
        <v>42</v>
      </c>
      <c r="C15" s="13" t="s">
        <v>41</v>
      </c>
      <c r="D15" s="13" t="s">
        <v>94</v>
      </c>
      <c r="E15" s="13" t="s">
        <v>27</v>
      </c>
      <c r="F15" s="13" t="s">
        <v>30</v>
      </c>
      <c r="G15" s="13" t="s">
        <v>211</v>
      </c>
      <c r="H15" s="13" t="s">
        <v>39</v>
      </c>
      <c r="I15" s="13" t="s">
        <v>195</v>
      </c>
      <c r="J15" s="23" t="s">
        <v>208</v>
      </c>
    </row>
    <row r="16" spans="2:10" x14ac:dyDescent="0.25">
      <c r="B16" s="22" t="s">
        <v>44</v>
      </c>
      <c r="C16" s="13" t="s">
        <v>43</v>
      </c>
      <c r="D16" s="13" t="s">
        <v>94</v>
      </c>
      <c r="E16" s="13" t="s">
        <v>27</v>
      </c>
      <c r="F16" s="13" t="s">
        <v>30</v>
      </c>
      <c r="G16" s="13" t="s">
        <v>211</v>
      </c>
      <c r="H16" s="13" t="s">
        <v>40</v>
      </c>
      <c r="I16" s="13" t="s">
        <v>196</v>
      </c>
      <c r="J16" s="23" t="s">
        <v>209</v>
      </c>
    </row>
    <row r="17" spans="2:10" ht="15.75" thickBot="1" x14ac:dyDescent="0.3">
      <c r="B17" s="24" t="s">
        <v>46</v>
      </c>
      <c r="C17" s="25" t="s">
        <v>45</v>
      </c>
      <c r="D17" s="25" t="s">
        <v>94</v>
      </c>
      <c r="E17" s="25" t="s">
        <v>27</v>
      </c>
      <c r="F17" s="25" t="s">
        <v>30</v>
      </c>
      <c r="G17" s="25" t="s">
        <v>211</v>
      </c>
      <c r="H17" s="25" t="s">
        <v>184</v>
      </c>
      <c r="I17" s="25" t="s">
        <v>197</v>
      </c>
      <c r="J17" s="26" t="s">
        <v>210</v>
      </c>
    </row>
    <row r="18" spans="2:10" x14ac:dyDescent="0.25">
      <c r="B18" s="6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6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6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6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6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6"/>
      <c r="C23" s="5"/>
      <c r="D23" s="5"/>
      <c r="E23" s="5"/>
      <c r="F23" s="5"/>
      <c r="G23" s="5"/>
      <c r="H23" s="5"/>
      <c r="I23" s="5"/>
      <c r="J23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05B7-9224-4C10-8CBE-5342C23DA043}">
  <dimension ref="B2:J25"/>
  <sheetViews>
    <sheetView showGridLines="0" workbookViewId="0">
      <selection activeCell="B4" sqref="B4"/>
    </sheetView>
  </sheetViews>
  <sheetFormatPr defaultRowHeight="15" x14ac:dyDescent="0.25"/>
  <cols>
    <col min="1" max="1" width="9.140625" style="4"/>
    <col min="2" max="2" width="8.140625" style="4" customWidth="1"/>
    <col min="3" max="3" width="26" style="4" bestFit="1" customWidth="1"/>
    <col min="4" max="4" width="17.28515625" style="4" bestFit="1" customWidth="1"/>
    <col min="5" max="5" width="18" style="4" bestFit="1" customWidth="1"/>
    <col min="6" max="6" width="24.5703125" style="4" bestFit="1" customWidth="1"/>
    <col min="7" max="7" width="11.42578125" style="4" bestFit="1" customWidth="1"/>
    <col min="8" max="8" width="9.85546875" style="4" bestFit="1" customWidth="1"/>
    <col min="9" max="9" width="12" style="4" bestFit="1" customWidth="1"/>
    <col min="10" max="10" width="5.140625" style="4" bestFit="1" customWidth="1"/>
    <col min="11" max="16384" width="9.140625" style="4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4" spans="2:10" x14ac:dyDescent="0.25">
      <c r="B4" s="3" t="s">
        <v>3</v>
      </c>
      <c r="C4" s="3" t="s">
        <v>2</v>
      </c>
      <c r="D4" s="3" t="s">
        <v>10</v>
      </c>
      <c r="E4" s="3" t="s">
        <v>4</v>
      </c>
      <c r="F4" s="3" t="s">
        <v>14</v>
      </c>
      <c r="G4" s="3" t="s">
        <v>5</v>
      </c>
      <c r="H4" s="3" t="s">
        <v>6</v>
      </c>
      <c r="I4" s="3" t="s">
        <v>7</v>
      </c>
      <c r="J4" s="3" t="s">
        <v>8</v>
      </c>
    </row>
    <row r="5" spans="2:10" ht="3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5.0999999999999996" customHeight="1" x14ac:dyDescent="0.25"/>
    <row r="7" spans="2:10" x14ac:dyDescent="0.25">
      <c r="B7" s="6"/>
      <c r="C7" s="5"/>
      <c r="D7" s="5"/>
      <c r="E7" s="5"/>
      <c r="F7" s="5"/>
      <c r="G7" s="5"/>
      <c r="H7" s="5"/>
      <c r="I7" s="5"/>
      <c r="J7" s="5"/>
    </row>
    <row r="8" spans="2:10" x14ac:dyDescent="0.25">
      <c r="B8" s="6"/>
      <c r="C8" s="5"/>
      <c r="D8" s="5"/>
      <c r="E8" s="5"/>
      <c r="F8" s="5"/>
      <c r="G8" s="5"/>
      <c r="H8" s="5"/>
      <c r="I8" s="5"/>
      <c r="J8" s="5"/>
    </row>
    <row r="9" spans="2:10" x14ac:dyDescent="0.25">
      <c r="B9" s="6"/>
      <c r="C9" s="5"/>
      <c r="D9" s="5"/>
      <c r="E9" s="5"/>
      <c r="F9" s="5"/>
      <c r="G9" s="5"/>
      <c r="H9" s="5"/>
      <c r="I9" s="5"/>
      <c r="J9" s="5"/>
    </row>
    <row r="10" spans="2:10" x14ac:dyDescent="0.25">
      <c r="B10" s="6"/>
      <c r="C10" s="5"/>
      <c r="D10" s="5"/>
      <c r="E10" s="5"/>
      <c r="F10" s="5"/>
      <c r="G10" s="5"/>
      <c r="H10" s="5"/>
      <c r="I10" s="5"/>
      <c r="J10" s="5"/>
    </row>
    <row r="11" spans="2:10" x14ac:dyDescent="0.25">
      <c r="B11" s="6"/>
      <c r="C11" s="5"/>
      <c r="D11" s="5"/>
      <c r="E11" s="5"/>
      <c r="F11" s="5"/>
      <c r="G11" s="5"/>
      <c r="H11" s="5"/>
      <c r="I11" s="5"/>
      <c r="J11" s="5"/>
    </row>
    <row r="12" spans="2:10" x14ac:dyDescent="0.25">
      <c r="B12" s="6"/>
      <c r="C12" s="5"/>
      <c r="D12" s="5"/>
      <c r="E12" s="5"/>
      <c r="F12" s="5"/>
      <c r="G12" s="5"/>
      <c r="H12" s="5"/>
      <c r="I12" s="5"/>
      <c r="J12" s="5"/>
    </row>
    <row r="13" spans="2:10" x14ac:dyDescent="0.25">
      <c r="B13" s="6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6"/>
      <c r="C14" s="5"/>
      <c r="D14" s="5"/>
      <c r="E14" s="5"/>
      <c r="F14" s="5"/>
      <c r="G14" s="5"/>
      <c r="H14" s="5"/>
      <c r="I14" s="5"/>
      <c r="J14" s="5"/>
    </row>
    <row r="15" spans="2:10" x14ac:dyDescent="0.25">
      <c r="B15" s="6"/>
      <c r="C15" s="5"/>
      <c r="D15" s="5"/>
      <c r="E15" s="5"/>
      <c r="F15" s="5"/>
      <c r="G15" s="5"/>
      <c r="H15" s="5"/>
      <c r="I15" s="5"/>
      <c r="J15" s="5"/>
    </row>
    <row r="16" spans="2:10" x14ac:dyDescent="0.25">
      <c r="B16" s="6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6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6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6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6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6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6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6"/>
      <c r="C23" s="5"/>
      <c r="D23" s="5"/>
      <c r="E23" s="5"/>
      <c r="F23" s="5"/>
      <c r="G23" s="5"/>
      <c r="H23" s="5"/>
      <c r="I23" s="5"/>
      <c r="J23" s="5"/>
    </row>
    <row r="24" spans="2:10" x14ac:dyDescent="0.25">
      <c r="B24" s="6"/>
      <c r="C24" s="5"/>
      <c r="D24" s="5"/>
      <c r="E24" s="5"/>
      <c r="F24" s="5"/>
      <c r="G24" s="5"/>
      <c r="H24" s="5"/>
      <c r="I24" s="5"/>
      <c r="J24" s="5"/>
    </row>
    <row r="25" spans="2:10" x14ac:dyDescent="0.25">
      <c r="B25" s="6"/>
      <c r="C25" s="5"/>
      <c r="D25" s="5"/>
      <c r="E25" s="5"/>
      <c r="F25" s="5"/>
      <c r="G25" s="5"/>
      <c r="H25" s="5"/>
      <c r="I25" s="5"/>
      <c r="J2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06E0-6C5E-4D51-AC4B-EF9CEDB78465}">
  <dimension ref="B1:J23"/>
  <sheetViews>
    <sheetView showGridLines="0" zoomScale="115" zoomScaleNormal="115" workbookViewId="0">
      <selection activeCell="E6" sqref="E6"/>
    </sheetView>
  </sheetViews>
  <sheetFormatPr defaultRowHeight="15" x14ac:dyDescent="0.25"/>
  <cols>
    <col min="1" max="1" width="9.140625" style="4"/>
    <col min="2" max="2" width="5.7109375" style="4" bestFit="1" customWidth="1"/>
    <col min="3" max="3" width="21.7109375" style="4" bestFit="1" customWidth="1"/>
    <col min="4" max="4" width="10.7109375" style="4" bestFit="1" customWidth="1"/>
    <col min="5" max="6" width="25.28515625" style="4" bestFit="1" customWidth="1"/>
    <col min="7" max="7" width="19.28515625" style="4" bestFit="1" customWidth="1"/>
    <col min="8" max="8" width="36.28515625" style="4" bestFit="1" customWidth="1"/>
    <col min="9" max="9" width="33.28515625" style="4" bestFit="1" customWidth="1"/>
    <col min="10" max="10" width="25" style="4" bestFit="1" customWidth="1"/>
    <col min="11" max="16384" width="9.140625" style="4"/>
  </cols>
  <sheetData>
    <row r="1" spans="2:10" ht="15.75" thickBot="1" x14ac:dyDescent="0.3"/>
    <row r="2" spans="2:10" x14ac:dyDescent="0.2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x14ac:dyDescent="0.25">
      <c r="B3" s="17" t="s">
        <v>1</v>
      </c>
      <c r="C3" s="18"/>
      <c r="D3" s="18"/>
      <c r="E3" s="18"/>
      <c r="F3" s="18"/>
      <c r="G3" s="18"/>
      <c r="H3" s="18"/>
      <c r="I3" s="18"/>
      <c r="J3" s="19"/>
    </row>
    <row r="4" spans="2:10" x14ac:dyDescent="0.25">
      <c r="B4" s="20" t="s">
        <v>3</v>
      </c>
      <c r="C4" s="3" t="s">
        <v>2</v>
      </c>
      <c r="D4" s="3" t="s">
        <v>10</v>
      </c>
      <c r="E4" s="3" t="s">
        <v>4</v>
      </c>
      <c r="F4" s="3" t="s">
        <v>14</v>
      </c>
      <c r="G4" s="3" t="s">
        <v>5</v>
      </c>
      <c r="H4" s="3" t="s">
        <v>6</v>
      </c>
      <c r="I4" s="3" t="s">
        <v>7</v>
      </c>
      <c r="J4" s="21" t="s">
        <v>8</v>
      </c>
    </row>
    <row r="5" spans="2:10" x14ac:dyDescent="0.25">
      <c r="B5" s="22" t="s">
        <v>50</v>
      </c>
      <c r="C5" s="13" t="s">
        <v>49</v>
      </c>
      <c r="D5" s="13" t="s">
        <v>93</v>
      </c>
      <c r="E5" s="13" t="s">
        <v>47</v>
      </c>
      <c r="F5" s="13" t="s">
        <v>47</v>
      </c>
      <c r="G5" s="13" t="s">
        <v>47</v>
      </c>
      <c r="H5" s="13" t="s">
        <v>215</v>
      </c>
      <c r="I5" s="13" t="s">
        <v>223</v>
      </c>
      <c r="J5" s="23" t="s">
        <v>229</v>
      </c>
    </row>
    <row r="6" spans="2:10" x14ac:dyDescent="0.25">
      <c r="B6" s="22" t="s">
        <v>52</v>
      </c>
      <c r="C6" s="13" t="s">
        <v>53</v>
      </c>
      <c r="D6" s="13" t="s">
        <v>93</v>
      </c>
      <c r="E6" s="13" t="s">
        <v>48</v>
      </c>
      <c r="F6" s="13" t="s">
        <v>48</v>
      </c>
      <c r="G6" s="13" t="s">
        <v>216</v>
      </c>
      <c r="H6" s="13" t="s">
        <v>48</v>
      </c>
      <c r="I6" s="13" t="s">
        <v>224</v>
      </c>
      <c r="J6" s="23" t="s">
        <v>230</v>
      </c>
    </row>
    <row r="7" spans="2:10" x14ac:dyDescent="0.25">
      <c r="B7" s="22" t="s">
        <v>51</v>
      </c>
      <c r="C7" s="13" t="s">
        <v>54</v>
      </c>
      <c r="D7" s="13" t="s">
        <v>93</v>
      </c>
      <c r="E7" s="13" t="s">
        <v>48</v>
      </c>
      <c r="F7" s="13" t="s">
        <v>48</v>
      </c>
      <c r="G7" s="13" t="s">
        <v>216</v>
      </c>
      <c r="H7" s="13" t="s">
        <v>217</v>
      </c>
      <c r="I7" s="13" t="s">
        <v>225</v>
      </c>
      <c r="J7" s="23" t="s">
        <v>231</v>
      </c>
    </row>
    <row r="8" spans="2:10" x14ac:dyDescent="0.25">
      <c r="B8" s="22" t="s">
        <v>59</v>
      </c>
      <c r="C8" s="13" t="s">
        <v>58</v>
      </c>
      <c r="D8" s="13" t="s">
        <v>93</v>
      </c>
      <c r="E8" s="13" t="s">
        <v>55</v>
      </c>
      <c r="F8" s="13" t="s">
        <v>56</v>
      </c>
      <c r="G8" s="13" t="s">
        <v>55</v>
      </c>
      <c r="H8" s="13" t="s">
        <v>218</v>
      </c>
      <c r="I8" s="13" t="s">
        <v>226</v>
      </c>
      <c r="J8" s="23" t="s">
        <v>232</v>
      </c>
    </row>
    <row r="9" spans="2:10" x14ac:dyDescent="0.25">
      <c r="B9" s="22" t="s">
        <v>65</v>
      </c>
      <c r="C9" s="13" t="s">
        <v>64</v>
      </c>
      <c r="D9" s="13" t="s">
        <v>93</v>
      </c>
      <c r="E9" s="13" t="s">
        <v>55</v>
      </c>
      <c r="F9" s="13" t="s">
        <v>56</v>
      </c>
      <c r="G9" s="13" t="s">
        <v>55</v>
      </c>
      <c r="H9" s="13" t="s">
        <v>219</v>
      </c>
      <c r="I9" s="13" t="s">
        <v>226</v>
      </c>
      <c r="J9" s="23" t="s">
        <v>233</v>
      </c>
    </row>
    <row r="10" spans="2:10" x14ac:dyDescent="0.25">
      <c r="B10" s="22" t="s">
        <v>63</v>
      </c>
      <c r="C10" s="13" t="s">
        <v>62</v>
      </c>
      <c r="D10" s="13" t="s">
        <v>93</v>
      </c>
      <c r="E10" s="13" t="s">
        <v>55</v>
      </c>
      <c r="F10" s="13" t="s">
        <v>56</v>
      </c>
      <c r="G10" s="13" t="s">
        <v>55</v>
      </c>
      <c r="H10" s="13" t="s">
        <v>220</v>
      </c>
      <c r="I10" s="13" t="s">
        <v>226</v>
      </c>
      <c r="J10" s="23" t="s">
        <v>234</v>
      </c>
    </row>
    <row r="11" spans="2:10" x14ac:dyDescent="0.25">
      <c r="B11" s="22" t="s">
        <v>61</v>
      </c>
      <c r="C11" s="13" t="s">
        <v>60</v>
      </c>
      <c r="D11" s="13" t="s">
        <v>93</v>
      </c>
      <c r="E11" s="13" t="s">
        <v>55</v>
      </c>
      <c r="F11" s="13" t="s">
        <v>56</v>
      </c>
      <c r="G11" s="13" t="s">
        <v>55</v>
      </c>
      <c r="H11" s="13" t="s">
        <v>221</v>
      </c>
      <c r="I11" s="13" t="s">
        <v>227</v>
      </c>
      <c r="J11" s="23" t="s">
        <v>235</v>
      </c>
    </row>
    <row r="12" spans="2:10" ht="15.75" thickBot="1" x14ac:dyDescent="0.3">
      <c r="B12" s="24" t="s">
        <v>67</v>
      </c>
      <c r="C12" s="25" t="s">
        <v>66</v>
      </c>
      <c r="D12" s="25" t="s">
        <v>93</v>
      </c>
      <c r="E12" s="25" t="s">
        <v>55</v>
      </c>
      <c r="F12" s="25" t="s">
        <v>57</v>
      </c>
      <c r="G12" s="25" t="s">
        <v>55</v>
      </c>
      <c r="H12" s="25" t="s">
        <v>222</v>
      </c>
      <c r="I12" s="25" t="s">
        <v>228</v>
      </c>
      <c r="J12" s="26" t="s">
        <v>236</v>
      </c>
    </row>
    <row r="13" spans="2:10" x14ac:dyDescent="0.25">
      <c r="B13" s="6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6"/>
      <c r="C14" s="5"/>
      <c r="D14" s="5"/>
      <c r="E14" s="5"/>
      <c r="F14" s="5"/>
      <c r="G14" s="5"/>
      <c r="H14" s="5"/>
      <c r="I14" s="5"/>
      <c r="J14" s="5"/>
    </row>
    <row r="15" spans="2:10" x14ac:dyDescent="0.25">
      <c r="B15" s="6"/>
      <c r="C15" s="5"/>
      <c r="D15" s="5"/>
      <c r="E15" s="5"/>
      <c r="F15" s="5"/>
      <c r="G15" s="5"/>
      <c r="H15" s="5"/>
      <c r="I15" s="5"/>
      <c r="J15" s="5"/>
    </row>
    <row r="16" spans="2:10" x14ac:dyDescent="0.25">
      <c r="B16" s="6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6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6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6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6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6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6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6"/>
      <c r="C23" s="5"/>
      <c r="D23" s="5"/>
      <c r="E23" s="5"/>
      <c r="F23" s="5"/>
      <c r="G23" s="5"/>
      <c r="H23" s="5"/>
      <c r="I23" s="5"/>
      <c r="J23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D1AB-AAE6-4F45-8E9B-9858FAB262C5}">
  <dimension ref="B1:J23"/>
  <sheetViews>
    <sheetView showGridLines="0" topLeftCell="B1" zoomScale="160" zoomScaleNormal="160" workbookViewId="0">
      <selection activeCell="B8" sqref="B8"/>
    </sheetView>
  </sheetViews>
  <sheetFormatPr defaultRowHeight="15" x14ac:dyDescent="0.25"/>
  <cols>
    <col min="1" max="1" width="9.140625" style="4"/>
    <col min="2" max="2" width="8.140625" style="4" customWidth="1"/>
    <col min="3" max="3" width="26" style="4" bestFit="1" customWidth="1"/>
    <col min="4" max="4" width="11.85546875" style="4" customWidth="1"/>
    <col min="5" max="6" width="31.85546875" style="4" bestFit="1" customWidth="1"/>
    <col min="7" max="7" width="17.28515625" style="4" bestFit="1" customWidth="1"/>
    <col min="8" max="8" width="29.85546875" style="4" bestFit="1" customWidth="1"/>
    <col min="9" max="9" width="28.85546875" style="4" bestFit="1" customWidth="1"/>
    <col min="10" max="10" width="22.140625" style="4" bestFit="1" customWidth="1"/>
    <col min="11" max="16384" width="9.140625" style="4"/>
  </cols>
  <sheetData>
    <row r="1" spans="2:10" ht="15.75" thickBot="1" x14ac:dyDescent="0.3"/>
    <row r="2" spans="2:10" x14ac:dyDescent="0.2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x14ac:dyDescent="0.25">
      <c r="B3" s="17" t="s">
        <v>1</v>
      </c>
      <c r="C3" s="18"/>
      <c r="D3" s="18"/>
      <c r="E3" s="18"/>
      <c r="F3" s="18"/>
      <c r="G3" s="18"/>
      <c r="H3" s="18"/>
      <c r="I3" s="18"/>
      <c r="J3" s="19"/>
    </row>
    <row r="4" spans="2:10" x14ac:dyDescent="0.25">
      <c r="B4" s="20" t="s">
        <v>3</v>
      </c>
      <c r="C4" s="3" t="s">
        <v>2</v>
      </c>
      <c r="D4" s="3" t="s">
        <v>10</v>
      </c>
      <c r="E4" s="3" t="s">
        <v>4</v>
      </c>
      <c r="F4" s="3" t="s">
        <v>14</v>
      </c>
      <c r="G4" s="3" t="s">
        <v>5</v>
      </c>
      <c r="H4" s="3" t="s">
        <v>6</v>
      </c>
      <c r="I4" s="3" t="s">
        <v>7</v>
      </c>
      <c r="J4" s="21" t="s">
        <v>8</v>
      </c>
    </row>
    <row r="5" spans="2:10" x14ac:dyDescent="0.25">
      <c r="B5" s="22" t="s">
        <v>71</v>
      </c>
      <c r="C5" s="13" t="s">
        <v>72</v>
      </c>
      <c r="D5" s="13" t="s">
        <v>92</v>
      </c>
      <c r="E5" s="13" t="s">
        <v>68</v>
      </c>
      <c r="F5" s="13" t="s">
        <v>68</v>
      </c>
      <c r="G5" s="13" t="s">
        <v>237</v>
      </c>
      <c r="H5" s="13" t="s">
        <v>238</v>
      </c>
      <c r="I5" s="13" t="s">
        <v>239</v>
      </c>
      <c r="J5" s="23" t="s">
        <v>240</v>
      </c>
    </row>
    <row r="6" spans="2:10" x14ac:dyDescent="0.25">
      <c r="B6" s="22" t="s">
        <v>74</v>
      </c>
      <c r="C6" s="13" t="s">
        <v>73</v>
      </c>
      <c r="D6" s="13" t="s">
        <v>92</v>
      </c>
      <c r="E6" s="13" t="s">
        <v>68</v>
      </c>
      <c r="F6" s="13" t="s">
        <v>68</v>
      </c>
      <c r="G6" s="13" t="s">
        <v>237</v>
      </c>
      <c r="H6" s="13" t="s">
        <v>241</v>
      </c>
      <c r="I6" s="13" t="s">
        <v>242</v>
      </c>
      <c r="J6" s="23" t="s">
        <v>243</v>
      </c>
    </row>
    <row r="7" spans="2:10" x14ac:dyDescent="0.25">
      <c r="B7" s="22" t="s">
        <v>76</v>
      </c>
      <c r="C7" s="13" t="s">
        <v>75</v>
      </c>
      <c r="D7" s="13" t="s">
        <v>92</v>
      </c>
      <c r="E7" s="13" t="s">
        <v>69</v>
      </c>
      <c r="F7" s="13" t="s">
        <v>69</v>
      </c>
      <c r="G7" s="13" t="s">
        <v>244</v>
      </c>
      <c r="H7" s="13" t="s">
        <v>245</v>
      </c>
      <c r="I7" s="13" t="s">
        <v>246</v>
      </c>
      <c r="J7" s="23" t="s">
        <v>247</v>
      </c>
    </row>
    <row r="8" spans="2:10" x14ac:dyDescent="0.25">
      <c r="B8" s="22" t="s">
        <v>78</v>
      </c>
      <c r="C8" s="13" t="s">
        <v>77</v>
      </c>
      <c r="D8" s="13" t="s">
        <v>92</v>
      </c>
      <c r="E8" s="13" t="s">
        <v>248</v>
      </c>
      <c r="F8" s="13" t="s">
        <v>248</v>
      </c>
      <c r="G8" s="13" t="s">
        <v>249</v>
      </c>
      <c r="H8" s="13" t="s">
        <v>250</v>
      </c>
      <c r="I8" s="13" t="s">
        <v>251</v>
      </c>
      <c r="J8" s="23" t="s">
        <v>252</v>
      </c>
    </row>
    <row r="9" spans="2:10" ht="15.75" thickBot="1" x14ac:dyDescent="0.3">
      <c r="B9" s="24" t="s">
        <v>81</v>
      </c>
      <c r="C9" s="25" t="s">
        <v>80</v>
      </c>
      <c r="D9" s="25" t="s">
        <v>92</v>
      </c>
      <c r="E9" s="25" t="s">
        <v>70</v>
      </c>
      <c r="F9" s="25" t="s">
        <v>70</v>
      </c>
      <c r="G9" s="25" t="s">
        <v>253</v>
      </c>
      <c r="H9" s="25" t="s">
        <v>254</v>
      </c>
      <c r="I9" s="25" t="s">
        <v>255</v>
      </c>
      <c r="J9" s="26" t="s">
        <v>256</v>
      </c>
    </row>
    <row r="10" spans="2:10" x14ac:dyDescent="0.25">
      <c r="B10" s="6"/>
      <c r="C10" s="5"/>
      <c r="D10" s="5"/>
      <c r="E10" s="5"/>
      <c r="F10" s="5"/>
      <c r="G10" s="5"/>
      <c r="H10" s="5"/>
      <c r="I10" s="5"/>
      <c r="J10" s="5"/>
    </row>
    <row r="11" spans="2:10" x14ac:dyDescent="0.25">
      <c r="B11" s="6"/>
      <c r="C11" s="5"/>
      <c r="D11" s="5"/>
      <c r="E11" s="5"/>
      <c r="F11" s="5"/>
      <c r="G11" s="5"/>
      <c r="H11" s="5"/>
      <c r="I11" s="5"/>
      <c r="J11" s="5"/>
    </row>
    <row r="12" spans="2:10" x14ac:dyDescent="0.25">
      <c r="B12" s="6"/>
      <c r="C12" s="5"/>
      <c r="D12" s="5"/>
      <c r="E12" s="5"/>
      <c r="F12" s="5"/>
      <c r="G12" s="5"/>
      <c r="H12" s="5"/>
      <c r="I12" s="5"/>
      <c r="J12" s="5"/>
    </row>
    <row r="13" spans="2:10" x14ac:dyDescent="0.25">
      <c r="B13" s="6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6"/>
      <c r="C14" s="5"/>
      <c r="D14" s="5"/>
      <c r="E14" s="5"/>
      <c r="F14" s="5"/>
      <c r="G14" s="5"/>
      <c r="H14" s="5"/>
      <c r="I14" s="5"/>
      <c r="J14" s="5"/>
    </row>
    <row r="15" spans="2:10" x14ac:dyDescent="0.25">
      <c r="B15" s="6"/>
      <c r="C15" s="5"/>
      <c r="D15" s="5"/>
      <c r="E15" s="5"/>
      <c r="F15" s="5"/>
      <c r="G15" s="5"/>
      <c r="H15" s="5"/>
      <c r="I15" s="5"/>
      <c r="J15" s="5"/>
    </row>
    <row r="16" spans="2:10" x14ac:dyDescent="0.25">
      <c r="B16" s="6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6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6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6"/>
      <c r="C19" s="5"/>
      <c r="D19" s="5"/>
      <c r="E19" s="5"/>
      <c r="F19" s="5"/>
      <c r="G19" s="5"/>
      <c r="H19" s="5"/>
      <c r="I19" s="5"/>
      <c r="J19" s="5"/>
    </row>
    <row r="20" spans="2:10" x14ac:dyDescent="0.25">
      <c r="B20" s="6"/>
      <c r="C20" s="5"/>
      <c r="D20" s="5"/>
      <c r="E20" s="5"/>
      <c r="F20" s="5"/>
      <c r="G20" s="5"/>
      <c r="H20" s="5"/>
      <c r="I20" s="5"/>
      <c r="J20" s="5"/>
    </row>
    <row r="21" spans="2:10" x14ac:dyDescent="0.25">
      <c r="B21" s="6"/>
      <c r="C21" s="5"/>
      <c r="D21" s="5"/>
      <c r="E21" s="5"/>
      <c r="F21" s="5"/>
      <c r="G21" s="5"/>
      <c r="H21" s="5"/>
      <c r="I21" s="5"/>
      <c r="J21" s="5"/>
    </row>
    <row r="22" spans="2:10" x14ac:dyDescent="0.25">
      <c r="B22" s="6"/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6"/>
      <c r="C23" s="5"/>
      <c r="D23" s="5"/>
      <c r="E23" s="5"/>
      <c r="F23" s="5"/>
      <c r="G23" s="5"/>
      <c r="H23" s="5"/>
      <c r="I23" s="5"/>
      <c r="J23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F425-01DC-49A9-A063-AC3DF9326B27}">
  <dimension ref="B1:J38"/>
  <sheetViews>
    <sheetView showGridLines="0" zoomScale="115" zoomScaleNormal="115" workbookViewId="0">
      <selection activeCell="E10" sqref="E10"/>
    </sheetView>
  </sheetViews>
  <sheetFormatPr defaultRowHeight="15" x14ac:dyDescent="0.25"/>
  <cols>
    <col min="1" max="1" width="9.140625" style="4"/>
    <col min="2" max="2" width="8.140625" style="4" customWidth="1"/>
    <col min="3" max="3" width="24.140625" style="4" customWidth="1"/>
    <col min="4" max="4" width="12.5703125" style="4" customWidth="1"/>
    <col min="5" max="6" width="34.140625" style="4" bestFit="1" customWidth="1"/>
    <col min="7" max="7" width="23.42578125" style="4" bestFit="1" customWidth="1"/>
    <col min="8" max="8" width="28.28515625" style="4" bestFit="1" customWidth="1"/>
    <col min="9" max="9" width="27.42578125" style="4" bestFit="1" customWidth="1"/>
    <col min="10" max="10" width="22.5703125" style="4" bestFit="1" customWidth="1"/>
    <col min="11" max="16384" width="9.140625" style="4"/>
  </cols>
  <sheetData>
    <row r="1" spans="2:10" ht="15.75" thickBot="1" x14ac:dyDescent="0.3"/>
    <row r="2" spans="2:10" x14ac:dyDescent="0.2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x14ac:dyDescent="0.25">
      <c r="B3" s="17" t="s">
        <v>1</v>
      </c>
      <c r="C3" s="18"/>
      <c r="D3" s="18"/>
      <c r="E3" s="18"/>
      <c r="F3" s="18"/>
      <c r="G3" s="18"/>
      <c r="H3" s="18"/>
      <c r="I3" s="18"/>
      <c r="J3" s="19"/>
    </row>
    <row r="4" spans="2:10" x14ac:dyDescent="0.25">
      <c r="B4" s="20" t="s">
        <v>3</v>
      </c>
      <c r="C4" s="3" t="s">
        <v>2</v>
      </c>
      <c r="D4" s="3" t="s">
        <v>10</v>
      </c>
      <c r="E4" s="3" t="s">
        <v>4</v>
      </c>
      <c r="F4" s="3" t="s">
        <v>14</v>
      </c>
      <c r="G4" s="3" t="s">
        <v>5</v>
      </c>
      <c r="H4" s="3" t="s">
        <v>6</v>
      </c>
      <c r="I4" s="3" t="s">
        <v>7</v>
      </c>
      <c r="J4" s="21" t="s">
        <v>8</v>
      </c>
    </row>
    <row r="5" spans="2:10" x14ac:dyDescent="0.25">
      <c r="B5" s="22" t="s">
        <v>91</v>
      </c>
      <c r="C5" s="13" t="s">
        <v>90</v>
      </c>
      <c r="D5" s="13" t="s">
        <v>82</v>
      </c>
      <c r="E5" s="13" t="s">
        <v>83</v>
      </c>
      <c r="F5" s="13" t="s">
        <v>83</v>
      </c>
      <c r="G5" s="13" t="s">
        <v>257</v>
      </c>
      <c r="H5" s="13" t="s">
        <v>258</v>
      </c>
      <c r="I5" s="13" t="s">
        <v>259</v>
      </c>
      <c r="J5" s="23" t="s">
        <v>260</v>
      </c>
    </row>
    <row r="6" spans="2:10" x14ac:dyDescent="0.25">
      <c r="B6" s="22" t="s">
        <v>89</v>
      </c>
      <c r="C6" s="13" t="s">
        <v>88</v>
      </c>
      <c r="D6" s="13" t="s">
        <v>82</v>
      </c>
      <c r="E6" s="13" t="s">
        <v>83</v>
      </c>
      <c r="F6" s="13" t="s">
        <v>83</v>
      </c>
      <c r="G6" s="13" t="s">
        <v>257</v>
      </c>
      <c r="H6" s="13" t="s">
        <v>261</v>
      </c>
      <c r="I6" s="13" t="s">
        <v>262</v>
      </c>
      <c r="J6" s="23" t="s">
        <v>263</v>
      </c>
    </row>
    <row r="7" spans="2:10" x14ac:dyDescent="0.25">
      <c r="B7" s="22" t="s">
        <v>87</v>
      </c>
      <c r="C7" s="13" t="s">
        <v>86</v>
      </c>
      <c r="D7" s="13" t="s">
        <v>82</v>
      </c>
      <c r="E7" s="13" t="s">
        <v>83</v>
      </c>
      <c r="F7" s="13" t="s">
        <v>83</v>
      </c>
      <c r="G7" s="13" t="s">
        <v>257</v>
      </c>
      <c r="H7" s="13" t="s">
        <v>264</v>
      </c>
      <c r="I7" s="13" t="s">
        <v>265</v>
      </c>
      <c r="J7" s="23" t="s">
        <v>266</v>
      </c>
    </row>
    <row r="8" spans="2:10" x14ac:dyDescent="0.25">
      <c r="B8" s="22" t="s">
        <v>85</v>
      </c>
      <c r="C8" s="13" t="s">
        <v>118</v>
      </c>
      <c r="D8" s="13" t="s">
        <v>82</v>
      </c>
      <c r="E8" s="13" t="s">
        <v>83</v>
      </c>
      <c r="F8" s="13" t="s">
        <v>83</v>
      </c>
      <c r="G8" s="13" t="s">
        <v>257</v>
      </c>
      <c r="H8" s="13" t="s">
        <v>261</v>
      </c>
      <c r="I8" s="13" t="s">
        <v>267</v>
      </c>
      <c r="J8" s="23" t="s">
        <v>268</v>
      </c>
    </row>
    <row r="9" spans="2:10" x14ac:dyDescent="0.25">
      <c r="B9" s="22" t="s">
        <v>96</v>
      </c>
      <c r="C9" s="13" t="s">
        <v>95</v>
      </c>
      <c r="D9" s="13" t="s">
        <v>82</v>
      </c>
      <c r="E9" s="13" t="s">
        <v>84</v>
      </c>
      <c r="F9" s="13" t="s">
        <v>84</v>
      </c>
      <c r="G9" s="13" t="s">
        <v>269</v>
      </c>
      <c r="H9" s="13" t="s">
        <v>270</v>
      </c>
      <c r="I9" s="13" t="s">
        <v>271</v>
      </c>
      <c r="J9" s="23" t="s">
        <v>272</v>
      </c>
    </row>
    <row r="10" spans="2:10" x14ac:dyDescent="0.25">
      <c r="B10" s="22" t="s">
        <v>98</v>
      </c>
      <c r="C10" s="13" t="s">
        <v>97</v>
      </c>
      <c r="D10" s="13" t="s">
        <v>82</v>
      </c>
      <c r="E10" s="13" t="s">
        <v>84</v>
      </c>
      <c r="F10" s="13" t="s">
        <v>84</v>
      </c>
      <c r="G10" s="13" t="s">
        <v>269</v>
      </c>
      <c r="H10" s="13" t="s">
        <v>273</v>
      </c>
      <c r="I10" s="13" t="s">
        <v>265</v>
      </c>
      <c r="J10" s="23" t="s">
        <v>274</v>
      </c>
    </row>
    <row r="11" spans="2:10" x14ac:dyDescent="0.25">
      <c r="B11" s="22" t="s">
        <v>102</v>
      </c>
      <c r="C11" s="13" t="s">
        <v>104</v>
      </c>
      <c r="D11" s="13" t="s">
        <v>99</v>
      </c>
      <c r="E11" s="13" t="s">
        <v>100</v>
      </c>
      <c r="F11" s="13" t="s">
        <v>100</v>
      </c>
      <c r="G11" s="13" t="s">
        <v>275</v>
      </c>
      <c r="H11" s="13" t="s">
        <v>276</v>
      </c>
      <c r="I11" s="13" t="s">
        <v>277</v>
      </c>
      <c r="J11" s="23" t="s">
        <v>278</v>
      </c>
    </row>
    <row r="12" spans="2:10" x14ac:dyDescent="0.25">
      <c r="B12" s="22" t="s">
        <v>101</v>
      </c>
      <c r="C12" s="13" t="s">
        <v>103</v>
      </c>
      <c r="D12" s="13" t="s">
        <v>99</v>
      </c>
      <c r="E12" s="13" t="s">
        <v>100</v>
      </c>
      <c r="F12" s="13" t="s">
        <v>100</v>
      </c>
      <c r="G12" s="13" t="s">
        <v>275</v>
      </c>
      <c r="H12" s="13" t="s">
        <v>279</v>
      </c>
      <c r="I12" s="13" t="s">
        <v>280</v>
      </c>
      <c r="J12" s="23" t="s">
        <v>281</v>
      </c>
    </row>
    <row r="13" spans="2:10" x14ac:dyDescent="0.25">
      <c r="B13" s="22" t="s">
        <v>117</v>
      </c>
      <c r="C13" s="13" t="s">
        <v>116</v>
      </c>
      <c r="D13" s="13" t="s">
        <v>99</v>
      </c>
      <c r="E13" s="13" t="s">
        <v>105</v>
      </c>
      <c r="F13" s="13" t="s">
        <v>105</v>
      </c>
      <c r="G13" s="13" t="s">
        <v>282</v>
      </c>
      <c r="H13" s="13" t="s">
        <v>283</v>
      </c>
      <c r="I13" s="13" t="s">
        <v>284</v>
      </c>
      <c r="J13" s="23" t="s">
        <v>285</v>
      </c>
    </row>
    <row r="14" spans="2:10" x14ac:dyDescent="0.25">
      <c r="B14" s="22" t="s">
        <v>115</v>
      </c>
      <c r="C14" s="13" t="s">
        <v>114</v>
      </c>
      <c r="D14" s="13" t="s">
        <v>99</v>
      </c>
      <c r="E14" s="13" t="s">
        <v>105</v>
      </c>
      <c r="F14" s="13" t="s">
        <v>105</v>
      </c>
      <c r="G14" s="13" t="s">
        <v>282</v>
      </c>
      <c r="H14" s="13" t="s">
        <v>286</v>
      </c>
      <c r="I14" s="13" t="s">
        <v>287</v>
      </c>
      <c r="J14" s="23" t="s">
        <v>288</v>
      </c>
    </row>
    <row r="15" spans="2:10" x14ac:dyDescent="0.25">
      <c r="B15" s="22" t="s">
        <v>113</v>
      </c>
      <c r="C15" s="13" t="s">
        <v>112</v>
      </c>
      <c r="D15" s="13" t="s">
        <v>99</v>
      </c>
      <c r="E15" s="13" t="s">
        <v>105</v>
      </c>
      <c r="F15" s="13" t="s">
        <v>105</v>
      </c>
      <c r="G15" s="13" t="s">
        <v>282</v>
      </c>
      <c r="H15" s="13" t="s">
        <v>283</v>
      </c>
      <c r="I15" s="13" t="s">
        <v>289</v>
      </c>
      <c r="J15" s="23" t="s">
        <v>290</v>
      </c>
    </row>
    <row r="16" spans="2:10" x14ac:dyDescent="0.25">
      <c r="B16" s="22" t="s">
        <v>111</v>
      </c>
      <c r="C16" s="13" t="s">
        <v>110</v>
      </c>
      <c r="D16" s="13" t="s">
        <v>99</v>
      </c>
      <c r="E16" s="13" t="s">
        <v>105</v>
      </c>
      <c r="F16" s="13" t="s">
        <v>105</v>
      </c>
      <c r="G16" s="13" t="s">
        <v>282</v>
      </c>
      <c r="H16" s="13" t="s">
        <v>291</v>
      </c>
      <c r="I16" s="13" t="s">
        <v>292</v>
      </c>
      <c r="J16" s="23" t="s">
        <v>293</v>
      </c>
    </row>
    <row r="17" spans="2:10" x14ac:dyDescent="0.25">
      <c r="B17" s="22" t="s">
        <v>109</v>
      </c>
      <c r="C17" s="13" t="s">
        <v>108</v>
      </c>
      <c r="D17" s="13" t="s">
        <v>99</v>
      </c>
      <c r="E17" s="13" t="s">
        <v>105</v>
      </c>
      <c r="F17" s="13" t="s">
        <v>105</v>
      </c>
      <c r="G17" s="13" t="s">
        <v>282</v>
      </c>
      <c r="H17" s="13" t="s">
        <v>294</v>
      </c>
      <c r="I17" s="13" t="s">
        <v>295</v>
      </c>
      <c r="J17" s="23" t="s">
        <v>296</v>
      </c>
    </row>
    <row r="18" spans="2:10" x14ac:dyDescent="0.25">
      <c r="B18" s="22" t="s">
        <v>107</v>
      </c>
      <c r="C18" s="13" t="s">
        <v>106</v>
      </c>
      <c r="D18" s="13" t="s">
        <v>99</v>
      </c>
      <c r="E18" s="13" t="s">
        <v>105</v>
      </c>
      <c r="F18" s="13" t="s">
        <v>105</v>
      </c>
      <c r="G18" s="13" t="s">
        <v>282</v>
      </c>
      <c r="H18" s="13" t="s">
        <v>291</v>
      </c>
      <c r="I18" s="13" t="s">
        <v>292</v>
      </c>
      <c r="J18" s="23" t="s">
        <v>274</v>
      </c>
    </row>
    <row r="19" spans="2:10" x14ac:dyDescent="0.25">
      <c r="B19" s="22" t="s">
        <v>121</v>
      </c>
      <c r="C19" s="13" t="s">
        <v>120</v>
      </c>
      <c r="D19" s="13" t="s">
        <v>99</v>
      </c>
      <c r="E19" s="13" t="s">
        <v>119</v>
      </c>
      <c r="F19" s="13" t="s">
        <v>119</v>
      </c>
      <c r="G19" s="13" t="s">
        <v>297</v>
      </c>
      <c r="H19" s="13" t="s">
        <v>298</v>
      </c>
      <c r="I19" s="13" t="s">
        <v>299</v>
      </c>
      <c r="J19" s="23" t="s">
        <v>300</v>
      </c>
    </row>
    <row r="20" spans="2:10" x14ac:dyDescent="0.25">
      <c r="B20" s="22" t="s">
        <v>130</v>
      </c>
      <c r="C20" s="13" t="s">
        <v>129</v>
      </c>
      <c r="D20" s="13" t="s">
        <v>99</v>
      </c>
      <c r="E20" s="13" t="s">
        <v>122</v>
      </c>
      <c r="F20" s="13" t="s">
        <v>122</v>
      </c>
      <c r="G20" s="13" t="s">
        <v>301</v>
      </c>
      <c r="H20" s="13" t="s">
        <v>302</v>
      </c>
      <c r="I20" s="13" t="s">
        <v>303</v>
      </c>
      <c r="J20" s="23" t="s">
        <v>304</v>
      </c>
    </row>
    <row r="21" spans="2:10" x14ac:dyDescent="0.25">
      <c r="B21" s="22" t="s">
        <v>128</v>
      </c>
      <c r="C21" s="13" t="s">
        <v>127</v>
      </c>
      <c r="D21" s="13" t="s">
        <v>99</v>
      </c>
      <c r="E21" s="13" t="s">
        <v>122</v>
      </c>
      <c r="F21" s="13" t="s">
        <v>122</v>
      </c>
      <c r="G21" s="13" t="s">
        <v>301</v>
      </c>
      <c r="H21" s="13" t="s">
        <v>305</v>
      </c>
      <c r="I21" s="13" t="s">
        <v>306</v>
      </c>
      <c r="J21" s="23" t="s">
        <v>307</v>
      </c>
    </row>
    <row r="22" spans="2:10" x14ac:dyDescent="0.25">
      <c r="B22" s="22" t="s">
        <v>125</v>
      </c>
      <c r="C22" s="13" t="s">
        <v>126</v>
      </c>
      <c r="D22" s="13" t="s">
        <v>99</v>
      </c>
      <c r="E22" s="13" t="s">
        <v>122</v>
      </c>
      <c r="F22" s="13" t="s">
        <v>122</v>
      </c>
      <c r="G22" s="13" t="s">
        <v>301</v>
      </c>
      <c r="H22" s="13" t="s">
        <v>308</v>
      </c>
      <c r="I22" s="13" t="s">
        <v>309</v>
      </c>
      <c r="J22" s="23" t="s">
        <v>310</v>
      </c>
    </row>
    <row r="23" spans="2:10" x14ac:dyDescent="0.25">
      <c r="B23" s="22" t="s">
        <v>124</v>
      </c>
      <c r="C23" s="13" t="s">
        <v>123</v>
      </c>
      <c r="D23" s="13" t="s">
        <v>99</v>
      </c>
      <c r="E23" s="13" t="s">
        <v>122</v>
      </c>
      <c r="F23" s="13" t="s">
        <v>122</v>
      </c>
      <c r="G23" s="13" t="s">
        <v>301</v>
      </c>
      <c r="H23" s="13" t="s">
        <v>311</v>
      </c>
      <c r="I23" s="13" t="s">
        <v>309</v>
      </c>
      <c r="J23" s="23" t="s">
        <v>312</v>
      </c>
    </row>
    <row r="24" spans="2:10" x14ac:dyDescent="0.25">
      <c r="B24" s="22" t="s">
        <v>133</v>
      </c>
      <c r="C24" s="13" t="s">
        <v>132</v>
      </c>
      <c r="D24" s="13" t="s">
        <v>99</v>
      </c>
      <c r="E24" s="13" t="s">
        <v>131</v>
      </c>
      <c r="F24" s="13" t="s">
        <v>131</v>
      </c>
      <c r="G24" s="13" t="s">
        <v>313</v>
      </c>
      <c r="H24" s="13" t="s">
        <v>314</v>
      </c>
      <c r="I24" s="13" t="s">
        <v>315</v>
      </c>
      <c r="J24" s="23" t="s">
        <v>316</v>
      </c>
    </row>
    <row r="25" spans="2:10" x14ac:dyDescent="0.25">
      <c r="B25" s="22" t="s">
        <v>135</v>
      </c>
      <c r="C25" s="13" t="s">
        <v>134</v>
      </c>
      <c r="D25" s="13" t="s">
        <v>99</v>
      </c>
      <c r="E25" s="13" t="s">
        <v>131</v>
      </c>
      <c r="F25" s="13" t="s">
        <v>131</v>
      </c>
      <c r="G25" s="13" t="s">
        <v>313</v>
      </c>
      <c r="H25" s="13" t="s">
        <v>317</v>
      </c>
      <c r="I25" s="13" t="s">
        <v>262</v>
      </c>
      <c r="J25" s="23" t="s">
        <v>318</v>
      </c>
    </row>
    <row r="26" spans="2:10" x14ac:dyDescent="0.25">
      <c r="B26" s="22" t="s">
        <v>143</v>
      </c>
      <c r="C26" s="13" t="s">
        <v>144</v>
      </c>
      <c r="D26" s="13" t="s">
        <v>99</v>
      </c>
      <c r="E26" s="13" t="s">
        <v>136</v>
      </c>
      <c r="F26" s="13" t="s">
        <v>136</v>
      </c>
      <c r="G26" s="13" t="s">
        <v>319</v>
      </c>
      <c r="H26" s="13" t="s">
        <v>320</v>
      </c>
      <c r="I26" s="13" t="s">
        <v>321</v>
      </c>
      <c r="J26" s="23" t="s">
        <v>322</v>
      </c>
    </row>
    <row r="27" spans="2:10" x14ac:dyDescent="0.25">
      <c r="B27" s="22" t="s">
        <v>141</v>
      </c>
      <c r="C27" s="13" t="s">
        <v>142</v>
      </c>
      <c r="D27" s="13" t="s">
        <v>99</v>
      </c>
      <c r="E27" s="13" t="s">
        <v>136</v>
      </c>
      <c r="F27" s="13" t="s">
        <v>136</v>
      </c>
      <c r="G27" s="13" t="s">
        <v>319</v>
      </c>
      <c r="H27" s="13" t="s">
        <v>323</v>
      </c>
      <c r="I27" s="13" t="s">
        <v>324</v>
      </c>
      <c r="J27" s="23" t="s">
        <v>325</v>
      </c>
    </row>
    <row r="28" spans="2:10" x14ac:dyDescent="0.25">
      <c r="B28" s="22" t="s">
        <v>139</v>
      </c>
      <c r="C28" s="13" t="s">
        <v>140</v>
      </c>
      <c r="D28" s="13" t="s">
        <v>99</v>
      </c>
      <c r="E28" s="13" t="s">
        <v>136</v>
      </c>
      <c r="F28" s="13" t="s">
        <v>136</v>
      </c>
      <c r="G28" s="13" t="s">
        <v>319</v>
      </c>
      <c r="H28" s="13" t="s">
        <v>326</v>
      </c>
      <c r="I28" s="13" t="s">
        <v>327</v>
      </c>
      <c r="J28" s="23" t="s">
        <v>328</v>
      </c>
    </row>
    <row r="29" spans="2:10" x14ac:dyDescent="0.25">
      <c r="B29" s="22" t="s">
        <v>137</v>
      </c>
      <c r="C29" s="13" t="s">
        <v>138</v>
      </c>
      <c r="D29" s="13" t="s">
        <v>99</v>
      </c>
      <c r="E29" s="13" t="s">
        <v>136</v>
      </c>
      <c r="F29" s="13" t="s">
        <v>136</v>
      </c>
      <c r="G29" s="13" t="s">
        <v>319</v>
      </c>
      <c r="H29" s="13" t="s">
        <v>320</v>
      </c>
      <c r="I29" s="13" t="s">
        <v>329</v>
      </c>
      <c r="J29" s="23" t="s">
        <v>322</v>
      </c>
    </row>
    <row r="30" spans="2:10" x14ac:dyDescent="0.25">
      <c r="B30" s="22" t="s">
        <v>147</v>
      </c>
      <c r="C30" s="13" t="s">
        <v>148</v>
      </c>
      <c r="D30" s="13" t="s">
        <v>99</v>
      </c>
      <c r="E30" s="13" t="s">
        <v>145</v>
      </c>
      <c r="F30" s="13" t="s">
        <v>145</v>
      </c>
      <c r="G30" s="13" t="s">
        <v>330</v>
      </c>
      <c r="H30" s="13" t="s">
        <v>331</v>
      </c>
      <c r="I30" s="13" t="s">
        <v>332</v>
      </c>
      <c r="J30" s="23" t="s">
        <v>333</v>
      </c>
    </row>
    <row r="31" spans="2:10" x14ac:dyDescent="0.25">
      <c r="B31" s="22" t="s">
        <v>150</v>
      </c>
      <c r="C31" s="13" t="s">
        <v>149</v>
      </c>
      <c r="D31" s="13" t="s">
        <v>99</v>
      </c>
      <c r="E31" s="13" t="s">
        <v>145</v>
      </c>
      <c r="F31" s="13" t="s">
        <v>145</v>
      </c>
      <c r="G31" s="13" t="s">
        <v>145</v>
      </c>
      <c r="H31" s="13" t="s">
        <v>334</v>
      </c>
      <c r="I31" s="13" t="s">
        <v>335</v>
      </c>
      <c r="J31" s="23" t="s">
        <v>336</v>
      </c>
    </row>
    <row r="32" spans="2:10" x14ac:dyDescent="0.25">
      <c r="B32" s="22" t="s">
        <v>152</v>
      </c>
      <c r="C32" s="13" t="s">
        <v>151</v>
      </c>
      <c r="D32" s="13" t="s">
        <v>99</v>
      </c>
      <c r="E32" s="13" t="s">
        <v>145</v>
      </c>
      <c r="F32" s="13" t="s">
        <v>145</v>
      </c>
      <c r="G32" s="13" t="s">
        <v>145</v>
      </c>
      <c r="H32" s="13" t="s">
        <v>337</v>
      </c>
      <c r="I32" s="13" t="s">
        <v>338</v>
      </c>
      <c r="J32" s="23" t="s">
        <v>339</v>
      </c>
    </row>
    <row r="33" spans="2:10" x14ac:dyDescent="0.25">
      <c r="B33" s="22" t="s">
        <v>153</v>
      </c>
      <c r="C33" s="13" t="s">
        <v>154</v>
      </c>
      <c r="D33" s="13" t="s">
        <v>99</v>
      </c>
      <c r="E33" s="13" t="s">
        <v>145</v>
      </c>
      <c r="F33" s="13" t="s">
        <v>145</v>
      </c>
      <c r="G33" s="13" t="s">
        <v>145</v>
      </c>
      <c r="H33" s="13" t="s">
        <v>340</v>
      </c>
      <c r="I33" s="13" t="s">
        <v>341</v>
      </c>
      <c r="J33" s="23" t="s">
        <v>342</v>
      </c>
    </row>
    <row r="34" spans="2:10" x14ac:dyDescent="0.25">
      <c r="B34" s="22" t="s">
        <v>155</v>
      </c>
      <c r="C34" s="13" t="s">
        <v>156</v>
      </c>
      <c r="D34" s="13" t="s">
        <v>99</v>
      </c>
      <c r="E34" s="13" t="s">
        <v>145</v>
      </c>
      <c r="F34" s="13" t="s">
        <v>145</v>
      </c>
      <c r="G34" s="13" t="s">
        <v>145</v>
      </c>
      <c r="H34" s="13" t="s">
        <v>343</v>
      </c>
      <c r="I34" s="13" t="s">
        <v>335</v>
      </c>
      <c r="J34" s="23" t="s">
        <v>344</v>
      </c>
    </row>
    <row r="35" spans="2:10" x14ac:dyDescent="0.25">
      <c r="B35" s="22" t="s">
        <v>146</v>
      </c>
      <c r="C35" s="13" t="s">
        <v>157</v>
      </c>
      <c r="D35" s="13" t="s">
        <v>99</v>
      </c>
      <c r="E35" s="13" t="s">
        <v>145</v>
      </c>
      <c r="F35" s="13" t="s">
        <v>145</v>
      </c>
      <c r="G35" s="13" t="s">
        <v>145</v>
      </c>
      <c r="H35" s="13" t="s">
        <v>345</v>
      </c>
      <c r="I35" s="13" t="s">
        <v>346</v>
      </c>
      <c r="J35" s="23" t="s">
        <v>347</v>
      </c>
    </row>
    <row r="36" spans="2:10" x14ac:dyDescent="0.25">
      <c r="B36" s="22" t="s">
        <v>160</v>
      </c>
      <c r="C36" s="13" t="s">
        <v>159</v>
      </c>
      <c r="D36" s="13" t="s">
        <v>99</v>
      </c>
      <c r="E36" s="13" t="s">
        <v>158</v>
      </c>
      <c r="F36" s="13" t="s">
        <v>158</v>
      </c>
      <c r="G36" s="13" t="s">
        <v>348</v>
      </c>
      <c r="H36" s="13" t="s">
        <v>349</v>
      </c>
      <c r="I36" s="13" t="s">
        <v>350</v>
      </c>
      <c r="J36" s="23" t="s">
        <v>351</v>
      </c>
    </row>
    <row r="37" spans="2:10" x14ac:dyDescent="0.25">
      <c r="B37" s="22" t="s">
        <v>171</v>
      </c>
      <c r="C37" s="13" t="s">
        <v>172</v>
      </c>
      <c r="D37" s="13" t="s">
        <v>167</v>
      </c>
      <c r="E37" s="13" t="s">
        <v>168</v>
      </c>
      <c r="F37" s="13" t="s">
        <v>168</v>
      </c>
      <c r="G37" s="13" t="s">
        <v>352</v>
      </c>
      <c r="H37" s="13" t="s">
        <v>353</v>
      </c>
      <c r="I37" s="13" t="s">
        <v>354</v>
      </c>
      <c r="J37" s="23" t="s">
        <v>355</v>
      </c>
    </row>
    <row r="38" spans="2:10" ht="15.75" thickBot="1" x14ac:dyDescent="0.3">
      <c r="B38" s="24" t="s">
        <v>170</v>
      </c>
      <c r="C38" s="25" t="s">
        <v>169</v>
      </c>
      <c r="D38" s="25" t="s">
        <v>167</v>
      </c>
      <c r="E38" s="25" t="s">
        <v>168</v>
      </c>
      <c r="F38" s="25" t="s">
        <v>168</v>
      </c>
      <c r="G38" s="25" t="s">
        <v>352</v>
      </c>
      <c r="H38" s="25" t="s">
        <v>353</v>
      </c>
      <c r="I38" s="25" t="s">
        <v>354</v>
      </c>
      <c r="J38" s="26" t="s">
        <v>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Coverage</vt:lpstr>
      <vt:lpstr>Consumer</vt:lpstr>
      <vt:lpstr>FIs</vt:lpstr>
      <vt:lpstr>Healthcare</vt:lpstr>
      <vt:lpstr>Industrials</vt:lpstr>
      <vt:lpstr>TMT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2025-12-28T20:53:39Z</dcterms:created>
  <dcterms:modified xsi:type="dcterms:W3CDTF">2025-12-28T21:54:59Z</dcterms:modified>
</cp:coreProperties>
</file>