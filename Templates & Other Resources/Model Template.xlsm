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2F4B3765-AF62-4845-9403-BC078B518962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0" i="9" l="1"/>
  <c r="AF20" i="9"/>
  <c r="AE20" i="9"/>
  <c r="AD20" i="9"/>
  <c r="AC20" i="9"/>
  <c r="AB20" i="9"/>
  <c r="AA20" i="9"/>
  <c r="Z20" i="9"/>
  <c r="Y20" i="9"/>
  <c r="X20" i="9"/>
  <c r="W20" i="9"/>
  <c r="V20" i="9"/>
  <c r="D20" i="9"/>
  <c r="C20" i="9"/>
  <c r="B2" i="10"/>
  <c r="O36" i="8"/>
  <c r="AE36" i="8" s="1"/>
  <c r="K36" i="8"/>
  <c r="AA36" i="8" s="1"/>
  <c r="K33" i="8"/>
  <c r="AA33" i="8" s="1"/>
  <c r="O29" i="8"/>
  <c r="K29" i="8"/>
  <c r="O25" i="8"/>
  <c r="K25" i="8"/>
  <c r="O24" i="8"/>
  <c r="K24" i="8"/>
  <c r="O23" i="8"/>
  <c r="K23" i="8"/>
  <c r="O19" i="8"/>
  <c r="K19" i="8"/>
  <c r="O18" i="8"/>
  <c r="K18" i="8"/>
  <c r="O17" i="8"/>
  <c r="K17" i="8"/>
  <c r="O46" i="8"/>
  <c r="K46" i="8"/>
  <c r="O45" i="8"/>
  <c r="K45" i="8"/>
  <c r="O44" i="8"/>
  <c r="K44" i="8"/>
  <c r="O52" i="8"/>
  <c r="K52" i="8"/>
  <c r="O51" i="8"/>
  <c r="K51" i="8"/>
  <c r="O50" i="8"/>
  <c r="K50" i="8"/>
  <c r="O60" i="8"/>
  <c r="K60" i="8"/>
  <c r="O59" i="8"/>
  <c r="K59" i="8"/>
  <c r="O58" i="8"/>
  <c r="K58" i="8"/>
  <c r="O57" i="8"/>
  <c r="K57" i="8"/>
  <c r="O56" i="8"/>
  <c r="K56" i="8"/>
  <c r="O66" i="8"/>
  <c r="K66" i="8"/>
  <c r="O65" i="8"/>
  <c r="K65" i="8"/>
  <c r="O64" i="8"/>
  <c r="K64" i="8"/>
  <c r="O94" i="8"/>
  <c r="K94" i="8"/>
  <c r="O93" i="8"/>
  <c r="K93" i="8"/>
  <c r="O92" i="8"/>
  <c r="K92" i="8"/>
  <c r="O91" i="8"/>
  <c r="K91" i="8"/>
  <c r="O90" i="8"/>
  <c r="K90" i="8"/>
  <c r="O89" i="8"/>
  <c r="K89" i="8"/>
  <c r="O88" i="8"/>
  <c r="K88" i="8"/>
  <c r="O87" i="8"/>
  <c r="K87" i="8"/>
  <c r="O100" i="8"/>
  <c r="K100" i="8"/>
  <c r="O99" i="8"/>
  <c r="K99" i="8"/>
  <c r="O98" i="8"/>
  <c r="K98" i="8"/>
  <c r="O97" i="8"/>
  <c r="K97" i="8"/>
  <c r="O96" i="8"/>
  <c r="K96" i="8"/>
  <c r="O108" i="8"/>
  <c r="K108" i="8"/>
  <c r="O107" i="8"/>
  <c r="K107" i="8"/>
  <c r="O106" i="8"/>
  <c r="K106" i="8"/>
  <c r="O105" i="8"/>
  <c r="K105" i="8"/>
  <c r="O104" i="8"/>
  <c r="K104" i="8"/>
  <c r="AG33" i="8"/>
  <c r="AF33" i="8"/>
  <c r="AD33" i="8"/>
  <c r="AC33" i="8"/>
  <c r="AB33" i="8"/>
  <c r="Z33" i="8"/>
  <c r="Y33" i="8"/>
  <c r="X33" i="8"/>
  <c r="V33" i="8"/>
  <c r="U33" i="8"/>
  <c r="T33" i="8"/>
  <c r="AH33" i="8"/>
  <c r="AG36" i="8"/>
  <c r="AF36" i="8"/>
  <c r="AD36" i="8"/>
  <c r="AC36" i="8"/>
  <c r="AB36" i="8"/>
  <c r="Z36" i="8"/>
  <c r="Y36" i="8"/>
  <c r="X36" i="8"/>
  <c r="V36" i="8"/>
  <c r="U36" i="8"/>
  <c r="T36" i="8"/>
  <c r="AH36" i="8"/>
  <c r="W36" i="8"/>
  <c r="W33" i="8"/>
  <c r="O33" i="8"/>
  <c r="AE33" i="8" s="1"/>
  <c r="AG68" i="9"/>
  <c r="AF68" i="9"/>
  <c r="AE68" i="9"/>
  <c r="AC68" i="9"/>
  <c r="AB68" i="9"/>
  <c r="AA68" i="9"/>
  <c r="Y68" i="9"/>
  <c r="X68" i="9"/>
  <c r="W68" i="9"/>
  <c r="U68" i="9"/>
  <c r="AD68" i="9"/>
  <c r="Z68" i="9"/>
  <c r="V68" i="9"/>
  <c r="C69" i="9"/>
  <c r="D69" i="9"/>
  <c r="AI20" i="9" l="1"/>
  <c r="U20" i="9"/>
  <c r="AJ36" i="8"/>
  <c r="AG60" i="9" l="1"/>
  <c r="AF60" i="9"/>
  <c r="AE60" i="9"/>
  <c r="AC60" i="9"/>
  <c r="D60" i="9"/>
  <c r="C60" i="9"/>
  <c r="S66" i="9"/>
  <c r="AG66" i="9" s="1"/>
  <c r="R66" i="9"/>
  <c r="AF66" i="9" s="1"/>
  <c r="Q66" i="9"/>
  <c r="AE66" i="9" s="1"/>
  <c r="O66" i="9"/>
  <c r="AC66" i="9" s="1"/>
  <c r="N66" i="9"/>
  <c r="M66" i="9"/>
  <c r="K66" i="9"/>
  <c r="J66" i="9"/>
  <c r="I66" i="9"/>
  <c r="S65" i="9"/>
  <c r="AG65" i="9" s="1"/>
  <c r="R65" i="9"/>
  <c r="AF65" i="9" s="1"/>
  <c r="Q65" i="9"/>
  <c r="AE65" i="9" s="1"/>
  <c r="O65" i="9"/>
  <c r="AC65" i="9" s="1"/>
  <c r="N65" i="9"/>
  <c r="M65" i="9"/>
  <c r="K65" i="9"/>
  <c r="J65" i="9"/>
  <c r="I65" i="9"/>
  <c r="G66" i="9"/>
  <c r="F66" i="9"/>
  <c r="E66" i="9"/>
  <c r="D66" i="9"/>
  <c r="C66" i="9"/>
  <c r="G65" i="9"/>
  <c r="F65" i="9"/>
  <c r="E65" i="9"/>
  <c r="D65" i="9"/>
  <c r="C65" i="9"/>
  <c r="AG59" i="9"/>
  <c r="AF59" i="9"/>
  <c r="AE59" i="9"/>
  <c r="AC59" i="9"/>
  <c r="D59" i="9"/>
  <c r="C59" i="9"/>
  <c r="D58" i="9"/>
  <c r="C58" i="9"/>
  <c r="D57" i="9"/>
  <c r="C57" i="9"/>
  <c r="C44" i="9"/>
  <c r="D44" i="9"/>
  <c r="D45" i="9"/>
  <c r="C45" i="9"/>
  <c r="D43" i="9"/>
  <c r="C43" i="9"/>
  <c r="D52" i="9"/>
  <c r="C52" i="9"/>
  <c r="D51" i="9"/>
  <c r="C51" i="9"/>
  <c r="D42" i="9"/>
  <c r="C42" i="9"/>
  <c r="D41" i="9"/>
  <c r="C41" i="9"/>
  <c r="D40" i="9"/>
  <c r="C40" i="9"/>
  <c r="D37" i="9"/>
  <c r="C37" i="9"/>
  <c r="D36" i="9"/>
  <c r="C36" i="9"/>
  <c r="D35" i="9"/>
  <c r="C35" i="9"/>
  <c r="D34" i="9"/>
  <c r="C34" i="9"/>
  <c r="D30" i="9"/>
  <c r="C30" i="9"/>
  <c r="D26" i="9"/>
  <c r="C26" i="9"/>
  <c r="D22" i="9"/>
  <c r="C22" i="9"/>
  <c r="D21" i="9"/>
  <c r="C21" i="9"/>
  <c r="D19" i="9"/>
  <c r="C19" i="9"/>
  <c r="O13" i="10"/>
  <c r="Y13" i="10" s="1"/>
  <c r="O12" i="10"/>
  <c r="Z12" i="10" s="1"/>
  <c r="O11" i="10"/>
  <c r="Z11" i="10" s="1"/>
  <c r="O10" i="10"/>
  <c r="O9" i="10"/>
  <c r="K13" i="10"/>
  <c r="K12" i="10"/>
  <c r="K11" i="10"/>
  <c r="K10" i="10"/>
  <c r="K9" i="10"/>
  <c r="AH127" i="8"/>
  <c r="R123" i="8"/>
  <c r="AF127" i="8"/>
  <c r="AH123" i="8"/>
  <c r="N123" i="8"/>
  <c r="M123" i="8"/>
  <c r="K123" i="8"/>
  <c r="J123" i="8"/>
  <c r="X127" i="8"/>
  <c r="Z123" i="8"/>
  <c r="Y123" i="8"/>
  <c r="Z108" i="8"/>
  <c r="Y107" i="8"/>
  <c r="Z106" i="8"/>
  <c r="X105" i="8"/>
  <c r="Y104" i="8"/>
  <c r="H119" i="8"/>
  <c r="I119" i="8"/>
  <c r="J119" i="8"/>
  <c r="Z112" i="8"/>
  <c r="Z113" i="8"/>
  <c r="Y114" i="8"/>
  <c r="X115" i="8"/>
  <c r="W116" i="8"/>
  <c r="Z117" i="8"/>
  <c r="Z118" i="8"/>
  <c r="I123" i="8"/>
  <c r="P123" i="8"/>
  <c r="L123" i="8"/>
  <c r="C15" i="9"/>
  <c r="O116" i="8"/>
  <c r="AH116" i="8" s="1"/>
  <c r="K116" i="8"/>
  <c r="AD116" i="8" s="1"/>
  <c r="V116" i="8"/>
  <c r="O115" i="8"/>
  <c r="AH115" i="8" s="1"/>
  <c r="K115" i="8"/>
  <c r="AC115" i="8" s="1"/>
  <c r="U115" i="8"/>
  <c r="O114" i="8"/>
  <c r="AF114" i="8" s="1"/>
  <c r="K114" i="8"/>
  <c r="AD114" i="8" s="1"/>
  <c r="V114" i="8"/>
  <c r="O113" i="8"/>
  <c r="AG113" i="8" s="1"/>
  <c r="K113" i="8"/>
  <c r="AC113" i="8" s="1"/>
  <c r="V113" i="8"/>
  <c r="O112" i="8"/>
  <c r="AH112" i="8" s="1"/>
  <c r="K112" i="8"/>
  <c r="AA112" i="8" s="1"/>
  <c r="T112" i="8"/>
  <c r="AG94" i="8"/>
  <c r="AC94" i="8"/>
  <c r="Z94" i="8"/>
  <c r="V94" i="8"/>
  <c r="AH93" i="8"/>
  <c r="AD93" i="8"/>
  <c r="Z93" i="8"/>
  <c r="T93" i="8"/>
  <c r="AH92" i="8"/>
  <c r="AB92" i="8"/>
  <c r="Z92" i="8"/>
  <c r="U92" i="8"/>
  <c r="AG91" i="8"/>
  <c r="AC91" i="8"/>
  <c r="W91" i="8"/>
  <c r="V91" i="8"/>
  <c r="AG90" i="8"/>
  <c r="AD90" i="8"/>
  <c r="W90" i="8"/>
  <c r="V90" i="8"/>
  <c r="AG89" i="8"/>
  <c r="AD89" i="8"/>
  <c r="X89" i="8"/>
  <c r="U89" i="8"/>
  <c r="AF88" i="8"/>
  <c r="AD88" i="8"/>
  <c r="Y88" i="8"/>
  <c r="V88" i="8"/>
  <c r="P65" i="9"/>
  <c r="AD65" i="9" s="1"/>
  <c r="L65" i="9"/>
  <c r="AD60" i="9"/>
  <c r="AD59" i="9"/>
  <c r="P66" i="9"/>
  <c r="AD66" i="9" s="1"/>
  <c r="L66" i="9"/>
  <c r="O71" i="8"/>
  <c r="K71" i="8"/>
  <c r="O70" i="8"/>
  <c r="K70" i="8"/>
  <c r="O69" i="8"/>
  <c r="K69" i="8"/>
  <c r="AH108" i="8"/>
  <c r="AB108" i="8"/>
  <c r="U108" i="8"/>
  <c r="AH107" i="8"/>
  <c r="AC107" i="8"/>
  <c r="V107" i="8"/>
  <c r="AH106" i="8"/>
  <c r="AD106" i="8"/>
  <c r="V106" i="8"/>
  <c r="AE105" i="8"/>
  <c r="AB105" i="8"/>
  <c r="V105" i="8"/>
  <c r="AF104" i="8"/>
  <c r="AD104" i="8"/>
  <c r="V104" i="8"/>
  <c r="O118" i="8"/>
  <c r="AF118" i="8" s="1"/>
  <c r="K118" i="8"/>
  <c r="AD118" i="8" s="1"/>
  <c r="U118" i="8"/>
  <c r="O117" i="8"/>
  <c r="AH117" i="8" s="1"/>
  <c r="K117" i="8"/>
  <c r="AC117" i="8" s="1"/>
  <c r="V117" i="8"/>
  <c r="T9" i="10" l="1"/>
  <c r="U9" i="10"/>
  <c r="U10" i="10"/>
  <c r="T10" i="10"/>
  <c r="V11" i="10"/>
  <c r="U11" i="10"/>
  <c r="T11" i="10"/>
  <c r="V13" i="10"/>
  <c r="T13" i="10"/>
  <c r="U13" i="10"/>
  <c r="V12" i="10"/>
  <c r="U12" i="10"/>
  <c r="T12" i="10"/>
  <c r="AB12" i="10"/>
  <c r="D15" i="9"/>
  <c r="Q123" i="8"/>
  <c r="AJ116" i="8"/>
  <c r="W108" i="8"/>
  <c r="U127" i="8"/>
  <c r="AC44" i="9"/>
  <c r="AA134" i="8"/>
  <c r="AH90" i="8"/>
  <c r="AJ93" i="8"/>
  <c r="AC92" i="8"/>
  <c r="AB112" i="8"/>
  <c r="V127" i="8"/>
  <c r="AD92" i="8"/>
  <c r="AJ92" i="8" s="1"/>
  <c r="AC112" i="8"/>
  <c r="U94" i="8"/>
  <c r="AA113" i="8"/>
  <c r="AC123" i="8"/>
  <c r="Y134" i="8"/>
  <c r="AA94" i="8"/>
  <c r="Z114" i="8"/>
  <c r="AE123" i="8"/>
  <c r="AH104" i="8"/>
  <c r="AD115" i="8"/>
  <c r="AJ115" i="8" s="1"/>
  <c r="Y89" i="8"/>
  <c r="X106" i="8"/>
  <c r="T116" i="8"/>
  <c r="AC90" i="8"/>
  <c r="Z107" i="8"/>
  <c r="AF116" i="8"/>
  <c r="T88" i="8"/>
  <c r="Z89" i="8"/>
  <c r="AD91" i="8"/>
  <c r="AF92" i="8"/>
  <c r="AB94" i="8"/>
  <c r="T105" i="8"/>
  <c r="AF106" i="8"/>
  <c r="Y108" i="8"/>
  <c r="AG112" i="8"/>
  <c r="AE114" i="8"/>
  <c r="X116" i="8"/>
  <c r="AD117" i="8"/>
  <c r="AJ117" i="8" s="1"/>
  <c r="W127" i="8"/>
  <c r="AE106" i="8"/>
  <c r="Z88" i="8"/>
  <c r="AF89" i="8"/>
  <c r="AE91" i="8"/>
  <c r="AB93" i="8"/>
  <c r="AD94" i="8"/>
  <c r="Y105" i="8"/>
  <c r="AG106" i="8"/>
  <c r="AC108" i="8"/>
  <c r="T113" i="8"/>
  <c r="AG114" i="8"/>
  <c r="Y116" i="8"/>
  <c r="AE117" i="8"/>
  <c r="AB127" i="8"/>
  <c r="AA88" i="8"/>
  <c r="T90" i="8"/>
  <c r="AC93" i="8"/>
  <c r="X104" i="8"/>
  <c r="Z105" i="8"/>
  <c r="W107" i="8"/>
  <c r="AD108" i="8"/>
  <c r="U113" i="8"/>
  <c r="AH114" i="8"/>
  <c r="AJ114" i="8" s="1"/>
  <c r="Z116" i="8"/>
  <c r="AG117" i="8"/>
  <c r="AC127" i="8"/>
  <c r="AB88" i="8"/>
  <c r="X90" i="8"/>
  <c r="V92" i="8"/>
  <c r="T94" i="8"/>
  <c r="Z104" i="8"/>
  <c r="AF105" i="8"/>
  <c r="X107" i="8"/>
  <c r="U112" i="8"/>
  <c r="W113" i="8"/>
  <c r="AA115" i="8"/>
  <c r="AE116" i="8"/>
  <c r="W118" i="8"/>
  <c r="AE127" i="8"/>
  <c r="AE88" i="8"/>
  <c r="W92" i="8"/>
  <c r="AA104" i="8"/>
  <c r="V112" i="8"/>
  <c r="X118" i="8"/>
  <c r="Y117" i="8"/>
  <c r="AG88" i="8"/>
  <c r="AE90" i="8"/>
  <c r="X92" i="8"/>
  <c r="AC104" i="8"/>
  <c r="Y106" i="8"/>
  <c r="AD107" i="8"/>
  <c r="X112" i="8"/>
  <c r="AF113" i="8"/>
  <c r="AF115" i="8"/>
  <c r="W117" i="8"/>
  <c r="AC118" i="8"/>
  <c r="AB123" i="8"/>
  <c r="AH88" i="8"/>
  <c r="AJ88" i="8" s="1"/>
  <c r="AF90" i="8"/>
  <c r="Y94" i="8"/>
  <c r="AG104" i="8"/>
  <c r="AA106" i="8"/>
  <c r="V108" i="8"/>
  <c r="AH113" i="8"/>
  <c r="AG115" i="8"/>
  <c r="X117" i="8"/>
  <c r="AD44" i="9"/>
  <c r="AE44" i="9"/>
  <c r="G11" i="9"/>
  <c r="AF44" i="9"/>
  <c r="AG44" i="9"/>
  <c r="C11" i="9"/>
  <c r="D11" i="9"/>
  <c r="E11" i="9"/>
  <c r="F11" i="9"/>
  <c r="L11" i="9"/>
  <c r="J11" i="9"/>
  <c r="K11" i="9"/>
  <c r="I11" i="9"/>
  <c r="R11" i="9"/>
  <c r="Q11" i="9"/>
  <c r="S11" i="9"/>
  <c r="O11" i="9"/>
  <c r="N11" i="9"/>
  <c r="P11" i="9"/>
  <c r="M11" i="9"/>
  <c r="AC10" i="9"/>
  <c r="AD10" i="9"/>
  <c r="AE10" i="9"/>
  <c r="AF10" i="9"/>
  <c r="AG10" i="9"/>
  <c r="X12" i="10"/>
  <c r="W13" i="10"/>
  <c r="X13" i="10"/>
  <c r="W12" i="10"/>
  <c r="AB11" i="10"/>
  <c r="Y12" i="10"/>
  <c r="Z13" i="10"/>
  <c r="W11" i="10"/>
  <c r="X11" i="10"/>
  <c r="Y11" i="10"/>
  <c r="Z134" i="8"/>
  <c r="T134" i="8"/>
  <c r="AH94" i="8"/>
  <c r="Y115" i="8"/>
  <c r="X91" i="8"/>
  <c r="V93" i="8"/>
  <c r="T104" i="8"/>
  <c r="AG105" i="8"/>
  <c r="AE107" i="8"/>
  <c r="AA114" i="8"/>
  <c r="V123" i="8"/>
  <c r="AA89" i="8"/>
  <c r="Y91" i="8"/>
  <c r="W93" i="8"/>
  <c r="U104" i="8"/>
  <c r="AH105" i="8"/>
  <c r="AF107" i="8"/>
  <c r="AD112" i="8"/>
  <c r="AB114" i="8"/>
  <c r="AC88" i="8"/>
  <c r="AB89" i="8"/>
  <c r="AA90" i="8"/>
  <c r="Z91" i="8"/>
  <c r="Y92" i="8"/>
  <c r="X93" i="8"/>
  <c r="W94" i="8"/>
  <c r="U105" i="8"/>
  <c r="T106" i="8"/>
  <c r="AG107" i="8"/>
  <c r="AF108" i="8"/>
  <c r="AE112" i="8"/>
  <c r="AD113" i="8"/>
  <c r="AC114" i="8"/>
  <c r="AB115" i="8"/>
  <c r="AA116" i="8"/>
  <c r="Y118" i="8"/>
  <c r="X123" i="8"/>
  <c r="U93" i="8"/>
  <c r="U123" i="8"/>
  <c r="Y90" i="8"/>
  <c r="AB113" i="8"/>
  <c r="Z115" i="8"/>
  <c r="Z90" i="8"/>
  <c r="AE108" i="8"/>
  <c r="W123" i="8"/>
  <c r="AC89" i="8"/>
  <c r="AB90" i="8"/>
  <c r="AA91" i="8"/>
  <c r="Y93" i="8"/>
  <c r="X94" i="8"/>
  <c r="W104" i="8"/>
  <c r="U106" i="8"/>
  <c r="T107" i="8"/>
  <c r="AG108" i="8"/>
  <c r="AF112" i="8"/>
  <c r="AE113" i="8"/>
  <c r="AB116" i="8"/>
  <c r="AA117" i="8"/>
  <c r="Y127" i="8"/>
  <c r="V118" i="8"/>
  <c r="AB91" i="8"/>
  <c r="AA92" i="8"/>
  <c r="W105" i="8"/>
  <c r="U107" i="8"/>
  <c r="T108" i="8"/>
  <c r="AC116" i="8"/>
  <c r="AB117" i="8"/>
  <c r="AA118" i="8"/>
  <c r="Z127" i="8"/>
  <c r="AE89" i="8"/>
  <c r="AA93" i="8"/>
  <c r="W106" i="8"/>
  <c r="AE115" i="8"/>
  <c r="AB118" i="8"/>
  <c r="AA127" i="8"/>
  <c r="AA123" i="8"/>
  <c r="T114" i="8"/>
  <c r="U88" i="8"/>
  <c r="T89" i="8"/>
  <c r="AH89" i="8"/>
  <c r="AJ89" i="8" s="1"/>
  <c r="AF91" i="8"/>
  <c r="AE92" i="8"/>
  <c r="AB104" i="8"/>
  <c r="AA105" i="8"/>
  <c r="X108" i="8"/>
  <c r="W112" i="8"/>
  <c r="U114" i="8"/>
  <c r="T115" i="8"/>
  <c r="AG116" i="8"/>
  <c r="AF117" i="8"/>
  <c r="AE118" i="8"/>
  <c r="AD127" i="8"/>
  <c r="AD123" i="8"/>
  <c r="W88" i="8"/>
  <c r="V89" i="8"/>
  <c r="U90" i="8"/>
  <c r="T91" i="8"/>
  <c r="AH91" i="8"/>
  <c r="AG92" i="8"/>
  <c r="AF93" i="8"/>
  <c r="AE94" i="8"/>
  <c r="AC105" i="8"/>
  <c r="AB106" i="8"/>
  <c r="AA107" i="8"/>
  <c r="Y112" i="8"/>
  <c r="X113" i="8"/>
  <c r="W114" i="8"/>
  <c r="V115" i="8"/>
  <c r="U116" i="8"/>
  <c r="T117" i="8"/>
  <c r="AG118" i="8"/>
  <c r="AF123" i="8"/>
  <c r="X88" i="8"/>
  <c r="W89" i="8"/>
  <c r="U91" i="8"/>
  <c r="T92" i="8"/>
  <c r="AG93" i="8"/>
  <c r="AF94" i="8"/>
  <c r="AE104" i="8"/>
  <c r="AD105" i="8"/>
  <c r="AC106" i="8"/>
  <c r="AB107" i="8"/>
  <c r="AA108" i="8"/>
  <c r="Y113" i="8"/>
  <c r="X114" i="8"/>
  <c r="W115" i="8"/>
  <c r="U117" i="8"/>
  <c r="T118" i="8"/>
  <c r="AH118" i="8"/>
  <c r="AG127" i="8"/>
  <c r="AG123" i="8"/>
  <c r="AE93" i="8"/>
  <c r="T127" i="8"/>
  <c r="T123" i="8"/>
  <c r="AJ90" i="8"/>
  <c r="D123" i="8"/>
  <c r="E123" i="8"/>
  <c r="F123" i="8"/>
  <c r="O123" i="8"/>
  <c r="AG15" i="9"/>
  <c r="AC13" i="8"/>
  <c r="Y13" i="8"/>
  <c r="AB13" i="10" l="1"/>
  <c r="AB44" i="9"/>
  <c r="AF134" i="8"/>
  <c r="AG134" i="8"/>
  <c r="AD134" i="8"/>
  <c r="AJ94" i="8"/>
  <c r="AJ113" i="8"/>
  <c r="X134" i="8"/>
  <c r="W134" i="8"/>
  <c r="AC134" i="8"/>
  <c r="AB134" i="8"/>
  <c r="AH134" i="8"/>
  <c r="AE134" i="8"/>
  <c r="AJ91" i="8"/>
  <c r="AE13" i="8"/>
  <c r="AA13" i="8"/>
  <c r="AD15" i="9"/>
  <c r="AF15" i="9"/>
  <c r="AB13" i="8"/>
  <c r="Z13" i="8"/>
  <c r="AD13" i="8"/>
  <c r="AC15" i="9"/>
  <c r="AE15" i="9"/>
  <c r="AI10" i="9"/>
  <c r="U134" i="8"/>
  <c r="V134" i="8"/>
  <c r="X13" i="8"/>
  <c r="V13" i="8"/>
  <c r="T13" i="8"/>
  <c r="W13" i="8"/>
  <c r="AF13" i="8"/>
  <c r="AH13" i="8"/>
  <c r="AJ13" i="8" s="1"/>
  <c r="AG13" i="8"/>
  <c r="U13" i="8"/>
  <c r="U29" i="8" l="1"/>
  <c r="V29" i="8"/>
  <c r="T29" i="8"/>
  <c r="V24" i="8"/>
  <c r="U24" i="8"/>
  <c r="T24" i="8"/>
  <c r="Y24" i="8"/>
  <c r="W24" i="8"/>
  <c r="Z24" i="8"/>
  <c r="X24" i="8"/>
  <c r="AB24" i="8"/>
  <c r="AA24" i="8"/>
  <c r="AC24" i="8"/>
  <c r="AD24" i="8"/>
  <c r="AH24" i="8"/>
  <c r="AG24" i="8"/>
  <c r="AF24" i="8"/>
  <c r="AE24" i="8"/>
  <c r="X25" i="8"/>
  <c r="Z25" i="8"/>
  <c r="Y25" i="8"/>
  <c r="W25" i="8"/>
  <c r="AA25" i="8"/>
  <c r="AD25" i="8"/>
  <c r="AC25" i="8"/>
  <c r="AB25" i="8"/>
  <c r="Z29" i="8"/>
  <c r="W29" i="8"/>
  <c r="Y29" i="8"/>
  <c r="X29" i="8"/>
  <c r="V25" i="8"/>
  <c r="T25" i="8"/>
  <c r="U25" i="8"/>
  <c r="V23" i="8"/>
  <c r="U23" i="8"/>
  <c r="T23" i="8"/>
  <c r="AA29" i="8"/>
  <c r="AD29" i="8"/>
  <c r="AC29" i="8"/>
  <c r="AB29" i="8"/>
  <c r="AH25" i="8"/>
  <c r="AF25" i="8"/>
  <c r="AE25" i="8"/>
  <c r="AG25" i="8"/>
  <c r="Z23" i="8"/>
  <c r="X23" i="8"/>
  <c r="Y23" i="8"/>
  <c r="W23" i="8"/>
  <c r="AH29" i="8"/>
  <c r="AG29" i="8"/>
  <c r="AF29" i="8"/>
  <c r="AE29" i="8"/>
  <c r="AC23" i="8"/>
  <c r="AB23" i="8"/>
  <c r="AA23" i="8"/>
  <c r="AD23" i="8"/>
  <c r="V10" i="8"/>
  <c r="T10" i="8"/>
  <c r="U10" i="8"/>
  <c r="AH23" i="8"/>
  <c r="AF23" i="8"/>
  <c r="AG23" i="8"/>
  <c r="AE23" i="8"/>
  <c r="AD53" i="9" l="1"/>
  <c r="AG53" i="9"/>
  <c r="AF53" i="9"/>
  <c r="AE53" i="9"/>
  <c r="AC53" i="9"/>
  <c r="AG52" i="9"/>
  <c r="AF52" i="9"/>
  <c r="AE52" i="9"/>
  <c r="AC52" i="9"/>
  <c r="O8" i="8"/>
  <c r="K8" i="8"/>
  <c r="H109" i="8" l="1"/>
  <c r="C54" i="9"/>
  <c r="F54" i="9"/>
  <c r="R54" i="9"/>
  <c r="E54" i="9"/>
  <c r="K54" i="9"/>
  <c r="G54" i="9"/>
  <c r="O54" i="9"/>
  <c r="D54" i="9"/>
  <c r="J54" i="9"/>
  <c r="I54" i="9"/>
  <c r="M54" i="9"/>
  <c r="N54" i="9"/>
  <c r="Q54" i="9"/>
  <c r="S54" i="9"/>
  <c r="L109" i="8"/>
  <c r="P109" i="8"/>
  <c r="M109" i="8"/>
  <c r="I109" i="8"/>
  <c r="J109" i="8"/>
  <c r="AG43" i="9" l="1"/>
  <c r="Q109" i="8"/>
  <c r="N109" i="8"/>
  <c r="AJ118" i="8" l="1"/>
  <c r="AJ105" i="8"/>
  <c r="AJ106" i="8"/>
  <c r="R109" i="8"/>
  <c r="AE43" i="9"/>
  <c r="AD43" i="9"/>
  <c r="AC43" i="9"/>
  <c r="AF43" i="9"/>
  <c r="AD65" i="8" l="1"/>
  <c r="AC65" i="8"/>
  <c r="AB65" i="8"/>
  <c r="Y65" i="8"/>
  <c r="Z65" i="8"/>
  <c r="V65" i="8"/>
  <c r="U65" i="8"/>
  <c r="T65" i="8"/>
  <c r="J47" i="8"/>
  <c r="B2" i="9"/>
  <c r="AC9" i="9"/>
  <c r="AC7" i="9"/>
  <c r="C109" i="8"/>
  <c r="R61" i="8"/>
  <c r="Q61" i="8"/>
  <c r="P61" i="8"/>
  <c r="N61" i="8"/>
  <c r="M61" i="8"/>
  <c r="L61" i="8"/>
  <c r="J61" i="8"/>
  <c r="I61" i="8"/>
  <c r="H61" i="8"/>
  <c r="F61" i="8"/>
  <c r="E61" i="8"/>
  <c r="D61" i="8"/>
  <c r="C61" i="8"/>
  <c r="D61" i="9" s="1"/>
  <c r="W10" i="10"/>
  <c r="F109" i="8"/>
  <c r="E109" i="8"/>
  <c r="D109" i="8"/>
  <c r="AB98" i="8"/>
  <c r="AE97" i="8"/>
  <c r="X97" i="8"/>
  <c r="W72" i="8"/>
  <c r="W71" i="8"/>
  <c r="W70" i="8"/>
  <c r="W69" i="8"/>
  <c r="AG69" i="9"/>
  <c r="S70" i="9"/>
  <c r="AG58" i="9"/>
  <c r="AG57" i="9"/>
  <c r="AG51" i="9"/>
  <c r="AG54" i="9" s="1"/>
  <c r="S4" i="9"/>
  <c r="AG4" i="9" s="1"/>
  <c r="S3" i="9"/>
  <c r="AG3" i="9" s="1"/>
  <c r="V72" i="8"/>
  <c r="U72" i="8"/>
  <c r="T72" i="8"/>
  <c r="V71" i="8"/>
  <c r="U71" i="8"/>
  <c r="T71" i="8"/>
  <c r="V70" i="8"/>
  <c r="U70" i="8"/>
  <c r="T70" i="8"/>
  <c r="V69" i="8"/>
  <c r="U69" i="8"/>
  <c r="T69" i="8"/>
  <c r="V66" i="8"/>
  <c r="U66" i="8"/>
  <c r="T66" i="8"/>
  <c r="V64" i="8"/>
  <c r="U64" i="8"/>
  <c r="T64" i="8"/>
  <c r="V60" i="8"/>
  <c r="U60" i="8"/>
  <c r="T60" i="8"/>
  <c r="V59" i="8"/>
  <c r="U59" i="8"/>
  <c r="T59" i="8"/>
  <c r="V58" i="8"/>
  <c r="V56" i="8"/>
  <c r="U56" i="8"/>
  <c r="T56" i="8"/>
  <c r="V52" i="8"/>
  <c r="U52" i="8"/>
  <c r="T52" i="8"/>
  <c r="V51" i="8"/>
  <c r="U51" i="8"/>
  <c r="T51" i="8"/>
  <c r="V50" i="8"/>
  <c r="U50" i="8"/>
  <c r="T50" i="8"/>
  <c r="V46" i="8"/>
  <c r="U46" i="8"/>
  <c r="T46" i="8"/>
  <c r="V45" i="8"/>
  <c r="U45" i="8"/>
  <c r="T45" i="8"/>
  <c r="V44" i="8"/>
  <c r="U44" i="8"/>
  <c r="T44" i="8"/>
  <c r="V8" i="8"/>
  <c r="V81" i="8" s="1"/>
  <c r="U8" i="8"/>
  <c r="U81" i="8" s="1"/>
  <c r="T8" i="8"/>
  <c r="T81" i="8" s="1"/>
  <c r="V7" i="8"/>
  <c r="V80" i="8" s="1"/>
  <c r="U7" i="8"/>
  <c r="U80" i="8" s="1"/>
  <c r="T7" i="8"/>
  <c r="T80" i="8" s="1"/>
  <c r="AH65" i="8"/>
  <c r="AG65" i="8"/>
  <c r="AF65" i="8"/>
  <c r="X65" i="8"/>
  <c r="AH64" i="8"/>
  <c r="AF64" i="8"/>
  <c r="AD64" i="8"/>
  <c r="AC64" i="8"/>
  <c r="AB64" i="8"/>
  <c r="Z64" i="8"/>
  <c r="Y64" i="8"/>
  <c r="X64" i="8"/>
  <c r="AG64" i="8"/>
  <c r="AE65" i="8"/>
  <c r="AA65" i="8"/>
  <c r="U19" i="8"/>
  <c r="AH72" i="8"/>
  <c r="AH71" i="8"/>
  <c r="AH70" i="8"/>
  <c r="AH69" i="8"/>
  <c r="AH66" i="8"/>
  <c r="AH60" i="8"/>
  <c r="AH59" i="8"/>
  <c r="AH58" i="8"/>
  <c r="AH57" i="8"/>
  <c r="AH56" i="8"/>
  <c r="AH52" i="8"/>
  <c r="AH51" i="8"/>
  <c r="AH50" i="8"/>
  <c r="AH46" i="8"/>
  <c r="AH45" i="8"/>
  <c r="AH44" i="8"/>
  <c r="AH8" i="8"/>
  <c r="AH81" i="8" s="1"/>
  <c r="AH7" i="8"/>
  <c r="AH80" i="8" s="1"/>
  <c r="Q4" i="10"/>
  <c r="Y4" i="10" s="1"/>
  <c r="P4" i="10"/>
  <c r="X4" i="10" s="1"/>
  <c r="O4" i="10"/>
  <c r="W4" i="10" s="1"/>
  <c r="N4" i="10"/>
  <c r="V4" i="10" s="1"/>
  <c r="M4" i="10"/>
  <c r="U4" i="10" s="1"/>
  <c r="L4" i="10"/>
  <c r="T4" i="10" s="1"/>
  <c r="K4" i="10"/>
  <c r="J4" i="10"/>
  <c r="I4" i="10"/>
  <c r="H4" i="10"/>
  <c r="Q3" i="10"/>
  <c r="Y3" i="10" s="1"/>
  <c r="P3" i="10"/>
  <c r="X3" i="10" s="1"/>
  <c r="O3" i="10"/>
  <c r="W3" i="10" s="1"/>
  <c r="N3" i="10"/>
  <c r="V3" i="10" s="1"/>
  <c r="M3" i="10"/>
  <c r="U3" i="10" s="1"/>
  <c r="L3" i="10"/>
  <c r="T3" i="10" s="1"/>
  <c r="K3" i="10"/>
  <c r="J3" i="10"/>
  <c r="I3" i="10"/>
  <c r="H3" i="10"/>
  <c r="R4" i="10"/>
  <c r="Z4" i="10" s="1"/>
  <c r="R3" i="10"/>
  <c r="Z3" i="10" s="1"/>
  <c r="R81" i="8"/>
  <c r="R80" i="8"/>
  <c r="R73" i="8"/>
  <c r="S72" i="9" s="1"/>
  <c r="R41" i="8"/>
  <c r="R40" i="8"/>
  <c r="R11" i="8"/>
  <c r="AG66" i="8"/>
  <c r="O70" i="9"/>
  <c r="G70" i="9"/>
  <c r="F70" i="9"/>
  <c r="E70" i="9"/>
  <c r="D70" i="9"/>
  <c r="C70" i="9"/>
  <c r="AG57" i="8"/>
  <c r="AF57" i="8"/>
  <c r="AD57" i="8"/>
  <c r="AC57" i="8"/>
  <c r="AB57" i="8"/>
  <c r="AG59" i="8"/>
  <c r="AF59" i="8"/>
  <c r="AD59" i="8"/>
  <c r="AC59" i="8"/>
  <c r="AB59" i="8"/>
  <c r="Z59" i="8"/>
  <c r="Y59" i="8"/>
  <c r="X59" i="8"/>
  <c r="Z57" i="8"/>
  <c r="Y57" i="8"/>
  <c r="X57" i="8"/>
  <c r="AE57" i="8"/>
  <c r="AA57" i="8"/>
  <c r="W57" i="8"/>
  <c r="Z69" i="9"/>
  <c r="V69" i="9"/>
  <c r="P119" i="8"/>
  <c r="F119" i="8"/>
  <c r="E119" i="8"/>
  <c r="D119" i="8"/>
  <c r="AG50" i="8"/>
  <c r="AF50" i="8"/>
  <c r="AD50" i="8"/>
  <c r="AC50" i="8"/>
  <c r="AB50" i="8"/>
  <c r="Z50" i="8"/>
  <c r="Y50" i="8"/>
  <c r="X50" i="8"/>
  <c r="AE50" i="8"/>
  <c r="AA50" i="8"/>
  <c r="W50" i="8"/>
  <c r="AG60" i="8"/>
  <c r="AF60" i="8"/>
  <c r="AD60" i="8"/>
  <c r="AC60" i="8"/>
  <c r="AB60" i="8"/>
  <c r="Z60" i="8"/>
  <c r="Y60" i="8"/>
  <c r="X60" i="8"/>
  <c r="AG58" i="8"/>
  <c r="AF58" i="8"/>
  <c r="AD58" i="8"/>
  <c r="AC58" i="8"/>
  <c r="AB58" i="8"/>
  <c r="Z58" i="8"/>
  <c r="Y58" i="8"/>
  <c r="X58" i="8"/>
  <c r="AE58" i="8"/>
  <c r="AA58" i="8"/>
  <c r="W58" i="8"/>
  <c r="U57" i="8"/>
  <c r="AE60" i="8"/>
  <c r="AA60" i="8"/>
  <c r="W60" i="8"/>
  <c r="AF58" i="9"/>
  <c r="AE58" i="9"/>
  <c r="AC58" i="9"/>
  <c r="AB58" i="9"/>
  <c r="AA58" i="9"/>
  <c r="Y58" i="9"/>
  <c r="X58" i="9"/>
  <c r="W58" i="9"/>
  <c r="U58" i="9"/>
  <c r="AF57" i="9"/>
  <c r="AE57" i="9"/>
  <c r="AC57" i="9"/>
  <c r="AB57" i="9"/>
  <c r="AA57" i="9"/>
  <c r="Y57" i="9"/>
  <c r="X57" i="9"/>
  <c r="W57" i="9"/>
  <c r="U57" i="9"/>
  <c r="AF51" i="9"/>
  <c r="AF54" i="9" s="1"/>
  <c r="AE51" i="9"/>
  <c r="AE54" i="9" s="1"/>
  <c r="AC51" i="9"/>
  <c r="AC54" i="9" s="1"/>
  <c r="AB51" i="9"/>
  <c r="AA51" i="9"/>
  <c r="Y51" i="9"/>
  <c r="X51" i="9"/>
  <c r="W51" i="9"/>
  <c r="U51" i="9"/>
  <c r="AE69" i="9"/>
  <c r="AC69" i="9"/>
  <c r="AB69" i="9"/>
  <c r="AA69" i="9"/>
  <c r="Y69" i="9"/>
  <c r="X69" i="9"/>
  <c r="W69" i="9"/>
  <c r="U69" i="9"/>
  <c r="AF69" i="9"/>
  <c r="R4" i="9"/>
  <c r="AF4" i="9" s="1"/>
  <c r="Q4" i="9"/>
  <c r="AE4" i="9" s="1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V4" i="9"/>
  <c r="U4" i="9"/>
  <c r="R3" i="9"/>
  <c r="AF3" i="9" s="1"/>
  <c r="Q3" i="9"/>
  <c r="AE3" i="9" s="1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V3" i="9"/>
  <c r="U3" i="9"/>
  <c r="G4" i="9"/>
  <c r="F4" i="9"/>
  <c r="E4" i="9"/>
  <c r="D4" i="9"/>
  <c r="G3" i="9"/>
  <c r="F3" i="9"/>
  <c r="E3" i="9"/>
  <c r="D3" i="9"/>
  <c r="C4" i="9"/>
  <c r="C3" i="9"/>
  <c r="O10" i="8"/>
  <c r="K10" i="8"/>
  <c r="V18" i="8"/>
  <c r="V17" i="8"/>
  <c r="AE51" i="8"/>
  <c r="AE66" i="8"/>
  <c r="AE71" i="8"/>
  <c r="AE70" i="8"/>
  <c r="AE69" i="8"/>
  <c r="O72" i="8"/>
  <c r="AE72" i="8" s="1"/>
  <c r="K72" i="8"/>
  <c r="AA72" i="8" s="1"/>
  <c r="AA71" i="8"/>
  <c r="AA70" i="8"/>
  <c r="AA69" i="8"/>
  <c r="AA66" i="8"/>
  <c r="AA51" i="8"/>
  <c r="W66" i="8"/>
  <c r="W51" i="8"/>
  <c r="AG72" i="8"/>
  <c r="AF72" i="8"/>
  <c r="AD72" i="8"/>
  <c r="AC72" i="8"/>
  <c r="AB72" i="8"/>
  <c r="Z72" i="8"/>
  <c r="Y72" i="8"/>
  <c r="X72" i="8"/>
  <c r="AG71" i="8"/>
  <c r="AF71" i="8"/>
  <c r="AD71" i="8"/>
  <c r="AC71" i="8"/>
  <c r="AB71" i="8"/>
  <c r="Z71" i="8"/>
  <c r="Y71" i="8"/>
  <c r="X71" i="8"/>
  <c r="AG70" i="8"/>
  <c r="AF70" i="8"/>
  <c r="AD70" i="8"/>
  <c r="AC70" i="8"/>
  <c r="AB70" i="8"/>
  <c r="Z70" i="8"/>
  <c r="Y70" i="8"/>
  <c r="X70" i="8"/>
  <c r="AG69" i="8"/>
  <c r="AF69" i="8"/>
  <c r="AD69" i="8"/>
  <c r="AC69" i="8"/>
  <c r="AB69" i="8"/>
  <c r="Z69" i="8"/>
  <c r="Y69" i="8"/>
  <c r="X69" i="8"/>
  <c r="AF66" i="8"/>
  <c r="AD66" i="8"/>
  <c r="AC66" i="8"/>
  <c r="AB66" i="8"/>
  <c r="Z66" i="8"/>
  <c r="Y66" i="8"/>
  <c r="X66" i="8"/>
  <c r="AG56" i="8"/>
  <c r="AF56" i="8"/>
  <c r="AD56" i="8"/>
  <c r="AC56" i="8"/>
  <c r="AB56" i="8"/>
  <c r="Z56" i="8"/>
  <c r="Y56" i="8"/>
  <c r="X56" i="8"/>
  <c r="AG52" i="8"/>
  <c r="AF52" i="8"/>
  <c r="AD52" i="8"/>
  <c r="AC52" i="8"/>
  <c r="AB52" i="8"/>
  <c r="Z52" i="8"/>
  <c r="Y52" i="8"/>
  <c r="X52" i="8"/>
  <c r="AG51" i="8"/>
  <c r="AF51" i="8"/>
  <c r="AD51" i="8"/>
  <c r="AC51" i="8"/>
  <c r="AB51" i="8"/>
  <c r="Z51" i="8"/>
  <c r="Y51" i="8"/>
  <c r="X51" i="8"/>
  <c r="AG46" i="8"/>
  <c r="AF46" i="8"/>
  <c r="AD46" i="8"/>
  <c r="AC46" i="8"/>
  <c r="AB46" i="8"/>
  <c r="Z46" i="8"/>
  <c r="Y46" i="8"/>
  <c r="X46" i="8"/>
  <c r="AG45" i="8"/>
  <c r="AF45" i="8"/>
  <c r="AD45" i="8"/>
  <c r="AC45" i="8"/>
  <c r="AB45" i="8"/>
  <c r="Z45" i="8"/>
  <c r="Y45" i="8"/>
  <c r="X45" i="8"/>
  <c r="AF44" i="8"/>
  <c r="AD44" i="8"/>
  <c r="AC44" i="8"/>
  <c r="AB44" i="8"/>
  <c r="Z44" i="8"/>
  <c r="Y44" i="8"/>
  <c r="X44" i="8"/>
  <c r="J73" i="8"/>
  <c r="K72" i="9" s="1"/>
  <c r="Q81" i="8"/>
  <c r="P81" i="8"/>
  <c r="O81" i="8"/>
  <c r="N81" i="8"/>
  <c r="M81" i="8"/>
  <c r="L81" i="8"/>
  <c r="K81" i="8"/>
  <c r="J81" i="8"/>
  <c r="I81" i="8"/>
  <c r="H81" i="8"/>
  <c r="Q80" i="8"/>
  <c r="P80" i="8"/>
  <c r="O80" i="8"/>
  <c r="N80" i="8"/>
  <c r="M80" i="8"/>
  <c r="L80" i="8"/>
  <c r="K80" i="8"/>
  <c r="J80" i="8"/>
  <c r="I80" i="8"/>
  <c r="H80" i="8"/>
  <c r="N73" i="8"/>
  <c r="O72" i="9" s="1"/>
  <c r="M73" i="8"/>
  <c r="N72" i="9" s="1"/>
  <c r="L73" i="8"/>
  <c r="M72" i="9" s="1"/>
  <c r="I73" i="8"/>
  <c r="J72" i="9" s="1"/>
  <c r="H73" i="8"/>
  <c r="I72" i="9" s="1"/>
  <c r="Q41" i="8"/>
  <c r="P41" i="8"/>
  <c r="O41" i="8"/>
  <c r="N41" i="8"/>
  <c r="M41" i="8"/>
  <c r="L41" i="8"/>
  <c r="K41" i="8"/>
  <c r="J41" i="8"/>
  <c r="I41" i="8"/>
  <c r="H41" i="8"/>
  <c r="Q40" i="8"/>
  <c r="P40" i="8"/>
  <c r="O40" i="8"/>
  <c r="N40" i="8"/>
  <c r="M40" i="8"/>
  <c r="L40" i="8"/>
  <c r="K40" i="8"/>
  <c r="J40" i="8"/>
  <c r="I40" i="8"/>
  <c r="H40" i="8"/>
  <c r="F41" i="8"/>
  <c r="E41" i="8"/>
  <c r="D41" i="8"/>
  <c r="C41" i="8"/>
  <c r="F40" i="8"/>
  <c r="E40" i="8"/>
  <c r="D40" i="8"/>
  <c r="C40" i="8"/>
  <c r="AG44" i="8"/>
  <c r="M11" i="8"/>
  <c r="L11" i="8"/>
  <c r="J11" i="8"/>
  <c r="I11" i="8"/>
  <c r="H11" i="8"/>
  <c r="Q11" i="8"/>
  <c r="Q14" i="8" s="1"/>
  <c r="AB8" i="8"/>
  <c r="AA8" i="8"/>
  <c r="Z8" i="8"/>
  <c r="Y8" i="8"/>
  <c r="X8" i="8"/>
  <c r="W8" i="8"/>
  <c r="AB7" i="8"/>
  <c r="AA7" i="8"/>
  <c r="Z7" i="8"/>
  <c r="Y7" i="8"/>
  <c r="X7" i="8"/>
  <c r="W7" i="8"/>
  <c r="AF8" i="8"/>
  <c r="AE8" i="8"/>
  <c r="AD8" i="8"/>
  <c r="AC8" i="8"/>
  <c r="AF7" i="8"/>
  <c r="AE7" i="8"/>
  <c r="AD7" i="8"/>
  <c r="AC7" i="8"/>
  <c r="AG8" i="8"/>
  <c r="AG7" i="8"/>
  <c r="E4" i="10"/>
  <c r="D4" i="10"/>
  <c r="C4" i="10"/>
  <c r="E3" i="10"/>
  <c r="D3" i="10"/>
  <c r="C3" i="10"/>
  <c r="F4" i="10"/>
  <c r="F3" i="10"/>
  <c r="AJ65" i="8" l="1"/>
  <c r="V10" i="10"/>
  <c r="AC8" i="9"/>
  <c r="X10" i="10"/>
  <c r="X10" i="8"/>
  <c r="Z10" i="8"/>
  <c r="Y10" i="8"/>
  <c r="W10" i="8"/>
  <c r="AA10" i="8"/>
  <c r="AC10" i="8"/>
  <c r="AD10" i="8"/>
  <c r="AB10" i="8"/>
  <c r="AG10" i="8"/>
  <c r="AF10" i="8"/>
  <c r="AE10" i="8"/>
  <c r="J14" i="8"/>
  <c r="J15" i="8" s="1"/>
  <c r="L14" i="8"/>
  <c r="L20" i="8" s="1"/>
  <c r="L26" i="8" s="1"/>
  <c r="L30" i="8" s="1"/>
  <c r="I14" i="8"/>
  <c r="I15" i="8" s="1"/>
  <c r="H14" i="8"/>
  <c r="H15" i="8" s="1"/>
  <c r="M14" i="8"/>
  <c r="M20" i="8" s="1"/>
  <c r="R14" i="8"/>
  <c r="R20" i="8" s="1"/>
  <c r="AJ44" i="8"/>
  <c r="AJ45" i="8"/>
  <c r="AJ59" i="8"/>
  <c r="AJ66" i="8"/>
  <c r="AJ60" i="8"/>
  <c r="AJ46" i="8"/>
  <c r="C61" i="9"/>
  <c r="AJ69" i="8"/>
  <c r="W65" i="8"/>
  <c r="AJ50" i="8"/>
  <c r="AJ70" i="8"/>
  <c r="AC45" i="9"/>
  <c r="AJ51" i="8"/>
  <c r="AJ71" i="8"/>
  <c r="AJ52" i="8"/>
  <c r="AJ72" i="8"/>
  <c r="AJ56" i="8"/>
  <c r="AJ57" i="8"/>
  <c r="AC42" i="9"/>
  <c r="AJ58" i="8"/>
  <c r="AJ64" i="8"/>
  <c r="W64" i="8"/>
  <c r="AA64" i="8"/>
  <c r="AE64" i="8"/>
  <c r="Z18" i="8"/>
  <c r="W21" i="9"/>
  <c r="W46" i="8"/>
  <c r="V57" i="9"/>
  <c r="AA46" i="8"/>
  <c r="Z57" i="9"/>
  <c r="AE45" i="8"/>
  <c r="AD52" i="9"/>
  <c r="X96" i="8"/>
  <c r="U72" i="9"/>
  <c r="W72" i="9"/>
  <c r="W52" i="8"/>
  <c r="AE46" i="8"/>
  <c r="AD57" i="9"/>
  <c r="AG17" i="8"/>
  <c r="Z19" i="8"/>
  <c r="W22" i="9"/>
  <c r="R67" i="8"/>
  <c r="AD19" i="8"/>
  <c r="AA72" i="9"/>
  <c r="W56" i="8"/>
  <c r="V58" i="9"/>
  <c r="AB17" i="8"/>
  <c r="AB19" i="9"/>
  <c r="AG19" i="8"/>
  <c r="AD22" i="9"/>
  <c r="AE52" i="8"/>
  <c r="AD18" i="8"/>
  <c r="AC21" i="9"/>
  <c r="AG72" i="9"/>
  <c r="AF135" i="8"/>
  <c r="W45" i="8"/>
  <c r="X72" i="9"/>
  <c r="Y72" i="9"/>
  <c r="AA52" i="8"/>
  <c r="AE56" i="8"/>
  <c r="AD58" i="9"/>
  <c r="AG18" i="8"/>
  <c r="AG21" i="9"/>
  <c r="AB72" i="9"/>
  <c r="AC72" i="9"/>
  <c r="W44" i="8"/>
  <c r="AA44" i="8"/>
  <c r="L54" i="9"/>
  <c r="AA56" i="8"/>
  <c r="Z58" i="9"/>
  <c r="Z17" i="8"/>
  <c r="V19" i="9"/>
  <c r="U47" i="8"/>
  <c r="U53" i="8" s="1"/>
  <c r="O109" i="8"/>
  <c r="K109" i="8"/>
  <c r="J53" i="8"/>
  <c r="T47" i="8"/>
  <c r="T53" i="8" s="1"/>
  <c r="U58" i="8"/>
  <c r="U61" i="8" s="1"/>
  <c r="U67" i="8" s="1"/>
  <c r="AF61" i="8"/>
  <c r="T58" i="8"/>
  <c r="Y10" i="10"/>
  <c r="Z10" i="10"/>
  <c r="AB10" i="10" s="1"/>
  <c r="AG61" i="8"/>
  <c r="AH61" i="8"/>
  <c r="AD61" i="8"/>
  <c r="K61" i="8"/>
  <c r="O61" i="8"/>
  <c r="V87" i="8"/>
  <c r="V96" i="8"/>
  <c r="V135" i="8"/>
  <c r="T126" i="8"/>
  <c r="U73" i="8"/>
  <c r="V19" i="8"/>
  <c r="AG70" i="9"/>
  <c r="V97" i="8"/>
  <c r="T73" i="8"/>
  <c r="V47" i="8"/>
  <c r="V53" i="8" s="1"/>
  <c r="V73" i="8"/>
  <c r="T19" i="8"/>
  <c r="U22" i="9"/>
  <c r="T11" i="8"/>
  <c r="T14" i="8" s="1"/>
  <c r="U11" i="8"/>
  <c r="U14" i="8" s="1"/>
  <c r="T17" i="8"/>
  <c r="T18" i="8"/>
  <c r="T57" i="8"/>
  <c r="T87" i="8"/>
  <c r="T96" i="8"/>
  <c r="T97" i="8"/>
  <c r="T135" i="8"/>
  <c r="V11" i="8"/>
  <c r="V14" i="8" s="1"/>
  <c r="U17" i="8"/>
  <c r="U18" i="8"/>
  <c r="U87" i="8"/>
  <c r="U96" i="8"/>
  <c r="U97" i="8"/>
  <c r="U126" i="8"/>
  <c r="U135" i="8"/>
  <c r="V57" i="8"/>
  <c r="V61" i="8" s="1"/>
  <c r="V67" i="8" s="1"/>
  <c r="T40" i="8"/>
  <c r="T41" i="8"/>
  <c r="U40" i="8"/>
  <c r="U41" i="8"/>
  <c r="V40" i="8"/>
  <c r="V41" i="8"/>
  <c r="V126" i="8"/>
  <c r="AD100" i="8"/>
  <c r="AA100" i="8"/>
  <c r="AB100" i="8"/>
  <c r="AF100" i="8"/>
  <c r="AC100" i="8"/>
  <c r="U100" i="8"/>
  <c r="W99" i="8"/>
  <c r="Z99" i="8"/>
  <c r="Y99" i="8"/>
  <c r="X99" i="8"/>
  <c r="AB99" i="8"/>
  <c r="U99" i="8"/>
  <c r="AH99" i="8"/>
  <c r="AA99" i="8"/>
  <c r="AC99" i="8"/>
  <c r="J67" i="8"/>
  <c r="AH96" i="8"/>
  <c r="AH98" i="8"/>
  <c r="W19" i="8"/>
  <c r="AH19" i="8"/>
  <c r="AF19" i="8"/>
  <c r="X19" i="8"/>
  <c r="Y19" i="8"/>
  <c r="AE19" i="8"/>
  <c r="AA19" i="8"/>
  <c r="AB19" i="8"/>
  <c r="AC19" i="8"/>
  <c r="R47" i="8"/>
  <c r="AH73" i="8"/>
  <c r="AH47" i="8"/>
  <c r="AH10" i="8"/>
  <c r="I67" i="8"/>
  <c r="AH17" i="8"/>
  <c r="AH18" i="8"/>
  <c r="AH97" i="8"/>
  <c r="AH40" i="8"/>
  <c r="AH41" i="8"/>
  <c r="AA59" i="8"/>
  <c r="Z70" i="9"/>
  <c r="W59" i="8"/>
  <c r="AE59" i="8"/>
  <c r="V70" i="9"/>
  <c r="H67" i="8"/>
  <c r="J70" i="9"/>
  <c r="I70" i="9"/>
  <c r="Q70" i="9"/>
  <c r="K70" i="9"/>
  <c r="M70" i="9"/>
  <c r="N70" i="9"/>
  <c r="AB70" i="9"/>
  <c r="U70" i="9"/>
  <c r="AC70" i="9"/>
  <c r="Y70" i="9"/>
  <c r="AE70" i="9"/>
  <c r="AA70" i="9"/>
  <c r="X70" i="9"/>
  <c r="W70" i="9"/>
  <c r="AD69" i="9"/>
  <c r="I47" i="8"/>
  <c r="I53" i="8" s="1"/>
  <c r="C119" i="8"/>
  <c r="Q119" i="8"/>
  <c r="L119" i="8"/>
  <c r="M119" i="8"/>
  <c r="Q47" i="8"/>
  <c r="Q53" i="8" s="1"/>
  <c r="N47" i="8"/>
  <c r="N53" i="8" s="1"/>
  <c r="H47" i="8"/>
  <c r="H53" i="8" s="1"/>
  <c r="M47" i="8"/>
  <c r="M53" i="8" s="1"/>
  <c r="L47" i="8"/>
  <c r="L53" i="8" s="1"/>
  <c r="F67" i="8"/>
  <c r="AD135" i="8"/>
  <c r="U21" i="9"/>
  <c r="AB54" i="9"/>
  <c r="X26" i="9"/>
  <c r="U54" i="9"/>
  <c r="Y61" i="9"/>
  <c r="AG98" i="8"/>
  <c r="AA54" i="9"/>
  <c r="U35" i="9"/>
  <c r="U61" i="9"/>
  <c r="X54" i="9"/>
  <c r="W54" i="9"/>
  <c r="Y54" i="9"/>
  <c r="U19" i="9"/>
  <c r="AG96" i="8"/>
  <c r="AD96" i="8"/>
  <c r="Z87" i="8"/>
  <c r="AE135" i="8"/>
  <c r="AD97" i="8"/>
  <c r="AB135" i="8"/>
  <c r="AC135" i="8"/>
  <c r="Z98" i="8"/>
  <c r="AA135" i="8"/>
  <c r="X87" i="8"/>
  <c r="W87" i="8"/>
  <c r="W97" i="8"/>
  <c r="Y98" i="8"/>
  <c r="Y87" i="8"/>
  <c r="Z96" i="8"/>
  <c r="AF97" i="8"/>
  <c r="AA96" i="8"/>
  <c r="AC98" i="8"/>
  <c r="AB96" i="8"/>
  <c r="Y97" i="8"/>
  <c r="AG97" i="8"/>
  <c r="AD98" i="8"/>
  <c r="AC96" i="8"/>
  <c r="Z97" i="8"/>
  <c r="W98" i="8"/>
  <c r="AE98" i="8"/>
  <c r="X98" i="8"/>
  <c r="AF98" i="8"/>
  <c r="W96" i="8"/>
  <c r="AE96" i="8"/>
  <c r="AF96" i="8"/>
  <c r="Y96" i="8"/>
  <c r="AA98" i="8"/>
  <c r="W17" i="8"/>
  <c r="K11" i="8"/>
  <c r="K14" i="8" s="1"/>
  <c r="Y18" i="8"/>
  <c r="W18" i="8"/>
  <c r="X18" i="8"/>
  <c r="AE18" i="8"/>
  <c r="AF18" i="8"/>
  <c r="AC17" i="8"/>
  <c r="AD17" i="8"/>
  <c r="AA17" i="8"/>
  <c r="AE17" i="8"/>
  <c r="AF17" i="8"/>
  <c r="AA18" i="8"/>
  <c r="AB18" i="8"/>
  <c r="AC18" i="8"/>
  <c r="X17" i="8"/>
  <c r="Y17" i="8"/>
  <c r="K73" i="8"/>
  <c r="L72" i="9" s="1"/>
  <c r="K47" i="8"/>
  <c r="K53" i="8" s="1"/>
  <c r="O47" i="8"/>
  <c r="O53" i="8" s="1"/>
  <c r="AA45" i="8"/>
  <c r="AE44" i="8"/>
  <c r="J20" i="8" l="1"/>
  <c r="J26" i="8" s="1"/>
  <c r="J30" i="8" s="1"/>
  <c r="J84" i="8" s="1"/>
  <c r="L84" i="8"/>
  <c r="L34" i="8"/>
  <c r="L37" i="8"/>
  <c r="R74" i="8"/>
  <c r="AG62" i="9"/>
  <c r="U6" i="9"/>
  <c r="AE9" i="9"/>
  <c r="AF9" i="9"/>
  <c r="AD9" i="9"/>
  <c r="AG9" i="9"/>
  <c r="AI9" i="9" s="1"/>
  <c r="AE8" i="9"/>
  <c r="AF8" i="9"/>
  <c r="AG8" i="9"/>
  <c r="AI8" i="9" s="1"/>
  <c r="AD8" i="9"/>
  <c r="AD7" i="9"/>
  <c r="AE7" i="9"/>
  <c r="AF7" i="9"/>
  <c r="AG7" i="9"/>
  <c r="AI7" i="9" s="1"/>
  <c r="R14" i="10"/>
  <c r="R15" i="10" s="1"/>
  <c r="R15" i="8"/>
  <c r="I20" i="8"/>
  <c r="I26" i="8" s="1"/>
  <c r="M15" i="8"/>
  <c r="L15" i="8"/>
  <c r="R21" i="8"/>
  <c r="R26" i="8"/>
  <c r="R30" i="8" s="1"/>
  <c r="H20" i="8"/>
  <c r="AE61" i="8"/>
  <c r="AJ104" i="8"/>
  <c r="AJ108" i="8"/>
  <c r="AJ97" i="8"/>
  <c r="AJ17" i="8"/>
  <c r="AJ112" i="8"/>
  <c r="AF45" i="9"/>
  <c r="AG45" i="9"/>
  <c r="AD45" i="9"/>
  <c r="AE45" i="9"/>
  <c r="AD42" i="9"/>
  <c r="AF42" i="9"/>
  <c r="AE42" i="9"/>
  <c r="AG42" i="9"/>
  <c r="AH53" i="8"/>
  <c r="AJ98" i="8"/>
  <c r="AH67" i="8"/>
  <c r="AH74" i="8" s="1"/>
  <c r="AJ61" i="8"/>
  <c r="AJ107" i="8"/>
  <c r="AJ96" i="8"/>
  <c r="AJ29" i="8"/>
  <c r="AJ25" i="8"/>
  <c r="AJ23" i="8"/>
  <c r="AJ19" i="8"/>
  <c r="AJ18" i="8"/>
  <c r="AH11" i="8"/>
  <c r="AH14" i="8" s="1"/>
  <c r="AJ10" i="8"/>
  <c r="P54" i="9"/>
  <c r="AD51" i="9"/>
  <c r="AD54" i="9" s="1"/>
  <c r="AB73" i="9"/>
  <c r="AB82" i="9" s="1"/>
  <c r="AA73" i="9"/>
  <c r="AA82" i="9" s="1"/>
  <c r="S73" i="9"/>
  <c r="S82" i="9" s="1"/>
  <c r="AG36" i="9"/>
  <c r="AC36" i="9"/>
  <c r="V72" i="9"/>
  <c r="V73" i="9" s="1"/>
  <c r="V82" i="9" s="1"/>
  <c r="Y73" i="9"/>
  <c r="Y82" i="9" s="1"/>
  <c r="W62" i="9"/>
  <c r="Y62" i="9"/>
  <c r="AC73" i="9"/>
  <c r="AC82" i="9" s="1"/>
  <c r="I74" i="8"/>
  <c r="I76" i="8" s="1"/>
  <c r="X62" i="9"/>
  <c r="U62" i="9"/>
  <c r="U73" i="9"/>
  <c r="U82" i="9" s="1"/>
  <c r="AG73" i="9"/>
  <c r="AG82" i="9" s="1"/>
  <c r="Z72" i="9"/>
  <c r="Z73" i="9" s="1"/>
  <c r="Z82" i="9" s="1"/>
  <c r="V61" i="9"/>
  <c r="X73" i="9"/>
  <c r="X82" i="9" s="1"/>
  <c r="W73" i="9"/>
  <c r="W82" i="9" s="1"/>
  <c r="T61" i="8"/>
  <c r="T67" i="8" s="1"/>
  <c r="T74" i="8" s="1"/>
  <c r="T76" i="8" s="1"/>
  <c r="K20" i="8"/>
  <c r="V22" i="9"/>
  <c r="AI21" i="9"/>
  <c r="AC22" i="9"/>
  <c r="T15" i="8"/>
  <c r="V20" i="8"/>
  <c r="V26" i="8" s="1"/>
  <c r="AA22" i="9"/>
  <c r="AB22" i="9"/>
  <c r="Z22" i="9"/>
  <c r="U74" i="8"/>
  <c r="U76" i="8" s="1"/>
  <c r="V74" i="8"/>
  <c r="V76" i="8" s="1"/>
  <c r="V15" i="8"/>
  <c r="Y22" i="9"/>
  <c r="X22" i="9"/>
  <c r="AF19" i="9"/>
  <c r="AG19" i="9"/>
  <c r="R53" i="8"/>
  <c r="AG61" i="9"/>
  <c r="AG34" i="9"/>
  <c r="AG22" i="9"/>
  <c r="AE22" i="9"/>
  <c r="AF22" i="9"/>
  <c r="T109" i="8"/>
  <c r="V98" i="8"/>
  <c r="V99" i="8"/>
  <c r="T99" i="8"/>
  <c r="V100" i="8"/>
  <c r="T100" i="8"/>
  <c r="AE126" i="8"/>
  <c r="AG126" i="8"/>
  <c r="AH126" i="8"/>
  <c r="Y126" i="8"/>
  <c r="AF126" i="8"/>
  <c r="J74" i="8"/>
  <c r="J76" i="8" s="1"/>
  <c r="AD99" i="8"/>
  <c r="AJ99" i="8" s="1"/>
  <c r="R119" i="8"/>
  <c r="AE100" i="8"/>
  <c r="Z100" i="8"/>
  <c r="Y100" i="8"/>
  <c r="X100" i="8"/>
  <c r="AH100" i="8"/>
  <c r="AJ100" i="8" s="1"/>
  <c r="AG100" i="8"/>
  <c r="W100" i="8"/>
  <c r="AF99" i="8"/>
  <c r="AE99" i="8"/>
  <c r="AG99" i="8"/>
  <c r="H74" i="8"/>
  <c r="H76" i="8" s="1"/>
  <c r="L70" i="9"/>
  <c r="AD70" i="9"/>
  <c r="P70" i="9"/>
  <c r="AF70" i="9"/>
  <c r="R70" i="9"/>
  <c r="AB30" i="9"/>
  <c r="V40" i="9"/>
  <c r="N119" i="8"/>
  <c r="U40" i="9"/>
  <c r="AG40" i="9"/>
  <c r="V51" i="9"/>
  <c r="V54" i="9" s="1"/>
  <c r="Z51" i="9"/>
  <c r="Z54" i="9" s="1"/>
  <c r="X61" i="9"/>
  <c r="AF61" i="9"/>
  <c r="AC61" i="9"/>
  <c r="AB61" i="9"/>
  <c r="W61" i="9"/>
  <c r="AA61" i="9"/>
  <c r="M67" i="8"/>
  <c r="L67" i="8"/>
  <c r="K67" i="8"/>
  <c r="N67" i="8"/>
  <c r="AE19" i="9"/>
  <c r="Z21" i="9"/>
  <c r="U30" i="9"/>
  <c r="AD19" i="9"/>
  <c r="U26" i="9"/>
  <c r="AA21" i="9"/>
  <c r="W26" i="9"/>
  <c r="AB21" i="9"/>
  <c r="AA35" i="9"/>
  <c r="Y37" i="9"/>
  <c r="AC19" i="9"/>
  <c r="AD35" i="9"/>
  <c r="AE34" i="9"/>
  <c r="AG37" i="9"/>
  <c r="Y21" i="9"/>
  <c r="X21" i="9"/>
  <c r="V21" i="9"/>
  <c r="Z61" i="9"/>
  <c r="U37" i="9"/>
  <c r="AB35" i="9"/>
  <c r="Y36" i="9"/>
  <c r="Z135" i="8"/>
  <c r="AE21" i="9"/>
  <c r="AD21" i="9"/>
  <c r="AF21" i="9"/>
  <c r="V26" i="9"/>
  <c r="AF34" i="9"/>
  <c r="AD61" i="9"/>
  <c r="Y19" i="9"/>
  <c r="X19" i="9"/>
  <c r="AA19" i="9"/>
  <c r="Z19" i="9"/>
  <c r="AC35" i="9"/>
  <c r="AD34" i="9"/>
  <c r="W19" i="9"/>
  <c r="AH87" i="8"/>
  <c r="Z35" i="9"/>
  <c r="Y135" i="8"/>
  <c r="AA97" i="8"/>
  <c r="AC97" i="8"/>
  <c r="AB97" i="8"/>
  <c r="W135" i="8"/>
  <c r="X135" i="8"/>
  <c r="Y34" i="9"/>
  <c r="M21" i="8"/>
  <c r="M26" i="8"/>
  <c r="L21" i="8"/>
  <c r="J21" i="8"/>
  <c r="J37" i="8" l="1"/>
  <c r="J34" i="8"/>
  <c r="I21" i="8"/>
  <c r="R76" i="8"/>
  <c r="R84" i="8"/>
  <c r="R34" i="8"/>
  <c r="R37" i="8"/>
  <c r="V62" i="9"/>
  <c r="U11" i="9"/>
  <c r="U16" i="9" s="1"/>
  <c r="U23" i="9" s="1"/>
  <c r="U27" i="9" s="1"/>
  <c r="S16" i="9"/>
  <c r="S23" i="9" s="1"/>
  <c r="S27" i="9" s="1"/>
  <c r="R27" i="8"/>
  <c r="H26" i="8"/>
  <c r="H21" i="8"/>
  <c r="AJ24" i="8"/>
  <c r="AH76" i="8"/>
  <c r="AH20" i="8"/>
  <c r="AH21" i="8" s="1"/>
  <c r="AE36" i="9"/>
  <c r="AF36" i="9"/>
  <c r="AD36" i="9"/>
  <c r="AI36" i="9"/>
  <c r="AA36" i="9"/>
  <c r="AB36" i="9"/>
  <c r="Z36" i="9"/>
  <c r="AF35" i="9"/>
  <c r="AG135" i="8"/>
  <c r="Z62" i="9"/>
  <c r="L74" i="8"/>
  <c r="L76" i="8" s="1"/>
  <c r="AA62" i="9"/>
  <c r="AE35" i="9"/>
  <c r="AC62" i="9"/>
  <c r="M74" i="8"/>
  <c r="M76" i="8" s="1"/>
  <c r="AB62" i="9"/>
  <c r="V6" i="9"/>
  <c r="V11" i="9" s="1"/>
  <c r="AB6" i="9"/>
  <c r="K15" i="8"/>
  <c r="AE109" i="8"/>
  <c r="AG109" i="8"/>
  <c r="AF109" i="8"/>
  <c r="AH109" i="8"/>
  <c r="AI22" i="9"/>
  <c r="V21" i="8"/>
  <c r="T20" i="8"/>
  <c r="T26" i="8" s="1"/>
  <c r="T30" i="8" s="1"/>
  <c r="U98" i="8"/>
  <c r="AI19" i="9"/>
  <c r="U109" i="8"/>
  <c r="T98" i="8"/>
  <c r="V119" i="8"/>
  <c r="U15" i="8"/>
  <c r="U20" i="8"/>
  <c r="V109" i="8"/>
  <c r="V30" i="8"/>
  <c r="V27" i="8"/>
  <c r="X126" i="8"/>
  <c r="Y119" i="8"/>
  <c r="AC126" i="8"/>
  <c r="Z126" i="8"/>
  <c r="W126" i="8"/>
  <c r="AF37" i="9"/>
  <c r="M27" i="8"/>
  <c r="M30" i="8"/>
  <c r="I30" i="8"/>
  <c r="AH15" i="8"/>
  <c r="AG119" i="8"/>
  <c r="AH119" i="8"/>
  <c r="R31" i="8"/>
  <c r="Z30" i="9"/>
  <c r="AC109" i="8"/>
  <c r="AA30" i="9"/>
  <c r="AC30" i="9"/>
  <c r="AE119" i="8"/>
  <c r="AB41" i="9"/>
  <c r="AA41" i="9"/>
  <c r="AC41" i="9"/>
  <c r="Z41" i="9"/>
  <c r="U41" i="9"/>
  <c r="Y41" i="9"/>
  <c r="W119" i="8"/>
  <c r="AE40" i="9"/>
  <c r="AF40" i="9"/>
  <c r="Y40" i="9"/>
  <c r="AC119" i="8"/>
  <c r="X119" i="8"/>
  <c r="AD40" i="9"/>
  <c r="W40" i="9"/>
  <c r="X40" i="9"/>
  <c r="AF119" i="8"/>
  <c r="O119" i="8"/>
  <c r="N74" i="8"/>
  <c r="N76" i="8" s="1"/>
  <c r="K74" i="8"/>
  <c r="K76" i="8" s="1"/>
  <c r="AC87" i="8"/>
  <c r="AE37" i="9"/>
  <c r="AA87" i="8"/>
  <c r="AD87" i="8"/>
  <c r="AJ87" i="8" s="1"/>
  <c r="AB87" i="8"/>
  <c r="AD37" i="9"/>
  <c r="AD109" i="8"/>
  <c r="AB109" i="8"/>
  <c r="AA109" i="8"/>
  <c r="X34" i="9"/>
  <c r="W34" i="9"/>
  <c r="U34" i="9"/>
  <c r="V34" i="9"/>
  <c r="X36" i="9"/>
  <c r="W36" i="9"/>
  <c r="U36" i="9"/>
  <c r="V36" i="9"/>
  <c r="X37" i="9"/>
  <c r="V37" i="9"/>
  <c r="W37" i="9"/>
  <c r="Y35" i="9"/>
  <c r="W35" i="9"/>
  <c r="X35" i="9"/>
  <c r="V35" i="9"/>
  <c r="AB34" i="9"/>
  <c r="AA34" i="9"/>
  <c r="AC34" i="9"/>
  <c r="AI34" i="9" s="1"/>
  <c r="Z34" i="9"/>
  <c r="AG87" i="8"/>
  <c r="AF87" i="8"/>
  <c r="AE87" i="8"/>
  <c r="AC37" i="9"/>
  <c r="AI37" i="9" s="1"/>
  <c r="Z37" i="9"/>
  <c r="AA37" i="9"/>
  <c r="AB26" i="9"/>
  <c r="Z26" i="9"/>
  <c r="AA26" i="9"/>
  <c r="Y26" i="9"/>
  <c r="AC26" i="9"/>
  <c r="AB37" i="9"/>
  <c r="Z109" i="8"/>
  <c r="X109" i="8"/>
  <c r="Y109" i="8"/>
  <c r="W109" i="8"/>
  <c r="K21" i="8"/>
  <c r="K26" i="8"/>
  <c r="I27" i="8"/>
  <c r="J101" i="8"/>
  <c r="J27" i="8"/>
  <c r="L101" i="8"/>
  <c r="L128" i="8" s="1"/>
  <c r="L27" i="8"/>
  <c r="V37" i="8" l="1"/>
  <c r="V34" i="8"/>
  <c r="T37" i="8"/>
  <c r="T34" i="8"/>
  <c r="I37" i="8"/>
  <c r="I34" i="8"/>
  <c r="M84" i="8"/>
  <c r="M101" i="8" s="1"/>
  <c r="M128" i="8" s="1"/>
  <c r="M37" i="8"/>
  <c r="M34" i="8"/>
  <c r="AB11" i="9"/>
  <c r="AB16" i="9" s="1"/>
  <c r="S17" i="9"/>
  <c r="S24" i="9"/>
  <c r="V16" i="9"/>
  <c r="V23" i="9" s="1"/>
  <c r="V27" i="9" s="1"/>
  <c r="Y6" i="9"/>
  <c r="AC6" i="9"/>
  <c r="AA6" i="9"/>
  <c r="Z6" i="9"/>
  <c r="Z11" i="9" s="1"/>
  <c r="X6" i="9"/>
  <c r="Y9" i="10"/>
  <c r="W6" i="9"/>
  <c r="H30" i="8"/>
  <c r="H27" i="8"/>
  <c r="AH26" i="8"/>
  <c r="AH30" i="8" s="1"/>
  <c r="AJ33" i="8"/>
  <c r="AJ109" i="8"/>
  <c r="AG35" i="9"/>
  <c r="AI35" i="9" s="1"/>
  <c r="AH135" i="8"/>
  <c r="I84" i="8"/>
  <c r="I101" i="8" s="1"/>
  <c r="I128" i="8" s="1"/>
  <c r="Z9" i="10"/>
  <c r="W9" i="10"/>
  <c r="X9" i="10"/>
  <c r="V9" i="10"/>
  <c r="T119" i="8"/>
  <c r="T27" i="8"/>
  <c r="T21" i="8"/>
  <c r="U119" i="8"/>
  <c r="AF30" i="9"/>
  <c r="AG30" i="9"/>
  <c r="AI30" i="9" s="1"/>
  <c r="AF26" i="9"/>
  <c r="AG26" i="9"/>
  <c r="AF41" i="9"/>
  <c r="AG41" i="9"/>
  <c r="S31" i="9"/>
  <c r="S28" i="9"/>
  <c r="U21" i="8"/>
  <c r="U26" i="8"/>
  <c r="T31" i="8"/>
  <c r="V31" i="8"/>
  <c r="AA126" i="8"/>
  <c r="Z119" i="8"/>
  <c r="AD126" i="8"/>
  <c r="AB126" i="8"/>
  <c r="AE30" i="9"/>
  <c r="I31" i="8"/>
  <c r="K27" i="8"/>
  <c r="K30" i="8"/>
  <c r="AD30" i="9"/>
  <c r="Y30" i="9"/>
  <c r="X30" i="9"/>
  <c r="W30" i="9"/>
  <c r="V30" i="9"/>
  <c r="R101" i="8"/>
  <c r="R128" i="8" s="1"/>
  <c r="AA119" i="8"/>
  <c r="J128" i="8"/>
  <c r="AD41" i="9"/>
  <c r="AE41" i="9"/>
  <c r="V41" i="9"/>
  <c r="W41" i="9"/>
  <c r="K119" i="8"/>
  <c r="AD119" i="8"/>
  <c r="AJ119" i="8" s="1"/>
  <c r="AC40" i="9"/>
  <c r="AB119" i="8"/>
  <c r="X41" i="9"/>
  <c r="U17" i="9"/>
  <c r="AE26" i="9"/>
  <c r="AD26" i="9"/>
  <c r="M31" i="8"/>
  <c r="J31" i="8"/>
  <c r="L31" i="8"/>
  <c r="AH31" i="8" l="1"/>
  <c r="AH34" i="8"/>
  <c r="AH37" i="8"/>
  <c r="K84" i="8"/>
  <c r="K34" i="8"/>
  <c r="K37" i="8"/>
  <c r="H37" i="8"/>
  <c r="H34" i="8"/>
  <c r="AH27" i="8"/>
  <c r="W11" i="9"/>
  <c r="W16" i="9" s="1"/>
  <c r="X11" i="9"/>
  <c r="AB12" i="9" s="1"/>
  <c r="AC11" i="9"/>
  <c r="AC16" i="9" s="1"/>
  <c r="Y11" i="9"/>
  <c r="Y16" i="9" s="1"/>
  <c r="AA11" i="9"/>
  <c r="AA16" i="9" s="1"/>
  <c r="V17" i="9"/>
  <c r="AI26" i="9"/>
  <c r="Z16" i="9"/>
  <c r="Z23" i="9" s="1"/>
  <c r="Z27" i="9" s="1"/>
  <c r="Z12" i="9"/>
  <c r="AD6" i="9"/>
  <c r="AF6" i="9"/>
  <c r="AF11" i="9" s="1"/>
  <c r="AG6" i="9"/>
  <c r="AG11" i="9" s="1"/>
  <c r="AE6" i="9"/>
  <c r="AE11" i="9" s="1"/>
  <c r="H84" i="8"/>
  <c r="H101" i="8" s="1"/>
  <c r="H128" i="8" s="1"/>
  <c r="H31" i="8"/>
  <c r="AB17" i="9"/>
  <c r="AB23" i="9"/>
  <c r="S32" i="9"/>
  <c r="S38" i="9"/>
  <c r="S46" i="9" s="1"/>
  <c r="U27" i="8"/>
  <c r="U30" i="8"/>
  <c r="V31" i="9"/>
  <c r="V79" i="9" s="1"/>
  <c r="V24" i="9"/>
  <c r="V28" i="9"/>
  <c r="Z40" i="9"/>
  <c r="AA40" i="9"/>
  <c r="AB40" i="9"/>
  <c r="U31" i="9"/>
  <c r="U79" i="9" s="1"/>
  <c r="U24" i="9"/>
  <c r="K31" i="8"/>
  <c r="U37" i="8" l="1"/>
  <c r="U34" i="8"/>
  <c r="AA12" i="9"/>
  <c r="AC12" i="9"/>
  <c r="Y12" i="9"/>
  <c r="X16" i="9"/>
  <c r="X17" i="9" s="1"/>
  <c r="AA23" i="9"/>
  <c r="AA27" i="9" s="1"/>
  <c r="AA31" i="9" s="1"/>
  <c r="AA80" i="9" s="1" a="1"/>
  <c r="AA80" i="9" s="1"/>
  <c r="AA17" i="9"/>
  <c r="AC23" i="9"/>
  <c r="AC24" i="9" s="1"/>
  <c r="AC17" i="9"/>
  <c r="Y23" i="9"/>
  <c r="Y24" i="9" s="1"/>
  <c r="Y17" i="9"/>
  <c r="W17" i="9"/>
  <c r="W23" i="9"/>
  <c r="W27" i="9" s="1"/>
  <c r="W31" i="9" s="1"/>
  <c r="AD11" i="9"/>
  <c r="AD16" i="9" s="1"/>
  <c r="Z17" i="9"/>
  <c r="AB24" i="9"/>
  <c r="AB27" i="9"/>
  <c r="AB31" i="9" s="1"/>
  <c r="AB79" i="9" s="1"/>
  <c r="Z24" i="9"/>
  <c r="AE12" i="9"/>
  <c r="AE16" i="9"/>
  <c r="AE23" i="9" s="1"/>
  <c r="AE27" i="9" s="1"/>
  <c r="X23" i="9"/>
  <c r="X27" i="9" s="1"/>
  <c r="AI6" i="9"/>
  <c r="AG16" i="9"/>
  <c r="S47" i="9"/>
  <c r="U31" i="8"/>
  <c r="V32" i="9"/>
  <c r="V80" i="9" a="1"/>
  <c r="V80" i="9" s="1"/>
  <c r="V81" i="9" a="1"/>
  <c r="V81" i="9" s="1"/>
  <c r="V77" i="9"/>
  <c r="V78" i="9"/>
  <c r="V38" i="9"/>
  <c r="Z28" i="9"/>
  <c r="Z31" i="9"/>
  <c r="U28" i="9"/>
  <c r="AA84" i="8"/>
  <c r="K101" i="8"/>
  <c r="K128" i="8" s="1"/>
  <c r="AB84" i="8"/>
  <c r="AC84" i="8"/>
  <c r="AA24" i="9" l="1"/>
  <c r="AC27" i="9"/>
  <c r="AC31" i="9" s="1"/>
  <c r="AC79" i="9" s="1"/>
  <c r="AD12" i="9"/>
  <c r="W24" i="9"/>
  <c r="Y27" i="9"/>
  <c r="Y31" i="9" s="1"/>
  <c r="W28" i="9"/>
  <c r="W79" i="9"/>
  <c r="W38" i="9"/>
  <c r="W78" i="9"/>
  <c r="W81" i="9" a="1"/>
  <c r="W81" i="9" s="1"/>
  <c r="W77" i="9"/>
  <c r="W32" i="9"/>
  <c r="W80" i="9" a="1"/>
  <c r="W80" i="9" s="1"/>
  <c r="AE17" i="9"/>
  <c r="X24" i="9"/>
  <c r="AD23" i="9"/>
  <c r="AD27" i="9" s="1"/>
  <c r="AD17" i="9"/>
  <c r="AI11" i="9"/>
  <c r="AG12" i="9"/>
  <c r="AI12" i="9" s="1"/>
  <c r="AA28" i="9"/>
  <c r="AA77" i="9"/>
  <c r="AA81" i="9" a="1"/>
  <c r="AA81" i="9" s="1"/>
  <c r="AA78" i="9"/>
  <c r="AA32" i="9"/>
  <c r="AA79" i="9"/>
  <c r="AA38" i="9"/>
  <c r="AB81" i="9" a="1"/>
  <c r="AB81" i="9" s="1"/>
  <c r="AB28" i="9"/>
  <c r="AE24" i="9"/>
  <c r="AB128" i="8"/>
  <c r="AC128" i="8"/>
  <c r="AA128" i="8"/>
  <c r="Z81" i="9" a="1"/>
  <c r="Z81" i="9" s="1"/>
  <c r="Z79" i="9"/>
  <c r="Z80" i="9" a="1"/>
  <c r="Z80" i="9" s="1"/>
  <c r="Z78" i="9"/>
  <c r="AB78" i="9"/>
  <c r="AB77" i="9"/>
  <c r="AB80" i="9" a="1"/>
  <c r="AB80" i="9" s="1"/>
  <c r="Z32" i="9"/>
  <c r="AB38" i="9"/>
  <c r="Z38" i="9"/>
  <c r="AB32" i="9"/>
  <c r="Z77" i="9"/>
  <c r="U32" i="9"/>
  <c r="U77" i="9"/>
  <c r="U78" i="9"/>
  <c r="U81" i="9" a="1"/>
  <c r="U81" i="9" s="1"/>
  <c r="U38" i="9"/>
  <c r="U80" i="9" a="1"/>
  <c r="U80" i="9" s="1"/>
  <c r="B81" i="8"/>
  <c r="B80" i="8"/>
  <c r="F81" i="8"/>
  <c r="E81" i="8"/>
  <c r="D81" i="8"/>
  <c r="C81" i="8"/>
  <c r="F80" i="8"/>
  <c r="E80" i="8"/>
  <c r="D80" i="8"/>
  <c r="C80" i="8"/>
  <c r="B41" i="8"/>
  <c r="B40" i="8"/>
  <c r="AG41" i="8"/>
  <c r="AF41" i="8"/>
  <c r="AE41" i="8"/>
  <c r="AC41" i="8"/>
  <c r="AB41" i="8"/>
  <c r="AA41" i="8"/>
  <c r="Y41" i="8"/>
  <c r="X41" i="8"/>
  <c r="W41" i="8"/>
  <c r="AD41" i="8"/>
  <c r="Z41" i="8"/>
  <c r="AG40" i="8"/>
  <c r="AF40" i="8"/>
  <c r="AE40" i="8"/>
  <c r="AD40" i="8"/>
  <c r="AC40" i="8"/>
  <c r="AB40" i="8"/>
  <c r="AA40" i="8"/>
  <c r="Z40" i="8"/>
  <c r="Y40" i="8"/>
  <c r="X40" i="8"/>
  <c r="W40" i="8"/>
  <c r="AC38" i="9" l="1"/>
  <c r="AC32" i="9"/>
  <c r="AC80" i="9" a="1"/>
  <c r="AC80" i="9" s="1"/>
  <c r="AC77" i="9"/>
  <c r="AC78" i="9"/>
  <c r="AC81" i="9" a="1"/>
  <c r="AC81" i="9" s="1"/>
  <c r="AC28" i="9"/>
  <c r="Y28" i="9"/>
  <c r="X31" i="9"/>
  <c r="X28" i="9"/>
  <c r="AG23" i="9"/>
  <c r="AG27" i="9" s="1"/>
  <c r="AG17" i="9"/>
  <c r="AI17" i="9" s="1"/>
  <c r="AI16" i="9"/>
  <c r="AD24" i="9"/>
  <c r="Y79" i="9"/>
  <c r="Y38" i="9"/>
  <c r="Y77" i="9"/>
  <c r="Y80" i="9" a="1"/>
  <c r="Y80" i="9" s="1"/>
  <c r="Y81" i="9" a="1"/>
  <c r="Y81" i="9" s="1"/>
  <c r="Y32" i="9"/>
  <c r="Y78" i="9"/>
  <c r="AE31" i="9"/>
  <c r="AE28" i="9"/>
  <c r="W80" i="8"/>
  <c r="Z80" i="8"/>
  <c r="AA80" i="8"/>
  <c r="AA81" i="8"/>
  <c r="AD80" i="8"/>
  <c r="AE80" i="8"/>
  <c r="Z81" i="8"/>
  <c r="AE81" i="8"/>
  <c r="AF81" i="8"/>
  <c r="AC80" i="8"/>
  <c r="X80" i="8"/>
  <c r="AF80" i="8"/>
  <c r="AC81" i="8"/>
  <c r="AB81" i="8"/>
  <c r="Y80" i="8"/>
  <c r="AG80" i="8"/>
  <c r="AD81" i="8"/>
  <c r="W81" i="8"/>
  <c r="X81" i="8"/>
  <c r="AB80" i="8"/>
  <c r="Y81" i="8"/>
  <c r="AG81" i="8"/>
  <c r="X79" i="9" l="1"/>
  <c r="X77" i="9"/>
  <c r="X78" i="9"/>
  <c r="X32" i="9"/>
  <c r="X81" i="9" a="1"/>
  <c r="X81" i="9" s="1"/>
  <c r="X80" i="9" a="1"/>
  <c r="X80" i="9" s="1"/>
  <c r="X38" i="9"/>
  <c r="AD31" i="9"/>
  <c r="AD28" i="9"/>
  <c r="AG24" i="9"/>
  <c r="AI24" i="9" s="1"/>
  <c r="AI23" i="9"/>
  <c r="AE79" i="9"/>
  <c r="AE32" i="9"/>
  <c r="AE81" i="9" a="1"/>
  <c r="AE81" i="9" s="1"/>
  <c r="AE38" i="9"/>
  <c r="AE80" i="9" a="1"/>
  <c r="AE80" i="9" s="1"/>
  <c r="AE77" i="9"/>
  <c r="AE78" i="9"/>
  <c r="AI27" i="9" l="1"/>
  <c r="AG28" i="9"/>
  <c r="AI28" i="9" s="1"/>
  <c r="AG31" i="9"/>
  <c r="AD79" i="9"/>
  <c r="AD78" i="9"/>
  <c r="AD38" i="9"/>
  <c r="AD80" i="9" a="1"/>
  <c r="AD80" i="9" s="1"/>
  <c r="AD32" i="9"/>
  <c r="AD81" i="9" a="1"/>
  <c r="AD81" i="9" s="1"/>
  <c r="AD77" i="9"/>
  <c r="AG79" i="9" l="1"/>
  <c r="AI31" i="9"/>
  <c r="AG80" i="9" a="1"/>
  <c r="AG80" i="9" s="1"/>
  <c r="AG32" i="9"/>
  <c r="AI32" i="9" s="1"/>
  <c r="AG78" i="9"/>
  <c r="AG77" i="9"/>
  <c r="AG81" i="9" a="1"/>
  <c r="AG81" i="9" s="1"/>
  <c r="AG38" i="9"/>
  <c r="AI38" i="9" s="1"/>
  <c r="E14" i="10" l="1"/>
  <c r="D14" i="10"/>
  <c r="C14" i="10"/>
  <c r="Q14" i="10"/>
  <c r="Q15" i="10" s="1"/>
  <c r="P14" i="10"/>
  <c r="O14" i="10"/>
  <c r="N14" i="10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F14" i="10"/>
  <c r="O73" i="8"/>
  <c r="P72" i="9" s="1"/>
  <c r="Q73" i="8"/>
  <c r="R72" i="9" s="1"/>
  <c r="AF72" i="9" l="1"/>
  <c r="AD72" i="9"/>
  <c r="AD73" i="9" s="1"/>
  <c r="AD82" i="9" s="1"/>
  <c r="P47" i="8"/>
  <c r="P53" i="8" s="1"/>
  <c r="F16" i="9"/>
  <c r="M16" i="9"/>
  <c r="K16" i="9"/>
  <c r="N16" i="9"/>
  <c r="C16" i="9"/>
  <c r="D16" i="9"/>
  <c r="I16" i="9"/>
  <c r="Q16" i="9"/>
  <c r="G16" i="9"/>
  <c r="E16" i="9"/>
  <c r="P16" i="9"/>
  <c r="L16" i="9"/>
  <c r="J16" i="9"/>
  <c r="P73" i="8"/>
  <c r="Q72" i="9" s="1"/>
  <c r="S12" i="9" l="1"/>
  <c r="O16" i="9"/>
  <c r="S13" i="9"/>
  <c r="R16" i="9"/>
  <c r="AE72" i="9"/>
  <c r="AE73" i="9" s="1"/>
  <c r="AE82" i="9" s="1"/>
  <c r="AE61" i="9"/>
  <c r="AF73" i="9"/>
  <c r="AF82" i="9" s="1"/>
  <c r="AF16" i="9"/>
  <c r="AB11" i="8" l="1"/>
  <c r="E47" i="8"/>
  <c r="E53" i="8" s="1"/>
  <c r="D47" i="8"/>
  <c r="D53" i="8" s="1"/>
  <c r="C47" i="8"/>
  <c r="C53" i="8" s="1"/>
  <c r="F47" i="8"/>
  <c r="F53" i="8" s="1"/>
  <c r="AB14" i="8" l="1"/>
  <c r="W61" i="8"/>
  <c r="W67" i="8" s="1"/>
  <c r="W47" i="8"/>
  <c r="W53" i="8" s="1"/>
  <c r="W73" i="8"/>
  <c r="Y73" i="8"/>
  <c r="AC11" i="8"/>
  <c r="AC47" i="8"/>
  <c r="AC53" i="8" s="1"/>
  <c r="AC73" i="8"/>
  <c r="Z73" i="8"/>
  <c r="AA47" i="8"/>
  <c r="AA53" i="8" s="1"/>
  <c r="AC61" i="8"/>
  <c r="AC67" i="8" s="1"/>
  <c r="AB61" i="8"/>
  <c r="AB67" i="8" s="1"/>
  <c r="X61" i="8"/>
  <c r="X67" i="8" s="1"/>
  <c r="Z11" i="8"/>
  <c r="X47" i="8"/>
  <c r="X53" i="8" s="1"/>
  <c r="AB47" i="8"/>
  <c r="AB53" i="8" s="1"/>
  <c r="AA73" i="8"/>
  <c r="AA11" i="8"/>
  <c r="Y47" i="8"/>
  <c r="Y53" i="8" s="1"/>
  <c r="Y61" i="8"/>
  <c r="Y67" i="8" s="1"/>
  <c r="AA61" i="8"/>
  <c r="AA67" i="8" s="1"/>
  <c r="AB73" i="8"/>
  <c r="X73" i="8"/>
  <c r="AE73" i="8"/>
  <c r="AE47" i="8"/>
  <c r="AE53" i="8" s="1"/>
  <c r="AF73" i="8"/>
  <c r="AE11" i="8"/>
  <c r="AE14" i="8" s="1"/>
  <c r="AE67" i="8"/>
  <c r="AF67" i="8"/>
  <c r="AD11" i="8"/>
  <c r="AD14" i="8" s="1"/>
  <c r="AF11" i="8"/>
  <c r="AF14" i="8" s="1"/>
  <c r="AF47" i="8"/>
  <c r="AF53" i="8" s="1"/>
  <c r="AA14" i="8" l="1"/>
  <c r="Z14" i="8"/>
  <c r="AC14" i="8"/>
  <c r="AJ11" i="8"/>
  <c r="AB20" i="8"/>
  <c r="AB26" i="8" s="1"/>
  <c r="AB30" i="8" s="1"/>
  <c r="AF23" i="9"/>
  <c r="AF27" i="9" s="1"/>
  <c r="V14" i="10"/>
  <c r="V15" i="10" s="1"/>
  <c r="W14" i="10"/>
  <c r="W15" i="10" s="1"/>
  <c r="W74" i="8"/>
  <c r="W76" i="8" s="1"/>
  <c r="C23" i="9"/>
  <c r="C27" i="9" s="1"/>
  <c r="AC74" i="8"/>
  <c r="AC76" i="8" s="1"/>
  <c r="AA74" i="8"/>
  <c r="AA76" i="8" s="1"/>
  <c r="Y74" i="8"/>
  <c r="Y76" i="8" s="1"/>
  <c r="AB74" i="8"/>
  <c r="AB76" i="8" s="1"/>
  <c r="X74" i="8"/>
  <c r="X76" i="8" s="1"/>
  <c r="AB15" i="8"/>
  <c r="AE74" i="8"/>
  <c r="AE76" i="8" s="1"/>
  <c r="AJ14" i="8"/>
  <c r="AF74" i="8"/>
  <c r="AF76" i="8" s="1"/>
  <c r="AB37" i="8" l="1"/>
  <c r="AB34" i="8"/>
  <c r="AD20" i="8"/>
  <c r="Z20" i="8"/>
  <c r="Z26" i="8" s="1"/>
  <c r="Z30" i="8" s="1"/>
  <c r="AE20" i="8"/>
  <c r="AE26" i="8" s="1"/>
  <c r="AE30" i="8" s="1"/>
  <c r="AA20" i="8"/>
  <c r="AA21" i="8" s="1"/>
  <c r="AC20" i="8"/>
  <c r="AC26" i="8" s="1"/>
  <c r="AC30" i="8" s="1"/>
  <c r="AB21" i="8"/>
  <c r="AF20" i="8"/>
  <c r="AF21" i="8" s="1"/>
  <c r="AE15" i="8"/>
  <c r="AD15" i="8"/>
  <c r="AJ15" i="8" s="1"/>
  <c r="AA15" i="8"/>
  <c r="AF15" i="8"/>
  <c r="AC15" i="8"/>
  <c r="AF17" i="9"/>
  <c r="T14" i="10"/>
  <c r="T15" i="10" s="1"/>
  <c r="U14" i="10"/>
  <c r="U15" i="10" s="1"/>
  <c r="X14" i="10"/>
  <c r="X15" i="10" s="1"/>
  <c r="Z14" i="10"/>
  <c r="Z15" i="10" s="1"/>
  <c r="C17" i="9"/>
  <c r="AB27" i="8"/>
  <c r="Z15" i="8"/>
  <c r="AC37" i="8" l="1"/>
  <c r="AC34" i="8"/>
  <c r="AE37" i="8"/>
  <c r="AE34" i="8"/>
  <c r="Z34" i="8"/>
  <c r="Z37" i="8"/>
  <c r="AD26" i="8"/>
  <c r="AD27" i="8" s="1"/>
  <c r="AJ27" i="8" s="1"/>
  <c r="AJ20" i="8"/>
  <c r="C24" i="9"/>
  <c r="C31" i="9"/>
  <c r="C79" i="9" s="1"/>
  <c r="C28" i="9"/>
  <c r="Z21" i="8"/>
  <c r="AE21" i="8"/>
  <c r="AD21" i="8"/>
  <c r="AJ21" i="8" s="1"/>
  <c r="AC21" i="8"/>
  <c r="AA26" i="8"/>
  <c r="AA30" i="8" s="1"/>
  <c r="AF26" i="8"/>
  <c r="AF30" i="8" s="1"/>
  <c r="Z27" i="8"/>
  <c r="AE27" i="8"/>
  <c r="AF31" i="9"/>
  <c r="AF79" i="9" s="1"/>
  <c r="AF24" i="9"/>
  <c r="Y14" i="10"/>
  <c r="AB14" i="10"/>
  <c r="AB9" i="10"/>
  <c r="AB31" i="8"/>
  <c r="Z31" i="8"/>
  <c r="AC27" i="8"/>
  <c r="AA31" i="8" l="1"/>
  <c r="AA37" i="8"/>
  <c r="AA34" i="8"/>
  <c r="AF34" i="8"/>
  <c r="AF37" i="8"/>
  <c r="AD30" i="8"/>
  <c r="AJ26" i="8"/>
  <c r="C38" i="9"/>
  <c r="C47" i="9" s="1"/>
  <c r="C78" i="9"/>
  <c r="C77" i="9"/>
  <c r="C80" i="9" a="1"/>
  <c r="C80" i="9" s="1"/>
  <c r="C32" i="9"/>
  <c r="C81" i="9" a="1"/>
  <c r="C81" i="9" s="1"/>
  <c r="AA27" i="8"/>
  <c r="AF27" i="8"/>
  <c r="AF28" i="9"/>
  <c r="AC31" i="8"/>
  <c r="AE31" i="8"/>
  <c r="AF31" i="8"/>
  <c r="AJ30" i="8" l="1"/>
  <c r="AD34" i="8"/>
  <c r="AJ34" i="8" s="1"/>
  <c r="AD37" i="8"/>
  <c r="AJ37" i="8" s="1"/>
  <c r="AD31" i="8"/>
  <c r="AJ31" i="8" s="1"/>
  <c r="AF81" i="9" a="1"/>
  <c r="AF81" i="9" s="1"/>
  <c r="AF32" i="9"/>
  <c r="AF80" i="9" a="1"/>
  <c r="AF80" i="9" s="1"/>
  <c r="AF77" i="9"/>
  <c r="AF78" i="9"/>
  <c r="AF38" i="9"/>
  <c r="Z61" i="8" l="1"/>
  <c r="AD67" i="8"/>
  <c r="AJ67" i="8" s="1"/>
  <c r="Z67" i="8" l="1"/>
  <c r="Z74" i="8" s="1"/>
  <c r="C72" i="9" l="1"/>
  <c r="N11" i="8"/>
  <c r="F11" i="8"/>
  <c r="F14" i="8" s="1"/>
  <c r="E11" i="8"/>
  <c r="E14" i="8" s="1"/>
  <c r="D11" i="8"/>
  <c r="D14" i="8" s="1"/>
  <c r="C11" i="8"/>
  <c r="C14" i="8" s="1"/>
  <c r="F73" i="8"/>
  <c r="G72" i="9" s="1"/>
  <c r="E73" i="8"/>
  <c r="F72" i="9" s="1"/>
  <c r="D73" i="8"/>
  <c r="E72" i="9" s="1"/>
  <c r="C73" i="8"/>
  <c r="D72" i="9" s="1"/>
  <c r="Q67" i="8"/>
  <c r="O67" i="8"/>
  <c r="AG11" i="8"/>
  <c r="AG14" i="8" s="1"/>
  <c r="Q73" i="9"/>
  <c r="Q82" i="9" s="1"/>
  <c r="I73" i="9"/>
  <c r="I82" i="9" s="1"/>
  <c r="D12" i="9"/>
  <c r="N14" i="8" l="1"/>
  <c r="Y15" i="10"/>
  <c r="D15" i="10"/>
  <c r="N15" i="10"/>
  <c r="F15" i="10"/>
  <c r="E15" i="10"/>
  <c r="C15" i="10"/>
  <c r="C67" i="8"/>
  <c r="D62" i="9" s="1"/>
  <c r="E67" i="8"/>
  <c r="C62" i="9"/>
  <c r="D67" i="8"/>
  <c r="C73" i="9"/>
  <c r="C82" i="9" s="1"/>
  <c r="J73" i="9"/>
  <c r="J82" i="9" s="1"/>
  <c r="R73" i="9"/>
  <c r="R82" i="9" s="1"/>
  <c r="E73" i="9"/>
  <c r="E82" i="9" s="1"/>
  <c r="K73" i="9"/>
  <c r="K82" i="9" s="1"/>
  <c r="AD62" i="9"/>
  <c r="AF62" i="9"/>
  <c r="G73" i="9"/>
  <c r="G82" i="9" s="1"/>
  <c r="K23" i="9"/>
  <c r="K27" i="9" s="1"/>
  <c r="I12" i="9"/>
  <c r="Q12" i="9"/>
  <c r="F73" i="9"/>
  <c r="F82" i="9" s="1"/>
  <c r="Q13" i="9"/>
  <c r="AD73" i="8"/>
  <c r="E20" i="8"/>
  <c r="D20" i="8"/>
  <c r="N20" i="8"/>
  <c r="F20" i="8"/>
  <c r="Q20" i="8"/>
  <c r="C20" i="8"/>
  <c r="P67" i="8"/>
  <c r="AG67" i="8"/>
  <c r="AG73" i="8"/>
  <c r="G23" i="9"/>
  <c r="G27" i="9" s="1"/>
  <c r="G12" i="9"/>
  <c r="E23" i="9"/>
  <c r="E27" i="9" s="1"/>
  <c r="E12" i="9"/>
  <c r="F23" i="9"/>
  <c r="F27" i="9" s="1"/>
  <c r="F12" i="9"/>
  <c r="I13" i="9"/>
  <c r="M73" i="9"/>
  <c r="M82" i="9" s="1"/>
  <c r="D23" i="9"/>
  <c r="D27" i="9" s="1"/>
  <c r="N73" i="9"/>
  <c r="N82" i="9" s="1"/>
  <c r="O73" i="9"/>
  <c r="O82" i="9" s="1"/>
  <c r="D73" i="9"/>
  <c r="D82" i="9" s="1"/>
  <c r="AD74" i="8" l="1"/>
  <c r="AJ74" i="8" s="1"/>
  <c r="AJ73" i="8"/>
  <c r="D74" i="8"/>
  <c r="D76" i="8" s="1"/>
  <c r="Q26" i="8"/>
  <c r="Q30" i="8" s="1"/>
  <c r="F26" i="8"/>
  <c r="F30" i="8" s="1"/>
  <c r="N21" i="8"/>
  <c r="C26" i="8"/>
  <c r="C30" i="8" s="1"/>
  <c r="D26" i="8"/>
  <c r="D30" i="8" s="1"/>
  <c r="E21" i="8"/>
  <c r="C74" i="8"/>
  <c r="C76" i="8" s="1"/>
  <c r="N15" i="8"/>
  <c r="C15" i="8"/>
  <c r="P73" i="9"/>
  <c r="P82" i="9" s="1"/>
  <c r="O74" i="8"/>
  <c r="O76" i="8" s="1"/>
  <c r="AD47" i="8"/>
  <c r="AJ47" i="8" s="1"/>
  <c r="Z47" i="8"/>
  <c r="Q74" i="8"/>
  <c r="Q76" i="8" s="1"/>
  <c r="E74" i="8"/>
  <c r="E76" i="8" s="1"/>
  <c r="F74" i="8"/>
  <c r="F76" i="8" s="1"/>
  <c r="AE62" i="9"/>
  <c r="L73" i="9"/>
  <c r="L82" i="9" s="1"/>
  <c r="L13" i="9"/>
  <c r="P12" i="9"/>
  <c r="M12" i="9"/>
  <c r="N13" i="9"/>
  <c r="P23" i="9"/>
  <c r="P27" i="9" s="1"/>
  <c r="K13" i="9"/>
  <c r="M13" i="9"/>
  <c r="J13" i="9"/>
  <c r="N23" i="9"/>
  <c r="N27" i="9" s="1"/>
  <c r="L23" i="9"/>
  <c r="L27" i="9" s="1"/>
  <c r="N12" i="9"/>
  <c r="J12" i="9"/>
  <c r="L12" i="9"/>
  <c r="AG47" i="8"/>
  <c r="AG53" i="8" s="1"/>
  <c r="E15" i="8"/>
  <c r="F15" i="8"/>
  <c r="D15" i="8"/>
  <c r="AG20" i="8"/>
  <c r="Q15" i="8"/>
  <c r="K17" i="9"/>
  <c r="F17" i="9"/>
  <c r="O12" i="9"/>
  <c r="O23" i="9"/>
  <c r="O27" i="9" s="1"/>
  <c r="O13" i="9"/>
  <c r="Q23" i="9"/>
  <c r="Q27" i="9" s="1"/>
  <c r="AF12" i="9"/>
  <c r="J23" i="9"/>
  <c r="J27" i="9" s="1"/>
  <c r="P13" i="9"/>
  <c r="D17" i="9"/>
  <c r="R12" i="9"/>
  <c r="R23" i="9"/>
  <c r="R27" i="9" s="1"/>
  <c r="R13" i="9"/>
  <c r="K12" i="9"/>
  <c r="I23" i="9"/>
  <c r="I27" i="9" s="1"/>
  <c r="G17" i="9"/>
  <c r="M23" i="9"/>
  <c r="M27" i="9" s="1"/>
  <c r="E17" i="9"/>
  <c r="F84" i="8" l="1"/>
  <c r="F34" i="8"/>
  <c r="F37" i="8"/>
  <c r="Q84" i="8"/>
  <c r="Q34" i="8"/>
  <c r="Q37" i="8"/>
  <c r="C34" i="8"/>
  <c r="C37" i="8"/>
  <c r="D34" i="8"/>
  <c r="D37" i="8"/>
  <c r="N17" i="9"/>
  <c r="N24" i="9"/>
  <c r="Q21" i="8"/>
  <c r="F21" i="8"/>
  <c r="C21" i="8"/>
  <c r="E26" i="8"/>
  <c r="E30" i="8" s="1"/>
  <c r="N26" i="8"/>
  <c r="N30" i="8" s="1"/>
  <c r="D21" i="8"/>
  <c r="Z53" i="8"/>
  <c r="Z76" i="8" s="1"/>
  <c r="AD53" i="8"/>
  <c r="AG26" i="8"/>
  <c r="AG30" i="8" s="1"/>
  <c r="D27" i="8"/>
  <c r="Q27" i="8"/>
  <c r="AG21" i="8"/>
  <c r="F27" i="8"/>
  <c r="AG74" i="8"/>
  <c r="P74" i="8"/>
  <c r="P76" i="8" s="1"/>
  <c r="P17" i="9"/>
  <c r="L17" i="9"/>
  <c r="F31" i="8"/>
  <c r="F101" i="8"/>
  <c r="F128" i="8" s="1"/>
  <c r="C27" i="8"/>
  <c r="AG15" i="8"/>
  <c r="E31" i="9"/>
  <c r="E79" i="9" s="1"/>
  <c r="E24" i="9"/>
  <c r="D31" i="9"/>
  <c r="D79" i="9" s="1"/>
  <c r="D24" i="9"/>
  <c r="M17" i="9"/>
  <c r="F31" i="9"/>
  <c r="F79" i="9" s="1"/>
  <c r="F24" i="9"/>
  <c r="K31" i="9"/>
  <c r="K24" i="9"/>
  <c r="R17" i="9"/>
  <c r="O17" i="9"/>
  <c r="P31" i="9"/>
  <c r="P24" i="9"/>
  <c r="L24" i="9"/>
  <c r="L31" i="9"/>
  <c r="G24" i="9"/>
  <c r="G31" i="9"/>
  <c r="G79" i="9" s="1"/>
  <c r="Q17" i="9"/>
  <c r="I17" i="9"/>
  <c r="J17" i="9"/>
  <c r="AG37" i="8" l="1"/>
  <c r="AG34" i="8"/>
  <c r="E84" i="8"/>
  <c r="E101" i="8" s="1"/>
  <c r="E128" i="8" s="1"/>
  <c r="E37" i="8"/>
  <c r="E34" i="8"/>
  <c r="N37" i="8"/>
  <c r="N34" i="8"/>
  <c r="AD76" i="8"/>
  <c r="AJ53" i="8"/>
  <c r="N84" i="8"/>
  <c r="N101" i="8" s="1"/>
  <c r="N128" i="8" s="1"/>
  <c r="E27" i="8"/>
  <c r="E31" i="8"/>
  <c r="N27" i="8"/>
  <c r="D31" i="8"/>
  <c r="D84" i="8"/>
  <c r="Q101" i="8"/>
  <c r="Q128" i="8" s="1"/>
  <c r="Q31" i="8"/>
  <c r="C84" i="8"/>
  <c r="C31" i="8"/>
  <c r="AG76" i="8"/>
  <c r="N31" i="9"/>
  <c r="AG27" i="8"/>
  <c r="N31" i="8"/>
  <c r="G28" i="9"/>
  <c r="J31" i="9"/>
  <c r="J24" i="9"/>
  <c r="P28" i="9"/>
  <c r="F28" i="9"/>
  <c r="D28" i="9"/>
  <c r="K28" i="9"/>
  <c r="O24" i="9"/>
  <c r="O31" i="9"/>
  <c r="E28" i="9"/>
  <c r="Q31" i="9"/>
  <c r="Q24" i="9"/>
  <c r="M24" i="9"/>
  <c r="M31" i="9"/>
  <c r="I31" i="9"/>
  <c r="I24" i="9"/>
  <c r="L28" i="9"/>
  <c r="R31" i="9"/>
  <c r="R24" i="9"/>
  <c r="AD84" i="8" l="1"/>
  <c r="AD101" i="8" s="1"/>
  <c r="S81" i="9" a="1"/>
  <c r="S81" i="9" s="1"/>
  <c r="S77" i="9"/>
  <c r="S78" i="9"/>
  <c r="S79" i="9" a="1"/>
  <c r="S79" i="9" s="1"/>
  <c r="S80" i="9" a="1"/>
  <c r="S80" i="9" s="1"/>
  <c r="AD128" i="8"/>
  <c r="M79" i="9" a="1"/>
  <c r="M79" i="9" s="1"/>
  <c r="L79" i="9" a="1"/>
  <c r="L79" i="9" s="1"/>
  <c r="R79" i="9" a="1"/>
  <c r="R79" i="9" s="1"/>
  <c r="J79" i="9" a="1"/>
  <c r="J79" i="9" s="1"/>
  <c r="Q79" i="9" a="1"/>
  <c r="Q79" i="9" s="1"/>
  <c r="P79" i="9" a="1"/>
  <c r="P79" i="9" s="1"/>
  <c r="I79" i="9" a="1"/>
  <c r="I79" i="9" s="1"/>
  <c r="N79" i="9" a="1"/>
  <c r="N79" i="9" s="1"/>
  <c r="K79" i="9" a="1"/>
  <c r="K79" i="9" s="1"/>
  <c r="O79" i="9" a="1"/>
  <c r="O79" i="9" s="1"/>
  <c r="D101" i="8"/>
  <c r="D128" i="8" s="1"/>
  <c r="C101" i="8"/>
  <c r="C128" i="8" s="1"/>
  <c r="AC101" i="8"/>
  <c r="N28" i="9"/>
  <c r="I28" i="9"/>
  <c r="M28" i="9"/>
  <c r="N81" i="9" a="1"/>
  <c r="N81" i="9" s="1"/>
  <c r="J28" i="9"/>
  <c r="D80" i="9" a="1"/>
  <c r="D80" i="9" s="1"/>
  <c r="D81" i="9" a="1"/>
  <c r="D81" i="9" s="1"/>
  <c r="D38" i="9"/>
  <c r="D46" i="9" s="1"/>
  <c r="D32" i="9"/>
  <c r="D78" i="9"/>
  <c r="D77" i="9"/>
  <c r="F81" i="9" a="1"/>
  <c r="F81" i="9" s="1"/>
  <c r="F80" i="9" a="1"/>
  <c r="F80" i="9" s="1"/>
  <c r="F32" i="9"/>
  <c r="F38" i="9"/>
  <c r="F46" i="9" s="1"/>
  <c r="F77" i="9"/>
  <c r="F78" i="9"/>
  <c r="G80" i="9" a="1"/>
  <c r="G80" i="9" s="1"/>
  <c r="G81" i="9" a="1"/>
  <c r="G81" i="9" s="1"/>
  <c r="G32" i="9"/>
  <c r="G78" i="9"/>
  <c r="G38" i="9"/>
  <c r="G46" i="9" s="1"/>
  <c r="G77" i="9"/>
  <c r="N32" i="9"/>
  <c r="N38" i="9"/>
  <c r="N46" i="9" s="1"/>
  <c r="R28" i="9"/>
  <c r="Q28" i="9"/>
  <c r="L38" i="9"/>
  <c r="L46" i="9" s="1"/>
  <c r="L32" i="9"/>
  <c r="K38" i="9"/>
  <c r="K46" i="9" s="1"/>
  <c r="K32" i="9"/>
  <c r="O28" i="9"/>
  <c r="E81" i="9" a="1"/>
  <c r="E81" i="9" s="1"/>
  <c r="E38" i="9"/>
  <c r="E46" i="9" s="1"/>
  <c r="E32" i="9"/>
  <c r="E80" i="9" a="1"/>
  <c r="E80" i="9" s="1"/>
  <c r="E78" i="9"/>
  <c r="E77" i="9"/>
  <c r="P32" i="9"/>
  <c r="P38" i="9"/>
  <c r="P46" i="9" s="1"/>
  <c r="V84" i="8" l="1"/>
  <c r="V101" i="8" s="1"/>
  <c r="U84" i="8"/>
  <c r="U101" i="8" s="1"/>
  <c r="T84" i="8"/>
  <c r="T101" i="8" s="1"/>
  <c r="X84" i="8"/>
  <c r="Y84" i="8"/>
  <c r="Z84" i="8"/>
  <c r="Z101" i="8" s="1"/>
  <c r="W84" i="8"/>
  <c r="AA101" i="8"/>
  <c r="AB101" i="8"/>
  <c r="AG31" i="8"/>
  <c r="N80" i="9" a="1"/>
  <c r="N80" i="9" s="1"/>
  <c r="D47" i="9"/>
  <c r="Q80" i="9" a="1"/>
  <c r="Q80" i="9" s="1"/>
  <c r="O80" i="9" a="1"/>
  <c r="O80" i="9" s="1"/>
  <c r="Q78" i="9"/>
  <c r="J81" i="9" a="1"/>
  <c r="J81" i="9" s="1"/>
  <c r="J80" i="9" a="1"/>
  <c r="J80" i="9" s="1"/>
  <c r="J77" i="9"/>
  <c r="J78" i="9"/>
  <c r="I80" i="9" a="1"/>
  <c r="I80" i="9" s="1"/>
  <c r="M38" i="9"/>
  <c r="M46" i="9" s="1"/>
  <c r="P80" i="9" a="1"/>
  <c r="P80" i="9" s="1"/>
  <c r="P81" i="9" a="1"/>
  <c r="P81" i="9" s="1"/>
  <c r="M32" i="9"/>
  <c r="P77" i="9"/>
  <c r="P78" i="9"/>
  <c r="N78" i="9"/>
  <c r="O77" i="9"/>
  <c r="G47" i="9"/>
  <c r="N77" i="9"/>
  <c r="K80" i="9" a="1"/>
  <c r="K80" i="9" s="1"/>
  <c r="K81" i="9" a="1"/>
  <c r="K81" i="9" s="1"/>
  <c r="K77" i="9"/>
  <c r="K78" i="9"/>
  <c r="F47" i="9"/>
  <c r="I77" i="9"/>
  <c r="Q38" i="9"/>
  <c r="Q46" i="9" s="1"/>
  <c r="Q32" i="9"/>
  <c r="M81" i="9" a="1"/>
  <c r="M81" i="9" s="1"/>
  <c r="J38" i="9"/>
  <c r="J46" i="9" s="1"/>
  <c r="J32" i="9"/>
  <c r="M80" i="9" a="1"/>
  <c r="M80" i="9" s="1"/>
  <c r="M77" i="9"/>
  <c r="M78" i="9"/>
  <c r="O81" i="9" a="1"/>
  <c r="O81" i="9" s="1"/>
  <c r="Q77" i="9"/>
  <c r="I81" i="9" a="1"/>
  <c r="I81" i="9" s="1"/>
  <c r="E47" i="9"/>
  <c r="R81" i="9" a="1"/>
  <c r="R81" i="9" s="1"/>
  <c r="R80" i="9" a="1"/>
  <c r="R80" i="9" s="1"/>
  <c r="R77" i="9"/>
  <c r="O32" i="9"/>
  <c r="O38" i="9"/>
  <c r="O46" i="9" s="1"/>
  <c r="R78" i="9"/>
  <c r="P47" i="9"/>
  <c r="Q81" i="9" a="1"/>
  <c r="Q81" i="9" s="1"/>
  <c r="L80" i="9" a="1"/>
  <c r="L80" i="9" s="1"/>
  <c r="L81" i="9" a="1"/>
  <c r="L81" i="9" s="1"/>
  <c r="I38" i="9"/>
  <c r="I32" i="9"/>
  <c r="L77" i="9"/>
  <c r="L78" i="9"/>
  <c r="O78" i="9"/>
  <c r="R32" i="9"/>
  <c r="R38" i="9"/>
  <c r="R46" i="9" s="1"/>
  <c r="I78" i="9"/>
  <c r="AG46" i="9" l="1"/>
  <c r="AG47" i="9" s="1"/>
  <c r="V128" i="8"/>
  <c r="T128" i="8"/>
  <c r="U128" i="8"/>
  <c r="Z128" i="8"/>
  <c r="X128" i="8"/>
  <c r="Y128" i="8"/>
  <c r="W128" i="8"/>
  <c r="AA46" i="9"/>
  <c r="AA47" i="9" s="1"/>
  <c r="W46" i="9"/>
  <c r="W47" i="9" s="1"/>
  <c r="AD46" i="9"/>
  <c r="AD47" i="9" s="1"/>
  <c r="AC46" i="9"/>
  <c r="AC47" i="9" s="1"/>
  <c r="Z46" i="9"/>
  <c r="Z47" i="9" s="1"/>
  <c r="AF46" i="9"/>
  <c r="AF47" i="9" s="1"/>
  <c r="Y46" i="9"/>
  <c r="Y47" i="9" s="1"/>
  <c r="AB46" i="9"/>
  <c r="AB47" i="9" s="1"/>
  <c r="X46" i="9"/>
  <c r="X47" i="9" s="1"/>
  <c r="AE46" i="9"/>
  <c r="AE47" i="9" s="1"/>
  <c r="Q47" i="9"/>
  <c r="R47" i="9"/>
  <c r="O47" i="9"/>
  <c r="N47" i="9"/>
  <c r="I47" i="9"/>
  <c r="K47" i="9"/>
  <c r="L47" i="9"/>
  <c r="V46" i="9" l="1"/>
  <c r="V47" i="9" s="1"/>
  <c r="U46" i="9"/>
  <c r="U47" i="9" s="1"/>
  <c r="J47" i="9"/>
  <c r="M47" i="9"/>
  <c r="C124" i="8" l="1"/>
  <c r="C129" i="8" s="1"/>
  <c r="C131" i="8" s="1"/>
  <c r="D122" i="8" l="1"/>
  <c r="D124" i="8" s="1"/>
  <c r="D129" i="8" s="1"/>
  <c r="D131" i="8" s="1"/>
  <c r="E122" i="8" l="1"/>
  <c r="E124" i="8" s="1"/>
  <c r="E129" i="8" s="1"/>
  <c r="E131" i="8" s="1"/>
  <c r="F122" i="8" l="1"/>
  <c r="F124" i="8" s="1"/>
  <c r="F129" i="8" s="1"/>
  <c r="F131" i="8" s="1"/>
  <c r="T122" i="8" l="1"/>
  <c r="T124" i="8" s="1"/>
  <c r="T129" i="8" s="1"/>
  <c r="T131" i="8" s="1"/>
  <c r="U122" i="8" l="1"/>
  <c r="U124" i="8" s="1"/>
  <c r="U129" i="8" s="1"/>
  <c r="U131" i="8" s="1"/>
  <c r="V122" i="8" l="1"/>
  <c r="V124" i="8" s="1"/>
  <c r="V129" i="8" s="1"/>
  <c r="V131" i="8" s="1"/>
  <c r="W122" i="8" l="1"/>
  <c r="X122" i="8" l="1"/>
  <c r="Y122" i="8" l="1"/>
  <c r="Z122" i="8" l="1"/>
  <c r="AA122" i="8" l="1"/>
  <c r="W124" i="8"/>
  <c r="H124" i="8"/>
  <c r="H129" i="8" s="1"/>
  <c r="H131" i="8" s="1"/>
  <c r="AB122" i="8" l="1"/>
  <c r="I122" i="8"/>
  <c r="I124" i="8" s="1"/>
  <c r="I129" i="8" s="1"/>
  <c r="I131" i="8" s="1"/>
  <c r="AC122" i="8" l="1"/>
  <c r="J122" i="8"/>
  <c r="J124" i="8" s="1"/>
  <c r="J129" i="8" s="1"/>
  <c r="J131" i="8" s="1"/>
  <c r="AD122" i="8" l="1"/>
  <c r="K122" i="8"/>
  <c r="K124" i="8" s="1"/>
  <c r="K129" i="8" s="1"/>
  <c r="K131" i="8" s="1"/>
  <c r="AE122" i="8" l="1"/>
  <c r="L122" i="8"/>
  <c r="L124" i="8" s="1"/>
  <c r="L129" i="8" s="1"/>
  <c r="L131" i="8" s="1"/>
  <c r="AF122" i="8" l="1"/>
  <c r="AB124" i="8"/>
  <c r="AB129" i="8" s="1"/>
  <c r="AB131" i="8" s="1"/>
  <c r="M122" i="8"/>
  <c r="M124" i="8" s="1"/>
  <c r="M129" i="8" s="1"/>
  <c r="M131" i="8" s="1"/>
  <c r="AG122" i="8" l="1"/>
  <c r="AC124" i="8"/>
  <c r="AC129" i="8" s="1"/>
  <c r="AC131" i="8" s="1"/>
  <c r="N122" i="8"/>
  <c r="N124" i="8" s="1"/>
  <c r="N129" i="8" s="1"/>
  <c r="N131" i="8" s="1"/>
  <c r="AH122" i="8" l="1"/>
  <c r="AD124" i="8"/>
  <c r="AD129" i="8" s="1"/>
  <c r="AD131" i="8" s="1"/>
  <c r="X124" i="8"/>
  <c r="O122" i="8"/>
  <c r="O124" i="8" s="1"/>
  <c r="P11" i="8" l="1"/>
  <c r="P14" i="8" l="1"/>
  <c r="P20" i="8" s="1"/>
  <c r="P15" i="10"/>
  <c r="P26" i="8" l="1"/>
  <c r="P30" i="8" s="1"/>
  <c r="P15" i="8"/>
  <c r="P84" i="8" l="1"/>
  <c r="P34" i="8"/>
  <c r="P37" i="8"/>
  <c r="P21" i="8"/>
  <c r="P27" i="8"/>
  <c r="P31" i="8" l="1"/>
  <c r="P101" i="8" l="1"/>
  <c r="P128" i="8" s="1"/>
  <c r="Y101" i="8"/>
  <c r="W11" i="8"/>
  <c r="W14" i="8" s="1"/>
  <c r="Y11" i="8"/>
  <c r="Y14" i="8" s="1"/>
  <c r="O11" i="8"/>
  <c r="X11" i="8"/>
  <c r="X14" i="8" l="1"/>
  <c r="O14" i="8"/>
  <c r="O20" i="8" s="1"/>
  <c r="O15" i="10"/>
  <c r="Y20" i="8"/>
  <c r="W20" i="8"/>
  <c r="O15" i="8" l="1"/>
  <c r="O26" i="8"/>
  <c r="O30" i="8" s="1"/>
  <c r="X20" i="8"/>
  <c r="X21" i="8" s="1"/>
  <c r="X15" i="8"/>
  <c r="Y26" i="8"/>
  <c r="Y30" i="8" s="1"/>
  <c r="Y15" i="8"/>
  <c r="W15" i="8"/>
  <c r="W26" i="8"/>
  <c r="W30" i="8" s="1"/>
  <c r="W37" i="8" l="1"/>
  <c r="W34" i="8"/>
  <c r="Y37" i="8"/>
  <c r="Y34" i="8"/>
  <c r="O84" i="8"/>
  <c r="O37" i="8"/>
  <c r="O34" i="8"/>
  <c r="X26" i="8"/>
  <c r="X30" i="8" s="1"/>
  <c r="O21" i="8"/>
  <c r="O27" i="8"/>
  <c r="W21" i="8"/>
  <c r="Y21" i="8"/>
  <c r="X37" i="8" l="1"/>
  <c r="X34" i="8"/>
  <c r="X27" i="8"/>
  <c r="O31" i="8"/>
  <c r="AH84" i="8"/>
  <c r="Y27" i="8"/>
  <c r="W27" i="8"/>
  <c r="X31" i="8"/>
  <c r="AH101" i="8" l="1"/>
  <c r="AJ101" i="8" s="1"/>
  <c r="AJ84" i="8"/>
  <c r="AG84" i="8"/>
  <c r="AE84" i="8"/>
  <c r="AE101" i="8" s="1"/>
  <c r="AF84" i="8"/>
  <c r="AF101" i="8" s="1"/>
  <c r="X101" i="8"/>
  <c r="X129" i="8" s="1"/>
  <c r="X131" i="8" s="1"/>
  <c r="O101" i="8"/>
  <c r="O128" i="8" s="1"/>
  <c r="W101" i="8"/>
  <c r="W31" i="8"/>
  <c r="Y31" i="8"/>
  <c r="O129" i="8" l="1"/>
  <c r="O131" i="8" s="1"/>
  <c r="AH128" i="8"/>
  <c r="AG128" i="8"/>
  <c r="AF128" i="8"/>
  <c r="AE128" i="8"/>
  <c r="W129" i="8"/>
  <c r="W131" i="8" s="1"/>
  <c r="AE124" i="8"/>
  <c r="AG101" i="8"/>
  <c r="Y124" i="8"/>
  <c r="Y129" i="8" s="1"/>
  <c r="Y131" i="8" s="1"/>
  <c r="P122" i="8" l="1"/>
  <c r="P124" i="8" s="1"/>
  <c r="P129" i="8" s="1"/>
  <c r="P131" i="8" s="1"/>
  <c r="AE129" i="8"/>
  <c r="AE131" i="8" s="1"/>
  <c r="AF124" i="8"/>
  <c r="AF129" i="8" s="1"/>
  <c r="AF131" i="8" s="1"/>
  <c r="Z124" i="8"/>
  <c r="Z129" i="8" s="1"/>
  <c r="Z131" i="8" s="1"/>
  <c r="Q122" i="8" l="1"/>
  <c r="Q124" i="8" s="1"/>
  <c r="Q129" i="8" s="1"/>
  <c r="Q131" i="8" s="1"/>
  <c r="AG124" i="8"/>
  <c r="AG129" i="8" s="1"/>
  <c r="AG131" i="8" s="1"/>
  <c r="AA124" i="8"/>
  <c r="AA129" i="8" s="1"/>
  <c r="AA131" i="8" s="1"/>
  <c r="R122" i="8" l="1"/>
  <c r="R124" i="8" s="1"/>
  <c r="R129" i="8" s="1"/>
  <c r="R131" i="8" s="1"/>
  <c r="AH124" i="8"/>
  <c r="AH129" i="8" s="1"/>
  <c r="AH13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<sst xmlns="http://schemas.openxmlformats.org/spreadsheetml/2006/main" count="227" uniqueCount="169">
  <si>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</si>
  <si>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</si>
  <si>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</si>
  <si>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</si>
  <si>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</si>
  <si>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</si>
  <si>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</si>
  <si>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</si>
  <si>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</si>
  <si>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</si>
  <si>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</si>
  <si>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</si>
  <si>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</si>
  <si>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</si>
  <si>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</si>
  <si>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</si>
  <si>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Other current assets</t>
  </si>
  <si>
    <t>Total stockholders' equity</t>
  </si>
  <si>
    <t>Total Liabilities</t>
  </si>
  <si>
    <t>X</t>
  </si>
  <si>
    <t>Total Current Liabilities</t>
  </si>
  <si>
    <t>Common stock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</si>
  <si>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</si>
  <si>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</si>
  <si>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</si>
  <si>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</si>
  <si>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</si>
  <si>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</si>
  <si>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</si>
  <si>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</si>
  <si>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</si>
  <si>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</si>
  <si>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</si>
  <si>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</si>
  <si>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</si>
  <si>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</si>
  <si>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</si>
  <si>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</si>
  <si>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</si>
  <si>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</si>
  <si>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</si>
  <si>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</si>
  <si>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</si>
  <si>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</si>
  <si>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</si>
  <si>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</si>
  <si>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</si>
  <si>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</si>
  <si>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</si>
  <si>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</si>
  <si>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</si>
  <si>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</si>
  <si>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</si>
  <si>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</si>
  <si>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</si>
  <si>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</si>
  <si>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</si>
  <si>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</si>
  <si>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</si>
  <si>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</si>
  <si>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</si>
  <si>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</si>
  <si>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</si>
  <si>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</si>
  <si>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</si>
  <si>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</si>
  <si>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</si>
  <si>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 xml:space="preserve">Provision for taxes </t>
  </si>
  <si>
    <t>3Q25</t>
  </si>
  <si>
    <t>Net Margin (%)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</si>
  <si>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</si>
  <si>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</si>
  <si>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</si>
  <si>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</si>
  <si>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</si>
  <si>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</si>
  <si>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</si>
  <si>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</si>
  <si>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</si>
  <si>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</si>
  <si>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</si>
  <si>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</si>
  <si>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</si>
  <si>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</si>
  <si>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</si>
  <si>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Interest Expense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</si>
  <si>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</si>
  <si>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</si>
  <si>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</si>
  <si>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</si>
  <si>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</si>
  <si>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</si>
  <si>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</si>
  <si>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</si>
  <si>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General and Administrative (G&amp;A)</t>
  </si>
  <si>
    <t xml:space="preserve">Interest Income </t>
  </si>
  <si>
    <t>Other non-current assets</t>
  </si>
  <si>
    <t>Property and equipment, net</t>
  </si>
  <si>
    <t>Deferred income taxes</t>
  </si>
  <si>
    <t>Retained earnings</t>
  </si>
  <si>
    <t>Accumulated other comprehensive income (loss)</t>
  </si>
  <si>
    <t>Deferred revenue</t>
  </si>
  <si>
    <t>Purchases of property and equipment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</si>
  <si>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</si>
  <si>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</si>
  <si>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</si>
  <si>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</si>
  <si>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</si>
  <si>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</si>
  <si>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</si>
  <si>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</si>
  <si>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</si>
  <si>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</si>
  <si>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</si>
  <si>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</si>
  <si>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Marketing</t>
  </si>
  <si>
    <t>Technology and Development (T&amp;D)</t>
  </si>
  <si>
    <t>Cash and cash equivalents</t>
  </si>
  <si>
    <t>Short-term investments</t>
  </si>
  <si>
    <t>Content assets, net</t>
  </si>
  <si>
    <t>Current content liabilities</t>
  </si>
  <si>
    <t>Accrued expenses and other liabilities</t>
  </si>
  <si>
    <t>Short-term debt</t>
  </si>
  <si>
    <t>Non-current content liabilities</t>
  </si>
  <si>
    <t>Long-term debt</t>
  </si>
  <si>
    <t>Other non-current liabilities</t>
  </si>
  <si>
    <t>Treasury stock at cost</t>
  </si>
  <si>
    <t>Other non-current assets and liabilities</t>
  </si>
  <si>
    <t>Change in other assets</t>
  </si>
  <si>
    <t>Acquisitions</t>
  </si>
  <si>
    <t>Purchases of short-term investments</t>
  </si>
  <si>
    <t>Proceeds from maturities of short-term investments</t>
  </si>
  <si>
    <t>Additions to content assets</t>
  </si>
  <si>
    <t>Change in content liabilities</t>
  </si>
  <si>
    <t>Amortization of content assets</t>
  </si>
  <si>
    <t>Depreciation and amortization of property, equipment and intangibles</t>
  </si>
  <si>
    <t>Stock-based compensation expense</t>
  </si>
  <si>
    <t>Foreign currency remeasurement loss (gain) on debt</t>
  </si>
  <si>
    <t>Other non-cash items</t>
  </si>
  <si>
    <t>Proceeds from issuance of debt</t>
  </si>
  <si>
    <t>Debt issuance costs</t>
  </si>
  <si>
    <t>Repayments of debt</t>
  </si>
  <si>
    <t>Proceeds from issuance of common stock</t>
  </si>
  <si>
    <t>Repurchases of common stock</t>
  </si>
  <si>
    <t>Taxes paid related to net share settlement of equity awards</t>
  </si>
  <si>
    <t>Other financing activities</t>
  </si>
  <si>
    <t>EOP Restricted Cash Adjustment</t>
  </si>
  <si>
    <t>Other Income &amp; Expenses</t>
  </si>
  <si>
    <t>Income taxes paid</t>
  </si>
  <si>
    <t>Interest paid</t>
  </si>
  <si>
    <t>BOP Restricted Cash Adjustment</t>
  </si>
  <si>
    <t>$ in thousands except per share</t>
  </si>
  <si>
    <t>(+/-) Proceeds / (Purchases) of ST Investments</t>
  </si>
  <si>
    <t>(-) Proceeds From Equity Issuances / (Share Repurchases)</t>
  </si>
  <si>
    <t>(-) 'Proceeds from issuance of Debt / (Repayment), net</t>
  </si>
  <si>
    <t>(+/-) Changes in Additions to content assets</t>
  </si>
  <si>
    <t>(+/-) Changes in Other Financing Activities</t>
  </si>
  <si>
    <t>Content Liabilities</t>
  </si>
  <si>
    <t>Deferred Revenue</t>
  </si>
  <si>
    <t>Summary Debt:</t>
  </si>
  <si>
    <t>CPLTD</t>
  </si>
  <si>
    <t>LTD</t>
  </si>
  <si>
    <t>Property and Equipment, net</t>
  </si>
  <si>
    <t>Cost of Revenue</t>
  </si>
  <si>
    <t>XXX</t>
  </si>
  <si>
    <t>(-) Cost of Revenues</t>
  </si>
  <si>
    <t>(-) XXX</t>
  </si>
  <si>
    <t>(+) Depreciation and Amortization</t>
  </si>
  <si>
    <t>(+) 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</si>
</sst>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5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5" fontId="8" fillId="4" borderId="0" xfId="0" applyNumberFormat="1" applyFont="1" applyFill="1" applyAlignment="1">
      <alignment horizontal="right" vertical="top" wrapTex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5" borderId="0" xfId="1" applyNumberFormat="1" applyFont="1" applyFill="1" applyBorder="1" applyAlignment="1">
      <alignment horizontal="right" vertical="center" wrapText="1"/>
    </xf>
    <xf numFmtId="166" fontId="9" fillId="5" borderId="0" xfId="1" applyNumberFormat="1" applyFont="1" applyFill="1" applyBorder="1" applyAlignment="1">
      <alignment horizontal="right" vertical="center" wrapText="1"/>
    </xf>
    <xf numFmtId="168" fontId="9" fillId="5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6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6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 wrapText="1"/>
    </xf>
    <xf numFmtId="0" fontId="2" fillId="8" borderId="0" xfId="0" applyFont="1" applyFill="1" applyAlignment="1">
      <alignment vertical="center" wrapText="1"/>
    </xf>
    <xf numFmtId="0" fontId="2" fillId="8" borderId="4" xfId="0" applyFont="1" applyFill="1" applyBorder="1" applyAlignment="1">
      <alignment horizontal="centerContinuous" vertical="center" wrapText="1"/>
    </xf>
    <xf numFmtId="0" fontId="4" fillId="8" borderId="0" xfId="0" applyFont="1" applyFill="1" applyAlignment="1">
      <alignment wrapText="1"/>
    </xf>
    <xf numFmtId="0" fontId="5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14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9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6" borderId="0" xfId="0" applyNumberFormat="1" applyFont="1" applyFill="1" applyAlignment="1">
      <alignment horizontal="right" vertical="top" wrapText="1"/>
    </xf>
    <xf numFmtId="41" fontId="6" fillId="6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6" borderId="10" xfId="0" applyNumberFormat="1" applyFont="1" applyFill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1" fontId="6" fillId="6" borderId="10" xfId="0" applyNumberFormat="1" applyFont="1" applyFill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O150"/>
  <sheetViews>
    <sheetView showGridLines="0" tabSelected="1" zoomScaleNormal="100" workbookViewId="0">
      <selection activeCell="F19" sqref="F19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1" width="8.875" style="5" customWidth="1" outlineLevel="2"/>
    <col min="12" max="13" width="8.875" style="5" customWidth="1" outlineLevel="1"/>
    <col min="14" max="18" width="8.875" style="5" bestFit="1" customWidth="1"/>
    <col min="19" max="19" width="1.5" style="5" customWidth="1"/>
    <col min="20" max="29" width="8.75" style="5" hidden="1" customWidth="1" outlineLevel="1"/>
    <col min="30" max="30" width="9" style="5" bestFit="1" customWidth="1" collapsed="1"/>
    <col min="31" max="33" width="9" style="5" hidden="1" customWidth="1" outlineLevel="1"/>
    <col min="34" max="34" width="9" style="5" bestFit="1" customWidth="1" collapsed="1"/>
    <col min="35" max="35" width="1.25" style="5" customWidth="1"/>
    <col min="36" max="36" width="8" style="5" bestFit="1" customWidth="1"/>
    <col min="37" max="37" width="1.375" style="5" customWidth="1"/>
    <col min="38" max="16384" width="9" style="5"/>
  </cols>
  <sheetData>
    <row r="2" spans="1:36" ht="12.75" customHeight="1">
      <c r="B2" s="1" t="s">
        <v>164</v>
      </c>
      <c r="C2" s="104"/>
      <c r="D2" s="104"/>
      <c r="E2" s="104"/>
      <c r="F2" s="104"/>
      <c r="G2" s="3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3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3"/>
      <c r="AJ2" s="1"/>
    </row>
    <row r="3" spans="1:36" ht="12.75" customHeight="1">
      <c r="B3" s="6" t="s">
        <v>82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3"/>
      <c r="AJ3" s="1"/>
    </row>
    <row r="4" spans="1:36" ht="12.75" customHeight="1">
      <c r="B4" s="6" t="s">
        <v>151</v>
      </c>
      <c r="C4" s="3"/>
      <c r="D4" s="3"/>
      <c r="E4" s="87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1"/>
    </row>
    <row r="6" spans="1:36" ht="12.75" customHeight="1">
      <c r="A6" s="5" t="s">
        <v>19</v>
      </c>
      <c r="B6" s="1" t="s">
        <v>80</v>
      </c>
      <c r="C6" s="2" t="s">
        <v>0</v>
      </c>
      <c r="D6" s="2"/>
      <c r="E6" s="2"/>
      <c r="F6" s="2"/>
      <c r="G6" s="3"/>
      <c r="H6" s="2" t="s">
        <v>1</v>
      </c>
      <c r="I6" s="2"/>
      <c r="J6" s="2"/>
      <c r="K6" s="2"/>
      <c r="L6" s="2"/>
      <c r="M6" s="2"/>
      <c r="N6" s="2" t="s">
        <v>1</v>
      </c>
      <c r="O6" s="2"/>
      <c r="P6" s="2"/>
      <c r="Q6" s="2"/>
      <c r="R6" s="2"/>
      <c r="S6" s="3"/>
      <c r="T6" s="2"/>
      <c r="U6" s="2"/>
      <c r="V6" s="2"/>
      <c r="W6" s="2"/>
      <c r="X6" s="2"/>
      <c r="Y6" s="2"/>
      <c r="Z6" s="2"/>
      <c r="AA6" s="2"/>
      <c r="AB6" s="2"/>
      <c r="AC6" s="2" t="s">
        <v>10</v>
      </c>
      <c r="AD6" s="2" t="s">
        <v>10</v>
      </c>
      <c r="AE6" s="2"/>
      <c r="AF6" s="2"/>
      <c r="AG6" s="2"/>
      <c r="AH6" s="2"/>
      <c r="AI6" s="39"/>
      <c r="AJ6" s="154" t="s">
        <v>26</v>
      </c>
    </row>
    <row r="7" spans="1:36" ht="12.75" customHeight="1">
      <c r="B7" s="6" t="s">
        <v>83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6</v>
      </c>
      <c r="I7" s="4" t="s">
        <v>7</v>
      </c>
      <c r="J7" s="4" t="s">
        <v>8</v>
      </c>
      <c r="K7" s="4" t="s">
        <v>9</v>
      </c>
      <c r="L7" s="4" t="s">
        <v>2</v>
      </c>
      <c r="M7" s="4" t="s">
        <v>3</v>
      </c>
      <c r="N7" s="4" t="s">
        <v>4</v>
      </c>
      <c r="O7" s="4" t="s">
        <v>5</v>
      </c>
      <c r="P7" s="4" t="s">
        <v>28</v>
      </c>
      <c r="Q7" s="4" t="s">
        <v>29</v>
      </c>
      <c r="R7" s="4" t="s">
        <v>68</v>
      </c>
      <c r="S7" s="3"/>
      <c r="T7" s="4" t="e">
        <f>#REF!</f>
        <v>#REF!</v>
      </c>
      <c r="U7" s="4" t="e">
        <f>#REF!</f>
        <v>#REF!</v>
      </c>
      <c r="V7" s="4" t="e">
        <f>#REF!</f>
        <v>#REF!</v>
      </c>
      <c r="W7" s="4" t="e">
        <f>#REF!</f>
        <v>#REF!</v>
      </c>
      <c r="X7" s="4" t="str">
        <f t="shared" ref="X7:AH8" si="0">H7</f>
        <v>1Q23</v>
      </c>
      <c r="Y7" s="4" t="str">
        <f t="shared" si="0"/>
        <v>2Q23</v>
      </c>
      <c r="Z7" s="4" t="str">
        <f t="shared" si="0"/>
        <v>3Q23</v>
      </c>
      <c r="AA7" s="4" t="str">
        <f t="shared" si="0"/>
        <v>4Q23</v>
      </c>
      <c r="AB7" s="4" t="str">
        <f t="shared" si="0"/>
        <v>1Q24</v>
      </c>
      <c r="AC7" s="4" t="str">
        <f t="shared" si="0"/>
        <v>2Q24</v>
      </c>
      <c r="AD7" s="4" t="str">
        <f t="shared" si="0"/>
        <v>3Q24</v>
      </c>
      <c r="AE7" s="4" t="str">
        <f t="shared" si="0"/>
        <v>4Q24</v>
      </c>
      <c r="AF7" s="4" t="str">
        <f t="shared" si="0"/>
        <v>1Q25</v>
      </c>
      <c r="AG7" s="4" t="str">
        <f t="shared" si="0"/>
        <v>2Q25</v>
      </c>
      <c r="AH7" s="4" t="str">
        <f t="shared" si="0"/>
        <v>3Q25</v>
      </c>
      <c r="AI7" s="39"/>
      <c r="AJ7" s="154"/>
    </row>
    <row r="8" spans="1:36" ht="12.75" customHeight="1">
      <c r="B8" s="6" t="s">
        <v>84</v>
      </c>
      <c r="C8" s="3">
        <v>44561</v>
      </c>
      <c r="D8" s="3">
        <v>44926</v>
      </c>
      <c r="E8" s="87">
        <v>45291</v>
      </c>
      <c r="F8" s="3">
        <v>45657</v>
      </c>
      <c r="G8" s="3"/>
      <c r="H8" s="3">
        <v>45016</v>
      </c>
      <c r="I8" s="3">
        <v>45107</v>
      </c>
      <c r="J8" s="3">
        <v>45199</v>
      </c>
      <c r="K8" s="3">
        <f>E8</f>
        <v>45291</v>
      </c>
      <c r="L8" s="3">
        <v>45382</v>
      </c>
      <c r="M8" s="3">
        <v>45473</v>
      </c>
      <c r="N8" s="3">
        <v>45565</v>
      </c>
      <c r="O8" s="3">
        <f>F8</f>
        <v>45657</v>
      </c>
      <c r="P8" s="3">
        <v>45747</v>
      </c>
      <c r="Q8" s="3">
        <v>45838</v>
      </c>
      <c r="R8" s="3">
        <v>45930</v>
      </c>
      <c r="S8" s="3"/>
      <c r="T8" s="3" t="e">
        <f>#REF!</f>
        <v>#REF!</v>
      </c>
      <c r="U8" s="3" t="e">
        <f>#REF!</f>
        <v>#REF!</v>
      </c>
      <c r="V8" s="3" t="e">
        <f>#REF!</f>
        <v>#REF!</v>
      </c>
      <c r="W8" s="3" t="e">
        <f>#REF!</f>
        <v>#REF!</v>
      </c>
      <c r="X8" s="3">
        <f t="shared" si="0"/>
        <v>45016</v>
      </c>
      <c r="Y8" s="3">
        <f t="shared" si="0"/>
        <v>45107</v>
      </c>
      <c r="Z8" s="3">
        <f t="shared" si="0"/>
        <v>45199</v>
      </c>
      <c r="AA8" s="3">
        <f t="shared" si="0"/>
        <v>45291</v>
      </c>
      <c r="AB8" s="3">
        <f t="shared" si="0"/>
        <v>45382</v>
      </c>
      <c r="AC8" s="3">
        <f t="shared" si="0"/>
        <v>45473</v>
      </c>
      <c r="AD8" s="3">
        <f t="shared" si="0"/>
        <v>45565</v>
      </c>
      <c r="AE8" s="3">
        <f t="shared" si="0"/>
        <v>45657</v>
      </c>
      <c r="AF8" s="3">
        <f t="shared" si="0"/>
        <v>45747</v>
      </c>
      <c r="AG8" s="3">
        <f t="shared" si="0"/>
        <v>45838</v>
      </c>
      <c r="AH8" s="3">
        <f t="shared" si="0"/>
        <v>45930</v>
      </c>
      <c r="AI8" s="39"/>
      <c r="AJ8" s="154"/>
    </row>
    <row r="9" spans="1:36" ht="5.0999999999999996" customHeight="1">
      <c r="AJ9" s="103"/>
    </row>
    <row r="10" spans="1:36" ht="12.75" customHeight="1">
      <c r="B10" s="9" t="s">
        <v>62</v>
      </c>
      <c r="C10" s="98"/>
      <c r="D10" s="98"/>
      <c r="E10" s="98"/>
      <c r="F10" s="98"/>
      <c r="G10" s="11"/>
      <c r="H10" s="98"/>
      <c r="I10" s="98"/>
      <c r="J10" s="98"/>
      <c r="K10" s="33">
        <f>SUM(E10-SUM(H10:J10))</f>
        <v>0</v>
      </c>
      <c r="L10" s="98"/>
      <c r="M10" s="98"/>
      <c r="N10" s="98"/>
      <c r="O10" s="33">
        <f>SUM(F10-SUM(L10:N10))</f>
        <v>0</v>
      </c>
      <c r="P10" s="84"/>
      <c r="Q10" s="84"/>
      <c r="R10" s="84"/>
      <c r="T10" s="33" t="e">
        <f>SUM(#REF!)</f>
        <v>#REF!</v>
      </c>
      <c r="U10" s="33" t="e">
        <f>SUM(#REF!)</f>
        <v>#REF!</v>
      </c>
      <c r="V10" s="33" t="e">
        <f>SUM(#REF!)</f>
        <v>#REF!</v>
      </c>
      <c r="W10" s="33" t="e">
        <f>SUM(#REF!)</f>
        <v>#REF!</v>
      </c>
      <c r="X10" s="33">
        <f>SUM(H10:H10)</f>
        <v>0</v>
      </c>
      <c r="Y10" s="33">
        <f>SUM(H10:I10)</f>
        <v>0</v>
      </c>
      <c r="Z10" s="33">
        <f>SUM(H10:J10)</f>
        <v>0</v>
      </c>
      <c r="AA10" s="33">
        <f t="shared" ref="AA10:AH10" si="1">SUM(H10:K10)</f>
        <v>0</v>
      </c>
      <c r="AB10" s="33">
        <f t="shared" si="1"/>
        <v>0</v>
      </c>
      <c r="AC10" s="33">
        <f t="shared" si="1"/>
        <v>0</v>
      </c>
      <c r="AD10" s="33">
        <f t="shared" si="1"/>
        <v>0</v>
      </c>
      <c r="AE10" s="33">
        <f t="shared" si="1"/>
        <v>0</v>
      </c>
      <c r="AF10" s="33">
        <f t="shared" si="1"/>
        <v>0</v>
      </c>
      <c r="AG10" s="33">
        <f t="shared" si="1"/>
        <v>0</v>
      </c>
      <c r="AH10" s="33">
        <f t="shared" si="1"/>
        <v>0</v>
      </c>
      <c r="AI10" s="41"/>
      <c r="AJ10" s="12" t="e">
        <f>SUM(AH10/AD10)-1</f>
        <v>#DIV/0!</v>
      </c>
    </row>
    <row r="11" spans="1:36" ht="12.75" customHeight="1">
      <c r="B11" s="13" t="s">
        <v>12</v>
      </c>
      <c r="C11" s="14">
        <f t="shared" ref="C11:F11" si="2">+SUM(C10:C10)</f>
        <v>0</v>
      </c>
      <c r="D11" s="14">
        <f t="shared" si="2"/>
        <v>0</v>
      </c>
      <c r="E11" s="14">
        <f t="shared" si="2"/>
        <v>0</v>
      </c>
      <c r="F11" s="14">
        <f t="shared" si="2"/>
        <v>0</v>
      </c>
      <c r="G11" s="11"/>
      <c r="H11" s="14">
        <f t="shared" ref="H11:Q11" si="3">+SUM(H10:H10)</f>
        <v>0</v>
      </c>
      <c r="I11" s="14">
        <f t="shared" si="3"/>
        <v>0</v>
      </c>
      <c r="J11" s="14">
        <f t="shared" si="3"/>
        <v>0</v>
      </c>
      <c r="K11" s="14">
        <f t="shared" si="3"/>
        <v>0</v>
      </c>
      <c r="L11" s="14">
        <f t="shared" si="3"/>
        <v>0</v>
      </c>
      <c r="M11" s="14">
        <f t="shared" si="3"/>
        <v>0</v>
      </c>
      <c r="N11" s="14">
        <f t="shared" si="3"/>
        <v>0</v>
      </c>
      <c r="O11" s="14">
        <f t="shared" si="3"/>
        <v>0</v>
      </c>
      <c r="P11" s="14">
        <f t="shared" si="3"/>
        <v>0</v>
      </c>
      <c r="Q11" s="14">
        <f t="shared" si="3"/>
        <v>0</v>
      </c>
      <c r="R11" s="14">
        <f>+SUM(R10:R10)</f>
        <v>0</v>
      </c>
      <c r="T11" s="14" t="e">
        <f t="shared" ref="T11:V11" si="4">+SUM(T10:T10)</f>
        <v>#REF!</v>
      </c>
      <c r="U11" s="14" t="e">
        <f t="shared" si="4"/>
        <v>#REF!</v>
      </c>
      <c r="V11" s="14" t="e">
        <f t="shared" si="4"/>
        <v>#REF!</v>
      </c>
      <c r="W11" s="14" t="e">
        <f t="shared" ref="W11:AG11" si="5">+SUM(W10:W10)</f>
        <v>#REF!</v>
      </c>
      <c r="X11" s="14">
        <f t="shared" si="5"/>
        <v>0</v>
      </c>
      <c r="Y11" s="14">
        <f t="shared" si="5"/>
        <v>0</v>
      </c>
      <c r="Z11" s="14">
        <f t="shared" si="5"/>
        <v>0</v>
      </c>
      <c r="AA11" s="14">
        <f t="shared" si="5"/>
        <v>0</v>
      </c>
      <c r="AB11" s="14">
        <f t="shared" si="5"/>
        <v>0</v>
      </c>
      <c r="AC11" s="14">
        <f t="shared" si="5"/>
        <v>0</v>
      </c>
      <c r="AD11" s="14">
        <f t="shared" si="5"/>
        <v>0</v>
      </c>
      <c r="AE11" s="14">
        <f t="shared" si="5"/>
        <v>0</v>
      </c>
      <c r="AF11" s="14">
        <f t="shared" si="5"/>
        <v>0</v>
      </c>
      <c r="AG11" s="14">
        <f t="shared" si="5"/>
        <v>0</v>
      </c>
      <c r="AH11" s="14">
        <f>+SUM(AH10:AH10)</f>
        <v>0</v>
      </c>
      <c r="AI11" s="41"/>
      <c r="AJ11" s="15" t="e">
        <f>SUM(AH11/AD11)-1</f>
        <v>#DIV/0!</v>
      </c>
    </row>
    <row r="12" spans="1:36" s="21" customFormat="1" ht="5.0999999999999996" customHeight="1">
      <c r="B12" s="19"/>
      <c r="C12" s="20"/>
      <c r="D12" s="20"/>
      <c r="E12" s="20"/>
      <c r="F12" s="20"/>
      <c r="H12" s="22"/>
      <c r="I12" s="22"/>
      <c r="J12" s="22"/>
      <c r="K12" s="22"/>
      <c r="L12" s="22"/>
      <c r="M12" s="22"/>
      <c r="N12" s="22"/>
      <c r="O12" s="22"/>
      <c r="P12" s="23"/>
      <c r="Q12" s="22"/>
      <c r="R12" s="22"/>
      <c r="AJ12" s="77"/>
    </row>
    <row r="13" spans="1:36" ht="12.75" customHeight="1">
      <c r="B13" s="9" t="s">
        <v>163</v>
      </c>
      <c r="C13" s="84"/>
      <c r="D13" s="84"/>
      <c r="E13" s="84"/>
      <c r="F13" s="84"/>
      <c r="G13" s="25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T13" s="33" t="e">
        <f>SUM(#REF!)</f>
        <v>#REF!</v>
      </c>
      <c r="U13" s="33" t="e">
        <f>SUM(#REF!)</f>
        <v>#REF!</v>
      </c>
      <c r="V13" s="33" t="e">
        <f>SUM(#REF!)</f>
        <v>#REF!</v>
      </c>
      <c r="W13" s="33" t="e">
        <f>SUM(#REF!)</f>
        <v>#REF!</v>
      </c>
      <c r="X13" s="33">
        <f>SUM(H13:H13)</f>
        <v>0</v>
      </c>
      <c r="Y13" s="33">
        <f>SUM(H13:I13)</f>
        <v>0</v>
      </c>
      <c r="Z13" s="33">
        <f>SUM(H13:J13)</f>
        <v>0</v>
      </c>
      <c r="AA13" s="33">
        <f t="shared" ref="AA13" si="6">SUM(H13:K13)</f>
        <v>0</v>
      </c>
      <c r="AB13" s="33">
        <f t="shared" ref="AB13" si="7">SUM(I13:L13)</f>
        <v>0</v>
      </c>
      <c r="AC13" s="33">
        <f t="shared" ref="AC13" si="8">SUM(J13:M13)</f>
        <v>0</v>
      </c>
      <c r="AD13" s="33">
        <f t="shared" ref="AD13" si="9">SUM(K13:N13)</f>
        <v>0</v>
      </c>
      <c r="AE13" s="33">
        <f t="shared" ref="AE13" si="10">SUM(L13:O13)</f>
        <v>0</v>
      </c>
      <c r="AF13" s="33">
        <f t="shared" ref="AF13" si="11">SUM(M13:P13)</f>
        <v>0</v>
      </c>
      <c r="AG13" s="33">
        <f t="shared" ref="AG13" si="12">SUM(N13:Q13)</f>
        <v>0</v>
      </c>
      <c r="AH13" s="33">
        <f>SUM(O13:R13)</f>
        <v>0</v>
      </c>
      <c r="AI13" s="11"/>
      <c r="AJ13" s="12" t="e">
        <f t="shared" ref="AJ13" si="13">SUM(AH13/AD13)-1</f>
        <v>#DIV/0!</v>
      </c>
    </row>
    <row r="14" spans="1:36" ht="12.75" customHeight="1">
      <c r="B14" s="26" t="s">
        <v>24</v>
      </c>
      <c r="C14" s="27">
        <f>+SUM(C11+SUM(C13:C13))</f>
        <v>0</v>
      </c>
      <c r="D14" s="27">
        <f>+SUM(D11+SUM(D13:D13))</f>
        <v>0</v>
      </c>
      <c r="E14" s="27">
        <f>+SUM(E11+SUM(E13:E13))</f>
        <v>0</v>
      </c>
      <c r="F14" s="27">
        <f>+SUM(F11+SUM(F13:F13))</f>
        <v>0</v>
      </c>
      <c r="H14" s="27">
        <f>+SUM(H11+SUM(H13:H13))</f>
        <v>0</v>
      </c>
      <c r="I14" s="27">
        <f>+SUM(I11+SUM(I13:I13))</f>
        <v>0</v>
      </c>
      <c r="J14" s="27">
        <f>+SUM(J11+SUM(J13:J13))</f>
        <v>0</v>
      </c>
      <c r="K14" s="27">
        <f>+SUM(K11+SUM(K13:K13))</f>
        <v>0</v>
      </c>
      <c r="L14" s="27">
        <f>+SUM(L11+SUM(L13:L13))</f>
        <v>0</v>
      </c>
      <c r="M14" s="27">
        <f>+SUM(M11+SUM(M13:M13))</f>
        <v>0</v>
      </c>
      <c r="N14" s="27">
        <f>+SUM(N11+SUM(N13:N13))</f>
        <v>0</v>
      </c>
      <c r="O14" s="27">
        <f>+SUM(O11+SUM(O13:O13))</f>
        <v>0</v>
      </c>
      <c r="P14" s="27">
        <f>+SUM(P11+SUM(P13:P13))</f>
        <v>0</v>
      </c>
      <c r="Q14" s="27">
        <f>+SUM(Q11+SUM(Q13:Q13))</f>
        <v>0</v>
      </c>
      <c r="R14" s="27">
        <f>+SUM(R11+SUM(R13:R13))</f>
        <v>0</v>
      </c>
      <c r="T14" s="27" t="e">
        <f>+SUM(T11+SUM(T13:T13))</f>
        <v>#REF!</v>
      </c>
      <c r="U14" s="27" t="e">
        <f>+SUM(U11+SUM(U13:U13))</f>
        <v>#REF!</v>
      </c>
      <c r="V14" s="27" t="e">
        <f>+SUM(V11+SUM(V13:V13))</f>
        <v>#REF!</v>
      </c>
      <c r="W14" s="27" t="e">
        <f>+SUM(W11+SUM(W13:W13))</f>
        <v>#REF!</v>
      </c>
      <c r="X14" s="27">
        <f>+SUM(X11+SUM(X13:X13))</f>
        <v>0</v>
      </c>
      <c r="Y14" s="27">
        <f>+SUM(Y11+SUM(Y13:Y13))</f>
        <v>0</v>
      </c>
      <c r="Z14" s="27">
        <f>+SUM(Z11+SUM(Z13:Z13))</f>
        <v>0</v>
      </c>
      <c r="AA14" s="27">
        <f>+SUM(AA11+SUM(AA13:AA13))</f>
        <v>0</v>
      </c>
      <c r="AB14" s="27">
        <f>+SUM(AB11+SUM(AB13:AB13))</f>
        <v>0</v>
      </c>
      <c r="AC14" s="27">
        <f>+SUM(AC11+SUM(AC13:AC13))</f>
        <v>0</v>
      </c>
      <c r="AD14" s="27">
        <f>+SUM(AD11+SUM(AD13:AD13))</f>
        <v>0</v>
      </c>
      <c r="AE14" s="27">
        <f>+SUM(AE11+SUM(AE13:AE13))</f>
        <v>0</v>
      </c>
      <c r="AF14" s="27">
        <f>+SUM(AF11+SUM(AF13:AF13))</f>
        <v>0</v>
      </c>
      <c r="AG14" s="27">
        <f>+SUM(AG11+SUM(AG13:AG13))</f>
        <v>0</v>
      </c>
      <c r="AH14" s="27">
        <f>+SUM(AH11+SUM(AH13:AH13))</f>
        <v>0</v>
      </c>
      <c r="AI14" s="43"/>
      <c r="AJ14" s="78" t="e">
        <f>SUM(AH14/AD14)-1</f>
        <v>#DIV/0!</v>
      </c>
    </row>
    <row r="15" spans="1:36" ht="12.75" customHeight="1">
      <c r="B15" s="16" t="s">
        <v>33</v>
      </c>
      <c r="C15" s="18" t="e">
        <f>C14/C11</f>
        <v>#DIV/0!</v>
      </c>
      <c r="D15" s="18" t="e">
        <f>D14/D11</f>
        <v>#DIV/0!</v>
      </c>
      <c r="E15" s="18" t="e">
        <f>E14/E11</f>
        <v>#DIV/0!</v>
      </c>
      <c r="F15" s="18" t="e">
        <f>F14/F11</f>
        <v>#DIV/0!</v>
      </c>
      <c r="G15" s="28"/>
      <c r="H15" s="18" t="e">
        <f>H14/H11</f>
        <v>#DIV/0!</v>
      </c>
      <c r="I15" s="18" t="e">
        <f>I14/I11</f>
        <v>#DIV/0!</v>
      </c>
      <c r="J15" s="18" t="e">
        <f>J14/J11</f>
        <v>#DIV/0!</v>
      </c>
      <c r="K15" s="18" t="e">
        <f>K14/K11</f>
        <v>#DIV/0!</v>
      </c>
      <c r="L15" s="18" t="e">
        <f>L14/L11</f>
        <v>#DIV/0!</v>
      </c>
      <c r="M15" s="18" t="e">
        <f>M14/M11</f>
        <v>#DIV/0!</v>
      </c>
      <c r="N15" s="18" t="e">
        <f>N14/N11</f>
        <v>#DIV/0!</v>
      </c>
      <c r="O15" s="18" t="e">
        <f>O14/O11</f>
        <v>#DIV/0!</v>
      </c>
      <c r="P15" s="18" t="e">
        <f>P14/P11</f>
        <v>#DIV/0!</v>
      </c>
      <c r="Q15" s="18" t="e">
        <f>Q14/Q11</f>
        <v>#DIV/0!</v>
      </c>
      <c r="R15" s="18" t="e">
        <f>R14/R11</f>
        <v>#DIV/0!</v>
      </c>
      <c r="S15" s="29"/>
      <c r="T15" s="18" t="e">
        <f>T14/T11</f>
        <v>#REF!</v>
      </c>
      <c r="U15" s="18" t="e">
        <f>U14/U11</f>
        <v>#REF!</v>
      </c>
      <c r="V15" s="18" t="e">
        <f>V14/V11</f>
        <v>#REF!</v>
      </c>
      <c r="W15" s="18" t="e">
        <f>W14/W11</f>
        <v>#REF!</v>
      </c>
      <c r="X15" s="18" t="e">
        <f>X14/X11</f>
        <v>#DIV/0!</v>
      </c>
      <c r="Y15" s="18" t="e">
        <f>Y14/Y11</f>
        <v>#DIV/0!</v>
      </c>
      <c r="Z15" s="18" t="e">
        <f>Z14/Z11</f>
        <v>#DIV/0!</v>
      </c>
      <c r="AA15" s="18" t="e">
        <f>AA14/AA11</f>
        <v>#DIV/0!</v>
      </c>
      <c r="AB15" s="18" t="e">
        <f>AB14/AB11</f>
        <v>#DIV/0!</v>
      </c>
      <c r="AC15" s="18" t="e">
        <f>AC14/AC11</f>
        <v>#DIV/0!</v>
      </c>
      <c r="AD15" s="18" t="e">
        <f>AD14/AD11</f>
        <v>#DIV/0!</v>
      </c>
      <c r="AE15" s="18" t="e">
        <f>AE14/AE11</f>
        <v>#DIV/0!</v>
      </c>
      <c r="AF15" s="18" t="e">
        <f>AF14/AF11</f>
        <v>#DIV/0!</v>
      </c>
      <c r="AG15" s="18" t="e">
        <f>AG14/AG11</f>
        <v>#DIV/0!</v>
      </c>
      <c r="AH15" s="18" t="e">
        <f>AH14/AH11</f>
        <v>#DIV/0!</v>
      </c>
      <c r="AI15" s="43"/>
      <c r="AJ15" s="79" t="e">
        <f>SUM(AH15-AD15)*1000</f>
        <v>#DIV/0!</v>
      </c>
    </row>
    <row r="16" spans="1:36" ht="5.0999999999999996" customHeight="1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43"/>
      <c r="AJ16" s="77"/>
    </row>
    <row r="17" spans="2:36" ht="12.75" customHeight="1">
      <c r="B17" s="9" t="s">
        <v>115</v>
      </c>
      <c r="C17" s="84"/>
      <c r="D17" s="84"/>
      <c r="E17" s="84"/>
      <c r="F17" s="84"/>
      <c r="G17" s="33"/>
      <c r="H17" s="98"/>
      <c r="I17" s="98"/>
      <c r="J17" s="98"/>
      <c r="K17" s="33">
        <f t="shared" ref="K17:K19" si="14">SUM(E17-SUM(H17:J17))</f>
        <v>0</v>
      </c>
      <c r="L17" s="98"/>
      <c r="M17" s="98"/>
      <c r="N17" s="98"/>
      <c r="O17" s="33">
        <f t="shared" ref="O17:O19" si="15">SUM(F17-SUM(L17:N17))</f>
        <v>0</v>
      </c>
      <c r="P17" s="84"/>
      <c r="Q17" s="84"/>
      <c r="R17" s="84"/>
      <c r="T17" s="33" t="e">
        <f>SUM(#REF!)</f>
        <v>#REF!</v>
      </c>
      <c r="U17" s="33" t="e">
        <f>SUM(#REF!)</f>
        <v>#REF!</v>
      </c>
      <c r="V17" s="33" t="e">
        <f>SUM(#REF!)</f>
        <v>#REF!</v>
      </c>
      <c r="W17" s="33" t="e">
        <f>SUM(#REF!)</f>
        <v>#REF!</v>
      </c>
      <c r="X17" s="33">
        <f>SUM(H17:H17)</f>
        <v>0</v>
      </c>
      <c r="Y17" s="33">
        <f>SUM(H17:I17)</f>
        <v>0</v>
      </c>
      <c r="Z17" s="33">
        <f>SUM(H17:J17)</f>
        <v>0</v>
      </c>
      <c r="AA17" s="33">
        <f t="shared" ref="AA17:AH19" si="16">SUM(H17:K17)</f>
        <v>0</v>
      </c>
      <c r="AB17" s="33">
        <f t="shared" si="16"/>
        <v>0</v>
      </c>
      <c r="AC17" s="33">
        <f t="shared" si="16"/>
        <v>0</v>
      </c>
      <c r="AD17" s="33">
        <f t="shared" si="16"/>
        <v>0</v>
      </c>
      <c r="AE17" s="33">
        <f t="shared" si="16"/>
        <v>0</v>
      </c>
      <c r="AF17" s="33">
        <f t="shared" si="16"/>
        <v>0</v>
      </c>
      <c r="AG17" s="33">
        <f t="shared" si="16"/>
        <v>0</v>
      </c>
      <c r="AH17" s="33">
        <f t="shared" si="16"/>
        <v>0</v>
      </c>
      <c r="AI17" s="11"/>
      <c r="AJ17" s="77" t="e">
        <f>SUM(AH17/AD17)-1</f>
        <v>#DIV/0!</v>
      </c>
    </row>
    <row r="18" spans="2:36" ht="12.75" customHeight="1">
      <c r="B18" s="9" t="s">
        <v>116</v>
      </c>
      <c r="C18" s="84"/>
      <c r="D18" s="84"/>
      <c r="E18" s="84"/>
      <c r="F18" s="84"/>
      <c r="G18" s="33"/>
      <c r="H18" s="98"/>
      <c r="I18" s="98"/>
      <c r="J18" s="98"/>
      <c r="K18" s="33">
        <f t="shared" si="14"/>
        <v>0</v>
      </c>
      <c r="L18" s="98"/>
      <c r="M18" s="98"/>
      <c r="N18" s="98"/>
      <c r="O18" s="33">
        <f t="shared" si="15"/>
        <v>0</v>
      </c>
      <c r="P18" s="84"/>
      <c r="Q18" s="84"/>
      <c r="R18" s="84"/>
      <c r="T18" s="33" t="e">
        <f>SUM(#REF!)</f>
        <v>#REF!</v>
      </c>
      <c r="U18" s="33" t="e">
        <f>SUM(#REF!)</f>
        <v>#REF!</v>
      </c>
      <c r="V18" s="33" t="e">
        <f>SUM(#REF!)</f>
        <v>#REF!</v>
      </c>
      <c r="W18" s="33" t="e">
        <f>SUM(#REF!)</f>
        <v>#REF!</v>
      </c>
      <c r="X18" s="33">
        <f>SUM(H18:H18)</f>
        <v>0</v>
      </c>
      <c r="Y18" s="33">
        <f>SUM(H18:I18)</f>
        <v>0</v>
      </c>
      <c r="Z18" s="33">
        <f>SUM(H18:J18)</f>
        <v>0</v>
      </c>
      <c r="AA18" s="33">
        <f t="shared" si="16"/>
        <v>0</v>
      </c>
      <c r="AB18" s="33">
        <f t="shared" si="16"/>
        <v>0</v>
      </c>
      <c r="AC18" s="33">
        <f t="shared" si="16"/>
        <v>0</v>
      </c>
      <c r="AD18" s="33">
        <f t="shared" si="16"/>
        <v>0</v>
      </c>
      <c r="AE18" s="33">
        <f t="shared" si="16"/>
        <v>0</v>
      </c>
      <c r="AF18" s="33">
        <f t="shared" si="16"/>
        <v>0</v>
      </c>
      <c r="AG18" s="33">
        <f t="shared" si="16"/>
        <v>0</v>
      </c>
      <c r="AH18" s="33">
        <f t="shared" si="16"/>
        <v>0</v>
      </c>
      <c r="AI18" s="11"/>
      <c r="AJ18" s="77" t="e">
        <f>SUM(AH18/AD18)-1</f>
        <v>#DIV/0!</v>
      </c>
    </row>
    <row r="19" spans="2:36" ht="12.75" customHeight="1">
      <c r="B19" s="9" t="s">
        <v>94</v>
      </c>
      <c r="C19" s="84"/>
      <c r="D19" s="84"/>
      <c r="E19" s="84"/>
      <c r="F19" s="84"/>
      <c r="G19" s="33"/>
      <c r="H19" s="98"/>
      <c r="I19" s="98"/>
      <c r="J19" s="98"/>
      <c r="K19" s="33">
        <f t="shared" si="14"/>
        <v>0</v>
      </c>
      <c r="L19" s="98"/>
      <c r="M19" s="98"/>
      <c r="N19" s="98"/>
      <c r="O19" s="33">
        <f t="shared" si="15"/>
        <v>0</v>
      </c>
      <c r="P19" s="84"/>
      <c r="Q19" s="84"/>
      <c r="R19" s="84"/>
      <c r="T19" s="33" t="e">
        <f>SUM(#REF!)</f>
        <v>#REF!</v>
      </c>
      <c r="U19" s="33" t="e">
        <f>SUM(#REF!)</f>
        <v>#REF!</v>
      </c>
      <c r="V19" s="33" t="e">
        <f>SUM(#REF!)</f>
        <v>#REF!</v>
      </c>
      <c r="W19" s="33" t="e">
        <f>SUM(#REF!)</f>
        <v>#REF!</v>
      </c>
      <c r="X19" s="33">
        <f>SUM(H19:H19)</f>
        <v>0</v>
      </c>
      <c r="Y19" s="33">
        <f>SUM(H19:I19)</f>
        <v>0</v>
      </c>
      <c r="Z19" s="33">
        <f>SUM(H19:J19)</f>
        <v>0</v>
      </c>
      <c r="AA19" s="33">
        <f t="shared" si="16"/>
        <v>0</v>
      </c>
      <c r="AB19" s="33">
        <f t="shared" si="16"/>
        <v>0</v>
      </c>
      <c r="AC19" s="33">
        <f t="shared" si="16"/>
        <v>0</v>
      </c>
      <c r="AD19" s="33">
        <f t="shared" si="16"/>
        <v>0</v>
      </c>
      <c r="AE19" s="33">
        <f t="shared" si="16"/>
        <v>0</v>
      </c>
      <c r="AF19" s="33">
        <f t="shared" si="16"/>
        <v>0</v>
      </c>
      <c r="AG19" s="33">
        <f t="shared" si="16"/>
        <v>0</v>
      </c>
      <c r="AH19" s="33">
        <f t="shared" si="16"/>
        <v>0</v>
      </c>
      <c r="AI19" s="11"/>
      <c r="AJ19" s="77" t="e">
        <f>SUM(AH19/AD19)-1</f>
        <v>#DIV/0!</v>
      </c>
    </row>
    <row r="20" spans="2:36" ht="12.75" customHeight="1">
      <c r="B20" s="26" t="s">
        <v>86</v>
      </c>
      <c r="C20" s="27">
        <f t="shared" ref="C20:F20" si="17">+SUM(C14+SUM(C17:C19))</f>
        <v>0</v>
      </c>
      <c r="D20" s="27">
        <f t="shared" si="17"/>
        <v>0</v>
      </c>
      <c r="E20" s="27">
        <f t="shared" si="17"/>
        <v>0</v>
      </c>
      <c r="F20" s="27">
        <f t="shared" si="17"/>
        <v>0</v>
      </c>
      <c r="G20" s="33"/>
      <c r="H20" s="27">
        <f t="shared" ref="H20:R20" si="18">+SUM(H14+SUM(H17:H19))</f>
        <v>0</v>
      </c>
      <c r="I20" s="27">
        <f t="shared" si="18"/>
        <v>0</v>
      </c>
      <c r="J20" s="27">
        <f t="shared" si="18"/>
        <v>0</v>
      </c>
      <c r="K20" s="27">
        <f t="shared" si="18"/>
        <v>0</v>
      </c>
      <c r="L20" s="27">
        <f t="shared" si="18"/>
        <v>0</v>
      </c>
      <c r="M20" s="27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8"/>
        <v>0</v>
      </c>
      <c r="Q20" s="27">
        <f t="shared" si="18"/>
        <v>0</v>
      </c>
      <c r="R20" s="27">
        <f t="shared" si="18"/>
        <v>0</v>
      </c>
      <c r="T20" s="27" t="e">
        <f t="shared" ref="T20:AH20" si="19">+SUM(T14+SUM(T17:T19))</f>
        <v>#REF!</v>
      </c>
      <c r="U20" s="27" t="e">
        <f t="shared" si="19"/>
        <v>#REF!</v>
      </c>
      <c r="V20" s="27" t="e">
        <f t="shared" si="19"/>
        <v>#REF!</v>
      </c>
      <c r="W20" s="27" t="e">
        <f t="shared" si="19"/>
        <v>#REF!</v>
      </c>
      <c r="X20" s="27">
        <f t="shared" si="19"/>
        <v>0</v>
      </c>
      <c r="Y20" s="27">
        <f t="shared" si="19"/>
        <v>0</v>
      </c>
      <c r="Z20" s="27">
        <f t="shared" si="19"/>
        <v>0</v>
      </c>
      <c r="AA20" s="27">
        <f t="shared" si="19"/>
        <v>0</v>
      </c>
      <c r="AB20" s="27">
        <f t="shared" si="19"/>
        <v>0</v>
      </c>
      <c r="AC20" s="27">
        <f t="shared" si="19"/>
        <v>0</v>
      </c>
      <c r="AD20" s="27">
        <f t="shared" si="19"/>
        <v>0</v>
      </c>
      <c r="AE20" s="27">
        <f t="shared" si="19"/>
        <v>0</v>
      </c>
      <c r="AF20" s="27">
        <f t="shared" si="19"/>
        <v>0</v>
      </c>
      <c r="AG20" s="27">
        <f t="shared" si="19"/>
        <v>0</v>
      </c>
      <c r="AH20" s="27">
        <f t="shared" si="19"/>
        <v>0</v>
      </c>
      <c r="AI20" s="11"/>
      <c r="AJ20" s="78" t="e">
        <f>SUM(AH20/AD20)-1</f>
        <v>#DIV/0!</v>
      </c>
    </row>
    <row r="21" spans="2:36" ht="12.75" customHeight="1">
      <c r="B21" s="16" t="s">
        <v>35</v>
      </c>
      <c r="C21" s="18" t="e">
        <f>C20/C11</f>
        <v>#DIV/0!</v>
      </c>
      <c r="D21" s="18" t="e">
        <f>D20/D11</f>
        <v>#DIV/0!</v>
      </c>
      <c r="E21" s="18" t="e">
        <f>E20/E11</f>
        <v>#DIV/0!</v>
      </c>
      <c r="F21" s="18" t="e">
        <f>F20/F11</f>
        <v>#DIV/0!</v>
      </c>
      <c r="G21" s="33"/>
      <c r="H21" s="18" t="e">
        <f>H20/H11</f>
        <v>#DIV/0!</v>
      </c>
      <c r="I21" s="18" t="e">
        <f>I20/I11</f>
        <v>#DIV/0!</v>
      </c>
      <c r="J21" s="18" t="e">
        <f>J20/J11</f>
        <v>#DIV/0!</v>
      </c>
      <c r="K21" s="18" t="e">
        <f>K20/K11</f>
        <v>#DIV/0!</v>
      </c>
      <c r="L21" s="18" t="e">
        <f>L20/L11</f>
        <v>#DIV/0!</v>
      </c>
      <c r="M21" s="18" t="e">
        <f>M20/M11</f>
        <v>#DIV/0!</v>
      </c>
      <c r="N21" s="18" t="e">
        <f>N20/N11</f>
        <v>#DIV/0!</v>
      </c>
      <c r="O21" s="18" t="e">
        <f>O20/O11</f>
        <v>#DIV/0!</v>
      </c>
      <c r="P21" s="18" t="e">
        <f>P20/P11</f>
        <v>#DIV/0!</v>
      </c>
      <c r="Q21" s="18" t="e">
        <f>Q20/Q11</f>
        <v>#DIV/0!</v>
      </c>
      <c r="R21" s="18" t="e">
        <f>R20/R11</f>
        <v>#DIV/0!</v>
      </c>
      <c r="T21" s="18" t="e">
        <f>T20/T11</f>
        <v>#REF!</v>
      </c>
      <c r="U21" s="18" t="e">
        <f>U20/U11</f>
        <v>#REF!</v>
      </c>
      <c r="V21" s="18" t="e">
        <f>V20/V11</f>
        <v>#REF!</v>
      </c>
      <c r="W21" s="18" t="e">
        <f>W20/W11</f>
        <v>#REF!</v>
      </c>
      <c r="X21" s="18" t="e">
        <f>X20/X11</f>
        <v>#DIV/0!</v>
      </c>
      <c r="Y21" s="18" t="e">
        <f>Y20/Y11</f>
        <v>#DIV/0!</v>
      </c>
      <c r="Z21" s="18" t="e">
        <f>Z20/Z11</f>
        <v>#DIV/0!</v>
      </c>
      <c r="AA21" s="18" t="e">
        <f>AA20/AA11</f>
        <v>#DIV/0!</v>
      </c>
      <c r="AB21" s="18" t="e">
        <f>AB20/AB11</f>
        <v>#DIV/0!</v>
      </c>
      <c r="AC21" s="18" t="e">
        <f>AC20/AC11</f>
        <v>#DIV/0!</v>
      </c>
      <c r="AD21" s="18" t="e">
        <f>AD20/AD11</f>
        <v>#DIV/0!</v>
      </c>
      <c r="AE21" s="18" t="e">
        <f>AE20/AE11</f>
        <v>#DIV/0!</v>
      </c>
      <c r="AF21" s="18" t="e">
        <f>AF20/AF11</f>
        <v>#DIV/0!</v>
      </c>
      <c r="AG21" s="18" t="e">
        <f>AG20/AG11</f>
        <v>#DIV/0!</v>
      </c>
      <c r="AH21" s="18" t="e">
        <f>AH20/AH11</f>
        <v>#DIV/0!</v>
      </c>
      <c r="AI21" s="11"/>
      <c r="AJ21" s="79" t="e">
        <f>SUM(AH21-AD21)*1000</f>
        <v>#DIV/0!</v>
      </c>
    </row>
    <row r="22" spans="2:36" ht="5.0999999999999996" customHeight="1">
      <c r="B22" s="16"/>
      <c r="C22" s="18"/>
      <c r="D22" s="18"/>
      <c r="E22" s="18"/>
      <c r="F22" s="18"/>
      <c r="G22" s="33"/>
      <c r="H22" s="84"/>
      <c r="I22" s="84"/>
      <c r="J22" s="84"/>
      <c r="K22" s="84"/>
      <c r="L22" s="84"/>
      <c r="M22" s="84"/>
      <c r="N22" s="84"/>
      <c r="O22" s="84"/>
      <c r="P22" s="33"/>
      <c r="Q22" s="84"/>
      <c r="R22" s="84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11"/>
      <c r="AJ22" s="77"/>
    </row>
    <row r="23" spans="2:36" ht="12.75" customHeight="1">
      <c r="B23" s="9" t="s">
        <v>95</v>
      </c>
      <c r="C23" s="84"/>
      <c r="D23" s="84"/>
      <c r="E23" s="84"/>
      <c r="F23" s="84"/>
      <c r="G23" s="33"/>
      <c r="H23" s="98"/>
      <c r="I23" s="98"/>
      <c r="J23" s="98"/>
      <c r="K23" s="33">
        <f t="shared" ref="K23:K25" si="20">SUM(E23-SUM(H23:J23))</f>
        <v>0</v>
      </c>
      <c r="L23" s="98"/>
      <c r="M23" s="98"/>
      <c r="N23" s="98"/>
      <c r="O23" s="33">
        <f t="shared" ref="O23:O25" si="21">SUM(F23-SUM(L23:N23))</f>
        <v>0</v>
      </c>
      <c r="P23" s="84"/>
      <c r="Q23" s="84"/>
      <c r="R23" s="84"/>
      <c r="T23" s="33" t="e">
        <f>SUM(#REF!)</f>
        <v>#REF!</v>
      </c>
      <c r="U23" s="33" t="e">
        <f>SUM(#REF!)</f>
        <v>#REF!</v>
      </c>
      <c r="V23" s="33" t="e">
        <f>SUM(#REF!)</f>
        <v>#REF!</v>
      </c>
      <c r="W23" s="33" t="e">
        <f>SUM(#REF!)</f>
        <v>#REF!</v>
      </c>
      <c r="X23" s="33">
        <f>SUM(H23:H23)</f>
        <v>0</v>
      </c>
      <c r="Y23" s="33">
        <f>SUM(H23:I23)</f>
        <v>0</v>
      </c>
      <c r="Z23" s="33">
        <f>SUM(H23:J23)</f>
        <v>0</v>
      </c>
      <c r="AA23" s="33">
        <f t="shared" ref="AA23:AA25" si="22">SUM(H23:K23)</f>
        <v>0</v>
      </c>
      <c r="AB23" s="33">
        <f t="shared" ref="AB23:AB25" si="23">SUM(I23:L23)</f>
        <v>0</v>
      </c>
      <c r="AC23" s="33">
        <f t="shared" ref="AC23:AC25" si="24">SUM(J23:M23)</f>
        <v>0</v>
      </c>
      <c r="AD23" s="33">
        <f t="shared" ref="AD23:AD25" si="25">SUM(K23:N23)</f>
        <v>0</v>
      </c>
      <c r="AE23" s="33">
        <f t="shared" ref="AE23:AE25" si="26">SUM(L23:O23)</f>
        <v>0</v>
      </c>
      <c r="AF23" s="33">
        <f t="shared" ref="AF23:AF25" si="27">SUM(M23:P23)</f>
        <v>0</v>
      </c>
      <c r="AG23" s="33">
        <f t="shared" ref="AG23:AG25" si="28">SUM(N23:Q23)</f>
        <v>0</v>
      </c>
      <c r="AH23" s="33">
        <f t="shared" ref="AH23:AH25" si="29">SUM(O23:R23)</f>
        <v>0</v>
      </c>
      <c r="AI23" s="11"/>
      <c r="AJ23" s="77" t="e">
        <f>SUM(AH23/AD23)-1</f>
        <v>#DIV/0!</v>
      </c>
    </row>
    <row r="24" spans="2:36" ht="12.75" customHeight="1">
      <c r="B24" s="9" t="s">
        <v>85</v>
      </c>
      <c r="C24" s="84"/>
      <c r="D24" s="84"/>
      <c r="E24" s="84"/>
      <c r="F24" s="84"/>
      <c r="G24" s="33"/>
      <c r="H24" s="98"/>
      <c r="I24" s="98"/>
      <c r="J24" s="98"/>
      <c r="K24" s="33">
        <f t="shared" si="20"/>
        <v>0</v>
      </c>
      <c r="L24" s="98"/>
      <c r="M24" s="98"/>
      <c r="N24" s="98"/>
      <c r="O24" s="33">
        <f t="shared" si="21"/>
        <v>0</v>
      </c>
      <c r="P24" s="84"/>
      <c r="Q24" s="84"/>
      <c r="R24" s="84"/>
      <c r="T24" s="33" t="e">
        <f>SUM(#REF!)</f>
        <v>#REF!</v>
      </c>
      <c r="U24" s="33" t="e">
        <f>SUM(#REF!)</f>
        <v>#REF!</v>
      </c>
      <c r="V24" s="33" t="e">
        <f>SUM(#REF!)</f>
        <v>#REF!</v>
      </c>
      <c r="W24" s="33" t="e">
        <f>SUM(#REF!)</f>
        <v>#REF!</v>
      </c>
      <c r="X24" s="33">
        <f>SUM(H24:H24)</f>
        <v>0</v>
      </c>
      <c r="Y24" s="33">
        <f>SUM(H24:I24)</f>
        <v>0</v>
      </c>
      <c r="Z24" s="33">
        <f>SUM(H24:J24)</f>
        <v>0</v>
      </c>
      <c r="AA24" s="33">
        <f t="shared" si="22"/>
        <v>0</v>
      </c>
      <c r="AB24" s="33">
        <f t="shared" si="23"/>
        <v>0</v>
      </c>
      <c r="AC24" s="33">
        <f t="shared" si="24"/>
        <v>0</v>
      </c>
      <c r="AD24" s="33">
        <f t="shared" si="25"/>
        <v>0</v>
      </c>
      <c r="AE24" s="33">
        <f t="shared" si="26"/>
        <v>0</v>
      </c>
      <c r="AF24" s="33">
        <f t="shared" si="27"/>
        <v>0</v>
      </c>
      <c r="AG24" s="33">
        <f t="shared" si="28"/>
        <v>0</v>
      </c>
      <c r="AH24" s="33">
        <f t="shared" si="29"/>
        <v>0</v>
      </c>
      <c r="AI24" s="11"/>
      <c r="AJ24" s="77" t="e">
        <f>SUM(AH24/AD24)-1</f>
        <v>#DIV/0!</v>
      </c>
    </row>
    <row r="25" spans="2:36" ht="12.75" customHeight="1">
      <c r="B25" s="9" t="s">
        <v>147</v>
      </c>
      <c r="C25" s="84"/>
      <c r="D25" s="84"/>
      <c r="E25" s="84"/>
      <c r="F25" s="84"/>
      <c r="G25" s="33"/>
      <c r="H25" s="98"/>
      <c r="I25" s="98"/>
      <c r="J25" s="98"/>
      <c r="K25" s="33">
        <f t="shared" si="20"/>
        <v>0</v>
      </c>
      <c r="L25" s="98"/>
      <c r="M25" s="98"/>
      <c r="N25" s="98"/>
      <c r="O25" s="33">
        <f t="shared" si="21"/>
        <v>0</v>
      </c>
      <c r="P25" s="84"/>
      <c r="Q25" s="84"/>
      <c r="R25" s="84"/>
      <c r="T25" s="33" t="e">
        <f>SUM(#REF!)</f>
        <v>#REF!</v>
      </c>
      <c r="U25" s="33" t="e">
        <f>SUM(#REF!)</f>
        <v>#REF!</v>
      </c>
      <c r="V25" s="33" t="e">
        <f>SUM(#REF!)</f>
        <v>#REF!</v>
      </c>
      <c r="W25" s="33" t="e">
        <f>SUM(#REF!)</f>
        <v>#REF!</v>
      </c>
      <c r="X25" s="33">
        <f>SUM(H25:H25)</f>
        <v>0</v>
      </c>
      <c r="Y25" s="33">
        <f>SUM(H25:I25)</f>
        <v>0</v>
      </c>
      <c r="Z25" s="33">
        <f>SUM(H25:J25)</f>
        <v>0</v>
      </c>
      <c r="AA25" s="33">
        <f t="shared" si="22"/>
        <v>0</v>
      </c>
      <c r="AB25" s="33">
        <f t="shared" si="23"/>
        <v>0</v>
      </c>
      <c r="AC25" s="33">
        <f t="shared" si="24"/>
        <v>0</v>
      </c>
      <c r="AD25" s="33">
        <f t="shared" si="25"/>
        <v>0</v>
      </c>
      <c r="AE25" s="33">
        <f t="shared" si="26"/>
        <v>0</v>
      </c>
      <c r="AF25" s="33">
        <f t="shared" si="27"/>
        <v>0</v>
      </c>
      <c r="AG25" s="33">
        <f t="shared" si="28"/>
        <v>0</v>
      </c>
      <c r="AH25" s="33">
        <f t="shared" si="29"/>
        <v>0</v>
      </c>
      <c r="AI25" s="11"/>
      <c r="AJ25" s="77" t="e">
        <f>SUM(AH25/AD25)-1</f>
        <v>#DIV/0!</v>
      </c>
    </row>
    <row r="26" spans="2:36" ht="12.75" customHeight="1">
      <c r="B26" s="26" t="s">
        <v>87</v>
      </c>
      <c r="C26" s="27">
        <f t="shared" ref="C26:F26" si="30">SUM(C20+SUM(C23:C25))</f>
        <v>0</v>
      </c>
      <c r="D26" s="27">
        <f t="shared" si="30"/>
        <v>0</v>
      </c>
      <c r="E26" s="27">
        <f t="shared" si="30"/>
        <v>0</v>
      </c>
      <c r="F26" s="27">
        <f t="shared" si="30"/>
        <v>0</v>
      </c>
      <c r="H26" s="27">
        <f t="shared" ref="H26:R26" si="31">SUM(H20+SUM(H23:H25))</f>
        <v>0</v>
      </c>
      <c r="I26" s="27">
        <f t="shared" si="31"/>
        <v>0</v>
      </c>
      <c r="J26" s="27">
        <f t="shared" si="31"/>
        <v>0</v>
      </c>
      <c r="K26" s="27">
        <f t="shared" si="31"/>
        <v>0</v>
      </c>
      <c r="L26" s="27">
        <f t="shared" si="31"/>
        <v>0</v>
      </c>
      <c r="M26" s="27">
        <f t="shared" si="31"/>
        <v>0</v>
      </c>
      <c r="N26" s="27">
        <f t="shared" si="31"/>
        <v>0</v>
      </c>
      <c r="O26" s="27">
        <f t="shared" si="31"/>
        <v>0</v>
      </c>
      <c r="P26" s="27">
        <f t="shared" si="31"/>
        <v>0</v>
      </c>
      <c r="Q26" s="27">
        <f t="shared" si="31"/>
        <v>0</v>
      </c>
      <c r="R26" s="27">
        <f t="shared" si="31"/>
        <v>0</v>
      </c>
      <c r="T26" s="27" t="e">
        <f t="shared" ref="T26:AH26" si="32">SUM(T20+SUM(T23:T25))</f>
        <v>#REF!</v>
      </c>
      <c r="U26" s="27" t="e">
        <f t="shared" si="32"/>
        <v>#REF!</v>
      </c>
      <c r="V26" s="27" t="e">
        <f t="shared" si="32"/>
        <v>#REF!</v>
      </c>
      <c r="W26" s="27" t="e">
        <f t="shared" si="32"/>
        <v>#REF!</v>
      </c>
      <c r="X26" s="27">
        <f t="shared" si="32"/>
        <v>0</v>
      </c>
      <c r="Y26" s="27">
        <f t="shared" si="32"/>
        <v>0</v>
      </c>
      <c r="Z26" s="27">
        <f t="shared" si="32"/>
        <v>0</v>
      </c>
      <c r="AA26" s="27">
        <f t="shared" si="32"/>
        <v>0</v>
      </c>
      <c r="AB26" s="27">
        <f t="shared" si="32"/>
        <v>0</v>
      </c>
      <c r="AC26" s="27">
        <f t="shared" si="32"/>
        <v>0</v>
      </c>
      <c r="AD26" s="27">
        <f t="shared" si="32"/>
        <v>0</v>
      </c>
      <c r="AE26" s="27">
        <f t="shared" si="32"/>
        <v>0</v>
      </c>
      <c r="AF26" s="27">
        <f t="shared" si="32"/>
        <v>0</v>
      </c>
      <c r="AG26" s="27">
        <f t="shared" si="32"/>
        <v>0</v>
      </c>
      <c r="AH26" s="27">
        <f t="shared" si="32"/>
        <v>0</v>
      </c>
      <c r="AI26" s="43"/>
      <c r="AJ26" s="78" t="e">
        <f>SUM(AH26/AD26)-1</f>
        <v>#DIV/0!</v>
      </c>
    </row>
    <row r="27" spans="2:36" ht="12.75" customHeight="1">
      <c r="B27" s="16" t="s">
        <v>88</v>
      </c>
      <c r="C27" s="18" t="e">
        <f>C26/C11</f>
        <v>#DIV/0!</v>
      </c>
      <c r="D27" s="18" t="e">
        <f>D26/D11</f>
        <v>#DIV/0!</v>
      </c>
      <c r="E27" s="18" t="e">
        <f>E26/E11</f>
        <v>#DIV/0!</v>
      </c>
      <c r="F27" s="18" t="e">
        <f>F26/F11</f>
        <v>#DIV/0!</v>
      </c>
      <c r="G27" s="28"/>
      <c r="H27" s="18" t="e">
        <f>H26/H11</f>
        <v>#DIV/0!</v>
      </c>
      <c r="I27" s="18" t="e">
        <f>I26/I11</f>
        <v>#DIV/0!</v>
      </c>
      <c r="J27" s="18" t="e">
        <f>J26/J11</f>
        <v>#DIV/0!</v>
      </c>
      <c r="K27" s="18" t="e">
        <f>K26/K11</f>
        <v>#DIV/0!</v>
      </c>
      <c r="L27" s="18" t="e">
        <f>L26/L11</f>
        <v>#DIV/0!</v>
      </c>
      <c r="M27" s="18" t="e">
        <f>M26/M11</f>
        <v>#DIV/0!</v>
      </c>
      <c r="N27" s="18" t="e">
        <f>N26/N11</f>
        <v>#DIV/0!</v>
      </c>
      <c r="O27" s="18" t="e">
        <f>O26/O11</f>
        <v>#DIV/0!</v>
      </c>
      <c r="P27" s="18" t="e">
        <f>P26/P11</f>
        <v>#DIV/0!</v>
      </c>
      <c r="Q27" s="18" t="e">
        <f>Q26/Q11</f>
        <v>#DIV/0!</v>
      </c>
      <c r="R27" s="18" t="e">
        <f>R26/R11</f>
        <v>#DIV/0!</v>
      </c>
      <c r="S27" s="29"/>
      <c r="T27" s="18" t="e">
        <f>T26/T11</f>
        <v>#REF!</v>
      </c>
      <c r="U27" s="18" t="e">
        <f>U26/U11</f>
        <v>#REF!</v>
      </c>
      <c r="V27" s="18" t="e">
        <f>V26/V11</f>
        <v>#REF!</v>
      </c>
      <c r="W27" s="18" t="e">
        <f>W26/W11</f>
        <v>#REF!</v>
      </c>
      <c r="X27" s="18" t="e">
        <f>X26/X11</f>
        <v>#DIV/0!</v>
      </c>
      <c r="Y27" s="18" t="e">
        <f>Y26/Y11</f>
        <v>#DIV/0!</v>
      </c>
      <c r="Z27" s="18" t="e">
        <f>Z26/Z11</f>
        <v>#DIV/0!</v>
      </c>
      <c r="AA27" s="18" t="e">
        <f>AA26/AA11</f>
        <v>#DIV/0!</v>
      </c>
      <c r="AB27" s="18" t="e">
        <f>AB26/AB11</f>
        <v>#DIV/0!</v>
      </c>
      <c r="AC27" s="18" t="e">
        <f>AC26/AC11</f>
        <v>#DIV/0!</v>
      </c>
      <c r="AD27" s="18" t="e">
        <f>AD26/AD11</f>
        <v>#DIV/0!</v>
      </c>
      <c r="AE27" s="18" t="e">
        <f>AE26/AE11</f>
        <v>#DIV/0!</v>
      </c>
      <c r="AF27" s="18" t="e">
        <f>AF26/AF11</f>
        <v>#DIV/0!</v>
      </c>
      <c r="AG27" s="18" t="e">
        <f>AG26/AG11</f>
        <v>#DIV/0!</v>
      </c>
      <c r="AH27" s="18" t="e">
        <f>AH26/AH11</f>
        <v>#DIV/0!</v>
      </c>
      <c r="AI27" s="44"/>
      <c r="AJ27" s="79" t="e">
        <f>SUM(AH27-AD27)*1000</f>
        <v>#DIV/0!</v>
      </c>
    </row>
    <row r="28" spans="2:36" ht="5.0999999999999996" customHeight="1">
      <c r="B28" s="30"/>
      <c r="C28" s="45"/>
      <c r="D28" s="45"/>
      <c r="E28" s="45"/>
      <c r="F28" s="45"/>
      <c r="G28" s="31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4"/>
      <c r="AJ28" s="77"/>
    </row>
    <row r="29" spans="2:36" ht="12.75" customHeight="1">
      <c r="B29" s="46" t="s">
        <v>67</v>
      </c>
      <c r="C29" s="84"/>
      <c r="D29" s="84"/>
      <c r="E29" s="84"/>
      <c r="F29" s="84"/>
      <c r="G29" s="33"/>
      <c r="H29" s="98"/>
      <c r="I29" s="98"/>
      <c r="J29" s="98"/>
      <c r="K29" s="33">
        <f>SUM(E29-SUM(H29:J29))</f>
        <v>0</v>
      </c>
      <c r="L29" s="98"/>
      <c r="M29" s="98"/>
      <c r="N29" s="98"/>
      <c r="O29" s="33">
        <f>SUM(F29-SUM(L29:N29))</f>
        <v>0</v>
      </c>
      <c r="P29" s="84"/>
      <c r="Q29" s="84"/>
      <c r="R29" s="84"/>
      <c r="S29" s="33"/>
      <c r="T29" s="33" t="e">
        <f>SUM(#REF!)</f>
        <v>#REF!</v>
      </c>
      <c r="U29" s="33" t="e">
        <f>SUM(#REF!)</f>
        <v>#REF!</v>
      </c>
      <c r="V29" s="33" t="e">
        <f>SUM(#REF!)</f>
        <v>#REF!</v>
      </c>
      <c r="W29" s="33" t="e">
        <f>SUM(#REF!)</f>
        <v>#REF!</v>
      </c>
      <c r="X29" s="33">
        <f>SUM(H29:H29)</f>
        <v>0</v>
      </c>
      <c r="Y29" s="33">
        <f>SUM(H29:I29)</f>
        <v>0</v>
      </c>
      <c r="Z29" s="33">
        <f>SUM(H29:J29)</f>
        <v>0</v>
      </c>
      <c r="AA29" s="33">
        <f t="shared" ref="AA29" si="33">SUM(H29:K29)</f>
        <v>0</v>
      </c>
      <c r="AB29" s="33">
        <f t="shared" ref="AB29" si="34">SUM(I29:L29)</f>
        <v>0</v>
      </c>
      <c r="AC29" s="33">
        <f t="shared" ref="AC29" si="35">SUM(J29:M29)</f>
        <v>0</v>
      </c>
      <c r="AD29" s="33">
        <f t="shared" ref="AD29" si="36">SUM(K29:N29)</f>
        <v>0</v>
      </c>
      <c r="AE29" s="33">
        <f t="shared" ref="AE29" si="37">SUM(L29:O29)</f>
        <v>0</v>
      </c>
      <c r="AF29" s="33">
        <f t="shared" ref="AF29" si="38">SUM(M29:P29)</f>
        <v>0</v>
      </c>
      <c r="AG29" s="33">
        <f t="shared" ref="AG29" si="39">SUM(N29:Q29)</f>
        <v>0</v>
      </c>
      <c r="AH29" s="33">
        <f>SUM(O29:R29)</f>
        <v>0</v>
      </c>
      <c r="AI29" s="44"/>
      <c r="AJ29" s="77" t="e">
        <f>SUM(AH29/AD29)-1</f>
        <v>#DIV/0!</v>
      </c>
    </row>
    <row r="30" spans="2:36" ht="12.75" customHeight="1">
      <c r="B30" s="13" t="s">
        <v>53</v>
      </c>
      <c r="C30" s="14">
        <f t="shared" ref="C30:F30" si="40">SUM(C26+SUM(C29:C29))</f>
        <v>0</v>
      </c>
      <c r="D30" s="14">
        <f t="shared" si="40"/>
        <v>0</v>
      </c>
      <c r="E30" s="14">
        <f t="shared" si="40"/>
        <v>0</v>
      </c>
      <c r="F30" s="14">
        <f t="shared" si="40"/>
        <v>0</v>
      </c>
      <c r="G30" s="11"/>
      <c r="H30" s="14">
        <f t="shared" ref="H30:R30" si="41">SUM(H26+SUM(H29:H29))</f>
        <v>0</v>
      </c>
      <c r="I30" s="14">
        <f t="shared" si="41"/>
        <v>0</v>
      </c>
      <c r="J30" s="14">
        <f t="shared" si="41"/>
        <v>0</v>
      </c>
      <c r="K30" s="14">
        <f t="shared" si="41"/>
        <v>0</v>
      </c>
      <c r="L30" s="14">
        <f t="shared" si="41"/>
        <v>0</v>
      </c>
      <c r="M30" s="14">
        <f t="shared" si="41"/>
        <v>0</v>
      </c>
      <c r="N30" s="14">
        <f t="shared" si="41"/>
        <v>0</v>
      </c>
      <c r="O30" s="14">
        <f t="shared" si="41"/>
        <v>0</v>
      </c>
      <c r="P30" s="14">
        <f t="shared" si="41"/>
        <v>0</v>
      </c>
      <c r="Q30" s="14">
        <f t="shared" si="41"/>
        <v>0</v>
      </c>
      <c r="R30" s="14">
        <f t="shared" si="41"/>
        <v>0</v>
      </c>
      <c r="S30" s="33"/>
      <c r="T30" s="14" t="e">
        <f t="shared" ref="T30:AH30" si="42">SUM(T26+SUM(T29:T29))</f>
        <v>#REF!</v>
      </c>
      <c r="U30" s="14" t="e">
        <f t="shared" si="42"/>
        <v>#REF!</v>
      </c>
      <c r="V30" s="14" t="e">
        <f t="shared" si="42"/>
        <v>#REF!</v>
      </c>
      <c r="W30" s="14" t="e">
        <f t="shared" si="42"/>
        <v>#REF!</v>
      </c>
      <c r="X30" s="14">
        <f t="shared" si="42"/>
        <v>0</v>
      </c>
      <c r="Y30" s="14">
        <f t="shared" si="42"/>
        <v>0</v>
      </c>
      <c r="Z30" s="14">
        <f t="shared" si="42"/>
        <v>0</v>
      </c>
      <c r="AA30" s="14">
        <f t="shared" si="42"/>
        <v>0</v>
      </c>
      <c r="AB30" s="14">
        <f t="shared" si="42"/>
        <v>0</v>
      </c>
      <c r="AC30" s="14">
        <f t="shared" si="42"/>
        <v>0</v>
      </c>
      <c r="AD30" s="14">
        <f t="shared" si="42"/>
        <v>0</v>
      </c>
      <c r="AE30" s="14">
        <f t="shared" si="42"/>
        <v>0</v>
      </c>
      <c r="AF30" s="14">
        <f t="shared" si="42"/>
        <v>0</v>
      </c>
      <c r="AG30" s="14">
        <f t="shared" si="42"/>
        <v>0</v>
      </c>
      <c r="AH30" s="14">
        <f t="shared" si="42"/>
        <v>0</v>
      </c>
      <c r="AI30" s="37"/>
      <c r="AJ30" s="78" t="e">
        <f>SUM(AH30/AD30)-1</f>
        <v>#DIV/0!</v>
      </c>
    </row>
    <row r="31" spans="2:36" ht="12.75" customHeight="1">
      <c r="B31" s="16" t="s">
        <v>69</v>
      </c>
      <c r="C31" s="18" t="e">
        <f>C30/C11</f>
        <v>#DIV/0!</v>
      </c>
      <c r="D31" s="18" t="e">
        <f>D30/D11</f>
        <v>#DIV/0!</v>
      </c>
      <c r="E31" s="18" t="e">
        <f>E30/E11</f>
        <v>#DIV/0!</v>
      </c>
      <c r="F31" s="18" t="e">
        <f>F30/F11</f>
        <v>#DIV/0!</v>
      </c>
      <c r="G31" s="28"/>
      <c r="H31" s="18" t="e">
        <f>H30/H11</f>
        <v>#DIV/0!</v>
      </c>
      <c r="I31" s="18" t="e">
        <f>I30/I11</f>
        <v>#DIV/0!</v>
      </c>
      <c r="J31" s="18" t="e">
        <f>J30/J11</f>
        <v>#DIV/0!</v>
      </c>
      <c r="K31" s="18" t="e">
        <f>K30/K11</f>
        <v>#DIV/0!</v>
      </c>
      <c r="L31" s="18" t="e">
        <f>L30/L11</f>
        <v>#DIV/0!</v>
      </c>
      <c r="M31" s="18" t="e">
        <f>M30/M11</f>
        <v>#DIV/0!</v>
      </c>
      <c r="N31" s="18" t="e">
        <f>N30/N11</f>
        <v>#DIV/0!</v>
      </c>
      <c r="O31" s="18" t="e">
        <f>O30/O11</f>
        <v>#DIV/0!</v>
      </c>
      <c r="P31" s="18" t="e">
        <f>P30/P11</f>
        <v>#DIV/0!</v>
      </c>
      <c r="Q31" s="18" t="e">
        <f>Q30/Q11</f>
        <v>#DIV/0!</v>
      </c>
      <c r="R31" s="18" t="e">
        <f>R30/R11</f>
        <v>#DIV/0!</v>
      </c>
      <c r="S31" s="29"/>
      <c r="T31" s="18" t="e">
        <f>T30/T11</f>
        <v>#REF!</v>
      </c>
      <c r="U31" s="18" t="e">
        <f>U30/U11</f>
        <v>#REF!</v>
      </c>
      <c r="V31" s="18" t="e">
        <f>V30/V11</f>
        <v>#REF!</v>
      </c>
      <c r="W31" s="18" t="e">
        <f>W30/W11</f>
        <v>#REF!</v>
      </c>
      <c r="X31" s="18" t="e">
        <f>X30/X11</f>
        <v>#DIV/0!</v>
      </c>
      <c r="Y31" s="18" t="e">
        <f>Y30/Y11</f>
        <v>#DIV/0!</v>
      </c>
      <c r="Z31" s="18" t="e">
        <f>Z30/Z11</f>
        <v>#DIV/0!</v>
      </c>
      <c r="AA31" s="18" t="e">
        <f>AA30/AA11</f>
        <v>#DIV/0!</v>
      </c>
      <c r="AB31" s="18" t="e">
        <f>AB30/AB11</f>
        <v>#DIV/0!</v>
      </c>
      <c r="AC31" s="18" t="e">
        <f>AC30/AC11</f>
        <v>#DIV/0!</v>
      </c>
      <c r="AD31" s="18" t="e">
        <f>AD30/AD11</f>
        <v>#DIV/0!</v>
      </c>
      <c r="AE31" s="18" t="e">
        <f>AE30/AE11</f>
        <v>#DIV/0!</v>
      </c>
      <c r="AF31" s="18" t="e">
        <f>AF30/AF11</f>
        <v>#DIV/0!</v>
      </c>
      <c r="AG31" s="18" t="e">
        <f>AG30/AG11</f>
        <v>#DIV/0!</v>
      </c>
      <c r="AH31" s="18" t="e">
        <f>AH30/AH11</f>
        <v>#DIV/0!</v>
      </c>
      <c r="AI31" s="44"/>
      <c r="AJ31" s="79" t="e">
        <f>SUM(AH31-AD31)*1000</f>
        <v>#DIV/0!</v>
      </c>
    </row>
    <row r="32" spans="2:36" ht="5.0999999999999996" customHeight="1">
      <c r="B32" s="16"/>
      <c r="C32" s="18"/>
      <c r="D32" s="18"/>
      <c r="E32" s="18"/>
      <c r="F32" s="18"/>
      <c r="G32" s="2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29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44"/>
      <c r="AJ32" s="79"/>
    </row>
    <row r="33" spans="1:36" ht="12.75" customHeight="1">
      <c r="B33" s="46" t="s">
        <v>107</v>
      </c>
      <c r="C33" s="84"/>
      <c r="D33" s="84"/>
      <c r="E33" s="84"/>
      <c r="F33" s="84"/>
      <c r="G33" s="28"/>
      <c r="H33" s="84"/>
      <c r="I33" s="84"/>
      <c r="J33" s="84"/>
      <c r="K33" s="33">
        <f>E33</f>
        <v>0</v>
      </c>
      <c r="L33" s="84"/>
      <c r="M33" s="84"/>
      <c r="N33" s="84"/>
      <c r="O33" s="33">
        <f>F33</f>
        <v>0</v>
      </c>
      <c r="P33" s="84"/>
      <c r="Q33" s="84"/>
      <c r="R33" s="84"/>
      <c r="S33" s="137"/>
      <c r="T33" s="33" t="e">
        <f>#REF!</f>
        <v>#REF!</v>
      </c>
      <c r="U33" s="33" t="e">
        <f>#REF!</f>
        <v>#REF!</v>
      </c>
      <c r="V33" s="33" t="e">
        <f>#REF!</f>
        <v>#REF!</v>
      </c>
      <c r="W33" s="33" t="e">
        <f>#REF!</f>
        <v>#REF!</v>
      </c>
      <c r="X33" s="33">
        <f t="shared" ref="X33:AG33" si="43">H33</f>
        <v>0</v>
      </c>
      <c r="Y33" s="33">
        <f t="shared" si="43"/>
        <v>0</v>
      </c>
      <c r="Z33" s="33">
        <f t="shared" si="43"/>
        <v>0</v>
      </c>
      <c r="AA33" s="33">
        <f t="shared" si="43"/>
        <v>0</v>
      </c>
      <c r="AB33" s="33">
        <f t="shared" si="43"/>
        <v>0</v>
      </c>
      <c r="AC33" s="33">
        <f t="shared" si="43"/>
        <v>0</v>
      </c>
      <c r="AD33" s="33">
        <f t="shared" si="43"/>
        <v>0</v>
      </c>
      <c r="AE33" s="33">
        <f t="shared" si="43"/>
        <v>0</v>
      </c>
      <c r="AF33" s="33">
        <f t="shared" si="43"/>
        <v>0</v>
      </c>
      <c r="AG33" s="33">
        <f t="shared" si="43"/>
        <v>0</v>
      </c>
      <c r="AH33" s="33">
        <f>R33</f>
        <v>0</v>
      </c>
      <c r="AI33" s="44"/>
      <c r="AJ33" s="77" t="e">
        <f>SUM(AH33/AD33)-1</f>
        <v>#DIV/0!</v>
      </c>
    </row>
    <row r="34" spans="1:36" ht="12.75" customHeight="1">
      <c r="B34" s="13" t="s">
        <v>70</v>
      </c>
      <c r="C34" s="152" t="e">
        <f t="shared" ref="C34:E34" si="44">C30/C33</f>
        <v>#DIV/0!</v>
      </c>
      <c r="D34" s="152" t="e">
        <f t="shared" si="44"/>
        <v>#DIV/0!</v>
      </c>
      <c r="E34" s="152" t="e">
        <f t="shared" si="44"/>
        <v>#DIV/0!</v>
      </c>
      <c r="F34" s="152" t="e">
        <f>F30/F33</f>
        <v>#DIV/0!</v>
      </c>
      <c r="G34" s="28"/>
      <c r="H34" s="152" t="e">
        <f t="shared" ref="H34:M34" si="45">H30/H33</f>
        <v>#DIV/0!</v>
      </c>
      <c r="I34" s="152" t="e">
        <f t="shared" si="45"/>
        <v>#DIV/0!</v>
      </c>
      <c r="J34" s="152" t="e">
        <f t="shared" si="45"/>
        <v>#DIV/0!</v>
      </c>
      <c r="K34" s="152" t="e">
        <f t="shared" si="45"/>
        <v>#DIV/0!</v>
      </c>
      <c r="L34" s="152" t="e">
        <f t="shared" si="45"/>
        <v>#DIV/0!</v>
      </c>
      <c r="M34" s="152" t="e">
        <f t="shared" si="45"/>
        <v>#DIV/0!</v>
      </c>
      <c r="N34" s="152" t="e">
        <f>N30/N33</f>
        <v>#DIV/0!</v>
      </c>
      <c r="O34" s="152" t="e">
        <f t="shared" ref="O34:R34" si="46">O30/O33</f>
        <v>#DIV/0!</v>
      </c>
      <c r="P34" s="152" t="e">
        <f t="shared" si="46"/>
        <v>#DIV/0!</v>
      </c>
      <c r="Q34" s="152" t="e">
        <f t="shared" si="46"/>
        <v>#DIV/0!</v>
      </c>
      <c r="R34" s="152" t="e">
        <f t="shared" si="46"/>
        <v>#DIV/0!</v>
      </c>
      <c r="S34" s="137"/>
      <c r="T34" s="152" t="e">
        <f t="shared" ref="T34" si="47">T30/T33</f>
        <v>#REF!</v>
      </c>
      <c r="U34" s="152" t="e">
        <f t="shared" ref="U34" si="48">U30/U33</f>
        <v>#REF!</v>
      </c>
      <c r="V34" s="152" t="e">
        <f t="shared" ref="V34" si="49">V30/V33</f>
        <v>#REF!</v>
      </c>
      <c r="W34" s="152" t="e">
        <f t="shared" ref="W34" si="50">W30/W33</f>
        <v>#REF!</v>
      </c>
      <c r="X34" s="152" t="e">
        <f t="shared" ref="X34" si="51">X30/X33</f>
        <v>#DIV/0!</v>
      </c>
      <c r="Y34" s="152" t="e">
        <f t="shared" ref="Y34" si="52">Y30/Y33</f>
        <v>#DIV/0!</v>
      </c>
      <c r="Z34" s="152" t="e">
        <f t="shared" ref="Z34" si="53">Z30/Z33</f>
        <v>#DIV/0!</v>
      </c>
      <c r="AA34" s="152" t="e">
        <f t="shared" ref="AA34" si="54">AA30/AA33</f>
        <v>#DIV/0!</v>
      </c>
      <c r="AB34" s="152" t="e">
        <f t="shared" ref="AB34" si="55">AB30/AB33</f>
        <v>#DIV/0!</v>
      </c>
      <c r="AC34" s="152" t="e">
        <f t="shared" ref="AC34" si="56">AC30/AC33</f>
        <v>#DIV/0!</v>
      </c>
      <c r="AD34" s="152" t="e">
        <f t="shared" ref="AD34" si="57">AD30/AD33</f>
        <v>#DIV/0!</v>
      </c>
      <c r="AE34" s="152" t="e">
        <f t="shared" ref="AE34" si="58">AE30/AE33</f>
        <v>#DIV/0!</v>
      </c>
      <c r="AF34" s="152" t="e">
        <f t="shared" ref="AF34" si="59">AF30/AF33</f>
        <v>#DIV/0!</v>
      </c>
      <c r="AG34" s="152" t="e">
        <f t="shared" ref="AG34" si="60">AG30/AG33</f>
        <v>#DIV/0!</v>
      </c>
      <c r="AH34" s="152" t="e">
        <f t="shared" ref="AH34" si="61">AH30/AH33</f>
        <v>#DIV/0!</v>
      </c>
      <c r="AI34" s="44"/>
      <c r="AJ34" s="78" t="e">
        <f>SUM(AH34/AD34)-1</f>
        <v>#DIV/0!</v>
      </c>
    </row>
    <row r="35" spans="1:36" ht="12.75" customHeight="1">
      <c r="B35" s="26"/>
      <c r="C35" s="50"/>
      <c r="D35" s="50"/>
      <c r="E35" s="50"/>
      <c r="F35" s="50"/>
      <c r="G35" s="151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44"/>
      <c r="AJ35" s="77"/>
    </row>
    <row r="36" spans="1:36" ht="12.75" customHeight="1">
      <c r="B36" s="46" t="s">
        <v>71</v>
      </c>
      <c r="C36" s="84"/>
      <c r="D36" s="84"/>
      <c r="E36" s="84"/>
      <c r="F36" s="84"/>
      <c r="G36" s="151"/>
      <c r="H36" s="84"/>
      <c r="I36" s="84"/>
      <c r="J36" s="84"/>
      <c r="K36" s="33">
        <f>E36</f>
        <v>0</v>
      </c>
      <c r="L36" s="84"/>
      <c r="M36" s="84"/>
      <c r="N36" s="84"/>
      <c r="O36" s="33">
        <f>F36</f>
        <v>0</v>
      </c>
      <c r="P36" s="84"/>
      <c r="Q36" s="84"/>
      <c r="R36" s="84"/>
      <c r="S36" s="137"/>
      <c r="T36" s="33" t="e">
        <f>#REF!</f>
        <v>#REF!</v>
      </c>
      <c r="U36" s="33" t="e">
        <f>#REF!</f>
        <v>#REF!</v>
      </c>
      <c r="V36" s="33" t="e">
        <f>#REF!</f>
        <v>#REF!</v>
      </c>
      <c r="W36" s="33" t="e">
        <f>#REF!</f>
        <v>#REF!</v>
      </c>
      <c r="X36" s="33">
        <f t="shared" ref="X36:AG36" si="62">H36</f>
        <v>0</v>
      </c>
      <c r="Y36" s="33">
        <f t="shared" si="62"/>
        <v>0</v>
      </c>
      <c r="Z36" s="33">
        <f t="shared" si="62"/>
        <v>0</v>
      </c>
      <c r="AA36" s="33">
        <f t="shared" si="62"/>
        <v>0</v>
      </c>
      <c r="AB36" s="33">
        <f t="shared" si="62"/>
        <v>0</v>
      </c>
      <c r="AC36" s="33">
        <f t="shared" si="62"/>
        <v>0</v>
      </c>
      <c r="AD36" s="33">
        <f t="shared" si="62"/>
        <v>0</v>
      </c>
      <c r="AE36" s="33">
        <f t="shared" si="62"/>
        <v>0</v>
      </c>
      <c r="AF36" s="33">
        <f t="shared" si="62"/>
        <v>0</v>
      </c>
      <c r="AG36" s="33">
        <f t="shared" si="62"/>
        <v>0</v>
      </c>
      <c r="AH36" s="33">
        <f>R36</f>
        <v>0</v>
      </c>
      <c r="AI36" s="44"/>
      <c r="AJ36" s="77" t="e">
        <f>SUM(AH36/AD36)-1</f>
        <v>#DIV/0!</v>
      </c>
    </row>
    <row r="37" spans="1:36" ht="12.75" customHeight="1">
      <c r="B37" s="13" t="s">
        <v>106</v>
      </c>
      <c r="C37" s="152" t="e">
        <f t="shared" ref="C37:E37" si="63">C30/C36</f>
        <v>#DIV/0!</v>
      </c>
      <c r="D37" s="152" t="e">
        <f t="shared" si="63"/>
        <v>#DIV/0!</v>
      </c>
      <c r="E37" s="152" t="e">
        <f t="shared" si="63"/>
        <v>#DIV/0!</v>
      </c>
      <c r="F37" s="152" t="e">
        <f>F30/F36</f>
        <v>#DIV/0!</v>
      </c>
      <c r="G37" s="28"/>
      <c r="H37" s="152" t="e">
        <f t="shared" ref="H37:M37" si="64">H30/H36</f>
        <v>#DIV/0!</v>
      </c>
      <c r="I37" s="152" t="e">
        <f t="shared" si="64"/>
        <v>#DIV/0!</v>
      </c>
      <c r="J37" s="152" t="e">
        <f t="shared" si="64"/>
        <v>#DIV/0!</v>
      </c>
      <c r="K37" s="152" t="e">
        <f t="shared" si="64"/>
        <v>#DIV/0!</v>
      </c>
      <c r="L37" s="152" t="e">
        <f t="shared" si="64"/>
        <v>#DIV/0!</v>
      </c>
      <c r="M37" s="152" t="e">
        <f t="shared" si="64"/>
        <v>#DIV/0!</v>
      </c>
      <c r="N37" s="152" t="e">
        <f>N30/N36</f>
        <v>#DIV/0!</v>
      </c>
      <c r="O37" s="152" t="e">
        <f t="shared" ref="O37:R37" si="65">O30/O36</f>
        <v>#DIV/0!</v>
      </c>
      <c r="P37" s="152" t="e">
        <f t="shared" si="65"/>
        <v>#DIV/0!</v>
      </c>
      <c r="Q37" s="152" t="e">
        <f t="shared" si="65"/>
        <v>#DIV/0!</v>
      </c>
      <c r="R37" s="152" t="e">
        <f t="shared" si="65"/>
        <v>#DIV/0!</v>
      </c>
      <c r="S37" s="137"/>
      <c r="T37" s="152" t="e">
        <f t="shared" ref="T37" si="66">T30/T36</f>
        <v>#REF!</v>
      </c>
      <c r="U37" s="152" t="e">
        <f t="shared" ref="U37" si="67">U30/U36</f>
        <v>#REF!</v>
      </c>
      <c r="V37" s="152" t="e">
        <f t="shared" ref="V37" si="68">V30/V36</f>
        <v>#REF!</v>
      </c>
      <c r="W37" s="152" t="e">
        <f t="shared" ref="W37" si="69">W30/W36</f>
        <v>#REF!</v>
      </c>
      <c r="X37" s="152" t="e">
        <f t="shared" ref="X37" si="70">X30/X36</f>
        <v>#DIV/0!</v>
      </c>
      <c r="Y37" s="152" t="e">
        <f t="shared" ref="Y37" si="71">Y30/Y36</f>
        <v>#DIV/0!</v>
      </c>
      <c r="Z37" s="152" t="e">
        <f t="shared" ref="Z37" si="72">Z30/Z36</f>
        <v>#DIV/0!</v>
      </c>
      <c r="AA37" s="152" t="e">
        <f t="shared" ref="AA37" si="73">AA30/AA36</f>
        <v>#DIV/0!</v>
      </c>
      <c r="AB37" s="152" t="e">
        <f t="shared" ref="AB37" si="74">AB30/AB36</f>
        <v>#DIV/0!</v>
      </c>
      <c r="AC37" s="152" t="e">
        <f t="shared" ref="AC37" si="75">AC30/AC36</f>
        <v>#DIV/0!</v>
      </c>
      <c r="AD37" s="152" t="e">
        <f t="shared" ref="AD37" si="76">AD30/AD36</f>
        <v>#DIV/0!</v>
      </c>
      <c r="AE37" s="152" t="e">
        <f t="shared" ref="AE37" si="77">AE30/AE36</f>
        <v>#DIV/0!</v>
      </c>
      <c r="AF37" s="152" t="e">
        <f t="shared" ref="AF37" si="78">AF30/AF36</f>
        <v>#DIV/0!</v>
      </c>
      <c r="AG37" s="152" t="e">
        <f t="shared" ref="AG37" si="79">AG30/AG36</f>
        <v>#DIV/0!</v>
      </c>
      <c r="AH37" s="152" t="e">
        <f t="shared" ref="AH37" si="80">AH30/AH36</f>
        <v>#DIV/0!</v>
      </c>
      <c r="AI37" s="44"/>
      <c r="AJ37" s="78" t="e">
        <f>SUM(AH37/AD37)-1</f>
        <v>#DIV/0!</v>
      </c>
    </row>
    <row r="38" spans="1:36">
      <c r="B38" s="16"/>
      <c r="C38" s="18"/>
      <c r="D38" s="18"/>
      <c r="E38" s="18"/>
      <c r="F38" s="18"/>
      <c r="G38" s="2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29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44"/>
    </row>
    <row r="39" spans="1:36" ht="12.75" customHeight="1">
      <c r="A39" s="5" t="s">
        <v>19</v>
      </c>
      <c r="B39" s="109" t="s">
        <v>81</v>
      </c>
      <c r="C39" s="110"/>
      <c r="D39" s="110"/>
      <c r="E39" s="110"/>
      <c r="F39" s="110"/>
      <c r="G39" s="111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09"/>
      <c r="T39" s="110"/>
      <c r="U39" s="110"/>
      <c r="V39" s="110"/>
      <c r="W39" s="110"/>
      <c r="X39" s="110"/>
      <c r="Y39" s="110"/>
      <c r="Z39" s="110"/>
      <c r="AA39" s="110"/>
      <c r="AB39" s="110"/>
      <c r="AC39" s="110" t="s">
        <v>10</v>
      </c>
      <c r="AD39" s="110"/>
      <c r="AE39" s="110"/>
      <c r="AF39" s="110"/>
      <c r="AG39" s="110"/>
      <c r="AH39" s="110"/>
      <c r="AI39" s="111"/>
      <c r="AJ39" s="155" t="s">
        <v>26</v>
      </c>
    </row>
    <row r="40" spans="1:36" ht="12.75" customHeight="1">
      <c r="B40" s="113" t="str">
        <f>B7</f>
        <v>Fiscal Period</v>
      </c>
      <c r="C40" s="112">
        <f>C7</f>
        <v>2021</v>
      </c>
      <c r="D40" s="112">
        <f>D7</f>
        <v>2022</v>
      </c>
      <c r="E40" s="112">
        <f>E7</f>
        <v>2023</v>
      </c>
      <c r="F40" s="112">
        <f>F7</f>
        <v>2024</v>
      </c>
      <c r="G40" s="111"/>
      <c r="H40" s="112" t="str">
        <f>H7</f>
        <v>1Q23</v>
      </c>
      <c r="I40" s="112" t="str">
        <f>I7</f>
        <v>2Q23</v>
      </c>
      <c r="J40" s="112" t="str">
        <f>J7</f>
        <v>3Q23</v>
      </c>
      <c r="K40" s="112" t="str">
        <f>K7</f>
        <v>4Q23</v>
      </c>
      <c r="L40" s="112" t="str">
        <f>L7</f>
        <v>1Q24</v>
      </c>
      <c r="M40" s="112" t="str">
        <f>M7</f>
        <v>2Q24</v>
      </c>
      <c r="N40" s="112" t="str">
        <f>N7</f>
        <v>3Q24</v>
      </c>
      <c r="O40" s="112" t="str">
        <f>O7</f>
        <v>4Q24</v>
      </c>
      <c r="P40" s="112" t="str">
        <f>P7</f>
        <v>1Q25</v>
      </c>
      <c r="Q40" s="112" t="str">
        <f>Q7</f>
        <v>2Q25</v>
      </c>
      <c r="R40" s="112" t="str">
        <f>R7</f>
        <v>3Q25</v>
      </c>
      <c r="S40" s="114"/>
      <c r="T40" s="112" t="e">
        <f>T7</f>
        <v>#REF!</v>
      </c>
      <c r="U40" s="112" t="e">
        <f>U7</f>
        <v>#REF!</v>
      </c>
      <c r="V40" s="112" t="e">
        <f>V7</f>
        <v>#REF!</v>
      </c>
      <c r="W40" s="112" t="e">
        <f>W7</f>
        <v>#REF!</v>
      </c>
      <c r="X40" s="112" t="str">
        <f>X7</f>
        <v>1Q23</v>
      </c>
      <c r="Y40" s="112" t="str">
        <f>Y7</f>
        <v>2Q23</v>
      </c>
      <c r="Z40" s="112" t="str">
        <f>Z7</f>
        <v>3Q23</v>
      </c>
      <c r="AA40" s="112" t="str">
        <f>AA7</f>
        <v>4Q23</v>
      </c>
      <c r="AB40" s="112" t="str">
        <f>AB7</f>
        <v>1Q24</v>
      </c>
      <c r="AC40" s="112" t="str">
        <f>AC7</f>
        <v>2Q24</v>
      </c>
      <c r="AD40" s="112" t="str">
        <f>AD7</f>
        <v>3Q24</v>
      </c>
      <c r="AE40" s="112" t="str">
        <f>AE7</f>
        <v>4Q24</v>
      </c>
      <c r="AF40" s="112" t="str">
        <f>AF7</f>
        <v>1Q25</v>
      </c>
      <c r="AG40" s="112" t="str">
        <f>AG7</f>
        <v>2Q25</v>
      </c>
      <c r="AH40" s="112" t="str">
        <f>AH7</f>
        <v>3Q25</v>
      </c>
      <c r="AI40" s="111"/>
      <c r="AJ40" s="155"/>
    </row>
    <row r="41" spans="1:36" ht="12.75" customHeight="1">
      <c r="B41" s="113" t="str">
        <f>B8</f>
        <v>Fiscal Period End Date</v>
      </c>
      <c r="C41" s="115">
        <f>C8</f>
        <v>44561</v>
      </c>
      <c r="D41" s="115">
        <f>D8</f>
        <v>44926</v>
      </c>
      <c r="E41" s="115">
        <f>E8</f>
        <v>45291</v>
      </c>
      <c r="F41" s="115">
        <f>F8</f>
        <v>45657</v>
      </c>
      <c r="G41" s="111"/>
      <c r="H41" s="115">
        <f>H8</f>
        <v>45016</v>
      </c>
      <c r="I41" s="115">
        <f>I8</f>
        <v>45107</v>
      </c>
      <c r="J41" s="115">
        <f>J8</f>
        <v>45199</v>
      </c>
      <c r="K41" s="115">
        <f>K8</f>
        <v>45291</v>
      </c>
      <c r="L41" s="115">
        <f>L8</f>
        <v>45382</v>
      </c>
      <c r="M41" s="115">
        <f>M8</f>
        <v>45473</v>
      </c>
      <c r="N41" s="115">
        <f>N8</f>
        <v>45565</v>
      </c>
      <c r="O41" s="115">
        <f>O8</f>
        <v>45657</v>
      </c>
      <c r="P41" s="115">
        <f>P8</f>
        <v>45747</v>
      </c>
      <c r="Q41" s="115">
        <f>Q8</f>
        <v>45838</v>
      </c>
      <c r="R41" s="115">
        <f>R8</f>
        <v>45930</v>
      </c>
      <c r="S41" s="116"/>
      <c r="T41" s="115" t="e">
        <f>T8</f>
        <v>#REF!</v>
      </c>
      <c r="U41" s="115" t="e">
        <f>U8</f>
        <v>#REF!</v>
      </c>
      <c r="V41" s="115" t="e">
        <f>V8</f>
        <v>#REF!</v>
      </c>
      <c r="W41" s="115" t="e">
        <f>W8</f>
        <v>#REF!</v>
      </c>
      <c r="X41" s="115">
        <f>X8</f>
        <v>45016</v>
      </c>
      <c r="Y41" s="115">
        <f>Y8</f>
        <v>45107</v>
      </c>
      <c r="Z41" s="115">
        <f>Z8</f>
        <v>45199</v>
      </c>
      <c r="AA41" s="115">
        <f>AA8</f>
        <v>45291</v>
      </c>
      <c r="AB41" s="115">
        <f>AB8</f>
        <v>45382</v>
      </c>
      <c r="AC41" s="115">
        <f>AC8</f>
        <v>45473</v>
      </c>
      <c r="AD41" s="115">
        <f>AD8</f>
        <v>45565</v>
      </c>
      <c r="AE41" s="115">
        <f>AE8</f>
        <v>45657</v>
      </c>
      <c r="AF41" s="115">
        <f>AF8</f>
        <v>45747</v>
      </c>
      <c r="AG41" s="115">
        <f>AG8</f>
        <v>45838</v>
      </c>
      <c r="AH41" s="115">
        <f>AH8</f>
        <v>45930</v>
      </c>
      <c r="AI41" s="111"/>
      <c r="AJ41" s="155"/>
    </row>
    <row r="42" spans="1:36" ht="5.0999999999999996" customHeight="1">
      <c r="B42" s="48"/>
      <c r="C42" s="49"/>
      <c r="D42" s="49"/>
      <c r="E42" s="49"/>
      <c r="F42" s="49"/>
    </row>
    <row r="43" spans="1:36">
      <c r="B43" s="80" t="s">
        <v>89</v>
      </c>
      <c r="C43" s="49"/>
      <c r="D43" s="49"/>
      <c r="E43" s="49"/>
      <c r="F43" s="49"/>
    </row>
    <row r="44" spans="1:36" s="125" customFormat="1" ht="12.75" customHeight="1">
      <c r="B44" s="117" t="s">
        <v>117</v>
      </c>
      <c r="C44" s="126"/>
      <c r="D44" s="126"/>
      <c r="E44" s="126"/>
      <c r="F44" s="126"/>
      <c r="H44" s="84"/>
      <c r="I44" s="84"/>
      <c r="J44" s="84"/>
      <c r="K44" s="33">
        <f t="shared" ref="K44:K46" si="81">E44</f>
        <v>0</v>
      </c>
      <c r="L44" s="84"/>
      <c r="M44" s="84"/>
      <c r="N44" s="84"/>
      <c r="O44" s="33">
        <f t="shared" ref="O44:O46" si="82">F44</f>
        <v>0</v>
      </c>
      <c r="P44" s="84"/>
      <c r="Q44" s="84"/>
      <c r="R44" s="84"/>
      <c r="T44" s="99" t="e">
        <f>#REF!</f>
        <v>#REF!</v>
      </c>
      <c r="U44" s="99" t="e">
        <f>#REF!</f>
        <v>#REF!</v>
      </c>
      <c r="V44" s="99" t="e">
        <f>#REF!</f>
        <v>#REF!</v>
      </c>
      <c r="W44" s="99" t="e">
        <f>#REF!</f>
        <v>#REF!</v>
      </c>
      <c r="X44" s="99">
        <f t="shared" ref="X44:AH46" si="83">H44</f>
        <v>0</v>
      </c>
      <c r="Y44" s="99">
        <f t="shared" si="83"/>
        <v>0</v>
      </c>
      <c r="Z44" s="99">
        <f t="shared" si="83"/>
        <v>0</v>
      </c>
      <c r="AA44" s="99">
        <f t="shared" si="83"/>
        <v>0</v>
      </c>
      <c r="AB44" s="99">
        <f t="shared" si="83"/>
        <v>0</v>
      </c>
      <c r="AC44" s="99">
        <f t="shared" si="83"/>
        <v>0</v>
      </c>
      <c r="AD44" s="99">
        <f t="shared" si="83"/>
        <v>0</v>
      </c>
      <c r="AE44" s="99">
        <f t="shared" si="83"/>
        <v>0</v>
      </c>
      <c r="AF44" s="99">
        <f t="shared" si="83"/>
        <v>0</v>
      </c>
      <c r="AG44" s="99">
        <f t="shared" si="83"/>
        <v>0</v>
      </c>
      <c r="AH44" s="99">
        <f t="shared" si="83"/>
        <v>0</v>
      </c>
      <c r="AI44" s="127"/>
      <c r="AJ44" s="77" t="e">
        <f>SUM(AH44/AD44)-1</f>
        <v>#DIV/0!</v>
      </c>
    </row>
    <row r="45" spans="1:36" s="125" customFormat="1" ht="12.75" customHeight="1">
      <c r="B45" s="117" t="s">
        <v>16</v>
      </c>
      <c r="C45" s="126"/>
      <c r="D45" s="126"/>
      <c r="E45" s="126"/>
      <c r="F45" s="126"/>
      <c r="H45" s="84"/>
      <c r="I45" s="84"/>
      <c r="J45" s="84"/>
      <c r="K45" s="33">
        <f t="shared" si="81"/>
        <v>0</v>
      </c>
      <c r="L45" s="84"/>
      <c r="M45" s="84"/>
      <c r="N45" s="84"/>
      <c r="O45" s="33">
        <f t="shared" si="82"/>
        <v>0</v>
      </c>
      <c r="P45" s="84"/>
      <c r="Q45" s="84"/>
      <c r="R45" s="84"/>
      <c r="T45" s="99" t="e">
        <f>#REF!</f>
        <v>#REF!</v>
      </c>
      <c r="U45" s="99" t="e">
        <f>#REF!</f>
        <v>#REF!</v>
      </c>
      <c r="V45" s="99" t="e">
        <f>#REF!</f>
        <v>#REF!</v>
      </c>
      <c r="W45" s="99" t="e">
        <f>#REF!</f>
        <v>#REF!</v>
      </c>
      <c r="X45" s="99">
        <f t="shared" si="83"/>
        <v>0</v>
      </c>
      <c r="Y45" s="99">
        <f t="shared" si="83"/>
        <v>0</v>
      </c>
      <c r="Z45" s="99">
        <f t="shared" si="83"/>
        <v>0</v>
      </c>
      <c r="AA45" s="99">
        <f t="shared" si="83"/>
        <v>0</v>
      </c>
      <c r="AB45" s="99">
        <f t="shared" si="83"/>
        <v>0</v>
      </c>
      <c r="AC45" s="99">
        <f t="shared" si="83"/>
        <v>0</v>
      </c>
      <c r="AD45" s="99">
        <f t="shared" si="83"/>
        <v>0</v>
      </c>
      <c r="AE45" s="99">
        <f t="shared" si="83"/>
        <v>0</v>
      </c>
      <c r="AF45" s="99">
        <f t="shared" si="83"/>
        <v>0</v>
      </c>
      <c r="AG45" s="99">
        <f t="shared" si="83"/>
        <v>0</v>
      </c>
      <c r="AH45" s="99">
        <f t="shared" si="83"/>
        <v>0</v>
      </c>
      <c r="AI45" s="127"/>
      <c r="AJ45" s="77" t="e">
        <f>SUM(AH45/AD45)-1</f>
        <v>#DIV/0!</v>
      </c>
    </row>
    <row r="46" spans="1:36" s="125" customFormat="1" ht="12.75" customHeight="1">
      <c r="B46" s="117" t="s">
        <v>118</v>
      </c>
      <c r="C46" s="126"/>
      <c r="D46" s="126"/>
      <c r="E46" s="126"/>
      <c r="F46" s="126"/>
      <c r="H46" s="84"/>
      <c r="I46" s="84"/>
      <c r="J46" s="84"/>
      <c r="K46" s="33">
        <f t="shared" si="81"/>
        <v>0</v>
      </c>
      <c r="L46" s="84"/>
      <c r="M46" s="84"/>
      <c r="N46" s="84"/>
      <c r="O46" s="33">
        <f t="shared" si="82"/>
        <v>0</v>
      </c>
      <c r="P46" s="84"/>
      <c r="Q46" s="84"/>
      <c r="R46" s="84"/>
      <c r="T46" s="99" t="e">
        <f>#REF!</f>
        <v>#REF!</v>
      </c>
      <c r="U46" s="99" t="e">
        <f>#REF!</f>
        <v>#REF!</v>
      </c>
      <c r="V46" s="99" t="e">
        <f>#REF!</f>
        <v>#REF!</v>
      </c>
      <c r="W46" s="99" t="e">
        <f>#REF!</f>
        <v>#REF!</v>
      </c>
      <c r="X46" s="99">
        <f t="shared" si="83"/>
        <v>0</v>
      </c>
      <c r="Y46" s="99">
        <f t="shared" si="83"/>
        <v>0</v>
      </c>
      <c r="Z46" s="99">
        <f t="shared" si="83"/>
        <v>0</v>
      </c>
      <c r="AA46" s="99">
        <f t="shared" si="83"/>
        <v>0</v>
      </c>
      <c r="AB46" s="99">
        <f t="shared" si="83"/>
        <v>0</v>
      </c>
      <c r="AC46" s="99">
        <f t="shared" si="83"/>
        <v>0</v>
      </c>
      <c r="AD46" s="99">
        <f t="shared" si="83"/>
        <v>0</v>
      </c>
      <c r="AE46" s="99">
        <f t="shared" si="83"/>
        <v>0</v>
      </c>
      <c r="AF46" s="99">
        <f t="shared" si="83"/>
        <v>0</v>
      </c>
      <c r="AG46" s="99">
        <f t="shared" si="83"/>
        <v>0</v>
      </c>
      <c r="AH46" s="99">
        <f t="shared" si="83"/>
        <v>0</v>
      </c>
      <c r="AI46" s="127"/>
      <c r="AJ46" s="77" t="e">
        <f>SUM(AH46/AD46)-1</f>
        <v>#DIV/0!</v>
      </c>
    </row>
    <row r="47" spans="1:36" ht="12.75" customHeight="1">
      <c r="B47" s="26" t="s">
        <v>22</v>
      </c>
      <c r="C47" s="27">
        <f t="shared" ref="C47:F47" si="84">SUM(C44:C46)</f>
        <v>0</v>
      </c>
      <c r="D47" s="27">
        <f t="shared" si="84"/>
        <v>0</v>
      </c>
      <c r="E47" s="27">
        <f t="shared" si="84"/>
        <v>0</v>
      </c>
      <c r="F47" s="27">
        <f t="shared" si="84"/>
        <v>0</v>
      </c>
      <c r="G47" s="50"/>
      <c r="H47" s="27">
        <f t="shared" ref="H47:R47" si="85">SUM(H44:H46)</f>
        <v>0</v>
      </c>
      <c r="I47" s="27">
        <f t="shared" si="85"/>
        <v>0</v>
      </c>
      <c r="J47" s="27">
        <f t="shared" si="85"/>
        <v>0</v>
      </c>
      <c r="K47" s="27">
        <f t="shared" si="85"/>
        <v>0</v>
      </c>
      <c r="L47" s="27">
        <f t="shared" si="85"/>
        <v>0</v>
      </c>
      <c r="M47" s="27">
        <f t="shared" si="85"/>
        <v>0</v>
      </c>
      <c r="N47" s="27">
        <f t="shared" si="85"/>
        <v>0</v>
      </c>
      <c r="O47" s="27">
        <f t="shared" si="85"/>
        <v>0</v>
      </c>
      <c r="P47" s="27">
        <f t="shared" si="85"/>
        <v>0</v>
      </c>
      <c r="Q47" s="27">
        <f t="shared" si="85"/>
        <v>0</v>
      </c>
      <c r="R47" s="27">
        <f t="shared" si="85"/>
        <v>0</v>
      </c>
      <c r="S47" s="50"/>
      <c r="T47" s="27" t="e">
        <f t="shared" ref="T47:AH47" si="86">SUM(T44:T46)</f>
        <v>#REF!</v>
      </c>
      <c r="U47" s="27" t="e">
        <f t="shared" si="86"/>
        <v>#REF!</v>
      </c>
      <c r="V47" s="27" t="e">
        <f t="shared" si="86"/>
        <v>#REF!</v>
      </c>
      <c r="W47" s="27" t="e">
        <f t="shared" si="86"/>
        <v>#REF!</v>
      </c>
      <c r="X47" s="27">
        <f t="shared" si="86"/>
        <v>0</v>
      </c>
      <c r="Y47" s="27">
        <f t="shared" si="86"/>
        <v>0</v>
      </c>
      <c r="Z47" s="27">
        <f t="shared" si="86"/>
        <v>0</v>
      </c>
      <c r="AA47" s="27">
        <f t="shared" si="86"/>
        <v>0</v>
      </c>
      <c r="AB47" s="27">
        <f t="shared" si="86"/>
        <v>0</v>
      </c>
      <c r="AC47" s="27">
        <f t="shared" si="86"/>
        <v>0</v>
      </c>
      <c r="AD47" s="27">
        <f t="shared" si="86"/>
        <v>0</v>
      </c>
      <c r="AE47" s="27">
        <f t="shared" si="86"/>
        <v>0</v>
      </c>
      <c r="AF47" s="27">
        <f t="shared" si="86"/>
        <v>0</v>
      </c>
      <c r="AG47" s="27">
        <f t="shared" si="86"/>
        <v>0</v>
      </c>
      <c r="AH47" s="27">
        <f t="shared" si="86"/>
        <v>0</v>
      </c>
      <c r="AI47" s="43"/>
      <c r="AJ47" s="78" t="e">
        <f>SUM(AH47/AD47)-1</f>
        <v>#DIV/0!</v>
      </c>
    </row>
    <row r="48" spans="1:36" ht="5.0999999999999996" customHeight="1">
      <c r="B48" s="26"/>
      <c r="C48" s="51"/>
      <c r="D48" s="51"/>
      <c r="E48" s="42"/>
      <c r="F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0"/>
    </row>
    <row r="49" spans="2:36" ht="12.75" customHeight="1">
      <c r="B49" s="80" t="s">
        <v>90</v>
      </c>
      <c r="C49" s="84"/>
      <c r="D49" s="84"/>
      <c r="E49" s="84"/>
      <c r="F49" s="84"/>
      <c r="H49" s="84"/>
      <c r="I49" s="84"/>
      <c r="J49" s="84"/>
      <c r="K49" s="84"/>
      <c r="L49" s="84"/>
      <c r="M49" s="84"/>
      <c r="N49" s="84"/>
      <c r="O49" s="84"/>
      <c r="P49" s="33"/>
      <c r="Q49" s="84"/>
      <c r="R49" s="84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11"/>
      <c r="AJ49" s="77"/>
    </row>
    <row r="50" spans="2:36" ht="12.75" customHeight="1">
      <c r="B50" s="9" t="s">
        <v>119</v>
      </c>
      <c r="C50" s="84"/>
      <c r="D50" s="84"/>
      <c r="E50" s="84"/>
      <c r="F50" s="84"/>
      <c r="H50" s="84"/>
      <c r="I50" s="84"/>
      <c r="J50" s="84"/>
      <c r="K50" s="33">
        <f t="shared" ref="K50:K52" si="87">E50</f>
        <v>0</v>
      </c>
      <c r="L50" s="84"/>
      <c r="M50" s="84"/>
      <c r="N50" s="84"/>
      <c r="O50" s="33">
        <f t="shared" ref="O50:O52" si="88">F50</f>
        <v>0</v>
      </c>
      <c r="P50" s="84"/>
      <c r="Q50" s="84"/>
      <c r="R50" s="84"/>
      <c r="T50" s="33" t="e">
        <f>#REF!</f>
        <v>#REF!</v>
      </c>
      <c r="U50" s="33" t="e">
        <f>#REF!</f>
        <v>#REF!</v>
      </c>
      <c r="V50" s="33" t="e">
        <f>#REF!</f>
        <v>#REF!</v>
      </c>
      <c r="W50" s="33" t="e">
        <f>#REF!</f>
        <v>#REF!</v>
      </c>
      <c r="X50" s="33">
        <f t="shared" ref="X50:AH52" si="89">H50</f>
        <v>0</v>
      </c>
      <c r="Y50" s="33">
        <f t="shared" si="89"/>
        <v>0</v>
      </c>
      <c r="Z50" s="33">
        <f t="shared" si="89"/>
        <v>0</v>
      </c>
      <c r="AA50" s="33">
        <f t="shared" si="89"/>
        <v>0</v>
      </c>
      <c r="AB50" s="33">
        <f t="shared" si="89"/>
        <v>0</v>
      </c>
      <c r="AC50" s="33">
        <f t="shared" si="89"/>
        <v>0</v>
      </c>
      <c r="AD50" s="33">
        <f t="shared" si="89"/>
        <v>0</v>
      </c>
      <c r="AE50" s="33">
        <f t="shared" si="89"/>
        <v>0</v>
      </c>
      <c r="AF50" s="33">
        <f t="shared" si="89"/>
        <v>0</v>
      </c>
      <c r="AG50" s="33">
        <f t="shared" si="89"/>
        <v>0</v>
      </c>
      <c r="AH50" s="33">
        <f t="shared" si="89"/>
        <v>0</v>
      </c>
      <c r="AI50" s="11"/>
      <c r="AJ50" s="77" t="e">
        <f t="shared" ref="AJ50:AJ53" si="90">SUM(AH50/AD50)-1</f>
        <v>#DIV/0!</v>
      </c>
    </row>
    <row r="51" spans="2:36" ht="12.75" customHeight="1">
      <c r="B51" s="9" t="s">
        <v>97</v>
      </c>
      <c r="C51" s="84"/>
      <c r="D51" s="84"/>
      <c r="E51" s="84"/>
      <c r="F51" s="84"/>
      <c r="H51" s="84"/>
      <c r="I51" s="84"/>
      <c r="J51" s="84"/>
      <c r="K51" s="33">
        <f t="shared" si="87"/>
        <v>0</v>
      </c>
      <c r="L51" s="84"/>
      <c r="M51" s="84"/>
      <c r="N51" s="84"/>
      <c r="O51" s="33">
        <f t="shared" si="88"/>
        <v>0</v>
      </c>
      <c r="P51" s="84"/>
      <c r="Q51" s="84"/>
      <c r="R51" s="84"/>
      <c r="T51" s="33" t="e">
        <f>#REF!</f>
        <v>#REF!</v>
      </c>
      <c r="U51" s="33" t="e">
        <f>#REF!</f>
        <v>#REF!</v>
      </c>
      <c r="V51" s="33" t="e">
        <f>#REF!</f>
        <v>#REF!</v>
      </c>
      <c r="W51" s="33" t="e">
        <f>#REF!</f>
        <v>#REF!</v>
      </c>
      <c r="X51" s="33">
        <f t="shared" si="89"/>
        <v>0</v>
      </c>
      <c r="Y51" s="33">
        <f t="shared" si="89"/>
        <v>0</v>
      </c>
      <c r="Z51" s="33">
        <f t="shared" si="89"/>
        <v>0</v>
      </c>
      <c r="AA51" s="33">
        <f t="shared" si="89"/>
        <v>0</v>
      </c>
      <c r="AB51" s="33">
        <f t="shared" si="89"/>
        <v>0</v>
      </c>
      <c r="AC51" s="33">
        <f t="shared" si="89"/>
        <v>0</v>
      </c>
      <c r="AD51" s="33">
        <f t="shared" si="89"/>
        <v>0</v>
      </c>
      <c r="AE51" s="33">
        <f t="shared" si="89"/>
        <v>0</v>
      </c>
      <c r="AF51" s="33">
        <f t="shared" si="89"/>
        <v>0</v>
      </c>
      <c r="AG51" s="33">
        <f t="shared" si="89"/>
        <v>0</v>
      </c>
      <c r="AH51" s="33">
        <f t="shared" si="89"/>
        <v>0</v>
      </c>
      <c r="AI51" s="11"/>
      <c r="AJ51" s="77" t="e">
        <f t="shared" si="90"/>
        <v>#DIV/0!</v>
      </c>
    </row>
    <row r="52" spans="2:36" ht="12.75" customHeight="1">
      <c r="B52" s="9" t="s">
        <v>96</v>
      </c>
      <c r="C52" s="84"/>
      <c r="D52" s="84"/>
      <c r="E52" s="84"/>
      <c r="F52" s="84"/>
      <c r="H52" s="84"/>
      <c r="I52" s="84"/>
      <c r="J52" s="84"/>
      <c r="K52" s="33">
        <f t="shared" si="87"/>
        <v>0</v>
      </c>
      <c r="L52" s="84"/>
      <c r="M52" s="84"/>
      <c r="N52" s="84"/>
      <c r="O52" s="33">
        <f t="shared" si="88"/>
        <v>0</v>
      </c>
      <c r="P52" s="84"/>
      <c r="Q52" s="84"/>
      <c r="R52" s="84"/>
      <c r="T52" s="33" t="e">
        <f>#REF!</f>
        <v>#REF!</v>
      </c>
      <c r="U52" s="33" t="e">
        <f>#REF!</f>
        <v>#REF!</v>
      </c>
      <c r="V52" s="33" t="e">
        <f>#REF!</f>
        <v>#REF!</v>
      </c>
      <c r="W52" s="33" t="e">
        <f>#REF!</f>
        <v>#REF!</v>
      </c>
      <c r="X52" s="33">
        <f t="shared" si="89"/>
        <v>0</v>
      </c>
      <c r="Y52" s="33">
        <f t="shared" si="89"/>
        <v>0</v>
      </c>
      <c r="Z52" s="33">
        <f t="shared" si="89"/>
        <v>0</v>
      </c>
      <c r="AA52" s="33">
        <f t="shared" si="89"/>
        <v>0</v>
      </c>
      <c r="AB52" s="33">
        <f t="shared" si="89"/>
        <v>0</v>
      </c>
      <c r="AC52" s="33">
        <f t="shared" si="89"/>
        <v>0</v>
      </c>
      <c r="AD52" s="33">
        <f t="shared" si="89"/>
        <v>0</v>
      </c>
      <c r="AE52" s="33">
        <f t="shared" si="89"/>
        <v>0</v>
      </c>
      <c r="AF52" s="33">
        <f t="shared" si="89"/>
        <v>0</v>
      </c>
      <c r="AG52" s="33">
        <f t="shared" si="89"/>
        <v>0</v>
      </c>
      <c r="AH52" s="33">
        <f t="shared" si="89"/>
        <v>0</v>
      </c>
      <c r="AI52" s="11"/>
      <c r="AJ52" s="77" t="e">
        <f t="shared" si="90"/>
        <v>#DIV/0!</v>
      </c>
    </row>
    <row r="53" spans="2:36" ht="12.75" customHeight="1">
      <c r="B53" s="13" t="s">
        <v>23</v>
      </c>
      <c r="C53" s="14">
        <f t="shared" ref="C53:F53" si="91">SUM(C50:C52)+C47</f>
        <v>0</v>
      </c>
      <c r="D53" s="14">
        <f t="shared" si="91"/>
        <v>0</v>
      </c>
      <c r="E53" s="14">
        <f t="shared" si="91"/>
        <v>0</v>
      </c>
      <c r="F53" s="14">
        <f t="shared" si="91"/>
        <v>0</v>
      </c>
      <c r="H53" s="14">
        <f t="shared" ref="H53:R53" si="92">SUM(H50:H52)+H47</f>
        <v>0</v>
      </c>
      <c r="I53" s="14">
        <f t="shared" si="92"/>
        <v>0</v>
      </c>
      <c r="J53" s="14">
        <f t="shared" si="92"/>
        <v>0</v>
      </c>
      <c r="K53" s="14">
        <f t="shared" si="92"/>
        <v>0</v>
      </c>
      <c r="L53" s="14">
        <f t="shared" si="92"/>
        <v>0</v>
      </c>
      <c r="M53" s="14">
        <f t="shared" si="92"/>
        <v>0</v>
      </c>
      <c r="N53" s="14">
        <f t="shared" si="92"/>
        <v>0</v>
      </c>
      <c r="O53" s="14">
        <f t="shared" si="92"/>
        <v>0</v>
      </c>
      <c r="P53" s="14">
        <f t="shared" si="92"/>
        <v>0</v>
      </c>
      <c r="Q53" s="14">
        <f t="shared" si="92"/>
        <v>0</v>
      </c>
      <c r="R53" s="14">
        <f t="shared" si="92"/>
        <v>0</v>
      </c>
      <c r="T53" s="14" t="e">
        <f t="shared" ref="T53:AH53" si="93">SUM(T50:T52)+T47</f>
        <v>#REF!</v>
      </c>
      <c r="U53" s="14" t="e">
        <f t="shared" si="93"/>
        <v>#REF!</v>
      </c>
      <c r="V53" s="14" t="e">
        <f t="shared" si="93"/>
        <v>#REF!</v>
      </c>
      <c r="W53" s="14" t="e">
        <f t="shared" si="93"/>
        <v>#REF!</v>
      </c>
      <c r="X53" s="14">
        <f t="shared" si="93"/>
        <v>0</v>
      </c>
      <c r="Y53" s="14">
        <f t="shared" si="93"/>
        <v>0</v>
      </c>
      <c r="Z53" s="14">
        <f t="shared" si="93"/>
        <v>0</v>
      </c>
      <c r="AA53" s="14">
        <f t="shared" si="93"/>
        <v>0</v>
      </c>
      <c r="AB53" s="14">
        <f t="shared" si="93"/>
        <v>0</v>
      </c>
      <c r="AC53" s="14">
        <f t="shared" si="93"/>
        <v>0</v>
      </c>
      <c r="AD53" s="14">
        <f t="shared" si="93"/>
        <v>0</v>
      </c>
      <c r="AE53" s="14">
        <f t="shared" si="93"/>
        <v>0</v>
      </c>
      <c r="AF53" s="14">
        <f t="shared" si="93"/>
        <v>0</v>
      </c>
      <c r="AG53" s="14">
        <f t="shared" si="93"/>
        <v>0</v>
      </c>
      <c r="AH53" s="35">
        <f t="shared" si="93"/>
        <v>0</v>
      </c>
      <c r="AI53" s="43"/>
      <c r="AJ53" s="78" t="e">
        <f t="shared" si="90"/>
        <v>#DIV/0!</v>
      </c>
    </row>
    <row r="54" spans="2:36" ht="12.75" customHeight="1">
      <c r="B54" s="26"/>
      <c r="C54" s="52"/>
      <c r="D54" s="52"/>
      <c r="E54" s="42"/>
      <c r="F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0"/>
    </row>
    <row r="55" spans="2:36" ht="12.75" customHeight="1">
      <c r="B55" s="80" t="s">
        <v>49</v>
      </c>
      <c r="C55" s="52"/>
      <c r="D55" s="52"/>
      <c r="E55" s="42"/>
      <c r="F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0"/>
    </row>
    <row r="56" spans="2:36" ht="12.75" customHeight="1">
      <c r="B56" s="123" t="s">
        <v>120</v>
      </c>
      <c r="C56" s="124"/>
      <c r="D56" s="124"/>
      <c r="E56" s="124"/>
      <c r="F56" s="124"/>
      <c r="H56" s="84"/>
      <c r="I56" s="84"/>
      <c r="J56" s="84"/>
      <c r="K56" s="33">
        <f t="shared" ref="K56:K60" si="94">E56</f>
        <v>0</v>
      </c>
      <c r="L56" s="84"/>
      <c r="M56" s="84"/>
      <c r="N56" s="84"/>
      <c r="O56" s="33">
        <f t="shared" ref="O56:O60" si="95">F56</f>
        <v>0</v>
      </c>
      <c r="P56" s="84"/>
      <c r="Q56" s="84"/>
      <c r="R56" s="84"/>
      <c r="T56" s="100" t="e">
        <f>#REF!</f>
        <v>#REF!</v>
      </c>
      <c r="U56" s="100" t="e">
        <f>#REF!</f>
        <v>#REF!</v>
      </c>
      <c r="V56" s="100" t="e">
        <f>#REF!</f>
        <v>#REF!</v>
      </c>
      <c r="W56" s="100" t="e">
        <f>#REF!</f>
        <v>#REF!</v>
      </c>
      <c r="X56" s="100">
        <f t="shared" ref="X56:AH60" si="96">H56</f>
        <v>0</v>
      </c>
      <c r="Y56" s="100">
        <f t="shared" si="96"/>
        <v>0</v>
      </c>
      <c r="Z56" s="100">
        <f t="shared" si="96"/>
        <v>0</v>
      </c>
      <c r="AA56" s="100">
        <f t="shared" si="96"/>
        <v>0</v>
      </c>
      <c r="AB56" s="100">
        <f t="shared" si="96"/>
        <v>0</v>
      </c>
      <c r="AC56" s="100">
        <f t="shared" si="96"/>
        <v>0</v>
      </c>
      <c r="AD56" s="100">
        <f t="shared" si="96"/>
        <v>0</v>
      </c>
      <c r="AE56" s="100">
        <f t="shared" si="96"/>
        <v>0</v>
      </c>
      <c r="AF56" s="100">
        <f t="shared" si="96"/>
        <v>0</v>
      </c>
      <c r="AG56" s="100">
        <f t="shared" si="96"/>
        <v>0</v>
      </c>
      <c r="AH56" s="100">
        <f t="shared" si="96"/>
        <v>0</v>
      </c>
      <c r="AI56" s="11"/>
      <c r="AJ56" s="77" t="e">
        <f t="shared" ref="AJ56:AJ61" si="97">SUM(AH56/AD56)-1</f>
        <v>#DIV/0!</v>
      </c>
    </row>
    <row r="57" spans="2:36" ht="12.75" customHeight="1">
      <c r="B57" s="123" t="s">
        <v>13</v>
      </c>
      <c r="C57" s="124"/>
      <c r="D57" s="124"/>
      <c r="E57" s="124"/>
      <c r="F57" s="124"/>
      <c r="H57" s="84"/>
      <c r="I57" s="84"/>
      <c r="J57" s="84"/>
      <c r="K57" s="33">
        <f t="shared" si="94"/>
        <v>0</v>
      </c>
      <c r="L57" s="84"/>
      <c r="M57" s="84"/>
      <c r="N57" s="84"/>
      <c r="O57" s="33">
        <f t="shared" si="95"/>
        <v>0</v>
      </c>
      <c r="P57" s="84"/>
      <c r="Q57" s="84"/>
      <c r="R57" s="84"/>
      <c r="T57" s="100" t="e">
        <f>#REF!</f>
        <v>#REF!</v>
      </c>
      <c r="U57" s="100" t="e">
        <f>#REF!</f>
        <v>#REF!</v>
      </c>
      <c r="V57" s="100" t="e">
        <f>#REF!</f>
        <v>#REF!</v>
      </c>
      <c r="W57" s="100" t="e">
        <f>#REF!</f>
        <v>#REF!</v>
      </c>
      <c r="X57" s="100">
        <f t="shared" si="96"/>
        <v>0</v>
      </c>
      <c r="Y57" s="100">
        <f t="shared" si="96"/>
        <v>0</v>
      </c>
      <c r="Z57" s="100">
        <f t="shared" si="96"/>
        <v>0</v>
      </c>
      <c r="AA57" s="100">
        <f t="shared" si="96"/>
        <v>0</v>
      </c>
      <c r="AB57" s="100">
        <f t="shared" si="96"/>
        <v>0</v>
      </c>
      <c r="AC57" s="100">
        <f t="shared" si="96"/>
        <v>0</v>
      </c>
      <c r="AD57" s="100">
        <f t="shared" si="96"/>
        <v>0</v>
      </c>
      <c r="AE57" s="100">
        <f t="shared" si="96"/>
        <v>0</v>
      </c>
      <c r="AF57" s="100">
        <f t="shared" si="96"/>
        <v>0</v>
      </c>
      <c r="AG57" s="100">
        <f t="shared" si="96"/>
        <v>0</v>
      </c>
      <c r="AH57" s="100">
        <f t="shared" si="96"/>
        <v>0</v>
      </c>
      <c r="AI57" s="11"/>
      <c r="AJ57" s="77" t="e">
        <f t="shared" si="97"/>
        <v>#DIV/0!</v>
      </c>
    </row>
    <row r="58" spans="2:36" ht="12.75" customHeight="1">
      <c r="B58" s="123" t="s">
        <v>121</v>
      </c>
      <c r="C58" s="124"/>
      <c r="D58" s="124"/>
      <c r="E58" s="124"/>
      <c r="F58" s="124"/>
      <c r="H58" s="84"/>
      <c r="I58" s="84"/>
      <c r="J58" s="84"/>
      <c r="K58" s="33">
        <f t="shared" si="94"/>
        <v>0</v>
      </c>
      <c r="L58" s="84"/>
      <c r="M58" s="84"/>
      <c r="N58" s="84"/>
      <c r="O58" s="33">
        <f t="shared" si="95"/>
        <v>0</v>
      </c>
      <c r="P58" s="84"/>
      <c r="Q58" s="84"/>
      <c r="R58" s="84"/>
      <c r="T58" s="100" t="e">
        <f>#REF!</f>
        <v>#REF!</v>
      </c>
      <c r="U58" s="100" t="e">
        <f>#REF!</f>
        <v>#REF!</v>
      </c>
      <c r="V58" s="100" t="e">
        <f>#REF!</f>
        <v>#REF!</v>
      </c>
      <c r="W58" s="100" t="e">
        <f>#REF!</f>
        <v>#REF!</v>
      </c>
      <c r="X58" s="100">
        <f t="shared" si="96"/>
        <v>0</v>
      </c>
      <c r="Y58" s="100">
        <f t="shared" si="96"/>
        <v>0</v>
      </c>
      <c r="Z58" s="100">
        <f t="shared" si="96"/>
        <v>0</v>
      </c>
      <c r="AA58" s="100">
        <f t="shared" si="96"/>
        <v>0</v>
      </c>
      <c r="AB58" s="100">
        <f t="shared" si="96"/>
        <v>0</v>
      </c>
      <c r="AC58" s="100">
        <f t="shared" si="96"/>
        <v>0</v>
      </c>
      <c r="AD58" s="100">
        <f t="shared" si="96"/>
        <v>0</v>
      </c>
      <c r="AE58" s="100">
        <f t="shared" si="96"/>
        <v>0</v>
      </c>
      <c r="AF58" s="100">
        <f t="shared" si="96"/>
        <v>0</v>
      </c>
      <c r="AG58" s="100">
        <f t="shared" si="96"/>
        <v>0</v>
      </c>
      <c r="AH58" s="100">
        <f t="shared" si="96"/>
        <v>0</v>
      </c>
      <c r="AI58" s="11"/>
      <c r="AJ58" s="77" t="e">
        <f t="shared" si="97"/>
        <v>#DIV/0!</v>
      </c>
    </row>
    <row r="59" spans="2:36" ht="12.75" customHeight="1">
      <c r="B59" s="123" t="s">
        <v>101</v>
      </c>
      <c r="C59" s="124"/>
      <c r="D59" s="124"/>
      <c r="E59" s="124"/>
      <c r="F59" s="124"/>
      <c r="H59" s="84"/>
      <c r="I59" s="84"/>
      <c r="J59" s="84"/>
      <c r="K59" s="33">
        <f t="shared" si="94"/>
        <v>0</v>
      </c>
      <c r="L59" s="84"/>
      <c r="M59" s="84"/>
      <c r="N59" s="84"/>
      <c r="O59" s="33">
        <f t="shared" si="95"/>
        <v>0</v>
      </c>
      <c r="P59" s="84"/>
      <c r="Q59" s="84"/>
      <c r="R59" s="84"/>
      <c r="T59" s="100" t="e">
        <f>#REF!</f>
        <v>#REF!</v>
      </c>
      <c r="U59" s="100" t="e">
        <f>#REF!</f>
        <v>#REF!</v>
      </c>
      <c r="V59" s="100" t="e">
        <f>#REF!</f>
        <v>#REF!</v>
      </c>
      <c r="W59" s="100" t="e">
        <f>#REF!</f>
        <v>#REF!</v>
      </c>
      <c r="X59" s="100">
        <f t="shared" si="96"/>
        <v>0</v>
      </c>
      <c r="Y59" s="100">
        <f t="shared" si="96"/>
        <v>0</v>
      </c>
      <c r="Z59" s="100">
        <f t="shared" si="96"/>
        <v>0</v>
      </c>
      <c r="AA59" s="100">
        <f t="shared" si="96"/>
        <v>0</v>
      </c>
      <c r="AB59" s="100">
        <f t="shared" si="96"/>
        <v>0</v>
      </c>
      <c r="AC59" s="100">
        <f t="shared" si="96"/>
        <v>0</v>
      </c>
      <c r="AD59" s="100">
        <f t="shared" si="96"/>
        <v>0</v>
      </c>
      <c r="AE59" s="100">
        <f t="shared" si="96"/>
        <v>0</v>
      </c>
      <c r="AF59" s="100">
        <f t="shared" si="96"/>
        <v>0</v>
      </c>
      <c r="AG59" s="100">
        <f t="shared" si="96"/>
        <v>0</v>
      </c>
      <c r="AH59" s="100">
        <f t="shared" si="96"/>
        <v>0</v>
      </c>
      <c r="AI59" s="11"/>
      <c r="AJ59" s="77" t="e">
        <f t="shared" si="97"/>
        <v>#DIV/0!</v>
      </c>
    </row>
    <row r="60" spans="2:36" ht="12.75" customHeight="1">
      <c r="B60" s="123" t="s">
        <v>122</v>
      </c>
      <c r="C60" s="124"/>
      <c r="D60" s="124"/>
      <c r="E60" s="124"/>
      <c r="F60" s="124"/>
      <c r="H60" s="84"/>
      <c r="I60" s="84"/>
      <c r="J60" s="84"/>
      <c r="K60" s="33">
        <f t="shared" si="94"/>
        <v>0</v>
      </c>
      <c r="L60" s="84"/>
      <c r="M60" s="84"/>
      <c r="N60" s="84"/>
      <c r="O60" s="33">
        <f t="shared" si="95"/>
        <v>0</v>
      </c>
      <c r="P60" s="84"/>
      <c r="Q60" s="84"/>
      <c r="R60" s="84"/>
      <c r="T60" s="100" t="e">
        <f>#REF!</f>
        <v>#REF!</v>
      </c>
      <c r="U60" s="100" t="e">
        <f>#REF!</f>
        <v>#REF!</v>
      </c>
      <c r="V60" s="100" t="e">
        <f>#REF!</f>
        <v>#REF!</v>
      </c>
      <c r="W60" s="100" t="e">
        <f>#REF!</f>
        <v>#REF!</v>
      </c>
      <c r="X60" s="100">
        <f t="shared" si="96"/>
        <v>0</v>
      </c>
      <c r="Y60" s="100">
        <f t="shared" si="96"/>
        <v>0</v>
      </c>
      <c r="Z60" s="100">
        <f t="shared" si="96"/>
        <v>0</v>
      </c>
      <c r="AA60" s="100">
        <f t="shared" si="96"/>
        <v>0</v>
      </c>
      <c r="AB60" s="100">
        <f t="shared" si="96"/>
        <v>0</v>
      </c>
      <c r="AC60" s="100">
        <f t="shared" si="96"/>
        <v>0</v>
      </c>
      <c r="AD60" s="100">
        <f t="shared" si="96"/>
        <v>0</v>
      </c>
      <c r="AE60" s="100">
        <f t="shared" si="96"/>
        <v>0</v>
      </c>
      <c r="AF60" s="100">
        <f t="shared" si="96"/>
        <v>0</v>
      </c>
      <c r="AG60" s="100">
        <f t="shared" si="96"/>
        <v>0</v>
      </c>
      <c r="AH60" s="100">
        <f t="shared" si="96"/>
        <v>0</v>
      </c>
      <c r="AI60" s="11"/>
      <c r="AJ60" s="77" t="e">
        <f t="shared" si="97"/>
        <v>#DIV/0!</v>
      </c>
    </row>
    <row r="61" spans="2:36" ht="12.75" customHeight="1">
      <c r="B61" s="26" t="s">
        <v>20</v>
      </c>
      <c r="C61" s="27">
        <f t="shared" ref="C61:F61" si="98">SUM(C56:C60)</f>
        <v>0</v>
      </c>
      <c r="D61" s="27">
        <f t="shared" si="98"/>
        <v>0</v>
      </c>
      <c r="E61" s="27">
        <f t="shared" si="98"/>
        <v>0</v>
      </c>
      <c r="F61" s="27">
        <f t="shared" si="98"/>
        <v>0</v>
      </c>
      <c r="H61" s="27">
        <f t="shared" ref="H61:R61" si="99">SUM(H56:H60)</f>
        <v>0</v>
      </c>
      <c r="I61" s="27">
        <f t="shared" si="99"/>
        <v>0</v>
      </c>
      <c r="J61" s="27">
        <f t="shared" si="99"/>
        <v>0</v>
      </c>
      <c r="K61" s="27">
        <f t="shared" si="99"/>
        <v>0</v>
      </c>
      <c r="L61" s="27">
        <f t="shared" si="99"/>
        <v>0</v>
      </c>
      <c r="M61" s="27">
        <f t="shared" si="99"/>
        <v>0</v>
      </c>
      <c r="N61" s="27">
        <f t="shared" si="99"/>
        <v>0</v>
      </c>
      <c r="O61" s="27">
        <f t="shared" si="99"/>
        <v>0</v>
      </c>
      <c r="P61" s="27">
        <f t="shared" si="99"/>
        <v>0</v>
      </c>
      <c r="Q61" s="27">
        <f t="shared" si="99"/>
        <v>0</v>
      </c>
      <c r="R61" s="27">
        <f t="shared" si="99"/>
        <v>0</v>
      </c>
      <c r="S61" s="50"/>
      <c r="T61" s="27" t="e">
        <f t="shared" ref="T61:AH61" si="100">SUM(T56:T60)</f>
        <v>#REF!</v>
      </c>
      <c r="U61" s="27" t="e">
        <f t="shared" si="100"/>
        <v>#REF!</v>
      </c>
      <c r="V61" s="27" t="e">
        <f t="shared" si="100"/>
        <v>#REF!</v>
      </c>
      <c r="W61" s="27" t="e">
        <f t="shared" si="100"/>
        <v>#REF!</v>
      </c>
      <c r="X61" s="27">
        <f t="shared" si="100"/>
        <v>0</v>
      </c>
      <c r="Y61" s="27">
        <f t="shared" si="100"/>
        <v>0</v>
      </c>
      <c r="Z61" s="27">
        <f t="shared" si="100"/>
        <v>0</v>
      </c>
      <c r="AA61" s="27">
        <f t="shared" si="100"/>
        <v>0</v>
      </c>
      <c r="AB61" s="27">
        <f t="shared" si="100"/>
        <v>0</v>
      </c>
      <c r="AC61" s="27">
        <f t="shared" si="100"/>
        <v>0</v>
      </c>
      <c r="AD61" s="27">
        <f t="shared" si="100"/>
        <v>0</v>
      </c>
      <c r="AE61" s="27">
        <f t="shared" si="100"/>
        <v>0</v>
      </c>
      <c r="AF61" s="27">
        <f t="shared" si="100"/>
        <v>0</v>
      </c>
      <c r="AG61" s="27">
        <f t="shared" si="100"/>
        <v>0</v>
      </c>
      <c r="AH61" s="27">
        <f t="shared" si="100"/>
        <v>0</v>
      </c>
      <c r="AI61" s="43"/>
      <c r="AJ61" s="78" t="e">
        <f t="shared" si="97"/>
        <v>#DIV/0!</v>
      </c>
    </row>
    <row r="62" spans="2:36" ht="5.0999999999999996" customHeight="1">
      <c r="B62" s="26"/>
      <c r="C62" s="52"/>
      <c r="D62" s="52"/>
      <c r="E62" s="42"/>
      <c r="F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0"/>
    </row>
    <row r="63" spans="2:36">
      <c r="B63" s="80" t="s">
        <v>91</v>
      </c>
      <c r="C63" s="52"/>
      <c r="D63" s="52"/>
      <c r="E63" s="42"/>
      <c r="F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0"/>
    </row>
    <row r="64" spans="2:36" ht="12.75" customHeight="1">
      <c r="B64" s="123" t="s">
        <v>123</v>
      </c>
      <c r="C64" s="124"/>
      <c r="D64" s="124"/>
      <c r="E64" s="124"/>
      <c r="F64" s="124"/>
      <c r="G64" s="53"/>
      <c r="H64" s="84"/>
      <c r="I64" s="84"/>
      <c r="J64" s="84"/>
      <c r="K64" s="33">
        <f t="shared" ref="K64:K66" si="101">E64</f>
        <v>0</v>
      </c>
      <c r="L64" s="84"/>
      <c r="M64" s="84"/>
      <c r="N64" s="84"/>
      <c r="O64" s="33">
        <f t="shared" ref="O64:O66" si="102">F64</f>
        <v>0</v>
      </c>
      <c r="P64" s="84"/>
      <c r="Q64" s="84"/>
      <c r="R64" s="84"/>
      <c r="S64" s="124"/>
      <c r="T64" s="100" t="e">
        <f>#REF!</f>
        <v>#REF!</v>
      </c>
      <c r="U64" s="100" t="e">
        <f>#REF!</f>
        <v>#REF!</v>
      </c>
      <c r="V64" s="100" t="e">
        <f>#REF!</f>
        <v>#REF!</v>
      </c>
      <c r="W64" s="100" t="e">
        <f>#REF!</f>
        <v>#REF!</v>
      </c>
      <c r="X64" s="100">
        <f t="shared" ref="X64:AH66" si="103">H64</f>
        <v>0</v>
      </c>
      <c r="Y64" s="100">
        <f t="shared" si="103"/>
        <v>0</v>
      </c>
      <c r="Z64" s="100">
        <f t="shared" si="103"/>
        <v>0</v>
      </c>
      <c r="AA64" s="100">
        <f t="shared" si="103"/>
        <v>0</v>
      </c>
      <c r="AB64" s="100">
        <f t="shared" si="103"/>
        <v>0</v>
      </c>
      <c r="AC64" s="100">
        <f t="shared" si="103"/>
        <v>0</v>
      </c>
      <c r="AD64" s="100">
        <f t="shared" si="103"/>
        <v>0</v>
      </c>
      <c r="AE64" s="100">
        <f t="shared" si="103"/>
        <v>0</v>
      </c>
      <c r="AF64" s="100">
        <f t="shared" si="103"/>
        <v>0</v>
      </c>
      <c r="AG64" s="100">
        <f t="shared" si="103"/>
        <v>0</v>
      </c>
      <c r="AH64" s="100">
        <f t="shared" si="103"/>
        <v>0</v>
      </c>
      <c r="AI64" s="43"/>
      <c r="AJ64" s="77" t="e">
        <f t="shared" ref="AJ64:AJ74" si="104">SUM(AH64/AD64)-1</f>
        <v>#DIV/0!</v>
      </c>
    </row>
    <row r="65" spans="1:36" ht="12.75" customHeight="1">
      <c r="B65" s="123" t="s">
        <v>124</v>
      </c>
      <c r="C65" s="124"/>
      <c r="D65" s="124"/>
      <c r="E65" s="124"/>
      <c r="F65" s="124"/>
      <c r="G65" s="53"/>
      <c r="H65" s="84"/>
      <c r="I65" s="84"/>
      <c r="J65" s="84"/>
      <c r="K65" s="33">
        <f t="shared" si="101"/>
        <v>0</v>
      </c>
      <c r="L65" s="84"/>
      <c r="M65" s="84"/>
      <c r="N65" s="84"/>
      <c r="O65" s="33">
        <f t="shared" si="102"/>
        <v>0</v>
      </c>
      <c r="P65" s="84"/>
      <c r="Q65" s="84"/>
      <c r="R65" s="84"/>
      <c r="S65" s="124"/>
      <c r="T65" s="100" t="e">
        <f>#REF!</f>
        <v>#REF!</v>
      </c>
      <c r="U65" s="100" t="e">
        <f>#REF!</f>
        <v>#REF!</v>
      </c>
      <c r="V65" s="100" t="e">
        <f>#REF!</f>
        <v>#REF!</v>
      </c>
      <c r="W65" s="100" t="e">
        <f>#REF!</f>
        <v>#REF!</v>
      </c>
      <c r="X65" s="100">
        <f t="shared" si="103"/>
        <v>0</v>
      </c>
      <c r="Y65" s="100">
        <f t="shared" si="103"/>
        <v>0</v>
      </c>
      <c r="Z65" s="100">
        <f t="shared" si="103"/>
        <v>0</v>
      </c>
      <c r="AA65" s="100">
        <f t="shared" si="103"/>
        <v>0</v>
      </c>
      <c r="AB65" s="100">
        <f t="shared" si="103"/>
        <v>0</v>
      </c>
      <c r="AC65" s="100">
        <f t="shared" si="103"/>
        <v>0</v>
      </c>
      <c r="AD65" s="100">
        <f t="shared" si="103"/>
        <v>0</v>
      </c>
      <c r="AE65" s="100">
        <f t="shared" si="103"/>
        <v>0</v>
      </c>
      <c r="AF65" s="100">
        <f t="shared" si="103"/>
        <v>0</v>
      </c>
      <c r="AG65" s="100">
        <f t="shared" si="103"/>
        <v>0</v>
      </c>
      <c r="AH65" s="100">
        <f t="shared" si="103"/>
        <v>0</v>
      </c>
      <c r="AI65" s="43"/>
      <c r="AJ65" s="77" t="e">
        <f t="shared" si="104"/>
        <v>#DIV/0!</v>
      </c>
    </row>
    <row r="66" spans="1:36" ht="12.75" customHeight="1">
      <c r="B66" s="123" t="s">
        <v>125</v>
      </c>
      <c r="C66" s="124"/>
      <c r="D66" s="124"/>
      <c r="E66" s="124"/>
      <c r="F66" s="124"/>
      <c r="G66" s="53"/>
      <c r="H66" s="84"/>
      <c r="I66" s="84"/>
      <c r="J66" s="84"/>
      <c r="K66" s="33">
        <f t="shared" si="101"/>
        <v>0</v>
      </c>
      <c r="L66" s="84"/>
      <c r="M66" s="84"/>
      <c r="N66" s="84"/>
      <c r="O66" s="33">
        <f t="shared" si="102"/>
        <v>0</v>
      </c>
      <c r="P66" s="84"/>
      <c r="Q66" s="84"/>
      <c r="R66" s="84"/>
      <c r="T66" s="100" t="e">
        <f>#REF!</f>
        <v>#REF!</v>
      </c>
      <c r="U66" s="100" t="e">
        <f>#REF!</f>
        <v>#REF!</v>
      </c>
      <c r="V66" s="100" t="e">
        <f>#REF!</f>
        <v>#REF!</v>
      </c>
      <c r="W66" s="100" t="e">
        <f>#REF!</f>
        <v>#REF!</v>
      </c>
      <c r="X66" s="100">
        <f t="shared" si="103"/>
        <v>0</v>
      </c>
      <c r="Y66" s="100">
        <f t="shared" si="103"/>
        <v>0</v>
      </c>
      <c r="Z66" s="100">
        <f t="shared" si="103"/>
        <v>0</v>
      </c>
      <c r="AA66" s="100">
        <f t="shared" si="103"/>
        <v>0</v>
      </c>
      <c r="AB66" s="100">
        <f t="shared" si="103"/>
        <v>0</v>
      </c>
      <c r="AC66" s="100">
        <f t="shared" si="103"/>
        <v>0</v>
      </c>
      <c r="AD66" s="100">
        <f t="shared" si="103"/>
        <v>0</v>
      </c>
      <c r="AE66" s="100">
        <f t="shared" si="103"/>
        <v>0</v>
      </c>
      <c r="AF66" s="100">
        <f t="shared" si="103"/>
        <v>0</v>
      </c>
      <c r="AG66" s="100">
        <f t="shared" si="103"/>
        <v>0</v>
      </c>
      <c r="AH66" s="100">
        <f t="shared" si="103"/>
        <v>0</v>
      </c>
      <c r="AI66" s="43"/>
      <c r="AJ66" s="77" t="e">
        <f t="shared" si="104"/>
        <v>#DIV/0!</v>
      </c>
    </row>
    <row r="67" spans="1:36" ht="12.75" customHeight="1">
      <c r="B67" s="13" t="s">
        <v>18</v>
      </c>
      <c r="C67" s="14">
        <f t="shared" ref="C67:F67" si="105">SUM(C64:C66)+C61</f>
        <v>0</v>
      </c>
      <c r="D67" s="14">
        <f t="shared" si="105"/>
        <v>0</v>
      </c>
      <c r="E67" s="14">
        <f t="shared" si="105"/>
        <v>0</v>
      </c>
      <c r="F67" s="14">
        <f t="shared" si="105"/>
        <v>0</v>
      </c>
      <c r="H67" s="14">
        <f t="shared" ref="H67:R67" si="106">SUM(H64:H66)+H61</f>
        <v>0</v>
      </c>
      <c r="I67" s="14">
        <f t="shared" si="106"/>
        <v>0</v>
      </c>
      <c r="J67" s="14">
        <f t="shared" si="106"/>
        <v>0</v>
      </c>
      <c r="K67" s="14">
        <f t="shared" si="106"/>
        <v>0</v>
      </c>
      <c r="L67" s="14">
        <f t="shared" si="106"/>
        <v>0</v>
      </c>
      <c r="M67" s="14">
        <f t="shared" si="106"/>
        <v>0</v>
      </c>
      <c r="N67" s="14">
        <f t="shared" si="106"/>
        <v>0</v>
      </c>
      <c r="O67" s="14">
        <f t="shared" si="106"/>
        <v>0</v>
      </c>
      <c r="P67" s="14">
        <f t="shared" si="106"/>
        <v>0</v>
      </c>
      <c r="Q67" s="14">
        <f t="shared" si="106"/>
        <v>0</v>
      </c>
      <c r="R67" s="14">
        <f t="shared" si="106"/>
        <v>0</v>
      </c>
      <c r="T67" s="14" t="e">
        <f t="shared" ref="T67:AH67" si="107">SUM(T64:T66)+T61</f>
        <v>#REF!</v>
      </c>
      <c r="U67" s="14" t="e">
        <f t="shared" si="107"/>
        <v>#REF!</v>
      </c>
      <c r="V67" s="14" t="e">
        <f t="shared" si="107"/>
        <v>#REF!</v>
      </c>
      <c r="W67" s="14" t="e">
        <f t="shared" si="107"/>
        <v>#REF!</v>
      </c>
      <c r="X67" s="14">
        <f t="shared" si="107"/>
        <v>0</v>
      </c>
      <c r="Y67" s="14">
        <f t="shared" si="107"/>
        <v>0</v>
      </c>
      <c r="Z67" s="14">
        <f t="shared" si="107"/>
        <v>0</v>
      </c>
      <c r="AA67" s="14">
        <f t="shared" si="107"/>
        <v>0</v>
      </c>
      <c r="AB67" s="14">
        <f t="shared" si="107"/>
        <v>0</v>
      </c>
      <c r="AC67" s="14">
        <f t="shared" si="107"/>
        <v>0</v>
      </c>
      <c r="AD67" s="14">
        <f t="shared" si="107"/>
        <v>0</v>
      </c>
      <c r="AE67" s="14">
        <f t="shared" si="107"/>
        <v>0</v>
      </c>
      <c r="AF67" s="14">
        <f t="shared" si="107"/>
        <v>0</v>
      </c>
      <c r="AG67" s="14">
        <f t="shared" si="107"/>
        <v>0</v>
      </c>
      <c r="AH67" s="14">
        <f t="shared" si="107"/>
        <v>0</v>
      </c>
      <c r="AI67" s="43"/>
      <c r="AJ67" s="78" t="e">
        <f t="shared" si="104"/>
        <v>#DIV/0!</v>
      </c>
    </row>
    <row r="68" spans="1:36" ht="5.0999999999999996" customHeight="1">
      <c r="B68" s="26"/>
      <c r="C68" s="51"/>
      <c r="D68" s="51"/>
      <c r="E68" s="42"/>
      <c r="F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0"/>
    </row>
    <row r="69" spans="1:36" ht="12.75" customHeight="1">
      <c r="B69" s="9" t="s">
        <v>21</v>
      </c>
      <c r="C69" s="84"/>
      <c r="D69" s="84"/>
      <c r="E69" s="84"/>
      <c r="F69" s="84"/>
      <c r="G69" s="33"/>
      <c r="H69" s="84"/>
      <c r="I69" s="84"/>
      <c r="J69" s="84"/>
      <c r="K69" s="33">
        <f>E69</f>
        <v>0</v>
      </c>
      <c r="L69" s="84"/>
      <c r="M69" s="84"/>
      <c r="N69" s="84"/>
      <c r="O69" s="33">
        <f>F69</f>
        <v>0</v>
      </c>
      <c r="P69" s="84"/>
      <c r="Q69" s="84"/>
      <c r="R69" s="84"/>
      <c r="T69" s="33" t="e">
        <f>#REF!</f>
        <v>#REF!</v>
      </c>
      <c r="U69" s="33" t="e">
        <f>#REF!</f>
        <v>#REF!</v>
      </c>
      <c r="V69" s="33" t="e">
        <f>#REF!</f>
        <v>#REF!</v>
      </c>
      <c r="W69" s="33" t="e">
        <f>#REF!</f>
        <v>#REF!</v>
      </c>
      <c r="X69" s="33">
        <f t="shared" ref="X69:AH72" si="108">H69</f>
        <v>0</v>
      </c>
      <c r="Y69" s="33">
        <f t="shared" si="108"/>
        <v>0</v>
      </c>
      <c r="Z69" s="33">
        <f t="shared" si="108"/>
        <v>0</v>
      </c>
      <c r="AA69" s="33">
        <f t="shared" si="108"/>
        <v>0</v>
      </c>
      <c r="AB69" s="33">
        <f t="shared" si="108"/>
        <v>0</v>
      </c>
      <c r="AC69" s="33">
        <f t="shared" si="108"/>
        <v>0</v>
      </c>
      <c r="AD69" s="33">
        <f t="shared" si="108"/>
        <v>0</v>
      </c>
      <c r="AE69" s="33">
        <f t="shared" si="108"/>
        <v>0</v>
      </c>
      <c r="AF69" s="33">
        <f t="shared" si="108"/>
        <v>0</v>
      </c>
      <c r="AG69" s="33">
        <f t="shared" si="108"/>
        <v>0</v>
      </c>
      <c r="AH69" s="33">
        <f t="shared" si="108"/>
        <v>0</v>
      </c>
      <c r="AI69" s="11"/>
      <c r="AJ69" s="77" t="e">
        <f t="shared" si="104"/>
        <v>#DIV/0!</v>
      </c>
    </row>
    <row r="70" spans="1:36" ht="12.75" customHeight="1">
      <c r="B70" s="9" t="s">
        <v>126</v>
      </c>
      <c r="C70" s="84"/>
      <c r="D70" s="84"/>
      <c r="E70" s="84"/>
      <c r="F70" s="84"/>
      <c r="G70" s="33"/>
      <c r="H70" s="84"/>
      <c r="I70" s="84"/>
      <c r="J70" s="84"/>
      <c r="K70" s="33">
        <f>E70</f>
        <v>0</v>
      </c>
      <c r="L70" s="84"/>
      <c r="M70" s="84"/>
      <c r="N70" s="84"/>
      <c r="O70" s="33">
        <f>F70</f>
        <v>0</v>
      </c>
      <c r="P70" s="84"/>
      <c r="Q70" s="84"/>
      <c r="R70" s="84"/>
      <c r="T70" s="33" t="e">
        <f>#REF!</f>
        <v>#REF!</v>
      </c>
      <c r="U70" s="33" t="e">
        <f>#REF!</f>
        <v>#REF!</v>
      </c>
      <c r="V70" s="33" t="e">
        <f>#REF!</f>
        <v>#REF!</v>
      </c>
      <c r="W70" s="33" t="e">
        <f>#REF!</f>
        <v>#REF!</v>
      </c>
      <c r="X70" s="33">
        <f t="shared" si="108"/>
        <v>0</v>
      </c>
      <c r="Y70" s="33">
        <f t="shared" si="108"/>
        <v>0</v>
      </c>
      <c r="Z70" s="33">
        <f t="shared" si="108"/>
        <v>0</v>
      </c>
      <c r="AA70" s="33">
        <f t="shared" si="108"/>
        <v>0</v>
      </c>
      <c r="AB70" s="33">
        <f t="shared" si="108"/>
        <v>0</v>
      </c>
      <c r="AC70" s="33">
        <f t="shared" si="108"/>
        <v>0</v>
      </c>
      <c r="AD70" s="33">
        <f t="shared" si="108"/>
        <v>0</v>
      </c>
      <c r="AE70" s="33">
        <f t="shared" si="108"/>
        <v>0</v>
      </c>
      <c r="AF70" s="33">
        <f t="shared" si="108"/>
        <v>0</v>
      </c>
      <c r="AG70" s="33">
        <f t="shared" si="108"/>
        <v>0</v>
      </c>
      <c r="AH70" s="33">
        <f t="shared" si="108"/>
        <v>0</v>
      </c>
      <c r="AI70" s="11"/>
      <c r="AJ70" s="77" t="e">
        <f t="shared" si="104"/>
        <v>#DIV/0!</v>
      </c>
    </row>
    <row r="71" spans="1:36" ht="12.75" customHeight="1">
      <c r="B71" s="9" t="s">
        <v>100</v>
      </c>
      <c r="C71" s="84"/>
      <c r="D71" s="84"/>
      <c r="E71" s="84"/>
      <c r="F71" s="84"/>
      <c r="G71" s="33"/>
      <c r="H71" s="84"/>
      <c r="I71" s="84"/>
      <c r="J71" s="84"/>
      <c r="K71" s="33">
        <f>E71</f>
        <v>0</v>
      </c>
      <c r="L71" s="84"/>
      <c r="M71" s="84"/>
      <c r="N71" s="84"/>
      <c r="O71" s="33">
        <f>F71</f>
        <v>0</v>
      </c>
      <c r="P71" s="84"/>
      <c r="Q71" s="84"/>
      <c r="R71" s="84"/>
      <c r="T71" s="33" t="e">
        <f>#REF!</f>
        <v>#REF!</v>
      </c>
      <c r="U71" s="33" t="e">
        <f>#REF!</f>
        <v>#REF!</v>
      </c>
      <c r="V71" s="33" t="e">
        <f>#REF!</f>
        <v>#REF!</v>
      </c>
      <c r="W71" s="33" t="e">
        <f>#REF!</f>
        <v>#REF!</v>
      </c>
      <c r="X71" s="33">
        <f t="shared" si="108"/>
        <v>0</v>
      </c>
      <c r="Y71" s="33">
        <f t="shared" si="108"/>
        <v>0</v>
      </c>
      <c r="Z71" s="33">
        <f t="shared" si="108"/>
        <v>0</v>
      </c>
      <c r="AA71" s="33">
        <f t="shared" si="108"/>
        <v>0</v>
      </c>
      <c r="AB71" s="33">
        <f t="shared" si="108"/>
        <v>0</v>
      </c>
      <c r="AC71" s="33">
        <f t="shared" si="108"/>
        <v>0</v>
      </c>
      <c r="AD71" s="33">
        <f t="shared" si="108"/>
        <v>0</v>
      </c>
      <c r="AE71" s="33">
        <f t="shared" si="108"/>
        <v>0</v>
      </c>
      <c r="AF71" s="33">
        <f t="shared" si="108"/>
        <v>0</v>
      </c>
      <c r="AG71" s="33">
        <f t="shared" si="108"/>
        <v>0</v>
      </c>
      <c r="AH71" s="33">
        <f t="shared" si="108"/>
        <v>0</v>
      </c>
      <c r="AI71" s="11"/>
      <c r="AJ71" s="77" t="e">
        <f t="shared" si="104"/>
        <v>#DIV/0!</v>
      </c>
    </row>
    <row r="72" spans="1:36" ht="12.75" customHeight="1">
      <c r="B72" s="9" t="s">
        <v>99</v>
      </c>
      <c r="C72" s="84"/>
      <c r="D72" s="84"/>
      <c r="E72" s="84"/>
      <c r="F72" s="84"/>
      <c r="G72" s="33"/>
      <c r="H72" s="84"/>
      <c r="I72" s="84"/>
      <c r="J72" s="84"/>
      <c r="K72" s="33">
        <f>E72</f>
        <v>0</v>
      </c>
      <c r="L72" s="84"/>
      <c r="M72" s="84"/>
      <c r="N72" s="84"/>
      <c r="O72" s="33">
        <f>F72</f>
        <v>0</v>
      </c>
      <c r="P72" s="84"/>
      <c r="Q72" s="84"/>
      <c r="R72" s="84"/>
      <c r="T72" s="33" t="e">
        <f>#REF!</f>
        <v>#REF!</v>
      </c>
      <c r="U72" s="33" t="e">
        <f>#REF!</f>
        <v>#REF!</v>
      </c>
      <c r="V72" s="33" t="e">
        <f>#REF!</f>
        <v>#REF!</v>
      </c>
      <c r="W72" s="33" t="e">
        <f>#REF!</f>
        <v>#REF!</v>
      </c>
      <c r="X72" s="33">
        <f t="shared" si="108"/>
        <v>0</v>
      </c>
      <c r="Y72" s="33">
        <f t="shared" si="108"/>
        <v>0</v>
      </c>
      <c r="Z72" s="33">
        <f t="shared" si="108"/>
        <v>0</v>
      </c>
      <c r="AA72" s="33">
        <f t="shared" si="108"/>
        <v>0</v>
      </c>
      <c r="AB72" s="33">
        <f t="shared" si="108"/>
        <v>0</v>
      </c>
      <c r="AC72" s="33">
        <f t="shared" si="108"/>
        <v>0</v>
      </c>
      <c r="AD72" s="33">
        <f t="shared" si="108"/>
        <v>0</v>
      </c>
      <c r="AE72" s="33">
        <f t="shared" si="108"/>
        <v>0</v>
      </c>
      <c r="AF72" s="33">
        <f t="shared" si="108"/>
        <v>0</v>
      </c>
      <c r="AG72" s="33">
        <f t="shared" si="108"/>
        <v>0</v>
      </c>
      <c r="AH72" s="33">
        <f t="shared" si="108"/>
        <v>0</v>
      </c>
      <c r="AI72" s="11"/>
      <c r="AJ72" s="77" t="e">
        <f t="shared" si="104"/>
        <v>#DIV/0!</v>
      </c>
    </row>
    <row r="73" spans="1:36" ht="12.75" customHeight="1">
      <c r="B73" s="13" t="s">
        <v>17</v>
      </c>
      <c r="C73" s="14">
        <f t="shared" ref="C73:F73" si="109">SUM(C69:C72)</f>
        <v>0</v>
      </c>
      <c r="D73" s="14">
        <f t="shared" si="109"/>
        <v>0</v>
      </c>
      <c r="E73" s="14">
        <f t="shared" si="109"/>
        <v>0</v>
      </c>
      <c r="F73" s="14">
        <f t="shared" si="109"/>
        <v>0</v>
      </c>
      <c r="G73" s="54"/>
      <c r="H73" s="14">
        <f t="shared" ref="H73:R73" si="110">SUM(H69:H72)</f>
        <v>0</v>
      </c>
      <c r="I73" s="14">
        <f t="shared" si="110"/>
        <v>0</v>
      </c>
      <c r="J73" s="14">
        <f t="shared" si="110"/>
        <v>0</v>
      </c>
      <c r="K73" s="14">
        <f t="shared" si="110"/>
        <v>0</v>
      </c>
      <c r="L73" s="14">
        <f t="shared" si="110"/>
        <v>0</v>
      </c>
      <c r="M73" s="14">
        <f t="shared" si="110"/>
        <v>0</v>
      </c>
      <c r="N73" s="14">
        <f t="shared" si="110"/>
        <v>0</v>
      </c>
      <c r="O73" s="14">
        <f t="shared" si="110"/>
        <v>0</v>
      </c>
      <c r="P73" s="14">
        <f t="shared" si="110"/>
        <v>0</v>
      </c>
      <c r="Q73" s="14">
        <f t="shared" si="110"/>
        <v>0</v>
      </c>
      <c r="R73" s="14">
        <f t="shared" si="110"/>
        <v>0</v>
      </c>
      <c r="T73" s="14" t="e">
        <f t="shared" ref="T73:AH73" si="111">SUM(T69:T72)</f>
        <v>#REF!</v>
      </c>
      <c r="U73" s="14" t="e">
        <f t="shared" si="111"/>
        <v>#REF!</v>
      </c>
      <c r="V73" s="14" t="e">
        <f t="shared" si="111"/>
        <v>#REF!</v>
      </c>
      <c r="W73" s="14" t="e">
        <f t="shared" si="111"/>
        <v>#REF!</v>
      </c>
      <c r="X73" s="14">
        <f t="shared" si="111"/>
        <v>0</v>
      </c>
      <c r="Y73" s="14">
        <f t="shared" si="111"/>
        <v>0</v>
      </c>
      <c r="Z73" s="14">
        <f t="shared" si="111"/>
        <v>0</v>
      </c>
      <c r="AA73" s="14">
        <f t="shared" si="111"/>
        <v>0</v>
      </c>
      <c r="AB73" s="14">
        <f t="shared" si="111"/>
        <v>0</v>
      </c>
      <c r="AC73" s="14">
        <f t="shared" si="111"/>
        <v>0</v>
      </c>
      <c r="AD73" s="14">
        <f t="shared" si="111"/>
        <v>0</v>
      </c>
      <c r="AE73" s="14">
        <f t="shared" si="111"/>
        <v>0</v>
      </c>
      <c r="AF73" s="14">
        <f t="shared" si="111"/>
        <v>0</v>
      </c>
      <c r="AG73" s="14">
        <f t="shared" si="111"/>
        <v>0</v>
      </c>
      <c r="AH73" s="14">
        <f t="shared" si="111"/>
        <v>0</v>
      </c>
      <c r="AI73" s="43"/>
      <c r="AJ73" s="77" t="e">
        <f t="shared" si="104"/>
        <v>#DIV/0!</v>
      </c>
    </row>
    <row r="74" spans="1:36" ht="12.75" customHeight="1">
      <c r="B74" s="26" t="s">
        <v>54</v>
      </c>
      <c r="C74" s="33">
        <f t="shared" ref="C74:F74" si="112">SUM(C73+C67)</f>
        <v>0</v>
      </c>
      <c r="D74" s="33">
        <f t="shared" si="112"/>
        <v>0</v>
      </c>
      <c r="E74" s="33">
        <f t="shared" si="112"/>
        <v>0</v>
      </c>
      <c r="F74" s="33">
        <f t="shared" si="112"/>
        <v>0</v>
      </c>
      <c r="G74" s="33"/>
      <c r="H74" s="33">
        <f t="shared" ref="H74:R74" si="113">SUM(H73+H67)</f>
        <v>0</v>
      </c>
      <c r="I74" s="33">
        <f t="shared" si="113"/>
        <v>0</v>
      </c>
      <c r="J74" s="33">
        <f t="shared" si="113"/>
        <v>0</v>
      </c>
      <c r="K74" s="33">
        <f t="shared" si="113"/>
        <v>0</v>
      </c>
      <c r="L74" s="33">
        <f t="shared" si="113"/>
        <v>0</v>
      </c>
      <c r="M74" s="33">
        <f t="shared" si="113"/>
        <v>0</v>
      </c>
      <c r="N74" s="33">
        <f t="shared" si="113"/>
        <v>0</v>
      </c>
      <c r="O74" s="33">
        <f t="shared" si="113"/>
        <v>0</v>
      </c>
      <c r="P74" s="33">
        <f t="shared" si="113"/>
        <v>0</v>
      </c>
      <c r="Q74" s="33">
        <f t="shared" si="113"/>
        <v>0</v>
      </c>
      <c r="R74" s="33">
        <f t="shared" si="113"/>
        <v>0</v>
      </c>
      <c r="S74" s="33"/>
      <c r="T74" s="33" t="e">
        <f t="shared" ref="T74:AH74" si="114">SUM(T73+T67)</f>
        <v>#REF!</v>
      </c>
      <c r="U74" s="33" t="e">
        <f t="shared" si="114"/>
        <v>#REF!</v>
      </c>
      <c r="V74" s="33" t="e">
        <f t="shared" si="114"/>
        <v>#REF!</v>
      </c>
      <c r="W74" s="33" t="e">
        <f t="shared" si="114"/>
        <v>#REF!</v>
      </c>
      <c r="X74" s="33">
        <f t="shared" si="114"/>
        <v>0</v>
      </c>
      <c r="Y74" s="33">
        <f t="shared" si="114"/>
        <v>0</v>
      </c>
      <c r="Z74" s="33">
        <f t="shared" si="114"/>
        <v>0</v>
      </c>
      <c r="AA74" s="33">
        <f t="shared" si="114"/>
        <v>0</v>
      </c>
      <c r="AB74" s="33">
        <f t="shared" si="114"/>
        <v>0</v>
      </c>
      <c r="AC74" s="33">
        <f t="shared" si="114"/>
        <v>0</v>
      </c>
      <c r="AD74" s="33">
        <f t="shared" si="114"/>
        <v>0</v>
      </c>
      <c r="AE74" s="33">
        <f t="shared" si="114"/>
        <v>0</v>
      </c>
      <c r="AF74" s="33">
        <f t="shared" si="114"/>
        <v>0</v>
      </c>
      <c r="AG74" s="33">
        <f t="shared" si="114"/>
        <v>0</v>
      </c>
      <c r="AH74" s="33">
        <f t="shared" si="114"/>
        <v>0</v>
      </c>
      <c r="AI74" s="11"/>
      <c r="AJ74" s="78" t="e">
        <f t="shared" si="104"/>
        <v>#DIV/0!</v>
      </c>
    </row>
    <row r="75" spans="1:36" ht="5.0999999999999996" customHeight="1">
      <c r="B75" s="26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11"/>
    </row>
    <row r="76" spans="1:36" ht="12.75" customHeight="1">
      <c r="B76" s="147" t="s">
        <v>64</v>
      </c>
      <c r="C76" s="71">
        <f t="shared" ref="C76:F76" si="115">C74-C53</f>
        <v>0</v>
      </c>
      <c r="D76" s="71">
        <f t="shared" si="115"/>
        <v>0</v>
      </c>
      <c r="E76" s="71">
        <f t="shared" si="115"/>
        <v>0</v>
      </c>
      <c r="F76" s="71">
        <f t="shared" si="115"/>
        <v>0</v>
      </c>
      <c r="G76" s="72"/>
      <c r="H76" s="71">
        <f t="shared" ref="H76:R76" si="116">H74-H53</f>
        <v>0</v>
      </c>
      <c r="I76" s="71">
        <f t="shared" si="116"/>
        <v>0</v>
      </c>
      <c r="J76" s="71">
        <f t="shared" si="116"/>
        <v>0</v>
      </c>
      <c r="K76" s="71">
        <f t="shared" si="116"/>
        <v>0</v>
      </c>
      <c r="L76" s="71">
        <f t="shared" si="116"/>
        <v>0</v>
      </c>
      <c r="M76" s="71">
        <f t="shared" si="116"/>
        <v>0</v>
      </c>
      <c r="N76" s="71">
        <f t="shared" si="116"/>
        <v>0</v>
      </c>
      <c r="O76" s="71">
        <f t="shared" si="116"/>
        <v>0</v>
      </c>
      <c r="P76" s="71">
        <f t="shared" si="116"/>
        <v>0</v>
      </c>
      <c r="Q76" s="71">
        <f t="shared" si="116"/>
        <v>0</v>
      </c>
      <c r="R76" s="71">
        <f t="shared" si="116"/>
        <v>0</v>
      </c>
      <c r="S76" s="29"/>
      <c r="T76" s="71" t="e">
        <f t="shared" ref="T76:AH76" si="117">T74-T53</f>
        <v>#REF!</v>
      </c>
      <c r="U76" s="71" t="e">
        <f t="shared" si="117"/>
        <v>#REF!</v>
      </c>
      <c r="V76" s="71" t="e">
        <f t="shared" si="117"/>
        <v>#REF!</v>
      </c>
      <c r="W76" s="71" t="e">
        <f t="shared" si="117"/>
        <v>#REF!</v>
      </c>
      <c r="X76" s="71">
        <f t="shared" si="117"/>
        <v>0</v>
      </c>
      <c r="Y76" s="71">
        <f t="shared" si="117"/>
        <v>0</v>
      </c>
      <c r="Z76" s="71">
        <f t="shared" si="117"/>
        <v>0</v>
      </c>
      <c r="AA76" s="71">
        <f t="shared" si="117"/>
        <v>0</v>
      </c>
      <c r="AB76" s="71">
        <f t="shared" si="117"/>
        <v>0</v>
      </c>
      <c r="AC76" s="71">
        <f t="shared" si="117"/>
        <v>0</v>
      </c>
      <c r="AD76" s="71">
        <f t="shared" si="117"/>
        <v>0</v>
      </c>
      <c r="AE76" s="71">
        <f t="shared" si="117"/>
        <v>0</v>
      </c>
      <c r="AF76" s="71">
        <f t="shared" si="117"/>
        <v>0</v>
      </c>
      <c r="AG76" s="71">
        <f t="shared" si="117"/>
        <v>0</v>
      </c>
      <c r="AH76" s="71">
        <f t="shared" si="117"/>
        <v>0</v>
      </c>
    </row>
    <row r="77" spans="1:36" ht="5.0999999999999996" customHeight="1" thickBot="1">
      <c r="B77" s="119"/>
      <c r="C77" s="120"/>
      <c r="D77" s="120"/>
      <c r="E77" s="120"/>
      <c r="F77" s="120"/>
      <c r="G77" s="121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2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75"/>
      <c r="AJ77" s="75"/>
    </row>
    <row r="78" spans="1:36">
      <c r="B78" s="70"/>
      <c r="C78" s="55"/>
      <c r="D78" s="25"/>
      <c r="E78" s="25"/>
      <c r="F78" s="25"/>
      <c r="G78" s="55"/>
    </row>
    <row r="79" spans="1:36" ht="12.75" customHeight="1">
      <c r="A79" s="5" t="s">
        <v>19</v>
      </c>
      <c r="B79" s="101" t="s">
        <v>15</v>
      </c>
      <c r="C79" s="105"/>
      <c r="D79" s="105"/>
      <c r="E79" s="105"/>
      <c r="F79" s="105"/>
      <c r="G79" s="106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1"/>
      <c r="T79" s="105"/>
      <c r="U79" s="105"/>
      <c r="V79" s="105"/>
      <c r="W79" s="105"/>
      <c r="X79" s="105"/>
      <c r="Y79" s="105"/>
      <c r="Z79" s="105"/>
      <c r="AA79" s="105"/>
      <c r="AB79" s="105"/>
      <c r="AC79" s="105" t="s">
        <v>10</v>
      </c>
      <c r="AD79" s="105"/>
      <c r="AE79" s="105"/>
      <c r="AF79" s="105"/>
      <c r="AG79" s="105"/>
      <c r="AH79" s="105"/>
      <c r="AI79" s="106"/>
      <c r="AJ79" s="156" t="s">
        <v>26</v>
      </c>
    </row>
    <row r="80" spans="1:36" ht="12.75" customHeight="1">
      <c r="B80" s="102" t="str">
        <f>B7</f>
        <v>Fiscal Period</v>
      </c>
      <c r="C80" s="107">
        <f>C7</f>
        <v>2021</v>
      </c>
      <c r="D80" s="107">
        <f>D7</f>
        <v>2022</v>
      </c>
      <c r="E80" s="107">
        <f>E7</f>
        <v>2023</v>
      </c>
      <c r="F80" s="107">
        <f>F7</f>
        <v>2024</v>
      </c>
      <c r="G80" s="106"/>
      <c r="H80" s="107" t="str">
        <f>H7</f>
        <v>1Q23</v>
      </c>
      <c r="I80" s="107" t="str">
        <f>I7</f>
        <v>2Q23</v>
      </c>
      <c r="J80" s="107" t="str">
        <f>J7</f>
        <v>3Q23</v>
      </c>
      <c r="K80" s="107" t="str">
        <f>K7</f>
        <v>4Q23</v>
      </c>
      <c r="L80" s="107" t="str">
        <f>L7</f>
        <v>1Q24</v>
      </c>
      <c r="M80" s="107" t="str">
        <f>M7</f>
        <v>2Q24</v>
      </c>
      <c r="N80" s="107" t="str">
        <f>N7</f>
        <v>3Q24</v>
      </c>
      <c r="O80" s="107" t="str">
        <f>O7</f>
        <v>4Q24</v>
      </c>
      <c r="P80" s="107" t="str">
        <f>P7</f>
        <v>1Q25</v>
      </c>
      <c r="Q80" s="107" t="str">
        <f>Q7</f>
        <v>2Q25</v>
      </c>
      <c r="R80" s="107" t="str">
        <f>R7</f>
        <v>3Q25</v>
      </c>
      <c r="S80" s="107"/>
      <c r="T80" s="107" t="e">
        <f>T7</f>
        <v>#REF!</v>
      </c>
      <c r="U80" s="107" t="e">
        <f>U7</f>
        <v>#REF!</v>
      </c>
      <c r="V80" s="107" t="e">
        <f>V7</f>
        <v>#REF!</v>
      </c>
      <c r="W80" s="107" t="e">
        <f>W7</f>
        <v>#REF!</v>
      </c>
      <c r="X80" s="107" t="str">
        <f>X7</f>
        <v>1Q23</v>
      </c>
      <c r="Y80" s="107" t="str">
        <f>Y7</f>
        <v>2Q23</v>
      </c>
      <c r="Z80" s="107" t="str">
        <f>Z7</f>
        <v>3Q23</v>
      </c>
      <c r="AA80" s="107" t="str">
        <f>AA7</f>
        <v>4Q23</v>
      </c>
      <c r="AB80" s="107" t="str">
        <f>AB7</f>
        <v>1Q24</v>
      </c>
      <c r="AC80" s="107" t="str">
        <f>AC7</f>
        <v>2Q24</v>
      </c>
      <c r="AD80" s="107" t="str">
        <f>AD7</f>
        <v>3Q24</v>
      </c>
      <c r="AE80" s="107" t="str">
        <f>AE7</f>
        <v>4Q24</v>
      </c>
      <c r="AF80" s="107" t="str">
        <f>AF7</f>
        <v>1Q25</v>
      </c>
      <c r="AG80" s="107" t="str">
        <f>AG7</f>
        <v>2Q25</v>
      </c>
      <c r="AH80" s="107" t="str">
        <f>AH7</f>
        <v>3Q25</v>
      </c>
      <c r="AI80" s="106"/>
      <c r="AJ80" s="156"/>
    </row>
    <row r="81" spans="2:36" ht="12.75" customHeight="1">
      <c r="B81" s="102" t="str">
        <f>B8</f>
        <v>Fiscal Period End Date</v>
      </c>
      <c r="C81" s="108">
        <f>C8</f>
        <v>44561</v>
      </c>
      <c r="D81" s="108">
        <f>D8</f>
        <v>44926</v>
      </c>
      <c r="E81" s="108">
        <f>E8</f>
        <v>45291</v>
      </c>
      <c r="F81" s="108">
        <f>F8</f>
        <v>45657</v>
      </c>
      <c r="G81" s="106"/>
      <c r="H81" s="108">
        <f>H8</f>
        <v>45016</v>
      </c>
      <c r="I81" s="108">
        <f>I8</f>
        <v>45107</v>
      </c>
      <c r="J81" s="108">
        <f>J8</f>
        <v>45199</v>
      </c>
      <c r="K81" s="108">
        <f>K8</f>
        <v>45291</v>
      </c>
      <c r="L81" s="108">
        <f>L8</f>
        <v>45382</v>
      </c>
      <c r="M81" s="108">
        <f>M8</f>
        <v>45473</v>
      </c>
      <c r="N81" s="108">
        <f>N8</f>
        <v>45565</v>
      </c>
      <c r="O81" s="108">
        <f>O8</f>
        <v>45657</v>
      </c>
      <c r="P81" s="108">
        <f>P8</f>
        <v>45747</v>
      </c>
      <c r="Q81" s="108">
        <f>Q8</f>
        <v>45838</v>
      </c>
      <c r="R81" s="108">
        <f>R8</f>
        <v>45930</v>
      </c>
      <c r="S81" s="108"/>
      <c r="T81" s="108" t="e">
        <f>T8</f>
        <v>#REF!</v>
      </c>
      <c r="U81" s="108" t="e">
        <f>U8</f>
        <v>#REF!</v>
      </c>
      <c r="V81" s="108" t="e">
        <f>V8</f>
        <v>#REF!</v>
      </c>
      <c r="W81" s="108" t="e">
        <f>W8</f>
        <v>#REF!</v>
      </c>
      <c r="X81" s="108">
        <f>X8</f>
        <v>45016</v>
      </c>
      <c r="Y81" s="108">
        <f>Y8</f>
        <v>45107</v>
      </c>
      <c r="Z81" s="108">
        <f>Z8</f>
        <v>45199</v>
      </c>
      <c r="AA81" s="108">
        <f>AA8</f>
        <v>45291</v>
      </c>
      <c r="AB81" s="108">
        <f>AB8</f>
        <v>45382</v>
      </c>
      <c r="AC81" s="108">
        <f>AC8</f>
        <v>45473</v>
      </c>
      <c r="AD81" s="108">
        <f>AD8</f>
        <v>45565</v>
      </c>
      <c r="AE81" s="108">
        <f>AE8</f>
        <v>45657</v>
      </c>
      <c r="AF81" s="108">
        <f>AF8</f>
        <v>45747</v>
      </c>
      <c r="AG81" s="108">
        <f>AG8</f>
        <v>45838</v>
      </c>
      <c r="AH81" s="108">
        <f>AH8</f>
        <v>45930</v>
      </c>
      <c r="AI81" s="106"/>
      <c r="AJ81" s="156"/>
    </row>
    <row r="82" spans="2:36" ht="5.0999999999999996" customHeight="1">
      <c r="B82" s="56"/>
      <c r="C82" s="49"/>
      <c r="D82" s="49"/>
      <c r="E82" s="49"/>
      <c r="F82" s="49"/>
    </row>
    <row r="83" spans="2:36" ht="12.75" customHeight="1">
      <c r="B83" s="57" t="s">
        <v>55</v>
      </c>
      <c r="C83" s="58"/>
      <c r="D83" s="58"/>
      <c r="E83" s="58"/>
      <c r="F83" s="58"/>
    </row>
    <row r="84" spans="2:36" ht="12.75" customHeight="1">
      <c r="B84" s="59" t="s">
        <v>56</v>
      </c>
      <c r="C84" s="33">
        <f t="shared" ref="C84:F84" si="118">C30</f>
        <v>0</v>
      </c>
      <c r="D84" s="33">
        <f t="shared" si="118"/>
        <v>0</v>
      </c>
      <c r="E84" s="33">
        <f t="shared" si="118"/>
        <v>0</v>
      </c>
      <c r="F84" s="33">
        <f t="shared" si="118"/>
        <v>0</v>
      </c>
      <c r="G84" s="33"/>
      <c r="H84" s="33">
        <f t="shared" ref="H84:R84" si="119">H30</f>
        <v>0</v>
      </c>
      <c r="I84" s="33">
        <f t="shared" si="119"/>
        <v>0</v>
      </c>
      <c r="J84" s="33">
        <f t="shared" si="119"/>
        <v>0</v>
      </c>
      <c r="K84" s="33">
        <f t="shared" si="119"/>
        <v>0</v>
      </c>
      <c r="L84" s="33">
        <f t="shared" si="119"/>
        <v>0</v>
      </c>
      <c r="M84" s="33">
        <f t="shared" si="119"/>
        <v>0</v>
      </c>
      <c r="N84" s="33">
        <f t="shared" si="119"/>
        <v>0</v>
      </c>
      <c r="O84" s="33">
        <f t="shared" si="119"/>
        <v>0</v>
      </c>
      <c r="P84" s="33">
        <f t="shared" si="119"/>
        <v>0</v>
      </c>
      <c r="Q84" s="33">
        <f t="shared" si="119"/>
        <v>0</v>
      </c>
      <c r="R84" s="33">
        <f t="shared" si="119"/>
        <v>0</v>
      </c>
      <c r="T84" s="33" t="e">
        <f>SUM(#REF!)</f>
        <v>#REF!</v>
      </c>
      <c r="U84" s="33" t="e">
        <f>SUM(#REF!)</f>
        <v>#REF!</v>
      </c>
      <c r="V84" s="33" t="e">
        <f>SUM(#REF!)</f>
        <v>#REF!</v>
      </c>
      <c r="W84" s="33" t="e">
        <f>SUM(#REF!)</f>
        <v>#REF!</v>
      </c>
      <c r="X84" s="33">
        <f>SUM(H84:H84)</f>
        <v>0</v>
      </c>
      <c r="Y84" s="33">
        <f>SUM(H84:I84)</f>
        <v>0</v>
      </c>
      <c r="Z84" s="33">
        <f>SUM(H84:J84)</f>
        <v>0</v>
      </c>
      <c r="AA84" s="33">
        <f t="shared" ref="AA84:AH84" si="120">SUM(H84:K84)</f>
        <v>0</v>
      </c>
      <c r="AB84" s="33">
        <f t="shared" si="120"/>
        <v>0</v>
      </c>
      <c r="AC84" s="33">
        <f t="shared" si="120"/>
        <v>0</v>
      </c>
      <c r="AD84" s="33">
        <f t="shared" si="120"/>
        <v>0</v>
      </c>
      <c r="AE84" s="33">
        <f t="shared" si="120"/>
        <v>0</v>
      </c>
      <c r="AF84" s="33">
        <f t="shared" si="120"/>
        <v>0</v>
      </c>
      <c r="AG84" s="33">
        <f t="shared" si="120"/>
        <v>0</v>
      </c>
      <c r="AH84" s="33">
        <f t="shared" si="120"/>
        <v>0</v>
      </c>
      <c r="AI84" s="11"/>
      <c r="AJ84" s="77" t="e">
        <f>SUM(AH84/AD84)-1</f>
        <v>#DIV/0!</v>
      </c>
    </row>
    <row r="85" spans="2:36" ht="5.0999999999999996" customHeight="1"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11"/>
      <c r="AJ85" s="77"/>
    </row>
    <row r="86" spans="2:36" ht="12.75" customHeight="1">
      <c r="B86" s="37" t="s">
        <v>63</v>
      </c>
      <c r="C86" s="33"/>
      <c r="D86" s="33"/>
      <c r="E86" s="33"/>
      <c r="F86" s="33"/>
      <c r="G86" s="33"/>
      <c r="H86" s="84"/>
      <c r="I86" s="84"/>
      <c r="J86" s="84"/>
      <c r="K86" s="33"/>
      <c r="L86" s="84"/>
      <c r="M86" s="84"/>
      <c r="N86" s="84"/>
      <c r="O86" s="33"/>
      <c r="P86" s="84"/>
      <c r="Q86" s="84"/>
      <c r="R86" s="84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61"/>
      <c r="AJ86" s="77"/>
    </row>
    <row r="87" spans="2:36" ht="12.75" customHeight="1">
      <c r="B87" s="62" t="s">
        <v>132</v>
      </c>
      <c r="C87" s="84"/>
      <c r="D87" s="84"/>
      <c r="E87" s="84"/>
      <c r="F87" s="84"/>
      <c r="G87" s="33"/>
      <c r="H87" s="84"/>
      <c r="I87" s="84"/>
      <c r="J87" s="84"/>
      <c r="K87" s="33">
        <f t="shared" ref="K87:K94" si="121">SUM(E87-SUM(H87:J87))</f>
        <v>0</v>
      </c>
      <c r="L87" s="84"/>
      <c r="M87" s="84"/>
      <c r="N87" s="84"/>
      <c r="O87" s="33">
        <f t="shared" ref="O87:O94" si="122">SUM(F87-SUM(L87:N87))</f>
        <v>0</v>
      </c>
      <c r="P87" s="84"/>
      <c r="Q87" s="84"/>
      <c r="R87" s="84"/>
      <c r="T87" s="33" t="e">
        <f>SUM(#REF!)</f>
        <v>#REF!</v>
      </c>
      <c r="U87" s="33" t="e">
        <f>SUM(#REF!)</f>
        <v>#REF!</v>
      </c>
      <c r="V87" s="33" t="e">
        <f>SUM(#REF!)</f>
        <v>#REF!</v>
      </c>
      <c r="W87" s="33" t="e">
        <f>SUM(#REF!)</f>
        <v>#REF!</v>
      </c>
      <c r="X87" s="33">
        <f>SUM(H87:H87)</f>
        <v>0</v>
      </c>
      <c r="Y87" s="33">
        <f>SUM(H87:I87)</f>
        <v>0</v>
      </c>
      <c r="Z87" s="33">
        <f>SUM(H87:J87)</f>
        <v>0</v>
      </c>
      <c r="AA87" s="33">
        <f t="shared" ref="AA87:AH87" si="123">SUM(H87:K87)</f>
        <v>0</v>
      </c>
      <c r="AB87" s="33">
        <f t="shared" si="123"/>
        <v>0</v>
      </c>
      <c r="AC87" s="33">
        <f t="shared" si="123"/>
        <v>0</v>
      </c>
      <c r="AD87" s="33">
        <f t="shared" si="123"/>
        <v>0</v>
      </c>
      <c r="AE87" s="33">
        <f t="shared" si="123"/>
        <v>0</v>
      </c>
      <c r="AF87" s="33">
        <f t="shared" si="123"/>
        <v>0</v>
      </c>
      <c r="AG87" s="33">
        <f t="shared" si="123"/>
        <v>0</v>
      </c>
      <c r="AH87" s="33">
        <f t="shared" si="123"/>
        <v>0</v>
      </c>
      <c r="AI87" s="11"/>
      <c r="AJ87" s="77" t="e">
        <f t="shared" ref="AJ87:AJ101" si="124">SUM(AH87/AD87)-1</f>
        <v>#DIV/0!</v>
      </c>
    </row>
    <row r="88" spans="2:36" ht="12.75" customHeight="1">
      <c r="B88" s="62" t="s">
        <v>133</v>
      </c>
      <c r="C88" s="84"/>
      <c r="D88" s="84"/>
      <c r="E88" s="84"/>
      <c r="F88" s="84"/>
      <c r="G88" s="33"/>
      <c r="H88" s="84"/>
      <c r="I88" s="84"/>
      <c r="J88" s="84"/>
      <c r="K88" s="33">
        <f t="shared" si="121"/>
        <v>0</v>
      </c>
      <c r="L88" s="84"/>
      <c r="M88" s="84"/>
      <c r="N88" s="84"/>
      <c r="O88" s="33">
        <f t="shared" si="122"/>
        <v>0</v>
      </c>
      <c r="P88" s="84"/>
      <c r="Q88" s="84"/>
      <c r="R88" s="84"/>
      <c r="T88" s="33" t="e">
        <f>SUM(#REF!)</f>
        <v>#REF!</v>
      </c>
      <c r="U88" s="33" t="e">
        <f>SUM(#REF!)</f>
        <v>#REF!</v>
      </c>
      <c r="V88" s="33" t="e">
        <f>SUM(#REF!)</f>
        <v>#REF!</v>
      </c>
      <c r="W88" s="33" t="e">
        <f>SUM(#REF!)</f>
        <v>#REF!</v>
      </c>
      <c r="X88" s="33">
        <f>SUM(H88:H88)</f>
        <v>0</v>
      </c>
      <c r="Y88" s="33">
        <f>SUM(H88:I88)</f>
        <v>0</v>
      </c>
      <c r="Z88" s="33">
        <f>SUM(H88:J88)</f>
        <v>0</v>
      </c>
      <c r="AA88" s="33">
        <f t="shared" ref="AA88:AA94" si="125">SUM(H88:K88)</f>
        <v>0</v>
      </c>
      <c r="AB88" s="33">
        <f t="shared" ref="AB88:AB94" si="126">SUM(I88:L88)</f>
        <v>0</v>
      </c>
      <c r="AC88" s="33">
        <f t="shared" ref="AC88:AC94" si="127">SUM(J88:M88)</f>
        <v>0</v>
      </c>
      <c r="AD88" s="33">
        <f t="shared" ref="AD88:AD94" si="128">SUM(K88:N88)</f>
        <v>0</v>
      </c>
      <c r="AE88" s="33">
        <f t="shared" ref="AE88:AE94" si="129">SUM(L88:O88)</f>
        <v>0</v>
      </c>
      <c r="AF88" s="33">
        <f t="shared" ref="AF88:AF94" si="130">SUM(M88:P88)</f>
        <v>0</v>
      </c>
      <c r="AG88" s="33">
        <f t="shared" ref="AG88:AG94" si="131">SUM(N88:Q88)</f>
        <v>0</v>
      </c>
      <c r="AH88" s="33">
        <f t="shared" ref="AH88:AH94" si="132">SUM(O88:R88)</f>
        <v>0</v>
      </c>
      <c r="AI88" s="11"/>
      <c r="AJ88" s="77" t="e">
        <f t="shared" si="124"/>
        <v>#DIV/0!</v>
      </c>
    </row>
    <row r="89" spans="2:36" ht="12.75" customHeight="1">
      <c r="B89" s="62" t="s">
        <v>134</v>
      </c>
      <c r="C89" s="84"/>
      <c r="D89" s="84"/>
      <c r="E89" s="84"/>
      <c r="F89" s="84"/>
      <c r="G89" s="33"/>
      <c r="H89" s="84"/>
      <c r="I89" s="84"/>
      <c r="J89" s="84"/>
      <c r="K89" s="33">
        <f t="shared" si="121"/>
        <v>0</v>
      </c>
      <c r="L89" s="84"/>
      <c r="M89" s="84"/>
      <c r="N89" s="84"/>
      <c r="O89" s="33">
        <f t="shared" si="122"/>
        <v>0</v>
      </c>
      <c r="P89" s="84"/>
      <c r="Q89" s="84"/>
      <c r="R89" s="84"/>
      <c r="T89" s="33" t="e">
        <f>SUM(#REF!)</f>
        <v>#REF!</v>
      </c>
      <c r="U89" s="33" t="e">
        <f>SUM(#REF!)</f>
        <v>#REF!</v>
      </c>
      <c r="V89" s="33" t="e">
        <f>SUM(#REF!)</f>
        <v>#REF!</v>
      </c>
      <c r="W89" s="33" t="e">
        <f>SUM(#REF!)</f>
        <v>#REF!</v>
      </c>
      <c r="X89" s="33">
        <f>SUM(H89:H89)</f>
        <v>0</v>
      </c>
      <c r="Y89" s="33">
        <f>SUM(H89:I89)</f>
        <v>0</v>
      </c>
      <c r="Z89" s="33">
        <f>SUM(H89:J89)</f>
        <v>0</v>
      </c>
      <c r="AA89" s="33">
        <f t="shared" si="125"/>
        <v>0</v>
      </c>
      <c r="AB89" s="33">
        <f t="shared" si="126"/>
        <v>0</v>
      </c>
      <c r="AC89" s="33">
        <f t="shared" si="127"/>
        <v>0</v>
      </c>
      <c r="AD89" s="33">
        <f t="shared" si="128"/>
        <v>0</v>
      </c>
      <c r="AE89" s="33">
        <f t="shared" si="129"/>
        <v>0</v>
      </c>
      <c r="AF89" s="33">
        <f t="shared" si="130"/>
        <v>0</v>
      </c>
      <c r="AG89" s="33">
        <f t="shared" si="131"/>
        <v>0</v>
      </c>
      <c r="AH89" s="33">
        <f t="shared" si="132"/>
        <v>0</v>
      </c>
      <c r="AI89" s="11"/>
      <c r="AJ89" s="77" t="e">
        <f t="shared" si="124"/>
        <v>#DIV/0!</v>
      </c>
    </row>
    <row r="90" spans="2:36" ht="12.75" customHeight="1">
      <c r="B90" s="62" t="s">
        <v>135</v>
      </c>
      <c r="C90" s="84"/>
      <c r="D90" s="84"/>
      <c r="E90" s="84"/>
      <c r="F90" s="84"/>
      <c r="G90" s="33"/>
      <c r="H90" s="84"/>
      <c r="I90" s="84"/>
      <c r="J90" s="84"/>
      <c r="K90" s="33">
        <f t="shared" si="121"/>
        <v>0</v>
      </c>
      <c r="L90" s="84"/>
      <c r="M90" s="84"/>
      <c r="N90" s="84"/>
      <c r="O90" s="33">
        <f t="shared" si="122"/>
        <v>0</v>
      </c>
      <c r="P90" s="84"/>
      <c r="Q90" s="84"/>
      <c r="R90" s="84"/>
      <c r="T90" s="33" t="e">
        <f>SUM(#REF!)</f>
        <v>#REF!</v>
      </c>
      <c r="U90" s="33" t="e">
        <f>SUM(#REF!)</f>
        <v>#REF!</v>
      </c>
      <c r="V90" s="33" t="e">
        <f>SUM(#REF!)</f>
        <v>#REF!</v>
      </c>
      <c r="W90" s="33" t="e">
        <f>SUM(#REF!)</f>
        <v>#REF!</v>
      </c>
      <c r="X90" s="33">
        <f>SUM(H90:H90)</f>
        <v>0</v>
      </c>
      <c r="Y90" s="33">
        <f>SUM(H90:I90)</f>
        <v>0</v>
      </c>
      <c r="Z90" s="33">
        <f>SUM(H90:J90)</f>
        <v>0</v>
      </c>
      <c r="AA90" s="33">
        <f t="shared" si="125"/>
        <v>0</v>
      </c>
      <c r="AB90" s="33">
        <f t="shared" si="126"/>
        <v>0</v>
      </c>
      <c r="AC90" s="33">
        <f t="shared" si="127"/>
        <v>0</v>
      </c>
      <c r="AD90" s="33">
        <f t="shared" si="128"/>
        <v>0</v>
      </c>
      <c r="AE90" s="33">
        <f t="shared" si="129"/>
        <v>0</v>
      </c>
      <c r="AF90" s="33">
        <f t="shared" si="130"/>
        <v>0</v>
      </c>
      <c r="AG90" s="33">
        <f t="shared" si="131"/>
        <v>0</v>
      </c>
      <c r="AH90" s="33">
        <f t="shared" si="132"/>
        <v>0</v>
      </c>
      <c r="AI90" s="11"/>
      <c r="AJ90" s="77" t="e">
        <f t="shared" si="124"/>
        <v>#DIV/0!</v>
      </c>
    </row>
    <row r="91" spans="2:36" ht="12.75" customHeight="1">
      <c r="B91" s="62" t="s">
        <v>136</v>
      </c>
      <c r="C91" s="84"/>
      <c r="D91" s="84"/>
      <c r="E91" s="84"/>
      <c r="F91" s="84"/>
      <c r="G91" s="33"/>
      <c r="H91" s="84"/>
      <c r="I91" s="84"/>
      <c r="J91" s="84"/>
      <c r="K91" s="33">
        <f t="shared" si="121"/>
        <v>0</v>
      </c>
      <c r="L91" s="84"/>
      <c r="M91" s="84"/>
      <c r="N91" s="84"/>
      <c r="O91" s="33">
        <f t="shared" si="122"/>
        <v>0</v>
      </c>
      <c r="P91" s="84"/>
      <c r="Q91" s="84"/>
      <c r="R91" s="84"/>
      <c r="T91" s="33" t="e">
        <f>SUM(#REF!)</f>
        <v>#REF!</v>
      </c>
      <c r="U91" s="33" t="e">
        <f>SUM(#REF!)</f>
        <v>#REF!</v>
      </c>
      <c r="V91" s="33" t="e">
        <f>SUM(#REF!)</f>
        <v>#REF!</v>
      </c>
      <c r="W91" s="33" t="e">
        <f>SUM(#REF!)</f>
        <v>#REF!</v>
      </c>
      <c r="X91" s="33">
        <f>SUM(H91:H91)</f>
        <v>0</v>
      </c>
      <c r="Y91" s="33">
        <f>SUM(H91:I91)</f>
        <v>0</v>
      </c>
      <c r="Z91" s="33">
        <f>SUM(H91:J91)</f>
        <v>0</v>
      </c>
      <c r="AA91" s="33">
        <f t="shared" si="125"/>
        <v>0</v>
      </c>
      <c r="AB91" s="33">
        <f t="shared" si="126"/>
        <v>0</v>
      </c>
      <c r="AC91" s="33">
        <f t="shared" si="127"/>
        <v>0</v>
      </c>
      <c r="AD91" s="33">
        <f t="shared" si="128"/>
        <v>0</v>
      </c>
      <c r="AE91" s="33">
        <f t="shared" si="129"/>
        <v>0</v>
      </c>
      <c r="AF91" s="33">
        <f t="shared" si="130"/>
        <v>0</v>
      </c>
      <c r="AG91" s="33">
        <f t="shared" si="131"/>
        <v>0</v>
      </c>
      <c r="AH91" s="33">
        <f t="shared" si="132"/>
        <v>0</v>
      </c>
      <c r="AI91" s="11"/>
      <c r="AJ91" s="77" t="e">
        <f t="shared" si="124"/>
        <v>#DIV/0!</v>
      </c>
    </row>
    <row r="92" spans="2:36" ht="12.75" customHeight="1">
      <c r="B92" s="62" t="s">
        <v>137</v>
      </c>
      <c r="C92" s="84"/>
      <c r="D92" s="84"/>
      <c r="E92" s="84"/>
      <c r="F92" s="84"/>
      <c r="G92" s="33"/>
      <c r="H92" s="84"/>
      <c r="I92" s="84"/>
      <c r="J92" s="84"/>
      <c r="K92" s="33">
        <f t="shared" si="121"/>
        <v>0</v>
      </c>
      <c r="L92" s="84"/>
      <c r="M92" s="84"/>
      <c r="N92" s="84"/>
      <c r="O92" s="33">
        <f t="shared" si="122"/>
        <v>0</v>
      </c>
      <c r="P92" s="84"/>
      <c r="Q92" s="84"/>
      <c r="R92" s="84"/>
      <c r="T92" s="33" t="e">
        <f>SUM(#REF!)</f>
        <v>#REF!</v>
      </c>
      <c r="U92" s="33" t="e">
        <f>SUM(#REF!)</f>
        <v>#REF!</v>
      </c>
      <c r="V92" s="33" t="e">
        <f>SUM(#REF!)</f>
        <v>#REF!</v>
      </c>
      <c r="W92" s="33" t="e">
        <f>SUM(#REF!)</f>
        <v>#REF!</v>
      </c>
      <c r="X92" s="33">
        <f>SUM(H92:H92)</f>
        <v>0</v>
      </c>
      <c r="Y92" s="33">
        <f>SUM(H92:I92)</f>
        <v>0</v>
      </c>
      <c r="Z92" s="33">
        <f>SUM(H92:J92)</f>
        <v>0</v>
      </c>
      <c r="AA92" s="33">
        <f t="shared" si="125"/>
        <v>0</v>
      </c>
      <c r="AB92" s="33">
        <f t="shared" si="126"/>
        <v>0</v>
      </c>
      <c r="AC92" s="33">
        <f t="shared" si="127"/>
        <v>0</v>
      </c>
      <c r="AD92" s="33">
        <f t="shared" si="128"/>
        <v>0</v>
      </c>
      <c r="AE92" s="33">
        <f t="shared" si="129"/>
        <v>0</v>
      </c>
      <c r="AF92" s="33">
        <f t="shared" si="130"/>
        <v>0</v>
      </c>
      <c r="AG92" s="33">
        <f t="shared" si="131"/>
        <v>0</v>
      </c>
      <c r="AH92" s="33">
        <f t="shared" si="132"/>
        <v>0</v>
      </c>
      <c r="AI92" s="11"/>
      <c r="AJ92" s="77" t="e">
        <f t="shared" si="124"/>
        <v>#DIV/0!</v>
      </c>
    </row>
    <row r="93" spans="2:36" ht="12.75" customHeight="1">
      <c r="B93" s="62" t="s">
        <v>138</v>
      </c>
      <c r="C93" s="84"/>
      <c r="D93" s="84"/>
      <c r="E93" s="84"/>
      <c r="F93" s="84"/>
      <c r="G93" s="33"/>
      <c r="H93" s="84"/>
      <c r="I93" s="84"/>
      <c r="J93" s="84"/>
      <c r="K93" s="33">
        <f t="shared" si="121"/>
        <v>0</v>
      </c>
      <c r="L93" s="84"/>
      <c r="M93" s="84"/>
      <c r="N93" s="84"/>
      <c r="O93" s="33">
        <f t="shared" si="122"/>
        <v>0</v>
      </c>
      <c r="P93" s="84"/>
      <c r="Q93" s="84"/>
      <c r="R93" s="84"/>
      <c r="T93" s="33" t="e">
        <f>SUM(#REF!)</f>
        <v>#REF!</v>
      </c>
      <c r="U93" s="33" t="e">
        <f>SUM(#REF!)</f>
        <v>#REF!</v>
      </c>
      <c r="V93" s="33" t="e">
        <f>SUM(#REF!)</f>
        <v>#REF!</v>
      </c>
      <c r="W93" s="33" t="e">
        <f>SUM(#REF!)</f>
        <v>#REF!</v>
      </c>
      <c r="X93" s="33">
        <f>SUM(H93:H93)</f>
        <v>0</v>
      </c>
      <c r="Y93" s="33">
        <f>SUM(H93:I93)</f>
        <v>0</v>
      </c>
      <c r="Z93" s="33">
        <f>SUM(H93:J93)</f>
        <v>0</v>
      </c>
      <c r="AA93" s="33">
        <f t="shared" si="125"/>
        <v>0</v>
      </c>
      <c r="AB93" s="33">
        <f t="shared" si="126"/>
        <v>0</v>
      </c>
      <c r="AC93" s="33">
        <f t="shared" si="127"/>
        <v>0</v>
      </c>
      <c r="AD93" s="33">
        <f t="shared" si="128"/>
        <v>0</v>
      </c>
      <c r="AE93" s="33">
        <f t="shared" si="129"/>
        <v>0</v>
      </c>
      <c r="AF93" s="33">
        <f t="shared" si="130"/>
        <v>0</v>
      </c>
      <c r="AG93" s="33">
        <f t="shared" si="131"/>
        <v>0</v>
      </c>
      <c r="AH93" s="33">
        <f t="shared" si="132"/>
        <v>0</v>
      </c>
      <c r="AI93" s="11"/>
      <c r="AJ93" s="77" t="e">
        <f t="shared" si="124"/>
        <v>#DIV/0!</v>
      </c>
    </row>
    <row r="94" spans="2:36" ht="12.75" customHeight="1">
      <c r="B94" s="62" t="s">
        <v>98</v>
      </c>
      <c r="C94" s="84"/>
      <c r="D94" s="84"/>
      <c r="E94" s="84"/>
      <c r="F94" s="84"/>
      <c r="G94" s="33"/>
      <c r="H94" s="84"/>
      <c r="I94" s="84"/>
      <c r="J94" s="84"/>
      <c r="K94" s="33">
        <f t="shared" si="121"/>
        <v>0</v>
      </c>
      <c r="L94" s="84"/>
      <c r="M94" s="84"/>
      <c r="N94" s="84"/>
      <c r="O94" s="33">
        <f t="shared" si="122"/>
        <v>0</v>
      </c>
      <c r="P94" s="84"/>
      <c r="Q94" s="84"/>
      <c r="R94" s="84"/>
      <c r="T94" s="33" t="e">
        <f>SUM(#REF!)</f>
        <v>#REF!</v>
      </c>
      <c r="U94" s="33" t="e">
        <f>SUM(#REF!)</f>
        <v>#REF!</v>
      </c>
      <c r="V94" s="33" t="e">
        <f>SUM(#REF!)</f>
        <v>#REF!</v>
      </c>
      <c r="W94" s="33" t="e">
        <f>SUM(#REF!)</f>
        <v>#REF!</v>
      </c>
      <c r="X94" s="33">
        <f>SUM(H94:H94)</f>
        <v>0</v>
      </c>
      <c r="Y94" s="33">
        <f>SUM(H94:I94)</f>
        <v>0</v>
      </c>
      <c r="Z94" s="33">
        <f>SUM(H94:J94)</f>
        <v>0</v>
      </c>
      <c r="AA94" s="33">
        <f t="shared" si="125"/>
        <v>0</v>
      </c>
      <c r="AB94" s="33">
        <f t="shared" si="126"/>
        <v>0</v>
      </c>
      <c r="AC94" s="33">
        <f t="shared" si="127"/>
        <v>0</v>
      </c>
      <c r="AD94" s="33">
        <f t="shared" si="128"/>
        <v>0</v>
      </c>
      <c r="AE94" s="33">
        <f t="shared" si="129"/>
        <v>0</v>
      </c>
      <c r="AF94" s="33">
        <f t="shared" si="130"/>
        <v>0</v>
      </c>
      <c r="AG94" s="33">
        <f t="shared" si="131"/>
        <v>0</v>
      </c>
      <c r="AH94" s="33">
        <f t="shared" si="132"/>
        <v>0</v>
      </c>
      <c r="AI94" s="11"/>
      <c r="AJ94" s="77" t="e">
        <f t="shared" si="124"/>
        <v>#DIV/0!</v>
      </c>
    </row>
    <row r="95" spans="2:36" ht="12.75" customHeight="1">
      <c r="B95" s="37" t="s">
        <v>14</v>
      </c>
      <c r="C95" s="84"/>
      <c r="D95" s="84"/>
      <c r="E95" s="84"/>
      <c r="F95" s="84"/>
      <c r="G95" s="33"/>
      <c r="H95" s="84"/>
      <c r="I95" s="84"/>
      <c r="J95" s="84"/>
      <c r="K95" s="33"/>
      <c r="L95" s="84"/>
      <c r="M95" s="84"/>
      <c r="N95" s="84"/>
      <c r="O95" s="33"/>
      <c r="P95" s="84"/>
      <c r="Q95" s="84"/>
      <c r="R95" s="84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61"/>
      <c r="AJ95" s="77"/>
    </row>
    <row r="96" spans="2:36" ht="12.75" customHeight="1">
      <c r="B96" s="62" t="s">
        <v>16</v>
      </c>
      <c r="C96" s="84"/>
      <c r="D96" s="84"/>
      <c r="E96" s="84"/>
      <c r="F96" s="84"/>
      <c r="G96" s="33"/>
      <c r="H96" s="84"/>
      <c r="I96" s="84"/>
      <c r="J96" s="84"/>
      <c r="K96" s="33">
        <f t="shared" ref="K96:K100" si="133">SUM(E96-SUM(H96:J96))</f>
        <v>0</v>
      </c>
      <c r="L96" s="84"/>
      <c r="M96" s="84"/>
      <c r="N96" s="84"/>
      <c r="O96" s="33">
        <f t="shared" ref="O96:O100" si="134">SUM(F96-SUM(L96:N96))</f>
        <v>0</v>
      </c>
      <c r="P96" s="84"/>
      <c r="Q96" s="84"/>
      <c r="R96" s="84"/>
      <c r="T96" s="33" t="e">
        <f>SUM(#REF!)</f>
        <v>#REF!</v>
      </c>
      <c r="U96" s="33" t="e">
        <f>SUM(#REF!)</f>
        <v>#REF!</v>
      </c>
      <c r="V96" s="33" t="e">
        <f>SUM(#REF!)</f>
        <v>#REF!</v>
      </c>
      <c r="W96" s="33" t="e">
        <f>SUM(#REF!)</f>
        <v>#REF!</v>
      </c>
      <c r="X96" s="33">
        <f>SUM(H96:H96)</f>
        <v>0</v>
      </c>
      <c r="Y96" s="33">
        <f>SUM(H96:I96)</f>
        <v>0</v>
      </c>
      <c r="Z96" s="33">
        <f>SUM(H96:J96)</f>
        <v>0</v>
      </c>
      <c r="AA96" s="33">
        <f t="shared" ref="AA96:AH100" si="135">SUM(H96:K96)</f>
        <v>0</v>
      </c>
      <c r="AB96" s="33">
        <f t="shared" si="135"/>
        <v>0</v>
      </c>
      <c r="AC96" s="33">
        <f t="shared" si="135"/>
        <v>0</v>
      </c>
      <c r="AD96" s="33">
        <f t="shared" si="135"/>
        <v>0</v>
      </c>
      <c r="AE96" s="33">
        <f t="shared" si="135"/>
        <v>0</v>
      </c>
      <c r="AF96" s="33">
        <f t="shared" si="135"/>
        <v>0</v>
      </c>
      <c r="AG96" s="33">
        <f t="shared" si="135"/>
        <v>0</v>
      </c>
      <c r="AH96" s="33">
        <f t="shared" si="135"/>
        <v>0</v>
      </c>
      <c r="AI96" s="61"/>
      <c r="AJ96" s="77" t="e">
        <f t="shared" si="124"/>
        <v>#DIV/0!</v>
      </c>
    </row>
    <row r="97" spans="2:36" ht="12.75" customHeight="1">
      <c r="B97" s="62" t="s">
        <v>13</v>
      </c>
      <c r="C97" s="84"/>
      <c r="D97" s="84"/>
      <c r="E97" s="84"/>
      <c r="F97" s="84"/>
      <c r="G97" s="33"/>
      <c r="H97" s="84"/>
      <c r="I97" s="84"/>
      <c r="J97" s="84"/>
      <c r="K97" s="33">
        <f t="shared" si="133"/>
        <v>0</v>
      </c>
      <c r="L97" s="84"/>
      <c r="M97" s="84"/>
      <c r="N97" s="84"/>
      <c r="O97" s="33">
        <f t="shared" si="134"/>
        <v>0</v>
      </c>
      <c r="P97" s="84"/>
      <c r="Q97" s="84"/>
      <c r="R97" s="84"/>
      <c r="T97" s="33" t="e">
        <f>SUM(#REF!)</f>
        <v>#REF!</v>
      </c>
      <c r="U97" s="33" t="e">
        <f>SUM(#REF!)</f>
        <v>#REF!</v>
      </c>
      <c r="V97" s="33" t="e">
        <f>SUM(#REF!)</f>
        <v>#REF!</v>
      </c>
      <c r="W97" s="33" t="e">
        <f>SUM(#REF!)</f>
        <v>#REF!</v>
      </c>
      <c r="X97" s="33">
        <f>SUM(H97:H97)</f>
        <v>0</v>
      </c>
      <c r="Y97" s="33">
        <f>SUM(H97:I97)</f>
        <v>0</v>
      </c>
      <c r="Z97" s="33">
        <f>SUM(H97:J97)</f>
        <v>0</v>
      </c>
      <c r="AA97" s="33">
        <f t="shared" si="135"/>
        <v>0</v>
      </c>
      <c r="AB97" s="33">
        <f t="shared" si="135"/>
        <v>0</v>
      </c>
      <c r="AC97" s="33">
        <f t="shared" si="135"/>
        <v>0</v>
      </c>
      <c r="AD97" s="33">
        <f t="shared" si="135"/>
        <v>0</v>
      </c>
      <c r="AE97" s="33">
        <f t="shared" si="135"/>
        <v>0</v>
      </c>
      <c r="AF97" s="33">
        <f t="shared" si="135"/>
        <v>0</v>
      </c>
      <c r="AG97" s="33">
        <f t="shared" si="135"/>
        <v>0</v>
      </c>
      <c r="AH97" s="33">
        <f t="shared" si="135"/>
        <v>0</v>
      </c>
      <c r="AI97" s="61"/>
      <c r="AJ97" s="77" t="e">
        <f t="shared" si="124"/>
        <v>#DIV/0!</v>
      </c>
    </row>
    <row r="98" spans="2:36" ht="12.75" customHeight="1">
      <c r="B98" s="62" t="s">
        <v>121</v>
      </c>
      <c r="C98" s="84"/>
      <c r="D98" s="84"/>
      <c r="E98" s="84"/>
      <c r="F98" s="84"/>
      <c r="G98" s="33"/>
      <c r="H98" s="84"/>
      <c r="I98" s="84"/>
      <c r="J98" s="84"/>
      <c r="K98" s="33">
        <f t="shared" si="133"/>
        <v>0</v>
      </c>
      <c r="L98" s="84"/>
      <c r="M98" s="84"/>
      <c r="N98" s="84"/>
      <c r="O98" s="33">
        <f t="shared" si="134"/>
        <v>0</v>
      </c>
      <c r="P98" s="84"/>
      <c r="Q98" s="84"/>
      <c r="R98" s="84"/>
      <c r="T98" s="33" t="e">
        <f>SUM(#REF!)</f>
        <v>#REF!</v>
      </c>
      <c r="U98" s="33" t="e">
        <f>SUM(#REF!)</f>
        <v>#REF!</v>
      </c>
      <c r="V98" s="33" t="e">
        <f>SUM(#REF!)</f>
        <v>#REF!</v>
      </c>
      <c r="W98" s="33" t="e">
        <f>SUM(#REF!)</f>
        <v>#REF!</v>
      </c>
      <c r="X98" s="33">
        <f>SUM(H98:H98)</f>
        <v>0</v>
      </c>
      <c r="Y98" s="33">
        <f>SUM(H98:I98)</f>
        <v>0</v>
      </c>
      <c r="Z98" s="33">
        <f>SUM(H98:J98)</f>
        <v>0</v>
      </c>
      <c r="AA98" s="33">
        <f t="shared" si="135"/>
        <v>0</v>
      </c>
      <c r="AB98" s="33">
        <f t="shared" si="135"/>
        <v>0</v>
      </c>
      <c r="AC98" s="33">
        <f t="shared" si="135"/>
        <v>0</v>
      </c>
      <c r="AD98" s="33">
        <f t="shared" si="135"/>
        <v>0</v>
      </c>
      <c r="AE98" s="33">
        <f t="shared" si="135"/>
        <v>0</v>
      </c>
      <c r="AF98" s="33">
        <f t="shared" si="135"/>
        <v>0</v>
      </c>
      <c r="AG98" s="33">
        <f t="shared" si="135"/>
        <v>0</v>
      </c>
      <c r="AH98" s="33">
        <f t="shared" si="135"/>
        <v>0</v>
      </c>
      <c r="AI98" s="61"/>
      <c r="AJ98" s="77" t="e">
        <f t="shared" si="124"/>
        <v>#DIV/0!</v>
      </c>
    </row>
    <row r="99" spans="2:36" ht="12.75" customHeight="1">
      <c r="B99" s="62" t="s">
        <v>101</v>
      </c>
      <c r="C99" s="84"/>
      <c r="D99" s="84"/>
      <c r="E99" s="84"/>
      <c r="F99" s="84"/>
      <c r="G99" s="33"/>
      <c r="H99" s="84"/>
      <c r="I99" s="84"/>
      <c r="J99" s="84"/>
      <c r="K99" s="33">
        <f t="shared" si="133"/>
        <v>0</v>
      </c>
      <c r="L99" s="84"/>
      <c r="M99" s="84"/>
      <c r="N99" s="84"/>
      <c r="O99" s="33">
        <f t="shared" si="134"/>
        <v>0</v>
      </c>
      <c r="P99" s="84"/>
      <c r="Q99" s="84"/>
      <c r="R99" s="84"/>
      <c r="T99" s="33" t="e">
        <f>SUM(#REF!)</f>
        <v>#REF!</v>
      </c>
      <c r="U99" s="33" t="e">
        <f>SUM(#REF!)</f>
        <v>#REF!</v>
      </c>
      <c r="V99" s="33" t="e">
        <f>SUM(#REF!)</f>
        <v>#REF!</v>
      </c>
      <c r="W99" s="33" t="e">
        <f>SUM(#REF!)</f>
        <v>#REF!</v>
      </c>
      <c r="X99" s="33">
        <f>SUM(H99:H99)</f>
        <v>0</v>
      </c>
      <c r="Y99" s="33">
        <f>SUM(H99:I99)</f>
        <v>0</v>
      </c>
      <c r="Z99" s="33">
        <f>SUM(H99:J99)</f>
        <v>0</v>
      </c>
      <c r="AA99" s="33">
        <f t="shared" si="135"/>
        <v>0</v>
      </c>
      <c r="AB99" s="33">
        <f t="shared" si="135"/>
        <v>0</v>
      </c>
      <c r="AC99" s="33">
        <f t="shared" si="135"/>
        <v>0</v>
      </c>
      <c r="AD99" s="33">
        <f t="shared" si="135"/>
        <v>0</v>
      </c>
      <c r="AE99" s="33">
        <f t="shared" si="135"/>
        <v>0</v>
      </c>
      <c r="AF99" s="33">
        <f t="shared" si="135"/>
        <v>0</v>
      </c>
      <c r="AG99" s="33">
        <f t="shared" si="135"/>
        <v>0</v>
      </c>
      <c r="AH99" s="33">
        <f t="shared" si="135"/>
        <v>0</v>
      </c>
      <c r="AI99" s="61"/>
      <c r="AJ99" s="77" t="e">
        <f t="shared" si="124"/>
        <v>#DIV/0!</v>
      </c>
    </row>
    <row r="100" spans="2:36" ht="12.75" customHeight="1">
      <c r="B100" s="62" t="s">
        <v>127</v>
      </c>
      <c r="C100" s="84"/>
      <c r="D100" s="84"/>
      <c r="E100" s="84"/>
      <c r="F100" s="84"/>
      <c r="G100" s="33"/>
      <c r="H100" s="84"/>
      <c r="I100" s="84"/>
      <c r="J100" s="84"/>
      <c r="K100" s="33">
        <f t="shared" si="133"/>
        <v>0</v>
      </c>
      <c r="L100" s="84"/>
      <c r="M100" s="84"/>
      <c r="N100" s="84"/>
      <c r="O100" s="33">
        <f t="shared" si="134"/>
        <v>0</v>
      </c>
      <c r="P100" s="84"/>
      <c r="Q100" s="84"/>
      <c r="R100" s="84"/>
      <c r="T100" s="33" t="e">
        <f>SUM(#REF!)</f>
        <v>#REF!</v>
      </c>
      <c r="U100" s="33" t="e">
        <f>SUM(#REF!)</f>
        <v>#REF!</v>
      </c>
      <c r="V100" s="33" t="e">
        <f>SUM(#REF!)</f>
        <v>#REF!</v>
      </c>
      <c r="W100" s="33" t="e">
        <f>SUM(#REF!)</f>
        <v>#REF!</v>
      </c>
      <c r="X100" s="33">
        <f>SUM(H100:H100)</f>
        <v>0</v>
      </c>
      <c r="Y100" s="33">
        <f>SUM(H100:I100)</f>
        <v>0</v>
      </c>
      <c r="Z100" s="33">
        <f>SUM(H100:J100)</f>
        <v>0</v>
      </c>
      <c r="AA100" s="33">
        <f t="shared" si="135"/>
        <v>0</v>
      </c>
      <c r="AB100" s="33">
        <f t="shared" si="135"/>
        <v>0</v>
      </c>
      <c r="AC100" s="33">
        <f t="shared" si="135"/>
        <v>0</v>
      </c>
      <c r="AD100" s="33">
        <f t="shared" si="135"/>
        <v>0</v>
      </c>
      <c r="AE100" s="33">
        <f t="shared" si="135"/>
        <v>0</v>
      </c>
      <c r="AF100" s="33">
        <f t="shared" si="135"/>
        <v>0</v>
      </c>
      <c r="AG100" s="33">
        <f t="shared" si="135"/>
        <v>0</v>
      </c>
      <c r="AH100" s="33">
        <f t="shared" si="135"/>
        <v>0</v>
      </c>
      <c r="AI100" s="61"/>
      <c r="AJ100" s="77" t="e">
        <f t="shared" si="124"/>
        <v>#DIV/0!</v>
      </c>
    </row>
    <row r="101" spans="2:36" ht="12.75" customHeight="1">
      <c r="B101" s="13" t="s">
        <v>57</v>
      </c>
      <c r="C101" s="14">
        <f t="shared" ref="C101:F101" si="136">SUM(C84:C100)</f>
        <v>0</v>
      </c>
      <c r="D101" s="14">
        <f t="shared" si="136"/>
        <v>0</v>
      </c>
      <c r="E101" s="14">
        <f t="shared" si="136"/>
        <v>0</v>
      </c>
      <c r="F101" s="14">
        <f t="shared" si="136"/>
        <v>0</v>
      </c>
      <c r="H101" s="14">
        <f t="shared" ref="H101:R101" si="137">SUM(H84:H100)</f>
        <v>0</v>
      </c>
      <c r="I101" s="14">
        <f t="shared" si="137"/>
        <v>0</v>
      </c>
      <c r="J101" s="14">
        <f t="shared" si="137"/>
        <v>0</v>
      </c>
      <c r="K101" s="14">
        <f t="shared" si="137"/>
        <v>0</v>
      </c>
      <c r="L101" s="14">
        <f t="shared" si="137"/>
        <v>0</v>
      </c>
      <c r="M101" s="14">
        <f t="shared" si="137"/>
        <v>0</v>
      </c>
      <c r="N101" s="14">
        <f t="shared" si="137"/>
        <v>0</v>
      </c>
      <c r="O101" s="14">
        <f t="shared" si="137"/>
        <v>0</v>
      </c>
      <c r="P101" s="14">
        <f t="shared" si="137"/>
        <v>0</v>
      </c>
      <c r="Q101" s="14">
        <f t="shared" si="137"/>
        <v>0</v>
      </c>
      <c r="R101" s="14">
        <f t="shared" si="137"/>
        <v>0</v>
      </c>
      <c r="T101" s="14" t="e">
        <f t="shared" ref="T101:AH101" si="138">SUM(T84:T100)</f>
        <v>#REF!</v>
      </c>
      <c r="U101" s="14" t="e">
        <f t="shared" si="138"/>
        <v>#REF!</v>
      </c>
      <c r="V101" s="14" t="e">
        <f t="shared" si="138"/>
        <v>#REF!</v>
      </c>
      <c r="W101" s="14" t="e">
        <f t="shared" si="138"/>
        <v>#REF!</v>
      </c>
      <c r="X101" s="14">
        <f t="shared" si="138"/>
        <v>0</v>
      </c>
      <c r="Y101" s="14">
        <f t="shared" si="138"/>
        <v>0</v>
      </c>
      <c r="Z101" s="14">
        <f t="shared" si="138"/>
        <v>0</v>
      </c>
      <c r="AA101" s="14">
        <f t="shared" si="138"/>
        <v>0</v>
      </c>
      <c r="AB101" s="14">
        <f t="shared" si="138"/>
        <v>0</v>
      </c>
      <c r="AC101" s="14">
        <f t="shared" si="138"/>
        <v>0</v>
      </c>
      <c r="AD101" s="14">
        <f t="shared" si="138"/>
        <v>0</v>
      </c>
      <c r="AE101" s="14">
        <f t="shared" si="138"/>
        <v>0</v>
      </c>
      <c r="AF101" s="14">
        <f t="shared" si="138"/>
        <v>0</v>
      </c>
      <c r="AG101" s="14">
        <f t="shared" si="138"/>
        <v>0</v>
      </c>
      <c r="AH101" s="14">
        <f t="shared" si="138"/>
        <v>0</v>
      </c>
      <c r="AI101" s="43"/>
      <c r="AJ101" s="78" t="e">
        <f t="shared" si="124"/>
        <v>#DIV/0!</v>
      </c>
    </row>
    <row r="102" spans="2:36" ht="12.75" customHeight="1">
      <c r="B102" s="55"/>
      <c r="C102" s="63"/>
      <c r="D102" s="63"/>
      <c r="E102" s="63"/>
      <c r="F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0"/>
    </row>
    <row r="103" spans="2:36" ht="12.75" customHeight="1">
      <c r="B103" s="55" t="s">
        <v>58</v>
      </c>
      <c r="C103" s="60"/>
      <c r="D103" s="60"/>
      <c r="E103" s="60"/>
      <c r="F103" s="60"/>
      <c r="H103" s="84"/>
      <c r="I103" s="84"/>
      <c r="J103" s="84"/>
      <c r="K103" s="33"/>
      <c r="L103" s="84"/>
      <c r="M103" s="84"/>
      <c r="N103" s="84"/>
      <c r="O103" s="33"/>
      <c r="P103" s="60"/>
      <c r="Q103" s="60"/>
      <c r="R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1"/>
      <c r="AJ103" s="40"/>
    </row>
    <row r="104" spans="2:36" ht="12.75" customHeight="1">
      <c r="B104" s="62" t="s">
        <v>102</v>
      </c>
      <c r="C104" s="84"/>
      <c r="D104" s="84"/>
      <c r="E104" s="84"/>
      <c r="F104" s="84"/>
      <c r="G104" s="33"/>
      <c r="H104" s="84"/>
      <c r="I104" s="84"/>
      <c r="J104" s="84"/>
      <c r="K104" s="33">
        <f t="shared" ref="K104:K108" si="139">SUM(E104-SUM(H104:J104))</f>
        <v>0</v>
      </c>
      <c r="L104" s="84"/>
      <c r="M104" s="84"/>
      <c r="N104" s="84"/>
      <c r="O104" s="33">
        <f t="shared" ref="O104:O108" si="140">SUM(F104-SUM(L104:N104))</f>
        <v>0</v>
      </c>
      <c r="P104" s="84"/>
      <c r="Q104" s="84"/>
      <c r="R104" s="84"/>
      <c r="S104" s="33"/>
      <c r="T104" s="33" t="e">
        <f>SUM(#REF!)</f>
        <v>#REF!</v>
      </c>
      <c r="U104" s="33" t="e">
        <f>SUM(#REF!)</f>
        <v>#REF!</v>
      </c>
      <c r="V104" s="33" t="e">
        <f>SUM(#REF!)</f>
        <v>#REF!</v>
      </c>
      <c r="W104" s="33" t="e">
        <f>SUM(#REF!)</f>
        <v>#REF!</v>
      </c>
      <c r="X104" s="33">
        <f>SUM(H104:H104)</f>
        <v>0</v>
      </c>
      <c r="Y104" s="33">
        <f>SUM(H104:I104)</f>
        <v>0</v>
      </c>
      <c r="Z104" s="33">
        <f>SUM(H104:J104)</f>
        <v>0</v>
      </c>
      <c r="AA104" s="33">
        <f t="shared" ref="AA104:AA108" si="141">SUM(H104:K104)</f>
        <v>0</v>
      </c>
      <c r="AB104" s="33">
        <f t="shared" ref="AB104:AB108" si="142">SUM(I104:L104)</f>
        <v>0</v>
      </c>
      <c r="AC104" s="33">
        <f t="shared" ref="AC104:AC108" si="143">SUM(J104:M104)</f>
        <v>0</v>
      </c>
      <c r="AD104" s="33">
        <f t="shared" ref="AD104:AD108" si="144">SUM(K104:N104)</f>
        <v>0</v>
      </c>
      <c r="AE104" s="33">
        <f t="shared" ref="AE104:AE108" si="145">SUM(L104:O104)</f>
        <v>0</v>
      </c>
      <c r="AF104" s="33">
        <f t="shared" ref="AF104:AF108" si="146">SUM(M104:P104)</f>
        <v>0</v>
      </c>
      <c r="AG104" s="33">
        <f t="shared" ref="AG104:AG108" si="147">SUM(N104:Q104)</f>
        <v>0</v>
      </c>
      <c r="AH104" s="33">
        <f t="shared" ref="AH104:AH108" si="148">SUM(O104:R104)</f>
        <v>0</v>
      </c>
      <c r="AI104" s="61"/>
      <c r="AJ104" s="77" t="e">
        <f t="shared" ref="AJ104:AJ119" si="149">SUM(AH104/AD104)-1</f>
        <v>#DIV/0!</v>
      </c>
    </row>
    <row r="105" spans="2:36" ht="12.75" customHeight="1">
      <c r="B105" s="62" t="s">
        <v>128</v>
      </c>
      <c r="C105" s="84"/>
      <c r="D105" s="84"/>
      <c r="E105" s="84"/>
      <c r="F105" s="84"/>
      <c r="G105" s="33"/>
      <c r="H105" s="84"/>
      <c r="I105" s="84"/>
      <c r="J105" s="84"/>
      <c r="K105" s="33">
        <f t="shared" si="139"/>
        <v>0</v>
      </c>
      <c r="L105" s="84"/>
      <c r="M105" s="84"/>
      <c r="N105" s="84"/>
      <c r="O105" s="33">
        <f t="shared" si="140"/>
        <v>0</v>
      </c>
      <c r="P105" s="84"/>
      <c r="Q105" s="84"/>
      <c r="R105" s="84"/>
      <c r="S105" s="33"/>
      <c r="T105" s="33" t="e">
        <f>SUM(#REF!)</f>
        <v>#REF!</v>
      </c>
      <c r="U105" s="33" t="e">
        <f>SUM(#REF!)</f>
        <v>#REF!</v>
      </c>
      <c r="V105" s="33" t="e">
        <f>SUM(#REF!)</f>
        <v>#REF!</v>
      </c>
      <c r="W105" s="33" t="e">
        <f>SUM(#REF!)</f>
        <v>#REF!</v>
      </c>
      <c r="X105" s="33">
        <f>SUM(H105:H105)</f>
        <v>0</v>
      </c>
      <c r="Y105" s="33">
        <f>SUM(H105:I105)</f>
        <v>0</v>
      </c>
      <c r="Z105" s="33">
        <f>SUM(H105:J105)</f>
        <v>0</v>
      </c>
      <c r="AA105" s="33">
        <f t="shared" si="141"/>
        <v>0</v>
      </c>
      <c r="AB105" s="33">
        <f t="shared" si="142"/>
        <v>0</v>
      </c>
      <c r="AC105" s="33">
        <f t="shared" si="143"/>
        <v>0</v>
      </c>
      <c r="AD105" s="33">
        <f t="shared" si="144"/>
        <v>0</v>
      </c>
      <c r="AE105" s="33">
        <f t="shared" si="145"/>
        <v>0</v>
      </c>
      <c r="AF105" s="33">
        <f t="shared" si="146"/>
        <v>0</v>
      </c>
      <c r="AG105" s="33">
        <f t="shared" si="147"/>
        <v>0</v>
      </c>
      <c r="AH105" s="33">
        <f t="shared" si="148"/>
        <v>0</v>
      </c>
      <c r="AI105" s="61"/>
      <c r="AJ105" s="77" t="e">
        <f t="shared" si="149"/>
        <v>#DIV/0!</v>
      </c>
    </row>
    <row r="106" spans="2:36" ht="12.75" customHeight="1">
      <c r="B106" s="62" t="s">
        <v>129</v>
      </c>
      <c r="C106" s="84"/>
      <c r="D106" s="84"/>
      <c r="E106" s="84"/>
      <c r="F106" s="84"/>
      <c r="G106" s="33"/>
      <c r="H106" s="84"/>
      <c r="I106" s="84"/>
      <c r="J106" s="84"/>
      <c r="K106" s="33">
        <f t="shared" si="139"/>
        <v>0</v>
      </c>
      <c r="L106" s="84"/>
      <c r="M106" s="84"/>
      <c r="N106" s="84"/>
      <c r="O106" s="33">
        <f t="shared" si="140"/>
        <v>0</v>
      </c>
      <c r="P106" s="84"/>
      <c r="Q106" s="84"/>
      <c r="R106" s="84"/>
      <c r="S106" s="33"/>
      <c r="T106" s="33" t="e">
        <f>SUM(#REF!)</f>
        <v>#REF!</v>
      </c>
      <c r="U106" s="33" t="e">
        <f>SUM(#REF!)</f>
        <v>#REF!</v>
      </c>
      <c r="V106" s="33" t="e">
        <f>SUM(#REF!)</f>
        <v>#REF!</v>
      </c>
      <c r="W106" s="33" t="e">
        <f>SUM(#REF!)</f>
        <v>#REF!</v>
      </c>
      <c r="X106" s="33">
        <f>SUM(H106:H106)</f>
        <v>0</v>
      </c>
      <c r="Y106" s="33">
        <f>SUM(H106:I106)</f>
        <v>0</v>
      </c>
      <c r="Z106" s="33">
        <f>SUM(H106:J106)</f>
        <v>0</v>
      </c>
      <c r="AA106" s="33">
        <f t="shared" si="141"/>
        <v>0</v>
      </c>
      <c r="AB106" s="33">
        <f t="shared" si="142"/>
        <v>0</v>
      </c>
      <c r="AC106" s="33">
        <f t="shared" si="143"/>
        <v>0</v>
      </c>
      <c r="AD106" s="33">
        <f t="shared" si="144"/>
        <v>0</v>
      </c>
      <c r="AE106" s="33">
        <f t="shared" si="145"/>
        <v>0</v>
      </c>
      <c r="AF106" s="33">
        <f t="shared" si="146"/>
        <v>0</v>
      </c>
      <c r="AG106" s="33">
        <f t="shared" si="147"/>
        <v>0</v>
      </c>
      <c r="AH106" s="33">
        <f t="shared" si="148"/>
        <v>0</v>
      </c>
      <c r="AI106" s="61"/>
      <c r="AJ106" s="77" t="e">
        <f t="shared" si="149"/>
        <v>#DIV/0!</v>
      </c>
    </row>
    <row r="107" spans="2:36" ht="12.75" customHeight="1">
      <c r="B107" s="62" t="s">
        <v>130</v>
      </c>
      <c r="C107" s="84"/>
      <c r="D107" s="84"/>
      <c r="E107" s="84"/>
      <c r="F107" s="84"/>
      <c r="G107" s="33"/>
      <c r="H107" s="84"/>
      <c r="I107" s="84"/>
      <c r="J107" s="84"/>
      <c r="K107" s="33">
        <f t="shared" si="139"/>
        <v>0</v>
      </c>
      <c r="L107" s="84"/>
      <c r="M107" s="84"/>
      <c r="N107" s="84"/>
      <c r="O107" s="33">
        <f t="shared" si="140"/>
        <v>0</v>
      </c>
      <c r="P107" s="84"/>
      <c r="Q107" s="84"/>
      <c r="R107" s="84"/>
      <c r="S107" s="33"/>
      <c r="T107" s="33" t="e">
        <f>SUM(#REF!)</f>
        <v>#REF!</v>
      </c>
      <c r="U107" s="33" t="e">
        <f>SUM(#REF!)</f>
        <v>#REF!</v>
      </c>
      <c r="V107" s="33" t="e">
        <f>SUM(#REF!)</f>
        <v>#REF!</v>
      </c>
      <c r="W107" s="33" t="e">
        <f>SUM(#REF!)</f>
        <v>#REF!</v>
      </c>
      <c r="X107" s="33">
        <f>SUM(H107:H107)</f>
        <v>0</v>
      </c>
      <c r="Y107" s="33">
        <f>SUM(H107:I107)</f>
        <v>0</v>
      </c>
      <c r="Z107" s="33">
        <f>SUM(H107:J107)</f>
        <v>0</v>
      </c>
      <c r="AA107" s="33">
        <f t="shared" si="141"/>
        <v>0</v>
      </c>
      <c r="AB107" s="33">
        <f t="shared" si="142"/>
        <v>0</v>
      </c>
      <c r="AC107" s="33">
        <f t="shared" si="143"/>
        <v>0</v>
      </c>
      <c r="AD107" s="33">
        <f t="shared" si="144"/>
        <v>0</v>
      </c>
      <c r="AE107" s="33">
        <f t="shared" si="145"/>
        <v>0</v>
      </c>
      <c r="AF107" s="33">
        <f t="shared" si="146"/>
        <v>0</v>
      </c>
      <c r="AG107" s="33">
        <f t="shared" si="147"/>
        <v>0</v>
      </c>
      <c r="AH107" s="33">
        <f t="shared" si="148"/>
        <v>0</v>
      </c>
      <c r="AI107" s="61"/>
      <c r="AJ107" s="77" t="e">
        <f t="shared" si="149"/>
        <v>#DIV/0!</v>
      </c>
    </row>
    <row r="108" spans="2:36" ht="12.75" customHeight="1">
      <c r="B108" s="62" t="s">
        <v>131</v>
      </c>
      <c r="C108" s="84"/>
      <c r="D108" s="84"/>
      <c r="E108" s="84"/>
      <c r="F108" s="84"/>
      <c r="G108" s="33"/>
      <c r="H108" s="84"/>
      <c r="I108" s="84"/>
      <c r="J108" s="84"/>
      <c r="K108" s="33">
        <f t="shared" si="139"/>
        <v>0</v>
      </c>
      <c r="L108" s="84"/>
      <c r="M108" s="84"/>
      <c r="N108" s="84"/>
      <c r="O108" s="33">
        <f t="shared" si="140"/>
        <v>0</v>
      </c>
      <c r="P108" s="84"/>
      <c r="Q108" s="84"/>
      <c r="R108" s="84"/>
      <c r="S108" s="33"/>
      <c r="T108" s="33" t="e">
        <f>SUM(#REF!)</f>
        <v>#REF!</v>
      </c>
      <c r="U108" s="33" t="e">
        <f>SUM(#REF!)</f>
        <v>#REF!</v>
      </c>
      <c r="V108" s="33" t="e">
        <f>SUM(#REF!)</f>
        <v>#REF!</v>
      </c>
      <c r="W108" s="33" t="e">
        <f>SUM(#REF!)</f>
        <v>#REF!</v>
      </c>
      <c r="X108" s="33">
        <f>SUM(H108:H108)</f>
        <v>0</v>
      </c>
      <c r="Y108" s="33">
        <f>SUM(H108:I108)</f>
        <v>0</v>
      </c>
      <c r="Z108" s="33">
        <f>SUM(H108:J108)</f>
        <v>0</v>
      </c>
      <c r="AA108" s="33">
        <f t="shared" si="141"/>
        <v>0</v>
      </c>
      <c r="AB108" s="33">
        <f t="shared" si="142"/>
        <v>0</v>
      </c>
      <c r="AC108" s="33">
        <f t="shared" si="143"/>
        <v>0</v>
      </c>
      <c r="AD108" s="33">
        <f t="shared" si="144"/>
        <v>0</v>
      </c>
      <c r="AE108" s="33">
        <f t="shared" si="145"/>
        <v>0</v>
      </c>
      <c r="AF108" s="33">
        <f t="shared" si="146"/>
        <v>0</v>
      </c>
      <c r="AG108" s="33">
        <f t="shared" si="147"/>
        <v>0</v>
      </c>
      <c r="AH108" s="33">
        <f t="shared" si="148"/>
        <v>0</v>
      </c>
      <c r="AI108" s="61"/>
      <c r="AJ108" s="77" t="e">
        <f t="shared" si="149"/>
        <v>#DIV/0!</v>
      </c>
    </row>
    <row r="109" spans="2:36" ht="12.75" customHeight="1">
      <c r="B109" s="13" t="s">
        <v>59</v>
      </c>
      <c r="C109" s="14">
        <f t="shared" ref="C109:F109" si="150">SUM(C104:C108)</f>
        <v>0</v>
      </c>
      <c r="D109" s="14">
        <f t="shared" si="150"/>
        <v>0</v>
      </c>
      <c r="E109" s="14">
        <f t="shared" si="150"/>
        <v>0</v>
      </c>
      <c r="F109" s="14">
        <f t="shared" si="150"/>
        <v>0</v>
      </c>
      <c r="H109" s="14">
        <f t="shared" ref="H109:R109" si="151">SUM(H104:H108)</f>
        <v>0</v>
      </c>
      <c r="I109" s="14">
        <f t="shared" si="151"/>
        <v>0</v>
      </c>
      <c r="J109" s="14">
        <f t="shared" si="151"/>
        <v>0</v>
      </c>
      <c r="K109" s="14">
        <f t="shared" si="151"/>
        <v>0</v>
      </c>
      <c r="L109" s="14">
        <f t="shared" si="151"/>
        <v>0</v>
      </c>
      <c r="M109" s="14">
        <f t="shared" si="151"/>
        <v>0</v>
      </c>
      <c r="N109" s="14">
        <f t="shared" si="151"/>
        <v>0</v>
      </c>
      <c r="O109" s="14">
        <f t="shared" si="151"/>
        <v>0</v>
      </c>
      <c r="P109" s="14">
        <f t="shared" si="151"/>
        <v>0</v>
      </c>
      <c r="Q109" s="14">
        <f t="shared" si="151"/>
        <v>0</v>
      </c>
      <c r="R109" s="14">
        <f t="shared" si="151"/>
        <v>0</v>
      </c>
      <c r="T109" s="14" t="e">
        <f t="shared" ref="T109:AH109" si="152">SUM(T104:T108)</f>
        <v>#REF!</v>
      </c>
      <c r="U109" s="14" t="e">
        <f t="shared" si="152"/>
        <v>#REF!</v>
      </c>
      <c r="V109" s="14" t="e">
        <f t="shared" si="152"/>
        <v>#REF!</v>
      </c>
      <c r="W109" s="14" t="e">
        <f t="shared" si="152"/>
        <v>#REF!</v>
      </c>
      <c r="X109" s="14">
        <f t="shared" si="152"/>
        <v>0</v>
      </c>
      <c r="Y109" s="14">
        <f t="shared" si="152"/>
        <v>0</v>
      </c>
      <c r="Z109" s="14">
        <f t="shared" si="152"/>
        <v>0</v>
      </c>
      <c r="AA109" s="14">
        <f t="shared" si="152"/>
        <v>0</v>
      </c>
      <c r="AB109" s="14">
        <f t="shared" si="152"/>
        <v>0</v>
      </c>
      <c r="AC109" s="14">
        <f t="shared" si="152"/>
        <v>0</v>
      </c>
      <c r="AD109" s="14">
        <f t="shared" si="152"/>
        <v>0</v>
      </c>
      <c r="AE109" s="14">
        <f t="shared" si="152"/>
        <v>0</v>
      </c>
      <c r="AF109" s="14">
        <f t="shared" si="152"/>
        <v>0</v>
      </c>
      <c r="AG109" s="14">
        <f t="shared" si="152"/>
        <v>0</v>
      </c>
      <c r="AH109" s="14">
        <f t="shared" si="152"/>
        <v>0</v>
      </c>
      <c r="AI109" s="43"/>
      <c r="AJ109" s="78" t="e">
        <f t="shared" si="149"/>
        <v>#DIV/0!</v>
      </c>
    </row>
    <row r="110" spans="2:36" ht="5.0999999999999996" customHeight="1">
      <c r="B110" s="54"/>
      <c r="C110" s="63"/>
      <c r="D110" s="63"/>
      <c r="E110" s="63"/>
      <c r="F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0"/>
    </row>
    <row r="111" spans="2:36" ht="12.75" customHeight="1">
      <c r="B111" s="55" t="s">
        <v>60</v>
      </c>
      <c r="C111" s="65"/>
      <c r="D111" s="65"/>
      <c r="E111" s="65"/>
      <c r="F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66"/>
      <c r="AJ111" s="77"/>
    </row>
    <row r="112" spans="2:36" ht="12.75" customHeight="1">
      <c r="B112" s="86" t="s">
        <v>139</v>
      </c>
      <c r="C112" s="84"/>
      <c r="D112" s="84"/>
      <c r="E112" s="84"/>
      <c r="F112" s="84"/>
      <c r="H112" s="84"/>
      <c r="I112" s="84"/>
      <c r="J112" s="84"/>
      <c r="K112" s="33">
        <f>SUM(E112-SUM(H112:J112))</f>
        <v>0</v>
      </c>
      <c r="L112" s="84"/>
      <c r="M112" s="84"/>
      <c r="N112" s="84"/>
      <c r="O112" s="33">
        <f>SUM(F112-SUM(L112:N112))</f>
        <v>0</v>
      </c>
      <c r="P112" s="84"/>
      <c r="Q112" s="84"/>
      <c r="R112" s="84"/>
      <c r="S112" s="33"/>
      <c r="T112" s="33" t="e">
        <f>SUM(#REF!)</f>
        <v>#REF!</v>
      </c>
      <c r="U112" s="33" t="e">
        <f>SUM(#REF!)</f>
        <v>#REF!</v>
      </c>
      <c r="V112" s="33" t="e">
        <f>SUM(#REF!)</f>
        <v>#REF!</v>
      </c>
      <c r="W112" s="33" t="e">
        <f>SUM(#REF!)</f>
        <v>#REF!</v>
      </c>
      <c r="X112" s="33">
        <f>SUM(H112:H112)</f>
        <v>0</v>
      </c>
      <c r="Y112" s="33">
        <f>SUM(H112:I112)</f>
        <v>0</v>
      </c>
      <c r="Z112" s="33">
        <f>SUM(H112:J112)</f>
        <v>0</v>
      </c>
      <c r="AA112" s="33">
        <f t="shared" ref="AA112:AA118" si="153">SUM(H112:K112)</f>
        <v>0</v>
      </c>
      <c r="AB112" s="33">
        <f t="shared" ref="AB112:AB118" si="154">SUM(I112:L112)</f>
        <v>0</v>
      </c>
      <c r="AC112" s="33">
        <f t="shared" ref="AC112:AC118" si="155">SUM(J112:M112)</f>
        <v>0</v>
      </c>
      <c r="AD112" s="33">
        <f t="shared" ref="AD112:AD118" si="156">SUM(K112:N112)</f>
        <v>0</v>
      </c>
      <c r="AE112" s="33">
        <f t="shared" ref="AE112:AE118" si="157">SUM(L112:O112)</f>
        <v>0</v>
      </c>
      <c r="AF112" s="33">
        <f t="shared" ref="AF112:AF118" si="158">SUM(M112:P112)</f>
        <v>0</v>
      </c>
      <c r="AG112" s="33">
        <f t="shared" ref="AG112:AG118" si="159">SUM(N112:Q112)</f>
        <v>0</v>
      </c>
      <c r="AH112" s="33">
        <f t="shared" ref="AH112:AH118" si="160">SUM(O112:R112)</f>
        <v>0</v>
      </c>
      <c r="AI112" s="66"/>
      <c r="AJ112" s="77" t="e">
        <f t="shared" si="149"/>
        <v>#DIV/0!</v>
      </c>
    </row>
    <row r="113" spans="2:36" ht="12.75" customHeight="1">
      <c r="B113" s="86" t="s">
        <v>140</v>
      </c>
      <c r="C113" s="84"/>
      <c r="D113" s="84"/>
      <c r="E113" s="84"/>
      <c r="F113" s="84"/>
      <c r="H113" s="84"/>
      <c r="I113" s="84"/>
      <c r="J113" s="84"/>
      <c r="K113" s="33">
        <f>SUM(E113-SUM(H113:J113))</f>
        <v>0</v>
      </c>
      <c r="L113" s="84"/>
      <c r="M113" s="84"/>
      <c r="N113" s="84"/>
      <c r="O113" s="33">
        <f>SUM(F113-SUM(L113:N113))</f>
        <v>0</v>
      </c>
      <c r="P113" s="84"/>
      <c r="Q113" s="84"/>
      <c r="R113" s="84"/>
      <c r="S113" s="33"/>
      <c r="T113" s="33" t="e">
        <f>SUM(#REF!)</f>
        <v>#REF!</v>
      </c>
      <c r="U113" s="33" t="e">
        <f>SUM(#REF!)</f>
        <v>#REF!</v>
      </c>
      <c r="V113" s="33" t="e">
        <f>SUM(#REF!)</f>
        <v>#REF!</v>
      </c>
      <c r="W113" s="33" t="e">
        <f>SUM(#REF!)</f>
        <v>#REF!</v>
      </c>
      <c r="X113" s="33">
        <f>SUM(H113:H113)</f>
        <v>0</v>
      </c>
      <c r="Y113" s="33">
        <f>SUM(H113:I113)</f>
        <v>0</v>
      </c>
      <c r="Z113" s="33">
        <f>SUM(H113:J113)</f>
        <v>0</v>
      </c>
      <c r="AA113" s="33">
        <f t="shared" si="153"/>
        <v>0</v>
      </c>
      <c r="AB113" s="33">
        <f t="shared" si="154"/>
        <v>0</v>
      </c>
      <c r="AC113" s="33">
        <f t="shared" si="155"/>
        <v>0</v>
      </c>
      <c r="AD113" s="33">
        <f t="shared" si="156"/>
        <v>0</v>
      </c>
      <c r="AE113" s="33">
        <f t="shared" si="157"/>
        <v>0</v>
      </c>
      <c r="AF113" s="33">
        <f t="shared" si="158"/>
        <v>0</v>
      </c>
      <c r="AG113" s="33">
        <f t="shared" si="159"/>
        <v>0</v>
      </c>
      <c r="AH113" s="33">
        <f t="shared" si="160"/>
        <v>0</v>
      </c>
      <c r="AI113" s="66"/>
      <c r="AJ113" s="77" t="e">
        <f t="shared" si="149"/>
        <v>#DIV/0!</v>
      </c>
    </row>
    <row r="114" spans="2:36" ht="12.75" customHeight="1">
      <c r="B114" s="86" t="s">
        <v>141</v>
      </c>
      <c r="C114" s="84"/>
      <c r="D114" s="84"/>
      <c r="E114" s="84"/>
      <c r="F114" s="84"/>
      <c r="H114" s="84"/>
      <c r="I114" s="84"/>
      <c r="J114" s="84"/>
      <c r="K114" s="33">
        <f>SUM(E114-SUM(H114:J114))</f>
        <v>0</v>
      </c>
      <c r="L114" s="84"/>
      <c r="M114" s="84"/>
      <c r="N114" s="84"/>
      <c r="O114" s="33">
        <f>SUM(F114-SUM(L114:N114))</f>
        <v>0</v>
      </c>
      <c r="P114" s="84"/>
      <c r="Q114" s="84"/>
      <c r="R114" s="84"/>
      <c r="S114" s="33"/>
      <c r="T114" s="33" t="e">
        <f>SUM(#REF!)</f>
        <v>#REF!</v>
      </c>
      <c r="U114" s="33" t="e">
        <f>SUM(#REF!)</f>
        <v>#REF!</v>
      </c>
      <c r="V114" s="33" t="e">
        <f>SUM(#REF!)</f>
        <v>#REF!</v>
      </c>
      <c r="W114" s="33" t="e">
        <f>SUM(#REF!)</f>
        <v>#REF!</v>
      </c>
      <c r="X114" s="33">
        <f>SUM(H114:H114)</f>
        <v>0</v>
      </c>
      <c r="Y114" s="33">
        <f>SUM(H114:I114)</f>
        <v>0</v>
      </c>
      <c r="Z114" s="33">
        <f>SUM(H114:J114)</f>
        <v>0</v>
      </c>
      <c r="AA114" s="33">
        <f t="shared" si="153"/>
        <v>0</v>
      </c>
      <c r="AB114" s="33">
        <f t="shared" si="154"/>
        <v>0</v>
      </c>
      <c r="AC114" s="33">
        <f t="shared" si="155"/>
        <v>0</v>
      </c>
      <c r="AD114" s="33">
        <f t="shared" si="156"/>
        <v>0</v>
      </c>
      <c r="AE114" s="33">
        <f t="shared" si="157"/>
        <v>0</v>
      </c>
      <c r="AF114" s="33">
        <f t="shared" si="158"/>
        <v>0</v>
      </c>
      <c r="AG114" s="33">
        <f t="shared" si="159"/>
        <v>0</v>
      </c>
      <c r="AH114" s="33">
        <f t="shared" si="160"/>
        <v>0</v>
      </c>
      <c r="AI114" s="66"/>
      <c r="AJ114" s="77" t="e">
        <f t="shared" si="149"/>
        <v>#DIV/0!</v>
      </c>
    </row>
    <row r="115" spans="2:36" ht="12.75" customHeight="1">
      <c r="B115" s="86" t="s">
        <v>142</v>
      </c>
      <c r="C115" s="84"/>
      <c r="D115" s="84"/>
      <c r="E115" s="84"/>
      <c r="F115" s="84"/>
      <c r="H115" s="84"/>
      <c r="I115" s="84"/>
      <c r="J115" s="84"/>
      <c r="K115" s="33">
        <f>SUM(E115-SUM(H115:J115))</f>
        <v>0</v>
      </c>
      <c r="L115" s="84"/>
      <c r="M115" s="84"/>
      <c r="N115" s="84"/>
      <c r="O115" s="33">
        <f>SUM(F115-SUM(L115:N115))</f>
        <v>0</v>
      </c>
      <c r="P115" s="84"/>
      <c r="Q115" s="84"/>
      <c r="R115" s="84"/>
      <c r="S115" s="33"/>
      <c r="T115" s="33" t="e">
        <f>SUM(#REF!)</f>
        <v>#REF!</v>
      </c>
      <c r="U115" s="33" t="e">
        <f>SUM(#REF!)</f>
        <v>#REF!</v>
      </c>
      <c r="V115" s="33" t="e">
        <f>SUM(#REF!)</f>
        <v>#REF!</v>
      </c>
      <c r="W115" s="33" t="e">
        <f>SUM(#REF!)</f>
        <v>#REF!</v>
      </c>
      <c r="X115" s="33">
        <f>SUM(H115:H115)</f>
        <v>0</v>
      </c>
      <c r="Y115" s="33">
        <f>SUM(H115:I115)</f>
        <v>0</v>
      </c>
      <c r="Z115" s="33">
        <f>SUM(H115:J115)</f>
        <v>0</v>
      </c>
      <c r="AA115" s="33">
        <f t="shared" si="153"/>
        <v>0</v>
      </c>
      <c r="AB115" s="33">
        <f t="shared" si="154"/>
        <v>0</v>
      </c>
      <c r="AC115" s="33">
        <f t="shared" si="155"/>
        <v>0</v>
      </c>
      <c r="AD115" s="33">
        <f t="shared" si="156"/>
        <v>0</v>
      </c>
      <c r="AE115" s="33">
        <f t="shared" si="157"/>
        <v>0</v>
      </c>
      <c r="AF115" s="33">
        <f t="shared" si="158"/>
        <v>0</v>
      </c>
      <c r="AG115" s="33">
        <f t="shared" si="159"/>
        <v>0</v>
      </c>
      <c r="AH115" s="33">
        <f t="shared" si="160"/>
        <v>0</v>
      </c>
      <c r="AI115" s="66"/>
      <c r="AJ115" s="77" t="e">
        <f t="shared" si="149"/>
        <v>#DIV/0!</v>
      </c>
    </row>
    <row r="116" spans="2:36" ht="12.75" customHeight="1">
      <c r="B116" s="86" t="s">
        <v>143</v>
      </c>
      <c r="C116" s="84"/>
      <c r="D116" s="84"/>
      <c r="E116" s="84"/>
      <c r="F116" s="84"/>
      <c r="H116" s="84"/>
      <c r="I116" s="84"/>
      <c r="J116" s="84"/>
      <c r="K116" s="33">
        <f>SUM(E116-SUM(H116:J116))</f>
        <v>0</v>
      </c>
      <c r="L116" s="84"/>
      <c r="M116" s="84"/>
      <c r="N116" s="84"/>
      <c r="O116" s="33">
        <f>SUM(F116-SUM(L116:N116))</f>
        <v>0</v>
      </c>
      <c r="P116" s="84"/>
      <c r="Q116" s="84"/>
      <c r="R116" s="84"/>
      <c r="S116" s="33"/>
      <c r="T116" s="33" t="e">
        <f>SUM(#REF!)</f>
        <v>#REF!</v>
      </c>
      <c r="U116" s="33" t="e">
        <f>SUM(#REF!)</f>
        <v>#REF!</v>
      </c>
      <c r="V116" s="33" t="e">
        <f>SUM(#REF!)</f>
        <v>#REF!</v>
      </c>
      <c r="W116" s="33" t="e">
        <f>SUM(#REF!)</f>
        <v>#REF!</v>
      </c>
      <c r="X116" s="33">
        <f>SUM(H116:H116)</f>
        <v>0</v>
      </c>
      <c r="Y116" s="33">
        <f>SUM(H116:I116)</f>
        <v>0</v>
      </c>
      <c r="Z116" s="33">
        <f>SUM(H116:J116)</f>
        <v>0</v>
      </c>
      <c r="AA116" s="33">
        <f t="shared" si="153"/>
        <v>0</v>
      </c>
      <c r="AB116" s="33">
        <f t="shared" si="154"/>
        <v>0</v>
      </c>
      <c r="AC116" s="33">
        <f t="shared" si="155"/>
        <v>0</v>
      </c>
      <c r="AD116" s="33">
        <f t="shared" si="156"/>
        <v>0</v>
      </c>
      <c r="AE116" s="33">
        <f t="shared" si="157"/>
        <v>0</v>
      </c>
      <c r="AF116" s="33">
        <f t="shared" si="158"/>
        <v>0</v>
      </c>
      <c r="AG116" s="33">
        <f t="shared" si="159"/>
        <v>0</v>
      </c>
      <c r="AH116" s="33">
        <f t="shared" si="160"/>
        <v>0</v>
      </c>
      <c r="AI116" s="66"/>
      <c r="AJ116" s="77" t="e">
        <f t="shared" si="149"/>
        <v>#DIV/0!</v>
      </c>
    </row>
    <row r="117" spans="2:36" ht="12.75" customHeight="1">
      <c r="B117" s="86" t="s">
        <v>144</v>
      </c>
      <c r="C117" s="84"/>
      <c r="D117" s="84"/>
      <c r="E117" s="84"/>
      <c r="F117" s="84"/>
      <c r="H117" s="84"/>
      <c r="I117" s="84"/>
      <c r="J117" s="84"/>
      <c r="K117" s="33">
        <f>SUM(E117-SUM(H117:J117))</f>
        <v>0</v>
      </c>
      <c r="L117" s="84"/>
      <c r="M117" s="84"/>
      <c r="N117" s="84"/>
      <c r="O117" s="33">
        <f>SUM(F117-SUM(L117:N117))</f>
        <v>0</v>
      </c>
      <c r="P117" s="84"/>
      <c r="Q117" s="84"/>
      <c r="R117" s="84"/>
      <c r="S117" s="33"/>
      <c r="T117" s="33" t="e">
        <f>SUM(#REF!)</f>
        <v>#REF!</v>
      </c>
      <c r="U117" s="33" t="e">
        <f>SUM(#REF!)</f>
        <v>#REF!</v>
      </c>
      <c r="V117" s="33" t="e">
        <f>SUM(#REF!)</f>
        <v>#REF!</v>
      </c>
      <c r="W117" s="33" t="e">
        <f>SUM(#REF!)</f>
        <v>#REF!</v>
      </c>
      <c r="X117" s="33">
        <f>SUM(H117:H117)</f>
        <v>0</v>
      </c>
      <c r="Y117" s="33">
        <f>SUM(H117:I117)</f>
        <v>0</v>
      </c>
      <c r="Z117" s="33">
        <f>SUM(H117:J117)</f>
        <v>0</v>
      </c>
      <c r="AA117" s="33">
        <f t="shared" si="153"/>
        <v>0</v>
      </c>
      <c r="AB117" s="33">
        <f t="shared" si="154"/>
        <v>0</v>
      </c>
      <c r="AC117" s="33">
        <f t="shared" si="155"/>
        <v>0</v>
      </c>
      <c r="AD117" s="33">
        <f t="shared" si="156"/>
        <v>0</v>
      </c>
      <c r="AE117" s="33">
        <f t="shared" si="157"/>
        <v>0</v>
      </c>
      <c r="AF117" s="33">
        <f t="shared" si="158"/>
        <v>0</v>
      </c>
      <c r="AG117" s="33">
        <f t="shared" si="159"/>
        <v>0</v>
      </c>
      <c r="AH117" s="33">
        <f t="shared" si="160"/>
        <v>0</v>
      </c>
      <c r="AI117" s="66"/>
      <c r="AJ117" s="77" t="e">
        <f t="shared" si="149"/>
        <v>#DIV/0!</v>
      </c>
    </row>
    <row r="118" spans="2:36" ht="12.75" customHeight="1">
      <c r="B118" s="86" t="s">
        <v>145</v>
      </c>
      <c r="C118" s="84"/>
      <c r="D118" s="84"/>
      <c r="E118" s="84"/>
      <c r="F118" s="84"/>
      <c r="H118" s="84"/>
      <c r="I118" s="84"/>
      <c r="J118" s="84"/>
      <c r="K118" s="33">
        <f>SUM(E118-SUM(H118:J118))</f>
        <v>0</v>
      </c>
      <c r="L118" s="84"/>
      <c r="M118" s="84"/>
      <c r="N118" s="84"/>
      <c r="O118" s="33">
        <f>SUM(F118-SUM(L118:N118))</f>
        <v>0</v>
      </c>
      <c r="P118" s="84"/>
      <c r="Q118" s="84"/>
      <c r="R118" s="84"/>
      <c r="S118" s="33"/>
      <c r="T118" s="33" t="e">
        <f>SUM(#REF!)</f>
        <v>#REF!</v>
      </c>
      <c r="U118" s="33" t="e">
        <f>SUM(#REF!)</f>
        <v>#REF!</v>
      </c>
      <c r="V118" s="33" t="e">
        <f>SUM(#REF!)</f>
        <v>#REF!</v>
      </c>
      <c r="W118" s="33" t="e">
        <f>SUM(#REF!)</f>
        <v>#REF!</v>
      </c>
      <c r="X118" s="33">
        <f>SUM(H118:H118)</f>
        <v>0</v>
      </c>
      <c r="Y118" s="33">
        <f>SUM(H118:I118)</f>
        <v>0</v>
      </c>
      <c r="Z118" s="33">
        <f>SUM(H118:J118)</f>
        <v>0</v>
      </c>
      <c r="AA118" s="33">
        <f t="shared" si="153"/>
        <v>0</v>
      </c>
      <c r="AB118" s="33">
        <f t="shared" si="154"/>
        <v>0</v>
      </c>
      <c r="AC118" s="33">
        <f t="shared" si="155"/>
        <v>0</v>
      </c>
      <c r="AD118" s="33">
        <f t="shared" si="156"/>
        <v>0</v>
      </c>
      <c r="AE118" s="33">
        <f t="shared" si="157"/>
        <v>0</v>
      </c>
      <c r="AF118" s="33">
        <f t="shared" si="158"/>
        <v>0</v>
      </c>
      <c r="AG118" s="33">
        <f t="shared" si="159"/>
        <v>0</v>
      </c>
      <c r="AH118" s="33">
        <f t="shared" si="160"/>
        <v>0</v>
      </c>
      <c r="AI118" s="66"/>
      <c r="AJ118" s="77" t="e">
        <f t="shared" si="149"/>
        <v>#DIV/0!</v>
      </c>
    </row>
    <row r="119" spans="2:36" ht="12.75" customHeight="1">
      <c r="B119" s="13" t="s">
        <v>61</v>
      </c>
      <c r="C119" s="35">
        <f t="shared" ref="C119:F119" si="161">SUM(C112:C118)</f>
        <v>0</v>
      </c>
      <c r="D119" s="35">
        <f t="shared" si="161"/>
        <v>0</v>
      </c>
      <c r="E119" s="35">
        <f t="shared" si="161"/>
        <v>0</v>
      </c>
      <c r="F119" s="35">
        <f t="shared" si="161"/>
        <v>0</v>
      </c>
      <c r="G119" s="33"/>
      <c r="H119" s="35">
        <f t="shared" ref="H119:R119" si="162">SUM(H112:H118)</f>
        <v>0</v>
      </c>
      <c r="I119" s="35">
        <f t="shared" si="162"/>
        <v>0</v>
      </c>
      <c r="J119" s="35">
        <f t="shared" si="162"/>
        <v>0</v>
      </c>
      <c r="K119" s="35">
        <f t="shared" si="162"/>
        <v>0</v>
      </c>
      <c r="L119" s="35">
        <f t="shared" si="162"/>
        <v>0</v>
      </c>
      <c r="M119" s="35">
        <f t="shared" si="162"/>
        <v>0</v>
      </c>
      <c r="N119" s="35">
        <f t="shared" si="162"/>
        <v>0</v>
      </c>
      <c r="O119" s="35">
        <f t="shared" si="162"/>
        <v>0</v>
      </c>
      <c r="P119" s="35">
        <f t="shared" si="162"/>
        <v>0</v>
      </c>
      <c r="Q119" s="35">
        <f t="shared" si="162"/>
        <v>0</v>
      </c>
      <c r="R119" s="35">
        <f t="shared" si="162"/>
        <v>0</v>
      </c>
      <c r="S119" s="33"/>
      <c r="T119" s="35" t="e">
        <f t="shared" ref="T119:AH119" si="163">SUM(T112:T118)</f>
        <v>#REF!</v>
      </c>
      <c r="U119" s="35" t="e">
        <f t="shared" si="163"/>
        <v>#REF!</v>
      </c>
      <c r="V119" s="35" t="e">
        <f t="shared" si="163"/>
        <v>#REF!</v>
      </c>
      <c r="W119" s="35" t="e">
        <f t="shared" si="163"/>
        <v>#REF!</v>
      </c>
      <c r="X119" s="35">
        <f t="shared" si="163"/>
        <v>0</v>
      </c>
      <c r="Y119" s="35">
        <f t="shared" si="163"/>
        <v>0</v>
      </c>
      <c r="Z119" s="35">
        <f t="shared" si="163"/>
        <v>0</v>
      </c>
      <c r="AA119" s="35">
        <f t="shared" si="163"/>
        <v>0</v>
      </c>
      <c r="AB119" s="35">
        <f t="shared" si="163"/>
        <v>0</v>
      </c>
      <c r="AC119" s="35">
        <f t="shared" si="163"/>
        <v>0</v>
      </c>
      <c r="AD119" s="35">
        <f t="shared" si="163"/>
        <v>0</v>
      </c>
      <c r="AE119" s="35">
        <f t="shared" si="163"/>
        <v>0</v>
      </c>
      <c r="AF119" s="35">
        <f t="shared" si="163"/>
        <v>0</v>
      </c>
      <c r="AG119" s="35">
        <f t="shared" si="163"/>
        <v>0</v>
      </c>
      <c r="AH119" s="35">
        <f t="shared" si="163"/>
        <v>0</v>
      </c>
      <c r="AI119" s="43"/>
      <c r="AJ119" s="78" t="e">
        <f t="shared" si="149"/>
        <v>#DIV/0!</v>
      </c>
    </row>
    <row r="120" spans="2:36" ht="5.0999999999999996" customHeight="1">
      <c r="B120" s="8"/>
      <c r="C120" s="67"/>
      <c r="D120" s="67"/>
      <c r="E120" s="67"/>
      <c r="F120" s="67"/>
      <c r="G120" s="33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47"/>
    </row>
    <row r="121" spans="2:36" ht="5.0999999999999996" customHeight="1">
      <c r="B121" s="7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11"/>
      <c r="AJ121" s="47"/>
    </row>
    <row r="122" spans="2:36">
      <c r="B122" s="95" t="s">
        <v>92</v>
      </c>
      <c r="C122" s="96"/>
      <c r="D122" s="96">
        <f t="shared" ref="D122:F122" si="164">C129</f>
        <v>0</v>
      </c>
      <c r="E122" s="96">
        <f t="shared" si="164"/>
        <v>0</v>
      </c>
      <c r="F122" s="96">
        <f t="shared" si="164"/>
        <v>0</v>
      </c>
      <c r="G122" s="96"/>
      <c r="H122" s="96"/>
      <c r="I122" s="96">
        <f t="shared" ref="I122:R122" si="165">H129</f>
        <v>0</v>
      </c>
      <c r="J122" s="96">
        <f t="shared" si="165"/>
        <v>0</v>
      </c>
      <c r="K122" s="96">
        <f t="shared" si="165"/>
        <v>0</v>
      </c>
      <c r="L122" s="96">
        <f t="shared" si="165"/>
        <v>0</v>
      </c>
      <c r="M122" s="96">
        <f t="shared" si="165"/>
        <v>0</v>
      </c>
      <c r="N122" s="96">
        <f t="shared" si="165"/>
        <v>0</v>
      </c>
      <c r="O122" s="96">
        <f t="shared" si="165"/>
        <v>0</v>
      </c>
      <c r="P122" s="96">
        <f t="shared" si="165"/>
        <v>0</v>
      </c>
      <c r="Q122" s="96">
        <f t="shared" si="165"/>
        <v>0</v>
      </c>
      <c r="R122" s="96">
        <f t="shared" si="165"/>
        <v>0</v>
      </c>
      <c r="S122" s="96"/>
      <c r="T122" s="96" t="e">
        <f>#REF!</f>
        <v>#REF!</v>
      </c>
      <c r="U122" s="96" t="e">
        <f>#REF!</f>
        <v>#REF!</v>
      </c>
      <c r="V122" s="96" t="e">
        <f>#REF!</f>
        <v>#REF!</v>
      </c>
      <c r="W122" s="96" t="e">
        <f>#REF!</f>
        <v>#REF!</v>
      </c>
      <c r="X122" s="96" t="e">
        <f>#REF!</f>
        <v>#REF!</v>
      </c>
      <c r="Y122" s="96" t="e">
        <f>#REF!</f>
        <v>#REF!</v>
      </c>
      <c r="Z122" s="96" t="e">
        <f>#REF!</f>
        <v>#REF!</v>
      </c>
      <c r="AA122" s="96" t="e">
        <f>#REF!</f>
        <v>#REF!</v>
      </c>
      <c r="AB122" s="96">
        <f t="shared" ref="AB122:AH122" si="166">H129</f>
        <v>0</v>
      </c>
      <c r="AC122" s="96">
        <f t="shared" si="166"/>
        <v>0</v>
      </c>
      <c r="AD122" s="96">
        <f t="shared" si="166"/>
        <v>0</v>
      </c>
      <c r="AE122" s="96">
        <f t="shared" si="166"/>
        <v>0</v>
      </c>
      <c r="AF122" s="96">
        <f t="shared" si="166"/>
        <v>0</v>
      </c>
      <c r="AG122" s="96">
        <f t="shared" si="166"/>
        <v>0</v>
      </c>
      <c r="AH122" s="148">
        <f t="shared" si="166"/>
        <v>0</v>
      </c>
      <c r="AI122" s="11"/>
      <c r="AJ122" s="47"/>
    </row>
    <row r="123" spans="2:36">
      <c r="B123" s="135" t="s">
        <v>150</v>
      </c>
      <c r="C123" s="33"/>
      <c r="D123" s="33">
        <f t="shared" ref="D123:F123" si="167">-C127</f>
        <v>0</v>
      </c>
      <c r="E123" s="33">
        <f t="shared" si="167"/>
        <v>0</v>
      </c>
      <c r="F123" s="33">
        <f t="shared" si="167"/>
        <v>0</v>
      </c>
      <c r="G123" s="33"/>
      <c r="H123" s="33"/>
      <c r="I123" s="33">
        <f t="shared" ref="I123:R123" si="168">-H127</f>
        <v>0</v>
      </c>
      <c r="J123" s="33">
        <f t="shared" si="168"/>
        <v>0</v>
      </c>
      <c r="K123" s="33">
        <f t="shared" si="168"/>
        <v>0</v>
      </c>
      <c r="L123" s="33">
        <f t="shared" si="168"/>
        <v>0</v>
      </c>
      <c r="M123" s="33">
        <f t="shared" si="168"/>
        <v>0</v>
      </c>
      <c r="N123" s="33">
        <f t="shared" si="168"/>
        <v>0</v>
      </c>
      <c r="O123" s="33">
        <f t="shared" si="168"/>
        <v>0</v>
      </c>
      <c r="P123" s="33">
        <f t="shared" si="168"/>
        <v>0</v>
      </c>
      <c r="Q123" s="33">
        <f t="shared" si="168"/>
        <v>0</v>
      </c>
      <c r="R123" s="33">
        <f t="shared" si="168"/>
        <v>0</v>
      </c>
      <c r="S123" s="33"/>
      <c r="T123" s="33" t="e">
        <f>-#REF!</f>
        <v>#REF!</v>
      </c>
      <c r="U123" s="33" t="e">
        <f>-#REF!</f>
        <v>#REF!</v>
      </c>
      <c r="V123" s="33" t="e">
        <f>-#REF!</f>
        <v>#REF!</v>
      </c>
      <c r="W123" s="33" t="e">
        <f>-#REF!</f>
        <v>#REF!</v>
      </c>
      <c r="X123" s="33" t="e">
        <f>-#REF!</f>
        <v>#REF!</v>
      </c>
      <c r="Y123" s="33" t="e">
        <f>-#REF!</f>
        <v>#REF!</v>
      </c>
      <c r="Z123" s="33" t="e">
        <f>-#REF!</f>
        <v>#REF!</v>
      </c>
      <c r="AA123" s="33" t="e">
        <f>-#REF!</f>
        <v>#REF!</v>
      </c>
      <c r="AB123" s="33">
        <f t="shared" ref="AB123:AH123" si="169">-H127</f>
        <v>0</v>
      </c>
      <c r="AC123" s="33">
        <f t="shared" si="169"/>
        <v>0</v>
      </c>
      <c r="AD123" s="33">
        <f t="shared" si="169"/>
        <v>0</v>
      </c>
      <c r="AE123" s="33">
        <f t="shared" si="169"/>
        <v>0</v>
      </c>
      <c r="AF123" s="33">
        <f t="shared" si="169"/>
        <v>0</v>
      </c>
      <c r="AG123" s="33">
        <f t="shared" si="169"/>
        <v>0</v>
      </c>
      <c r="AH123" s="140">
        <f t="shared" si="169"/>
        <v>0</v>
      </c>
      <c r="AI123" s="11"/>
      <c r="AJ123" s="47"/>
    </row>
    <row r="124" spans="2:36">
      <c r="B124" s="92" t="s">
        <v>76</v>
      </c>
      <c r="C124" s="88">
        <f t="shared" ref="C124:F124" si="170">SUM(C122:C123)</f>
        <v>0</v>
      </c>
      <c r="D124" s="88">
        <f t="shared" si="170"/>
        <v>0</v>
      </c>
      <c r="E124" s="88">
        <f t="shared" si="170"/>
        <v>0</v>
      </c>
      <c r="F124" s="88">
        <f t="shared" si="170"/>
        <v>0</v>
      </c>
      <c r="G124" s="33"/>
      <c r="H124" s="88">
        <f t="shared" ref="H124:R124" si="171">SUM(H122:H123)</f>
        <v>0</v>
      </c>
      <c r="I124" s="88">
        <f t="shared" si="171"/>
        <v>0</v>
      </c>
      <c r="J124" s="88">
        <f t="shared" si="171"/>
        <v>0</v>
      </c>
      <c r="K124" s="88">
        <f t="shared" si="171"/>
        <v>0</v>
      </c>
      <c r="L124" s="88">
        <f t="shared" si="171"/>
        <v>0</v>
      </c>
      <c r="M124" s="88">
        <f t="shared" si="171"/>
        <v>0</v>
      </c>
      <c r="N124" s="88">
        <f t="shared" si="171"/>
        <v>0</v>
      </c>
      <c r="O124" s="88">
        <f t="shared" si="171"/>
        <v>0</v>
      </c>
      <c r="P124" s="88">
        <f t="shared" si="171"/>
        <v>0</v>
      </c>
      <c r="Q124" s="88">
        <f t="shared" si="171"/>
        <v>0</v>
      </c>
      <c r="R124" s="88">
        <f t="shared" si="171"/>
        <v>0</v>
      </c>
      <c r="S124" s="33"/>
      <c r="T124" s="138" t="e">
        <f t="shared" ref="T124:AH124" si="172">SUM(T122:T123)</f>
        <v>#REF!</v>
      </c>
      <c r="U124" s="138" t="e">
        <f t="shared" si="172"/>
        <v>#REF!</v>
      </c>
      <c r="V124" s="138" t="e">
        <f t="shared" si="172"/>
        <v>#REF!</v>
      </c>
      <c r="W124" s="138" t="e">
        <f t="shared" si="172"/>
        <v>#REF!</v>
      </c>
      <c r="X124" s="138" t="e">
        <f t="shared" si="172"/>
        <v>#REF!</v>
      </c>
      <c r="Y124" s="138" t="e">
        <f t="shared" si="172"/>
        <v>#REF!</v>
      </c>
      <c r="Z124" s="138" t="e">
        <f t="shared" si="172"/>
        <v>#REF!</v>
      </c>
      <c r="AA124" s="138" t="e">
        <f t="shared" si="172"/>
        <v>#REF!</v>
      </c>
      <c r="AB124" s="138">
        <f t="shared" si="172"/>
        <v>0</v>
      </c>
      <c r="AC124" s="138">
        <f t="shared" si="172"/>
        <v>0</v>
      </c>
      <c r="AD124" s="138">
        <f t="shared" si="172"/>
        <v>0</v>
      </c>
      <c r="AE124" s="138">
        <f t="shared" si="172"/>
        <v>0</v>
      </c>
      <c r="AF124" s="138">
        <f t="shared" si="172"/>
        <v>0</v>
      </c>
      <c r="AG124" s="138">
        <f t="shared" si="172"/>
        <v>0</v>
      </c>
      <c r="AH124" s="141">
        <f t="shared" si="172"/>
        <v>0</v>
      </c>
      <c r="AI124" s="11"/>
      <c r="AJ124" s="47"/>
    </row>
    <row r="125" spans="2:36" ht="5.0999999999999996" customHeight="1">
      <c r="B125" s="145"/>
      <c r="C125" s="73"/>
      <c r="D125" s="73"/>
      <c r="E125" s="73"/>
      <c r="F125" s="73"/>
      <c r="G125" s="3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3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142"/>
      <c r="AI125" s="11"/>
      <c r="AJ125" s="47"/>
    </row>
    <row r="126" spans="2:36">
      <c r="B126" s="135" t="s">
        <v>93</v>
      </c>
      <c r="C126" s="84"/>
      <c r="D126" s="84"/>
      <c r="E126" s="84"/>
      <c r="F126" s="84"/>
      <c r="G126" s="33"/>
      <c r="H126" s="84"/>
      <c r="I126" s="84"/>
      <c r="J126" s="84"/>
      <c r="K126" s="33"/>
      <c r="L126" s="84"/>
      <c r="M126" s="84"/>
      <c r="N126" s="84"/>
      <c r="O126" s="33"/>
      <c r="P126" s="84"/>
      <c r="Q126" s="84"/>
      <c r="R126" s="84"/>
      <c r="S126" s="33"/>
      <c r="T126" s="33" t="e">
        <f>SUM(#REF!)</f>
        <v>#REF!</v>
      </c>
      <c r="U126" s="33" t="e">
        <f>SUM(#REF!)</f>
        <v>#REF!</v>
      </c>
      <c r="V126" s="33" t="e">
        <f>SUM(#REF!)</f>
        <v>#REF!</v>
      </c>
      <c r="W126" s="33" t="e">
        <f>SUM(#REF!)</f>
        <v>#REF!</v>
      </c>
      <c r="X126" s="33">
        <f>SUM(H126:H126)</f>
        <v>0</v>
      </c>
      <c r="Y126" s="33">
        <f>SUM(H126:I126)</f>
        <v>0</v>
      </c>
      <c r="Z126" s="33">
        <f>SUM(H126:J126)</f>
        <v>0</v>
      </c>
      <c r="AA126" s="33">
        <f t="shared" ref="AA126:AH126" si="173">SUM(H126:K126)</f>
        <v>0</v>
      </c>
      <c r="AB126" s="33">
        <f t="shared" si="173"/>
        <v>0</v>
      </c>
      <c r="AC126" s="33">
        <f t="shared" si="173"/>
        <v>0</v>
      </c>
      <c r="AD126" s="33">
        <f t="shared" si="173"/>
        <v>0</v>
      </c>
      <c r="AE126" s="33">
        <f t="shared" si="173"/>
        <v>0</v>
      </c>
      <c r="AF126" s="33">
        <f t="shared" si="173"/>
        <v>0</v>
      </c>
      <c r="AG126" s="33">
        <f t="shared" si="173"/>
        <v>0</v>
      </c>
      <c r="AH126" s="140">
        <f t="shared" si="173"/>
        <v>0</v>
      </c>
      <c r="AI126" s="11"/>
      <c r="AJ126" s="47"/>
    </row>
    <row r="127" spans="2:36">
      <c r="B127" s="135" t="s">
        <v>146</v>
      </c>
      <c r="C127" s="84"/>
      <c r="D127" s="84"/>
      <c r="E127" s="84"/>
      <c r="F127" s="84"/>
      <c r="G127" s="33"/>
      <c r="H127" s="84"/>
      <c r="I127" s="84"/>
      <c r="J127" s="84"/>
      <c r="K127" s="33"/>
      <c r="L127" s="84"/>
      <c r="M127" s="84"/>
      <c r="N127" s="84"/>
      <c r="O127" s="33"/>
      <c r="P127" s="84"/>
      <c r="Q127" s="84"/>
      <c r="R127" s="84"/>
      <c r="S127" s="33"/>
      <c r="T127" s="33" t="e">
        <f>#REF!</f>
        <v>#REF!</v>
      </c>
      <c r="U127" s="33" t="e">
        <f>#REF!</f>
        <v>#REF!</v>
      </c>
      <c r="V127" s="33" t="e">
        <f>#REF!</f>
        <v>#REF!</v>
      </c>
      <c r="W127" s="33" t="e">
        <f>#REF!</f>
        <v>#REF!</v>
      </c>
      <c r="X127" s="33">
        <f t="shared" ref="X127:AH127" si="174">H127</f>
        <v>0</v>
      </c>
      <c r="Y127" s="33">
        <f t="shared" si="174"/>
        <v>0</v>
      </c>
      <c r="Z127" s="33">
        <f t="shared" si="174"/>
        <v>0</v>
      </c>
      <c r="AA127" s="33">
        <f t="shared" si="174"/>
        <v>0</v>
      </c>
      <c r="AB127" s="33">
        <f t="shared" si="174"/>
        <v>0</v>
      </c>
      <c r="AC127" s="33">
        <f t="shared" si="174"/>
        <v>0</v>
      </c>
      <c r="AD127" s="33">
        <f t="shared" si="174"/>
        <v>0</v>
      </c>
      <c r="AE127" s="33">
        <f t="shared" si="174"/>
        <v>0</v>
      </c>
      <c r="AF127" s="33">
        <f t="shared" si="174"/>
        <v>0</v>
      </c>
      <c r="AG127" s="33">
        <f t="shared" si="174"/>
        <v>0</v>
      </c>
      <c r="AH127" s="140">
        <f t="shared" si="174"/>
        <v>0</v>
      </c>
      <c r="AI127" s="11"/>
      <c r="AJ127" s="47"/>
    </row>
    <row r="128" spans="2:36">
      <c r="B128" s="135" t="s">
        <v>65</v>
      </c>
      <c r="C128" s="33">
        <f t="shared" ref="C128:F128" si="175">+C119+C109+C101</f>
        <v>0</v>
      </c>
      <c r="D128" s="33">
        <f t="shared" si="175"/>
        <v>0</v>
      </c>
      <c r="E128" s="33">
        <f t="shared" si="175"/>
        <v>0</v>
      </c>
      <c r="F128" s="33">
        <f t="shared" si="175"/>
        <v>0</v>
      </c>
      <c r="G128" s="33"/>
      <c r="H128" s="33">
        <f t="shared" ref="H128:R128" si="176">+H119+H109+H101</f>
        <v>0</v>
      </c>
      <c r="I128" s="33">
        <f t="shared" si="176"/>
        <v>0</v>
      </c>
      <c r="J128" s="33">
        <f t="shared" si="176"/>
        <v>0</v>
      </c>
      <c r="K128" s="33">
        <f t="shared" si="176"/>
        <v>0</v>
      </c>
      <c r="L128" s="33">
        <f t="shared" si="176"/>
        <v>0</v>
      </c>
      <c r="M128" s="33">
        <f t="shared" si="176"/>
        <v>0</v>
      </c>
      <c r="N128" s="33">
        <f t="shared" si="176"/>
        <v>0</v>
      </c>
      <c r="O128" s="33">
        <f t="shared" si="176"/>
        <v>0</v>
      </c>
      <c r="P128" s="33">
        <f t="shared" si="176"/>
        <v>0</v>
      </c>
      <c r="Q128" s="33">
        <f t="shared" si="176"/>
        <v>0</v>
      </c>
      <c r="R128" s="33">
        <f t="shared" si="176"/>
        <v>0</v>
      </c>
      <c r="S128" s="33"/>
      <c r="T128" s="33" t="e">
        <f>SUM(#REF!)</f>
        <v>#REF!</v>
      </c>
      <c r="U128" s="33" t="e">
        <f>SUM(#REF!)</f>
        <v>#REF!</v>
      </c>
      <c r="V128" s="33" t="e">
        <f>SUM(#REF!)</f>
        <v>#REF!</v>
      </c>
      <c r="W128" s="33" t="e">
        <f>SUM(#REF!)</f>
        <v>#REF!</v>
      </c>
      <c r="X128" s="33">
        <f>SUM(H128:H128)</f>
        <v>0</v>
      </c>
      <c r="Y128" s="33">
        <f>SUM(H128:I128)</f>
        <v>0</v>
      </c>
      <c r="Z128" s="33">
        <f>SUM(H128:J128)</f>
        <v>0</v>
      </c>
      <c r="AA128" s="33">
        <f t="shared" ref="AA128:AH128" si="177">SUM(H128:K128)</f>
        <v>0</v>
      </c>
      <c r="AB128" s="33">
        <f t="shared" si="177"/>
        <v>0</v>
      </c>
      <c r="AC128" s="33">
        <f t="shared" si="177"/>
        <v>0</v>
      </c>
      <c r="AD128" s="33">
        <f t="shared" si="177"/>
        <v>0</v>
      </c>
      <c r="AE128" s="33">
        <f t="shared" si="177"/>
        <v>0</v>
      </c>
      <c r="AF128" s="33">
        <f t="shared" si="177"/>
        <v>0</v>
      </c>
      <c r="AG128" s="33">
        <f t="shared" si="177"/>
        <v>0</v>
      </c>
      <c r="AH128" s="140">
        <f t="shared" si="177"/>
        <v>0</v>
      </c>
      <c r="AI128" s="11"/>
      <c r="AJ128" s="47"/>
    </row>
    <row r="129" spans="2:36">
      <c r="B129" s="92" t="s">
        <v>77</v>
      </c>
      <c r="C129" s="88">
        <f t="shared" ref="C129:F129" si="178">SUM(C124:C128)</f>
        <v>0</v>
      </c>
      <c r="D129" s="88">
        <f t="shared" si="178"/>
        <v>0</v>
      </c>
      <c r="E129" s="88">
        <f t="shared" si="178"/>
        <v>0</v>
      </c>
      <c r="F129" s="88">
        <f t="shared" si="178"/>
        <v>0</v>
      </c>
      <c r="G129" s="33"/>
      <c r="H129" s="88">
        <f t="shared" ref="H129:R129" si="179">SUM(H124:H128)</f>
        <v>0</v>
      </c>
      <c r="I129" s="88">
        <f t="shared" si="179"/>
        <v>0</v>
      </c>
      <c r="J129" s="88">
        <f t="shared" si="179"/>
        <v>0</v>
      </c>
      <c r="K129" s="88">
        <f t="shared" si="179"/>
        <v>0</v>
      </c>
      <c r="L129" s="88">
        <f t="shared" si="179"/>
        <v>0</v>
      </c>
      <c r="M129" s="88">
        <f t="shared" si="179"/>
        <v>0</v>
      </c>
      <c r="N129" s="88">
        <f t="shared" si="179"/>
        <v>0</v>
      </c>
      <c r="O129" s="88">
        <f t="shared" si="179"/>
        <v>0</v>
      </c>
      <c r="P129" s="88">
        <f t="shared" si="179"/>
        <v>0</v>
      </c>
      <c r="Q129" s="88">
        <f t="shared" si="179"/>
        <v>0</v>
      </c>
      <c r="R129" s="88">
        <f t="shared" si="179"/>
        <v>0</v>
      </c>
      <c r="S129" s="33"/>
      <c r="T129" s="139" t="e">
        <f t="shared" ref="T129:V129" si="180">SUM(T124:T128)</f>
        <v>#REF!</v>
      </c>
      <c r="U129" s="139" t="e">
        <f t="shared" si="180"/>
        <v>#REF!</v>
      </c>
      <c r="V129" s="139" t="e">
        <f t="shared" si="180"/>
        <v>#REF!</v>
      </c>
      <c r="W129" s="139" t="e">
        <f t="shared" ref="W129:AH129" si="181">SUM(W124:W128)</f>
        <v>#REF!</v>
      </c>
      <c r="X129" s="139" t="e">
        <f t="shared" si="181"/>
        <v>#REF!</v>
      </c>
      <c r="Y129" s="139" t="e">
        <f t="shared" si="181"/>
        <v>#REF!</v>
      </c>
      <c r="Z129" s="139" t="e">
        <f t="shared" si="181"/>
        <v>#REF!</v>
      </c>
      <c r="AA129" s="139" t="e">
        <f t="shared" si="181"/>
        <v>#REF!</v>
      </c>
      <c r="AB129" s="139">
        <f t="shared" si="181"/>
        <v>0</v>
      </c>
      <c r="AC129" s="139">
        <f t="shared" si="181"/>
        <v>0</v>
      </c>
      <c r="AD129" s="139">
        <f t="shared" si="181"/>
        <v>0</v>
      </c>
      <c r="AE129" s="139">
        <f t="shared" si="181"/>
        <v>0</v>
      </c>
      <c r="AF129" s="139">
        <f t="shared" si="181"/>
        <v>0</v>
      </c>
      <c r="AG129" s="139">
        <f t="shared" si="181"/>
        <v>0</v>
      </c>
      <c r="AH129" s="143">
        <f t="shared" si="181"/>
        <v>0</v>
      </c>
      <c r="AI129" s="11"/>
      <c r="AJ129" s="47"/>
    </row>
    <row r="130" spans="2:36" ht="5.0999999999999996" customHeight="1">
      <c r="B130" s="93"/>
      <c r="C130" s="67"/>
      <c r="D130" s="67"/>
      <c r="E130" s="67"/>
      <c r="F130" s="67"/>
      <c r="G130" s="33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94"/>
      <c r="AI130" s="11"/>
      <c r="AJ130" s="47"/>
    </row>
    <row r="131" spans="2:36">
      <c r="B131" s="146" t="s">
        <v>108</v>
      </c>
      <c r="C131" s="90">
        <f t="shared" ref="C131:F131" si="182">C129-C44</f>
        <v>0</v>
      </c>
      <c r="D131" s="90">
        <f t="shared" si="182"/>
        <v>0</v>
      </c>
      <c r="E131" s="90">
        <f t="shared" si="182"/>
        <v>0</v>
      </c>
      <c r="F131" s="90">
        <f t="shared" si="182"/>
        <v>0</v>
      </c>
      <c r="G131" s="91"/>
      <c r="H131" s="90">
        <f t="shared" ref="H131:R131" si="183">H129-H44</f>
        <v>0</v>
      </c>
      <c r="I131" s="90">
        <f t="shared" si="183"/>
        <v>0</v>
      </c>
      <c r="J131" s="90">
        <f t="shared" si="183"/>
        <v>0</v>
      </c>
      <c r="K131" s="90">
        <f t="shared" si="183"/>
        <v>0</v>
      </c>
      <c r="L131" s="90">
        <f t="shared" si="183"/>
        <v>0</v>
      </c>
      <c r="M131" s="90">
        <f t="shared" si="183"/>
        <v>0</v>
      </c>
      <c r="N131" s="90">
        <f t="shared" si="183"/>
        <v>0</v>
      </c>
      <c r="O131" s="90">
        <f t="shared" si="183"/>
        <v>0</v>
      </c>
      <c r="P131" s="90">
        <f t="shared" si="183"/>
        <v>0</v>
      </c>
      <c r="Q131" s="90">
        <f t="shared" si="183"/>
        <v>0</v>
      </c>
      <c r="R131" s="90">
        <f t="shared" si="183"/>
        <v>0</v>
      </c>
      <c r="S131" s="90"/>
      <c r="T131" s="90" t="e">
        <f t="shared" ref="T131:AH131" si="184">T129-T44</f>
        <v>#REF!</v>
      </c>
      <c r="U131" s="90" t="e">
        <f t="shared" si="184"/>
        <v>#REF!</v>
      </c>
      <c r="V131" s="90" t="e">
        <f t="shared" si="184"/>
        <v>#REF!</v>
      </c>
      <c r="W131" s="90" t="e">
        <f t="shared" si="184"/>
        <v>#REF!</v>
      </c>
      <c r="X131" s="90" t="e">
        <f t="shared" si="184"/>
        <v>#REF!</v>
      </c>
      <c r="Y131" s="90" t="e">
        <f t="shared" si="184"/>
        <v>#REF!</v>
      </c>
      <c r="Z131" s="90" t="e">
        <f t="shared" si="184"/>
        <v>#REF!</v>
      </c>
      <c r="AA131" s="90" t="e">
        <f t="shared" si="184"/>
        <v>#REF!</v>
      </c>
      <c r="AB131" s="90">
        <f t="shared" si="184"/>
        <v>0</v>
      </c>
      <c r="AC131" s="90">
        <f t="shared" si="184"/>
        <v>0</v>
      </c>
      <c r="AD131" s="90">
        <f t="shared" si="184"/>
        <v>0</v>
      </c>
      <c r="AE131" s="90">
        <f t="shared" si="184"/>
        <v>0</v>
      </c>
      <c r="AF131" s="90">
        <f t="shared" si="184"/>
        <v>0</v>
      </c>
      <c r="AG131" s="90">
        <f t="shared" si="184"/>
        <v>0</v>
      </c>
      <c r="AH131" s="144">
        <f t="shared" si="184"/>
        <v>0</v>
      </c>
      <c r="AI131" s="11"/>
      <c r="AJ131" s="47"/>
    </row>
    <row r="132" spans="2:36" ht="5.0999999999999996" customHeight="1">
      <c r="B132" s="8"/>
      <c r="C132" s="67"/>
      <c r="D132" s="67"/>
      <c r="E132" s="67"/>
      <c r="F132" s="67"/>
      <c r="G132" s="33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47"/>
    </row>
    <row r="133" spans="2:36" ht="12.75" customHeight="1">
      <c r="B133" s="74" t="s">
        <v>66</v>
      </c>
      <c r="C133" s="64"/>
      <c r="D133" s="64"/>
      <c r="E133" s="64"/>
      <c r="F133" s="64"/>
      <c r="G133" s="11"/>
      <c r="H133" s="64"/>
      <c r="I133" s="64"/>
      <c r="J133" s="64"/>
      <c r="K133" s="64"/>
      <c r="L133" s="64"/>
      <c r="M133" s="64"/>
      <c r="N133" s="64"/>
      <c r="O133" s="64"/>
      <c r="P133" s="84"/>
      <c r="Q133" s="64"/>
      <c r="R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8"/>
      <c r="AJ133" s="47"/>
    </row>
    <row r="134" spans="2:36" ht="12.75" customHeight="1">
      <c r="B134" s="8" t="s">
        <v>148</v>
      </c>
      <c r="C134" s="84"/>
      <c r="D134" s="84"/>
      <c r="E134" s="84"/>
      <c r="F134" s="84"/>
      <c r="G134" s="11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T134" s="33" t="e">
        <f>SUM(#REF!)</f>
        <v>#REF!</v>
      </c>
      <c r="U134" s="33" t="e">
        <f>SUM(#REF!)</f>
        <v>#REF!</v>
      </c>
      <c r="V134" s="33" t="e">
        <f>SUM(#REF!)</f>
        <v>#REF!</v>
      </c>
      <c r="W134" s="33" t="e">
        <f>SUM(#REF!)</f>
        <v>#REF!</v>
      </c>
      <c r="X134" s="33">
        <f>SUM(H134:H134)</f>
        <v>0</v>
      </c>
      <c r="Y134" s="33">
        <f>SUM(H134:I134)</f>
        <v>0</v>
      </c>
      <c r="Z134" s="33">
        <f>SUM(H134:J134)</f>
        <v>0</v>
      </c>
      <c r="AA134" s="33">
        <f t="shared" ref="AA134" si="185">SUM(H134:K134)</f>
        <v>0</v>
      </c>
      <c r="AB134" s="33">
        <f t="shared" ref="AB134" si="186">SUM(I134:L134)</f>
        <v>0</v>
      </c>
      <c r="AC134" s="33">
        <f t="shared" ref="AC134" si="187">SUM(J134:M134)</f>
        <v>0</v>
      </c>
      <c r="AD134" s="33">
        <f t="shared" ref="AD134" si="188">SUM(K134:N134)</f>
        <v>0</v>
      </c>
      <c r="AE134" s="33">
        <f t="shared" ref="AE134" si="189">SUM(L134:O134)</f>
        <v>0</v>
      </c>
      <c r="AF134" s="33">
        <f t="shared" ref="AF134" si="190">SUM(M134:P134)</f>
        <v>0</v>
      </c>
      <c r="AG134" s="33">
        <f t="shared" ref="AG134" si="191">SUM(N134:Q134)</f>
        <v>0</v>
      </c>
      <c r="AH134" s="33">
        <f t="shared" ref="AH134" si="192">SUM(O134:R134)</f>
        <v>0</v>
      </c>
      <c r="AI134" s="68"/>
      <c r="AJ134" s="47"/>
    </row>
    <row r="135" spans="2:36" ht="12.75" customHeight="1">
      <c r="B135" s="8" t="s">
        <v>149</v>
      </c>
      <c r="C135" s="84"/>
      <c r="D135" s="84"/>
      <c r="E135" s="84"/>
      <c r="F135" s="84"/>
      <c r="G135" s="33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33"/>
      <c r="T135" s="33" t="e">
        <f>SUM(#REF!)</f>
        <v>#REF!</v>
      </c>
      <c r="U135" s="33" t="e">
        <f>SUM(#REF!)</f>
        <v>#REF!</v>
      </c>
      <c r="V135" s="33" t="e">
        <f>SUM(#REF!)</f>
        <v>#REF!</v>
      </c>
      <c r="W135" s="33" t="e">
        <f>SUM(#REF!)</f>
        <v>#REF!</v>
      </c>
      <c r="X135" s="33">
        <f>SUM(H135:H135)</f>
        <v>0</v>
      </c>
      <c r="Y135" s="33">
        <f>SUM(H135:I135)</f>
        <v>0</v>
      </c>
      <c r="Z135" s="33">
        <f>SUM(H135:J135)</f>
        <v>0</v>
      </c>
      <c r="AA135" s="33">
        <f t="shared" ref="AA135:AH135" si="193">SUM(H135:K135)</f>
        <v>0</v>
      </c>
      <c r="AB135" s="33">
        <f t="shared" si="193"/>
        <v>0</v>
      </c>
      <c r="AC135" s="33">
        <f t="shared" si="193"/>
        <v>0</v>
      </c>
      <c r="AD135" s="33">
        <f t="shared" si="193"/>
        <v>0</v>
      </c>
      <c r="AE135" s="33">
        <f t="shared" si="193"/>
        <v>0</v>
      </c>
      <c r="AF135" s="33">
        <f t="shared" si="193"/>
        <v>0</v>
      </c>
      <c r="AG135" s="33">
        <f t="shared" si="193"/>
        <v>0</v>
      </c>
      <c r="AH135" s="33">
        <f t="shared" si="193"/>
        <v>0</v>
      </c>
      <c r="AI135" s="11"/>
      <c r="AJ135" s="47"/>
    </row>
    <row r="136" spans="2:36" ht="5.0999999999999996" customHeight="1" thickBot="1">
      <c r="B136" s="75"/>
      <c r="C136" s="76"/>
      <c r="D136" s="76"/>
      <c r="E136" s="76"/>
      <c r="F136" s="76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J136" s="47"/>
    </row>
    <row r="137" spans="2:36" ht="12.75" customHeight="1"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34"/>
      <c r="AJ137" s="47"/>
    </row>
    <row r="138" spans="2:36" ht="12.75" customHeight="1">
      <c r="B138" s="55"/>
      <c r="C138" s="69"/>
      <c r="D138" s="69"/>
      <c r="E138" s="69"/>
      <c r="F138" s="69"/>
    </row>
    <row r="139" spans="2:36" ht="12.75" customHeight="1">
      <c r="C139" s="58"/>
      <c r="D139" s="58"/>
      <c r="E139" s="58"/>
      <c r="F139" s="58"/>
    </row>
    <row r="140" spans="2:36" ht="12.75" customHeight="1">
      <c r="C140" s="58"/>
      <c r="D140" s="58"/>
      <c r="E140" s="58"/>
      <c r="F140" s="58"/>
    </row>
    <row r="141" spans="2:36" ht="12.75" customHeight="1">
      <c r="C141" s="58"/>
      <c r="D141" s="58"/>
      <c r="E141" s="58"/>
      <c r="F141" s="58"/>
    </row>
    <row r="142" spans="2:36" ht="12.75" customHeight="1">
      <c r="C142" s="58"/>
      <c r="D142" s="58"/>
      <c r="E142" s="58"/>
      <c r="F142" s="58"/>
    </row>
    <row r="143" spans="2:36" ht="12.75" customHeight="1">
      <c r="C143" s="58"/>
      <c r="D143" s="58"/>
      <c r="E143" s="58"/>
      <c r="F143" s="58"/>
      <c r="H143" s="89"/>
      <c r="I143" s="89"/>
      <c r="J143" s="89"/>
      <c r="K143" s="89"/>
      <c r="L143" s="89"/>
      <c r="M143" s="89"/>
    </row>
    <row r="144" spans="2:36" ht="12.75" customHeight="1">
      <c r="C144" s="58"/>
      <c r="D144" s="58"/>
      <c r="E144" s="58"/>
      <c r="F144" s="58"/>
    </row>
    <row r="145" spans="3:13" ht="12.75" customHeight="1">
      <c r="C145" s="58"/>
      <c r="D145" s="58"/>
      <c r="E145" s="58"/>
      <c r="F145" s="58"/>
      <c r="H145" s="89"/>
      <c r="I145" s="89"/>
      <c r="J145" s="89"/>
      <c r="K145" s="89"/>
      <c r="L145" s="89"/>
      <c r="M145" s="89"/>
    </row>
    <row r="146" spans="3:13">
      <c r="H146" s="89"/>
      <c r="I146" s="89"/>
      <c r="J146" s="89"/>
      <c r="K146" s="89"/>
      <c r="L146" s="89"/>
      <c r="M146" s="89"/>
    </row>
    <row r="147" spans="3:13">
      <c r="H147" s="89"/>
      <c r="I147" s="89"/>
      <c r="J147" s="89"/>
      <c r="K147" s="89"/>
      <c r="L147" s="89"/>
      <c r="M147" s="89"/>
    </row>
    <row r="149" spans="3:13">
      <c r="H149" s="89"/>
      <c r="I149" s="89"/>
      <c r="J149" s="89"/>
      <c r="K149" s="89"/>
      <c r="L149" s="89"/>
      <c r="M149" s="89"/>
    </row>
    <row r="150" spans="3:13">
      <c r="H150" s="89"/>
      <c r="I150" s="89"/>
      <c r="J150" s="89"/>
      <c r="K150" s="89"/>
      <c r="L150" s="89"/>
      <c r="M150" s="89"/>
    </row>
  </sheetData>
  <mergeCells count="4">
    <mergeCell ref="B137:AG137"/>
    <mergeCell ref="AJ6:AJ8"/>
    <mergeCell ref="AJ39:AJ41"/>
    <mergeCell ref="AJ79:AJ81"/>
  </mergeCells>
  <dataValidations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G15:AG16 AG31 G47 T21:AE22 T26:AE28" formulaRange="1"/>
    <ignoredError sqref="C15:F16 C21:F22 C26:F28 C30:F32 H15:R16 H20:R22 H30:R32 H26:R28 AJ102:AJ103 AJ110 AH101:AJ101 AH111:AJ113 AH110:AI110 AH104:AJ109 AH102:AI103" evalError="1"/>
    <ignoredError sqref="T126:AH12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16"/>
  <sheetViews>
    <sheetView showGridLines="0" topLeftCell="C1" zoomScaleNormal="100" workbookViewId="0">
      <selection activeCell="W13" sqref="W13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customWidth="1" outlineLevel="1"/>
    <col min="4" max="6" width="8.625" style="8" bestFit="1" customWidth="1"/>
    <col min="7" max="7" width="1.5" style="8" customWidth="1"/>
    <col min="8" max="10" width="8" style="8" customWidth="1" outlineLevel="1"/>
    <col min="11" max="11" width="8.75" style="8" customWidth="1" outlineLevel="1"/>
    <col min="12" max="12" width="8.5" style="8" customWidth="1"/>
    <col min="13" max="13" width="8.25" style="8" bestFit="1" customWidth="1"/>
    <col min="14" max="14" width="8.5" style="8" bestFit="1" customWidth="1"/>
    <col min="15" max="18" width="9.125" style="8" bestFit="1" customWidth="1"/>
    <col min="19" max="19" width="1.5" style="8" customWidth="1"/>
    <col min="20" max="21" width="8.75" style="8" customWidth="1" outlineLevel="1"/>
    <col min="22" max="22" width="8.75" style="8" bestFit="1" customWidth="1"/>
    <col min="23" max="25" width="8.75" style="8" customWidth="1" outlineLevel="1"/>
    <col min="26" max="26" width="8.75" style="8" bestFit="1" customWidth="1"/>
    <col min="27" max="27" width="1.5" style="8" customWidth="1"/>
    <col min="28" max="28" width="9.875" style="8" bestFit="1" customWidth="1"/>
    <col min="29" max="16384" width="9" style="8"/>
  </cols>
  <sheetData>
    <row r="2" spans="1:28" s="5" customFormat="1" ht="12.75" customHeight="1">
      <c r="B2" s="1" t="str">
        <f>'Historical Financials'!B2</f>
        <v>XXX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 t="s">
        <v>1</v>
      </c>
      <c r="M2" s="2" t="s">
        <v>1</v>
      </c>
      <c r="N2" s="2"/>
      <c r="O2" s="2"/>
      <c r="P2" s="2"/>
      <c r="Q2" s="2"/>
      <c r="R2" s="2"/>
      <c r="S2" s="3"/>
      <c r="T2" s="2" t="s">
        <v>10</v>
      </c>
      <c r="U2" s="2"/>
      <c r="V2" s="2" t="s">
        <v>10</v>
      </c>
      <c r="W2" s="2"/>
      <c r="X2" s="2"/>
      <c r="Y2" s="2"/>
      <c r="Z2" s="2"/>
      <c r="AA2" s="3"/>
      <c r="AB2" s="154" t="s">
        <v>26</v>
      </c>
    </row>
    <row r="3" spans="1:28" s="5" customFormat="1" ht="12.75" customHeight="1">
      <c r="B3" s="6" t="s">
        <v>72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4"/>
      <c r="T3" s="4" t="str">
        <f>L3</f>
        <v>1Q24</v>
      </c>
      <c r="U3" s="4" t="str">
        <f>M3</f>
        <v>2Q24</v>
      </c>
      <c r="V3" s="4" t="str">
        <f>N3</f>
        <v>3Q24</v>
      </c>
      <c r="W3" s="4" t="str">
        <f>O3</f>
        <v>4Q24</v>
      </c>
      <c r="X3" s="4" t="str">
        <f>P3</f>
        <v>1Q25</v>
      </c>
      <c r="Y3" s="4" t="str">
        <f>Q3</f>
        <v>2Q25</v>
      </c>
      <c r="Z3" s="4" t="str">
        <f>R3</f>
        <v>3Q25</v>
      </c>
      <c r="AA3" s="3"/>
      <c r="AB3" s="154"/>
    </row>
    <row r="4" spans="1:28" s="5" customFormat="1" ht="12.75" customHeight="1">
      <c r="B4" s="6" t="s">
        <v>151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45016</v>
      </c>
      <c r="I4" s="3">
        <f>'Historical Financials'!I8</f>
        <v>45107</v>
      </c>
      <c r="J4" s="3">
        <f>'Historical Financials'!J8</f>
        <v>45199</v>
      </c>
      <c r="K4" s="3">
        <f>'Historical Financials'!K8</f>
        <v>45291</v>
      </c>
      <c r="L4" s="3">
        <f>'Historical Financials'!L8</f>
        <v>45382</v>
      </c>
      <c r="M4" s="3">
        <f>'Historical Financials'!M8</f>
        <v>45473</v>
      </c>
      <c r="N4" s="3">
        <f>'Historical Financials'!N8</f>
        <v>45565</v>
      </c>
      <c r="O4" s="3">
        <f>'Historical Financials'!O8</f>
        <v>45657</v>
      </c>
      <c r="P4" s="3">
        <f>'Historical Financials'!P8</f>
        <v>45747</v>
      </c>
      <c r="Q4" s="3">
        <f>'Historical Financials'!Q8</f>
        <v>45838</v>
      </c>
      <c r="R4" s="3">
        <f>'Historical Financials'!R8</f>
        <v>45930</v>
      </c>
      <c r="S4" s="3"/>
      <c r="T4" s="3">
        <f>L4</f>
        <v>45382</v>
      </c>
      <c r="U4" s="3">
        <f>M4</f>
        <v>45473</v>
      </c>
      <c r="V4" s="3">
        <f>N4</f>
        <v>45565</v>
      </c>
      <c r="W4" s="3">
        <f>O4</f>
        <v>45657</v>
      </c>
      <c r="X4" s="3">
        <f>P4</f>
        <v>45747</v>
      </c>
      <c r="Y4" s="3">
        <f>Q4</f>
        <v>45838</v>
      </c>
      <c r="Z4" s="3">
        <f>R4</f>
        <v>45930</v>
      </c>
      <c r="AA4" s="3"/>
      <c r="AB4" s="154"/>
    </row>
    <row r="5" spans="1:28" ht="5.0999999999999996" customHeight="1"/>
    <row r="6" spans="1:28">
      <c r="A6" s="37" t="s">
        <v>19</v>
      </c>
      <c r="B6" s="1" t="s">
        <v>104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82"/>
      <c r="B8" s="80" t="s">
        <v>103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5"/>
      <c r="T8" s="11"/>
      <c r="U8" s="11"/>
      <c r="V8" s="11"/>
      <c r="W8" s="11"/>
      <c r="X8" s="11"/>
      <c r="Y8" s="11"/>
      <c r="AB8" s="12"/>
    </row>
    <row r="9" spans="1:28" ht="12.75" customHeight="1">
      <c r="B9" s="9"/>
      <c r="C9" s="83"/>
      <c r="D9" s="83"/>
      <c r="E9" s="83"/>
      <c r="F9" s="83"/>
      <c r="G9" s="83"/>
      <c r="H9" s="83"/>
      <c r="I9" s="83"/>
      <c r="J9" s="83"/>
      <c r="K9" s="128">
        <f>SUM(E9-SUM(H9:J9))</f>
        <v>0</v>
      </c>
      <c r="L9" s="83"/>
      <c r="M9" s="83"/>
      <c r="N9" s="83"/>
      <c r="O9" s="128">
        <f>SUM(F9-SUM(L9:N9))</f>
        <v>0</v>
      </c>
      <c r="P9" s="83"/>
      <c r="Q9" s="83"/>
      <c r="R9" s="83"/>
      <c r="S9" s="11"/>
      <c r="T9" s="128">
        <f>SUM(I9:L9)</f>
        <v>0</v>
      </c>
      <c r="U9" s="128">
        <f>SUM(J9:M9)</f>
        <v>0</v>
      </c>
      <c r="V9" s="128">
        <f>SUM(K9:N9)</f>
        <v>0</v>
      </c>
      <c r="W9" s="128">
        <f>SUM(L9:O9)</f>
        <v>0</v>
      </c>
      <c r="X9" s="128">
        <f>SUM(M9:P9)</f>
        <v>0</v>
      </c>
      <c r="Y9" s="128">
        <f>SUM(N9:Q9)</f>
        <v>0</v>
      </c>
      <c r="Z9" s="128">
        <f>SUM(O9:R9)</f>
        <v>0</v>
      </c>
      <c r="AB9" s="12" t="e">
        <f>SUM(Z9/V9)-1</f>
        <v>#DIV/0!</v>
      </c>
    </row>
    <row r="10" spans="1:28" ht="12.75" customHeight="1">
      <c r="B10" s="9"/>
      <c r="C10" s="83"/>
      <c r="D10" s="83"/>
      <c r="E10" s="83"/>
      <c r="F10" s="83"/>
      <c r="G10" s="83"/>
      <c r="H10" s="83"/>
      <c r="I10" s="83"/>
      <c r="J10" s="83"/>
      <c r="K10" s="128">
        <f>SUM(E10-SUM(H10:J10))</f>
        <v>0</v>
      </c>
      <c r="L10" s="83"/>
      <c r="M10" s="83"/>
      <c r="N10" s="83"/>
      <c r="O10" s="128">
        <f>SUM(F10-SUM(L10:N10))</f>
        <v>0</v>
      </c>
      <c r="P10" s="83"/>
      <c r="Q10" s="83"/>
      <c r="R10" s="83"/>
      <c r="S10" s="11"/>
      <c r="T10" s="128">
        <f>SUM(I10:L10)</f>
        <v>0</v>
      </c>
      <c r="U10" s="128">
        <f>SUM(J10:M10)</f>
        <v>0</v>
      </c>
      <c r="V10" s="128">
        <f>SUM(K10:N10)</f>
        <v>0</v>
      </c>
      <c r="W10" s="128">
        <f>SUM(L10:O10)</f>
        <v>0</v>
      </c>
      <c r="X10" s="128">
        <f>SUM(M10:P10)</f>
        <v>0</v>
      </c>
      <c r="Y10" s="128">
        <f>SUM(N10:Q10)</f>
        <v>0</v>
      </c>
      <c r="Z10" s="128">
        <f>SUM(O10:R10)</f>
        <v>0</v>
      </c>
      <c r="AB10" s="12" t="e">
        <f>SUM(Z10/V10)-1</f>
        <v>#DIV/0!</v>
      </c>
    </row>
    <row r="11" spans="1:28" ht="12.75" customHeight="1">
      <c r="B11" s="9"/>
      <c r="C11" s="83"/>
      <c r="D11" s="83"/>
      <c r="E11" s="83"/>
      <c r="F11" s="83"/>
      <c r="G11" s="83"/>
      <c r="H11" s="83"/>
      <c r="I11" s="83"/>
      <c r="J11" s="83"/>
      <c r="K11" s="128">
        <f>SUM(E11-SUM(H11:J11))</f>
        <v>0</v>
      </c>
      <c r="L11" s="83"/>
      <c r="M11" s="83"/>
      <c r="N11" s="83"/>
      <c r="O11" s="128">
        <f>SUM(F11-SUM(L11:N11))</f>
        <v>0</v>
      </c>
      <c r="P11" s="83"/>
      <c r="Q11" s="83"/>
      <c r="R11" s="83"/>
      <c r="S11" s="11"/>
      <c r="T11" s="128">
        <f>SUM(I11:L11)</f>
        <v>0</v>
      </c>
      <c r="U11" s="128">
        <f>SUM(J11:M11)</f>
        <v>0</v>
      </c>
      <c r="V11" s="128">
        <f>SUM(K11:N11)</f>
        <v>0</v>
      </c>
      <c r="W11" s="128">
        <f>SUM(L11:O11)</f>
        <v>0</v>
      </c>
      <c r="X11" s="128">
        <f>SUM(M11:P11)</f>
        <v>0</v>
      </c>
      <c r="Y11" s="128">
        <f>SUM(N11:Q11)</f>
        <v>0</v>
      </c>
      <c r="Z11" s="128">
        <f>SUM(O11:R11)</f>
        <v>0</v>
      </c>
      <c r="AB11" s="12" t="e">
        <f>SUM(Z11/V11)-1</f>
        <v>#DIV/0!</v>
      </c>
    </row>
    <row r="12" spans="1:28" ht="12.75" customHeight="1">
      <c r="B12" s="9"/>
      <c r="C12" s="83"/>
      <c r="D12" s="83"/>
      <c r="E12" s="83"/>
      <c r="F12" s="83"/>
      <c r="G12" s="83"/>
      <c r="H12" s="83"/>
      <c r="I12" s="83"/>
      <c r="J12" s="83"/>
      <c r="K12" s="128">
        <f>SUM(E12-SUM(H12:J12))</f>
        <v>0</v>
      </c>
      <c r="L12" s="83"/>
      <c r="M12" s="83"/>
      <c r="N12" s="83"/>
      <c r="O12" s="128">
        <f>SUM(F12-SUM(L12:N12))</f>
        <v>0</v>
      </c>
      <c r="P12" s="83"/>
      <c r="Q12" s="83"/>
      <c r="R12" s="83"/>
      <c r="S12" s="11"/>
      <c r="T12" s="128">
        <f>SUM(I12:L12)</f>
        <v>0</v>
      </c>
      <c r="U12" s="128">
        <f>SUM(J12:M12)</f>
        <v>0</v>
      </c>
      <c r="V12" s="128">
        <f>SUM(K12:N12)</f>
        <v>0</v>
      </c>
      <c r="W12" s="128">
        <f>SUM(L12:O12)</f>
        <v>0</v>
      </c>
      <c r="X12" s="128">
        <f>SUM(M12:P12)</f>
        <v>0</v>
      </c>
      <c r="Y12" s="128">
        <f>SUM(N12:Q12)</f>
        <v>0</v>
      </c>
      <c r="Z12" s="128">
        <f>SUM(O12:R12)</f>
        <v>0</v>
      </c>
      <c r="AB12" s="12" t="e">
        <f>SUM(Z12/V12)-1</f>
        <v>#DIV/0!</v>
      </c>
    </row>
    <row r="13" spans="1:28" ht="12.75" customHeight="1">
      <c r="B13" s="9"/>
      <c r="C13" s="83"/>
      <c r="D13" s="83"/>
      <c r="E13" s="83"/>
      <c r="F13" s="83"/>
      <c r="G13" s="83"/>
      <c r="H13" s="83"/>
      <c r="I13" s="83"/>
      <c r="J13" s="83"/>
      <c r="K13" s="128">
        <f>SUM(E13-SUM(H13:J13))</f>
        <v>0</v>
      </c>
      <c r="L13" s="83"/>
      <c r="M13" s="83"/>
      <c r="N13" s="83"/>
      <c r="O13" s="128">
        <f>SUM(F13-SUM(L13:N13))</f>
        <v>0</v>
      </c>
      <c r="P13" s="83"/>
      <c r="Q13" s="83"/>
      <c r="R13" s="83"/>
      <c r="S13" s="11"/>
      <c r="T13" s="128">
        <f>SUM(I13:L13)</f>
        <v>0</v>
      </c>
      <c r="U13" s="128">
        <f>SUM(J13:M13)</f>
        <v>0</v>
      </c>
      <c r="V13" s="128">
        <f>SUM(K13:N13)</f>
        <v>0</v>
      </c>
      <c r="W13" s="128">
        <f>SUM(L13:O13)</f>
        <v>0</v>
      </c>
      <c r="X13" s="128">
        <f>SUM(M13:P13)</f>
        <v>0</v>
      </c>
      <c r="Y13" s="128">
        <f>SUM(N13:Q13)</f>
        <v>0</v>
      </c>
      <c r="Z13" s="128">
        <f>SUM(O13:R13)</f>
        <v>0</v>
      </c>
      <c r="AB13" s="12" t="e">
        <f>SUM(Z13/V13)-1</f>
        <v>#DIV/0!</v>
      </c>
    </row>
    <row r="14" spans="1:28" ht="12.75" customHeight="1">
      <c r="B14" s="13" t="s">
        <v>73</v>
      </c>
      <c r="C14" s="35">
        <f t="shared" ref="C14:F14" si="0">SUM(C9:C13)</f>
        <v>0</v>
      </c>
      <c r="D14" s="35">
        <f t="shared" si="0"/>
        <v>0</v>
      </c>
      <c r="E14" s="35">
        <f t="shared" si="0"/>
        <v>0</v>
      </c>
      <c r="F14" s="35">
        <f t="shared" si="0"/>
        <v>0</v>
      </c>
      <c r="G14" s="11"/>
      <c r="H14" s="35">
        <f t="shared" ref="H14:R14" si="1">SUM(H9:H13)</f>
        <v>0</v>
      </c>
      <c r="I14" s="35">
        <f t="shared" si="1"/>
        <v>0</v>
      </c>
      <c r="J14" s="35">
        <f t="shared" si="1"/>
        <v>0</v>
      </c>
      <c r="K14" s="35">
        <f t="shared" si="1"/>
        <v>0</v>
      </c>
      <c r="L14" s="35">
        <f t="shared" si="1"/>
        <v>0</v>
      </c>
      <c r="M14" s="35">
        <f t="shared" si="1"/>
        <v>0</v>
      </c>
      <c r="N14" s="35">
        <f t="shared" si="1"/>
        <v>0</v>
      </c>
      <c r="O14" s="35">
        <f t="shared" si="1"/>
        <v>0</v>
      </c>
      <c r="P14" s="35">
        <f t="shared" si="1"/>
        <v>0</v>
      </c>
      <c r="Q14" s="35">
        <f t="shared" si="1"/>
        <v>0</v>
      </c>
      <c r="R14" s="35">
        <f t="shared" si="1"/>
        <v>0</v>
      </c>
      <c r="S14" s="5"/>
      <c r="T14" s="35">
        <f t="shared" ref="T14:Z14" si="2">SUM(T9:T13)</f>
        <v>0</v>
      </c>
      <c r="U14" s="35">
        <f t="shared" si="2"/>
        <v>0</v>
      </c>
      <c r="V14" s="35">
        <f>SUM(V9:V13)</f>
        <v>0</v>
      </c>
      <c r="W14" s="35">
        <f t="shared" si="2"/>
        <v>0</v>
      </c>
      <c r="X14" s="35">
        <f t="shared" si="2"/>
        <v>0</v>
      </c>
      <c r="Y14" s="35">
        <f t="shared" si="2"/>
        <v>0</v>
      </c>
      <c r="Z14" s="35">
        <f t="shared" si="2"/>
        <v>0</v>
      </c>
      <c r="AB14" s="15" t="e">
        <f>SUM(Z14/V14)-1</f>
        <v>#DIV/0!</v>
      </c>
    </row>
    <row r="15" spans="1:28">
      <c r="B15" s="136" t="s">
        <v>105</v>
      </c>
      <c r="C15" s="81">
        <f>+C14-'Historical Financials'!C11</f>
        <v>0</v>
      </c>
      <c r="D15" s="81">
        <f>+D14-'Historical Financials'!D11</f>
        <v>0</v>
      </c>
      <c r="E15" s="81">
        <f>+E14-'Historical Financials'!E11</f>
        <v>0</v>
      </c>
      <c r="F15" s="81">
        <f>+F14-'Historical Financials'!F11</f>
        <v>0</v>
      </c>
      <c r="G15" s="11"/>
      <c r="H15" s="81">
        <f>H14-'Historical Financials'!H11</f>
        <v>0</v>
      </c>
      <c r="I15" s="81">
        <f>I14-'Historical Financials'!I11</f>
        <v>0</v>
      </c>
      <c r="J15" s="81">
        <f>J14-'Historical Financials'!J11</f>
        <v>0</v>
      </c>
      <c r="K15" s="81">
        <f>K14-'Historical Financials'!K11</f>
        <v>0</v>
      </c>
      <c r="L15" s="81">
        <f>L14-'Historical Financials'!L11</f>
        <v>0</v>
      </c>
      <c r="M15" s="81">
        <f>M14-'Historical Financials'!M11</f>
        <v>0</v>
      </c>
      <c r="N15" s="81">
        <f>N14-'Historical Financials'!N11</f>
        <v>0</v>
      </c>
      <c r="O15" s="81">
        <f>O14-'Historical Financials'!O11</f>
        <v>0</v>
      </c>
      <c r="P15" s="81">
        <f>P14-'Historical Financials'!P11</f>
        <v>0</v>
      </c>
      <c r="Q15" s="81">
        <f>Q14-'Historical Financials'!Q11</f>
        <v>0</v>
      </c>
      <c r="R15" s="81">
        <f>R14-'Historical Financials'!R11</f>
        <v>0</v>
      </c>
      <c r="S15" s="81"/>
      <c r="T15" s="81">
        <f>+T14-'Historical Financials'!AB11</f>
        <v>0</v>
      </c>
      <c r="U15" s="81">
        <f>+U14-'Historical Financials'!AC11</f>
        <v>0</v>
      </c>
      <c r="V15" s="81">
        <f>+V14-'Historical Financials'!AD11</f>
        <v>0</v>
      </c>
      <c r="W15" s="81">
        <f>+W14-'Historical Financials'!AE11</f>
        <v>0</v>
      </c>
      <c r="X15" s="81">
        <f>+X14-'Historical Financials'!AF11</f>
        <v>0</v>
      </c>
      <c r="Y15" s="81">
        <f>+Y14-'Historical Financials'!AG11</f>
        <v>0</v>
      </c>
      <c r="Z15" s="81">
        <f>Z14-'Historical Financials'!AH11</f>
        <v>0</v>
      </c>
    </row>
    <row r="16" spans="1:28" ht="5.0999999999999996" customHeight="1">
      <c r="B16" s="19"/>
      <c r="C16" s="20"/>
      <c r="D16" s="20"/>
      <c r="E16" s="20"/>
      <c r="F16" s="20"/>
      <c r="G16" s="21"/>
      <c r="H16" s="22"/>
      <c r="I16" s="22"/>
      <c r="J16" s="22"/>
      <c r="K16" s="23"/>
      <c r="L16" s="22"/>
      <c r="M16" s="22"/>
      <c r="N16" s="22"/>
      <c r="O16" s="22"/>
      <c r="P16" s="22"/>
      <c r="Q16" s="22"/>
      <c r="R16" s="22"/>
      <c r="S16" s="21"/>
      <c r="T16" s="21"/>
      <c r="U16" s="21"/>
      <c r="V16" s="21"/>
      <c r="W16" s="21"/>
      <c r="X16" s="21"/>
      <c r="Y16" s="21"/>
      <c r="Z16" s="21"/>
    </row>
  </sheetData>
  <mergeCells count="1">
    <mergeCell ref="AB2:AB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B9:AB13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J83"/>
  <sheetViews>
    <sheetView showGridLines="0" zoomScaleNormal="100" workbookViewId="0">
      <selection activeCell="B9" sqref="B9"/>
    </sheetView>
  </sheetViews>
  <sheetFormatPr defaultRowHeight="12" outlineLevelCol="1"/>
  <cols>
    <col min="1" max="1" width="1.5" style="8" customWidth="1"/>
    <col min="2" max="2" width="41.625" style="8" customWidth="1"/>
    <col min="3" max="4" width="8.625" style="8" hidden="1" customWidth="1" outlineLevel="1"/>
    <col min="5" max="5" width="9" style="8" bestFit="1" customWidth="1" collapsed="1"/>
    <col min="6" max="6" width="9.25" style="8" bestFit="1" customWidth="1"/>
    <col min="7" max="7" width="9" style="8"/>
    <col min="8" max="8" width="1.5" style="8" customWidth="1"/>
    <col min="9" max="10" width="8" style="8" customWidth="1" outlineLevel="1"/>
    <col min="11" max="14" width="8.875" style="8" customWidth="1" outlineLevel="1"/>
    <col min="15" max="19" width="8.875" style="8" bestFit="1" customWidth="1"/>
    <col min="20" max="20" width="1.625" style="8" customWidth="1"/>
    <col min="21" max="21" width="9" style="8" hidden="1" customWidth="1" outlineLevel="1"/>
    <col min="22" max="22" width="8.625" style="8" hidden="1" customWidth="1" outlineLevel="1"/>
    <col min="23" max="23" width="8.5" style="8" hidden="1" customWidth="1" outlineLevel="1"/>
    <col min="24" max="25" width="8.25" style="8" hidden="1" customWidth="1" outlineLevel="1"/>
    <col min="26" max="26" width="9.25" style="8" hidden="1" customWidth="1" outlineLevel="1"/>
    <col min="27" max="27" width="9.75" style="8" hidden="1" customWidth="1" outlineLevel="1"/>
    <col min="28" max="28" width="9" style="8" hidden="1" customWidth="1" outlineLevel="1"/>
    <col min="29" max="29" width="9" style="8" customWidth="1" collapsed="1"/>
    <col min="30" max="31" width="9" style="8" hidden="1" customWidth="1" outlineLevel="1"/>
    <col min="32" max="32" width="8.5" style="8" hidden="1" customWidth="1" outlineLevel="1"/>
    <col min="33" max="33" width="8.5" style="8" bestFit="1" customWidth="1" collapsed="1"/>
    <col min="34" max="34" width="1.5" style="8" customWidth="1"/>
    <col min="35" max="35" width="9.375" style="133" bestFit="1" customWidth="1"/>
    <col min="36" max="16384" width="9" style="8"/>
  </cols>
  <sheetData>
    <row r="2" spans="2:35" s="5" customFormat="1" ht="12.75" customHeight="1">
      <c r="B2" s="1" t="str">
        <f>'Historical Financials'!B2</f>
        <v>XXX</v>
      </c>
      <c r="C2" s="2" t="s">
        <v>0</v>
      </c>
      <c r="D2" s="2"/>
      <c r="E2" s="2" t="s">
        <v>0</v>
      </c>
      <c r="F2" s="2"/>
      <c r="G2" s="2"/>
      <c r="H2" s="3"/>
      <c r="I2" s="2" t="s">
        <v>1</v>
      </c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 t="s">
        <v>10</v>
      </c>
      <c r="V2" s="2"/>
      <c r="W2" s="2"/>
      <c r="X2" s="2"/>
      <c r="Y2" s="2"/>
      <c r="Z2" s="2"/>
      <c r="AA2" s="2"/>
      <c r="AB2" s="2" t="s">
        <v>10</v>
      </c>
      <c r="AC2" s="2" t="s">
        <v>10</v>
      </c>
      <c r="AD2" s="2"/>
      <c r="AE2" s="2"/>
      <c r="AF2" s="2"/>
      <c r="AG2" s="2"/>
      <c r="AH2" s="3"/>
      <c r="AI2" s="157" t="s">
        <v>26</v>
      </c>
    </row>
    <row r="3" spans="2:35" s="5" customFormat="1" ht="12.75" customHeight="1">
      <c r="B3" s="6" t="s">
        <v>27</v>
      </c>
      <c r="C3" s="7" t="e">
        <f>'Historical Financials'!#REF!</f>
        <v>#REF!</v>
      </c>
      <c r="D3" s="7">
        <f>'Historical Financials'!C7</f>
        <v>2021</v>
      </c>
      <c r="E3" s="7">
        <f>'Historical Financials'!D7</f>
        <v>2022</v>
      </c>
      <c r="F3" s="7">
        <f>'Historical Financials'!E7</f>
        <v>2023</v>
      </c>
      <c r="G3" s="7">
        <f>'Historical Financials'!F7</f>
        <v>2024</v>
      </c>
      <c r="H3" s="3"/>
      <c r="I3" s="7" t="str">
        <f>'Historical Financials'!H7</f>
        <v>1Q23</v>
      </c>
      <c r="J3" s="7" t="str">
        <f>'Historical Financials'!I7</f>
        <v>2Q23</v>
      </c>
      <c r="K3" s="7" t="str">
        <f>'Historical Financials'!J7</f>
        <v>3Q23</v>
      </c>
      <c r="L3" s="7" t="str">
        <f>'Historical Financials'!K7</f>
        <v>4Q23</v>
      </c>
      <c r="M3" s="7" t="str">
        <f>'Historical Financials'!L7</f>
        <v>1Q24</v>
      </c>
      <c r="N3" s="7" t="str">
        <f>'Historical Financials'!M7</f>
        <v>2Q24</v>
      </c>
      <c r="O3" s="7" t="str">
        <f>'Historical Financials'!N7</f>
        <v>3Q24</v>
      </c>
      <c r="P3" s="7" t="str">
        <f>'Historical Financials'!O7</f>
        <v>4Q24</v>
      </c>
      <c r="Q3" s="7" t="str">
        <f>'Historical Financials'!P7</f>
        <v>1Q25</v>
      </c>
      <c r="R3" s="7" t="str">
        <f>'Historical Financials'!Q7</f>
        <v>2Q25</v>
      </c>
      <c r="S3" s="7" t="str">
        <f>'Historical Financials'!R7</f>
        <v>3Q25</v>
      </c>
      <c r="T3" s="3"/>
      <c r="U3" s="4" t="e">
        <f>#REF!</f>
        <v>#REF!</v>
      </c>
      <c r="V3" s="4" t="e">
        <f>#REF!</f>
        <v>#REF!</v>
      </c>
      <c r="W3" s="4" t="str">
        <f t="shared" ref="W3:AG4" si="0">I3</f>
        <v>1Q23</v>
      </c>
      <c r="X3" s="4" t="str">
        <f t="shared" si="0"/>
        <v>2Q23</v>
      </c>
      <c r="Y3" s="4" t="str">
        <f t="shared" si="0"/>
        <v>3Q23</v>
      </c>
      <c r="Z3" s="4" t="str">
        <f t="shared" si="0"/>
        <v>4Q23</v>
      </c>
      <c r="AA3" s="4" t="str">
        <f t="shared" si="0"/>
        <v>1Q24</v>
      </c>
      <c r="AB3" s="4" t="str">
        <f t="shared" si="0"/>
        <v>2Q24</v>
      </c>
      <c r="AC3" s="4" t="str">
        <f t="shared" si="0"/>
        <v>3Q24</v>
      </c>
      <c r="AD3" s="4" t="str">
        <f t="shared" si="0"/>
        <v>4Q24</v>
      </c>
      <c r="AE3" s="4" t="str">
        <f t="shared" si="0"/>
        <v>1Q25</v>
      </c>
      <c r="AF3" s="4" t="str">
        <f t="shared" si="0"/>
        <v>2Q25</v>
      </c>
      <c r="AG3" s="4" t="str">
        <f t="shared" si="0"/>
        <v>3Q25</v>
      </c>
      <c r="AH3" s="3"/>
      <c r="AI3" s="157"/>
    </row>
    <row r="4" spans="2:35" s="5" customFormat="1" ht="12.75" customHeight="1">
      <c r="B4" s="6" t="s">
        <v>79</v>
      </c>
      <c r="C4" s="3" t="e">
        <f>'Historical Financials'!#REF!</f>
        <v>#REF!</v>
      </c>
      <c r="D4" s="3">
        <f>'Historical Financials'!C8</f>
        <v>44561</v>
      </c>
      <c r="E4" s="3">
        <f>'Historical Financials'!D8</f>
        <v>44926</v>
      </c>
      <c r="F4" s="3">
        <f>'Historical Financials'!E8</f>
        <v>45291</v>
      </c>
      <c r="G4" s="3">
        <f>'Historical Financials'!F8</f>
        <v>45657</v>
      </c>
      <c r="H4" s="3"/>
      <c r="I4" s="3">
        <f>'Historical Financials'!H8</f>
        <v>45016</v>
      </c>
      <c r="J4" s="3">
        <f>'Historical Financials'!I8</f>
        <v>45107</v>
      </c>
      <c r="K4" s="3">
        <f>'Historical Financials'!J8</f>
        <v>45199</v>
      </c>
      <c r="L4" s="3">
        <f>'Historical Financials'!K8</f>
        <v>45291</v>
      </c>
      <c r="M4" s="3">
        <f>'Historical Financials'!L8</f>
        <v>45382</v>
      </c>
      <c r="N4" s="3">
        <f>'Historical Financials'!M8</f>
        <v>45473</v>
      </c>
      <c r="O4" s="3">
        <f>'Historical Financials'!N8</f>
        <v>45565</v>
      </c>
      <c r="P4" s="3">
        <f>'Historical Financials'!O8</f>
        <v>45657</v>
      </c>
      <c r="Q4" s="3">
        <f>'Historical Financials'!P8</f>
        <v>45747</v>
      </c>
      <c r="R4" s="3">
        <f>'Historical Financials'!Q8</f>
        <v>45838</v>
      </c>
      <c r="S4" s="3">
        <f>'Historical Financials'!R8</f>
        <v>45930</v>
      </c>
      <c r="T4" s="3"/>
      <c r="U4" s="3" t="e">
        <f>#REF!</f>
        <v>#REF!</v>
      </c>
      <c r="V4" s="3" t="e">
        <f>#REF!</f>
        <v>#REF!</v>
      </c>
      <c r="W4" s="3">
        <f t="shared" si="0"/>
        <v>45016</v>
      </c>
      <c r="X4" s="3">
        <f t="shared" si="0"/>
        <v>45107</v>
      </c>
      <c r="Y4" s="3">
        <f t="shared" si="0"/>
        <v>45199</v>
      </c>
      <c r="Z4" s="3">
        <f t="shared" si="0"/>
        <v>45291</v>
      </c>
      <c r="AA4" s="3">
        <f t="shared" si="0"/>
        <v>45382</v>
      </c>
      <c r="AB4" s="3">
        <f t="shared" si="0"/>
        <v>45473</v>
      </c>
      <c r="AC4" s="3">
        <f t="shared" si="0"/>
        <v>45565</v>
      </c>
      <c r="AD4" s="3">
        <f t="shared" si="0"/>
        <v>45657</v>
      </c>
      <c r="AE4" s="3">
        <f t="shared" si="0"/>
        <v>45747</v>
      </c>
      <c r="AF4" s="3">
        <f t="shared" si="0"/>
        <v>45838</v>
      </c>
      <c r="AG4" s="3">
        <f t="shared" si="0"/>
        <v>45930</v>
      </c>
      <c r="AH4" s="3"/>
      <c r="AI4" s="157"/>
    </row>
    <row r="5" spans="2:35" ht="5.0999999999999996" customHeight="1">
      <c r="AI5" s="129"/>
    </row>
    <row r="6" spans="2:35" ht="12.75" customHeight="1">
      <c r="B6" s="9"/>
      <c r="C6" s="97"/>
      <c r="D6" s="97"/>
      <c r="E6" s="97"/>
      <c r="F6" s="97"/>
      <c r="G6" s="97"/>
      <c r="H6" s="10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5"/>
      <c r="U6" s="10">
        <f>SUM(H6:H6)</f>
        <v>0</v>
      </c>
      <c r="V6" s="10" t="e">
        <f>SUM(#REF!)</f>
        <v>#REF!</v>
      </c>
      <c r="W6" s="10">
        <f>SUM(I6:I6)</f>
        <v>0</v>
      </c>
      <c r="X6" s="10">
        <f>SUM(I6:J6)</f>
        <v>0</v>
      </c>
      <c r="Y6" s="10">
        <f>SUM(I6:K6)</f>
        <v>0</v>
      </c>
      <c r="Z6" s="10">
        <f t="shared" ref="Z6:AG6" si="1">SUM(I6:L6)</f>
        <v>0</v>
      </c>
      <c r="AA6" s="10">
        <f t="shared" si="1"/>
        <v>0</v>
      </c>
      <c r="AB6" s="10">
        <f t="shared" si="1"/>
        <v>0</v>
      </c>
      <c r="AC6" s="150">
        <f t="shared" si="1"/>
        <v>0</v>
      </c>
      <c r="AD6" s="150">
        <f t="shared" si="1"/>
        <v>0</v>
      </c>
      <c r="AE6" s="150">
        <f t="shared" si="1"/>
        <v>0</v>
      </c>
      <c r="AF6" s="150">
        <f t="shared" si="1"/>
        <v>0</v>
      </c>
      <c r="AG6" s="150">
        <f t="shared" si="1"/>
        <v>0</v>
      </c>
      <c r="AI6" s="130" t="e">
        <f t="shared" ref="AI6:AI11" si="2">SUM(AG6/AC6)-1</f>
        <v>#DIV/0!</v>
      </c>
    </row>
    <row r="7" spans="2:35" ht="12.75" customHeight="1">
      <c r="B7" s="9"/>
      <c r="C7" s="97"/>
      <c r="D7" s="97"/>
      <c r="E7" s="97"/>
      <c r="F7" s="97"/>
      <c r="G7" s="97"/>
      <c r="H7" s="10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5"/>
      <c r="U7" s="10"/>
      <c r="V7" s="10"/>
      <c r="W7" s="10"/>
      <c r="X7" s="10"/>
      <c r="Y7" s="10"/>
      <c r="Z7" s="10"/>
      <c r="AA7" s="10"/>
      <c r="AB7" s="10"/>
      <c r="AC7" s="150">
        <f t="shared" ref="AC7:AG9" si="3">SUM(L7:O7)</f>
        <v>0</v>
      </c>
      <c r="AD7" s="150">
        <f t="shared" si="3"/>
        <v>0</v>
      </c>
      <c r="AE7" s="150">
        <f t="shared" si="3"/>
        <v>0</v>
      </c>
      <c r="AF7" s="150">
        <f t="shared" si="3"/>
        <v>0</v>
      </c>
      <c r="AG7" s="150">
        <f t="shared" si="3"/>
        <v>0</v>
      </c>
      <c r="AI7" s="130" t="e">
        <f t="shared" si="2"/>
        <v>#DIV/0!</v>
      </c>
    </row>
    <row r="8" spans="2:35" ht="12.75" customHeight="1">
      <c r="B8" s="9"/>
      <c r="C8" s="97"/>
      <c r="D8" s="97"/>
      <c r="E8" s="97"/>
      <c r="F8" s="97"/>
      <c r="G8" s="97"/>
      <c r="H8" s="10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5"/>
      <c r="U8" s="10"/>
      <c r="V8" s="10"/>
      <c r="W8" s="10"/>
      <c r="X8" s="10"/>
      <c r="Y8" s="10"/>
      <c r="Z8" s="10"/>
      <c r="AA8" s="10"/>
      <c r="AB8" s="10"/>
      <c r="AC8" s="150">
        <f t="shared" si="3"/>
        <v>0</v>
      </c>
      <c r="AD8" s="150">
        <f t="shared" si="3"/>
        <v>0</v>
      </c>
      <c r="AE8" s="150">
        <f t="shared" si="3"/>
        <v>0</v>
      </c>
      <c r="AF8" s="150">
        <f t="shared" si="3"/>
        <v>0</v>
      </c>
      <c r="AG8" s="150">
        <f t="shared" si="3"/>
        <v>0</v>
      </c>
      <c r="AI8" s="130" t="e">
        <f t="shared" si="2"/>
        <v>#DIV/0!</v>
      </c>
    </row>
    <row r="9" spans="2:35" ht="12.75" customHeight="1">
      <c r="B9" s="9"/>
      <c r="C9" s="97"/>
      <c r="D9" s="97"/>
      <c r="E9" s="97"/>
      <c r="F9" s="97"/>
      <c r="G9" s="97"/>
      <c r="H9" s="10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5"/>
      <c r="U9" s="10"/>
      <c r="V9" s="10"/>
      <c r="W9" s="10"/>
      <c r="X9" s="10"/>
      <c r="Y9" s="10"/>
      <c r="Z9" s="10"/>
      <c r="AA9" s="10"/>
      <c r="AB9" s="10"/>
      <c r="AC9" s="150">
        <f t="shared" si="3"/>
        <v>0</v>
      </c>
      <c r="AD9" s="150">
        <f t="shared" si="3"/>
        <v>0</v>
      </c>
      <c r="AE9" s="150">
        <f t="shared" si="3"/>
        <v>0</v>
      </c>
      <c r="AF9" s="150">
        <f t="shared" si="3"/>
        <v>0</v>
      </c>
      <c r="AG9" s="150">
        <f t="shared" si="3"/>
        <v>0</v>
      </c>
      <c r="AI9" s="130" t="e">
        <f t="shared" si="2"/>
        <v>#DIV/0!</v>
      </c>
    </row>
    <row r="10" spans="2:35" ht="12.75" customHeight="1">
      <c r="B10" s="9"/>
      <c r="C10" s="97"/>
      <c r="D10" s="97"/>
      <c r="E10" s="97"/>
      <c r="F10" s="97"/>
      <c r="G10" s="97"/>
      <c r="H10" s="10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5"/>
      <c r="U10" s="10"/>
      <c r="V10" s="10"/>
      <c r="W10" s="10"/>
      <c r="X10" s="10"/>
      <c r="Y10" s="10"/>
      <c r="Z10" s="10"/>
      <c r="AA10" s="10"/>
      <c r="AB10" s="10"/>
      <c r="AC10" s="150">
        <f t="shared" ref="AC10" si="4">SUM(L10:O10)</f>
        <v>0</v>
      </c>
      <c r="AD10" s="150">
        <f t="shared" ref="AD10" si="5">SUM(M10:P10)</f>
        <v>0</v>
      </c>
      <c r="AE10" s="150">
        <f t="shared" ref="AE10" si="6">SUM(N10:Q10)</f>
        <v>0</v>
      </c>
      <c r="AF10" s="150">
        <f t="shared" ref="AF10" si="7">SUM(O10:R10)</f>
        <v>0</v>
      </c>
      <c r="AG10" s="150">
        <f t="shared" ref="AG10" si="8">SUM(P10:S10)</f>
        <v>0</v>
      </c>
      <c r="AI10" s="130" t="e">
        <f t="shared" si="2"/>
        <v>#DIV/0!</v>
      </c>
    </row>
    <row r="11" spans="2:35" ht="12.75" customHeight="1">
      <c r="B11" s="13" t="s">
        <v>12</v>
      </c>
      <c r="C11" s="14">
        <f>SUM(C6:C10)</f>
        <v>0</v>
      </c>
      <c r="D11" s="14">
        <f t="shared" ref="D11:G11" si="9">SUM(D6:D10)</f>
        <v>0</v>
      </c>
      <c r="E11" s="14">
        <f t="shared" si="9"/>
        <v>0</v>
      </c>
      <c r="F11" s="14">
        <f t="shared" si="9"/>
        <v>0</v>
      </c>
      <c r="G11" s="14">
        <f t="shared" si="9"/>
        <v>0</v>
      </c>
      <c r="H11" s="10"/>
      <c r="I11" s="14">
        <f t="shared" ref="I11" si="10">SUM(I6:I10)</f>
        <v>0</v>
      </c>
      <c r="J11" s="14">
        <f t="shared" ref="J11" si="11">SUM(J6:J10)</f>
        <v>0</v>
      </c>
      <c r="K11" s="14">
        <f t="shared" ref="K11" si="12">SUM(K6:K10)</f>
        <v>0</v>
      </c>
      <c r="L11" s="14">
        <f t="shared" ref="L11" si="13">SUM(L6:L10)</f>
        <v>0</v>
      </c>
      <c r="M11" s="14">
        <f t="shared" ref="M11" si="14">SUM(M6:M10)</f>
        <v>0</v>
      </c>
      <c r="N11" s="14">
        <f t="shared" ref="N11" si="15">SUM(N6:N10)</f>
        <v>0</v>
      </c>
      <c r="O11" s="14">
        <f t="shared" ref="O11" si="16">SUM(O6:O10)</f>
        <v>0</v>
      </c>
      <c r="P11" s="14">
        <f t="shared" ref="P11" si="17">SUM(P6:P10)</f>
        <v>0</v>
      </c>
      <c r="Q11" s="14">
        <f t="shared" ref="Q11" si="18">SUM(Q6:Q10)</f>
        <v>0</v>
      </c>
      <c r="R11" s="14">
        <f t="shared" ref="R11" si="19">SUM(R6:R10)</f>
        <v>0</v>
      </c>
      <c r="S11" s="14">
        <f t="shared" ref="S11" si="20">SUM(S6:S10)</f>
        <v>0</v>
      </c>
      <c r="T11" s="5"/>
      <c r="U11" s="14">
        <f t="shared" ref="U11" si="21">SUM(U6:U10)</f>
        <v>0</v>
      </c>
      <c r="V11" s="14" t="e">
        <f t="shared" ref="V11" si="22">SUM(V6:V10)</f>
        <v>#REF!</v>
      </c>
      <c r="W11" s="14">
        <f t="shared" ref="W11" si="23">SUM(W6:W10)</f>
        <v>0</v>
      </c>
      <c r="X11" s="14">
        <f t="shared" ref="X11" si="24">SUM(X6:X10)</f>
        <v>0</v>
      </c>
      <c r="Y11" s="14">
        <f t="shared" ref="Y11" si="25">SUM(Y6:Y10)</f>
        <v>0</v>
      </c>
      <c r="Z11" s="14">
        <f t="shared" ref="Z11" si="26">SUM(Z6:Z10)</f>
        <v>0</v>
      </c>
      <c r="AA11" s="14">
        <f t="shared" ref="AA11" si="27">SUM(AA6:AA10)</f>
        <v>0</v>
      </c>
      <c r="AB11" s="14">
        <f t="shared" ref="AB11" si="28">SUM(AB6:AB10)</f>
        <v>0</v>
      </c>
      <c r="AC11" s="14">
        <f t="shared" ref="AC11" si="29">SUM(AC6:AC10)</f>
        <v>0</v>
      </c>
      <c r="AD11" s="14">
        <f t="shared" ref="AD11" si="30">SUM(AD6:AD10)</f>
        <v>0</v>
      </c>
      <c r="AE11" s="14">
        <f t="shared" ref="AE11" si="31">SUM(AE6:AE10)</f>
        <v>0</v>
      </c>
      <c r="AF11" s="14">
        <f t="shared" ref="AF11" si="32">SUM(AF6:AF10)</f>
        <v>0</v>
      </c>
      <c r="AG11" s="14">
        <f t="shared" ref="AG11" si="33">SUM(AG6:AG10)</f>
        <v>0</v>
      </c>
      <c r="AI11" s="131" t="e">
        <f t="shared" si="2"/>
        <v>#DIV/0!</v>
      </c>
    </row>
    <row r="12" spans="2:35" ht="12.75" customHeight="1">
      <c r="B12" s="16" t="s">
        <v>30</v>
      </c>
      <c r="C12" s="17"/>
      <c r="D12" s="18" t="e">
        <f>SUM(D11/C11)-1</f>
        <v>#DIV/0!</v>
      </c>
      <c r="E12" s="18" t="e">
        <f>SUM(E11/D11)-1</f>
        <v>#DIV/0!</v>
      </c>
      <c r="F12" s="18" t="e">
        <f>SUM(F11/E11)-1</f>
        <v>#DIV/0!</v>
      </c>
      <c r="G12" s="18" t="e">
        <f>SUM(G11/F11)-1</f>
        <v>#DIV/0!</v>
      </c>
      <c r="H12" s="11"/>
      <c r="I12" s="18" t="e">
        <f>SUM(I11/#REF!)-1</f>
        <v>#REF!</v>
      </c>
      <c r="J12" s="18" t="e">
        <f>SUM(J11/#REF!)-1</f>
        <v>#REF!</v>
      </c>
      <c r="K12" s="18" t="e">
        <f>SUM(K11/#REF!)-1</f>
        <v>#REF!</v>
      </c>
      <c r="L12" s="18" t="e">
        <f>SUM(L11/#REF!)-1</f>
        <v>#REF!</v>
      </c>
      <c r="M12" s="18" t="e">
        <f t="shared" ref="M12:S12" si="34">SUM(M11/I11)-1</f>
        <v>#DIV/0!</v>
      </c>
      <c r="N12" s="18" t="e">
        <f t="shared" si="34"/>
        <v>#DIV/0!</v>
      </c>
      <c r="O12" s="18" t="e">
        <f t="shared" si="34"/>
        <v>#DIV/0!</v>
      </c>
      <c r="P12" s="18" t="e">
        <f t="shared" si="34"/>
        <v>#DIV/0!</v>
      </c>
      <c r="Q12" s="18" t="e">
        <f t="shared" si="34"/>
        <v>#DIV/0!</v>
      </c>
      <c r="R12" s="18" t="e">
        <f t="shared" si="34"/>
        <v>#DIV/0!</v>
      </c>
      <c r="S12" s="18" t="e">
        <f t="shared" si="34"/>
        <v>#DIV/0!</v>
      </c>
      <c r="T12" s="5"/>
      <c r="U12" s="118"/>
      <c r="V12" s="118"/>
      <c r="W12" s="118"/>
      <c r="X12" s="118"/>
      <c r="Y12" s="18" t="e">
        <f t="shared" ref="Y12:AG12" si="35">SUM(Y11/U11)-1</f>
        <v>#DIV/0!</v>
      </c>
      <c r="Z12" s="18" t="e">
        <f t="shared" si="35"/>
        <v>#REF!</v>
      </c>
      <c r="AA12" s="18" t="e">
        <f t="shared" si="35"/>
        <v>#DIV/0!</v>
      </c>
      <c r="AB12" s="18" t="e">
        <f t="shared" si="35"/>
        <v>#DIV/0!</v>
      </c>
      <c r="AC12" s="18" t="e">
        <f t="shared" si="35"/>
        <v>#DIV/0!</v>
      </c>
      <c r="AD12" s="18" t="e">
        <f t="shared" si="35"/>
        <v>#DIV/0!</v>
      </c>
      <c r="AE12" s="18" t="e">
        <f t="shared" si="35"/>
        <v>#DIV/0!</v>
      </c>
      <c r="AF12" s="18" t="e">
        <f t="shared" si="35"/>
        <v>#DIV/0!</v>
      </c>
      <c r="AG12" s="18" t="e">
        <f t="shared" si="35"/>
        <v>#DIV/0!</v>
      </c>
      <c r="AI12" s="132" t="e">
        <f>SUM(AG12-AC12)*10000</f>
        <v>#DIV/0!</v>
      </c>
    </row>
    <row r="13" spans="2:35" ht="12.75" customHeight="1">
      <c r="B13" s="16" t="s">
        <v>31</v>
      </c>
      <c r="C13" s="18" t="s">
        <v>32</v>
      </c>
      <c r="D13" s="18" t="s">
        <v>32</v>
      </c>
      <c r="E13" s="18" t="s">
        <v>32</v>
      </c>
      <c r="F13" s="18" t="s">
        <v>32</v>
      </c>
      <c r="G13" s="18" t="s">
        <v>32</v>
      </c>
      <c r="H13" s="11"/>
      <c r="I13" s="18" t="e">
        <f>SUM(I11/#REF!)-1</f>
        <v>#REF!</v>
      </c>
      <c r="J13" s="18" t="e">
        <f t="shared" ref="J13:S13" si="36">SUM(J11/I11)-1</f>
        <v>#DIV/0!</v>
      </c>
      <c r="K13" s="18" t="e">
        <f t="shared" si="36"/>
        <v>#DIV/0!</v>
      </c>
      <c r="L13" s="18" t="e">
        <f t="shared" si="36"/>
        <v>#DIV/0!</v>
      </c>
      <c r="M13" s="18" t="e">
        <f t="shared" si="36"/>
        <v>#DIV/0!</v>
      </c>
      <c r="N13" s="18" t="e">
        <f t="shared" si="36"/>
        <v>#DIV/0!</v>
      </c>
      <c r="O13" s="18" t="e">
        <f t="shared" si="36"/>
        <v>#DIV/0!</v>
      </c>
      <c r="P13" s="18" t="e">
        <f t="shared" si="36"/>
        <v>#DIV/0!</v>
      </c>
      <c r="Q13" s="18" t="e">
        <f t="shared" si="36"/>
        <v>#DIV/0!</v>
      </c>
      <c r="R13" s="18" t="e">
        <f t="shared" si="36"/>
        <v>#DIV/0!</v>
      </c>
      <c r="S13" s="18" t="e">
        <f t="shared" si="36"/>
        <v>#DIV/0!</v>
      </c>
      <c r="T13" s="5"/>
      <c r="U13" s="18" t="s">
        <v>32</v>
      </c>
      <c r="V13" s="18" t="s">
        <v>32</v>
      </c>
      <c r="W13" s="18" t="s">
        <v>32</v>
      </c>
      <c r="X13" s="18" t="s">
        <v>32</v>
      </c>
      <c r="Y13" s="18" t="s">
        <v>32</v>
      </c>
      <c r="Z13" s="18" t="s">
        <v>32</v>
      </c>
      <c r="AA13" s="18" t="s">
        <v>32</v>
      </c>
      <c r="AB13" s="18" t="s">
        <v>32</v>
      </c>
      <c r="AC13" s="18" t="s">
        <v>32</v>
      </c>
      <c r="AD13" s="18" t="s">
        <v>32</v>
      </c>
      <c r="AE13" s="18" t="s">
        <v>32</v>
      </c>
      <c r="AF13" s="18" t="s">
        <v>32</v>
      </c>
      <c r="AG13" s="18" t="s">
        <v>32</v>
      </c>
      <c r="AI13" s="129"/>
    </row>
    <row r="14" spans="2:35" ht="5.0999999999999996" customHeight="1">
      <c r="B14" s="19"/>
      <c r="C14" s="97"/>
      <c r="D14" s="20"/>
      <c r="E14" s="20"/>
      <c r="F14" s="20"/>
      <c r="G14" s="20"/>
      <c r="H14" s="21"/>
      <c r="I14" s="22"/>
      <c r="J14" s="22"/>
      <c r="K14" s="22"/>
      <c r="L14" s="23"/>
      <c r="M14" s="22"/>
      <c r="N14" s="22"/>
      <c r="O14" s="22"/>
      <c r="P14" s="22"/>
      <c r="Q14" s="22"/>
      <c r="R14" s="22"/>
      <c r="S14" s="22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I14" s="129"/>
    </row>
    <row r="15" spans="2:35" ht="12.75" customHeight="1">
      <c r="B15" s="24" t="s">
        <v>165</v>
      </c>
      <c r="C15" s="97" t="e">
        <f>('Historical Financials'!#REF!)/1000</f>
        <v>#REF!</v>
      </c>
      <c r="D15" s="97">
        <f>('Historical Financials'!C13)/1000</f>
        <v>0</v>
      </c>
      <c r="E15" s="97"/>
      <c r="F15" s="97"/>
      <c r="G15" s="97"/>
      <c r="H15" s="10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5"/>
      <c r="U15" s="10"/>
      <c r="V15" s="10"/>
      <c r="W15" s="10"/>
      <c r="X15" s="10"/>
      <c r="Y15" s="10"/>
      <c r="Z15" s="10"/>
      <c r="AA15" s="10"/>
      <c r="AB15" s="10"/>
      <c r="AC15" s="150">
        <f t="shared" ref="AC15" si="37">SUM(L15:O15)</f>
        <v>0</v>
      </c>
      <c r="AD15" s="150">
        <f t="shared" ref="AD15" si="38">SUM(M15:P15)</f>
        <v>0</v>
      </c>
      <c r="AE15" s="150">
        <f t="shared" ref="AE15" si="39">SUM(N15:Q15)</f>
        <v>0</v>
      </c>
      <c r="AF15" s="150">
        <f t="shared" ref="AF15" si="40">SUM(O15:R15)</f>
        <v>0</v>
      </c>
      <c r="AG15" s="150">
        <f t="shared" ref="AG15" si="41">SUM(P15:S15)</f>
        <v>0</v>
      </c>
      <c r="AI15" s="130"/>
    </row>
    <row r="16" spans="2:35" ht="12.75" customHeight="1">
      <c r="B16" s="26" t="s">
        <v>24</v>
      </c>
      <c r="C16" s="27" t="e">
        <f>SUM(C11+SUM(C15:C15))</f>
        <v>#REF!</v>
      </c>
      <c r="D16" s="27">
        <f>SUM(D11+SUM(D15:D15))</f>
        <v>0</v>
      </c>
      <c r="E16" s="27">
        <f>SUM(E11+SUM(E15:E15))</f>
        <v>0</v>
      </c>
      <c r="F16" s="27">
        <f>SUM(F11+SUM(F15:F15))</f>
        <v>0</v>
      </c>
      <c r="G16" s="27">
        <f>SUM(G11+SUM(G15:G15))</f>
        <v>0</v>
      </c>
      <c r="H16" s="5"/>
      <c r="I16" s="27">
        <f>SUM(I11+SUM(I15:I15))</f>
        <v>0</v>
      </c>
      <c r="J16" s="27">
        <f>SUM(J11+SUM(J15:J15))</f>
        <v>0</v>
      </c>
      <c r="K16" s="27">
        <f>SUM(K11+SUM(K15:K15))</f>
        <v>0</v>
      </c>
      <c r="L16" s="27">
        <f>SUM(L11+SUM(L15:L15))</f>
        <v>0</v>
      </c>
      <c r="M16" s="27">
        <f>SUM(M11+SUM(M15:M15))</f>
        <v>0</v>
      </c>
      <c r="N16" s="27">
        <f>SUM(N11+SUM(N15:N15))</f>
        <v>0</v>
      </c>
      <c r="O16" s="27">
        <f>SUM(O11+SUM(O15:O15))</f>
        <v>0</v>
      </c>
      <c r="P16" s="27">
        <f>SUM(P11+SUM(P15:P15))</f>
        <v>0</v>
      </c>
      <c r="Q16" s="27">
        <f>SUM(Q11+SUM(Q15:Q15))</f>
        <v>0</v>
      </c>
      <c r="R16" s="27">
        <f>SUM(R11+SUM(R15:R15))</f>
        <v>0</v>
      </c>
      <c r="S16" s="27">
        <f>SUM(S11+SUM(S15:S15))</f>
        <v>0</v>
      </c>
      <c r="T16" s="5"/>
      <c r="U16" s="27">
        <f>SUM(U11+SUM(U15:U15))</f>
        <v>0</v>
      </c>
      <c r="V16" s="27" t="e">
        <f>SUM(V11+SUM(V15:V15))</f>
        <v>#REF!</v>
      </c>
      <c r="W16" s="27">
        <f>SUM(W11+SUM(W15:W15))</f>
        <v>0</v>
      </c>
      <c r="X16" s="27">
        <f>SUM(X11+SUM(X15:X15))</f>
        <v>0</v>
      </c>
      <c r="Y16" s="27">
        <f>SUM(Y11+SUM(Y15:Y15))</f>
        <v>0</v>
      </c>
      <c r="Z16" s="27">
        <f>SUM(Z11+SUM(Z15:Z15))</f>
        <v>0</v>
      </c>
      <c r="AA16" s="27">
        <f>SUM(AA11+SUM(AA15:AA15))</f>
        <v>0</v>
      </c>
      <c r="AB16" s="27">
        <f>SUM(AB11+SUM(AB15:AB15))</f>
        <v>0</v>
      </c>
      <c r="AC16" s="27">
        <f>SUM(AC11+SUM(AC15:AC15))</f>
        <v>0</v>
      </c>
      <c r="AD16" s="27">
        <f>SUM(AD11+SUM(AD15:AD15))</f>
        <v>0</v>
      </c>
      <c r="AE16" s="27">
        <f>SUM(AE11+SUM(AE15:AE15))</f>
        <v>0</v>
      </c>
      <c r="AF16" s="27">
        <f>SUM(AF11+SUM(AF15:AF15))</f>
        <v>0</v>
      </c>
      <c r="AG16" s="27">
        <f>SUM(AG11+SUM(AG15:AG15))</f>
        <v>0</v>
      </c>
      <c r="AI16" s="131" t="e">
        <f>SUM(AG16/AC16)-1</f>
        <v>#DIV/0!</v>
      </c>
    </row>
    <row r="17" spans="2:35" ht="12.75" customHeight="1">
      <c r="B17" s="16" t="s">
        <v>33</v>
      </c>
      <c r="C17" s="18" t="e">
        <f>C16/C11</f>
        <v>#REF!</v>
      </c>
      <c r="D17" s="18" t="e">
        <f>D16/D11</f>
        <v>#DIV/0!</v>
      </c>
      <c r="E17" s="18" t="e">
        <f>E16/E11</f>
        <v>#DIV/0!</v>
      </c>
      <c r="F17" s="18" t="e">
        <f>F16/F11</f>
        <v>#DIV/0!</v>
      </c>
      <c r="G17" s="18" t="e">
        <f>G16/G11</f>
        <v>#DIV/0!</v>
      </c>
      <c r="H17" s="28"/>
      <c r="I17" s="18" t="e">
        <f>I16/I11</f>
        <v>#DIV/0!</v>
      </c>
      <c r="J17" s="18" t="e">
        <f>J16/J11</f>
        <v>#DIV/0!</v>
      </c>
      <c r="K17" s="18" t="e">
        <f>K16/K11</f>
        <v>#DIV/0!</v>
      </c>
      <c r="L17" s="18" t="e">
        <f>L16/L11</f>
        <v>#DIV/0!</v>
      </c>
      <c r="M17" s="18" t="e">
        <f>M16/M11</f>
        <v>#DIV/0!</v>
      </c>
      <c r="N17" s="18" t="e">
        <f>N16/N11</f>
        <v>#DIV/0!</v>
      </c>
      <c r="O17" s="18" t="e">
        <f>O16/O11</f>
        <v>#DIV/0!</v>
      </c>
      <c r="P17" s="18" t="e">
        <f>P16/P11</f>
        <v>#DIV/0!</v>
      </c>
      <c r="Q17" s="18" t="e">
        <f>Q16/Q11</f>
        <v>#DIV/0!</v>
      </c>
      <c r="R17" s="18" t="e">
        <f>R16/R11</f>
        <v>#DIV/0!</v>
      </c>
      <c r="S17" s="18" t="e">
        <f>S16/S11</f>
        <v>#DIV/0!</v>
      </c>
      <c r="T17" s="29"/>
      <c r="U17" s="18" t="e">
        <f>U16/U11</f>
        <v>#DIV/0!</v>
      </c>
      <c r="V17" s="18" t="e">
        <f>V16/V11</f>
        <v>#REF!</v>
      </c>
      <c r="W17" s="18" t="e">
        <f>W16/W11</f>
        <v>#DIV/0!</v>
      </c>
      <c r="X17" s="18" t="e">
        <f>X16/X11</f>
        <v>#DIV/0!</v>
      </c>
      <c r="Y17" s="18" t="e">
        <f>Y16/Y11</f>
        <v>#DIV/0!</v>
      </c>
      <c r="Z17" s="18" t="e">
        <f>Z16/Z11</f>
        <v>#DIV/0!</v>
      </c>
      <c r="AA17" s="18" t="e">
        <f>AA16/AA11</f>
        <v>#DIV/0!</v>
      </c>
      <c r="AB17" s="18" t="e">
        <f>AB16/AB11</f>
        <v>#DIV/0!</v>
      </c>
      <c r="AC17" s="18" t="e">
        <f>AC16/AC11</f>
        <v>#DIV/0!</v>
      </c>
      <c r="AD17" s="18" t="e">
        <f>AD16/AD11</f>
        <v>#DIV/0!</v>
      </c>
      <c r="AE17" s="18" t="e">
        <f>AE16/AE11</f>
        <v>#DIV/0!</v>
      </c>
      <c r="AF17" s="18" t="e">
        <f>AF16/AF11</f>
        <v>#DIV/0!</v>
      </c>
      <c r="AG17" s="18" t="e">
        <f>AG16/AG11</f>
        <v>#DIV/0!</v>
      </c>
      <c r="AI17" s="132" t="e">
        <f>SUM(AG17-AC17)*10000</f>
        <v>#DIV/0!</v>
      </c>
    </row>
    <row r="18" spans="2:35" ht="5.0999999999999996" customHeight="1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5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I18" s="129"/>
    </row>
    <row r="19" spans="2:35" ht="12.75" customHeight="1">
      <c r="B19" s="24" t="s">
        <v>166</v>
      </c>
      <c r="C19" s="149" t="e">
        <f>('Historical Financials'!#REF!)/1000</f>
        <v>#REF!</v>
      </c>
      <c r="D19" s="149">
        <f>('Historical Financials'!C17)/1000</f>
        <v>0</v>
      </c>
      <c r="E19" s="149"/>
      <c r="F19" s="149"/>
      <c r="G19" s="149"/>
      <c r="H19" s="97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5"/>
      <c r="U19" s="10">
        <f>SUM(H19:H19)</f>
        <v>0</v>
      </c>
      <c r="V19" s="10" t="e">
        <f>SUM(#REF!)</f>
        <v>#REF!</v>
      </c>
      <c r="W19" s="10">
        <f>SUM(I19:I19)</f>
        <v>0</v>
      </c>
      <c r="X19" s="10">
        <f>SUM(I19:J19)</f>
        <v>0</v>
      </c>
      <c r="Y19" s="10">
        <f>SUM(I19:K19)</f>
        <v>0</v>
      </c>
      <c r="Z19" s="10">
        <f t="shared" ref="Z19:AG22" si="42">SUM(I19:L19)</f>
        <v>0</v>
      </c>
      <c r="AA19" s="10">
        <f t="shared" si="42"/>
        <v>0</v>
      </c>
      <c r="AB19" s="10">
        <f t="shared" si="42"/>
        <v>0</v>
      </c>
      <c r="AC19" s="150">
        <f t="shared" si="42"/>
        <v>0</v>
      </c>
      <c r="AD19" s="150">
        <f t="shared" si="42"/>
        <v>0</v>
      </c>
      <c r="AE19" s="150">
        <f t="shared" si="42"/>
        <v>0</v>
      </c>
      <c r="AF19" s="150">
        <f t="shared" si="42"/>
        <v>0</v>
      </c>
      <c r="AG19" s="150">
        <f t="shared" si="42"/>
        <v>0</v>
      </c>
      <c r="AI19" s="130" t="e">
        <f>SUM(AG19/AC19)-1</f>
        <v>#DIV/0!</v>
      </c>
    </row>
    <row r="20" spans="2:35" ht="12.75" customHeight="1">
      <c r="B20" s="24" t="s">
        <v>166</v>
      </c>
      <c r="C20" s="149" t="e">
        <f>('Historical Financials'!#REF!)/1000</f>
        <v>#REF!</v>
      </c>
      <c r="D20" s="149">
        <f>('Historical Financials'!C17)/1000</f>
        <v>0</v>
      </c>
      <c r="E20" s="149"/>
      <c r="F20" s="149"/>
      <c r="G20" s="149"/>
      <c r="H20" s="97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5"/>
      <c r="U20" s="10">
        <f>SUM(H20:H20)</f>
        <v>0</v>
      </c>
      <c r="V20" s="10" t="e">
        <f>SUM(#REF!)</f>
        <v>#REF!</v>
      </c>
      <c r="W20" s="10">
        <f>SUM(I20:I20)</f>
        <v>0</v>
      </c>
      <c r="X20" s="10">
        <f>SUM(I20:J20)</f>
        <v>0</v>
      </c>
      <c r="Y20" s="10">
        <f>SUM(I20:K20)</f>
        <v>0</v>
      </c>
      <c r="Z20" s="10">
        <f t="shared" ref="Z20" si="43">SUM(I20:L20)</f>
        <v>0</v>
      </c>
      <c r="AA20" s="10">
        <f t="shared" ref="AA20" si="44">SUM(J20:M20)</f>
        <v>0</v>
      </c>
      <c r="AB20" s="10">
        <f t="shared" ref="AB20" si="45">SUM(K20:N20)</f>
        <v>0</v>
      </c>
      <c r="AC20" s="150">
        <f t="shared" ref="AC20" si="46">SUM(L20:O20)</f>
        <v>0</v>
      </c>
      <c r="AD20" s="150">
        <f t="shared" ref="AD20" si="47">SUM(M20:P20)</f>
        <v>0</v>
      </c>
      <c r="AE20" s="150">
        <f t="shared" ref="AE20" si="48">SUM(N20:Q20)</f>
        <v>0</v>
      </c>
      <c r="AF20" s="150">
        <f t="shared" ref="AF20" si="49">SUM(O20:R20)</f>
        <v>0</v>
      </c>
      <c r="AG20" s="150">
        <f t="shared" ref="AG20" si="50">SUM(P20:S20)</f>
        <v>0</v>
      </c>
      <c r="AI20" s="130" t="e">
        <f>SUM(AG20/AC20)-1</f>
        <v>#DIV/0!</v>
      </c>
    </row>
    <row r="21" spans="2:35" ht="12.75" customHeight="1">
      <c r="B21" s="24" t="s">
        <v>166</v>
      </c>
      <c r="C21" s="149" t="e">
        <f>('Historical Financials'!#REF!)/1000</f>
        <v>#REF!</v>
      </c>
      <c r="D21" s="149">
        <f>('Historical Financials'!C18)/1000</f>
        <v>0</v>
      </c>
      <c r="E21" s="149"/>
      <c r="F21" s="149"/>
      <c r="G21" s="149"/>
      <c r="H21" s="97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5"/>
      <c r="U21" s="10">
        <f>SUM(H21:H21)</f>
        <v>0</v>
      </c>
      <c r="V21" s="10" t="e">
        <f>SUM(#REF!)</f>
        <v>#REF!</v>
      </c>
      <c r="W21" s="10">
        <f>SUM(I21:I21)</f>
        <v>0</v>
      </c>
      <c r="X21" s="10">
        <f>SUM(I21:J21)</f>
        <v>0</v>
      </c>
      <c r="Y21" s="10">
        <f>SUM(I21:K21)</f>
        <v>0</v>
      </c>
      <c r="Z21" s="10">
        <f t="shared" si="42"/>
        <v>0</v>
      </c>
      <c r="AA21" s="10">
        <f t="shared" si="42"/>
        <v>0</v>
      </c>
      <c r="AB21" s="10">
        <f t="shared" si="42"/>
        <v>0</v>
      </c>
      <c r="AC21" s="150">
        <f t="shared" si="42"/>
        <v>0</v>
      </c>
      <c r="AD21" s="150">
        <f t="shared" si="42"/>
        <v>0</v>
      </c>
      <c r="AE21" s="150">
        <f t="shared" si="42"/>
        <v>0</v>
      </c>
      <c r="AF21" s="150">
        <f t="shared" si="42"/>
        <v>0</v>
      </c>
      <c r="AG21" s="150">
        <f t="shared" si="42"/>
        <v>0</v>
      </c>
      <c r="AI21" s="130" t="e">
        <f>SUM(AG21/AC21)-1</f>
        <v>#DIV/0!</v>
      </c>
    </row>
    <row r="22" spans="2:35" ht="12.75" customHeight="1">
      <c r="B22" s="24" t="s">
        <v>166</v>
      </c>
      <c r="C22" s="149" t="e">
        <f>('Historical Financials'!#REF!)/1000</f>
        <v>#REF!</v>
      </c>
      <c r="D22" s="149">
        <f>('Historical Financials'!C19)/1000</f>
        <v>0</v>
      </c>
      <c r="E22" s="149"/>
      <c r="F22" s="149"/>
      <c r="G22" s="149"/>
      <c r="H22" s="97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5"/>
      <c r="U22" s="10">
        <f>SUM(H22:H22)</f>
        <v>0</v>
      </c>
      <c r="V22" s="10" t="e">
        <f>SUM(#REF!)</f>
        <v>#REF!</v>
      </c>
      <c r="W22" s="10">
        <f>SUM(I22:I22)</f>
        <v>0</v>
      </c>
      <c r="X22" s="10">
        <f>SUM(I22:J22)</f>
        <v>0</v>
      </c>
      <c r="Y22" s="10">
        <f>SUM(I22:K22)</f>
        <v>0</v>
      </c>
      <c r="Z22" s="10">
        <f t="shared" si="42"/>
        <v>0</v>
      </c>
      <c r="AA22" s="10">
        <f t="shared" si="42"/>
        <v>0</v>
      </c>
      <c r="AB22" s="10">
        <f t="shared" si="42"/>
        <v>0</v>
      </c>
      <c r="AC22" s="150">
        <f t="shared" si="42"/>
        <v>0</v>
      </c>
      <c r="AD22" s="150">
        <f t="shared" si="42"/>
        <v>0</v>
      </c>
      <c r="AE22" s="150">
        <f t="shared" si="42"/>
        <v>0</v>
      </c>
      <c r="AF22" s="150">
        <f t="shared" si="42"/>
        <v>0</v>
      </c>
      <c r="AG22" s="150">
        <f t="shared" si="42"/>
        <v>0</v>
      </c>
      <c r="AI22" s="130" t="e">
        <f>SUM(AG22/AC22)-1</f>
        <v>#DIV/0!</v>
      </c>
    </row>
    <row r="23" spans="2:35" ht="12.75" customHeight="1">
      <c r="B23" s="13" t="s">
        <v>34</v>
      </c>
      <c r="C23" s="14" t="e">
        <f>SUM(C16+SUM(C19:C22))</f>
        <v>#REF!</v>
      </c>
      <c r="D23" s="14">
        <f>SUM(D16+SUM(D19:D22))</f>
        <v>0</v>
      </c>
      <c r="E23" s="14">
        <f>SUM(E16+SUM(E19:E22))</f>
        <v>0</v>
      </c>
      <c r="F23" s="14">
        <f>SUM(F16+SUM(F19:F22))</f>
        <v>0</v>
      </c>
      <c r="G23" s="14">
        <f>SUM(G16+SUM(G19:G22))</f>
        <v>0</v>
      </c>
      <c r="H23" s="11"/>
      <c r="I23" s="14">
        <f t="shared" ref="I23:S23" si="51">SUM(I16+SUM(I19:I22))</f>
        <v>0</v>
      </c>
      <c r="J23" s="14">
        <f t="shared" si="51"/>
        <v>0</v>
      </c>
      <c r="K23" s="14">
        <f t="shared" si="51"/>
        <v>0</v>
      </c>
      <c r="L23" s="14">
        <f t="shared" si="51"/>
        <v>0</v>
      </c>
      <c r="M23" s="14">
        <f t="shared" si="51"/>
        <v>0</v>
      </c>
      <c r="N23" s="14">
        <f t="shared" si="51"/>
        <v>0</v>
      </c>
      <c r="O23" s="14">
        <f t="shared" si="51"/>
        <v>0</v>
      </c>
      <c r="P23" s="14">
        <f t="shared" si="51"/>
        <v>0</v>
      </c>
      <c r="Q23" s="14">
        <f t="shared" si="51"/>
        <v>0</v>
      </c>
      <c r="R23" s="14">
        <f t="shared" si="51"/>
        <v>0</v>
      </c>
      <c r="S23" s="14">
        <f t="shared" si="51"/>
        <v>0</v>
      </c>
      <c r="T23" s="5"/>
      <c r="U23" s="14">
        <f t="shared" ref="U23:AG23" si="52">SUM(U16+SUM(U19:U22))</f>
        <v>0</v>
      </c>
      <c r="V23" s="14" t="e">
        <f t="shared" si="52"/>
        <v>#REF!</v>
      </c>
      <c r="W23" s="14">
        <f t="shared" si="52"/>
        <v>0</v>
      </c>
      <c r="X23" s="14">
        <f t="shared" si="52"/>
        <v>0</v>
      </c>
      <c r="Y23" s="14">
        <f t="shared" si="52"/>
        <v>0</v>
      </c>
      <c r="Z23" s="14">
        <f t="shared" si="52"/>
        <v>0</v>
      </c>
      <c r="AA23" s="14">
        <f t="shared" si="52"/>
        <v>0</v>
      </c>
      <c r="AB23" s="14">
        <f t="shared" si="52"/>
        <v>0</v>
      </c>
      <c r="AC23" s="14">
        <f t="shared" si="52"/>
        <v>0</v>
      </c>
      <c r="AD23" s="14">
        <f t="shared" si="52"/>
        <v>0</v>
      </c>
      <c r="AE23" s="14">
        <f t="shared" si="52"/>
        <v>0</v>
      </c>
      <c r="AF23" s="14">
        <f t="shared" si="52"/>
        <v>0</v>
      </c>
      <c r="AG23" s="14">
        <f t="shared" si="52"/>
        <v>0</v>
      </c>
      <c r="AI23" s="131" t="e">
        <f>SUM(AG23/AC23)-1</f>
        <v>#DIV/0!</v>
      </c>
    </row>
    <row r="24" spans="2:35" ht="12.75" customHeight="1">
      <c r="B24" s="16" t="s">
        <v>35</v>
      </c>
      <c r="C24" s="18" t="e">
        <f>C23/C11</f>
        <v>#REF!</v>
      </c>
      <c r="D24" s="18" t="e">
        <f>D23/D11</f>
        <v>#DIV/0!</v>
      </c>
      <c r="E24" s="18" t="e">
        <f>E23/E11</f>
        <v>#DIV/0!</v>
      </c>
      <c r="F24" s="18" t="e">
        <f>F23/F11</f>
        <v>#DIV/0!</v>
      </c>
      <c r="G24" s="18" t="e">
        <f>G23/G11</f>
        <v>#DIV/0!</v>
      </c>
      <c r="H24" s="28"/>
      <c r="I24" s="18" t="e">
        <f>I23/I11</f>
        <v>#DIV/0!</v>
      </c>
      <c r="J24" s="18" t="e">
        <f>J23/J11</f>
        <v>#DIV/0!</v>
      </c>
      <c r="K24" s="18" t="e">
        <f>K23/K11</f>
        <v>#DIV/0!</v>
      </c>
      <c r="L24" s="18" t="e">
        <f>L23/L11</f>
        <v>#DIV/0!</v>
      </c>
      <c r="M24" s="18" t="e">
        <f>M23/M11</f>
        <v>#DIV/0!</v>
      </c>
      <c r="N24" s="18" t="e">
        <f>N23/N11</f>
        <v>#DIV/0!</v>
      </c>
      <c r="O24" s="18" t="e">
        <f>O23/O11</f>
        <v>#DIV/0!</v>
      </c>
      <c r="P24" s="18" t="e">
        <f>P23/P11</f>
        <v>#DIV/0!</v>
      </c>
      <c r="Q24" s="18" t="e">
        <f>Q23/Q11</f>
        <v>#DIV/0!</v>
      </c>
      <c r="R24" s="18" t="e">
        <f>R23/R11</f>
        <v>#DIV/0!</v>
      </c>
      <c r="S24" s="18" t="e">
        <f>S23/S11</f>
        <v>#DIV/0!</v>
      </c>
      <c r="T24" s="29"/>
      <c r="U24" s="18" t="e">
        <f>U23/U11</f>
        <v>#DIV/0!</v>
      </c>
      <c r="V24" s="18" t="e">
        <f>V23/V11</f>
        <v>#REF!</v>
      </c>
      <c r="W24" s="18" t="e">
        <f>W23/W11</f>
        <v>#DIV/0!</v>
      </c>
      <c r="X24" s="18" t="e">
        <f>X23/X11</f>
        <v>#DIV/0!</v>
      </c>
      <c r="Y24" s="18" t="e">
        <f>Y23/Y11</f>
        <v>#DIV/0!</v>
      </c>
      <c r="Z24" s="18" t="e">
        <f>Z23/Z11</f>
        <v>#DIV/0!</v>
      </c>
      <c r="AA24" s="18" t="e">
        <f>AA23/AA11</f>
        <v>#DIV/0!</v>
      </c>
      <c r="AB24" s="18" t="e">
        <f>AB23/AB11</f>
        <v>#DIV/0!</v>
      </c>
      <c r="AC24" s="18" t="e">
        <f>AC23/AC11</f>
        <v>#DIV/0!</v>
      </c>
      <c r="AD24" s="18" t="e">
        <f>AD23/AD11</f>
        <v>#DIV/0!</v>
      </c>
      <c r="AE24" s="18" t="e">
        <f>AE23/AE11</f>
        <v>#DIV/0!</v>
      </c>
      <c r="AF24" s="18" t="e">
        <f>AF23/AF11</f>
        <v>#DIV/0!</v>
      </c>
      <c r="AG24" s="18" t="e">
        <f>AG23/AG11</f>
        <v>#DIV/0!</v>
      </c>
      <c r="AI24" s="132" t="e">
        <f>SUM(AG24-AC24)*10000</f>
        <v>#DIV/0!</v>
      </c>
    </row>
    <row r="25" spans="2:35" ht="5.0999999999999996" customHeight="1">
      <c r="AI25" s="129"/>
    </row>
    <row r="26" spans="2:35" ht="12.75" customHeight="1">
      <c r="B26" s="32" t="s">
        <v>167</v>
      </c>
      <c r="C26" s="149" t="e">
        <f>('Historical Financials'!#REF!)/1000</f>
        <v>#REF!</v>
      </c>
      <c r="D26" s="149">
        <f>('Historical Financials'!C90)/1000</f>
        <v>0</v>
      </c>
      <c r="E26" s="149"/>
      <c r="F26" s="149"/>
      <c r="G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U26" s="10">
        <f>SUM(H26:H26)</f>
        <v>0</v>
      </c>
      <c r="V26" s="10" t="e">
        <f>SUM(#REF!)</f>
        <v>#REF!</v>
      </c>
      <c r="W26" s="10">
        <f>SUM(I26:I26)</f>
        <v>0</v>
      </c>
      <c r="X26" s="10">
        <f>SUM(I26:J26)</f>
        <v>0</v>
      </c>
      <c r="Y26" s="10">
        <f>SUM(I26:K26)</f>
        <v>0</v>
      </c>
      <c r="Z26" s="10">
        <f t="shared" ref="Z26:AG26" si="53">SUM(I26:L26)</f>
        <v>0</v>
      </c>
      <c r="AA26" s="10">
        <f t="shared" si="53"/>
        <v>0</v>
      </c>
      <c r="AB26" s="10">
        <f t="shared" si="53"/>
        <v>0</v>
      </c>
      <c r="AC26" s="10">
        <f t="shared" si="53"/>
        <v>0</v>
      </c>
      <c r="AD26" s="10">
        <f t="shared" si="53"/>
        <v>0</v>
      </c>
      <c r="AE26" s="10">
        <f t="shared" si="53"/>
        <v>0</v>
      </c>
      <c r="AF26" s="10">
        <f t="shared" si="53"/>
        <v>0</v>
      </c>
      <c r="AG26" s="10">
        <f t="shared" si="53"/>
        <v>0</v>
      </c>
      <c r="AI26" s="130" t="e">
        <f>SUM(AG26/AC26)-1</f>
        <v>#DIV/0!</v>
      </c>
    </row>
    <row r="27" spans="2:35" ht="12.75" customHeight="1">
      <c r="B27" s="26" t="s">
        <v>11</v>
      </c>
      <c r="C27" s="27" t="e">
        <f>SUM(C23+SUM(C26:C26))</f>
        <v>#REF!</v>
      </c>
      <c r="D27" s="27">
        <f>SUM(D23+SUM(D26:D26))</f>
        <v>0</v>
      </c>
      <c r="E27" s="27">
        <f>SUM(E23+SUM(E26:E26))</f>
        <v>0</v>
      </c>
      <c r="F27" s="27">
        <f>SUM(F23+SUM(F26:F26))</f>
        <v>0</v>
      </c>
      <c r="G27" s="27">
        <f>SUM(G23+SUM(G26:G26))</f>
        <v>0</v>
      </c>
      <c r="I27" s="27">
        <f>SUM(I23+SUM(I26:I26))</f>
        <v>0</v>
      </c>
      <c r="J27" s="27">
        <f>SUM(J23+SUM(J26:J26))</f>
        <v>0</v>
      </c>
      <c r="K27" s="27">
        <f>SUM(K23+SUM(K26:K26))</f>
        <v>0</v>
      </c>
      <c r="L27" s="27">
        <f>SUM(L23+SUM(L26:L26))</f>
        <v>0</v>
      </c>
      <c r="M27" s="27">
        <f>SUM(M23+SUM(M26:M26))</f>
        <v>0</v>
      </c>
      <c r="N27" s="27">
        <f>SUM(N23+SUM(N26:N26))</f>
        <v>0</v>
      </c>
      <c r="O27" s="27">
        <f>SUM(O23+SUM(O26:O26))</f>
        <v>0</v>
      </c>
      <c r="P27" s="27">
        <f>SUM(P23+SUM(P26:P26))</f>
        <v>0</v>
      </c>
      <c r="Q27" s="27">
        <f>SUM(Q23+SUM(Q26:Q26))</f>
        <v>0</v>
      </c>
      <c r="R27" s="27">
        <f>SUM(R23+SUM(R26:R26))</f>
        <v>0</v>
      </c>
      <c r="S27" s="27">
        <f>SUM(S23+SUM(S26:S26))</f>
        <v>0</v>
      </c>
      <c r="U27" s="27">
        <f>SUM(U23+SUM(U26:U26))</f>
        <v>0</v>
      </c>
      <c r="V27" s="27" t="e">
        <f>SUM(V23+SUM(V26:V26))</f>
        <v>#REF!</v>
      </c>
      <c r="W27" s="27">
        <f>SUM(W23+SUM(W26:W26))</f>
        <v>0</v>
      </c>
      <c r="X27" s="27">
        <f>SUM(X23+SUM(X26:X26))</f>
        <v>0</v>
      </c>
      <c r="Y27" s="27">
        <f>SUM(Y23+SUM(Y26:Y26))</f>
        <v>0</v>
      </c>
      <c r="Z27" s="27">
        <f>SUM(Z23+SUM(Z26:Z26))</f>
        <v>0</v>
      </c>
      <c r="AA27" s="27">
        <f>SUM(AA23+SUM(AA26:AA26))</f>
        <v>0</v>
      </c>
      <c r="AB27" s="27">
        <f>SUM(AB23+SUM(AB26:AB26))</f>
        <v>0</v>
      </c>
      <c r="AC27" s="27">
        <f>SUM(AC23+SUM(AC26:AC26))</f>
        <v>0</v>
      </c>
      <c r="AD27" s="27">
        <f>SUM(AD23+SUM(AD26:AD26))</f>
        <v>0</v>
      </c>
      <c r="AE27" s="27">
        <f>SUM(AE23+SUM(AE26:AE26))</f>
        <v>0</v>
      </c>
      <c r="AF27" s="27">
        <f>SUM(AF23+SUM(AF26:AF26))</f>
        <v>0</v>
      </c>
      <c r="AG27" s="27">
        <f>SUM(AG23+SUM(AG26:AG26))</f>
        <v>0</v>
      </c>
      <c r="AI27" s="131" t="e">
        <f>SUM(AG27/AC27)-1</f>
        <v>#DIV/0!</v>
      </c>
    </row>
    <row r="28" spans="2:35" ht="12.75" customHeight="1">
      <c r="B28" s="16" t="s">
        <v>36</v>
      </c>
      <c r="C28" s="18" t="e">
        <f>C27/C11</f>
        <v>#REF!</v>
      </c>
      <c r="D28" s="18" t="e">
        <f>D27/D11</f>
        <v>#DIV/0!</v>
      </c>
      <c r="E28" s="18" t="e">
        <f>E27/E11</f>
        <v>#DIV/0!</v>
      </c>
      <c r="F28" s="18" t="e">
        <f>F27/F11</f>
        <v>#DIV/0!</v>
      </c>
      <c r="G28" s="18" t="e">
        <f>G27/G11</f>
        <v>#DIV/0!</v>
      </c>
      <c r="I28" s="18" t="e">
        <f>I27/I11</f>
        <v>#DIV/0!</v>
      </c>
      <c r="J28" s="18" t="e">
        <f>J27/J11</f>
        <v>#DIV/0!</v>
      </c>
      <c r="K28" s="18" t="e">
        <f>K27/K11</f>
        <v>#DIV/0!</v>
      </c>
      <c r="L28" s="18" t="e">
        <f>L27/L11</f>
        <v>#DIV/0!</v>
      </c>
      <c r="M28" s="18" t="e">
        <f>M27/M11</f>
        <v>#DIV/0!</v>
      </c>
      <c r="N28" s="18" t="e">
        <f>N27/N11</f>
        <v>#DIV/0!</v>
      </c>
      <c r="O28" s="18" t="e">
        <f>O27/O11</f>
        <v>#DIV/0!</v>
      </c>
      <c r="P28" s="18" t="e">
        <f>P27/P11</f>
        <v>#DIV/0!</v>
      </c>
      <c r="Q28" s="18" t="e">
        <f>Q27/Q11</f>
        <v>#DIV/0!</v>
      </c>
      <c r="R28" s="18" t="e">
        <f>R27/R11</f>
        <v>#DIV/0!</v>
      </c>
      <c r="S28" s="18" t="e">
        <f>S27/S11</f>
        <v>#DIV/0!</v>
      </c>
      <c r="U28" s="18" t="e">
        <f>U27/U11</f>
        <v>#DIV/0!</v>
      </c>
      <c r="V28" s="18" t="e">
        <f>V27/V11</f>
        <v>#REF!</v>
      </c>
      <c r="W28" s="18" t="e">
        <f>W27/W11</f>
        <v>#DIV/0!</v>
      </c>
      <c r="X28" s="18" t="e">
        <f>X27/X11</f>
        <v>#DIV/0!</v>
      </c>
      <c r="Y28" s="18" t="e">
        <f>Y27/Y11</f>
        <v>#DIV/0!</v>
      </c>
      <c r="Z28" s="18" t="e">
        <f>Z27/Z11</f>
        <v>#DIV/0!</v>
      </c>
      <c r="AA28" s="18" t="e">
        <f>AA27/AA11</f>
        <v>#DIV/0!</v>
      </c>
      <c r="AB28" s="18" t="e">
        <f>AB27/AB11</f>
        <v>#DIV/0!</v>
      </c>
      <c r="AC28" s="18" t="e">
        <f>AC27/AC11</f>
        <v>#DIV/0!</v>
      </c>
      <c r="AD28" s="18" t="e">
        <f>AD27/AD11</f>
        <v>#DIV/0!</v>
      </c>
      <c r="AE28" s="18" t="e">
        <f>AE27/AE11</f>
        <v>#DIV/0!</v>
      </c>
      <c r="AF28" s="18" t="e">
        <f>AF27/AF11</f>
        <v>#DIV/0!</v>
      </c>
      <c r="AG28" s="18" t="e">
        <f>AG27/AG11</f>
        <v>#DIV/0!</v>
      </c>
      <c r="AI28" s="132" t="e">
        <f>SUM(AG28-AC28)*10000</f>
        <v>#DIV/0!</v>
      </c>
    </row>
    <row r="29" spans="2:35" ht="5.0999999999999996" customHeight="1">
      <c r="AI29" s="129"/>
    </row>
    <row r="30" spans="2:35" ht="12.75" customHeight="1">
      <c r="B30" s="32" t="s">
        <v>168</v>
      </c>
      <c r="C30" s="149" t="e">
        <f>('Historical Financials'!#REF!)/1000</f>
        <v>#REF!</v>
      </c>
      <c r="D30" s="149">
        <f>('Historical Financials'!C91)/1000</f>
        <v>0</v>
      </c>
      <c r="E30" s="149"/>
      <c r="F30" s="149"/>
      <c r="G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U30" s="10">
        <f>SUM(H30:H30)</f>
        <v>0</v>
      </c>
      <c r="V30" s="10" t="e">
        <f>SUM(#REF!)</f>
        <v>#REF!</v>
      </c>
      <c r="W30" s="10">
        <f>SUM(I30:I30)</f>
        <v>0</v>
      </c>
      <c r="X30" s="10">
        <f>SUM(I30:J30)</f>
        <v>0</v>
      </c>
      <c r="Y30" s="10">
        <f>SUM(I30:K30)</f>
        <v>0</v>
      </c>
      <c r="Z30" s="10">
        <f t="shared" ref="Z30:AG30" si="54">SUM(I30:L30)</f>
        <v>0</v>
      </c>
      <c r="AA30" s="10">
        <f t="shared" si="54"/>
        <v>0</v>
      </c>
      <c r="AB30" s="10">
        <f t="shared" si="54"/>
        <v>0</v>
      </c>
      <c r="AC30" s="150">
        <f t="shared" si="54"/>
        <v>0</v>
      </c>
      <c r="AD30" s="150">
        <f t="shared" si="54"/>
        <v>0</v>
      </c>
      <c r="AE30" s="150">
        <f t="shared" si="54"/>
        <v>0</v>
      </c>
      <c r="AF30" s="150">
        <f t="shared" si="54"/>
        <v>0</v>
      </c>
      <c r="AG30" s="150">
        <f t="shared" si="54"/>
        <v>0</v>
      </c>
      <c r="AI30" s="130" t="e">
        <f>SUM(AG30/AC30)-1</f>
        <v>#DIV/0!</v>
      </c>
    </row>
    <row r="31" spans="2:35" ht="12.75" customHeight="1">
      <c r="B31" s="13" t="s">
        <v>37</v>
      </c>
      <c r="C31" s="14" t="e">
        <f>+SUM(C27+SUM(C30:C30))</f>
        <v>#REF!</v>
      </c>
      <c r="D31" s="14">
        <f>+SUM(D27+SUM(D30:D30))</f>
        <v>0</v>
      </c>
      <c r="E31" s="14">
        <f>+SUM(E27+SUM(E30:E30))</f>
        <v>0</v>
      </c>
      <c r="F31" s="14">
        <f>+SUM(F27+SUM(F30:F30))</f>
        <v>0</v>
      </c>
      <c r="G31" s="14">
        <f>+SUM(G27+SUM(G30:G30))</f>
        <v>0</v>
      </c>
      <c r="H31" s="11"/>
      <c r="I31" s="14">
        <f t="shared" ref="I31:S31" si="55">+SUM(I27+SUM(I30:I30))</f>
        <v>0</v>
      </c>
      <c r="J31" s="14">
        <f t="shared" si="55"/>
        <v>0</v>
      </c>
      <c r="K31" s="14">
        <f t="shared" si="55"/>
        <v>0</v>
      </c>
      <c r="L31" s="14">
        <f t="shared" si="55"/>
        <v>0</v>
      </c>
      <c r="M31" s="14">
        <f t="shared" si="55"/>
        <v>0</v>
      </c>
      <c r="N31" s="14">
        <f t="shared" si="55"/>
        <v>0</v>
      </c>
      <c r="O31" s="14">
        <f t="shared" si="55"/>
        <v>0</v>
      </c>
      <c r="P31" s="14">
        <f t="shared" si="55"/>
        <v>0</v>
      </c>
      <c r="Q31" s="14">
        <f t="shared" si="55"/>
        <v>0</v>
      </c>
      <c r="R31" s="14">
        <f t="shared" si="55"/>
        <v>0</v>
      </c>
      <c r="S31" s="14">
        <f t="shared" si="55"/>
        <v>0</v>
      </c>
      <c r="U31" s="14">
        <f t="shared" ref="U31:AG31" si="56">+SUM(U27+SUM(U30:U30))</f>
        <v>0</v>
      </c>
      <c r="V31" s="14" t="e">
        <f t="shared" si="56"/>
        <v>#REF!</v>
      </c>
      <c r="W31" s="14">
        <f t="shared" si="56"/>
        <v>0</v>
      </c>
      <c r="X31" s="14">
        <f t="shared" si="56"/>
        <v>0</v>
      </c>
      <c r="Y31" s="14">
        <f t="shared" si="56"/>
        <v>0</v>
      </c>
      <c r="Z31" s="14">
        <f t="shared" si="56"/>
        <v>0</v>
      </c>
      <c r="AA31" s="14">
        <f t="shared" si="56"/>
        <v>0</v>
      </c>
      <c r="AB31" s="14">
        <f t="shared" si="56"/>
        <v>0</v>
      </c>
      <c r="AC31" s="14">
        <f t="shared" si="56"/>
        <v>0</v>
      </c>
      <c r="AD31" s="14">
        <f t="shared" si="56"/>
        <v>0</v>
      </c>
      <c r="AE31" s="14">
        <f t="shared" si="56"/>
        <v>0</v>
      </c>
      <c r="AF31" s="14">
        <f t="shared" si="56"/>
        <v>0</v>
      </c>
      <c r="AG31" s="14">
        <f t="shared" si="56"/>
        <v>0</v>
      </c>
      <c r="AI31" s="131" t="e">
        <f>SUM(AG31/AC31)-1</f>
        <v>#DIV/0!</v>
      </c>
    </row>
    <row r="32" spans="2:35" ht="12.75" customHeight="1">
      <c r="B32" s="16" t="s">
        <v>38</v>
      </c>
      <c r="C32" s="18" t="e">
        <f>C31/C11</f>
        <v>#REF!</v>
      </c>
      <c r="D32" s="18" t="e">
        <f>D31/D11</f>
        <v>#DIV/0!</v>
      </c>
      <c r="E32" s="18" t="e">
        <f>E31/E11</f>
        <v>#DIV/0!</v>
      </c>
      <c r="F32" s="18" t="e">
        <f>F31/F11</f>
        <v>#DIV/0!</v>
      </c>
      <c r="G32" s="18" t="e">
        <f>G31/G11</f>
        <v>#DIV/0!</v>
      </c>
      <c r="I32" s="18" t="e">
        <f>I31/I11</f>
        <v>#DIV/0!</v>
      </c>
      <c r="J32" s="18" t="e">
        <f>J31/J11</f>
        <v>#DIV/0!</v>
      </c>
      <c r="K32" s="18" t="e">
        <f>K31/K11</f>
        <v>#DIV/0!</v>
      </c>
      <c r="L32" s="18" t="e">
        <f>L31/L11</f>
        <v>#DIV/0!</v>
      </c>
      <c r="M32" s="18" t="e">
        <f>M31/M11</f>
        <v>#DIV/0!</v>
      </c>
      <c r="N32" s="18" t="e">
        <f>N31/N11</f>
        <v>#DIV/0!</v>
      </c>
      <c r="O32" s="18" t="e">
        <f>O31/O11</f>
        <v>#DIV/0!</v>
      </c>
      <c r="P32" s="18" t="e">
        <f>P31/P11</f>
        <v>#DIV/0!</v>
      </c>
      <c r="Q32" s="18" t="e">
        <f>Q31/Q11</f>
        <v>#DIV/0!</v>
      </c>
      <c r="R32" s="18" t="e">
        <f>R31/R11</f>
        <v>#DIV/0!</v>
      </c>
      <c r="S32" s="18" t="e">
        <f>S31/S11</f>
        <v>#DIV/0!</v>
      </c>
      <c r="U32" s="18" t="e">
        <f>U31/U11</f>
        <v>#DIV/0!</v>
      </c>
      <c r="V32" s="18" t="e">
        <f>V31/V11</f>
        <v>#REF!</v>
      </c>
      <c r="W32" s="18" t="e">
        <f>W31/W11</f>
        <v>#DIV/0!</v>
      </c>
      <c r="X32" s="18" t="e">
        <f>X31/X11</f>
        <v>#DIV/0!</v>
      </c>
      <c r="Y32" s="18" t="e">
        <f>Y31/Y11</f>
        <v>#DIV/0!</v>
      </c>
      <c r="Z32" s="18" t="e">
        <f>Z31/Z11</f>
        <v>#DIV/0!</v>
      </c>
      <c r="AA32" s="18" t="e">
        <f>AA31/AA11</f>
        <v>#DIV/0!</v>
      </c>
      <c r="AB32" s="18" t="e">
        <f>AB31/AB11</f>
        <v>#DIV/0!</v>
      </c>
      <c r="AC32" s="18" t="e">
        <f>AC31/AC11</f>
        <v>#DIV/0!</v>
      </c>
      <c r="AD32" s="18" t="e">
        <f>AD31/AD11</f>
        <v>#DIV/0!</v>
      </c>
      <c r="AE32" s="18" t="e">
        <f>AE31/AE11</f>
        <v>#DIV/0!</v>
      </c>
      <c r="AF32" s="18" t="e">
        <f>AF31/AF11</f>
        <v>#DIV/0!</v>
      </c>
      <c r="AG32" s="18" t="e">
        <f>AG31/AG11</f>
        <v>#DIV/0!</v>
      </c>
      <c r="AI32" s="132" t="e">
        <f>SUM(AG32-AC32)*10000</f>
        <v>#DIV/0!</v>
      </c>
    </row>
    <row r="33" spans="2:35" ht="5.0999999999999996" customHeight="1">
      <c r="AI33" s="129"/>
    </row>
    <row r="34" spans="2:35" ht="12.75" customHeight="1">
      <c r="B34" s="24" t="s">
        <v>39</v>
      </c>
      <c r="C34" s="149" t="e">
        <f>('Historical Financials'!#REF!)/1000</f>
        <v>#REF!</v>
      </c>
      <c r="D34" s="149">
        <f>('Historical Financials'!C104)/1000</f>
        <v>0</v>
      </c>
      <c r="E34" s="149"/>
      <c r="F34" s="149"/>
      <c r="G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U34" s="10">
        <f>SUM(H34:H34)</f>
        <v>0</v>
      </c>
      <c r="V34" s="10" t="e">
        <f>SUM(#REF!)</f>
        <v>#REF!</v>
      </c>
      <c r="W34" s="10">
        <f>SUM(I34:I34)</f>
        <v>0</v>
      </c>
      <c r="X34" s="10">
        <f>SUM(I34:J34)</f>
        <v>0</v>
      </c>
      <c r="Y34" s="10">
        <f>SUM(I34:K34)</f>
        <v>0</v>
      </c>
      <c r="Z34" s="10">
        <f t="shared" ref="Z34:AG37" si="57">SUM(I34:L34)</f>
        <v>0</v>
      </c>
      <c r="AA34" s="10">
        <f t="shared" si="57"/>
        <v>0</v>
      </c>
      <c r="AB34" s="10">
        <f t="shared" si="57"/>
        <v>0</v>
      </c>
      <c r="AC34" s="150">
        <f t="shared" si="57"/>
        <v>0</v>
      </c>
      <c r="AD34" s="150">
        <f t="shared" si="57"/>
        <v>0</v>
      </c>
      <c r="AE34" s="150">
        <f t="shared" si="57"/>
        <v>0</v>
      </c>
      <c r="AF34" s="150">
        <f t="shared" si="57"/>
        <v>0</v>
      </c>
      <c r="AG34" s="150">
        <f t="shared" si="57"/>
        <v>0</v>
      </c>
      <c r="AI34" s="130" t="e">
        <f>SUM(AG34/AC34)-1</f>
        <v>#DIV/0!</v>
      </c>
    </row>
    <row r="35" spans="2:35" ht="12.75" customHeight="1">
      <c r="B35" s="24" t="s">
        <v>40</v>
      </c>
      <c r="C35" s="149" t="e">
        <f>-('Historical Financials'!#REF!)/1000</f>
        <v>#REF!</v>
      </c>
      <c r="D35" s="149">
        <f>-('Historical Financials'!C134)/1000</f>
        <v>0</v>
      </c>
      <c r="E35" s="149"/>
      <c r="F35" s="149"/>
      <c r="G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U35" s="10">
        <f>SUM(H35:H35)</f>
        <v>0</v>
      </c>
      <c r="V35" s="10" t="e">
        <f>SUM(#REF!)</f>
        <v>#REF!</v>
      </c>
      <c r="W35" s="10">
        <f>SUM(I35:I35)</f>
        <v>0</v>
      </c>
      <c r="X35" s="10">
        <f>SUM(I35:J35)</f>
        <v>0</v>
      </c>
      <c r="Y35" s="10">
        <f>SUM(I35:K35)</f>
        <v>0</v>
      </c>
      <c r="Z35" s="10">
        <f t="shared" si="57"/>
        <v>0</v>
      </c>
      <c r="AA35" s="10">
        <f t="shared" si="57"/>
        <v>0</v>
      </c>
      <c r="AB35" s="10">
        <f t="shared" si="57"/>
        <v>0</v>
      </c>
      <c r="AC35" s="150">
        <f t="shared" si="57"/>
        <v>0</v>
      </c>
      <c r="AD35" s="150">
        <f t="shared" si="57"/>
        <v>0</v>
      </c>
      <c r="AE35" s="150">
        <f t="shared" si="57"/>
        <v>0</v>
      </c>
      <c r="AF35" s="150">
        <f t="shared" si="57"/>
        <v>0</v>
      </c>
      <c r="AG35" s="150">
        <f t="shared" si="57"/>
        <v>0</v>
      </c>
      <c r="AI35" s="130" t="e">
        <f>SUM(AG35/AC35)-1</f>
        <v>#DIV/0!</v>
      </c>
    </row>
    <row r="36" spans="2:35" ht="12.75" customHeight="1">
      <c r="B36" s="24" t="s">
        <v>78</v>
      </c>
      <c r="C36" s="149" t="e">
        <f>-('Historical Financials'!#REF!)/1000</f>
        <v>#REF!</v>
      </c>
      <c r="D36" s="149">
        <f>-('Historical Financials'!C135)/1000</f>
        <v>0</v>
      </c>
      <c r="E36" s="149"/>
      <c r="F36" s="149"/>
      <c r="G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U36" s="10">
        <f>SUM(H36:H36)</f>
        <v>0</v>
      </c>
      <c r="V36" s="10" t="e">
        <f>SUM(#REF!)</f>
        <v>#REF!</v>
      </c>
      <c r="W36" s="10">
        <f>SUM(I36:I36)</f>
        <v>0</v>
      </c>
      <c r="X36" s="10">
        <f>SUM(I36:J36)</f>
        <v>0</v>
      </c>
      <c r="Y36" s="10">
        <f>SUM(I36:K36)</f>
        <v>0</v>
      </c>
      <c r="Z36" s="10">
        <f t="shared" si="57"/>
        <v>0</v>
      </c>
      <c r="AA36" s="10">
        <f t="shared" si="57"/>
        <v>0</v>
      </c>
      <c r="AB36" s="10">
        <f t="shared" si="57"/>
        <v>0</v>
      </c>
      <c r="AC36" s="150">
        <f t="shared" si="57"/>
        <v>0</v>
      </c>
      <c r="AD36" s="150">
        <f t="shared" si="57"/>
        <v>0</v>
      </c>
      <c r="AE36" s="150">
        <f t="shared" si="57"/>
        <v>0</v>
      </c>
      <c r="AF36" s="150">
        <f t="shared" si="57"/>
        <v>0</v>
      </c>
      <c r="AG36" s="150">
        <f t="shared" si="57"/>
        <v>0</v>
      </c>
      <c r="AI36" s="130" t="e">
        <f>SUM(AG36/AC36)-1</f>
        <v>#DIV/0!</v>
      </c>
    </row>
    <row r="37" spans="2:35" ht="12.75" customHeight="1">
      <c r="B37" s="24" t="s">
        <v>41</v>
      </c>
      <c r="C37" s="149" t="e">
        <f>SUM('Historical Financials'!#REF!)/1000</f>
        <v>#REF!</v>
      </c>
      <c r="D37" s="149">
        <f>SUM('Historical Financials'!C96:C100)/1000</f>
        <v>0</v>
      </c>
      <c r="E37" s="149"/>
      <c r="F37" s="149"/>
      <c r="G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U37" s="10">
        <f>SUM(H37:H37)</f>
        <v>0</v>
      </c>
      <c r="V37" s="10" t="e">
        <f>SUM(#REF!)</f>
        <v>#REF!</v>
      </c>
      <c r="W37" s="10">
        <f>SUM(I37:I37)</f>
        <v>0</v>
      </c>
      <c r="X37" s="10">
        <f>SUM(I37:J37)</f>
        <v>0</v>
      </c>
      <c r="Y37" s="10">
        <f>SUM(I37:K37)</f>
        <v>0</v>
      </c>
      <c r="Z37" s="10">
        <f t="shared" si="57"/>
        <v>0</v>
      </c>
      <c r="AA37" s="10">
        <f t="shared" si="57"/>
        <v>0</v>
      </c>
      <c r="AB37" s="10">
        <f t="shared" si="57"/>
        <v>0</v>
      </c>
      <c r="AC37" s="150">
        <f t="shared" si="57"/>
        <v>0</v>
      </c>
      <c r="AD37" s="150">
        <f t="shared" si="57"/>
        <v>0</v>
      </c>
      <c r="AE37" s="150">
        <f t="shared" si="57"/>
        <v>0</v>
      </c>
      <c r="AF37" s="150">
        <f t="shared" si="57"/>
        <v>0</v>
      </c>
      <c r="AG37" s="150">
        <f t="shared" si="57"/>
        <v>0</v>
      </c>
      <c r="AI37" s="130" t="e">
        <f>SUM(AG37/AC37)-1</f>
        <v>#DIV/0!</v>
      </c>
    </row>
    <row r="38" spans="2:35" ht="12.75" customHeight="1">
      <c r="B38" s="13" t="s">
        <v>42</v>
      </c>
      <c r="C38" s="14" t="e">
        <f>SUM(C31+SUM(C34:C37))</f>
        <v>#REF!</v>
      </c>
      <c r="D38" s="14">
        <f>SUM(D31+SUM(D34:D37))</f>
        <v>0</v>
      </c>
      <c r="E38" s="14">
        <f>SUM(E31+SUM(E34:E37))</f>
        <v>0</v>
      </c>
      <c r="F38" s="14">
        <f>SUM(F31+SUM(F34:F37))</f>
        <v>0</v>
      </c>
      <c r="G38" s="14">
        <f>SUM(G31+SUM(G34:G37))</f>
        <v>0</v>
      </c>
      <c r="I38" s="14">
        <f t="shared" ref="I38:R38" si="58">SUM(I31+SUM(I34:I37))</f>
        <v>0</v>
      </c>
      <c r="J38" s="14">
        <f t="shared" si="58"/>
        <v>0</v>
      </c>
      <c r="K38" s="14">
        <f t="shared" si="58"/>
        <v>0</v>
      </c>
      <c r="L38" s="14">
        <f t="shared" si="58"/>
        <v>0</v>
      </c>
      <c r="M38" s="14">
        <f t="shared" si="58"/>
        <v>0</v>
      </c>
      <c r="N38" s="14">
        <f t="shared" si="58"/>
        <v>0</v>
      </c>
      <c r="O38" s="14">
        <f t="shared" si="58"/>
        <v>0</v>
      </c>
      <c r="P38" s="14">
        <f t="shared" si="58"/>
        <v>0</v>
      </c>
      <c r="Q38" s="14">
        <f t="shared" si="58"/>
        <v>0</v>
      </c>
      <c r="R38" s="14">
        <f t="shared" si="58"/>
        <v>0</v>
      </c>
      <c r="S38" s="14">
        <f>SUM(S31+SUM(S34:S37))</f>
        <v>0</v>
      </c>
      <c r="U38" s="14">
        <f t="shared" ref="U38:AE38" si="59">SUM(U31+SUM(U34:U37))</f>
        <v>0</v>
      </c>
      <c r="V38" s="14" t="e">
        <f t="shared" si="59"/>
        <v>#REF!</v>
      </c>
      <c r="W38" s="14">
        <f t="shared" si="59"/>
        <v>0</v>
      </c>
      <c r="X38" s="14">
        <f t="shared" si="59"/>
        <v>0</v>
      </c>
      <c r="Y38" s="14">
        <f t="shared" si="59"/>
        <v>0</v>
      </c>
      <c r="Z38" s="14">
        <f t="shared" si="59"/>
        <v>0</v>
      </c>
      <c r="AA38" s="14">
        <f t="shared" si="59"/>
        <v>0</v>
      </c>
      <c r="AB38" s="14">
        <f t="shared" si="59"/>
        <v>0</v>
      </c>
      <c r="AC38" s="14">
        <f t="shared" si="59"/>
        <v>0</v>
      </c>
      <c r="AD38" s="14">
        <f t="shared" si="59"/>
        <v>0</v>
      </c>
      <c r="AE38" s="14">
        <f t="shared" si="59"/>
        <v>0</v>
      </c>
      <c r="AF38" s="14">
        <f>SUM(AF31+SUM(AF34:AF37))</f>
        <v>0</v>
      </c>
      <c r="AG38" s="14">
        <f>SUM(AG31+SUM(AG34:AG37))</f>
        <v>0</v>
      </c>
      <c r="AI38" s="131" t="e">
        <f>SUM(AG38/AC38)-1</f>
        <v>#DIV/0!</v>
      </c>
    </row>
    <row r="39" spans="2:35" ht="5.0999999999999996" customHeight="1"/>
    <row r="40" spans="2:35" ht="12.75" customHeight="1">
      <c r="B40" s="32" t="s">
        <v>152</v>
      </c>
      <c r="C40" s="149" t="e">
        <f>SUM('Historical Financials'!#REF!)/1000</f>
        <v>#REF!</v>
      </c>
      <c r="D40" s="149">
        <f>SUM('Historical Financials'!C107:C108)/1000</f>
        <v>0</v>
      </c>
      <c r="E40" s="149"/>
      <c r="F40" s="149"/>
      <c r="G40" s="149"/>
      <c r="H40" s="33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U40" s="10">
        <f>SUM(H40:H40)</f>
        <v>0</v>
      </c>
      <c r="V40" s="10" t="e">
        <f>SUM(#REF!)</f>
        <v>#REF!</v>
      </c>
      <c r="W40" s="10">
        <f>SUM(I40:I40)</f>
        <v>0</v>
      </c>
      <c r="X40" s="10">
        <f>SUM(I40:J40)</f>
        <v>0</v>
      </c>
      <c r="Y40" s="10">
        <f>SUM(I40:K40)</f>
        <v>0</v>
      </c>
      <c r="Z40" s="10">
        <f t="shared" ref="Z40:AG41" si="60">SUM(I40:L40)</f>
        <v>0</v>
      </c>
      <c r="AA40" s="10">
        <f t="shared" si="60"/>
        <v>0</v>
      </c>
      <c r="AB40" s="10">
        <f t="shared" si="60"/>
        <v>0</v>
      </c>
      <c r="AC40" s="150">
        <f t="shared" si="60"/>
        <v>0</v>
      </c>
      <c r="AD40" s="150">
        <f t="shared" si="60"/>
        <v>0</v>
      </c>
      <c r="AE40" s="150">
        <f t="shared" si="60"/>
        <v>0</v>
      </c>
      <c r="AF40" s="150">
        <f t="shared" si="60"/>
        <v>0</v>
      </c>
      <c r="AG40" s="150">
        <f t="shared" si="60"/>
        <v>0</v>
      </c>
    </row>
    <row r="41" spans="2:35" ht="12.75" customHeight="1">
      <c r="B41" s="32" t="s">
        <v>109</v>
      </c>
      <c r="C41" s="149" t="e">
        <f>('Historical Financials'!#REF!)/1000</f>
        <v>#REF!</v>
      </c>
      <c r="D41" s="149">
        <f>('Historical Financials'!C106)/1000</f>
        <v>0</v>
      </c>
      <c r="E41" s="149"/>
      <c r="F41" s="149"/>
      <c r="G41" s="149"/>
      <c r="H41" s="33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U41" s="10">
        <f>SUM(H41:H41)</f>
        <v>0</v>
      </c>
      <c r="V41" s="10" t="e">
        <f>SUM(#REF!)</f>
        <v>#REF!</v>
      </c>
      <c r="W41" s="10">
        <f>SUM(I41:I41)</f>
        <v>0</v>
      </c>
      <c r="X41" s="10">
        <f>SUM(I41:J41)</f>
        <v>0</v>
      </c>
      <c r="Y41" s="10">
        <f>SUM(I41:K41)</f>
        <v>0</v>
      </c>
      <c r="Z41" s="10">
        <f t="shared" si="60"/>
        <v>0</v>
      </c>
      <c r="AA41" s="10">
        <f t="shared" si="60"/>
        <v>0</v>
      </c>
      <c r="AB41" s="10">
        <f t="shared" si="60"/>
        <v>0</v>
      </c>
      <c r="AC41" s="150">
        <f t="shared" si="60"/>
        <v>0</v>
      </c>
      <c r="AD41" s="150">
        <f t="shared" si="60"/>
        <v>0</v>
      </c>
      <c r="AE41" s="150">
        <f t="shared" si="60"/>
        <v>0</v>
      </c>
      <c r="AF41" s="150">
        <f t="shared" si="60"/>
        <v>0</v>
      </c>
      <c r="AG41" s="150">
        <f t="shared" si="60"/>
        <v>0</v>
      </c>
    </row>
    <row r="42" spans="2:35" ht="12.75" customHeight="1">
      <c r="B42" s="32" t="s">
        <v>153</v>
      </c>
      <c r="C42" s="149" t="e">
        <f>SUM('Historical Financials'!#REF!)/1000</f>
        <v>#REF!</v>
      </c>
      <c r="D42" s="149">
        <f>SUM('Historical Financials'!C115:C116)/1000</f>
        <v>0</v>
      </c>
      <c r="E42" s="149"/>
      <c r="F42" s="149"/>
      <c r="G42" s="149"/>
      <c r="H42" s="33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U42" s="10"/>
      <c r="V42" s="10"/>
      <c r="W42" s="10"/>
      <c r="X42" s="10"/>
      <c r="Y42" s="10"/>
      <c r="Z42" s="10"/>
      <c r="AA42" s="10"/>
      <c r="AB42" s="10"/>
      <c r="AC42" s="150">
        <f t="shared" ref="AC42:AG43" si="61">SUM(L42:O42)</f>
        <v>0</v>
      </c>
      <c r="AD42" s="150">
        <f t="shared" si="61"/>
        <v>0</v>
      </c>
      <c r="AE42" s="150">
        <f t="shared" si="61"/>
        <v>0</v>
      </c>
      <c r="AF42" s="150">
        <f t="shared" si="61"/>
        <v>0</v>
      </c>
      <c r="AG42" s="150">
        <f t="shared" si="61"/>
        <v>0</v>
      </c>
    </row>
    <row r="43" spans="2:35" ht="12.75" customHeight="1">
      <c r="B43" s="32" t="s">
        <v>154</v>
      </c>
      <c r="C43" s="149" t="e">
        <f>SUM('Historical Financials'!#REF!)/1000</f>
        <v>#REF!</v>
      </c>
      <c r="D43" s="149">
        <f>SUM('Historical Financials'!C112:C114)/1000</f>
        <v>0</v>
      </c>
      <c r="E43" s="149"/>
      <c r="F43" s="149"/>
      <c r="G43" s="149"/>
      <c r="H43" s="33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U43" s="10"/>
      <c r="V43" s="10"/>
      <c r="W43" s="10"/>
      <c r="X43" s="10"/>
      <c r="Y43" s="10"/>
      <c r="Z43" s="10"/>
      <c r="AA43" s="10"/>
      <c r="AB43" s="10"/>
      <c r="AC43" s="150">
        <f t="shared" si="61"/>
        <v>0</v>
      </c>
      <c r="AD43" s="150">
        <f t="shared" si="61"/>
        <v>0</v>
      </c>
      <c r="AE43" s="150">
        <f t="shared" si="61"/>
        <v>0</v>
      </c>
      <c r="AF43" s="150">
        <f t="shared" si="61"/>
        <v>0</v>
      </c>
      <c r="AG43" s="150">
        <f t="shared" si="61"/>
        <v>0</v>
      </c>
    </row>
    <row r="44" spans="2:35" ht="12.75" customHeight="1">
      <c r="B44" s="32" t="s">
        <v>155</v>
      </c>
      <c r="C44" s="149" t="e">
        <f>SUM('Historical Financials'!#REF!)/1000</f>
        <v>#REF!</v>
      </c>
      <c r="D44" s="149">
        <f>SUM('Historical Financials'!C87:C88)/1000</f>
        <v>0</v>
      </c>
      <c r="E44" s="149"/>
      <c r="F44" s="149"/>
      <c r="G44" s="149"/>
      <c r="H44" s="33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U44" s="10"/>
      <c r="V44" s="10"/>
      <c r="W44" s="10"/>
      <c r="X44" s="10"/>
      <c r="Y44" s="10"/>
      <c r="Z44" s="10"/>
      <c r="AA44" s="10"/>
      <c r="AB44" s="10">
        <f t="shared" ref="AB44:AG46" si="62">SUM(K44:N44)</f>
        <v>0</v>
      </c>
      <c r="AC44" s="150">
        <f t="shared" si="62"/>
        <v>0</v>
      </c>
      <c r="AD44" s="150">
        <f t="shared" si="62"/>
        <v>0</v>
      </c>
      <c r="AE44" s="150">
        <f t="shared" si="62"/>
        <v>0</v>
      </c>
      <c r="AF44" s="150">
        <f t="shared" si="62"/>
        <v>0</v>
      </c>
      <c r="AG44" s="150">
        <f t="shared" si="62"/>
        <v>0</v>
      </c>
    </row>
    <row r="45" spans="2:35" ht="12.75" customHeight="1">
      <c r="B45" s="32" t="s">
        <v>156</v>
      </c>
      <c r="C45" s="149" t="e">
        <f>SUM('Historical Financials'!#REF!)/1000</f>
        <v>#REF!</v>
      </c>
      <c r="D45" s="149">
        <f>SUM('Historical Financials'!C117:C118)/1000</f>
        <v>0</v>
      </c>
      <c r="E45" s="149"/>
      <c r="F45" s="149"/>
      <c r="G45" s="149"/>
      <c r="H45" s="33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U45" s="10"/>
      <c r="V45" s="10"/>
      <c r="W45" s="10"/>
      <c r="X45" s="10"/>
      <c r="Y45" s="10"/>
      <c r="Z45" s="10"/>
      <c r="AA45" s="10"/>
      <c r="AB45" s="10"/>
      <c r="AC45" s="150">
        <f>SUM(L45:O45)</f>
        <v>0</v>
      </c>
      <c r="AD45" s="150">
        <f>SUM(M45:P45)</f>
        <v>0</v>
      </c>
      <c r="AE45" s="150">
        <f>SUM(N45:Q45)</f>
        <v>0</v>
      </c>
      <c r="AF45" s="150">
        <f>SUM(O45:R45)</f>
        <v>0</v>
      </c>
      <c r="AG45" s="150">
        <f>SUM(P45:S45)</f>
        <v>0</v>
      </c>
    </row>
    <row r="46" spans="2:35" ht="12.75" customHeight="1">
      <c r="B46" s="32" t="s">
        <v>74</v>
      </c>
      <c r="C46" s="99"/>
      <c r="D46" s="99" t="e">
        <f>SUM(D51-C51)-SUM(D38:D44)</f>
        <v>#REF!</v>
      </c>
      <c r="E46" s="99">
        <f>SUM(E51-D51)-SUM(E38:E44)</f>
        <v>0</v>
      </c>
      <c r="F46" s="99">
        <f>SUM(F51-E51)-SUM(F38:F44)</f>
        <v>0</v>
      </c>
      <c r="G46" s="99">
        <f>SUM(G51-F51)-SUM(G38:G45)</f>
        <v>0</v>
      </c>
      <c r="H46" s="33"/>
      <c r="I46" s="99"/>
      <c r="J46" s="99">
        <f t="shared" ref="J46:S46" si="63">SUM(J51-I51)-SUM(J38:J45)</f>
        <v>0</v>
      </c>
      <c r="K46" s="99">
        <f t="shared" si="63"/>
        <v>0</v>
      </c>
      <c r="L46" s="99">
        <f t="shared" si="63"/>
        <v>0</v>
      </c>
      <c r="M46" s="99">
        <f t="shared" si="63"/>
        <v>0</v>
      </c>
      <c r="N46" s="99">
        <f t="shared" si="63"/>
        <v>0</v>
      </c>
      <c r="O46" s="99">
        <f t="shared" si="63"/>
        <v>0</v>
      </c>
      <c r="P46" s="99">
        <f t="shared" si="63"/>
        <v>0</v>
      </c>
      <c r="Q46" s="99">
        <f t="shared" si="63"/>
        <v>0</v>
      </c>
      <c r="R46" s="99">
        <f t="shared" si="63"/>
        <v>0</v>
      </c>
      <c r="S46" s="99">
        <f t="shared" si="63"/>
        <v>0</v>
      </c>
      <c r="U46" s="10">
        <f>SUM(H46:H46)</f>
        <v>0</v>
      </c>
      <c r="V46" s="10" t="e">
        <f>SUM(#REF!)</f>
        <v>#REF!</v>
      </c>
      <c r="W46" s="10">
        <f>SUM(I46:I46)</f>
        <v>0</v>
      </c>
      <c r="X46" s="10">
        <f>SUM(I46:J46)</f>
        <v>0</v>
      </c>
      <c r="Y46" s="10">
        <f>SUM(I46:K46)</f>
        <v>0</v>
      </c>
      <c r="Z46" s="10">
        <f t="shared" ref="Z46:AA46" si="64">SUM(I46:L46)</f>
        <v>0</v>
      </c>
      <c r="AA46" s="10">
        <f t="shared" si="64"/>
        <v>0</v>
      </c>
      <c r="AB46" s="10">
        <f t="shared" si="62"/>
        <v>0</v>
      </c>
      <c r="AC46" s="150">
        <f t="shared" si="62"/>
        <v>0</v>
      </c>
      <c r="AD46" s="150">
        <f t="shared" si="62"/>
        <v>0</v>
      </c>
      <c r="AE46" s="150">
        <f t="shared" si="62"/>
        <v>0</v>
      </c>
      <c r="AF46" s="150">
        <f t="shared" si="62"/>
        <v>0</v>
      </c>
      <c r="AG46" s="150">
        <f t="shared" si="62"/>
        <v>0</v>
      </c>
    </row>
    <row r="47" spans="2:35" ht="12.75" customHeight="1">
      <c r="B47" s="13" t="s">
        <v>43</v>
      </c>
      <c r="C47" s="14" t="e">
        <f>SUM(C38+SUM(C40:C46))</f>
        <v>#REF!</v>
      </c>
      <c r="D47" s="14" t="e">
        <f>SUM(D38+SUM(D40:D46))</f>
        <v>#REF!</v>
      </c>
      <c r="E47" s="14">
        <f>SUM(E38+SUM(E40:E46))</f>
        <v>0</v>
      </c>
      <c r="F47" s="14">
        <f>SUM(F38+SUM(F40:F46))</f>
        <v>0</v>
      </c>
      <c r="G47" s="14">
        <f>SUM(G38+SUM(G40:G46))</f>
        <v>0</v>
      </c>
      <c r="I47" s="14">
        <f t="shared" ref="I47:S47" si="65">SUM(I38+SUM(I40:I46))</f>
        <v>0</v>
      </c>
      <c r="J47" s="14">
        <f t="shared" si="65"/>
        <v>0</v>
      </c>
      <c r="K47" s="14">
        <f t="shared" si="65"/>
        <v>0</v>
      </c>
      <c r="L47" s="14">
        <f t="shared" si="65"/>
        <v>0</v>
      </c>
      <c r="M47" s="14">
        <f t="shared" si="65"/>
        <v>0</v>
      </c>
      <c r="N47" s="14">
        <f t="shared" si="65"/>
        <v>0</v>
      </c>
      <c r="O47" s="14">
        <f t="shared" si="65"/>
        <v>0</v>
      </c>
      <c r="P47" s="14">
        <f t="shared" si="65"/>
        <v>0</v>
      </c>
      <c r="Q47" s="14">
        <f t="shared" si="65"/>
        <v>0</v>
      </c>
      <c r="R47" s="14">
        <f t="shared" si="65"/>
        <v>0</v>
      </c>
      <c r="S47" s="14">
        <f t="shared" si="65"/>
        <v>0</v>
      </c>
      <c r="U47" s="14">
        <f t="shared" ref="U47:AG47" si="66">SUM(U38+SUM(U40:U46))</f>
        <v>0</v>
      </c>
      <c r="V47" s="14" t="e">
        <f t="shared" si="66"/>
        <v>#REF!</v>
      </c>
      <c r="W47" s="14">
        <f t="shared" si="66"/>
        <v>0</v>
      </c>
      <c r="X47" s="14">
        <f t="shared" si="66"/>
        <v>0</v>
      </c>
      <c r="Y47" s="14">
        <f t="shared" si="66"/>
        <v>0</v>
      </c>
      <c r="Z47" s="14">
        <f t="shared" si="66"/>
        <v>0</v>
      </c>
      <c r="AA47" s="14">
        <f t="shared" si="66"/>
        <v>0</v>
      </c>
      <c r="AB47" s="14">
        <f t="shared" si="66"/>
        <v>0</v>
      </c>
      <c r="AC47" s="14">
        <f t="shared" si="66"/>
        <v>0</v>
      </c>
      <c r="AD47" s="14">
        <f t="shared" si="66"/>
        <v>0</v>
      </c>
      <c r="AE47" s="14">
        <f t="shared" si="66"/>
        <v>0</v>
      </c>
      <c r="AF47" s="14">
        <f t="shared" si="66"/>
        <v>0</v>
      </c>
      <c r="AG47" s="14">
        <f t="shared" si="66"/>
        <v>0</v>
      </c>
    </row>
    <row r="48" spans="2:35" ht="5.0999999999999996" customHeight="1"/>
    <row r="49" spans="1:33" ht="12.75" customHeight="1">
      <c r="A49" s="5"/>
      <c r="B49" s="34" t="s">
        <v>44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</row>
    <row r="50" spans="1:33" ht="5.0999999999999996" customHeight="1"/>
    <row r="51" spans="1:33" ht="12.75" customHeight="1">
      <c r="B51" s="8" t="s">
        <v>45</v>
      </c>
      <c r="C51" s="97" t="e">
        <f>('Historical Financials'!#REF!)/1000</f>
        <v>#REF!</v>
      </c>
      <c r="D51" s="97">
        <f>('Historical Financials'!C44)/1000</f>
        <v>0</v>
      </c>
      <c r="E51" s="97"/>
      <c r="F51" s="97"/>
      <c r="G51" s="97"/>
      <c r="H51" s="33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U51" s="10" t="e">
        <f>#REF!</f>
        <v>#REF!</v>
      </c>
      <c r="V51" s="10" t="e">
        <f>#REF!</f>
        <v>#REF!</v>
      </c>
      <c r="W51" s="10">
        <f t="shared" ref="W51:AG51" si="67">I51</f>
        <v>0</v>
      </c>
      <c r="X51" s="10">
        <f t="shared" si="67"/>
        <v>0</v>
      </c>
      <c r="Y51" s="10">
        <f t="shared" si="67"/>
        <v>0</v>
      </c>
      <c r="Z51" s="10">
        <f t="shared" si="67"/>
        <v>0</v>
      </c>
      <c r="AA51" s="10">
        <f t="shared" si="67"/>
        <v>0</v>
      </c>
      <c r="AB51" s="10">
        <f t="shared" si="67"/>
        <v>0</v>
      </c>
      <c r="AC51" s="10">
        <f t="shared" si="67"/>
        <v>0</v>
      </c>
      <c r="AD51" s="10">
        <f t="shared" si="67"/>
        <v>0</v>
      </c>
      <c r="AE51" s="10">
        <f t="shared" si="67"/>
        <v>0</v>
      </c>
      <c r="AF51" s="10">
        <f t="shared" si="67"/>
        <v>0</v>
      </c>
      <c r="AG51" s="10">
        <f t="shared" si="67"/>
        <v>0</v>
      </c>
    </row>
    <row r="52" spans="1:33" ht="12.75" customHeight="1">
      <c r="B52" s="8" t="s">
        <v>164</v>
      </c>
      <c r="C52" s="97" t="e">
        <f>('Historical Financials'!#REF!)/1000</f>
        <v>#REF!</v>
      </c>
      <c r="D52" s="97">
        <f>('Historical Financials'!C46)/1000</f>
        <v>0</v>
      </c>
      <c r="E52" s="97"/>
      <c r="F52" s="97"/>
      <c r="G52" s="97"/>
      <c r="H52" s="33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U52" s="10"/>
      <c r="V52" s="10"/>
      <c r="W52" s="10"/>
      <c r="X52" s="10"/>
      <c r="Y52" s="10"/>
      <c r="Z52" s="10"/>
      <c r="AA52" s="10"/>
      <c r="AB52" s="10"/>
      <c r="AC52" s="10">
        <f t="shared" ref="AC52:AG53" si="68">O52</f>
        <v>0</v>
      </c>
      <c r="AD52" s="10">
        <f t="shared" si="68"/>
        <v>0</v>
      </c>
      <c r="AE52" s="10">
        <f t="shared" si="68"/>
        <v>0</v>
      </c>
      <c r="AF52" s="10">
        <f t="shared" si="68"/>
        <v>0</v>
      </c>
      <c r="AG52" s="10">
        <f t="shared" si="68"/>
        <v>0</v>
      </c>
    </row>
    <row r="53" spans="1:33" ht="12.75" customHeight="1">
      <c r="B53" s="32" t="s">
        <v>164</v>
      </c>
      <c r="C53" s="83">
        <v>750</v>
      </c>
      <c r="D53" s="83">
        <v>1000</v>
      </c>
      <c r="E53" s="83"/>
      <c r="F53" s="83"/>
      <c r="G53" s="83"/>
      <c r="H53" s="97"/>
      <c r="I53" s="83"/>
      <c r="J53" s="83"/>
      <c r="K53" s="83"/>
      <c r="L53" s="10"/>
      <c r="M53" s="83"/>
      <c r="N53" s="83"/>
      <c r="O53" s="83"/>
      <c r="P53" s="10"/>
      <c r="Q53" s="83"/>
      <c r="R53" s="83"/>
      <c r="S53" s="83"/>
      <c r="U53" s="10"/>
      <c r="V53" s="10"/>
      <c r="W53" s="10"/>
      <c r="X53" s="10"/>
      <c r="Y53" s="10"/>
      <c r="Z53" s="10"/>
      <c r="AA53" s="10"/>
      <c r="AB53" s="10"/>
      <c r="AC53" s="10">
        <f t="shared" si="68"/>
        <v>0</v>
      </c>
      <c r="AD53" s="10">
        <f t="shared" si="68"/>
        <v>0</v>
      </c>
      <c r="AE53" s="10">
        <f t="shared" si="68"/>
        <v>0</v>
      </c>
      <c r="AF53" s="10">
        <f t="shared" si="68"/>
        <v>0</v>
      </c>
      <c r="AG53" s="10">
        <f t="shared" si="68"/>
        <v>0</v>
      </c>
    </row>
    <row r="54" spans="1:33" ht="12.75" customHeight="1">
      <c r="B54" s="13" t="s">
        <v>46</v>
      </c>
      <c r="C54" s="14" t="e">
        <f>SUM(C51:C53)</f>
        <v>#REF!</v>
      </c>
      <c r="D54" s="14">
        <f>SUM(D51:D53)</f>
        <v>1000</v>
      </c>
      <c r="E54" s="14">
        <f>SUM(E51:E53)</f>
        <v>0</v>
      </c>
      <c r="F54" s="14">
        <f>SUM(F51:F53)</f>
        <v>0</v>
      </c>
      <c r="G54" s="14">
        <f>SUM(G51:G53)</f>
        <v>0</v>
      </c>
      <c r="H54" s="33"/>
      <c r="I54" s="14">
        <f t="shared" ref="I54:S54" si="69">SUM(I51:I53)</f>
        <v>0</v>
      </c>
      <c r="J54" s="14">
        <f t="shared" si="69"/>
        <v>0</v>
      </c>
      <c r="K54" s="14">
        <f t="shared" si="69"/>
        <v>0</v>
      </c>
      <c r="L54" s="14">
        <f t="shared" si="69"/>
        <v>0</v>
      </c>
      <c r="M54" s="14">
        <f t="shared" si="69"/>
        <v>0</v>
      </c>
      <c r="N54" s="14">
        <f t="shared" si="69"/>
        <v>0</v>
      </c>
      <c r="O54" s="14">
        <f t="shared" si="69"/>
        <v>0</v>
      </c>
      <c r="P54" s="14">
        <f t="shared" si="69"/>
        <v>0</v>
      </c>
      <c r="Q54" s="14">
        <f t="shared" si="69"/>
        <v>0</v>
      </c>
      <c r="R54" s="14">
        <f t="shared" si="69"/>
        <v>0</v>
      </c>
      <c r="S54" s="14">
        <f t="shared" si="69"/>
        <v>0</v>
      </c>
      <c r="U54" s="14" t="e">
        <f t="shared" ref="U54:AB54" si="70">SUM(U51:U51)</f>
        <v>#REF!</v>
      </c>
      <c r="V54" s="14" t="e">
        <f t="shared" si="70"/>
        <v>#REF!</v>
      </c>
      <c r="W54" s="14">
        <f t="shared" si="70"/>
        <v>0</v>
      </c>
      <c r="X54" s="14">
        <f t="shared" si="70"/>
        <v>0</v>
      </c>
      <c r="Y54" s="14">
        <f t="shared" si="70"/>
        <v>0</v>
      </c>
      <c r="Z54" s="14">
        <f t="shared" si="70"/>
        <v>0</v>
      </c>
      <c r="AA54" s="14">
        <f t="shared" si="70"/>
        <v>0</v>
      </c>
      <c r="AB54" s="14">
        <f t="shared" si="70"/>
        <v>0</v>
      </c>
      <c r="AC54" s="14">
        <f>SUM(AC51:AC53)</f>
        <v>0</v>
      </c>
      <c r="AD54" s="14">
        <f>SUM(AD51:AD53)</f>
        <v>0</v>
      </c>
      <c r="AE54" s="14">
        <f>SUM(AE51:AE53)</f>
        <v>0</v>
      </c>
      <c r="AF54" s="14">
        <f>SUM(AF51:AF53)</f>
        <v>0</v>
      </c>
      <c r="AG54" s="14">
        <f>SUM(AG51:AG53)</f>
        <v>0</v>
      </c>
    </row>
    <row r="55" spans="1:33" ht="5.0999999999999996" customHeight="1"/>
    <row r="56" spans="1:33" ht="12.75" customHeight="1">
      <c r="B56" s="36" t="s">
        <v>47</v>
      </c>
    </row>
    <row r="57" spans="1:33" ht="12.75" customHeight="1">
      <c r="B57" s="8" t="s">
        <v>162</v>
      </c>
      <c r="C57" s="97" t="e">
        <f>('Historical Financials'!#REF!)/1000</f>
        <v>#REF!</v>
      </c>
      <c r="D57" s="97">
        <f>('Historical Financials'!C51)/1000</f>
        <v>0</v>
      </c>
      <c r="E57" s="97"/>
      <c r="F57" s="97"/>
      <c r="G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10"/>
      <c r="U57" s="10" t="e">
        <f>#REF!</f>
        <v>#REF!</v>
      </c>
      <c r="V57" s="10" t="e">
        <f>#REF!</f>
        <v>#REF!</v>
      </c>
      <c r="W57" s="10">
        <f t="shared" ref="W57:AE62" si="71">I57</f>
        <v>0</v>
      </c>
      <c r="X57" s="10">
        <f t="shared" si="71"/>
        <v>0</v>
      </c>
      <c r="Y57" s="10">
        <f t="shared" si="71"/>
        <v>0</v>
      </c>
      <c r="Z57" s="10">
        <f t="shared" si="71"/>
        <v>0</v>
      </c>
      <c r="AA57" s="10">
        <f t="shared" si="71"/>
        <v>0</v>
      </c>
      <c r="AB57" s="10">
        <f t="shared" si="71"/>
        <v>0</v>
      </c>
      <c r="AC57" s="10">
        <f t="shared" si="71"/>
        <v>0</v>
      </c>
      <c r="AD57" s="10">
        <f t="shared" si="71"/>
        <v>0</v>
      </c>
      <c r="AE57" s="10">
        <f t="shared" si="71"/>
        <v>0</v>
      </c>
      <c r="AF57" s="10">
        <f t="shared" ref="AF57:AG62" si="72">R57</f>
        <v>0</v>
      </c>
      <c r="AG57" s="10">
        <f t="shared" si="72"/>
        <v>0</v>
      </c>
    </row>
    <row r="58" spans="1:33" ht="12.75" customHeight="1">
      <c r="B58" s="8" t="s">
        <v>157</v>
      </c>
      <c r="C58" s="97" t="e">
        <f>('Historical Financials'!#REF!)/1000</f>
        <v>#REF!</v>
      </c>
      <c r="D58" s="97">
        <f>('Historical Financials'!C56)/1000</f>
        <v>0</v>
      </c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U58" s="10" t="e">
        <f>#REF!</f>
        <v>#REF!</v>
      </c>
      <c r="V58" s="10" t="e">
        <f>#REF!</f>
        <v>#REF!</v>
      </c>
      <c r="W58" s="10">
        <f t="shared" si="71"/>
        <v>0</v>
      </c>
      <c r="X58" s="10">
        <f t="shared" si="71"/>
        <v>0</v>
      </c>
      <c r="Y58" s="10">
        <f t="shared" si="71"/>
        <v>0</v>
      </c>
      <c r="Z58" s="10">
        <f t="shared" si="71"/>
        <v>0</v>
      </c>
      <c r="AA58" s="10">
        <f t="shared" si="71"/>
        <v>0</v>
      </c>
      <c r="AB58" s="10">
        <f t="shared" si="71"/>
        <v>0</v>
      </c>
      <c r="AC58" s="10">
        <f t="shared" si="71"/>
        <v>0</v>
      </c>
      <c r="AD58" s="10">
        <f t="shared" si="71"/>
        <v>0</v>
      </c>
      <c r="AE58" s="10">
        <f t="shared" si="71"/>
        <v>0</v>
      </c>
      <c r="AF58" s="10">
        <f t="shared" si="72"/>
        <v>0</v>
      </c>
      <c r="AG58" s="10">
        <f t="shared" si="72"/>
        <v>0</v>
      </c>
    </row>
    <row r="59" spans="1:33" ht="12.75" customHeight="1">
      <c r="B59" s="8" t="s">
        <v>48</v>
      </c>
      <c r="C59" s="97" t="e">
        <f>('Historical Financials'!#REF!)/1000</f>
        <v>#REF!</v>
      </c>
      <c r="D59" s="97">
        <f>('Historical Financials'!C57)/1000</f>
        <v>0</v>
      </c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U59" s="10"/>
      <c r="V59" s="10"/>
      <c r="W59" s="10"/>
      <c r="X59" s="10"/>
      <c r="Y59" s="10"/>
      <c r="Z59" s="10"/>
      <c r="AA59" s="10"/>
      <c r="AB59" s="10"/>
      <c r="AC59" s="10">
        <f t="shared" ref="AC59:AC60" si="73">O59</f>
        <v>0</v>
      </c>
      <c r="AD59" s="10">
        <f t="shared" ref="AD59:AD60" si="74">P59</f>
        <v>0</v>
      </c>
      <c r="AE59" s="10">
        <f t="shared" ref="AE59:AE60" si="75">Q59</f>
        <v>0</v>
      </c>
      <c r="AF59" s="10">
        <f t="shared" ref="AF59:AF60" si="76">R59</f>
        <v>0</v>
      </c>
      <c r="AG59" s="10">
        <f t="shared" ref="AG59:AG60" si="77">S59</f>
        <v>0</v>
      </c>
    </row>
    <row r="60" spans="1:33" ht="12.75" customHeight="1">
      <c r="B60" s="8" t="s">
        <v>158</v>
      </c>
      <c r="C60" s="97" t="e">
        <f>('Historical Financials'!#REF!)/1000</f>
        <v>#REF!</v>
      </c>
      <c r="D60" s="97">
        <f>('Historical Financials'!C59)/1000</f>
        <v>0</v>
      </c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U60" s="10"/>
      <c r="V60" s="10"/>
      <c r="W60" s="10"/>
      <c r="X60" s="10"/>
      <c r="Y60" s="10"/>
      <c r="Z60" s="10"/>
      <c r="AA60" s="10"/>
      <c r="AB60" s="10"/>
      <c r="AC60" s="10">
        <f t="shared" si="73"/>
        <v>0</v>
      </c>
      <c r="AD60" s="10">
        <f t="shared" si="74"/>
        <v>0</v>
      </c>
      <c r="AE60" s="10">
        <f t="shared" si="75"/>
        <v>0</v>
      </c>
      <c r="AF60" s="10">
        <f t="shared" si="76"/>
        <v>0</v>
      </c>
      <c r="AG60" s="10">
        <f t="shared" si="77"/>
        <v>0</v>
      </c>
    </row>
    <row r="61" spans="1:33" ht="12.75" customHeight="1">
      <c r="B61" s="8" t="s">
        <v>49</v>
      </c>
      <c r="C61" s="97" t="e">
        <f>('Historical Financials'!#REF!)/1000</f>
        <v>#REF!</v>
      </c>
      <c r="D61" s="97">
        <f>('Historical Financials'!C61)/1000</f>
        <v>0</v>
      </c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U61" s="10" t="e">
        <f>#REF!</f>
        <v>#REF!</v>
      </c>
      <c r="V61" s="10" t="e">
        <f>#REF!</f>
        <v>#REF!</v>
      </c>
      <c r="W61" s="10">
        <f t="shared" si="71"/>
        <v>0</v>
      </c>
      <c r="X61" s="10">
        <f t="shared" si="71"/>
        <v>0</v>
      </c>
      <c r="Y61" s="10">
        <f t="shared" si="71"/>
        <v>0</v>
      </c>
      <c r="Z61" s="10">
        <f t="shared" si="71"/>
        <v>0</v>
      </c>
      <c r="AA61" s="10">
        <f t="shared" si="71"/>
        <v>0</v>
      </c>
      <c r="AB61" s="10">
        <f t="shared" si="71"/>
        <v>0</v>
      </c>
      <c r="AC61" s="10">
        <f t="shared" si="71"/>
        <v>0</v>
      </c>
      <c r="AD61" s="10">
        <f t="shared" si="71"/>
        <v>0</v>
      </c>
      <c r="AE61" s="10">
        <f t="shared" si="71"/>
        <v>0</v>
      </c>
      <c r="AF61" s="10">
        <f t="shared" si="72"/>
        <v>0</v>
      </c>
      <c r="AG61" s="10">
        <f t="shared" si="72"/>
        <v>0</v>
      </c>
    </row>
    <row r="62" spans="1:33" ht="12.75" customHeight="1">
      <c r="B62" s="8" t="s">
        <v>18</v>
      </c>
      <c r="C62" s="97" t="e">
        <f>('Historical Financials'!#REF!)/1000</f>
        <v>#REF!</v>
      </c>
      <c r="D62" s="97">
        <f>('Historical Financials'!C67)/1000</f>
        <v>0</v>
      </c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U62" s="10" t="e">
        <f>#REF!</f>
        <v>#REF!</v>
      </c>
      <c r="V62" s="10" t="e">
        <f>#REF!</f>
        <v>#REF!</v>
      </c>
      <c r="W62" s="10">
        <f t="shared" si="71"/>
        <v>0</v>
      </c>
      <c r="X62" s="10">
        <f t="shared" si="71"/>
        <v>0</v>
      </c>
      <c r="Y62" s="10">
        <f t="shared" si="71"/>
        <v>0</v>
      </c>
      <c r="Z62" s="10">
        <f t="shared" si="71"/>
        <v>0</v>
      </c>
      <c r="AA62" s="10">
        <f t="shared" si="71"/>
        <v>0</v>
      </c>
      <c r="AB62" s="10">
        <f t="shared" si="71"/>
        <v>0</v>
      </c>
      <c r="AC62" s="10">
        <f t="shared" si="71"/>
        <v>0</v>
      </c>
      <c r="AD62" s="10">
        <f t="shared" si="71"/>
        <v>0</v>
      </c>
      <c r="AE62" s="10">
        <f t="shared" si="71"/>
        <v>0</v>
      </c>
      <c r="AF62" s="10">
        <f t="shared" si="72"/>
        <v>0</v>
      </c>
      <c r="AG62" s="10">
        <f t="shared" si="72"/>
        <v>0</v>
      </c>
    </row>
    <row r="63" spans="1:33" ht="5.0999999999999996" customHeight="1">
      <c r="G63" s="10"/>
    </row>
    <row r="64" spans="1:33">
      <c r="B64" s="36" t="s">
        <v>159</v>
      </c>
      <c r="G64" s="10"/>
    </row>
    <row r="65" spans="1:33">
      <c r="B65" s="8" t="s">
        <v>160</v>
      </c>
      <c r="C65" s="97" t="e">
        <f>('Historical Financials'!#REF!)/1000</f>
        <v>#REF!</v>
      </c>
      <c r="D65" s="97">
        <f>('Historical Financials'!C60)/1000</f>
        <v>0</v>
      </c>
      <c r="E65" s="97">
        <f>('Historical Financials'!D60)/1000</f>
        <v>0</v>
      </c>
      <c r="F65" s="97">
        <f>('Historical Financials'!E60)/1000</f>
        <v>0</v>
      </c>
      <c r="G65" s="97">
        <f>('Historical Financials'!F60)/1000</f>
        <v>0</v>
      </c>
      <c r="I65" s="97">
        <f>('Historical Financials'!H60)/1000</f>
        <v>0</v>
      </c>
      <c r="J65" s="97">
        <f>('Historical Financials'!I60)/1000</f>
        <v>0</v>
      </c>
      <c r="K65" s="97">
        <f>('Historical Financials'!J60)/1000</f>
        <v>0</v>
      </c>
      <c r="L65" s="97">
        <f>('Historical Financials'!K60)/1000</f>
        <v>0</v>
      </c>
      <c r="M65" s="97">
        <f>('Historical Financials'!L60)/1000</f>
        <v>0</v>
      </c>
      <c r="N65" s="97">
        <f>('Historical Financials'!M60)/1000</f>
        <v>0</v>
      </c>
      <c r="O65" s="97">
        <f>('Historical Financials'!N60)/1000</f>
        <v>0</v>
      </c>
      <c r="P65" s="97">
        <f>('Historical Financials'!O60)/1000</f>
        <v>0</v>
      </c>
      <c r="Q65" s="97">
        <f>('Historical Financials'!P60)/1000</f>
        <v>0</v>
      </c>
      <c r="R65" s="97">
        <f>('Historical Financials'!Q60)/1000</f>
        <v>0</v>
      </c>
      <c r="S65" s="97">
        <f>('Historical Financials'!R60)/1000</f>
        <v>0</v>
      </c>
      <c r="AC65" s="10">
        <f t="shared" ref="AC65:AC66" si="78">O65</f>
        <v>0</v>
      </c>
      <c r="AD65" s="10">
        <f t="shared" ref="AD65:AD66" si="79">P65</f>
        <v>0</v>
      </c>
      <c r="AE65" s="10">
        <f t="shared" ref="AE65:AE66" si="80">Q65</f>
        <v>0</v>
      </c>
      <c r="AF65" s="10">
        <f t="shared" ref="AF65:AF66" si="81">R65</f>
        <v>0</v>
      </c>
      <c r="AG65" s="10">
        <f t="shared" ref="AG65:AG66" si="82">S65</f>
        <v>0</v>
      </c>
    </row>
    <row r="66" spans="1:33">
      <c r="B66" s="8" t="s">
        <v>161</v>
      </c>
      <c r="C66" s="97" t="e">
        <f>('Historical Financials'!#REF!)/1000</f>
        <v>#REF!</v>
      </c>
      <c r="D66" s="97">
        <f>('Historical Financials'!C65)/1000</f>
        <v>0</v>
      </c>
      <c r="E66" s="97">
        <f>('Historical Financials'!D65)/1000</f>
        <v>0</v>
      </c>
      <c r="F66" s="97">
        <f>('Historical Financials'!E65)/1000</f>
        <v>0</v>
      </c>
      <c r="G66" s="97">
        <f>('Historical Financials'!F65)/1000</f>
        <v>0</v>
      </c>
      <c r="I66" s="97">
        <f>('Historical Financials'!H65)/1000</f>
        <v>0</v>
      </c>
      <c r="J66" s="97">
        <f>('Historical Financials'!I65)/1000</f>
        <v>0</v>
      </c>
      <c r="K66" s="97">
        <f>('Historical Financials'!J65)/1000</f>
        <v>0</v>
      </c>
      <c r="L66" s="97">
        <f>('Historical Financials'!K65)/1000</f>
        <v>0</v>
      </c>
      <c r="M66" s="97">
        <f>('Historical Financials'!L65)/1000</f>
        <v>0</v>
      </c>
      <c r="N66" s="97">
        <f>('Historical Financials'!M65)/1000</f>
        <v>0</v>
      </c>
      <c r="O66" s="97">
        <f>('Historical Financials'!N65)/1000</f>
        <v>0</v>
      </c>
      <c r="P66" s="97">
        <f>('Historical Financials'!O65)/1000</f>
        <v>0</v>
      </c>
      <c r="Q66" s="97">
        <f>('Historical Financials'!P65)/1000</f>
        <v>0</v>
      </c>
      <c r="R66" s="97">
        <f>('Historical Financials'!Q65)/1000</f>
        <v>0</v>
      </c>
      <c r="S66" s="97">
        <f>('Historical Financials'!R65)/1000</f>
        <v>0</v>
      </c>
      <c r="AC66" s="10">
        <f t="shared" si="78"/>
        <v>0</v>
      </c>
      <c r="AD66" s="10">
        <f t="shared" si="79"/>
        <v>0</v>
      </c>
      <c r="AE66" s="10">
        <f t="shared" si="80"/>
        <v>0</v>
      </c>
      <c r="AF66" s="10">
        <f t="shared" si="81"/>
        <v>0</v>
      </c>
      <c r="AG66" s="10">
        <f t="shared" si="82"/>
        <v>0</v>
      </c>
    </row>
    <row r="67" spans="1:33">
      <c r="G67" s="10"/>
    </row>
    <row r="68" spans="1:33">
      <c r="B68" s="32" t="s">
        <v>164</v>
      </c>
      <c r="C68" s="83">
        <v>0</v>
      </c>
      <c r="D68" s="83">
        <v>0</v>
      </c>
      <c r="E68" s="83"/>
      <c r="F68" s="83"/>
      <c r="G68" s="83"/>
      <c r="I68" s="83"/>
      <c r="J68" s="83"/>
      <c r="K68" s="83"/>
      <c r="L68" s="10"/>
      <c r="M68" s="83"/>
      <c r="N68" s="83"/>
      <c r="O68" s="83"/>
      <c r="P68" s="10"/>
      <c r="Q68" s="83"/>
      <c r="R68" s="83"/>
      <c r="S68" s="83"/>
      <c r="U68" s="10" t="e">
        <f>#REF!</f>
        <v>#REF!</v>
      </c>
      <c r="V68" s="10" t="e">
        <f>#REF!</f>
        <v>#REF!</v>
      </c>
      <c r="W68" s="10">
        <f t="shared" ref="W68" si="83">I68</f>
        <v>0</v>
      </c>
      <c r="X68" s="10">
        <f t="shared" ref="X68" si="84">J68</f>
        <v>0</v>
      </c>
      <c r="Y68" s="10">
        <f t="shared" ref="Y68" si="85">K68</f>
        <v>0</v>
      </c>
      <c r="Z68" s="10">
        <f t="shared" ref="Z68" si="86">L68</f>
        <v>0</v>
      </c>
      <c r="AA68" s="10">
        <f t="shared" ref="AA68" si="87">M68</f>
        <v>0</v>
      </c>
      <c r="AB68" s="10">
        <f t="shared" ref="AB68" si="88">N68</f>
        <v>0</v>
      </c>
      <c r="AC68" s="10">
        <f t="shared" ref="AC68" si="89">O68</f>
        <v>0</v>
      </c>
      <c r="AD68" s="10">
        <f t="shared" ref="AD68" si="90">P68</f>
        <v>0</v>
      </c>
      <c r="AE68" s="10">
        <f t="shared" ref="AE68" si="91">Q68</f>
        <v>0</v>
      </c>
      <c r="AF68" s="10">
        <f t="shared" ref="AF68" si="92">R68</f>
        <v>0</v>
      </c>
      <c r="AG68" s="10">
        <f t="shared" ref="AG68" si="93">S68</f>
        <v>0</v>
      </c>
    </row>
    <row r="69" spans="1:33" ht="12.75" customHeight="1">
      <c r="B69" s="32" t="s">
        <v>164</v>
      </c>
      <c r="C69" s="97" t="e">
        <f>#REF!</f>
        <v>#REF!</v>
      </c>
      <c r="D69" s="97" t="e">
        <f>#REF!</f>
        <v>#REF!</v>
      </c>
      <c r="E69" s="97"/>
      <c r="F69" s="97"/>
      <c r="G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U69" s="10" t="e">
        <f>#REF!</f>
        <v>#REF!</v>
      </c>
      <c r="V69" s="10" t="e">
        <f>#REF!</f>
        <v>#REF!</v>
      </c>
      <c r="W69" s="10">
        <f t="shared" ref="W69:AG69" si="94">I69</f>
        <v>0</v>
      </c>
      <c r="X69" s="10">
        <f t="shared" si="94"/>
        <v>0</v>
      </c>
      <c r="Y69" s="10">
        <f t="shared" si="94"/>
        <v>0</v>
      </c>
      <c r="Z69" s="10">
        <f t="shared" si="94"/>
        <v>0</v>
      </c>
      <c r="AA69" s="10">
        <f t="shared" si="94"/>
        <v>0</v>
      </c>
      <c r="AB69" s="10">
        <f t="shared" si="94"/>
        <v>0</v>
      </c>
      <c r="AC69" s="10">
        <f t="shared" si="94"/>
        <v>0</v>
      </c>
      <c r="AD69" s="10">
        <f t="shared" si="94"/>
        <v>0</v>
      </c>
      <c r="AE69" s="10">
        <f t="shared" si="94"/>
        <v>0</v>
      </c>
      <c r="AF69" s="10">
        <f t="shared" si="94"/>
        <v>0</v>
      </c>
      <c r="AG69" s="10">
        <f t="shared" si="94"/>
        <v>0</v>
      </c>
    </row>
    <row r="70" spans="1:33" ht="12.75" customHeight="1">
      <c r="B70" s="13" t="s">
        <v>25</v>
      </c>
      <c r="C70" s="14" t="e">
        <f>SUM(C69:C69)</f>
        <v>#REF!</v>
      </c>
      <c r="D70" s="14" t="e">
        <f>SUM(D69:D69)</f>
        <v>#REF!</v>
      </c>
      <c r="E70" s="14">
        <f>SUM(E69:E69)</f>
        <v>0</v>
      </c>
      <c r="F70" s="14">
        <f>SUM(F69:F69)</f>
        <v>0</v>
      </c>
      <c r="G70" s="14">
        <f>SUM(G69:G69)</f>
        <v>0</v>
      </c>
      <c r="I70" s="14">
        <f t="shared" ref="I70:S70" si="95">SUM(I69:I69)</f>
        <v>0</v>
      </c>
      <c r="J70" s="14">
        <f t="shared" si="95"/>
        <v>0</v>
      </c>
      <c r="K70" s="14">
        <f t="shared" si="95"/>
        <v>0</v>
      </c>
      <c r="L70" s="14">
        <f t="shared" si="95"/>
        <v>0</v>
      </c>
      <c r="M70" s="14">
        <f t="shared" si="95"/>
        <v>0</v>
      </c>
      <c r="N70" s="14">
        <f t="shared" si="95"/>
        <v>0</v>
      </c>
      <c r="O70" s="14">
        <f t="shared" si="95"/>
        <v>0</v>
      </c>
      <c r="P70" s="14">
        <f t="shared" si="95"/>
        <v>0</v>
      </c>
      <c r="Q70" s="14">
        <f t="shared" si="95"/>
        <v>0</v>
      </c>
      <c r="R70" s="14">
        <f t="shared" si="95"/>
        <v>0</v>
      </c>
      <c r="S70" s="14">
        <f t="shared" si="95"/>
        <v>0</v>
      </c>
      <c r="U70" s="14" t="e">
        <f t="shared" ref="U70:AG70" si="96">SUM(U69:U69)</f>
        <v>#REF!</v>
      </c>
      <c r="V70" s="14" t="e">
        <f t="shared" si="96"/>
        <v>#REF!</v>
      </c>
      <c r="W70" s="14">
        <f t="shared" si="96"/>
        <v>0</v>
      </c>
      <c r="X70" s="14">
        <f t="shared" si="96"/>
        <v>0</v>
      </c>
      <c r="Y70" s="14">
        <f t="shared" si="96"/>
        <v>0</v>
      </c>
      <c r="Z70" s="14">
        <f t="shared" si="96"/>
        <v>0</v>
      </c>
      <c r="AA70" s="14">
        <f t="shared" si="96"/>
        <v>0</v>
      </c>
      <c r="AB70" s="14">
        <f t="shared" si="96"/>
        <v>0</v>
      </c>
      <c r="AC70" s="14">
        <f t="shared" si="96"/>
        <v>0</v>
      </c>
      <c r="AD70" s="14">
        <f t="shared" si="96"/>
        <v>0</v>
      </c>
      <c r="AE70" s="14">
        <f t="shared" si="96"/>
        <v>0</v>
      </c>
      <c r="AF70" s="14">
        <f t="shared" si="96"/>
        <v>0</v>
      </c>
      <c r="AG70" s="14">
        <f t="shared" si="96"/>
        <v>0</v>
      </c>
    </row>
    <row r="71" spans="1:33" ht="5.0999999999999996" customHeight="1"/>
    <row r="72" spans="1:33" ht="12.75" customHeight="1">
      <c r="B72" s="8" t="s">
        <v>50</v>
      </c>
      <c r="C72" s="149" t="e">
        <f>('Historical Financials'!#REF!)/1000</f>
        <v>#REF!</v>
      </c>
      <c r="D72" s="149">
        <f>('Historical Financials'!C73)/1000</f>
        <v>0</v>
      </c>
      <c r="E72" s="149">
        <f>('Historical Financials'!D73)/1000</f>
        <v>0</v>
      </c>
      <c r="F72" s="149">
        <f>('Historical Financials'!E73)/1000</f>
        <v>0</v>
      </c>
      <c r="G72" s="149">
        <f>('Historical Financials'!F73)/1000</f>
        <v>0</v>
      </c>
      <c r="I72" s="149">
        <f>('Historical Financials'!H73)/1000</f>
        <v>0</v>
      </c>
      <c r="J72" s="149">
        <f>('Historical Financials'!I73)/1000</f>
        <v>0</v>
      </c>
      <c r="K72" s="149">
        <f>('Historical Financials'!J73)/1000</f>
        <v>0</v>
      </c>
      <c r="L72" s="149">
        <f>('Historical Financials'!K73)/1000</f>
        <v>0</v>
      </c>
      <c r="M72" s="149">
        <f>('Historical Financials'!L73)/1000</f>
        <v>0</v>
      </c>
      <c r="N72" s="149">
        <f>('Historical Financials'!M73)/1000</f>
        <v>0</v>
      </c>
      <c r="O72" s="149">
        <f>('Historical Financials'!N73)/1000</f>
        <v>0</v>
      </c>
      <c r="P72" s="149">
        <f>('Historical Financials'!O73)/1000</f>
        <v>0</v>
      </c>
      <c r="Q72" s="149">
        <f>('Historical Financials'!P73)/1000</f>
        <v>0</v>
      </c>
      <c r="R72" s="149">
        <f>('Historical Financials'!Q73)/1000</f>
        <v>0</v>
      </c>
      <c r="S72" s="149">
        <f>('Historical Financials'!R73)/1000</f>
        <v>0</v>
      </c>
      <c r="U72" s="10" t="e">
        <f>#REF!</f>
        <v>#REF!</v>
      </c>
      <c r="V72" s="10" t="e">
        <f>#REF!</f>
        <v>#REF!</v>
      </c>
      <c r="W72" s="10">
        <f t="shared" ref="W72:AG72" si="97">I72</f>
        <v>0</v>
      </c>
      <c r="X72" s="10">
        <f t="shared" si="97"/>
        <v>0</v>
      </c>
      <c r="Y72" s="10">
        <f t="shared" si="97"/>
        <v>0</v>
      </c>
      <c r="Z72" s="10">
        <f t="shared" si="97"/>
        <v>0</v>
      </c>
      <c r="AA72" s="10">
        <f t="shared" si="97"/>
        <v>0</v>
      </c>
      <c r="AB72" s="10">
        <f t="shared" si="97"/>
        <v>0</v>
      </c>
      <c r="AC72" s="150">
        <f t="shared" si="97"/>
        <v>0</v>
      </c>
      <c r="AD72" s="150">
        <f t="shared" si="97"/>
        <v>0</v>
      </c>
      <c r="AE72" s="150">
        <f t="shared" si="97"/>
        <v>0</v>
      </c>
      <c r="AF72" s="150">
        <f t="shared" si="97"/>
        <v>0</v>
      </c>
      <c r="AG72" s="150">
        <f t="shared" si="97"/>
        <v>0</v>
      </c>
    </row>
    <row r="73" spans="1:33" ht="12.75" customHeight="1">
      <c r="B73" s="13" t="s">
        <v>51</v>
      </c>
      <c r="C73" s="14" t="e">
        <f>SUM(C70:C72)</f>
        <v>#REF!</v>
      </c>
      <c r="D73" s="14" t="e">
        <f>SUM(D70:D72)</f>
        <v>#REF!</v>
      </c>
      <c r="E73" s="14">
        <f>SUM(E70:E72)</f>
        <v>0</v>
      </c>
      <c r="F73" s="14">
        <f>SUM(F70:F72)</f>
        <v>0</v>
      </c>
      <c r="G73" s="14">
        <f>SUM(G70:G72)</f>
        <v>0</v>
      </c>
      <c r="I73" s="14">
        <f t="shared" ref="I73:N73" si="98">SUM(I70:I72)</f>
        <v>0</v>
      </c>
      <c r="J73" s="14">
        <f t="shared" si="98"/>
        <v>0</v>
      </c>
      <c r="K73" s="14">
        <f t="shared" si="98"/>
        <v>0</v>
      </c>
      <c r="L73" s="14">
        <f t="shared" si="98"/>
        <v>0</v>
      </c>
      <c r="M73" s="14">
        <f t="shared" si="98"/>
        <v>0</v>
      </c>
      <c r="N73" s="14">
        <f t="shared" si="98"/>
        <v>0</v>
      </c>
      <c r="O73" s="14">
        <f>SUM(O70:O72)</f>
        <v>0</v>
      </c>
      <c r="P73" s="14">
        <f>SUM(P70:P72)</f>
        <v>0</v>
      </c>
      <c r="Q73" s="14">
        <f>SUM(Q70:Q72)</f>
        <v>0</v>
      </c>
      <c r="R73" s="14">
        <f>SUM(R70:R72)</f>
        <v>0</v>
      </c>
      <c r="S73" s="14">
        <f>SUM(S70:S72)</f>
        <v>0</v>
      </c>
      <c r="U73" s="14" t="e">
        <f t="shared" ref="U73:AE73" si="99">SUM(U70:U72)</f>
        <v>#REF!</v>
      </c>
      <c r="V73" s="14" t="e">
        <f t="shared" si="99"/>
        <v>#REF!</v>
      </c>
      <c r="W73" s="14">
        <f t="shared" si="99"/>
        <v>0</v>
      </c>
      <c r="X73" s="14">
        <f t="shared" si="99"/>
        <v>0</v>
      </c>
      <c r="Y73" s="14">
        <f t="shared" si="99"/>
        <v>0</v>
      </c>
      <c r="Z73" s="14">
        <f t="shared" si="99"/>
        <v>0</v>
      </c>
      <c r="AA73" s="14">
        <f t="shared" si="99"/>
        <v>0</v>
      </c>
      <c r="AB73" s="14">
        <f t="shared" si="99"/>
        <v>0</v>
      </c>
      <c r="AC73" s="14">
        <f t="shared" si="99"/>
        <v>0</v>
      </c>
      <c r="AD73" s="14">
        <f t="shared" si="99"/>
        <v>0</v>
      </c>
      <c r="AE73" s="14">
        <f t="shared" si="99"/>
        <v>0</v>
      </c>
      <c r="AF73" s="14">
        <f>SUM(AF70:AF72)</f>
        <v>0</v>
      </c>
      <c r="AG73" s="14">
        <f>SUM(AG70:AG72)</f>
        <v>0</v>
      </c>
    </row>
    <row r="74" spans="1:33" ht="5.0999999999999996" customHeight="1"/>
    <row r="75" spans="1:33" ht="12.75" customHeight="1">
      <c r="A75" s="5"/>
      <c r="B75" s="34" t="s">
        <v>75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</row>
    <row r="76" spans="1:33" ht="5.0999999999999996" customHeight="1"/>
    <row r="77" spans="1:33" ht="12.75" customHeight="1">
      <c r="B77" s="32" t="s">
        <v>110</v>
      </c>
      <c r="C77" s="85" t="e">
        <f>C70/C31</f>
        <v>#REF!</v>
      </c>
      <c r="D77" s="85" t="e">
        <f>D70/D31</f>
        <v>#REF!</v>
      </c>
      <c r="E77" s="85" t="e">
        <f>E70/E31</f>
        <v>#DIV/0!</v>
      </c>
      <c r="F77" s="85" t="e">
        <f>F70/F31</f>
        <v>#DIV/0!</v>
      </c>
      <c r="G77" s="85" t="e">
        <f>G70/G31</f>
        <v>#DIV/0!</v>
      </c>
      <c r="I77" s="85" t="e">
        <f>SUM(I70/SUM(I31:I31))</f>
        <v>#DIV/0!</v>
      </c>
      <c r="J77" s="85" t="e">
        <f>SUM(J70/SUM(I31:J31))</f>
        <v>#DIV/0!</v>
      </c>
      <c r="K77" s="85" t="e">
        <f>SUM(K70/SUM(I31:K31))</f>
        <v>#DIV/0!</v>
      </c>
      <c r="L77" s="85" t="e">
        <f t="shared" ref="L77:S77" si="100">SUM(L70/SUM(I31:L31))</f>
        <v>#DIV/0!</v>
      </c>
      <c r="M77" s="85" t="e">
        <f t="shared" si="100"/>
        <v>#DIV/0!</v>
      </c>
      <c r="N77" s="85" t="e">
        <f t="shared" si="100"/>
        <v>#DIV/0!</v>
      </c>
      <c r="O77" s="85" t="e">
        <f t="shared" si="100"/>
        <v>#DIV/0!</v>
      </c>
      <c r="P77" s="85" t="e">
        <f t="shared" si="100"/>
        <v>#DIV/0!</v>
      </c>
      <c r="Q77" s="85" t="e">
        <f t="shared" si="100"/>
        <v>#DIV/0!</v>
      </c>
      <c r="R77" s="85" t="e">
        <f t="shared" si="100"/>
        <v>#DIV/0!</v>
      </c>
      <c r="S77" s="85" t="e">
        <f t="shared" si="100"/>
        <v>#DIV/0!</v>
      </c>
      <c r="T77" s="85"/>
      <c r="U77" s="85" t="e">
        <f t="shared" ref="U77:AG77" si="101">U70/U31</f>
        <v>#REF!</v>
      </c>
      <c r="V77" s="85" t="e">
        <f t="shared" si="101"/>
        <v>#REF!</v>
      </c>
      <c r="W77" s="85" t="e">
        <f t="shared" si="101"/>
        <v>#DIV/0!</v>
      </c>
      <c r="X77" s="85" t="e">
        <f t="shared" si="101"/>
        <v>#DIV/0!</v>
      </c>
      <c r="Y77" s="85" t="e">
        <f t="shared" si="101"/>
        <v>#DIV/0!</v>
      </c>
      <c r="Z77" s="85" t="e">
        <f t="shared" si="101"/>
        <v>#DIV/0!</v>
      </c>
      <c r="AA77" s="85" t="e">
        <f t="shared" si="101"/>
        <v>#DIV/0!</v>
      </c>
      <c r="AB77" s="85" t="e">
        <f t="shared" si="101"/>
        <v>#DIV/0!</v>
      </c>
      <c r="AC77" s="85" t="e">
        <f t="shared" si="101"/>
        <v>#DIV/0!</v>
      </c>
      <c r="AD77" s="85" t="e">
        <f t="shared" si="101"/>
        <v>#DIV/0!</v>
      </c>
      <c r="AE77" s="85" t="e">
        <f t="shared" si="101"/>
        <v>#DIV/0!</v>
      </c>
      <c r="AF77" s="85" t="e">
        <f t="shared" si="101"/>
        <v>#DIV/0!</v>
      </c>
      <c r="AG77" s="85" t="e">
        <f t="shared" si="101"/>
        <v>#DIV/0!</v>
      </c>
    </row>
    <row r="78" spans="1:33" ht="12.75" customHeight="1">
      <c r="B78" s="32" t="s">
        <v>111</v>
      </c>
      <c r="C78" s="85" t="e">
        <f>SUM(C70-C51)/C31</f>
        <v>#REF!</v>
      </c>
      <c r="D78" s="85" t="e">
        <f>SUM(D70-D51)/D31</f>
        <v>#REF!</v>
      </c>
      <c r="E78" s="85" t="e">
        <f>SUM(E70-E51)/E31</f>
        <v>#DIV/0!</v>
      </c>
      <c r="F78" s="85" t="e">
        <f>SUM(F70-F51)/F31</f>
        <v>#DIV/0!</v>
      </c>
      <c r="G78" s="85" t="e">
        <f>SUM(G70-G51)/G31</f>
        <v>#DIV/0!</v>
      </c>
      <c r="I78" s="85" t="e">
        <f>SUM(I70-I51)/SUM(I31:I31)</f>
        <v>#DIV/0!</v>
      </c>
      <c r="J78" s="85" t="e">
        <f>SUM(J70-J51)/SUM(I31:J31)</f>
        <v>#DIV/0!</v>
      </c>
      <c r="K78" s="85" t="e">
        <f>SUM(K70-K51)/SUM(I31:K31)</f>
        <v>#DIV/0!</v>
      </c>
      <c r="L78" s="85" t="e">
        <f t="shared" ref="L78:S78" si="102">SUM(L70-L51)/SUM(I31:L31)</f>
        <v>#DIV/0!</v>
      </c>
      <c r="M78" s="85" t="e">
        <f t="shared" si="102"/>
        <v>#DIV/0!</v>
      </c>
      <c r="N78" s="85" t="e">
        <f t="shared" si="102"/>
        <v>#DIV/0!</v>
      </c>
      <c r="O78" s="85" t="e">
        <f t="shared" si="102"/>
        <v>#DIV/0!</v>
      </c>
      <c r="P78" s="85" t="e">
        <f t="shared" si="102"/>
        <v>#DIV/0!</v>
      </c>
      <c r="Q78" s="85" t="e">
        <f t="shared" si="102"/>
        <v>#DIV/0!</v>
      </c>
      <c r="R78" s="85" t="e">
        <f t="shared" si="102"/>
        <v>#DIV/0!</v>
      </c>
      <c r="S78" s="85" t="e">
        <f t="shared" si="102"/>
        <v>#DIV/0!</v>
      </c>
      <c r="T78" s="85"/>
      <c r="U78" s="85" t="e">
        <f t="shared" ref="U78:AG78" si="103">SUM(U70-U51)/U31</f>
        <v>#REF!</v>
      </c>
      <c r="V78" s="85" t="e">
        <f t="shared" si="103"/>
        <v>#REF!</v>
      </c>
      <c r="W78" s="85" t="e">
        <f t="shared" si="103"/>
        <v>#DIV/0!</v>
      </c>
      <c r="X78" s="85" t="e">
        <f t="shared" si="103"/>
        <v>#DIV/0!</v>
      </c>
      <c r="Y78" s="85" t="e">
        <f t="shared" si="103"/>
        <v>#DIV/0!</v>
      </c>
      <c r="Z78" s="85" t="e">
        <f t="shared" si="103"/>
        <v>#DIV/0!</v>
      </c>
      <c r="AA78" s="85" t="e">
        <f t="shared" si="103"/>
        <v>#DIV/0!</v>
      </c>
      <c r="AB78" s="85" t="e">
        <f t="shared" si="103"/>
        <v>#DIV/0!</v>
      </c>
      <c r="AC78" s="85" t="e">
        <f t="shared" si="103"/>
        <v>#DIV/0!</v>
      </c>
      <c r="AD78" s="85" t="e">
        <f t="shared" si="103"/>
        <v>#DIV/0!</v>
      </c>
      <c r="AE78" s="85" t="e">
        <f t="shared" si="103"/>
        <v>#DIV/0!</v>
      </c>
      <c r="AF78" s="85" t="e">
        <f t="shared" si="103"/>
        <v>#DIV/0!</v>
      </c>
      <c r="AG78" s="85" t="e">
        <f t="shared" si="103"/>
        <v>#DIV/0!</v>
      </c>
    </row>
    <row r="79" spans="1:33" ht="12.75" customHeight="1">
      <c r="B79" s="32" t="s">
        <v>112</v>
      </c>
      <c r="C79" s="85" t="e">
        <f>C31/-C36</f>
        <v>#REF!</v>
      </c>
      <c r="D79" s="85" t="e">
        <f>D31/-D36</f>
        <v>#DIV/0!</v>
      </c>
      <c r="E79" s="85" t="e">
        <f>E31/-E36</f>
        <v>#DIV/0!</v>
      </c>
      <c r="F79" s="85" t="e">
        <f>F31/-F36</f>
        <v>#DIV/0!</v>
      </c>
      <c r="G79" s="85" t="e">
        <f>G31/-G36</f>
        <v>#DIV/0!</v>
      </c>
      <c r="I79" s="85" t="e" cm="1">
        <f t="array" ref="I79">SUM(I31:I31)/SUM(-I36:I36)</f>
        <v>#DIV/0!</v>
      </c>
      <c r="J79" s="85" t="e" cm="1">
        <f t="array" ref="J79">SUM(I31:J31)/SUM(-I36:J36)</f>
        <v>#DIV/0!</v>
      </c>
      <c r="K79" s="85" t="e" cm="1">
        <f t="array" ref="K79">SUM(I31:K31)/SUM(-I36:K36)</f>
        <v>#DIV/0!</v>
      </c>
      <c r="L79" s="85" t="e" cm="1">
        <f t="array" ref="L79">SUM(I31:L31)/SUM(-I36:L36)</f>
        <v>#DIV/0!</v>
      </c>
      <c r="M79" s="85" t="e" cm="1">
        <f t="array" ref="M79">SUM(J31:M31)/SUM(-J36:M36)</f>
        <v>#DIV/0!</v>
      </c>
      <c r="N79" s="85" t="e" cm="1">
        <f t="array" ref="N79">SUM(K31:N31)/SUM(-K36:N36)</f>
        <v>#DIV/0!</v>
      </c>
      <c r="O79" s="85" t="e" cm="1">
        <f t="array" ref="O79">SUM(L31:O31)/SUM(-L36:O36)</f>
        <v>#DIV/0!</v>
      </c>
      <c r="P79" s="85" t="e" cm="1">
        <f t="array" ref="P79">SUM(M31:P31)/SUM(-M36:P36)</f>
        <v>#DIV/0!</v>
      </c>
      <c r="Q79" s="85" t="e" cm="1">
        <f t="array" ref="Q79">SUM(N31:Q31)/SUM(-N36:Q36)</f>
        <v>#DIV/0!</v>
      </c>
      <c r="R79" s="85" t="e" cm="1">
        <f t="array" ref="R79">SUM(O31:R31)/SUM(-O36:R36)</f>
        <v>#DIV/0!</v>
      </c>
      <c r="S79" s="85" t="e" cm="1">
        <f t="array" ref="S79">SUM(P31:S31)/SUM(-P36:S36)</f>
        <v>#DIV/0!</v>
      </c>
      <c r="T79" s="85"/>
      <c r="U79" s="85" t="e">
        <f t="shared" ref="U79:AG79" si="104">U31/-U36</f>
        <v>#DIV/0!</v>
      </c>
      <c r="V79" s="85" t="e">
        <f t="shared" si="104"/>
        <v>#REF!</v>
      </c>
      <c r="W79" s="85" t="e">
        <f t="shared" si="104"/>
        <v>#DIV/0!</v>
      </c>
      <c r="X79" s="85" t="e">
        <f t="shared" si="104"/>
        <v>#DIV/0!</v>
      </c>
      <c r="Y79" s="85" t="e">
        <f t="shared" si="104"/>
        <v>#DIV/0!</v>
      </c>
      <c r="Z79" s="85" t="e">
        <f t="shared" si="104"/>
        <v>#DIV/0!</v>
      </c>
      <c r="AA79" s="85" t="e">
        <f t="shared" si="104"/>
        <v>#DIV/0!</v>
      </c>
      <c r="AB79" s="85" t="e">
        <f t="shared" si="104"/>
        <v>#DIV/0!</v>
      </c>
      <c r="AC79" s="85" t="e">
        <f t="shared" si="104"/>
        <v>#DIV/0!</v>
      </c>
      <c r="AD79" s="85" t="e">
        <f t="shared" si="104"/>
        <v>#DIV/0!</v>
      </c>
      <c r="AE79" s="85" t="e">
        <f t="shared" si="104"/>
        <v>#DIV/0!</v>
      </c>
      <c r="AF79" s="85" t="e">
        <f t="shared" si="104"/>
        <v>#DIV/0!</v>
      </c>
      <c r="AG79" s="85" t="e">
        <f t="shared" si="104"/>
        <v>#DIV/0!</v>
      </c>
    </row>
    <row r="80" spans="1:33" ht="12.75" customHeight="1">
      <c r="B80" s="32" t="s">
        <v>113</v>
      </c>
      <c r="C80" s="85" t="e" cm="1">
        <f t="array" ref="C80">SUM(C31+C34)/SUM(-C35:C36)</f>
        <v>#REF!</v>
      </c>
      <c r="D80" s="85" t="e" cm="1">
        <f t="array" ref="D80">SUM(D31+D34)/SUM(-D35:D36)</f>
        <v>#DIV/0!</v>
      </c>
      <c r="E80" s="85" t="e" cm="1">
        <f t="array" ref="E80">SUM(E31+E34)/SUM(-E35:E36)</f>
        <v>#DIV/0!</v>
      </c>
      <c r="F80" s="85" t="e" cm="1">
        <f t="array" ref="F80">SUM(F31+F34)/SUM(-F35:F36)</f>
        <v>#DIV/0!</v>
      </c>
      <c r="G80" s="85" t="e" cm="1">
        <f t="array" ref="G80">SUM(G31+G34)/SUM(-G35:G36)</f>
        <v>#DIV/0!</v>
      </c>
      <c r="I80" s="85" t="e" cm="1">
        <f t="array" ref="I80">SUM(I31:I31+I34:I34)/SUM(-I35:I36)</f>
        <v>#DIV/0!</v>
      </c>
      <c r="J80" s="85" t="e" cm="1">
        <f t="array" ref="J80">SUM(I31:J31+I34:J34)/SUM(-I35:J36)</f>
        <v>#DIV/0!</v>
      </c>
      <c r="K80" s="85" t="e" cm="1">
        <f t="array" ref="K80">SUM(I31:K31+I34:K34)/SUM(-I35:K36)</f>
        <v>#DIV/0!</v>
      </c>
      <c r="L80" s="85" t="e" cm="1">
        <f t="array" ref="L80">SUM(I31:L31+I34:L34)/SUM(-I35:L36)</f>
        <v>#DIV/0!</v>
      </c>
      <c r="M80" s="85" t="e" cm="1">
        <f t="array" ref="M80">SUM(J31:M31+J34:M34)/SUM(-J35:M36)</f>
        <v>#DIV/0!</v>
      </c>
      <c r="N80" s="85" t="e" cm="1">
        <f t="array" ref="N80">SUM(K31:N31+K34:N34)/SUM(-K35:N36)</f>
        <v>#DIV/0!</v>
      </c>
      <c r="O80" s="85" t="e" cm="1">
        <f t="array" ref="O80">SUM(L31:O31+L34:O34)/SUM(-L35:O36)</f>
        <v>#DIV/0!</v>
      </c>
      <c r="P80" s="85" t="e" cm="1">
        <f t="array" ref="P80">SUM(M31:P31+M34:P34)/SUM(-M35:P36)</f>
        <v>#DIV/0!</v>
      </c>
      <c r="Q80" s="85" t="e" cm="1">
        <f t="array" ref="Q80">SUM(N31:Q31+N34:Q34)/SUM(-N35:Q36)</f>
        <v>#DIV/0!</v>
      </c>
      <c r="R80" s="85" t="e" cm="1">
        <f t="array" ref="R80">SUM(O31:R31+O34:R34)/SUM(-O35:R36)</f>
        <v>#DIV/0!</v>
      </c>
      <c r="S80" s="85" t="e" cm="1">
        <f t="array" ref="S80">SUM(P31:S31+P34:S34)/SUM(-P35:S36)</f>
        <v>#DIV/0!</v>
      </c>
      <c r="T80" s="85"/>
      <c r="U80" s="85" t="e" cm="1">
        <f t="array" ref="U80">SUM(U31+U34)/SUM(-U35:U36)</f>
        <v>#DIV/0!</v>
      </c>
      <c r="V80" s="85" t="e" cm="1">
        <f t="array" ref="V80">SUM(V31+V34)/SUM(-V35:V36)</f>
        <v>#REF!</v>
      </c>
      <c r="W80" s="85" t="e" cm="1">
        <f t="array" ref="W80">SUM(W31+W34)/SUM(-W35:W36)</f>
        <v>#DIV/0!</v>
      </c>
      <c r="X80" s="85" t="e" cm="1">
        <f t="array" ref="X80">SUM(X31+X34)/SUM(-X35:X36)</f>
        <v>#DIV/0!</v>
      </c>
      <c r="Y80" s="85" t="e" cm="1">
        <f t="array" ref="Y80">SUM(Y31+Y34)/SUM(-Y35:Y36)</f>
        <v>#DIV/0!</v>
      </c>
      <c r="Z80" s="85" t="e" cm="1">
        <f t="array" ref="Z80">SUM(Z31+Z34)/SUM(-Z35:Z36)</f>
        <v>#DIV/0!</v>
      </c>
      <c r="AA80" s="85" t="e" cm="1">
        <f t="array" ref="AA80">SUM(AA31+AA34)/SUM(-AA35:AA36)</f>
        <v>#DIV/0!</v>
      </c>
      <c r="AB80" s="85" t="e" cm="1">
        <f t="array" ref="AB80">SUM(AB31+AB34)/SUM(-AB35:AB36)</f>
        <v>#DIV/0!</v>
      </c>
      <c r="AC80" s="85" t="e" cm="1">
        <f t="array" ref="AC80">SUM(AC31+AC34)/SUM(-AC35:AC36)</f>
        <v>#DIV/0!</v>
      </c>
      <c r="AD80" s="85" t="e" cm="1">
        <f t="array" ref="AD80">SUM(AD31+AD34)/SUM(-AD35:AD36)</f>
        <v>#DIV/0!</v>
      </c>
      <c r="AE80" s="85" t="e" cm="1">
        <f t="array" ref="AE80">SUM(AE31+AE34)/SUM(-AE35:AE36)</f>
        <v>#DIV/0!</v>
      </c>
      <c r="AF80" s="85" t="e" cm="1">
        <f t="array" ref="AF80">SUM(AF31+AF34)/SUM(-AF35:AF36)</f>
        <v>#DIV/0!</v>
      </c>
      <c r="AG80" s="85" t="e" cm="1">
        <f t="array" ref="AG80">SUM(AG31+AG34)/SUM(-AG35:AG36)</f>
        <v>#DIV/0!</v>
      </c>
    </row>
    <row r="81" spans="2:33" ht="12.75" customHeight="1">
      <c r="B81" s="32" t="s">
        <v>114</v>
      </c>
      <c r="C81" s="85" t="e" cm="1">
        <f t="array" ref="C81">SUM(C31)/SUM(-C34:C36)</f>
        <v>#REF!</v>
      </c>
      <c r="D81" s="85" t="e" cm="1">
        <f t="array" ref="D81">SUM(D31)/SUM(-D34:D36)</f>
        <v>#DIV/0!</v>
      </c>
      <c r="E81" s="85" t="e" cm="1">
        <f t="array" ref="E81">SUM(E31)/SUM(-E34:E36)</f>
        <v>#DIV/0!</v>
      </c>
      <c r="F81" s="85" t="e" cm="1">
        <f t="array" ref="F81">SUM(F31)/SUM(-F34:F36)</f>
        <v>#DIV/0!</v>
      </c>
      <c r="G81" s="85" t="e" cm="1">
        <f t="array" ref="G81">SUM(G31)/SUM(-G34:G36)</f>
        <v>#DIV/0!</v>
      </c>
      <c r="I81" s="85" t="e" cm="1">
        <f t="array" ref="I81">SUM(I31:I31)/SUM(-I34:I36)</f>
        <v>#DIV/0!</v>
      </c>
      <c r="J81" s="85" t="e" cm="1">
        <f t="array" ref="J81">SUM(I31:J31)/SUM(-I34:J36)</f>
        <v>#DIV/0!</v>
      </c>
      <c r="K81" s="85" t="e" cm="1">
        <f t="array" ref="K81">SUM(I31:K31)/SUM(-I34:K36)</f>
        <v>#DIV/0!</v>
      </c>
      <c r="L81" s="85" t="e" cm="1">
        <f t="array" ref="L81">SUM(I31:L31)/SUM(-I34:L36)</f>
        <v>#DIV/0!</v>
      </c>
      <c r="M81" s="85" t="e" cm="1">
        <f t="array" ref="M81">SUM(J31:M31)/SUM(-J34:M36)</f>
        <v>#DIV/0!</v>
      </c>
      <c r="N81" s="85" t="e" cm="1">
        <f t="array" ref="N81">SUM(K31:N31)/SUM(-K34:N36)</f>
        <v>#DIV/0!</v>
      </c>
      <c r="O81" s="85" t="e" cm="1">
        <f t="array" ref="O81">SUM(L31:O31)/SUM(-L34:O36)</f>
        <v>#DIV/0!</v>
      </c>
      <c r="P81" s="85" t="e" cm="1">
        <f t="array" ref="P81">SUM(M31:P31)/SUM(-M34:P36)</f>
        <v>#DIV/0!</v>
      </c>
      <c r="Q81" s="85" t="e" cm="1">
        <f t="array" ref="Q81">SUM(N31:Q31)/SUM(-N34:Q36)</f>
        <v>#DIV/0!</v>
      </c>
      <c r="R81" s="85" t="e" cm="1">
        <f t="array" ref="R81">SUM(O31:R31)/SUM(-O34:R36)</f>
        <v>#DIV/0!</v>
      </c>
      <c r="S81" s="85" t="e" cm="1">
        <f t="array" ref="S81">SUM(P31:S31)/SUM(-P34:S36)</f>
        <v>#DIV/0!</v>
      </c>
      <c r="T81" s="85"/>
      <c r="U81" s="85" t="e" cm="1">
        <f t="array" ref="U81">SUM(U31)/SUM(-U34:U36)</f>
        <v>#DIV/0!</v>
      </c>
      <c r="V81" s="85" t="e" cm="1">
        <f t="array" ref="V81">SUM(V31)/SUM(-V34:V36)</f>
        <v>#REF!</v>
      </c>
      <c r="W81" s="85" t="e" cm="1">
        <f t="array" ref="W81">SUM(W31)/SUM(-W34:W36)</f>
        <v>#DIV/0!</v>
      </c>
      <c r="X81" s="85" t="e" cm="1">
        <f t="array" ref="X81">SUM(X31)/SUM(-X34:X36)</f>
        <v>#DIV/0!</v>
      </c>
      <c r="Y81" s="85" t="e" cm="1">
        <f t="array" ref="Y81">SUM(Y31)/SUM(-Y34:Y36)</f>
        <v>#DIV/0!</v>
      </c>
      <c r="Z81" s="85" t="e" cm="1">
        <f t="array" ref="Z81">SUM(Z31)/SUM(-Z34:Z36)</f>
        <v>#DIV/0!</v>
      </c>
      <c r="AA81" s="85" t="e" cm="1">
        <f t="array" ref="AA81">SUM(AA31)/SUM(-AA34:AA36)</f>
        <v>#DIV/0!</v>
      </c>
      <c r="AB81" s="85" t="e" cm="1">
        <f t="array" ref="AB81">SUM(AB31)/SUM(-AB34:AB36)</f>
        <v>#DIV/0!</v>
      </c>
      <c r="AC81" s="85" t="e" cm="1">
        <f t="array" ref="AC81">SUM(AC31)/SUM(-AC34:AC36)</f>
        <v>#DIV/0!</v>
      </c>
      <c r="AD81" s="85" t="e" cm="1">
        <f t="array" ref="AD81">SUM(AD31)/SUM(-AD34:AD36)</f>
        <v>#DIV/0!</v>
      </c>
      <c r="AE81" s="85" t="e" cm="1">
        <f t="array" ref="AE81">SUM(AE31)/SUM(-AE34:AE36)</f>
        <v>#DIV/0!</v>
      </c>
      <c r="AF81" s="85" t="e" cm="1">
        <f t="array" ref="AF81">SUM(AF31)/SUM(-AF34:AF36)</f>
        <v>#DIV/0!</v>
      </c>
      <c r="AG81" s="85" t="e" cm="1">
        <f t="array" ref="AG81">SUM(AG31)/SUM(-AG34:AG36)</f>
        <v>#DIV/0!</v>
      </c>
    </row>
    <row r="82" spans="2:33" ht="12.75" customHeight="1">
      <c r="B82" s="8" t="s">
        <v>52</v>
      </c>
      <c r="C82" s="85" t="e">
        <f>C73/C70</f>
        <v>#REF!</v>
      </c>
      <c r="D82" s="85" t="e">
        <f>D73/D70</f>
        <v>#REF!</v>
      </c>
      <c r="E82" s="85" t="e">
        <f>E73/E70</f>
        <v>#DIV/0!</v>
      </c>
      <c r="F82" s="85" t="e">
        <f>F73/F70</f>
        <v>#DIV/0!</v>
      </c>
      <c r="G82" s="85" t="e">
        <f>G73/G70</f>
        <v>#DIV/0!</v>
      </c>
      <c r="I82" s="85" t="e">
        <f t="shared" ref="I82:R82" si="105">I73/I70</f>
        <v>#DIV/0!</v>
      </c>
      <c r="J82" s="85" t="e">
        <f t="shared" si="105"/>
        <v>#DIV/0!</v>
      </c>
      <c r="K82" s="85" t="e">
        <f t="shared" si="105"/>
        <v>#DIV/0!</v>
      </c>
      <c r="L82" s="85" t="e">
        <f t="shared" si="105"/>
        <v>#DIV/0!</v>
      </c>
      <c r="M82" s="85" t="e">
        <f t="shared" si="105"/>
        <v>#DIV/0!</v>
      </c>
      <c r="N82" s="85" t="e">
        <f t="shared" si="105"/>
        <v>#DIV/0!</v>
      </c>
      <c r="O82" s="85" t="e">
        <f t="shared" si="105"/>
        <v>#DIV/0!</v>
      </c>
      <c r="P82" s="85" t="e">
        <f t="shared" si="105"/>
        <v>#DIV/0!</v>
      </c>
      <c r="Q82" s="85" t="e">
        <f t="shared" si="105"/>
        <v>#DIV/0!</v>
      </c>
      <c r="R82" s="85" t="e">
        <f t="shared" si="105"/>
        <v>#DIV/0!</v>
      </c>
      <c r="S82" s="85" t="e">
        <f>S73/S70</f>
        <v>#DIV/0!</v>
      </c>
      <c r="T82" s="85"/>
      <c r="U82" s="85" t="e">
        <f t="shared" ref="U82:AE82" si="106">U73/U70</f>
        <v>#REF!</v>
      </c>
      <c r="V82" s="85" t="e">
        <f t="shared" si="106"/>
        <v>#REF!</v>
      </c>
      <c r="W82" s="85" t="e">
        <f t="shared" si="106"/>
        <v>#DIV/0!</v>
      </c>
      <c r="X82" s="85" t="e">
        <f t="shared" si="106"/>
        <v>#DIV/0!</v>
      </c>
      <c r="Y82" s="85" t="e">
        <f t="shared" si="106"/>
        <v>#DIV/0!</v>
      </c>
      <c r="Z82" s="85" t="e">
        <f t="shared" si="106"/>
        <v>#DIV/0!</v>
      </c>
      <c r="AA82" s="85" t="e">
        <f t="shared" si="106"/>
        <v>#DIV/0!</v>
      </c>
      <c r="AB82" s="85" t="e">
        <f t="shared" si="106"/>
        <v>#DIV/0!</v>
      </c>
      <c r="AC82" s="85" t="e">
        <f t="shared" si="106"/>
        <v>#DIV/0!</v>
      </c>
      <c r="AD82" s="85" t="e">
        <f t="shared" si="106"/>
        <v>#DIV/0!</v>
      </c>
      <c r="AE82" s="85" t="e">
        <f t="shared" si="106"/>
        <v>#DIV/0!</v>
      </c>
      <c r="AF82" s="85" t="e">
        <f>AF73/AF70</f>
        <v>#DIV/0!</v>
      </c>
      <c r="AG82" s="85" t="e">
        <f>AG73/AG70</f>
        <v>#DIV/0!</v>
      </c>
    </row>
    <row r="83" spans="2:33" ht="5.0999999999999996" customHeight="1" thickBot="1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</row>
  </sheetData>
  <mergeCells count="1">
    <mergeCell ref="AI2:AI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8:H39 AH39:AI39 H34:H36 H41 AH41:AI41 AH37 AH38 H37 AH40:AI40 H40 C44:D44 C43:D43 C40:D40 C41:D42 C45:D45 I38:R39" formulaRange="1"/>
    <ignoredError sqref="C77:H82 D12:H14 C24:H25 C17:H18 H21:H23 T21:AG22 C28:H29 H26 T26:AG26 C31:H32 H30 AI27:AI38 T30:AG30 AI10:AI14 H16 AI21:AI26 H27 AI16:AI19 T19:AG19 H19 I77:AG82 I12:AG14 I24:AG25 I17:AG18 I28:AG29 I31:AG32" evalError="1"/>
    <ignoredError sqref="AC44:AG4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2025-12-16T07:07:01Z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