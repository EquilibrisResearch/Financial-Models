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8_{6D7D56DD-B113-4C86-91B6-1F653AE9E097}" xr6:coauthVersionLast="47" xr6:coauthVersionMax="47" xr10:uidLastSave="{00000000-0000-0000-0000-000000000000}"/>
  <bookViews>
    <workbookView xWindow="-120" yWindow="-120" windowWidth="29040" windowHeight="15720" activeTab="2" xr2:uid="{BC9106CE-9107-4097-8948-317996376CB5}"/>
  </bookViews>
  <sheets>
    <sheet name="Historical Financials" sheetId="8" r:id="rId1"/>
    <sheet name="Revenue Drivers" sheetId="10" r:id="rId2"/>
    <sheet name="FCF" sheetId="11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0" i="11" l="1"/>
  <c r="AG40" i="11" s="1"/>
  <c r="AD40" i="11"/>
  <c r="AC40" i="11"/>
  <c r="AB40" i="11"/>
  <c r="AA40" i="11"/>
  <c r="Z40" i="11"/>
  <c r="Y40" i="11"/>
  <c r="X40" i="11"/>
  <c r="W40" i="11"/>
  <c r="V40" i="11"/>
  <c r="AE23" i="11"/>
  <c r="AD23" i="11"/>
  <c r="AC23" i="11"/>
  <c r="AB23" i="11"/>
  <c r="AA23" i="11"/>
  <c r="Z23" i="11"/>
  <c r="Y23" i="11"/>
  <c r="X23" i="11"/>
  <c r="W23" i="11"/>
  <c r="V23" i="11"/>
  <c r="AE22" i="11"/>
  <c r="AD22" i="11"/>
  <c r="AC22" i="11"/>
  <c r="AB22" i="11"/>
  <c r="AA22" i="11"/>
  <c r="Z22" i="11"/>
  <c r="Y22" i="11"/>
  <c r="X22" i="11"/>
  <c r="W22" i="11"/>
  <c r="V22" i="11"/>
  <c r="AE21" i="11"/>
  <c r="AD21" i="11"/>
  <c r="AC21" i="11"/>
  <c r="AB21" i="11"/>
  <c r="AA21" i="11"/>
  <c r="Z21" i="11"/>
  <c r="Y21" i="11"/>
  <c r="X21" i="11"/>
  <c r="W21" i="11"/>
  <c r="V21" i="11"/>
  <c r="K54" i="11"/>
  <c r="V54" i="11" s="1"/>
  <c r="W54" i="11"/>
  <c r="O54" i="11"/>
  <c r="Z54" i="11" s="1"/>
  <c r="AC54" i="11"/>
  <c r="S54" i="11"/>
  <c r="K55" i="11"/>
  <c r="V55" i="11" s="1"/>
  <c r="W55" i="11"/>
  <c r="O55" i="11"/>
  <c r="Z55" i="11" s="1"/>
  <c r="AA55" i="11"/>
  <c r="AB55" i="11"/>
  <c r="S55" i="11"/>
  <c r="AD55" i="11" s="1"/>
  <c r="K56" i="11"/>
  <c r="O56" i="11"/>
  <c r="Z56" i="11" s="1"/>
  <c r="S56" i="11"/>
  <c r="AD56" i="11" s="1"/>
  <c r="X54" i="11"/>
  <c r="Y54" i="11"/>
  <c r="AC55" i="11"/>
  <c r="AD78" i="11"/>
  <c r="AC78" i="11"/>
  <c r="AB78" i="11"/>
  <c r="AA78" i="11"/>
  <c r="Z78" i="11"/>
  <c r="Y78" i="11"/>
  <c r="X78" i="11"/>
  <c r="W78" i="11"/>
  <c r="V78" i="11"/>
  <c r="AE78" i="11"/>
  <c r="AC75" i="11"/>
  <c r="AB75" i="11"/>
  <c r="AA75" i="11"/>
  <c r="Y75" i="11"/>
  <c r="X75" i="11"/>
  <c r="W75" i="11"/>
  <c r="AC74" i="11"/>
  <c r="AB74" i="11"/>
  <c r="AA74" i="11"/>
  <c r="Y74" i="11"/>
  <c r="X74" i="11"/>
  <c r="W74" i="11"/>
  <c r="AC73" i="11"/>
  <c r="AB73" i="11"/>
  <c r="AA73" i="11"/>
  <c r="Y73" i="11"/>
  <c r="X73" i="11"/>
  <c r="W73" i="11"/>
  <c r="AC72" i="11"/>
  <c r="AB72" i="11"/>
  <c r="AA72" i="11"/>
  <c r="Y72" i="11"/>
  <c r="X72" i="11"/>
  <c r="W72" i="11"/>
  <c r="AE75" i="11"/>
  <c r="AE74" i="11"/>
  <c r="AE73" i="11"/>
  <c r="AE72" i="11"/>
  <c r="AD70" i="11"/>
  <c r="AC70" i="11"/>
  <c r="AB70" i="11"/>
  <c r="AA70" i="11"/>
  <c r="Z70" i="11"/>
  <c r="Y70" i="11"/>
  <c r="X70" i="11"/>
  <c r="W70" i="11"/>
  <c r="V70" i="11"/>
  <c r="AD69" i="11"/>
  <c r="AC69" i="11"/>
  <c r="AB69" i="11"/>
  <c r="AA69" i="11"/>
  <c r="Z69" i="11"/>
  <c r="Y69" i="11"/>
  <c r="X69" i="11"/>
  <c r="W69" i="11"/>
  <c r="V69" i="11"/>
  <c r="AE70" i="11"/>
  <c r="AE69" i="11"/>
  <c r="AD66" i="11"/>
  <c r="AC66" i="11"/>
  <c r="AB66" i="11"/>
  <c r="AA66" i="11"/>
  <c r="Z66" i="11"/>
  <c r="Y66" i="11"/>
  <c r="X66" i="11"/>
  <c r="W66" i="11"/>
  <c r="V66" i="11"/>
  <c r="AD65" i="11"/>
  <c r="AC65" i="11"/>
  <c r="AB65" i="11"/>
  <c r="AA65" i="11"/>
  <c r="Z65" i="11"/>
  <c r="Y65" i="11"/>
  <c r="X65" i="11"/>
  <c r="W65" i="11"/>
  <c r="V65" i="11"/>
  <c r="AD64" i="11"/>
  <c r="AC64" i="11"/>
  <c r="AB64" i="11"/>
  <c r="AA64" i="11"/>
  <c r="Z64" i="11"/>
  <c r="Y64" i="11"/>
  <c r="X64" i="11"/>
  <c r="W64" i="11"/>
  <c r="V64" i="11"/>
  <c r="AD63" i="11"/>
  <c r="AC63" i="11"/>
  <c r="AB63" i="11"/>
  <c r="AA63" i="11"/>
  <c r="Z63" i="11"/>
  <c r="Y63" i="11"/>
  <c r="X63" i="11"/>
  <c r="W63" i="11"/>
  <c r="V63" i="11"/>
  <c r="AD62" i="11"/>
  <c r="AC62" i="11"/>
  <c r="AB62" i="11"/>
  <c r="AA62" i="11"/>
  <c r="Z62" i="11"/>
  <c r="Y62" i="11"/>
  <c r="X62" i="11"/>
  <c r="W62" i="11"/>
  <c r="V62" i="11"/>
  <c r="AD61" i="11"/>
  <c r="AC61" i="11"/>
  <c r="AB61" i="11"/>
  <c r="AA61" i="11"/>
  <c r="Z61" i="11"/>
  <c r="Y61" i="11"/>
  <c r="X61" i="11"/>
  <c r="W61" i="11"/>
  <c r="V61" i="11"/>
  <c r="AD60" i="11"/>
  <c r="AC60" i="11"/>
  <c r="AB60" i="11"/>
  <c r="AA60" i="11"/>
  <c r="Z60" i="11"/>
  <c r="Y60" i="11"/>
  <c r="X60" i="11"/>
  <c r="W60" i="11"/>
  <c r="V60" i="11"/>
  <c r="AE66" i="11"/>
  <c r="AE65" i="11"/>
  <c r="AE64" i="11"/>
  <c r="AE63" i="11"/>
  <c r="AE62" i="11"/>
  <c r="AE61" i="11"/>
  <c r="AE60" i="11"/>
  <c r="AC56" i="11"/>
  <c r="AB56" i="11"/>
  <c r="AA56" i="11"/>
  <c r="Y56" i="11"/>
  <c r="X56" i="11"/>
  <c r="W56" i="11"/>
  <c r="V56" i="11"/>
  <c r="Y55" i="11"/>
  <c r="X55" i="11"/>
  <c r="AD54" i="11"/>
  <c r="AB54" i="11"/>
  <c r="AA54" i="11"/>
  <c r="AE56" i="11"/>
  <c r="AE55" i="11"/>
  <c r="AE54" i="11"/>
  <c r="S25" i="10"/>
  <c r="AD25" i="10" s="1"/>
  <c r="S24" i="10"/>
  <c r="AE24" i="10" s="1"/>
  <c r="S23" i="10"/>
  <c r="AD23" i="10" s="1"/>
  <c r="S22" i="10"/>
  <c r="S21" i="10"/>
  <c r="AE21" i="10" s="1"/>
  <c r="S20" i="10"/>
  <c r="O25" i="10"/>
  <c r="AA25" i="10" s="1"/>
  <c r="O24" i="10"/>
  <c r="AA24" i="10" s="1"/>
  <c r="O23" i="10"/>
  <c r="AB23" i="10" s="1"/>
  <c r="O22" i="10"/>
  <c r="AA22" i="10" s="1"/>
  <c r="O21" i="10"/>
  <c r="AC21" i="10" s="1"/>
  <c r="O20" i="10"/>
  <c r="AA20" i="10" s="1"/>
  <c r="K25" i="10"/>
  <c r="X25" i="10" s="1"/>
  <c r="K24" i="10"/>
  <c r="Y24" i="10" s="1"/>
  <c r="K23" i="10"/>
  <c r="X23" i="10" s="1"/>
  <c r="K22" i="10"/>
  <c r="Y22" i="10" s="1"/>
  <c r="K21" i="10"/>
  <c r="W21" i="10" s="1"/>
  <c r="K20" i="10"/>
  <c r="Y20" i="10" s="1"/>
  <c r="AE25" i="10"/>
  <c r="W25" i="10"/>
  <c r="V25" i="10"/>
  <c r="W24" i="10"/>
  <c r="V24" i="10"/>
  <c r="Z23" i="10"/>
  <c r="AE22" i="10"/>
  <c r="AD22" i="10"/>
  <c r="AD21" i="10"/>
  <c r="Y21" i="10"/>
  <c r="AE20" i="10"/>
  <c r="AD20" i="10"/>
  <c r="AB20" i="10"/>
  <c r="Y10" i="10"/>
  <c r="W10" i="10"/>
  <c r="V10" i="10"/>
  <c r="Z9" i="10"/>
  <c r="X9" i="10"/>
  <c r="W9" i="10"/>
  <c r="V144" i="8"/>
  <c r="V139" i="8"/>
  <c r="V138" i="8"/>
  <c r="V137" i="8"/>
  <c r="AD143" i="8"/>
  <c r="AC143" i="8"/>
  <c r="AB143" i="8"/>
  <c r="AA143" i="8"/>
  <c r="Z143" i="8"/>
  <c r="Y143" i="8"/>
  <c r="X143" i="8"/>
  <c r="W143" i="8"/>
  <c r="V143" i="8"/>
  <c r="AD142" i="8"/>
  <c r="AC142" i="8"/>
  <c r="AB142" i="8"/>
  <c r="AA142" i="8"/>
  <c r="Z142" i="8"/>
  <c r="AA138" i="8" s="1"/>
  <c r="Y142" i="8"/>
  <c r="X142" i="8"/>
  <c r="W142" i="8"/>
  <c r="V142" i="8"/>
  <c r="AD141" i="8"/>
  <c r="AC141" i="8"/>
  <c r="AB141" i="8"/>
  <c r="AA141" i="8"/>
  <c r="Z141" i="8"/>
  <c r="Y141" i="8"/>
  <c r="X141" i="8"/>
  <c r="W141" i="8"/>
  <c r="V141" i="8"/>
  <c r="AE143" i="8"/>
  <c r="AE142" i="8"/>
  <c r="AE141" i="8"/>
  <c r="AE133" i="8"/>
  <c r="AD133" i="8"/>
  <c r="AC133" i="8"/>
  <c r="AB133" i="8"/>
  <c r="AA133" i="8"/>
  <c r="Z133" i="8"/>
  <c r="Y133" i="8"/>
  <c r="X133" i="8"/>
  <c r="W133" i="8"/>
  <c r="V133" i="8"/>
  <c r="AE132" i="8"/>
  <c r="AD132" i="8"/>
  <c r="AC132" i="8"/>
  <c r="AB132" i="8"/>
  <c r="AA132" i="8"/>
  <c r="Z132" i="8"/>
  <c r="Y132" i="8"/>
  <c r="X132" i="8"/>
  <c r="W132" i="8"/>
  <c r="V132" i="8"/>
  <c r="AE131" i="8"/>
  <c r="AD131" i="8"/>
  <c r="AC131" i="8"/>
  <c r="AB131" i="8"/>
  <c r="AA131" i="8"/>
  <c r="Z131" i="8"/>
  <c r="Y131" i="8"/>
  <c r="X131" i="8"/>
  <c r="W131" i="8"/>
  <c r="V131" i="8"/>
  <c r="AE130" i="8"/>
  <c r="AD130" i="8"/>
  <c r="AC130" i="8"/>
  <c r="AB130" i="8"/>
  <c r="AA130" i="8"/>
  <c r="Z130" i="8"/>
  <c r="Y130" i="8"/>
  <c r="X130" i="8"/>
  <c r="W130" i="8"/>
  <c r="V130" i="8"/>
  <c r="AE129" i="8"/>
  <c r="AD129" i="8"/>
  <c r="AC129" i="8"/>
  <c r="AB129" i="8"/>
  <c r="AA129" i="8"/>
  <c r="Z129" i="8"/>
  <c r="Y129" i="8"/>
  <c r="X129" i="8"/>
  <c r="W129" i="8"/>
  <c r="V129" i="8"/>
  <c r="AE128" i="8"/>
  <c r="AD128" i="8"/>
  <c r="AC128" i="8"/>
  <c r="AB128" i="8"/>
  <c r="AA128" i="8"/>
  <c r="Z128" i="8"/>
  <c r="Y128" i="8"/>
  <c r="X128" i="8"/>
  <c r="W128" i="8"/>
  <c r="V128" i="8"/>
  <c r="AE124" i="8"/>
  <c r="AD124" i="8"/>
  <c r="AC124" i="8"/>
  <c r="AB124" i="8"/>
  <c r="AA124" i="8"/>
  <c r="Z124" i="8"/>
  <c r="Y124" i="8"/>
  <c r="X124" i="8"/>
  <c r="W124" i="8"/>
  <c r="V124" i="8"/>
  <c r="AE123" i="8"/>
  <c r="AD123" i="8"/>
  <c r="AC123" i="8"/>
  <c r="AB123" i="8"/>
  <c r="AA123" i="8"/>
  <c r="Z123" i="8"/>
  <c r="Y123" i="8"/>
  <c r="X123" i="8"/>
  <c r="W123" i="8"/>
  <c r="V123" i="8"/>
  <c r="AE122" i="8"/>
  <c r="AD122" i="8"/>
  <c r="AC122" i="8"/>
  <c r="AB122" i="8"/>
  <c r="AA122" i="8"/>
  <c r="Z122" i="8"/>
  <c r="Y122" i="8"/>
  <c r="X122" i="8"/>
  <c r="W122" i="8"/>
  <c r="V122" i="8"/>
  <c r="AE121" i="8"/>
  <c r="AD121" i="8"/>
  <c r="AC121" i="8"/>
  <c r="AB121" i="8"/>
  <c r="AA121" i="8"/>
  <c r="Z121" i="8"/>
  <c r="Y121" i="8"/>
  <c r="X121" i="8"/>
  <c r="W121" i="8"/>
  <c r="V121" i="8"/>
  <c r="AE120" i="8"/>
  <c r="AD120" i="8"/>
  <c r="AC120" i="8"/>
  <c r="AB120" i="8"/>
  <c r="AA120" i="8"/>
  <c r="Z120" i="8"/>
  <c r="Y120" i="8"/>
  <c r="X120" i="8"/>
  <c r="W120" i="8"/>
  <c r="V120" i="8"/>
  <c r="AE116" i="8"/>
  <c r="AD116" i="8"/>
  <c r="AC116" i="8"/>
  <c r="AB116" i="8"/>
  <c r="AA116" i="8"/>
  <c r="Z116" i="8"/>
  <c r="Y116" i="8"/>
  <c r="X116" i="8"/>
  <c r="W116" i="8"/>
  <c r="V116" i="8"/>
  <c r="AE115" i="8"/>
  <c r="AD115" i="8"/>
  <c r="AC115" i="8"/>
  <c r="AB115" i="8"/>
  <c r="AA115" i="8"/>
  <c r="Z115" i="8"/>
  <c r="Y115" i="8"/>
  <c r="X115" i="8"/>
  <c r="W115" i="8"/>
  <c r="V115" i="8"/>
  <c r="AE114" i="8"/>
  <c r="AD114" i="8"/>
  <c r="AC114" i="8"/>
  <c r="AB114" i="8"/>
  <c r="AA114" i="8"/>
  <c r="Z114" i="8"/>
  <c r="Y114" i="8"/>
  <c r="X114" i="8"/>
  <c r="W114" i="8"/>
  <c r="V114" i="8"/>
  <c r="AE113" i="8"/>
  <c r="AD113" i="8"/>
  <c r="AC113" i="8"/>
  <c r="AB113" i="8"/>
  <c r="AA113" i="8"/>
  <c r="Z113" i="8"/>
  <c r="Y113" i="8"/>
  <c r="X113" i="8"/>
  <c r="W113" i="8"/>
  <c r="V113" i="8"/>
  <c r="AE112" i="8"/>
  <c r="AD112" i="8"/>
  <c r="AC112" i="8"/>
  <c r="AB112" i="8"/>
  <c r="AA112" i="8"/>
  <c r="Z112" i="8"/>
  <c r="Y112" i="8"/>
  <c r="X112" i="8"/>
  <c r="W112" i="8"/>
  <c r="V112" i="8"/>
  <c r="AE111" i="8"/>
  <c r="AD111" i="8"/>
  <c r="AC111" i="8"/>
  <c r="AB111" i="8"/>
  <c r="AA111" i="8"/>
  <c r="Z111" i="8"/>
  <c r="Y111" i="8"/>
  <c r="X111" i="8"/>
  <c r="W111" i="8"/>
  <c r="V111" i="8"/>
  <c r="AE108" i="8"/>
  <c r="AD108" i="8"/>
  <c r="AC108" i="8"/>
  <c r="AB108" i="8"/>
  <c r="AA108" i="8"/>
  <c r="Z108" i="8"/>
  <c r="Y108" i="8"/>
  <c r="X108" i="8"/>
  <c r="W108" i="8"/>
  <c r="V108" i="8"/>
  <c r="AE107" i="8"/>
  <c r="AD107" i="8"/>
  <c r="AC107" i="8"/>
  <c r="AB107" i="8"/>
  <c r="AA107" i="8"/>
  <c r="Z107" i="8"/>
  <c r="Y107" i="8"/>
  <c r="X107" i="8"/>
  <c r="W107" i="8"/>
  <c r="V107" i="8"/>
  <c r="AE106" i="8"/>
  <c r="AD106" i="8"/>
  <c r="AC106" i="8"/>
  <c r="AB106" i="8"/>
  <c r="AA106" i="8"/>
  <c r="Z106" i="8"/>
  <c r="Y106" i="8"/>
  <c r="X106" i="8"/>
  <c r="W106" i="8"/>
  <c r="V106" i="8"/>
  <c r="AE105" i="8"/>
  <c r="AD105" i="8"/>
  <c r="AC105" i="8"/>
  <c r="AB105" i="8"/>
  <c r="AA105" i="8"/>
  <c r="Z105" i="8"/>
  <c r="Y105" i="8"/>
  <c r="X105" i="8"/>
  <c r="W105" i="8"/>
  <c r="V105" i="8"/>
  <c r="AE104" i="8"/>
  <c r="AD104" i="8"/>
  <c r="AC104" i="8"/>
  <c r="AB104" i="8"/>
  <c r="AA104" i="8"/>
  <c r="Z104" i="8"/>
  <c r="Y104" i="8"/>
  <c r="X104" i="8"/>
  <c r="W104" i="8"/>
  <c r="V104" i="8"/>
  <c r="AE103" i="8"/>
  <c r="AD103" i="8"/>
  <c r="AC103" i="8"/>
  <c r="AB103" i="8"/>
  <c r="AA103" i="8"/>
  <c r="Z103" i="8"/>
  <c r="Y103" i="8"/>
  <c r="X103" i="8"/>
  <c r="W103" i="8"/>
  <c r="V103" i="8"/>
  <c r="AE102" i="8"/>
  <c r="AD102" i="8"/>
  <c r="AC102" i="8"/>
  <c r="AB102" i="8"/>
  <c r="AA102" i="8"/>
  <c r="Z102" i="8"/>
  <c r="Y102" i="8"/>
  <c r="X102" i="8"/>
  <c r="W102" i="8"/>
  <c r="V102" i="8"/>
  <c r="AE101" i="8"/>
  <c r="AD101" i="8"/>
  <c r="AC101" i="8"/>
  <c r="AB101" i="8"/>
  <c r="AA101" i="8"/>
  <c r="Z101" i="8"/>
  <c r="Y101" i="8"/>
  <c r="X101" i="8"/>
  <c r="W101" i="8"/>
  <c r="V101" i="8"/>
  <c r="AE100" i="8"/>
  <c r="AD100" i="8"/>
  <c r="AC100" i="8"/>
  <c r="AB100" i="8"/>
  <c r="AA100" i="8"/>
  <c r="Z100" i="8"/>
  <c r="Y100" i="8"/>
  <c r="X100" i="8"/>
  <c r="W100" i="8"/>
  <c r="V100" i="8"/>
  <c r="AE85" i="8"/>
  <c r="AD85" i="8"/>
  <c r="AC85" i="8"/>
  <c r="AB85" i="8"/>
  <c r="AA85" i="8"/>
  <c r="Z85" i="8"/>
  <c r="Y85" i="8"/>
  <c r="X85" i="8"/>
  <c r="W85" i="8"/>
  <c r="V85" i="8"/>
  <c r="AE84" i="8"/>
  <c r="AD84" i="8"/>
  <c r="AC84" i="8"/>
  <c r="AB84" i="8"/>
  <c r="AA84" i="8"/>
  <c r="Z84" i="8"/>
  <c r="Y84" i="8"/>
  <c r="X84" i="8"/>
  <c r="W84" i="8"/>
  <c r="V84" i="8"/>
  <c r="AE83" i="8"/>
  <c r="AD83" i="8"/>
  <c r="AC83" i="8"/>
  <c r="AB83" i="8"/>
  <c r="AA83" i="8"/>
  <c r="Z83" i="8"/>
  <c r="Y83" i="8"/>
  <c r="X83" i="8"/>
  <c r="W83" i="8"/>
  <c r="V83" i="8"/>
  <c r="AE82" i="8"/>
  <c r="AD82" i="8"/>
  <c r="AC82" i="8"/>
  <c r="AB82" i="8"/>
  <c r="AA82" i="8"/>
  <c r="Z82" i="8"/>
  <c r="Y82" i="8"/>
  <c r="X82" i="8"/>
  <c r="W82" i="8"/>
  <c r="V82" i="8"/>
  <c r="AE81" i="8"/>
  <c r="AD81" i="8"/>
  <c r="AC81" i="8"/>
  <c r="AB81" i="8"/>
  <c r="AA81" i="8"/>
  <c r="Z81" i="8"/>
  <c r="Y81" i="8"/>
  <c r="X81" i="8"/>
  <c r="W81" i="8"/>
  <c r="V81" i="8"/>
  <c r="AE78" i="8"/>
  <c r="AD78" i="8"/>
  <c r="AC78" i="8"/>
  <c r="AB78" i="8"/>
  <c r="AA78" i="8"/>
  <c r="Z78" i="8"/>
  <c r="Y78" i="8"/>
  <c r="X78" i="8"/>
  <c r="W78" i="8"/>
  <c r="V78" i="8"/>
  <c r="AE77" i="8"/>
  <c r="AD77" i="8"/>
  <c r="AC77" i="8"/>
  <c r="AB77" i="8"/>
  <c r="AA77" i="8"/>
  <c r="Z77" i="8"/>
  <c r="Y77" i="8"/>
  <c r="X77" i="8"/>
  <c r="W77" i="8"/>
  <c r="V77" i="8"/>
  <c r="AE76" i="8"/>
  <c r="AD76" i="8"/>
  <c r="AC76" i="8"/>
  <c r="AB76" i="8"/>
  <c r="AA76" i="8"/>
  <c r="Z76" i="8"/>
  <c r="Y76" i="8"/>
  <c r="X76" i="8"/>
  <c r="W76" i="8"/>
  <c r="V76" i="8"/>
  <c r="AE75" i="8"/>
  <c r="AD75" i="8"/>
  <c r="AC75" i="8"/>
  <c r="AB75" i="8"/>
  <c r="AA75" i="8"/>
  <c r="Z75" i="8"/>
  <c r="Y75" i="8"/>
  <c r="X75" i="8"/>
  <c r="W75" i="8"/>
  <c r="V75" i="8"/>
  <c r="AE74" i="8"/>
  <c r="AD74" i="8"/>
  <c r="AC74" i="8"/>
  <c r="AB74" i="8"/>
  <c r="AA74" i="8"/>
  <c r="Z74" i="8"/>
  <c r="Y74" i="8"/>
  <c r="X74" i="8"/>
  <c r="W74" i="8"/>
  <c r="V74" i="8"/>
  <c r="AE73" i="8"/>
  <c r="AD73" i="8"/>
  <c r="AC73" i="8"/>
  <c r="AB73" i="8"/>
  <c r="AA73" i="8"/>
  <c r="Z73" i="8"/>
  <c r="Y73" i="8"/>
  <c r="X73" i="8"/>
  <c r="W73" i="8"/>
  <c r="V73" i="8"/>
  <c r="AE69" i="8"/>
  <c r="AD69" i="8"/>
  <c r="AC69" i="8"/>
  <c r="AB69" i="8"/>
  <c r="AA69" i="8"/>
  <c r="Z69" i="8"/>
  <c r="Y69" i="8"/>
  <c r="X69" i="8"/>
  <c r="W69" i="8"/>
  <c r="V69" i="8"/>
  <c r="AE68" i="8"/>
  <c r="AD68" i="8"/>
  <c r="AC68" i="8"/>
  <c r="AB68" i="8"/>
  <c r="AA68" i="8"/>
  <c r="Z68" i="8"/>
  <c r="Y68" i="8"/>
  <c r="X68" i="8"/>
  <c r="W68" i="8"/>
  <c r="V68" i="8"/>
  <c r="AE67" i="8"/>
  <c r="AD67" i="8"/>
  <c r="AC67" i="8"/>
  <c r="AB67" i="8"/>
  <c r="AA67" i="8"/>
  <c r="Z67" i="8"/>
  <c r="Y67" i="8"/>
  <c r="X67" i="8"/>
  <c r="W67" i="8"/>
  <c r="V67" i="8"/>
  <c r="AE66" i="8"/>
  <c r="AD66" i="8"/>
  <c r="AC66" i="8"/>
  <c r="AB66" i="8"/>
  <c r="AA66" i="8"/>
  <c r="Z66" i="8"/>
  <c r="Y66" i="8"/>
  <c r="X66" i="8"/>
  <c r="W66" i="8"/>
  <c r="V66" i="8"/>
  <c r="AE65" i="8"/>
  <c r="AD65" i="8"/>
  <c r="AC65" i="8"/>
  <c r="AB65" i="8"/>
  <c r="AA65" i="8"/>
  <c r="Z65" i="8"/>
  <c r="Y65" i="8"/>
  <c r="X65" i="8"/>
  <c r="W65" i="8"/>
  <c r="V65" i="8"/>
  <c r="AE64" i="8"/>
  <c r="AD64" i="8"/>
  <c r="AC64" i="8"/>
  <c r="AB64" i="8"/>
  <c r="AA64" i="8"/>
  <c r="Z64" i="8"/>
  <c r="Y64" i="8"/>
  <c r="X64" i="8"/>
  <c r="W64" i="8"/>
  <c r="V64" i="8"/>
  <c r="AE60" i="8"/>
  <c r="AD60" i="8"/>
  <c r="AC60" i="8"/>
  <c r="AB60" i="8"/>
  <c r="AA60" i="8"/>
  <c r="Z60" i="8"/>
  <c r="Y60" i="8"/>
  <c r="X60" i="8"/>
  <c r="W60" i="8"/>
  <c r="V60" i="8"/>
  <c r="AE59" i="8"/>
  <c r="AD59" i="8"/>
  <c r="AC59" i="8"/>
  <c r="AB59" i="8"/>
  <c r="AA59" i="8"/>
  <c r="Z59" i="8"/>
  <c r="Y59" i="8"/>
  <c r="X59" i="8"/>
  <c r="W59" i="8"/>
  <c r="V59" i="8"/>
  <c r="AE58" i="8"/>
  <c r="AD58" i="8"/>
  <c r="AC58" i="8"/>
  <c r="AB58" i="8"/>
  <c r="AA58" i="8"/>
  <c r="Z58" i="8"/>
  <c r="Y58" i="8"/>
  <c r="X58" i="8"/>
  <c r="W58" i="8"/>
  <c r="V58" i="8"/>
  <c r="AE57" i="8"/>
  <c r="AD57" i="8"/>
  <c r="AC57" i="8"/>
  <c r="AB57" i="8"/>
  <c r="AA57" i="8"/>
  <c r="Z57" i="8"/>
  <c r="Y57" i="8"/>
  <c r="X57" i="8"/>
  <c r="W57" i="8"/>
  <c r="V57" i="8"/>
  <c r="AE56" i="8"/>
  <c r="AD56" i="8"/>
  <c r="AC56" i="8"/>
  <c r="AB56" i="8"/>
  <c r="AA56" i="8"/>
  <c r="Z56" i="8"/>
  <c r="Y56" i="8"/>
  <c r="X56" i="8"/>
  <c r="W56" i="8"/>
  <c r="V56" i="8"/>
  <c r="AE55" i="8"/>
  <c r="AD55" i="8"/>
  <c r="AC55" i="8"/>
  <c r="AB55" i="8"/>
  <c r="AA55" i="8"/>
  <c r="Z55" i="8"/>
  <c r="Y55" i="8"/>
  <c r="X55" i="8"/>
  <c r="W55" i="8"/>
  <c r="V55" i="8"/>
  <c r="AE51" i="8"/>
  <c r="AD51" i="8"/>
  <c r="AC51" i="8"/>
  <c r="AB51" i="8"/>
  <c r="AA51" i="8"/>
  <c r="Z51" i="8"/>
  <c r="Y51" i="8"/>
  <c r="X51" i="8"/>
  <c r="W51" i="8"/>
  <c r="V51" i="8"/>
  <c r="AE50" i="8"/>
  <c r="AD50" i="8"/>
  <c r="AC50" i="8"/>
  <c r="AB50" i="8"/>
  <c r="AA50" i="8"/>
  <c r="Z50" i="8"/>
  <c r="Y50" i="8"/>
  <c r="X50" i="8"/>
  <c r="W50" i="8"/>
  <c r="V50" i="8"/>
  <c r="AE49" i="8"/>
  <c r="AD49" i="8"/>
  <c r="AC49" i="8"/>
  <c r="AB49" i="8"/>
  <c r="AA49" i="8"/>
  <c r="Z49" i="8"/>
  <c r="Y49" i="8"/>
  <c r="X49" i="8"/>
  <c r="W49" i="8"/>
  <c r="V49" i="8"/>
  <c r="AE48" i="8"/>
  <c r="AD48" i="8"/>
  <c r="AC48" i="8"/>
  <c r="AB48" i="8"/>
  <c r="AA48" i="8"/>
  <c r="Z48" i="8"/>
  <c r="Y48" i="8"/>
  <c r="X48" i="8"/>
  <c r="W48" i="8"/>
  <c r="V48" i="8"/>
  <c r="AE47" i="8"/>
  <c r="AD47" i="8"/>
  <c r="AC47" i="8"/>
  <c r="AB47" i="8"/>
  <c r="AA47" i="8"/>
  <c r="Z47" i="8"/>
  <c r="Y47" i="8"/>
  <c r="X47" i="8"/>
  <c r="W47" i="8"/>
  <c r="V47" i="8"/>
  <c r="AE46" i="8"/>
  <c r="AD46" i="8"/>
  <c r="AC46" i="8"/>
  <c r="AB46" i="8"/>
  <c r="AA46" i="8"/>
  <c r="Z46" i="8"/>
  <c r="Y46" i="8"/>
  <c r="X46" i="8"/>
  <c r="W46" i="8"/>
  <c r="V46" i="8"/>
  <c r="AE38" i="8"/>
  <c r="AD38" i="8"/>
  <c r="AC38" i="8"/>
  <c r="AB38" i="8"/>
  <c r="AA38" i="8"/>
  <c r="Z38" i="8"/>
  <c r="Y38" i="8"/>
  <c r="X38" i="8"/>
  <c r="W38" i="8"/>
  <c r="V38" i="8"/>
  <c r="AD35" i="8"/>
  <c r="AC35" i="8"/>
  <c r="AB35" i="8"/>
  <c r="AA35" i="8"/>
  <c r="Z35" i="8"/>
  <c r="Y35" i="8"/>
  <c r="X35" i="8"/>
  <c r="W35" i="8"/>
  <c r="V35" i="8"/>
  <c r="AE35" i="8"/>
  <c r="AE31" i="8"/>
  <c r="AD31" i="8"/>
  <c r="AC31" i="8"/>
  <c r="AB31" i="8"/>
  <c r="AA31" i="8"/>
  <c r="Z31" i="8"/>
  <c r="Y31" i="8"/>
  <c r="X31" i="8"/>
  <c r="W31" i="8"/>
  <c r="V31" i="8"/>
  <c r="AE27" i="8"/>
  <c r="AD27" i="8"/>
  <c r="AC27" i="8"/>
  <c r="AB27" i="8"/>
  <c r="AA27" i="8"/>
  <c r="Z27" i="8"/>
  <c r="Y27" i="8"/>
  <c r="X27" i="8"/>
  <c r="W27" i="8"/>
  <c r="V27" i="8"/>
  <c r="AE26" i="8"/>
  <c r="AD26" i="8"/>
  <c r="AC26" i="8"/>
  <c r="AB26" i="8"/>
  <c r="AA26" i="8"/>
  <c r="Z26" i="8"/>
  <c r="Y26" i="8"/>
  <c r="X26" i="8"/>
  <c r="W26" i="8"/>
  <c r="V26" i="8"/>
  <c r="AE25" i="8"/>
  <c r="AD25" i="8"/>
  <c r="AC25" i="8"/>
  <c r="AB25" i="8"/>
  <c r="AA25" i="8"/>
  <c r="Z25" i="8"/>
  <c r="Y25" i="8"/>
  <c r="X25" i="8"/>
  <c r="W25" i="8"/>
  <c r="V25" i="8"/>
  <c r="AE24" i="8"/>
  <c r="AD24" i="8"/>
  <c r="AC24" i="8"/>
  <c r="AB24" i="8"/>
  <c r="AA24" i="8"/>
  <c r="Z24" i="8"/>
  <c r="Y24" i="8"/>
  <c r="X24" i="8"/>
  <c r="W24" i="8"/>
  <c r="V24" i="8"/>
  <c r="AE20" i="8"/>
  <c r="AD20" i="8"/>
  <c r="AC20" i="8"/>
  <c r="AB20" i="8"/>
  <c r="AA20" i="8"/>
  <c r="Z20" i="8"/>
  <c r="Y20" i="8"/>
  <c r="X20" i="8"/>
  <c r="W20" i="8"/>
  <c r="V20" i="8"/>
  <c r="AE19" i="8"/>
  <c r="AD19" i="8"/>
  <c r="AC19" i="8"/>
  <c r="AB19" i="8"/>
  <c r="AA19" i="8"/>
  <c r="Z19" i="8"/>
  <c r="Y19" i="8"/>
  <c r="X19" i="8"/>
  <c r="W19" i="8"/>
  <c r="V19" i="8"/>
  <c r="AE18" i="8"/>
  <c r="AD18" i="8"/>
  <c r="AC18" i="8"/>
  <c r="AB18" i="8"/>
  <c r="AA18" i="8"/>
  <c r="Z18" i="8"/>
  <c r="Y18" i="8"/>
  <c r="X18" i="8"/>
  <c r="W18" i="8"/>
  <c r="V18" i="8"/>
  <c r="AE17" i="8"/>
  <c r="AD17" i="8"/>
  <c r="AC17" i="8"/>
  <c r="AB17" i="8"/>
  <c r="AA17" i="8"/>
  <c r="Z17" i="8"/>
  <c r="Y17" i="8"/>
  <c r="X17" i="8"/>
  <c r="W17" i="8"/>
  <c r="V17" i="8"/>
  <c r="AE13" i="8"/>
  <c r="AD13" i="8"/>
  <c r="AC13" i="8"/>
  <c r="AB13" i="8"/>
  <c r="AA13" i="8"/>
  <c r="Z13" i="8"/>
  <c r="Y13" i="8"/>
  <c r="X13" i="8"/>
  <c r="W13" i="8"/>
  <c r="V13" i="8"/>
  <c r="AD10" i="8"/>
  <c r="AC10" i="8"/>
  <c r="AB10" i="8"/>
  <c r="AA10" i="8"/>
  <c r="Z10" i="8"/>
  <c r="Y10" i="8"/>
  <c r="X10" i="8"/>
  <c r="W10" i="8"/>
  <c r="V10" i="8"/>
  <c r="AE10" i="8"/>
  <c r="AC8" i="8"/>
  <c r="AB8" i="8"/>
  <c r="AA8" i="8"/>
  <c r="Y8" i="8"/>
  <c r="X8" i="8"/>
  <c r="W8" i="8"/>
  <c r="AD7" i="8"/>
  <c r="AC7" i="8"/>
  <c r="AB7" i="8"/>
  <c r="AA7" i="8"/>
  <c r="Z7" i="8"/>
  <c r="Y7" i="8"/>
  <c r="X7" i="8"/>
  <c r="W7" i="8"/>
  <c r="V7" i="8"/>
  <c r="AE8" i="8"/>
  <c r="AE7" i="8"/>
  <c r="S133" i="8"/>
  <c r="O133" i="8"/>
  <c r="K133" i="8"/>
  <c r="S132" i="8"/>
  <c r="O132" i="8"/>
  <c r="K132" i="8"/>
  <c r="S131" i="8"/>
  <c r="O131" i="8"/>
  <c r="K131" i="8"/>
  <c r="S130" i="8"/>
  <c r="O130" i="8"/>
  <c r="K130" i="8"/>
  <c r="S129" i="8"/>
  <c r="O129" i="8"/>
  <c r="K129" i="8"/>
  <c r="S124" i="8"/>
  <c r="O124" i="8"/>
  <c r="K124" i="8"/>
  <c r="S123" i="8"/>
  <c r="O123" i="8"/>
  <c r="K123" i="8"/>
  <c r="S122" i="8"/>
  <c r="O122" i="8"/>
  <c r="K122" i="8"/>
  <c r="S121" i="8"/>
  <c r="O121" i="8"/>
  <c r="K121" i="8"/>
  <c r="S116" i="8"/>
  <c r="O116" i="8"/>
  <c r="K116" i="8"/>
  <c r="S115" i="8"/>
  <c r="O115" i="8"/>
  <c r="K115" i="8"/>
  <c r="S114" i="8"/>
  <c r="O114" i="8"/>
  <c r="K114" i="8"/>
  <c r="S113" i="8"/>
  <c r="O113" i="8"/>
  <c r="K113" i="8"/>
  <c r="S112" i="8"/>
  <c r="O112" i="8"/>
  <c r="K112" i="8"/>
  <c r="S108" i="8"/>
  <c r="O108" i="8"/>
  <c r="K108" i="8"/>
  <c r="S107" i="8"/>
  <c r="O107" i="8"/>
  <c r="K107" i="8"/>
  <c r="S106" i="8"/>
  <c r="O106" i="8"/>
  <c r="K106" i="8"/>
  <c r="S105" i="8"/>
  <c r="O105" i="8"/>
  <c r="K105" i="8"/>
  <c r="S104" i="8"/>
  <c r="O104" i="8"/>
  <c r="K104" i="8"/>
  <c r="S103" i="8"/>
  <c r="O103" i="8"/>
  <c r="K103" i="8"/>
  <c r="S102" i="8"/>
  <c r="O102" i="8"/>
  <c r="K102" i="8"/>
  <c r="S101" i="8"/>
  <c r="O101" i="8"/>
  <c r="K101" i="8"/>
  <c r="S78" i="8"/>
  <c r="O78" i="8"/>
  <c r="K78" i="8"/>
  <c r="S77" i="8"/>
  <c r="O77" i="8"/>
  <c r="K77" i="8"/>
  <c r="S76" i="8"/>
  <c r="O76" i="8"/>
  <c r="K76" i="8"/>
  <c r="S75" i="8"/>
  <c r="O75" i="8"/>
  <c r="K75" i="8"/>
  <c r="S74" i="8"/>
  <c r="O74" i="8"/>
  <c r="K74" i="8"/>
  <c r="S48" i="8"/>
  <c r="O48" i="8"/>
  <c r="K48" i="8"/>
  <c r="S58" i="8"/>
  <c r="O58" i="8"/>
  <c r="K58" i="8"/>
  <c r="S57" i="8"/>
  <c r="O57" i="8"/>
  <c r="K57" i="8"/>
  <c r="S25" i="8"/>
  <c r="O25" i="8"/>
  <c r="K25" i="8"/>
  <c r="S19" i="8"/>
  <c r="O19" i="8"/>
  <c r="K19" i="8"/>
  <c r="S18" i="8"/>
  <c r="O18" i="8"/>
  <c r="K18" i="8"/>
  <c r="V48" i="11"/>
  <c r="S128" i="8"/>
  <c r="O128" i="8"/>
  <c r="K128" i="8"/>
  <c r="S120" i="8"/>
  <c r="O120" i="8"/>
  <c r="K120" i="8"/>
  <c r="S85" i="8"/>
  <c r="O85" i="8"/>
  <c r="K85" i="8"/>
  <c r="S84" i="8"/>
  <c r="O84" i="8"/>
  <c r="K84" i="8"/>
  <c r="S83" i="8"/>
  <c r="O83" i="8"/>
  <c r="K83" i="8"/>
  <c r="S82" i="8"/>
  <c r="O82" i="8"/>
  <c r="K82" i="8"/>
  <c r="S81" i="8"/>
  <c r="O81" i="8"/>
  <c r="K81" i="8"/>
  <c r="S73" i="8"/>
  <c r="O73" i="8"/>
  <c r="K73" i="8"/>
  <c r="S69" i="8"/>
  <c r="O69" i="8"/>
  <c r="K69" i="8"/>
  <c r="S68" i="8"/>
  <c r="O68" i="8"/>
  <c r="K68" i="8"/>
  <c r="S67" i="8"/>
  <c r="O67" i="8"/>
  <c r="K67" i="8"/>
  <c r="S66" i="8"/>
  <c r="O66" i="8"/>
  <c r="K66" i="8"/>
  <c r="S65" i="8"/>
  <c r="O65" i="8"/>
  <c r="K65" i="8"/>
  <c r="S64" i="8"/>
  <c r="O64" i="8"/>
  <c r="K64" i="8"/>
  <c r="S60" i="8"/>
  <c r="O60" i="8"/>
  <c r="K60" i="8"/>
  <c r="S59" i="8"/>
  <c r="O59" i="8"/>
  <c r="K59" i="8"/>
  <c r="S56" i="8"/>
  <c r="O56" i="8"/>
  <c r="K56" i="8"/>
  <c r="S55" i="8"/>
  <c r="O55" i="8"/>
  <c r="K55" i="8"/>
  <c r="T4" i="11"/>
  <c r="AE4" i="11" s="1"/>
  <c r="T3" i="11"/>
  <c r="AE3" i="11" s="1"/>
  <c r="B34" i="10"/>
  <c r="B33" i="10"/>
  <c r="B32" i="10"/>
  <c r="B31" i="10"/>
  <c r="B30" i="10"/>
  <c r="B29" i="10"/>
  <c r="S9" i="10"/>
  <c r="AD9" i="10" s="1"/>
  <c r="T11" i="10"/>
  <c r="T15" i="10" s="1"/>
  <c r="T4" i="10"/>
  <c r="AE4" i="10" s="1"/>
  <c r="T3" i="10"/>
  <c r="AE3" i="10" s="1"/>
  <c r="T52" i="8"/>
  <c r="T61" i="8" s="1"/>
  <c r="R70" i="8"/>
  <c r="AE138" i="8"/>
  <c r="AD138" i="8"/>
  <c r="AB138" i="8"/>
  <c r="Z138" i="8"/>
  <c r="X138" i="8"/>
  <c r="W138" i="8"/>
  <c r="T94" i="8"/>
  <c r="T134" i="8"/>
  <c r="T125" i="8"/>
  <c r="T93" i="8"/>
  <c r="T86" i="8"/>
  <c r="T43" i="8"/>
  <c r="T42" i="8"/>
  <c r="T11" i="8"/>
  <c r="T14" i="8" s="1"/>
  <c r="S74" i="11"/>
  <c r="AD74" i="11" s="1"/>
  <c r="S73" i="11"/>
  <c r="AD73" i="11" s="1"/>
  <c r="S72" i="11"/>
  <c r="AD72" i="11" s="1"/>
  <c r="S3" i="11"/>
  <c r="AD3" i="11" s="1"/>
  <c r="R4" i="11"/>
  <c r="AC4" i="11" s="1"/>
  <c r="R3" i="11"/>
  <c r="AC3" i="11" s="1"/>
  <c r="S10" i="10"/>
  <c r="AE10" i="10" s="1"/>
  <c r="S3" i="10"/>
  <c r="AD3" i="10" s="1"/>
  <c r="R11" i="10"/>
  <c r="R15" i="10" s="1"/>
  <c r="R4" i="10"/>
  <c r="AC4" i="10" s="1"/>
  <c r="R3" i="10"/>
  <c r="AC3" i="10" s="1"/>
  <c r="S150" i="8"/>
  <c r="AD150" i="8" s="1"/>
  <c r="S149" i="8"/>
  <c r="AE149" i="8" s="1"/>
  <c r="S50" i="8"/>
  <c r="S49" i="8"/>
  <c r="S47" i="8"/>
  <c r="T138" i="8" s="1"/>
  <c r="S46" i="8"/>
  <c r="S38" i="8"/>
  <c r="S35" i="8"/>
  <c r="S31" i="8"/>
  <c r="S27" i="8"/>
  <c r="S26" i="8"/>
  <c r="S24" i="8"/>
  <c r="S17" i="8"/>
  <c r="S13" i="8"/>
  <c r="S10" i="8"/>
  <c r="S11" i="8" s="1"/>
  <c r="S8" i="8"/>
  <c r="S4" i="10" s="1"/>
  <c r="AD4" i="10" s="1"/>
  <c r="S138" i="8"/>
  <c r="R94" i="8"/>
  <c r="S93" i="8"/>
  <c r="R93" i="8"/>
  <c r="R86" i="8"/>
  <c r="R52" i="8"/>
  <c r="R61" i="8" s="1"/>
  <c r="R43" i="8"/>
  <c r="S42" i="8"/>
  <c r="R42" i="8"/>
  <c r="R11" i="8"/>
  <c r="R14" i="8" s="1"/>
  <c r="R21" i="8" s="1"/>
  <c r="O8" i="8"/>
  <c r="O4" i="11" s="1"/>
  <c r="Z4" i="11" s="1"/>
  <c r="K8" i="8"/>
  <c r="K4" i="10" s="1"/>
  <c r="V4" i="10" s="1"/>
  <c r="J76" i="11"/>
  <c r="O141" i="8"/>
  <c r="H76" i="11"/>
  <c r="X48" i="11"/>
  <c r="W48" i="11"/>
  <c r="W44" i="11"/>
  <c r="F125" i="8"/>
  <c r="F134" i="8"/>
  <c r="O74" i="11"/>
  <c r="Z74" i="11" s="1"/>
  <c r="O73" i="11"/>
  <c r="Z73" i="11" s="1"/>
  <c r="O72" i="11"/>
  <c r="Z72" i="11" s="1"/>
  <c r="K74" i="11"/>
  <c r="V74" i="11" s="1"/>
  <c r="K73" i="11"/>
  <c r="V73" i="11" s="1"/>
  <c r="K72" i="11"/>
  <c r="V72" i="11" s="1"/>
  <c r="AE20" i="11"/>
  <c r="AD20" i="11"/>
  <c r="AE16" i="11"/>
  <c r="AD16" i="11"/>
  <c r="M76" i="11"/>
  <c r="E76" i="11"/>
  <c r="D76" i="11"/>
  <c r="C76" i="11"/>
  <c r="F76" i="11"/>
  <c r="Q4" i="11"/>
  <c r="AB4" i="11" s="1"/>
  <c r="P4" i="11"/>
  <c r="AA4" i="11" s="1"/>
  <c r="N4" i="11"/>
  <c r="Y4" i="11" s="1"/>
  <c r="M4" i="11"/>
  <c r="X4" i="11" s="1"/>
  <c r="L4" i="11"/>
  <c r="W4" i="11" s="1"/>
  <c r="J4" i="11"/>
  <c r="I4" i="11"/>
  <c r="Q3" i="11"/>
  <c r="AB3" i="11" s="1"/>
  <c r="P3" i="11"/>
  <c r="AA3" i="11" s="1"/>
  <c r="O3" i="11"/>
  <c r="Z3" i="11" s="1"/>
  <c r="N3" i="11"/>
  <c r="Y3" i="11" s="1"/>
  <c r="M3" i="11"/>
  <c r="X3" i="11" s="1"/>
  <c r="L3" i="11"/>
  <c r="W3" i="11" s="1"/>
  <c r="K3" i="11"/>
  <c r="V3" i="11" s="1"/>
  <c r="J3" i="11"/>
  <c r="I3" i="11"/>
  <c r="H4" i="11"/>
  <c r="H3" i="11"/>
  <c r="E4" i="11"/>
  <c r="D4" i="11"/>
  <c r="C4" i="11"/>
  <c r="E3" i="11"/>
  <c r="D3" i="11"/>
  <c r="C3" i="11"/>
  <c r="F3" i="11"/>
  <c r="F4" i="11"/>
  <c r="B2" i="11"/>
  <c r="F11" i="10"/>
  <c r="F15" i="10" s="1"/>
  <c r="F4" i="10"/>
  <c r="F3" i="10"/>
  <c r="R138" i="8"/>
  <c r="Q138" i="8"/>
  <c r="O138" i="8"/>
  <c r="N138" i="8"/>
  <c r="M138" i="8"/>
  <c r="K138" i="8"/>
  <c r="J138" i="8"/>
  <c r="I138" i="8"/>
  <c r="F138" i="8"/>
  <c r="O47" i="8"/>
  <c r="K47" i="8"/>
  <c r="L138" i="8" s="1"/>
  <c r="F52" i="8"/>
  <c r="F61" i="8" s="1"/>
  <c r="F94" i="8"/>
  <c r="F93" i="8"/>
  <c r="F86" i="8"/>
  <c r="F43" i="8"/>
  <c r="F42" i="8"/>
  <c r="F11" i="8"/>
  <c r="F14" i="8" s="1"/>
  <c r="Q4" i="10"/>
  <c r="AB4" i="10" s="1"/>
  <c r="P4" i="10"/>
  <c r="AA4" i="10" s="1"/>
  <c r="N4" i="10"/>
  <c r="Y4" i="10" s="1"/>
  <c r="M4" i="10"/>
  <c r="X4" i="10" s="1"/>
  <c r="L4" i="10"/>
  <c r="W4" i="10" s="1"/>
  <c r="J4" i="10"/>
  <c r="I4" i="10"/>
  <c r="Q3" i="10"/>
  <c r="AB3" i="10" s="1"/>
  <c r="P3" i="10"/>
  <c r="AA3" i="10" s="1"/>
  <c r="O3" i="10"/>
  <c r="Z3" i="10" s="1"/>
  <c r="N3" i="10"/>
  <c r="Y3" i="10" s="1"/>
  <c r="M3" i="10"/>
  <c r="X3" i="10" s="1"/>
  <c r="L3" i="10"/>
  <c r="W3" i="10" s="1"/>
  <c r="K3" i="10"/>
  <c r="V3" i="10" s="1"/>
  <c r="J3" i="10"/>
  <c r="I3" i="10"/>
  <c r="H4" i="10"/>
  <c r="H3" i="10"/>
  <c r="D4" i="10"/>
  <c r="C4" i="10"/>
  <c r="D3" i="10"/>
  <c r="C3" i="10"/>
  <c r="E4" i="10"/>
  <c r="E3" i="10"/>
  <c r="O9" i="10"/>
  <c r="AC9" i="10" s="1"/>
  <c r="K9" i="10"/>
  <c r="Y9" i="10" s="1"/>
  <c r="O10" i="10"/>
  <c r="AC10" i="10" s="1"/>
  <c r="K10" i="10"/>
  <c r="X10" i="10" s="1"/>
  <c r="AG21" i="11" l="1"/>
  <c r="AG22" i="11"/>
  <c r="AG23" i="11"/>
  <c r="AE48" i="11"/>
  <c r="AD38" i="11"/>
  <c r="X44" i="11"/>
  <c r="V44" i="11"/>
  <c r="Y48" i="11"/>
  <c r="AC22" i="10"/>
  <c r="AA9" i="10"/>
  <c r="Z10" i="10"/>
  <c r="AB9" i="10"/>
  <c r="AA10" i="10"/>
  <c r="AB10" i="10"/>
  <c r="W23" i="10"/>
  <c r="V9" i="10"/>
  <c r="AB21" i="10"/>
  <c r="Y23" i="10"/>
  <c r="Z25" i="10"/>
  <c r="AD10" i="10"/>
  <c r="Z22" i="10"/>
  <c r="V20" i="10"/>
  <c r="AB22" i="10"/>
  <c r="AC23" i="10"/>
  <c r="AE23" i="10"/>
  <c r="AB25" i="10"/>
  <c r="V22" i="10"/>
  <c r="AC25" i="10"/>
  <c r="W22" i="10"/>
  <c r="V23" i="10"/>
  <c r="X22" i="10"/>
  <c r="X21" i="10"/>
  <c r="Z21" i="10"/>
  <c r="AA21" i="10"/>
  <c r="Z24" i="10"/>
  <c r="AB24" i="10"/>
  <c r="AC24" i="10"/>
  <c r="AD24" i="10"/>
  <c r="AC20" i="10"/>
  <c r="AA23" i="10"/>
  <c r="Z20" i="10"/>
  <c r="Y25" i="10"/>
  <c r="W20" i="10"/>
  <c r="X20" i="10"/>
  <c r="V21" i="10"/>
  <c r="X24" i="10"/>
  <c r="AE9" i="10"/>
  <c r="D26" i="10"/>
  <c r="D30" i="10" s="1"/>
  <c r="W11" i="10"/>
  <c r="X11" i="10"/>
  <c r="D33" i="10"/>
  <c r="J26" i="10"/>
  <c r="J34" i="10" s="1"/>
  <c r="D31" i="10"/>
  <c r="N26" i="10"/>
  <c r="N30" i="10" s="1"/>
  <c r="Y11" i="10"/>
  <c r="AD11" i="10"/>
  <c r="Y138" i="8"/>
  <c r="Z8" i="8"/>
  <c r="AD48" i="11"/>
  <c r="AG131" i="8"/>
  <c r="V8" i="8"/>
  <c r="AD8" i="8"/>
  <c r="AG133" i="8"/>
  <c r="AG132" i="8"/>
  <c r="AG130" i="8"/>
  <c r="AC48" i="11"/>
  <c r="AG129" i="8"/>
  <c r="AG115" i="8"/>
  <c r="AG123" i="8"/>
  <c r="AD44" i="11"/>
  <c r="AG122" i="8"/>
  <c r="AG121" i="8"/>
  <c r="AG114" i="8"/>
  <c r="AG113" i="8"/>
  <c r="AG112" i="8"/>
  <c r="AG107" i="8"/>
  <c r="AG104" i="8"/>
  <c r="AG105" i="8"/>
  <c r="AG106" i="8"/>
  <c r="AG102" i="8"/>
  <c r="AG108" i="8"/>
  <c r="AG103" i="8"/>
  <c r="AG78" i="8"/>
  <c r="AG48" i="8"/>
  <c r="AG75" i="8"/>
  <c r="AG77" i="8"/>
  <c r="AG74" i="8"/>
  <c r="AG76" i="8"/>
  <c r="AG58" i="8"/>
  <c r="AG57" i="8"/>
  <c r="AG18" i="8"/>
  <c r="O4" i="10"/>
  <c r="Z4" i="10" s="1"/>
  <c r="AG25" i="8"/>
  <c r="AC138" i="8"/>
  <c r="V57" i="11"/>
  <c r="AE28" i="11"/>
  <c r="AB149" i="8"/>
  <c r="R76" i="11"/>
  <c r="R79" i="11" s="1"/>
  <c r="R88" i="11" s="1"/>
  <c r="AE150" i="8"/>
  <c r="S100" i="8"/>
  <c r="AE37" i="11"/>
  <c r="AC149" i="8"/>
  <c r="K4" i="11"/>
  <c r="V4" i="11" s="1"/>
  <c r="S94" i="8"/>
  <c r="T70" i="8"/>
  <c r="AD149" i="8"/>
  <c r="AB150" i="8"/>
  <c r="R134" i="8"/>
  <c r="AC150" i="8"/>
  <c r="R79" i="8"/>
  <c r="AE38" i="11"/>
  <c r="AE39" i="11"/>
  <c r="AE76" i="11"/>
  <c r="AE79" i="11" s="1"/>
  <c r="T57" i="11"/>
  <c r="T76" i="11"/>
  <c r="T79" i="11" s="1"/>
  <c r="T88" i="11" s="1"/>
  <c r="M26" i="10"/>
  <c r="M32" i="10" s="1"/>
  <c r="AC11" i="10"/>
  <c r="E26" i="10"/>
  <c r="E32" i="10" s="1"/>
  <c r="I26" i="10"/>
  <c r="I31" i="10" s="1"/>
  <c r="D34" i="10"/>
  <c r="P26" i="10"/>
  <c r="P34" i="10" s="1"/>
  <c r="C26" i="10"/>
  <c r="C29" i="10" s="1"/>
  <c r="T12" i="11"/>
  <c r="T17" i="11" s="1"/>
  <c r="R26" i="10"/>
  <c r="R31" i="10" s="1"/>
  <c r="Q26" i="10"/>
  <c r="Q29" i="10" s="1"/>
  <c r="S111" i="8"/>
  <c r="AD32" i="11"/>
  <c r="T26" i="10"/>
  <c r="T30" i="10" s="1"/>
  <c r="L26" i="10"/>
  <c r="H26" i="10"/>
  <c r="F26" i="10"/>
  <c r="T12" i="10"/>
  <c r="T14" i="10"/>
  <c r="T21" i="8"/>
  <c r="T15" i="8"/>
  <c r="AB57" i="11"/>
  <c r="S75" i="11"/>
  <c r="S43" i="8"/>
  <c r="S20" i="8"/>
  <c r="S4" i="11"/>
  <c r="AD4" i="11" s="1"/>
  <c r="S51" i="8"/>
  <c r="S86" i="8"/>
  <c r="R57" i="11"/>
  <c r="S11" i="10"/>
  <c r="S15" i="10" s="1"/>
  <c r="R12" i="10"/>
  <c r="R14" i="10"/>
  <c r="S14" i="8"/>
  <c r="S15" i="8" s="1"/>
  <c r="R22" i="8"/>
  <c r="R28" i="8"/>
  <c r="R15" i="8"/>
  <c r="I76" i="11"/>
  <c r="K141" i="8"/>
  <c r="H12" i="11"/>
  <c r="H17" i="11" s="1"/>
  <c r="H25" i="11" s="1"/>
  <c r="E12" i="11"/>
  <c r="E17" i="11" s="1"/>
  <c r="F12" i="11"/>
  <c r="F17" i="11" s="1"/>
  <c r="F70" i="8"/>
  <c r="K75" i="11"/>
  <c r="V75" i="11" s="1"/>
  <c r="V76" i="11" s="1"/>
  <c r="O75" i="11"/>
  <c r="Z75" i="11" s="1"/>
  <c r="Z76" i="11" s="1"/>
  <c r="AG47" i="8"/>
  <c r="C12" i="11"/>
  <c r="I57" i="11"/>
  <c r="J57" i="11"/>
  <c r="D57" i="11"/>
  <c r="Y76" i="11"/>
  <c r="C57" i="11"/>
  <c r="H57" i="11"/>
  <c r="P76" i="11"/>
  <c r="Q76" i="11"/>
  <c r="M57" i="11"/>
  <c r="E57" i="11"/>
  <c r="L57" i="11"/>
  <c r="AC57" i="11"/>
  <c r="AC76" i="11"/>
  <c r="AE57" i="11"/>
  <c r="Y57" i="11"/>
  <c r="Z57" i="11"/>
  <c r="F79" i="11"/>
  <c r="F88" i="11" s="1"/>
  <c r="F57" i="11"/>
  <c r="Q57" i="11"/>
  <c r="AD57" i="11"/>
  <c r="N57" i="11"/>
  <c r="P57" i="11"/>
  <c r="P138" i="8"/>
  <c r="F12" i="10"/>
  <c r="F14" i="10"/>
  <c r="F21" i="8"/>
  <c r="F15" i="8"/>
  <c r="V11" i="11" l="1"/>
  <c r="AA48" i="11"/>
  <c r="AB8" i="11"/>
  <c r="AB48" i="11"/>
  <c r="Z48" i="11"/>
  <c r="AD39" i="11"/>
  <c r="AE7" i="11"/>
  <c r="AD37" i="11"/>
  <c r="X11" i="11"/>
  <c r="W45" i="11"/>
  <c r="AB76" i="11"/>
  <c r="AD75" i="11"/>
  <c r="AD76" i="11" s="1"/>
  <c r="X10" i="11"/>
  <c r="AE32" i="11"/>
  <c r="AD28" i="11"/>
  <c r="Y44" i="11"/>
  <c r="AE44" i="11"/>
  <c r="Z11" i="11"/>
  <c r="D12" i="11"/>
  <c r="D17" i="11" s="1"/>
  <c r="D18" i="11" s="1"/>
  <c r="Q12" i="11"/>
  <c r="Q17" i="11" s="1"/>
  <c r="Q25" i="11" s="1"/>
  <c r="J12" i="11"/>
  <c r="J17" i="11" s="1"/>
  <c r="J18" i="11" s="1"/>
  <c r="N31" i="10"/>
  <c r="D32" i="10"/>
  <c r="D29" i="10"/>
  <c r="I29" i="10"/>
  <c r="N34" i="10"/>
  <c r="I34" i="10"/>
  <c r="I33" i="10"/>
  <c r="P12" i="11"/>
  <c r="I30" i="10"/>
  <c r="I32" i="10"/>
  <c r="N12" i="11"/>
  <c r="J32" i="10"/>
  <c r="I12" i="11"/>
  <c r="I17" i="11" s="1"/>
  <c r="I25" i="11" s="1"/>
  <c r="M12" i="11"/>
  <c r="P31" i="10"/>
  <c r="P33" i="10"/>
  <c r="J30" i="10"/>
  <c r="J33" i="10"/>
  <c r="N29" i="10"/>
  <c r="L12" i="11"/>
  <c r="L17" i="11" s="1"/>
  <c r="N32" i="10"/>
  <c r="M29" i="10"/>
  <c r="N33" i="10"/>
  <c r="M31" i="10"/>
  <c r="Z11" i="10"/>
  <c r="AD9" i="11"/>
  <c r="P32" i="10"/>
  <c r="AD7" i="11"/>
  <c r="J29" i="10"/>
  <c r="AD11" i="11"/>
  <c r="Y11" i="11"/>
  <c r="E33" i="10"/>
  <c r="AC8" i="11"/>
  <c r="AC7" i="11"/>
  <c r="E30" i="10"/>
  <c r="R12" i="11"/>
  <c r="R17" i="11" s="1"/>
  <c r="R18" i="11" s="1"/>
  <c r="P30" i="10"/>
  <c r="W7" i="11"/>
  <c r="P29" i="10"/>
  <c r="AA9" i="11"/>
  <c r="AE6" i="11"/>
  <c r="AE10" i="11"/>
  <c r="J31" i="10"/>
  <c r="AG124" i="8"/>
  <c r="AG116" i="8"/>
  <c r="AG101" i="8"/>
  <c r="AG19" i="8"/>
  <c r="R87" i="8"/>
  <c r="R89" i="8" s="1"/>
  <c r="S52" i="8"/>
  <c r="S61" i="8" s="1"/>
  <c r="AA76" i="11"/>
  <c r="AD41" i="11"/>
  <c r="S141" i="8"/>
  <c r="X76" i="11"/>
  <c r="R125" i="8"/>
  <c r="T79" i="8"/>
  <c r="N76" i="11"/>
  <c r="W76" i="11"/>
  <c r="S76" i="11"/>
  <c r="S79" i="11" s="1"/>
  <c r="S88" i="11" s="1"/>
  <c r="S57" i="11"/>
  <c r="F27" i="10"/>
  <c r="F34" i="10"/>
  <c r="F31" i="10"/>
  <c r="M30" i="10"/>
  <c r="E31" i="10"/>
  <c r="F30" i="10"/>
  <c r="V11" i="10"/>
  <c r="E29" i="10"/>
  <c r="AA11" i="10"/>
  <c r="C30" i="10"/>
  <c r="F33" i="10"/>
  <c r="M33" i="10"/>
  <c r="AB11" i="10"/>
  <c r="K26" i="10"/>
  <c r="K30" i="10" s="1"/>
  <c r="F29" i="10"/>
  <c r="E34" i="10"/>
  <c r="M34" i="10"/>
  <c r="F32" i="10"/>
  <c r="C32" i="10"/>
  <c r="C33" i="10"/>
  <c r="C31" i="10"/>
  <c r="C34" i="10"/>
  <c r="S26" i="10"/>
  <c r="S32" i="10" s="1"/>
  <c r="R27" i="10"/>
  <c r="R32" i="10"/>
  <c r="R29" i="10"/>
  <c r="R30" i="10"/>
  <c r="R34" i="10"/>
  <c r="R33" i="10"/>
  <c r="Q32" i="10"/>
  <c r="Q31" i="10"/>
  <c r="Q34" i="10"/>
  <c r="Q30" i="10"/>
  <c r="Q33" i="10"/>
  <c r="T25" i="11"/>
  <c r="T18" i="11"/>
  <c r="L29" i="10"/>
  <c r="L32" i="10"/>
  <c r="L33" i="10"/>
  <c r="L31" i="10"/>
  <c r="L34" i="10"/>
  <c r="L30" i="10"/>
  <c r="T29" i="10"/>
  <c r="T32" i="10"/>
  <c r="T27" i="10"/>
  <c r="T33" i="10"/>
  <c r="T31" i="10"/>
  <c r="T34" i="10"/>
  <c r="H32" i="10"/>
  <c r="H31" i="10"/>
  <c r="H30" i="10"/>
  <c r="H34" i="10"/>
  <c r="H33" i="10"/>
  <c r="H29" i="10"/>
  <c r="O26" i="10"/>
  <c r="S14" i="10"/>
  <c r="T28" i="8"/>
  <c r="T22" i="8"/>
  <c r="S70" i="8"/>
  <c r="S21" i="8"/>
  <c r="S22" i="8" s="1"/>
  <c r="Y46" i="11"/>
  <c r="V45" i="11"/>
  <c r="S125" i="8"/>
  <c r="S134" i="8"/>
  <c r="S12" i="10"/>
  <c r="C17" i="11"/>
  <c r="C18" i="11" s="1"/>
  <c r="C13" i="11"/>
  <c r="R32" i="8"/>
  <c r="R29" i="8"/>
  <c r="L76" i="11"/>
  <c r="F13" i="11"/>
  <c r="F79" i="8"/>
  <c r="K76" i="11"/>
  <c r="H18" i="11"/>
  <c r="O76" i="11"/>
  <c r="E18" i="11"/>
  <c r="E25" i="11"/>
  <c r="F18" i="11"/>
  <c r="F25" i="11"/>
  <c r="AE88" i="11"/>
  <c r="AD79" i="11"/>
  <c r="AD88" i="11" s="1"/>
  <c r="I18" i="11"/>
  <c r="H29" i="11"/>
  <c r="H26" i="11"/>
  <c r="F28" i="8"/>
  <c r="F22" i="8"/>
  <c r="E13" i="11" l="1"/>
  <c r="L13" i="11"/>
  <c r="AE45" i="11"/>
  <c r="AD45" i="11"/>
  <c r="AB9" i="11"/>
  <c r="Z8" i="11"/>
  <c r="AC6" i="11"/>
  <c r="AA6" i="11"/>
  <c r="AB6" i="11"/>
  <c r="AB11" i="11"/>
  <c r="AC11" i="11"/>
  <c r="AC46" i="11"/>
  <c r="AB46" i="11"/>
  <c r="Y9" i="11"/>
  <c r="V9" i="11"/>
  <c r="Y6" i="11"/>
  <c r="X6" i="11"/>
  <c r="V6" i="11"/>
  <c r="W6" i="11"/>
  <c r="AA46" i="11"/>
  <c r="AE11" i="11"/>
  <c r="AA7" i="11"/>
  <c r="Z46" i="11"/>
  <c r="AD10" i="11"/>
  <c r="W9" i="11"/>
  <c r="AE9" i="11"/>
  <c r="Z6" i="11"/>
  <c r="AB7" i="11"/>
  <c r="AE24" i="11"/>
  <c r="AD24" i="11"/>
  <c r="AC10" i="11"/>
  <c r="Z10" i="11"/>
  <c r="AB10" i="11"/>
  <c r="AA10" i="11"/>
  <c r="AC44" i="11"/>
  <c r="AB44" i="11"/>
  <c r="AE8" i="11"/>
  <c r="AD8" i="11"/>
  <c r="Y10" i="11"/>
  <c r="W10" i="11"/>
  <c r="V10" i="11"/>
  <c r="AA11" i="11"/>
  <c r="Y45" i="11"/>
  <c r="X45" i="11"/>
  <c r="AC9" i="11"/>
  <c r="Z9" i="11"/>
  <c r="AE46" i="11"/>
  <c r="AD46" i="11"/>
  <c r="AA8" i="11"/>
  <c r="Z44" i="11"/>
  <c r="AE41" i="11"/>
  <c r="AD6" i="11"/>
  <c r="Y7" i="11"/>
  <c r="X7" i="11"/>
  <c r="V7" i="11"/>
  <c r="X46" i="11"/>
  <c r="V46" i="11"/>
  <c r="W46" i="11"/>
  <c r="Y8" i="11"/>
  <c r="X8" i="11"/>
  <c r="V8" i="11"/>
  <c r="W8" i="11"/>
  <c r="W11" i="11"/>
  <c r="X9" i="11"/>
  <c r="AA44" i="11"/>
  <c r="Z7" i="11"/>
  <c r="D13" i="11"/>
  <c r="Q18" i="11"/>
  <c r="M13" i="11"/>
  <c r="P13" i="11"/>
  <c r="K33" i="10"/>
  <c r="I14" i="11"/>
  <c r="M14" i="11"/>
  <c r="J14" i="11"/>
  <c r="J25" i="11"/>
  <c r="J26" i="11" s="1"/>
  <c r="N13" i="11"/>
  <c r="K31" i="10"/>
  <c r="Q14" i="11"/>
  <c r="T13" i="11"/>
  <c r="P17" i="11"/>
  <c r="P25" i="11" s="1"/>
  <c r="P26" i="11" s="1"/>
  <c r="R14" i="11"/>
  <c r="Q13" i="11"/>
  <c r="N17" i="11"/>
  <c r="N18" i="11" s="1"/>
  <c r="M17" i="11"/>
  <c r="M18" i="11" s="1"/>
  <c r="O12" i="11"/>
  <c r="O14" i="11" s="1"/>
  <c r="Y26" i="10"/>
  <c r="Y27" i="10" s="1"/>
  <c r="N14" i="11"/>
  <c r="X26" i="10"/>
  <c r="X27" i="10" s="1"/>
  <c r="R13" i="11"/>
  <c r="V26" i="10"/>
  <c r="AB26" i="10"/>
  <c r="R25" i="11"/>
  <c r="R26" i="11" s="1"/>
  <c r="W26" i="10"/>
  <c r="W27" i="10" s="1"/>
  <c r="AA26" i="10"/>
  <c r="AA27" i="10" s="1"/>
  <c r="K34" i="10"/>
  <c r="AG6" i="11"/>
  <c r="K12" i="11"/>
  <c r="L14" i="11" s="1"/>
  <c r="S12" i="11"/>
  <c r="T14" i="11" s="1"/>
  <c r="K29" i="10"/>
  <c r="K32" i="10"/>
  <c r="S79" i="8"/>
  <c r="T87" i="8"/>
  <c r="T89" i="8" s="1"/>
  <c r="AG128" i="8"/>
  <c r="S31" i="10"/>
  <c r="S27" i="10"/>
  <c r="S33" i="10"/>
  <c r="S30" i="10"/>
  <c r="S29" i="10"/>
  <c r="S34" i="10"/>
  <c r="T26" i="11"/>
  <c r="T29" i="11"/>
  <c r="O31" i="10"/>
  <c r="O29" i="10"/>
  <c r="O32" i="10"/>
  <c r="O30" i="10"/>
  <c r="O33" i="10"/>
  <c r="O34" i="10"/>
  <c r="Z26" i="10"/>
  <c r="Z27" i="10" s="1"/>
  <c r="AE26" i="10"/>
  <c r="AD26" i="10"/>
  <c r="AD27" i="10" s="1"/>
  <c r="AC26" i="10"/>
  <c r="AC27" i="10" s="1"/>
  <c r="S28" i="8"/>
  <c r="S32" i="8" s="1"/>
  <c r="T29" i="8"/>
  <c r="T32" i="8"/>
  <c r="AC45" i="11"/>
  <c r="C25" i="11"/>
  <c r="C29" i="11" s="1"/>
  <c r="C30" i="11" s="1"/>
  <c r="R36" i="8"/>
  <c r="R33" i="8"/>
  <c r="R97" i="8"/>
  <c r="R117" i="8" s="1"/>
  <c r="R143" i="8" s="1"/>
  <c r="R39" i="8"/>
  <c r="D25" i="11"/>
  <c r="D29" i="11" s="1"/>
  <c r="F87" i="8"/>
  <c r="F89" i="8" s="1"/>
  <c r="E29" i="11"/>
  <c r="E26" i="11"/>
  <c r="H34" i="11"/>
  <c r="H30" i="11"/>
  <c r="F29" i="11"/>
  <c r="F26" i="11"/>
  <c r="Q29" i="11"/>
  <c r="Q26" i="11"/>
  <c r="L25" i="11"/>
  <c r="L18" i="11"/>
  <c r="I29" i="11"/>
  <c r="I26" i="11"/>
  <c r="F32" i="8"/>
  <c r="F29" i="8"/>
  <c r="J29" i="11" l="1"/>
  <c r="AD33" i="11"/>
  <c r="AE33" i="11"/>
  <c r="AA45" i="11"/>
  <c r="Z45" i="11"/>
  <c r="M25" i="11"/>
  <c r="M29" i="11" s="1"/>
  <c r="AE47" i="11"/>
  <c r="AD47" i="11"/>
  <c r="AB45" i="11"/>
  <c r="P29" i="11"/>
  <c r="P30" i="11" s="1"/>
  <c r="AD12" i="11"/>
  <c r="P18" i="11"/>
  <c r="P14" i="11"/>
  <c r="W29" i="10"/>
  <c r="W32" i="10"/>
  <c r="W33" i="10"/>
  <c r="N25" i="11"/>
  <c r="N26" i="11" s="1"/>
  <c r="AA32" i="10"/>
  <c r="Y31" i="10"/>
  <c r="Y32" i="10"/>
  <c r="Y33" i="10"/>
  <c r="Y34" i="10"/>
  <c r="Y29" i="10"/>
  <c r="W34" i="10"/>
  <c r="Y30" i="10"/>
  <c r="W30" i="10"/>
  <c r="AA33" i="10"/>
  <c r="AA30" i="10"/>
  <c r="AA34" i="10"/>
  <c r="S14" i="11"/>
  <c r="W31" i="10"/>
  <c r="AA29" i="10"/>
  <c r="X30" i="10"/>
  <c r="X31" i="10"/>
  <c r="AA31" i="10"/>
  <c r="V33" i="10"/>
  <c r="V27" i="10"/>
  <c r="AB30" i="10"/>
  <c r="AB27" i="10"/>
  <c r="V29" i="10"/>
  <c r="AB32" i="10"/>
  <c r="AB29" i="10"/>
  <c r="AB33" i="10"/>
  <c r="AB34" i="10"/>
  <c r="AB12" i="11"/>
  <c r="AB31" i="10"/>
  <c r="S13" i="11"/>
  <c r="X12" i="11"/>
  <c r="X33" i="10"/>
  <c r="X34" i="10"/>
  <c r="X32" i="10"/>
  <c r="X29" i="10"/>
  <c r="S17" i="11"/>
  <c r="S18" i="11" s="1"/>
  <c r="AA12" i="11"/>
  <c r="V32" i="10"/>
  <c r="R29" i="11"/>
  <c r="R30" i="11" s="1"/>
  <c r="V31" i="10"/>
  <c r="V30" i="10"/>
  <c r="V34" i="10"/>
  <c r="Z12" i="11"/>
  <c r="V12" i="11"/>
  <c r="AC12" i="11"/>
  <c r="AG11" i="11"/>
  <c r="Y12" i="11"/>
  <c r="K14" i="11"/>
  <c r="AG7" i="11"/>
  <c r="AE12" i="11"/>
  <c r="AE17" i="11" s="1"/>
  <c r="AE18" i="11" s="1"/>
  <c r="W12" i="11"/>
  <c r="O13" i="11"/>
  <c r="AG8" i="11"/>
  <c r="AG9" i="11"/>
  <c r="AG10" i="11"/>
  <c r="S87" i="8"/>
  <c r="S89" i="8" s="1"/>
  <c r="AC29" i="10"/>
  <c r="AE29" i="10"/>
  <c r="T34" i="11"/>
  <c r="T30" i="11"/>
  <c r="AC30" i="10"/>
  <c r="AC32" i="10"/>
  <c r="AC31" i="10"/>
  <c r="AC33" i="10"/>
  <c r="AC34" i="10"/>
  <c r="AD33" i="10"/>
  <c r="AD32" i="10"/>
  <c r="AD31" i="10"/>
  <c r="AD34" i="10"/>
  <c r="AD30" i="10"/>
  <c r="AE34" i="10"/>
  <c r="AE32" i="10"/>
  <c r="AE33" i="10"/>
  <c r="AE31" i="10"/>
  <c r="AE30" i="10"/>
  <c r="AD29" i="10"/>
  <c r="Z29" i="10"/>
  <c r="Z34" i="10"/>
  <c r="Z30" i="10"/>
  <c r="Z32" i="10"/>
  <c r="Z31" i="10"/>
  <c r="Z33" i="10"/>
  <c r="S29" i="8"/>
  <c r="T97" i="8"/>
  <c r="T117" i="8" s="1"/>
  <c r="T143" i="8" s="1"/>
  <c r="T36" i="8"/>
  <c r="T39" i="8"/>
  <c r="T33" i="8"/>
  <c r="C26" i="11"/>
  <c r="C34" i="11"/>
  <c r="C83" i="11" s="1"/>
  <c r="S33" i="8"/>
  <c r="S97" i="8"/>
  <c r="S117" i="8" s="1"/>
  <c r="S143" i="8" s="1"/>
  <c r="S39" i="8"/>
  <c r="S36" i="8"/>
  <c r="D26" i="11"/>
  <c r="H35" i="11"/>
  <c r="H42" i="11"/>
  <c r="J34" i="11"/>
  <c r="J30" i="11"/>
  <c r="D30" i="11"/>
  <c r="D34" i="11"/>
  <c r="Q30" i="11"/>
  <c r="Q34" i="11"/>
  <c r="I34" i="11"/>
  <c r="I30" i="11"/>
  <c r="E30" i="11"/>
  <c r="E34" i="11"/>
  <c r="L29" i="11"/>
  <c r="L26" i="11"/>
  <c r="F30" i="11"/>
  <c r="F34" i="11"/>
  <c r="F97" i="8"/>
  <c r="F117" i="8" s="1"/>
  <c r="F143" i="8" s="1"/>
  <c r="F33" i="8"/>
  <c r="F39" i="8"/>
  <c r="F36" i="8"/>
  <c r="P34" i="11" l="1"/>
  <c r="P35" i="11" s="1"/>
  <c r="M26" i="11"/>
  <c r="H49" i="11"/>
  <c r="H50" i="11" s="1"/>
  <c r="AD13" i="11"/>
  <c r="N29" i="11"/>
  <c r="N30" i="11" s="1"/>
  <c r="AB13" i="11"/>
  <c r="Z13" i="11"/>
  <c r="AA13" i="11"/>
  <c r="R34" i="11"/>
  <c r="R35" i="11" s="1"/>
  <c r="S25" i="11"/>
  <c r="S29" i="11" s="1"/>
  <c r="S30" i="11" s="1"/>
  <c r="AE25" i="11"/>
  <c r="AE29" i="11" s="1"/>
  <c r="AE34" i="11" s="1"/>
  <c r="AE13" i="11"/>
  <c r="AG12" i="11"/>
  <c r="AC13" i="11"/>
  <c r="T35" i="11"/>
  <c r="T42" i="11"/>
  <c r="T49" i="11" s="1"/>
  <c r="C87" i="11" a="1"/>
  <c r="C87" i="11" s="1"/>
  <c r="C84" i="11"/>
  <c r="C86" i="11" a="1"/>
  <c r="C86" i="11" s="1"/>
  <c r="C35" i="11"/>
  <c r="C42" i="11"/>
  <c r="C85" i="11"/>
  <c r="F87" i="11" a="1"/>
  <c r="F87" i="11" s="1"/>
  <c r="F86" i="11" a="1"/>
  <c r="F86" i="11" s="1"/>
  <c r="F42" i="11"/>
  <c r="F49" i="11" s="1"/>
  <c r="F35" i="11"/>
  <c r="F85" i="11"/>
  <c r="F83" i="11"/>
  <c r="F84" i="11"/>
  <c r="Q42" i="11"/>
  <c r="Q49" i="11" s="1"/>
  <c r="Q35" i="11"/>
  <c r="D87" i="11" a="1"/>
  <c r="D87" i="11" s="1"/>
  <c r="D42" i="11"/>
  <c r="D49" i="11" s="1"/>
  <c r="D83" i="11"/>
  <c r="D86" i="11" a="1"/>
  <c r="D86" i="11" s="1"/>
  <c r="D35" i="11"/>
  <c r="D85" i="11"/>
  <c r="D84" i="11"/>
  <c r="L30" i="11"/>
  <c r="L34" i="11"/>
  <c r="E42" i="11"/>
  <c r="E49" i="11" s="1"/>
  <c r="E35" i="11"/>
  <c r="E87" i="11" a="1"/>
  <c r="E87" i="11" s="1"/>
  <c r="E85" i="11"/>
  <c r="E86" i="11" a="1"/>
  <c r="E86" i="11" s="1"/>
  <c r="E84" i="11"/>
  <c r="E83" i="11"/>
  <c r="M30" i="11"/>
  <c r="M34" i="11"/>
  <c r="P42" i="11"/>
  <c r="P49" i="11" s="1"/>
  <c r="I35" i="11"/>
  <c r="I42" i="11"/>
  <c r="I49" i="11" s="1"/>
  <c r="J42" i="11"/>
  <c r="J49" i="11" s="1"/>
  <c r="J35" i="11"/>
  <c r="N34" i="11" l="1"/>
  <c r="N35" i="11" s="1"/>
  <c r="C50" i="11"/>
  <c r="R42" i="11"/>
  <c r="R49" i="11" s="1"/>
  <c r="AG13" i="11"/>
  <c r="AE30" i="11"/>
  <c r="S26" i="11"/>
  <c r="S34" i="11"/>
  <c r="S85" i="11" s="1" a="1"/>
  <c r="S85" i="11" s="1"/>
  <c r="AE26" i="11"/>
  <c r="T50" i="11"/>
  <c r="L42" i="11"/>
  <c r="L49" i="11" s="1"/>
  <c r="L35" i="11"/>
  <c r="I50" i="11"/>
  <c r="F50" i="11"/>
  <c r="J50" i="11"/>
  <c r="M42" i="11"/>
  <c r="M49" i="11" s="1"/>
  <c r="M35" i="11"/>
  <c r="AE87" i="11" a="1"/>
  <c r="AE87" i="11" s="1"/>
  <c r="AE42" i="11"/>
  <c r="AE86" i="11" a="1"/>
  <c r="AE86" i="11" s="1"/>
  <c r="AE85" i="11"/>
  <c r="AE35" i="11"/>
  <c r="AE83" i="11"/>
  <c r="AE84" i="11"/>
  <c r="Q50" i="11"/>
  <c r="N42" i="11"/>
  <c r="N49" i="11" s="1"/>
  <c r="E50" i="11"/>
  <c r="D50" i="11"/>
  <c r="S35" i="11" l="1"/>
  <c r="T84" i="11"/>
  <c r="S86" i="11" a="1"/>
  <c r="S86" i="11" s="1"/>
  <c r="S87" i="11" a="1"/>
  <c r="S87" i="11" s="1"/>
  <c r="S83" i="11"/>
  <c r="S84" i="11"/>
  <c r="T86" i="11" a="1"/>
  <c r="T86" i="11" s="1"/>
  <c r="T83" i="11"/>
  <c r="T85" i="11" a="1"/>
  <c r="T85" i="11" s="1"/>
  <c r="S42" i="11"/>
  <c r="T87" i="11" a="1"/>
  <c r="T87" i="11" s="1"/>
  <c r="R50" i="11"/>
  <c r="M50" i="11"/>
  <c r="S49" i="11" l="1"/>
  <c r="AE49" i="11" s="1"/>
  <c r="N50" i="11"/>
  <c r="S50" i="11" l="1"/>
  <c r="B2" i="10"/>
  <c r="B15" i="10"/>
  <c r="B14" i="10"/>
  <c r="J11" i="10"/>
  <c r="J27" i="10" s="1"/>
  <c r="D11" i="10"/>
  <c r="D27" i="10" s="1"/>
  <c r="P11" i="10"/>
  <c r="P27" i="10" s="1"/>
  <c r="E11" i="10"/>
  <c r="E27" i="10" s="1"/>
  <c r="Q11" i="10"/>
  <c r="Q27" i="10" s="1"/>
  <c r="O11" i="10"/>
  <c r="O27" i="10" s="1"/>
  <c r="N11" i="10"/>
  <c r="N27" i="10" s="1"/>
  <c r="M11" i="10"/>
  <c r="M27" i="10" s="1"/>
  <c r="I11" i="10"/>
  <c r="I27" i="10" s="1"/>
  <c r="C11" i="10"/>
  <c r="C27" i="10" s="1"/>
  <c r="O150" i="8"/>
  <c r="K150" i="8"/>
  <c r="E138" i="8"/>
  <c r="D138" i="8"/>
  <c r="H138" i="8" s="1"/>
  <c r="Y150" i="8" l="1"/>
  <c r="X150" i="8"/>
  <c r="AA150" i="8"/>
  <c r="Z150" i="8"/>
  <c r="W150" i="8"/>
  <c r="V150" i="8"/>
  <c r="AG55" i="8"/>
  <c r="AG59" i="8"/>
  <c r="AG64" i="8"/>
  <c r="AG56" i="8"/>
  <c r="AG60" i="8"/>
  <c r="AG65" i="8"/>
  <c r="C14" i="10"/>
  <c r="C15" i="10"/>
  <c r="I14" i="10"/>
  <c r="V14" i="10" s="1"/>
  <c r="I15" i="10"/>
  <c r="V15" i="10" s="1"/>
  <c r="E15" i="10"/>
  <c r="E14" i="10"/>
  <c r="M15" i="10"/>
  <c r="Z15" i="10" s="1"/>
  <c r="M14" i="10"/>
  <c r="Z14" i="10" s="1"/>
  <c r="N15" i="10"/>
  <c r="AA15" i="10" s="1"/>
  <c r="N14" i="10"/>
  <c r="AA14" i="10" s="1"/>
  <c r="P14" i="10"/>
  <c r="AC14" i="10" s="1"/>
  <c r="P15" i="10"/>
  <c r="AC15" i="10" s="1"/>
  <c r="D14" i="10"/>
  <c r="D15" i="10"/>
  <c r="O14" i="10"/>
  <c r="AB14" i="10" s="1"/>
  <c r="O15" i="10"/>
  <c r="AB15" i="10" s="1"/>
  <c r="J15" i="10"/>
  <c r="W15" i="10" s="1"/>
  <c r="J14" i="10"/>
  <c r="W14" i="10" s="1"/>
  <c r="Q14" i="10"/>
  <c r="AD14" i="10" s="1"/>
  <c r="Q15" i="10"/>
  <c r="AD15" i="10" s="1"/>
  <c r="AE15" i="10"/>
  <c r="AE14" i="10"/>
  <c r="K11" i="10"/>
  <c r="K27" i="10" s="1"/>
  <c r="AE11" i="10"/>
  <c r="AE27" i="10" s="1"/>
  <c r="H11" i="10"/>
  <c r="H27" i="10" s="1"/>
  <c r="L11" i="10"/>
  <c r="L27" i="10" s="1"/>
  <c r="AC47" i="11" l="1"/>
  <c r="AB47" i="11"/>
  <c r="AA47" i="11"/>
  <c r="Z47" i="11"/>
  <c r="X47" i="11"/>
  <c r="Y47" i="11"/>
  <c r="W47" i="11"/>
  <c r="V47" i="11"/>
  <c r="H15" i="10"/>
  <c r="H14" i="10"/>
  <c r="L15" i="10"/>
  <c r="Y15" i="10" s="1"/>
  <c r="L14" i="10"/>
  <c r="Y14" i="10" s="1"/>
  <c r="K15" i="10"/>
  <c r="X15" i="10" s="1"/>
  <c r="K14" i="10"/>
  <c r="X14" i="10" s="1"/>
  <c r="O31" i="8" l="1"/>
  <c r="K31" i="8"/>
  <c r="O27" i="8"/>
  <c r="K27" i="8"/>
  <c r="O26" i="8"/>
  <c r="K26" i="8"/>
  <c r="O149" i="8"/>
  <c r="K149" i="8"/>
  <c r="O51" i="8"/>
  <c r="K51" i="8"/>
  <c r="O50" i="8"/>
  <c r="K50" i="8"/>
  <c r="O49" i="8"/>
  <c r="K49" i="8"/>
  <c r="AG46" i="8"/>
  <c r="E134" i="8"/>
  <c r="P134" i="8"/>
  <c r="C134" i="8"/>
  <c r="O46" i="8"/>
  <c r="K46" i="8"/>
  <c r="O24" i="8"/>
  <c r="K24" i="8"/>
  <c r="Z134" i="8" l="1"/>
  <c r="Y134" i="8"/>
  <c r="X134" i="8"/>
  <c r="W149" i="8"/>
  <c r="V149" i="8"/>
  <c r="W134" i="8"/>
  <c r="AA149" i="8"/>
  <c r="Y149" i="8"/>
  <c r="X149" i="8"/>
  <c r="Z149" i="8"/>
  <c r="AG26" i="8"/>
  <c r="AG27" i="8"/>
  <c r="X57" i="11"/>
  <c r="AG50" i="8"/>
  <c r="AG83" i="8"/>
  <c r="AG51" i="8"/>
  <c r="AG66" i="8"/>
  <c r="AG85" i="8"/>
  <c r="AG82" i="8"/>
  <c r="AG69" i="8"/>
  <c r="AG73" i="8"/>
  <c r="AG67" i="8"/>
  <c r="AG84" i="8"/>
  <c r="AG81" i="8"/>
  <c r="AG49" i="8"/>
  <c r="Q134" i="8"/>
  <c r="J134" i="8"/>
  <c r="D134" i="8"/>
  <c r="H134" i="8"/>
  <c r="I134" i="8"/>
  <c r="L134" i="8"/>
  <c r="M134" i="8"/>
  <c r="N134" i="8"/>
  <c r="K100" i="8"/>
  <c r="Z39" i="11" l="1"/>
  <c r="AC39" i="11"/>
  <c r="AA39" i="11"/>
  <c r="AG39" i="11" s="1"/>
  <c r="AB39" i="11"/>
  <c r="AC37" i="11"/>
  <c r="AA37" i="11"/>
  <c r="AG37" i="11" s="1"/>
  <c r="Z37" i="11"/>
  <c r="AB37" i="11"/>
  <c r="Y39" i="11"/>
  <c r="W39" i="11"/>
  <c r="V39" i="11"/>
  <c r="X39" i="11"/>
  <c r="AB38" i="11"/>
  <c r="AC38" i="11"/>
  <c r="Z38" i="11"/>
  <c r="AA38" i="11"/>
  <c r="AG38" i="11" s="1"/>
  <c r="Y37" i="11"/>
  <c r="V37" i="11"/>
  <c r="X37" i="11"/>
  <c r="W37" i="11"/>
  <c r="Y38" i="11"/>
  <c r="W38" i="11"/>
  <c r="V38" i="11"/>
  <c r="X38" i="11"/>
  <c r="AG31" i="8"/>
  <c r="O57" i="11"/>
  <c r="AD49" i="11"/>
  <c r="W57" i="11"/>
  <c r="K57" i="11"/>
  <c r="AG24" i="8"/>
  <c r="K111" i="8"/>
  <c r="O134" i="8"/>
  <c r="K134" i="8"/>
  <c r="V134" i="8"/>
  <c r="Y28" i="11" l="1"/>
  <c r="X28" i="11"/>
  <c r="V28" i="11"/>
  <c r="W28" i="11"/>
  <c r="Y32" i="11"/>
  <c r="V32" i="11"/>
  <c r="X32" i="11"/>
  <c r="W32" i="11"/>
  <c r="AC32" i="11"/>
  <c r="AB32" i="11"/>
  <c r="Z32" i="11"/>
  <c r="AA32" i="11"/>
  <c r="AG32" i="11" s="1"/>
  <c r="AE50" i="11"/>
  <c r="P50" i="11"/>
  <c r="L50" i="11"/>
  <c r="AA57" i="11"/>
  <c r="AA134" i="8"/>
  <c r="AC134" i="8"/>
  <c r="AE134" i="8"/>
  <c r="AD134" i="8"/>
  <c r="AB134" i="8"/>
  <c r="Y41" i="11" l="1"/>
  <c r="W41" i="11"/>
  <c r="X41" i="11"/>
  <c r="V41" i="11"/>
  <c r="Q86" i="8"/>
  <c r="P86" i="8"/>
  <c r="N86" i="8"/>
  <c r="M86" i="8"/>
  <c r="V79" i="11" s="1"/>
  <c r="V88" i="11" s="1"/>
  <c r="L86" i="8"/>
  <c r="J86" i="8"/>
  <c r="J79" i="11" s="1"/>
  <c r="I86" i="8"/>
  <c r="I79" i="11" s="1"/>
  <c r="H86" i="8"/>
  <c r="H79" i="11" s="1"/>
  <c r="E86" i="8"/>
  <c r="E79" i="11" s="1"/>
  <c r="E88" i="11" s="1"/>
  <c r="D86" i="8"/>
  <c r="D79" i="11" s="1"/>
  <c r="D88" i="11" s="1"/>
  <c r="C86" i="8"/>
  <c r="C79" i="11" s="1"/>
  <c r="C88" i="11" s="1"/>
  <c r="O20" i="8"/>
  <c r="K20" i="8"/>
  <c r="O38" i="8"/>
  <c r="O35" i="8"/>
  <c r="O17" i="8"/>
  <c r="O13" i="8"/>
  <c r="O10" i="8"/>
  <c r="K13" i="8"/>
  <c r="K10" i="8"/>
  <c r="K17" i="8"/>
  <c r="AD17" i="11" l="1"/>
  <c r="AD25" i="11" s="1"/>
  <c r="Y79" i="11"/>
  <c r="Y88" i="11" s="1"/>
  <c r="M79" i="11"/>
  <c r="M88" i="11" s="1"/>
  <c r="N79" i="11"/>
  <c r="N88" i="11" s="1"/>
  <c r="Z79" i="11"/>
  <c r="Z88" i="11" s="1"/>
  <c r="AC79" i="11"/>
  <c r="AC88" i="11" s="1"/>
  <c r="Q79" i="11"/>
  <c r="Q88" i="11" s="1"/>
  <c r="AB79" i="11"/>
  <c r="AB88" i="11" s="1"/>
  <c r="P79" i="11"/>
  <c r="P88" i="11" s="1"/>
  <c r="L79" i="11"/>
  <c r="L88" i="11" s="1"/>
  <c r="AG35" i="8"/>
  <c r="AG38" i="8"/>
  <c r="V86" i="8"/>
  <c r="X86" i="8"/>
  <c r="Z86" i="8"/>
  <c r="AA86" i="8"/>
  <c r="AB86" i="8"/>
  <c r="AD86" i="8"/>
  <c r="W86" i="8"/>
  <c r="K86" i="8"/>
  <c r="Y86" i="8"/>
  <c r="AC86" i="8"/>
  <c r="O86" i="8"/>
  <c r="X79" i="11" s="1"/>
  <c r="X88" i="11" s="1"/>
  <c r="AE86" i="8"/>
  <c r="Y16" i="11" l="1"/>
  <c r="X16" i="11"/>
  <c r="W16" i="11"/>
  <c r="W17" i="11" s="1"/>
  <c r="W18" i="11" s="1"/>
  <c r="V16" i="11"/>
  <c r="V17" i="11" s="1"/>
  <c r="X20" i="11"/>
  <c r="Y20" i="11"/>
  <c r="V20" i="11"/>
  <c r="W20" i="11"/>
  <c r="AC24" i="11"/>
  <c r="AA24" i="11"/>
  <c r="AG24" i="11" s="1"/>
  <c r="AB24" i="11"/>
  <c r="Z24" i="11"/>
  <c r="O17" i="11"/>
  <c r="O25" i="11" s="1"/>
  <c r="Z16" i="11"/>
  <c r="Z17" i="11" s="1"/>
  <c r="Z18" i="11" s="1"/>
  <c r="AC16" i="11"/>
  <c r="AC17" i="11" s="1"/>
  <c r="AC25" i="11" s="1"/>
  <c r="AA16" i="11"/>
  <c r="AA17" i="11" s="1"/>
  <c r="AB16" i="11"/>
  <c r="AB17" i="11" s="1"/>
  <c r="AC20" i="11"/>
  <c r="Z20" i="11"/>
  <c r="AB20" i="11"/>
  <c r="AA20" i="11"/>
  <c r="AG20" i="11" s="1"/>
  <c r="V24" i="11"/>
  <c r="Y24" i="11"/>
  <c r="W24" i="11"/>
  <c r="X24" i="11"/>
  <c r="X17" i="11"/>
  <c r="X18" i="11" s="1"/>
  <c r="Y17" i="11"/>
  <c r="Y18" i="11" s="1"/>
  <c r="K17" i="11"/>
  <c r="K25" i="11" s="1"/>
  <c r="AD18" i="11"/>
  <c r="W79" i="11"/>
  <c r="W88" i="11" s="1"/>
  <c r="K79" i="11"/>
  <c r="K88" i="11" s="1"/>
  <c r="AA79" i="11"/>
  <c r="AA88" i="11" s="1"/>
  <c r="O79" i="11"/>
  <c r="O88" i="11" s="1"/>
  <c r="AB18" i="11"/>
  <c r="AG20" i="8"/>
  <c r="O111" i="8"/>
  <c r="O100" i="8"/>
  <c r="O18" i="11" l="1"/>
  <c r="AC33" i="11"/>
  <c r="AB33" i="11"/>
  <c r="AA33" i="11"/>
  <c r="AG33" i="11" s="1"/>
  <c r="Z33" i="11"/>
  <c r="AB25" i="11"/>
  <c r="AB26" i="11" s="1"/>
  <c r="X33" i="11"/>
  <c r="Y33" i="11"/>
  <c r="V33" i="11"/>
  <c r="W33" i="11"/>
  <c r="AC18" i="11"/>
  <c r="X25" i="11"/>
  <c r="X26" i="11" s="1"/>
  <c r="AG16" i="11"/>
  <c r="Y25" i="11"/>
  <c r="Y26" i="11" s="1"/>
  <c r="K18" i="11"/>
  <c r="Z25" i="11"/>
  <c r="Z26" i="11" s="1"/>
  <c r="AG111" i="8"/>
  <c r="AG100" i="8"/>
  <c r="AA25" i="11"/>
  <c r="W25" i="11"/>
  <c r="W26" i="11" s="1"/>
  <c r="V25" i="11"/>
  <c r="V18" i="11"/>
  <c r="AD29" i="11"/>
  <c r="O26" i="11"/>
  <c r="K26" i="11"/>
  <c r="K29" i="11"/>
  <c r="AG17" i="11"/>
  <c r="AA18" i="11"/>
  <c r="AG18" i="11" s="1"/>
  <c r="AD26" i="11"/>
  <c r="AC26" i="11"/>
  <c r="AG120" i="8"/>
  <c r="AC41" i="11" l="1"/>
  <c r="AA41" i="11"/>
  <c r="AG41" i="11" s="1"/>
  <c r="Z41" i="11"/>
  <c r="AB41" i="11"/>
  <c r="AB28" i="11"/>
  <c r="AB29" i="11" s="1"/>
  <c r="AC28" i="11"/>
  <c r="AC29" i="11" s="1"/>
  <c r="AC34" i="11" s="1"/>
  <c r="Z28" i="11"/>
  <c r="Z29" i="11" s="1"/>
  <c r="Z30" i="11" s="1"/>
  <c r="AA28" i="11"/>
  <c r="AA29" i="11" s="1"/>
  <c r="Y29" i="11"/>
  <c r="O29" i="11"/>
  <c r="O30" i="11" s="1"/>
  <c r="X29" i="11"/>
  <c r="X30" i="11" s="1"/>
  <c r="W29" i="11"/>
  <c r="W30" i="11" s="1"/>
  <c r="V26" i="11"/>
  <c r="V29" i="11"/>
  <c r="AD30" i="11"/>
  <c r="AD34" i="11"/>
  <c r="K30" i="11"/>
  <c r="K34" i="11"/>
  <c r="AA26" i="11"/>
  <c r="AG26" i="11" s="1"/>
  <c r="AG25" i="11"/>
  <c r="AG28" i="11" l="1"/>
  <c r="N83" i="11"/>
  <c r="N86" i="11" a="1"/>
  <c r="N86" i="11" s="1"/>
  <c r="N87" i="11" a="1"/>
  <c r="N87" i="11" s="1"/>
  <c r="N85" i="11" a="1"/>
  <c r="N85" i="11" s="1"/>
  <c r="N84" i="11"/>
  <c r="K87" i="11" a="1"/>
  <c r="K87" i="11" s="1"/>
  <c r="K85" i="11" a="1"/>
  <c r="K85" i="11" s="1"/>
  <c r="M87" i="11" a="1"/>
  <c r="M87" i="11" s="1"/>
  <c r="K84" i="11"/>
  <c r="M84" i="11"/>
  <c r="M83" i="11"/>
  <c r="L85" i="11" a="1"/>
  <c r="L85" i="11" s="1"/>
  <c r="L83" i="11"/>
  <c r="M85" i="11" a="1"/>
  <c r="M85" i="11" s="1"/>
  <c r="L84" i="11"/>
  <c r="L86" i="11" a="1"/>
  <c r="L86" i="11" s="1"/>
  <c r="M86" i="11" a="1"/>
  <c r="M86" i="11" s="1"/>
  <c r="L87" i="11" a="1"/>
  <c r="L87" i="11" s="1"/>
  <c r="K86" i="11" a="1"/>
  <c r="K86" i="11" s="1"/>
  <c r="K83" i="11"/>
  <c r="AB34" i="11"/>
  <c r="AB35" i="11" s="1"/>
  <c r="AB30" i="11"/>
  <c r="AC30" i="11"/>
  <c r="Y34" i="11"/>
  <c r="Y84" i="11" s="1"/>
  <c r="Y30" i="11"/>
  <c r="O34" i="11"/>
  <c r="X34" i="11"/>
  <c r="X42" i="11" s="1"/>
  <c r="W34" i="11"/>
  <c r="W84" i="11" s="1"/>
  <c r="Z34" i="11"/>
  <c r="Z83" i="11" s="1"/>
  <c r="V30" i="11"/>
  <c r="V34" i="11"/>
  <c r="AD35" i="11"/>
  <c r="AD85" i="11"/>
  <c r="AD86" i="11" a="1"/>
  <c r="AD86" i="11" s="1"/>
  <c r="AD42" i="11"/>
  <c r="AD87" i="11" a="1"/>
  <c r="AD87" i="11" s="1"/>
  <c r="AD84" i="11"/>
  <c r="AD83" i="11"/>
  <c r="AA34" i="11"/>
  <c r="AA30" i="11"/>
  <c r="AG30" i="11" s="1"/>
  <c r="AG29" i="11"/>
  <c r="K35" i="11"/>
  <c r="K42" i="11"/>
  <c r="K49" i="11" s="1"/>
  <c r="AC87" i="11" a="1"/>
  <c r="AC87" i="11" s="1"/>
  <c r="AC42" i="11"/>
  <c r="AC85" i="11"/>
  <c r="AC86" i="11" a="1"/>
  <c r="AC86" i="11" s="1"/>
  <c r="AC35" i="11"/>
  <c r="AC83" i="11"/>
  <c r="AC84" i="11"/>
  <c r="P70" i="8"/>
  <c r="N70" i="8"/>
  <c r="P125" i="8"/>
  <c r="L125" i="8"/>
  <c r="H125" i="8"/>
  <c r="O11" i="8"/>
  <c r="O12" i="10" s="1"/>
  <c r="K11" i="8"/>
  <c r="K12" i="10" s="1"/>
  <c r="K38" i="8"/>
  <c r="K35" i="8"/>
  <c r="M52" i="8"/>
  <c r="M61" i="8" s="1"/>
  <c r="L52" i="8"/>
  <c r="L61" i="8" s="1"/>
  <c r="H52" i="8"/>
  <c r="H61" i="8" s="1"/>
  <c r="Q94" i="8"/>
  <c r="P94" i="8"/>
  <c r="O94" i="8"/>
  <c r="N94" i="8"/>
  <c r="M94" i="8"/>
  <c r="L94" i="8"/>
  <c r="K94" i="8"/>
  <c r="J94" i="8"/>
  <c r="I94" i="8"/>
  <c r="H94" i="8"/>
  <c r="Q93" i="8"/>
  <c r="P93" i="8"/>
  <c r="O93" i="8"/>
  <c r="N93" i="8"/>
  <c r="M93" i="8"/>
  <c r="L93" i="8"/>
  <c r="K93" i="8"/>
  <c r="J93" i="8"/>
  <c r="I93" i="8"/>
  <c r="H93" i="8"/>
  <c r="I52" i="8"/>
  <c r="I61" i="8" s="1"/>
  <c r="J52" i="8"/>
  <c r="J61" i="8" s="1"/>
  <c r="N52" i="8"/>
  <c r="N61" i="8" s="1"/>
  <c r="P52" i="8"/>
  <c r="P61" i="8" s="1"/>
  <c r="Q52" i="8"/>
  <c r="Q61" i="8" s="1"/>
  <c r="Q43" i="8"/>
  <c r="P43" i="8"/>
  <c r="O43" i="8"/>
  <c r="N43" i="8"/>
  <c r="M43" i="8"/>
  <c r="L43" i="8"/>
  <c r="K43" i="8"/>
  <c r="J43" i="8"/>
  <c r="I43" i="8"/>
  <c r="H43" i="8"/>
  <c r="Q42" i="8"/>
  <c r="P42" i="8"/>
  <c r="O42" i="8"/>
  <c r="N42" i="8"/>
  <c r="M42" i="8"/>
  <c r="L42" i="8"/>
  <c r="K42" i="8"/>
  <c r="J42" i="8"/>
  <c r="I42" i="8"/>
  <c r="H42" i="8"/>
  <c r="E43" i="8"/>
  <c r="D43" i="8"/>
  <c r="C43" i="8"/>
  <c r="E42" i="8"/>
  <c r="D42" i="8"/>
  <c r="C42" i="8"/>
  <c r="Q11" i="8"/>
  <c r="P11" i="8"/>
  <c r="N11" i="8"/>
  <c r="M11" i="8"/>
  <c r="L11" i="8"/>
  <c r="J11" i="8"/>
  <c r="J12" i="10" s="1"/>
  <c r="I11" i="8"/>
  <c r="I12" i="10" s="1"/>
  <c r="H11" i="8"/>
  <c r="H12" i="10" s="1"/>
  <c r="AB86" i="11" l="1" a="1"/>
  <c r="AB86" i="11" s="1"/>
  <c r="AB87" i="11" a="1"/>
  <c r="AB87" i="11" s="1"/>
  <c r="AB84" i="11"/>
  <c r="AB83" i="11"/>
  <c r="AB85" i="11"/>
  <c r="AB42" i="11"/>
  <c r="R85" i="11" a="1"/>
  <c r="R85" i="11" s="1"/>
  <c r="R87" i="11" a="1"/>
  <c r="R87" i="11" s="1"/>
  <c r="R84" i="11"/>
  <c r="R83" i="11"/>
  <c r="R86" i="11" a="1"/>
  <c r="R86" i="11" s="1"/>
  <c r="Q84" i="11"/>
  <c r="P86" i="11" a="1"/>
  <c r="P86" i="11" s="1"/>
  <c r="Q86" i="11" a="1"/>
  <c r="Q86" i="11" s="1"/>
  <c r="P85" i="11" a="1"/>
  <c r="P85" i="11" s="1"/>
  <c r="O87" i="11" a="1"/>
  <c r="O87" i="11" s="1"/>
  <c r="Q87" i="11" a="1"/>
  <c r="Q87" i="11" s="1"/>
  <c r="O84" i="11"/>
  <c r="Q83" i="11"/>
  <c r="P87" i="11" a="1"/>
  <c r="P87" i="11" s="1"/>
  <c r="P83" i="11"/>
  <c r="Q85" i="11" a="1"/>
  <c r="Q85" i="11" s="1"/>
  <c r="O86" i="11" a="1"/>
  <c r="O86" i="11" s="1"/>
  <c r="P84" i="11"/>
  <c r="O83" i="11"/>
  <c r="O85" i="11" a="1"/>
  <c r="O85" i="11" s="1"/>
  <c r="W83" i="11"/>
  <c r="W87" i="11" a="1"/>
  <c r="W87" i="11" s="1"/>
  <c r="Y42" i="11"/>
  <c r="Y86" i="11" a="1"/>
  <c r="Y86" i="11" s="1"/>
  <c r="Y85" i="11"/>
  <c r="O42" i="11"/>
  <c r="O49" i="11" s="1"/>
  <c r="W86" i="11" a="1"/>
  <c r="W86" i="11" s="1"/>
  <c r="W85" i="11"/>
  <c r="W35" i="11"/>
  <c r="O35" i="11"/>
  <c r="Y87" i="11" a="1"/>
  <c r="Y87" i="11" s="1"/>
  <c r="Y83" i="11"/>
  <c r="Y35" i="11"/>
  <c r="W42" i="11"/>
  <c r="X87" i="11" a="1"/>
  <c r="X87" i="11" s="1"/>
  <c r="Z84" i="11"/>
  <c r="Z42" i="11"/>
  <c r="Z35" i="11"/>
  <c r="Z85" i="11"/>
  <c r="Z86" i="11" a="1"/>
  <c r="Z86" i="11" s="1"/>
  <c r="Z87" i="11" a="1"/>
  <c r="Z87" i="11" s="1"/>
  <c r="X86" i="11" a="1"/>
  <c r="X86" i="11" s="1"/>
  <c r="X83" i="11"/>
  <c r="X85" i="11"/>
  <c r="X84" i="11"/>
  <c r="X35" i="11"/>
  <c r="V86" i="11" a="1"/>
  <c r="V86" i="11" s="1"/>
  <c r="V84" i="11"/>
  <c r="V85" i="11"/>
  <c r="V83" i="11"/>
  <c r="V35" i="11"/>
  <c r="V87" i="11" a="1"/>
  <c r="V87" i="11" s="1"/>
  <c r="V42" i="11"/>
  <c r="P14" i="8"/>
  <c r="P21" i="8" s="1"/>
  <c r="P28" i="8" s="1"/>
  <c r="P12" i="10"/>
  <c r="Q14" i="8"/>
  <c r="Q15" i="8" s="1"/>
  <c r="Q12" i="10"/>
  <c r="L14" i="8"/>
  <c r="L21" i="8" s="1"/>
  <c r="L12" i="10"/>
  <c r="N14" i="8"/>
  <c r="N21" i="8" s="1"/>
  <c r="N12" i="10"/>
  <c r="M14" i="8"/>
  <c r="M15" i="8" s="1"/>
  <c r="M12" i="10"/>
  <c r="AA87" i="11" a="1"/>
  <c r="AA87" i="11" s="1"/>
  <c r="AA86" i="11" a="1"/>
  <c r="AA86" i="11" s="1"/>
  <c r="AA35" i="11"/>
  <c r="AG35" i="11" s="1"/>
  <c r="AA42" i="11"/>
  <c r="AG42" i="11" s="1"/>
  <c r="AG34" i="11"/>
  <c r="AA83" i="11"/>
  <c r="AA85" i="11"/>
  <c r="AA84" i="11"/>
  <c r="N79" i="8"/>
  <c r="H14" i="8"/>
  <c r="H21" i="8" s="1"/>
  <c r="I14" i="8"/>
  <c r="I15" i="8" s="1"/>
  <c r="J14" i="8"/>
  <c r="J15" i="8" s="1"/>
  <c r="L70" i="8"/>
  <c r="Q70" i="8"/>
  <c r="I70" i="8"/>
  <c r="H70" i="8"/>
  <c r="M70" i="8"/>
  <c r="E70" i="8"/>
  <c r="J70" i="8"/>
  <c r="Q125" i="8"/>
  <c r="O125" i="8"/>
  <c r="I125" i="8"/>
  <c r="M125" i="8"/>
  <c r="N125" i="8"/>
  <c r="O14" i="8"/>
  <c r="O15" i="8" s="1"/>
  <c r="K14" i="8"/>
  <c r="K15" i="8" s="1"/>
  <c r="O70" i="8"/>
  <c r="O52" i="8"/>
  <c r="O61" i="8" s="1"/>
  <c r="K52" i="8"/>
  <c r="K61" i="8" s="1"/>
  <c r="K70" i="8"/>
  <c r="Y49" i="11" l="1"/>
  <c r="Y50" i="11" s="1"/>
  <c r="W49" i="11"/>
  <c r="W50" i="11" s="1"/>
  <c r="V49" i="11"/>
  <c r="V50" i="11" s="1"/>
  <c r="X49" i="11"/>
  <c r="X50" i="11" s="1"/>
  <c r="AC49" i="11"/>
  <c r="AC50" i="11" s="1"/>
  <c r="AB49" i="11"/>
  <c r="AB50" i="11" s="1"/>
  <c r="AA49" i="11"/>
  <c r="AA50" i="11" s="1"/>
  <c r="Z49" i="11"/>
  <c r="Z50" i="11" s="1"/>
  <c r="Q21" i="8"/>
  <c r="Q28" i="8" s="1"/>
  <c r="Q29" i="8" s="1"/>
  <c r="P15" i="8"/>
  <c r="P22" i="8"/>
  <c r="M21" i="8"/>
  <c r="M28" i="8" s="1"/>
  <c r="M29" i="8" s="1"/>
  <c r="L15" i="8"/>
  <c r="K50" i="11"/>
  <c r="O50" i="11"/>
  <c r="N15" i="8"/>
  <c r="M32" i="8"/>
  <c r="M97" i="8" s="1"/>
  <c r="M117" i="8" s="1"/>
  <c r="P29" i="8"/>
  <c r="P32" i="8"/>
  <c r="P97" i="8" s="1"/>
  <c r="P117" i="8" s="1"/>
  <c r="AD50" i="11"/>
  <c r="N28" i="8"/>
  <c r="H28" i="8"/>
  <c r="L28" i="8"/>
  <c r="I21" i="8"/>
  <c r="N87" i="8"/>
  <c r="N89" i="8" s="1"/>
  <c r="H22" i="8"/>
  <c r="H15" i="8"/>
  <c r="J21" i="8"/>
  <c r="O79" i="8"/>
  <c r="L79" i="8"/>
  <c r="J79" i="8"/>
  <c r="E79" i="8"/>
  <c r="I79" i="8"/>
  <c r="K79" i="8"/>
  <c r="Q79" i="8"/>
  <c r="H79" i="8"/>
  <c r="M79" i="8"/>
  <c r="P79" i="8"/>
  <c r="J125" i="8"/>
  <c r="K125" i="8"/>
  <c r="O21" i="8"/>
  <c r="O28" i="8" s="1"/>
  <c r="K21" i="8"/>
  <c r="K28" i="8" s="1"/>
  <c r="N22" i="8"/>
  <c r="L22" i="8"/>
  <c r="Q32" i="8" l="1"/>
  <c r="Q97" i="8" s="1"/>
  <c r="Q117" i="8" s="1"/>
  <c r="Q143" i="8" s="1"/>
  <c r="Q22" i="8"/>
  <c r="M22" i="8"/>
  <c r="O29" i="8"/>
  <c r="O32" i="8"/>
  <c r="O97" i="8" s="1"/>
  <c r="O117" i="8" s="1"/>
  <c r="N29" i="8"/>
  <c r="N32" i="8"/>
  <c r="N97" i="8" s="1"/>
  <c r="N117" i="8" s="1"/>
  <c r="L29" i="8"/>
  <c r="L32" i="8"/>
  <c r="L97" i="8" s="1"/>
  <c r="L117" i="8" s="1"/>
  <c r="K29" i="8"/>
  <c r="K32" i="8"/>
  <c r="K97" i="8" s="1"/>
  <c r="K117" i="8" s="1"/>
  <c r="H29" i="8"/>
  <c r="H32" i="8"/>
  <c r="H97" i="8" s="1"/>
  <c r="H117" i="8" s="1"/>
  <c r="H143" i="8" s="1"/>
  <c r="Q39" i="8"/>
  <c r="Q33" i="8"/>
  <c r="Q36" i="8"/>
  <c r="M36" i="8"/>
  <c r="M39" i="8"/>
  <c r="M33" i="8"/>
  <c r="P39" i="8"/>
  <c r="P33" i="8"/>
  <c r="P36" i="8"/>
  <c r="J28" i="8"/>
  <c r="I28" i="8"/>
  <c r="L87" i="8"/>
  <c r="L89" i="8" s="1"/>
  <c r="I22" i="8"/>
  <c r="J22" i="8"/>
  <c r="K87" i="8"/>
  <c r="K89" i="8" s="1"/>
  <c r="O87" i="8"/>
  <c r="O89" i="8" s="1"/>
  <c r="J87" i="8"/>
  <c r="J89" i="8" s="1"/>
  <c r="I87" i="8"/>
  <c r="I89" i="8" s="1"/>
  <c r="Q87" i="8"/>
  <c r="Q89" i="8" s="1"/>
  <c r="P87" i="8"/>
  <c r="P89" i="8" s="1"/>
  <c r="M87" i="8"/>
  <c r="M89" i="8" s="1"/>
  <c r="H87" i="8"/>
  <c r="H89" i="8" s="1"/>
  <c r="K22" i="8"/>
  <c r="O22" i="8"/>
  <c r="I29" i="8" l="1"/>
  <c r="I32" i="8"/>
  <c r="I97" i="8" s="1"/>
  <c r="I117" i="8" s="1"/>
  <c r="J29" i="8"/>
  <c r="J32" i="8"/>
  <c r="J97" i="8" s="1"/>
  <c r="J117" i="8" s="1"/>
  <c r="H36" i="8"/>
  <c r="H33" i="8"/>
  <c r="H39" i="8"/>
  <c r="L36" i="8"/>
  <c r="L39" i="8"/>
  <c r="L33" i="8"/>
  <c r="N39" i="8"/>
  <c r="N33" i="8"/>
  <c r="N36" i="8"/>
  <c r="O39" i="8"/>
  <c r="O33" i="8"/>
  <c r="O36" i="8"/>
  <c r="K33" i="8"/>
  <c r="K36" i="8"/>
  <c r="K39" i="8"/>
  <c r="P143" i="8"/>
  <c r="L143" i="8"/>
  <c r="M143" i="8"/>
  <c r="N143" i="8"/>
  <c r="J39" i="8" l="1"/>
  <c r="J33" i="8"/>
  <c r="J36" i="8"/>
  <c r="I39" i="8"/>
  <c r="I33" i="8"/>
  <c r="I36" i="8"/>
  <c r="I143" i="8" l="1"/>
  <c r="J143" i="8"/>
  <c r="B94" i="8" l="1"/>
  <c r="B93" i="8"/>
  <c r="E94" i="8"/>
  <c r="D94" i="8"/>
  <c r="C94" i="8"/>
  <c r="E93" i="8"/>
  <c r="D93" i="8"/>
  <c r="C93" i="8"/>
  <c r="B43" i="8"/>
  <c r="B42" i="8"/>
  <c r="AE43" i="8"/>
  <c r="AD43" i="8"/>
  <c r="AC43" i="8"/>
  <c r="AA43" i="8"/>
  <c r="Z43" i="8"/>
  <c r="Y43" i="8"/>
  <c r="W43" i="8"/>
  <c r="V43" i="8"/>
  <c r="AB43" i="8"/>
  <c r="X43" i="8"/>
  <c r="AE42" i="8"/>
  <c r="AD42" i="8"/>
  <c r="AC42" i="8"/>
  <c r="AB42" i="8"/>
  <c r="AA42" i="8"/>
  <c r="Z42" i="8"/>
  <c r="Y42" i="8"/>
  <c r="X42" i="8"/>
  <c r="W42" i="8"/>
  <c r="V42" i="8"/>
  <c r="X93" i="8" l="1"/>
  <c r="Y93" i="8"/>
  <c r="Y94" i="8"/>
  <c r="AB93" i="8"/>
  <c r="AC93" i="8"/>
  <c r="X94" i="8"/>
  <c r="AC94" i="8"/>
  <c r="AD94" i="8"/>
  <c r="AA93" i="8"/>
  <c r="V93" i="8"/>
  <c r="AD93" i="8"/>
  <c r="AA94" i="8"/>
  <c r="Z94" i="8"/>
  <c r="W93" i="8"/>
  <c r="AE93" i="8"/>
  <c r="AB94" i="8"/>
  <c r="V94" i="8"/>
  <c r="Z93" i="8"/>
  <c r="W94" i="8"/>
  <c r="AE94" i="8"/>
  <c r="Z11" i="8" l="1"/>
  <c r="Z12" i="10" s="1"/>
  <c r="D52" i="8"/>
  <c r="D61" i="8" s="1"/>
  <c r="C52" i="8"/>
  <c r="C61" i="8" s="1"/>
  <c r="E52" i="8"/>
  <c r="E61" i="8" s="1"/>
  <c r="AA11" i="8" l="1"/>
  <c r="AA12" i="10" s="1"/>
  <c r="Z14" i="8"/>
  <c r="Z21" i="8" s="1"/>
  <c r="AA52" i="8"/>
  <c r="AA61" i="8" s="1"/>
  <c r="Y52" i="8"/>
  <c r="Y61" i="8" s="1"/>
  <c r="AA70" i="8"/>
  <c r="AA79" i="8" s="1"/>
  <c r="Z70" i="8"/>
  <c r="Z79" i="8" s="1"/>
  <c r="V70" i="8"/>
  <c r="V79" i="8" s="1"/>
  <c r="X11" i="8"/>
  <c r="X12" i="10" s="1"/>
  <c r="V52" i="8"/>
  <c r="V61" i="8" s="1"/>
  <c r="Z52" i="8"/>
  <c r="Z61" i="8" s="1"/>
  <c r="Y11" i="8"/>
  <c r="Y12" i="10" s="1"/>
  <c r="W52" i="8"/>
  <c r="W61" i="8" s="1"/>
  <c r="W70" i="8"/>
  <c r="W79" i="8" s="1"/>
  <c r="Y70" i="8"/>
  <c r="Y79" i="8" s="1"/>
  <c r="AC52" i="8"/>
  <c r="AC61" i="8" s="1"/>
  <c r="AC11" i="8"/>
  <c r="AC12" i="10" s="1"/>
  <c r="AC70" i="8"/>
  <c r="AC79" i="8" s="1"/>
  <c r="AD70" i="8"/>
  <c r="AD79" i="8" s="1"/>
  <c r="AB11" i="8"/>
  <c r="AB12" i="10" s="1"/>
  <c r="AD11" i="8"/>
  <c r="AD12" i="10" s="1"/>
  <c r="AD52" i="8"/>
  <c r="AD61" i="8" s="1"/>
  <c r="Z28" i="8" l="1"/>
  <c r="Z22" i="8"/>
  <c r="Y14" i="8"/>
  <c r="Y21" i="8" s="1"/>
  <c r="AC14" i="8"/>
  <c r="AC21" i="8" s="1"/>
  <c r="AG10" i="8"/>
  <c r="AA87" i="8"/>
  <c r="AA89" i="8" s="1"/>
  <c r="Y87" i="8"/>
  <c r="Y89" i="8" s="1"/>
  <c r="W87" i="8"/>
  <c r="W89" i="8" s="1"/>
  <c r="AG17" i="8"/>
  <c r="Z87" i="8"/>
  <c r="Z89" i="8" s="1"/>
  <c r="AA14" i="8"/>
  <c r="AA21" i="8" s="1"/>
  <c r="V87" i="8"/>
  <c r="V89" i="8" s="1"/>
  <c r="X14" i="8"/>
  <c r="X21" i="8" s="1"/>
  <c r="Z15" i="8"/>
  <c r="AG13" i="8"/>
  <c r="AC87" i="8"/>
  <c r="AC89" i="8" s="1"/>
  <c r="AD14" i="8"/>
  <c r="AD21" i="8" s="1"/>
  <c r="AB14" i="8"/>
  <c r="AB21" i="8" s="1"/>
  <c r="AD87" i="8"/>
  <c r="AD89" i="8" s="1"/>
  <c r="Z29" i="8" l="1"/>
  <c r="Z32" i="8"/>
  <c r="Z97" i="8" s="1"/>
  <c r="X28" i="8"/>
  <c r="AC28" i="8"/>
  <c r="AB28" i="8"/>
  <c r="Y28" i="8"/>
  <c r="AA28" i="8"/>
  <c r="AD28" i="8"/>
  <c r="Y22" i="8"/>
  <c r="X22" i="8"/>
  <c r="AA22" i="8"/>
  <c r="AC22" i="8"/>
  <c r="AB22" i="8"/>
  <c r="AD22" i="8"/>
  <c r="AC15" i="8"/>
  <c r="AB15" i="8"/>
  <c r="Y15" i="8"/>
  <c r="AD15" i="8"/>
  <c r="AA15" i="8"/>
  <c r="X15" i="8"/>
  <c r="AC29" i="8" l="1"/>
  <c r="AC32" i="8"/>
  <c r="AC97" i="8" s="1"/>
  <c r="AD29" i="8"/>
  <c r="AD32" i="8"/>
  <c r="AD97" i="8" s="1"/>
  <c r="Y29" i="8"/>
  <c r="Y32" i="8"/>
  <c r="X29" i="8"/>
  <c r="X32" i="8"/>
  <c r="X97" i="8" s="1"/>
  <c r="AA29" i="8"/>
  <c r="AA32" i="8"/>
  <c r="AA97" i="8" s="1"/>
  <c r="AB29" i="8"/>
  <c r="AB32" i="8"/>
  <c r="AB97" i="8" s="1"/>
  <c r="Z33" i="8"/>
  <c r="Z36" i="8"/>
  <c r="Z39" i="8"/>
  <c r="Y33" i="8" l="1"/>
  <c r="Y97" i="8"/>
  <c r="Y39" i="8"/>
  <c r="Y36" i="8"/>
  <c r="AC36" i="8"/>
  <c r="AC33" i="8"/>
  <c r="AC39" i="8"/>
  <c r="AA33" i="8"/>
  <c r="AA36" i="8"/>
  <c r="AA39" i="8"/>
  <c r="X39" i="8"/>
  <c r="X33" i="8"/>
  <c r="X36" i="8"/>
  <c r="AD33" i="8"/>
  <c r="AD36" i="8"/>
  <c r="AD39" i="8"/>
  <c r="AB39" i="8"/>
  <c r="AB33" i="8"/>
  <c r="AB36" i="8"/>
  <c r="X70" i="8" l="1"/>
  <c r="AB70" i="8"/>
  <c r="AB79" i="8" s="1"/>
  <c r="X79" i="8" l="1"/>
  <c r="X87" i="8" s="1"/>
  <c r="V125" i="8"/>
  <c r="W125" i="8"/>
  <c r="AA125" i="8"/>
  <c r="X125" i="8"/>
  <c r="Y125" i="8"/>
  <c r="Z125" i="8"/>
  <c r="AB125" i="8"/>
  <c r="AD125" i="8"/>
  <c r="AC125" i="8"/>
  <c r="E11" i="8" l="1"/>
  <c r="E12" i="10" s="1"/>
  <c r="D11" i="8"/>
  <c r="D12" i="10" s="1"/>
  <c r="C11" i="8"/>
  <c r="C12" i="10" s="1"/>
  <c r="E125" i="8"/>
  <c r="D125" i="8"/>
  <c r="C125" i="8"/>
  <c r="D70" i="8"/>
  <c r="C70" i="8"/>
  <c r="AE11" i="8"/>
  <c r="AE12" i="10" s="1"/>
  <c r="D79" i="8" l="1"/>
  <c r="C79" i="8"/>
  <c r="AG11" i="8"/>
  <c r="AB87" i="8"/>
  <c r="D14" i="8"/>
  <c r="D21" i="8" s="1"/>
  <c r="C14" i="8"/>
  <c r="C21" i="8" s="1"/>
  <c r="E14" i="8"/>
  <c r="E21" i="8" s="1"/>
  <c r="AE70" i="8"/>
  <c r="AE79" i="8" s="1"/>
  <c r="AG86" i="8"/>
  <c r="C28" i="8" l="1"/>
  <c r="E28" i="8"/>
  <c r="D28" i="8"/>
  <c r="C87" i="8"/>
  <c r="C89" i="8" s="1"/>
  <c r="C22" i="8"/>
  <c r="D22" i="8"/>
  <c r="E22" i="8"/>
  <c r="AB52" i="8"/>
  <c r="AB61" i="8" s="1"/>
  <c r="X52" i="8"/>
  <c r="X61" i="8" s="1"/>
  <c r="D87" i="8"/>
  <c r="D89" i="8" s="1"/>
  <c r="E87" i="8"/>
  <c r="E89" i="8" s="1"/>
  <c r="AG79" i="8"/>
  <c r="AG70" i="8"/>
  <c r="AE52" i="8"/>
  <c r="AE61" i="8" s="1"/>
  <c r="D15" i="8"/>
  <c r="E15" i="8"/>
  <c r="C15" i="8"/>
  <c r="AE14" i="8"/>
  <c r="AE21" i="8" s="1"/>
  <c r="AE28" i="8" s="1"/>
  <c r="AE32" i="8" s="1"/>
  <c r="AE97" i="8" s="1"/>
  <c r="D29" i="8" l="1"/>
  <c r="D32" i="8"/>
  <c r="D97" i="8" s="1"/>
  <c r="D117" i="8" s="1"/>
  <c r="D143" i="8" s="1"/>
  <c r="E29" i="8"/>
  <c r="E32" i="8"/>
  <c r="E97" i="8" s="1"/>
  <c r="E117" i="8" s="1"/>
  <c r="E143" i="8" s="1"/>
  <c r="C29" i="8"/>
  <c r="C32" i="8"/>
  <c r="C97" i="8" s="1"/>
  <c r="AE29" i="8"/>
  <c r="AG29" i="8" s="1"/>
  <c r="AG28" i="8"/>
  <c r="K143" i="8"/>
  <c r="X89" i="8"/>
  <c r="AB89" i="8"/>
  <c r="AG21" i="8"/>
  <c r="AE22" i="8"/>
  <c r="AG22" i="8" s="1"/>
  <c r="D33" i="8"/>
  <c r="AG134" i="8"/>
  <c r="AE87" i="8"/>
  <c r="AG87" i="8" s="1"/>
  <c r="AG61" i="8"/>
  <c r="AG52" i="8"/>
  <c r="AG14" i="8"/>
  <c r="AE125" i="8"/>
  <c r="AG125" i="8" s="1"/>
  <c r="AE15" i="8"/>
  <c r="AG15" i="8" s="1"/>
  <c r="C33" i="8" l="1"/>
  <c r="AE36" i="8"/>
  <c r="C39" i="8"/>
  <c r="C36" i="8"/>
  <c r="E36" i="8"/>
  <c r="E39" i="8"/>
  <c r="D39" i="8"/>
  <c r="D36" i="8"/>
  <c r="E33" i="8"/>
  <c r="O143" i="8"/>
  <c r="AE89" i="8"/>
  <c r="AG32" i="8" l="1"/>
  <c r="AE39" i="8"/>
  <c r="AE33" i="8"/>
  <c r="AG33" i="8" s="1"/>
  <c r="C117" i="8"/>
  <c r="C143" i="8" s="1"/>
  <c r="AA117" i="8"/>
  <c r="AB117" i="8"/>
  <c r="X117" i="8" l="1"/>
  <c r="Y117" i="8"/>
  <c r="Z117" i="8"/>
  <c r="AG36" i="8" l="1"/>
  <c r="AG39" i="8"/>
  <c r="C139" i="8" l="1"/>
  <c r="C144" i="8" l="1"/>
  <c r="D137" i="8" l="1"/>
  <c r="H137" i="8" s="1"/>
  <c r="C146" i="8"/>
  <c r="D139" i="8" l="1"/>
  <c r="D144" i="8" s="1"/>
  <c r="D146" i="8" s="1"/>
  <c r="E137" i="8" l="1"/>
  <c r="E139" i="8" s="1"/>
  <c r="E144" i="8" s="1"/>
  <c r="H139" i="8"/>
  <c r="H144" i="8" l="1"/>
  <c r="H146" i="8" s="1"/>
  <c r="E146" i="8"/>
  <c r="F137" i="8"/>
  <c r="F139" i="8" s="1"/>
  <c r="F144" i="8" s="1"/>
  <c r="F146" i="8" s="1"/>
  <c r="I137" i="8" l="1"/>
  <c r="I139" i="8" s="1"/>
  <c r="I144" i="8" s="1"/>
  <c r="I146" i="8" s="1"/>
  <c r="J137" i="8" l="1"/>
  <c r="J139" i="8" s="1"/>
  <c r="J144" i="8" l="1"/>
  <c r="K137" i="8" l="1"/>
  <c r="K139" i="8" s="1"/>
  <c r="J146" i="8"/>
  <c r="K144" i="8" l="1"/>
  <c r="L137" i="8" l="1"/>
  <c r="L139" i="8" s="1"/>
  <c r="K146" i="8"/>
  <c r="L144" i="8" l="1"/>
  <c r="M137" i="8" l="1"/>
  <c r="M139" i="8" s="1"/>
  <c r="L146" i="8"/>
  <c r="M144" i="8" l="1"/>
  <c r="N137" i="8" l="1"/>
  <c r="N139" i="8" s="1"/>
  <c r="M146" i="8"/>
  <c r="N144" i="8" l="1"/>
  <c r="O137" i="8" l="1"/>
  <c r="O139" i="8" s="1"/>
  <c r="N146" i="8"/>
  <c r="O144" i="8" l="1"/>
  <c r="P137" i="8" s="1"/>
  <c r="P139" i="8" s="1"/>
  <c r="W11" i="8"/>
  <c r="W12" i="10" s="1"/>
  <c r="V11" i="8"/>
  <c r="V12" i="10" s="1"/>
  <c r="V14" i="8" l="1"/>
  <c r="V21" i="8" s="1"/>
  <c r="P144" i="8"/>
  <c r="Q137" i="8" s="1"/>
  <c r="Q139" i="8" s="1"/>
  <c r="O146" i="8"/>
  <c r="W14" i="8"/>
  <c r="V15" i="8" l="1"/>
  <c r="Q144" i="8"/>
  <c r="P146" i="8"/>
  <c r="V28" i="8"/>
  <c r="W21" i="8"/>
  <c r="W15" i="8"/>
  <c r="V22" i="8"/>
  <c r="Q146" i="8" l="1"/>
  <c r="R137" i="8"/>
  <c r="R139" i="8" s="1"/>
  <c r="R144" i="8" s="1"/>
  <c r="V29" i="8"/>
  <c r="V32" i="8"/>
  <c r="V97" i="8" s="1"/>
  <c r="W28" i="8"/>
  <c r="W22" i="8"/>
  <c r="R146" i="8" l="1"/>
  <c r="S137" i="8"/>
  <c r="S139" i="8" s="1"/>
  <c r="S144" i="8" s="1"/>
  <c r="W29" i="8"/>
  <c r="W32" i="8"/>
  <c r="W97" i="8" s="1"/>
  <c r="W117" i="8" s="1"/>
  <c r="V39" i="8"/>
  <c r="V33" i="8"/>
  <c r="V36" i="8"/>
  <c r="S146" i="8" l="1"/>
  <c r="T137" i="8"/>
  <c r="T139" i="8" s="1"/>
  <c r="T144" i="8" s="1"/>
  <c r="W36" i="8"/>
  <c r="W33" i="8"/>
  <c r="W39" i="8"/>
  <c r="AC117" i="8"/>
  <c r="AD117" i="8"/>
  <c r="V117" i="8"/>
  <c r="T146" i="8" l="1"/>
  <c r="AE117" i="8"/>
  <c r="AG97" i="8"/>
  <c r="AG117" i="8" l="1"/>
  <c r="W137" i="8" l="1"/>
  <c r="W139" i="8" s="1"/>
  <c r="W144" i="8" s="1"/>
  <c r="V146" i="8" l="1"/>
  <c r="X137" i="8"/>
  <c r="X139" i="8" s="1"/>
  <c r="X144" i="8" s="1"/>
  <c r="W146" i="8" l="1"/>
  <c r="Y137" i="8"/>
  <c r="Y139" i="8" s="1"/>
  <c r="Y144" i="8" s="1"/>
  <c r="X146" i="8" l="1"/>
  <c r="Z137" i="8"/>
  <c r="Z139" i="8" s="1"/>
  <c r="Z144" i="8" s="1"/>
  <c r="Y146" i="8" l="1"/>
  <c r="AA137" i="8"/>
  <c r="AA139" i="8" s="1"/>
  <c r="AA144" i="8" s="1"/>
  <c r="Z146" i="8" l="1"/>
  <c r="AB137" i="8"/>
  <c r="AB139" i="8" s="1"/>
  <c r="AA146" i="8"/>
  <c r="AB144" i="8" l="1"/>
  <c r="AC137" i="8" s="1"/>
  <c r="AC139" i="8" s="1"/>
  <c r="AC144" i="8" s="1"/>
  <c r="AD137" i="8" l="1"/>
  <c r="AD139" i="8" s="1"/>
  <c r="AC146" i="8"/>
  <c r="AB146" i="8"/>
  <c r="AD144" i="8" l="1"/>
  <c r="AE137" i="8" s="1"/>
  <c r="AE139" i="8" s="1"/>
  <c r="AE144" i="8" l="1"/>
  <c r="AE146" i="8" s="1"/>
  <c r="AD146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<sst xmlns="http://schemas.openxmlformats.org/spreadsheetml/2006/main" count="277" uniqueCount="123">
  <si>
    <t>FYE</t>
  </si>
  <si>
    <t>Quarterly</t>
  </si>
  <si>
    <t>1Q24</t>
  </si>
  <si>
    <t>2Q24</t>
  </si>
  <si>
    <t>3Q24</t>
  </si>
  <si>
    <t>4Q24</t>
  </si>
  <si>
    <t>1Q23</t>
  </si>
  <si>
    <t>2Q23</t>
  </si>
  <si>
    <t>3Q23</t>
  </si>
  <si>
    <t>4Q23</t>
  </si>
  <si>
    <t>LTM</t>
  </si>
  <si>
    <t>EBITDA</t>
  </si>
  <si>
    <t>Total Revenue</t>
  </si>
  <si>
    <t>Cost of Sales</t>
  </si>
  <si>
    <t>Changes in assets and liabilities:</t>
  </si>
  <si>
    <t>Cash-Flows Statement</t>
  </si>
  <si>
    <t>Total stockholders' equity</t>
  </si>
  <si>
    <t>Total Liabilities</t>
  </si>
  <si>
    <t>X</t>
  </si>
  <si>
    <t>Total Current Liabilities</t>
  </si>
  <si>
    <t>Total Current Assets</t>
  </si>
  <si>
    <t>Total Assets</t>
  </si>
  <si>
    <t>Gross Profit</t>
  </si>
  <si>
    <t>Total Debt</t>
  </si>
  <si>
    <t>Variance</t>
  </si>
  <si>
    <t>FCF Analysis</t>
  </si>
  <si>
    <t>1Q25</t>
  </si>
  <si>
    <t>2Q25</t>
  </si>
  <si>
    <t>Y/Y Growth (%)</t>
  </si>
  <si>
    <t>Q/Q Growth (%)</t>
  </si>
  <si>
    <t>N/A</t>
  </si>
  <si>
    <t>(-) Cost of Sales</t>
  </si>
  <si>
    <t>Gross Margin (%)</t>
  </si>
  <si>
    <t>Earning before Interest &amp; Taxes (EBIT)</t>
  </si>
  <si>
    <t>Operating Margin (%)</t>
  </si>
  <si>
    <t>EBITDA Margin (%)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</si>
  <si>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</si>
  <si>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</si>
  <si>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</si>
  <si>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</si>
  <si>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</si>
  <si>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</si>
  <si>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</si>
  <si>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</si>
  <si>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</si>
  <si>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Total Liquidity</t>
  </si>
  <si>
    <t>Balance Sheet Metrics:</t>
  </si>
  <si>
    <t>Current Liabilities</t>
  </si>
  <si>
    <t>Total Shareholder Equity</t>
  </si>
  <si>
    <t>Total Book Capitalization</t>
  </si>
  <si>
    <t>Debt-to-Book Capitalization</t>
  </si>
  <si>
    <t>Net loss</t>
  </si>
  <si>
    <t>Total liabilities and stockholders' equity</t>
  </si>
  <si>
    <t>Cash-Flows From Operating Activities</t>
  </si>
  <si>
    <t>Net income (loss)</t>
  </si>
  <si>
    <t>Depreciation and amortization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</si>
  <si>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</si>
  <si>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</si>
  <si>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</si>
  <si>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</si>
  <si>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</si>
  <si>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</si>
  <si>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</si>
  <si>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</si>
  <si>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</si>
  <si>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Net Margin (%)</t>
  </si>
  <si>
    <t>Basic shares</t>
  </si>
  <si>
    <t>Basic EPS</t>
  </si>
  <si>
    <t>Fully Diluted Shares</t>
  </si>
  <si>
    <t>Diluted EPS</t>
  </si>
  <si>
    <t>Segment Anaysis</t>
  </si>
  <si>
    <t>Total Net Revenue</t>
  </si>
  <si>
    <t xml:space="preserve">(+/-) Other </t>
  </si>
  <si>
    <t>Credit Metrics</t>
  </si>
  <si>
    <t>Adjusted Cash Position BOP</t>
  </si>
  <si>
    <t>Adjusted Cash Position EOP</t>
  </si>
  <si>
    <t xml:space="preserve">(-) Cash Interest 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</si>
  <si>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</si>
  <si>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</si>
  <si>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</si>
  <si>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</si>
  <si>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</si>
  <si>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</si>
  <si>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EBT Margin (%)</t>
  </si>
  <si>
    <t>Current Assets</t>
  </si>
  <si>
    <t>Non-Current Assets</t>
  </si>
  <si>
    <t>Non-Current Liabilities</t>
  </si>
  <si>
    <t>Supplemental disclosures of other cash flow information:</t>
  </si>
  <si>
    <t>Income tax expense</t>
  </si>
  <si>
    <t>Receivables</t>
  </si>
  <si>
    <t>Additions to property and equipment</t>
  </si>
  <si>
    <t>Income taxes paid</t>
  </si>
  <si>
    <t>Interest paid</t>
  </si>
  <si>
    <t>BOP Restricted Cash Adjustment</t>
  </si>
  <si>
    <t>EOP FX Adjustment</t>
  </si>
  <si>
    <t>EOP Restricted Cash Adjustment</t>
  </si>
  <si>
    <t>Unrestricted Cash BOP</t>
  </si>
  <si>
    <t>Revenue Segment Anaysis</t>
  </si>
  <si>
    <t>($ In Millions)</t>
  </si>
  <si>
    <t>($ In Millions, except EPS)</t>
  </si>
  <si>
    <t>Revenue by reportable segment</t>
  </si>
  <si>
    <t>Revenue by product category</t>
  </si>
  <si>
    <t>(+) Depreciation and Amortization (D&amp;A)</t>
  </si>
  <si>
    <t>(+) Stock-Based Compensation (SBC)</t>
  </si>
  <si>
    <t>Summary Debt:</t>
  </si>
  <si>
    <t>CPLTD</t>
  </si>
  <si>
    <t>LTD</t>
  </si>
  <si>
    <t>LTM Total Leverage</t>
  </si>
  <si>
    <t>LTM Net Leverage</t>
  </si>
  <si>
    <t xml:space="preserve">LTM Interest Coverage </t>
  </si>
  <si>
    <t>LTM Debt Service Coverage</t>
  </si>
  <si>
    <t>LTM Fixed Charge Coverage</t>
  </si>
  <si>
    <t>Proceeds from Equity Issuances / (Repurchases)</t>
  </si>
  <si>
    <t>3Q25</t>
  </si>
  <si>
    <t>4Q25</t>
  </si>
  <si>
    <t>1Q26</t>
  </si>
  <si>
    <t>XXX</t>
  </si>
  <si>
    <t>Earnings before Taxes</t>
  </si>
  <si>
    <t>Revenue by XXX</t>
  </si>
  <si>
    <t>(+/-) XXX</t>
  </si>
  <si>
    <t>(+) XXX</t>
  </si>
  <si>
    <t>(-) XXX</t>
  </si>
  <si>
    <t>(-) Mandatory Outflows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</si>
</sst>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</numFmts>
  <fonts count="3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i/>
      <sz val="7"/>
      <color rgb="FFFF0000"/>
      <name val="Calibri"/>
      <family val="2"/>
    </font>
    <font>
      <i/>
      <sz val="8"/>
      <color rgb="FF0000CC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59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3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0" fontId="8" fillId="3" borderId="4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 vertical="center" wrapText="1" inden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0" fontId="15" fillId="0" borderId="5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6" fontId="7" fillId="4" borderId="0" xfId="1" applyNumberFormat="1" applyFont="1" applyFill="1" applyBorder="1" applyAlignment="1">
      <alignment horizontal="right" vertical="center" wrapText="1"/>
    </xf>
    <xf numFmtId="166" fontId="9" fillId="4" borderId="0" xfId="1" applyNumberFormat="1" applyFont="1" applyFill="1" applyBorder="1" applyAlignment="1">
      <alignment horizontal="right" vertical="center" wrapText="1"/>
    </xf>
    <xf numFmtId="168" fontId="9" fillId="4" borderId="0" xfId="1" applyNumberFormat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8" fillId="0" borderId="5" xfId="0" applyFont="1" applyBorder="1" applyAlignment="1">
      <alignment vertical="top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3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3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166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41" fontId="6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7" fillId="3" borderId="0" xfId="1" applyNumberFormat="1" applyFont="1" applyFill="1" applyBorder="1" applyAlignment="1">
      <alignment horizontal="right" vertical="center" wrapText="1"/>
    </xf>
    <xf numFmtId="167" fontId="27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0" fontId="15" fillId="0" borderId="5" xfId="0" applyFont="1" applyBorder="1" applyAlignment="1">
      <alignment wrapText="1"/>
    </xf>
    <xf numFmtId="5" fontId="8" fillId="5" borderId="2" xfId="0" applyNumberFormat="1" applyFont="1" applyFill="1" applyBorder="1" applyAlignment="1">
      <alignment horizontal="right" vertical="top" wrapText="1"/>
    </xf>
    <xf numFmtId="0" fontId="29" fillId="0" borderId="0" xfId="0" applyFont="1" applyAlignment="1">
      <alignment horizontal="right" vertical="center" wrapText="1"/>
    </xf>
    <xf numFmtId="0" fontId="23" fillId="9" borderId="6" xfId="0" applyFont="1" applyFill="1" applyBorder="1"/>
    <xf numFmtId="9" fontId="30" fillId="0" borderId="2" xfId="1" applyFont="1" applyBorder="1"/>
    <xf numFmtId="9" fontId="10" fillId="0" borderId="2" xfId="1" applyFont="1" applyBorder="1"/>
    <xf numFmtId="9" fontId="10" fillId="0" borderId="7" xfId="1" applyFont="1" applyBorder="1"/>
    <xf numFmtId="0" fontId="23" fillId="9" borderId="8" xfId="0" applyFont="1" applyFill="1" applyBorder="1"/>
    <xf numFmtId="9" fontId="30" fillId="0" borderId="0" xfId="1" applyFont="1" applyBorder="1"/>
    <xf numFmtId="9" fontId="10" fillId="0" borderId="0" xfId="1" applyFont="1" applyBorder="1"/>
    <xf numFmtId="9" fontId="10" fillId="0" borderId="9" xfId="1" applyFont="1" applyBorder="1"/>
    <xf numFmtId="0" fontId="23" fillId="9" borderId="10" xfId="0" applyFont="1" applyFill="1" applyBorder="1"/>
    <xf numFmtId="9" fontId="30" fillId="0" borderId="5" xfId="1" applyFont="1" applyBorder="1"/>
    <xf numFmtId="9" fontId="10" fillId="0" borderId="5" xfId="1" applyFont="1" applyBorder="1"/>
    <xf numFmtId="9" fontId="10" fillId="0" borderId="11" xfId="1" applyFont="1" applyBorder="1"/>
    <xf numFmtId="9" fontId="10" fillId="0" borderId="2" xfId="1" applyFont="1" applyBorder="1" applyAlignment="1">
      <alignment horizontal="right"/>
    </xf>
    <xf numFmtId="9" fontId="10" fillId="0" borderId="5" xfId="1" applyFont="1" applyBorder="1" applyAlignment="1">
      <alignment horizontal="right"/>
    </xf>
    <xf numFmtId="9" fontId="10" fillId="0" borderId="0" xfId="1" applyFont="1" applyBorder="1" applyAlignment="1">
      <alignment horizontal="right"/>
    </xf>
    <xf numFmtId="0" fontId="4" fillId="0" borderId="0" xfId="0" quotePrefix="1" applyFont="1" applyAlignment="1">
      <alignment wrapText="1"/>
    </xf>
    <xf numFmtId="41" fontId="4" fillId="0" borderId="0" xfId="0" applyNumberFormat="1" applyFont="1" applyAlignment="1">
      <alignment vertical="center"/>
    </xf>
    <xf numFmtId="41" fontId="25" fillId="0" borderId="0" xfId="0" applyNumberFormat="1" applyFont="1" applyAlignment="1">
      <alignment vertical="center"/>
    </xf>
    <xf numFmtId="41" fontId="6" fillId="0" borderId="0" xfId="0" applyNumberFormat="1" applyFont="1" applyAlignment="1">
      <alignment horizontal="right" vertical="center" wrapText="1"/>
    </xf>
    <xf numFmtId="169" fontId="4" fillId="0" borderId="0" xfId="0" applyNumberFormat="1" applyFont="1"/>
    <xf numFmtId="41" fontId="6" fillId="0" borderId="0" xfId="0" applyNumberFormat="1" applyFont="1" applyAlignment="1">
      <alignment vertical="center"/>
    </xf>
    <xf numFmtId="169" fontId="4" fillId="8" borderId="0" xfId="0" applyNumberFormat="1" applyFont="1" applyFill="1"/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41" fontId="6" fillId="0" borderId="0" xfId="0" applyNumberFormat="1" applyFont="1" applyBorder="1" applyAlignment="1">
      <alignment horizontal="right" vertical="top" wrapText="1"/>
    </xf>
    <xf numFmtId="41" fontId="11" fillId="0" borderId="0" xfId="0" applyNumberFormat="1" applyFont="1" applyBorder="1" applyAlignment="1">
      <alignment horizontal="right" vertical="top" wrapText="1"/>
    </xf>
    <xf numFmtId="0" fontId="4" fillId="0" borderId="0" xfId="0" applyFont="1" applyBorder="1" applyAlignment="1">
      <alignment wrapText="1"/>
    </xf>
    <xf numFmtId="37" fontId="4" fillId="0" borderId="0" xfId="0" applyNumberFormat="1" applyFont="1" applyBorder="1" applyAlignment="1">
      <alignment wrapText="1"/>
    </xf>
    <xf numFmtId="43" fontId="21" fillId="0" borderId="12" xfId="0" applyNumberFormat="1" applyFont="1" applyBorder="1" applyAlignment="1">
      <alignment wrapText="1"/>
    </xf>
    <xf numFmtId="41" fontId="6" fillId="0" borderId="12" xfId="0" applyNumberFormat="1" applyFont="1" applyBorder="1" applyAlignment="1">
      <alignment horizontal="right" vertical="top" wrapText="1"/>
    </xf>
    <xf numFmtId="41" fontId="6" fillId="0" borderId="13" xfId="0" applyNumberFormat="1" applyFont="1" applyBorder="1" applyAlignment="1">
      <alignment horizontal="right" vertical="top" wrapText="1"/>
    </xf>
    <xf numFmtId="5" fontId="8" fillId="5" borderId="14" xfId="0" applyNumberFormat="1" applyFont="1" applyFill="1" applyBorder="1" applyAlignment="1">
      <alignment horizontal="right" vertical="top" wrapText="1"/>
    </xf>
    <xf numFmtId="37" fontId="4" fillId="0" borderId="13" xfId="0" applyNumberFormat="1" applyFont="1" applyBorder="1" applyAlignment="1">
      <alignment wrapText="1"/>
    </xf>
    <xf numFmtId="43" fontId="21" fillId="0" borderId="15" xfId="0" applyNumberFormat="1" applyFont="1" applyBorder="1" applyAlignment="1">
      <alignment wrapText="1"/>
    </xf>
    <xf numFmtId="41" fontId="8" fillId="0" borderId="16" xfId="0" applyNumberFormat="1" applyFont="1" applyBorder="1" applyAlignment="1">
      <alignment horizontal="right" vertical="top" wrapText="1"/>
    </xf>
    <xf numFmtId="41" fontId="7" fillId="0" borderId="17" xfId="0" applyNumberFormat="1" applyFont="1" applyBorder="1" applyAlignment="1">
      <alignment horizontal="right" vertical="top" wrapText="1"/>
    </xf>
    <xf numFmtId="0" fontId="8" fillId="5" borderId="17" xfId="0" applyFont="1" applyFill="1" applyBorder="1" applyAlignment="1">
      <alignment horizontal="right" vertical="center" wrapText="1"/>
    </xf>
    <xf numFmtId="41" fontId="8" fillId="0" borderId="17" xfId="0" applyNumberFormat="1" applyFont="1" applyBorder="1" applyAlignment="1">
      <alignment horizontal="right" vertical="top" wrapText="1"/>
    </xf>
    <xf numFmtId="0" fontId="4" fillId="0" borderId="17" xfId="0" applyFont="1" applyBorder="1"/>
    <xf numFmtId="0" fontId="21" fillId="0" borderId="18" xfId="0" applyFont="1" applyBorder="1" applyAlignment="1">
      <alignment horizontal="right" vertical="top" wrapText="1"/>
    </xf>
    <xf numFmtId="41" fontId="6" fillId="0" borderId="19" xfId="0" applyNumberFormat="1" applyFont="1" applyBorder="1" applyAlignment="1">
      <alignment horizontal="right" vertical="top" wrapText="1"/>
    </xf>
    <xf numFmtId="41" fontId="6" fillId="0" borderId="20" xfId="0" applyNumberFormat="1" applyFont="1" applyBorder="1" applyAlignment="1">
      <alignment horizontal="right" vertical="top" wrapText="1"/>
    </xf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G163"/>
  <sheetViews>
    <sheetView showGridLines="0" zoomScaleNormal="100" workbookViewId="0">
      <selection activeCell="B20" sqref="B20"/>
    </sheetView>
  </sheetViews>
  <sheetFormatPr defaultRowHeight="12" outlineLevelCol="1"/>
  <cols>
    <col min="1" max="1" width="1.625" style="5" bestFit="1" customWidth="1"/>
    <col min="2" max="2" width="49.125" style="5" bestFit="1" customWidth="1"/>
    <col min="3" max="3" width="9.125" style="5" customWidth="1" outlineLevel="1"/>
    <col min="4" max="6" width="9.125" style="5" bestFit="1" customWidth="1"/>
    <col min="7" max="7" width="1.5" style="5" customWidth="1"/>
    <col min="8" max="9" width="7.875" style="5" customWidth="1" outlineLevel="1"/>
    <col min="10" max="11" width="8.625" style="5" customWidth="1" outlineLevel="1"/>
    <col min="12" max="13" width="7.875" style="5" customWidth="1" outlineLevel="1"/>
    <col min="14" max="14" width="8.625" style="5" bestFit="1" customWidth="1"/>
    <col min="15" max="15" width="8.625" style="5" customWidth="1"/>
    <col min="16" max="20" width="8" style="5" customWidth="1"/>
    <col min="21" max="21" width="1.5" style="5" customWidth="1"/>
    <col min="22" max="22" width="8" style="5" customWidth="1" outlineLevel="1"/>
    <col min="23" max="23" width="8.625" style="5" bestFit="1" customWidth="1" outlineLevel="1"/>
    <col min="24" max="24" width="8" style="5" customWidth="1" outlineLevel="1"/>
    <col min="25" max="25" width="8.625" style="5" customWidth="1" outlineLevel="1"/>
    <col min="26" max="26" width="8.25" style="5" customWidth="1" outlineLevel="1"/>
    <col min="27" max="27" width="8.25" style="5" bestFit="1" customWidth="1"/>
    <col min="28" max="28" width="8.25" style="5" customWidth="1" outlineLevel="1"/>
    <col min="29" max="29" width="8.625" style="5" customWidth="1" outlineLevel="1"/>
    <col min="30" max="30" width="8.25" style="5" customWidth="1" outlineLevel="1"/>
    <col min="31" max="31" width="8.625" style="5" bestFit="1" customWidth="1"/>
    <col min="32" max="32" width="1.25" style="5" customWidth="1"/>
    <col min="33" max="33" width="10.5" style="5" bestFit="1" customWidth="1"/>
    <col min="34" max="34" width="1.375" style="5" customWidth="1"/>
    <col min="35" max="16384" width="9" style="5"/>
  </cols>
  <sheetData>
    <row r="2" spans="1:33" ht="12.75" customHeight="1">
      <c r="B2" s="1" t="s">
        <v>116</v>
      </c>
      <c r="C2" s="86"/>
      <c r="D2" s="86"/>
      <c r="E2" s="86"/>
      <c r="F2" s="86"/>
      <c r="G2" s="3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3"/>
      <c r="V2" s="86"/>
      <c r="W2" s="86"/>
      <c r="X2" s="86"/>
      <c r="Y2" s="86"/>
      <c r="Z2" s="86"/>
      <c r="AA2" s="86"/>
      <c r="AB2" s="86"/>
      <c r="AC2" s="86"/>
      <c r="AD2" s="86"/>
      <c r="AE2" s="86"/>
      <c r="AF2" s="3"/>
      <c r="AG2" s="1"/>
    </row>
    <row r="3" spans="1:33" ht="12.75" customHeight="1">
      <c r="B3" s="6" t="s">
        <v>79</v>
      </c>
      <c r="C3" s="7"/>
      <c r="D3" s="7"/>
      <c r="E3" s="7"/>
      <c r="F3" s="7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3"/>
      <c r="AG3" s="1"/>
    </row>
    <row r="4" spans="1:33" ht="12.75" customHeight="1">
      <c r="B4" s="6" t="s">
        <v>99</v>
      </c>
      <c r="C4" s="3"/>
      <c r="D4" s="7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1"/>
    </row>
    <row r="6" spans="1:33" ht="12.75" customHeight="1">
      <c r="A6" s="5" t="s">
        <v>18</v>
      </c>
      <c r="B6" s="1" t="s">
        <v>77</v>
      </c>
      <c r="C6" s="2"/>
      <c r="D6" s="2" t="s">
        <v>0</v>
      </c>
      <c r="E6" s="2"/>
      <c r="F6" s="2"/>
      <c r="G6" s="3"/>
      <c r="H6" s="2" t="s">
        <v>1</v>
      </c>
      <c r="I6" s="2"/>
      <c r="J6" s="2"/>
      <c r="K6" s="2"/>
      <c r="L6" s="2"/>
      <c r="M6" s="2"/>
      <c r="N6" s="2" t="s">
        <v>1</v>
      </c>
      <c r="O6" s="2"/>
      <c r="P6" s="2"/>
      <c r="Q6" s="2"/>
      <c r="R6" s="2"/>
      <c r="S6" s="2"/>
      <c r="T6" s="2"/>
      <c r="U6" s="3"/>
      <c r="V6" s="2"/>
      <c r="W6" s="2"/>
      <c r="X6" s="2"/>
      <c r="Y6" s="2"/>
      <c r="Z6" s="2"/>
      <c r="AA6" s="2" t="s">
        <v>10</v>
      </c>
      <c r="AB6" s="2"/>
      <c r="AC6" s="2"/>
      <c r="AD6" s="2"/>
      <c r="AE6" s="2"/>
      <c r="AF6" s="35"/>
      <c r="AG6" s="137" t="s">
        <v>24</v>
      </c>
    </row>
    <row r="7" spans="1:33" ht="12.75" customHeight="1">
      <c r="B7" s="6" t="s">
        <v>80</v>
      </c>
      <c r="C7" s="7">
        <v>2022</v>
      </c>
      <c r="D7" s="7">
        <v>2023</v>
      </c>
      <c r="E7" s="7">
        <v>2024</v>
      </c>
      <c r="F7" s="7">
        <v>2025</v>
      </c>
      <c r="G7" s="3"/>
      <c r="H7" s="4" t="s">
        <v>6</v>
      </c>
      <c r="I7" s="4" t="s">
        <v>7</v>
      </c>
      <c r="J7" s="4" t="s">
        <v>8</v>
      </c>
      <c r="K7" s="4" t="s">
        <v>9</v>
      </c>
      <c r="L7" s="4" t="s">
        <v>2</v>
      </c>
      <c r="M7" s="4" t="s">
        <v>3</v>
      </c>
      <c r="N7" s="4" t="s">
        <v>4</v>
      </c>
      <c r="O7" s="4" t="s">
        <v>5</v>
      </c>
      <c r="P7" s="4" t="s">
        <v>26</v>
      </c>
      <c r="Q7" s="4" t="s">
        <v>27</v>
      </c>
      <c r="R7" s="4" t="s">
        <v>113</v>
      </c>
      <c r="S7" s="4" t="s">
        <v>114</v>
      </c>
      <c r="T7" s="4" t="s">
        <v>115</v>
      </c>
      <c r="U7" s="4"/>
      <c r="V7" s="4" t="str">
        <f>K7</f>
        <v>4Q23</v>
      </c>
      <c r="W7" s="4" t="str">
        <f>L7</f>
        <v>1Q24</v>
      </c>
      <c r="X7" s="4" t="str">
        <f>M7</f>
        <v>2Q24</v>
      </c>
      <c r="Y7" s="4" t="str">
        <f>N7</f>
        <v>3Q24</v>
      </c>
      <c r="Z7" s="4" t="str">
        <f>O7</f>
        <v>4Q24</v>
      </c>
      <c r="AA7" s="4" t="str">
        <f>P7</f>
        <v>1Q25</v>
      </c>
      <c r="AB7" s="4" t="str">
        <f>Q7</f>
        <v>2Q25</v>
      </c>
      <c r="AC7" s="4" t="str">
        <f>R7</f>
        <v>3Q25</v>
      </c>
      <c r="AD7" s="4" t="str">
        <f>S7</f>
        <v>4Q25</v>
      </c>
      <c r="AE7" s="4" t="str">
        <f>T7</f>
        <v>1Q26</v>
      </c>
      <c r="AF7" s="35"/>
      <c r="AG7" s="137"/>
    </row>
    <row r="8" spans="1:33" ht="12.75" customHeight="1">
      <c r="B8" s="6" t="s">
        <v>81</v>
      </c>
      <c r="C8" s="3" t="s">
        <v>116</v>
      </c>
      <c r="D8" s="3" t="s">
        <v>116</v>
      </c>
      <c r="E8" s="3" t="s">
        <v>116</v>
      </c>
      <c r="F8" s="3" t="s">
        <v>116</v>
      </c>
      <c r="G8" s="3"/>
      <c r="H8" s="3" t="s">
        <v>116</v>
      </c>
      <c r="I8" s="3" t="s">
        <v>116</v>
      </c>
      <c r="J8" s="3" t="s">
        <v>116</v>
      </c>
      <c r="K8" s="3" t="str">
        <f>D8</f>
        <v>XXX</v>
      </c>
      <c r="L8" s="3" t="s">
        <v>116</v>
      </c>
      <c r="M8" s="3" t="s">
        <v>116</v>
      </c>
      <c r="N8" s="3" t="s">
        <v>116</v>
      </c>
      <c r="O8" s="3" t="str">
        <f>E8</f>
        <v>XXX</v>
      </c>
      <c r="P8" s="3" t="s">
        <v>116</v>
      </c>
      <c r="Q8" s="3" t="s">
        <v>116</v>
      </c>
      <c r="R8" s="3" t="s">
        <v>116</v>
      </c>
      <c r="S8" s="3" t="str">
        <f>F8</f>
        <v>XXX</v>
      </c>
      <c r="T8" s="3" t="s">
        <v>116</v>
      </c>
      <c r="U8" s="3"/>
      <c r="V8" s="3" t="str">
        <f>K8</f>
        <v>XXX</v>
      </c>
      <c r="W8" s="3" t="str">
        <f>L8</f>
        <v>XXX</v>
      </c>
      <c r="X8" s="3" t="str">
        <f>M8</f>
        <v>XXX</v>
      </c>
      <c r="Y8" s="3" t="str">
        <f>N8</f>
        <v>XXX</v>
      </c>
      <c r="Z8" s="3" t="str">
        <f>O8</f>
        <v>XXX</v>
      </c>
      <c r="AA8" s="3" t="str">
        <f>P8</f>
        <v>XXX</v>
      </c>
      <c r="AB8" s="3" t="str">
        <f>Q8</f>
        <v>XXX</v>
      </c>
      <c r="AC8" s="3" t="str">
        <f>R8</f>
        <v>XXX</v>
      </c>
      <c r="AD8" s="3" t="str">
        <f>S8</f>
        <v>XXX</v>
      </c>
      <c r="AE8" s="3" t="str">
        <f>T8</f>
        <v>XXX</v>
      </c>
      <c r="AF8" s="35"/>
      <c r="AG8" s="137"/>
    </row>
    <row r="9" spans="1:33" ht="5.0999999999999996" customHeight="1">
      <c r="AG9" s="85"/>
    </row>
    <row r="10" spans="1:33" ht="12.75" customHeight="1">
      <c r="B10" s="9" t="s">
        <v>61</v>
      </c>
      <c r="C10" s="81"/>
      <c r="D10" s="81"/>
      <c r="E10" s="81"/>
      <c r="F10" s="81"/>
      <c r="G10" s="11"/>
      <c r="H10" s="81"/>
      <c r="I10" s="81"/>
      <c r="J10" s="81"/>
      <c r="K10" s="30">
        <f>SUM(D10-SUM(H10:J10))</f>
        <v>0</v>
      </c>
      <c r="L10" s="81"/>
      <c r="M10" s="81"/>
      <c r="N10" s="81"/>
      <c r="O10" s="30">
        <f>SUM(E10-SUM(L10:N10))</f>
        <v>0</v>
      </c>
      <c r="P10" s="81"/>
      <c r="Q10" s="81"/>
      <c r="R10" s="81"/>
      <c r="S10" s="30">
        <f>SUM(F10-SUM(P10:R10))</f>
        <v>0</v>
      </c>
      <c r="T10" s="81"/>
      <c r="U10" s="30"/>
      <c r="V10" s="30">
        <f t="shared" ref="V10:AD10" si="0">SUM(H10:K10)</f>
        <v>0</v>
      </c>
      <c r="W10" s="30">
        <f t="shared" si="0"/>
        <v>0</v>
      </c>
      <c r="X10" s="30">
        <f t="shared" si="0"/>
        <v>0</v>
      </c>
      <c r="Y10" s="30">
        <f t="shared" si="0"/>
        <v>0</v>
      </c>
      <c r="Z10" s="30">
        <f t="shared" si="0"/>
        <v>0</v>
      </c>
      <c r="AA10" s="30">
        <f t="shared" si="0"/>
        <v>0</v>
      </c>
      <c r="AB10" s="30">
        <f t="shared" si="0"/>
        <v>0</v>
      </c>
      <c r="AC10" s="30">
        <f t="shared" si="0"/>
        <v>0</v>
      </c>
      <c r="AD10" s="30">
        <f t="shared" si="0"/>
        <v>0</v>
      </c>
      <c r="AE10" s="30">
        <f>SUM(Q10:T10)</f>
        <v>0</v>
      </c>
      <c r="AF10" s="37"/>
      <c r="AG10" s="68" t="e">
        <f>SUM(AE10/AA10)-1</f>
        <v>#DIV/0!</v>
      </c>
    </row>
    <row r="11" spans="1:33" ht="12.75" customHeight="1">
      <c r="B11" s="12" t="s">
        <v>12</v>
      </c>
      <c r="C11" s="13">
        <f t="shared" ref="C11:E11" si="1">+SUM(C10:C10)</f>
        <v>0</v>
      </c>
      <c r="D11" s="13">
        <f t="shared" si="1"/>
        <v>0</v>
      </c>
      <c r="E11" s="13">
        <f t="shared" si="1"/>
        <v>0</v>
      </c>
      <c r="F11" s="13">
        <f t="shared" ref="F11" si="2">+SUM(F10:F10)</f>
        <v>0</v>
      </c>
      <c r="G11" s="11"/>
      <c r="H11" s="13">
        <f t="shared" ref="H11:Q11" si="3">+SUM(H10:H10)</f>
        <v>0</v>
      </c>
      <c r="I11" s="13">
        <f t="shared" si="3"/>
        <v>0</v>
      </c>
      <c r="J11" s="13">
        <f t="shared" si="3"/>
        <v>0</v>
      </c>
      <c r="K11" s="13">
        <f t="shared" si="3"/>
        <v>0</v>
      </c>
      <c r="L11" s="13">
        <f t="shared" si="3"/>
        <v>0</v>
      </c>
      <c r="M11" s="13">
        <f t="shared" si="3"/>
        <v>0</v>
      </c>
      <c r="N11" s="13">
        <f t="shared" si="3"/>
        <v>0</v>
      </c>
      <c r="O11" s="13">
        <f t="shared" si="3"/>
        <v>0</v>
      </c>
      <c r="P11" s="13">
        <f t="shared" si="3"/>
        <v>0</v>
      </c>
      <c r="Q11" s="13">
        <f t="shared" si="3"/>
        <v>0</v>
      </c>
      <c r="R11" s="13">
        <f t="shared" ref="R11:S11" si="4">+SUM(R10:R10)</f>
        <v>0</v>
      </c>
      <c r="S11" s="13">
        <f t="shared" si="4"/>
        <v>0</v>
      </c>
      <c r="T11" s="13">
        <f t="shared" ref="T11" si="5">+SUM(T10:T10)</f>
        <v>0</v>
      </c>
      <c r="V11" s="13">
        <f t="shared" ref="V11:AE11" si="6">+SUM(V10:V10)</f>
        <v>0</v>
      </c>
      <c r="W11" s="13">
        <f t="shared" si="6"/>
        <v>0</v>
      </c>
      <c r="X11" s="13">
        <f t="shared" si="6"/>
        <v>0</v>
      </c>
      <c r="Y11" s="13">
        <f t="shared" si="6"/>
        <v>0</v>
      </c>
      <c r="Z11" s="13">
        <f t="shared" si="6"/>
        <v>0</v>
      </c>
      <c r="AA11" s="13">
        <f t="shared" si="6"/>
        <v>0</v>
      </c>
      <c r="AB11" s="13">
        <f t="shared" si="6"/>
        <v>0</v>
      </c>
      <c r="AC11" s="13">
        <f t="shared" si="6"/>
        <v>0</v>
      </c>
      <c r="AD11" s="13">
        <f t="shared" si="6"/>
        <v>0</v>
      </c>
      <c r="AE11" s="13">
        <f t="shared" si="6"/>
        <v>0</v>
      </c>
      <c r="AF11" s="37"/>
      <c r="AG11" s="69" t="e">
        <f t="shared" ref="AG11:AG32" si="7">SUM(AE11/AA11)-1</f>
        <v>#DIV/0!</v>
      </c>
    </row>
    <row r="12" spans="1:33" s="18" customFormat="1" ht="5.0999999999999996" customHeight="1">
      <c r="B12" s="16"/>
      <c r="C12" s="17"/>
      <c r="D12" s="17"/>
      <c r="E12" s="17"/>
      <c r="F12" s="17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AG12" s="68"/>
    </row>
    <row r="13" spans="1:33" ht="12.75" customHeight="1">
      <c r="B13" s="9" t="s">
        <v>13</v>
      </c>
      <c r="C13" s="76"/>
      <c r="D13" s="76"/>
      <c r="E13" s="76"/>
      <c r="F13" s="76"/>
      <c r="G13" s="22"/>
      <c r="H13" s="81"/>
      <c r="I13" s="81"/>
      <c r="J13" s="81"/>
      <c r="K13" s="30">
        <f>SUM(D13-SUM(H13:J13))</f>
        <v>0</v>
      </c>
      <c r="L13" s="76"/>
      <c r="M13" s="76"/>
      <c r="N13" s="76"/>
      <c r="O13" s="30">
        <f>SUM(E13-SUM(L13:N13))</f>
        <v>0</v>
      </c>
      <c r="P13" s="76"/>
      <c r="Q13" s="76"/>
      <c r="R13" s="76"/>
      <c r="S13" s="30">
        <f>SUM(F13-SUM(P13:R13))</f>
        <v>0</v>
      </c>
      <c r="T13" s="76"/>
      <c r="V13" s="30">
        <f t="shared" ref="V13" si="8">SUM(H13:K13)</f>
        <v>0</v>
      </c>
      <c r="W13" s="30">
        <f t="shared" ref="W13" si="9">SUM(I13:L13)</f>
        <v>0</v>
      </c>
      <c r="X13" s="30">
        <f t="shared" ref="X13" si="10">SUM(J13:M13)</f>
        <v>0</v>
      </c>
      <c r="Y13" s="30">
        <f t="shared" ref="Y13" si="11">SUM(K13:N13)</f>
        <v>0</v>
      </c>
      <c r="Z13" s="30">
        <f t="shared" ref="Z13" si="12">SUM(L13:O13)</f>
        <v>0</v>
      </c>
      <c r="AA13" s="30">
        <f t="shared" ref="AA13" si="13">SUM(M13:P13)</f>
        <v>0</v>
      </c>
      <c r="AB13" s="30">
        <f t="shared" ref="AB13" si="14">SUM(N13:Q13)</f>
        <v>0</v>
      </c>
      <c r="AC13" s="30">
        <f t="shared" ref="AC13" si="15">SUM(O13:R13)</f>
        <v>0</v>
      </c>
      <c r="AD13" s="30">
        <f t="shared" ref="AD13" si="16">SUM(P13:S13)</f>
        <v>0</v>
      </c>
      <c r="AE13" s="30">
        <f>SUM(Q13:T13)</f>
        <v>0</v>
      </c>
      <c r="AF13" s="11"/>
      <c r="AG13" s="68" t="e">
        <f t="shared" si="7"/>
        <v>#DIV/0!</v>
      </c>
    </row>
    <row r="14" spans="1:33" ht="12.75" customHeight="1">
      <c r="B14" s="23" t="s">
        <v>22</v>
      </c>
      <c r="C14" s="24">
        <f t="shared" ref="C14:E14" si="17">+SUM(C11+SUM(C13:C13))</f>
        <v>0</v>
      </c>
      <c r="D14" s="24">
        <f t="shared" si="17"/>
        <v>0</v>
      </c>
      <c r="E14" s="24">
        <f t="shared" si="17"/>
        <v>0</v>
      </c>
      <c r="F14" s="24">
        <f t="shared" ref="F14" si="18">+SUM(F11+SUM(F13:F13))</f>
        <v>0</v>
      </c>
      <c r="H14" s="24">
        <f t="shared" ref="H14:Q14" si="19">+SUM(H11+SUM(H13:H13))</f>
        <v>0</v>
      </c>
      <c r="I14" s="24">
        <f t="shared" si="19"/>
        <v>0</v>
      </c>
      <c r="J14" s="24">
        <f t="shared" si="19"/>
        <v>0</v>
      </c>
      <c r="K14" s="24">
        <f t="shared" si="19"/>
        <v>0</v>
      </c>
      <c r="L14" s="24">
        <f t="shared" si="19"/>
        <v>0</v>
      </c>
      <c r="M14" s="24">
        <f t="shared" si="19"/>
        <v>0</v>
      </c>
      <c r="N14" s="24">
        <f t="shared" si="19"/>
        <v>0</v>
      </c>
      <c r="O14" s="24">
        <f t="shared" si="19"/>
        <v>0</v>
      </c>
      <c r="P14" s="24">
        <f t="shared" si="19"/>
        <v>0</v>
      </c>
      <c r="Q14" s="24">
        <f t="shared" si="19"/>
        <v>0</v>
      </c>
      <c r="R14" s="24">
        <f t="shared" ref="R14:S14" si="20">+SUM(R11+SUM(R13:R13))</f>
        <v>0</v>
      </c>
      <c r="S14" s="24">
        <f t="shared" si="20"/>
        <v>0</v>
      </c>
      <c r="T14" s="24">
        <f t="shared" ref="T14" si="21">+SUM(T11+SUM(T13:T13))</f>
        <v>0</v>
      </c>
      <c r="V14" s="24">
        <f t="shared" ref="V14:AE14" si="22">+SUM(V11+SUM(V13:V13))</f>
        <v>0</v>
      </c>
      <c r="W14" s="24">
        <f t="shared" si="22"/>
        <v>0</v>
      </c>
      <c r="X14" s="24">
        <f t="shared" si="22"/>
        <v>0</v>
      </c>
      <c r="Y14" s="24">
        <f t="shared" si="22"/>
        <v>0</v>
      </c>
      <c r="Z14" s="24">
        <f t="shared" si="22"/>
        <v>0</v>
      </c>
      <c r="AA14" s="24">
        <f t="shared" si="22"/>
        <v>0</v>
      </c>
      <c r="AB14" s="24">
        <f t="shared" si="22"/>
        <v>0</v>
      </c>
      <c r="AC14" s="24">
        <f t="shared" si="22"/>
        <v>0</v>
      </c>
      <c r="AD14" s="24">
        <f t="shared" si="22"/>
        <v>0</v>
      </c>
      <c r="AE14" s="24">
        <f t="shared" si="22"/>
        <v>0</v>
      </c>
      <c r="AF14" s="39"/>
      <c r="AG14" s="69" t="e">
        <f t="shared" si="7"/>
        <v>#DIV/0!</v>
      </c>
    </row>
    <row r="15" spans="1:33" ht="12.75" customHeight="1">
      <c r="B15" s="14" t="s">
        <v>32</v>
      </c>
      <c r="C15" s="15" t="e">
        <f t="shared" ref="C15:E15" si="23">C14/C11</f>
        <v>#DIV/0!</v>
      </c>
      <c r="D15" s="15" t="e">
        <f t="shared" si="23"/>
        <v>#DIV/0!</v>
      </c>
      <c r="E15" s="15" t="e">
        <f t="shared" si="23"/>
        <v>#DIV/0!</v>
      </c>
      <c r="F15" s="15" t="e">
        <f t="shared" ref="F15" si="24">F14/F11</f>
        <v>#DIV/0!</v>
      </c>
      <c r="G15" s="25"/>
      <c r="H15" s="15" t="e">
        <f t="shared" ref="H15:Q15" si="25">H14/H11</f>
        <v>#DIV/0!</v>
      </c>
      <c r="I15" s="15" t="e">
        <f t="shared" si="25"/>
        <v>#DIV/0!</v>
      </c>
      <c r="J15" s="15" t="e">
        <f t="shared" si="25"/>
        <v>#DIV/0!</v>
      </c>
      <c r="K15" s="15" t="e">
        <f t="shared" si="25"/>
        <v>#DIV/0!</v>
      </c>
      <c r="L15" s="15" t="e">
        <f t="shared" si="25"/>
        <v>#DIV/0!</v>
      </c>
      <c r="M15" s="15" t="e">
        <f t="shared" si="25"/>
        <v>#DIV/0!</v>
      </c>
      <c r="N15" s="15" t="e">
        <f t="shared" si="25"/>
        <v>#DIV/0!</v>
      </c>
      <c r="O15" s="15" t="e">
        <f t="shared" si="25"/>
        <v>#DIV/0!</v>
      </c>
      <c r="P15" s="15" t="e">
        <f t="shared" si="25"/>
        <v>#DIV/0!</v>
      </c>
      <c r="Q15" s="15" t="e">
        <f t="shared" si="25"/>
        <v>#DIV/0!</v>
      </c>
      <c r="R15" s="15" t="e">
        <f t="shared" ref="R15:S15" si="26">R14/R11</f>
        <v>#DIV/0!</v>
      </c>
      <c r="S15" s="15" t="e">
        <f t="shared" si="26"/>
        <v>#DIV/0!</v>
      </c>
      <c r="T15" s="15" t="e">
        <f t="shared" ref="T15" si="27">T14/T11</f>
        <v>#DIV/0!</v>
      </c>
      <c r="U15" s="26"/>
      <c r="V15" s="15" t="e">
        <f t="shared" ref="V15:AE15" si="28">V14/V11</f>
        <v>#DIV/0!</v>
      </c>
      <c r="W15" s="15" t="e">
        <f t="shared" si="28"/>
        <v>#DIV/0!</v>
      </c>
      <c r="X15" s="15" t="e">
        <f t="shared" si="28"/>
        <v>#DIV/0!</v>
      </c>
      <c r="Y15" s="15" t="e">
        <f t="shared" si="28"/>
        <v>#DIV/0!</v>
      </c>
      <c r="Z15" s="15" t="e">
        <f t="shared" si="28"/>
        <v>#DIV/0!</v>
      </c>
      <c r="AA15" s="15" t="e">
        <f t="shared" si="28"/>
        <v>#DIV/0!</v>
      </c>
      <c r="AB15" s="15" t="e">
        <f t="shared" si="28"/>
        <v>#DIV/0!</v>
      </c>
      <c r="AC15" s="15" t="e">
        <f t="shared" si="28"/>
        <v>#DIV/0!</v>
      </c>
      <c r="AD15" s="15" t="e">
        <f t="shared" si="28"/>
        <v>#DIV/0!</v>
      </c>
      <c r="AE15" s="15" t="e">
        <f t="shared" si="28"/>
        <v>#DIV/0!</v>
      </c>
      <c r="AF15" s="39"/>
      <c r="AG15" s="70" t="e">
        <f>SUM(AE15-AA15)*1000</f>
        <v>#DIV/0!</v>
      </c>
    </row>
    <row r="16" spans="1:33" ht="5.0999999999999996" customHeight="1"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39"/>
      <c r="AG16" s="68"/>
    </row>
    <row r="17" spans="2:33" ht="12.75" customHeight="1">
      <c r="B17" s="9" t="s">
        <v>116</v>
      </c>
      <c r="C17" s="76"/>
      <c r="D17" s="76"/>
      <c r="E17" s="76"/>
      <c r="F17" s="76"/>
      <c r="G17" s="30"/>
      <c r="H17" s="81"/>
      <c r="I17" s="81"/>
      <c r="J17" s="81"/>
      <c r="K17" s="30">
        <f>SUM(D17-SUM(H17:J17))</f>
        <v>0</v>
      </c>
      <c r="L17" s="76"/>
      <c r="M17" s="76"/>
      <c r="N17" s="76"/>
      <c r="O17" s="30">
        <f>SUM(E17-SUM(L17:N17))</f>
        <v>0</v>
      </c>
      <c r="P17" s="76"/>
      <c r="Q17" s="76"/>
      <c r="R17" s="76"/>
      <c r="S17" s="30">
        <f t="shared" ref="S17:S20" si="29">SUM(F17-SUM(P17:R17))</f>
        <v>0</v>
      </c>
      <c r="T17" s="76"/>
      <c r="V17" s="30">
        <f t="shared" ref="V17:V20" si="30">SUM(H17:K17)</f>
        <v>0</v>
      </c>
      <c r="W17" s="30">
        <f t="shared" ref="W17:W20" si="31">SUM(I17:L17)</f>
        <v>0</v>
      </c>
      <c r="X17" s="30">
        <f t="shared" ref="X17:X20" si="32">SUM(J17:M17)</f>
        <v>0</v>
      </c>
      <c r="Y17" s="30">
        <f t="shared" ref="Y17:Y20" si="33">SUM(K17:N17)</f>
        <v>0</v>
      </c>
      <c r="Z17" s="30">
        <f t="shared" ref="Z17:Z20" si="34">SUM(L17:O17)</f>
        <v>0</v>
      </c>
      <c r="AA17" s="30">
        <f t="shared" ref="AA17:AA20" si="35">SUM(M17:P17)</f>
        <v>0</v>
      </c>
      <c r="AB17" s="30">
        <f t="shared" ref="AB17:AB20" si="36">SUM(N17:Q17)</f>
        <v>0</v>
      </c>
      <c r="AC17" s="30">
        <f t="shared" ref="AC17:AC20" si="37">SUM(O17:R17)</f>
        <v>0</v>
      </c>
      <c r="AD17" s="30">
        <f t="shared" ref="AD17:AD20" si="38">SUM(P17:S17)</f>
        <v>0</v>
      </c>
      <c r="AE17" s="30">
        <f t="shared" ref="AE17:AE20" si="39">SUM(Q17:T17)</f>
        <v>0</v>
      </c>
      <c r="AF17" s="11"/>
      <c r="AG17" s="68" t="e">
        <f t="shared" si="7"/>
        <v>#DIV/0!</v>
      </c>
    </row>
    <row r="18" spans="2:33" ht="12.75" customHeight="1">
      <c r="B18" s="9" t="s">
        <v>116</v>
      </c>
      <c r="C18" s="76"/>
      <c r="D18" s="76"/>
      <c r="E18" s="76"/>
      <c r="F18" s="76"/>
      <c r="G18" s="30"/>
      <c r="H18" s="81"/>
      <c r="I18" s="81"/>
      <c r="J18" s="81"/>
      <c r="K18" s="30">
        <f t="shared" ref="K18:K19" si="40">SUM(D18-SUM(H18:J18))</f>
        <v>0</v>
      </c>
      <c r="L18" s="76"/>
      <c r="M18" s="76"/>
      <c r="N18" s="76"/>
      <c r="O18" s="30">
        <f t="shared" ref="O18:O19" si="41">SUM(E18-SUM(L18:N18))</f>
        <v>0</v>
      </c>
      <c r="P18" s="76"/>
      <c r="Q18" s="76"/>
      <c r="R18" s="76"/>
      <c r="S18" s="30">
        <f t="shared" ref="S18:S19" si="42">SUM(F18-SUM(P18:R18))</f>
        <v>0</v>
      </c>
      <c r="T18" s="76"/>
      <c r="V18" s="30">
        <f t="shared" si="30"/>
        <v>0</v>
      </c>
      <c r="W18" s="30">
        <f t="shared" si="31"/>
        <v>0</v>
      </c>
      <c r="X18" s="30">
        <f t="shared" si="32"/>
        <v>0</v>
      </c>
      <c r="Y18" s="30">
        <f t="shared" si="33"/>
        <v>0</v>
      </c>
      <c r="Z18" s="30">
        <f t="shared" si="34"/>
        <v>0</v>
      </c>
      <c r="AA18" s="30">
        <f t="shared" si="35"/>
        <v>0</v>
      </c>
      <c r="AB18" s="30">
        <f t="shared" si="36"/>
        <v>0</v>
      </c>
      <c r="AC18" s="30">
        <f t="shared" si="37"/>
        <v>0</v>
      </c>
      <c r="AD18" s="30">
        <f t="shared" si="38"/>
        <v>0</v>
      </c>
      <c r="AE18" s="30">
        <f t="shared" si="39"/>
        <v>0</v>
      </c>
      <c r="AF18" s="11"/>
      <c r="AG18" s="68" t="e">
        <f t="shared" ref="AG18:AG19" si="43">SUM(AE18/AA18)-1</f>
        <v>#DIV/0!</v>
      </c>
    </row>
    <row r="19" spans="2:33" ht="12.75" customHeight="1">
      <c r="B19" s="9" t="s">
        <v>116</v>
      </c>
      <c r="C19" s="76"/>
      <c r="D19" s="76"/>
      <c r="E19" s="76"/>
      <c r="F19" s="76"/>
      <c r="G19" s="30"/>
      <c r="H19" s="81"/>
      <c r="I19" s="81"/>
      <c r="J19" s="81"/>
      <c r="K19" s="30">
        <f t="shared" si="40"/>
        <v>0</v>
      </c>
      <c r="L19" s="76"/>
      <c r="M19" s="76"/>
      <c r="N19" s="76"/>
      <c r="O19" s="30">
        <f t="shared" si="41"/>
        <v>0</v>
      </c>
      <c r="P19" s="76"/>
      <c r="Q19" s="76"/>
      <c r="R19" s="76"/>
      <c r="S19" s="30">
        <f t="shared" si="42"/>
        <v>0</v>
      </c>
      <c r="T19" s="76"/>
      <c r="V19" s="30">
        <f t="shared" si="30"/>
        <v>0</v>
      </c>
      <c r="W19" s="30">
        <f t="shared" si="31"/>
        <v>0</v>
      </c>
      <c r="X19" s="30">
        <f t="shared" si="32"/>
        <v>0</v>
      </c>
      <c r="Y19" s="30">
        <f t="shared" si="33"/>
        <v>0</v>
      </c>
      <c r="Z19" s="30">
        <f t="shared" si="34"/>
        <v>0</v>
      </c>
      <c r="AA19" s="30">
        <f t="shared" si="35"/>
        <v>0</v>
      </c>
      <c r="AB19" s="30">
        <f t="shared" si="36"/>
        <v>0</v>
      </c>
      <c r="AC19" s="30">
        <f t="shared" si="37"/>
        <v>0</v>
      </c>
      <c r="AD19" s="30">
        <f t="shared" si="38"/>
        <v>0</v>
      </c>
      <c r="AE19" s="30">
        <f t="shared" si="39"/>
        <v>0</v>
      </c>
      <c r="AF19" s="11"/>
      <c r="AG19" s="68" t="e">
        <f t="shared" si="43"/>
        <v>#DIV/0!</v>
      </c>
    </row>
    <row r="20" spans="2:33" ht="12.75" customHeight="1">
      <c r="B20" s="9" t="s">
        <v>116</v>
      </c>
      <c r="C20" s="76"/>
      <c r="D20" s="76"/>
      <c r="E20" s="76"/>
      <c r="F20" s="76"/>
      <c r="G20" s="30"/>
      <c r="H20" s="81"/>
      <c r="I20" s="81"/>
      <c r="J20" s="81"/>
      <c r="K20" s="30">
        <f>SUM(D20-SUM(H20:J20))</f>
        <v>0</v>
      </c>
      <c r="L20" s="76"/>
      <c r="M20" s="76"/>
      <c r="N20" s="76"/>
      <c r="O20" s="30">
        <f>SUM(E20-SUM(L20:N20))</f>
        <v>0</v>
      </c>
      <c r="P20" s="76"/>
      <c r="Q20" s="76"/>
      <c r="R20" s="76"/>
      <c r="S20" s="30">
        <f t="shared" si="29"/>
        <v>0</v>
      </c>
      <c r="T20" s="76"/>
      <c r="V20" s="30">
        <f t="shared" si="30"/>
        <v>0</v>
      </c>
      <c r="W20" s="30">
        <f t="shared" si="31"/>
        <v>0</v>
      </c>
      <c r="X20" s="30">
        <f t="shared" si="32"/>
        <v>0</v>
      </c>
      <c r="Y20" s="30">
        <f t="shared" si="33"/>
        <v>0</v>
      </c>
      <c r="Z20" s="30">
        <f t="shared" si="34"/>
        <v>0</v>
      </c>
      <c r="AA20" s="30">
        <f t="shared" si="35"/>
        <v>0</v>
      </c>
      <c r="AB20" s="30">
        <f t="shared" si="36"/>
        <v>0</v>
      </c>
      <c r="AC20" s="30">
        <f t="shared" si="37"/>
        <v>0</v>
      </c>
      <c r="AD20" s="30">
        <f t="shared" si="38"/>
        <v>0</v>
      </c>
      <c r="AE20" s="30">
        <f t="shared" si="39"/>
        <v>0</v>
      </c>
      <c r="AF20" s="11"/>
      <c r="AG20" s="68" t="e">
        <f t="shared" si="7"/>
        <v>#DIV/0!</v>
      </c>
    </row>
    <row r="21" spans="2:33" ht="12.75" customHeight="1">
      <c r="B21" s="23" t="s">
        <v>82</v>
      </c>
      <c r="C21" s="24">
        <f>+SUM(C14+SUM(C17:C20))</f>
        <v>0</v>
      </c>
      <c r="D21" s="24">
        <f>+SUM(D14+SUM(D17:D20))</f>
        <v>0</v>
      </c>
      <c r="E21" s="24">
        <f>+SUM(E14+SUM(E17:E20))</f>
        <v>0</v>
      </c>
      <c r="F21" s="24">
        <f>+SUM(F14+SUM(F17:F20))</f>
        <v>0</v>
      </c>
      <c r="G21" s="30"/>
      <c r="H21" s="24">
        <f t="shared" ref="H21:Q21" si="44">+SUM(H14+SUM(H17:H20))</f>
        <v>0</v>
      </c>
      <c r="I21" s="24">
        <f t="shared" si="44"/>
        <v>0</v>
      </c>
      <c r="J21" s="24">
        <f t="shared" si="44"/>
        <v>0</v>
      </c>
      <c r="K21" s="24">
        <f t="shared" si="44"/>
        <v>0</v>
      </c>
      <c r="L21" s="24">
        <f t="shared" si="44"/>
        <v>0</v>
      </c>
      <c r="M21" s="24">
        <f t="shared" si="44"/>
        <v>0</v>
      </c>
      <c r="N21" s="24">
        <f t="shared" si="44"/>
        <v>0</v>
      </c>
      <c r="O21" s="24">
        <f t="shared" si="44"/>
        <v>0</v>
      </c>
      <c r="P21" s="24">
        <f t="shared" si="44"/>
        <v>0</v>
      </c>
      <c r="Q21" s="24">
        <f t="shared" si="44"/>
        <v>0</v>
      </c>
      <c r="R21" s="24">
        <f>+SUM(R14+SUM(R17:R20))</f>
        <v>0</v>
      </c>
      <c r="S21" s="24">
        <f t="shared" ref="S21" si="45">+SUM(S14+SUM(S17:S20))</f>
        <v>0</v>
      </c>
      <c r="T21" s="24">
        <f>+SUM(T14+SUM(T17:T20))</f>
        <v>0</v>
      </c>
      <c r="V21" s="24">
        <f t="shared" ref="V21:AE21" si="46">+SUM(V14+SUM(V17:V20))</f>
        <v>0</v>
      </c>
      <c r="W21" s="24">
        <f t="shared" si="46"/>
        <v>0</v>
      </c>
      <c r="X21" s="24">
        <f t="shared" si="46"/>
        <v>0</v>
      </c>
      <c r="Y21" s="24">
        <f t="shared" si="46"/>
        <v>0</v>
      </c>
      <c r="Z21" s="24">
        <f t="shared" si="46"/>
        <v>0</v>
      </c>
      <c r="AA21" s="24">
        <f t="shared" si="46"/>
        <v>0</v>
      </c>
      <c r="AB21" s="24">
        <f t="shared" si="46"/>
        <v>0</v>
      </c>
      <c r="AC21" s="24">
        <f t="shared" si="46"/>
        <v>0</v>
      </c>
      <c r="AD21" s="24">
        <f t="shared" si="46"/>
        <v>0</v>
      </c>
      <c r="AE21" s="24">
        <f t="shared" si="46"/>
        <v>0</v>
      </c>
      <c r="AF21" s="11"/>
      <c r="AG21" s="69" t="e">
        <f t="shared" si="7"/>
        <v>#DIV/0!</v>
      </c>
    </row>
    <row r="22" spans="2:33" ht="12.75" customHeight="1">
      <c r="B22" s="14" t="s">
        <v>34</v>
      </c>
      <c r="C22" s="15" t="e">
        <f>C21/C11</f>
        <v>#DIV/0!</v>
      </c>
      <c r="D22" s="15" t="e">
        <f>D21/D11</f>
        <v>#DIV/0!</v>
      </c>
      <c r="E22" s="15" t="e">
        <f>E21/E11</f>
        <v>#DIV/0!</v>
      </c>
      <c r="F22" s="15" t="e">
        <f>F21/F11</f>
        <v>#DIV/0!</v>
      </c>
      <c r="G22" s="30"/>
      <c r="H22" s="15" t="e">
        <f t="shared" ref="H22:Q22" si="47">H21/H11</f>
        <v>#DIV/0!</v>
      </c>
      <c r="I22" s="15" t="e">
        <f t="shared" si="47"/>
        <v>#DIV/0!</v>
      </c>
      <c r="J22" s="15" t="e">
        <f t="shared" si="47"/>
        <v>#DIV/0!</v>
      </c>
      <c r="K22" s="15" t="e">
        <f t="shared" si="47"/>
        <v>#DIV/0!</v>
      </c>
      <c r="L22" s="15" t="e">
        <f t="shared" si="47"/>
        <v>#DIV/0!</v>
      </c>
      <c r="M22" s="15" t="e">
        <f t="shared" si="47"/>
        <v>#DIV/0!</v>
      </c>
      <c r="N22" s="15" t="e">
        <f t="shared" si="47"/>
        <v>#DIV/0!</v>
      </c>
      <c r="O22" s="15" t="e">
        <f t="shared" si="47"/>
        <v>#DIV/0!</v>
      </c>
      <c r="P22" s="15" t="e">
        <f t="shared" si="47"/>
        <v>#DIV/0!</v>
      </c>
      <c r="Q22" s="15" t="e">
        <f t="shared" si="47"/>
        <v>#DIV/0!</v>
      </c>
      <c r="R22" s="15" t="e">
        <f>R21/R11</f>
        <v>#DIV/0!</v>
      </c>
      <c r="S22" s="15" t="e">
        <f t="shared" ref="S22" si="48">S21/S11</f>
        <v>#DIV/0!</v>
      </c>
      <c r="T22" s="15" t="e">
        <f>T21/T11</f>
        <v>#DIV/0!</v>
      </c>
      <c r="V22" s="15" t="e">
        <f t="shared" ref="V22:AE22" si="49">V21/V11</f>
        <v>#DIV/0!</v>
      </c>
      <c r="W22" s="15" t="e">
        <f t="shared" si="49"/>
        <v>#DIV/0!</v>
      </c>
      <c r="X22" s="15" t="e">
        <f t="shared" si="49"/>
        <v>#DIV/0!</v>
      </c>
      <c r="Y22" s="15" t="e">
        <f t="shared" si="49"/>
        <v>#DIV/0!</v>
      </c>
      <c r="Z22" s="15" t="e">
        <f t="shared" si="49"/>
        <v>#DIV/0!</v>
      </c>
      <c r="AA22" s="15" t="e">
        <f t="shared" si="49"/>
        <v>#DIV/0!</v>
      </c>
      <c r="AB22" s="15" t="e">
        <f t="shared" si="49"/>
        <v>#DIV/0!</v>
      </c>
      <c r="AC22" s="15" t="e">
        <f t="shared" si="49"/>
        <v>#DIV/0!</v>
      </c>
      <c r="AD22" s="15" t="e">
        <f t="shared" si="49"/>
        <v>#DIV/0!</v>
      </c>
      <c r="AE22" s="15" t="e">
        <f t="shared" si="49"/>
        <v>#DIV/0!</v>
      </c>
      <c r="AF22" s="11"/>
      <c r="AG22" s="70" t="e">
        <f>SUM(AE22-AA22)*1000</f>
        <v>#DIV/0!</v>
      </c>
    </row>
    <row r="23" spans="2:33" ht="5.0999999999999996" customHeight="1">
      <c r="B23" s="14"/>
      <c r="C23" s="15"/>
      <c r="D23" s="15"/>
      <c r="E23" s="15"/>
      <c r="F23" s="15"/>
      <c r="G23" s="30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11"/>
      <c r="AG23" s="68"/>
    </row>
    <row r="24" spans="2:33" ht="12.75" customHeight="1">
      <c r="B24" s="9" t="s">
        <v>116</v>
      </c>
      <c r="C24" s="76"/>
      <c r="D24" s="76"/>
      <c r="E24" s="76"/>
      <c r="F24" s="76"/>
      <c r="G24" s="30"/>
      <c r="H24" s="76"/>
      <c r="I24" s="76"/>
      <c r="J24" s="76"/>
      <c r="K24" s="30">
        <f>SUM(D24-SUM(H24:J24))</f>
        <v>0</v>
      </c>
      <c r="L24" s="76"/>
      <c r="M24" s="76"/>
      <c r="N24" s="76"/>
      <c r="O24" s="30">
        <f>SUM(E24-SUM(L24:N24))</f>
        <v>0</v>
      </c>
      <c r="P24" s="76"/>
      <c r="Q24" s="76"/>
      <c r="R24" s="76"/>
      <c r="S24" s="30">
        <f t="shared" ref="S24:S27" si="50">SUM(F24-SUM(P24:R24))</f>
        <v>0</v>
      </c>
      <c r="T24" s="76"/>
      <c r="V24" s="30">
        <f t="shared" ref="V24:V27" si="51">SUM(H24:K24)</f>
        <v>0</v>
      </c>
      <c r="W24" s="30">
        <f t="shared" ref="W24:W27" si="52">SUM(I24:L24)</f>
        <v>0</v>
      </c>
      <c r="X24" s="30">
        <f t="shared" ref="X24:X27" si="53">SUM(J24:M24)</f>
        <v>0</v>
      </c>
      <c r="Y24" s="30">
        <f t="shared" ref="Y24:Y27" si="54">SUM(K24:N24)</f>
        <v>0</v>
      </c>
      <c r="Z24" s="30">
        <f t="shared" ref="Z24:Z27" si="55">SUM(L24:O24)</f>
        <v>0</v>
      </c>
      <c r="AA24" s="30">
        <f t="shared" ref="AA24:AA27" si="56">SUM(M24:P24)</f>
        <v>0</v>
      </c>
      <c r="AB24" s="30">
        <f t="shared" ref="AB24:AB27" si="57">SUM(N24:Q24)</f>
        <v>0</v>
      </c>
      <c r="AC24" s="30">
        <f t="shared" ref="AC24:AC27" si="58">SUM(O24:R24)</f>
        <v>0</v>
      </c>
      <c r="AD24" s="30">
        <f t="shared" ref="AD24:AD27" si="59">SUM(P24:S24)</f>
        <v>0</v>
      </c>
      <c r="AE24" s="30">
        <f t="shared" ref="AE24:AE27" si="60">SUM(Q24:T24)</f>
        <v>0</v>
      </c>
      <c r="AF24" s="11"/>
      <c r="AG24" s="68" t="e">
        <f t="shared" si="7"/>
        <v>#DIV/0!</v>
      </c>
    </row>
    <row r="25" spans="2:33" ht="12.75" customHeight="1">
      <c r="B25" s="9" t="s">
        <v>116</v>
      </c>
      <c r="C25" s="76"/>
      <c r="D25" s="76"/>
      <c r="E25" s="76"/>
      <c r="F25" s="76"/>
      <c r="G25" s="30"/>
      <c r="H25" s="76"/>
      <c r="I25" s="76"/>
      <c r="J25" s="76"/>
      <c r="K25" s="30">
        <f>SUM(D25-SUM(H25:J25))</f>
        <v>0</v>
      </c>
      <c r="L25" s="76"/>
      <c r="M25" s="76"/>
      <c r="N25" s="76"/>
      <c r="O25" s="30">
        <f>SUM(E25-SUM(L25:N25))</f>
        <v>0</v>
      </c>
      <c r="P25" s="76"/>
      <c r="Q25" s="76"/>
      <c r="R25" s="76"/>
      <c r="S25" s="30">
        <f t="shared" ref="S25" si="61">SUM(F25-SUM(P25:R25))</f>
        <v>0</v>
      </c>
      <c r="T25" s="76"/>
      <c r="V25" s="30">
        <f t="shared" si="51"/>
        <v>0</v>
      </c>
      <c r="W25" s="30">
        <f t="shared" si="52"/>
        <v>0</v>
      </c>
      <c r="X25" s="30">
        <f t="shared" si="53"/>
        <v>0</v>
      </c>
      <c r="Y25" s="30">
        <f t="shared" si="54"/>
        <v>0</v>
      </c>
      <c r="Z25" s="30">
        <f t="shared" si="55"/>
        <v>0</v>
      </c>
      <c r="AA25" s="30">
        <f t="shared" si="56"/>
        <v>0</v>
      </c>
      <c r="AB25" s="30">
        <f t="shared" si="57"/>
        <v>0</v>
      </c>
      <c r="AC25" s="30">
        <f t="shared" si="58"/>
        <v>0</v>
      </c>
      <c r="AD25" s="30">
        <f t="shared" si="59"/>
        <v>0</v>
      </c>
      <c r="AE25" s="30">
        <f t="shared" si="60"/>
        <v>0</v>
      </c>
      <c r="AF25" s="11"/>
      <c r="AG25" s="68" t="e">
        <f t="shared" ref="AG25" si="62">SUM(AE25/AA25)-1</f>
        <v>#DIV/0!</v>
      </c>
    </row>
    <row r="26" spans="2:33" ht="12.75" customHeight="1">
      <c r="B26" s="9" t="s">
        <v>116</v>
      </c>
      <c r="C26" s="76"/>
      <c r="D26" s="76"/>
      <c r="E26" s="76"/>
      <c r="F26" s="76"/>
      <c r="G26" s="30"/>
      <c r="H26" s="76"/>
      <c r="I26" s="76"/>
      <c r="J26" s="76"/>
      <c r="K26" s="30">
        <f>SUM(D26-SUM(H26:J26))</f>
        <v>0</v>
      </c>
      <c r="L26" s="76"/>
      <c r="M26" s="76"/>
      <c r="N26" s="76"/>
      <c r="O26" s="30">
        <f>SUM(E26-SUM(L26:N26))</f>
        <v>0</v>
      </c>
      <c r="P26" s="76"/>
      <c r="Q26" s="76"/>
      <c r="R26" s="76"/>
      <c r="S26" s="30">
        <f t="shared" si="50"/>
        <v>0</v>
      </c>
      <c r="T26" s="76"/>
      <c r="V26" s="30">
        <f t="shared" si="51"/>
        <v>0</v>
      </c>
      <c r="W26" s="30">
        <f t="shared" si="52"/>
        <v>0</v>
      </c>
      <c r="X26" s="30">
        <f t="shared" si="53"/>
        <v>0</v>
      </c>
      <c r="Y26" s="30">
        <f t="shared" si="54"/>
        <v>0</v>
      </c>
      <c r="Z26" s="30">
        <f t="shared" si="55"/>
        <v>0</v>
      </c>
      <c r="AA26" s="30">
        <f t="shared" si="56"/>
        <v>0</v>
      </c>
      <c r="AB26" s="30">
        <f t="shared" si="57"/>
        <v>0</v>
      </c>
      <c r="AC26" s="30">
        <f t="shared" si="58"/>
        <v>0</v>
      </c>
      <c r="AD26" s="30">
        <f t="shared" si="59"/>
        <v>0</v>
      </c>
      <c r="AE26" s="30">
        <f t="shared" si="60"/>
        <v>0</v>
      </c>
      <c r="AF26" s="11"/>
      <c r="AG26" s="68" t="e">
        <f t="shared" si="7"/>
        <v>#DIV/0!</v>
      </c>
    </row>
    <row r="27" spans="2:33" ht="12.75" customHeight="1">
      <c r="B27" s="9" t="s">
        <v>116</v>
      </c>
      <c r="C27" s="76"/>
      <c r="D27" s="76"/>
      <c r="E27" s="76"/>
      <c r="F27" s="76"/>
      <c r="G27" s="30"/>
      <c r="H27" s="76"/>
      <c r="I27" s="76"/>
      <c r="J27" s="76"/>
      <c r="K27" s="30">
        <f>SUM(D27-SUM(H27:J27))</f>
        <v>0</v>
      </c>
      <c r="L27" s="76"/>
      <c r="M27" s="76"/>
      <c r="N27" s="76"/>
      <c r="O27" s="30">
        <f>SUM(E27-SUM(L27:N27))</f>
        <v>0</v>
      </c>
      <c r="P27" s="76"/>
      <c r="Q27" s="76"/>
      <c r="R27" s="76"/>
      <c r="S27" s="30">
        <f t="shared" si="50"/>
        <v>0</v>
      </c>
      <c r="T27" s="76"/>
      <c r="V27" s="30">
        <f t="shared" si="51"/>
        <v>0</v>
      </c>
      <c r="W27" s="30">
        <f t="shared" si="52"/>
        <v>0</v>
      </c>
      <c r="X27" s="30">
        <f t="shared" si="53"/>
        <v>0</v>
      </c>
      <c r="Y27" s="30">
        <f t="shared" si="54"/>
        <v>0</v>
      </c>
      <c r="Z27" s="30">
        <f t="shared" si="55"/>
        <v>0</v>
      </c>
      <c r="AA27" s="30">
        <f t="shared" si="56"/>
        <v>0</v>
      </c>
      <c r="AB27" s="30">
        <f t="shared" si="57"/>
        <v>0</v>
      </c>
      <c r="AC27" s="30">
        <f t="shared" si="58"/>
        <v>0</v>
      </c>
      <c r="AD27" s="30">
        <f t="shared" si="59"/>
        <v>0</v>
      </c>
      <c r="AE27" s="30">
        <f t="shared" si="60"/>
        <v>0</v>
      </c>
      <c r="AF27" s="11"/>
      <c r="AG27" s="68" t="e">
        <f t="shared" si="7"/>
        <v>#DIV/0!</v>
      </c>
    </row>
    <row r="28" spans="2:33" ht="12.75" customHeight="1">
      <c r="B28" s="23" t="s">
        <v>117</v>
      </c>
      <c r="C28" s="24">
        <f>SUM(C24:C27)+C21</f>
        <v>0</v>
      </c>
      <c r="D28" s="24">
        <f>SUM(D24:D27)+D21</f>
        <v>0</v>
      </c>
      <c r="E28" s="24">
        <f>SUM(E24:E27)+E21</f>
        <v>0</v>
      </c>
      <c r="F28" s="24">
        <f>SUM(F24:F27)+F21</f>
        <v>0</v>
      </c>
      <c r="G28" s="30"/>
      <c r="H28" s="24">
        <f t="shared" ref="H28" si="63">SUM(H24:H27)+H21</f>
        <v>0</v>
      </c>
      <c r="I28" s="24">
        <f t="shared" ref="I28" si="64">SUM(I24:I27)+I21</f>
        <v>0</v>
      </c>
      <c r="J28" s="24">
        <f t="shared" ref="J28" si="65">SUM(J24:J27)+J21</f>
        <v>0</v>
      </c>
      <c r="K28" s="24">
        <f t="shared" ref="K28" si="66">SUM(K24:K27)+K21</f>
        <v>0</v>
      </c>
      <c r="L28" s="24">
        <f t="shared" ref="L28" si="67">SUM(L24:L27)+L21</f>
        <v>0</v>
      </c>
      <c r="M28" s="24">
        <f t="shared" ref="M28" si="68">SUM(M24:M27)+M21</f>
        <v>0</v>
      </c>
      <c r="N28" s="24">
        <f t="shared" ref="N28" si="69">SUM(N24:N27)+N21</f>
        <v>0</v>
      </c>
      <c r="O28" s="24">
        <f t="shared" ref="O28" si="70">SUM(O24:O27)+O21</f>
        <v>0</v>
      </c>
      <c r="P28" s="24">
        <f t="shared" ref="P28" si="71">SUM(P24:P27)+P21</f>
        <v>0</v>
      </c>
      <c r="Q28" s="24">
        <f t="shared" ref="Q28" si="72">SUM(Q24:Q27)+Q21</f>
        <v>0</v>
      </c>
      <c r="R28" s="24">
        <f>SUM(R24:R27)+R21</f>
        <v>0</v>
      </c>
      <c r="S28" s="24">
        <f t="shared" ref="S28" si="73">SUM(S24:S27)+S21</f>
        <v>0</v>
      </c>
      <c r="T28" s="24">
        <f>SUM(T24:T27)+T21</f>
        <v>0</v>
      </c>
      <c r="V28" s="24">
        <f t="shared" ref="V28" si="74">SUM(V24:V27)+V21</f>
        <v>0</v>
      </c>
      <c r="W28" s="24">
        <f t="shared" ref="W28" si="75">SUM(W24:W27)+W21</f>
        <v>0</v>
      </c>
      <c r="X28" s="24">
        <f t="shared" ref="X28" si="76">SUM(X24:X27)+X21</f>
        <v>0</v>
      </c>
      <c r="Y28" s="24">
        <f t="shared" ref="Y28" si="77">SUM(Y24:Y27)+Y21</f>
        <v>0</v>
      </c>
      <c r="Z28" s="24">
        <f t="shared" ref="Z28" si="78">SUM(Z24:Z27)+Z21</f>
        <v>0</v>
      </c>
      <c r="AA28" s="24">
        <f t="shared" ref="AA28" si="79">SUM(AA24:AA27)+AA21</f>
        <v>0</v>
      </c>
      <c r="AB28" s="24">
        <f t="shared" ref="AB28" si="80">SUM(AB24:AB27)+AB21</f>
        <v>0</v>
      </c>
      <c r="AC28" s="24">
        <f t="shared" ref="AC28" si="81">SUM(AC24:AC27)+AC21</f>
        <v>0</v>
      </c>
      <c r="AD28" s="24">
        <f t="shared" ref="AD28" si="82">SUM(AD24:AD27)+AD21</f>
        <v>0</v>
      </c>
      <c r="AE28" s="24">
        <f t="shared" ref="AE28" si="83">SUM(AE24:AE27)+AE21</f>
        <v>0</v>
      </c>
      <c r="AF28" s="11"/>
      <c r="AG28" s="68" t="e">
        <f t="shared" si="7"/>
        <v>#DIV/0!</v>
      </c>
    </row>
    <row r="29" spans="2:33" ht="12.75" customHeight="1">
      <c r="B29" s="14" t="s">
        <v>83</v>
      </c>
      <c r="C29" s="15" t="e">
        <f>C28/C11</f>
        <v>#DIV/0!</v>
      </c>
      <c r="D29" s="15" t="e">
        <f>D28/D11</f>
        <v>#DIV/0!</v>
      </c>
      <c r="E29" s="15" t="e">
        <f>E28/E11</f>
        <v>#DIV/0!</v>
      </c>
      <c r="F29" s="15" t="e">
        <f>F28/F11</f>
        <v>#DIV/0!</v>
      </c>
      <c r="G29" s="25"/>
      <c r="H29" s="15" t="e">
        <f t="shared" ref="H29" si="84">H28/H11</f>
        <v>#DIV/0!</v>
      </c>
      <c r="I29" s="15" t="e">
        <f t="shared" ref="I29" si="85">I28/I11</f>
        <v>#DIV/0!</v>
      </c>
      <c r="J29" s="15" t="e">
        <f t="shared" ref="J29" si="86">J28/J11</f>
        <v>#DIV/0!</v>
      </c>
      <c r="K29" s="15" t="e">
        <f t="shared" ref="K29" si="87">K28/K11</f>
        <v>#DIV/0!</v>
      </c>
      <c r="L29" s="15" t="e">
        <f t="shared" ref="L29" si="88">L28/L11</f>
        <v>#DIV/0!</v>
      </c>
      <c r="M29" s="15" t="e">
        <f t="shared" ref="M29" si="89">M28/M11</f>
        <v>#DIV/0!</v>
      </c>
      <c r="N29" s="15" t="e">
        <f t="shared" ref="N29" si="90">N28/N11</f>
        <v>#DIV/0!</v>
      </c>
      <c r="O29" s="15" t="e">
        <f t="shared" ref="O29" si="91">O28/O11</f>
        <v>#DIV/0!</v>
      </c>
      <c r="P29" s="15" t="e">
        <f t="shared" ref="P29" si="92">P28/P11</f>
        <v>#DIV/0!</v>
      </c>
      <c r="Q29" s="15" t="e">
        <f t="shared" ref="Q29" si="93">Q28/Q11</f>
        <v>#DIV/0!</v>
      </c>
      <c r="R29" s="15" t="e">
        <f>R28/R11</f>
        <v>#DIV/0!</v>
      </c>
      <c r="S29" s="15" t="e">
        <f t="shared" ref="S29" si="94">S28/S11</f>
        <v>#DIV/0!</v>
      </c>
      <c r="T29" s="15" t="e">
        <f>T28/T11</f>
        <v>#DIV/0!</v>
      </c>
      <c r="V29" s="15" t="e">
        <f t="shared" ref="V29" si="95">V28/V11</f>
        <v>#DIV/0!</v>
      </c>
      <c r="W29" s="15" t="e">
        <f t="shared" ref="W29" si="96">W28/W11</f>
        <v>#DIV/0!</v>
      </c>
      <c r="X29" s="15" t="e">
        <f t="shared" ref="X29" si="97">X28/X11</f>
        <v>#DIV/0!</v>
      </c>
      <c r="Y29" s="15" t="e">
        <f t="shared" ref="Y29" si="98">Y28/Y11</f>
        <v>#DIV/0!</v>
      </c>
      <c r="Z29" s="15" t="e">
        <f t="shared" ref="Z29" si="99">Z28/Z11</f>
        <v>#DIV/0!</v>
      </c>
      <c r="AA29" s="15" t="e">
        <f t="shared" ref="AA29" si="100">AA28/AA11</f>
        <v>#DIV/0!</v>
      </c>
      <c r="AB29" s="15" t="e">
        <f t="shared" ref="AB29" si="101">AB28/AB11</f>
        <v>#DIV/0!</v>
      </c>
      <c r="AC29" s="15" t="e">
        <f t="shared" ref="AC29" si="102">AC28/AC11</f>
        <v>#DIV/0!</v>
      </c>
      <c r="AD29" s="15" t="e">
        <f t="shared" ref="AD29" si="103">AD28/AD11</f>
        <v>#DIV/0!</v>
      </c>
      <c r="AE29" s="15" t="e">
        <f t="shared" ref="AE29" si="104">AE28/AE11</f>
        <v>#DIV/0!</v>
      </c>
      <c r="AF29" s="40"/>
      <c r="AG29" s="70" t="e">
        <f>SUM(AE29-AA29)*1000</f>
        <v>#DIV/0!</v>
      </c>
    </row>
    <row r="30" spans="2:33" ht="5.0999999999999996" customHeight="1">
      <c r="B30" s="9"/>
      <c r="C30" s="76"/>
      <c r="D30" s="76"/>
      <c r="E30" s="76"/>
      <c r="F30" s="76"/>
      <c r="G30" s="30"/>
      <c r="H30" s="76"/>
      <c r="I30" s="76"/>
      <c r="J30" s="76"/>
      <c r="K30" s="30"/>
      <c r="L30" s="76"/>
      <c r="M30" s="76"/>
      <c r="N30" s="76"/>
      <c r="O30" s="30"/>
      <c r="P30" s="76"/>
      <c r="Q30" s="76"/>
      <c r="R30" s="76"/>
      <c r="S30" s="76"/>
      <c r="T30" s="76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11"/>
      <c r="AG30" s="68"/>
    </row>
    <row r="31" spans="2:33" ht="12.75" customHeight="1">
      <c r="B31" s="9" t="s">
        <v>88</v>
      </c>
      <c r="C31" s="76"/>
      <c r="D31" s="76"/>
      <c r="E31" s="76"/>
      <c r="F31" s="76"/>
      <c r="G31" s="30"/>
      <c r="H31" s="76"/>
      <c r="I31" s="76"/>
      <c r="J31" s="76"/>
      <c r="K31" s="30">
        <f>SUM(D31-SUM(H31:J31))</f>
        <v>0</v>
      </c>
      <c r="L31" s="76"/>
      <c r="M31" s="76"/>
      <c r="N31" s="76"/>
      <c r="O31" s="30">
        <f>SUM(E31-SUM(L31:N31))</f>
        <v>0</v>
      </c>
      <c r="P31" s="76"/>
      <c r="Q31" s="76"/>
      <c r="R31" s="76"/>
      <c r="S31" s="30">
        <f t="shared" ref="S31" si="105">SUM(F31-SUM(P31:R31))</f>
        <v>0</v>
      </c>
      <c r="T31" s="76"/>
      <c r="V31" s="30">
        <f t="shared" ref="V31" si="106">SUM(H31:K31)</f>
        <v>0</v>
      </c>
      <c r="W31" s="30">
        <f t="shared" ref="W31" si="107">SUM(I31:L31)</f>
        <v>0</v>
      </c>
      <c r="X31" s="30">
        <f t="shared" ref="X31" si="108">SUM(J31:M31)</f>
        <v>0</v>
      </c>
      <c r="Y31" s="30">
        <f t="shared" ref="Y31" si="109">SUM(K31:N31)</f>
        <v>0</v>
      </c>
      <c r="Z31" s="30">
        <f t="shared" ref="Z31" si="110">SUM(L31:O31)</f>
        <v>0</v>
      </c>
      <c r="AA31" s="30">
        <f t="shared" ref="AA31" si="111">SUM(M31:P31)</f>
        <v>0</v>
      </c>
      <c r="AB31" s="30">
        <f t="shared" ref="AB31" si="112">SUM(N31:Q31)</f>
        <v>0</v>
      </c>
      <c r="AC31" s="30">
        <f t="shared" ref="AC31" si="113">SUM(O31:R31)</f>
        <v>0</v>
      </c>
      <c r="AD31" s="30">
        <f t="shared" ref="AD31" si="114">SUM(P31:S31)</f>
        <v>0</v>
      </c>
      <c r="AE31" s="30">
        <f>SUM(Q31:T31)</f>
        <v>0</v>
      </c>
      <c r="AF31" s="11"/>
      <c r="AG31" s="68" t="e">
        <f t="shared" si="7"/>
        <v>#DIV/0!</v>
      </c>
    </row>
    <row r="32" spans="2:33" ht="12.75" customHeight="1">
      <c r="B32" s="12" t="s">
        <v>51</v>
      </c>
      <c r="C32" s="13">
        <f>SUM(C28+SUM(C31:C31))</f>
        <v>0</v>
      </c>
      <c r="D32" s="13">
        <f>SUM(D28+SUM(D31:D31))</f>
        <v>0</v>
      </c>
      <c r="E32" s="13">
        <f>SUM(E28+SUM(E31:E31))</f>
        <v>0</v>
      </c>
      <c r="F32" s="13">
        <f>SUM(F28+SUM(F31:F31))</f>
        <v>0</v>
      </c>
      <c r="H32" s="13">
        <f>SUM(H28+SUM(H31:H31))</f>
        <v>0</v>
      </c>
      <c r="I32" s="13">
        <f>SUM(I28+SUM(I31:I31))</f>
        <v>0</v>
      </c>
      <c r="J32" s="13">
        <f>SUM(J28+SUM(J31:J31))</f>
        <v>0</v>
      </c>
      <c r="K32" s="13">
        <f>SUM(K28+SUM(K31:K31))</f>
        <v>0</v>
      </c>
      <c r="L32" s="13">
        <f>SUM(L28+SUM(L31:L31))</f>
        <v>0</v>
      </c>
      <c r="M32" s="13">
        <f>SUM(M28+SUM(M31:M31))</f>
        <v>0</v>
      </c>
      <c r="N32" s="13">
        <f>SUM(N28+SUM(N31:N31))</f>
        <v>0</v>
      </c>
      <c r="O32" s="13">
        <f>SUM(O28+SUM(O31:O31))</f>
        <v>0</v>
      </c>
      <c r="P32" s="13">
        <f>SUM(P28+SUM(P31:P31))</f>
        <v>0</v>
      </c>
      <c r="Q32" s="13">
        <f>SUM(Q28+SUM(Q31:Q31))</f>
        <v>0</v>
      </c>
      <c r="R32" s="13">
        <f>SUM(R28+SUM(R31:R31))</f>
        <v>0</v>
      </c>
      <c r="S32" s="13">
        <f>SUM(S28+SUM(S31:S31))</f>
        <v>0</v>
      </c>
      <c r="T32" s="13">
        <f>SUM(T28+SUM(T31:T31))</f>
        <v>0</v>
      </c>
      <c r="V32" s="13">
        <f>SUM(V28+SUM(V31:V31))</f>
        <v>0</v>
      </c>
      <c r="W32" s="13">
        <f>SUM(W28+SUM(W31:W31))</f>
        <v>0</v>
      </c>
      <c r="X32" s="13">
        <f>SUM(X28+SUM(X31:X31))</f>
        <v>0</v>
      </c>
      <c r="Y32" s="13">
        <f>SUM(Y28+SUM(Y31:Y31))</f>
        <v>0</v>
      </c>
      <c r="Z32" s="13">
        <f>SUM(Z28+SUM(Z31:Z31))</f>
        <v>0</v>
      </c>
      <c r="AA32" s="13">
        <f>SUM(AA28+SUM(AA31:AA31))</f>
        <v>0</v>
      </c>
      <c r="AB32" s="13">
        <f>SUM(AB28+SUM(AB31:AB31))</f>
        <v>0</v>
      </c>
      <c r="AC32" s="13">
        <f>SUM(AC28+SUM(AC31:AC31))</f>
        <v>0</v>
      </c>
      <c r="AD32" s="13">
        <f>SUM(AD28+SUM(AD31:AD31))</f>
        <v>0</v>
      </c>
      <c r="AE32" s="13">
        <f>SUM(AE28+SUM(AE31:AE31))</f>
        <v>0</v>
      </c>
      <c r="AF32" s="39"/>
      <c r="AG32" s="69" t="e">
        <f t="shared" si="7"/>
        <v>#DIV/0!</v>
      </c>
    </row>
    <row r="33" spans="1:33" ht="12.75" customHeight="1">
      <c r="B33" s="14" t="s">
        <v>65</v>
      </c>
      <c r="C33" s="15" t="e">
        <f>C32/C11</f>
        <v>#DIV/0!</v>
      </c>
      <c r="D33" s="15" t="e">
        <f>D32/D11</f>
        <v>#DIV/0!</v>
      </c>
      <c r="E33" s="15" t="e">
        <f>E32/E11</f>
        <v>#DIV/0!</v>
      </c>
      <c r="F33" s="15" t="e">
        <f>F32/F11</f>
        <v>#DIV/0!</v>
      </c>
      <c r="G33" s="25"/>
      <c r="H33" s="15" t="e">
        <f>H32/H11</f>
        <v>#DIV/0!</v>
      </c>
      <c r="I33" s="15" t="e">
        <f>I32/I11</f>
        <v>#DIV/0!</v>
      </c>
      <c r="J33" s="15" t="e">
        <f>J32/J11</f>
        <v>#DIV/0!</v>
      </c>
      <c r="K33" s="15" t="e">
        <f>K32/K11</f>
        <v>#DIV/0!</v>
      </c>
      <c r="L33" s="15" t="e">
        <f>L32/L11</f>
        <v>#DIV/0!</v>
      </c>
      <c r="M33" s="15" t="e">
        <f>M32/M11</f>
        <v>#DIV/0!</v>
      </c>
      <c r="N33" s="15" t="e">
        <f>N32/N11</f>
        <v>#DIV/0!</v>
      </c>
      <c r="O33" s="15" t="e">
        <f>O32/O11</f>
        <v>#DIV/0!</v>
      </c>
      <c r="P33" s="15" t="e">
        <f>P32/P11</f>
        <v>#DIV/0!</v>
      </c>
      <c r="Q33" s="15" t="e">
        <f>Q32/Q11</f>
        <v>#DIV/0!</v>
      </c>
      <c r="R33" s="15" t="e">
        <f>R32/R11</f>
        <v>#DIV/0!</v>
      </c>
      <c r="S33" s="15" t="e">
        <f>S32/S11</f>
        <v>#DIV/0!</v>
      </c>
      <c r="T33" s="15" t="e">
        <f>T32/T11</f>
        <v>#DIV/0!</v>
      </c>
      <c r="V33" s="15" t="e">
        <f>V32/V11</f>
        <v>#DIV/0!</v>
      </c>
      <c r="W33" s="15" t="e">
        <f>W32/W11</f>
        <v>#DIV/0!</v>
      </c>
      <c r="X33" s="15" t="e">
        <f>X32/X11</f>
        <v>#DIV/0!</v>
      </c>
      <c r="Y33" s="15" t="e">
        <f>Y32/Y11</f>
        <v>#DIV/0!</v>
      </c>
      <c r="Z33" s="15" t="e">
        <f>Z32/Z11</f>
        <v>#DIV/0!</v>
      </c>
      <c r="AA33" s="15" t="e">
        <f>AA32/AA11</f>
        <v>#DIV/0!</v>
      </c>
      <c r="AB33" s="15" t="e">
        <f>AB32/AB11</f>
        <v>#DIV/0!</v>
      </c>
      <c r="AC33" s="15" t="e">
        <f>AC32/AC11</f>
        <v>#DIV/0!</v>
      </c>
      <c r="AD33" s="15" t="e">
        <f>AD32/AD11</f>
        <v>#DIV/0!</v>
      </c>
      <c r="AE33" s="15" t="e">
        <f>AE32/AE11</f>
        <v>#DIV/0!</v>
      </c>
      <c r="AF33" s="40"/>
      <c r="AG33" s="70" t="e">
        <f>SUM(AE33-AA33)*1000</f>
        <v>#DIV/0!</v>
      </c>
    </row>
    <row r="34" spans="1:33" ht="5.0999999999999996" customHeight="1">
      <c r="B34" s="14"/>
      <c r="C34" s="15"/>
      <c r="D34" s="15"/>
      <c r="E34" s="15"/>
      <c r="F34" s="15"/>
      <c r="G34" s="2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26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40"/>
      <c r="AG34" s="70"/>
    </row>
    <row r="35" spans="1:33" ht="12.75" customHeight="1">
      <c r="B35" s="41" t="s">
        <v>66</v>
      </c>
      <c r="C35" s="76"/>
      <c r="D35" s="76"/>
      <c r="E35" s="76"/>
      <c r="F35" s="76"/>
      <c r="G35" s="25"/>
      <c r="H35" s="76"/>
      <c r="I35" s="76"/>
      <c r="J35" s="76"/>
      <c r="K35" s="30">
        <f>D35</f>
        <v>0</v>
      </c>
      <c r="L35" s="76"/>
      <c r="M35" s="76"/>
      <c r="N35" s="76"/>
      <c r="O35" s="30">
        <f>E35</f>
        <v>0</v>
      </c>
      <c r="P35" s="76"/>
      <c r="Q35" s="76"/>
      <c r="R35" s="76"/>
      <c r="S35" s="30">
        <f>F35</f>
        <v>0</v>
      </c>
      <c r="T35" s="76"/>
      <c r="U35" s="30"/>
      <c r="V35" s="30">
        <f t="shared" ref="V35:AD35" si="115">K35</f>
        <v>0</v>
      </c>
      <c r="W35" s="30">
        <f t="shared" si="115"/>
        <v>0</v>
      </c>
      <c r="X35" s="30">
        <f t="shared" si="115"/>
        <v>0</v>
      </c>
      <c r="Y35" s="30">
        <f t="shared" si="115"/>
        <v>0</v>
      </c>
      <c r="Z35" s="30">
        <f t="shared" si="115"/>
        <v>0</v>
      </c>
      <c r="AA35" s="30">
        <f t="shared" si="115"/>
        <v>0</v>
      </c>
      <c r="AB35" s="30">
        <f t="shared" si="115"/>
        <v>0</v>
      </c>
      <c r="AC35" s="30">
        <f t="shared" si="115"/>
        <v>0</v>
      </c>
      <c r="AD35" s="30">
        <f t="shared" si="115"/>
        <v>0</v>
      </c>
      <c r="AE35" s="30">
        <f>T35</f>
        <v>0</v>
      </c>
      <c r="AF35" s="40"/>
      <c r="AG35" s="68" t="e">
        <f t="shared" ref="AG35" si="116">SUM(AE35/AA35)-1</f>
        <v>#DIV/0!</v>
      </c>
    </row>
    <row r="36" spans="1:33" ht="12.75" customHeight="1">
      <c r="B36" s="12" t="s">
        <v>67</v>
      </c>
      <c r="C36" s="71" t="e">
        <f t="shared" ref="C36:F36" si="117">C32/C35</f>
        <v>#DIV/0!</v>
      </c>
      <c r="D36" s="71" t="e">
        <f t="shared" si="117"/>
        <v>#DIV/0!</v>
      </c>
      <c r="E36" s="71" t="e">
        <f t="shared" si="117"/>
        <v>#DIV/0!</v>
      </c>
      <c r="F36" s="71" t="e">
        <f t="shared" si="117"/>
        <v>#DIV/0!</v>
      </c>
      <c r="G36" s="11"/>
      <c r="H36" s="71" t="e">
        <f t="shared" ref="H36:Q36" si="118">H32/H35</f>
        <v>#DIV/0!</v>
      </c>
      <c r="I36" s="71" t="e">
        <f t="shared" si="118"/>
        <v>#DIV/0!</v>
      </c>
      <c r="J36" s="71" t="e">
        <f t="shared" si="118"/>
        <v>#DIV/0!</v>
      </c>
      <c r="K36" s="71" t="e">
        <f t="shared" si="118"/>
        <v>#DIV/0!</v>
      </c>
      <c r="L36" s="71" t="e">
        <f t="shared" si="118"/>
        <v>#DIV/0!</v>
      </c>
      <c r="M36" s="71" t="e">
        <f t="shared" si="118"/>
        <v>#DIV/0!</v>
      </c>
      <c r="N36" s="71" t="e">
        <f t="shared" si="118"/>
        <v>#DIV/0!</v>
      </c>
      <c r="O36" s="71" t="e">
        <f t="shared" si="118"/>
        <v>#DIV/0!</v>
      </c>
      <c r="P36" s="71" t="e">
        <f t="shared" si="118"/>
        <v>#DIV/0!</v>
      </c>
      <c r="Q36" s="71" t="e">
        <f t="shared" si="118"/>
        <v>#DIV/0!</v>
      </c>
      <c r="R36" s="71" t="e">
        <f t="shared" ref="R36:T36" si="119">R32/R35</f>
        <v>#DIV/0!</v>
      </c>
      <c r="S36" s="71" t="e">
        <f t="shared" si="119"/>
        <v>#DIV/0!</v>
      </c>
      <c r="T36" s="71" t="e">
        <f t="shared" si="119"/>
        <v>#DIV/0!</v>
      </c>
      <c r="U36" s="30"/>
      <c r="V36" s="71" t="e">
        <f t="shared" ref="V36:AE36" si="120">V32/V35</f>
        <v>#DIV/0!</v>
      </c>
      <c r="W36" s="71" t="e">
        <f t="shared" si="120"/>
        <v>#DIV/0!</v>
      </c>
      <c r="X36" s="71" t="e">
        <f t="shared" si="120"/>
        <v>#DIV/0!</v>
      </c>
      <c r="Y36" s="71" t="e">
        <f t="shared" si="120"/>
        <v>#DIV/0!</v>
      </c>
      <c r="Z36" s="71" t="e">
        <f t="shared" si="120"/>
        <v>#DIV/0!</v>
      </c>
      <c r="AA36" s="71" t="e">
        <f t="shared" si="120"/>
        <v>#DIV/0!</v>
      </c>
      <c r="AB36" s="71" t="e">
        <f t="shared" si="120"/>
        <v>#DIV/0!</v>
      </c>
      <c r="AC36" s="71" t="e">
        <f t="shared" si="120"/>
        <v>#DIV/0!</v>
      </c>
      <c r="AD36" s="71" t="e">
        <f t="shared" si="120"/>
        <v>#DIV/0!</v>
      </c>
      <c r="AE36" s="71" t="e">
        <f t="shared" si="120"/>
        <v>#DIV/0!</v>
      </c>
      <c r="AF36" s="33"/>
      <c r="AG36" s="69" t="e">
        <f>SUM(AE36/AA36)-1</f>
        <v>#DIV/0!</v>
      </c>
    </row>
    <row r="37" spans="1:33" ht="5.0999999999999996" customHeight="1">
      <c r="B37" s="14"/>
      <c r="C37" s="15"/>
      <c r="D37" s="15"/>
      <c r="E37" s="15"/>
      <c r="F37" s="15"/>
      <c r="G37" s="2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26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40"/>
      <c r="AG37" s="70"/>
    </row>
    <row r="38" spans="1:33" ht="12.75" customHeight="1">
      <c r="B38" s="41" t="s">
        <v>68</v>
      </c>
      <c r="C38" s="76"/>
      <c r="D38" s="76"/>
      <c r="E38" s="76"/>
      <c r="F38" s="76"/>
      <c r="G38" s="25"/>
      <c r="H38" s="76"/>
      <c r="I38" s="76"/>
      <c r="J38" s="76"/>
      <c r="K38" s="30">
        <f>D38</f>
        <v>0</v>
      </c>
      <c r="L38" s="76"/>
      <c r="M38" s="76"/>
      <c r="N38" s="76"/>
      <c r="O38" s="30">
        <f>E38</f>
        <v>0</v>
      </c>
      <c r="P38" s="76"/>
      <c r="Q38" s="76"/>
      <c r="R38" s="76"/>
      <c r="S38" s="30">
        <f>F38</f>
        <v>0</v>
      </c>
      <c r="T38" s="76"/>
      <c r="U38" s="30"/>
      <c r="V38" s="30">
        <f t="shared" ref="V38:AE38" si="121">K38</f>
        <v>0</v>
      </c>
      <c r="W38" s="30">
        <f t="shared" si="121"/>
        <v>0</v>
      </c>
      <c r="X38" s="30">
        <f t="shared" si="121"/>
        <v>0</v>
      </c>
      <c r="Y38" s="30">
        <f t="shared" si="121"/>
        <v>0</v>
      </c>
      <c r="Z38" s="30">
        <f t="shared" si="121"/>
        <v>0</v>
      </c>
      <c r="AA38" s="30">
        <f t="shared" si="121"/>
        <v>0</v>
      </c>
      <c r="AB38" s="30">
        <f t="shared" si="121"/>
        <v>0</v>
      </c>
      <c r="AC38" s="30">
        <f t="shared" si="121"/>
        <v>0</v>
      </c>
      <c r="AD38" s="30">
        <f t="shared" si="121"/>
        <v>0</v>
      </c>
      <c r="AE38" s="30">
        <f t="shared" si="121"/>
        <v>0</v>
      </c>
      <c r="AF38" s="40"/>
      <c r="AG38" s="68" t="e">
        <f t="shared" ref="AG38" si="122">SUM(AE38/AA38)-1</f>
        <v>#DIV/0!</v>
      </c>
    </row>
    <row r="39" spans="1:33" ht="12.75" customHeight="1">
      <c r="B39" s="12" t="s">
        <v>69</v>
      </c>
      <c r="C39" s="71" t="e">
        <f t="shared" ref="C39:F39" si="123">C32/C38</f>
        <v>#DIV/0!</v>
      </c>
      <c r="D39" s="71" t="e">
        <f t="shared" si="123"/>
        <v>#DIV/0!</v>
      </c>
      <c r="E39" s="71" t="e">
        <f t="shared" si="123"/>
        <v>#DIV/0!</v>
      </c>
      <c r="F39" s="71" t="e">
        <f t="shared" si="123"/>
        <v>#DIV/0!</v>
      </c>
      <c r="G39" s="25"/>
      <c r="H39" s="71" t="e">
        <f t="shared" ref="H39:Q39" si="124">H32/H38</f>
        <v>#DIV/0!</v>
      </c>
      <c r="I39" s="71" t="e">
        <f t="shared" si="124"/>
        <v>#DIV/0!</v>
      </c>
      <c r="J39" s="71" t="e">
        <f t="shared" si="124"/>
        <v>#DIV/0!</v>
      </c>
      <c r="K39" s="71" t="e">
        <f t="shared" si="124"/>
        <v>#DIV/0!</v>
      </c>
      <c r="L39" s="71" t="e">
        <f t="shared" si="124"/>
        <v>#DIV/0!</v>
      </c>
      <c r="M39" s="71" t="e">
        <f t="shared" si="124"/>
        <v>#DIV/0!</v>
      </c>
      <c r="N39" s="71" t="e">
        <f t="shared" si="124"/>
        <v>#DIV/0!</v>
      </c>
      <c r="O39" s="71" t="e">
        <f t="shared" si="124"/>
        <v>#DIV/0!</v>
      </c>
      <c r="P39" s="71" t="e">
        <f t="shared" si="124"/>
        <v>#DIV/0!</v>
      </c>
      <c r="Q39" s="71" t="e">
        <f t="shared" si="124"/>
        <v>#DIV/0!</v>
      </c>
      <c r="R39" s="71" t="e">
        <f t="shared" ref="R39:T39" si="125">R32/R38</f>
        <v>#DIV/0!</v>
      </c>
      <c r="S39" s="71" t="e">
        <f t="shared" si="125"/>
        <v>#DIV/0!</v>
      </c>
      <c r="T39" s="71" t="e">
        <f t="shared" si="125"/>
        <v>#DIV/0!</v>
      </c>
      <c r="U39" s="30"/>
      <c r="V39" s="71" t="e">
        <f t="shared" ref="V39:AE39" si="126">V32/V38</f>
        <v>#DIV/0!</v>
      </c>
      <c r="W39" s="71" t="e">
        <f t="shared" si="126"/>
        <v>#DIV/0!</v>
      </c>
      <c r="X39" s="71" t="e">
        <f t="shared" si="126"/>
        <v>#DIV/0!</v>
      </c>
      <c r="Y39" s="71" t="e">
        <f t="shared" si="126"/>
        <v>#DIV/0!</v>
      </c>
      <c r="Z39" s="71" t="e">
        <f t="shared" si="126"/>
        <v>#DIV/0!</v>
      </c>
      <c r="AA39" s="71" t="e">
        <f t="shared" si="126"/>
        <v>#DIV/0!</v>
      </c>
      <c r="AB39" s="71" t="e">
        <f t="shared" si="126"/>
        <v>#DIV/0!</v>
      </c>
      <c r="AC39" s="71" t="e">
        <f t="shared" si="126"/>
        <v>#DIV/0!</v>
      </c>
      <c r="AD39" s="71" t="e">
        <f t="shared" si="126"/>
        <v>#DIV/0!</v>
      </c>
      <c r="AE39" s="71" t="e">
        <f t="shared" si="126"/>
        <v>#DIV/0!</v>
      </c>
      <c r="AF39" s="33"/>
      <c r="AG39" s="69" t="e">
        <f>SUM(AE39/AA39)-1</f>
        <v>#DIV/0!</v>
      </c>
    </row>
    <row r="40" spans="1:33">
      <c r="B40" s="14"/>
      <c r="C40" s="15"/>
      <c r="D40" s="15"/>
      <c r="E40" s="76"/>
      <c r="F40" s="76"/>
      <c r="G40" s="2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26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40"/>
    </row>
    <row r="41" spans="1:33" ht="12.75" customHeight="1">
      <c r="A41" s="5" t="s">
        <v>18</v>
      </c>
      <c r="B41" s="91" t="s">
        <v>78</v>
      </c>
      <c r="C41" s="92" t="s">
        <v>0</v>
      </c>
      <c r="D41" s="92"/>
      <c r="E41" s="92"/>
      <c r="F41" s="92"/>
      <c r="G41" s="93"/>
      <c r="H41" s="92"/>
      <c r="I41" s="92"/>
      <c r="J41" s="92"/>
      <c r="K41" s="92"/>
      <c r="L41" s="92"/>
      <c r="M41" s="92"/>
      <c r="N41" s="92" t="s">
        <v>1</v>
      </c>
      <c r="O41" s="92"/>
      <c r="P41" s="92"/>
      <c r="Q41" s="92"/>
      <c r="R41" s="92"/>
      <c r="S41" s="92"/>
      <c r="T41" s="92"/>
      <c r="U41" s="91"/>
      <c r="V41" s="92"/>
      <c r="W41" s="92"/>
      <c r="X41" s="92"/>
      <c r="Y41" s="92"/>
      <c r="Z41" s="92"/>
      <c r="AA41" s="92" t="s">
        <v>10</v>
      </c>
      <c r="AB41" s="92"/>
      <c r="AC41" s="92"/>
      <c r="AD41" s="92"/>
      <c r="AE41" s="92"/>
      <c r="AF41" s="93"/>
      <c r="AG41" s="138" t="s">
        <v>24</v>
      </c>
    </row>
    <row r="42" spans="1:33" ht="12.75" customHeight="1">
      <c r="B42" s="95" t="str">
        <f>B7</f>
        <v>Fiscal Period</v>
      </c>
      <c r="C42" s="94">
        <f>C7</f>
        <v>2022</v>
      </c>
      <c r="D42" s="94">
        <f>D7</f>
        <v>2023</v>
      </c>
      <c r="E42" s="94">
        <f>E7</f>
        <v>2024</v>
      </c>
      <c r="F42" s="94">
        <f>F7</f>
        <v>2025</v>
      </c>
      <c r="G42" s="93"/>
      <c r="H42" s="94" t="str">
        <f>H7</f>
        <v>1Q23</v>
      </c>
      <c r="I42" s="94" t="str">
        <f>I7</f>
        <v>2Q23</v>
      </c>
      <c r="J42" s="94" t="str">
        <f>J7</f>
        <v>3Q23</v>
      </c>
      <c r="K42" s="94" t="str">
        <f>K7</f>
        <v>4Q23</v>
      </c>
      <c r="L42" s="94" t="str">
        <f>L7</f>
        <v>1Q24</v>
      </c>
      <c r="M42" s="94" t="str">
        <f>M7</f>
        <v>2Q24</v>
      </c>
      <c r="N42" s="94" t="str">
        <f>N7</f>
        <v>3Q24</v>
      </c>
      <c r="O42" s="94" t="str">
        <f>O7</f>
        <v>4Q24</v>
      </c>
      <c r="P42" s="94" t="str">
        <f>P7</f>
        <v>1Q25</v>
      </c>
      <c r="Q42" s="94" t="str">
        <f>Q7</f>
        <v>2Q25</v>
      </c>
      <c r="R42" s="94" t="str">
        <f>R7</f>
        <v>3Q25</v>
      </c>
      <c r="S42" s="94" t="str">
        <f>S7</f>
        <v>4Q25</v>
      </c>
      <c r="T42" s="94" t="str">
        <f>T7</f>
        <v>1Q26</v>
      </c>
      <c r="U42" s="96"/>
      <c r="V42" s="94" t="str">
        <f>V7</f>
        <v>4Q23</v>
      </c>
      <c r="W42" s="94" t="str">
        <f>W7</f>
        <v>1Q24</v>
      </c>
      <c r="X42" s="94" t="str">
        <f>X7</f>
        <v>2Q24</v>
      </c>
      <c r="Y42" s="94" t="str">
        <f>Y7</f>
        <v>3Q24</v>
      </c>
      <c r="Z42" s="94" t="str">
        <f>Z7</f>
        <v>4Q24</v>
      </c>
      <c r="AA42" s="94" t="str">
        <f>AA7</f>
        <v>1Q25</v>
      </c>
      <c r="AB42" s="94" t="str">
        <f>AB7</f>
        <v>2Q25</v>
      </c>
      <c r="AC42" s="94" t="str">
        <f>AC7</f>
        <v>3Q25</v>
      </c>
      <c r="AD42" s="94" t="str">
        <f>AD7</f>
        <v>4Q25</v>
      </c>
      <c r="AE42" s="94" t="str">
        <f>AE7</f>
        <v>1Q26</v>
      </c>
      <c r="AF42" s="93"/>
      <c r="AG42" s="138"/>
    </row>
    <row r="43" spans="1:33" ht="12.75" customHeight="1">
      <c r="B43" s="95" t="str">
        <f>B8</f>
        <v>Fiscal Period End Date</v>
      </c>
      <c r="C43" s="97" t="str">
        <f>C8</f>
        <v>XXX</v>
      </c>
      <c r="D43" s="97" t="str">
        <f>D8</f>
        <v>XXX</v>
      </c>
      <c r="E43" s="97" t="str">
        <f>E8</f>
        <v>XXX</v>
      </c>
      <c r="F43" s="97" t="str">
        <f>F8</f>
        <v>XXX</v>
      </c>
      <c r="G43" s="93"/>
      <c r="H43" s="97" t="str">
        <f>H8</f>
        <v>XXX</v>
      </c>
      <c r="I43" s="97" t="str">
        <f>I8</f>
        <v>XXX</v>
      </c>
      <c r="J43" s="97" t="str">
        <f>J8</f>
        <v>XXX</v>
      </c>
      <c r="K43" s="97" t="str">
        <f>K8</f>
        <v>XXX</v>
      </c>
      <c r="L43" s="97" t="str">
        <f>L8</f>
        <v>XXX</v>
      </c>
      <c r="M43" s="97" t="str">
        <f>M8</f>
        <v>XXX</v>
      </c>
      <c r="N43" s="97" t="str">
        <f>N8</f>
        <v>XXX</v>
      </c>
      <c r="O43" s="97" t="str">
        <f>O8</f>
        <v>XXX</v>
      </c>
      <c r="P43" s="97" t="str">
        <f>P8</f>
        <v>XXX</v>
      </c>
      <c r="Q43" s="97" t="str">
        <f>Q8</f>
        <v>XXX</v>
      </c>
      <c r="R43" s="97" t="str">
        <f>R8</f>
        <v>XXX</v>
      </c>
      <c r="S43" s="97" t="str">
        <f>S8</f>
        <v>XXX</v>
      </c>
      <c r="T43" s="97" t="str">
        <f>T8</f>
        <v>XXX</v>
      </c>
      <c r="U43" s="98"/>
      <c r="V43" s="97" t="str">
        <f>V8</f>
        <v>XXX</v>
      </c>
      <c r="W43" s="97" t="str">
        <f>W8</f>
        <v>XXX</v>
      </c>
      <c r="X43" s="97" t="str">
        <f>X8</f>
        <v>XXX</v>
      </c>
      <c r="Y43" s="97" t="str">
        <f>Y8</f>
        <v>XXX</v>
      </c>
      <c r="Z43" s="97" t="str">
        <f>Z8</f>
        <v>XXX</v>
      </c>
      <c r="AA43" s="97" t="str">
        <f>AA8</f>
        <v>XXX</v>
      </c>
      <c r="AB43" s="97" t="str">
        <f>AB8</f>
        <v>XXX</v>
      </c>
      <c r="AC43" s="97" t="str">
        <f>AC8</f>
        <v>XXX</v>
      </c>
      <c r="AD43" s="97" t="str">
        <f>AD8</f>
        <v>XXX</v>
      </c>
      <c r="AE43" s="97" t="str">
        <f>AE8</f>
        <v>XXX</v>
      </c>
      <c r="AF43" s="93"/>
      <c r="AG43" s="138"/>
    </row>
    <row r="44" spans="1:33" ht="5.0999999999999996" customHeight="1">
      <c r="B44" s="43"/>
      <c r="C44" s="44"/>
      <c r="D44" s="44"/>
      <c r="E44" s="44"/>
      <c r="F44" s="44"/>
    </row>
    <row r="45" spans="1:33">
      <c r="B45" s="72" t="s">
        <v>84</v>
      </c>
      <c r="C45" s="44"/>
      <c r="D45" s="44"/>
      <c r="E45" s="44"/>
      <c r="F45" s="44"/>
    </row>
    <row r="46" spans="1:33" ht="12.75" customHeight="1">
      <c r="B46" s="9" t="s">
        <v>116</v>
      </c>
      <c r="C46" s="105"/>
      <c r="D46" s="105"/>
      <c r="E46" s="105"/>
      <c r="F46" s="105"/>
      <c r="H46" s="105"/>
      <c r="I46" s="105"/>
      <c r="J46" s="105"/>
      <c r="K46" s="82">
        <f>D46</f>
        <v>0</v>
      </c>
      <c r="L46" s="105"/>
      <c r="M46" s="105"/>
      <c r="N46" s="105"/>
      <c r="O46" s="82">
        <f>E46</f>
        <v>0</v>
      </c>
      <c r="P46" s="105"/>
      <c r="Q46" s="105"/>
      <c r="R46" s="105"/>
      <c r="S46" s="30">
        <f t="shared" ref="S46:S51" si="127">F46</f>
        <v>0</v>
      </c>
      <c r="T46" s="105"/>
      <c r="U46" s="82"/>
      <c r="V46" s="30">
        <f t="shared" ref="V46" si="128">K46</f>
        <v>0</v>
      </c>
      <c r="W46" s="30">
        <f t="shared" ref="W46" si="129">L46</f>
        <v>0</v>
      </c>
      <c r="X46" s="30">
        <f t="shared" ref="X46" si="130">M46</f>
        <v>0</v>
      </c>
      <c r="Y46" s="30">
        <f t="shared" ref="Y46" si="131">N46</f>
        <v>0</v>
      </c>
      <c r="Z46" s="30">
        <f t="shared" ref="Z46" si="132">O46</f>
        <v>0</v>
      </c>
      <c r="AA46" s="30">
        <f t="shared" ref="AA46" si="133">P46</f>
        <v>0</v>
      </c>
      <c r="AB46" s="30">
        <f t="shared" ref="AB46" si="134">Q46</f>
        <v>0</v>
      </c>
      <c r="AC46" s="30">
        <f t="shared" ref="AC46" si="135">R46</f>
        <v>0</v>
      </c>
      <c r="AD46" s="30">
        <f t="shared" ref="AD46" si="136">S46</f>
        <v>0</v>
      </c>
      <c r="AE46" s="30">
        <f t="shared" ref="AE46" si="137">T46</f>
        <v>0</v>
      </c>
      <c r="AF46" s="11"/>
      <c r="AG46" s="68" t="e">
        <f t="shared" ref="AG46:AG51" si="138">SUM(AE46/AA46)-1</f>
        <v>#DIV/0!</v>
      </c>
    </row>
    <row r="47" spans="1:33" ht="12.75" customHeight="1">
      <c r="B47" s="9" t="s">
        <v>116</v>
      </c>
      <c r="C47" s="105"/>
      <c r="D47" s="105"/>
      <c r="E47" s="105"/>
      <c r="F47" s="105"/>
      <c r="H47" s="105"/>
      <c r="I47" s="105"/>
      <c r="J47" s="105"/>
      <c r="K47" s="82">
        <f>D47</f>
        <v>0</v>
      </c>
      <c r="L47" s="105"/>
      <c r="M47" s="105"/>
      <c r="N47" s="105"/>
      <c r="O47" s="82">
        <f>E47</f>
        <v>0</v>
      </c>
      <c r="P47" s="105"/>
      <c r="Q47" s="105"/>
      <c r="R47" s="105"/>
      <c r="S47" s="30">
        <f t="shared" si="127"/>
        <v>0</v>
      </c>
      <c r="T47" s="105"/>
      <c r="U47" s="82"/>
      <c r="V47" s="30">
        <f t="shared" ref="V47:V51" si="139">K47</f>
        <v>0</v>
      </c>
      <c r="W47" s="30">
        <f t="shared" ref="W47:W51" si="140">L47</f>
        <v>0</v>
      </c>
      <c r="X47" s="30">
        <f t="shared" ref="X47:X51" si="141">M47</f>
        <v>0</v>
      </c>
      <c r="Y47" s="30">
        <f t="shared" ref="Y47:Y51" si="142">N47</f>
        <v>0</v>
      </c>
      <c r="Z47" s="30">
        <f t="shared" ref="Z47:Z51" si="143">O47</f>
        <v>0</v>
      </c>
      <c r="AA47" s="30">
        <f t="shared" ref="AA47:AA51" si="144">P47</f>
        <v>0</v>
      </c>
      <c r="AB47" s="30">
        <f t="shared" ref="AB47:AB51" si="145">Q47</f>
        <v>0</v>
      </c>
      <c r="AC47" s="30">
        <f t="shared" ref="AC47:AC51" si="146">R47</f>
        <v>0</v>
      </c>
      <c r="AD47" s="30">
        <f t="shared" ref="AD47:AD51" si="147">S47</f>
        <v>0</v>
      </c>
      <c r="AE47" s="30">
        <f t="shared" ref="AE47:AE51" si="148">T47</f>
        <v>0</v>
      </c>
      <c r="AF47" s="11"/>
      <c r="AG47" s="68" t="e">
        <f t="shared" si="138"/>
        <v>#DIV/0!</v>
      </c>
    </row>
    <row r="48" spans="1:33" ht="12.75" customHeight="1">
      <c r="B48" s="9" t="s">
        <v>116</v>
      </c>
      <c r="C48" s="105"/>
      <c r="D48" s="105"/>
      <c r="E48" s="105"/>
      <c r="F48" s="105"/>
      <c r="H48" s="105"/>
      <c r="I48" s="105"/>
      <c r="J48" s="105"/>
      <c r="K48" s="82">
        <f>D48</f>
        <v>0</v>
      </c>
      <c r="L48" s="105"/>
      <c r="M48" s="105"/>
      <c r="N48" s="105"/>
      <c r="O48" s="82">
        <f>E48</f>
        <v>0</v>
      </c>
      <c r="P48" s="105"/>
      <c r="Q48" s="105"/>
      <c r="R48" s="105"/>
      <c r="S48" s="30">
        <f t="shared" ref="S48" si="149">F48</f>
        <v>0</v>
      </c>
      <c r="T48" s="105"/>
      <c r="U48" s="82"/>
      <c r="V48" s="30">
        <f t="shared" si="139"/>
        <v>0</v>
      </c>
      <c r="W48" s="30">
        <f t="shared" si="140"/>
        <v>0</v>
      </c>
      <c r="X48" s="30">
        <f t="shared" si="141"/>
        <v>0</v>
      </c>
      <c r="Y48" s="30">
        <f t="shared" si="142"/>
        <v>0</v>
      </c>
      <c r="Z48" s="30">
        <f t="shared" si="143"/>
        <v>0</v>
      </c>
      <c r="AA48" s="30">
        <f t="shared" si="144"/>
        <v>0</v>
      </c>
      <c r="AB48" s="30">
        <f t="shared" si="145"/>
        <v>0</v>
      </c>
      <c r="AC48" s="30">
        <f t="shared" si="146"/>
        <v>0</v>
      </c>
      <c r="AD48" s="30">
        <f t="shared" si="147"/>
        <v>0</v>
      </c>
      <c r="AE48" s="30">
        <f t="shared" si="148"/>
        <v>0</v>
      </c>
      <c r="AF48" s="11"/>
      <c r="AG48" s="68" t="e">
        <f t="shared" ref="AG48" si="150">SUM(AE48/AA48)-1</f>
        <v>#DIV/0!</v>
      </c>
    </row>
    <row r="49" spans="2:33" ht="12.75" customHeight="1">
      <c r="B49" s="9" t="s">
        <v>116</v>
      </c>
      <c r="C49" s="105"/>
      <c r="D49" s="105"/>
      <c r="E49" s="105"/>
      <c r="F49" s="105"/>
      <c r="H49" s="105"/>
      <c r="I49" s="105"/>
      <c r="J49" s="105"/>
      <c r="K49" s="82">
        <f>D49</f>
        <v>0</v>
      </c>
      <c r="L49" s="105"/>
      <c r="M49" s="105"/>
      <c r="N49" s="105"/>
      <c r="O49" s="82">
        <f>E49</f>
        <v>0</v>
      </c>
      <c r="P49" s="105"/>
      <c r="Q49" s="105"/>
      <c r="R49" s="105"/>
      <c r="S49" s="30">
        <f t="shared" si="127"/>
        <v>0</v>
      </c>
      <c r="T49" s="105"/>
      <c r="U49" s="82"/>
      <c r="V49" s="30">
        <f t="shared" si="139"/>
        <v>0</v>
      </c>
      <c r="W49" s="30">
        <f t="shared" si="140"/>
        <v>0</v>
      </c>
      <c r="X49" s="30">
        <f t="shared" si="141"/>
        <v>0</v>
      </c>
      <c r="Y49" s="30">
        <f t="shared" si="142"/>
        <v>0</v>
      </c>
      <c r="Z49" s="30">
        <f t="shared" si="143"/>
        <v>0</v>
      </c>
      <c r="AA49" s="30">
        <f t="shared" si="144"/>
        <v>0</v>
      </c>
      <c r="AB49" s="30">
        <f t="shared" si="145"/>
        <v>0</v>
      </c>
      <c r="AC49" s="30">
        <f t="shared" si="146"/>
        <v>0</v>
      </c>
      <c r="AD49" s="30">
        <f t="shared" si="147"/>
        <v>0</v>
      </c>
      <c r="AE49" s="30">
        <f t="shared" si="148"/>
        <v>0</v>
      </c>
      <c r="AF49" s="11"/>
      <c r="AG49" s="68" t="e">
        <f t="shared" si="138"/>
        <v>#DIV/0!</v>
      </c>
    </row>
    <row r="50" spans="2:33" ht="12.75" customHeight="1">
      <c r="B50" s="9" t="s">
        <v>116</v>
      </c>
      <c r="C50" s="105"/>
      <c r="D50" s="105"/>
      <c r="E50" s="105"/>
      <c r="F50" s="105"/>
      <c r="H50" s="105"/>
      <c r="I50" s="105"/>
      <c r="J50" s="105"/>
      <c r="K50" s="82">
        <f>D50</f>
        <v>0</v>
      </c>
      <c r="L50" s="105"/>
      <c r="M50" s="105"/>
      <c r="N50" s="105"/>
      <c r="O50" s="82">
        <f>E50</f>
        <v>0</v>
      </c>
      <c r="P50" s="105"/>
      <c r="Q50" s="105"/>
      <c r="R50" s="105"/>
      <c r="S50" s="30">
        <f t="shared" si="127"/>
        <v>0</v>
      </c>
      <c r="T50" s="105"/>
      <c r="U50" s="82"/>
      <c r="V50" s="30">
        <f t="shared" si="139"/>
        <v>0</v>
      </c>
      <c r="W50" s="30">
        <f t="shared" si="140"/>
        <v>0</v>
      </c>
      <c r="X50" s="30">
        <f t="shared" si="141"/>
        <v>0</v>
      </c>
      <c r="Y50" s="30">
        <f t="shared" si="142"/>
        <v>0</v>
      </c>
      <c r="Z50" s="30">
        <f t="shared" si="143"/>
        <v>0</v>
      </c>
      <c r="AA50" s="30">
        <f t="shared" si="144"/>
        <v>0</v>
      </c>
      <c r="AB50" s="30">
        <f t="shared" si="145"/>
        <v>0</v>
      </c>
      <c r="AC50" s="30">
        <f t="shared" si="146"/>
        <v>0</v>
      </c>
      <c r="AD50" s="30">
        <f t="shared" si="147"/>
        <v>0</v>
      </c>
      <c r="AE50" s="30">
        <f t="shared" si="148"/>
        <v>0</v>
      </c>
      <c r="AF50" s="11"/>
      <c r="AG50" s="68" t="e">
        <f t="shared" si="138"/>
        <v>#DIV/0!</v>
      </c>
    </row>
    <row r="51" spans="2:33" ht="12.75" customHeight="1">
      <c r="B51" s="9" t="s">
        <v>116</v>
      </c>
      <c r="C51" s="105"/>
      <c r="D51" s="105"/>
      <c r="E51" s="105"/>
      <c r="F51" s="105"/>
      <c r="H51" s="105"/>
      <c r="I51" s="105"/>
      <c r="J51" s="105"/>
      <c r="K51" s="82">
        <f>D51</f>
        <v>0</v>
      </c>
      <c r="L51" s="105"/>
      <c r="M51" s="105"/>
      <c r="N51" s="105"/>
      <c r="O51" s="82">
        <f>E51</f>
        <v>0</v>
      </c>
      <c r="P51" s="105"/>
      <c r="Q51" s="105"/>
      <c r="R51" s="105"/>
      <c r="S51" s="30">
        <f t="shared" si="127"/>
        <v>0</v>
      </c>
      <c r="T51" s="105"/>
      <c r="U51" s="82"/>
      <c r="V51" s="30">
        <f t="shared" si="139"/>
        <v>0</v>
      </c>
      <c r="W51" s="30">
        <f t="shared" si="140"/>
        <v>0</v>
      </c>
      <c r="X51" s="30">
        <f t="shared" si="141"/>
        <v>0</v>
      </c>
      <c r="Y51" s="30">
        <f t="shared" si="142"/>
        <v>0</v>
      </c>
      <c r="Z51" s="30">
        <f t="shared" si="143"/>
        <v>0</v>
      </c>
      <c r="AA51" s="30">
        <f t="shared" si="144"/>
        <v>0</v>
      </c>
      <c r="AB51" s="30">
        <f t="shared" si="145"/>
        <v>0</v>
      </c>
      <c r="AC51" s="30">
        <f t="shared" si="146"/>
        <v>0</v>
      </c>
      <c r="AD51" s="30">
        <f t="shared" si="147"/>
        <v>0</v>
      </c>
      <c r="AE51" s="30">
        <f t="shared" si="148"/>
        <v>0</v>
      </c>
      <c r="AF51" s="11"/>
      <c r="AG51" s="68" t="e">
        <f t="shared" si="138"/>
        <v>#DIV/0!</v>
      </c>
    </row>
    <row r="52" spans="2:33" ht="12.75" customHeight="1">
      <c r="B52" s="23" t="s">
        <v>20</v>
      </c>
      <c r="C52" s="24">
        <f>SUM(C46:C51)</f>
        <v>0</v>
      </c>
      <c r="D52" s="24">
        <f>SUM(D46:D51)</f>
        <v>0</v>
      </c>
      <c r="E52" s="24">
        <f>SUM(E46:E51)</f>
        <v>0</v>
      </c>
      <c r="F52" s="24">
        <f>SUM(F46:F51)</f>
        <v>0</v>
      </c>
      <c r="G52" s="45"/>
      <c r="H52" s="24">
        <f t="shared" ref="H52:Q52" si="151">SUM(H46:H51)</f>
        <v>0</v>
      </c>
      <c r="I52" s="24">
        <f t="shared" si="151"/>
        <v>0</v>
      </c>
      <c r="J52" s="24">
        <f t="shared" si="151"/>
        <v>0</v>
      </c>
      <c r="K52" s="24">
        <f t="shared" si="151"/>
        <v>0</v>
      </c>
      <c r="L52" s="24">
        <f t="shared" si="151"/>
        <v>0</v>
      </c>
      <c r="M52" s="24">
        <f t="shared" si="151"/>
        <v>0</v>
      </c>
      <c r="N52" s="24">
        <f t="shared" si="151"/>
        <v>0</v>
      </c>
      <c r="O52" s="24">
        <f t="shared" si="151"/>
        <v>0</v>
      </c>
      <c r="P52" s="24">
        <f t="shared" si="151"/>
        <v>0</v>
      </c>
      <c r="Q52" s="24">
        <f t="shared" si="151"/>
        <v>0</v>
      </c>
      <c r="R52" s="24">
        <f t="shared" ref="R52:S52" si="152">SUM(R46:R51)</f>
        <v>0</v>
      </c>
      <c r="S52" s="24">
        <f t="shared" si="152"/>
        <v>0</v>
      </c>
      <c r="T52" s="24">
        <f>SUM(T46:T51)</f>
        <v>0</v>
      </c>
      <c r="U52" s="45"/>
      <c r="V52" s="24">
        <f t="shared" ref="V52:AE52" si="153">SUM(V46:V51)</f>
        <v>0</v>
      </c>
      <c r="W52" s="24">
        <f t="shared" si="153"/>
        <v>0</v>
      </c>
      <c r="X52" s="24">
        <f t="shared" si="153"/>
        <v>0</v>
      </c>
      <c r="Y52" s="24">
        <f t="shared" si="153"/>
        <v>0</v>
      </c>
      <c r="Z52" s="24">
        <f t="shared" si="153"/>
        <v>0</v>
      </c>
      <c r="AA52" s="24">
        <f t="shared" si="153"/>
        <v>0</v>
      </c>
      <c r="AB52" s="24">
        <f t="shared" si="153"/>
        <v>0</v>
      </c>
      <c r="AC52" s="24">
        <f t="shared" si="153"/>
        <v>0</v>
      </c>
      <c r="AD52" s="24">
        <f t="shared" si="153"/>
        <v>0</v>
      </c>
      <c r="AE52" s="24">
        <f t="shared" si="153"/>
        <v>0</v>
      </c>
      <c r="AF52" s="39"/>
      <c r="AG52" s="69" t="e">
        <f>SUM(AE52/AA52)-1</f>
        <v>#DIV/0!</v>
      </c>
    </row>
    <row r="53" spans="2:33" ht="5.0999999999999996" customHeight="1">
      <c r="B53" s="23"/>
      <c r="C53" s="46"/>
      <c r="D53" s="38"/>
      <c r="E53" s="38"/>
      <c r="F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6"/>
    </row>
    <row r="54" spans="2:33" ht="12.75" customHeight="1">
      <c r="B54" s="72" t="s">
        <v>85</v>
      </c>
      <c r="C54" s="76"/>
      <c r="D54" s="76"/>
      <c r="E54" s="76"/>
      <c r="F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11"/>
      <c r="AG54" s="68"/>
    </row>
    <row r="55" spans="2:33" ht="12.75" customHeight="1">
      <c r="B55" s="9" t="s">
        <v>116</v>
      </c>
      <c r="C55" s="76"/>
      <c r="D55" s="76"/>
      <c r="E55" s="76"/>
      <c r="F55" s="76"/>
      <c r="H55" s="105"/>
      <c r="I55" s="105"/>
      <c r="J55" s="105"/>
      <c r="K55" s="82">
        <f t="shared" ref="K55:K60" si="154">D55</f>
        <v>0</v>
      </c>
      <c r="L55" s="105"/>
      <c r="M55" s="105"/>
      <c r="N55" s="105"/>
      <c r="O55" s="82">
        <f t="shared" ref="O55:O60" si="155">E55</f>
        <v>0</v>
      </c>
      <c r="P55" s="105"/>
      <c r="Q55" s="105"/>
      <c r="R55" s="105"/>
      <c r="S55" s="30">
        <f t="shared" ref="S55:S60" si="156">F55</f>
        <v>0</v>
      </c>
      <c r="T55" s="105"/>
      <c r="V55" s="30">
        <f t="shared" ref="V55:V60" si="157">K55</f>
        <v>0</v>
      </c>
      <c r="W55" s="30">
        <f t="shared" ref="W55:W60" si="158">L55</f>
        <v>0</v>
      </c>
      <c r="X55" s="30">
        <f t="shared" ref="X55:X60" si="159">M55</f>
        <v>0</v>
      </c>
      <c r="Y55" s="30">
        <f t="shared" ref="Y55:Y60" si="160">N55</f>
        <v>0</v>
      </c>
      <c r="Z55" s="30">
        <f t="shared" ref="Z55:Z60" si="161">O55</f>
        <v>0</v>
      </c>
      <c r="AA55" s="30">
        <f t="shared" ref="AA55:AA60" si="162">P55</f>
        <v>0</v>
      </c>
      <c r="AB55" s="30">
        <f t="shared" ref="AB55:AB60" si="163">Q55</f>
        <v>0</v>
      </c>
      <c r="AC55" s="30">
        <f t="shared" ref="AC55:AC60" si="164">R55</f>
        <v>0</v>
      </c>
      <c r="AD55" s="30">
        <f t="shared" ref="AD55:AD60" si="165">S55</f>
        <v>0</v>
      </c>
      <c r="AE55" s="30">
        <f t="shared" ref="AE55:AE60" si="166">T55</f>
        <v>0</v>
      </c>
      <c r="AF55" s="11"/>
      <c r="AG55" s="68" t="e">
        <f t="shared" ref="AG55:AG60" si="167">SUM(AE55/AA55)-1</f>
        <v>#DIV/0!</v>
      </c>
    </row>
    <row r="56" spans="2:33" ht="12.75" customHeight="1">
      <c r="B56" s="9" t="s">
        <v>116</v>
      </c>
      <c r="C56" s="76"/>
      <c r="D56" s="76"/>
      <c r="E56" s="76"/>
      <c r="F56" s="76"/>
      <c r="H56" s="105"/>
      <c r="I56" s="105"/>
      <c r="J56" s="105"/>
      <c r="K56" s="82">
        <f t="shared" si="154"/>
        <v>0</v>
      </c>
      <c r="L56" s="105"/>
      <c r="M56" s="105"/>
      <c r="N56" s="105"/>
      <c r="O56" s="82">
        <f t="shared" si="155"/>
        <v>0</v>
      </c>
      <c r="P56" s="105"/>
      <c r="Q56" s="105"/>
      <c r="R56" s="105"/>
      <c r="S56" s="30">
        <f t="shared" si="156"/>
        <v>0</v>
      </c>
      <c r="T56" s="105"/>
      <c r="V56" s="30">
        <f t="shared" si="157"/>
        <v>0</v>
      </c>
      <c r="W56" s="30">
        <f t="shared" si="158"/>
        <v>0</v>
      </c>
      <c r="X56" s="30">
        <f t="shared" si="159"/>
        <v>0</v>
      </c>
      <c r="Y56" s="30">
        <f t="shared" si="160"/>
        <v>0</v>
      </c>
      <c r="Z56" s="30">
        <f t="shared" si="161"/>
        <v>0</v>
      </c>
      <c r="AA56" s="30">
        <f t="shared" si="162"/>
        <v>0</v>
      </c>
      <c r="AB56" s="30">
        <f t="shared" si="163"/>
        <v>0</v>
      </c>
      <c r="AC56" s="30">
        <f t="shared" si="164"/>
        <v>0</v>
      </c>
      <c r="AD56" s="30">
        <f t="shared" si="165"/>
        <v>0</v>
      </c>
      <c r="AE56" s="30">
        <f t="shared" si="166"/>
        <v>0</v>
      </c>
      <c r="AF56" s="11"/>
      <c r="AG56" s="68" t="e">
        <f t="shared" si="167"/>
        <v>#DIV/0!</v>
      </c>
    </row>
    <row r="57" spans="2:33" ht="12.75" customHeight="1">
      <c r="B57" s="9" t="s">
        <v>116</v>
      </c>
      <c r="C57" s="76"/>
      <c r="D57" s="76"/>
      <c r="E57" s="76"/>
      <c r="F57" s="76"/>
      <c r="H57" s="105"/>
      <c r="I57" s="105"/>
      <c r="J57" s="105"/>
      <c r="K57" s="82">
        <f t="shared" ref="K57:K58" si="168">D57</f>
        <v>0</v>
      </c>
      <c r="L57" s="105"/>
      <c r="M57" s="105"/>
      <c r="N57" s="105"/>
      <c r="O57" s="82">
        <f t="shared" ref="O57:O58" si="169">E57</f>
        <v>0</v>
      </c>
      <c r="P57" s="105"/>
      <c r="Q57" s="105"/>
      <c r="R57" s="105"/>
      <c r="S57" s="30">
        <f t="shared" ref="S57:S58" si="170">F57</f>
        <v>0</v>
      </c>
      <c r="T57" s="105"/>
      <c r="V57" s="30">
        <f t="shared" si="157"/>
        <v>0</v>
      </c>
      <c r="W57" s="30">
        <f t="shared" si="158"/>
        <v>0</v>
      </c>
      <c r="X57" s="30">
        <f t="shared" si="159"/>
        <v>0</v>
      </c>
      <c r="Y57" s="30">
        <f t="shared" si="160"/>
        <v>0</v>
      </c>
      <c r="Z57" s="30">
        <f t="shared" si="161"/>
        <v>0</v>
      </c>
      <c r="AA57" s="30">
        <f t="shared" si="162"/>
        <v>0</v>
      </c>
      <c r="AB57" s="30">
        <f t="shared" si="163"/>
        <v>0</v>
      </c>
      <c r="AC57" s="30">
        <f t="shared" si="164"/>
        <v>0</v>
      </c>
      <c r="AD57" s="30">
        <f t="shared" si="165"/>
        <v>0</v>
      </c>
      <c r="AE57" s="30">
        <f t="shared" si="166"/>
        <v>0</v>
      </c>
      <c r="AF57" s="11"/>
      <c r="AG57" s="68" t="e">
        <f t="shared" ref="AG57:AG58" si="171">SUM(AE57/AA57)-1</f>
        <v>#DIV/0!</v>
      </c>
    </row>
    <row r="58" spans="2:33" ht="12.75" customHeight="1">
      <c r="B58" s="9" t="s">
        <v>116</v>
      </c>
      <c r="C58" s="76"/>
      <c r="D58" s="76"/>
      <c r="E58" s="76"/>
      <c r="F58" s="76"/>
      <c r="H58" s="105"/>
      <c r="I58" s="105"/>
      <c r="J58" s="105"/>
      <c r="K58" s="82">
        <f t="shared" si="168"/>
        <v>0</v>
      </c>
      <c r="L58" s="105"/>
      <c r="M58" s="105"/>
      <c r="N58" s="105"/>
      <c r="O58" s="82">
        <f t="shared" si="169"/>
        <v>0</v>
      </c>
      <c r="P58" s="105"/>
      <c r="Q58" s="105"/>
      <c r="R58" s="105"/>
      <c r="S58" s="30">
        <f t="shared" si="170"/>
        <v>0</v>
      </c>
      <c r="T58" s="105"/>
      <c r="V58" s="30">
        <f t="shared" si="157"/>
        <v>0</v>
      </c>
      <c r="W58" s="30">
        <f t="shared" si="158"/>
        <v>0</v>
      </c>
      <c r="X58" s="30">
        <f t="shared" si="159"/>
        <v>0</v>
      </c>
      <c r="Y58" s="30">
        <f t="shared" si="160"/>
        <v>0</v>
      </c>
      <c r="Z58" s="30">
        <f t="shared" si="161"/>
        <v>0</v>
      </c>
      <c r="AA58" s="30">
        <f t="shared" si="162"/>
        <v>0</v>
      </c>
      <c r="AB58" s="30">
        <f t="shared" si="163"/>
        <v>0</v>
      </c>
      <c r="AC58" s="30">
        <f t="shared" si="164"/>
        <v>0</v>
      </c>
      <c r="AD58" s="30">
        <f t="shared" si="165"/>
        <v>0</v>
      </c>
      <c r="AE58" s="30">
        <f t="shared" si="166"/>
        <v>0</v>
      </c>
      <c r="AF58" s="11"/>
      <c r="AG58" s="68" t="e">
        <f t="shared" si="171"/>
        <v>#DIV/0!</v>
      </c>
    </row>
    <row r="59" spans="2:33" ht="12.75" customHeight="1">
      <c r="B59" s="9" t="s">
        <v>116</v>
      </c>
      <c r="C59" s="76"/>
      <c r="D59" s="76"/>
      <c r="E59" s="76"/>
      <c r="F59" s="76"/>
      <c r="H59" s="105"/>
      <c r="I59" s="105"/>
      <c r="J59" s="105"/>
      <c r="K59" s="82">
        <f t="shared" si="154"/>
        <v>0</v>
      </c>
      <c r="L59" s="105"/>
      <c r="M59" s="105"/>
      <c r="N59" s="105"/>
      <c r="O59" s="82">
        <f t="shared" si="155"/>
        <v>0</v>
      </c>
      <c r="P59" s="105"/>
      <c r="Q59" s="105"/>
      <c r="R59" s="105"/>
      <c r="S59" s="30">
        <f t="shared" si="156"/>
        <v>0</v>
      </c>
      <c r="T59" s="105"/>
      <c r="V59" s="30">
        <f t="shared" si="157"/>
        <v>0</v>
      </c>
      <c r="W59" s="30">
        <f t="shared" si="158"/>
        <v>0</v>
      </c>
      <c r="X59" s="30">
        <f t="shared" si="159"/>
        <v>0</v>
      </c>
      <c r="Y59" s="30">
        <f t="shared" si="160"/>
        <v>0</v>
      </c>
      <c r="Z59" s="30">
        <f t="shared" si="161"/>
        <v>0</v>
      </c>
      <c r="AA59" s="30">
        <f t="shared" si="162"/>
        <v>0</v>
      </c>
      <c r="AB59" s="30">
        <f t="shared" si="163"/>
        <v>0</v>
      </c>
      <c r="AC59" s="30">
        <f t="shared" si="164"/>
        <v>0</v>
      </c>
      <c r="AD59" s="30">
        <f t="shared" si="165"/>
        <v>0</v>
      </c>
      <c r="AE59" s="30">
        <f t="shared" si="166"/>
        <v>0</v>
      </c>
      <c r="AF59" s="11"/>
      <c r="AG59" s="68" t="e">
        <f t="shared" si="167"/>
        <v>#DIV/0!</v>
      </c>
    </row>
    <row r="60" spans="2:33" ht="12.75" customHeight="1">
      <c r="B60" s="9" t="s">
        <v>116</v>
      </c>
      <c r="C60" s="76"/>
      <c r="D60" s="76"/>
      <c r="E60" s="76"/>
      <c r="F60" s="76"/>
      <c r="H60" s="105"/>
      <c r="I60" s="105"/>
      <c r="J60" s="105"/>
      <c r="K60" s="82">
        <f t="shared" si="154"/>
        <v>0</v>
      </c>
      <c r="L60" s="105"/>
      <c r="M60" s="105"/>
      <c r="N60" s="105"/>
      <c r="O60" s="82">
        <f t="shared" si="155"/>
        <v>0</v>
      </c>
      <c r="P60" s="105"/>
      <c r="Q60" s="105"/>
      <c r="R60" s="105"/>
      <c r="S60" s="30">
        <f t="shared" si="156"/>
        <v>0</v>
      </c>
      <c r="T60" s="105"/>
      <c r="V60" s="30">
        <f t="shared" si="157"/>
        <v>0</v>
      </c>
      <c r="W60" s="30">
        <f t="shared" si="158"/>
        <v>0</v>
      </c>
      <c r="X60" s="30">
        <f t="shared" si="159"/>
        <v>0</v>
      </c>
      <c r="Y60" s="30">
        <f t="shared" si="160"/>
        <v>0</v>
      </c>
      <c r="Z60" s="30">
        <f t="shared" si="161"/>
        <v>0</v>
      </c>
      <c r="AA60" s="30">
        <f t="shared" si="162"/>
        <v>0</v>
      </c>
      <c r="AB60" s="30">
        <f t="shared" si="163"/>
        <v>0</v>
      </c>
      <c r="AC60" s="30">
        <f t="shared" si="164"/>
        <v>0</v>
      </c>
      <c r="AD60" s="30">
        <f t="shared" si="165"/>
        <v>0</v>
      </c>
      <c r="AE60" s="30">
        <f t="shared" si="166"/>
        <v>0</v>
      </c>
      <c r="AF60" s="11"/>
      <c r="AG60" s="68" t="e">
        <f t="shared" si="167"/>
        <v>#DIV/0!</v>
      </c>
    </row>
    <row r="61" spans="2:33" ht="12.75" customHeight="1">
      <c r="B61" s="12" t="s">
        <v>21</v>
      </c>
      <c r="C61" s="13">
        <f>SUM(C55:C60)+C52</f>
        <v>0</v>
      </c>
      <c r="D61" s="13">
        <f>SUM(D55:D60)+D52</f>
        <v>0</v>
      </c>
      <c r="E61" s="13">
        <f>SUM(E55:E60)+E52</f>
        <v>0</v>
      </c>
      <c r="F61" s="13">
        <f t="shared" ref="F61" si="172">SUM(F55:F60)+F52</f>
        <v>0</v>
      </c>
      <c r="H61" s="13">
        <f t="shared" ref="H61" si="173">SUM(H55:H60)+H52</f>
        <v>0</v>
      </c>
      <c r="I61" s="13">
        <f t="shared" ref="I61" si="174">SUM(I55:I60)+I52</f>
        <v>0</v>
      </c>
      <c r="J61" s="13">
        <f t="shared" ref="J61" si="175">SUM(J55:J60)+J52</f>
        <v>0</v>
      </c>
      <c r="K61" s="13">
        <f t="shared" ref="K61" si="176">SUM(K55:K60)+K52</f>
        <v>0</v>
      </c>
      <c r="L61" s="13">
        <f t="shared" ref="L61" si="177">SUM(L55:L60)+L52</f>
        <v>0</v>
      </c>
      <c r="M61" s="13">
        <f t="shared" ref="M61" si="178">SUM(M55:M60)+M52</f>
        <v>0</v>
      </c>
      <c r="N61" s="13">
        <f t="shared" ref="N61" si="179">SUM(N55:N60)+N52</f>
        <v>0</v>
      </c>
      <c r="O61" s="13">
        <f t="shared" ref="O61" si="180">SUM(O55:O60)+O52</f>
        <v>0</v>
      </c>
      <c r="P61" s="13">
        <f t="shared" ref="P61" si="181">SUM(P55:P60)+P52</f>
        <v>0</v>
      </c>
      <c r="Q61" s="13">
        <f t="shared" ref="Q61:AE61" si="182">SUM(Q55:Q60)+Q52</f>
        <v>0</v>
      </c>
      <c r="R61" s="13">
        <f t="shared" ref="R61:S61" si="183">SUM(R55:R60)+R52</f>
        <v>0</v>
      </c>
      <c r="S61" s="13">
        <f t="shared" si="183"/>
        <v>0</v>
      </c>
      <c r="T61" s="13">
        <f>SUM(T55:T60)+T52</f>
        <v>0</v>
      </c>
      <c r="V61" s="13">
        <f t="shared" si="182"/>
        <v>0</v>
      </c>
      <c r="W61" s="13">
        <f t="shared" si="182"/>
        <v>0</v>
      </c>
      <c r="X61" s="13">
        <f t="shared" si="182"/>
        <v>0</v>
      </c>
      <c r="Y61" s="13">
        <f t="shared" si="182"/>
        <v>0</v>
      </c>
      <c r="Z61" s="13">
        <f t="shared" si="182"/>
        <v>0</v>
      </c>
      <c r="AA61" s="13">
        <f t="shared" si="182"/>
        <v>0</v>
      </c>
      <c r="AB61" s="13">
        <f t="shared" si="182"/>
        <v>0</v>
      </c>
      <c r="AC61" s="13">
        <f t="shared" si="182"/>
        <v>0</v>
      </c>
      <c r="AD61" s="13">
        <f t="shared" si="182"/>
        <v>0</v>
      </c>
      <c r="AE61" s="13">
        <f t="shared" si="182"/>
        <v>0</v>
      </c>
      <c r="AF61" s="39"/>
      <c r="AG61" s="69" t="e">
        <f>SUM(AE61/AA61)-1</f>
        <v>#DIV/0!</v>
      </c>
    </row>
    <row r="62" spans="2:33" ht="12.75" customHeight="1">
      <c r="B62" s="23"/>
      <c r="C62" s="47"/>
      <c r="D62" s="38"/>
      <c r="E62" s="38"/>
      <c r="F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6"/>
    </row>
    <row r="63" spans="2:33" ht="12.75" customHeight="1">
      <c r="B63" s="72" t="s">
        <v>47</v>
      </c>
      <c r="C63" s="47"/>
      <c r="D63" s="38"/>
      <c r="E63" s="38"/>
      <c r="F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6"/>
    </row>
    <row r="64" spans="2:33" ht="12.75" customHeight="1">
      <c r="B64" s="9" t="s">
        <v>116</v>
      </c>
      <c r="C64" s="76"/>
      <c r="D64" s="76"/>
      <c r="E64" s="76"/>
      <c r="F64" s="76"/>
      <c r="H64" s="105"/>
      <c r="I64" s="105"/>
      <c r="J64" s="105"/>
      <c r="K64" s="82">
        <f t="shared" ref="K64:K69" si="184">D64</f>
        <v>0</v>
      </c>
      <c r="L64" s="105"/>
      <c r="M64" s="105"/>
      <c r="N64" s="105"/>
      <c r="O64" s="82">
        <f t="shared" ref="O64:O69" si="185">E64</f>
        <v>0</v>
      </c>
      <c r="P64" s="105"/>
      <c r="Q64" s="105"/>
      <c r="R64" s="105"/>
      <c r="S64" s="30">
        <f t="shared" ref="S64:S69" si="186">F64</f>
        <v>0</v>
      </c>
      <c r="T64" s="105"/>
      <c r="V64" s="30">
        <f t="shared" ref="V64:V69" si="187">K64</f>
        <v>0</v>
      </c>
      <c r="W64" s="30">
        <f t="shared" ref="W64:W69" si="188">L64</f>
        <v>0</v>
      </c>
      <c r="X64" s="30">
        <f t="shared" ref="X64:X69" si="189">M64</f>
        <v>0</v>
      </c>
      <c r="Y64" s="30">
        <f t="shared" ref="Y64:Y69" si="190">N64</f>
        <v>0</v>
      </c>
      <c r="Z64" s="30">
        <f t="shared" ref="Z64:Z69" si="191">O64</f>
        <v>0</v>
      </c>
      <c r="AA64" s="30">
        <f t="shared" ref="AA64:AA69" si="192">P64</f>
        <v>0</v>
      </c>
      <c r="AB64" s="30">
        <f t="shared" ref="AB64:AB69" si="193">Q64</f>
        <v>0</v>
      </c>
      <c r="AC64" s="30">
        <f t="shared" ref="AC64:AC69" si="194">R64</f>
        <v>0</v>
      </c>
      <c r="AD64" s="30">
        <f t="shared" ref="AD64:AD69" si="195">S64</f>
        <v>0</v>
      </c>
      <c r="AE64" s="30">
        <f t="shared" ref="AE64:AE69" si="196">T64</f>
        <v>0</v>
      </c>
      <c r="AF64" s="11"/>
      <c r="AG64" s="68" t="e">
        <f t="shared" ref="AG64:AG65" si="197">SUM(AE64/AA64)-1</f>
        <v>#DIV/0!</v>
      </c>
    </row>
    <row r="65" spans="2:33" ht="12.75" customHeight="1">
      <c r="B65" s="9" t="s">
        <v>116</v>
      </c>
      <c r="C65" s="76"/>
      <c r="D65" s="76"/>
      <c r="E65" s="76"/>
      <c r="F65" s="76"/>
      <c r="H65" s="105"/>
      <c r="I65" s="105"/>
      <c r="J65" s="105"/>
      <c r="K65" s="82">
        <f t="shared" si="184"/>
        <v>0</v>
      </c>
      <c r="L65" s="105"/>
      <c r="M65" s="105"/>
      <c r="N65" s="105"/>
      <c r="O65" s="82">
        <f t="shared" si="185"/>
        <v>0</v>
      </c>
      <c r="P65" s="105"/>
      <c r="Q65" s="105"/>
      <c r="R65" s="105"/>
      <c r="S65" s="30">
        <f t="shared" si="186"/>
        <v>0</v>
      </c>
      <c r="T65" s="105"/>
      <c r="V65" s="30">
        <f t="shared" si="187"/>
        <v>0</v>
      </c>
      <c r="W65" s="30">
        <f t="shared" si="188"/>
        <v>0</v>
      </c>
      <c r="X65" s="30">
        <f t="shared" si="189"/>
        <v>0</v>
      </c>
      <c r="Y65" s="30">
        <f t="shared" si="190"/>
        <v>0</v>
      </c>
      <c r="Z65" s="30">
        <f t="shared" si="191"/>
        <v>0</v>
      </c>
      <c r="AA65" s="30">
        <f t="shared" si="192"/>
        <v>0</v>
      </c>
      <c r="AB65" s="30">
        <f t="shared" si="193"/>
        <v>0</v>
      </c>
      <c r="AC65" s="30">
        <f t="shared" si="194"/>
        <v>0</v>
      </c>
      <c r="AD65" s="30">
        <f t="shared" si="195"/>
        <v>0</v>
      </c>
      <c r="AE65" s="30">
        <f t="shared" si="196"/>
        <v>0</v>
      </c>
      <c r="AF65" s="11"/>
      <c r="AG65" s="68" t="e">
        <f t="shared" si="197"/>
        <v>#DIV/0!</v>
      </c>
    </row>
    <row r="66" spans="2:33" ht="12.75" customHeight="1">
      <c r="B66" s="9" t="s">
        <v>116</v>
      </c>
      <c r="C66" s="76"/>
      <c r="D66" s="76"/>
      <c r="E66" s="76"/>
      <c r="F66" s="76"/>
      <c r="H66" s="105"/>
      <c r="I66" s="105"/>
      <c r="J66" s="105"/>
      <c r="K66" s="82">
        <f t="shared" si="184"/>
        <v>0</v>
      </c>
      <c r="L66" s="105"/>
      <c r="M66" s="105"/>
      <c r="N66" s="105"/>
      <c r="O66" s="82">
        <f t="shared" si="185"/>
        <v>0</v>
      </c>
      <c r="P66" s="105"/>
      <c r="Q66" s="105"/>
      <c r="R66" s="105"/>
      <c r="S66" s="30">
        <f t="shared" si="186"/>
        <v>0</v>
      </c>
      <c r="T66" s="105"/>
      <c r="V66" s="30">
        <f t="shared" si="187"/>
        <v>0</v>
      </c>
      <c r="W66" s="30">
        <f t="shared" si="188"/>
        <v>0</v>
      </c>
      <c r="X66" s="30">
        <f t="shared" si="189"/>
        <v>0</v>
      </c>
      <c r="Y66" s="30">
        <f t="shared" si="190"/>
        <v>0</v>
      </c>
      <c r="Z66" s="30">
        <f t="shared" si="191"/>
        <v>0</v>
      </c>
      <c r="AA66" s="30">
        <f t="shared" si="192"/>
        <v>0</v>
      </c>
      <c r="AB66" s="30">
        <f t="shared" si="193"/>
        <v>0</v>
      </c>
      <c r="AC66" s="30">
        <f t="shared" si="194"/>
        <v>0</v>
      </c>
      <c r="AD66" s="30">
        <f t="shared" si="195"/>
        <v>0</v>
      </c>
      <c r="AE66" s="30">
        <f t="shared" si="196"/>
        <v>0</v>
      </c>
      <c r="AF66" s="11"/>
      <c r="AG66" s="68" t="e">
        <f t="shared" ref="AG66:AG69" si="198">SUM(AE66/AA66)-1</f>
        <v>#DIV/0!</v>
      </c>
    </row>
    <row r="67" spans="2:33" ht="12.75" customHeight="1">
      <c r="B67" s="9" t="s">
        <v>116</v>
      </c>
      <c r="C67" s="76"/>
      <c r="D67" s="76"/>
      <c r="E67" s="76"/>
      <c r="F67" s="76"/>
      <c r="H67" s="105"/>
      <c r="I67" s="105"/>
      <c r="J67" s="105"/>
      <c r="K67" s="82">
        <f t="shared" si="184"/>
        <v>0</v>
      </c>
      <c r="L67" s="105"/>
      <c r="M67" s="105"/>
      <c r="N67" s="105"/>
      <c r="O67" s="82">
        <f t="shared" si="185"/>
        <v>0</v>
      </c>
      <c r="P67" s="105"/>
      <c r="Q67" s="105"/>
      <c r="R67" s="105"/>
      <c r="S67" s="30">
        <f t="shared" si="186"/>
        <v>0</v>
      </c>
      <c r="T67" s="105"/>
      <c r="V67" s="30">
        <f t="shared" si="187"/>
        <v>0</v>
      </c>
      <c r="W67" s="30">
        <f t="shared" si="188"/>
        <v>0</v>
      </c>
      <c r="X67" s="30">
        <f t="shared" si="189"/>
        <v>0</v>
      </c>
      <c r="Y67" s="30">
        <f t="shared" si="190"/>
        <v>0</v>
      </c>
      <c r="Z67" s="30">
        <f t="shared" si="191"/>
        <v>0</v>
      </c>
      <c r="AA67" s="30">
        <f t="shared" si="192"/>
        <v>0</v>
      </c>
      <c r="AB67" s="30">
        <f t="shared" si="193"/>
        <v>0</v>
      </c>
      <c r="AC67" s="30">
        <f t="shared" si="194"/>
        <v>0</v>
      </c>
      <c r="AD67" s="30">
        <f t="shared" si="195"/>
        <v>0</v>
      </c>
      <c r="AE67" s="30">
        <f t="shared" si="196"/>
        <v>0</v>
      </c>
      <c r="AF67" s="11"/>
      <c r="AG67" s="68" t="e">
        <f t="shared" si="198"/>
        <v>#DIV/0!</v>
      </c>
    </row>
    <row r="68" spans="2:33" ht="12.75" customHeight="1">
      <c r="B68" s="9" t="s">
        <v>116</v>
      </c>
      <c r="C68" s="76"/>
      <c r="D68" s="76"/>
      <c r="E68" s="76"/>
      <c r="F68" s="76"/>
      <c r="H68" s="105"/>
      <c r="I68" s="105"/>
      <c r="J68" s="105"/>
      <c r="K68" s="82">
        <f t="shared" si="184"/>
        <v>0</v>
      </c>
      <c r="L68" s="105"/>
      <c r="M68" s="105"/>
      <c r="N68" s="105"/>
      <c r="O68" s="82">
        <f t="shared" si="185"/>
        <v>0</v>
      </c>
      <c r="P68" s="105"/>
      <c r="Q68" s="105"/>
      <c r="R68" s="105"/>
      <c r="S68" s="30">
        <f t="shared" si="186"/>
        <v>0</v>
      </c>
      <c r="T68" s="105"/>
      <c r="V68" s="30">
        <f t="shared" si="187"/>
        <v>0</v>
      </c>
      <c r="W68" s="30">
        <f t="shared" si="188"/>
        <v>0</v>
      </c>
      <c r="X68" s="30">
        <f t="shared" si="189"/>
        <v>0</v>
      </c>
      <c r="Y68" s="30">
        <f t="shared" si="190"/>
        <v>0</v>
      </c>
      <c r="Z68" s="30">
        <f t="shared" si="191"/>
        <v>0</v>
      </c>
      <c r="AA68" s="30">
        <f t="shared" si="192"/>
        <v>0</v>
      </c>
      <c r="AB68" s="30">
        <f t="shared" si="193"/>
        <v>0</v>
      </c>
      <c r="AC68" s="30">
        <f t="shared" si="194"/>
        <v>0</v>
      </c>
      <c r="AD68" s="30">
        <f t="shared" si="195"/>
        <v>0</v>
      </c>
      <c r="AE68" s="30">
        <f t="shared" si="196"/>
        <v>0</v>
      </c>
      <c r="AF68" s="11"/>
      <c r="AG68" s="68"/>
    </row>
    <row r="69" spans="2:33" ht="12.75" customHeight="1">
      <c r="B69" s="9" t="s">
        <v>116</v>
      </c>
      <c r="C69" s="76"/>
      <c r="D69" s="76"/>
      <c r="E69" s="76"/>
      <c r="F69" s="76"/>
      <c r="H69" s="105"/>
      <c r="I69" s="105"/>
      <c r="J69" s="105"/>
      <c r="K69" s="82">
        <f t="shared" si="184"/>
        <v>0</v>
      </c>
      <c r="L69" s="105"/>
      <c r="M69" s="105"/>
      <c r="N69" s="105"/>
      <c r="O69" s="82">
        <f t="shared" si="185"/>
        <v>0</v>
      </c>
      <c r="P69" s="105"/>
      <c r="Q69" s="105"/>
      <c r="R69" s="105"/>
      <c r="S69" s="30">
        <f t="shared" si="186"/>
        <v>0</v>
      </c>
      <c r="T69" s="105"/>
      <c r="V69" s="30">
        <f t="shared" si="187"/>
        <v>0</v>
      </c>
      <c r="W69" s="30">
        <f t="shared" si="188"/>
        <v>0</v>
      </c>
      <c r="X69" s="30">
        <f t="shared" si="189"/>
        <v>0</v>
      </c>
      <c r="Y69" s="30">
        <f t="shared" si="190"/>
        <v>0</v>
      </c>
      <c r="Z69" s="30">
        <f t="shared" si="191"/>
        <v>0</v>
      </c>
      <c r="AA69" s="30">
        <f t="shared" si="192"/>
        <v>0</v>
      </c>
      <c r="AB69" s="30">
        <f t="shared" si="193"/>
        <v>0</v>
      </c>
      <c r="AC69" s="30">
        <f t="shared" si="194"/>
        <v>0</v>
      </c>
      <c r="AD69" s="30">
        <f t="shared" si="195"/>
        <v>0</v>
      </c>
      <c r="AE69" s="30">
        <f t="shared" si="196"/>
        <v>0</v>
      </c>
      <c r="AF69" s="11"/>
      <c r="AG69" s="68" t="e">
        <f t="shared" si="198"/>
        <v>#DIV/0!</v>
      </c>
    </row>
    <row r="70" spans="2:33" ht="12.75" customHeight="1">
      <c r="B70" s="23" t="s">
        <v>19</v>
      </c>
      <c r="C70" s="24">
        <f>SUM(C64:C69)</f>
        <v>0</v>
      </c>
      <c r="D70" s="24">
        <f>SUM(D64:D69)</f>
        <v>0</v>
      </c>
      <c r="E70" s="24">
        <f>SUM(E64:E69)</f>
        <v>0</v>
      </c>
      <c r="F70" s="24">
        <f>SUM(F64:F69)</f>
        <v>0</v>
      </c>
      <c r="H70" s="24">
        <f>SUM(H64:H69)</f>
        <v>0</v>
      </c>
      <c r="I70" s="24">
        <f>SUM(I64:I69)</f>
        <v>0</v>
      </c>
      <c r="J70" s="24">
        <f>SUM(J64:J69)</f>
        <v>0</v>
      </c>
      <c r="K70" s="24">
        <f>SUM(K64:K69)</f>
        <v>0</v>
      </c>
      <c r="L70" s="24">
        <f>SUM(L64:L69)</f>
        <v>0</v>
      </c>
      <c r="M70" s="24">
        <f>SUM(M64:M69)</f>
        <v>0</v>
      </c>
      <c r="N70" s="24">
        <f>SUM(N64:N69)</f>
        <v>0</v>
      </c>
      <c r="O70" s="24">
        <f>SUM(O64:O69)</f>
        <v>0</v>
      </c>
      <c r="P70" s="24">
        <f>SUM(P64:P69)</f>
        <v>0</v>
      </c>
      <c r="Q70" s="24">
        <f>SUM(Q64:Q69)</f>
        <v>0</v>
      </c>
      <c r="R70" s="24">
        <f>SUM(R64:R69)</f>
        <v>0</v>
      </c>
      <c r="S70" s="24">
        <f>SUM(S64:S69)</f>
        <v>0</v>
      </c>
      <c r="T70" s="24">
        <f>SUM(T64:T69)</f>
        <v>0</v>
      </c>
      <c r="U70" s="45"/>
      <c r="V70" s="24">
        <f>SUM(V64:V69)</f>
        <v>0</v>
      </c>
      <c r="W70" s="24">
        <f>SUM(W64:W69)</f>
        <v>0</v>
      </c>
      <c r="X70" s="24">
        <f>SUM(X64:X69)</f>
        <v>0</v>
      </c>
      <c r="Y70" s="24">
        <f>SUM(Y64:Y69)</f>
        <v>0</v>
      </c>
      <c r="Z70" s="24">
        <f>SUM(Z64:Z69)</f>
        <v>0</v>
      </c>
      <c r="AA70" s="24">
        <f>SUM(AA64:AA69)</f>
        <v>0</v>
      </c>
      <c r="AB70" s="24">
        <f>SUM(AB64:AB69)</f>
        <v>0</v>
      </c>
      <c r="AC70" s="24">
        <f>SUM(AC64:AC69)</f>
        <v>0</v>
      </c>
      <c r="AD70" s="24">
        <f>SUM(AD64:AD69)</f>
        <v>0</v>
      </c>
      <c r="AE70" s="24">
        <f>SUM(AE64:AE69)</f>
        <v>0</v>
      </c>
      <c r="AF70" s="39"/>
      <c r="AG70" s="69" t="e">
        <f>SUM(AE70/AA70)-1</f>
        <v>#DIV/0!</v>
      </c>
    </row>
    <row r="71" spans="2:33" ht="5.0999999999999996" customHeight="1">
      <c r="B71" s="23"/>
      <c r="C71" s="47"/>
      <c r="D71" s="38"/>
      <c r="E71" s="38"/>
      <c r="F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6"/>
    </row>
    <row r="72" spans="2:33">
      <c r="B72" s="72" t="s">
        <v>86</v>
      </c>
      <c r="C72" s="47"/>
      <c r="D72" s="38"/>
      <c r="E72" s="38"/>
      <c r="F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6"/>
    </row>
    <row r="73" spans="2:33" ht="12.75" customHeight="1">
      <c r="B73" s="104" t="s">
        <v>116</v>
      </c>
      <c r="C73" s="76"/>
      <c r="D73" s="76"/>
      <c r="E73" s="76"/>
      <c r="F73" s="76"/>
      <c r="H73" s="105"/>
      <c r="I73" s="105"/>
      <c r="J73" s="105"/>
      <c r="K73" s="82">
        <f t="shared" ref="K73" si="199">D73</f>
        <v>0</v>
      </c>
      <c r="L73" s="105"/>
      <c r="M73" s="105"/>
      <c r="N73" s="105"/>
      <c r="O73" s="82">
        <f t="shared" ref="O73" si="200">E73</f>
        <v>0</v>
      </c>
      <c r="P73" s="105"/>
      <c r="Q73" s="105"/>
      <c r="R73" s="105"/>
      <c r="S73" s="30">
        <f t="shared" ref="S73" si="201">F73</f>
        <v>0</v>
      </c>
      <c r="T73" s="105"/>
      <c r="V73" s="30">
        <f t="shared" ref="V73:V78" si="202">K73</f>
        <v>0</v>
      </c>
      <c r="W73" s="30">
        <f t="shared" ref="W73:W78" si="203">L73</f>
        <v>0</v>
      </c>
      <c r="X73" s="30">
        <f t="shared" ref="X73:X78" si="204">M73</f>
        <v>0</v>
      </c>
      <c r="Y73" s="30">
        <f t="shared" ref="Y73:Y78" si="205">N73</f>
        <v>0</v>
      </c>
      <c r="Z73" s="30">
        <f t="shared" ref="Z73:Z78" si="206">O73</f>
        <v>0</v>
      </c>
      <c r="AA73" s="30">
        <f t="shared" ref="AA73:AA78" si="207">P73</f>
        <v>0</v>
      </c>
      <c r="AB73" s="30">
        <f t="shared" ref="AB73:AB78" si="208">Q73</f>
        <v>0</v>
      </c>
      <c r="AC73" s="30">
        <f t="shared" ref="AC73:AC78" si="209">R73</f>
        <v>0</v>
      </c>
      <c r="AD73" s="30">
        <f t="shared" ref="AD73:AD78" si="210">S73</f>
        <v>0</v>
      </c>
      <c r="AE73" s="30">
        <f t="shared" ref="AE73:AE78" si="211">T73</f>
        <v>0</v>
      </c>
      <c r="AF73" s="39"/>
      <c r="AG73" s="68" t="e">
        <f t="shared" ref="AG73" si="212">SUM(AE73/AA73)-1</f>
        <v>#DIV/0!</v>
      </c>
    </row>
    <row r="74" spans="2:33" ht="12.75" customHeight="1">
      <c r="B74" s="104" t="s">
        <v>116</v>
      </c>
      <c r="C74" s="76"/>
      <c r="D74" s="76"/>
      <c r="E74" s="76"/>
      <c r="F74" s="76"/>
      <c r="H74" s="105"/>
      <c r="I74" s="105"/>
      <c r="J74" s="105"/>
      <c r="K74" s="82">
        <f t="shared" ref="K74:K78" si="213">D74</f>
        <v>0</v>
      </c>
      <c r="L74" s="105"/>
      <c r="M74" s="105"/>
      <c r="N74" s="105"/>
      <c r="O74" s="82">
        <f t="shared" ref="O74:O78" si="214">E74</f>
        <v>0</v>
      </c>
      <c r="P74" s="105"/>
      <c r="Q74" s="105"/>
      <c r="R74" s="105"/>
      <c r="S74" s="30">
        <f t="shared" ref="S74:S78" si="215">F74</f>
        <v>0</v>
      </c>
      <c r="T74" s="105"/>
      <c r="V74" s="30">
        <f t="shared" si="202"/>
        <v>0</v>
      </c>
      <c r="W74" s="30">
        <f t="shared" si="203"/>
        <v>0</v>
      </c>
      <c r="X74" s="30">
        <f t="shared" si="204"/>
        <v>0</v>
      </c>
      <c r="Y74" s="30">
        <f t="shared" si="205"/>
        <v>0</v>
      </c>
      <c r="Z74" s="30">
        <f t="shared" si="206"/>
        <v>0</v>
      </c>
      <c r="AA74" s="30">
        <f t="shared" si="207"/>
        <v>0</v>
      </c>
      <c r="AB74" s="30">
        <f t="shared" si="208"/>
        <v>0</v>
      </c>
      <c r="AC74" s="30">
        <f t="shared" si="209"/>
        <v>0</v>
      </c>
      <c r="AD74" s="30">
        <f t="shared" si="210"/>
        <v>0</v>
      </c>
      <c r="AE74" s="30">
        <f t="shared" si="211"/>
        <v>0</v>
      </c>
      <c r="AF74" s="39"/>
      <c r="AG74" s="68" t="e">
        <f t="shared" ref="AG74:AG78" si="216">SUM(AE74/AA74)-1</f>
        <v>#DIV/0!</v>
      </c>
    </row>
    <row r="75" spans="2:33" ht="12.75" customHeight="1">
      <c r="B75" s="104" t="s">
        <v>116</v>
      </c>
      <c r="C75" s="76"/>
      <c r="D75" s="76"/>
      <c r="E75" s="76"/>
      <c r="F75" s="76"/>
      <c r="H75" s="105"/>
      <c r="I75" s="105"/>
      <c r="J75" s="105"/>
      <c r="K75" s="82">
        <f t="shared" si="213"/>
        <v>0</v>
      </c>
      <c r="L75" s="105"/>
      <c r="M75" s="105"/>
      <c r="N75" s="105"/>
      <c r="O75" s="82">
        <f t="shared" si="214"/>
        <v>0</v>
      </c>
      <c r="P75" s="105"/>
      <c r="Q75" s="105"/>
      <c r="R75" s="105"/>
      <c r="S75" s="30">
        <f t="shared" si="215"/>
        <v>0</v>
      </c>
      <c r="T75" s="105"/>
      <c r="V75" s="30">
        <f t="shared" si="202"/>
        <v>0</v>
      </c>
      <c r="W75" s="30">
        <f t="shared" si="203"/>
        <v>0</v>
      </c>
      <c r="X75" s="30">
        <f t="shared" si="204"/>
        <v>0</v>
      </c>
      <c r="Y75" s="30">
        <f t="shared" si="205"/>
        <v>0</v>
      </c>
      <c r="Z75" s="30">
        <f t="shared" si="206"/>
        <v>0</v>
      </c>
      <c r="AA75" s="30">
        <f t="shared" si="207"/>
        <v>0</v>
      </c>
      <c r="AB75" s="30">
        <f t="shared" si="208"/>
        <v>0</v>
      </c>
      <c r="AC75" s="30">
        <f t="shared" si="209"/>
        <v>0</v>
      </c>
      <c r="AD75" s="30">
        <f t="shared" si="210"/>
        <v>0</v>
      </c>
      <c r="AE75" s="30">
        <f t="shared" si="211"/>
        <v>0</v>
      </c>
      <c r="AF75" s="39"/>
      <c r="AG75" s="68" t="e">
        <f t="shared" si="216"/>
        <v>#DIV/0!</v>
      </c>
    </row>
    <row r="76" spans="2:33" ht="12.75" customHeight="1">
      <c r="B76" s="104" t="s">
        <v>116</v>
      </c>
      <c r="C76" s="76"/>
      <c r="D76" s="76"/>
      <c r="E76" s="76"/>
      <c r="F76" s="76"/>
      <c r="H76" s="105"/>
      <c r="I76" s="105"/>
      <c r="J76" s="105"/>
      <c r="K76" s="82">
        <f t="shared" si="213"/>
        <v>0</v>
      </c>
      <c r="L76" s="105"/>
      <c r="M76" s="105"/>
      <c r="N76" s="105"/>
      <c r="O76" s="82">
        <f t="shared" si="214"/>
        <v>0</v>
      </c>
      <c r="P76" s="105"/>
      <c r="Q76" s="105"/>
      <c r="R76" s="105"/>
      <c r="S76" s="30">
        <f t="shared" si="215"/>
        <v>0</v>
      </c>
      <c r="T76" s="105"/>
      <c r="V76" s="30">
        <f t="shared" si="202"/>
        <v>0</v>
      </c>
      <c r="W76" s="30">
        <f t="shared" si="203"/>
        <v>0</v>
      </c>
      <c r="X76" s="30">
        <f t="shared" si="204"/>
        <v>0</v>
      </c>
      <c r="Y76" s="30">
        <f t="shared" si="205"/>
        <v>0</v>
      </c>
      <c r="Z76" s="30">
        <f t="shared" si="206"/>
        <v>0</v>
      </c>
      <c r="AA76" s="30">
        <f t="shared" si="207"/>
        <v>0</v>
      </c>
      <c r="AB76" s="30">
        <f t="shared" si="208"/>
        <v>0</v>
      </c>
      <c r="AC76" s="30">
        <f t="shared" si="209"/>
        <v>0</v>
      </c>
      <c r="AD76" s="30">
        <f t="shared" si="210"/>
        <v>0</v>
      </c>
      <c r="AE76" s="30">
        <f t="shared" si="211"/>
        <v>0</v>
      </c>
      <c r="AF76" s="39"/>
      <c r="AG76" s="68" t="e">
        <f t="shared" si="216"/>
        <v>#DIV/0!</v>
      </c>
    </row>
    <row r="77" spans="2:33" ht="12.75" customHeight="1">
      <c r="B77" s="104" t="s">
        <v>116</v>
      </c>
      <c r="C77" s="76"/>
      <c r="D77" s="76"/>
      <c r="E77" s="76"/>
      <c r="F77" s="76"/>
      <c r="H77" s="105"/>
      <c r="I77" s="105"/>
      <c r="J77" s="105"/>
      <c r="K77" s="82">
        <f t="shared" si="213"/>
        <v>0</v>
      </c>
      <c r="L77" s="105"/>
      <c r="M77" s="105"/>
      <c r="N77" s="105"/>
      <c r="O77" s="82">
        <f t="shared" si="214"/>
        <v>0</v>
      </c>
      <c r="P77" s="105"/>
      <c r="Q77" s="105"/>
      <c r="R77" s="105"/>
      <c r="S77" s="30">
        <f t="shared" si="215"/>
        <v>0</v>
      </c>
      <c r="T77" s="105"/>
      <c r="V77" s="30">
        <f t="shared" si="202"/>
        <v>0</v>
      </c>
      <c r="W77" s="30">
        <f t="shared" si="203"/>
        <v>0</v>
      </c>
      <c r="X77" s="30">
        <f t="shared" si="204"/>
        <v>0</v>
      </c>
      <c r="Y77" s="30">
        <f t="shared" si="205"/>
        <v>0</v>
      </c>
      <c r="Z77" s="30">
        <f t="shared" si="206"/>
        <v>0</v>
      </c>
      <c r="AA77" s="30">
        <f t="shared" si="207"/>
        <v>0</v>
      </c>
      <c r="AB77" s="30">
        <f t="shared" si="208"/>
        <v>0</v>
      </c>
      <c r="AC77" s="30">
        <f t="shared" si="209"/>
        <v>0</v>
      </c>
      <c r="AD77" s="30">
        <f t="shared" si="210"/>
        <v>0</v>
      </c>
      <c r="AE77" s="30">
        <f t="shared" si="211"/>
        <v>0</v>
      </c>
      <c r="AF77" s="39"/>
      <c r="AG77" s="68" t="e">
        <f t="shared" si="216"/>
        <v>#DIV/0!</v>
      </c>
    </row>
    <row r="78" spans="2:33" ht="12.75" customHeight="1">
      <c r="B78" s="104" t="s">
        <v>116</v>
      </c>
      <c r="C78" s="76"/>
      <c r="D78" s="76"/>
      <c r="E78" s="76"/>
      <c r="F78" s="76"/>
      <c r="H78" s="105"/>
      <c r="I78" s="105"/>
      <c r="J78" s="105"/>
      <c r="K78" s="82">
        <f t="shared" si="213"/>
        <v>0</v>
      </c>
      <c r="L78" s="105"/>
      <c r="M78" s="105"/>
      <c r="N78" s="105"/>
      <c r="O78" s="82">
        <f t="shared" si="214"/>
        <v>0</v>
      </c>
      <c r="P78" s="105"/>
      <c r="Q78" s="105"/>
      <c r="R78" s="105"/>
      <c r="S78" s="30">
        <f t="shared" si="215"/>
        <v>0</v>
      </c>
      <c r="T78" s="105"/>
      <c r="V78" s="30">
        <f t="shared" si="202"/>
        <v>0</v>
      </c>
      <c r="W78" s="30">
        <f t="shared" si="203"/>
        <v>0</v>
      </c>
      <c r="X78" s="30">
        <f t="shared" si="204"/>
        <v>0</v>
      </c>
      <c r="Y78" s="30">
        <f t="shared" si="205"/>
        <v>0</v>
      </c>
      <c r="Z78" s="30">
        <f t="shared" si="206"/>
        <v>0</v>
      </c>
      <c r="AA78" s="30">
        <f t="shared" si="207"/>
        <v>0</v>
      </c>
      <c r="AB78" s="30">
        <f t="shared" si="208"/>
        <v>0</v>
      </c>
      <c r="AC78" s="30">
        <f t="shared" si="209"/>
        <v>0</v>
      </c>
      <c r="AD78" s="30">
        <f t="shared" si="210"/>
        <v>0</v>
      </c>
      <c r="AE78" s="30">
        <f t="shared" si="211"/>
        <v>0</v>
      </c>
      <c r="AF78" s="39"/>
      <c r="AG78" s="68" t="e">
        <f t="shared" si="216"/>
        <v>#DIV/0!</v>
      </c>
    </row>
    <row r="79" spans="2:33" ht="12.75" customHeight="1">
      <c r="B79" s="12" t="s">
        <v>17</v>
      </c>
      <c r="C79" s="13">
        <f>SUM(C73:C78)+C70</f>
        <v>0</v>
      </c>
      <c r="D79" s="13">
        <f>SUM(D73:D78)+D70</f>
        <v>0</v>
      </c>
      <c r="E79" s="13">
        <f>SUM(E73:E78)+E70</f>
        <v>0</v>
      </c>
      <c r="F79" s="13">
        <f>SUM(F73:F78)+F70</f>
        <v>0</v>
      </c>
      <c r="H79" s="13">
        <f t="shared" ref="H79:Q79" si="217">SUM(H73:H78)+H70</f>
        <v>0</v>
      </c>
      <c r="I79" s="13">
        <f t="shared" si="217"/>
        <v>0</v>
      </c>
      <c r="J79" s="13">
        <f t="shared" si="217"/>
        <v>0</v>
      </c>
      <c r="K79" s="13">
        <f t="shared" si="217"/>
        <v>0</v>
      </c>
      <c r="L79" s="13">
        <f t="shared" si="217"/>
        <v>0</v>
      </c>
      <c r="M79" s="13">
        <f t="shared" si="217"/>
        <v>0</v>
      </c>
      <c r="N79" s="13">
        <f t="shared" si="217"/>
        <v>0</v>
      </c>
      <c r="O79" s="13">
        <f t="shared" si="217"/>
        <v>0</v>
      </c>
      <c r="P79" s="13">
        <f t="shared" si="217"/>
        <v>0</v>
      </c>
      <c r="Q79" s="13">
        <f t="shared" si="217"/>
        <v>0</v>
      </c>
      <c r="R79" s="13">
        <f>SUM(R73:R78)+R70</f>
        <v>0</v>
      </c>
      <c r="S79" s="13">
        <f>SUM(S73:S78)+S70</f>
        <v>0</v>
      </c>
      <c r="T79" s="13">
        <f>SUM(T73:T78)+T70</f>
        <v>0</v>
      </c>
      <c r="V79" s="13">
        <f t="shared" ref="V79:AE79" si="218">SUM(V73:V78)+V70</f>
        <v>0</v>
      </c>
      <c r="W79" s="13">
        <f t="shared" si="218"/>
        <v>0</v>
      </c>
      <c r="X79" s="13">
        <f t="shared" si="218"/>
        <v>0</v>
      </c>
      <c r="Y79" s="13">
        <f t="shared" si="218"/>
        <v>0</v>
      </c>
      <c r="Z79" s="13">
        <f t="shared" si="218"/>
        <v>0</v>
      </c>
      <c r="AA79" s="13">
        <f t="shared" si="218"/>
        <v>0</v>
      </c>
      <c r="AB79" s="13">
        <f t="shared" si="218"/>
        <v>0</v>
      </c>
      <c r="AC79" s="13">
        <f t="shared" si="218"/>
        <v>0</v>
      </c>
      <c r="AD79" s="13">
        <f t="shared" si="218"/>
        <v>0</v>
      </c>
      <c r="AE79" s="13">
        <f t="shared" si="218"/>
        <v>0</v>
      </c>
      <c r="AF79" s="39"/>
      <c r="AG79" s="69" t="e">
        <f>SUM(AE79/AA79)-1</f>
        <v>#DIV/0!</v>
      </c>
    </row>
    <row r="80" spans="2:33" ht="5.0999999999999996" customHeight="1">
      <c r="B80" s="23"/>
      <c r="C80" s="46"/>
      <c r="D80" s="38"/>
      <c r="E80" s="38"/>
      <c r="F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6"/>
    </row>
    <row r="81" spans="1:33" ht="12.75" customHeight="1">
      <c r="B81" s="104" t="s">
        <v>116</v>
      </c>
      <c r="C81" s="76"/>
      <c r="D81" s="76"/>
      <c r="E81" s="76"/>
      <c r="F81" s="76"/>
      <c r="H81" s="105"/>
      <c r="I81" s="105"/>
      <c r="J81" s="105"/>
      <c r="K81" s="82">
        <f t="shared" ref="K81:K85" si="219">D81</f>
        <v>0</v>
      </c>
      <c r="L81" s="105"/>
      <c r="M81" s="105"/>
      <c r="N81" s="105"/>
      <c r="O81" s="82">
        <f t="shared" ref="O81:O85" si="220">E81</f>
        <v>0</v>
      </c>
      <c r="P81" s="105"/>
      <c r="Q81" s="105"/>
      <c r="R81" s="105"/>
      <c r="S81" s="30">
        <f t="shared" ref="S81:S85" si="221">F81</f>
        <v>0</v>
      </c>
      <c r="T81" s="105"/>
      <c r="V81" s="30">
        <f t="shared" ref="V81:V85" si="222">K81</f>
        <v>0</v>
      </c>
      <c r="W81" s="30">
        <f t="shared" ref="W81:W85" si="223">L81</f>
        <v>0</v>
      </c>
      <c r="X81" s="30">
        <f t="shared" ref="X81:X85" si="224">M81</f>
        <v>0</v>
      </c>
      <c r="Y81" s="30">
        <f t="shared" ref="Y81:Y85" si="225">N81</f>
        <v>0</v>
      </c>
      <c r="Z81" s="30">
        <f t="shared" ref="Z81:Z85" si="226">O81</f>
        <v>0</v>
      </c>
      <c r="AA81" s="30">
        <f t="shared" ref="AA81:AA85" si="227">P81</f>
        <v>0</v>
      </c>
      <c r="AB81" s="30">
        <f t="shared" ref="AB81:AB85" si="228">Q81</f>
        <v>0</v>
      </c>
      <c r="AC81" s="30">
        <f t="shared" ref="AC81:AC85" si="229">R81</f>
        <v>0</v>
      </c>
      <c r="AD81" s="30">
        <f t="shared" ref="AD81:AD85" si="230">S81</f>
        <v>0</v>
      </c>
      <c r="AE81" s="30">
        <f t="shared" ref="AE81:AE85" si="231">T81</f>
        <v>0</v>
      </c>
      <c r="AF81" s="11"/>
      <c r="AG81" s="68" t="e">
        <f t="shared" ref="AG81:AG85" si="232">SUM(AE81/AA81)-1</f>
        <v>#DIV/0!</v>
      </c>
    </row>
    <row r="82" spans="1:33" ht="12.75" customHeight="1">
      <c r="B82" s="104" t="s">
        <v>116</v>
      </c>
      <c r="C82" s="76"/>
      <c r="D82" s="76"/>
      <c r="E82" s="76"/>
      <c r="F82" s="76"/>
      <c r="H82" s="105"/>
      <c r="I82" s="105"/>
      <c r="J82" s="105"/>
      <c r="K82" s="82">
        <f t="shared" si="219"/>
        <v>0</v>
      </c>
      <c r="L82" s="105"/>
      <c r="M82" s="105"/>
      <c r="N82" s="105"/>
      <c r="O82" s="82">
        <f t="shared" si="220"/>
        <v>0</v>
      </c>
      <c r="P82" s="105"/>
      <c r="Q82" s="105"/>
      <c r="R82" s="105"/>
      <c r="S82" s="30">
        <f t="shared" si="221"/>
        <v>0</v>
      </c>
      <c r="T82" s="105"/>
      <c r="V82" s="30">
        <f t="shared" si="222"/>
        <v>0</v>
      </c>
      <c r="W82" s="30">
        <f t="shared" si="223"/>
        <v>0</v>
      </c>
      <c r="X82" s="30">
        <f t="shared" si="224"/>
        <v>0</v>
      </c>
      <c r="Y82" s="30">
        <f t="shared" si="225"/>
        <v>0</v>
      </c>
      <c r="Z82" s="30">
        <f t="shared" si="226"/>
        <v>0</v>
      </c>
      <c r="AA82" s="30">
        <f t="shared" si="227"/>
        <v>0</v>
      </c>
      <c r="AB82" s="30">
        <f t="shared" si="228"/>
        <v>0</v>
      </c>
      <c r="AC82" s="30">
        <f t="shared" si="229"/>
        <v>0</v>
      </c>
      <c r="AD82" s="30">
        <f t="shared" si="230"/>
        <v>0</v>
      </c>
      <c r="AE82" s="30">
        <f t="shared" si="231"/>
        <v>0</v>
      </c>
      <c r="AF82" s="11"/>
      <c r="AG82" s="68" t="e">
        <f t="shared" si="232"/>
        <v>#DIV/0!</v>
      </c>
    </row>
    <row r="83" spans="1:33" ht="12.75" customHeight="1">
      <c r="B83" s="104" t="s">
        <v>116</v>
      </c>
      <c r="C83" s="76"/>
      <c r="D83" s="76"/>
      <c r="E83" s="76"/>
      <c r="F83" s="76"/>
      <c r="H83" s="105"/>
      <c r="I83" s="105"/>
      <c r="J83" s="105"/>
      <c r="K83" s="82">
        <f t="shared" si="219"/>
        <v>0</v>
      </c>
      <c r="L83" s="105"/>
      <c r="M83" s="105"/>
      <c r="N83" s="105"/>
      <c r="O83" s="82">
        <f t="shared" si="220"/>
        <v>0</v>
      </c>
      <c r="P83" s="105"/>
      <c r="Q83" s="105"/>
      <c r="R83" s="105"/>
      <c r="S83" s="30">
        <f t="shared" si="221"/>
        <v>0</v>
      </c>
      <c r="T83" s="105"/>
      <c r="V83" s="30">
        <f t="shared" si="222"/>
        <v>0</v>
      </c>
      <c r="W83" s="30">
        <f t="shared" si="223"/>
        <v>0</v>
      </c>
      <c r="X83" s="30">
        <f t="shared" si="224"/>
        <v>0</v>
      </c>
      <c r="Y83" s="30">
        <f t="shared" si="225"/>
        <v>0</v>
      </c>
      <c r="Z83" s="30">
        <f t="shared" si="226"/>
        <v>0</v>
      </c>
      <c r="AA83" s="30">
        <f t="shared" si="227"/>
        <v>0</v>
      </c>
      <c r="AB83" s="30">
        <f t="shared" si="228"/>
        <v>0</v>
      </c>
      <c r="AC83" s="30">
        <f t="shared" si="229"/>
        <v>0</v>
      </c>
      <c r="AD83" s="30">
        <f t="shared" si="230"/>
        <v>0</v>
      </c>
      <c r="AE83" s="30">
        <f t="shared" si="231"/>
        <v>0</v>
      </c>
      <c r="AF83" s="11"/>
      <c r="AG83" s="68" t="e">
        <f t="shared" si="232"/>
        <v>#DIV/0!</v>
      </c>
    </row>
    <row r="84" spans="1:33" ht="12.75" customHeight="1">
      <c r="B84" s="104" t="s">
        <v>116</v>
      </c>
      <c r="C84" s="76"/>
      <c r="D84" s="76"/>
      <c r="E84" s="76"/>
      <c r="F84" s="76"/>
      <c r="H84" s="105"/>
      <c r="I84" s="105"/>
      <c r="J84" s="105"/>
      <c r="K84" s="82">
        <f t="shared" si="219"/>
        <v>0</v>
      </c>
      <c r="L84" s="105"/>
      <c r="M84" s="105"/>
      <c r="N84" s="105"/>
      <c r="O84" s="82">
        <f t="shared" si="220"/>
        <v>0</v>
      </c>
      <c r="P84" s="105"/>
      <c r="Q84" s="105"/>
      <c r="R84" s="105"/>
      <c r="S84" s="30">
        <f t="shared" si="221"/>
        <v>0</v>
      </c>
      <c r="T84" s="105"/>
      <c r="V84" s="30">
        <f t="shared" si="222"/>
        <v>0</v>
      </c>
      <c r="W84" s="30">
        <f t="shared" si="223"/>
        <v>0</v>
      </c>
      <c r="X84" s="30">
        <f t="shared" si="224"/>
        <v>0</v>
      </c>
      <c r="Y84" s="30">
        <f t="shared" si="225"/>
        <v>0</v>
      </c>
      <c r="Z84" s="30">
        <f t="shared" si="226"/>
        <v>0</v>
      </c>
      <c r="AA84" s="30">
        <f t="shared" si="227"/>
        <v>0</v>
      </c>
      <c r="AB84" s="30">
        <f t="shared" si="228"/>
        <v>0</v>
      </c>
      <c r="AC84" s="30">
        <f t="shared" si="229"/>
        <v>0</v>
      </c>
      <c r="AD84" s="30">
        <f t="shared" si="230"/>
        <v>0</v>
      </c>
      <c r="AE84" s="30">
        <f t="shared" si="231"/>
        <v>0</v>
      </c>
      <c r="AF84" s="11"/>
      <c r="AG84" s="68" t="e">
        <f t="shared" si="232"/>
        <v>#DIV/0!</v>
      </c>
    </row>
    <row r="85" spans="1:33" ht="12.75" customHeight="1">
      <c r="B85" s="104" t="s">
        <v>116</v>
      </c>
      <c r="C85" s="76"/>
      <c r="D85" s="76"/>
      <c r="E85" s="76"/>
      <c r="F85" s="76"/>
      <c r="H85" s="105"/>
      <c r="I85" s="105"/>
      <c r="J85" s="105"/>
      <c r="K85" s="82">
        <f t="shared" si="219"/>
        <v>0</v>
      </c>
      <c r="L85" s="105"/>
      <c r="M85" s="105"/>
      <c r="N85" s="105"/>
      <c r="O85" s="82">
        <f t="shared" si="220"/>
        <v>0</v>
      </c>
      <c r="P85" s="105"/>
      <c r="Q85" s="105"/>
      <c r="R85" s="105"/>
      <c r="S85" s="30">
        <f t="shared" si="221"/>
        <v>0</v>
      </c>
      <c r="T85" s="105"/>
      <c r="V85" s="30">
        <f t="shared" si="222"/>
        <v>0</v>
      </c>
      <c r="W85" s="30">
        <f t="shared" si="223"/>
        <v>0</v>
      </c>
      <c r="X85" s="30">
        <f t="shared" si="224"/>
        <v>0</v>
      </c>
      <c r="Y85" s="30">
        <f t="shared" si="225"/>
        <v>0</v>
      </c>
      <c r="Z85" s="30">
        <f t="shared" si="226"/>
        <v>0</v>
      </c>
      <c r="AA85" s="30">
        <f t="shared" si="227"/>
        <v>0</v>
      </c>
      <c r="AB85" s="30">
        <f t="shared" si="228"/>
        <v>0</v>
      </c>
      <c r="AC85" s="30">
        <f t="shared" si="229"/>
        <v>0</v>
      </c>
      <c r="AD85" s="30">
        <f t="shared" si="230"/>
        <v>0</v>
      </c>
      <c r="AE85" s="30">
        <f t="shared" si="231"/>
        <v>0</v>
      </c>
      <c r="AF85" s="11"/>
      <c r="AG85" s="68" t="e">
        <f t="shared" si="232"/>
        <v>#DIV/0!</v>
      </c>
    </row>
    <row r="86" spans="1:33" ht="12.75" customHeight="1">
      <c r="B86" s="12" t="s">
        <v>16</v>
      </c>
      <c r="C86" s="13">
        <f t="shared" ref="C86:F86" si="233">SUM(C81:C85)</f>
        <v>0</v>
      </c>
      <c r="D86" s="13">
        <f t="shared" si="233"/>
        <v>0</v>
      </c>
      <c r="E86" s="13">
        <f t="shared" si="233"/>
        <v>0</v>
      </c>
      <c r="F86" s="13">
        <f t="shared" si="233"/>
        <v>0</v>
      </c>
      <c r="G86" s="48"/>
      <c r="H86" s="13">
        <f t="shared" ref="H86:Q86" si="234">SUM(H81:H85)</f>
        <v>0</v>
      </c>
      <c r="I86" s="13">
        <f t="shared" si="234"/>
        <v>0</v>
      </c>
      <c r="J86" s="13">
        <f t="shared" si="234"/>
        <v>0</v>
      </c>
      <c r="K86" s="13">
        <f t="shared" si="234"/>
        <v>0</v>
      </c>
      <c r="L86" s="13">
        <f t="shared" si="234"/>
        <v>0</v>
      </c>
      <c r="M86" s="13">
        <f t="shared" si="234"/>
        <v>0</v>
      </c>
      <c r="N86" s="13">
        <f t="shared" si="234"/>
        <v>0</v>
      </c>
      <c r="O86" s="13">
        <f t="shared" si="234"/>
        <v>0</v>
      </c>
      <c r="P86" s="13">
        <f t="shared" si="234"/>
        <v>0</v>
      </c>
      <c r="Q86" s="13">
        <f t="shared" si="234"/>
        <v>0</v>
      </c>
      <c r="R86" s="13">
        <f t="shared" ref="R86:T86" si="235">SUM(R81:R85)</f>
        <v>0</v>
      </c>
      <c r="S86" s="13">
        <f t="shared" ref="S86" si="236">SUM(S81:S85)</f>
        <v>0</v>
      </c>
      <c r="T86" s="13">
        <f t="shared" si="235"/>
        <v>0</v>
      </c>
      <c r="V86" s="13">
        <f t="shared" ref="V86:AE86" si="237">SUM(V81:V85)</f>
        <v>0</v>
      </c>
      <c r="W86" s="13">
        <f t="shared" si="237"/>
        <v>0</v>
      </c>
      <c r="X86" s="13">
        <f t="shared" si="237"/>
        <v>0</v>
      </c>
      <c r="Y86" s="13">
        <f t="shared" si="237"/>
        <v>0</v>
      </c>
      <c r="Z86" s="13">
        <f t="shared" si="237"/>
        <v>0</v>
      </c>
      <c r="AA86" s="13">
        <f t="shared" si="237"/>
        <v>0</v>
      </c>
      <c r="AB86" s="13">
        <f t="shared" si="237"/>
        <v>0</v>
      </c>
      <c r="AC86" s="13">
        <f t="shared" si="237"/>
        <v>0</v>
      </c>
      <c r="AD86" s="13">
        <f t="shared" si="237"/>
        <v>0</v>
      </c>
      <c r="AE86" s="13">
        <f t="shared" si="237"/>
        <v>0</v>
      </c>
      <c r="AF86" s="39"/>
      <c r="AG86" s="69" t="e">
        <f>SUM(AE86/AA86)-1</f>
        <v>#DIV/0!</v>
      </c>
    </row>
    <row r="87" spans="1:33" ht="12.75" customHeight="1">
      <c r="B87" s="23" t="s">
        <v>52</v>
      </c>
      <c r="C87" s="30">
        <f t="shared" ref="C87:F87" si="238">SUM(C86+C79)</f>
        <v>0</v>
      </c>
      <c r="D87" s="30">
        <f t="shared" si="238"/>
        <v>0</v>
      </c>
      <c r="E87" s="30">
        <f t="shared" si="238"/>
        <v>0</v>
      </c>
      <c r="F87" s="30">
        <f t="shared" si="238"/>
        <v>0</v>
      </c>
      <c r="G87" s="30"/>
      <c r="H87" s="30">
        <f t="shared" ref="H87:Q87" si="239">SUM(H86+H79)</f>
        <v>0</v>
      </c>
      <c r="I87" s="30">
        <f t="shared" si="239"/>
        <v>0</v>
      </c>
      <c r="J87" s="30">
        <f t="shared" si="239"/>
        <v>0</v>
      </c>
      <c r="K87" s="30">
        <f t="shared" si="239"/>
        <v>0</v>
      </c>
      <c r="L87" s="30">
        <f t="shared" si="239"/>
        <v>0</v>
      </c>
      <c r="M87" s="30">
        <f t="shared" si="239"/>
        <v>0</v>
      </c>
      <c r="N87" s="30">
        <f t="shared" si="239"/>
        <v>0</v>
      </c>
      <c r="O87" s="30">
        <f t="shared" si="239"/>
        <v>0</v>
      </c>
      <c r="P87" s="30">
        <f t="shared" si="239"/>
        <v>0</v>
      </c>
      <c r="Q87" s="30">
        <f t="shared" si="239"/>
        <v>0</v>
      </c>
      <c r="R87" s="30">
        <f t="shared" ref="R87:T87" si="240">SUM(R86+R79)</f>
        <v>0</v>
      </c>
      <c r="S87" s="30">
        <f t="shared" ref="S87" si="241">SUM(S86+S79)</f>
        <v>0</v>
      </c>
      <c r="T87" s="30">
        <f t="shared" si="240"/>
        <v>0</v>
      </c>
      <c r="U87" s="30"/>
      <c r="V87" s="30">
        <f t="shared" ref="V87:AE87" si="242">SUM(V86+V79)</f>
        <v>0</v>
      </c>
      <c r="W87" s="30">
        <f t="shared" si="242"/>
        <v>0</v>
      </c>
      <c r="X87" s="30">
        <f t="shared" si="242"/>
        <v>0</v>
      </c>
      <c r="Y87" s="30">
        <f t="shared" si="242"/>
        <v>0</v>
      </c>
      <c r="Z87" s="30">
        <f t="shared" si="242"/>
        <v>0</v>
      </c>
      <c r="AA87" s="30">
        <f t="shared" si="242"/>
        <v>0</v>
      </c>
      <c r="AB87" s="30">
        <f t="shared" si="242"/>
        <v>0</v>
      </c>
      <c r="AC87" s="30">
        <f t="shared" si="242"/>
        <v>0</v>
      </c>
      <c r="AD87" s="30">
        <f t="shared" si="242"/>
        <v>0</v>
      </c>
      <c r="AE87" s="30">
        <f t="shared" si="242"/>
        <v>0</v>
      </c>
      <c r="AF87" s="11"/>
      <c r="AG87" s="69" t="e">
        <f>SUM(AE87/AA87)-1</f>
        <v>#DIV/0!</v>
      </c>
    </row>
    <row r="88" spans="1:33" ht="5.0999999999999996" customHeight="1">
      <c r="B88" s="23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11"/>
    </row>
    <row r="89" spans="1:33" ht="12.75" customHeight="1">
      <c r="B89" s="62" t="s">
        <v>63</v>
      </c>
      <c r="C89" s="63">
        <f>C87-C61</f>
        <v>0</v>
      </c>
      <c r="D89" s="63">
        <f>D87-D61</f>
        <v>0</v>
      </c>
      <c r="E89" s="63">
        <f>E87-E61</f>
        <v>0</v>
      </c>
      <c r="F89" s="63">
        <f>F87-F61</f>
        <v>0</v>
      </c>
      <c r="G89" s="64"/>
      <c r="H89" s="63">
        <f>H87-H61</f>
        <v>0</v>
      </c>
      <c r="I89" s="63">
        <f>I87-I61</f>
        <v>0</v>
      </c>
      <c r="J89" s="63">
        <f>J87-J61</f>
        <v>0</v>
      </c>
      <c r="K89" s="63">
        <f>K87-K61</f>
        <v>0</v>
      </c>
      <c r="L89" s="63">
        <f>L87-L61</f>
        <v>0</v>
      </c>
      <c r="M89" s="63">
        <f>M87-M61</f>
        <v>0</v>
      </c>
      <c r="N89" s="63">
        <f>N87-N61</f>
        <v>0</v>
      </c>
      <c r="O89" s="63">
        <f>O87-O61</f>
        <v>0</v>
      </c>
      <c r="P89" s="63">
        <f>P87-P61</f>
        <v>0</v>
      </c>
      <c r="Q89" s="63">
        <f>Q87-Q61</f>
        <v>0</v>
      </c>
      <c r="R89" s="63">
        <f>R87-R61</f>
        <v>0</v>
      </c>
      <c r="S89" s="63">
        <f>S87-S61</f>
        <v>0</v>
      </c>
      <c r="T89" s="63">
        <f>T87-T61</f>
        <v>0</v>
      </c>
      <c r="U89" s="26"/>
      <c r="V89" s="63">
        <f>V87-V61</f>
        <v>0</v>
      </c>
      <c r="W89" s="63">
        <f>W87-W61</f>
        <v>0</v>
      </c>
      <c r="X89" s="63">
        <f>X87-X61</f>
        <v>0</v>
      </c>
      <c r="Y89" s="63">
        <f>Y87-Y61</f>
        <v>0</v>
      </c>
      <c r="Z89" s="63">
        <f>Z87-Z61</f>
        <v>0</v>
      </c>
      <c r="AA89" s="63">
        <f>AA87-AA61</f>
        <v>0</v>
      </c>
      <c r="AB89" s="63">
        <f>AB87-AB61</f>
        <v>0</v>
      </c>
      <c r="AC89" s="63">
        <f>AC87-AC61</f>
        <v>0</v>
      </c>
      <c r="AD89" s="63">
        <f>AD87-AD61</f>
        <v>0</v>
      </c>
      <c r="AE89" s="63">
        <f>AE87-AE61</f>
        <v>0</v>
      </c>
    </row>
    <row r="90" spans="1:33" ht="5.0999999999999996" customHeight="1" thickBot="1">
      <c r="B90" s="100"/>
      <c r="C90" s="101"/>
      <c r="D90" s="101"/>
      <c r="E90" s="101"/>
      <c r="F90" s="101"/>
      <c r="G90" s="102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3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66"/>
      <c r="AG90" s="66"/>
    </row>
    <row r="91" spans="1:33">
      <c r="B91" s="61"/>
      <c r="C91" s="22"/>
      <c r="D91" s="22"/>
      <c r="E91" s="22"/>
      <c r="F91" s="22"/>
      <c r="G91" s="49"/>
    </row>
    <row r="92" spans="1:33" ht="12.75" customHeight="1">
      <c r="A92" s="5" t="s">
        <v>18</v>
      </c>
      <c r="B92" s="83" t="s">
        <v>15</v>
      </c>
      <c r="C92" s="87" t="s">
        <v>0</v>
      </c>
      <c r="D92" s="87"/>
      <c r="E92" s="87"/>
      <c r="F92" s="87"/>
      <c r="G92" s="88"/>
      <c r="H92" s="87"/>
      <c r="I92" s="87"/>
      <c r="J92" s="87"/>
      <c r="K92" s="87"/>
      <c r="L92" s="87"/>
      <c r="M92" s="87"/>
      <c r="N92" s="87" t="s">
        <v>1</v>
      </c>
      <c r="O92" s="87"/>
      <c r="P92" s="87"/>
      <c r="Q92" s="87"/>
      <c r="R92" s="87"/>
      <c r="S92" s="87"/>
      <c r="T92" s="87"/>
      <c r="U92" s="83"/>
      <c r="V92" s="87"/>
      <c r="W92" s="87"/>
      <c r="X92" s="87"/>
      <c r="Y92" s="87"/>
      <c r="Z92" s="87"/>
      <c r="AA92" s="87" t="s">
        <v>10</v>
      </c>
      <c r="AB92" s="87"/>
      <c r="AC92" s="87"/>
      <c r="AD92" s="87"/>
      <c r="AE92" s="87"/>
      <c r="AF92" s="88"/>
      <c r="AG92" s="139" t="s">
        <v>24</v>
      </c>
    </row>
    <row r="93" spans="1:33" ht="12.75" customHeight="1">
      <c r="B93" s="84" t="str">
        <f>B7</f>
        <v>Fiscal Period</v>
      </c>
      <c r="C93" s="89">
        <f>C7</f>
        <v>2022</v>
      </c>
      <c r="D93" s="89">
        <f>D7</f>
        <v>2023</v>
      </c>
      <c r="E93" s="89">
        <f>E7</f>
        <v>2024</v>
      </c>
      <c r="F93" s="89">
        <f>F7</f>
        <v>2025</v>
      </c>
      <c r="G93" s="88"/>
      <c r="H93" s="89" t="str">
        <f>H7</f>
        <v>1Q23</v>
      </c>
      <c r="I93" s="89" t="str">
        <f>I7</f>
        <v>2Q23</v>
      </c>
      <c r="J93" s="89" t="str">
        <f>J7</f>
        <v>3Q23</v>
      </c>
      <c r="K93" s="89" t="str">
        <f>K7</f>
        <v>4Q23</v>
      </c>
      <c r="L93" s="89" t="str">
        <f>L7</f>
        <v>1Q24</v>
      </c>
      <c r="M93" s="89" t="str">
        <f>M7</f>
        <v>2Q24</v>
      </c>
      <c r="N93" s="89" t="str">
        <f>N7</f>
        <v>3Q24</v>
      </c>
      <c r="O93" s="89" t="str">
        <f>O7</f>
        <v>4Q24</v>
      </c>
      <c r="P93" s="89" t="str">
        <f>P7</f>
        <v>1Q25</v>
      </c>
      <c r="Q93" s="89" t="str">
        <f>Q7</f>
        <v>2Q25</v>
      </c>
      <c r="R93" s="89" t="str">
        <f>R7</f>
        <v>3Q25</v>
      </c>
      <c r="S93" s="89" t="str">
        <f>S7</f>
        <v>4Q25</v>
      </c>
      <c r="T93" s="89" t="str">
        <f>T7</f>
        <v>1Q26</v>
      </c>
      <c r="U93" s="89"/>
      <c r="V93" s="89" t="str">
        <f>V7</f>
        <v>4Q23</v>
      </c>
      <c r="W93" s="89" t="str">
        <f>W7</f>
        <v>1Q24</v>
      </c>
      <c r="X93" s="89" t="str">
        <f>X7</f>
        <v>2Q24</v>
      </c>
      <c r="Y93" s="89" t="str">
        <f>Y7</f>
        <v>3Q24</v>
      </c>
      <c r="Z93" s="89" t="str">
        <f>Z7</f>
        <v>4Q24</v>
      </c>
      <c r="AA93" s="89" t="str">
        <f>AA7</f>
        <v>1Q25</v>
      </c>
      <c r="AB93" s="89" t="str">
        <f>AB7</f>
        <v>2Q25</v>
      </c>
      <c r="AC93" s="89" t="str">
        <f>AC7</f>
        <v>3Q25</v>
      </c>
      <c r="AD93" s="89" t="str">
        <f>AD7</f>
        <v>4Q25</v>
      </c>
      <c r="AE93" s="89" t="str">
        <f>AE7</f>
        <v>1Q26</v>
      </c>
      <c r="AF93" s="88"/>
      <c r="AG93" s="139"/>
    </row>
    <row r="94" spans="1:33" ht="12.75" customHeight="1">
      <c r="B94" s="84" t="str">
        <f>B8</f>
        <v>Fiscal Period End Date</v>
      </c>
      <c r="C94" s="90" t="str">
        <f>C8</f>
        <v>XXX</v>
      </c>
      <c r="D94" s="90" t="str">
        <f>D8</f>
        <v>XXX</v>
      </c>
      <c r="E94" s="90" t="str">
        <f>E8</f>
        <v>XXX</v>
      </c>
      <c r="F94" s="90" t="str">
        <f>F8</f>
        <v>XXX</v>
      </c>
      <c r="G94" s="88"/>
      <c r="H94" s="90" t="str">
        <f>H8</f>
        <v>XXX</v>
      </c>
      <c r="I94" s="90" t="str">
        <f>I8</f>
        <v>XXX</v>
      </c>
      <c r="J94" s="90" t="str">
        <f>J8</f>
        <v>XXX</v>
      </c>
      <c r="K94" s="90" t="str">
        <f>K8</f>
        <v>XXX</v>
      </c>
      <c r="L94" s="90" t="str">
        <f>L8</f>
        <v>XXX</v>
      </c>
      <c r="M94" s="90" t="str">
        <f>M8</f>
        <v>XXX</v>
      </c>
      <c r="N94" s="90" t="str">
        <f>N8</f>
        <v>XXX</v>
      </c>
      <c r="O94" s="90" t="str">
        <f>O8</f>
        <v>XXX</v>
      </c>
      <c r="P94" s="90" t="str">
        <f>P8</f>
        <v>XXX</v>
      </c>
      <c r="Q94" s="90" t="str">
        <f>Q8</f>
        <v>XXX</v>
      </c>
      <c r="R94" s="90" t="str">
        <f>R8</f>
        <v>XXX</v>
      </c>
      <c r="S94" s="90" t="str">
        <f>S8</f>
        <v>XXX</v>
      </c>
      <c r="T94" s="90" t="str">
        <f>T8</f>
        <v>XXX</v>
      </c>
      <c r="U94" s="90"/>
      <c r="V94" s="90" t="str">
        <f>V8</f>
        <v>XXX</v>
      </c>
      <c r="W94" s="90" t="str">
        <f>W8</f>
        <v>XXX</v>
      </c>
      <c r="X94" s="90" t="str">
        <f>X8</f>
        <v>XXX</v>
      </c>
      <c r="Y94" s="90" t="str">
        <f>Y8</f>
        <v>XXX</v>
      </c>
      <c r="Z94" s="90" t="str">
        <f>Z8</f>
        <v>XXX</v>
      </c>
      <c r="AA94" s="90" t="str">
        <f>AA8</f>
        <v>XXX</v>
      </c>
      <c r="AB94" s="90" t="str">
        <f>AB8</f>
        <v>XXX</v>
      </c>
      <c r="AC94" s="90" t="str">
        <f>AC8</f>
        <v>XXX</v>
      </c>
      <c r="AD94" s="90" t="str">
        <f>AD8</f>
        <v>XXX</v>
      </c>
      <c r="AE94" s="90" t="str">
        <f>AE8</f>
        <v>XXX</v>
      </c>
      <c r="AF94" s="88"/>
      <c r="AG94" s="139"/>
    </row>
    <row r="95" spans="1:33" ht="5.0999999999999996" customHeight="1">
      <c r="B95" s="50"/>
      <c r="C95" s="44"/>
      <c r="D95" s="44"/>
      <c r="E95" s="44"/>
      <c r="F95" s="44"/>
    </row>
    <row r="96" spans="1:33" ht="12.75" customHeight="1">
      <c r="B96" s="51" t="s">
        <v>53</v>
      </c>
      <c r="C96" s="52"/>
      <c r="D96" s="52"/>
      <c r="E96" s="52"/>
      <c r="F96" s="52"/>
    </row>
    <row r="97" spans="2:33" ht="12.75" customHeight="1">
      <c r="B97" s="53" t="s">
        <v>54</v>
      </c>
      <c r="C97" s="30">
        <f>C32</f>
        <v>0</v>
      </c>
      <c r="D97" s="30">
        <f>D32</f>
        <v>0</v>
      </c>
      <c r="E97" s="30">
        <f>E32</f>
        <v>0</v>
      </c>
      <c r="F97" s="30">
        <f>F32</f>
        <v>0</v>
      </c>
      <c r="G97" s="30"/>
      <c r="H97" s="30">
        <f>H32</f>
        <v>0</v>
      </c>
      <c r="I97" s="30">
        <f>I32</f>
        <v>0</v>
      </c>
      <c r="J97" s="30">
        <f>J32</f>
        <v>0</v>
      </c>
      <c r="K97" s="30">
        <f>K32</f>
        <v>0</v>
      </c>
      <c r="L97" s="30">
        <f>L32</f>
        <v>0</v>
      </c>
      <c r="M97" s="30">
        <f>M32</f>
        <v>0</v>
      </c>
      <c r="N97" s="30">
        <f>N32</f>
        <v>0</v>
      </c>
      <c r="O97" s="30">
        <f>O32</f>
        <v>0</v>
      </c>
      <c r="P97" s="30">
        <f>P32</f>
        <v>0</v>
      </c>
      <c r="Q97" s="30">
        <f>Q32</f>
        <v>0</v>
      </c>
      <c r="R97" s="30">
        <f>R32</f>
        <v>0</v>
      </c>
      <c r="S97" s="30">
        <f>S32</f>
        <v>0</v>
      </c>
      <c r="T97" s="30">
        <f>T32</f>
        <v>0</v>
      </c>
      <c r="V97" s="30">
        <f>V32</f>
        <v>0</v>
      </c>
      <c r="W97" s="30">
        <f>W32</f>
        <v>0</v>
      </c>
      <c r="X97" s="30">
        <f>X32</f>
        <v>0</v>
      </c>
      <c r="Y97" s="30">
        <f>Y32</f>
        <v>0</v>
      </c>
      <c r="Z97" s="30">
        <f>Z32</f>
        <v>0</v>
      </c>
      <c r="AA97" s="30">
        <f>AA32</f>
        <v>0</v>
      </c>
      <c r="AB97" s="30">
        <f>AB32</f>
        <v>0</v>
      </c>
      <c r="AC97" s="30">
        <f>AC32</f>
        <v>0</v>
      </c>
      <c r="AD97" s="30">
        <f>AD32</f>
        <v>0</v>
      </c>
      <c r="AE97" s="30">
        <f>AE32</f>
        <v>0</v>
      </c>
      <c r="AF97" s="11"/>
      <c r="AG97" s="68" t="e">
        <f>SUM(AE97/AA97)-1</f>
        <v>#DIV/0!</v>
      </c>
    </row>
    <row r="98" spans="2:33" ht="5.0999999999999996" customHeight="1"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11"/>
      <c r="AG98" s="68"/>
    </row>
    <row r="99" spans="2:33" ht="12.75" customHeight="1">
      <c r="B99" s="33" t="s">
        <v>62</v>
      </c>
      <c r="C99" s="30"/>
      <c r="D99" s="30"/>
      <c r="E99" s="30"/>
      <c r="F99" s="30"/>
      <c r="G99" s="30"/>
      <c r="H99" s="76"/>
      <c r="I99" s="76"/>
      <c r="J99" s="76"/>
      <c r="K99" s="30"/>
      <c r="L99" s="76"/>
      <c r="M99" s="76"/>
      <c r="N99" s="76"/>
      <c r="O99" s="30"/>
      <c r="P99" s="76"/>
      <c r="Q99" s="76"/>
      <c r="R99" s="76"/>
      <c r="S99" s="76"/>
      <c r="T99" s="76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55"/>
      <c r="AG99" s="68"/>
    </row>
    <row r="100" spans="2:33" ht="12.75" customHeight="1">
      <c r="B100" s="56" t="s">
        <v>55</v>
      </c>
      <c r="C100" s="76"/>
      <c r="D100" s="76"/>
      <c r="E100" s="76"/>
      <c r="F100" s="76"/>
      <c r="G100" s="30"/>
      <c r="H100" s="76"/>
      <c r="I100" s="76"/>
      <c r="J100" s="76"/>
      <c r="K100" s="30">
        <f>SUM(D100-SUM(H100:J100))</f>
        <v>0</v>
      </c>
      <c r="L100" s="76"/>
      <c r="M100" s="76"/>
      <c r="N100" s="76"/>
      <c r="O100" s="30">
        <f>SUM(E100-SUM(L100:N100))</f>
        <v>0</v>
      </c>
      <c r="P100" s="76"/>
      <c r="Q100" s="76"/>
      <c r="R100" s="76"/>
      <c r="S100" s="30">
        <f t="shared" ref="S100" si="243">SUM(F100-SUM(P100:R100))</f>
        <v>0</v>
      </c>
      <c r="T100" s="76"/>
      <c r="V100" s="30">
        <f t="shared" ref="V100:V108" si="244">SUM(H100:K100)</f>
        <v>0</v>
      </c>
      <c r="W100" s="30">
        <f t="shared" ref="W100:W108" si="245">SUM(I100:L100)</f>
        <v>0</v>
      </c>
      <c r="X100" s="30">
        <f t="shared" ref="X100:X108" si="246">SUM(J100:M100)</f>
        <v>0</v>
      </c>
      <c r="Y100" s="30">
        <f t="shared" ref="Y100:Y108" si="247">SUM(K100:N100)</f>
        <v>0</v>
      </c>
      <c r="Z100" s="30">
        <f t="shared" ref="Z100:Z108" si="248">SUM(L100:O100)</f>
        <v>0</v>
      </c>
      <c r="AA100" s="30">
        <f t="shared" ref="AA100:AA108" si="249">SUM(M100:P100)</f>
        <v>0</v>
      </c>
      <c r="AB100" s="30">
        <f t="shared" ref="AB100:AB108" si="250">SUM(N100:Q100)</f>
        <v>0</v>
      </c>
      <c r="AC100" s="30">
        <f t="shared" ref="AC100:AC108" si="251">SUM(O100:R100)</f>
        <v>0</v>
      </c>
      <c r="AD100" s="30">
        <f t="shared" ref="AD100:AD108" si="252">SUM(P100:S100)</f>
        <v>0</v>
      </c>
      <c r="AE100" s="30">
        <f t="shared" ref="AE100:AE108" si="253">SUM(Q100:T100)</f>
        <v>0</v>
      </c>
      <c r="AF100" s="11"/>
      <c r="AG100" s="68" t="e">
        <f t="shared" ref="AG100:AG111" si="254">SUM(AE100/AA100)-1</f>
        <v>#DIV/0!</v>
      </c>
    </row>
    <row r="101" spans="2:33" ht="12.75" customHeight="1">
      <c r="B101" s="56" t="s">
        <v>116</v>
      </c>
      <c r="C101" s="76"/>
      <c r="D101" s="76"/>
      <c r="E101" s="76"/>
      <c r="F101" s="76"/>
      <c r="G101" s="30"/>
      <c r="H101" s="76"/>
      <c r="I101" s="76"/>
      <c r="J101" s="76"/>
      <c r="K101" s="30">
        <f>SUM(D101-SUM(H101:J101))</f>
        <v>0</v>
      </c>
      <c r="L101" s="76"/>
      <c r="M101" s="76"/>
      <c r="N101" s="76"/>
      <c r="O101" s="30">
        <f>SUM(E101-SUM(L101:N101))</f>
        <v>0</v>
      </c>
      <c r="P101" s="76"/>
      <c r="Q101" s="76"/>
      <c r="R101" s="76"/>
      <c r="S101" s="30">
        <f t="shared" ref="S101" si="255">SUM(F101-SUM(P101:R101))</f>
        <v>0</v>
      </c>
      <c r="T101" s="76"/>
      <c r="V101" s="30">
        <f t="shared" si="244"/>
        <v>0</v>
      </c>
      <c r="W101" s="30">
        <f t="shared" si="245"/>
        <v>0</v>
      </c>
      <c r="X101" s="30">
        <f t="shared" si="246"/>
        <v>0</v>
      </c>
      <c r="Y101" s="30">
        <f t="shared" si="247"/>
        <v>0</v>
      </c>
      <c r="Z101" s="30">
        <f t="shared" si="248"/>
        <v>0</v>
      </c>
      <c r="AA101" s="30">
        <f t="shared" si="249"/>
        <v>0</v>
      </c>
      <c r="AB101" s="30">
        <f t="shared" si="250"/>
        <v>0</v>
      </c>
      <c r="AC101" s="30">
        <f t="shared" si="251"/>
        <v>0</v>
      </c>
      <c r="AD101" s="30">
        <f t="shared" si="252"/>
        <v>0</v>
      </c>
      <c r="AE101" s="30">
        <f t="shared" si="253"/>
        <v>0</v>
      </c>
      <c r="AF101" s="11"/>
      <c r="AG101" s="68" t="e">
        <f t="shared" ref="AG101" si="256">SUM(AE101/AA101)-1</f>
        <v>#DIV/0!</v>
      </c>
    </row>
    <row r="102" spans="2:33" ht="12.75" customHeight="1">
      <c r="B102" s="56" t="s">
        <v>116</v>
      </c>
      <c r="C102" s="76"/>
      <c r="D102" s="76"/>
      <c r="E102" s="76"/>
      <c r="F102" s="76"/>
      <c r="G102" s="30"/>
      <c r="H102" s="76"/>
      <c r="I102" s="76"/>
      <c r="J102" s="76"/>
      <c r="K102" s="30">
        <f t="shared" ref="K102:K108" si="257">SUM(D102-SUM(H102:J102))</f>
        <v>0</v>
      </c>
      <c r="L102" s="76"/>
      <c r="M102" s="76"/>
      <c r="N102" s="76"/>
      <c r="O102" s="30">
        <f t="shared" ref="O102:O108" si="258">SUM(E102-SUM(L102:N102))</f>
        <v>0</v>
      </c>
      <c r="P102" s="76"/>
      <c r="Q102" s="76"/>
      <c r="R102" s="76"/>
      <c r="S102" s="30">
        <f t="shared" ref="S102:S108" si="259">SUM(F102-SUM(P102:R102))</f>
        <v>0</v>
      </c>
      <c r="T102" s="76"/>
      <c r="V102" s="30">
        <f t="shared" si="244"/>
        <v>0</v>
      </c>
      <c r="W102" s="30">
        <f t="shared" si="245"/>
        <v>0</v>
      </c>
      <c r="X102" s="30">
        <f t="shared" si="246"/>
        <v>0</v>
      </c>
      <c r="Y102" s="30">
        <f t="shared" si="247"/>
        <v>0</v>
      </c>
      <c r="Z102" s="30">
        <f t="shared" si="248"/>
        <v>0</v>
      </c>
      <c r="AA102" s="30">
        <f t="shared" si="249"/>
        <v>0</v>
      </c>
      <c r="AB102" s="30">
        <f t="shared" si="250"/>
        <v>0</v>
      </c>
      <c r="AC102" s="30">
        <f t="shared" si="251"/>
        <v>0</v>
      </c>
      <c r="AD102" s="30">
        <f t="shared" si="252"/>
        <v>0</v>
      </c>
      <c r="AE102" s="30">
        <f t="shared" si="253"/>
        <v>0</v>
      </c>
      <c r="AF102" s="11"/>
      <c r="AG102" s="68" t="e">
        <f t="shared" ref="AG102:AG108" si="260">SUM(AE102/AA102)-1</f>
        <v>#DIV/0!</v>
      </c>
    </row>
    <row r="103" spans="2:33" ht="12.75" customHeight="1">
      <c r="B103" s="56" t="s">
        <v>116</v>
      </c>
      <c r="C103" s="76"/>
      <c r="D103" s="76"/>
      <c r="E103" s="76"/>
      <c r="F103" s="76"/>
      <c r="G103" s="30"/>
      <c r="H103" s="76"/>
      <c r="I103" s="76"/>
      <c r="J103" s="76"/>
      <c r="K103" s="30">
        <f t="shared" si="257"/>
        <v>0</v>
      </c>
      <c r="L103" s="76"/>
      <c r="M103" s="76"/>
      <c r="N103" s="76"/>
      <c r="O103" s="30">
        <f t="shared" si="258"/>
        <v>0</v>
      </c>
      <c r="P103" s="76"/>
      <c r="Q103" s="76"/>
      <c r="R103" s="76"/>
      <c r="S103" s="30">
        <f t="shared" si="259"/>
        <v>0</v>
      </c>
      <c r="T103" s="76"/>
      <c r="V103" s="30">
        <f t="shared" si="244"/>
        <v>0</v>
      </c>
      <c r="W103" s="30">
        <f t="shared" si="245"/>
        <v>0</v>
      </c>
      <c r="X103" s="30">
        <f t="shared" si="246"/>
        <v>0</v>
      </c>
      <c r="Y103" s="30">
        <f t="shared" si="247"/>
        <v>0</v>
      </c>
      <c r="Z103" s="30">
        <f t="shared" si="248"/>
        <v>0</v>
      </c>
      <c r="AA103" s="30">
        <f t="shared" si="249"/>
        <v>0</v>
      </c>
      <c r="AB103" s="30">
        <f t="shared" si="250"/>
        <v>0</v>
      </c>
      <c r="AC103" s="30">
        <f t="shared" si="251"/>
        <v>0</v>
      </c>
      <c r="AD103" s="30">
        <f t="shared" si="252"/>
        <v>0</v>
      </c>
      <c r="AE103" s="30">
        <f t="shared" si="253"/>
        <v>0</v>
      </c>
      <c r="AF103" s="11"/>
      <c r="AG103" s="68" t="e">
        <f t="shared" si="260"/>
        <v>#DIV/0!</v>
      </c>
    </row>
    <row r="104" spans="2:33" ht="12.75" customHeight="1">
      <c r="B104" s="56" t="s">
        <v>116</v>
      </c>
      <c r="C104" s="76"/>
      <c r="D104" s="76"/>
      <c r="E104" s="76"/>
      <c r="F104" s="76"/>
      <c r="G104" s="30"/>
      <c r="H104" s="76"/>
      <c r="I104" s="76"/>
      <c r="J104" s="76"/>
      <c r="K104" s="30">
        <f t="shared" si="257"/>
        <v>0</v>
      </c>
      <c r="L104" s="76"/>
      <c r="M104" s="76"/>
      <c r="N104" s="76"/>
      <c r="O104" s="30">
        <f t="shared" si="258"/>
        <v>0</v>
      </c>
      <c r="P104" s="76"/>
      <c r="Q104" s="76"/>
      <c r="R104" s="76"/>
      <c r="S104" s="30">
        <f t="shared" si="259"/>
        <v>0</v>
      </c>
      <c r="T104" s="76"/>
      <c r="V104" s="30">
        <f t="shared" si="244"/>
        <v>0</v>
      </c>
      <c r="W104" s="30">
        <f t="shared" si="245"/>
        <v>0</v>
      </c>
      <c r="X104" s="30">
        <f t="shared" si="246"/>
        <v>0</v>
      </c>
      <c r="Y104" s="30">
        <f t="shared" si="247"/>
        <v>0</v>
      </c>
      <c r="Z104" s="30">
        <f t="shared" si="248"/>
        <v>0</v>
      </c>
      <c r="AA104" s="30">
        <f t="shared" si="249"/>
        <v>0</v>
      </c>
      <c r="AB104" s="30">
        <f t="shared" si="250"/>
        <v>0</v>
      </c>
      <c r="AC104" s="30">
        <f t="shared" si="251"/>
        <v>0</v>
      </c>
      <c r="AD104" s="30">
        <f t="shared" si="252"/>
        <v>0</v>
      </c>
      <c r="AE104" s="30">
        <f t="shared" si="253"/>
        <v>0</v>
      </c>
      <c r="AF104" s="11"/>
      <c r="AG104" s="68" t="e">
        <f t="shared" si="260"/>
        <v>#DIV/0!</v>
      </c>
    </row>
    <row r="105" spans="2:33" ht="12.75" customHeight="1">
      <c r="B105" s="56" t="s">
        <v>116</v>
      </c>
      <c r="C105" s="76"/>
      <c r="D105" s="76"/>
      <c r="E105" s="76"/>
      <c r="F105" s="76"/>
      <c r="G105" s="30"/>
      <c r="H105" s="76"/>
      <c r="I105" s="76"/>
      <c r="J105" s="76"/>
      <c r="K105" s="30">
        <f t="shared" si="257"/>
        <v>0</v>
      </c>
      <c r="L105" s="76"/>
      <c r="M105" s="76"/>
      <c r="N105" s="76"/>
      <c r="O105" s="30">
        <f t="shared" si="258"/>
        <v>0</v>
      </c>
      <c r="P105" s="76"/>
      <c r="Q105" s="76"/>
      <c r="R105" s="76"/>
      <c r="S105" s="30">
        <f t="shared" si="259"/>
        <v>0</v>
      </c>
      <c r="T105" s="76"/>
      <c r="V105" s="30">
        <f t="shared" si="244"/>
        <v>0</v>
      </c>
      <c r="W105" s="30">
        <f t="shared" si="245"/>
        <v>0</v>
      </c>
      <c r="X105" s="30">
        <f t="shared" si="246"/>
        <v>0</v>
      </c>
      <c r="Y105" s="30">
        <f t="shared" si="247"/>
        <v>0</v>
      </c>
      <c r="Z105" s="30">
        <f t="shared" si="248"/>
        <v>0</v>
      </c>
      <c r="AA105" s="30">
        <f t="shared" si="249"/>
        <v>0</v>
      </c>
      <c r="AB105" s="30">
        <f t="shared" si="250"/>
        <v>0</v>
      </c>
      <c r="AC105" s="30">
        <f t="shared" si="251"/>
        <v>0</v>
      </c>
      <c r="AD105" s="30">
        <f t="shared" si="252"/>
        <v>0</v>
      </c>
      <c r="AE105" s="30">
        <f t="shared" si="253"/>
        <v>0</v>
      </c>
      <c r="AF105" s="11"/>
      <c r="AG105" s="68" t="e">
        <f t="shared" si="260"/>
        <v>#DIV/0!</v>
      </c>
    </row>
    <row r="106" spans="2:33" ht="12.75" customHeight="1">
      <c r="B106" s="56" t="s">
        <v>116</v>
      </c>
      <c r="C106" s="76"/>
      <c r="D106" s="76"/>
      <c r="E106" s="76"/>
      <c r="F106" s="76"/>
      <c r="G106" s="30"/>
      <c r="H106" s="76"/>
      <c r="I106" s="76"/>
      <c r="J106" s="76"/>
      <c r="K106" s="30">
        <f t="shared" si="257"/>
        <v>0</v>
      </c>
      <c r="L106" s="76"/>
      <c r="M106" s="76"/>
      <c r="N106" s="76"/>
      <c r="O106" s="30">
        <f t="shared" si="258"/>
        <v>0</v>
      </c>
      <c r="P106" s="76"/>
      <c r="Q106" s="76"/>
      <c r="R106" s="76"/>
      <c r="S106" s="30">
        <f t="shared" si="259"/>
        <v>0</v>
      </c>
      <c r="T106" s="76"/>
      <c r="V106" s="30">
        <f t="shared" si="244"/>
        <v>0</v>
      </c>
      <c r="W106" s="30">
        <f t="shared" si="245"/>
        <v>0</v>
      </c>
      <c r="X106" s="30">
        <f t="shared" si="246"/>
        <v>0</v>
      </c>
      <c r="Y106" s="30">
        <f t="shared" si="247"/>
        <v>0</v>
      </c>
      <c r="Z106" s="30">
        <f t="shared" si="248"/>
        <v>0</v>
      </c>
      <c r="AA106" s="30">
        <f t="shared" si="249"/>
        <v>0</v>
      </c>
      <c r="AB106" s="30">
        <f t="shared" si="250"/>
        <v>0</v>
      </c>
      <c r="AC106" s="30">
        <f t="shared" si="251"/>
        <v>0</v>
      </c>
      <c r="AD106" s="30">
        <f t="shared" si="252"/>
        <v>0</v>
      </c>
      <c r="AE106" s="30">
        <f t="shared" si="253"/>
        <v>0</v>
      </c>
      <c r="AF106" s="11"/>
      <c r="AG106" s="68" t="e">
        <f t="shared" si="260"/>
        <v>#DIV/0!</v>
      </c>
    </row>
    <row r="107" spans="2:33" ht="12.75" customHeight="1">
      <c r="B107" s="56" t="s">
        <v>116</v>
      </c>
      <c r="C107" s="76"/>
      <c r="D107" s="76"/>
      <c r="E107" s="76"/>
      <c r="F107" s="76"/>
      <c r="G107" s="30"/>
      <c r="H107" s="76"/>
      <c r="I107" s="76"/>
      <c r="J107" s="76"/>
      <c r="K107" s="30">
        <f t="shared" si="257"/>
        <v>0</v>
      </c>
      <c r="L107" s="76"/>
      <c r="M107" s="76"/>
      <c r="N107" s="76"/>
      <c r="O107" s="30">
        <f t="shared" si="258"/>
        <v>0</v>
      </c>
      <c r="P107" s="76"/>
      <c r="Q107" s="76"/>
      <c r="R107" s="76"/>
      <c r="S107" s="30">
        <f t="shared" si="259"/>
        <v>0</v>
      </c>
      <c r="T107" s="76"/>
      <c r="V107" s="30">
        <f t="shared" si="244"/>
        <v>0</v>
      </c>
      <c r="W107" s="30">
        <f t="shared" si="245"/>
        <v>0</v>
      </c>
      <c r="X107" s="30">
        <f t="shared" si="246"/>
        <v>0</v>
      </c>
      <c r="Y107" s="30">
        <f t="shared" si="247"/>
        <v>0</v>
      </c>
      <c r="Z107" s="30">
        <f t="shared" si="248"/>
        <v>0</v>
      </c>
      <c r="AA107" s="30">
        <f t="shared" si="249"/>
        <v>0</v>
      </c>
      <c r="AB107" s="30">
        <f t="shared" si="250"/>
        <v>0</v>
      </c>
      <c r="AC107" s="30">
        <f t="shared" si="251"/>
        <v>0</v>
      </c>
      <c r="AD107" s="30">
        <f t="shared" si="252"/>
        <v>0</v>
      </c>
      <c r="AE107" s="30">
        <f t="shared" si="253"/>
        <v>0</v>
      </c>
      <c r="AF107" s="11"/>
      <c r="AG107" s="68" t="e">
        <f t="shared" si="260"/>
        <v>#DIV/0!</v>
      </c>
    </row>
    <row r="108" spans="2:33" ht="12.75" customHeight="1">
      <c r="B108" s="56" t="s">
        <v>116</v>
      </c>
      <c r="C108" s="76"/>
      <c r="D108" s="76"/>
      <c r="E108" s="76"/>
      <c r="F108" s="76"/>
      <c r="G108" s="30"/>
      <c r="H108" s="76"/>
      <c r="I108" s="76"/>
      <c r="J108" s="76"/>
      <c r="K108" s="30">
        <f t="shared" si="257"/>
        <v>0</v>
      </c>
      <c r="L108" s="76"/>
      <c r="M108" s="76"/>
      <c r="N108" s="76"/>
      <c r="O108" s="30">
        <f t="shared" si="258"/>
        <v>0</v>
      </c>
      <c r="P108" s="76"/>
      <c r="Q108" s="76"/>
      <c r="R108" s="76"/>
      <c r="S108" s="30">
        <f t="shared" si="259"/>
        <v>0</v>
      </c>
      <c r="T108" s="76"/>
      <c r="V108" s="30">
        <f t="shared" si="244"/>
        <v>0</v>
      </c>
      <c r="W108" s="30">
        <f t="shared" si="245"/>
        <v>0</v>
      </c>
      <c r="X108" s="30">
        <f t="shared" si="246"/>
        <v>0</v>
      </c>
      <c r="Y108" s="30">
        <f t="shared" si="247"/>
        <v>0</v>
      </c>
      <c r="Z108" s="30">
        <f t="shared" si="248"/>
        <v>0</v>
      </c>
      <c r="AA108" s="30">
        <f t="shared" si="249"/>
        <v>0</v>
      </c>
      <c r="AB108" s="30">
        <f t="shared" si="250"/>
        <v>0</v>
      </c>
      <c r="AC108" s="30">
        <f t="shared" si="251"/>
        <v>0</v>
      </c>
      <c r="AD108" s="30">
        <f t="shared" si="252"/>
        <v>0</v>
      </c>
      <c r="AE108" s="30">
        <f t="shared" si="253"/>
        <v>0</v>
      </c>
      <c r="AF108" s="11"/>
      <c r="AG108" s="68" t="e">
        <f t="shared" si="260"/>
        <v>#DIV/0!</v>
      </c>
    </row>
    <row r="109" spans="2:33" ht="5.0999999999999996" customHeight="1">
      <c r="B109" s="8"/>
      <c r="C109" s="76"/>
      <c r="D109" s="76"/>
      <c r="E109" s="76"/>
      <c r="F109" s="76"/>
      <c r="G109" s="30"/>
      <c r="H109" s="76"/>
      <c r="I109" s="76"/>
      <c r="J109" s="76"/>
      <c r="K109" s="30"/>
      <c r="L109" s="76"/>
      <c r="M109" s="76"/>
      <c r="N109" s="76"/>
      <c r="O109" s="30"/>
      <c r="P109" s="76"/>
      <c r="Q109" s="76"/>
      <c r="R109" s="76"/>
      <c r="S109" s="76"/>
      <c r="T109" s="76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11"/>
      <c r="AG109" s="68"/>
    </row>
    <row r="110" spans="2:33" ht="12.75" customHeight="1">
      <c r="B110" s="33" t="s">
        <v>14</v>
      </c>
      <c r="C110" s="76"/>
      <c r="D110" s="76"/>
      <c r="E110" s="76"/>
      <c r="F110" s="76"/>
      <c r="G110" s="30"/>
      <c r="H110" s="76"/>
      <c r="I110" s="76"/>
      <c r="J110" s="76"/>
      <c r="K110" s="30"/>
      <c r="L110" s="76"/>
      <c r="M110" s="76"/>
      <c r="N110" s="76"/>
      <c r="O110" s="30"/>
      <c r="P110" s="76"/>
      <c r="Q110" s="76"/>
      <c r="R110" s="76"/>
      <c r="S110" s="76"/>
      <c r="T110" s="76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55"/>
      <c r="AG110" s="68"/>
    </row>
    <row r="111" spans="2:33" ht="12.75" customHeight="1">
      <c r="B111" s="56" t="s">
        <v>89</v>
      </c>
      <c r="C111" s="76"/>
      <c r="D111" s="76"/>
      <c r="E111" s="76"/>
      <c r="F111" s="76"/>
      <c r="G111" s="30"/>
      <c r="H111" s="76"/>
      <c r="I111" s="76"/>
      <c r="J111" s="76"/>
      <c r="K111" s="30">
        <f>SUM(D111-SUM(H111:J111))</f>
        <v>0</v>
      </c>
      <c r="L111" s="76"/>
      <c r="M111" s="76"/>
      <c r="N111" s="76"/>
      <c r="O111" s="30">
        <f>SUM(E111-SUM(L111:N111))</f>
        <v>0</v>
      </c>
      <c r="P111" s="76"/>
      <c r="Q111" s="76"/>
      <c r="R111" s="76"/>
      <c r="S111" s="30">
        <f t="shared" ref="S111" si="261">SUM(F111-SUM(P111:R111))</f>
        <v>0</v>
      </c>
      <c r="T111" s="76"/>
      <c r="V111" s="30">
        <f t="shared" ref="V111:V116" si="262">SUM(H111:K111)</f>
        <v>0</v>
      </c>
      <c r="W111" s="30">
        <f t="shared" ref="W111:W116" si="263">SUM(I111:L111)</f>
        <v>0</v>
      </c>
      <c r="X111" s="30">
        <f t="shared" ref="X111:X116" si="264">SUM(J111:M111)</f>
        <v>0</v>
      </c>
      <c r="Y111" s="30">
        <f t="shared" ref="Y111:Y116" si="265">SUM(K111:N111)</f>
        <v>0</v>
      </c>
      <c r="Z111" s="30">
        <f t="shared" ref="Z111:Z116" si="266">SUM(L111:O111)</f>
        <v>0</v>
      </c>
      <c r="AA111" s="30">
        <f t="shared" ref="AA111:AA116" si="267">SUM(M111:P111)</f>
        <v>0</v>
      </c>
      <c r="AB111" s="30">
        <f t="shared" ref="AB111:AB116" si="268">SUM(N111:Q111)</f>
        <v>0</v>
      </c>
      <c r="AC111" s="30">
        <f t="shared" ref="AC111:AC116" si="269">SUM(O111:R111)</f>
        <v>0</v>
      </c>
      <c r="AD111" s="30">
        <f t="shared" ref="AD111:AD116" si="270">SUM(P111:S111)</f>
        <v>0</v>
      </c>
      <c r="AE111" s="30">
        <f t="shared" ref="AE111:AE116" si="271">SUM(Q111:T111)</f>
        <v>0</v>
      </c>
      <c r="AF111" s="55"/>
      <c r="AG111" s="68" t="e">
        <f t="shared" si="254"/>
        <v>#DIV/0!</v>
      </c>
    </row>
    <row r="112" spans="2:33" ht="12.75" customHeight="1">
      <c r="B112" s="56" t="s">
        <v>116</v>
      </c>
      <c r="C112" s="76"/>
      <c r="D112" s="76"/>
      <c r="E112" s="76"/>
      <c r="F112" s="76"/>
      <c r="G112" s="30"/>
      <c r="H112" s="76"/>
      <c r="I112" s="76"/>
      <c r="J112" s="76"/>
      <c r="K112" s="30">
        <f>SUM(D112-SUM(H112:J112))</f>
        <v>0</v>
      </c>
      <c r="L112" s="76"/>
      <c r="M112" s="76"/>
      <c r="N112" s="76"/>
      <c r="O112" s="30">
        <f>SUM(E112-SUM(L112:N112))</f>
        <v>0</v>
      </c>
      <c r="P112" s="76"/>
      <c r="Q112" s="76"/>
      <c r="R112" s="76"/>
      <c r="S112" s="30">
        <f t="shared" ref="S112" si="272">SUM(F112-SUM(P112:R112))</f>
        <v>0</v>
      </c>
      <c r="T112" s="76"/>
      <c r="V112" s="30">
        <f t="shared" si="262"/>
        <v>0</v>
      </c>
      <c r="W112" s="30">
        <f t="shared" si="263"/>
        <v>0</v>
      </c>
      <c r="X112" s="30">
        <f t="shared" si="264"/>
        <v>0</v>
      </c>
      <c r="Y112" s="30">
        <f t="shared" si="265"/>
        <v>0</v>
      </c>
      <c r="Z112" s="30">
        <f t="shared" si="266"/>
        <v>0</v>
      </c>
      <c r="AA112" s="30">
        <f t="shared" si="267"/>
        <v>0</v>
      </c>
      <c r="AB112" s="30">
        <f t="shared" si="268"/>
        <v>0</v>
      </c>
      <c r="AC112" s="30">
        <f t="shared" si="269"/>
        <v>0</v>
      </c>
      <c r="AD112" s="30">
        <f t="shared" si="270"/>
        <v>0</v>
      </c>
      <c r="AE112" s="30">
        <f t="shared" si="271"/>
        <v>0</v>
      </c>
      <c r="AF112" s="55"/>
      <c r="AG112" s="68" t="e">
        <f t="shared" ref="AG112" si="273">SUM(AE112/AA112)-1</f>
        <v>#DIV/0!</v>
      </c>
    </row>
    <row r="113" spans="2:33" ht="12.75" customHeight="1">
      <c r="B113" s="56" t="s">
        <v>116</v>
      </c>
      <c r="C113" s="76"/>
      <c r="D113" s="76"/>
      <c r="E113" s="76"/>
      <c r="F113" s="76"/>
      <c r="G113" s="30"/>
      <c r="H113" s="76"/>
      <c r="I113" s="76"/>
      <c r="J113" s="76"/>
      <c r="K113" s="30">
        <f t="shared" ref="K113:K116" si="274">SUM(D113-SUM(H113:J113))</f>
        <v>0</v>
      </c>
      <c r="L113" s="76"/>
      <c r="M113" s="76"/>
      <c r="N113" s="76"/>
      <c r="O113" s="30">
        <f t="shared" ref="O113:O116" si="275">SUM(E113-SUM(L113:N113))</f>
        <v>0</v>
      </c>
      <c r="P113" s="76"/>
      <c r="Q113" s="76"/>
      <c r="R113" s="76"/>
      <c r="S113" s="30">
        <f t="shared" ref="S113:S116" si="276">SUM(F113-SUM(P113:R113))</f>
        <v>0</v>
      </c>
      <c r="T113" s="76"/>
      <c r="V113" s="30">
        <f t="shared" si="262"/>
        <v>0</v>
      </c>
      <c r="W113" s="30">
        <f t="shared" si="263"/>
        <v>0</v>
      </c>
      <c r="X113" s="30">
        <f t="shared" si="264"/>
        <v>0</v>
      </c>
      <c r="Y113" s="30">
        <f t="shared" si="265"/>
        <v>0</v>
      </c>
      <c r="Z113" s="30">
        <f t="shared" si="266"/>
        <v>0</v>
      </c>
      <c r="AA113" s="30">
        <f t="shared" si="267"/>
        <v>0</v>
      </c>
      <c r="AB113" s="30">
        <f t="shared" si="268"/>
        <v>0</v>
      </c>
      <c r="AC113" s="30">
        <f t="shared" si="269"/>
        <v>0</v>
      </c>
      <c r="AD113" s="30">
        <f t="shared" si="270"/>
        <v>0</v>
      </c>
      <c r="AE113" s="30">
        <f t="shared" si="271"/>
        <v>0</v>
      </c>
      <c r="AF113" s="55"/>
      <c r="AG113" s="68" t="e">
        <f t="shared" ref="AG113:AG116" si="277">SUM(AE113/AA113)-1</f>
        <v>#DIV/0!</v>
      </c>
    </row>
    <row r="114" spans="2:33" ht="12.75" customHeight="1">
      <c r="B114" s="56" t="s">
        <v>116</v>
      </c>
      <c r="C114" s="76"/>
      <c r="D114" s="76"/>
      <c r="E114" s="76"/>
      <c r="F114" s="76"/>
      <c r="G114" s="30"/>
      <c r="H114" s="76"/>
      <c r="I114" s="76"/>
      <c r="J114" s="76"/>
      <c r="K114" s="30">
        <f t="shared" si="274"/>
        <v>0</v>
      </c>
      <c r="L114" s="76"/>
      <c r="M114" s="76"/>
      <c r="N114" s="76"/>
      <c r="O114" s="30">
        <f t="shared" si="275"/>
        <v>0</v>
      </c>
      <c r="P114" s="76"/>
      <c r="Q114" s="76"/>
      <c r="R114" s="76"/>
      <c r="S114" s="30">
        <f t="shared" si="276"/>
        <v>0</v>
      </c>
      <c r="T114" s="76"/>
      <c r="V114" s="30">
        <f t="shared" si="262"/>
        <v>0</v>
      </c>
      <c r="W114" s="30">
        <f t="shared" si="263"/>
        <v>0</v>
      </c>
      <c r="X114" s="30">
        <f t="shared" si="264"/>
        <v>0</v>
      </c>
      <c r="Y114" s="30">
        <f t="shared" si="265"/>
        <v>0</v>
      </c>
      <c r="Z114" s="30">
        <f t="shared" si="266"/>
        <v>0</v>
      </c>
      <c r="AA114" s="30">
        <f t="shared" si="267"/>
        <v>0</v>
      </c>
      <c r="AB114" s="30">
        <f t="shared" si="268"/>
        <v>0</v>
      </c>
      <c r="AC114" s="30">
        <f t="shared" si="269"/>
        <v>0</v>
      </c>
      <c r="AD114" s="30">
        <f t="shared" si="270"/>
        <v>0</v>
      </c>
      <c r="AE114" s="30">
        <f t="shared" si="271"/>
        <v>0</v>
      </c>
      <c r="AF114" s="55"/>
      <c r="AG114" s="68" t="e">
        <f t="shared" si="277"/>
        <v>#DIV/0!</v>
      </c>
    </row>
    <row r="115" spans="2:33" ht="12.75" customHeight="1">
      <c r="B115" s="56" t="s">
        <v>116</v>
      </c>
      <c r="C115" s="76"/>
      <c r="D115" s="76"/>
      <c r="E115" s="76"/>
      <c r="F115" s="76"/>
      <c r="G115" s="30"/>
      <c r="H115" s="76"/>
      <c r="I115" s="76"/>
      <c r="J115" s="76"/>
      <c r="K115" s="30">
        <f t="shared" si="274"/>
        <v>0</v>
      </c>
      <c r="L115" s="76"/>
      <c r="M115" s="76"/>
      <c r="N115" s="76"/>
      <c r="O115" s="30">
        <f t="shared" si="275"/>
        <v>0</v>
      </c>
      <c r="P115" s="76"/>
      <c r="Q115" s="76"/>
      <c r="R115" s="76"/>
      <c r="S115" s="30">
        <f t="shared" si="276"/>
        <v>0</v>
      </c>
      <c r="T115" s="76"/>
      <c r="V115" s="30">
        <f t="shared" si="262"/>
        <v>0</v>
      </c>
      <c r="W115" s="30">
        <f t="shared" si="263"/>
        <v>0</v>
      </c>
      <c r="X115" s="30">
        <f t="shared" si="264"/>
        <v>0</v>
      </c>
      <c r="Y115" s="30">
        <f t="shared" si="265"/>
        <v>0</v>
      </c>
      <c r="Z115" s="30">
        <f t="shared" si="266"/>
        <v>0</v>
      </c>
      <c r="AA115" s="30">
        <f t="shared" si="267"/>
        <v>0</v>
      </c>
      <c r="AB115" s="30">
        <f t="shared" si="268"/>
        <v>0</v>
      </c>
      <c r="AC115" s="30">
        <f t="shared" si="269"/>
        <v>0</v>
      </c>
      <c r="AD115" s="30">
        <f t="shared" si="270"/>
        <v>0</v>
      </c>
      <c r="AE115" s="30">
        <f t="shared" si="271"/>
        <v>0</v>
      </c>
      <c r="AF115" s="55"/>
      <c r="AG115" s="68" t="e">
        <f t="shared" si="277"/>
        <v>#DIV/0!</v>
      </c>
    </row>
    <row r="116" spans="2:33" ht="12.75" customHeight="1">
      <c r="B116" s="56" t="s">
        <v>116</v>
      </c>
      <c r="C116" s="76"/>
      <c r="D116" s="76"/>
      <c r="E116" s="76"/>
      <c r="F116" s="76"/>
      <c r="G116" s="30"/>
      <c r="H116" s="76"/>
      <c r="I116" s="76"/>
      <c r="J116" s="76"/>
      <c r="K116" s="30">
        <f t="shared" si="274"/>
        <v>0</v>
      </c>
      <c r="L116" s="76"/>
      <c r="M116" s="76"/>
      <c r="N116" s="76"/>
      <c r="O116" s="30">
        <f t="shared" si="275"/>
        <v>0</v>
      </c>
      <c r="P116" s="76"/>
      <c r="Q116" s="76"/>
      <c r="R116" s="76"/>
      <c r="S116" s="30">
        <f t="shared" si="276"/>
        <v>0</v>
      </c>
      <c r="T116" s="76"/>
      <c r="V116" s="30">
        <f t="shared" si="262"/>
        <v>0</v>
      </c>
      <c r="W116" s="30">
        <f t="shared" si="263"/>
        <v>0</v>
      </c>
      <c r="X116" s="30">
        <f t="shared" si="264"/>
        <v>0</v>
      </c>
      <c r="Y116" s="30">
        <f t="shared" si="265"/>
        <v>0</v>
      </c>
      <c r="Z116" s="30">
        <f t="shared" si="266"/>
        <v>0</v>
      </c>
      <c r="AA116" s="30">
        <f t="shared" si="267"/>
        <v>0</v>
      </c>
      <c r="AB116" s="30">
        <f t="shared" si="268"/>
        <v>0</v>
      </c>
      <c r="AC116" s="30">
        <f t="shared" si="269"/>
        <v>0</v>
      </c>
      <c r="AD116" s="30">
        <f t="shared" si="270"/>
        <v>0</v>
      </c>
      <c r="AE116" s="30">
        <f t="shared" si="271"/>
        <v>0</v>
      </c>
      <c r="AF116" s="55"/>
      <c r="AG116" s="68" t="e">
        <f t="shared" si="277"/>
        <v>#DIV/0!</v>
      </c>
    </row>
    <row r="117" spans="2:33" ht="12.75" customHeight="1">
      <c r="B117" s="12" t="s">
        <v>56</v>
      </c>
      <c r="C117" s="13">
        <f>SUM(C97:C116)</f>
        <v>0</v>
      </c>
      <c r="D117" s="13">
        <f>SUM(D97:D116)</f>
        <v>0</v>
      </c>
      <c r="E117" s="13">
        <f>SUM(E97:E116)</f>
        <v>0</v>
      </c>
      <c r="F117" s="13">
        <f>SUM(F97:F116)</f>
        <v>0</v>
      </c>
      <c r="H117" s="13">
        <f>SUM(H97:H116)</f>
        <v>0</v>
      </c>
      <c r="I117" s="13">
        <f>SUM(I97:I116)</f>
        <v>0</v>
      </c>
      <c r="J117" s="13">
        <f>SUM(J97:J116)</f>
        <v>0</v>
      </c>
      <c r="K117" s="13">
        <f>SUM(K97:K116)</f>
        <v>0</v>
      </c>
      <c r="L117" s="13">
        <f>SUM(L97:L116)</f>
        <v>0</v>
      </c>
      <c r="M117" s="13">
        <f>SUM(M97:M116)</f>
        <v>0</v>
      </c>
      <c r="N117" s="13">
        <f>SUM(N97:N116)</f>
        <v>0</v>
      </c>
      <c r="O117" s="13">
        <f>SUM(O97:O116)</f>
        <v>0</v>
      </c>
      <c r="P117" s="13">
        <f>SUM(P97:P116)</f>
        <v>0</v>
      </c>
      <c r="Q117" s="13">
        <f>SUM(Q97:Q116)</f>
        <v>0</v>
      </c>
      <c r="R117" s="13">
        <f>SUM(R97:R116)</f>
        <v>0</v>
      </c>
      <c r="S117" s="13">
        <f>SUM(S97:S116)</f>
        <v>0</v>
      </c>
      <c r="T117" s="13">
        <f>SUM(T97:T116)</f>
        <v>0</v>
      </c>
      <c r="V117" s="13">
        <f>SUM(V97:V116)</f>
        <v>0</v>
      </c>
      <c r="W117" s="13">
        <f>SUM(W97:W116)</f>
        <v>0</v>
      </c>
      <c r="X117" s="13">
        <f>SUM(X97:X116)</f>
        <v>0</v>
      </c>
      <c r="Y117" s="13">
        <f>SUM(Y97:Y116)</f>
        <v>0</v>
      </c>
      <c r="Z117" s="13">
        <f>SUM(Z97:Z116)</f>
        <v>0</v>
      </c>
      <c r="AA117" s="13">
        <f>SUM(AA97:AA116)</f>
        <v>0</v>
      </c>
      <c r="AB117" s="13">
        <f>SUM(AB97:AB116)</f>
        <v>0</v>
      </c>
      <c r="AC117" s="13">
        <f>SUM(AC97:AC116)</f>
        <v>0</v>
      </c>
      <c r="AD117" s="13">
        <f>SUM(AD97:AD116)</f>
        <v>0</v>
      </c>
      <c r="AE117" s="13">
        <f>SUM(AE97:AE116)</f>
        <v>0</v>
      </c>
      <c r="AF117" s="39"/>
      <c r="AG117" s="69" t="e">
        <f>SUM(AE117/AA117)-1</f>
        <v>#DIV/0!</v>
      </c>
    </row>
    <row r="118" spans="2:33" ht="12.75" customHeight="1">
      <c r="B118" s="49"/>
      <c r="C118" s="57"/>
      <c r="D118" s="57"/>
      <c r="E118" s="57"/>
      <c r="F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6"/>
    </row>
    <row r="119" spans="2:33" ht="12.75" customHeight="1">
      <c r="B119" s="112" t="s">
        <v>57</v>
      </c>
      <c r="C119" s="54"/>
      <c r="D119" s="54"/>
      <c r="E119" s="54"/>
      <c r="F119" s="54"/>
      <c r="H119" s="76"/>
      <c r="I119" s="76"/>
      <c r="J119" s="76"/>
      <c r="K119" s="30"/>
      <c r="L119" s="76"/>
      <c r="M119" s="76"/>
      <c r="N119" s="76"/>
      <c r="O119" s="30"/>
      <c r="P119" s="76"/>
      <c r="Q119" s="76"/>
      <c r="R119" s="76"/>
      <c r="S119" s="76"/>
      <c r="T119" s="76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5"/>
      <c r="AG119" s="36"/>
    </row>
    <row r="120" spans="2:33" ht="12.75" customHeight="1">
      <c r="B120" s="56" t="s">
        <v>90</v>
      </c>
      <c r="C120" s="76"/>
      <c r="D120" s="76"/>
      <c r="E120" s="76"/>
      <c r="F120" s="76"/>
      <c r="G120" s="30"/>
      <c r="H120" s="76"/>
      <c r="I120" s="76"/>
      <c r="J120" s="76"/>
      <c r="K120" s="30">
        <f t="shared" ref="K120" si="278">SUM(D120-SUM(H120:J120))</f>
        <v>0</v>
      </c>
      <c r="L120" s="76"/>
      <c r="M120" s="76"/>
      <c r="N120" s="76"/>
      <c r="O120" s="30">
        <f t="shared" ref="O120" si="279">SUM(E120-SUM(L120:N120))</f>
        <v>0</v>
      </c>
      <c r="P120" s="76"/>
      <c r="Q120" s="76"/>
      <c r="R120" s="76"/>
      <c r="S120" s="30">
        <f t="shared" ref="S120" si="280">SUM(F120-SUM(P120:R120))</f>
        <v>0</v>
      </c>
      <c r="T120" s="76"/>
      <c r="U120" s="30"/>
      <c r="V120" s="30">
        <f t="shared" ref="V120:V124" si="281">SUM(H120:K120)</f>
        <v>0</v>
      </c>
      <c r="W120" s="30">
        <f t="shared" ref="W120:W124" si="282">SUM(I120:L120)</f>
        <v>0</v>
      </c>
      <c r="X120" s="30">
        <f t="shared" ref="X120:X124" si="283">SUM(J120:M120)</f>
        <v>0</v>
      </c>
      <c r="Y120" s="30">
        <f t="shared" ref="Y120:Y124" si="284">SUM(K120:N120)</f>
        <v>0</v>
      </c>
      <c r="Z120" s="30">
        <f t="shared" ref="Z120:Z124" si="285">SUM(L120:O120)</f>
        <v>0</v>
      </c>
      <c r="AA120" s="30">
        <f t="shared" ref="AA120:AA124" si="286">SUM(M120:P120)</f>
        <v>0</v>
      </c>
      <c r="AB120" s="30">
        <f t="shared" ref="AB120:AB124" si="287">SUM(N120:Q120)</f>
        <v>0</v>
      </c>
      <c r="AC120" s="30">
        <f t="shared" ref="AC120:AC124" si="288">SUM(O120:R120)</f>
        <v>0</v>
      </c>
      <c r="AD120" s="30">
        <f t="shared" ref="AD120:AD124" si="289">SUM(P120:S120)</f>
        <v>0</v>
      </c>
      <c r="AE120" s="30">
        <f t="shared" ref="AE120:AE124" si="290">SUM(Q120:T120)</f>
        <v>0</v>
      </c>
      <c r="AF120" s="55"/>
      <c r="AG120" s="68" t="e">
        <f t="shared" ref="AG120" si="291">SUM(AE120/AA120)-1</f>
        <v>#DIV/0!</v>
      </c>
    </row>
    <row r="121" spans="2:33" ht="12.75" customHeight="1">
      <c r="B121" s="56" t="s">
        <v>116</v>
      </c>
      <c r="C121" s="76"/>
      <c r="D121" s="76"/>
      <c r="E121" s="76"/>
      <c r="F121" s="76"/>
      <c r="G121" s="30"/>
      <c r="H121" s="76"/>
      <c r="I121" s="76"/>
      <c r="J121" s="76"/>
      <c r="K121" s="30">
        <f t="shared" ref="K121" si="292">SUM(D121-SUM(H121:J121))</f>
        <v>0</v>
      </c>
      <c r="L121" s="76"/>
      <c r="M121" s="76"/>
      <c r="N121" s="76"/>
      <c r="O121" s="30">
        <f t="shared" ref="O121" si="293">SUM(E121-SUM(L121:N121))</f>
        <v>0</v>
      </c>
      <c r="P121" s="76"/>
      <c r="Q121" s="76"/>
      <c r="R121" s="76"/>
      <c r="S121" s="30">
        <f t="shared" ref="S121" si="294">SUM(F121-SUM(P121:R121))</f>
        <v>0</v>
      </c>
      <c r="T121" s="76"/>
      <c r="U121" s="30"/>
      <c r="V121" s="30">
        <f t="shared" si="281"/>
        <v>0</v>
      </c>
      <c r="W121" s="30">
        <f t="shared" si="282"/>
        <v>0</v>
      </c>
      <c r="X121" s="30">
        <f t="shared" si="283"/>
        <v>0</v>
      </c>
      <c r="Y121" s="30">
        <f t="shared" si="284"/>
        <v>0</v>
      </c>
      <c r="Z121" s="30">
        <f t="shared" si="285"/>
        <v>0</v>
      </c>
      <c r="AA121" s="30">
        <f t="shared" si="286"/>
        <v>0</v>
      </c>
      <c r="AB121" s="30">
        <f t="shared" si="287"/>
        <v>0</v>
      </c>
      <c r="AC121" s="30">
        <f t="shared" si="288"/>
        <v>0</v>
      </c>
      <c r="AD121" s="30">
        <f t="shared" si="289"/>
        <v>0</v>
      </c>
      <c r="AE121" s="30">
        <f t="shared" si="290"/>
        <v>0</v>
      </c>
      <c r="AF121" s="55"/>
      <c r="AG121" s="68" t="e">
        <f t="shared" ref="AG121" si="295">SUM(AE121/AA121)-1</f>
        <v>#DIV/0!</v>
      </c>
    </row>
    <row r="122" spans="2:33" ht="12.75" customHeight="1">
      <c r="B122" s="56" t="s">
        <v>116</v>
      </c>
      <c r="C122" s="76"/>
      <c r="D122" s="76"/>
      <c r="E122" s="76"/>
      <c r="F122" s="76"/>
      <c r="G122" s="30"/>
      <c r="H122" s="76"/>
      <c r="I122" s="76"/>
      <c r="J122" s="76"/>
      <c r="K122" s="30">
        <f t="shared" ref="K122:K124" si="296">SUM(D122-SUM(H122:J122))</f>
        <v>0</v>
      </c>
      <c r="L122" s="76"/>
      <c r="M122" s="76"/>
      <c r="N122" s="76"/>
      <c r="O122" s="30">
        <f t="shared" ref="O122:O124" si="297">SUM(E122-SUM(L122:N122))</f>
        <v>0</v>
      </c>
      <c r="P122" s="76"/>
      <c r="Q122" s="76"/>
      <c r="R122" s="76"/>
      <c r="S122" s="30">
        <f t="shared" ref="S122:S124" si="298">SUM(F122-SUM(P122:R122))</f>
        <v>0</v>
      </c>
      <c r="T122" s="76"/>
      <c r="U122" s="30"/>
      <c r="V122" s="30">
        <f t="shared" si="281"/>
        <v>0</v>
      </c>
      <c r="W122" s="30">
        <f t="shared" si="282"/>
        <v>0</v>
      </c>
      <c r="X122" s="30">
        <f t="shared" si="283"/>
        <v>0</v>
      </c>
      <c r="Y122" s="30">
        <f t="shared" si="284"/>
        <v>0</v>
      </c>
      <c r="Z122" s="30">
        <f t="shared" si="285"/>
        <v>0</v>
      </c>
      <c r="AA122" s="30">
        <f t="shared" si="286"/>
        <v>0</v>
      </c>
      <c r="AB122" s="30">
        <f t="shared" si="287"/>
        <v>0</v>
      </c>
      <c r="AC122" s="30">
        <f t="shared" si="288"/>
        <v>0</v>
      </c>
      <c r="AD122" s="30">
        <f t="shared" si="289"/>
        <v>0</v>
      </c>
      <c r="AE122" s="30">
        <f t="shared" si="290"/>
        <v>0</v>
      </c>
      <c r="AF122" s="55"/>
      <c r="AG122" s="68" t="e">
        <f t="shared" ref="AG122:AG124" si="299">SUM(AE122/AA122)-1</f>
        <v>#DIV/0!</v>
      </c>
    </row>
    <row r="123" spans="2:33" ht="12.75" customHeight="1">
      <c r="B123" s="56" t="s">
        <v>116</v>
      </c>
      <c r="C123" s="76"/>
      <c r="D123" s="76"/>
      <c r="E123" s="76"/>
      <c r="F123" s="76"/>
      <c r="G123" s="30"/>
      <c r="H123" s="76"/>
      <c r="I123" s="76"/>
      <c r="J123" s="76"/>
      <c r="K123" s="30">
        <f t="shared" si="296"/>
        <v>0</v>
      </c>
      <c r="L123" s="76"/>
      <c r="M123" s="76"/>
      <c r="N123" s="76"/>
      <c r="O123" s="30">
        <f t="shared" si="297"/>
        <v>0</v>
      </c>
      <c r="P123" s="76"/>
      <c r="Q123" s="76"/>
      <c r="R123" s="76"/>
      <c r="S123" s="30">
        <f t="shared" si="298"/>
        <v>0</v>
      </c>
      <c r="T123" s="76"/>
      <c r="U123" s="30"/>
      <c r="V123" s="30">
        <f t="shared" si="281"/>
        <v>0</v>
      </c>
      <c r="W123" s="30">
        <f t="shared" si="282"/>
        <v>0</v>
      </c>
      <c r="X123" s="30">
        <f t="shared" si="283"/>
        <v>0</v>
      </c>
      <c r="Y123" s="30">
        <f t="shared" si="284"/>
        <v>0</v>
      </c>
      <c r="Z123" s="30">
        <f t="shared" si="285"/>
        <v>0</v>
      </c>
      <c r="AA123" s="30">
        <f t="shared" si="286"/>
        <v>0</v>
      </c>
      <c r="AB123" s="30">
        <f t="shared" si="287"/>
        <v>0</v>
      </c>
      <c r="AC123" s="30">
        <f t="shared" si="288"/>
        <v>0</v>
      </c>
      <c r="AD123" s="30">
        <f t="shared" si="289"/>
        <v>0</v>
      </c>
      <c r="AE123" s="30">
        <f t="shared" si="290"/>
        <v>0</v>
      </c>
      <c r="AF123" s="55"/>
      <c r="AG123" s="68" t="e">
        <f t="shared" si="299"/>
        <v>#DIV/0!</v>
      </c>
    </row>
    <row r="124" spans="2:33" ht="12.75" customHeight="1">
      <c r="B124" s="56" t="s">
        <v>116</v>
      </c>
      <c r="C124" s="76"/>
      <c r="D124" s="76"/>
      <c r="E124" s="76"/>
      <c r="F124" s="76"/>
      <c r="G124" s="30"/>
      <c r="H124" s="76"/>
      <c r="I124" s="76"/>
      <c r="J124" s="76"/>
      <c r="K124" s="30">
        <f t="shared" si="296"/>
        <v>0</v>
      </c>
      <c r="L124" s="76"/>
      <c r="M124" s="76"/>
      <c r="N124" s="76"/>
      <c r="O124" s="30">
        <f t="shared" si="297"/>
        <v>0</v>
      </c>
      <c r="P124" s="76"/>
      <c r="Q124" s="76"/>
      <c r="R124" s="76"/>
      <c r="S124" s="30">
        <f t="shared" si="298"/>
        <v>0</v>
      </c>
      <c r="T124" s="76"/>
      <c r="U124" s="30"/>
      <c r="V124" s="30">
        <f t="shared" si="281"/>
        <v>0</v>
      </c>
      <c r="W124" s="30">
        <f t="shared" si="282"/>
        <v>0</v>
      </c>
      <c r="X124" s="30">
        <f t="shared" si="283"/>
        <v>0</v>
      </c>
      <c r="Y124" s="30">
        <f t="shared" si="284"/>
        <v>0</v>
      </c>
      <c r="Z124" s="30">
        <f t="shared" si="285"/>
        <v>0</v>
      </c>
      <c r="AA124" s="30">
        <f t="shared" si="286"/>
        <v>0</v>
      </c>
      <c r="AB124" s="30">
        <f t="shared" si="287"/>
        <v>0</v>
      </c>
      <c r="AC124" s="30">
        <f t="shared" si="288"/>
        <v>0</v>
      </c>
      <c r="AD124" s="30">
        <f t="shared" si="289"/>
        <v>0</v>
      </c>
      <c r="AE124" s="30">
        <f t="shared" si="290"/>
        <v>0</v>
      </c>
      <c r="AF124" s="55"/>
      <c r="AG124" s="68" t="e">
        <f t="shared" si="299"/>
        <v>#DIV/0!</v>
      </c>
    </row>
    <row r="125" spans="2:33" ht="12.75" customHeight="1">
      <c r="B125" s="12" t="s">
        <v>58</v>
      </c>
      <c r="C125" s="13">
        <f t="shared" ref="C125:F125" si="300">SUM(C120:C124)</f>
        <v>0</v>
      </c>
      <c r="D125" s="13">
        <f t="shared" si="300"/>
        <v>0</v>
      </c>
      <c r="E125" s="13">
        <f t="shared" si="300"/>
        <v>0</v>
      </c>
      <c r="F125" s="13">
        <f t="shared" si="300"/>
        <v>0</v>
      </c>
      <c r="H125" s="13">
        <f t="shared" ref="H125:Q125" si="301">SUM(H120:H124)</f>
        <v>0</v>
      </c>
      <c r="I125" s="13">
        <f t="shared" si="301"/>
        <v>0</v>
      </c>
      <c r="J125" s="13">
        <f t="shared" si="301"/>
        <v>0</v>
      </c>
      <c r="K125" s="13">
        <f t="shared" si="301"/>
        <v>0</v>
      </c>
      <c r="L125" s="13">
        <f t="shared" si="301"/>
        <v>0</v>
      </c>
      <c r="M125" s="13">
        <f t="shared" si="301"/>
        <v>0</v>
      </c>
      <c r="N125" s="13">
        <f t="shared" si="301"/>
        <v>0</v>
      </c>
      <c r="O125" s="13">
        <f t="shared" si="301"/>
        <v>0</v>
      </c>
      <c r="P125" s="13">
        <f t="shared" si="301"/>
        <v>0</v>
      </c>
      <c r="Q125" s="13">
        <f t="shared" si="301"/>
        <v>0</v>
      </c>
      <c r="R125" s="13">
        <f t="shared" ref="R125:T125" si="302">SUM(R120:R124)</f>
        <v>0</v>
      </c>
      <c r="S125" s="13">
        <f t="shared" si="302"/>
        <v>0</v>
      </c>
      <c r="T125" s="13">
        <f t="shared" si="302"/>
        <v>0</v>
      </c>
      <c r="V125" s="13">
        <f t="shared" ref="V125:AE125" si="303">SUM(V120:V124)</f>
        <v>0</v>
      </c>
      <c r="W125" s="13">
        <f t="shared" si="303"/>
        <v>0</v>
      </c>
      <c r="X125" s="13">
        <f t="shared" si="303"/>
        <v>0</v>
      </c>
      <c r="Y125" s="13">
        <f t="shared" si="303"/>
        <v>0</v>
      </c>
      <c r="Z125" s="13">
        <f t="shared" si="303"/>
        <v>0</v>
      </c>
      <c r="AA125" s="13">
        <f t="shared" si="303"/>
        <v>0</v>
      </c>
      <c r="AB125" s="13">
        <f t="shared" si="303"/>
        <v>0</v>
      </c>
      <c r="AC125" s="13">
        <f t="shared" si="303"/>
        <v>0</v>
      </c>
      <c r="AD125" s="13">
        <f t="shared" si="303"/>
        <v>0</v>
      </c>
      <c r="AE125" s="13">
        <f t="shared" si="303"/>
        <v>0</v>
      </c>
      <c r="AF125" s="39"/>
      <c r="AG125" s="69" t="e">
        <f>SUM(AE125/AA125)-1</f>
        <v>#DIV/0!</v>
      </c>
    </row>
    <row r="126" spans="2:33" ht="5.0999999999999996" customHeight="1">
      <c r="B126" s="48"/>
      <c r="C126" s="57"/>
      <c r="D126" s="57"/>
      <c r="E126" s="57"/>
      <c r="F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6"/>
    </row>
    <row r="127" spans="2:33" ht="12.75" customHeight="1">
      <c r="B127" s="112" t="s">
        <v>59</v>
      </c>
      <c r="C127" s="58"/>
      <c r="D127" s="58"/>
      <c r="E127" s="58"/>
      <c r="F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59"/>
      <c r="AG127" s="36"/>
    </row>
    <row r="128" spans="2:33" ht="12.75" customHeight="1">
      <c r="B128" s="77" t="s">
        <v>112</v>
      </c>
      <c r="C128" s="76"/>
      <c r="D128" s="76"/>
      <c r="E128" s="76"/>
      <c r="F128" s="76"/>
      <c r="H128" s="76"/>
      <c r="I128" s="76"/>
      <c r="J128" s="76"/>
      <c r="K128" s="30">
        <f t="shared" ref="K128:K129" si="304">SUM(D128-SUM(H128:J128))</f>
        <v>0</v>
      </c>
      <c r="L128" s="76"/>
      <c r="M128" s="76"/>
      <c r="N128" s="76"/>
      <c r="O128" s="30">
        <f t="shared" ref="O128:O129" si="305">SUM(E128-SUM(L128:N128))</f>
        <v>0</v>
      </c>
      <c r="P128" s="76"/>
      <c r="Q128" s="76"/>
      <c r="R128" s="76"/>
      <c r="S128" s="30">
        <f t="shared" ref="S128:S129" si="306">SUM(F128-SUM(P128:R128))</f>
        <v>0</v>
      </c>
      <c r="T128" s="76"/>
      <c r="U128" s="30"/>
      <c r="V128" s="30">
        <f t="shared" ref="V128:V133" si="307">SUM(H128:K128)</f>
        <v>0</v>
      </c>
      <c r="W128" s="30">
        <f t="shared" ref="W128:W133" si="308">SUM(I128:L128)</f>
        <v>0</v>
      </c>
      <c r="X128" s="30">
        <f t="shared" ref="X128:X133" si="309">SUM(J128:M128)</f>
        <v>0</v>
      </c>
      <c r="Y128" s="30">
        <f t="shared" ref="Y128:Y133" si="310">SUM(K128:N128)</f>
        <v>0</v>
      </c>
      <c r="Z128" s="30">
        <f t="shared" ref="Z128:Z133" si="311">SUM(L128:O128)</f>
        <v>0</v>
      </c>
      <c r="AA128" s="30">
        <f t="shared" ref="AA128:AA133" si="312">SUM(M128:P128)</f>
        <v>0</v>
      </c>
      <c r="AB128" s="30">
        <f t="shared" ref="AB128:AB133" si="313">SUM(N128:Q128)</f>
        <v>0</v>
      </c>
      <c r="AC128" s="30">
        <f t="shared" ref="AC128:AC133" si="314">SUM(O128:R128)</f>
        <v>0</v>
      </c>
      <c r="AD128" s="30">
        <f t="shared" ref="AD128:AD133" si="315">SUM(P128:S128)</f>
        <v>0</v>
      </c>
      <c r="AE128" s="30">
        <f t="shared" ref="AE128:AE133" si="316">SUM(Q128:T128)</f>
        <v>0</v>
      </c>
      <c r="AF128" s="59"/>
      <c r="AG128" s="68" t="e">
        <f t="shared" ref="AG128" si="317">SUM(AE128/AA128)-1</f>
        <v>#DIV/0!</v>
      </c>
    </row>
    <row r="129" spans="2:33" ht="12.75" customHeight="1">
      <c r="B129" s="56" t="s">
        <v>116</v>
      </c>
      <c r="C129" s="76"/>
      <c r="D129" s="76"/>
      <c r="E129" s="76"/>
      <c r="F129" s="76"/>
      <c r="G129" s="30"/>
      <c r="H129" s="76"/>
      <c r="I129" s="76"/>
      <c r="J129" s="76"/>
      <c r="K129" s="30">
        <f t="shared" si="304"/>
        <v>0</v>
      </c>
      <c r="L129" s="76"/>
      <c r="M129" s="76"/>
      <c r="N129" s="76"/>
      <c r="O129" s="30">
        <f t="shared" si="305"/>
        <v>0</v>
      </c>
      <c r="P129" s="76"/>
      <c r="Q129" s="76"/>
      <c r="R129" s="76"/>
      <c r="S129" s="30">
        <f t="shared" si="306"/>
        <v>0</v>
      </c>
      <c r="T129" s="76"/>
      <c r="U129" s="30"/>
      <c r="V129" s="30">
        <f t="shared" si="307"/>
        <v>0</v>
      </c>
      <c r="W129" s="30">
        <f t="shared" si="308"/>
        <v>0</v>
      </c>
      <c r="X129" s="30">
        <f t="shared" si="309"/>
        <v>0</v>
      </c>
      <c r="Y129" s="30">
        <f t="shared" si="310"/>
        <v>0</v>
      </c>
      <c r="Z129" s="30">
        <f t="shared" si="311"/>
        <v>0</v>
      </c>
      <c r="AA129" s="30">
        <f t="shared" si="312"/>
        <v>0</v>
      </c>
      <c r="AB129" s="30">
        <f t="shared" si="313"/>
        <v>0</v>
      </c>
      <c r="AC129" s="30">
        <f t="shared" si="314"/>
        <v>0</v>
      </c>
      <c r="AD129" s="30">
        <f t="shared" si="315"/>
        <v>0</v>
      </c>
      <c r="AE129" s="30">
        <f t="shared" si="316"/>
        <v>0</v>
      </c>
      <c r="AF129" s="55"/>
      <c r="AG129" s="68" t="e">
        <f t="shared" ref="AG129" si="318">SUM(AE129/AA129)-1</f>
        <v>#DIV/0!</v>
      </c>
    </row>
    <row r="130" spans="2:33" ht="12.75" customHeight="1">
      <c r="B130" s="56" t="s">
        <v>116</v>
      </c>
      <c r="C130" s="76"/>
      <c r="D130" s="76"/>
      <c r="E130" s="76"/>
      <c r="F130" s="76"/>
      <c r="G130" s="30"/>
      <c r="H130" s="76"/>
      <c r="I130" s="76"/>
      <c r="J130" s="76"/>
      <c r="K130" s="30">
        <f t="shared" ref="K130:K133" si="319">SUM(D130-SUM(H130:J130))</f>
        <v>0</v>
      </c>
      <c r="L130" s="76"/>
      <c r="M130" s="76"/>
      <c r="N130" s="76"/>
      <c r="O130" s="30">
        <f t="shared" ref="O130:O133" si="320">SUM(E130-SUM(L130:N130))</f>
        <v>0</v>
      </c>
      <c r="P130" s="76"/>
      <c r="Q130" s="76"/>
      <c r="R130" s="76"/>
      <c r="S130" s="30">
        <f t="shared" ref="S130:S133" si="321">SUM(F130-SUM(P130:R130))</f>
        <v>0</v>
      </c>
      <c r="T130" s="76"/>
      <c r="U130" s="30"/>
      <c r="V130" s="30">
        <f t="shared" si="307"/>
        <v>0</v>
      </c>
      <c r="W130" s="30">
        <f t="shared" si="308"/>
        <v>0</v>
      </c>
      <c r="X130" s="30">
        <f t="shared" si="309"/>
        <v>0</v>
      </c>
      <c r="Y130" s="30">
        <f t="shared" si="310"/>
        <v>0</v>
      </c>
      <c r="Z130" s="30">
        <f t="shared" si="311"/>
        <v>0</v>
      </c>
      <c r="AA130" s="30">
        <f t="shared" si="312"/>
        <v>0</v>
      </c>
      <c r="AB130" s="30">
        <f t="shared" si="313"/>
        <v>0</v>
      </c>
      <c r="AC130" s="30">
        <f t="shared" si="314"/>
        <v>0</v>
      </c>
      <c r="AD130" s="30">
        <f t="shared" si="315"/>
        <v>0</v>
      </c>
      <c r="AE130" s="30">
        <f t="shared" si="316"/>
        <v>0</v>
      </c>
      <c r="AF130" s="55"/>
      <c r="AG130" s="68" t="e">
        <f t="shared" ref="AG130:AG133" si="322">SUM(AE130/AA130)-1</f>
        <v>#DIV/0!</v>
      </c>
    </row>
    <row r="131" spans="2:33" ht="12.75" customHeight="1">
      <c r="B131" s="56" t="s">
        <v>116</v>
      </c>
      <c r="C131" s="76"/>
      <c r="D131" s="76"/>
      <c r="E131" s="76"/>
      <c r="F131" s="76"/>
      <c r="G131" s="30"/>
      <c r="H131" s="76"/>
      <c r="I131" s="76"/>
      <c r="J131" s="76"/>
      <c r="K131" s="30">
        <f t="shared" si="319"/>
        <v>0</v>
      </c>
      <c r="L131" s="76"/>
      <c r="M131" s="76"/>
      <c r="N131" s="76"/>
      <c r="O131" s="30">
        <f t="shared" si="320"/>
        <v>0</v>
      </c>
      <c r="P131" s="76"/>
      <c r="Q131" s="76"/>
      <c r="R131" s="76"/>
      <c r="S131" s="30">
        <f t="shared" si="321"/>
        <v>0</v>
      </c>
      <c r="T131" s="76"/>
      <c r="U131" s="30"/>
      <c r="V131" s="30">
        <f t="shared" si="307"/>
        <v>0</v>
      </c>
      <c r="W131" s="30">
        <f t="shared" si="308"/>
        <v>0</v>
      </c>
      <c r="X131" s="30">
        <f t="shared" si="309"/>
        <v>0</v>
      </c>
      <c r="Y131" s="30">
        <f t="shared" si="310"/>
        <v>0</v>
      </c>
      <c r="Z131" s="30">
        <f t="shared" si="311"/>
        <v>0</v>
      </c>
      <c r="AA131" s="30">
        <f t="shared" si="312"/>
        <v>0</v>
      </c>
      <c r="AB131" s="30">
        <f t="shared" si="313"/>
        <v>0</v>
      </c>
      <c r="AC131" s="30">
        <f t="shared" si="314"/>
        <v>0</v>
      </c>
      <c r="AD131" s="30">
        <f t="shared" si="315"/>
        <v>0</v>
      </c>
      <c r="AE131" s="30">
        <f t="shared" si="316"/>
        <v>0</v>
      </c>
      <c r="AF131" s="55"/>
      <c r="AG131" s="68" t="e">
        <f t="shared" si="322"/>
        <v>#DIV/0!</v>
      </c>
    </row>
    <row r="132" spans="2:33" ht="12.75" customHeight="1">
      <c r="B132" s="56" t="s">
        <v>116</v>
      </c>
      <c r="C132" s="76"/>
      <c r="D132" s="76"/>
      <c r="E132" s="76"/>
      <c r="F132" s="76"/>
      <c r="G132" s="30"/>
      <c r="H132" s="76"/>
      <c r="I132" s="76"/>
      <c r="J132" s="76"/>
      <c r="K132" s="30">
        <f t="shared" si="319"/>
        <v>0</v>
      </c>
      <c r="L132" s="76"/>
      <c r="M132" s="76"/>
      <c r="N132" s="76"/>
      <c r="O132" s="30">
        <f t="shared" si="320"/>
        <v>0</v>
      </c>
      <c r="P132" s="76"/>
      <c r="Q132" s="76"/>
      <c r="R132" s="76"/>
      <c r="S132" s="30">
        <f t="shared" si="321"/>
        <v>0</v>
      </c>
      <c r="T132" s="76"/>
      <c r="U132" s="30"/>
      <c r="V132" s="30">
        <f t="shared" si="307"/>
        <v>0</v>
      </c>
      <c r="W132" s="30">
        <f t="shared" si="308"/>
        <v>0</v>
      </c>
      <c r="X132" s="30">
        <f t="shared" si="309"/>
        <v>0</v>
      </c>
      <c r="Y132" s="30">
        <f t="shared" si="310"/>
        <v>0</v>
      </c>
      <c r="Z132" s="30">
        <f t="shared" si="311"/>
        <v>0</v>
      </c>
      <c r="AA132" s="30">
        <f t="shared" si="312"/>
        <v>0</v>
      </c>
      <c r="AB132" s="30">
        <f t="shared" si="313"/>
        <v>0</v>
      </c>
      <c r="AC132" s="30">
        <f t="shared" si="314"/>
        <v>0</v>
      </c>
      <c r="AD132" s="30">
        <f t="shared" si="315"/>
        <v>0</v>
      </c>
      <c r="AE132" s="30">
        <f t="shared" si="316"/>
        <v>0</v>
      </c>
      <c r="AF132" s="55"/>
      <c r="AG132" s="68" t="e">
        <f t="shared" si="322"/>
        <v>#DIV/0!</v>
      </c>
    </row>
    <row r="133" spans="2:33" ht="12.75" customHeight="1">
      <c r="B133" s="56" t="s">
        <v>116</v>
      </c>
      <c r="C133" s="76"/>
      <c r="D133" s="76"/>
      <c r="E133" s="76"/>
      <c r="F133" s="76"/>
      <c r="G133" s="30"/>
      <c r="H133" s="76"/>
      <c r="I133" s="76"/>
      <c r="J133" s="76"/>
      <c r="K133" s="30">
        <f t="shared" si="319"/>
        <v>0</v>
      </c>
      <c r="L133" s="76"/>
      <c r="M133" s="76"/>
      <c r="N133" s="76"/>
      <c r="O133" s="30">
        <f t="shared" si="320"/>
        <v>0</v>
      </c>
      <c r="P133" s="76"/>
      <c r="Q133" s="76"/>
      <c r="R133" s="76"/>
      <c r="S133" s="30">
        <f t="shared" si="321"/>
        <v>0</v>
      </c>
      <c r="T133" s="76"/>
      <c r="U133" s="30"/>
      <c r="V133" s="30">
        <f t="shared" si="307"/>
        <v>0</v>
      </c>
      <c r="W133" s="30">
        <f t="shared" si="308"/>
        <v>0</v>
      </c>
      <c r="X133" s="30">
        <f t="shared" si="309"/>
        <v>0</v>
      </c>
      <c r="Y133" s="30">
        <f t="shared" si="310"/>
        <v>0</v>
      </c>
      <c r="Z133" s="30">
        <f t="shared" si="311"/>
        <v>0</v>
      </c>
      <c r="AA133" s="30">
        <f t="shared" si="312"/>
        <v>0</v>
      </c>
      <c r="AB133" s="30">
        <f t="shared" si="313"/>
        <v>0</v>
      </c>
      <c r="AC133" s="30">
        <f t="shared" si="314"/>
        <v>0</v>
      </c>
      <c r="AD133" s="30">
        <f t="shared" si="315"/>
        <v>0</v>
      </c>
      <c r="AE133" s="30">
        <f t="shared" si="316"/>
        <v>0</v>
      </c>
      <c r="AF133" s="55"/>
      <c r="AG133" s="68" t="e">
        <f t="shared" si="322"/>
        <v>#DIV/0!</v>
      </c>
    </row>
    <row r="134" spans="2:33" ht="12.75" customHeight="1">
      <c r="B134" s="12" t="s">
        <v>60</v>
      </c>
      <c r="C134" s="13">
        <f t="shared" ref="C134:F134" si="323">SUM(C128:C133)</f>
        <v>0</v>
      </c>
      <c r="D134" s="13">
        <f t="shared" si="323"/>
        <v>0</v>
      </c>
      <c r="E134" s="13">
        <f t="shared" si="323"/>
        <v>0</v>
      </c>
      <c r="F134" s="13">
        <f t="shared" si="323"/>
        <v>0</v>
      </c>
      <c r="H134" s="13">
        <f t="shared" ref="H134:Q134" si="324">SUM(H128:H133)</f>
        <v>0</v>
      </c>
      <c r="I134" s="13">
        <f t="shared" si="324"/>
        <v>0</v>
      </c>
      <c r="J134" s="13">
        <f t="shared" si="324"/>
        <v>0</v>
      </c>
      <c r="K134" s="13">
        <f t="shared" si="324"/>
        <v>0</v>
      </c>
      <c r="L134" s="13">
        <f t="shared" si="324"/>
        <v>0</v>
      </c>
      <c r="M134" s="13">
        <f t="shared" si="324"/>
        <v>0</v>
      </c>
      <c r="N134" s="13">
        <f t="shared" si="324"/>
        <v>0</v>
      </c>
      <c r="O134" s="13">
        <f t="shared" si="324"/>
        <v>0</v>
      </c>
      <c r="P134" s="13">
        <f t="shared" si="324"/>
        <v>0</v>
      </c>
      <c r="Q134" s="13">
        <f t="shared" si="324"/>
        <v>0</v>
      </c>
      <c r="R134" s="13">
        <f t="shared" ref="R134:T134" si="325">SUM(R128:R133)</f>
        <v>0</v>
      </c>
      <c r="S134" s="13">
        <f t="shared" si="325"/>
        <v>0</v>
      </c>
      <c r="T134" s="13">
        <f t="shared" si="325"/>
        <v>0</v>
      </c>
      <c r="V134" s="13">
        <f t="shared" ref="V134:AE134" si="326">SUM(V128:V133)</f>
        <v>0</v>
      </c>
      <c r="W134" s="13">
        <f t="shared" si="326"/>
        <v>0</v>
      </c>
      <c r="X134" s="13">
        <f t="shared" si="326"/>
        <v>0</v>
      </c>
      <c r="Y134" s="13">
        <f t="shared" si="326"/>
        <v>0</v>
      </c>
      <c r="Z134" s="13">
        <f t="shared" si="326"/>
        <v>0</v>
      </c>
      <c r="AA134" s="13">
        <f t="shared" si="326"/>
        <v>0</v>
      </c>
      <c r="AB134" s="13">
        <f t="shared" si="326"/>
        <v>0</v>
      </c>
      <c r="AC134" s="13">
        <f t="shared" si="326"/>
        <v>0</v>
      </c>
      <c r="AD134" s="13">
        <f t="shared" si="326"/>
        <v>0</v>
      </c>
      <c r="AE134" s="13">
        <f t="shared" si="326"/>
        <v>0</v>
      </c>
      <c r="AF134" s="39"/>
      <c r="AG134" s="69" t="e">
        <f>SUM(AE134/AA134)-1</f>
        <v>#DIV/0!</v>
      </c>
    </row>
    <row r="135" spans="2:33" ht="5.0999999999999996" customHeight="1">
      <c r="B135" s="8"/>
      <c r="C135" s="60"/>
      <c r="D135" s="60"/>
      <c r="E135" s="60"/>
      <c r="F135" s="60"/>
      <c r="G135" s="3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42"/>
    </row>
    <row r="136" spans="2:33" ht="5.0999999999999996" customHeight="1">
      <c r="B136" s="65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11"/>
      <c r="AG136" s="42"/>
    </row>
    <row r="137" spans="2:33">
      <c r="B137" s="151" t="s">
        <v>96</v>
      </c>
      <c r="C137" s="157"/>
      <c r="D137" s="157">
        <f t="shared" ref="D137:E137" si="327">C144</f>
        <v>0</v>
      </c>
      <c r="E137" s="157">
        <f t="shared" si="327"/>
        <v>0</v>
      </c>
      <c r="F137" s="157">
        <f t="shared" ref="F137" si="328">E144</f>
        <v>0</v>
      </c>
      <c r="G137" s="157"/>
      <c r="H137" s="157">
        <f>D137</f>
        <v>0</v>
      </c>
      <c r="I137" s="157">
        <f t="shared" ref="I137:Q137" si="329">H144</f>
        <v>0</v>
      </c>
      <c r="J137" s="157">
        <f t="shared" si="329"/>
        <v>0</v>
      </c>
      <c r="K137" s="157">
        <f t="shared" si="329"/>
        <v>0</v>
      </c>
      <c r="L137" s="157">
        <f t="shared" si="329"/>
        <v>0</v>
      </c>
      <c r="M137" s="157">
        <f t="shared" si="329"/>
        <v>0</v>
      </c>
      <c r="N137" s="157">
        <f t="shared" si="329"/>
        <v>0</v>
      </c>
      <c r="O137" s="157">
        <f t="shared" si="329"/>
        <v>0</v>
      </c>
      <c r="P137" s="157">
        <f t="shared" si="329"/>
        <v>0</v>
      </c>
      <c r="Q137" s="157">
        <f t="shared" si="329"/>
        <v>0</v>
      </c>
      <c r="R137" s="157">
        <f t="shared" ref="R137:T137" si="330">Q144</f>
        <v>0</v>
      </c>
      <c r="S137" s="157">
        <f t="shared" ref="S137" si="331">R144</f>
        <v>0</v>
      </c>
      <c r="T137" s="157">
        <f t="shared" si="330"/>
        <v>0</v>
      </c>
      <c r="U137" s="157"/>
      <c r="V137" s="157">
        <f>K137</f>
        <v>0</v>
      </c>
      <c r="W137" s="157">
        <f t="shared" ref="W137:AE137" si="332">V144</f>
        <v>0</v>
      </c>
      <c r="X137" s="157">
        <f t="shared" si="332"/>
        <v>0</v>
      </c>
      <c r="Y137" s="157">
        <f t="shared" si="332"/>
        <v>0</v>
      </c>
      <c r="Z137" s="157">
        <f t="shared" si="332"/>
        <v>0</v>
      </c>
      <c r="AA137" s="157">
        <f t="shared" si="332"/>
        <v>0</v>
      </c>
      <c r="AB137" s="157">
        <f t="shared" si="332"/>
        <v>0</v>
      </c>
      <c r="AC137" s="157">
        <f t="shared" si="332"/>
        <v>0</v>
      </c>
      <c r="AD137" s="157">
        <f t="shared" si="332"/>
        <v>0</v>
      </c>
      <c r="AE137" s="158">
        <f t="shared" si="332"/>
        <v>0</v>
      </c>
      <c r="AF137" s="11"/>
      <c r="AG137" s="42"/>
    </row>
    <row r="138" spans="2:33">
      <c r="B138" s="152" t="s">
        <v>93</v>
      </c>
      <c r="C138" s="141"/>
      <c r="D138" s="141">
        <f t="shared" ref="D138:E138" si="333">-C142</f>
        <v>0</v>
      </c>
      <c r="E138" s="141">
        <f t="shared" si="333"/>
        <v>0</v>
      </c>
      <c r="F138" s="141">
        <f t="shared" ref="F138" si="334">-E142</f>
        <v>0</v>
      </c>
      <c r="G138" s="141"/>
      <c r="H138" s="141">
        <f>D138</f>
        <v>0</v>
      </c>
      <c r="I138" s="141">
        <f>-H142</f>
        <v>0</v>
      </c>
      <c r="J138" s="141">
        <f t="shared" ref="J138:Q138" si="335">-I142</f>
        <v>0</v>
      </c>
      <c r="K138" s="141">
        <f t="shared" si="335"/>
        <v>0</v>
      </c>
      <c r="L138" s="141">
        <f t="shared" si="335"/>
        <v>0</v>
      </c>
      <c r="M138" s="141">
        <f t="shared" si="335"/>
        <v>0</v>
      </c>
      <c r="N138" s="141">
        <f t="shared" si="335"/>
        <v>0</v>
      </c>
      <c r="O138" s="141">
        <f t="shared" si="335"/>
        <v>0</v>
      </c>
      <c r="P138" s="141">
        <f t="shared" si="335"/>
        <v>0</v>
      </c>
      <c r="Q138" s="141">
        <f t="shared" si="335"/>
        <v>0</v>
      </c>
      <c r="R138" s="141">
        <f t="shared" ref="R138:S138" si="336">-Q142</f>
        <v>0</v>
      </c>
      <c r="S138" s="141">
        <f t="shared" si="336"/>
        <v>0</v>
      </c>
      <c r="T138" s="141">
        <f t="shared" ref="T138" si="337">-S142</f>
        <v>0</v>
      </c>
      <c r="U138" s="141"/>
      <c r="V138" s="141">
        <f>K138</f>
        <v>0</v>
      </c>
      <c r="W138" s="141">
        <f t="shared" ref="W138:AE138" si="338">-V142</f>
        <v>0</v>
      </c>
      <c r="X138" s="141">
        <f t="shared" si="338"/>
        <v>0</v>
      </c>
      <c r="Y138" s="141">
        <f t="shared" si="338"/>
        <v>0</v>
      </c>
      <c r="Z138" s="141">
        <f t="shared" si="338"/>
        <v>0</v>
      </c>
      <c r="AA138" s="141">
        <f t="shared" si="338"/>
        <v>0</v>
      </c>
      <c r="AB138" s="141">
        <f t="shared" si="338"/>
        <v>0</v>
      </c>
      <c r="AC138" s="141">
        <f t="shared" si="338"/>
        <v>0</v>
      </c>
      <c r="AD138" s="141">
        <f t="shared" si="338"/>
        <v>0</v>
      </c>
      <c r="AE138" s="147">
        <f t="shared" si="338"/>
        <v>0</v>
      </c>
      <c r="AF138" s="11"/>
      <c r="AG138" s="42"/>
    </row>
    <row r="139" spans="2:33">
      <c r="B139" s="153" t="s">
        <v>74</v>
      </c>
      <c r="C139" s="113">
        <f t="shared" ref="C139:E139" si="339">SUM(C137:C138)</f>
        <v>0</v>
      </c>
      <c r="D139" s="113">
        <f t="shared" si="339"/>
        <v>0</v>
      </c>
      <c r="E139" s="113">
        <f t="shared" si="339"/>
        <v>0</v>
      </c>
      <c r="F139" s="113">
        <f t="shared" ref="F139" si="340">SUM(F137:F138)</f>
        <v>0</v>
      </c>
      <c r="G139" s="141"/>
      <c r="H139" s="113">
        <f t="shared" ref="H139:Q139" si="341">SUM(H137:H138)</f>
        <v>0</v>
      </c>
      <c r="I139" s="113">
        <f t="shared" si="341"/>
        <v>0</v>
      </c>
      <c r="J139" s="113">
        <f t="shared" si="341"/>
        <v>0</v>
      </c>
      <c r="K139" s="113">
        <f t="shared" si="341"/>
        <v>0</v>
      </c>
      <c r="L139" s="113">
        <f t="shared" si="341"/>
        <v>0</v>
      </c>
      <c r="M139" s="113">
        <f t="shared" si="341"/>
        <v>0</v>
      </c>
      <c r="N139" s="113">
        <f t="shared" si="341"/>
        <v>0</v>
      </c>
      <c r="O139" s="113">
        <f t="shared" si="341"/>
        <v>0</v>
      </c>
      <c r="P139" s="113">
        <f t="shared" si="341"/>
        <v>0</v>
      </c>
      <c r="Q139" s="113">
        <f t="shared" si="341"/>
        <v>0</v>
      </c>
      <c r="R139" s="113">
        <f t="shared" ref="R139:S139" si="342">SUM(R137:R138)</f>
        <v>0</v>
      </c>
      <c r="S139" s="113">
        <f t="shared" si="342"/>
        <v>0</v>
      </c>
      <c r="T139" s="113">
        <f t="shared" ref="T139" si="343">SUM(T137:T138)</f>
        <v>0</v>
      </c>
      <c r="U139" s="141"/>
      <c r="V139" s="113">
        <f t="shared" ref="V139:AA139" si="344">SUM(V137:V138)</f>
        <v>0</v>
      </c>
      <c r="W139" s="113">
        <f t="shared" si="344"/>
        <v>0</v>
      </c>
      <c r="X139" s="113">
        <f t="shared" si="344"/>
        <v>0</v>
      </c>
      <c r="Y139" s="113">
        <f t="shared" si="344"/>
        <v>0</v>
      </c>
      <c r="Z139" s="113">
        <f t="shared" si="344"/>
        <v>0</v>
      </c>
      <c r="AA139" s="113">
        <f t="shared" ref="AA139" si="345">SUM(AA137:AA138)</f>
        <v>0</v>
      </c>
      <c r="AB139" s="113">
        <f t="shared" ref="AB139" si="346">SUM(AB137:AB138)</f>
        <v>0</v>
      </c>
      <c r="AC139" s="113">
        <f t="shared" ref="AC139" si="347">SUM(AC137:AC138)</f>
        <v>0</v>
      </c>
      <c r="AD139" s="113">
        <f t="shared" ref="AD139" si="348">SUM(AD137:AD138)</f>
        <v>0</v>
      </c>
      <c r="AE139" s="148">
        <f t="shared" ref="V139:AE139" si="349">SUM(AE137:AE138)</f>
        <v>0</v>
      </c>
      <c r="AF139" s="11"/>
      <c r="AG139" s="42"/>
    </row>
    <row r="140" spans="2:33" ht="5.0999999999999996" customHeight="1">
      <c r="B140" s="154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  <c r="AB140" s="141"/>
      <c r="AC140" s="141"/>
      <c r="AD140" s="141"/>
      <c r="AE140" s="147"/>
      <c r="AF140" s="11"/>
      <c r="AG140" s="42"/>
    </row>
    <row r="141" spans="2:33">
      <c r="B141" s="152" t="s">
        <v>94</v>
      </c>
      <c r="C141" s="142"/>
      <c r="D141" s="142"/>
      <c r="E141" s="142"/>
      <c r="F141" s="142"/>
      <c r="G141" s="141"/>
      <c r="H141" s="142"/>
      <c r="I141" s="142"/>
      <c r="J141" s="142"/>
      <c r="K141" s="141">
        <f>SUM(D141-SUM(H141:J141))</f>
        <v>0</v>
      </c>
      <c r="L141" s="142"/>
      <c r="M141" s="142"/>
      <c r="N141" s="142"/>
      <c r="O141" s="141">
        <f>SUM(E141-SUM(L141:N141))</f>
        <v>0</v>
      </c>
      <c r="P141" s="142"/>
      <c r="Q141" s="142"/>
      <c r="R141" s="142"/>
      <c r="S141" s="141">
        <f t="shared" ref="S141" si="350">SUM(F141-SUM(P141:R141))</f>
        <v>0</v>
      </c>
      <c r="T141" s="142"/>
      <c r="U141" s="141"/>
      <c r="V141" s="141">
        <f t="shared" ref="V141:AD143" si="351">K141</f>
        <v>0</v>
      </c>
      <c r="W141" s="141">
        <f t="shared" si="351"/>
        <v>0</v>
      </c>
      <c r="X141" s="141">
        <f t="shared" si="351"/>
        <v>0</v>
      </c>
      <c r="Y141" s="141">
        <f t="shared" si="351"/>
        <v>0</v>
      </c>
      <c r="Z141" s="141">
        <f t="shared" si="351"/>
        <v>0</v>
      </c>
      <c r="AA141" s="141">
        <f t="shared" si="351"/>
        <v>0</v>
      </c>
      <c r="AB141" s="141">
        <f t="shared" si="351"/>
        <v>0</v>
      </c>
      <c r="AC141" s="141">
        <f t="shared" si="351"/>
        <v>0</v>
      </c>
      <c r="AD141" s="141">
        <f t="shared" si="351"/>
        <v>0</v>
      </c>
      <c r="AE141" s="147">
        <f>T141</f>
        <v>0</v>
      </c>
      <c r="AF141" s="11"/>
      <c r="AG141" s="42"/>
    </row>
    <row r="142" spans="2:33">
      <c r="B142" s="152" t="s">
        <v>95</v>
      </c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>
        <f t="shared" si="351"/>
        <v>0</v>
      </c>
      <c r="W142" s="141">
        <f t="shared" si="351"/>
        <v>0</v>
      </c>
      <c r="X142" s="141">
        <f t="shared" si="351"/>
        <v>0</v>
      </c>
      <c r="Y142" s="141">
        <f t="shared" si="351"/>
        <v>0</v>
      </c>
      <c r="Z142" s="141">
        <f t="shared" si="351"/>
        <v>0</v>
      </c>
      <c r="AA142" s="141">
        <f t="shared" si="351"/>
        <v>0</v>
      </c>
      <c r="AB142" s="141">
        <f t="shared" si="351"/>
        <v>0</v>
      </c>
      <c r="AC142" s="141">
        <f t="shared" si="351"/>
        <v>0</v>
      </c>
      <c r="AD142" s="141">
        <f t="shared" si="351"/>
        <v>0</v>
      </c>
      <c r="AE142" s="147">
        <f>T142</f>
        <v>0</v>
      </c>
      <c r="AF142" s="11"/>
      <c r="AG142" s="42"/>
    </row>
    <row r="143" spans="2:33">
      <c r="B143" s="152" t="s">
        <v>64</v>
      </c>
      <c r="C143" s="141">
        <f t="shared" ref="C143:F143" si="352">+C134+C125+C117</f>
        <v>0</v>
      </c>
      <c r="D143" s="141">
        <f t="shared" si="352"/>
        <v>0</v>
      </c>
      <c r="E143" s="141">
        <f t="shared" si="352"/>
        <v>0</v>
      </c>
      <c r="F143" s="141">
        <f t="shared" si="352"/>
        <v>0</v>
      </c>
      <c r="G143" s="141"/>
      <c r="H143" s="141">
        <f t="shared" ref="H143:Q143" si="353">+H134+H125+H117</f>
        <v>0</v>
      </c>
      <c r="I143" s="141">
        <f t="shared" si="353"/>
        <v>0</v>
      </c>
      <c r="J143" s="141">
        <f t="shared" si="353"/>
        <v>0</v>
      </c>
      <c r="K143" s="141">
        <f t="shared" si="353"/>
        <v>0</v>
      </c>
      <c r="L143" s="141">
        <f t="shared" si="353"/>
        <v>0</v>
      </c>
      <c r="M143" s="141">
        <f t="shared" si="353"/>
        <v>0</v>
      </c>
      <c r="N143" s="141">
        <f t="shared" si="353"/>
        <v>0</v>
      </c>
      <c r="O143" s="141">
        <f t="shared" si="353"/>
        <v>0</v>
      </c>
      <c r="P143" s="141">
        <f t="shared" si="353"/>
        <v>0</v>
      </c>
      <c r="Q143" s="141">
        <f t="shared" si="353"/>
        <v>0</v>
      </c>
      <c r="R143" s="141">
        <f t="shared" ref="R143:S143" si="354">+R134+R125+R117</f>
        <v>0</v>
      </c>
      <c r="S143" s="141">
        <f t="shared" si="354"/>
        <v>0</v>
      </c>
      <c r="T143" s="141">
        <f t="shared" ref="T143" si="355">+T134+T125+T117</f>
        <v>0</v>
      </c>
      <c r="U143" s="141"/>
      <c r="V143" s="141">
        <f t="shared" si="351"/>
        <v>0</v>
      </c>
      <c r="W143" s="141">
        <f t="shared" si="351"/>
        <v>0</v>
      </c>
      <c r="X143" s="141">
        <f t="shared" si="351"/>
        <v>0</v>
      </c>
      <c r="Y143" s="141">
        <f t="shared" si="351"/>
        <v>0</v>
      </c>
      <c r="Z143" s="141">
        <f t="shared" si="351"/>
        <v>0</v>
      </c>
      <c r="AA143" s="141">
        <f t="shared" si="351"/>
        <v>0</v>
      </c>
      <c r="AB143" s="141">
        <f t="shared" si="351"/>
        <v>0</v>
      </c>
      <c r="AC143" s="141">
        <f t="shared" si="351"/>
        <v>0</v>
      </c>
      <c r="AD143" s="141">
        <f t="shared" si="351"/>
        <v>0</v>
      </c>
      <c r="AE143" s="147">
        <f>T143</f>
        <v>0</v>
      </c>
      <c r="AF143" s="11"/>
      <c r="AG143" s="42"/>
    </row>
    <row r="144" spans="2:33">
      <c r="B144" s="153" t="s">
        <v>75</v>
      </c>
      <c r="C144" s="113">
        <f t="shared" ref="C144:E144" si="356">SUM(C139:C143)</f>
        <v>0</v>
      </c>
      <c r="D144" s="113">
        <f t="shared" si="356"/>
        <v>0</v>
      </c>
      <c r="E144" s="113">
        <f t="shared" si="356"/>
        <v>0</v>
      </c>
      <c r="F144" s="113">
        <f t="shared" ref="F144:Q144" si="357">SUM(F139:F143)</f>
        <v>0</v>
      </c>
      <c r="G144" s="141"/>
      <c r="H144" s="113">
        <f t="shared" si="357"/>
        <v>0</v>
      </c>
      <c r="I144" s="113">
        <f t="shared" si="357"/>
        <v>0</v>
      </c>
      <c r="J144" s="113">
        <f t="shared" si="357"/>
        <v>0</v>
      </c>
      <c r="K144" s="113">
        <f t="shared" si="357"/>
        <v>0</v>
      </c>
      <c r="L144" s="113">
        <f t="shared" si="357"/>
        <v>0</v>
      </c>
      <c r="M144" s="113">
        <f t="shared" si="357"/>
        <v>0</v>
      </c>
      <c r="N144" s="113">
        <f t="shared" si="357"/>
        <v>0</v>
      </c>
      <c r="O144" s="113">
        <f t="shared" si="357"/>
        <v>0</v>
      </c>
      <c r="P144" s="113">
        <f t="shared" si="357"/>
        <v>0</v>
      </c>
      <c r="Q144" s="113">
        <f t="shared" si="357"/>
        <v>0</v>
      </c>
      <c r="R144" s="113">
        <f t="shared" ref="R144:S144" si="358">SUM(R139:R143)</f>
        <v>0</v>
      </c>
      <c r="S144" s="113">
        <f t="shared" si="358"/>
        <v>0</v>
      </c>
      <c r="T144" s="113">
        <f t="shared" ref="T144:AE144" si="359">SUM(T139:T143)</f>
        <v>0</v>
      </c>
      <c r="U144" s="141"/>
      <c r="V144" s="113">
        <f t="shared" si="359"/>
        <v>0</v>
      </c>
      <c r="W144" s="113">
        <f t="shared" si="359"/>
        <v>0</v>
      </c>
      <c r="X144" s="113">
        <f t="shared" si="359"/>
        <v>0</v>
      </c>
      <c r="Y144" s="113">
        <f t="shared" si="359"/>
        <v>0</v>
      </c>
      <c r="Z144" s="113">
        <f t="shared" si="359"/>
        <v>0</v>
      </c>
      <c r="AA144" s="113">
        <f t="shared" si="359"/>
        <v>0</v>
      </c>
      <c r="AB144" s="113">
        <f t="shared" si="359"/>
        <v>0</v>
      </c>
      <c r="AC144" s="113">
        <f t="shared" si="359"/>
        <v>0</v>
      </c>
      <c r="AD144" s="113">
        <f t="shared" si="359"/>
        <v>0</v>
      </c>
      <c r="AE144" s="148">
        <f t="shared" si="359"/>
        <v>0</v>
      </c>
      <c r="AF144" s="11"/>
      <c r="AG144" s="42"/>
    </row>
    <row r="145" spans="2:33" ht="5.0999999999999996" customHeight="1">
      <c r="B145" s="155"/>
      <c r="C145" s="60"/>
      <c r="D145" s="60"/>
      <c r="E145" s="60"/>
      <c r="F145" s="60"/>
      <c r="G145" s="141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143"/>
      <c r="V145" s="144"/>
      <c r="W145" s="144"/>
      <c r="X145" s="144"/>
      <c r="Y145" s="144"/>
      <c r="Z145" s="144"/>
      <c r="AA145" s="144"/>
      <c r="AB145" s="144"/>
      <c r="AC145" s="144"/>
      <c r="AD145" s="144"/>
      <c r="AE145" s="149"/>
      <c r="AF145" s="11"/>
      <c r="AG145" s="42"/>
    </row>
    <row r="146" spans="2:33">
      <c r="B146" s="156" t="s">
        <v>63</v>
      </c>
      <c r="C146" s="145">
        <f>C144-C46</f>
        <v>0</v>
      </c>
      <c r="D146" s="145">
        <f>D144-D46</f>
        <v>0</v>
      </c>
      <c r="E146" s="145">
        <f>E144-E46</f>
        <v>0</v>
      </c>
      <c r="F146" s="145">
        <f>F144-F46</f>
        <v>0</v>
      </c>
      <c r="G146" s="146"/>
      <c r="H146" s="145">
        <f>H144-H46</f>
        <v>0</v>
      </c>
      <c r="I146" s="145">
        <f>I144-I46</f>
        <v>0</v>
      </c>
      <c r="J146" s="145">
        <f>J144-J46</f>
        <v>0</v>
      </c>
      <c r="K146" s="145">
        <f>K144-K46</f>
        <v>0</v>
      </c>
      <c r="L146" s="145">
        <f>L144-L46</f>
        <v>0</v>
      </c>
      <c r="M146" s="145">
        <f>M144-M46</f>
        <v>0</v>
      </c>
      <c r="N146" s="145">
        <f>N144-N46</f>
        <v>0</v>
      </c>
      <c r="O146" s="145">
        <f>O144-O46</f>
        <v>0</v>
      </c>
      <c r="P146" s="145">
        <f>P144-P46</f>
        <v>0</v>
      </c>
      <c r="Q146" s="145">
        <f>Q144-Q46</f>
        <v>0</v>
      </c>
      <c r="R146" s="145">
        <f>R144-R46</f>
        <v>0</v>
      </c>
      <c r="S146" s="145">
        <f>S144-S46</f>
        <v>0</v>
      </c>
      <c r="T146" s="145">
        <f>T144-T46</f>
        <v>0</v>
      </c>
      <c r="U146" s="145"/>
      <c r="V146" s="145">
        <f>V144-V46</f>
        <v>0</v>
      </c>
      <c r="W146" s="145">
        <f>W144-W46</f>
        <v>0</v>
      </c>
      <c r="X146" s="145">
        <f>X144-X46</f>
        <v>0</v>
      </c>
      <c r="Y146" s="145">
        <f>Y144-Y46</f>
        <v>0</v>
      </c>
      <c r="Z146" s="145">
        <f>Z144-Z46</f>
        <v>0</v>
      </c>
      <c r="AA146" s="145">
        <f>AA144-AA46</f>
        <v>0</v>
      </c>
      <c r="AB146" s="145">
        <f>AB144-AB46</f>
        <v>0</v>
      </c>
      <c r="AC146" s="145">
        <f>AC144-AC46</f>
        <v>0</v>
      </c>
      <c r="AD146" s="145">
        <f>AD144-AD46</f>
        <v>0</v>
      </c>
      <c r="AE146" s="150">
        <f>AE144-AE46</f>
        <v>0</v>
      </c>
      <c r="AF146" s="11"/>
      <c r="AG146" s="42"/>
    </row>
    <row r="147" spans="2:33" ht="5.0999999999999996" customHeight="1">
      <c r="B147" s="8"/>
      <c r="C147" s="60"/>
      <c r="D147" s="60"/>
      <c r="E147" s="60"/>
      <c r="F147" s="60"/>
      <c r="G147" s="3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42"/>
    </row>
    <row r="148" spans="2:33">
      <c r="B148" s="112" t="s">
        <v>87</v>
      </c>
      <c r="C148" s="60"/>
      <c r="D148" s="60"/>
      <c r="E148" s="60"/>
      <c r="F148" s="60"/>
      <c r="G148" s="3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42"/>
    </row>
    <row r="149" spans="2:33">
      <c r="B149" s="77" t="s">
        <v>92</v>
      </c>
      <c r="C149" s="60"/>
      <c r="D149" s="60"/>
      <c r="E149" s="60"/>
      <c r="F149" s="60"/>
      <c r="G149" s="30"/>
      <c r="H149" s="76"/>
      <c r="I149" s="30"/>
      <c r="J149" s="30"/>
      <c r="K149" s="30">
        <f>SUM(D149-SUM(H149:J149))</f>
        <v>0</v>
      </c>
      <c r="L149" s="76"/>
      <c r="M149" s="30"/>
      <c r="N149" s="30"/>
      <c r="O149" s="30">
        <f>SUM(E149-SUM(L149:N149))</f>
        <v>0</v>
      </c>
      <c r="P149" s="76"/>
      <c r="Q149" s="30"/>
      <c r="R149" s="30"/>
      <c r="S149" s="30">
        <f t="shared" ref="S149:S150" si="360">SUM(F149-SUM(P149:R149))</f>
        <v>0</v>
      </c>
      <c r="T149" s="30"/>
      <c r="V149" s="30">
        <f>SUM(J149:M149)</f>
        <v>0</v>
      </c>
      <c r="W149" s="30">
        <f>SUM(K149:N149)</f>
        <v>0</v>
      </c>
      <c r="X149" s="30">
        <f>SUM(L149:O149)</f>
        <v>0</v>
      </c>
      <c r="Y149" s="30">
        <f>SUM(M149:P149)</f>
        <v>0</v>
      </c>
      <c r="Z149" s="30">
        <f>SUM(N149:Q149)</f>
        <v>0</v>
      </c>
      <c r="AA149" s="30">
        <f>SUM(O149:R149)</f>
        <v>0</v>
      </c>
      <c r="AB149" s="30">
        <f>SUM(P149:S149)</f>
        <v>0</v>
      </c>
      <c r="AC149" s="30">
        <f>SUM(Q149:T149)</f>
        <v>0</v>
      </c>
      <c r="AD149" s="30">
        <f>SUM(R149:T149)</f>
        <v>0</v>
      </c>
      <c r="AE149" s="30">
        <f>SUM(S149:T149)</f>
        <v>0</v>
      </c>
      <c r="AF149" s="11"/>
      <c r="AG149" s="42"/>
    </row>
    <row r="150" spans="2:33">
      <c r="B150" s="77" t="s">
        <v>91</v>
      </c>
      <c r="C150" s="60"/>
      <c r="D150" s="60"/>
      <c r="E150" s="60"/>
      <c r="F150" s="60"/>
      <c r="G150" s="30"/>
      <c r="H150" s="76"/>
      <c r="I150" s="30"/>
      <c r="J150" s="30"/>
      <c r="K150" s="30">
        <f>SUM(D150-SUM(H150:J150))</f>
        <v>0</v>
      </c>
      <c r="L150" s="76"/>
      <c r="M150" s="30"/>
      <c r="N150" s="30"/>
      <c r="O150" s="30">
        <f>SUM(E150-SUM(L150:N150))</f>
        <v>0</v>
      </c>
      <c r="P150" s="76"/>
      <c r="Q150" s="30"/>
      <c r="R150" s="30"/>
      <c r="S150" s="30">
        <f t="shared" si="360"/>
        <v>0</v>
      </c>
      <c r="T150" s="30"/>
      <c r="V150" s="30">
        <f>SUM(J150:M150)</f>
        <v>0</v>
      </c>
      <c r="W150" s="30">
        <f>SUM(K150:N150)</f>
        <v>0</v>
      </c>
      <c r="X150" s="30">
        <f>SUM(L150:O150)</f>
        <v>0</v>
      </c>
      <c r="Y150" s="30">
        <f>SUM(M150:P150)</f>
        <v>0</v>
      </c>
      <c r="Z150" s="30">
        <f>SUM(N150:Q150)</f>
        <v>0</v>
      </c>
      <c r="AA150" s="30">
        <f>SUM(O150:R150)</f>
        <v>0</v>
      </c>
      <c r="AB150" s="30">
        <f>SUM(P150:S150)</f>
        <v>0</v>
      </c>
      <c r="AC150" s="30">
        <f>SUM(Q150:T150)</f>
        <v>0</v>
      </c>
      <c r="AD150" s="30">
        <f>SUM(R150:T150)</f>
        <v>0</v>
      </c>
      <c r="AE150" s="30">
        <f>SUM(S150:T150)</f>
        <v>0</v>
      </c>
      <c r="AF150" s="11"/>
      <c r="AG150" s="42"/>
    </row>
    <row r="151" spans="2:33" ht="5.0999999999999996" customHeight="1" thickBot="1">
      <c r="B151" s="66"/>
      <c r="C151" s="67"/>
      <c r="D151" s="67"/>
      <c r="E151" s="67"/>
      <c r="F151" s="67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G151" s="42"/>
    </row>
    <row r="152" spans="2:33" ht="12.75" customHeight="1">
      <c r="C152" s="52"/>
      <c r="D152" s="52"/>
      <c r="E152" s="52"/>
      <c r="F152" s="52"/>
    </row>
    <row r="153" spans="2:33" ht="12.75" customHeight="1">
      <c r="C153" s="52"/>
      <c r="D153" s="52"/>
      <c r="E153" s="52"/>
      <c r="F153" s="52"/>
    </row>
    <row r="154" spans="2:33" ht="12.75" customHeight="1">
      <c r="C154" s="52"/>
      <c r="D154" s="52"/>
      <c r="E154" s="52"/>
      <c r="F154" s="52"/>
    </row>
    <row r="155" spans="2:33" ht="12.75" customHeight="1">
      <c r="C155" s="52"/>
      <c r="D155" s="52"/>
      <c r="E155" s="52"/>
      <c r="F155" s="52"/>
    </row>
    <row r="156" spans="2:33" ht="12.75" customHeight="1">
      <c r="C156" s="52"/>
      <c r="D156" s="52"/>
      <c r="E156" s="52"/>
      <c r="F156" s="52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</row>
    <row r="157" spans="2:33" ht="12.75" customHeight="1">
      <c r="C157" s="52"/>
      <c r="D157" s="52"/>
      <c r="E157" s="52"/>
      <c r="F157" s="52"/>
    </row>
    <row r="158" spans="2:33" ht="12.75" customHeight="1">
      <c r="C158" s="52"/>
      <c r="D158" s="52"/>
      <c r="E158" s="52"/>
      <c r="F158" s="52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</row>
    <row r="159" spans="2:33"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</row>
    <row r="160" spans="2:33"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</row>
    <row r="162" spans="8:20"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</row>
    <row r="163" spans="8:20"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</row>
  </sheetData>
  <mergeCells count="3">
    <mergeCell ref="AG6:AG8"/>
    <mergeCell ref="AG41:AG43"/>
    <mergeCell ref="AG92:AG94"/>
  </mergeCells>
  <pageMargins left="0.7" right="0.7" top="0.75" bottom="0.75" header="0.3" footer="0.3"/>
  <ignoredErrors>
    <ignoredError sqref="AE14:AE16 G52" formulaRange="1"/>
    <ignoredError sqref="AG125:AG127 AG117:AG119" evalError="1"/>
    <ignoredError sqref="L98:P9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AF34"/>
  <sheetViews>
    <sheetView showGridLines="0" zoomScaleNormal="100" workbookViewId="0">
      <selection activeCell="B20" sqref="B20"/>
    </sheetView>
  </sheetViews>
  <sheetFormatPr defaultRowHeight="12" outlineLevelRow="1" outlineLevelCol="1"/>
  <cols>
    <col min="1" max="1" width="1.5" style="8" customWidth="1"/>
    <col min="2" max="2" width="46.5" style="8" bestFit="1" customWidth="1"/>
    <col min="3" max="6" width="8.625" style="8" bestFit="1" customWidth="1"/>
    <col min="7" max="7" width="1.5" style="8" customWidth="1"/>
    <col min="8" max="9" width="8" style="8" customWidth="1" outlineLevel="1"/>
    <col min="10" max="11" width="8.75" style="8" customWidth="1" outlineLevel="1"/>
    <col min="12" max="12" width="8.5" style="8" customWidth="1" outlineLevel="1"/>
    <col min="13" max="13" width="8.25" style="8" customWidth="1" outlineLevel="1"/>
    <col min="14" max="14" width="8.5" style="8" bestFit="1" customWidth="1"/>
    <col min="15" max="20" width="9.125" style="8" bestFit="1" customWidth="1"/>
    <col min="21" max="21" width="1.5" style="8" customWidth="1"/>
    <col min="22" max="26" width="8.75" style="8" customWidth="1" outlineLevel="1"/>
    <col min="27" max="27" width="8.75" style="8" customWidth="1"/>
    <col min="28" max="30" width="8.75" style="8" customWidth="1" outlineLevel="1"/>
    <col min="31" max="31" width="8.75" style="8" customWidth="1"/>
    <col min="32" max="16384" width="9" style="8"/>
  </cols>
  <sheetData>
    <row r="2" spans="1:31" s="5" customFormat="1" ht="12.75" customHeight="1">
      <c r="B2" s="1" t="str">
        <f>'Historical Financials'!B2</f>
        <v>XXX</v>
      </c>
      <c r="C2" s="2" t="s">
        <v>0</v>
      </c>
      <c r="D2" s="2"/>
      <c r="E2" s="2"/>
      <c r="F2" s="2"/>
      <c r="G2" s="3"/>
      <c r="H2" s="2"/>
      <c r="I2" s="2"/>
      <c r="J2" s="2"/>
      <c r="K2" s="2"/>
      <c r="L2" s="2"/>
      <c r="M2" s="2"/>
      <c r="N2" s="2" t="s">
        <v>1</v>
      </c>
      <c r="O2" s="2"/>
      <c r="P2" s="2"/>
      <c r="Q2" s="2"/>
      <c r="R2" s="2"/>
      <c r="S2" s="2"/>
      <c r="T2" s="2"/>
      <c r="U2" s="3"/>
      <c r="V2" s="2"/>
      <c r="W2" s="2"/>
      <c r="X2" s="2"/>
      <c r="Y2" s="2"/>
      <c r="Z2" s="2"/>
      <c r="AA2" s="2" t="s">
        <v>10</v>
      </c>
      <c r="AB2" s="2"/>
      <c r="AC2" s="2"/>
      <c r="AD2" s="2"/>
      <c r="AE2" s="2"/>
    </row>
    <row r="3" spans="1:31" s="5" customFormat="1" ht="12.75" customHeight="1">
      <c r="B3" s="6" t="s">
        <v>70</v>
      </c>
      <c r="C3" s="7">
        <f>'Historical Financials'!C7</f>
        <v>2022</v>
      </c>
      <c r="D3" s="7">
        <f>'Historical Financials'!D7</f>
        <v>2023</v>
      </c>
      <c r="E3" s="7">
        <f>'Historical Financials'!E7</f>
        <v>2024</v>
      </c>
      <c r="F3" s="7">
        <f>'Historical Financials'!F7</f>
        <v>2025</v>
      </c>
      <c r="G3" s="3"/>
      <c r="H3" s="7" t="str">
        <f>'Historical Financials'!H7</f>
        <v>1Q23</v>
      </c>
      <c r="I3" s="7" t="str">
        <f>'Historical Financials'!I7</f>
        <v>2Q23</v>
      </c>
      <c r="J3" s="7" t="str">
        <f>'Historical Financials'!J7</f>
        <v>3Q23</v>
      </c>
      <c r="K3" s="7" t="str">
        <f>'Historical Financials'!K7</f>
        <v>4Q23</v>
      </c>
      <c r="L3" s="7" t="str">
        <f>'Historical Financials'!L7</f>
        <v>1Q24</v>
      </c>
      <c r="M3" s="7" t="str">
        <f>'Historical Financials'!M7</f>
        <v>2Q24</v>
      </c>
      <c r="N3" s="7" t="str">
        <f>'Historical Financials'!N7</f>
        <v>3Q24</v>
      </c>
      <c r="O3" s="7" t="str">
        <f>'Historical Financials'!O7</f>
        <v>4Q24</v>
      </c>
      <c r="P3" s="7" t="str">
        <f>'Historical Financials'!P7</f>
        <v>1Q25</v>
      </c>
      <c r="Q3" s="7" t="str">
        <f>'Historical Financials'!Q7</f>
        <v>2Q25</v>
      </c>
      <c r="R3" s="7" t="str">
        <f>'Historical Financials'!R7</f>
        <v>3Q25</v>
      </c>
      <c r="S3" s="7" t="str">
        <f>'Historical Financials'!S7</f>
        <v>4Q25</v>
      </c>
      <c r="T3" s="7" t="str">
        <f>'Historical Financials'!T7</f>
        <v>1Q26</v>
      </c>
      <c r="U3" s="4"/>
      <c r="V3" s="4" t="str">
        <f>K3</f>
        <v>4Q23</v>
      </c>
      <c r="W3" s="4" t="str">
        <f>L3</f>
        <v>1Q24</v>
      </c>
      <c r="X3" s="4" t="str">
        <f>M3</f>
        <v>2Q24</v>
      </c>
      <c r="Y3" s="4" t="str">
        <f>N3</f>
        <v>3Q24</v>
      </c>
      <c r="Z3" s="4" t="str">
        <f>O3</f>
        <v>4Q24</v>
      </c>
      <c r="AA3" s="4" t="str">
        <f>P3</f>
        <v>1Q25</v>
      </c>
      <c r="AB3" s="4" t="str">
        <f>Q3</f>
        <v>2Q25</v>
      </c>
      <c r="AC3" s="4" t="str">
        <f>R3</f>
        <v>3Q25</v>
      </c>
      <c r="AD3" s="4" t="str">
        <f>S3</f>
        <v>4Q25</v>
      </c>
      <c r="AE3" s="4" t="str">
        <f>T3</f>
        <v>1Q26</v>
      </c>
    </row>
    <row r="4" spans="1:31" s="5" customFormat="1" ht="12.75" customHeight="1">
      <c r="B4" s="6" t="s">
        <v>98</v>
      </c>
      <c r="C4" s="3" t="str">
        <f>'Historical Financials'!C8</f>
        <v>XXX</v>
      </c>
      <c r="D4" s="3" t="str">
        <f>'Historical Financials'!D8</f>
        <v>XXX</v>
      </c>
      <c r="E4" s="3" t="str">
        <f>'Historical Financials'!E8</f>
        <v>XXX</v>
      </c>
      <c r="F4" s="3" t="str">
        <f>'Historical Financials'!F8</f>
        <v>XXX</v>
      </c>
      <c r="G4" s="3"/>
      <c r="H4" s="3" t="str">
        <f>'Historical Financials'!H8</f>
        <v>XXX</v>
      </c>
      <c r="I4" s="3" t="str">
        <f>'Historical Financials'!I8</f>
        <v>XXX</v>
      </c>
      <c r="J4" s="3" t="str">
        <f>'Historical Financials'!J8</f>
        <v>XXX</v>
      </c>
      <c r="K4" s="3" t="str">
        <f>'Historical Financials'!K8</f>
        <v>XXX</v>
      </c>
      <c r="L4" s="3" t="str">
        <f>'Historical Financials'!L8</f>
        <v>XXX</v>
      </c>
      <c r="M4" s="3" t="str">
        <f>'Historical Financials'!M8</f>
        <v>XXX</v>
      </c>
      <c r="N4" s="3" t="str">
        <f>'Historical Financials'!N8</f>
        <v>XXX</v>
      </c>
      <c r="O4" s="3" t="str">
        <f>'Historical Financials'!O8</f>
        <v>XXX</v>
      </c>
      <c r="P4" s="3" t="str">
        <f>'Historical Financials'!P8</f>
        <v>XXX</v>
      </c>
      <c r="Q4" s="3" t="str">
        <f>'Historical Financials'!Q8</f>
        <v>XXX</v>
      </c>
      <c r="R4" s="3" t="str">
        <f>'Historical Financials'!R8</f>
        <v>XXX</v>
      </c>
      <c r="S4" s="3" t="str">
        <f>'Historical Financials'!S8</f>
        <v>XXX</v>
      </c>
      <c r="T4" s="3" t="str">
        <f>'Historical Financials'!T8</f>
        <v>XXX</v>
      </c>
      <c r="U4" s="3"/>
      <c r="V4" s="3" t="str">
        <f>K4</f>
        <v>XXX</v>
      </c>
      <c r="W4" s="3" t="str">
        <f>L4</f>
        <v>XXX</v>
      </c>
      <c r="X4" s="3" t="str">
        <f>M4</f>
        <v>XXX</v>
      </c>
      <c r="Y4" s="3" t="str">
        <f>N4</f>
        <v>XXX</v>
      </c>
      <c r="Z4" s="3" t="str">
        <f>O4</f>
        <v>XXX</v>
      </c>
      <c r="AA4" s="3" t="str">
        <f>P4</f>
        <v>XXX</v>
      </c>
      <c r="AB4" s="3" t="str">
        <f>Q4</f>
        <v>XXX</v>
      </c>
      <c r="AC4" s="3" t="str">
        <f>R4</f>
        <v>XXX</v>
      </c>
      <c r="AD4" s="3" t="str">
        <f>S4</f>
        <v>XXX</v>
      </c>
      <c r="AE4" s="3" t="str">
        <f>T4</f>
        <v>XXX</v>
      </c>
    </row>
    <row r="5" spans="1:31" ht="5.0999999999999996" customHeight="1"/>
    <row r="6" spans="1:31">
      <c r="A6" s="33" t="s">
        <v>18</v>
      </c>
      <c r="B6" s="1" t="s">
        <v>100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5.0999999999999996" customHeight="1"/>
    <row r="8" spans="1:31" ht="12.75" customHeight="1">
      <c r="A8" s="74" t="s">
        <v>18</v>
      </c>
      <c r="B8" s="72" t="s">
        <v>97</v>
      </c>
      <c r="C8" s="10"/>
      <c r="D8" s="10"/>
      <c r="E8" s="10"/>
      <c r="F8" s="10"/>
      <c r="G8" s="10"/>
      <c r="H8" s="81"/>
      <c r="I8" s="81"/>
      <c r="J8" s="81"/>
      <c r="K8" s="30"/>
      <c r="L8" s="81"/>
      <c r="M8" s="81"/>
      <c r="N8" s="81"/>
      <c r="O8" s="30"/>
      <c r="P8" s="81"/>
      <c r="Q8" s="81"/>
      <c r="R8" s="81"/>
      <c r="S8" s="81"/>
      <c r="T8" s="81"/>
      <c r="U8" s="5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1:31" ht="12.75" customHeight="1">
      <c r="A9" s="74"/>
      <c r="B9" s="9" t="s">
        <v>116</v>
      </c>
      <c r="C9" s="75"/>
      <c r="D9" s="75"/>
      <c r="E9" s="75"/>
      <c r="F9" s="75"/>
      <c r="G9" s="10"/>
      <c r="H9" s="75"/>
      <c r="I9" s="75"/>
      <c r="J9" s="75"/>
      <c r="K9" s="30">
        <f>SUM(D9-SUM(H9:J9))</f>
        <v>0</v>
      </c>
      <c r="L9" s="75"/>
      <c r="M9" s="75"/>
      <c r="N9" s="75"/>
      <c r="O9" s="30">
        <f>SUM(E9-SUM(L9:N9))</f>
        <v>0</v>
      </c>
      <c r="P9" s="75"/>
      <c r="Q9" s="75"/>
      <c r="R9" s="75"/>
      <c r="S9" s="30">
        <f>SUM(F9-SUM(P9:R9))</f>
        <v>0</v>
      </c>
      <c r="T9" s="75"/>
      <c r="U9" s="5"/>
      <c r="V9" s="30">
        <f t="shared" ref="V9:AD9" si="0">SUM(H9:K9)</f>
        <v>0</v>
      </c>
      <c r="W9" s="30">
        <f t="shared" si="0"/>
        <v>0</v>
      </c>
      <c r="X9" s="30">
        <f t="shared" si="0"/>
        <v>0</v>
      </c>
      <c r="Y9" s="30">
        <f t="shared" si="0"/>
        <v>0</v>
      </c>
      <c r="Z9" s="30">
        <f t="shared" si="0"/>
        <v>0</v>
      </c>
      <c r="AA9" s="30">
        <f t="shared" si="0"/>
        <v>0</v>
      </c>
      <c r="AB9" s="30">
        <f t="shared" si="0"/>
        <v>0</v>
      </c>
      <c r="AC9" s="30">
        <f t="shared" si="0"/>
        <v>0</v>
      </c>
      <c r="AD9" s="30">
        <f t="shared" si="0"/>
        <v>0</v>
      </c>
      <c r="AE9" s="30">
        <f>SUM(Q9:T9)</f>
        <v>0</v>
      </c>
    </row>
    <row r="10" spans="1:31">
      <c r="B10" s="9" t="s">
        <v>116</v>
      </c>
      <c r="C10" s="75"/>
      <c r="D10" s="75"/>
      <c r="E10" s="75"/>
      <c r="F10" s="75"/>
      <c r="G10" s="75"/>
      <c r="H10" s="75"/>
      <c r="I10" s="75"/>
      <c r="J10" s="75"/>
      <c r="K10" s="30">
        <f>SUM(D10-SUM(H10:J10))</f>
        <v>0</v>
      </c>
      <c r="L10" s="75"/>
      <c r="M10" s="75"/>
      <c r="N10" s="75"/>
      <c r="O10" s="30">
        <f>SUM(E10-SUM(L10:N10))</f>
        <v>0</v>
      </c>
      <c r="P10" s="75"/>
      <c r="Q10" s="75"/>
      <c r="R10" s="75"/>
      <c r="S10" s="30">
        <f>SUM(F10-SUM(P10:R10))</f>
        <v>0</v>
      </c>
      <c r="T10" s="75"/>
      <c r="U10" s="5"/>
      <c r="V10" s="30">
        <f t="shared" ref="V10" si="1">SUM(H10:K10)</f>
        <v>0</v>
      </c>
      <c r="W10" s="30">
        <f t="shared" ref="W10" si="2">SUM(I10:L10)</f>
        <v>0</v>
      </c>
      <c r="X10" s="30">
        <f t="shared" ref="X10" si="3">SUM(J10:M10)</f>
        <v>0</v>
      </c>
      <c r="Y10" s="30">
        <f t="shared" ref="Y10" si="4">SUM(K10:N10)</f>
        <v>0</v>
      </c>
      <c r="Z10" s="30">
        <f t="shared" ref="Z10" si="5">SUM(L10:O10)</f>
        <v>0</v>
      </c>
      <c r="AA10" s="30">
        <f t="shared" ref="AA10" si="6">SUM(M10:P10)</f>
        <v>0</v>
      </c>
      <c r="AB10" s="30">
        <f t="shared" ref="AB10" si="7">SUM(N10:Q10)</f>
        <v>0</v>
      </c>
      <c r="AC10" s="30">
        <f t="shared" ref="AC10" si="8">SUM(O10:R10)</f>
        <v>0</v>
      </c>
      <c r="AD10" s="30">
        <f t="shared" ref="AD10" si="9">SUM(P10:S10)</f>
        <v>0</v>
      </c>
      <c r="AE10" s="30">
        <f>SUM(Q10:T10)</f>
        <v>0</v>
      </c>
    </row>
    <row r="11" spans="1:31">
      <c r="B11" s="12" t="s">
        <v>71</v>
      </c>
      <c r="C11" s="13">
        <f t="shared" ref="C11:F11" si="10">SUM(C9:C10)</f>
        <v>0</v>
      </c>
      <c r="D11" s="13">
        <f t="shared" si="10"/>
        <v>0</v>
      </c>
      <c r="E11" s="13">
        <f t="shared" si="10"/>
        <v>0</v>
      </c>
      <c r="F11" s="13">
        <f t="shared" si="10"/>
        <v>0</v>
      </c>
      <c r="G11" s="11"/>
      <c r="H11" s="13">
        <f t="shared" ref="H11:S11" si="11">SUM(H9:H10)</f>
        <v>0</v>
      </c>
      <c r="I11" s="13">
        <f t="shared" si="11"/>
        <v>0</v>
      </c>
      <c r="J11" s="13">
        <f t="shared" si="11"/>
        <v>0</v>
      </c>
      <c r="K11" s="13">
        <f t="shared" si="11"/>
        <v>0</v>
      </c>
      <c r="L11" s="13">
        <f t="shared" si="11"/>
        <v>0</v>
      </c>
      <c r="M11" s="13">
        <f t="shared" si="11"/>
        <v>0</v>
      </c>
      <c r="N11" s="13">
        <f t="shared" si="11"/>
        <v>0</v>
      </c>
      <c r="O11" s="13">
        <f t="shared" si="11"/>
        <v>0</v>
      </c>
      <c r="P11" s="13">
        <f t="shared" si="11"/>
        <v>0</v>
      </c>
      <c r="Q11" s="13">
        <f t="shared" si="11"/>
        <v>0</v>
      </c>
      <c r="R11" s="13">
        <f t="shared" si="11"/>
        <v>0</v>
      </c>
      <c r="S11" s="13">
        <f t="shared" si="11"/>
        <v>0</v>
      </c>
      <c r="T11" s="13">
        <f t="shared" ref="T11" si="12">SUM(T9:T10)</f>
        <v>0</v>
      </c>
      <c r="U11" s="5"/>
      <c r="V11" s="13">
        <f t="shared" ref="V11:AD11" si="13">SUM(V9:V10)</f>
        <v>0</v>
      </c>
      <c r="W11" s="13">
        <f t="shared" si="13"/>
        <v>0</v>
      </c>
      <c r="X11" s="13">
        <f t="shared" si="13"/>
        <v>0</v>
      </c>
      <c r="Y11" s="13">
        <f t="shared" si="13"/>
        <v>0</v>
      </c>
      <c r="Z11" s="13">
        <f t="shared" si="13"/>
        <v>0</v>
      </c>
      <c r="AA11" s="13">
        <f t="shared" si="13"/>
        <v>0</v>
      </c>
      <c r="AB11" s="13">
        <f t="shared" si="13"/>
        <v>0</v>
      </c>
      <c r="AC11" s="13">
        <f t="shared" si="13"/>
        <v>0</v>
      </c>
      <c r="AD11" s="13">
        <f t="shared" si="13"/>
        <v>0</v>
      </c>
      <c r="AE11" s="13">
        <f>SUM(AE9:AE10)</f>
        <v>0</v>
      </c>
    </row>
    <row r="12" spans="1:31" outlineLevel="1">
      <c r="B12" s="114" t="s">
        <v>63</v>
      </c>
      <c r="C12" s="73">
        <f>+C11-'Historical Financials'!C11</f>
        <v>0</v>
      </c>
      <c r="D12" s="73">
        <f>+D11-'Historical Financials'!D11</f>
        <v>0</v>
      </c>
      <c r="E12" s="73">
        <f>+E11-'Historical Financials'!E11</f>
        <v>0</v>
      </c>
      <c r="F12" s="73">
        <f>+F11-'Historical Financials'!F11</f>
        <v>0</v>
      </c>
      <c r="G12" s="11"/>
      <c r="H12" s="73">
        <f>+H11-'Historical Financials'!H11</f>
        <v>0</v>
      </c>
      <c r="I12" s="73">
        <f>+I11-'Historical Financials'!I11</f>
        <v>0</v>
      </c>
      <c r="J12" s="73">
        <f>+J11-'Historical Financials'!J11</f>
        <v>0</v>
      </c>
      <c r="K12" s="73">
        <f>+K11-'Historical Financials'!K11</f>
        <v>0</v>
      </c>
      <c r="L12" s="73">
        <f>+L11-'Historical Financials'!L11</f>
        <v>0</v>
      </c>
      <c r="M12" s="73">
        <f>+M11-'Historical Financials'!M11</f>
        <v>0</v>
      </c>
      <c r="N12" s="73">
        <f>+N11-'Historical Financials'!N11</f>
        <v>0</v>
      </c>
      <c r="O12" s="73">
        <f>+O11-'Historical Financials'!O11</f>
        <v>0</v>
      </c>
      <c r="P12" s="73">
        <f>+P11-'Historical Financials'!P11</f>
        <v>0</v>
      </c>
      <c r="Q12" s="73">
        <f>+Q11-'Historical Financials'!Q11</f>
        <v>0</v>
      </c>
      <c r="R12" s="73">
        <f>+R11-'Historical Financials'!R11</f>
        <v>0</v>
      </c>
      <c r="S12" s="73">
        <f>+S11-'Historical Financials'!S11</f>
        <v>0</v>
      </c>
      <c r="T12" s="73">
        <f>+T11-'Historical Financials'!T11</f>
        <v>0</v>
      </c>
      <c r="U12" s="73"/>
      <c r="V12" s="73">
        <f>+V11-'Historical Financials'!V11</f>
        <v>0</v>
      </c>
      <c r="W12" s="73">
        <f>+W11-'Historical Financials'!W11</f>
        <v>0</v>
      </c>
      <c r="X12" s="73">
        <f>+X11-'Historical Financials'!X11</f>
        <v>0</v>
      </c>
      <c r="Y12" s="73">
        <f>+Y11-'Historical Financials'!Y11</f>
        <v>0</v>
      </c>
      <c r="Z12" s="73">
        <f>+Z11-'Historical Financials'!Z11</f>
        <v>0</v>
      </c>
      <c r="AA12" s="73">
        <f>+AA11-'Historical Financials'!AA11</f>
        <v>0</v>
      </c>
      <c r="AB12" s="73">
        <f>+AB11-'Historical Financials'!AB11</f>
        <v>0</v>
      </c>
      <c r="AC12" s="73">
        <f>+AC11-'Historical Financials'!AC11</f>
        <v>0</v>
      </c>
      <c r="AD12" s="73">
        <f>+AD11-'Historical Financials'!AD11</f>
        <v>0</v>
      </c>
      <c r="AE12" s="73">
        <f>+AE11-'Historical Financials'!AE11</f>
        <v>0</v>
      </c>
    </row>
    <row r="13" spans="1:31">
      <c r="B13" s="16"/>
      <c r="C13" s="17"/>
      <c r="D13" s="17"/>
      <c r="E13" s="17"/>
      <c r="F13" s="17"/>
      <c r="G13" s="18"/>
      <c r="H13" s="19"/>
      <c r="I13" s="19"/>
      <c r="J13" s="19"/>
      <c r="K13" s="20"/>
      <c r="L13" s="19"/>
      <c r="M13" s="19"/>
      <c r="N13" s="19"/>
      <c r="O13" s="19"/>
      <c r="P13" s="19"/>
      <c r="Q13" s="19"/>
      <c r="R13" s="19"/>
      <c r="S13" s="19"/>
      <c r="T13" s="19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</row>
    <row r="14" spans="1:31">
      <c r="B14" s="115" t="str">
        <f>B9&amp;"(%)"</f>
        <v>XXX(%)</v>
      </c>
      <c r="C14" s="127" t="e">
        <f t="shared" ref="C14:E14" si="14">SUM(C9/C$11)</f>
        <v>#DIV/0!</v>
      </c>
      <c r="D14" s="127" t="e">
        <f t="shared" si="14"/>
        <v>#DIV/0!</v>
      </c>
      <c r="E14" s="127" t="e">
        <f t="shared" si="14"/>
        <v>#DIV/0!</v>
      </c>
      <c r="F14" s="127" t="e">
        <f t="shared" ref="F14" si="15">SUM(F9/F$11)</f>
        <v>#DIV/0!</v>
      </c>
      <c r="G14" s="116"/>
      <c r="H14" s="127" t="e">
        <f t="shared" ref="H14:Q14" si="16">SUM(H9/H$11)</f>
        <v>#DIV/0!</v>
      </c>
      <c r="I14" s="127" t="e">
        <f t="shared" si="16"/>
        <v>#DIV/0!</v>
      </c>
      <c r="J14" s="127" t="e">
        <f t="shared" si="16"/>
        <v>#DIV/0!</v>
      </c>
      <c r="K14" s="127" t="e">
        <f t="shared" si="16"/>
        <v>#DIV/0!</v>
      </c>
      <c r="L14" s="127" t="e">
        <f t="shared" si="16"/>
        <v>#DIV/0!</v>
      </c>
      <c r="M14" s="127" t="e">
        <f t="shared" si="16"/>
        <v>#DIV/0!</v>
      </c>
      <c r="N14" s="127" t="e">
        <f t="shared" si="16"/>
        <v>#DIV/0!</v>
      </c>
      <c r="O14" s="127" t="e">
        <f t="shared" si="16"/>
        <v>#DIV/0!</v>
      </c>
      <c r="P14" s="127" t="e">
        <f t="shared" si="16"/>
        <v>#DIV/0!</v>
      </c>
      <c r="Q14" s="127" t="e">
        <f t="shared" si="16"/>
        <v>#DIV/0!</v>
      </c>
      <c r="R14" s="127" t="e">
        <f t="shared" ref="R14:S14" si="17">SUM(R9/R$11)</f>
        <v>#DIV/0!</v>
      </c>
      <c r="S14" s="127" t="e">
        <f t="shared" si="17"/>
        <v>#DIV/0!</v>
      </c>
      <c r="T14" s="127" t="e">
        <f t="shared" ref="T14" si="18">SUM(T9/T$11)</f>
        <v>#DIV/0!</v>
      </c>
      <c r="U14" s="116"/>
      <c r="V14" s="117" t="e">
        <f>I14</f>
        <v>#DIV/0!</v>
      </c>
      <c r="W14" s="117" t="e">
        <f>J14</f>
        <v>#DIV/0!</v>
      </c>
      <c r="X14" s="117" t="e">
        <f>K14</f>
        <v>#DIV/0!</v>
      </c>
      <c r="Y14" s="117" t="e">
        <f>L14</f>
        <v>#DIV/0!</v>
      </c>
      <c r="Z14" s="117" t="e">
        <f>M14</f>
        <v>#DIV/0!</v>
      </c>
      <c r="AA14" s="117" t="e">
        <f>N14</f>
        <v>#DIV/0!</v>
      </c>
      <c r="AB14" s="117" t="e">
        <f>O14</f>
        <v>#DIV/0!</v>
      </c>
      <c r="AC14" s="117" t="e">
        <f>P14</f>
        <v>#DIV/0!</v>
      </c>
      <c r="AD14" s="117" t="e">
        <f>Q14</f>
        <v>#DIV/0!</v>
      </c>
      <c r="AE14" s="118" t="e">
        <f>R14</f>
        <v>#DIV/0!</v>
      </c>
    </row>
    <row r="15" spans="1:31" ht="12.75" customHeight="1">
      <c r="B15" s="123" t="str">
        <f>B10&amp;"(%)"</f>
        <v>XXX(%)</v>
      </c>
      <c r="C15" s="128" t="e">
        <f t="shared" ref="C15:E15" si="19">SUM(C10/C$11)</f>
        <v>#DIV/0!</v>
      </c>
      <c r="D15" s="128" t="e">
        <f t="shared" si="19"/>
        <v>#DIV/0!</v>
      </c>
      <c r="E15" s="128" t="e">
        <f t="shared" si="19"/>
        <v>#DIV/0!</v>
      </c>
      <c r="F15" s="128" t="e">
        <f t="shared" ref="F15" si="20">SUM(F10/F$11)</f>
        <v>#DIV/0!</v>
      </c>
      <c r="G15" s="124"/>
      <c r="H15" s="128" t="e">
        <f t="shared" ref="H15:Q15" si="21">SUM(H10/H$11)</f>
        <v>#DIV/0!</v>
      </c>
      <c r="I15" s="128" t="e">
        <f t="shared" si="21"/>
        <v>#DIV/0!</v>
      </c>
      <c r="J15" s="128" t="e">
        <f t="shared" si="21"/>
        <v>#DIV/0!</v>
      </c>
      <c r="K15" s="128" t="e">
        <f t="shared" si="21"/>
        <v>#DIV/0!</v>
      </c>
      <c r="L15" s="128" t="e">
        <f t="shared" si="21"/>
        <v>#DIV/0!</v>
      </c>
      <c r="M15" s="128" t="e">
        <f t="shared" si="21"/>
        <v>#DIV/0!</v>
      </c>
      <c r="N15" s="128" t="e">
        <f t="shared" si="21"/>
        <v>#DIV/0!</v>
      </c>
      <c r="O15" s="128" t="e">
        <f t="shared" si="21"/>
        <v>#DIV/0!</v>
      </c>
      <c r="P15" s="128" t="e">
        <f t="shared" si="21"/>
        <v>#DIV/0!</v>
      </c>
      <c r="Q15" s="128" t="e">
        <f t="shared" si="21"/>
        <v>#DIV/0!</v>
      </c>
      <c r="R15" s="128" t="e">
        <f t="shared" ref="R15:S15" si="22">SUM(R10/R$11)</f>
        <v>#DIV/0!</v>
      </c>
      <c r="S15" s="128" t="e">
        <f t="shared" si="22"/>
        <v>#DIV/0!</v>
      </c>
      <c r="T15" s="128" t="e">
        <f t="shared" ref="T15" si="23">SUM(T10/T$11)</f>
        <v>#DIV/0!</v>
      </c>
      <c r="U15" s="124"/>
      <c r="V15" s="125" t="e">
        <f>I15</f>
        <v>#DIV/0!</v>
      </c>
      <c r="W15" s="125" t="e">
        <f>J15</f>
        <v>#DIV/0!</v>
      </c>
      <c r="X15" s="125" t="e">
        <f>K15</f>
        <v>#DIV/0!</v>
      </c>
      <c r="Y15" s="125" t="e">
        <f>L15</f>
        <v>#DIV/0!</v>
      </c>
      <c r="Z15" s="125" t="e">
        <f>M15</f>
        <v>#DIV/0!</v>
      </c>
      <c r="AA15" s="125" t="e">
        <f>N15</f>
        <v>#DIV/0!</v>
      </c>
      <c r="AB15" s="125" t="e">
        <f>O15</f>
        <v>#DIV/0!</v>
      </c>
      <c r="AC15" s="125" t="e">
        <f>P15</f>
        <v>#DIV/0!</v>
      </c>
      <c r="AD15" s="125" t="e">
        <f>Q15</f>
        <v>#DIV/0!</v>
      </c>
      <c r="AE15" s="126" t="e">
        <f>R15</f>
        <v>#DIV/0!</v>
      </c>
    </row>
    <row r="16" spans="1:31">
      <c r="B16" s="16"/>
      <c r="C16" s="17"/>
      <c r="D16" s="17"/>
      <c r="E16" s="17"/>
      <c r="F16" s="17"/>
      <c r="G16" s="18"/>
      <c r="H16" s="19"/>
      <c r="I16" s="19"/>
      <c r="J16" s="19"/>
      <c r="K16" s="20"/>
      <c r="L16" s="19"/>
      <c r="M16" s="19"/>
      <c r="N16" s="19"/>
      <c r="O16" s="19"/>
      <c r="P16" s="19"/>
      <c r="Q16" s="19"/>
      <c r="R16" s="19"/>
      <c r="S16" s="19"/>
      <c r="T16" s="19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spans="1:31">
      <c r="A17" s="33" t="s">
        <v>18</v>
      </c>
      <c r="B17" s="1" t="s">
        <v>101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9" spans="1:31" ht="12.75" customHeight="1">
      <c r="A19" s="74" t="s">
        <v>18</v>
      </c>
      <c r="B19" s="72" t="s">
        <v>118</v>
      </c>
      <c r="C19" s="10"/>
      <c r="D19" s="10"/>
      <c r="E19" s="10"/>
      <c r="F19" s="10"/>
      <c r="G19" s="10"/>
      <c r="H19" s="81"/>
      <c r="I19" s="81"/>
      <c r="J19" s="81"/>
      <c r="K19" s="30"/>
      <c r="L19" s="81"/>
      <c r="M19" s="81"/>
      <c r="N19" s="81"/>
      <c r="O19" s="30"/>
      <c r="P19" s="81"/>
      <c r="Q19" s="81"/>
      <c r="R19" s="81"/>
      <c r="S19" s="81"/>
      <c r="T19" s="81"/>
      <c r="U19" s="5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spans="1:31" ht="12.75" customHeight="1">
      <c r="A20" s="74"/>
      <c r="B20" s="9" t="s">
        <v>116</v>
      </c>
      <c r="C20" s="75"/>
      <c r="D20" s="75"/>
      <c r="E20" s="75"/>
      <c r="F20" s="75"/>
      <c r="G20" s="10"/>
      <c r="H20" s="75"/>
      <c r="I20" s="75"/>
      <c r="J20" s="75"/>
      <c r="K20" s="30">
        <f t="shared" ref="K20:K25" si="24">SUM(D20-SUM(H20:J20))</f>
        <v>0</v>
      </c>
      <c r="L20" s="75"/>
      <c r="M20" s="75"/>
      <c r="N20" s="75"/>
      <c r="O20" s="30">
        <f t="shared" ref="O20:O25" si="25">SUM(E20-SUM(L20:N20))</f>
        <v>0</v>
      </c>
      <c r="P20" s="75"/>
      <c r="Q20" s="75"/>
      <c r="R20" s="75"/>
      <c r="S20" s="30">
        <f t="shared" ref="S20:S25" si="26">SUM(F20-SUM(P20:R20))</f>
        <v>0</v>
      </c>
      <c r="T20" s="75"/>
      <c r="U20" s="5"/>
      <c r="V20" s="30">
        <f t="shared" ref="V20:V23" si="27">SUM(H20:K20)</f>
        <v>0</v>
      </c>
      <c r="W20" s="30">
        <f t="shared" ref="W20:W23" si="28">SUM(I20:L20)</f>
        <v>0</v>
      </c>
      <c r="X20" s="30">
        <f t="shared" ref="X20:X23" si="29">SUM(J20:M20)</f>
        <v>0</v>
      </c>
      <c r="Y20" s="30">
        <f t="shared" ref="Y20:Y23" si="30">SUM(K20:N20)</f>
        <v>0</v>
      </c>
      <c r="Z20" s="30">
        <f t="shared" ref="Z20:Z23" si="31">SUM(L20:O20)</f>
        <v>0</v>
      </c>
      <c r="AA20" s="30">
        <f t="shared" ref="AA20:AA23" si="32">SUM(M20:P20)</f>
        <v>0</v>
      </c>
      <c r="AB20" s="30">
        <f t="shared" ref="AB20:AB23" si="33">SUM(N20:Q20)</f>
        <v>0</v>
      </c>
      <c r="AC20" s="30">
        <f t="shared" ref="AC20:AC23" si="34">SUM(O20:R20)</f>
        <v>0</v>
      </c>
      <c r="AD20" s="30">
        <f t="shared" ref="AD20:AD23" si="35">SUM(P20:S20)</f>
        <v>0</v>
      </c>
      <c r="AE20" s="30">
        <f t="shared" ref="AE20:AE23" si="36">SUM(Q20:T20)</f>
        <v>0</v>
      </c>
    </row>
    <row r="21" spans="1:31" ht="12.75" customHeight="1">
      <c r="A21" s="74"/>
      <c r="B21" s="9" t="s">
        <v>116</v>
      </c>
      <c r="C21" s="75"/>
      <c r="D21" s="75"/>
      <c r="E21" s="75"/>
      <c r="F21" s="75"/>
      <c r="G21" s="10"/>
      <c r="H21" s="75"/>
      <c r="I21" s="75"/>
      <c r="J21" s="75"/>
      <c r="K21" s="30">
        <f t="shared" si="24"/>
        <v>0</v>
      </c>
      <c r="L21" s="75"/>
      <c r="M21" s="75"/>
      <c r="N21" s="75"/>
      <c r="O21" s="30">
        <f t="shared" si="25"/>
        <v>0</v>
      </c>
      <c r="P21" s="75"/>
      <c r="Q21" s="75"/>
      <c r="R21" s="75"/>
      <c r="S21" s="30">
        <f t="shared" si="26"/>
        <v>0</v>
      </c>
      <c r="T21" s="75"/>
      <c r="U21" s="5"/>
      <c r="V21" s="30">
        <f t="shared" si="27"/>
        <v>0</v>
      </c>
      <c r="W21" s="30">
        <f t="shared" si="28"/>
        <v>0</v>
      </c>
      <c r="X21" s="30">
        <f t="shared" si="29"/>
        <v>0</v>
      </c>
      <c r="Y21" s="30">
        <f t="shared" si="30"/>
        <v>0</v>
      </c>
      <c r="Z21" s="30">
        <f t="shared" si="31"/>
        <v>0</v>
      </c>
      <c r="AA21" s="30">
        <f t="shared" si="32"/>
        <v>0</v>
      </c>
      <c r="AB21" s="30">
        <f t="shared" si="33"/>
        <v>0</v>
      </c>
      <c r="AC21" s="30">
        <f t="shared" si="34"/>
        <v>0</v>
      </c>
      <c r="AD21" s="30">
        <f t="shared" si="35"/>
        <v>0</v>
      </c>
      <c r="AE21" s="30">
        <f t="shared" si="36"/>
        <v>0</v>
      </c>
    </row>
    <row r="22" spans="1:31" ht="12.75" customHeight="1">
      <c r="A22" s="74"/>
      <c r="B22" s="9" t="s">
        <v>116</v>
      </c>
      <c r="C22" s="75"/>
      <c r="D22" s="75"/>
      <c r="E22" s="75"/>
      <c r="F22" s="75"/>
      <c r="G22" s="10"/>
      <c r="H22" s="75"/>
      <c r="I22" s="75"/>
      <c r="J22" s="75"/>
      <c r="K22" s="30">
        <f t="shared" si="24"/>
        <v>0</v>
      </c>
      <c r="L22" s="75"/>
      <c r="M22" s="75"/>
      <c r="N22" s="75"/>
      <c r="O22" s="30">
        <f t="shared" si="25"/>
        <v>0</v>
      </c>
      <c r="P22" s="75"/>
      <c r="Q22" s="75"/>
      <c r="R22" s="75"/>
      <c r="S22" s="30">
        <f t="shared" si="26"/>
        <v>0</v>
      </c>
      <c r="T22" s="75"/>
      <c r="U22" s="5"/>
      <c r="V22" s="30">
        <f t="shared" si="27"/>
        <v>0</v>
      </c>
      <c r="W22" s="30">
        <f t="shared" si="28"/>
        <v>0</v>
      </c>
      <c r="X22" s="30">
        <f t="shared" si="29"/>
        <v>0</v>
      </c>
      <c r="Y22" s="30">
        <f t="shared" si="30"/>
        <v>0</v>
      </c>
      <c r="Z22" s="30">
        <f t="shared" si="31"/>
        <v>0</v>
      </c>
      <c r="AA22" s="30">
        <f t="shared" si="32"/>
        <v>0</v>
      </c>
      <c r="AB22" s="30">
        <f t="shared" si="33"/>
        <v>0</v>
      </c>
      <c r="AC22" s="30">
        <f t="shared" si="34"/>
        <v>0</v>
      </c>
      <c r="AD22" s="30">
        <f t="shared" si="35"/>
        <v>0</v>
      </c>
      <c r="AE22" s="30">
        <f t="shared" si="36"/>
        <v>0</v>
      </c>
    </row>
    <row r="23" spans="1:31">
      <c r="A23" s="74"/>
      <c r="B23" s="9" t="s">
        <v>116</v>
      </c>
      <c r="C23" s="75"/>
      <c r="D23" s="75"/>
      <c r="E23" s="75"/>
      <c r="F23" s="75"/>
      <c r="G23" s="10"/>
      <c r="H23" s="75"/>
      <c r="I23" s="75"/>
      <c r="J23" s="75"/>
      <c r="K23" s="30">
        <f t="shared" si="24"/>
        <v>0</v>
      </c>
      <c r="L23" s="75"/>
      <c r="M23" s="75"/>
      <c r="N23" s="75"/>
      <c r="O23" s="30">
        <f t="shared" si="25"/>
        <v>0</v>
      </c>
      <c r="P23" s="75"/>
      <c r="Q23" s="75"/>
      <c r="R23" s="75"/>
      <c r="S23" s="30">
        <f t="shared" si="26"/>
        <v>0</v>
      </c>
      <c r="T23" s="75"/>
      <c r="U23" s="5"/>
      <c r="V23" s="30">
        <f t="shared" si="27"/>
        <v>0</v>
      </c>
      <c r="W23" s="30">
        <f t="shared" si="28"/>
        <v>0</v>
      </c>
      <c r="X23" s="30">
        <f t="shared" si="29"/>
        <v>0</v>
      </c>
      <c r="Y23" s="30">
        <f t="shared" si="30"/>
        <v>0</v>
      </c>
      <c r="Z23" s="30">
        <f t="shared" si="31"/>
        <v>0</v>
      </c>
      <c r="AA23" s="30">
        <f t="shared" si="32"/>
        <v>0</v>
      </c>
      <c r="AB23" s="30">
        <f t="shared" si="33"/>
        <v>0</v>
      </c>
      <c r="AC23" s="30">
        <f t="shared" si="34"/>
        <v>0</v>
      </c>
      <c r="AD23" s="30">
        <f t="shared" si="35"/>
        <v>0</v>
      </c>
      <c r="AE23" s="30">
        <f t="shared" si="36"/>
        <v>0</v>
      </c>
    </row>
    <row r="24" spans="1:31">
      <c r="A24" s="74"/>
      <c r="B24" s="9" t="s">
        <v>116</v>
      </c>
      <c r="C24" s="75"/>
      <c r="D24" s="75"/>
      <c r="E24" s="75"/>
      <c r="F24" s="75"/>
      <c r="G24" s="10"/>
      <c r="H24" s="75"/>
      <c r="I24" s="75"/>
      <c r="J24" s="75"/>
      <c r="K24" s="30">
        <f t="shared" si="24"/>
        <v>0</v>
      </c>
      <c r="L24" s="75"/>
      <c r="M24" s="75"/>
      <c r="N24" s="75"/>
      <c r="O24" s="30">
        <f t="shared" si="25"/>
        <v>0</v>
      </c>
      <c r="P24" s="75"/>
      <c r="Q24" s="75"/>
      <c r="R24" s="75"/>
      <c r="S24" s="30">
        <f t="shared" si="26"/>
        <v>0</v>
      </c>
      <c r="T24" s="75"/>
      <c r="U24" s="5"/>
      <c r="V24" s="30">
        <f t="shared" ref="V24:V25" si="37">SUM(H24:K24)</f>
        <v>0</v>
      </c>
      <c r="W24" s="30">
        <f t="shared" ref="W24:W25" si="38">SUM(I24:L24)</f>
        <v>0</v>
      </c>
      <c r="X24" s="30">
        <f t="shared" ref="X24:X25" si="39">SUM(J24:M24)</f>
        <v>0</v>
      </c>
      <c r="Y24" s="30">
        <f t="shared" ref="Y24:Y25" si="40">SUM(K24:N24)</f>
        <v>0</v>
      </c>
      <c r="Z24" s="30">
        <f t="shared" ref="Z24:Z25" si="41">SUM(L24:O24)</f>
        <v>0</v>
      </c>
      <c r="AA24" s="30">
        <f t="shared" ref="AA24:AA25" si="42">SUM(M24:P24)</f>
        <v>0</v>
      </c>
      <c r="AB24" s="30">
        <f t="shared" ref="AB24:AB25" si="43">SUM(N24:Q24)</f>
        <v>0</v>
      </c>
      <c r="AC24" s="30">
        <f t="shared" ref="AC24:AC25" si="44">SUM(O24:R24)</f>
        <v>0</v>
      </c>
      <c r="AD24" s="30">
        <f t="shared" ref="AD24:AD25" si="45">SUM(P24:S24)</f>
        <v>0</v>
      </c>
      <c r="AE24" s="30">
        <f t="shared" ref="AE24:AE25" si="46">SUM(Q24:T24)</f>
        <v>0</v>
      </c>
    </row>
    <row r="25" spans="1:31">
      <c r="A25" s="74"/>
      <c r="B25" s="9" t="s">
        <v>116</v>
      </c>
      <c r="C25" s="75"/>
      <c r="D25" s="75"/>
      <c r="E25" s="75"/>
      <c r="F25" s="75"/>
      <c r="G25" s="10"/>
      <c r="H25" s="75"/>
      <c r="I25" s="75"/>
      <c r="J25" s="75"/>
      <c r="K25" s="30">
        <f t="shared" si="24"/>
        <v>0</v>
      </c>
      <c r="L25" s="75"/>
      <c r="M25" s="75"/>
      <c r="N25" s="75"/>
      <c r="O25" s="30">
        <f t="shared" si="25"/>
        <v>0</v>
      </c>
      <c r="P25" s="75"/>
      <c r="Q25" s="75"/>
      <c r="R25" s="75"/>
      <c r="S25" s="30">
        <f t="shared" si="26"/>
        <v>0</v>
      </c>
      <c r="T25" s="75"/>
      <c r="U25" s="5"/>
      <c r="V25" s="30">
        <f t="shared" si="37"/>
        <v>0</v>
      </c>
      <c r="W25" s="30">
        <f t="shared" si="38"/>
        <v>0</v>
      </c>
      <c r="X25" s="30">
        <f t="shared" si="39"/>
        <v>0</v>
      </c>
      <c r="Y25" s="30">
        <f t="shared" si="40"/>
        <v>0</v>
      </c>
      <c r="Z25" s="30">
        <f t="shared" si="41"/>
        <v>0</v>
      </c>
      <c r="AA25" s="30">
        <f t="shared" si="42"/>
        <v>0</v>
      </c>
      <c r="AB25" s="30">
        <f t="shared" si="43"/>
        <v>0</v>
      </c>
      <c r="AC25" s="30">
        <f t="shared" si="44"/>
        <v>0</v>
      </c>
      <c r="AD25" s="30">
        <f t="shared" si="45"/>
        <v>0</v>
      </c>
      <c r="AE25" s="30">
        <f t="shared" si="46"/>
        <v>0</v>
      </c>
    </row>
    <row r="26" spans="1:31">
      <c r="B26" s="12" t="s">
        <v>12</v>
      </c>
      <c r="C26" s="13">
        <f t="shared" ref="C26:F26" si="47">SUM(C20:C25)</f>
        <v>0</v>
      </c>
      <c r="D26" s="13">
        <f t="shared" si="47"/>
        <v>0</v>
      </c>
      <c r="E26" s="13">
        <f t="shared" si="47"/>
        <v>0</v>
      </c>
      <c r="F26" s="13">
        <f t="shared" si="47"/>
        <v>0</v>
      </c>
      <c r="G26" s="11"/>
      <c r="H26" s="13">
        <f t="shared" ref="H26:T26" si="48">SUM(H20:H25)</f>
        <v>0</v>
      </c>
      <c r="I26" s="13">
        <f t="shared" si="48"/>
        <v>0</v>
      </c>
      <c r="J26" s="13">
        <f t="shared" si="48"/>
        <v>0</v>
      </c>
      <c r="K26" s="13">
        <f t="shared" si="48"/>
        <v>0</v>
      </c>
      <c r="L26" s="13">
        <f t="shared" si="48"/>
        <v>0</v>
      </c>
      <c r="M26" s="13">
        <f t="shared" si="48"/>
        <v>0</v>
      </c>
      <c r="N26" s="13">
        <f t="shared" si="48"/>
        <v>0</v>
      </c>
      <c r="O26" s="13">
        <f t="shared" si="48"/>
        <v>0</v>
      </c>
      <c r="P26" s="13">
        <f t="shared" si="48"/>
        <v>0</v>
      </c>
      <c r="Q26" s="13">
        <f t="shared" si="48"/>
        <v>0</v>
      </c>
      <c r="R26" s="13">
        <f t="shared" si="48"/>
        <v>0</v>
      </c>
      <c r="S26" s="13">
        <f t="shared" si="48"/>
        <v>0</v>
      </c>
      <c r="T26" s="13">
        <f t="shared" si="48"/>
        <v>0</v>
      </c>
      <c r="U26" s="5"/>
      <c r="V26" s="13">
        <f t="shared" ref="V26:AE26" si="49">SUM(V20:V25)</f>
        <v>0</v>
      </c>
      <c r="W26" s="13">
        <f t="shared" si="49"/>
        <v>0</v>
      </c>
      <c r="X26" s="13">
        <f t="shared" si="49"/>
        <v>0</v>
      </c>
      <c r="Y26" s="13">
        <f t="shared" si="49"/>
        <v>0</v>
      </c>
      <c r="Z26" s="13">
        <f t="shared" si="49"/>
        <v>0</v>
      </c>
      <c r="AA26" s="13">
        <f t="shared" si="49"/>
        <v>0</v>
      </c>
      <c r="AB26" s="13">
        <f t="shared" si="49"/>
        <v>0</v>
      </c>
      <c r="AC26" s="13">
        <f t="shared" si="49"/>
        <v>0</v>
      </c>
      <c r="AD26" s="13">
        <f t="shared" si="49"/>
        <v>0</v>
      </c>
      <c r="AE26" s="13">
        <f t="shared" si="49"/>
        <v>0</v>
      </c>
    </row>
    <row r="27" spans="1:31" outlineLevel="1">
      <c r="B27" s="114" t="s">
        <v>63</v>
      </c>
      <c r="C27" s="73">
        <f t="shared" ref="C27:F27" si="50">+C26-C11</f>
        <v>0</v>
      </c>
      <c r="D27" s="73">
        <f t="shared" si="50"/>
        <v>0</v>
      </c>
      <c r="E27" s="73">
        <f t="shared" si="50"/>
        <v>0</v>
      </c>
      <c r="F27" s="73">
        <f t="shared" si="50"/>
        <v>0</v>
      </c>
      <c r="G27" s="11"/>
      <c r="H27" s="73">
        <f t="shared" ref="H27" si="51">+H26-H11</f>
        <v>0</v>
      </c>
      <c r="I27" s="73">
        <f t="shared" ref="I27" si="52">+I26-I11</f>
        <v>0</v>
      </c>
      <c r="J27" s="73">
        <f t="shared" ref="J27" si="53">+J26-J11</f>
        <v>0</v>
      </c>
      <c r="K27" s="73">
        <f t="shared" ref="K27" si="54">+K26-K11</f>
        <v>0</v>
      </c>
      <c r="L27" s="73">
        <f t="shared" ref="L27" si="55">+L26-L11</f>
        <v>0</v>
      </c>
      <c r="M27" s="73">
        <f t="shared" ref="M27" si="56">+M26-M11</f>
        <v>0</v>
      </c>
      <c r="N27" s="73">
        <f t="shared" ref="N27" si="57">+N26-N11</f>
        <v>0</v>
      </c>
      <c r="O27" s="73">
        <f t="shared" ref="O27" si="58">+O26-O11</f>
        <v>0</v>
      </c>
      <c r="P27" s="73">
        <f t="shared" ref="P27" si="59">+P26-P11</f>
        <v>0</v>
      </c>
      <c r="Q27" s="73">
        <f t="shared" ref="Q27" si="60">+Q26-Q11</f>
        <v>0</v>
      </c>
      <c r="R27" s="73">
        <f t="shared" ref="R27" si="61">+R26-R11</f>
        <v>0</v>
      </c>
      <c r="S27" s="73">
        <f t="shared" ref="S27" si="62">+S26-S11</f>
        <v>0</v>
      </c>
      <c r="T27" s="73">
        <f t="shared" ref="T27" si="63">+T26-T11</f>
        <v>0</v>
      </c>
      <c r="U27" s="5"/>
      <c r="V27" s="73">
        <f t="shared" ref="V27" si="64">+V26-V11</f>
        <v>0</v>
      </c>
      <c r="W27" s="73">
        <f t="shared" ref="W27" si="65">+W26-W11</f>
        <v>0</v>
      </c>
      <c r="X27" s="73">
        <f t="shared" ref="X27" si="66">+X26-X11</f>
        <v>0</v>
      </c>
      <c r="Y27" s="73">
        <f t="shared" ref="Y27" si="67">+Y26-Y11</f>
        <v>0</v>
      </c>
      <c r="Z27" s="73">
        <f t="shared" ref="Z27" si="68">+Z26-Z11</f>
        <v>0</v>
      </c>
      <c r="AA27" s="73">
        <f t="shared" ref="AA27" si="69">+AA26-AA11</f>
        <v>0</v>
      </c>
      <c r="AB27" s="73">
        <f t="shared" ref="AB27" si="70">+AB26-AB11</f>
        <v>0</v>
      </c>
      <c r="AC27" s="73">
        <f t="shared" ref="AC27" si="71">+AC26-AC11</f>
        <v>0</v>
      </c>
      <c r="AD27" s="73">
        <f t="shared" ref="AD27" si="72">+AD26-AD11</f>
        <v>0</v>
      </c>
      <c r="AE27" s="73">
        <f t="shared" ref="AE27" si="73">+AE26-AE11</f>
        <v>0</v>
      </c>
    </row>
    <row r="28" spans="1:31">
      <c r="B28" s="16"/>
      <c r="C28" s="17"/>
      <c r="D28" s="17"/>
      <c r="E28" s="17"/>
      <c r="F28" s="17"/>
      <c r="G28" s="18"/>
      <c r="H28" s="19"/>
      <c r="I28" s="19"/>
      <c r="J28" s="19"/>
      <c r="K28" s="20"/>
      <c r="L28" s="19"/>
      <c r="M28" s="19"/>
      <c r="N28" s="19"/>
      <c r="O28" s="19"/>
      <c r="P28" s="19"/>
      <c r="Q28" s="19"/>
      <c r="R28" s="19"/>
      <c r="S28" s="19"/>
      <c r="T28" s="19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>
      <c r="B29" s="115" t="str">
        <f>B20&amp;"(%)"</f>
        <v>XXX(%)</v>
      </c>
      <c r="C29" s="127" t="e">
        <f t="shared" ref="C29:F29" si="74">C20/C$26</f>
        <v>#DIV/0!</v>
      </c>
      <c r="D29" s="127" t="e">
        <f t="shared" si="74"/>
        <v>#DIV/0!</v>
      </c>
      <c r="E29" s="127" t="e">
        <f t="shared" si="74"/>
        <v>#DIV/0!</v>
      </c>
      <c r="F29" s="127" t="e">
        <f t="shared" si="74"/>
        <v>#DIV/0!</v>
      </c>
      <c r="G29" s="116"/>
      <c r="H29" s="127" t="e">
        <f t="shared" ref="H29:T29" si="75">H20/H$26</f>
        <v>#DIV/0!</v>
      </c>
      <c r="I29" s="127" t="e">
        <f t="shared" si="75"/>
        <v>#DIV/0!</v>
      </c>
      <c r="J29" s="127" t="e">
        <f t="shared" si="75"/>
        <v>#DIV/0!</v>
      </c>
      <c r="K29" s="127" t="e">
        <f t="shared" si="75"/>
        <v>#DIV/0!</v>
      </c>
      <c r="L29" s="127" t="e">
        <f t="shared" si="75"/>
        <v>#DIV/0!</v>
      </c>
      <c r="M29" s="127" t="e">
        <f t="shared" si="75"/>
        <v>#DIV/0!</v>
      </c>
      <c r="N29" s="127" t="e">
        <f t="shared" si="75"/>
        <v>#DIV/0!</v>
      </c>
      <c r="O29" s="127" t="e">
        <f t="shared" si="75"/>
        <v>#DIV/0!</v>
      </c>
      <c r="P29" s="127" t="e">
        <f t="shared" si="75"/>
        <v>#DIV/0!</v>
      </c>
      <c r="Q29" s="127" t="e">
        <f t="shared" si="75"/>
        <v>#DIV/0!</v>
      </c>
      <c r="R29" s="127" t="e">
        <f t="shared" si="75"/>
        <v>#DIV/0!</v>
      </c>
      <c r="S29" s="127" t="e">
        <f t="shared" si="75"/>
        <v>#DIV/0!</v>
      </c>
      <c r="T29" s="127" t="e">
        <f t="shared" si="75"/>
        <v>#DIV/0!</v>
      </c>
      <c r="U29" s="116"/>
      <c r="V29" s="117" t="e">
        <f t="shared" ref="V29:AE29" si="76">V20/V$26</f>
        <v>#DIV/0!</v>
      </c>
      <c r="W29" s="117" t="e">
        <f t="shared" si="76"/>
        <v>#DIV/0!</v>
      </c>
      <c r="X29" s="117" t="e">
        <f t="shared" si="76"/>
        <v>#DIV/0!</v>
      </c>
      <c r="Y29" s="117" t="e">
        <f t="shared" si="76"/>
        <v>#DIV/0!</v>
      </c>
      <c r="Z29" s="117" t="e">
        <f t="shared" si="76"/>
        <v>#DIV/0!</v>
      </c>
      <c r="AA29" s="117" t="e">
        <f t="shared" si="76"/>
        <v>#DIV/0!</v>
      </c>
      <c r="AB29" s="117" t="e">
        <f t="shared" si="76"/>
        <v>#DIV/0!</v>
      </c>
      <c r="AC29" s="117" t="e">
        <f t="shared" si="76"/>
        <v>#DIV/0!</v>
      </c>
      <c r="AD29" s="117" t="e">
        <f t="shared" si="76"/>
        <v>#DIV/0!</v>
      </c>
      <c r="AE29" s="118" t="e">
        <f t="shared" si="76"/>
        <v>#DIV/0!</v>
      </c>
    </row>
    <row r="30" spans="1:31" ht="12.75" customHeight="1">
      <c r="B30" s="119" t="str">
        <f t="shared" ref="B30" si="77">B21&amp;"(%)"</f>
        <v>XXX(%)</v>
      </c>
      <c r="C30" s="129" t="e">
        <f t="shared" ref="C30:F34" si="78">C21/C$26</f>
        <v>#DIV/0!</v>
      </c>
      <c r="D30" s="129" t="e">
        <f t="shared" si="78"/>
        <v>#DIV/0!</v>
      </c>
      <c r="E30" s="129" t="e">
        <f t="shared" si="78"/>
        <v>#DIV/0!</v>
      </c>
      <c r="F30" s="129" t="e">
        <f t="shared" si="78"/>
        <v>#DIV/0!</v>
      </c>
      <c r="G30" s="120"/>
      <c r="H30" s="129" t="e">
        <f t="shared" ref="H30:T30" si="79">H21/H$26</f>
        <v>#DIV/0!</v>
      </c>
      <c r="I30" s="129" t="e">
        <f t="shared" si="79"/>
        <v>#DIV/0!</v>
      </c>
      <c r="J30" s="129" t="e">
        <f t="shared" si="79"/>
        <v>#DIV/0!</v>
      </c>
      <c r="K30" s="129" t="e">
        <f t="shared" si="79"/>
        <v>#DIV/0!</v>
      </c>
      <c r="L30" s="129" t="e">
        <f t="shared" si="79"/>
        <v>#DIV/0!</v>
      </c>
      <c r="M30" s="129" t="e">
        <f t="shared" si="79"/>
        <v>#DIV/0!</v>
      </c>
      <c r="N30" s="129" t="e">
        <f t="shared" si="79"/>
        <v>#DIV/0!</v>
      </c>
      <c r="O30" s="129" t="e">
        <f t="shared" si="79"/>
        <v>#DIV/0!</v>
      </c>
      <c r="P30" s="129" t="e">
        <f t="shared" si="79"/>
        <v>#DIV/0!</v>
      </c>
      <c r="Q30" s="129" t="e">
        <f t="shared" si="79"/>
        <v>#DIV/0!</v>
      </c>
      <c r="R30" s="129" t="e">
        <f t="shared" si="79"/>
        <v>#DIV/0!</v>
      </c>
      <c r="S30" s="129" t="e">
        <f t="shared" si="79"/>
        <v>#DIV/0!</v>
      </c>
      <c r="T30" s="129" t="e">
        <f t="shared" si="79"/>
        <v>#DIV/0!</v>
      </c>
      <c r="U30" s="120"/>
      <c r="V30" s="121" t="e">
        <f t="shared" ref="V30:AE30" si="80">V21/V$26</f>
        <v>#DIV/0!</v>
      </c>
      <c r="W30" s="121" t="e">
        <f t="shared" si="80"/>
        <v>#DIV/0!</v>
      </c>
      <c r="X30" s="121" t="e">
        <f t="shared" si="80"/>
        <v>#DIV/0!</v>
      </c>
      <c r="Y30" s="121" t="e">
        <f t="shared" si="80"/>
        <v>#DIV/0!</v>
      </c>
      <c r="Z30" s="121" t="e">
        <f t="shared" si="80"/>
        <v>#DIV/0!</v>
      </c>
      <c r="AA30" s="121" t="e">
        <f t="shared" si="80"/>
        <v>#DIV/0!</v>
      </c>
      <c r="AB30" s="121" t="e">
        <f t="shared" si="80"/>
        <v>#DIV/0!</v>
      </c>
      <c r="AC30" s="121" t="e">
        <f t="shared" si="80"/>
        <v>#DIV/0!</v>
      </c>
      <c r="AD30" s="121" t="e">
        <f t="shared" si="80"/>
        <v>#DIV/0!</v>
      </c>
      <c r="AE30" s="122" t="e">
        <f t="shared" si="80"/>
        <v>#DIV/0!</v>
      </c>
    </row>
    <row r="31" spans="1:31" ht="12.75" customHeight="1">
      <c r="B31" s="119" t="str">
        <f>B22&amp;"(%)"</f>
        <v>XXX(%)</v>
      </c>
      <c r="C31" s="129" t="e">
        <f t="shared" si="78"/>
        <v>#DIV/0!</v>
      </c>
      <c r="D31" s="129" t="e">
        <f t="shared" si="78"/>
        <v>#DIV/0!</v>
      </c>
      <c r="E31" s="129" t="e">
        <f t="shared" si="78"/>
        <v>#DIV/0!</v>
      </c>
      <c r="F31" s="129" t="e">
        <f t="shared" si="78"/>
        <v>#DIV/0!</v>
      </c>
      <c r="G31" s="120"/>
      <c r="H31" s="129" t="e">
        <f t="shared" ref="H31:T31" si="81">H22/H$26</f>
        <v>#DIV/0!</v>
      </c>
      <c r="I31" s="129" t="e">
        <f t="shared" si="81"/>
        <v>#DIV/0!</v>
      </c>
      <c r="J31" s="129" t="e">
        <f t="shared" si="81"/>
        <v>#DIV/0!</v>
      </c>
      <c r="K31" s="129" t="e">
        <f t="shared" si="81"/>
        <v>#DIV/0!</v>
      </c>
      <c r="L31" s="129" t="e">
        <f t="shared" si="81"/>
        <v>#DIV/0!</v>
      </c>
      <c r="M31" s="129" t="e">
        <f t="shared" si="81"/>
        <v>#DIV/0!</v>
      </c>
      <c r="N31" s="129" t="e">
        <f t="shared" si="81"/>
        <v>#DIV/0!</v>
      </c>
      <c r="O31" s="129" t="e">
        <f t="shared" si="81"/>
        <v>#DIV/0!</v>
      </c>
      <c r="P31" s="129" t="e">
        <f t="shared" si="81"/>
        <v>#DIV/0!</v>
      </c>
      <c r="Q31" s="129" t="e">
        <f t="shared" si="81"/>
        <v>#DIV/0!</v>
      </c>
      <c r="R31" s="129" t="e">
        <f t="shared" si="81"/>
        <v>#DIV/0!</v>
      </c>
      <c r="S31" s="129" t="e">
        <f t="shared" si="81"/>
        <v>#DIV/0!</v>
      </c>
      <c r="T31" s="129" t="e">
        <f t="shared" si="81"/>
        <v>#DIV/0!</v>
      </c>
      <c r="U31" s="120"/>
      <c r="V31" s="121" t="e">
        <f t="shared" ref="V31:AE31" si="82">V22/V$26</f>
        <v>#DIV/0!</v>
      </c>
      <c r="W31" s="121" t="e">
        <f t="shared" si="82"/>
        <v>#DIV/0!</v>
      </c>
      <c r="X31" s="121" t="e">
        <f t="shared" si="82"/>
        <v>#DIV/0!</v>
      </c>
      <c r="Y31" s="121" t="e">
        <f t="shared" si="82"/>
        <v>#DIV/0!</v>
      </c>
      <c r="Z31" s="121" t="e">
        <f t="shared" si="82"/>
        <v>#DIV/0!</v>
      </c>
      <c r="AA31" s="121" t="e">
        <f t="shared" si="82"/>
        <v>#DIV/0!</v>
      </c>
      <c r="AB31" s="121" t="e">
        <f t="shared" si="82"/>
        <v>#DIV/0!</v>
      </c>
      <c r="AC31" s="121" t="e">
        <f t="shared" si="82"/>
        <v>#DIV/0!</v>
      </c>
      <c r="AD31" s="121" t="e">
        <f t="shared" si="82"/>
        <v>#DIV/0!</v>
      </c>
      <c r="AE31" s="122" t="e">
        <f t="shared" si="82"/>
        <v>#DIV/0!</v>
      </c>
    </row>
    <row r="32" spans="1:31" ht="12.75" customHeight="1">
      <c r="B32" s="119" t="str">
        <f>B23&amp;"(%)"</f>
        <v>XXX(%)</v>
      </c>
      <c r="C32" s="129" t="e">
        <f t="shared" si="78"/>
        <v>#DIV/0!</v>
      </c>
      <c r="D32" s="129" t="e">
        <f t="shared" si="78"/>
        <v>#DIV/0!</v>
      </c>
      <c r="E32" s="129" t="e">
        <f t="shared" si="78"/>
        <v>#DIV/0!</v>
      </c>
      <c r="F32" s="129" t="e">
        <f t="shared" si="78"/>
        <v>#DIV/0!</v>
      </c>
      <c r="G32" s="120"/>
      <c r="H32" s="129" t="e">
        <f t="shared" ref="H32:T32" si="83">H23/H$26</f>
        <v>#DIV/0!</v>
      </c>
      <c r="I32" s="129" t="e">
        <f t="shared" si="83"/>
        <v>#DIV/0!</v>
      </c>
      <c r="J32" s="129" t="e">
        <f t="shared" si="83"/>
        <v>#DIV/0!</v>
      </c>
      <c r="K32" s="129" t="e">
        <f t="shared" si="83"/>
        <v>#DIV/0!</v>
      </c>
      <c r="L32" s="129" t="e">
        <f t="shared" si="83"/>
        <v>#DIV/0!</v>
      </c>
      <c r="M32" s="129" t="e">
        <f t="shared" si="83"/>
        <v>#DIV/0!</v>
      </c>
      <c r="N32" s="129" t="e">
        <f t="shared" si="83"/>
        <v>#DIV/0!</v>
      </c>
      <c r="O32" s="129" t="e">
        <f t="shared" si="83"/>
        <v>#DIV/0!</v>
      </c>
      <c r="P32" s="129" t="e">
        <f t="shared" si="83"/>
        <v>#DIV/0!</v>
      </c>
      <c r="Q32" s="129" t="e">
        <f t="shared" si="83"/>
        <v>#DIV/0!</v>
      </c>
      <c r="R32" s="129" t="e">
        <f t="shared" si="83"/>
        <v>#DIV/0!</v>
      </c>
      <c r="S32" s="129" t="e">
        <f t="shared" si="83"/>
        <v>#DIV/0!</v>
      </c>
      <c r="T32" s="129" t="e">
        <f t="shared" si="83"/>
        <v>#DIV/0!</v>
      </c>
      <c r="U32" s="120"/>
      <c r="V32" s="121" t="e">
        <f t="shared" ref="V32:AE32" si="84">V23/V$26</f>
        <v>#DIV/0!</v>
      </c>
      <c r="W32" s="121" t="e">
        <f t="shared" si="84"/>
        <v>#DIV/0!</v>
      </c>
      <c r="X32" s="121" t="e">
        <f t="shared" si="84"/>
        <v>#DIV/0!</v>
      </c>
      <c r="Y32" s="121" t="e">
        <f t="shared" si="84"/>
        <v>#DIV/0!</v>
      </c>
      <c r="Z32" s="121" t="e">
        <f t="shared" si="84"/>
        <v>#DIV/0!</v>
      </c>
      <c r="AA32" s="121" t="e">
        <f t="shared" si="84"/>
        <v>#DIV/0!</v>
      </c>
      <c r="AB32" s="121" t="e">
        <f t="shared" si="84"/>
        <v>#DIV/0!</v>
      </c>
      <c r="AC32" s="121" t="e">
        <f t="shared" si="84"/>
        <v>#DIV/0!</v>
      </c>
      <c r="AD32" s="121" t="e">
        <f t="shared" si="84"/>
        <v>#DIV/0!</v>
      </c>
      <c r="AE32" s="122" t="e">
        <f t="shared" si="84"/>
        <v>#DIV/0!</v>
      </c>
    </row>
    <row r="33" spans="2:31" ht="12.75" customHeight="1">
      <c r="B33" s="119" t="str">
        <f>B24&amp;"(%)"</f>
        <v>XXX(%)</v>
      </c>
      <c r="C33" s="129" t="e">
        <f t="shared" si="78"/>
        <v>#DIV/0!</v>
      </c>
      <c r="D33" s="129" t="e">
        <f t="shared" si="78"/>
        <v>#DIV/0!</v>
      </c>
      <c r="E33" s="129" t="e">
        <f t="shared" si="78"/>
        <v>#DIV/0!</v>
      </c>
      <c r="F33" s="129" t="e">
        <f t="shared" si="78"/>
        <v>#DIV/0!</v>
      </c>
      <c r="G33" s="120"/>
      <c r="H33" s="129" t="e">
        <f t="shared" ref="H33:T33" si="85">H24/H$26</f>
        <v>#DIV/0!</v>
      </c>
      <c r="I33" s="129" t="e">
        <f t="shared" si="85"/>
        <v>#DIV/0!</v>
      </c>
      <c r="J33" s="129" t="e">
        <f t="shared" si="85"/>
        <v>#DIV/0!</v>
      </c>
      <c r="K33" s="129" t="e">
        <f t="shared" si="85"/>
        <v>#DIV/0!</v>
      </c>
      <c r="L33" s="129" t="e">
        <f t="shared" si="85"/>
        <v>#DIV/0!</v>
      </c>
      <c r="M33" s="129" t="e">
        <f t="shared" si="85"/>
        <v>#DIV/0!</v>
      </c>
      <c r="N33" s="129" t="e">
        <f t="shared" si="85"/>
        <v>#DIV/0!</v>
      </c>
      <c r="O33" s="129" t="e">
        <f t="shared" si="85"/>
        <v>#DIV/0!</v>
      </c>
      <c r="P33" s="129" t="e">
        <f t="shared" si="85"/>
        <v>#DIV/0!</v>
      </c>
      <c r="Q33" s="129" t="e">
        <f t="shared" si="85"/>
        <v>#DIV/0!</v>
      </c>
      <c r="R33" s="129" t="e">
        <f t="shared" si="85"/>
        <v>#DIV/0!</v>
      </c>
      <c r="S33" s="129" t="e">
        <f t="shared" si="85"/>
        <v>#DIV/0!</v>
      </c>
      <c r="T33" s="129" t="e">
        <f t="shared" si="85"/>
        <v>#DIV/0!</v>
      </c>
      <c r="U33" s="120"/>
      <c r="V33" s="121" t="e">
        <f t="shared" ref="V33:AE33" si="86">V24/V$26</f>
        <v>#DIV/0!</v>
      </c>
      <c r="W33" s="121" t="e">
        <f t="shared" si="86"/>
        <v>#DIV/0!</v>
      </c>
      <c r="X33" s="121" t="e">
        <f t="shared" si="86"/>
        <v>#DIV/0!</v>
      </c>
      <c r="Y33" s="121" t="e">
        <f t="shared" si="86"/>
        <v>#DIV/0!</v>
      </c>
      <c r="Z33" s="121" t="e">
        <f t="shared" si="86"/>
        <v>#DIV/0!</v>
      </c>
      <c r="AA33" s="121" t="e">
        <f t="shared" si="86"/>
        <v>#DIV/0!</v>
      </c>
      <c r="AB33" s="121" t="e">
        <f t="shared" si="86"/>
        <v>#DIV/0!</v>
      </c>
      <c r="AC33" s="121" t="e">
        <f t="shared" si="86"/>
        <v>#DIV/0!</v>
      </c>
      <c r="AD33" s="121" t="e">
        <f t="shared" si="86"/>
        <v>#DIV/0!</v>
      </c>
      <c r="AE33" s="122" t="e">
        <f t="shared" si="86"/>
        <v>#DIV/0!</v>
      </c>
    </row>
    <row r="34" spans="2:31" ht="12.75" customHeight="1">
      <c r="B34" s="123" t="str">
        <f>B25&amp;"(%)"</f>
        <v>XXX(%)</v>
      </c>
      <c r="C34" s="128" t="e">
        <f t="shared" si="78"/>
        <v>#DIV/0!</v>
      </c>
      <c r="D34" s="128" t="e">
        <f t="shared" si="78"/>
        <v>#DIV/0!</v>
      </c>
      <c r="E34" s="128" t="e">
        <f t="shared" si="78"/>
        <v>#DIV/0!</v>
      </c>
      <c r="F34" s="128" t="e">
        <f t="shared" si="78"/>
        <v>#DIV/0!</v>
      </c>
      <c r="G34" s="124"/>
      <c r="H34" s="128" t="e">
        <f t="shared" ref="H34:T34" si="87">H25/H$26</f>
        <v>#DIV/0!</v>
      </c>
      <c r="I34" s="128" t="e">
        <f t="shared" si="87"/>
        <v>#DIV/0!</v>
      </c>
      <c r="J34" s="128" t="e">
        <f t="shared" si="87"/>
        <v>#DIV/0!</v>
      </c>
      <c r="K34" s="128" t="e">
        <f t="shared" si="87"/>
        <v>#DIV/0!</v>
      </c>
      <c r="L34" s="128" t="e">
        <f t="shared" si="87"/>
        <v>#DIV/0!</v>
      </c>
      <c r="M34" s="128" t="e">
        <f t="shared" si="87"/>
        <v>#DIV/0!</v>
      </c>
      <c r="N34" s="128" t="e">
        <f t="shared" si="87"/>
        <v>#DIV/0!</v>
      </c>
      <c r="O34" s="128" t="e">
        <f t="shared" si="87"/>
        <v>#DIV/0!</v>
      </c>
      <c r="P34" s="128" t="e">
        <f t="shared" si="87"/>
        <v>#DIV/0!</v>
      </c>
      <c r="Q34" s="128" t="e">
        <f t="shared" si="87"/>
        <v>#DIV/0!</v>
      </c>
      <c r="R34" s="128" t="e">
        <f t="shared" si="87"/>
        <v>#DIV/0!</v>
      </c>
      <c r="S34" s="128" t="e">
        <f t="shared" si="87"/>
        <v>#DIV/0!</v>
      </c>
      <c r="T34" s="128" t="e">
        <f t="shared" si="87"/>
        <v>#DIV/0!</v>
      </c>
      <c r="U34" s="124"/>
      <c r="V34" s="125" t="e">
        <f t="shared" ref="V34:AE34" si="88">V25/V$26</f>
        <v>#DIV/0!</v>
      </c>
      <c r="W34" s="125" t="e">
        <f t="shared" si="88"/>
        <v>#DIV/0!</v>
      </c>
      <c r="X34" s="125" t="e">
        <f t="shared" si="88"/>
        <v>#DIV/0!</v>
      </c>
      <c r="Y34" s="125" t="e">
        <f t="shared" si="88"/>
        <v>#DIV/0!</v>
      </c>
      <c r="Z34" s="125" t="e">
        <f t="shared" si="88"/>
        <v>#DIV/0!</v>
      </c>
      <c r="AA34" s="125" t="e">
        <f t="shared" si="88"/>
        <v>#DIV/0!</v>
      </c>
      <c r="AB34" s="125" t="e">
        <f t="shared" si="88"/>
        <v>#DIV/0!</v>
      </c>
      <c r="AC34" s="125" t="e">
        <f t="shared" si="88"/>
        <v>#DIV/0!</v>
      </c>
      <c r="AD34" s="125" t="e">
        <f t="shared" si="88"/>
        <v>#DIV/0!</v>
      </c>
      <c r="AE34" s="126" t="e">
        <f t="shared" si="88"/>
        <v>#DIV/0!</v>
      </c>
    </row>
  </sheetData>
  <pageMargins left="0.7" right="0.7" top="0.75" bottom="0.75" header="0.3" footer="0.3"/>
  <ignoredErrors>
    <ignoredError sqref="H14:Q15 C14:E15 H29:T34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27CF-47F2-43ED-8CCB-3D99E5377DA5}">
  <sheetPr>
    <tabColor theme="6" tint="-0.249977111117893"/>
  </sheetPr>
  <dimension ref="A2:AG89"/>
  <sheetViews>
    <sheetView showGridLines="0" tabSelected="1" zoomScaleNormal="100" workbookViewId="0">
      <selection activeCell="C1" sqref="C1:C1048576"/>
    </sheetView>
  </sheetViews>
  <sheetFormatPr defaultRowHeight="12" outlineLevelCol="1"/>
  <cols>
    <col min="1" max="1" width="1.5" style="8" customWidth="1"/>
    <col min="2" max="2" width="41.625" style="8" customWidth="1"/>
    <col min="3" max="3" width="8.625" style="8" customWidth="1"/>
    <col min="4" max="4" width="9" style="8" bestFit="1"/>
    <col min="5" max="5" width="9.25" style="8" bestFit="1" customWidth="1"/>
    <col min="6" max="6" width="9" style="8"/>
    <col min="7" max="7" width="1.5" style="8" customWidth="1"/>
    <col min="8" max="10" width="8" style="8" customWidth="1"/>
    <col min="11" max="11" width="8.75" style="8" customWidth="1"/>
    <col min="12" max="13" width="8" style="8" customWidth="1"/>
    <col min="14" max="20" width="8.875" style="8" customWidth="1"/>
    <col min="21" max="21" width="1.625" style="8" customWidth="1"/>
    <col min="22" max="23" width="8.25" style="8" hidden="1" customWidth="1" outlineLevel="1"/>
    <col min="24" max="24" width="9.25" style="8" hidden="1" customWidth="1" outlineLevel="1"/>
    <col min="25" max="25" width="9.75" style="8" hidden="1" customWidth="1" outlineLevel="1"/>
    <col min="26" max="26" width="9" style="8" hidden="1" customWidth="1" outlineLevel="1"/>
    <col min="27" max="27" width="9" style="8" collapsed="1"/>
    <col min="28" max="29" width="9" style="8" hidden="1" customWidth="1" outlineLevel="1"/>
    <col min="30" max="30" width="8.5" style="8" hidden="1" customWidth="1" outlineLevel="1"/>
    <col min="31" max="31" width="8.5" style="8" bestFit="1" customWidth="1" collapsed="1"/>
    <col min="32" max="32" width="1.5" style="8" customWidth="1"/>
    <col min="33" max="33" width="7.5" style="111" bestFit="1" customWidth="1"/>
    <col min="34" max="16384" width="9" style="8"/>
  </cols>
  <sheetData>
    <row r="2" spans="2:33" s="5" customFormat="1" ht="12.75" customHeight="1">
      <c r="B2" s="1" t="str">
        <f>'Historical Financials'!B2</f>
        <v>XXX</v>
      </c>
      <c r="C2" s="2"/>
      <c r="D2" s="2" t="s">
        <v>0</v>
      </c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/>
      <c r="Q2" s="2"/>
      <c r="R2" s="2" t="s">
        <v>1</v>
      </c>
      <c r="S2" s="2"/>
      <c r="T2" s="2"/>
      <c r="U2" s="3"/>
      <c r="V2" s="2"/>
      <c r="W2" s="2"/>
      <c r="X2" s="2"/>
      <c r="Y2" s="2"/>
      <c r="Z2" s="2" t="s">
        <v>10</v>
      </c>
      <c r="AA2" s="2" t="s">
        <v>10</v>
      </c>
      <c r="AB2" s="2"/>
      <c r="AC2" s="2"/>
      <c r="AD2" s="2"/>
      <c r="AE2" s="2"/>
      <c r="AF2" s="3"/>
      <c r="AG2" s="140" t="s">
        <v>24</v>
      </c>
    </row>
    <row r="3" spans="2:33" s="5" customFormat="1" ht="12.75" customHeight="1">
      <c r="B3" s="6" t="s">
        <v>25</v>
      </c>
      <c r="C3" s="7">
        <f>'Historical Financials'!C7</f>
        <v>2022</v>
      </c>
      <c r="D3" s="7">
        <f>'Historical Financials'!D7</f>
        <v>2023</v>
      </c>
      <c r="E3" s="7">
        <f>'Historical Financials'!E7</f>
        <v>2024</v>
      </c>
      <c r="F3" s="7">
        <f>'Historical Financials'!F7</f>
        <v>2025</v>
      </c>
      <c r="G3" s="3"/>
      <c r="H3" s="7" t="str">
        <f>'Historical Financials'!H7</f>
        <v>1Q23</v>
      </c>
      <c r="I3" s="7" t="str">
        <f>'Historical Financials'!I7</f>
        <v>2Q23</v>
      </c>
      <c r="J3" s="7" t="str">
        <f>'Historical Financials'!J7</f>
        <v>3Q23</v>
      </c>
      <c r="K3" s="7" t="str">
        <f>'Historical Financials'!K7</f>
        <v>4Q23</v>
      </c>
      <c r="L3" s="7" t="str">
        <f>'Historical Financials'!L7</f>
        <v>1Q24</v>
      </c>
      <c r="M3" s="7" t="str">
        <f>'Historical Financials'!M7</f>
        <v>2Q24</v>
      </c>
      <c r="N3" s="7" t="str">
        <f>'Historical Financials'!N7</f>
        <v>3Q24</v>
      </c>
      <c r="O3" s="7" t="str">
        <f>'Historical Financials'!O7</f>
        <v>4Q24</v>
      </c>
      <c r="P3" s="7" t="str">
        <f>'Historical Financials'!P7</f>
        <v>1Q25</v>
      </c>
      <c r="Q3" s="7" t="str">
        <f>'Historical Financials'!Q7</f>
        <v>2Q25</v>
      </c>
      <c r="R3" s="7" t="str">
        <f>'Historical Financials'!R7</f>
        <v>3Q25</v>
      </c>
      <c r="S3" s="7" t="str">
        <f>'Historical Financials'!S7</f>
        <v>4Q25</v>
      </c>
      <c r="T3" s="7" t="str">
        <f>'Historical Financials'!T7</f>
        <v>1Q26</v>
      </c>
      <c r="U3" s="3"/>
      <c r="V3" s="4" t="str">
        <f>K3</f>
        <v>4Q23</v>
      </c>
      <c r="W3" s="4" t="str">
        <f>L3</f>
        <v>1Q24</v>
      </c>
      <c r="X3" s="4" t="str">
        <f>M3</f>
        <v>2Q24</v>
      </c>
      <c r="Y3" s="4" t="str">
        <f>N3</f>
        <v>3Q24</v>
      </c>
      <c r="Z3" s="4" t="str">
        <f>O3</f>
        <v>4Q24</v>
      </c>
      <c r="AA3" s="4" t="str">
        <f>P3</f>
        <v>1Q25</v>
      </c>
      <c r="AB3" s="4" t="str">
        <f>Q3</f>
        <v>2Q25</v>
      </c>
      <c r="AC3" s="4" t="str">
        <f>R3</f>
        <v>3Q25</v>
      </c>
      <c r="AD3" s="4" t="str">
        <f>S3</f>
        <v>4Q25</v>
      </c>
      <c r="AE3" s="4" t="str">
        <f>T3</f>
        <v>1Q26</v>
      </c>
      <c r="AF3" s="3"/>
      <c r="AG3" s="140"/>
    </row>
    <row r="4" spans="2:33" s="5" customFormat="1" ht="12.75" customHeight="1">
      <c r="B4" s="6" t="s">
        <v>98</v>
      </c>
      <c r="C4" s="3" t="str">
        <f>'Historical Financials'!C8</f>
        <v>XXX</v>
      </c>
      <c r="D4" s="3" t="str">
        <f>'Historical Financials'!D8</f>
        <v>XXX</v>
      </c>
      <c r="E4" s="3" t="str">
        <f>'Historical Financials'!E8</f>
        <v>XXX</v>
      </c>
      <c r="F4" s="3" t="str">
        <f>'Historical Financials'!F8</f>
        <v>XXX</v>
      </c>
      <c r="G4" s="3"/>
      <c r="H4" s="3" t="str">
        <f>'Historical Financials'!H8</f>
        <v>XXX</v>
      </c>
      <c r="I4" s="3" t="str">
        <f>'Historical Financials'!I8</f>
        <v>XXX</v>
      </c>
      <c r="J4" s="3" t="str">
        <f>'Historical Financials'!J8</f>
        <v>XXX</v>
      </c>
      <c r="K4" s="3" t="str">
        <f>'Historical Financials'!K8</f>
        <v>XXX</v>
      </c>
      <c r="L4" s="3" t="str">
        <f>'Historical Financials'!L8</f>
        <v>XXX</v>
      </c>
      <c r="M4" s="3" t="str">
        <f>'Historical Financials'!M8</f>
        <v>XXX</v>
      </c>
      <c r="N4" s="3" t="str">
        <f>'Historical Financials'!N8</f>
        <v>XXX</v>
      </c>
      <c r="O4" s="3" t="str">
        <f>'Historical Financials'!O8</f>
        <v>XXX</v>
      </c>
      <c r="P4" s="3" t="str">
        <f>'Historical Financials'!P8</f>
        <v>XXX</v>
      </c>
      <c r="Q4" s="3" t="str">
        <f>'Historical Financials'!Q8</f>
        <v>XXX</v>
      </c>
      <c r="R4" s="3" t="str">
        <f>'Historical Financials'!R8</f>
        <v>XXX</v>
      </c>
      <c r="S4" s="3" t="str">
        <f>'Historical Financials'!S8</f>
        <v>XXX</v>
      </c>
      <c r="T4" s="3" t="str">
        <f>'Historical Financials'!T8</f>
        <v>XXX</v>
      </c>
      <c r="U4" s="3"/>
      <c r="V4" s="3" t="str">
        <f>K4</f>
        <v>XXX</v>
      </c>
      <c r="W4" s="3" t="str">
        <f>L4</f>
        <v>XXX</v>
      </c>
      <c r="X4" s="3" t="str">
        <f>M4</f>
        <v>XXX</v>
      </c>
      <c r="Y4" s="3" t="str">
        <f>N4</f>
        <v>XXX</v>
      </c>
      <c r="Z4" s="3" t="str">
        <f>O4</f>
        <v>XXX</v>
      </c>
      <c r="AA4" s="3" t="str">
        <f>P4</f>
        <v>XXX</v>
      </c>
      <c r="AB4" s="3" t="str">
        <f>Q4</f>
        <v>XXX</v>
      </c>
      <c r="AC4" s="3" t="str">
        <f>R4</f>
        <v>XXX</v>
      </c>
      <c r="AD4" s="3" t="str">
        <f>S4</f>
        <v>XXX</v>
      </c>
      <c r="AE4" s="3" t="str">
        <f>T4</f>
        <v>XXX</v>
      </c>
      <c r="AF4" s="3"/>
      <c r="AG4" s="140"/>
    </row>
    <row r="5" spans="2:33" ht="5.0999999999999996" customHeight="1">
      <c r="AG5" s="107"/>
    </row>
    <row r="6" spans="2:33" ht="12.75" customHeight="1">
      <c r="B6" s="9" t="s">
        <v>116</v>
      </c>
      <c r="C6" s="80"/>
      <c r="D6" s="80"/>
      <c r="E6" s="80"/>
      <c r="F6" s="80"/>
      <c r="G6" s="1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5"/>
      <c r="V6" s="131">
        <f t="shared" ref="V6:AD6" si="0">SUM(H6:K6)</f>
        <v>0</v>
      </c>
      <c r="W6" s="131">
        <f t="shared" si="0"/>
        <v>0</v>
      </c>
      <c r="X6" s="131">
        <f t="shared" si="0"/>
        <v>0</v>
      </c>
      <c r="Y6" s="131">
        <f t="shared" si="0"/>
        <v>0</v>
      </c>
      <c r="Z6" s="131">
        <f t="shared" si="0"/>
        <v>0</v>
      </c>
      <c r="AA6" s="131">
        <f t="shared" si="0"/>
        <v>0</v>
      </c>
      <c r="AB6" s="131">
        <f t="shared" si="0"/>
        <v>0</v>
      </c>
      <c r="AC6" s="131">
        <f t="shared" si="0"/>
        <v>0</v>
      </c>
      <c r="AD6" s="131">
        <f t="shared" si="0"/>
        <v>0</v>
      </c>
      <c r="AE6" s="131">
        <f>SUM(Q6:T6)</f>
        <v>0</v>
      </c>
      <c r="AG6" s="108" t="e">
        <f t="shared" ref="AG6:AG11" si="1">SUM(AE6/AA6)-1</f>
        <v>#DIV/0!</v>
      </c>
    </row>
    <row r="7" spans="2:33" ht="12.75" customHeight="1">
      <c r="B7" s="9" t="s">
        <v>116</v>
      </c>
      <c r="C7" s="80"/>
      <c r="D7" s="80"/>
      <c r="E7" s="80"/>
      <c r="F7" s="80"/>
      <c r="G7" s="1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5"/>
      <c r="V7" s="131">
        <f t="shared" ref="V7:V11" si="2">SUM(H7:K7)</f>
        <v>0</v>
      </c>
      <c r="W7" s="131">
        <f t="shared" ref="W7:W11" si="3">SUM(I7:L7)</f>
        <v>0</v>
      </c>
      <c r="X7" s="131">
        <f t="shared" ref="X7:X11" si="4">SUM(J7:M7)</f>
        <v>0</v>
      </c>
      <c r="Y7" s="131">
        <f t="shared" ref="Y7:Y11" si="5">SUM(K7:N7)</f>
        <v>0</v>
      </c>
      <c r="Z7" s="131">
        <f t="shared" ref="Z7:Z11" si="6">SUM(L7:O7)</f>
        <v>0</v>
      </c>
      <c r="AA7" s="131">
        <f t="shared" ref="AA7:AA11" si="7">SUM(M7:P7)</f>
        <v>0</v>
      </c>
      <c r="AB7" s="131">
        <f t="shared" ref="AB7:AB11" si="8">SUM(N7:Q7)</f>
        <v>0</v>
      </c>
      <c r="AC7" s="131">
        <f t="shared" ref="AC7:AC11" si="9">SUM(O7:R7)</f>
        <v>0</v>
      </c>
      <c r="AD7" s="131">
        <f t="shared" ref="AD7:AD11" si="10">SUM(P7:S7)</f>
        <v>0</v>
      </c>
      <c r="AE7" s="131">
        <f t="shared" ref="AE7:AE11" si="11">SUM(Q7:T7)</f>
        <v>0</v>
      </c>
      <c r="AG7" s="108" t="e">
        <f t="shared" si="1"/>
        <v>#DIV/0!</v>
      </c>
    </row>
    <row r="8" spans="2:33" ht="12.75" customHeight="1">
      <c r="B8" s="9" t="s">
        <v>116</v>
      </c>
      <c r="C8" s="80"/>
      <c r="D8" s="80"/>
      <c r="E8" s="80"/>
      <c r="F8" s="80"/>
      <c r="G8" s="1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5"/>
      <c r="V8" s="131">
        <f t="shared" si="2"/>
        <v>0</v>
      </c>
      <c r="W8" s="131">
        <f t="shared" si="3"/>
        <v>0</v>
      </c>
      <c r="X8" s="131">
        <f t="shared" si="4"/>
        <v>0</v>
      </c>
      <c r="Y8" s="131">
        <f t="shared" si="5"/>
        <v>0</v>
      </c>
      <c r="Z8" s="131">
        <f t="shared" si="6"/>
        <v>0</v>
      </c>
      <c r="AA8" s="131">
        <f t="shared" si="7"/>
        <v>0</v>
      </c>
      <c r="AB8" s="131">
        <f t="shared" si="8"/>
        <v>0</v>
      </c>
      <c r="AC8" s="131">
        <f t="shared" si="9"/>
        <v>0</v>
      </c>
      <c r="AD8" s="131">
        <f t="shared" si="10"/>
        <v>0</v>
      </c>
      <c r="AE8" s="131">
        <f t="shared" si="11"/>
        <v>0</v>
      </c>
      <c r="AG8" s="108" t="e">
        <f t="shared" si="1"/>
        <v>#DIV/0!</v>
      </c>
    </row>
    <row r="9" spans="2:33" ht="12.75" customHeight="1">
      <c r="B9" s="9" t="s">
        <v>116</v>
      </c>
      <c r="C9" s="80"/>
      <c r="D9" s="80"/>
      <c r="E9" s="80"/>
      <c r="F9" s="80"/>
      <c r="G9" s="1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5"/>
      <c r="V9" s="131">
        <f t="shared" si="2"/>
        <v>0</v>
      </c>
      <c r="W9" s="131">
        <f t="shared" si="3"/>
        <v>0</v>
      </c>
      <c r="X9" s="131">
        <f t="shared" si="4"/>
        <v>0</v>
      </c>
      <c r="Y9" s="131">
        <f t="shared" si="5"/>
        <v>0</v>
      </c>
      <c r="Z9" s="131">
        <f t="shared" si="6"/>
        <v>0</v>
      </c>
      <c r="AA9" s="131">
        <f t="shared" si="7"/>
        <v>0</v>
      </c>
      <c r="AB9" s="131">
        <f t="shared" si="8"/>
        <v>0</v>
      </c>
      <c r="AC9" s="131">
        <f t="shared" si="9"/>
        <v>0</v>
      </c>
      <c r="AD9" s="131">
        <f t="shared" si="10"/>
        <v>0</v>
      </c>
      <c r="AE9" s="131">
        <f t="shared" si="11"/>
        <v>0</v>
      </c>
      <c r="AG9" s="108" t="e">
        <f t="shared" si="1"/>
        <v>#DIV/0!</v>
      </c>
    </row>
    <row r="10" spans="2:33" ht="12.75" customHeight="1">
      <c r="B10" s="9" t="s">
        <v>116</v>
      </c>
      <c r="C10" s="80"/>
      <c r="D10" s="80"/>
      <c r="E10" s="80"/>
      <c r="F10" s="80"/>
      <c r="G10" s="1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5"/>
      <c r="V10" s="131">
        <f t="shared" si="2"/>
        <v>0</v>
      </c>
      <c r="W10" s="131">
        <f t="shared" si="3"/>
        <v>0</v>
      </c>
      <c r="X10" s="131">
        <f t="shared" si="4"/>
        <v>0</v>
      </c>
      <c r="Y10" s="131">
        <f t="shared" si="5"/>
        <v>0</v>
      </c>
      <c r="Z10" s="131">
        <f t="shared" si="6"/>
        <v>0</v>
      </c>
      <c r="AA10" s="131">
        <f t="shared" si="7"/>
        <v>0</v>
      </c>
      <c r="AB10" s="131">
        <f t="shared" si="8"/>
        <v>0</v>
      </c>
      <c r="AC10" s="131">
        <f t="shared" si="9"/>
        <v>0</v>
      </c>
      <c r="AD10" s="131">
        <f t="shared" si="10"/>
        <v>0</v>
      </c>
      <c r="AE10" s="131">
        <f t="shared" si="11"/>
        <v>0</v>
      </c>
      <c r="AG10" s="108" t="e">
        <f t="shared" si="1"/>
        <v>#DIV/0!</v>
      </c>
    </row>
    <row r="11" spans="2:33" ht="12.75" customHeight="1">
      <c r="B11" s="9" t="s">
        <v>116</v>
      </c>
      <c r="C11" s="80"/>
      <c r="D11" s="80"/>
      <c r="E11" s="80"/>
      <c r="F11" s="80"/>
      <c r="G11" s="1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5"/>
      <c r="V11" s="131">
        <f t="shared" si="2"/>
        <v>0</v>
      </c>
      <c r="W11" s="131">
        <f t="shared" si="3"/>
        <v>0</v>
      </c>
      <c r="X11" s="131">
        <f t="shared" si="4"/>
        <v>0</v>
      </c>
      <c r="Y11" s="131">
        <f t="shared" si="5"/>
        <v>0</v>
      </c>
      <c r="Z11" s="131">
        <f t="shared" si="6"/>
        <v>0</v>
      </c>
      <c r="AA11" s="131">
        <f t="shared" si="7"/>
        <v>0</v>
      </c>
      <c r="AB11" s="131">
        <f t="shared" si="8"/>
        <v>0</v>
      </c>
      <c r="AC11" s="131">
        <f t="shared" si="9"/>
        <v>0</v>
      </c>
      <c r="AD11" s="131">
        <f t="shared" si="10"/>
        <v>0</v>
      </c>
      <c r="AE11" s="131">
        <f t="shared" si="11"/>
        <v>0</v>
      </c>
      <c r="AG11" s="108" t="e">
        <f t="shared" si="1"/>
        <v>#DIV/0!</v>
      </c>
    </row>
    <row r="12" spans="2:33" ht="12.75" customHeight="1">
      <c r="B12" s="12" t="s">
        <v>12</v>
      </c>
      <c r="C12" s="13">
        <f t="shared" ref="C12:F12" si="12">SUM(C6:C11)</f>
        <v>0</v>
      </c>
      <c r="D12" s="13">
        <f t="shared" si="12"/>
        <v>0</v>
      </c>
      <c r="E12" s="13">
        <f t="shared" si="12"/>
        <v>0</v>
      </c>
      <c r="F12" s="13">
        <f t="shared" si="12"/>
        <v>0</v>
      </c>
      <c r="G12" s="10"/>
      <c r="H12" s="13">
        <f t="shared" ref="H12:S12" si="13">SUM(H6:H11)</f>
        <v>0</v>
      </c>
      <c r="I12" s="13">
        <f t="shared" si="13"/>
        <v>0</v>
      </c>
      <c r="J12" s="13">
        <f t="shared" si="13"/>
        <v>0</v>
      </c>
      <c r="K12" s="13">
        <f t="shared" si="13"/>
        <v>0</v>
      </c>
      <c r="L12" s="13">
        <f t="shared" si="13"/>
        <v>0</v>
      </c>
      <c r="M12" s="13">
        <f t="shared" si="13"/>
        <v>0</v>
      </c>
      <c r="N12" s="13">
        <f t="shared" si="13"/>
        <v>0</v>
      </c>
      <c r="O12" s="13">
        <f t="shared" si="13"/>
        <v>0</v>
      </c>
      <c r="P12" s="13">
        <f t="shared" si="13"/>
        <v>0</v>
      </c>
      <c r="Q12" s="13">
        <f t="shared" si="13"/>
        <v>0</v>
      </c>
      <c r="R12" s="13">
        <f t="shared" si="13"/>
        <v>0</v>
      </c>
      <c r="S12" s="13">
        <f t="shared" si="13"/>
        <v>0</v>
      </c>
      <c r="T12" s="13">
        <f t="shared" ref="T12" si="14">SUM(T6:T11)</f>
        <v>0</v>
      </c>
      <c r="U12" s="5"/>
      <c r="V12" s="13">
        <f t="shared" ref="V12:AE12" si="15">SUM(V6:V11)</f>
        <v>0</v>
      </c>
      <c r="W12" s="13">
        <f t="shared" si="15"/>
        <v>0</v>
      </c>
      <c r="X12" s="13">
        <f t="shared" si="15"/>
        <v>0</v>
      </c>
      <c r="Y12" s="13">
        <f t="shared" si="15"/>
        <v>0</v>
      </c>
      <c r="Z12" s="13">
        <f t="shared" si="15"/>
        <v>0</v>
      </c>
      <c r="AA12" s="13">
        <f t="shared" si="15"/>
        <v>0</v>
      </c>
      <c r="AB12" s="13">
        <f t="shared" si="15"/>
        <v>0</v>
      </c>
      <c r="AC12" s="13">
        <f t="shared" si="15"/>
        <v>0</v>
      </c>
      <c r="AD12" s="13">
        <f t="shared" si="15"/>
        <v>0</v>
      </c>
      <c r="AE12" s="13">
        <f t="shared" si="15"/>
        <v>0</v>
      </c>
      <c r="AG12" s="109" t="e">
        <f>SUM(AE12/AA12)-1</f>
        <v>#DIV/0!</v>
      </c>
    </row>
    <row r="13" spans="2:33" ht="12.75" customHeight="1">
      <c r="B13" s="14" t="s">
        <v>28</v>
      </c>
      <c r="C13" s="15" t="e">
        <f>SUM(C12/#REF!)-1</f>
        <v>#REF!</v>
      </c>
      <c r="D13" s="15" t="e">
        <f>SUM(D12/C12)-1</f>
        <v>#DIV/0!</v>
      </c>
      <c r="E13" s="15" t="e">
        <f>SUM(E12/D12)-1</f>
        <v>#DIV/0!</v>
      </c>
      <c r="F13" s="15" t="e">
        <f>SUM(F12/E12)-1</f>
        <v>#DIV/0!</v>
      </c>
      <c r="G13" s="11"/>
      <c r="H13" s="99"/>
      <c r="I13" s="99"/>
      <c r="J13" s="99"/>
      <c r="K13" s="99"/>
      <c r="L13" s="15" t="e">
        <f t="shared" ref="L13:S13" si="16">SUM(L12/H12)-1</f>
        <v>#DIV/0!</v>
      </c>
      <c r="M13" s="15" t="e">
        <f t="shared" si="16"/>
        <v>#DIV/0!</v>
      </c>
      <c r="N13" s="15" t="e">
        <f t="shared" si="16"/>
        <v>#DIV/0!</v>
      </c>
      <c r="O13" s="15" t="e">
        <f t="shared" si="16"/>
        <v>#DIV/0!</v>
      </c>
      <c r="P13" s="15" t="e">
        <f t="shared" si="16"/>
        <v>#DIV/0!</v>
      </c>
      <c r="Q13" s="15" t="e">
        <f t="shared" si="16"/>
        <v>#DIV/0!</v>
      </c>
      <c r="R13" s="15" t="e">
        <f t="shared" si="16"/>
        <v>#DIV/0!</v>
      </c>
      <c r="S13" s="15" t="e">
        <f t="shared" si="16"/>
        <v>#DIV/0!</v>
      </c>
      <c r="T13" s="15" t="e">
        <f t="shared" ref="T13" si="17">SUM(T12/P12)-1</f>
        <v>#DIV/0!</v>
      </c>
      <c r="U13" s="5"/>
      <c r="V13" s="99"/>
      <c r="W13" s="99"/>
      <c r="X13" s="99"/>
      <c r="Y13" s="99"/>
      <c r="Z13" s="15" t="e">
        <f t="shared" ref="Z13:AE13" si="18">SUM(Z12/V12)-1</f>
        <v>#DIV/0!</v>
      </c>
      <c r="AA13" s="15" t="e">
        <f t="shared" si="18"/>
        <v>#DIV/0!</v>
      </c>
      <c r="AB13" s="15" t="e">
        <f t="shared" si="18"/>
        <v>#DIV/0!</v>
      </c>
      <c r="AC13" s="15" t="e">
        <f t="shared" si="18"/>
        <v>#DIV/0!</v>
      </c>
      <c r="AD13" s="15" t="e">
        <f t="shared" si="18"/>
        <v>#DIV/0!</v>
      </c>
      <c r="AE13" s="15" t="e">
        <f t="shared" si="18"/>
        <v>#DIV/0!</v>
      </c>
      <c r="AG13" s="110" t="e">
        <f>SUM(AE13-AA13)*10000</f>
        <v>#DIV/0!</v>
      </c>
    </row>
    <row r="14" spans="2:33" ht="12.75" customHeight="1">
      <c r="B14" s="14" t="s">
        <v>29</v>
      </c>
      <c r="C14" s="15" t="s">
        <v>30</v>
      </c>
      <c r="D14" s="15" t="s">
        <v>30</v>
      </c>
      <c r="E14" s="15" t="s">
        <v>30</v>
      </c>
      <c r="F14" s="15" t="s">
        <v>30</v>
      </c>
      <c r="G14" s="11"/>
      <c r="H14" s="99"/>
      <c r="I14" s="15" t="e">
        <f>SUM(I12/H12)-1</f>
        <v>#DIV/0!</v>
      </c>
      <c r="J14" s="15" t="e">
        <f>SUM(J12/I12)-1</f>
        <v>#DIV/0!</v>
      </c>
      <c r="K14" s="15" t="e">
        <f>SUM(K12/J12)-1</f>
        <v>#DIV/0!</v>
      </c>
      <c r="L14" s="15" t="e">
        <f>SUM(L12/K12)-1</f>
        <v>#DIV/0!</v>
      </c>
      <c r="M14" s="15" t="e">
        <f t="shared" ref="M14:S14" si="19">SUM(M12/L12)-1</f>
        <v>#DIV/0!</v>
      </c>
      <c r="N14" s="15" t="e">
        <f t="shared" si="19"/>
        <v>#DIV/0!</v>
      </c>
      <c r="O14" s="15" t="e">
        <f t="shared" si="19"/>
        <v>#DIV/0!</v>
      </c>
      <c r="P14" s="15" t="e">
        <f t="shared" si="19"/>
        <v>#DIV/0!</v>
      </c>
      <c r="Q14" s="15" t="e">
        <f t="shared" si="19"/>
        <v>#DIV/0!</v>
      </c>
      <c r="R14" s="15" t="e">
        <f t="shared" si="19"/>
        <v>#DIV/0!</v>
      </c>
      <c r="S14" s="15" t="e">
        <f t="shared" si="19"/>
        <v>#DIV/0!</v>
      </c>
      <c r="T14" s="15" t="e">
        <f t="shared" ref="T14" si="20">SUM(T12/S12)-1</f>
        <v>#DIV/0!</v>
      </c>
      <c r="U14" s="5"/>
      <c r="V14" s="15" t="s">
        <v>30</v>
      </c>
      <c r="W14" s="15" t="s">
        <v>30</v>
      </c>
      <c r="X14" s="15" t="s">
        <v>30</v>
      </c>
      <c r="Y14" s="15" t="s">
        <v>30</v>
      </c>
      <c r="Z14" s="15" t="s">
        <v>30</v>
      </c>
      <c r="AA14" s="15" t="s">
        <v>30</v>
      </c>
      <c r="AB14" s="15" t="s">
        <v>30</v>
      </c>
      <c r="AC14" s="15" t="s">
        <v>30</v>
      </c>
      <c r="AD14" s="15" t="s">
        <v>30</v>
      </c>
      <c r="AE14" s="15" t="s">
        <v>30</v>
      </c>
      <c r="AG14" s="107"/>
    </row>
    <row r="15" spans="2:33" ht="5.0999999999999996" customHeight="1">
      <c r="B15" s="16"/>
      <c r="C15" s="17"/>
      <c r="D15" s="17"/>
      <c r="E15" s="17"/>
      <c r="F15" s="17"/>
      <c r="G15" s="18"/>
      <c r="H15" s="19"/>
      <c r="I15" s="19"/>
      <c r="J15" s="19"/>
      <c r="K15" s="19"/>
      <c r="L15" s="19"/>
      <c r="M15" s="19"/>
      <c r="N15" s="19"/>
      <c r="O15" s="20"/>
      <c r="P15" s="19"/>
      <c r="Q15" s="19"/>
      <c r="R15" s="19"/>
      <c r="S15" s="19"/>
      <c r="T15" s="19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G15" s="107"/>
    </row>
    <row r="16" spans="2:33" ht="12.75" customHeight="1">
      <c r="B16" s="21" t="s">
        <v>31</v>
      </c>
      <c r="C16" s="80"/>
      <c r="D16" s="80"/>
      <c r="E16" s="80"/>
      <c r="F16" s="80"/>
      <c r="G16" s="1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5"/>
      <c r="V16" s="131">
        <f t="shared" ref="V16" si="21">SUM(H16:K16)</f>
        <v>0</v>
      </c>
      <c r="W16" s="131">
        <f t="shared" ref="W16" si="22">SUM(I16:L16)</f>
        <v>0</v>
      </c>
      <c r="X16" s="131">
        <f t="shared" ref="X16" si="23">SUM(J16:M16)</f>
        <v>0</v>
      </c>
      <c r="Y16" s="131">
        <f t="shared" ref="Y16" si="24">SUM(K16:N16)</f>
        <v>0</v>
      </c>
      <c r="Z16" s="131">
        <f t="shared" ref="Z16" si="25">SUM(L16:O16)</f>
        <v>0</v>
      </c>
      <c r="AA16" s="131">
        <f t="shared" ref="AA16" si="26">SUM(M16:P16)</f>
        <v>0</v>
      </c>
      <c r="AB16" s="131">
        <f t="shared" ref="AB16" si="27">SUM(N16:Q16)</f>
        <v>0</v>
      </c>
      <c r="AC16" s="131">
        <f t="shared" ref="AC16" si="28">SUM(O16:R16)</f>
        <v>0</v>
      </c>
      <c r="AD16" s="131">
        <f t="shared" ref="AD16" si="29">SUM(P16:S16)</f>
        <v>0</v>
      </c>
      <c r="AE16" s="131">
        <f>SUM(Q16:T16)</f>
        <v>0</v>
      </c>
      <c r="AG16" s="108" t="e">
        <f>SUM(AE16/AA16)-1</f>
        <v>#DIV/0!</v>
      </c>
    </row>
    <row r="17" spans="2:33" ht="12.75" customHeight="1">
      <c r="B17" s="23" t="s">
        <v>22</v>
      </c>
      <c r="C17" s="24">
        <f t="shared" ref="C17:F17" si="30">SUM(C12+SUM(C16:C16))</f>
        <v>0</v>
      </c>
      <c r="D17" s="24">
        <f t="shared" si="30"/>
        <v>0</v>
      </c>
      <c r="E17" s="24">
        <f t="shared" si="30"/>
        <v>0</v>
      </c>
      <c r="F17" s="24">
        <f t="shared" si="30"/>
        <v>0</v>
      </c>
      <c r="G17" s="5"/>
      <c r="H17" s="24">
        <f>SUM(H12+SUM(H16:H16))</f>
        <v>0</v>
      </c>
      <c r="I17" s="24">
        <f>SUM(I12+SUM(I16:I16))</f>
        <v>0</v>
      </c>
      <c r="J17" s="24">
        <f>SUM(J12+SUM(J16:J16))</f>
        <v>0</v>
      </c>
      <c r="K17" s="24">
        <f>SUM(K12+SUM(K16:K16))</f>
        <v>0</v>
      </c>
      <c r="L17" s="24">
        <f t="shared" ref="L17:Q17" si="31">SUM(L12+SUM(L16:L16))</f>
        <v>0</v>
      </c>
      <c r="M17" s="24">
        <f t="shared" si="31"/>
        <v>0</v>
      </c>
      <c r="N17" s="24">
        <f t="shared" si="31"/>
        <v>0</v>
      </c>
      <c r="O17" s="24">
        <f t="shared" si="31"/>
        <v>0</v>
      </c>
      <c r="P17" s="24">
        <f t="shared" si="31"/>
        <v>0</v>
      </c>
      <c r="Q17" s="24">
        <f t="shared" si="31"/>
        <v>0</v>
      </c>
      <c r="R17" s="24">
        <f t="shared" ref="R17:S17" si="32">SUM(R12+SUM(R16:R16))</f>
        <v>0</v>
      </c>
      <c r="S17" s="24">
        <f t="shared" si="32"/>
        <v>0</v>
      </c>
      <c r="T17" s="24">
        <f t="shared" ref="T17" si="33">SUM(T12+SUM(T16:T16))</f>
        <v>0</v>
      </c>
      <c r="U17" s="5"/>
      <c r="V17" s="24">
        <f t="shared" ref="V17" si="34">SUM(V12+SUM(V16:V16))</f>
        <v>0</v>
      </c>
      <c r="W17" s="24">
        <f t="shared" ref="W17:AE17" si="35">SUM(W12+SUM(W16:W16))</f>
        <v>0</v>
      </c>
      <c r="X17" s="24">
        <f t="shared" si="35"/>
        <v>0</v>
      </c>
      <c r="Y17" s="24">
        <f t="shared" si="35"/>
        <v>0</v>
      </c>
      <c r="Z17" s="24">
        <f t="shared" si="35"/>
        <v>0</v>
      </c>
      <c r="AA17" s="24">
        <f t="shared" si="35"/>
        <v>0</v>
      </c>
      <c r="AB17" s="24">
        <f t="shared" si="35"/>
        <v>0</v>
      </c>
      <c r="AC17" s="24">
        <f t="shared" si="35"/>
        <v>0</v>
      </c>
      <c r="AD17" s="24">
        <f t="shared" si="35"/>
        <v>0</v>
      </c>
      <c r="AE17" s="24">
        <f t="shared" si="35"/>
        <v>0</v>
      </c>
      <c r="AG17" s="109" t="e">
        <f>SUM(AE17/AA17)-1</f>
        <v>#DIV/0!</v>
      </c>
    </row>
    <row r="18" spans="2:33" ht="12.75" customHeight="1">
      <c r="B18" s="14" t="s">
        <v>32</v>
      </c>
      <c r="C18" s="15" t="e">
        <f t="shared" ref="C18:F18" si="36">C17/C12</f>
        <v>#DIV/0!</v>
      </c>
      <c r="D18" s="15" t="e">
        <f t="shared" si="36"/>
        <v>#DIV/0!</v>
      </c>
      <c r="E18" s="15" t="e">
        <f t="shared" si="36"/>
        <v>#DIV/0!</v>
      </c>
      <c r="F18" s="15" t="e">
        <f t="shared" si="36"/>
        <v>#DIV/0!</v>
      </c>
      <c r="G18" s="25"/>
      <c r="H18" s="15" t="e">
        <f>H17/H12</f>
        <v>#DIV/0!</v>
      </c>
      <c r="I18" s="15" t="e">
        <f>I17/I12</f>
        <v>#DIV/0!</v>
      </c>
      <c r="J18" s="15" t="e">
        <f>J17/J12</f>
        <v>#DIV/0!</v>
      </c>
      <c r="K18" s="15" t="e">
        <f>K17/K12</f>
        <v>#DIV/0!</v>
      </c>
      <c r="L18" s="15" t="e">
        <f t="shared" ref="L18:Q18" si="37">L17/L12</f>
        <v>#DIV/0!</v>
      </c>
      <c r="M18" s="15" t="e">
        <f t="shared" si="37"/>
        <v>#DIV/0!</v>
      </c>
      <c r="N18" s="15" t="e">
        <f t="shared" si="37"/>
        <v>#DIV/0!</v>
      </c>
      <c r="O18" s="15" t="e">
        <f t="shared" si="37"/>
        <v>#DIV/0!</v>
      </c>
      <c r="P18" s="15" t="e">
        <f t="shared" si="37"/>
        <v>#DIV/0!</v>
      </c>
      <c r="Q18" s="15" t="e">
        <f t="shared" si="37"/>
        <v>#DIV/0!</v>
      </c>
      <c r="R18" s="15" t="e">
        <f t="shared" ref="R18:S18" si="38">R17/R12</f>
        <v>#DIV/0!</v>
      </c>
      <c r="S18" s="15" t="e">
        <f t="shared" si="38"/>
        <v>#DIV/0!</v>
      </c>
      <c r="T18" s="15" t="e">
        <f t="shared" ref="T18" si="39">T17/T12</f>
        <v>#DIV/0!</v>
      </c>
      <c r="U18" s="26"/>
      <c r="V18" s="15" t="e">
        <f t="shared" ref="V18" si="40">V17/V12</f>
        <v>#DIV/0!</v>
      </c>
      <c r="W18" s="15" t="e">
        <f t="shared" ref="W18:AE18" si="41">W17/W12</f>
        <v>#DIV/0!</v>
      </c>
      <c r="X18" s="15" t="e">
        <f t="shared" si="41"/>
        <v>#DIV/0!</v>
      </c>
      <c r="Y18" s="15" t="e">
        <f t="shared" si="41"/>
        <v>#DIV/0!</v>
      </c>
      <c r="Z18" s="15" t="e">
        <f t="shared" si="41"/>
        <v>#DIV/0!</v>
      </c>
      <c r="AA18" s="15" t="e">
        <f t="shared" si="41"/>
        <v>#DIV/0!</v>
      </c>
      <c r="AB18" s="15" t="e">
        <f t="shared" si="41"/>
        <v>#DIV/0!</v>
      </c>
      <c r="AC18" s="15" t="e">
        <f t="shared" si="41"/>
        <v>#DIV/0!</v>
      </c>
      <c r="AD18" s="15" t="e">
        <f t="shared" si="41"/>
        <v>#DIV/0!</v>
      </c>
      <c r="AE18" s="15" t="e">
        <f t="shared" si="41"/>
        <v>#DIV/0!</v>
      </c>
      <c r="AG18" s="110" t="e">
        <f>SUM(AE18-AA18)*10000</f>
        <v>#DIV/0!</v>
      </c>
    </row>
    <row r="19" spans="2:33" ht="5.0999999999999996" customHeight="1"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5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G19" s="107"/>
    </row>
    <row r="20" spans="2:33" ht="12.75" customHeight="1">
      <c r="B20" s="21" t="s">
        <v>121</v>
      </c>
      <c r="C20" s="132"/>
      <c r="D20" s="132"/>
      <c r="E20" s="132"/>
      <c r="F20" s="132"/>
      <c r="G20" s="80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5"/>
      <c r="V20" s="131">
        <f t="shared" ref="V20:V24" si="42">SUM(H20:K20)</f>
        <v>0</v>
      </c>
      <c r="W20" s="131">
        <f t="shared" ref="W20:W24" si="43">SUM(I20:L20)</f>
        <v>0</v>
      </c>
      <c r="X20" s="131">
        <f t="shared" ref="X20:X24" si="44">SUM(J20:M20)</f>
        <v>0</v>
      </c>
      <c r="Y20" s="131">
        <f t="shared" ref="Y20:Y24" si="45">SUM(K20:N20)</f>
        <v>0</v>
      </c>
      <c r="Z20" s="131">
        <f t="shared" ref="Z20:Z24" si="46">SUM(L20:O20)</f>
        <v>0</v>
      </c>
      <c r="AA20" s="131">
        <f t="shared" ref="AA20:AA24" si="47">SUM(M20:P20)</f>
        <v>0</v>
      </c>
      <c r="AB20" s="131">
        <f t="shared" ref="AB20:AB24" si="48">SUM(N20:Q20)</f>
        <v>0</v>
      </c>
      <c r="AC20" s="131">
        <f t="shared" ref="AC20:AC24" si="49">SUM(O20:R20)</f>
        <v>0</v>
      </c>
      <c r="AD20" s="131">
        <f t="shared" ref="AD20:AD24" si="50">SUM(P20:S20)</f>
        <v>0</v>
      </c>
      <c r="AE20" s="131">
        <f t="shared" ref="AE20:AE24" si="51">SUM(Q20:T20)</f>
        <v>0</v>
      </c>
      <c r="AG20" s="108" t="e">
        <f>SUM(AE20/AA20)-1</f>
        <v>#DIV/0!</v>
      </c>
    </row>
    <row r="21" spans="2:33" ht="12.75" customHeight="1">
      <c r="B21" s="21" t="s">
        <v>121</v>
      </c>
      <c r="C21" s="132"/>
      <c r="D21" s="132"/>
      <c r="E21" s="132"/>
      <c r="F21" s="132"/>
      <c r="G21" s="80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5"/>
      <c r="V21" s="131">
        <f t="shared" ref="V21:V23" si="52">SUM(H21:K21)</f>
        <v>0</v>
      </c>
      <c r="W21" s="131">
        <f t="shared" ref="W21:W23" si="53">SUM(I21:L21)</f>
        <v>0</v>
      </c>
      <c r="X21" s="131">
        <f t="shared" ref="X21:X23" si="54">SUM(J21:M21)</f>
        <v>0</v>
      </c>
      <c r="Y21" s="131">
        <f t="shared" ref="Y21:Y23" si="55">SUM(K21:N21)</f>
        <v>0</v>
      </c>
      <c r="Z21" s="131">
        <f t="shared" ref="Z21:Z23" si="56">SUM(L21:O21)</f>
        <v>0</v>
      </c>
      <c r="AA21" s="131">
        <f t="shared" ref="AA21:AA23" si="57">SUM(M21:P21)</f>
        <v>0</v>
      </c>
      <c r="AB21" s="131">
        <f t="shared" ref="AB21:AB23" si="58">SUM(N21:Q21)</f>
        <v>0</v>
      </c>
      <c r="AC21" s="131">
        <f t="shared" ref="AC21:AC23" si="59">SUM(O21:R21)</f>
        <v>0</v>
      </c>
      <c r="AD21" s="131">
        <f t="shared" ref="AD21:AD23" si="60">SUM(P21:S21)</f>
        <v>0</v>
      </c>
      <c r="AE21" s="131">
        <f t="shared" ref="AE21:AE23" si="61">SUM(Q21:T21)</f>
        <v>0</v>
      </c>
      <c r="AG21" s="108" t="e">
        <f t="shared" ref="AG21:AG23" si="62">SUM(AE21/AA21)-1</f>
        <v>#DIV/0!</v>
      </c>
    </row>
    <row r="22" spans="2:33" ht="12.75" customHeight="1">
      <c r="B22" s="21" t="s">
        <v>121</v>
      </c>
      <c r="C22" s="132"/>
      <c r="D22" s="132"/>
      <c r="E22" s="132"/>
      <c r="F22" s="132"/>
      <c r="G22" s="80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5"/>
      <c r="V22" s="131">
        <f t="shared" si="52"/>
        <v>0</v>
      </c>
      <c r="W22" s="131">
        <f t="shared" si="53"/>
        <v>0</v>
      </c>
      <c r="X22" s="131">
        <f t="shared" si="54"/>
        <v>0</v>
      </c>
      <c r="Y22" s="131">
        <f t="shared" si="55"/>
        <v>0</v>
      </c>
      <c r="Z22" s="131">
        <f t="shared" si="56"/>
        <v>0</v>
      </c>
      <c r="AA22" s="131">
        <f t="shared" si="57"/>
        <v>0</v>
      </c>
      <c r="AB22" s="131">
        <f t="shared" si="58"/>
        <v>0</v>
      </c>
      <c r="AC22" s="131">
        <f t="shared" si="59"/>
        <v>0</v>
      </c>
      <c r="AD22" s="131">
        <f t="shared" si="60"/>
        <v>0</v>
      </c>
      <c r="AE22" s="131">
        <f t="shared" si="61"/>
        <v>0</v>
      </c>
      <c r="AG22" s="108" t="e">
        <f t="shared" si="62"/>
        <v>#DIV/0!</v>
      </c>
    </row>
    <row r="23" spans="2:33" ht="12.75" customHeight="1">
      <c r="B23" s="21" t="s">
        <v>121</v>
      </c>
      <c r="C23" s="132"/>
      <c r="D23" s="132"/>
      <c r="E23" s="132"/>
      <c r="F23" s="132"/>
      <c r="G23" s="80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5"/>
      <c r="V23" s="131">
        <f t="shared" si="52"/>
        <v>0</v>
      </c>
      <c r="W23" s="131">
        <f t="shared" si="53"/>
        <v>0</v>
      </c>
      <c r="X23" s="131">
        <f t="shared" si="54"/>
        <v>0</v>
      </c>
      <c r="Y23" s="131">
        <f t="shared" si="55"/>
        <v>0</v>
      </c>
      <c r="Z23" s="131">
        <f t="shared" si="56"/>
        <v>0</v>
      </c>
      <c r="AA23" s="131">
        <f t="shared" si="57"/>
        <v>0</v>
      </c>
      <c r="AB23" s="131">
        <f t="shared" si="58"/>
        <v>0</v>
      </c>
      <c r="AC23" s="131">
        <f t="shared" si="59"/>
        <v>0</v>
      </c>
      <c r="AD23" s="131">
        <f t="shared" si="60"/>
        <v>0</v>
      </c>
      <c r="AE23" s="131">
        <f t="shared" si="61"/>
        <v>0</v>
      </c>
      <c r="AG23" s="108" t="e">
        <f t="shared" si="62"/>
        <v>#DIV/0!</v>
      </c>
    </row>
    <row r="24" spans="2:33" ht="12.75" customHeight="1">
      <c r="B24" s="21" t="s">
        <v>121</v>
      </c>
      <c r="C24" s="132"/>
      <c r="D24" s="132"/>
      <c r="E24" s="132"/>
      <c r="F24" s="132"/>
      <c r="G24" s="80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5"/>
      <c r="V24" s="131">
        <f t="shared" si="42"/>
        <v>0</v>
      </c>
      <c r="W24" s="131">
        <f t="shared" si="43"/>
        <v>0</v>
      </c>
      <c r="X24" s="131">
        <f t="shared" si="44"/>
        <v>0</v>
      </c>
      <c r="Y24" s="131">
        <f t="shared" si="45"/>
        <v>0</v>
      </c>
      <c r="Z24" s="131">
        <f t="shared" si="46"/>
        <v>0</v>
      </c>
      <c r="AA24" s="131">
        <f t="shared" si="47"/>
        <v>0</v>
      </c>
      <c r="AB24" s="131">
        <f t="shared" si="48"/>
        <v>0</v>
      </c>
      <c r="AC24" s="131">
        <f t="shared" si="49"/>
        <v>0</v>
      </c>
      <c r="AD24" s="131">
        <f t="shared" si="50"/>
        <v>0</v>
      </c>
      <c r="AE24" s="131">
        <f t="shared" si="51"/>
        <v>0</v>
      </c>
      <c r="AG24" s="108" t="e">
        <f>SUM(AE24/AA24)-1</f>
        <v>#DIV/0!</v>
      </c>
    </row>
    <row r="25" spans="2:33" ht="12.75" customHeight="1">
      <c r="B25" s="12" t="s">
        <v>33</v>
      </c>
      <c r="C25" s="13">
        <f>SUM(C17+SUM(C20:C24))</f>
        <v>0</v>
      </c>
      <c r="D25" s="13">
        <f>SUM(D17+SUM(D20:D24))</f>
        <v>0</v>
      </c>
      <c r="E25" s="13">
        <f>SUM(E17+SUM(E20:E24))</f>
        <v>0</v>
      </c>
      <c r="F25" s="13">
        <f>SUM(F17+SUM(F20:F24))</f>
        <v>0</v>
      </c>
      <c r="G25" s="11"/>
      <c r="H25" s="13">
        <f t="shared" ref="H25:S25" si="63">SUM(H17+SUM(H20:H24))</f>
        <v>0</v>
      </c>
      <c r="I25" s="13">
        <f t="shared" si="63"/>
        <v>0</v>
      </c>
      <c r="J25" s="13">
        <f t="shared" si="63"/>
        <v>0</v>
      </c>
      <c r="K25" s="13">
        <f t="shared" si="63"/>
        <v>0</v>
      </c>
      <c r="L25" s="13">
        <f t="shared" si="63"/>
        <v>0</v>
      </c>
      <c r="M25" s="13">
        <f t="shared" si="63"/>
        <v>0</v>
      </c>
      <c r="N25" s="13">
        <f t="shared" si="63"/>
        <v>0</v>
      </c>
      <c r="O25" s="13">
        <f t="shared" si="63"/>
        <v>0</v>
      </c>
      <c r="P25" s="13">
        <f t="shared" si="63"/>
        <v>0</v>
      </c>
      <c r="Q25" s="13">
        <f t="shared" si="63"/>
        <v>0</v>
      </c>
      <c r="R25" s="13">
        <f t="shared" si="63"/>
        <v>0</v>
      </c>
      <c r="S25" s="13">
        <f t="shared" si="63"/>
        <v>0</v>
      </c>
      <c r="T25" s="13">
        <f t="shared" ref="T25" si="64">SUM(T17+SUM(T20:T24))</f>
        <v>0</v>
      </c>
      <c r="U25" s="5"/>
      <c r="V25" s="13">
        <f t="shared" ref="V25:AE25" si="65">SUM(V17+SUM(V20:V24))</f>
        <v>0</v>
      </c>
      <c r="W25" s="13">
        <f t="shared" si="65"/>
        <v>0</v>
      </c>
      <c r="X25" s="13">
        <f t="shared" si="65"/>
        <v>0</v>
      </c>
      <c r="Y25" s="13">
        <f t="shared" si="65"/>
        <v>0</v>
      </c>
      <c r="Z25" s="13">
        <f t="shared" si="65"/>
        <v>0</v>
      </c>
      <c r="AA25" s="13">
        <f t="shared" si="65"/>
        <v>0</v>
      </c>
      <c r="AB25" s="13">
        <f t="shared" si="65"/>
        <v>0</v>
      </c>
      <c r="AC25" s="13">
        <f t="shared" si="65"/>
        <v>0</v>
      </c>
      <c r="AD25" s="13">
        <f t="shared" si="65"/>
        <v>0</v>
      </c>
      <c r="AE25" s="13">
        <f t="shared" si="65"/>
        <v>0</v>
      </c>
      <c r="AG25" s="109" t="e">
        <f>SUM(AE25/AA25)-1</f>
        <v>#DIV/0!</v>
      </c>
    </row>
    <row r="26" spans="2:33" ht="12.75" customHeight="1">
      <c r="B26" s="14" t="s">
        <v>34</v>
      </c>
      <c r="C26" s="15" t="e">
        <f>C25/C12</f>
        <v>#DIV/0!</v>
      </c>
      <c r="D26" s="15" t="e">
        <f>D25/D12</f>
        <v>#DIV/0!</v>
      </c>
      <c r="E26" s="15" t="e">
        <f>E25/E12</f>
        <v>#DIV/0!</v>
      </c>
      <c r="F26" s="15" t="e">
        <f>F25/F12</f>
        <v>#DIV/0!</v>
      </c>
      <c r="G26" s="25"/>
      <c r="H26" s="15" t="e">
        <f t="shared" ref="H26:S26" si="66">H25/H12</f>
        <v>#DIV/0!</v>
      </c>
      <c r="I26" s="15" t="e">
        <f t="shared" si="66"/>
        <v>#DIV/0!</v>
      </c>
      <c r="J26" s="15" t="e">
        <f t="shared" si="66"/>
        <v>#DIV/0!</v>
      </c>
      <c r="K26" s="15" t="e">
        <f t="shared" si="66"/>
        <v>#DIV/0!</v>
      </c>
      <c r="L26" s="15" t="e">
        <f t="shared" si="66"/>
        <v>#DIV/0!</v>
      </c>
      <c r="M26" s="15" t="e">
        <f t="shared" si="66"/>
        <v>#DIV/0!</v>
      </c>
      <c r="N26" s="15" t="e">
        <f t="shared" si="66"/>
        <v>#DIV/0!</v>
      </c>
      <c r="O26" s="15" t="e">
        <f t="shared" si="66"/>
        <v>#DIV/0!</v>
      </c>
      <c r="P26" s="15" t="e">
        <f t="shared" si="66"/>
        <v>#DIV/0!</v>
      </c>
      <c r="Q26" s="15" t="e">
        <f t="shared" si="66"/>
        <v>#DIV/0!</v>
      </c>
      <c r="R26" s="15" t="e">
        <f t="shared" si="66"/>
        <v>#DIV/0!</v>
      </c>
      <c r="S26" s="15" t="e">
        <f t="shared" si="66"/>
        <v>#DIV/0!</v>
      </c>
      <c r="T26" s="15" t="e">
        <f t="shared" ref="T26" si="67">T25/T12</f>
        <v>#DIV/0!</v>
      </c>
      <c r="U26" s="26"/>
      <c r="V26" s="15" t="e">
        <f t="shared" ref="V26:AE26" si="68">V25/V12</f>
        <v>#DIV/0!</v>
      </c>
      <c r="W26" s="15" t="e">
        <f t="shared" si="68"/>
        <v>#DIV/0!</v>
      </c>
      <c r="X26" s="15" t="e">
        <f t="shared" si="68"/>
        <v>#DIV/0!</v>
      </c>
      <c r="Y26" s="15" t="e">
        <f t="shared" si="68"/>
        <v>#DIV/0!</v>
      </c>
      <c r="Z26" s="15" t="e">
        <f t="shared" si="68"/>
        <v>#DIV/0!</v>
      </c>
      <c r="AA26" s="15" t="e">
        <f t="shared" si="68"/>
        <v>#DIV/0!</v>
      </c>
      <c r="AB26" s="15" t="e">
        <f t="shared" si="68"/>
        <v>#DIV/0!</v>
      </c>
      <c r="AC26" s="15" t="e">
        <f t="shared" si="68"/>
        <v>#DIV/0!</v>
      </c>
      <c r="AD26" s="15" t="e">
        <f t="shared" si="68"/>
        <v>#DIV/0!</v>
      </c>
      <c r="AE26" s="15" t="e">
        <f t="shared" si="68"/>
        <v>#DIV/0!</v>
      </c>
      <c r="AG26" s="110" t="e">
        <f>SUM(AE26-AA26)*10000</f>
        <v>#DIV/0!</v>
      </c>
    </row>
    <row r="27" spans="2:33" ht="5.0999999999999996" customHeight="1">
      <c r="AG27" s="107"/>
    </row>
    <row r="28" spans="2:33" ht="12.75" customHeight="1">
      <c r="B28" s="29" t="s">
        <v>102</v>
      </c>
      <c r="C28" s="132"/>
      <c r="D28" s="132"/>
      <c r="E28" s="132"/>
      <c r="F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V28" s="131">
        <f t="shared" ref="V28" si="69">SUM(H28:K28)</f>
        <v>0</v>
      </c>
      <c r="W28" s="131">
        <f t="shared" ref="W28" si="70">SUM(I28:L28)</f>
        <v>0</v>
      </c>
      <c r="X28" s="131">
        <f t="shared" ref="X28" si="71">SUM(J28:M28)</f>
        <v>0</v>
      </c>
      <c r="Y28" s="131">
        <f t="shared" ref="Y28" si="72">SUM(K28:N28)</f>
        <v>0</v>
      </c>
      <c r="Z28" s="131">
        <f t="shared" ref="Z28" si="73">SUM(L28:O28)</f>
        <v>0</v>
      </c>
      <c r="AA28" s="131">
        <f t="shared" ref="AA28" si="74">SUM(M28:P28)</f>
        <v>0</v>
      </c>
      <c r="AB28" s="131">
        <f t="shared" ref="AB28" si="75">SUM(N28:Q28)</f>
        <v>0</v>
      </c>
      <c r="AC28" s="131">
        <f t="shared" ref="AC28" si="76">SUM(O28:R28)</f>
        <v>0</v>
      </c>
      <c r="AD28" s="131">
        <f t="shared" ref="AD28" si="77">SUM(P28:S28)</f>
        <v>0</v>
      </c>
      <c r="AE28" s="131">
        <f>SUM(Q28:T28)</f>
        <v>0</v>
      </c>
      <c r="AG28" s="108" t="e">
        <f>SUM(AE28/AA28)-1</f>
        <v>#DIV/0!</v>
      </c>
    </row>
    <row r="29" spans="2:33" ht="12.75" customHeight="1">
      <c r="B29" s="23" t="s">
        <v>11</v>
      </c>
      <c r="C29" s="24">
        <f t="shared" ref="C29:F29" si="78">SUM(C25+SUM(C28:C28))</f>
        <v>0</v>
      </c>
      <c r="D29" s="24">
        <f t="shared" si="78"/>
        <v>0</v>
      </c>
      <c r="E29" s="24">
        <f t="shared" si="78"/>
        <v>0</v>
      </c>
      <c r="F29" s="24">
        <f t="shared" si="78"/>
        <v>0</v>
      </c>
      <c r="H29" s="24">
        <f t="shared" ref="H29:Q29" si="79">SUM(H25+SUM(H28:H28))</f>
        <v>0</v>
      </c>
      <c r="I29" s="24">
        <f t="shared" si="79"/>
        <v>0</v>
      </c>
      <c r="J29" s="24">
        <f t="shared" si="79"/>
        <v>0</v>
      </c>
      <c r="K29" s="24">
        <f t="shared" si="79"/>
        <v>0</v>
      </c>
      <c r="L29" s="24">
        <f t="shared" si="79"/>
        <v>0</v>
      </c>
      <c r="M29" s="24">
        <f t="shared" si="79"/>
        <v>0</v>
      </c>
      <c r="N29" s="24">
        <f t="shared" si="79"/>
        <v>0</v>
      </c>
      <c r="O29" s="24">
        <f t="shared" si="79"/>
        <v>0</v>
      </c>
      <c r="P29" s="24">
        <f t="shared" si="79"/>
        <v>0</v>
      </c>
      <c r="Q29" s="24">
        <f t="shared" si="79"/>
        <v>0</v>
      </c>
      <c r="R29" s="24">
        <f t="shared" ref="R29:S29" si="80">SUM(R25+SUM(R28:R28))</f>
        <v>0</v>
      </c>
      <c r="S29" s="24">
        <f t="shared" si="80"/>
        <v>0</v>
      </c>
      <c r="T29" s="24">
        <f t="shared" ref="T29" si="81">SUM(T25+SUM(T28:T28))</f>
        <v>0</v>
      </c>
      <c r="V29" s="24">
        <f t="shared" ref="V29" si="82">SUM(V25+SUM(V28:V28))</f>
        <v>0</v>
      </c>
      <c r="W29" s="24">
        <f t="shared" ref="W29:AE29" si="83">SUM(W25+SUM(W28:W28))</f>
        <v>0</v>
      </c>
      <c r="X29" s="24">
        <f t="shared" si="83"/>
        <v>0</v>
      </c>
      <c r="Y29" s="24">
        <f t="shared" si="83"/>
        <v>0</v>
      </c>
      <c r="Z29" s="24">
        <f t="shared" si="83"/>
        <v>0</v>
      </c>
      <c r="AA29" s="24">
        <f t="shared" si="83"/>
        <v>0</v>
      </c>
      <c r="AB29" s="24">
        <f t="shared" si="83"/>
        <v>0</v>
      </c>
      <c r="AC29" s="24">
        <f t="shared" si="83"/>
        <v>0</v>
      </c>
      <c r="AD29" s="24">
        <f t="shared" si="83"/>
        <v>0</v>
      </c>
      <c r="AE29" s="24">
        <f t="shared" si="83"/>
        <v>0</v>
      </c>
      <c r="AG29" s="109" t="e">
        <f>SUM(AE29/AA29)-1</f>
        <v>#DIV/0!</v>
      </c>
    </row>
    <row r="30" spans="2:33" ht="12.75" customHeight="1">
      <c r="B30" s="14" t="s">
        <v>35</v>
      </c>
      <c r="C30" s="15" t="e">
        <f>C29/C12</f>
        <v>#DIV/0!</v>
      </c>
      <c r="D30" s="15" t="e">
        <f>D29/D12</f>
        <v>#DIV/0!</v>
      </c>
      <c r="E30" s="15" t="e">
        <f>E29/E12</f>
        <v>#DIV/0!</v>
      </c>
      <c r="F30" s="15" t="e">
        <f>F29/F12</f>
        <v>#DIV/0!</v>
      </c>
      <c r="H30" s="15" t="e">
        <f t="shared" ref="H30:S30" si="84">H29/H12</f>
        <v>#DIV/0!</v>
      </c>
      <c r="I30" s="15" t="e">
        <f t="shared" si="84"/>
        <v>#DIV/0!</v>
      </c>
      <c r="J30" s="15" t="e">
        <f t="shared" si="84"/>
        <v>#DIV/0!</v>
      </c>
      <c r="K30" s="15" t="e">
        <f t="shared" si="84"/>
        <v>#DIV/0!</v>
      </c>
      <c r="L30" s="15" t="e">
        <f t="shared" si="84"/>
        <v>#DIV/0!</v>
      </c>
      <c r="M30" s="15" t="e">
        <f t="shared" si="84"/>
        <v>#DIV/0!</v>
      </c>
      <c r="N30" s="15" t="e">
        <f t="shared" si="84"/>
        <v>#DIV/0!</v>
      </c>
      <c r="O30" s="15" t="e">
        <f t="shared" si="84"/>
        <v>#DIV/0!</v>
      </c>
      <c r="P30" s="15" t="e">
        <f t="shared" si="84"/>
        <v>#DIV/0!</v>
      </c>
      <c r="Q30" s="15" t="e">
        <f t="shared" si="84"/>
        <v>#DIV/0!</v>
      </c>
      <c r="R30" s="15" t="e">
        <f t="shared" si="84"/>
        <v>#DIV/0!</v>
      </c>
      <c r="S30" s="15" t="e">
        <f t="shared" si="84"/>
        <v>#DIV/0!</v>
      </c>
      <c r="T30" s="15" t="e">
        <f t="shared" ref="T30" si="85">T29/T12</f>
        <v>#DIV/0!</v>
      </c>
      <c r="V30" s="15" t="e">
        <f t="shared" ref="V30:AE30" si="86">V29/V12</f>
        <v>#DIV/0!</v>
      </c>
      <c r="W30" s="15" t="e">
        <f t="shared" si="86"/>
        <v>#DIV/0!</v>
      </c>
      <c r="X30" s="15" t="e">
        <f t="shared" si="86"/>
        <v>#DIV/0!</v>
      </c>
      <c r="Y30" s="15" t="e">
        <f t="shared" si="86"/>
        <v>#DIV/0!</v>
      </c>
      <c r="Z30" s="15" t="e">
        <f t="shared" si="86"/>
        <v>#DIV/0!</v>
      </c>
      <c r="AA30" s="15" t="e">
        <f t="shared" si="86"/>
        <v>#DIV/0!</v>
      </c>
      <c r="AB30" s="15" t="e">
        <f t="shared" si="86"/>
        <v>#DIV/0!</v>
      </c>
      <c r="AC30" s="15" t="e">
        <f t="shared" si="86"/>
        <v>#DIV/0!</v>
      </c>
      <c r="AD30" s="15" t="e">
        <f t="shared" si="86"/>
        <v>#DIV/0!</v>
      </c>
      <c r="AE30" s="15" t="e">
        <f t="shared" si="86"/>
        <v>#DIV/0!</v>
      </c>
      <c r="AG30" s="110" t="e">
        <f>SUM(AE30-AA30)*10000</f>
        <v>#DIV/0!</v>
      </c>
    </row>
    <row r="31" spans="2:33" ht="5.0999999999999996" customHeight="1">
      <c r="AG31" s="107"/>
    </row>
    <row r="32" spans="2:33" ht="12.75" customHeight="1">
      <c r="B32" s="29" t="s">
        <v>103</v>
      </c>
      <c r="C32" s="132"/>
      <c r="D32" s="132"/>
      <c r="E32" s="132"/>
      <c r="F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V32" s="131">
        <f t="shared" ref="V32:V33" si="87">SUM(H32:K32)</f>
        <v>0</v>
      </c>
      <c r="W32" s="131">
        <f t="shared" ref="W32:W33" si="88">SUM(I32:L32)</f>
        <v>0</v>
      </c>
      <c r="X32" s="131">
        <f t="shared" ref="X32:X33" si="89">SUM(J32:M32)</f>
        <v>0</v>
      </c>
      <c r="Y32" s="131">
        <f t="shared" ref="Y32:Y33" si="90">SUM(K32:N32)</f>
        <v>0</v>
      </c>
      <c r="Z32" s="131">
        <f t="shared" ref="Z32:Z33" si="91">SUM(L32:O32)</f>
        <v>0</v>
      </c>
      <c r="AA32" s="131">
        <f t="shared" ref="AA32:AA33" si="92">SUM(M32:P32)</f>
        <v>0</v>
      </c>
      <c r="AB32" s="131">
        <f t="shared" ref="AB32:AB33" si="93">SUM(N32:Q32)</f>
        <v>0</v>
      </c>
      <c r="AC32" s="131">
        <f t="shared" ref="AC32:AC33" si="94">SUM(O32:R32)</f>
        <v>0</v>
      </c>
      <c r="AD32" s="131">
        <f t="shared" ref="AD32:AD33" si="95">SUM(P32:S32)</f>
        <v>0</v>
      </c>
      <c r="AE32" s="131">
        <f t="shared" ref="AE32:AE33" si="96">SUM(Q32:T32)</f>
        <v>0</v>
      </c>
      <c r="AG32" s="108" t="e">
        <f>SUM(AE32/AA32)-1</f>
        <v>#DIV/0!</v>
      </c>
    </row>
    <row r="33" spans="2:33" ht="12.75" customHeight="1">
      <c r="B33" s="29" t="s">
        <v>120</v>
      </c>
      <c r="C33" s="135"/>
      <c r="D33" s="135"/>
      <c r="E33" s="135"/>
      <c r="F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V33" s="131">
        <f t="shared" si="87"/>
        <v>0</v>
      </c>
      <c r="W33" s="131">
        <f t="shared" si="88"/>
        <v>0</v>
      </c>
      <c r="X33" s="131">
        <f t="shared" si="89"/>
        <v>0</v>
      </c>
      <c r="Y33" s="131">
        <f t="shared" si="90"/>
        <v>0</v>
      </c>
      <c r="Z33" s="131">
        <f t="shared" si="91"/>
        <v>0</v>
      </c>
      <c r="AA33" s="131">
        <f t="shared" si="92"/>
        <v>0</v>
      </c>
      <c r="AB33" s="131">
        <f t="shared" si="93"/>
        <v>0</v>
      </c>
      <c r="AC33" s="131">
        <f t="shared" si="94"/>
        <v>0</v>
      </c>
      <c r="AD33" s="131">
        <f t="shared" si="95"/>
        <v>0</v>
      </c>
      <c r="AE33" s="131">
        <f t="shared" si="96"/>
        <v>0</v>
      </c>
      <c r="AG33" s="108" t="e">
        <f>SUM(AE33/AA33)-1</f>
        <v>#DIV/0!</v>
      </c>
    </row>
    <row r="34" spans="2:33" ht="12.75" customHeight="1">
      <c r="B34" s="12" t="s">
        <v>36</v>
      </c>
      <c r="C34" s="13">
        <f t="shared" ref="C34:F34" si="97">+SUM(C29+SUM(C32:C32))</f>
        <v>0</v>
      </c>
      <c r="D34" s="13">
        <f t="shared" si="97"/>
        <v>0</v>
      </c>
      <c r="E34" s="13">
        <f t="shared" si="97"/>
        <v>0</v>
      </c>
      <c r="F34" s="13">
        <f t="shared" si="97"/>
        <v>0</v>
      </c>
      <c r="G34" s="11"/>
      <c r="H34" s="13">
        <f>+SUM(H29+SUM(H32:H32))</f>
        <v>0</v>
      </c>
      <c r="I34" s="13">
        <f>+SUM(I29+SUM(I32:I32))</f>
        <v>0</v>
      </c>
      <c r="J34" s="13">
        <f>+SUM(J29+SUM(J32:J32))</f>
        <v>0</v>
      </c>
      <c r="K34" s="13">
        <f>+SUM(K29+SUM(K32:K32))</f>
        <v>0</v>
      </c>
      <c r="L34" s="13">
        <f t="shared" ref="L34:Q34" si="98">+SUM(L29+SUM(L32:L32))</f>
        <v>0</v>
      </c>
      <c r="M34" s="13">
        <f t="shared" si="98"/>
        <v>0</v>
      </c>
      <c r="N34" s="13">
        <f t="shared" si="98"/>
        <v>0</v>
      </c>
      <c r="O34" s="13">
        <f t="shared" si="98"/>
        <v>0</v>
      </c>
      <c r="P34" s="13">
        <f t="shared" si="98"/>
        <v>0</v>
      </c>
      <c r="Q34" s="13">
        <f t="shared" si="98"/>
        <v>0</v>
      </c>
      <c r="R34" s="13">
        <f t="shared" ref="R34:S34" si="99">+SUM(R29+SUM(R32:R32))</f>
        <v>0</v>
      </c>
      <c r="S34" s="13">
        <f t="shared" si="99"/>
        <v>0</v>
      </c>
      <c r="T34" s="13">
        <f t="shared" ref="T34" si="100">+SUM(T29+SUM(T32:T32))</f>
        <v>0</v>
      </c>
      <c r="V34" s="13">
        <f t="shared" ref="V34" si="101">+SUM(V29+SUM(V32:V32))</f>
        <v>0</v>
      </c>
      <c r="W34" s="13">
        <f t="shared" ref="W34:AE34" si="102">+SUM(W29+SUM(W32:W32))</f>
        <v>0</v>
      </c>
      <c r="X34" s="13">
        <f t="shared" si="102"/>
        <v>0</v>
      </c>
      <c r="Y34" s="13">
        <f t="shared" si="102"/>
        <v>0</v>
      </c>
      <c r="Z34" s="13">
        <f t="shared" si="102"/>
        <v>0</v>
      </c>
      <c r="AA34" s="13">
        <f t="shared" si="102"/>
        <v>0</v>
      </c>
      <c r="AB34" s="13">
        <f t="shared" si="102"/>
        <v>0</v>
      </c>
      <c r="AC34" s="13">
        <f t="shared" si="102"/>
        <v>0</v>
      </c>
      <c r="AD34" s="13">
        <f t="shared" si="102"/>
        <v>0</v>
      </c>
      <c r="AE34" s="13">
        <f t="shared" si="102"/>
        <v>0</v>
      </c>
      <c r="AG34" s="109" t="e">
        <f>SUM(AE34/AA34)-1</f>
        <v>#DIV/0!</v>
      </c>
    </row>
    <row r="35" spans="2:33" ht="12.75" customHeight="1">
      <c r="B35" s="14" t="s">
        <v>37</v>
      </c>
      <c r="C35" s="15" t="e">
        <f>C34/C12</f>
        <v>#DIV/0!</v>
      </c>
      <c r="D35" s="15" t="e">
        <f>D34/D12</f>
        <v>#DIV/0!</v>
      </c>
      <c r="E35" s="15" t="e">
        <f>E34/E12</f>
        <v>#DIV/0!</v>
      </c>
      <c r="F35" s="15" t="e">
        <f>F34/F12</f>
        <v>#DIV/0!</v>
      </c>
      <c r="H35" s="15" t="e">
        <f t="shared" ref="H35:S35" si="103">H34/H12</f>
        <v>#DIV/0!</v>
      </c>
      <c r="I35" s="15" t="e">
        <f t="shared" si="103"/>
        <v>#DIV/0!</v>
      </c>
      <c r="J35" s="15" t="e">
        <f t="shared" si="103"/>
        <v>#DIV/0!</v>
      </c>
      <c r="K35" s="15" t="e">
        <f t="shared" si="103"/>
        <v>#DIV/0!</v>
      </c>
      <c r="L35" s="15" t="e">
        <f t="shared" si="103"/>
        <v>#DIV/0!</v>
      </c>
      <c r="M35" s="15" t="e">
        <f t="shared" si="103"/>
        <v>#DIV/0!</v>
      </c>
      <c r="N35" s="15" t="e">
        <f t="shared" si="103"/>
        <v>#DIV/0!</v>
      </c>
      <c r="O35" s="15" t="e">
        <f t="shared" si="103"/>
        <v>#DIV/0!</v>
      </c>
      <c r="P35" s="15" t="e">
        <f t="shared" si="103"/>
        <v>#DIV/0!</v>
      </c>
      <c r="Q35" s="15" t="e">
        <f t="shared" si="103"/>
        <v>#DIV/0!</v>
      </c>
      <c r="R35" s="15" t="e">
        <f t="shared" si="103"/>
        <v>#DIV/0!</v>
      </c>
      <c r="S35" s="15" t="e">
        <f t="shared" si="103"/>
        <v>#DIV/0!</v>
      </c>
      <c r="T35" s="15" t="e">
        <f t="shared" ref="T35" si="104">T34/T12</f>
        <v>#DIV/0!</v>
      </c>
      <c r="V35" s="15" t="e">
        <f t="shared" ref="V35:AE35" si="105">V34/V12</f>
        <v>#DIV/0!</v>
      </c>
      <c r="W35" s="15" t="e">
        <f t="shared" si="105"/>
        <v>#DIV/0!</v>
      </c>
      <c r="X35" s="15" t="e">
        <f t="shared" si="105"/>
        <v>#DIV/0!</v>
      </c>
      <c r="Y35" s="15" t="e">
        <f t="shared" si="105"/>
        <v>#DIV/0!</v>
      </c>
      <c r="Z35" s="15" t="e">
        <f t="shared" si="105"/>
        <v>#DIV/0!</v>
      </c>
      <c r="AA35" s="15" t="e">
        <f t="shared" si="105"/>
        <v>#DIV/0!</v>
      </c>
      <c r="AB35" s="15" t="e">
        <f t="shared" si="105"/>
        <v>#DIV/0!</v>
      </c>
      <c r="AC35" s="15" t="e">
        <f t="shared" si="105"/>
        <v>#DIV/0!</v>
      </c>
      <c r="AD35" s="15" t="e">
        <f t="shared" si="105"/>
        <v>#DIV/0!</v>
      </c>
      <c r="AE35" s="15" t="e">
        <f t="shared" si="105"/>
        <v>#DIV/0!</v>
      </c>
      <c r="AG35" s="110" t="e">
        <f>SUM(AE35-AA35)*10000</f>
        <v>#DIV/0!</v>
      </c>
    </row>
    <row r="36" spans="2:33" ht="5.0999999999999996" customHeight="1">
      <c r="AG36" s="107"/>
    </row>
    <row r="37" spans="2:33" ht="12.75" customHeight="1">
      <c r="B37" s="21" t="s">
        <v>38</v>
      </c>
      <c r="C37" s="132"/>
      <c r="D37" s="132"/>
      <c r="E37" s="132"/>
      <c r="F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V37" s="131">
        <f t="shared" ref="V37:V41" si="106">SUM(H37:K37)</f>
        <v>0</v>
      </c>
      <c r="W37" s="131">
        <f t="shared" ref="W37:W41" si="107">SUM(I37:L37)</f>
        <v>0</v>
      </c>
      <c r="X37" s="131">
        <f t="shared" ref="X37:X41" si="108">SUM(J37:M37)</f>
        <v>0</v>
      </c>
      <c r="Y37" s="131">
        <f t="shared" ref="Y37:Y41" si="109">SUM(K37:N37)</f>
        <v>0</v>
      </c>
      <c r="Z37" s="131">
        <f t="shared" ref="Z37:Z41" si="110">SUM(L37:O37)</f>
        <v>0</v>
      </c>
      <c r="AA37" s="131">
        <f t="shared" ref="AA37:AA41" si="111">SUM(M37:P37)</f>
        <v>0</v>
      </c>
      <c r="AB37" s="131">
        <f t="shared" ref="AB37:AB41" si="112">SUM(N37:Q37)</f>
        <v>0</v>
      </c>
      <c r="AC37" s="131">
        <f t="shared" ref="AC37:AC41" si="113">SUM(O37:R37)</f>
        <v>0</v>
      </c>
      <c r="AD37" s="131">
        <f t="shared" ref="AD37:AD41" si="114">SUM(P37:S37)</f>
        <v>0</v>
      </c>
      <c r="AE37" s="131">
        <f t="shared" ref="AE37:AE41" si="115">SUM(Q37:T37)</f>
        <v>0</v>
      </c>
      <c r="AG37" s="108" t="e">
        <f>SUM(AE37/AA37)-1</f>
        <v>#DIV/0!</v>
      </c>
    </row>
    <row r="38" spans="2:33" ht="12.75" customHeight="1">
      <c r="B38" s="21" t="s">
        <v>39</v>
      </c>
      <c r="C38" s="132"/>
      <c r="D38" s="132"/>
      <c r="E38" s="132"/>
      <c r="F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V38" s="131">
        <f t="shared" si="106"/>
        <v>0</v>
      </c>
      <c r="W38" s="131">
        <f t="shared" si="107"/>
        <v>0</v>
      </c>
      <c r="X38" s="131">
        <f t="shared" si="108"/>
        <v>0</v>
      </c>
      <c r="Y38" s="131">
        <f t="shared" si="109"/>
        <v>0</v>
      </c>
      <c r="Z38" s="131">
        <f t="shared" si="110"/>
        <v>0</v>
      </c>
      <c r="AA38" s="131">
        <f t="shared" si="111"/>
        <v>0</v>
      </c>
      <c r="AB38" s="131">
        <f t="shared" si="112"/>
        <v>0</v>
      </c>
      <c r="AC38" s="131">
        <f t="shared" si="113"/>
        <v>0</v>
      </c>
      <c r="AD38" s="131">
        <f t="shared" si="114"/>
        <v>0</v>
      </c>
      <c r="AE38" s="131">
        <f t="shared" si="115"/>
        <v>0</v>
      </c>
      <c r="AG38" s="108" t="e">
        <f>SUM(AE38/AA38)-1</f>
        <v>#DIV/0!</v>
      </c>
    </row>
    <row r="39" spans="2:33" ht="12.75" customHeight="1">
      <c r="B39" s="21" t="s">
        <v>76</v>
      </c>
      <c r="C39" s="132"/>
      <c r="D39" s="132"/>
      <c r="E39" s="132"/>
      <c r="F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V39" s="131">
        <f t="shared" si="106"/>
        <v>0</v>
      </c>
      <c r="W39" s="131">
        <f t="shared" si="107"/>
        <v>0</v>
      </c>
      <c r="X39" s="131">
        <f t="shared" si="108"/>
        <v>0</v>
      </c>
      <c r="Y39" s="131">
        <f t="shared" si="109"/>
        <v>0</v>
      </c>
      <c r="Z39" s="131">
        <f t="shared" si="110"/>
        <v>0</v>
      </c>
      <c r="AA39" s="131">
        <f t="shared" si="111"/>
        <v>0</v>
      </c>
      <c r="AB39" s="131">
        <f t="shared" si="112"/>
        <v>0</v>
      </c>
      <c r="AC39" s="131">
        <f t="shared" si="113"/>
        <v>0</v>
      </c>
      <c r="AD39" s="131">
        <f t="shared" si="114"/>
        <v>0</v>
      </c>
      <c r="AE39" s="131">
        <f t="shared" si="115"/>
        <v>0</v>
      </c>
      <c r="AG39" s="108" t="e">
        <f>SUM(AE39/AA39)-1</f>
        <v>#DIV/0!</v>
      </c>
    </row>
    <row r="40" spans="2:33" ht="12.75" customHeight="1">
      <c r="B40" s="21" t="s">
        <v>122</v>
      </c>
      <c r="C40" s="132"/>
      <c r="D40" s="132"/>
      <c r="E40" s="132"/>
      <c r="F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V40" s="131">
        <f t="shared" ref="V40" si="116">SUM(H40:K40)</f>
        <v>0</v>
      </c>
      <c r="W40" s="131">
        <f t="shared" ref="W40" si="117">SUM(I40:L40)</f>
        <v>0</v>
      </c>
      <c r="X40" s="131">
        <f t="shared" ref="X40" si="118">SUM(J40:M40)</f>
        <v>0</v>
      </c>
      <c r="Y40" s="131">
        <f t="shared" ref="Y40" si="119">SUM(K40:N40)</f>
        <v>0</v>
      </c>
      <c r="Z40" s="131">
        <f t="shared" ref="Z40" si="120">SUM(L40:O40)</f>
        <v>0</v>
      </c>
      <c r="AA40" s="131">
        <f t="shared" ref="AA40" si="121">SUM(M40:P40)</f>
        <v>0</v>
      </c>
      <c r="AB40" s="131">
        <f t="shared" ref="AB40" si="122">SUM(N40:Q40)</f>
        <v>0</v>
      </c>
      <c r="AC40" s="131">
        <f t="shared" ref="AC40" si="123">SUM(O40:R40)</f>
        <v>0</v>
      </c>
      <c r="AD40" s="131">
        <f t="shared" ref="AD40" si="124">SUM(P40:S40)</f>
        <v>0</v>
      </c>
      <c r="AE40" s="131">
        <f t="shared" ref="AE40" si="125">SUM(Q40:T40)</f>
        <v>0</v>
      </c>
      <c r="AG40" s="108" t="e">
        <f>SUM(AE40/AA40)-1</f>
        <v>#DIV/0!</v>
      </c>
    </row>
    <row r="41" spans="2:33" ht="12.75" customHeight="1">
      <c r="B41" s="21" t="s">
        <v>40</v>
      </c>
      <c r="C41" s="132"/>
      <c r="D41" s="132"/>
      <c r="E41" s="132"/>
      <c r="F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V41" s="131">
        <f t="shared" si="106"/>
        <v>0</v>
      </c>
      <c r="W41" s="131">
        <f t="shared" si="107"/>
        <v>0</v>
      </c>
      <c r="X41" s="131">
        <f t="shared" si="108"/>
        <v>0</v>
      </c>
      <c r="Y41" s="131">
        <f t="shared" si="109"/>
        <v>0</v>
      </c>
      <c r="Z41" s="131">
        <f t="shared" si="110"/>
        <v>0</v>
      </c>
      <c r="AA41" s="131">
        <f t="shared" si="111"/>
        <v>0</v>
      </c>
      <c r="AB41" s="131">
        <f t="shared" si="112"/>
        <v>0</v>
      </c>
      <c r="AC41" s="131">
        <f t="shared" si="113"/>
        <v>0</v>
      </c>
      <c r="AD41" s="131">
        <f t="shared" si="114"/>
        <v>0</v>
      </c>
      <c r="AE41" s="131">
        <f t="shared" si="115"/>
        <v>0</v>
      </c>
      <c r="AG41" s="108" t="e">
        <f>SUM(AE41/AA41)-1</f>
        <v>#DIV/0!</v>
      </c>
    </row>
    <row r="42" spans="2:33" ht="12.75" customHeight="1">
      <c r="B42" s="12" t="s">
        <v>41</v>
      </c>
      <c r="C42" s="13">
        <f>SUM(C34+SUM(C37:C41))</f>
        <v>0</v>
      </c>
      <c r="D42" s="13">
        <f>SUM(D34+SUM(D37:D41))</f>
        <v>0</v>
      </c>
      <c r="E42" s="13">
        <f>SUM(E34+SUM(E37:E41))</f>
        <v>0</v>
      </c>
      <c r="F42" s="13">
        <f>SUM(F34+SUM(F37:F41))</f>
        <v>0</v>
      </c>
      <c r="H42" s="13">
        <f>SUM(H34+SUM(H37:H41))</f>
        <v>0</v>
      </c>
      <c r="I42" s="13">
        <f>SUM(I34+SUM(I37:I41))</f>
        <v>0</v>
      </c>
      <c r="J42" s="13">
        <f>SUM(J34+SUM(J37:J41))</f>
        <v>0</v>
      </c>
      <c r="K42" s="13">
        <f>SUM(K34+SUM(K37:K41))</f>
        <v>0</v>
      </c>
      <c r="L42" s="13">
        <f t="shared" ref="L42:Q42" si="126">SUM(L34+SUM(L37:L41))</f>
        <v>0</v>
      </c>
      <c r="M42" s="13">
        <f t="shared" si="126"/>
        <v>0</v>
      </c>
      <c r="N42" s="13">
        <f t="shared" si="126"/>
        <v>0</v>
      </c>
      <c r="O42" s="13">
        <f t="shared" si="126"/>
        <v>0</v>
      </c>
      <c r="P42" s="13">
        <f t="shared" si="126"/>
        <v>0</v>
      </c>
      <c r="Q42" s="13">
        <f t="shared" si="126"/>
        <v>0</v>
      </c>
      <c r="R42" s="13">
        <f t="shared" ref="R42:S42" si="127">SUM(R34+SUM(R37:R41))</f>
        <v>0</v>
      </c>
      <c r="S42" s="13">
        <f t="shared" si="127"/>
        <v>0</v>
      </c>
      <c r="T42" s="13">
        <f t="shared" ref="T42" si="128">SUM(T34+SUM(T37:T41))</f>
        <v>0</v>
      </c>
      <c r="V42" s="13">
        <f t="shared" ref="V42" si="129">SUM(V34+SUM(V37:V41))</f>
        <v>0</v>
      </c>
      <c r="W42" s="13">
        <f t="shared" ref="W42:AC42" si="130">SUM(W34+SUM(W37:W41))</f>
        <v>0</v>
      </c>
      <c r="X42" s="13">
        <f t="shared" si="130"/>
        <v>0</v>
      </c>
      <c r="Y42" s="13">
        <f t="shared" si="130"/>
        <v>0</v>
      </c>
      <c r="Z42" s="13">
        <f t="shared" si="130"/>
        <v>0</v>
      </c>
      <c r="AA42" s="13">
        <f t="shared" si="130"/>
        <v>0</v>
      </c>
      <c r="AB42" s="13">
        <f t="shared" si="130"/>
        <v>0</v>
      </c>
      <c r="AC42" s="13">
        <f t="shared" si="130"/>
        <v>0</v>
      </c>
      <c r="AD42" s="13">
        <f>SUM(AD34+SUM(AD37:AD41))</f>
        <v>0</v>
      </c>
      <c r="AE42" s="13">
        <f>SUM(AE34+SUM(AE37:AE41))</f>
        <v>0</v>
      </c>
      <c r="AG42" s="109" t="e">
        <f>SUM(AE42/AA42)-1</f>
        <v>#DIV/0!</v>
      </c>
    </row>
    <row r="43" spans="2:33" ht="5.0999999999999996" customHeight="1"/>
    <row r="44" spans="2:33" ht="12.75" customHeight="1">
      <c r="B44" s="29" t="s">
        <v>119</v>
      </c>
      <c r="C44" s="132"/>
      <c r="D44" s="132"/>
      <c r="E44" s="132"/>
      <c r="F44" s="132"/>
      <c r="G44" s="30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V44" s="131">
        <f t="shared" ref="V44:V49" si="131">SUM(H44:K44)</f>
        <v>0</v>
      </c>
      <c r="W44" s="131">
        <f t="shared" ref="W44:W49" si="132">SUM(I44:L44)</f>
        <v>0</v>
      </c>
      <c r="X44" s="131">
        <f t="shared" ref="X44:X49" si="133">SUM(J44:M44)</f>
        <v>0</v>
      </c>
      <c r="Y44" s="131">
        <f t="shared" ref="Y44:Y49" si="134">SUM(K44:N44)</f>
        <v>0</v>
      </c>
      <c r="Z44" s="131">
        <f t="shared" ref="Z44:Z49" si="135">SUM(L44:O44)</f>
        <v>0</v>
      </c>
      <c r="AA44" s="131">
        <f t="shared" ref="AA44:AA49" si="136">SUM(M44:P44)</f>
        <v>0</v>
      </c>
      <c r="AB44" s="131">
        <f t="shared" ref="AB44:AB49" si="137">SUM(N44:Q44)</f>
        <v>0</v>
      </c>
      <c r="AC44" s="131">
        <f t="shared" ref="AC44:AC49" si="138">SUM(O44:R44)</f>
        <v>0</v>
      </c>
      <c r="AD44" s="131">
        <f t="shared" ref="AD44:AD49" si="139">SUM(P44:S44)</f>
        <v>0</v>
      </c>
      <c r="AE44" s="131">
        <f t="shared" ref="AE44:AE49" si="140">SUM(Q44:T44)</f>
        <v>0</v>
      </c>
    </row>
    <row r="45" spans="2:33" ht="12.75" customHeight="1">
      <c r="B45" s="29" t="s">
        <v>119</v>
      </c>
      <c r="C45" s="132"/>
      <c r="D45" s="132"/>
      <c r="E45" s="132"/>
      <c r="F45" s="132"/>
      <c r="G45" s="30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V45" s="131">
        <f t="shared" si="131"/>
        <v>0</v>
      </c>
      <c r="W45" s="131">
        <f t="shared" si="132"/>
        <v>0</v>
      </c>
      <c r="X45" s="131">
        <f t="shared" si="133"/>
        <v>0</v>
      </c>
      <c r="Y45" s="131">
        <f t="shared" si="134"/>
        <v>0</v>
      </c>
      <c r="Z45" s="131">
        <f t="shared" si="135"/>
        <v>0</v>
      </c>
      <c r="AA45" s="131">
        <f t="shared" si="136"/>
        <v>0</v>
      </c>
      <c r="AB45" s="131">
        <f t="shared" si="137"/>
        <v>0</v>
      </c>
      <c r="AC45" s="131">
        <f t="shared" si="138"/>
        <v>0</v>
      </c>
      <c r="AD45" s="131">
        <f t="shared" si="139"/>
        <v>0</v>
      </c>
      <c r="AE45" s="131">
        <f t="shared" si="140"/>
        <v>0</v>
      </c>
    </row>
    <row r="46" spans="2:33" ht="12.75" customHeight="1">
      <c r="B46" s="29" t="s">
        <v>119</v>
      </c>
      <c r="C46" s="132"/>
      <c r="D46" s="132"/>
      <c r="E46" s="132"/>
      <c r="F46" s="132"/>
      <c r="G46" s="30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V46" s="131">
        <f t="shared" si="131"/>
        <v>0</v>
      </c>
      <c r="W46" s="131">
        <f t="shared" si="132"/>
        <v>0</v>
      </c>
      <c r="X46" s="131">
        <f t="shared" si="133"/>
        <v>0</v>
      </c>
      <c r="Y46" s="131">
        <f t="shared" si="134"/>
        <v>0</v>
      </c>
      <c r="Z46" s="131">
        <f t="shared" si="135"/>
        <v>0</v>
      </c>
      <c r="AA46" s="131">
        <f t="shared" si="136"/>
        <v>0</v>
      </c>
      <c r="AB46" s="131">
        <f t="shared" si="137"/>
        <v>0</v>
      </c>
      <c r="AC46" s="131">
        <f t="shared" si="138"/>
        <v>0</v>
      </c>
      <c r="AD46" s="131">
        <f t="shared" si="139"/>
        <v>0</v>
      </c>
      <c r="AE46" s="131">
        <f t="shared" si="140"/>
        <v>0</v>
      </c>
    </row>
    <row r="47" spans="2:33" ht="12.75" customHeight="1">
      <c r="B47" s="29" t="s">
        <v>119</v>
      </c>
      <c r="C47" s="132"/>
      <c r="D47" s="132"/>
      <c r="E47" s="132"/>
      <c r="F47" s="132"/>
      <c r="G47" s="30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V47" s="131">
        <f t="shared" si="131"/>
        <v>0</v>
      </c>
      <c r="W47" s="131">
        <f t="shared" si="132"/>
        <v>0</v>
      </c>
      <c r="X47" s="131">
        <f t="shared" si="133"/>
        <v>0</v>
      </c>
      <c r="Y47" s="131">
        <f t="shared" si="134"/>
        <v>0</v>
      </c>
      <c r="Z47" s="131">
        <f t="shared" si="135"/>
        <v>0</v>
      </c>
      <c r="AA47" s="131">
        <f t="shared" si="136"/>
        <v>0</v>
      </c>
      <c r="AB47" s="131">
        <f t="shared" si="137"/>
        <v>0</v>
      </c>
      <c r="AC47" s="131">
        <f t="shared" si="138"/>
        <v>0</v>
      </c>
      <c r="AD47" s="131">
        <f t="shared" si="139"/>
        <v>0</v>
      </c>
      <c r="AE47" s="131">
        <f t="shared" si="140"/>
        <v>0</v>
      </c>
    </row>
    <row r="48" spans="2:33" ht="12.75" customHeight="1">
      <c r="B48" s="29" t="s">
        <v>119</v>
      </c>
      <c r="C48" s="132"/>
      <c r="D48" s="132"/>
      <c r="E48" s="132"/>
      <c r="F48" s="132"/>
      <c r="G48" s="30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V48" s="131">
        <f t="shared" si="131"/>
        <v>0</v>
      </c>
      <c r="W48" s="131">
        <f t="shared" si="132"/>
        <v>0</v>
      </c>
      <c r="X48" s="131">
        <f t="shared" si="133"/>
        <v>0</v>
      </c>
      <c r="Y48" s="131">
        <f t="shared" si="134"/>
        <v>0</v>
      </c>
      <c r="Z48" s="131">
        <f t="shared" si="135"/>
        <v>0</v>
      </c>
      <c r="AA48" s="131">
        <f t="shared" si="136"/>
        <v>0</v>
      </c>
      <c r="AB48" s="131">
        <f t="shared" si="137"/>
        <v>0</v>
      </c>
      <c r="AC48" s="131">
        <f t="shared" si="138"/>
        <v>0</v>
      </c>
      <c r="AD48" s="131">
        <f t="shared" si="139"/>
        <v>0</v>
      </c>
      <c r="AE48" s="131">
        <f t="shared" si="140"/>
        <v>0</v>
      </c>
    </row>
    <row r="49" spans="1:31" ht="12.75" customHeight="1">
      <c r="B49" s="29" t="s">
        <v>72</v>
      </c>
      <c r="C49" s="133"/>
      <c r="D49" s="133">
        <f t="shared" ref="D49:F49" si="141">SUM(D54)-SUM(C54)-SUM(D42:D48)</f>
        <v>0</v>
      </c>
      <c r="E49" s="133">
        <f t="shared" si="141"/>
        <v>0</v>
      </c>
      <c r="F49" s="133">
        <f t="shared" si="141"/>
        <v>0</v>
      </c>
      <c r="G49" s="30"/>
      <c r="H49" s="133">
        <f>SUM(H54)-SUM(C54)-SUM(H42:H48)</f>
        <v>0</v>
      </c>
      <c r="I49" s="133">
        <f t="shared" ref="I49" si="142">SUM(I54)-SUM(H54)-SUM(I42:I48)</f>
        <v>0</v>
      </c>
      <c r="J49" s="133">
        <f t="shared" ref="J49" si="143">SUM(J54)-SUM(I54)-SUM(J42:J48)</f>
        <v>0</v>
      </c>
      <c r="K49" s="133">
        <f t="shared" ref="K49" si="144">SUM(K54)-SUM(J54)-SUM(K42:K48)</f>
        <v>0</v>
      </c>
      <c r="L49" s="133">
        <f t="shared" ref="L49" si="145">SUM(L54)-SUM(K54)-SUM(L42:L48)</f>
        <v>0</v>
      </c>
      <c r="M49" s="133">
        <f t="shared" ref="M49" si="146">SUM(M54)-SUM(L54)-SUM(M42:M48)</f>
        <v>0</v>
      </c>
      <c r="N49" s="133">
        <f t="shared" ref="N49" si="147">SUM(N54)-SUM(M54)-SUM(N42:N48)</f>
        <v>0</v>
      </c>
      <c r="O49" s="133">
        <f t="shared" ref="O49" si="148">SUM(O54)-SUM(N54)-SUM(O42:O48)</f>
        <v>0</v>
      </c>
      <c r="P49" s="133">
        <f t="shared" ref="P49" si="149">SUM(P54)-SUM(O54)-SUM(P42:P48)</f>
        <v>0</v>
      </c>
      <c r="Q49" s="133">
        <f t="shared" ref="Q49" si="150">SUM(Q54)-SUM(P54)-SUM(Q42:Q48)</f>
        <v>0</v>
      </c>
      <c r="R49" s="133">
        <f t="shared" ref="R49" si="151">SUM(R54)-SUM(Q54)-SUM(R42:R48)</f>
        <v>0</v>
      </c>
      <c r="S49" s="133">
        <f t="shared" ref="S49" si="152">SUM(S54)-SUM(R54)-SUM(S42:S48)</f>
        <v>0</v>
      </c>
      <c r="T49" s="133">
        <f t="shared" ref="T49" si="153">SUM(T54)-SUM(S54)-SUM(T42:T48)</f>
        <v>0</v>
      </c>
      <c r="V49" s="131">
        <f t="shared" si="131"/>
        <v>0</v>
      </c>
      <c r="W49" s="131">
        <f t="shared" si="132"/>
        <v>0</v>
      </c>
      <c r="X49" s="131">
        <f t="shared" si="133"/>
        <v>0</v>
      </c>
      <c r="Y49" s="131">
        <f t="shared" si="134"/>
        <v>0</v>
      </c>
      <c r="Z49" s="131">
        <f t="shared" si="135"/>
        <v>0</v>
      </c>
      <c r="AA49" s="131">
        <f t="shared" si="136"/>
        <v>0</v>
      </c>
      <c r="AB49" s="131">
        <f t="shared" si="137"/>
        <v>0</v>
      </c>
      <c r="AC49" s="131">
        <f t="shared" si="138"/>
        <v>0</v>
      </c>
      <c r="AD49" s="131">
        <f t="shared" si="139"/>
        <v>0</v>
      </c>
      <c r="AE49" s="131">
        <f t="shared" si="140"/>
        <v>0</v>
      </c>
    </row>
    <row r="50" spans="1:31" ht="12.75" customHeight="1">
      <c r="B50" s="12" t="s">
        <v>42</v>
      </c>
      <c r="C50" s="13">
        <f t="shared" ref="C50:F50" si="154">SUM(C42+SUM(C44:C49))</f>
        <v>0</v>
      </c>
      <c r="D50" s="13">
        <f t="shared" si="154"/>
        <v>0</v>
      </c>
      <c r="E50" s="13">
        <f t="shared" si="154"/>
        <v>0</v>
      </c>
      <c r="F50" s="13">
        <f t="shared" si="154"/>
        <v>0</v>
      </c>
      <c r="H50" s="13">
        <f t="shared" ref="H50:S50" si="155">SUM(H42+SUM(H44:H49))</f>
        <v>0</v>
      </c>
      <c r="I50" s="13">
        <f t="shared" si="155"/>
        <v>0</v>
      </c>
      <c r="J50" s="13">
        <f t="shared" si="155"/>
        <v>0</v>
      </c>
      <c r="K50" s="13">
        <f t="shared" si="155"/>
        <v>0</v>
      </c>
      <c r="L50" s="13">
        <f t="shared" si="155"/>
        <v>0</v>
      </c>
      <c r="M50" s="13">
        <f t="shared" si="155"/>
        <v>0</v>
      </c>
      <c r="N50" s="13">
        <f t="shared" si="155"/>
        <v>0</v>
      </c>
      <c r="O50" s="13">
        <f t="shared" si="155"/>
        <v>0</v>
      </c>
      <c r="P50" s="13">
        <f t="shared" si="155"/>
        <v>0</v>
      </c>
      <c r="Q50" s="13">
        <f t="shared" si="155"/>
        <v>0</v>
      </c>
      <c r="R50" s="13">
        <f t="shared" si="155"/>
        <v>0</v>
      </c>
      <c r="S50" s="13">
        <f t="shared" si="155"/>
        <v>0</v>
      </c>
      <c r="T50" s="13">
        <f t="shared" ref="T50" si="156">SUM(T42+SUM(T44:T49))</f>
        <v>0</v>
      </c>
      <c r="V50" s="13">
        <f t="shared" ref="V50:AE50" si="157">SUM(V42+SUM(V44:V49))</f>
        <v>0</v>
      </c>
      <c r="W50" s="13">
        <f t="shared" si="157"/>
        <v>0</v>
      </c>
      <c r="X50" s="13">
        <f t="shared" si="157"/>
        <v>0</v>
      </c>
      <c r="Y50" s="13">
        <f t="shared" si="157"/>
        <v>0</v>
      </c>
      <c r="Z50" s="13">
        <f t="shared" si="157"/>
        <v>0</v>
      </c>
      <c r="AA50" s="13">
        <f t="shared" si="157"/>
        <v>0</v>
      </c>
      <c r="AB50" s="13">
        <f t="shared" si="157"/>
        <v>0</v>
      </c>
      <c r="AC50" s="13">
        <f t="shared" si="157"/>
        <v>0</v>
      </c>
      <c r="AD50" s="13">
        <f t="shared" si="157"/>
        <v>0</v>
      </c>
      <c r="AE50" s="13">
        <f t="shared" si="157"/>
        <v>0</v>
      </c>
    </row>
    <row r="51" spans="1:31" ht="5.0999999999999996" customHeight="1"/>
    <row r="52" spans="1:31" ht="12.75" customHeight="1">
      <c r="A52" s="5"/>
      <c r="B52" s="31" t="s">
        <v>43</v>
      </c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</row>
    <row r="53" spans="1:31" ht="5.0999999999999996" customHeight="1"/>
    <row r="54" spans="1:31" ht="12.75" customHeight="1">
      <c r="B54" s="8" t="s">
        <v>44</v>
      </c>
      <c r="C54" s="80"/>
      <c r="D54" s="80"/>
      <c r="E54" s="80"/>
      <c r="F54" s="80"/>
      <c r="G54" s="30"/>
      <c r="H54" s="80"/>
      <c r="I54" s="80"/>
      <c r="J54" s="80"/>
      <c r="K54" s="80">
        <f>'Historical Financials'!K46</f>
        <v>0</v>
      </c>
      <c r="L54" s="80"/>
      <c r="M54" s="80"/>
      <c r="N54" s="80"/>
      <c r="O54" s="80">
        <f>'Historical Financials'!O46</f>
        <v>0</v>
      </c>
      <c r="P54" s="80"/>
      <c r="Q54" s="80"/>
      <c r="R54" s="80"/>
      <c r="S54" s="80">
        <f>'Historical Financials'!S46</f>
        <v>0</v>
      </c>
      <c r="T54" s="80"/>
      <c r="V54" s="10">
        <f t="shared" ref="V54:AD56" si="158">K54</f>
        <v>0</v>
      </c>
      <c r="W54" s="10">
        <f t="shared" si="158"/>
        <v>0</v>
      </c>
      <c r="X54" s="10">
        <f t="shared" si="158"/>
        <v>0</v>
      </c>
      <c r="Y54" s="10">
        <f t="shared" si="158"/>
        <v>0</v>
      </c>
      <c r="Z54" s="10">
        <f t="shared" si="158"/>
        <v>0</v>
      </c>
      <c r="AA54" s="10">
        <f t="shared" si="158"/>
        <v>0</v>
      </c>
      <c r="AB54" s="10">
        <f t="shared" si="158"/>
        <v>0</v>
      </c>
      <c r="AC54" s="10">
        <f t="shared" si="158"/>
        <v>0</v>
      </c>
      <c r="AD54" s="10">
        <f t="shared" si="158"/>
        <v>0</v>
      </c>
      <c r="AE54" s="10">
        <f>T54</f>
        <v>0</v>
      </c>
    </row>
    <row r="55" spans="1:31" ht="12.75" customHeight="1">
      <c r="B55" s="8" t="s">
        <v>116</v>
      </c>
      <c r="C55" s="80"/>
      <c r="D55" s="80"/>
      <c r="E55" s="80"/>
      <c r="F55" s="80"/>
      <c r="G55" s="30"/>
      <c r="H55" s="80"/>
      <c r="I55" s="80"/>
      <c r="J55" s="80"/>
      <c r="K55" s="80">
        <f>'Historical Financials'!K47</f>
        <v>0</v>
      </c>
      <c r="L55" s="80"/>
      <c r="M55" s="80"/>
      <c r="N55" s="80"/>
      <c r="O55" s="80">
        <f>'Historical Financials'!O47</f>
        <v>0</v>
      </c>
      <c r="P55" s="80"/>
      <c r="Q55" s="80"/>
      <c r="R55" s="80"/>
      <c r="S55" s="80">
        <f>'Historical Financials'!S47</f>
        <v>0</v>
      </c>
      <c r="T55" s="80"/>
      <c r="V55" s="10">
        <f t="shared" si="158"/>
        <v>0</v>
      </c>
      <c r="W55" s="10">
        <f t="shared" si="158"/>
        <v>0</v>
      </c>
      <c r="X55" s="10">
        <f t="shared" si="158"/>
        <v>0</v>
      </c>
      <c r="Y55" s="10">
        <f t="shared" si="158"/>
        <v>0</v>
      </c>
      <c r="Z55" s="10">
        <f t="shared" si="158"/>
        <v>0</v>
      </c>
      <c r="AA55" s="10">
        <f t="shared" si="158"/>
        <v>0</v>
      </c>
      <c r="AB55" s="10">
        <f t="shared" si="158"/>
        <v>0</v>
      </c>
      <c r="AC55" s="10">
        <f t="shared" si="158"/>
        <v>0</v>
      </c>
      <c r="AD55" s="10">
        <f t="shared" si="158"/>
        <v>0</v>
      </c>
      <c r="AE55" s="10">
        <f t="shared" ref="AE55:AE56" si="159">T55</f>
        <v>0</v>
      </c>
    </row>
    <row r="56" spans="1:31" ht="12.75" customHeight="1">
      <c r="B56" s="8" t="s">
        <v>116</v>
      </c>
      <c r="C56" s="75"/>
      <c r="D56" s="75"/>
      <c r="E56" s="75"/>
      <c r="F56" s="75"/>
      <c r="G56" s="30"/>
      <c r="H56" s="75"/>
      <c r="I56" s="75"/>
      <c r="J56" s="75"/>
      <c r="K56" s="106">
        <f>D56</f>
        <v>0</v>
      </c>
      <c r="L56" s="75"/>
      <c r="M56" s="75"/>
      <c r="N56" s="75"/>
      <c r="O56" s="106">
        <f>E56</f>
        <v>0</v>
      </c>
      <c r="P56" s="75"/>
      <c r="Q56" s="75"/>
      <c r="R56" s="75"/>
      <c r="S56" s="106">
        <f>F56</f>
        <v>0</v>
      </c>
      <c r="T56" s="75"/>
      <c r="V56" s="10">
        <f t="shared" si="158"/>
        <v>0</v>
      </c>
      <c r="W56" s="10">
        <f t="shared" si="158"/>
        <v>0</v>
      </c>
      <c r="X56" s="10">
        <f t="shared" si="158"/>
        <v>0</v>
      </c>
      <c r="Y56" s="10">
        <f t="shared" si="158"/>
        <v>0</v>
      </c>
      <c r="Z56" s="10">
        <f t="shared" si="158"/>
        <v>0</v>
      </c>
      <c r="AA56" s="10">
        <f t="shared" si="158"/>
        <v>0</v>
      </c>
      <c r="AB56" s="10">
        <f t="shared" si="158"/>
        <v>0</v>
      </c>
      <c r="AC56" s="10">
        <f t="shared" si="158"/>
        <v>0</v>
      </c>
      <c r="AD56" s="10">
        <f t="shared" si="158"/>
        <v>0</v>
      </c>
      <c r="AE56" s="10">
        <f t="shared" si="159"/>
        <v>0</v>
      </c>
    </row>
    <row r="57" spans="1:31" ht="12.75" customHeight="1">
      <c r="B57" s="12" t="s">
        <v>45</v>
      </c>
      <c r="C57" s="13">
        <f>SUM(C54:C56)</f>
        <v>0</v>
      </c>
      <c r="D57" s="13">
        <f t="shared" ref="D57:F57" si="160">SUM(D54:D56)</f>
        <v>0</v>
      </c>
      <c r="E57" s="13">
        <f t="shared" si="160"/>
        <v>0</v>
      </c>
      <c r="F57" s="13">
        <f t="shared" si="160"/>
        <v>0</v>
      </c>
      <c r="G57" s="30"/>
      <c r="H57" s="13">
        <f t="shared" ref="H57:S57" si="161">SUM(H54:H56)</f>
        <v>0</v>
      </c>
      <c r="I57" s="13">
        <f t="shared" si="161"/>
        <v>0</v>
      </c>
      <c r="J57" s="13">
        <f t="shared" si="161"/>
        <v>0</v>
      </c>
      <c r="K57" s="13">
        <f t="shared" si="161"/>
        <v>0</v>
      </c>
      <c r="L57" s="13">
        <f t="shared" si="161"/>
        <v>0</v>
      </c>
      <c r="M57" s="13">
        <f t="shared" si="161"/>
        <v>0</v>
      </c>
      <c r="N57" s="13">
        <f t="shared" si="161"/>
        <v>0</v>
      </c>
      <c r="O57" s="13">
        <f t="shared" si="161"/>
        <v>0</v>
      </c>
      <c r="P57" s="13">
        <f t="shared" si="161"/>
        <v>0</v>
      </c>
      <c r="Q57" s="13">
        <f t="shared" si="161"/>
        <v>0</v>
      </c>
      <c r="R57" s="13">
        <f t="shared" si="161"/>
        <v>0</v>
      </c>
      <c r="S57" s="13">
        <f t="shared" si="161"/>
        <v>0</v>
      </c>
      <c r="T57" s="13">
        <f t="shared" ref="T57" si="162">SUM(T54:T56)</f>
        <v>0</v>
      </c>
      <c r="V57" s="13">
        <f t="shared" ref="V57" si="163">SUM(V54:V56)</f>
        <v>0</v>
      </c>
      <c r="W57" s="13">
        <f t="shared" ref="W57:AE57" si="164">SUM(W54:W56)</f>
        <v>0</v>
      </c>
      <c r="X57" s="13">
        <f t="shared" si="164"/>
        <v>0</v>
      </c>
      <c r="Y57" s="13">
        <f t="shared" si="164"/>
        <v>0</v>
      </c>
      <c r="Z57" s="13">
        <f t="shared" si="164"/>
        <v>0</v>
      </c>
      <c r="AA57" s="13">
        <f t="shared" si="164"/>
        <v>0</v>
      </c>
      <c r="AB57" s="13">
        <f t="shared" si="164"/>
        <v>0</v>
      </c>
      <c r="AC57" s="13">
        <f t="shared" si="164"/>
        <v>0</v>
      </c>
      <c r="AD57" s="13">
        <f t="shared" si="164"/>
        <v>0</v>
      </c>
      <c r="AE57" s="13">
        <f t="shared" si="164"/>
        <v>0</v>
      </c>
    </row>
    <row r="58" spans="1:31" ht="5.0999999999999996" customHeight="1"/>
    <row r="59" spans="1:31" ht="12.75" customHeight="1">
      <c r="B59" s="32" t="s">
        <v>46</v>
      </c>
    </row>
    <row r="60" spans="1:31" ht="12.75" customHeight="1">
      <c r="B60" s="8" t="s">
        <v>116</v>
      </c>
      <c r="C60" s="80"/>
      <c r="D60" s="80"/>
      <c r="E60" s="80"/>
      <c r="F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10"/>
      <c r="V60" s="10">
        <f t="shared" ref="V60:V66" si="165">K60</f>
        <v>0</v>
      </c>
      <c r="W60" s="10">
        <f t="shared" ref="W60:W66" si="166">L60</f>
        <v>0</v>
      </c>
      <c r="X60" s="10">
        <f t="shared" ref="X60:X66" si="167">M60</f>
        <v>0</v>
      </c>
      <c r="Y60" s="10">
        <f t="shared" ref="Y60:Y66" si="168">N60</f>
        <v>0</v>
      </c>
      <c r="Z60" s="10">
        <f t="shared" ref="Z60:Z66" si="169">O60</f>
        <v>0</v>
      </c>
      <c r="AA60" s="10">
        <f t="shared" ref="AA60:AA66" si="170">P60</f>
        <v>0</v>
      </c>
      <c r="AB60" s="10">
        <f t="shared" ref="AB60:AB66" si="171">Q60</f>
        <v>0</v>
      </c>
      <c r="AC60" s="10">
        <f t="shared" ref="AC60:AC66" si="172">R60</f>
        <v>0</v>
      </c>
      <c r="AD60" s="10">
        <f t="shared" ref="AD60:AD66" si="173">S60</f>
        <v>0</v>
      </c>
      <c r="AE60" s="10">
        <f t="shared" ref="AE60:AE66" si="174">T60</f>
        <v>0</v>
      </c>
    </row>
    <row r="61" spans="1:31" ht="12.75" customHeight="1">
      <c r="B61" s="8" t="s">
        <v>116</v>
      </c>
      <c r="C61" s="80"/>
      <c r="D61" s="80"/>
      <c r="E61" s="80"/>
      <c r="F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10"/>
      <c r="V61" s="10">
        <f t="shared" si="165"/>
        <v>0</v>
      </c>
      <c r="W61" s="10">
        <f t="shared" si="166"/>
        <v>0</v>
      </c>
      <c r="X61" s="10">
        <f t="shared" si="167"/>
        <v>0</v>
      </c>
      <c r="Y61" s="10">
        <f t="shared" si="168"/>
        <v>0</v>
      </c>
      <c r="Z61" s="10">
        <f t="shared" si="169"/>
        <v>0</v>
      </c>
      <c r="AA61" s="10">
        <f t="shared" si="170"/>
        <v>0</v>
      </c>
      <c r="AB61" s="10">
        <f t="shared" si="171"/>
        <v>0</v>
      </c>
      <c r="AC61" s="10">
        <f t="shared" si="172"/>
        <v>0</v>
      </c>
      <c r="AD61" s="10">
        <f t="shared" si="173"/>
        <v>0</v>
      </c>
      <c r="AE61" s="10">
        <f t="shared" si="174"/>
        <v>0</v>
      </c>
    </row>
    <row r="62" spans="1:31" ht="12.75" customHeight="1">
      <c r="B62" s="8" t="s">
        <v>116</v>
      </c>
      <c r="C62" s="80"/>
      <c r="D62" s="80"/>
      <c r="E62" s="80"/>
      <c r="F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10"/>
      <c r="V62" s="10">
        <f t="shared" si="165"/>
        <v>0</v>
      </c>
      <c r="W62" s="10">
        <f t="shared" si="166"/>
        <v>0</v>
      </c>
      <c r="X62" s="10">
        <f t="shared" si="167"/>
        <v>0</v>
      </c>
      <c r="Y62" s="10">
        <f t="shared" si="168"/>
        <v>0</v>
      </c>
      <c r="Z62" s="10">
        <f t="shared" si="169"/>
        <v>0</v>
      </c>
      <c r="AA62" s="10">
        <f t="shared" si="170"/>
        <v>0</v>
      </c>
      <c r="AB62" s="10">
        <f t="shared" si="171"/>
        <v>0</v>
      </c>
      <c r="AC62" s="10">
        <f t="shared" si="172"/>
        <v>0</v>
      </c>
      <c r="AD62" s="10">
        <f t="shared" si="173"/>
        <v>0</v>
      </c>
      <c r="AE62" s="10">
        <f t="shared" si="174"/>
        <v>0</v>
      </c>
    </row>
    <row r="63" spans="1:31" ht="12.75" customHeight="1">
      <c r="B63" s="8" t="s">
        <v>116</v>
      </c>
      <c r="C63" s="80"/>
      <c r="D63" s="80"/>
      <c r="E63" s="80"/>
      <c r="F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10"/>
      <c r="V63" s="10">
        <f t="shared" si="165"/>
        <v>0</v>
      </c>
      <c r="W63" s="10">
        <f t="shared" si="166"/>
        <v>0</v>
      </c>
      <c r="X63" s="10">
        <f t="shared" si="167"/>
        <v>0</v>
      </c>
      <c r="Y63" s="10">
        <f t="shared" si="168"/>
        <v>0</v>
      </c>
      <c r="Z63" s="10">
        <f t="shared" si="169"/>
        <v>0</v>
      </c>
      <c r="AA63" s="10">
        <f t="shared" si="170"/>
        <v>0</v>
      </c>
      <c r="AB63" s="10">
        <f t="shared" si="171"/>
        <v>0</v>
      </c>
      <c r="AC63" s="10">
        <f t="shared" si="172"/>
        <v>0</v>
      </c>
      <c r="AD63" s="10">
        <f t="shared" si="173"/>
        <v>0</v>
      </c>
      <c r="AE63" s="10">
        <f t="shared" si="174"/>
        <v>0</v>
      </c>
    </row>
    <row r="64" spans="1:31" ht="12.75" customHeight="1">
      <c r="B64" s="8" t="s">
        <v>116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V64" s="10">
        <f t="shared" si="165"/>
        <v>0</v>
      </c>
      <c r="W64" s="10">
        <f t="shared" si="166"/>
        <v>0</v>
      </c>
      <c r="X64" s="10">
        <f t="shared" si="167"/>
        <v>0</v>
      </c>
      <c r="Y64" s="10">
        <f t="shared" si="168"/>
        <v>0</v>
      </c>
      <c r="Z64" s="10">
        <f t="shared" si="169"/>
        <v>0</v>
      </c>
      <c r="AA64" s="10">
        <f t="shared" si="170"/>
        <v>0</v>
      </c>
      <c r="AB64" s="10">
        <f t="shared" si="171"/>
        <v>0</v>
      </c>
      <c r="AC64" s="10">
        <f t="shared" si="172"/>
        <v>0</v>
      </c>
      <c r="AD64" s="10">
        <f t="shared" si="173"/>
        <v>0</v>
      </c>
      <c r="AE64" s="10">
        <f t="shared" si="174"/>
        <v>0</v>
      </c>
    </row>
    <row r="65" spans="2:31" ht="12.75" customHeight="1">
      <c r="B65" s="8" t="s">
        <v>116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V65" s="10">
        <f t="shared" si="165"/>
        <v>0</v>
      </c>
      <c r="W65" s="10">
        <f t="shared" si="166"/>
        <v>0</v>
      </c>
      <c r="X65" s="10">
        <f t="shared" si="167"/>
        <v>0</v>
      </c>
      <c r="Y65" s="10">
        <f t="shared" si="168"/>
        <v>0</v>
      </c>
      <c r="Z65" s="10">
        <f t="shared" si="169"/>
        <v>0</v>
      </c>
      <c r="AA65" s="10">
        <f t="shared" si="170"/>
        <v>0</v>
      </c>
      <c r="AB65" s="10">
        <f t="shared" si="171"/>
        <v>0</v>
      </c>
      <c r="AC65" s="10">
        <f t="shared" si="172"/>
        <v>0</v>
      </c>
      <c r="AD65" s="10">
        <f t="shared" si="173"/>
        <v>0</v>
      </c>
      <c r="AE65" s="10">
        <f t="shared" si="174"/>
        <v>0</v>
      </c>
    </row>
    <row r="66" spans="2:31" ht="12.75" customHeight="1">
      <c r="B66" s="8" t="s">
        <v>116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V66" s="10">
        <f t="shared" si="165"/>
        <v>0</v>
      </c>
      <c r="W66" s="10">
        <f t="shared" si="166"/>
        <v>0</v>
      </c>
      <c r="X66" s="10">
        <f t="shared" si="167"/>
        <v>0</v>
      </c>
      <c r="Y66" s="10">
        <f t="shared" si="168"/>
        <v>0</v>
      </c>
      <c r="Z66" s="10">
        <f t="shared" si="169"/>
        <v>0</v>
      </c>
      <c r="AA66" s="10">
        <f t="shared" si="170"/>
        <v>0</v>
      </c>
      <c r="AB66" s="10">
        <f t="shared" si="171"/>
        <v>0</v>
      </c>
      <c r="AC66" s="10">
        <f t="shared" si="172"/>
        <v>0</v>
      </c>
      <c r="AD66" s="10">
        <f t="shared" si="173"/>
        <v>0</v>
      </c>
      <c r="AE66" s="10">
        <f t="shared" si="174"/>
        <v>0</v>
      </c>
    </row>
    <row r="67" spans="2:31" ht="5.0999999999999996" customHeight="1">
      <c r="F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2:31">
      <c r="B68" s="32" t="s">
        <v>104</v>
      </c>
      <c r="F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2:31">
      <c r="B69" s="8" t="s">
        <v>105</v>
      </c>
      <c r="C69" s="80"/>
      <c r="D69" s="80"/>
      <c r="E69" s="80"/>
      <c r="F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V69" s="10">
        <f t="shared" ref="V69:V70" si="175">K69</f>
        <v>0</v>
      </c>
      <c r="W69" s="10">
        <f t="shared" ref="W69:W70" si="176">L69</f>
        <v>0</v>
      </c>
      <c r="X69" s="10">
        <f t="shared" ref="X69:X70" si="177">M69</f>
        <v>0</v>
      </c>
      <c r="Y69" s="10">
        <f t="shared" ref="Y69:Y70" si="178">N69</f>
        <v>0</v>
      </c>
      <c r="Z69" s="10">
        <f t="shared" ref="Z69:Z70" si="179">O69</f>
        <v>0</v>
      </c>
      <c r="AA69" s="10">
        <f t="shared" ref="AA69:AA70" si="180">P69</f>
        <v>0</v>
      </c>
      <c r="AB69" s="10">
        <f t="shared" ref="AB69:AB70" si="181">Q69</f>
        <v>0</v>
      </c>
      <c r="AC69" s="10">
        <f t="shared" ref="AC69:AC70" si="182">R69</f>
        <v>0</v>
      </c>
      <c r="AD69" s="10">
        <f t="shared" ref="AD69:AD70" si="183">S69</f>
        <v>0</v>
      </c>
      <c r="AE69" s="10">
        <f t="shared" ref="AE69:AE70" si="184">T69</f>
        <v>0</v>
      </c>
    </row>
    <row r="70" spans="2:31">
      <c r="B70" s="8" t="s">
        <v>106</v>
      </c>
      <c r="C70" s="80"/>
      <c r="D70" s="80"/>
      <c r="E70" s="80"/>
      <c r="F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V70" s="10">
        <f t="shared" si="175"/>
        <v>0</v>
      </c>
      <c r="W70" s="10">
        <f t="shared" si="176"/>
        <v>0</v>
      </c>
      <c r="X70" s="10">
        <f t="shared" si="177"/>
        <v>0</v>
      </c>
      <c r="Y70" s="10">
        <f t="shared" si="178"/>
        <v>0</v>
      </c>
      <c r="Z70" s="10">
        <f t="shared" si="179"/>
        <v>0</v>
      </c>
      <c r="AA70" s="10">
        <f t="shared" si="180"/>
        <v>0</v>
      </c>
      <c r="AB70" s="10">
        <f t="shared" si="181"/>
        <v>0</v>
      </c>
      <c r="AC70" s="10">
        <f t="shared" si="182"/>
        <v>0</v>
      </c>
      <c r="AD70" s="10">
        <f t="shared" si="183"/>
        <v>0</v>
      </c>
      <c r="AE70" s="10">
        <f t="shared" si="184"/>
        <v>0</v>
      </c>
    </row>
    <row r="71" spans="2:31">
      <c r="F71" s="10"/>
    </row>
    <row r="72" spans="2:31">
      <c r="B72" s="130" t="s">
        <v>116</v>
      </c>
      <c r="C72" s="75"/>
      <c r="D72" s="75"/>
      <c r="E72" s="75"/>
      <c r="F72" s="75"/>
      <c r="H72" s="75"/>
      <c r="I72" s="75"/>
      <c r="J72" s="75"/>
      <c r="K72" s="106">
        <f t="shared" ref="K72:K74" si="185">D72</f>
        <v>0</v>
      </c>
      <c r="L72" s="75"/>
      <c r="M72" s="75"/>
      <c r="N72" s="75"/>
      <c r="O72" s="106">
        <f t="shared" ref="O72:O74" si="186">E72</f>
        <v>0</v>
      </c>
      <c r="P72" s="75"/>
      <c r="Q72" s="75"/>
      <c r="R72" s="75"/>
      <c r="S72" s="106">
        <f>F72</f>
        <v>0</v>
      </c>
      <c r="T72" s="75"/>
      <c r="V72" s="10">
        <f t="shared" ref="V72:V75" si="187">K72</f>
        <v>0</v>
      </c>
      <c r="W72" s="10">
        <f t="shared" ref="W72:W75" si="188">L72</f>
        <v>0</v>
      </c>
      <c r="X72" s="10">
        <f t="shared" ref="X72:X75" si="189">M72</f>
        <v>0</v>
      </c>
      <c r="Y72" s="10">
        <f t="shared" ref="Y72:Y75" si="190">N72</f>
        <v>0</v>
      </c>
      <c r="Z72" s="10">
        <f t="shared" ref="Z72:Z75" si="191">O72</f>
        <v>0</v>
      </c>
      <c r="AA72" s="10">
        <f t="shared" ref="AA72:AA75" si="192">P72</f>
        <v>0</v>
      </c>
      <c r="AB72" s="10">
        <f t="shared" ref="AB72:AB75" si="193">Q72</f>
        <v>0</v>
      </c>
      <c r="AC72" s="10">
        <f t="shared" ref="AC72:AC75" si="194">R72</f>
        <v>0</v>
      </c>
      <c r="AD72" s="10">
        <f t="shared" ref="AD72:AD75" si="195">S72</f>
        <v>0</v>
      </c>
      <c r="AE72" s="10">
        <f t="shared" ref="AE72:AE75" si="196">T72</f>
        <v>0</v>
      </c>
    </row>
    <row r="73" spans="2:31">
      <c r="B73" s="130" t="s">
        <v>116</v>
      </c>
      <c r="C73" s="75"/>
      <c r="D73" s="75"/>
      <c r="E73" s="75"/>
      <c r="F73" s="75"/>
      <c r="H73" s="75"/>
      <c r="I73" s="75"/>
      <c r="J73" s="75"/>
      <c r="K73" s="106">
        <f t="shared" si="185"/>
        <v>0</v>
      </c>
      <c r="L73" s="75"/>
      <c r="M73" s="75"/>
      <c r="N73" s="75"/>
      <c r="O73" s="106">
        <f t="shared" si="186"/>
        <v>0</v>
      </c>
      <c r="P73" s="75"/>
      <c r="Q73" s="75"/>
      <c r="R73" s="75"/>
      <c r="S73" s="106">
        <f t="shared" ref="S73:S74" si="197">F73</f>
        <v>0</v>
      </c>
      <c r="T73" s="75"/>
      <c r="V73" s="10">
        <f t="shared" si="187"/>
        <v>0</v>
      </c>
      <c r="W73" s="10">
        <f t="shared" si="188"/>
        <v>0</v>
      </c>
      <c r="X73" s="10">
        <f t="shared" si="189"/>
        <v>0</v>
      </c>
      <c r="Y73" s="10">
        <f t="shared" si="190"/>
        <v>0</v>
      </c>
      <c r="Z73" s="10">
        <f t="shared" si="191"/>
        <v>0</v>
      </c>
      <c r="AA73" s="10">
        <f t="shared" si="192"/>
        <v>0</v>
      </c>
      <c r="AB73" s="10">
        <f t="shared" si="193"/>
        <v>0</v>
      </c>
      <c r="AC73" s="10">
        <f t="shared" si="194"/>
        <v>0</v>
      </c>
      <c r="AD73" s="10">
        <f t="shared" si="195"/>
        <v>0</v>
      </c>
      <c r="AE73" s="10">
        <f t="shared" si="196"/>
        <v>0</v>
      </c>
    </row>
    <row r="74" spans="2:31">
      <c r="B74" s="130" t="s">
        <v>116</v>
      </c>
      <c r="C74" s="75"/>
      <c r="D74" s="75"/>
      <c r="E74" s="75"/>
      <c r="F74" s="75"/>
      <c r="H74" s="75"/>
      <c r="I74" s="75"/>
      <c r="J74" s="75"/>
      <c r="K74" s="106">
        <f t="shared" si="185"/>
        <v>0</v>
      </c>
      <c r="L74" s="75"/>
      <c r="M74" s="75"/>
      <c r="N74" s="75"/>
      <c r="O74" s="106">
        <f t="shared" si="186"/>
        <v>0</v>
      </c>
      <c r="P74" s="75"/>
      <c r="Q74" s="75"/>
      <c r="R74" s="75"/>
      <c r="S74" s="106">
        <f t="shared" si="197"/>
        <v>0</v>
      </c>
      <c r="T74" s="75"/>
      <c r="V74" s="10">
        <f t="shared" si="187"/>
        <v>0</v>
      </c>
      <c r="W74" s="10">
        <f t="shared" si="188"/>
        <v>0</v>
      </c>
      <c r="X74" s="10">
        <f t="shared" si="189"/>
        <v>0</v>
      </c>
      <c r="Y74" s="10">
        <f t="shared" si="190"/>
        <v>0</v>
      </c>
      <c r="Z74" s="10">
        <f t="shared" si="191"/>
        <v>0</v>
      </c>
      <c r="AA74" s="10">
        <f t="shared" si="192"/>
        <v>0</v>
      </c>
      <c r="AB74" s="10">
        <f t="shared" si="193"/>
        <v>0</v>
      </c>
      <c r="AC74" s="10">
        <f t="shared" si="194"/>
        <v>0</v>
      </c>
      <c r="AD74" s="10">
        <f t="shared" si="195"/>
        <v>0</v>
      </c>
      <c r="AE74" s="10">
        <f t="shared" si="196"/>
        <v>0</v>
      </c>
    </row>
    <row r="75" spans="2:31">
      <c r="B75" s="130" t="s">
        <v>116</v>
      </c>
      <c r="C75" s="75"/>
      <c r="D75" s="75"/>
      <c r="E75" s="75"/>
      <c r="F75" s="75"/>
      <c r="H75" s="75"/>
      <c r="I75" s="75"/>
      <c r="J75" s="75"/>
      <c r="K75" s="80">
        <f>'Historical Financials'!K68+'Historical Financials'!K77</f>
        <v>0</v>
      </c>
      <c r="L75" s="75"/>
      <c r="M75" s="75"/>
      <c r="N75" s="75"/>
      <c r="O75" s="80">
        <f>'Historical Financials'!O68+'Historical Financials'!O77</f>
        <v>0</v>
      </c>
      <c r="P75" s="75"/>
      <c r="Q75" s="75"/>
      <c r="R75" s="75"/>
      <c r="S75" s="80">
        <f>'Historical Financials'!S68+'Historical Financials'!S77</f>
        <v>0</v>
      </c>
      <c r="T75" s="75"/>
      <c r="V75" s="10">
        <f t="shared" si="187"/>
        <v>0</v>
      </c>
      <c r="W75" s="10">
        <f t="shared" si="188"/>
        <v>0</v>
      </c>
      <c r="X75" s="10">
        <f t="shared" si="189"/>
        <v>0</v>
      </c>
      <c r="Y75" s="10">
        <f t="shared" si="190"/>
        <v>0</v>
      </c>
      <c r="Z75" s="10">
        <f t="shared" si="191"/>
        <v>0</v>
      </c>
      <c r="AA75" s="10">
        <f t="shared" si="192"/>
        <v>0</v>
      </c>
      <c r="AB75" s="10">
        <f t="shared" si="193"/>
        <v>0</v>
      </c>
      <c r="AC75" s="10">
        <f t="shared" si="194"/>
        <v>0</v>
      </c>
      <c r="AD75" s="10">
        <f t="shared" si="195"/>
        <v>0</v>
      </c>
      <c r="AE75" s="10">
        <f t="shared" si="196"/>
        <v>0</v>
      </c>
    </row>
    <row r="76" spans="2:31" ht="12.75" customHeight="1">
      <c r="B76" s="12" t="s">
        <v>23</v>
      </c>
      <c r="C76" s="13">
        <f t="shared" ref="C76:F76" si="198">SUM(C72:C75)</f>
        <v>0</v>
      </c>
      <c r="D76" s="13">
        <f t="shared" si="198"/>
        <v>0</v>
      </c>
      <c r="E76" s="13">
        <f t="shared" si="198"/>
        <v>0</v>
      </c>
      <c r="F76" s="13">
        <f t="shared" si="198"/>
        <v>0</v>
      </c>
      <c r="H76" s="13">
        <f t="shared" ref="H76:S76" si="199">SUM(H72:H75)</f>
        <v>0</v>
      </c>
      <c r="I76" s="13">
        <f t="shared" si="199"/>
        <v>0</v>
      </c>
      <c r="J76" s="13">
        <f t="shared" si="199"/>
        <v>0</v>
      </c>
      <c r="K76" s="13">
        <f t="shared" si="199"/>
        <v>0</v>
      </c>
      <c r="L76" s="13">
        <f t="shared" si="199"/>
        <v>0</v>
      </c>
      <c r="M76" s="13">
        <f t="shared" si="199"/>
        <v>0</v>
      </c>
      <c r="N76" s="13">
        <f t="shared" si="199"/>
        <v>0</v>
      </c>
      <c r="O76" s="13">
        <f t="shared" si="199"/>
        <v>0</v>
      </c>
      <c r="P76" s="13">
        <f t="shared" si="199"/>
        <v>0</v>
      </c>
      <c r="Q76" s="13">
        <f t="shared" si="199"/>
        <v>0</v>
      </c>
      <c r="R76" s="13">
        <f t="shared" si="199"/>
        <v>0</v>
      </c>
      <c r="S76" s="13">
        <f t="shared" si="199"/>
        <v>0</v>
      </c>
      <c r="T76" s="13">
        <f t="shared" ref="T76" si="200">SUM(T72:T75)</f>
        <v>0</v>
      </c>
      <c r="V76" s="13">
        <f t="shared" ref="V76:AE76" si="201">SUM(V72:V75)</f>
        <v>0</v>
      </c>
      <c r="W76" s="13">
        <f t="shared" si="201"/>
        <v>0</v>
      </c>
      <c r="X76" s="13">
        <f t="shared" si="201"/>
        <v>0</v>
      </c>
      <c r="Y76" s="13">
        <f t="shared" si="201"/>
        <v>0</v>
      </c>
      <c r="Z76" s="13">
        <f t="shared" si="201"/>
        <v>0</v>
      </c>
      <c r="AA76" s="13">
        <f t="shared" si="201"/>
        <v>0</v>
      </c>
      <c r="AB76" s="13">
        <f t="shared" si="201"/>
        <v>0</v>
      </c>
      <c r="AC76" s="13">
        <f t="shared" si="201"/>
        <v>0</v>
      </c>
      <c r="AD76" s="13">
        <f t="shared" si="201"/>
        <v>0</v>
      </c>
      <c r="AE76" s="13">
        <f t="shared" si="201"/>
        <v>0</v>
      </c>
    </row>
    <row r="77" spans="2:31" ht="5.0999999999999996" customHeight="1"/>
    <row r="78" spans="2:31" ht="12.75" customHeight="1">
      <c r="B78" s="8" t="s">
        <v>48</v>
      </c>
      <c r="C78" s="80"/>
      <c r="D78" s="80"/>
      <c r="E78" s="80"/>
      <c r="F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V78" s="10">
        <f t="shared" ref="V78" si="202">K78</f>
        <v>0</v>
      </c>
      <c r="W78" s="10">
        <f t="shared" ref="W78" si="203">L78</f>
        <v>0</v>
      </c>
      <c r="X78" s="10">
        <f t="shared" ref="X78" si="204">M78</f>
        <v>0</v>
      </c>
      <c r="Y78" s="10">
        <f t="shared" ref="Y78" si="205">N78</f>
        <v>0</v>
      </c>
      <c r="Z78" s="10">
        <f t="shared" ref="Z78" si="206">O78</f>
        <v>0</v>
      </c>
      <c r="AA78" s="10">
        <f t="shared" ref="AA78" si="207">P78</f>
        <v>0</v>
      </c>
      <c r="AB78" s="10">
        <f t="shared" ref="AB78" si="208">Q78</f>
        <v>0</v>
      </c>
      <c r="AC78" s="10">
        <f t="shared" ref="AC78" si="209">R78</f>
        <v>0</v>
      </c>
      <c r="AD78" s="10">
        <f t="shared" ref="AD78" si="210">S78</f>
        <v>0</v>
      </c>
      <c r="AE78" s="10">
        <f t="shared" ref="AE78" si="211">T78</f>
        <v>0</v>
      </c>
    </row>
    <row r="79" spans="2:31" ht="12.75" customHeight="1">
      <c r="B79" s="12" t="s">
        <v>49</v>
      </c>
      <c r="C79" s="13">
        <f t="shared" ref="C79:F79" si="212">SUM(C76:C78)</f>
        <v>0</v>
      </c>
      <c r="D79" s="13">
        <f t="shared" si="212"/>
        <v>0</v>
      </c>
      <c r="E79" s="13">
        <f t="shared" si="212"/>
        <v>0</v>
      </c>
      <c r="F79" s="13">
        <f t="shared" si="212"/>
        <v>0</v>
      </c>
      <c r="H79" s="13">
        <f>SUM(H76:H78)</f>
        <v>0</v>
      </c>
      <c r="I79" s="13">
        <f>SUM(I76:I78)</f>
        <v>0</v>
      </c>
      <c r="J79" s="13">
        <f>SUM(J76:J78)</f>
        <v>0</v>
      </c>
      <c r="K79" s="13">
        <f>SUM(K76:K78)</f>
        <v>0</v>
      </c>
      <c r="L79" s="13">
        <f t="shared" ref="L79:Q79" si="213">SUM(L76:L78)</f>
        <v>0</v>
      </c>
      <c r="M79" s="13">
        <f t="shared" si="213"/>
        <v>0</v>
      </c>
      <c r="N79" s="13">
        <f t="shared" si="213"/>
        <v>0</v>
      </c>
      <c r="O79" s="13">
        <f t="shared" si="213"/>
        <v>0</v>
      </c>
      <c r="P79" s="13">
        <f t="shared" si="213"/>
        <v>0</v>
      </c>
      <c r="Q79" s="13">
        <f t="shared" si="213"/>
        <v>0</v>
      </c>
      <c r="R79" s="13">
        <f t="shared" ref="R79:S79" si="214">SUM(R76:R78)</f>
        <v>0</v>
      </c>
      <c r="S79" s="13">
        <f t="shared" si="214"/>
        <v>0</v>
      </c>
      <c r="T79" s="13">
        <f t="shared" ref="T79" si="215">SUM(T76:T78)</f>
        <v>0</v>
      </c>
      <c r="V79" s="13">
        <f t="shared" ref="V79" si="216">SUM(V76:V78)</f>
        <v>0</v>
      </c>
      <c r="W79" s="13">
        <f t="shared" ref="W79:AC79" si="217">SUM(W76:W78)</f>
        <v>0</v>
      </c>
      <c r="X79" s="13">
        <f t="shared" si="217"/>
        <v>0</v>
      </c>
      <c r="Y79" s="13">
        <f t="shared" si="217"/>
        <v>0</v>
      </c>
      <c r="Z79" s="13">
        <f t="shared" si="217"/>
        <v>0</v>
      </c>
      <c r="AA79" s="13">
        <f t="shared" si="217"/>
        <v>0</v>
      </c>
      <c r="AB79" s="13">
        <f t="shared" si="217"/>
        <v>0</v>
      </c>
      <c r="AC79" s="13">
        <f t="shared" si="217"/>
        <v>0</v>
      </c>
      <c r="AD79" s="13">
        <f>SUM(AD76:AD78)</f>
        <v>0</v>
      </c>
      <c r="AE79" s="13">
        <f>SUM(AE76:AE78)</f>
        <v>0</v>
      </c>
    </row>
    <row r="80" spans="2:31" ht="5.0999999999999996" customHeight="1"/>
    <row r="81" spans="1:31" ht="12.75" customHeight="1">
      <c r="A81" s="5"/>
      <c r="B81" s="31" t="s">
        <v>73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</row>
    <row r="82" spans="1:31" ht="5.0999999999999996" customHeight="1"/>
    <row r="83" spans="1:31" ht="12.75" customHeight="1">
      <c r="B83" s="29" t="s">
        <v>107</v>
      </c>
      <c r="C83" s="134" t="e">
        <f>C76/C34</f>
        <v>#DIV/0!</v>
      </c>
      <c r="D83" s="134" t="e">
        <f>D76/D34</f>
        <v>#DIV/0!</v>
      </c>
      <c r="E83" s="134" t="e">
        <f>E76/E34</f>
        <v>#DIV/0!</v>
      </c>
      <c r="F83" s="134" t="e">
        <f>F76/F34</f>
        <v>#DIV/0!</v>
      </c>
      <c r="H83" s="136"/>
      <c r="I83" s="136"/>
      <c r="J83" s="136"/>
      <c r="K83" s="134" t="e">
        <f t="shared" ref="K83" si="218">SUM(K76/SUM(H34:K34))</f>
        <v>#DIV/0!</v>
      </c>
      <c r="L83" s="134" t="e">
        <f t="shared" ref="L83" si="219">SUM(L76/SUM(I34:L34))</f>
        <v>#DIV/0!</v>
      </c>
      <c r="M83" s="134" t="e">
        <f t="shared" ref="M83" si="220">SUM(M76/SUM(J34:M34))</f>
        <v>#DIV/0!</v>
      </c>
      <c r="N83" s="134" t="e">
        <f t="shared" ref="N83" si="221">SUM(N76/SUM(K34:N34))</f>
        <v>#DIV/0!</v>
      </c>
      <c r="O83" s="134" t="e">
        <f t="shared" ref="O83" si="222">SUM(O76/SUM(L34:O34))</f>
        <v>#DIV/0!</v>
      </c>
      <c r="P83" s="134" t="e">
        <f t="shared" ref="P83" si="223">SUM(P76/SUM(M34:P34))</f>
        <v>#DIV/0!</v>
      </c>
      <c r="Q83" s="134" t="e">
        <f t="shared" ref="Q83" si="224">SUM(Q76/SUM(N34:Q34))</f>
        <v>#DIV/0!</v>
      </c>
      <c r="R83" s="134" t="e">
        <f t="shared" ref="R83" si="225">SUM(R76/SUM(O34:R34))</f>
        <v>#DIV/0!</v>
      </c>
      <c r="S83" s="134" t="e">
        <f t="shared" ref="S83" si="226">SUM(S76/SUM(P34:S34))</f>
        <v>#DIV/0!</v>
      </c>
      <c r="T83" s="134" t="e">
        <f t="shared" ref="T83" si="227">SUM(T76/SUM(Q34:T34))</f>
        <v>#DIV/0!</v>
      </c>
      <c r="U83" s="134"/>
      <c r="V83" s="134" t="e">
        <f t="shared" ref="V83:AE83" si="228">V76/V34</f>
        <v>#DIV/0!</v>
      </c>
      <c r="W83" s="134" t="e">
        <f t="shared" si="228"/>
        <v>#DIV/0!</v>
      </c>
      <c r="X83" s="134" t="e">
        <f t="shared" si="228"/>
        <v>#DIV/0!</v>
      </c>
      <c r="Y83" s="134" t="e">
        <f t="shared" si="228"/>
        <v>#DIV/0!</v>
      </c>
      <c r="Z83" s="134" t="e">
        <f t="shared" si="228"/>
        <v>#DIV/0!</v>
      </c>
      <c r="AA83" s="134" t="e">
        <f t="shared" si="228"/>
        <v>#DIV/0!</v>
      </c>
      <c r="AB83" s="134" t="e">
        <f t="shared" si="228"/>
        <v>#DIV/0!</v>
      </c>
      <c r="AC83" s="134" t="e">
        <f t="shared" si="228"/>
        <v>#DIV/0!</v>
      </c>
      <c r="AD83" s="134" t="e">
        <f t="shared" si="228"/>
        <v>#DIV/0!</v>
      </c>
      <c r="AE83" s="134" t="e">
        <f t="shared" si="228"/>
        <v>#DIV/0!</v>
      </c>
    </row>
    <row r="84" spans="1:31" ht="12.75" customHeight="1">
      <c r="B84" s="29" t="s">
        <v>108</v>
      </c>
      <c r="C84" s="134" t="e">
        <f>SUM(C76-C54)/C34</f>
        <v>#DIV/0!</v>
      </c>
      <c r="D84" s="134" t="e">
        <f>SUM(D76-D54)/D34</f>
        <v>#DIV/0!</v>
      </c>
      <c r="E84" s="134" t="e">
        <f>SUM(E76-E54)/E34</f>
        <v>#DIV/0!</v>
      </c>
      <c r="F84" s="134" t="e">
        <f>SUM(F76-F54)/F34</f>
        <v>#DIV/0!</v>
      </c>
      <c r="H84" s="136"/>
      <c r="I84" s="136"/>
      <c r="J84" s="136"/>
      <c r="K84" s="134" t="e">
        <f t="shared" ref="K84" si="229">SUM(K76-K54)/SUM(H34:K34)</f>
        <v>#DIV/0!</v>
      </c>
      <c r="L84" s="134" t="e">
        <f t="shared" ref="L84" si="230">SUM(L76-L54)/SUM(I34:L34)</f>
        <v>#DIV/0!</v>
      </c>
      <c r="M84" s="134" t="e">
        <f t="shared" ref="M84" si="231">SUM(M76-M54)/SUM(J34:M34)</f>
        <v>#DIV/0!</v>
      </c>
      <c r="N84" s="134" t="e">
        <f t="shared" ref="N84" si="232">SUM(N76-N54)/SUM(K34:N34)</f>
        <v>#DIV/0!</v>
      </c>
      <c r="O84" s="134" t="e">
        <f t="shared" ref="O84" si="233">SUM(O76-O54)/SUM(L34:O34)</f>
        <v>#DIV/0!</v>
      </c>
      <c r="P84" s="134" t="e">
        <f t="shared" ref="P84" si="234">SUM(P76-P54)/SUM(M34:P34)</f>
        <v>#DIV/0!</v>
      </c>
      <c r="Q84" s="134" t="e">
        <f t="shared" ref="Q84" si="235">SUM(Q76-Q54)/SUM(N34:Q34)</f>
        <v>#DIV/0!</v>
      </c>
      <c r="R84" s="134" t="e">
        <f t="shared" ref="R84" si="236">SUM(R76-R54)/SUM(O34:R34)</f>
        <v>#DIV/0!</v>
      </c>
      <c r="S84" s="134" t="e">
        <f t="shared" ref="S84" si="237">SUM(S76-S54)/SUM(P34:S34)</f>
        <v>#DIV/0!</v>
      </c>
      <c r="T84" s="134" t="e">
        <f t="shared" ref="T84" si="238">SUM(T76-T54)/SUM(Q34:T34)</f>
        <v>#DIV/0!</v>
      </c>
      <c r="U84" s="134"/>
      <c r="V84" s="134" t="e">
        <f t="shared" ref="V84:AE84" si="239">SUM(V76-V54)/V34</f>
        <v>#DIV/0!</v>
      </c>
      <c r="W84" s="134" t="e">
        <f t="shared" si="239"/>
        <v>#DIV/0!</v>
      </c>
      <c r="X84" s="134" t="e">
        <f t="shared" si="239"/>
        <v>#DIV/0!</v>
      </c>
      <c r="Y84" s="134" t="e">
        <f t="shared" si="239"/>
        <v>#DIV/0!</v>
      </c>
      <c r="Z84" s="134" t="e">
        <f t="shared" si="239"/>
        <v>#DIV/0!</v>
      </c>
      <c r="AA84" s="134" t="e">
        <f t="shared" si="239"/>
        <v>#DIV/0!</v>
      </c>
      <c r="AB84" s="134" t="e">
        <f t="shared" si="239"/>
        <v>#DIV/0!</v>
      </c>
      <c r="AC84" s="134" t="e">
        <f t="shared" si="239"/>
        <v>#DIV/0!</v>
      </c>
      <c r="AD84" s="134" t="e">
        <f t="shared" si="239"/>
        <v>#DIV/0!</v>
      </c>
      <c r="AE84" s="134" t="e">
        <f t="shared" si="239"/>
        <v>#DIV/0!</v>
      </c>
    </row>
    <row r="85" spans="1:31" ht="12.75" customHeight="1">
      <c r="B85" s="29" t="s">
        <v>109</v>
      </c>
      <c r="C85" s="134" t="e">
        <f>C34/-C39</f>
        <v>#DIV/0!</v>
      </c>
      <c r="D85" s="134" t="e">
        <f>D34/-D39</f>
        <v>#DIV/0!</v>
      </c>
      <c r="E85" s="134" t="e">
        <f>E34/-E39</f>
        <v>#DIV/0!</v>
      </c>
      <c r="F85" s="134" t="e">
        <f>F34/-F39</f>
        <v>#DIV/0!</v>
      </c>
      <c r="H85" s="136"/>
      <c r="I85" s="136"/>
      <c r="J85" s="136"/>
      <c r="K85" s="134" t="e" cm="1">
        <f t="array" ref="K85">SUM(H34:K34)/SUM(-H39:K39)</f>
        <v>#DIV/0!</v>
      </c>
      <c r="L85" s="134" t="e" cm="1">
        <f t="array" ref="L85">SUM(I34:L34)/SUM(-I39:L39)</f>
        <v>#DIV/0!</v>
      </c>
      <c r="M85" s="134" t="e" cm="1">
        <f t="array" ref="M85">SUM(J34:M34)/SUM(-J39:M39)</f>
        <v>#DIV/0!</v>
      </c>
      <c r="N85" s="134" t="e" cm="1">
        <f t="array" ref="N85">SUM(K34:N34)/SUM(-K39:N39)</f>
        <v>#DIV/0!</v>
      </c>
      <c r="O85" s="134" t="e" cm="1">
        <f t="array" ref="O85">SUM(L34:O34)/SUM(-L39:O39)</f>
        <v>#DIV/0!</v>
      </c>
      <c r="P85" s="134" t="e" cm="1">
        <f t="array" ref="P85">SUM(M34:P34)/SUM(-M39:P39)</f>
        <v>#DIV/0!</v>
      </c>
      <c r="Q85" s="134" t="e" cm="1">
        <f t="array" ref="Q85">SUM(N34:Q34)/SUM(-N39:Q39)</f>
        <v>#DIV/0!</v>
      </c>
      <c r="R85" s="134" t="e" cm="1">
        <f t="array" ref="R85">SUM(O34:R34)/SUM(-O39:R39)</f>
        <v>#DIV/0!</v>
      </c>
      <c r="S85" s="134" t="e" cm="1">
        <f t="array" ref="S85">SUM(P34:S34)/SUM(-P39:S39)</f>
        <v>#DIV/0!</v>
      </c>
      <c r="T85" s="134" t="e" cm="1">
        <f t="array" ref="T85">SUM(Q34:T34)/SUM(-Q39:T39)</f>
        <v>#DIV/0!</v>
      </c>
      <c r="U85" s="134"/>
      <c r="V85" s="134" t="e">
        <f t="shared" ref="V85:AE85" si="240">V34/-V39</f>
        <v>#DIV/0!</v>
      </c>
      <c r="W85" s="134" t="e">
        <f t="shared" si="240"/>
        <v>#DIV/0!</v>
      </c>
      <c r="X85" s="134" t="e">
        <f t="shared" si="240"/>
        <v>#DIV/0!</v>
      </c>
      <c r="Y85" s="134" t="e">
        <f t="shared" si="240"/>
        <v>#DIV/0!</v>
      </c>
      <c r="Z85" s="134" t="e">
        <f t="shared" si="240"/>
        <v>#DIV/0!</v>
      </c>
      <c r="AA85" s="134" t="e">
        <f t="shared" si="240"/>
        <v>#DIV/0!</v>
      </c>
      <c r="AB85" s="134" t="e">
        <f t="shared" si="240"/>
        <v>#DIV/0!</v>
      </c>
      <c r="AC85" s="134" t="e">
        <f t="shared" si="240"/>
        <v>#DIV/0!</v>
      </c>
      <c r="AD85" s="134" t="e">
        <f t="shared" si="240"/>
        <v>#DIV/0!</v>
      </c>
      <c r="AE85" s="134" t="e">
        <f t="shared" si="240"/>
        <v>#DIV/0!</v>
      </c>
    </row>
    <row r="86" spans="1:31" ht="12.75" customHeight="1">
      <c r="B86" s="29" t="s">
        <v>110</v>
      </c>
      <c r="C86" s="134" t="e" cm="1">
        <f t="array" ref="C86">SUM(C34+C37)/SUM(-C38:C39)</f>
        <v>#DIV/0!</v>
      </c>
      <c r="D86" s="134" t="e" cm="1">
        <f t="array" ref="D86">SUM(D34+D37)/SUM(-D38:D39)</f>
        <v>#DIV/0!</v>
      </c>
      <c r="E86" s="134" t="e" cm="1">
        <f t="array" ref="E86">SUM(E34+E37)/SUM(-E38:E39)</f>
        <v>#DIV/0!</v>
      </c>
      <c r="F86" s="134" t="e" cm="1">
        <f t="array" ref="F86">SUM(F34+F37)/SUM(-F38:F39)</f>
        <v>#DIV/0!</v>
      </c>
      <c r="H86" s="136"/>
      <c r="I86" s="136"/>
      <c r="J86" s="136"/>
      <c r="K86" s="134" t="e" cm="1">
        <f t="array" ref="K86">SUM(H34:K34+H37:K37)/SUM(-H38:K39)</f>
        <v>#DIV/0!</v>
      </c>
      <c r="L86" s="134" t="e" cm="1">
        <f t="array" ref="L86">SUM(I34:L34+I37:L37)/SUM(-I38:L39)</f>
        <v>#DIV/0!</v>
      </c>
      <c r="M86" s="134" t="e" cm="1">
        <f t="array" ref="M86">SUM(J34:M34+J37:M37)/SUM(-J38:M39)</f>
        <v>#DIV/0!</v>
      </c>
      <c r="N86" s="134" t="e" cm="1">
        <f t="array" ref="N86">SUM(K34:N34+K37:N37)/SUM(-K38:N39)</f>
        <v>#DIV/0!</v>
      </c>
      <c r="O86" s="134" t="e" cm="1">
        <f t="array" ref="O86">SUM(L34:O34+L37:O37)/SUM(-L38:O39)</f>
        <v>#DIV/0!</v>
      </c>
      <c r="P86" s="134" t="e" cm="1">
        <f t="array" ref="P86">SUM(M34:P34+M37:P37)/SUM(-M38:P39)</f>
        <v>#DIV/0!</v>
      </c>
      <c r="Q86" s="134" t="e" cm="1">
        <f t="array" ref="Q86">SUM(N34:Q34+N37:Q37)/SUM(-N38:Q39)</f>
        <v>#DIV/0!</v>
      </c>
      <c r="R86" s="134" t="e" cm="1">
        <f t="array" ref="R86">SUM(O34:R34+O37:R37)/SUM(-O38:R39)</f>
        <v>#DIV/0!</v>
      </c>
      <c r="S86" s="134" t="e" cm="1">
        <f t="array" ref="S86">SUM(P34:S34+P37:S37)/SUM(-P38:S39)</f>
        <v>#DIV/0!</v>
      </c>
      <c r="T86" s="134" t="e" cm="1">
        <f t="array" ref="T86">SUM(Q34:T34+Q37:T37)/SUM(-Q38:T39)</f>
        <v>#DIV/0!</v>
      </c>
      <c r="U86" s="134"/>
      <c r="V86" s="134" t="e" cm="1">
        <f t="array" ref="V86">SUM(V34+V37)/SUM(-V38:V39)</f>
        <v>#DIV/0!</v>
      </c>
      <c r="W86" s="134" t="e" cm="1">
        <f t="array" ref="W86">SUM(W34+W37)/SUM(-W38:W39)</f>
        <v>#DIV/0!</v>
      </c>
      <c r="X86" s="134" t="e" cm="1">
        <f t="array" ref="X86">SUM(X34+X37)/SUM(-X38:X39)</f>
        <v>#DIV/0!</v>
      </c>
      <c r="Y86" s="134" t="e" cm="1">
        <f t="array" ref="Y86">SUM(Y34+Y37)/SUM(-Y38:Y39)</f>
        <v>#DIV/0!</v>
      </c>
      <c r="Z86" s="134" t="e" cm="1">
        <f t="array" ref="Z86">SUM(Z34+Z37)/SUM(-Z38:Z39)</f>
        <v>#DIV/0!</v>
      </c>
      <c r="AA86" s="134" t="e" cm="1">
        <f t="array" ref="AA86">SUM(AA34+AA37)/SUM(-AA38:AA39)</f>
        <v>#DIV/0!</v>
      </c>
      <c r="AB86" s="134" t="e" cm="1">
        <f t="array" ref="AB86">SUM(AB34+AB37)/SUM(-AB38:AB39)</f>
        <v>#DIV/0!</v>
      </c>
      <c r="AC86" s="134" t="e" cm="1">
        <f t="array" ref="AC86">SUM(AC34+AC37)/SUM(-AC38:AC39)</f>
        <v>#DIV/0!</v>
      </c>
      <c r="AD86" s="134" t="e" cm="1">
        <f t="array" ref="AD86">SUM(AD34+AD37)/SUM(-AD38:AD39)</f>
        <v>#DIV/0!</v>
      </c>
      <c r="AE86" s="134" t="e" cm="1">
        <f t="array" ref="AE86">SUM(AE34+AE37)/SUM(-AE38:AE39)</f>
        <v>#DIV/0!</v>
      </c>
    </row>
    <row r="87" spans="1:31" ht="12.75" customHeight="1">
      <c r="B87" s="29" t="s">
        <v>111</v>
      </c>
      <c r="C87" s="134" t="e" cm="1">
        <f t="array" ref="C87">SUM(C34)/SUM(-C37:C39)</f>
        <v>#DIV/0!</v>
      </c>
      <c r="D87" s="134" t="e" cm="1">
        <f t="array" ref="D87">SUM(D34)/SUM(-D37:D39)</f>
        <v>#DIV/0!</v>
      </c>
      <c r="E87" s="134" t="e" cm="1">
        <f t="array" ref="E87">SUM(E34)/SUM(-E37:E39)</f>
        <v>#DIV/0!</v>
      </c>
      <c r="F87" s="134" t="e" cm="1">
        <f t="array" ref="F87">SUM(F34)/SUM(-F37:F39)</f>
        <v>#DIV/0!</v>
      </c>
      <c r="H87" s="136"/>
      <c r="I87" s="136"/>
      <c r="J87" s="136"/>
      <c r="K87" s="134" t="e" cm="1">
        <f t="array" ref="K87">SUM(H34:K34)/SUM(-H37:K39)</f>
        <v>#DIV/0!</v>
      </c>
      <c r="L87" s="134" t="e" cm="1">
        <f t="array" ref="L87">SUM(I34:L34)/SUM(-I37:L39)</f>
        <v>#DIV/0!</v>
      </c>
      <c r="M87" s="134" t="e" cm="1">
        <f t="array" ref="M87">SUM(J34:M34)/SUM(-J37:M39)</f>
        <v>#DIV/0!</v>
      </c>
      <c r="N87" s="134" t="e" cm="1">
        <f t="array" ref="N87">SUM(K34:N34)/SUM(-K37:N39)</f>
        <v>#DIV/0!</v>
      </c>
      <c r="O87" s="134" t="e" cm="1">
        <f t="array" ref="O87">SUM(L34:O34)/SUM(-L37:O39)</f>
        <v>#DIV/0!</v>
      </c>
      <c r="P87" s="134" t="e" cm="1">
        <f t="array" ref="P87">SUM(M34:P34)/SUM(-M37:P39)</f>
        <v>#DIV/0!</v>
      </c>
      <c r="Q87" s="134" t="e" cm="1">
        <f t="array" ref="Q87">SUM(N34:Q34)/SUM(-N37:Q39)</f>
        <v>#DIV/0!</v>
      </c>
      <c r="R87" s="134" t="e" cm="1">
        <f t="array" ref="R87">SUM(O34:R34)/SUM(-O37:R39)</f>
        <v>#DIV/0!</v>
      </c>
      <c r="S87" s="134" t="e" cm="1">
        <f t="array" ref="S87">SUM(P34:S34)/SUM(-P37:S39)</f>
        <v>#DIV/0!</v>
      </c>
      <c r="T87" s="134" t="e" cm="1">
        <f t="array" ref="T87">SUM(Q34:T34)/SUM(-Q37:T39)</f>
        <v>#DIV/0!</v>
      </c>
      <c r="U87" s="134"/>
      <c r="V87" s="134" t="e" cm="1">
        <f t="array" ref="V87">SUM(V34)/SUM(-V37:V39)</f>
        <v>#DIV/0!</v>
      </c>
      <c r="W87" s="134" t="e" cm="1">
        <f t="array" ref="W87">SUM(W34)/SUM(-W37:W39)</f>
        <v>#DIV/0!</v>
      </c>
      <c r="X87" s="134" t="e" cm="1">
        <f t="array" ref="X87">SUM(X34)/SUM(-X37:X39)</f>
        <v>#DIV/0!</v>
      </c>
      <c r="Y87" s="134" t="e" cm="1">
        <f t="array" ref="Y87">SUM(Y34)/SUM(-Y37:Y39)</f>
        <v>#DIV/0!</v>
      </c>
      <c r="Z87" s="134" t="e" cm="1">
        <f t="array" ref="Z87">SUM(Z34)/SUM(-Z37:Z39)</f>
        <v>#DIV/0!</v>
      </c>
      <c r="AA87" s="134" t="e" cm="1">
        <f t="array" ref="AA87">SUM(AA34)/SUM(-AA37:AA39)</f>
        <v>#DIV/0!</v>
      </c>
      <c r="AB87" s="134" t="e" cm="1">
        <f t="array" ref="AB87">SUM(AB34)/SUM(-AB37:AB39)</f>
        <v>#DIV/0!</v>
      </c>
      <c r="AC87" s="134" t="e" cm="1">
        <f t="array" ref="AC87">SUM(AC34)/SUM(-AC37:AC39)</f>
        <v>#DIV/0!</v>
      </c>
      <c r="AD87" s="134" t="e" cm="1">
        <f t="array" ref="AD87">SUM(AD34)/SUM(-AD37:AD39)</f>
        <v>#DIV/0!</v>
      </c>
      <c r="AE87" s="134" t="e" cm="1">
        <f t="array" ref="AE87">SUM(AE34)/SUM(-AE37:AE39)</f>
        <v>#DIV/0!</v>
      </c>
    </row>
    <row r="88" spans="1:31" ht="12.75" customHeight="1">
      <c r="B88" s="8" t="s">
        <v>50</v>
      </c>
      <c r="C88" s="134" t="e">
        <f t="shared" ref="C88:F88" si="241">C79/C76</f>
        <v>#DIV/0!</v>
      </c>
      <c r="D88" s="134" t="e">
        <f t="shared" si="241"/>
        <v>#DIV/0!</v>
      </c>
      <c r="E88" s="134" t="e">
        <f t="shared" si="241"/>
        <v>#DIV/0!</v>
      </c>
      <c r="F88" s="134" t="e">
        <f t="shared" si="241"/>
        <v>#DIV/0!</v>
      </c>
      <c r="H88" s="136"/>
      <c r="I88" s="136"/>
      <c r="J88" s="136"/>
      <c r="K88" s="134" t="e">
        <f t="shared" ref="K88:T88" si="242">K79/K76</f>
        <v>#DIV/0!</v>
      </c>
      <c r="L88" s="134" t="e">
        <f t="shared" si="242"/>
        <v>#DIV/0!</v>
      </c>
      <c r="M88" s="134" t="e">
        <f t="shared" si="242"/>
        <v>#DIV/0!</v>
      </c>
      <c r="N88" s="134" t="e">
        <f t="shared" si="242"/>
        <v>#DIV/0!</v>
      </c>
      <c r="O88" s="134" t="e">
        <f t="shared" si="242"/>
        <v>#DIV/0!</v>
      </c>
      <c r="P88" s="134" t="e">
        <f t="shared" si="242"/>
        <v>#DIV/0!</v>
      </c>
      <c r="Q88" s="134" t="e">
        <f t="shared" si="242"/>
        <v>#DIV/0!</v>
      </c>
      <c r="R88" s="134" t="e">
        <f t="shared" si="242"/>
        <v>#DIV/0!</v>
      </c>
      <c r="S88" s="134" t="e">
        <f t="shared" si="242"/>
        <v>#DIV/0!</v>
      </c>
      <c r="T88" s="134" t="e">
        <f t="shared" ref="T88" si="243">T79/T76</f>
        <v>#DIV/0!</v>
      </c>
      <c r="U88" s="134"/>
      <c r="V88" s="134" t="e">
        <f t="shared" ref="V88" si="244">V79/V76</f>
        <v>#DIV/0!</v>
      </c>
      <c r="W88" s="134" t="e">
        <f t="shared" ref="W88:AC88" si="245">W79/W76</f>
        <v>#DIV/0!</v>
      </c>
      <c r="X88" s="134" t="e">
        <f t="shared" si="245"/>
        <v>#DIV/0!</v>
      </c>
      <c r="Y88" s="134" t="e">
        <f t="shared" si="245"/>
        <v>#DIV/0!</v>
      </c>
      <c r="Z88" s="134" t="e">
        <f t="shared" si="245"/>
        <v>#DIV/0!</v>
      </c>
      <c r="AA88" s="134" t="e">
        <f t="shared" si="245"/>
        <v>#DIV/0!</v>
      </c>
      <c r="AB88" s="134" t="e">
        <f t="shared" si="245"/>
        <v>#DIV/0!</v>
      </c>
      <c r="AC88" s="134" t="e">
        <f t="shared" si="245"/>
        <v>#DIV/0!</v>
      </c>
      <c r="AD88" s="134" t="e">
        <f>AD79/AD76</f>
        <v>#DIV/0!</v>
      </c>
      <c r="AE88" s="134" t="e">
        <f>AE79/AE76</f>
        <v>#DIV/0!</v>
      </c>
    </row>
    <row r="89" spans="1:31" ht="5.0999999999999996" customHeight="1" thickBot="1"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</row>
  </sheetData>
  <mergeCells count="1">
    <mergeCell ref="AG2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Drivers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2025-12-24T21:26:23Z</dcterms:modified>
</cp:coreProperties>
</file>