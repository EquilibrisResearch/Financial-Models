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13_ncr:1_{2CEC3308-4997-4A15-A162-EDEA858462E2}" xr6:coauthVersionLast="47" xr6:coauthVersionMax="47" xr10:uidLastSave="{00000000-0000-0000-0000-000000000000}"/>
  <bookViews>
    <workbookView xWindow="-120" yWindow="-120" windowWidth="29040" windowHeight="15720" activeTab="2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8" i="8" l="1"/>
  <c r="N148" i="8"/>
  <c r="J148" i="8"/>
  <c r="R132" i="8"/>
  <c r="AD132" i="8" s="1"/>
  <c r="N132" i="8"/>
  <c r="J132" i="8"/>
  <c r="R131" i="8"/>
  <c r="N131" i="8"/>
  <c r="J131" i="8"/>
  <c r="R130" i="8"/>
  <c r="N130" i="8"/>
  <c r="J130" i="8"/>
  <c r="R129" i="8"/>
  <c r="N129" i="8"/>
  <c r="J129" i="8"/>
  <c r="R85" i="8"/>
  <c r="AD85" i="8" s="1"/>
  <c r="N85" i="8"/>
  <c r="J85" i="8"/>
  <c r="R84" i="8"/>
  <c r="N84" i="8"/>
  <c r="J84" i="8"/>
  <c r="R83" i="8"/>
  <c r="N83" i="8"/>
  <c r="J83" i="8"/>
  <c r="R82" i="8"/>
  <c r="N82" i="8"/>
  <c r="J82" i="8"/>
  <c r="R81" i="8"/>
  <c r="N81" i="8"/>
  <c r="J81" i="8"/>
  <c r="R80" i="8"/>
  <c r="AD80" i="8" s="1"/>
  <c r="N80" i="8"/>
  <c r="J80" i="8"/>
  <c r="R77" i="8"/>
  <c r="AD77" i="8" s="1"/>
  <c r="N77" i="8"/>
  <c r="J77" i="8"/>
  <c r="R76" i="8"/>
  <c r="N76" i="8"/>
  <c r="J76" i="8"/>
  <c r="R75" i="8"/>
  <c r="N75" i="8"/>
  <c r="J75" i="8"/>
  <c r="R74" i="8"/>
  <c r="N74" i="8"/>
  <c r="J74" i="8"/>
  <c r="R73" i="8"/>
  <c r="N73" i="8"/>
  <c r="Y73" i="8" s="1"/>
  <c r="J73" i="8"/>
  <c r="R72" i="8"/>
  <c r="AD72" i="8" s="1"/>
  <c r="N72" i="8"/>
  <c r="J72" i="8"/>
  <c r="R68" i="8"/>
  <c r="AD68" i="8" s="1"/>
  <c r="N68" i="8"/>
  <c r="J68" i="8"/>
  <c r="R67" i="8"/>
  <c r="N67" i="8"/>
  <c r="J67" i="8"/>
  <c r="R66" i="8"/>
  <c r="N66" i="8"/>
  <c r="J66" i="8"/>
  <c r="R65" i="8"/>
  <c r="AD65" i="8" s="1"/>
  <c r="N65" i="8"/>
  <c r="J65" i="8"/>
  <c r="R64" i="8"/>
  <c r="N64" i="8"/>
  <c r="J64" i="8"/>
  <c r="R63" i="8"/>
  <c r="AD63" i="8" s="1"/>
  <c r="N63" i="8"/>
  <c r="J63" i="8"/>
  <c r="R59" i="8"/>
  <c r="N59" i="8"/>
  <c r="J59" i="8"/>
  <c r="R58" i="8"/>
  <c r="N58" i="8"/>
  <c r="J58" i="8"/>
  <c r="R57" i="8"/>
  <c r="N57" i="8"/>
  <c r="J57" i="8"/>
  <c r="R56" i="8"/>
  <c r="N56" i="8"/>
  <c r="J56" i="8"/>
  <c r="R55" i="8"/>
  <c r="N55" i="8"/>
  <c r="J55" i="8"/>
  <c r="R54" i="8"/>
  <c r="N54" i="8"/>
  <c r="J54" i="8"/>
  <c r="R50" i="8"/>
  <c r="N50" i="8"/>
  <c r="J50" i="8"/>
  <c r="R49" i="8"/>
  <c r="N49" i="8"/>
  <c r="J49" i="8"/>
  <c r="V49" i="8" s="1"/>
  <c r="R48" i="8"/>
  <c r="N48" i="8"/>
  <c r="Z48" i="8" s="1"/>
  <c r="J48" i="8"/>
  <c r="J110" i="8"/>
  <c r="AE132" i="8"/>
  <c r="AC132" i="8"/>
  <c r="AB132" i="8"/>
  <c r="AF112" i="8"/>
  <c r="AE112" i="8"/>
  <c r="AD112" i="8"/>
  <c r="AH82" i="8"/>
  <c r="AH77" i="8"/>
  <c r="AH75" i="8"/>
  <c r="AH65" i="8"/>
  <c r="AF85" i="8"/>
  <c r="AH85" i="8" s="1"/>
  <c r="AE85" i="8"/>
  <c r="AC85" i="8"/>
  <c r="AB85" i="8"/>
  <c r="AF84" i="8"/>
  <c r="AH84" i="8" s="1"/>
  <c r="AE84" i="8"/>
  <c r="AD84" i="8"/>
  <c r="AC84" i="8"/>
  <c r="AB84" i="8"/>
  <c r="AF83" i="8"/>
  <c r="AH83" i="8" s="1"/>
  <c r="AE83" i="8"/>
  <c r="AD83" i="8"/>
  <c r="AC83" i="8"/>
  <c r="AB83" i="8"/>
  <c r="AF82" i="8"/>
  <c r="AE82" i="8"/>
  <c r="AD82" i="8"/>
  <c r="AC82" i="8"/>
  <c r="AB82" i="8"/>
  <c r="AF81" i="8"/>
  <c r="AH81" i="8" s="1"/>
  <c r="AE81" i="8"/>
  <c r="AD81" i="8"/>
  <c r="AC81" i="8"/>
  <c r="AB81" i="8"/>
  <c r="AF80" i="8"/>
  <c r="AH80" i="8" s="1"/>
  <c r="AE80" i="8"/>
  <c r="AC80" i="8"/>
  <c r="AB80" i="8"/>
  <c r="AF77" i="8"/>
  <c r="AE77" i="8"/>
  <c r="AC77" i="8"/>
  <c r="AB77" i="8"/>
  <c r="AF76" i="8"/>
  <c r="AH76" i="8" s="1"/>
  <c r="AE76" i="8"/>
  <c r="AD76" i="8"/>
  <c r="AC76" i="8"/>
  <c r="AB76" i="8"/>
  <c r="AF75" i="8"/>
  <c r="AE75" i="8"/>
  <c r="AD75" i="8"/>
  <c r="AC75" i="8"/>
  <c r="AB75" i="8"/>
  <c r="AF74" i="8"/>
  <c r="AH74" i="8" s="1"/>
  <c r="AE74" i="8"/>
  <c r="AD74" i="8"/>
  <c r="AC74" i="8"/>
  <c r="AB74" i="8"/>
  <c r="AF73" i="8"/>
  <c r="AH73" i="8" s="1"/>
  <c r="AE73" i="8"/>
  <c r="AD73" i="8"/>
  <c r="AC73" i="8"/>
  <c r="AB73" i="8"/>
  <c r="AF72" i="8"/>
  <c r="AH72" i="8" s="1"/>
  <c r="AE72" i="8"/>
  <c r="AC72" i="8"/>
  <c r="AB72" i="8"/>
  <c r="AF68" i="8"/>
  <c r="AH68" i="8" s="1"/>
  <c r="AE68" i="8"/>
  <c r="AC68" i="8"/>
  <c r="AB68" i="8"/>
  <c r="AF67" i="8"/>
  <c r="AH67" i="8" s="1"/>
  <c r="AE67" i="8"/>
  <c r="AD67" i="8"/>
  <c r="AC67" i="8"/>
  <c r="AB67" i="8"/>
  <c r="AF66" i="8"/>
  <c r="AH66" i="8" s="1"/>
  <c r="AE66" i="8"/>
  <c r="AD66" i="8"/>
  <c r="AC66" i="8"/>
  <c r="AB66" i="8"/>
  <c r="AF65" i="8"/>
  <c r="AE65" i="8"/>
  <c r="AC65" i="8"/>
  <c r="AB65" i="8"/>
  <c r="AF64" i="8"/>
  <c r="AH64" i="8" s="1"/>
  <c r="AE64" i="8"/>
  <c r="AD64" i="8"/>
  <c r="AC64" i="8"/>
  <c r="AB64" i="8"/>
  <c r="AF63" i="8"/>
  <c r="AE63" i="8"/>
  <c r="AC63" i="8"/>
  <c r="AB63" i="8"/>
  <c r="AF59" i="8"/>
  <c r="AH59" i="8" s="1"/>
  <c r="AE59" i="8"/>
  <c r="AC59" i="8"/>
  <c r="AB59" i="8"/>
  <c r="AF58" i="8"/>
  <c r="AH58" i="8" s="1"/>
  <c r="AE58" i="8"/>
  <c r="AC58" i="8"/>
  <c r="AB58" i="8"/>
  <c r="AF57" i="8"/>
  <c r="AH57" i="8" s="1"/>
  <c r="AE57" i="8"/>
  <c r="AC57" i="8"/>
  <c r="AB57" i="8"/>
  <c r="AF56" i="8"/>
  <c r="AH56" i="8" s="1"/>
  <c r="AE56" i="8"/>
  <c r="AC56" i="8"/>
  <c r="AB56" i="8"/>
  <c r="AF55" i="8"/>
  <c r="AH55" i="8" s="1"/>
  <c r="AE55" i="8"/>
  <c r="AD55" i="8"/>
  <c r="AC55" i="8"/>
  <c r="AB55" i="8"/>
  <c r="AF54" i="8"/>
  <c r="AH54" i="8" s="1"/>
  <c r="AE54" i="8"/>
  <c r="AC54" i="8"/>
  <c r="AB54" i="8"/>
  <c r="AA54" i="8"/>
  <c r="Z54" i="8"/>
  <c r="Y54" i="8"/>
  <c r="X54" i="8"/>
  <c r="W54" i="8"/>
  <c r="V54" i="8"/>
  <c r="AE50" i="8"/>
  <c r="AD50" i="8"/>
  <c r="AC50" i="8"/>
  <c r="AB50" i="8"/>
  <c r="AA50" i="8"/>
  <c r="Z50" i="8"/>
  <c r="Y50" i="8"/>
  <c r="X50" i="8"/>
  <c r="W50" i="8"/>
  <c r="V50" i="8"/>
  <c r="AE49" i="8"/>
  <c r="AD49" i="8"/>
  <c r="AC49" i="8"/>
  <c r="AB49" i="8"/>
  <c r="AA49" i="8"/>
  <c r="Z49" i="8"/>
  <c r="Y49" i="8"/>
  <c r="X49" i="8"/>
  <c r="W49" i="8"/>
  <c r="AE48" i="8"/>
  <c r="AD48" i="8"/>
  <c r="AC48" i="8"/>
  <c r="AB48" i="8"/>
  <c r="AA48" i="8"/>
  <c r="Y48" i="8"/>
  <c r="X48" i="8"/>
  <c r="W48" i="8"/>
  <c r="V48" i="8"/>
  <c r="AE47" i="8"/>
  <c r="AC47" i="8"/>
  <c r="AB47" i="8"/>
  <c r="AA47" i="8"/>
  <c r="Y47" i="8"/>
  <c r="X47" i="8"/>
  <c r="W47" i="8"/>
  <c r="AF50" i="8"/>
  <c r="AH50" i="8" s="1"/>
  <c r="AF49" i="8"/>
  <c r="AH49" i="8" s="1"/>
  <c r="AF48" i="8"/>
  <c r="AH48" i="8" s="1"/>
  <c r="AF47" i="8"/>
  <c r="AH47" i="8" s="1"/>
  <c r="AF39" i="8"/>
  <c r="AE39" i="8"/>
  <c r="AC39" i="8"/>
  <c r="AB39" i="8"/>
  <c r="AE36" i="8"/>
  <c r="AC36" i="8"/>
  <c r="AB36" i="8"/>
  <c r="AA36" i="8"/>
  <c r="Y36" i="8"/>
  <c r="X36" i="8"/>
  <c r="W36" i="8"/>
  <c r="AF36" i="8"/>
  <c r="AE8" i="8"/>
  <c r="AD8" i="8"/>
  <c r="AC8" i="8"/>
  <c r="AB8" i="8"/>
  <c r="AA8" i="8"/>
  <c r="Z8" i="8"/>
  <c r="Y8" i="8"/>
  <c r="X8" i="8"/>
  <c r="W8" i="8"/>
  <c r="V8" i="8"/>
  <c r="AE7" i="8"/>
  <c r="AD7" i="8"/>
  <c r="AC7" i="8"/>
  <c r="AB7" i="8"/>
  <c r="AA7" i="8"/>
  <c r="Z7" i="8"/>
  <c r="Y7" i="8"/>
  <c r="X7" i="8"/>
  <c r="W7" i="8"/>
  <c r="V7" i="8"/>
  <c r="AF8" i="8"/>
  <c r="AF7" i="8"/>
  <c r="E133" i="8"/>
  <c r="R108" i="8"/>
  <c r="AE108" i="8" s="1"/>
  <c r="N108" i="8"/>
  <c r="AC108" i="8" s="1"/>
  <c r="J108" i="8"/>
  <c r="AA73" i="8"/>
  <c r="Z73" i="8"/>
  <c r="X73" i="8"/>
  <c r="W73" i="8"/>
  <c r="V73" i="8"/>
  <c r="AA55" i="8"/>
  <c r="Z55" i="8"/>
  <c r="X55" i="8"/>
  <c r="W55" i="8"/>
  <c r="V55" i="8"/>
  <c r="Y55" i="8"/>
  <c r="S133" i="8"/>
  <c r="C133" i="8"/>
  <c r="AF132" i="8"/>
  <c r="AF131" i="8"/>
  <c r="AC131" i="8"/>
  <c r="R110" i="8"/>
  <c r="AE110" i="8" s="1"/>
  <c r="R106" i="8"/>
  <c r="AF106" i="8" s="1"/>
  <c r="R105" i="8"/>
  <c r="AE105" i="8" s="1"/>
  <c r="N112" i="8"/>
  <c r="AB112" i="8" s="1"/>
  <c r="N110" i="8"/>
  <c r="AC110" i="8" s="1"/>
  <c r="N120" i="8"/>
  <c r="AC120" i="8" s="1"/>
  <c r="J112" i="8"/>
  <c r="J111" i="8"/>
  <c r="J106" i="8"/>
  <c r="J125" i="8"/>
  <c r="J124" i="8"/>
  <c r="J107" i="8"/>
  <c r="R47" i="8"/>
  <c r="AD47" i="8" s="1"/>
  <c r="N47" i="8"/>
  <c r="Z47" i="8" s="1"/>
  <c r="J47" i="8"/>
  <c r="V47" i="8" s="1"/>
  <c r="R27" i="8"/>
  <c r="AF27" i="8" s="1"/>
  <c r="R26" i="8"/>
  <c r="AE26" i="8" s="1"/>
  <c r="R25" i="8"/>
  <c r="AF25" i="8" s="1"/>
  <c r="R24" i="8"/>
  <c r="AF24" i="8" s="1"/>
  <c r="R23" i="8"/>
  <c r="AD23" i="8" s="1"/>
  <c r="J27" i="8"/>
  <c r="J26" i="8"/>
  <c r="J25" i="8"/>
  <c r="J24" i="8"/>
  <c r="J23" i="8"/>
  <c r="N27" i="8"/>
  <c r="AC27" i="8" s="1"/>
  <c r="N26" i="8"/>
  <c r="AC26" i="8" s="1"/>
  <c r="N25" i="8"/>
  <c r="AB25" i="8" s="1"/>
  <c r="N24" i="8"/>
  <c r="AC24" i="8" s="1"/>
  <c r="N23" i="8"/>
  <c r="AC23" i="8" s="1"/>
  <c r="AB131" i="8" l="1"/>
  <c r="AH131" i="8" s="1"/>
  <c r="AE131" i="8"/>
  <c r="AD131" i="8"/>
  <c r="AF105" i="8"/>
  <c r="AF108" i="8"/>
  <c r="AD106" i="8"/>
  <c r="AC112" i="8"/>
  <c r="AE106" i="8"/>
  <c r="AB108" i="8"/>
  <c r="AD105" i="8"/>
  <c r="AD108" i="8"/>
  <c r="AB120" i="8"/>
  <c r="AH25" i="8"/>
  <c r="AF102" i="8"/>
  <c r="AH132" i="8"/>
  <c r="T133" i="8"/>
  <c r="AF110" i="8"/>
  <c r="AD110" i="8"/>
  <c r="AB110" i="8"/>
  <c r="AH112" i="8"/>
  <c r="AB24" i="8"/>
  <c r="AH24" i="8" s="1"/>
  <c r="AD27" i="8"/>
  <c r="AE23" i="8"/>
  <c r="AC25" i="8"/>
  <c r="AF26" i="8"/>
  <c r="AH26" i="8" s="1"/>
  <c r="AF23" i="8"/>
  <c r="AD25" i="8"/>
  <c r="AB27" i="8"/>
  <c r="AH27" i="8" s="1"/>
  <c r="AE25" i="8"/>
  <c r="AD24" i="8"/>
  <c r="AB26" i="8"/>
  <c r="AE27" i="8"/>
  <c r="AB23" i="8"/>
  <c r="AE24" i="8"/>
  <c r="AD26" i="8"/>
  <c r="M133" i="8"/>
  <c r="D133" i="8"/>
  <c r="K133" i="8"/>
  <c r="L133" i="8"/>
  <c r="G133" i="8"/>
  <c r="O133" i="8"/>
  <c r="H133" i="8"/>
  <c r="P133" i="8"/>
  <c r="Q133" i="8"/>
  <c r="Y131" i="8"/>
  <c r="Y133" i="8" s="1"/>
  <c r="Z131" i="8"/>
  <c r="Z133" i="8" s="1"/>
  <c r="AA131" i="8"/>
  <c r="AA133" i="8" s="1"/>
  <c r="X131" i="8"/>
  <c r="X133" i="8" s="1"/>
  <c r="J119" i="8"/>
  <c r="N102" i="8"/>
  <c r="R107" i="8"/>
  <c r="AF107" i="8" s="1"/>
  <c r="R109" i="8"/>
  <c r="N101" i="8"/>
  <c r="J102" i="8"/>
  <c r="N103" i="8"/>
  <c r="N124" i="8"/>
  <c r="R102" i="8"/>
  <c r="R111" i="8"/>
  <c r="N125" i="8"/>
  <c r="J120" i="8"/>
  <c r="J115" i="8"/>
  <c r="N116" i="8"/>
  <c r="R103" i="8"/>
  <c r="N117" i="8"/>
  <c r="N106" i="8"/>
  <c r="R104" i="8"/>
  <c r="R124" i="8"/>
  <c r="J117" i="8"/>
  <c r="N118" i="8"/>
  <c r="N107" i="8"/>
  <c r="J118" i="8"/>
  <c r="N119" i="8"/>
  <c r="R125" i="8"/>
  <c r="AD125" i="8" s="1"/>
  <c r="J104" i="8"/>
  <c r="J101" i="8"/>
  <c r="J103" i="8"/>
  <c r="J105" i="8"/>
  <c r="J116" i="8"/>
  <c r="AH108" i="8" l="1"/>
  <c r="N111" i="8"/>
  <c r="AC111" i="8" s="1"/>
  <c r="AC102" i="8"/>
  <c r="AB102" i="8"/>
  <c r="AC119" i="8"/>
  <c r="AB119" i="8"/>
  <c r="AC117" i="8"/>
  <c r="AB117" i="8"/>
  <c r="AB124" i="8"/>
  <c r="AC124" i="8"/>
  <c r="AH23" i="8"/>
  <c r="AE104" i="8"/>
  <c r="AD104" i="8"/>
  <c r="AF104" i="8"/>
  <c r="AF111" i="8"/>
  <c r="AE111" i="8"/>
  <c r="AD111" i="8"/>
  <c r="AC106" i="8"/>
  <c r="AB106" i="8"/>
  <c r="AH106" i="8" s="1"/>
  <c r="AE103" i="8"/>
  <c r="AF103" i="8"/>
  <c r="AD103" i="8"/>
  <c r="AB103" i="8"/>
  <c r="AC103" i="8"/>
  <c r="AC116" i="8"/>
  <c r="AB116" i="8"/>
  <c r="AE125" i="8"/>
  <c r="N105" i="8"/>
  <c r="AC105" i="8" s="1"/>
  <c r="N104" i="8"/>
  <c r="AC104" i="8" s="1"/>
  <c r="AB104" i="8"/>
  <c r="AC107" i="8"/>
  <c r="AB107" i="8"/>
  <c r="AH107" i="8" s="1"/>
  <c r="AB118" i="8"/>
  <c r="AC118" i="8"/>
  <c r="AB101" i="8"/>
  <c r="AC101" i="8"/>
  <c r="AE129" i="8"/>
  <c r="AF129" i="8"/>
  <c r="AD129" i="8"/>
  <c r="AD133" i="8" s="1"/>
  <c r="AF130" i="8"/>
  <c r="AH130" i="8" s="1"/>
  <c r="AE130" i="8"/>
  <c r="AD130" i="8"/>
  <c r="AF125" i="8"/>
  <c r="AD102" i="8"/>
  <c r="AE102" i="8"/>
  <c r="N115" i="8"/>
  <c r="AC115" i="8" s="1"/>
  <c r="AB115" i="8"/>
  <c r="AE109" i="8"/>
  <c r="AD109" i="8"/>
  <c r="AF109" i="8"/>
  <c r="AC129" i="8"/>
  <c r="AB129" i="8"/>
  <c r="N109" i="8"/>
  <c r="AC109" i="8" s="1"/>
  <c r="AB109" i="8"/>
  <c r="AF124" i="8"/>
  <c r="AE124" i="8"/>
  <c r="AD124" i="8"/>
  <c r="AB125" i="8"/>
  <c r="AC125" i="8"/>
  <c r="AD107" i="8"/>
  <c r="AE107" i="8"/>
  <c r="AC130" i="8"/>
  <c r="AB130" i="8"/>
  <c r="AB133" i="8" s="1"/>
  <c r="AH110" i="8"/>
  <c r="I133" i="8"/>
  <c r="J133" i="8"/>
  <c r="R133" i="8"/>
  <c r="N133" i="8"/>
  <c r="V131" i="8"/>
  <c r="V133" i="8" s="1"/>
  <c r="W131" i="8"/>
  <c r="W133" i="8" s="1"/>
  <c r="J109" i="8"/>
  <c r="AH129" i="8" l="1"/>
  <c r="AB111" i="8"/>
  <c r="AH111" i="8" s="1"/>
  <c r="AH104" i="8"/>
  <c r="AF133" i="8"/>
  <c r="AB105" i="8"/>
  <c r="AH105" i="8" s="1"/>
  <c r="AH109" i="8"/>
  <c r="AE133" i="8"/>
  <c r="AC133" i="8"/>
  <c r="AI33" i="9" l="1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R140" i="8"/>
  <c r="N140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V124" i="8"/>
  <c r="H4" i="10"/>
  <c r="I4" i="10"/>
  <c r="J4" i="10"/>
  <c r="K4" i="10"/>
  <c r="L4" i="10"/>
  <c r="W4" i="10" s="1"/>
  <c r="M4" i="10"/>
  <c r="X4" i="10" s="1"/>
  <c r="N4" i="10"/>
  <c r="Y4" i="10" s="1"/>
  <c r="O4" i="10"/>
  <c r="Z4" i="10" s="1"/>
  <c r="AF14" i="10"/>
  <c r="AC13" i="10"/>
  <c r="AE8" i="10"/>
  <c r="AF7" i="10"/>
  <c r="Y7" i="10"/>
  <c r="O39" i="9"/>
  <c r="K39" i="9"/>
  <c r="J42" i="9"/>
  <c r="C42" i="9"/>
  <c r="AA77" i="8"/>
  <c r="Z77" i="8"/>
  <c r="X77" i="8"/>
  <c r="W77" i="8"/>
  <c r="V77" i="8"/>
  <c r="T86" i="8"/>
  <c r="S86" i="8"/>
  <c r="Q86" i="8"/>
  <c r="P86" i="8"/>
  <c r="Q66" i="9" s="1"/>
  <c r="O86" i="8"/>
  <c r="P66" i="9" s="1"/>
  <c r="M86" i="8"/>
  <c r="N66" i="9" s="1"/>
  <c r="L86" i="8"/>
  <c r="M66" i="9" s="1"/>
  <c r="K86" i="8"/>
  <c r="L66" i="9" s="1"/>
  <c r="I86" i="8"/>
  <c r="J66" i="9" s="1"/>
  <c r="H86" i="8"/>
  <c r="I66" i="9" s="1"/>
  <c r="G86" i="8"/>
  <c r="H66" i="9" s="1"/>
  <c r="E86" i="8"/>
  <c r="D86" i="8"/>
  <c r="C86" i="8"/>
  <c r="C66" i="9"/>
  <c r="AA7" i="10"/>
  <c r="X7" i="10"/>
  <c r="W7" i="10"/>
  <c r="AF4" i="10"/>
  <c r="AF3" i="10"/>
  <c r="U4" i="10"/>
  <c r="AE4" i="10" s="1"/>
  <c r="T4" i="10"/>
  <c r="AD4" i="10" s="1"/>
  <c r="S4" i="10"/>
  <c r="AC4" i="10" s="1"/>
  <c r="R4" i="10"/>
  <c r="Q4" i="10"/>
  <c r="AB4" i="10" s="1"/>
  <c r="P4" i="10"/>
  <c r="AA4" i="10" s="1"/>
  <c r="U3" i="10"/>
  <c r="AE3" i="10" s="1"/>
  <c r="T3" i="10"/>
  <c r="AD3" i="10" s="1"/>
  <c r="S3" i="10"/>
  <c r="AC3" i="10" s="1"/>
  <c r="R3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J3" i="10"/>
  <c r="I3" i="10"/>
  <c r="H3" i="10"/>
  <c r="M41" i="9"/>
  <c r="V118" i="8"/>
  <c r="X115" i="8"/>
  <c r="V103" i="8"/>
  <c r="K27" i="9"/>
  <c r="K58" i="9"/>
  <c r="X58" i="9" s="1"/>
  <c r="R19" i="8"/>
  <c r="R18" i="8"/>
  <c r="N19" i="8"/>
  <c r="O18" i="9"/>
  <c r="N18" i="8"/>
  <c r="J19" i="8"/>
  <c r="K19" i="9" s="1"/>
  <c r="K23" i="9" s="1"/>
  <c r="J18" i="8"/>
  <c r="X18" i="8" s="1"/>
  <c r="AA85" i="8"/>
  <c r="Z85" i="8"/>
  <c r="X85" i="8"/>
  <c r="W85" i="8"/>
  <c r="V85" i="8"/>
  <c r="AA84" i="8"/>
  <c r="Z84" i="8"/>
  <c r="X84" i="8"/>
  <c r="W84" i="8"/>
  <c r="V84" i="8"/>
  <c r="AA83" i="8"/>
  <c r="Z83" i="8"/>
  <c r="X83" i="8"/>
  <c r="W83" i="8"/>
  <c r="V83" i="8"/>
  <c r="AA80" i="8"/>
  <c r="Z80" i="8"/>
  <c r="X80" i="8"/>
  <c r="W80" i="8"/>
  <c r="V80" i="8"/>
  <c r="AA72" i="8"/>
  <c r="Z72" i="8"/>
  <c r="X72" i="8"/>
  <c r="W72" i="8"/>
  <c r="V72" i="8"/>
  <c r="AA68" i="8"/>
  <c r="Z68" i="8"/>
  <c r="X68" i="8"/>
  <c r="W68" i="8"/>
  <c r="V68" i="8"/>
  <c r="AA67" i="8"/>
  <c r="Z67" i="8"/>
  <c r="X67" i="8"/>
  <c r="W67" i="8"/>
  <c r="V67" i="8"/>
  <c r="AA64" i="8"/>
  <c r="Z64" i="8"/>
  <c r="X64" i="8"/>
  <c r="W64" i="8"/>
  <c r="V64" i="8"/>
  <c r="AA63" i="8"/>
  <c r="Z63" i="8"/>
  <c r="X63" i="8"/>
  <c r="W63" i="8"/>
  <c r="V63" i="8"/>
  <c r="AA59" i="8"/>
  <c r="Z59" i="8"/>
  <c r="X59" i="8"/>
  <c r="W59" i="8"/>
  <c r="V59" i="8"/>
  <c r="AA58" i="8"/>
  <c r="Z58" i="8"/>
  <c r="X58" i="8"/>
  <c r="W58" i="8"/>
  <c r="V58" i="8"/>
  <c r="AA57" i="8"/>
  <c r="Z57" i="8"/>
  <c r="X57" i="8"/>
  <c r="W57" i="8"/>
  <c r="V57" i="8"/>
  <c r="AA56" i="8"/>
  <c r="Z56" i="8"/>
  <c r="X56" i="8"/>
  <c r="W56" i="8"/>
  <c r="V56" i="8"/>
  <c r="AA39" i="8"/>
  <c r="Z39" i="8"/>
  <c r="X39" i="8"/>
  <c r="W39" i="8"/>
  <c r="V39" i="8"/>
  <c r="R32" i="8"/>
  <c r="N32" i="8"/>
  <c r="J32" i="8"/>
  <c r="W32" i="8" s="1"/>
  <c r="V104" i="8"/>
  <c r="Y85" i="8"/>
  <c r="Y84" i="8"/>
  <c r="Y83" i="8"/>
  <c r="Y80" i="8"/>
  <c r="Y72" i="8"/>
  <c r="K57" i="9"/>
  <c r="Y67" i="8"/>
  <c r="Y64" i="8"/>
  <c r="K56" i="9"/>
  <c r="AD59" i="8"/>
  <c r="Y59" i="8"/>
  <c r="AD58" i="8"/>
  <c r="Y58" i="8"/>
  <c r="AD57" i="8"/>
  <c r="Y57" i="8"/>
  <c r="AD56" i="8"/>
  <c r="Y56" i="8"/>
  <c r="K59" i="9"/>
  <c r="AD54" i="8"/>
  <c r="K51" i="9"/>
  <c r="X51" i="9" s="1"/>
  <c r="K55" i="9"/>
  <c r="K50" i="9"/>
  <c r="X50" i="9" s="1"/>
  <c r="K48" i="9"/>
  <c r="R39" i="8"/>
  <c r="AD39" i="8" s="1"/>
  <c r="R36" i="8"/>
  <c r="AD36" i="8" s="1"/>
  <c r="R28" i="8"/>
  <c r="R17" i="8"/>
  <c r="R13" i="8"/>
  <c r="R10" i="8"/>
  <c r="N13" i="8"/>
  <c r="J13" i="8"/>
  <c r="V13" i="8" s="1"/>
  <c r="N10" i="8"/>
  <c r="N17" i="8"/>
  <c r="N28" i="8"/>
  <c r="AA27" i="8"/>
  <c r="J39" i="8"/>
  <c r="J36" i="8"/>
  <c r="V36" i="8" s="1"/>
  <c r="J28" i="8"/>
  <c r="X28" i="8" s="1"/>
  <c r="X27" i="8"/>
  <c r="W23" i="8"/>
  <c r="J17" i="8"/>
  <c r="X17" i="8" s="1"/>
  <c r="J10" i="8"/>
  <c r="AB33" i="9" l="1"/>
  <c r="AC33" i="9"/>
  <c r="AD33" i="9"/>
  <c r="X33" i="9"/>
  <c r="AF33" i="9"/>
  <c r="Y33" i="9"/>
  <c r="Z33" i="9"/>
  <c r="AD10" i="8"/>
  <c r="AF10" i="8"/>
  <c r="AE10" i="8"/>
  <c r="Y28" i="8"/>
  <c r="AC28" i="8"/>
  <c r="AB28" i="8"/>
  <c r="Y13" i="8"/>
  <c r="AC13" i="8"/>
  <c r="AB13" i="8"/>
  <c r="AF32" i="8"/>
  <c r="AE32" i="8"/>
  <c r="AD32" i="8"/>
  <c r="AF13" i="8"/>
  <c r="AE13" i="8"/>
  <c r="AD13" i="8"/>
  <c r="AF28" i="8"/>
  <c r="AE28" i="8"/>
  <c r="AD28" i="8"/>
  <c r="AC17" i="8"/>
  <c r="AB17" i="8"/>
  <c r="Z19" i="8"/>
  <c r="AC19" i="8"/>
  <c r="AB19" i="8"/>
  <c r="V10" i="8"/>
  <c r="Y10" i="8"/>
  <c r="X10" i="8"/>
  <c r="W10" i="8"/>
  <c r="AC10" i="8"/>
  <c r="Z10" i="8"/>
  <c r="AB10" i="8"/>
  <c r="AA10" i="8"/>
  <c r="AF18" i="8"/>
  <c r="AE18" i="8"/>
  <c r="AD18" i="8"/>
  <c r="AF17" i="8"/>
  <c r="AE17" i="8"/>
  <c r="AD17" i="8"/>
  <c r="AB18" i="8"/>
  <c r="AC18" i="8"/>
  <c r="Y32" i="8"/>
  <c r="AB32" i="8"/>
  <c r="AC32" i="8"/>
  <c r="AE19" i="8"/>
  <c r="AF19" i="8"/>
  <c r="AD19" i="8"/>
  <c r="V52" i="9"/>
  <c r="AH63" i="8"/>
  <c r="AA39" i="9"/>
  <c r="J140" i="8"/>
  <c r="W140" i="8" s="1"/>
  <c r="Q52" i="9"/>
  <c r="U52" i="9"/>
  <c r="W118" i="8"/>
  <c r="K52" i="9"/>
  <c r="AE39" i="9"/>
  <c r="X39" i="9"/>
  <c r="Y39" i="9"/>
  <c r="Z39" i="9"/>
  <c r="AH36" i="8"/>
  <c r="AB39" i="9"/>
  <c r="AC39" i="9"/>
  <c r="H67" i="9"/>
  <c r="AD39" i="9"/>
  <c r="W115" i="8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H39" i="8"/>
  <c r="Y19" i="8"/>
  <c r="W13" i="8"/>
  <c r="W27" i="8"/>
  <c r="V27" i="8"/>
  <c r="Z28" i="8"/>
  <c r="AA28" i="8"/>
  <c r="K18" i="9"/>
  <c r="V17" i="8"/>
  <c r="AA19" i="8"/>
  <c r="O17" i="9"/>
  <c r="W18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Z140" i="8"/>
  <c r="AC140" i="8"/>
  <c r="W28" i="8"/>
  <c r="V28" i="8"/>
  <c r="AF51" i="9"/>
  <c r="M27" i="9"/>
  <c r="P42" i="9"/>
  <c r="V23" i="8"/>
  <c r="K12" i="9"/>
  <c r="O16" i="9"/>
  <c r="I38" i="9"/>
  <c r="O50" i="9"/>
  <c r="AB50" i="9" s="1"/>
  <c r="Y68" i="8"/>
  <c r="O57" i="9"/>
  <c r="AF58" i="9"/>
  <c r="M37" i="9"/>
  <c r="M40" i="9"/>
  <c r="Y18" i="8"/>
  <c r="X23" i="8"/>
  <c r="AA13" i="8"/>
  <c r="Z13" i="8"/>
  <c r="Y63" i="8"/>
  <c r="O56" i="9"/>
  <c r="X19" i="8"/>
  <c r="W19" i="8"/>
  <c r="V19" i="8"/>
  <c r="Y77" i="8"/>
  <c r="O58" i="9"/>
  <c r="AB58" i="9" s="1"/>
  <c r="Z124" i="8"/>
  <c r="AA23" i="8"/>
  <c r="O48" i="9"/>
  <c r="V32" i="8"/>
  <c r="K32" i="9"/>
  <c r="Q34" i="9"/>
  <c r="AD140" i="8"/>
  <c r="Q40" i="9"/>
  <c r="W104" i="8"/>
  <c r="Z18" i="8"/>
  <c r="Y23" i="8"/>
  <c r="X32" i="8"/>
  <c r="M38" i="9"/>
  <c r="Q27" i="9"/>
  <c r="X120" i="8"/>
  <c r="Q41" i="9"/>
  <c r="AE140" i="8"/>
  <c r="AF140" i="8"/>
  <c r="AA18" i="8"/>
  <c r="Z23" i="8"/>
  <c r="M31" i="9"/>
  <c r="N34" i="9"/>
  <c r="Z17" i="8"/>
  <c r="Y140" i="8"/>
  <c r="O12" i="9"/>
  <c r="AA140" i="8"/>
  <c r="Z27" i="8"/>
  <c r="Y27" i="8"/>
  <c r="O32" i="9"/>
  <c r="AA32" i="8"/>
  <c r="Z32" i="8"/>
  <c r="AA17" i="8"/>
  <c r="Y17" i="8"/>
  <c r="K38" i="9"/>
  <c r="W124" i="8"/>
  <c r="X13" i="8"/>
  <c r="AB140" i="8"/>
  <c r="O55" i="9"/>
  <c r="V102" i="8"/>
  <c r="W17" i="8"/>
  <c r="I27" i="9"/>
  <c r="J38" i="9"/>
  <c r="W102" i="8"/>
  <c r="J27" i="9"/>
  <c r="I34" i="9"/>
  <c r="V18" i="8"/>
  <c r="K41" i="9"/>
  <c r="X41" i="9" s="1"/>
  <c r="H42" i="9"/>
  <c r="W103" i="8"/>
  <c r="V115" i="8"/>
  <c r="I37" i="9"/>
  <c r="Q37" i="9"/>
  <c r="M34" i="9"/>
  <c r="O51" i="9"/>
  <c r="AB51" i="9" s="1"/>
  <c r="P8" i="9"/>
  <c r="AD13" i="10"/>
  <c r="AC14" i="10"/>
  <c r="AD14" i="10"/>
  <c r="AE13" i="10"/>
  <c r="AC8" i="10"/>
  <c r="AF8" i="10"/>
  <c r="AF13" i="10"/>
  <c r="AD8" i="10"/>
  <c r="AD7" i="10"/>
  <c r="AE7" i="10"/>
  <c r="AC7" i="10"/>
  <c r="AE14" i="10"/>
  <c r="Z7" i="10"/>
  <c r="AB7" i="10"/>
  <c r="W86" i="8"/>
  <c r="J86" i="8"/>
  <c r="K66" i="9" s="1"/>
  <c r="Y86" i="8"/>
  <c r="AA86" i="8"/>
  <c r="AB86" i="8"/>
  <c r="AC86" i="8"/>
  <c r="AE86" i="8"/>
  <c r="X86" i="8"/>
  <c r="N86" i="8"/>
  <c r="O66" i="9" s="1"/>
  <c r="Z86" i="8"/>
  <c r="AD86" i="8"/>
  <c r="V86" i="8"/>
  <c r="R86" i="8"/>
  <c r="AF86" i="8"/>
  <c r="J31" i="9"/>
  <c r="J34" i="9"/>
  <c r="R116" i="8"/>
  <c r="R118" i="8"/>
  <c r="R119" i="8"/>
  <c r="Z115" i="8"/>
  <c r="X103" i="8"/>
  <c r="AF116" i="8" l="1"/>
  <c r="AE116" i="8"/>
  <c r="AD116" i="8"/>
  <c r="AF119" i="8"/>
  <c r="AE119" i="8"/>
  <c r="AD119" i="8"/>
  <c r="AE118" i="8"/>
  <c r="AD118" i="8"/>
  <c r="AF118" i="8"/>
  <c r="AH118" i="8" s="1"/>
  <c r="AH19" i="8"/>
  <c r="AH18" i="8"/>
  <c r="X140" i="8"/>
  <c r="V140" i="8"/>
  <c r="Z41" i="9"/>
  <c r="Y104" i="8"/>
  <c r="Z27" i="9"/>
  <c r="W120" i="8"/>
  <c r="AI39" i="9"/>
  <c r="Z38" i="9"/>
  <c r="AH32" i="8"/>
  <c r="Y41" i="9"/>
  <c r="AH39" i="9"/>
  <c r="AF39" i="9"/>
  <c r="Y38" i="9"/>
  <c r="AG39" i="9"/>
  <c r="X38" i="9"/>
  <c r="Z118" i="8"/>
  <c r="Y27" i="9"/>
  <c r="X27" i="9"/>
  <c r="S52" i="9"/>
  <c r="O52" i="9"/>
  <c r="AH28" i="8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Y125" i="8"/>
  <c r="N27" i="9"/>
  <c r="AA27" i="9" s="1"/>
  <c r="X124" i="8"/>
  <c r="Y124" i="8"/>
  <c r="AA104" i="8"/>
  <c r="X117" i="8"/>
  <c r="Z101" i="8"/>
  <c r="N41" i="9"/>
  <c r="Y119" i="8"/>
  <c r="AF137" i="8"/>
  <c r="AE137" i="8"/>
  <c r="Y120" i="8"/>
  <c r="V120" i="8"/>
  <c r="Q42" i="9"/>
  <c r="AA118" i="8"/>
  <c r="K42" i="9"/>
  <c r="N31" i="9"/>
  <c r="AA124" i="8"/>
  <c r="K37" i="9"/>
  <c r="Z116" i="8"/>
  <c r="M42" i="9"/>
  <c r="Y116" i="8"/>
  <c r="AI40" i="9"/>
  <c r="N38" i="9"/>
  <c r="AA38" i="9" s="1"/>
  <c r="Z119" i="8"/>
  <c r="X104" i="8"/>
  <c r="Y115" i="8"/>
  <c r="J40" i="9"/>
  <c r="X101" i="8"/>
  <c r="R120" i="8"/>
  <c r="O37" i="9"/>
  <c r="Y101" i="8"/>
  <c r="AA101" i="8"/>
  <c r="Z120" i="8"/>
  <c r="AA119" i="8"/>
  <c r="N37" i="9"/>
  <c r="X118" i="8"/>
  <c r="V116" i="8"/>
  <c r="AH119" i="8"/>
  <c r="O38" i="9"/>
  <c r="AE38" i="9" s="1"/>
  <c r="AA115" i="8"/>
  <c r="AA120" i="8"/>
  <c r="X102" i="8"/>
  <c r="N40" i="9"/>
  <c r="W125" i="8"/>
  <c r="AA116" i="8"/>
  <c r="W119" i="8"/>
  <c r="Z104" i="8"/>
  <c r="Y118" i="8"/>
  <c r="AH103" i="8"/>
  <c r="R115" i="8"/>
  <c r="R117" i="8"/>
  <c r="R101" i="8"/>
  <c r="Y102" i="8"/>
  <c r="AE115" i="8" l="1"/>
  <c r="AD115" i="8"/>
  <c r="AF115" i="8"/>
  <c r="AH115" i="8" s="1"/>
  <c r="AE101" i="8"/>
  <c r="AD101" i="8"/>
  <c r="AF101" i="8"/>
  <c r="AH101" i="8" s="1"/>
  <c r="AD117" i="8"/>
  <c r="AE117" i="8"/>
  <c r="AF117" i="8"/>
  <c r="AF120" i="8"/>
  <c r="AH120" i="8" s="1"/>
  <c r="AE120" i="8"/>
  <c r="AD120" i="8"/>
  <c r="W116" i="8"/>
  <c r="Y117" i="8"/>
  <c r="W101" i="8"/>
  <c r="AA41" i="9"/>
  <c r="AI38" i="9"/>
  <c r="AG38" i="9"/>
  <c r="AH40" i="9"/>
  <c r="AH38" i="9"/>
  <c r="AG40" i="9"/>
  <c r="AH125" i="8"/>
  <c r="AF40" i="9"/>
  <c r="AD38" i="9"/>
  <c r="AB38" i="9"/>
  <c r="AF38" i="9"/>
  <c r="AC38" i="9"/>
  <c r="AH116" i="8"/>
  <c r="Z103" i="8"/>
  <c r="V101" i="8"/>
  <c r="AA103" i="8"/>
  <c r="Z42" i="9"/>
  <c r="Y42" i="9"/>
  <c r="X42" i="9"/>
  <c r="Z102" i="8"/>
  <c r="Y103" i="8"/>
  <c r="AK17" i="9"/>
  <c r="AA102" i="8"/>
  <c r="Z117" i="8"/>
  <c r="AH124" i="8"/>
  <c r="AH117" i="8"/>
  <c r="AA117" i="8"/>
  <c r="O40" i="9"/>
  <c r="AC40" i="9" s="1"/>
  <c r="AI31" i="9"/>
  <c r="K40" i="9"/>
  <c r="AA40" i="9" s="1"/>
  <c r="N42" i="9"/>
  <c r="AA42" i="9" s="1"/>
  <c r="O41" i="9"/>
  <c r="AE41" i="9" s="1"/>
  <c r="Z125" i="8"/>
  <c r="O27" i="9"/>
  <c r="AA125" i="8"/>
  <c r="X116" i="8"/>
  <c r="K34" i="9"/>
  <c r="V117" i="8"/>
  <c r="X119" i="8"/>
  <c r="V119" i="8"/>
  <c r="O34" i="9"/>
  <c r="O31" i="9"/>
  <c r="AD31" i="9" s="1"/>
  <c r="X125" i="8"/>
  <c r="K31" i="9"/>
  <c r="V125" i="8"/>
  <c r="W117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H102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S69" i="8"/>
  <c r="Q69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X14" i="10"/>
  <c r="Y13" i="10"/>
  <c r="AB14" i="10"/>
  <c r="AA13" i="10"/>
  <c r="S15" i="10"/>
  <c r="U15" i="10"/>
  <c r="T15" i="10"/>
  <c r="R15" i="10"/>
  <c r="Q15" i="10"/>
  <c r="P15" i="10"/>
  <c r="F15" i="10"/>
  <c r="E15" i="10"/>
  <c r="D15" i="10"/>
  <c r="Y14" i="10"/>
  <c r="AB13" i="10"/>
  <c r="Z13" i="10"/>
  <c r="S126" i="8"/>
  <c r="O126" i="8"/>
  <c r="K126" i="8"/>
  <c r="R11" i="8"/>
  <c r="N11" i="8"/>
  <c r="O8" i="9" s="1"/>
  <c r="N39" i="8"/>
  <c r="Y39" i="8" s="1"/>
  <c r="N36" i="8"/>
  <c r="Z36" i="8" s="1"/>
  <c r="J11" i="8"/>
  <c r="K8" i="9" s="1"/>
  <c r="AG48" i="9"/>
  <c r="AG52" i="9" s="1"/>
  <c r="Y57" i="9"/>
  <c r="AB66" i="9"/>
  <c r="P51" i="8"/>
  <c r="P60" i="8" s="1"/>
  <c r="O51" i="8"/>
  <c r="O60" i="8" s="1"/>
  <c r="K51" i="8"/>
  <c r="K60" i="8" s="1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AF66" i="9"/>
  <c r="AE66" i="9"/>
  <c r="AD66" i="9"/>
  <c r="AA66" i="9"/>
  <c r="Z66" i="9"/>
  <c r="Y66" i="9"/>
  <c r="X66" i="9"/>
  <c r="I69" i="8"/>
  <c r="H69" i="8"/>
  <c r="G51" i="8"/>
  <c r="G60" i="8" s="1"/>
  <c r="H51" i="8"/>
  <c r="H60" i="8" s="1"/>
  <c r="I51" i="8"/>
  <c r="I60" i="8" s="1"/>
  <c r="L51" i="8"/>
  <c r="L60" i="8" s="1"/>
  <c r="M51" i="8"/>
  <c r="M60" i="8" s="1"/>
  <c r="Q51" i="8"/>
  <c r="Q60" i="8" s="1"/>
  <c r="S51" i="8"/>
  <c r="S60" i="8" s="1"/>
  <c r="T51" i="8"/>
  <c r="T60" i="8" s="1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4" i="8"/>
  <c r="G43" i="8"/>
  <c r="E44" i="8"/>
  <c r="D44" i="8"/>
  <c r="C44" i="8"/>
  <c r="E43" i="8"/>
  <c r="D43" i="8"/>
  <c r="C43" i="8"/>
  <c r="T11" i="8"/>
  <c r="T14" i="8" s="1"/>
  <c r="S11" i="8"/>
  <c r="S14" i="8" s="1"/>
  <c r="S20" i="8" s="1"/>
  <c r="S29" i="8" s="1"/>
  <c r="Q11" i="8"/>
  <c r="Q14" i="8" s="1"/>
  <c r="P11" i="8"/>
  <c r="P14" i="8" s="1"/>
  <c r="O11" i="8"/>
  <c r="O14" i="8" s="1"/>
  <c r="M11" i="8"/>
  <c r="L11" i="8"/>
  <c r="K11" i="8"/>
  <c r="I11" i="8"/>
  <c r="H11" i="8"/>
  <c r="G11" i="8"/>
  <c r="E4" i="10"/>
  <c r="D4" i="10"/>
  <c r="C4" i="10"/>
  <c r="E3" i="10"/>
  <c r="D3" i="10"/>
  <c r="C3" i="10"/>
  <c r="F4" i="10"/>
  <c r="F3" i="10"/>
  <c r="AA137" i="8" l="1"/>
  <c r="AB137" i="8"/>
  <c r="X137" i="8"/>
  <c r="G14" i="8"/>
  <c r="G15" i="8" s="1"/>
  <c r="H8" i="9"/>
  <c r="H13" i="9" s="1"/>
  <c r="Q78" i="8"/>
  <c r="H14" i="8"/>
  <c r="H15" i="8" s="1"/>
  <c r="I8" i="9"/>
  <c r="V137" i="8"/>
  <c r="W137" i="8"/>
  <c r="K14" i="8"/>
  <c r="K20" i="8" s="1"/>
  <c r="K29" i="8" s="1"/>
  <c r="K30" i="8" s="1"/>
  <c r="L8" i="9"/>
  <c r="H78" i="8"/>
  <c r="I61" i="9" s="1"/>
  <c r="I60" i="9"/>
  <c r="L14" i="8"/>
  <c r="L15" i="8" s="1"/>
  <c r="M8" i="9"/>
  <c r="I78" i="8"/>
  <c r="J61" i="9" s="1"/>
  <c r="J60" i="9"/>
  <c r="M14" i="8"/>
  <c r="M15" i="8" s="1"/>
  <c r="N8" i="9"/>
  <c r="AD137" i="8"/>
  <c r="AC137" i="8"/>
  <c r="I14" i="8"/>
  <c r="I20" i="8" s="1"/>
  <c r="I29" i="8" s="1"/>
  <c r="J8" i="9"/>
  <c r="Z137" i="8"/>
  <c r="Y137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O69" i="8"/>
  <c r="T69" i="8"/>
  <c r="L69" i="8"/>
  <c r="K69" i="8"/>
  <c r="L60" i="9" s="1"/>
  <c r="P69" i="8"/>
  <c r="Q60" i="9" s="1"/>
  <c r="E69" i="8"/>
  <c r="M69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W14" i="10"/>
  <c r="W13" i="10"/>
  <c r="X13" i="10"/>
  <c r="X15" i="10" s="1"/>
  <c r="X16" i="10" s="1"/>
  <c r="AE15" i="10"/>
  <c r="AF15" i="10"/>
  <c r="Z14" i="10"/>
  <c r="Z15" i="10" s="1"/>
  <c r="Z16" i="10" s="1"/>
  <c r="AF7" i="9"/>
  <c r="AA14" i="10"/>
  <c r="AA15" i="10" s="1"/>
  <c r="AA16" i="10" s="1"/>
  <c r="AF6" i="9"/>
  <c r="AH7" i="9"/>
  <c r="AI6" i="9"/>
  <c r="Y15" i="10"/>
  <c r="Y16" i="10" s="1"/>
  <c r="AB15" i="10"/>
  <c r="AB16" i="10" s="1"/>
  <c r="T126" i="8"/>
  <c r="H126" i="8"/>
  <c r="R126" i="8"/>
  <c r="J126" i="8"/>
  <c r="L126" i="8"/>
  <c r="P126" i="8"/>
  <c r="Q126" i="8"/>
  <c r="S33" i="8"/>
  <c r="S98" i="8" s="1"/>
  <c r="J14" i="8"/>
  <c r="J15" i="8" s="1"/>
  <c r="R14" i="8"/>
  <c r="R15" i="8" s="1"/>
  <c r="N14" i="8"/>
  <c r="N15" i="8" s="1"/>
  <c r="AC66" i="9"/>
  <c r="R69" i="8"/>
  <c r="R51" i="8"/>
  <c r="R60" i="8" s="1"/>
  <c r="N51" i="8"/>
  <c r="N60" i="8" s="1"/>
  <c r="N69" i="8"/>
  <c r="J51" i="8"/>
  <c r="J60" i="8" s="1"/>
  <c r="J69" i="8"/>
  <c r="T15" i="8"/>
  <c r="T20" i="8"/>
  <c r="P15" i="8"/>
  <c r="P20" i="8"/>
  <c r="S30" i="8"/>
  <c r="Q15" i="8"/>
  <c r="Q20" i="8"/>
  <c r="Q29" i="8" s="1"/>
  <c r="O15" i="8"/>
  <c r="O20" i="8"/>
  <c r="O29" i="8" s="1"/>
  <c r="S15" i="8"/>
  <c r="S21" i="8"/>
  <c r="Y8" i="9" l="1"/>
  <c r="G20" i="8"/>
  <c r="G29" i="8" s="1"/>
  <c r="G30" i="8" s="1"/>
  <c r="X8" i="9"/>
  <c r="AA8" i="9"/>
  <c r="L20" i="8"/>
  <c r="L29" i="8" s="1"/>
  <c r="I87" i="8"/>
  <c r="I89" i="8" s="1"/>
  <c r="Q87" i="8"/>
  <c r="Q89" i="8" s="1"/>
  <c r="H87" i="8"/>
  <c r="H89" i="8" s="1"/>
  <c r="K21" i="8"/>
  <c r="K33" i="8"/>
  <c r="K98" i="8" s="1"/>
  <c r="K121" i="8" s="1"/>
  <c r="K141" i="8" s="1"/>
  <c r="AB8" i="9"/>
  <c r="K15" i="8"/>
  <c r="M20" i="8"/>
  <c r="M29" i="8" s="1"/>
  <c r="Z8" i="9"/>
  <c r="H20" i="8"/>
  <c r="H29" i="8" s="1"/>
  <c r="I15" i="8"/>
  <c r="R78" i="8"/>
  <c r="AF61" i="9" s="1"/>
  <c r="AF60" i="9"/>
  <c r="O78" i="8"/>
  <c r="P61" i="9" s="1"/>
  <c r="AC61" i="9" s="1"/>
  <c r="P60" i="9"/>
  <c r="AC60" i="9" s="1"/>
  <c r="M78" i="8"/>
  <c r="N61" i="9" s="1"/>
  <c r="AA61" i="9" s="1"/>
  <c r="N60" i="9"/>
  <c r="AA60" i="9" s="1"/>
  <c r="E78" i="8"/>
  <c r="L78" i="8"/>
  <c r="M61" i="9" s="1"/>
  <c r="Z61" i="9" s="1"/>
  <c r="M60" i="9"/>
  <c r="Z60" i="9" s="1"/>
  <c r="N78" i="8"/>
  <c r="O61" i="9" s="1"/>
  <c r="AB61" i="9" s="1"/>
  <c r="O60" i="9"/>
  <c r="AB60" i="9" s="1"/>
  <c r="T78" i="8"/>
  <c r="H20" i="9"/>
  <c r="H14" i="9"/>
  <c r="J78" i="8"/>
  <c r="K61" i="9" s="1"/>
  <c r="X61" i="9" s="1"/>
  <c r="K60" i="9"/>
  <c r="X60" i="9" s="1"/>
  <c r="AC15" i="10"/>
  <c r="AH6" i="9"/>
  <c r="AH8" i="9" s="1"/>
  <c r="AI7" i="9"/>
  <c r="W15" i="10"/>
  <c r="W16" i="10" s="1"/>
  <c r="AG7" i="9"/>
  <c r="AD6" i="9"/>
  <c r="AE7" i="9"/>
  <c r="AC7" i="9"/>
  <c r="AG64" i="9"/>
  <c r="S121" i="8"/>
  <c r="S141" i="8" s="1"/>
  <c r="T64" i="9"/>
  <c r="AC6" i="9"/>
  <c r="AC8" i="9" s="1"/>
  <c r="AG6" i="9"/>
  <c r="AE6" i="9"/>
  <c r="AD7" i="9"/>
  <c r="AD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K78" i="8"/>
  <c r="P78" i="8"/>
  <c r="S78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M126" i="8"/>
  <c r="I126" i="8"/>
  <c r="N126" i="8"/>
  <c r="S34" i="8"/>
  <c r="S37" i="8"/>
  <c r="S40" i="8"/>
  <c r="P21" i="8"/>
  <c r="P29" i="8"/>
  <c r="T21" i="8"/>
  <c r="T29" i="8"/>
  <c r="T33" i="8" s="1"/>
  <c r="T98" i="8" s="1"/>
  <c r="J20" i="8"/>
  <c r="R20" i="8"/>
  <c r="N20" i="8"/>
  <c r="Q21" i="8"/>
  <c r="O21" i="8"/>
  <c r="I21" i="8"/>
  <c r="G21" i="8" l="1"/>
  <c r="O87" i="8"/>
  <c r="O89" i="8" s="1"/>
  <c r="L21" i="8"/>
  <c r="M21" i="8"/>
  <c r="K40" i="8"/>
  <c r="N87" i="8"/>
  <c r="N89" i="8" s="1"/>
  <c r="R87" i="8"/>
  <c r="R89" i="8" s="1"/>
  <c r="M87" i="8"/>
  <c r="M89" i="8" s="1"/>
  <c r="L87" i="8"/>
  <c r="L89" i="8" s="1"/>
  <c r="J87" i="8"/>
  <c r="J89" i="8" s="1"/>
  <c r="K37" i="8"/>
  <c r="K34" i="8"/>
  <c r="H21" i="8"/>
  <c r="H21" i="9"/>
  <c r="H24" i="9"/>
  <c r="T87" i="8"/>
  <c r="T89" i="8" s="1"/>
  <c r="S87" i="8"/>
  <c r="S89" i="8" s="1"/>
  <c r="P87" i="8"/>
  <c r="P89" i="8" s="1"/>
  <c r="Q61" i="9"/>
  <c r="AD61" i="9" s="1"/>
  <c r="K87" i="8"/>
  <c r="K89" i="8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T121" i="8"/>
  <c r="T141" i="8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N21" i="8"/>
  <c r="N29" i="8"/>
  <c r="N33" i="8" s="1"/>
  <c r="R29" i="8"/>
  <c r="R30" i="8" s="1"/>
  <c r="J29" i="8"/>
  <c r="J33" i="8" s="1"/>
  <c r="J37" i="8" s="1"/>
  <c r="J21" i="8"/>
  <c r="R21" i="8"/>
  <c r="T30" i="8"/>
  <c r="Q33" i="8"/>
  <c r="Q98" i="8" s="1"/>
  <c r="Q30" i="8"/>
  <c r="P30" i="8"/>
  <c r="P33" i="8"/>
  <c r="P98" i="8" s="1"/>
  <c r="I33" i="8"/>
  <c r="I98" i="8" s="1"/>
  <c r="I30" i="8"/>
  <c r="M33" i="8"/>
  <c r="M98" i="8" s="1"/>
  <c r="M30" i="8"/>
  <c r="L33" i="8"/>
  <c r="L30" i="8"/>
  <c r="O33" i="8"/>
  <c r="O98" i="8" s="1"/>
  <c r="O30" i="8"/>
  <c r="T40" i="8"/>
  <c r="T37" i="8"/>
  <c r="T34" i="8"/>
  <c r="H30" i="8"/>
  <c r="H33" i="8"/>
  <c r="H28" i="9" l="1"/>
  <c r="H25" i="9"/>
  <c r="I121" i="8"/>
  <c r="I141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O121" i="8"/>
  <c r="O141" i="8" s="1"/>
  <c r="P121" i="8"/>
  <c r="P141" i="8" s="1"/>
  <c r="Q121" i="8"/>
  <c r="Q141" i="8" s="1"/>
  <c r="M121" i="8"/>
  <c r="M141" i="8" s="1"/>
  <c r="L98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H98" i="8"/>
  <c r="R33" i="8"/>
  <c r="J30" i="8"/>
  <c r="J34" i="8"/>
  <c r="J40" i="8"/>
  <c r="J98" i="8"/>
  <c r="N30" i="8"/>
  <c r="N37" i="8"/>
  <c r="N34" i="8"/>
  <c r="N40" i="8"/>
  <c r="L40" i="8"/>
  <c r="L37" i="8"/>
  <c r="L34" i="8"/>
  <c r="Q34" i="8"/>
  <c r="Q40" i="8"/>
  <c r="Q37" i="8"/>
  <c r="M37" i="8"/>
  <c r="M34" i="8"/>
  <c r="M40" i="8"/>
  <c r="O40" i="8"/>
  <c r="O34" i="8"/>
  <c r="O37" i="8"/>
  <c r="I37" i="8"/>
  <c r="I34" i="8"/>
  <c r="I40" i="8"/>
  <c r="H34" i="8"/>
  <c r="H40" i="8"/>
  <c r="H37" i="8"/>
  <c r="P34" i="8"/>
  <c r="P40" i="8"/>
  <c r="P37" i="8"/>
  <c r="H29" i="9" l="1"/>
  <c r="H35" i="9"/>
  <c r="H43" i="9" s="1"/>
  <c r="H121" i="8"/>
  <c r="H141" i="8" s="1"/>
  <c r="V98" i="8"/>
  <c r="J121" i="8"/>
  <c r="J141" i="8" s="1"/>
  <c r="X98" i="8"/>
  <c r="W98" i="8"/>
  <c r="AD20" i="9"/>
  <c r="AD21" i="9" s="1"/>
  <c r="Y20" i="9"/>
  <c r="Y24" i="9" s="1"/>
  <c r="Y28" i="9" s="1"/>
  <c r="AG14" i="9"/>
  <c r="AG24" i="9"/>
  <c r="AG28" i="9" s="1"/>
  <c r="L121" i="8"/>
  <c r="L141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R34" i="8"/>
  <c r="R40" i="8"/>
  <c r="R37" i="8"/>
  <c r="V141" i="8" l="1"/>
  <c r="H44" i="9"/>
  <c r="X141" i="8"/>
  <c r="W141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95" i="8"/>
  <c r="B94" i="8"/>
  <c r="G95" i="8"/>
  <c r="G94" i="8"/>
  <c r="E95" i="8"/>
  <c r="D95" i="8"/>
  <c r="C95" i="8"/>
  <c r="E94" i="8"/>
  <c r="D94" i="8"/>
  <c r="C94" i="8"/>
  <c r="B44" i="8"/>
  <c r="B43" i="8"/>
  <c r="AF44" i="8"/>
  <c r="AE44" i="8"/>
  <c r="AD44" i="8"/>
  <c r="AB44" i="8"/>
  <c r="AA44" i="8"/>
  <c r="Z44" i="8"/>
  <c r="X44" i="8"/>
  <c r="W44" i="8"/>
  <c r="V44" i="8"/>
  <c r="AC44" i="8"/>
  <c r="Y44" i="8"/>
  <c r="AF43" i="8"/>
  <c r="AE43" i="8"/>
  <c r="AD43" i="8"/>
  <c r="AC43" i="8"/>
  <c r="AB43" i="8"/>
  <c r="AA43" i="8"/>
  <c r="Z43" i="8"/>
  <c r="Y43" i="8"/>
  <c r="X43" i="8"/>
  <c r="W43" i="8"/>
  <c r="V43" i="8"/>
  <c r="V94" i="8" l="1"/>
  <c r="Y94" i="8"/>
  <c r="Z94" i="8"/>
  <c r="Z95" i="8"/>
  <c r="AC94" i="8"/>
  <c r="AD94" i="8"/>
  <c r="Y95" i="8"/>
  <c r="AD95" i="8"/>
  <c r="AE95" i="8"/>
  <c r="AB94" i="8"/>
  <c r="W94" i="8"/>
  <c r="AE94" i="8"/>
  <c r="AB95" i="8"/>
  <c r="AA95" i="8"/>
  <c r="X94" i="8"/>
  <c r="AF94" i="8"/>
  <c r="AC95" i="8"/>
  <c r="V95" i="8"/>
  <c r="W95" i="8"/>
  <c r="AA94" i="8"/>
  <c r="X95" i="8"/>
  <c r="AF95" i="8"/>
  <c r="E9" i="10" l="1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AA11" i="8" l="1"/>
  <c r="D51" i="8"/>
  <c r="D60" i="8" s="1"/>
  <c r="C51" i="8"/>
  <c r="C60" i="8" s="1"/>
  <c r="E51" i="8"/>
  <c r="E60" i="8" s="1"/>
  <c r="V69" i="8" l="1"/>
  <c r="V78" i="8" s="1"/>
  <c r="V51" i="8"/>
  <c r="V60" i="8" s="1"/>
  <c r="AB11" i="8"/>
  <c r="AA14" i="8"/>
  <c r="AA20" i="8" s="1"/>
  <c r="AA29" i="8" s="1"/>
  <c r="AB51" i="8"/>
  <c r="AB60" i="8" s="1"/>
  <c r="Z51" i="8"/>
  <c r="Z60" i="8" s="1"/>
  <c r="AB69" i="8"/>
  <c r="AB78" i="8" s="1"/>
  <c r="AA69" i="8"/>
  <c r="AA78" i="8" s="1"/>
  <c r="W69" i="8"/>
  <c r="W78" i="8" s="1"/>
  <c r="Y11" i="8"/>
  <c r="W51" i="8"/>
  <c r="W60" i="8" s="1"/>
  <c r="AA51" i="8"/>
  <c r="AA60" i="8" s="1"/>
  <c r="Z11" i="8"/>
  <c r="X51" i="8"/>
  <c r="X60" i="8" s="1"/>
  <c r="X69" i="8"/>
  <c r="X78" i="8" s="1"/>
  <c r="Z69" i="8"/>
  <c r="Z78" i="8" s="1"/>
  <c r="AD51" i="8"/>
  <c r="AD60" i="8" s="1"/>
  <c r="AD11" i="8"/>
  <c r="AD69" i="8"/>
  <c r="AD78" i="8" s="1"/>
  <c r="AE69" i="8"/>
  <c r="AE78" i="8" s="1"/>
  <c r="AC11" i="8"/>
  <c r="AE11" i="8"/>
  <c r="AE51" i="8"/>
  <c r="AE60" i="8" s="1"/>
  <c r="AA21" i="8" l="1"/>
  <c r="AA33" i="8"/>
  <c r="Z14" i="8"/>
  <c r="Z20" i="8" s="1"/>
  <c r="Z29" i="8" s="1"/>
  <c r="AI13" i="9"/>
  <c r="AC9" i="10"/>
  <c r="AC16" i="10" s="1"/>
  <c r="Z8" i="10"/>
  <c r="AA8" i="10"/>
  <c r="AB8" i="10"/>
  <c r="V87" i="8"/>
  <c r="V89" i="8" s="1"/>
  <c r="AD14" i="8"/>
  <c r="AD20" i="8" s="1"/>
  <c r="AD29" i="8" s="1"/>
  <c r="AH10" i="8"/>
  <c r="AB87" i="8"/>
  <c r="AB89" i="8" s="1"/>
  <c r="Z87" i="8"/>
  <c r="Z89" i="8" s="1"/>
  <c r="X87" i="8"/>
  <c r="X89" i="8" s="1"/>
  <c r="AH17" i="8"/>
  <c r="AA87" i="8"/>
  <c r="AA89" i="8" s="1"/>
  <c r="AB14" i="8"/>
  <c r="AB20" i="8" s="1"/>
  <c r="AB29" i="8" s="1"/>
  <c r="W87" i="8"/>
  <c r="W89" i="8" s="1"/>
  <c r="Y14" i="8"/>
  <c r="Y20" i="8" s="1"/>
  <c r="Y29" i="8" s="1"/>
  <c r="AA15" i="8"/>
  <c r="AH13" i="8"/>
  <c r="AD87" i="8"/>
  <c r="AD89" i="8" s="1"/>
  <c r="AE14" i="8"/>
  <c r="AE20" i="8" s="1"/>
  <c r="AE29" i="8" s="1"/>
  <c r="AC14" i="8"/>
  <c r="AC20" i="8" s="1"/>
  <c r="AC29" i="8" s="1"/>
  <c r="AE87" i="8"/>
  <c r="AE89" i="8" s="1"/>
  <c r="Z21" i="8" l="1"/>
  <c r="Z33" i="8"/>
  <c r="Y21" i="8"/>
  <c r="Y33" i="8"/>
  <c r="AB33" i="8"/>
  <c r="AB21" i="8"/>
  <c r="AD33" i="8"/>
  <c r="AD21" i="8"/>
  <c r="AC33" i="8"/>
  <c r="AC21" i="8"/>
  <c r="AE33" i="8"/>
  <c r="AE21" i="8"/>
  <c r="AD15" i="8"/>
  <c r="AC15" i="8"/>
  <c r="Z15" i="8"/>
  <c r="AE15" i="8"/>
  <c r="AB15" i="8"/>
  <c r="AI14" i="9"/>
  <c r="AI20" i="9"/>
  <c r="AA9" i="10"/>
  <c r="AA10" i="10" s="1"/>
  <c r="AB9" i="10"/>
  <c r="AB10" i="10" s="1"/>
  <c r="AC10" i="10"/>
  <c r="AD9" i="10"/>
  <c r="AD16" i="10" s="1"/>
  <c r="AF9" i="10"/>
  <c r="AF16" i="10" s="1"/>
  <c r="Z9" i="10"/>
  <c r="Z10" i="10" s="1"/>
  <c r="X8" i="10"/>
  <c r="W8" i="10"/>
  <c r="Y8" i="10"/>
  <c r="AA30" i="8"/>
  <c r="Y15" i="8"/>
  <c r="Y9" i="10" l="1"/>
  <c r="X9" i="10"/>
  <c r="Z30" i="8"/>
  <c r="Y30" i="8"/>
  <c r="AD30" i="8"/>
  <c r="Z34" i="8"/>
  <c r="AI24" i="9"/>
  <c r="AI28" i="9" s="1"/>
  <c r="AI21" i="9"/>
  <c r="W9" i="10"/>
  <c r="AE9" i="10"/>
  <c r="AD10" i="10"/>
  <c r="AA34" i="8"/>
  <c r="AA37" i="8"/>
  <c r="AA40" i="8"/>
  <c r="Y37" i="8"/>
  <c r="Y40" i="8"/>
  <c r="Y34" i="8"/>
  <c r="AE30" i="8"/>
  <c r="AB30" i="8"/>
  <c r="AC30" i="8"/>
  <c r="AE10" i="10" l="1"/>
  <c r="AE16" i="10"/>
  <c r="Z40" i="8"/>
  <c r="Z37" i="8"/>
  <c r="AI25" i="9"/>
  <c r="AC34" i="8"/>
  <c r="AC40" i="8"/>
  <c r="AC37" i="8"/>
  <c r="AB40" i="8"/>
  <c r="AB34" i="8"/>
  <c r="AB37" i="8"/>
  <c r="AD34" i="8"/>
  <c r="AD37" i="8"/>
  <c r="AD40" i="8"/>
  <c r="AE34" i="8"/>
  <c r="AE37" i="8"/>
  <c r="AE40" i="8"/>
  <c r="AI29" i="9" l="1"/>
  <c r="AI35" i="9"/>
  <c r="Y69" i="8" l="1"/>
  <c r="AC69" i="8"/>
  <c r="AC78" i="8" s="1"/>
  <c r="Y78" i="8" l="1"/>
  <c r="Y87" i="8" s="1"/>
  <c r="W126" i="8"/>
  <c r="X126" i="8"/>
  <c r="V126" i="8"/>
  <c r="AB126" i="8"/>
  <c r="Y126" i="8"/>
  <c r="Z126" i="8"/>
  <c r="AA126" i="8"/>
  <c r="AC126" i="8"/>
  <c r="AE126" i="8"/>
  <c r="AD126" i="8"/>
  <c r="E11" i="8" l="1"/>
  <c r="F10" i="10" s="1"/>
  <c r="D11" i="8"/>
  <c r="E10" i="10" s="1"/>
  <c r="C11" i="8"/>
  <c r="D10" i="10" s="1"/>
  <c r="C8" i="9"/>
  <c r="G126" i="8"/>
  <c r="E126" i="8"/>
  <c r="D126" i="8"/>
  <c r="C126" i="8"/>
  <c r="G69" i="8"/>
  <c r="D69" i="8"/>
  <c r="C69" i="8"/>
  <c r="C60" i="9"/>
  <c r="AF11" i="8"/>
  <c r="AF10" i="10" s="1"/>
  <c r="U67" i="9"/>
  <c r="M67" i="9"/>
  <c r="AK34" i="9"/>
  <c r="AK27" i="9"/>
  <c r="G78" i="8" l="1"/>
  <c r="H61" i="9" s="1"/>
  <c r="H60" i="9"/>
  <c r="C61" i="9"/>
  <c r="D78" i="8"/>
  <c r="C78" i="8"/>
  <c r="N67" i="9"/>
  <c r="V67" i="9"/>
  <c r="D67" i="9"/>
  <c r="O67" i="9"/>
  <c r="AG61" i="9"/>
  <c r="AH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AC87" i="8"/>
  <c r="D14" i="8"/>
  <c r="D20" i="8" s="1"/>
  <c r="D29" i="8" s="1"/>
  <c r="C14" i="8"/>
  <c r="C20" i="8" s="1"/>
  <c r="C29" i="8" s="1"/>
  <c r="E14" i="8"/>
  <c r="E20" i="8" s="1"/>
  <c r="E29" i="8" s="1"/>
  <c r="AF69" i="8"/>
  <c r="AF78" i="8" s="1"/>
  <c r="AH86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C87" i="8" l="1"/>
  <c r="C89" i="8" s="1"/>
  <c r="C21" i="8"/>
  <c r="D21" i="8"/>
  <c r="D33" i="8"/>
  <c r="D98" i="8" s="1"/>
  <c r="N98" i="8" s="1"/>
  <c r="G33" i="8"/>
  <c r="E33" i="8"/>
  <c r="E98" i="8" s="1"/>
  <c r="R98" i="8" s="1"/>
  <c r="E21" i="8"/>
  <c r="T67" i="9"/>
  <c r="AC51" i="8"/>
  <c r="G87" i="8"/>
  <c r="G89" i="8" s="1"/>
  <c r="Y51" i="8"/>
  <c r="D87" i="8"/>
  <c r="D89" i="8" s="1"/>
  <c r="E87" i="8"/>
  <c r="E89" i="8" s="1"/>
  <c r="AH61" i="9"/>
  <c r="P67" i="9"/>
  <c r="AH78" i="8"/>
  <c r="AH69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F51" i="8"/>
  <c r="AF60" i="8" s="1"/>
  <c r="D15" i="8"/>
  <c r="E15" i="8"/>
  <c r="C15" i="8"/>
  <c r="AF14" i="8"/>
  <c r="AF20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D98" i="8" l="1"/>
  <c r="AF98" i="8"/>
  <c r="AE98" i="8"/>
  <c r="AC98" i="8"/>
  <c r="AB98" i="8"/>
  <c r="AA98" i="8"/>
  <c r="Z98" i="8"/>
  <c r="Y98" i="8"/>
  <c r="N121" i="8"/>
  <c r="N141" i="8" s="1"/>
  <c r="Y60" i="8"/>
  <c r="Y89" i="8" s="1"/>
  <c r="AC60" i="8"/>
  <c r="AC89" i="8" s="1"/>
  <c r="AH20" i="8"/>
  <c r="AF29" i="8"/>
  <c r="G34" i="8"/>
  <c r="G40" i="8"/>
  <c r="C30" i="8"/>
  <c r="C33" i="8"/>
  <c r="C40" i="8" s="1"/>
  <c r="AF21" i="8"/>
  <c r="AH21" i="8" s="1"/>
  <c r="E30" i="8"/>
  <c r="D30" i="8"/>
  <c r="AH133" i="8"/>
  <c r="AF87" i="8"/>
  <c r="AH87" i="8" s="1"/>
  <c r="AH60" i="8"/>
  <c r="AH51" i="8"/>
  <c r="T14" i="9"/>
  <c r="P14" i="9"/>
  <c r="E37" i="8"/>
  <c r="E40" i="8"/>
  <c r="D40" i="8"/>
  <c r="D37" i="8"/>
  <c r="R20" i="9"/>
  <c r="R21" i="9" s="1"/>
  <c r="J20" i="9"/>
  <c r="J21" i="9" s="1"/>
  <c r="AH14" i="8"/>
  <c r="E34" i="8"/>
  <c r="E121" i="8"/>
  <c r="E141" i="8" s="1"/>
  <c r="D34" i="8"/>
  <c r="D121" i="8"/>
  <c r="D141" i="8" s="1"/>
  <c r="AF126" i="8"/>
  <c r="AH126" i="8" s="1"/>
  <c r="AF15" i="8"/>
  <c r="AH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F33" i="8" l="1"/>
  <c r="AH29" i="8"/>
  <c r="AB141" i="8"/>
  <c r="AA141" i="8"/>
  <c r="Z141" i="8"/>
  <c r="Y141" i="8"/>
  <c r="R121" i="8"/>
  <c r="R141" i="8" s="1"/>
  <c r="C34" i="8"/>
  <c r="C98" i="8"/>
  <c r="C37" i="8"/>
  <c r="G98" i="8"/>
  <c r="G121" i="8" s="1"/>
  <c r="G141" i="8" s="1"/>
  <c r="G37" i="8"/>
  <c r="AF89" i="8"/>
  <c r="R24" i="9"/>
  <c r="R28" i="9" s="1"/>
  <c r="J24" i="9"/>
  <c r="J28" i="9" s="1"/>
  <c r="AF30" i="8"/>
  <c r="AH30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F141" i="8" l="1"/>
  <c r="AC141" i="8"/>
  <c r="AE141" i="8"/>
  <c r="AD141" i="8"/>
  <c r="C121" i="8"/>
  <c r="C141" i="8" s="1"/>
  <c r="AB121" i="8"/>
  <c r="AF40" i="8"/>
  <c r="R25" i="9"/>
  <c r="J25" i="9"/>
  <c r="AC121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Y121" i="8" l="1"/>
  <c r="Z121" i="8"/>
  <c r="AA121" i="8"/>
  <c r="AH33" i="8"/>
  <c r="AF37" i="8"/>
  <c r="AF34" i="8"/>
  <c r="AH34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H37" i="8"/>
  <c r="AH40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C138" i="8" l="1"/>
  <c r="C142" i="8" s="1"/>
  <c r="C144" i="8" s="1"/>
  <c r="G138" i="8"/>
  <c r="G142" i="8" s="1"/>
  <c r="G144" i="8" s="1"/>
  <c r="V136" i="8" l="1"/>
  <c r="H136" i="8"/>
  <c r="H138" i="8" s="1"/>
  <c r="H142" i="8" s="1"/>
  <c r="H144" i="8" s="1"/>
  <c r="D136" i="8"/>
  <c r="D138" i="8" s="1"/>
  <c r="D142" i="8" s="1"/>
  <c r="D144" i="8" s="1"/>
  <c r="W136" i="8" l="1"/>
  <c r="E136" i="8"/>
  <c r="E138" i="8" s="1"/>
  <c r="E142" i="8" s="1"/>
  <c r="E144" i="8" s="1"/>
  <c r="I136" i="8"/>
  <c r="I138" i="8" s="1"/>
  <c r="I142" i="8" s="1"/>
  <c r="I144" i="8" s="1"/>
  <c r="X136" i="8" l="1"/>
  <c r="J136" i="8"/>
  <c r="J138" i="8" s="1"/>
  <c r="J142" i="8" s="1"/>
  <c r="J144" i="8" s="1"/>
  <c r="Y136" i="8" l="1"/>
  <c r="K136" i="8"/>
  <c r="K138" i="8" s="1"/>
  <c r="K142" i="8" s="1"/>
  <c r="K144" i="8" s="1"/>
  <c r="Z136" i="8" l="1"/>
  <c r="L136" i="8"/>
  <c r="L138" i="8" s="1"/>
  <c r="L142" i="8" s="1"/>
  <c r="L144" i="8" s="1"/>
  <c r="AA136" i="8" l="1"/>
  <c r="M136" i="8"/>
  <c r="M138" i="8" s="1"/>
  <c r="M142" i="8" s="1"/>
  <c r="M144" i="8" s="1"/>
  <c r="AB136" i="8" l="1"/>
  <c r="AB138" i="8" s="1"/>
  <c r="N136" i="8"/>
  <c r="N138" i="8" s="1"/>
  <c r="N142" i="8" s="1"/>
  <c r="N144" i="8" s="1"/>
  <c r="AC136" i="8" l="1"/>
  <c r="O136" i="8"/>
  <c r="O138" i="8" s="1"/>
  <c r="O142" i="8" s="1"/>
  <c r="O144" i="8" s="1"/>
  <c r="AD136" i="8" l="1"/>
  <c r="P136" i="8"/>
  <c r="P138" i="8" s="1"/>
  <c r="P142" i="8" s="1"/>
  <c r="P144" i="8" s="1"/>
  <c r="AE136" i="8" l="1"/>
  <c r="Q136" i="8"/>
  <c r="Q138" i="8" s="1"/>
  <c r="Q142" i="8" s="1"/>
  <c r="Q144" i="8" s="1"/>
  <c r="AF136" i="8" l="1"/>
  <c r="R136" i="8"/>
  <c r="R138" i="8" s="1"/>
  <c r="R142" i="8" s="1"/>
  <c r="R144" i="8" s="1"/>
  <c r="S136" i="8" l="1"/>
  <c r="S138" i="8" s="1"/>
  <c r="S142" i="8" s="1"/>
  <c r="S144" i="8" s="1"/>
  <c r="T136" i="8" l="1"/>
  <c r="T138" i="8" s="1"/>
  <c r="T142" i="8" s="1"/>
  <c r="T144" i="8" s="1"/>
  <c r="V138" i="8" l="1"/>
  <c r="AA138" i="8" l="1"/>
  <c r="AA142" i="8" s="1"/>
  <c r="AA144" i="8" s="1"/>
  <c r="AB142" i="8" l="1"/>
  <c r="AB144" i="8" s="1"/>
  <c r="AC138" i="8" l="1"/>
  <c r="AC142" i="8" s="1"/>
  <c r="AC144" i="8" s="1"/>
  <c r="W138" i="8"/>
  <c r="AD138" i="8" l="1"/>
  <c r="X121" i="8"/>
  <c r="V11" i="8"/>
  <c r="W10" i="10" s="1"/>
  <c r="X11" i="8"/>
  <c r="W11" i="8"/>
  <c r="W14" i="8" s="1"/>
  <c r="X10" i="10" l="1"/>
  <c r="W20" i="8"/>
  <c r="W29" i="8" s="1"/>
  <c r="W15" i="8"/>
  <c r="X14" i="8"/>
  <c r="Y10" i="10"/>
  <c r="V14" i="8"/>
  <c r="X20" i="8" l="1"/>
  <c r="X29" i="8" s="1"/>
  <c r="X15" i="8"/>
  <c r="V15" i="8"/>
  <c r="V20" i="8"/>
  <c r="V29" i="8" s="1"/>
  <c r="W21" i="8"/>
  <c r="W33" i="8" l="1"/>
  <c r="W30" i="8"/>
  <c r="V21" i="8"/>
  <c r="X21" i="8"/>
  <c r="X33" i="8" l="1"/>
  <c r="X30" i="8"/>
  <c r="V30" i="8"/>
  <c r="V33" i="8"/>
  <c r="W37" i="8"/>
  <c r="W34" i="8"/>
  <c r="W40" i="8"/>
  <c r="AD121" i="8" l="1"/>
  <c r="AE121" i="8"/>
  <c r="W121" i="8"/>
  <c r="W142" i="8" s="1"/>
  <c r="W144" i="8" s="1"/>
  <c r="V121" i="8"/>
  <c r="V34" i="8"/>
  <c r="V40" i="8"/>
  <c r="V37" i="8"/>
  <c r="X37" i="8"/>
  <c r="X34" i="8"/>
  <c r="X40" i="8"/>
  <c r="V142" i="8" l="1"/>
  <c r="V144" i="8" s="1"/>
  <c r="AD142" i="8"/>
  <c r="AD144" i="8" s="1"/>
  <c r="AF121" i="8"/>
  <c r="AH98" i="8"/>
  <c r="X138" i="8"/>
  <c r="X142" i="8" s="1"/>
  <c r="X144" i="8" s="1"/>
  <c r="AE138" i="8" l="1"/>
  <c r="AE142" i="8" s="1"/>
  <c r="AE144" i="8" s="1"/>
  <c r="AH121" i="8"/>
  <c r="Y138" i="8"/>
  <c r="Y142" i="8" s="1"/>
  <c r="Y144" i="8" s="1"/>
  <c r="AF138" i="8" l="1"/>
  <c r="AF142" i="8" s="1"/>
  <c r="AF144" i="8" s="1"/>
  <c r="Z138" i="8"/>
  <c r="Z142" i="8" s="1"/>
  <c r="Z144" i="8" s="1"/>
</calcChain>
</file>

<file path=xl/sharedStrings.xml><?xml version="1.0" encoding="utf-8"?>
<sst xmlns="http://schemas.openxmlformats.org/spreadsheetml/2006/main" count="332" uniqueCount="186">
  <si>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</si>
  <si>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</si>
  <si>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</si>
  <si>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</si>
  <si>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</si>
  <si>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</si>
  <si>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</si>
  <si>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</si>
  <si>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</si>
  <si>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</si>
  <si>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</si>
  <si>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</si>
  <si>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</si>
  <si>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</si>
  <si>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receivable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</si>
  <si>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</si>
  <si>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</si>
  <si>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</si>
  <si>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</si>
  <si>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</si>
  <si>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</si>
  <si>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</si>
  <si>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</si>
  <si>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</si>
  <si>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</si>
  <si>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</si>
  <si>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</si>
  <si>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</si>
  <si>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</si>
  <si>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</si>
  <si>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</si>
  <si>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</si>
  <si>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</si>
  <si>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</si>
  <si>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</si>
  <si>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</si>
  <si>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</si>
  <si>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</si>
  <si>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</si>
  <si>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</si>
  <si>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</si>
  <si>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</si>
  <si>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</si>
  <si>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</si>
  <si>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</si>
  <si>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</si>
  <si>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</si>
  <si>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</si>
  <si>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</si>
  <si>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</si>
  <si>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</si>
  <si>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</si>
  <si>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</si>
  <si>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</si>
  <si>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</si>
  <si>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</si>
  <si>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</si>
  <si>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</si>
  <si>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</si>
  <si>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</si>
  <si>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</si>
  <si>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</si>
  <si>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</si>
  <si>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</si>
  <si>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</si>
  <si>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</si>
  <si>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</si>
  <si>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</si>
  <si>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</si>
  <si>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</si>
  <si>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</si>
  <si>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</si>
  <si>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</si>
  <si>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</si>
  <si>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</si>
  <si>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</si>
  <si>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</si>
  <si>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</si>
  <si>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</si>
  <si>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</si>
  <si>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</si>
  <si>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</si>
  <si>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</si>
  <si>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</si>
  <si>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</si>
  <si>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</si>
  <si>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</si>
  <si>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</si>
  <si>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</si>
  <si>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</si>
  <si>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</si>
  <si>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</si>
  <si>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Interest income</t>
  </si>
  <si>
    <t>Interest expense</t>
  </si>
  <si>
    <t>NM</t>
  </si>
  <si>
    <t>Cash paid for interest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</si>
  <si>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</si>
  <si>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</si>
  <si>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</si>
  <si>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</si>
  <si>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</si>
  <si>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</si>
  <si>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</si>
  <si>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</si>
  <si>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</si>
  <si>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</si>
  <si>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</si>
  <si>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</si>
  <si>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</si>
  <si>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</si>
  <si>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</si>
  <si>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</si>
  <si>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</si>
  <si>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</si>
  <si>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</si>
  <si>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</si>
  <si>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(+/-) Issuance / (Repayment) of Debt, net</t>
  </si>
  <si>
    <t>(+/-) Proceeds / (Purchases) of Equity, net</t>
  </si>
  <si>
    <t>(+/-) Other Financing Activities</t>
  </si>
  <si>
    <t>Research and development</t>
  </si>
  <si>
    <t>Cash and cash equivalents</t>
  </si>
  <si>
    <t>Property and equipment, net</t>
  </si>
  <si>
    <t>Operating lease right-of-use assets</t>
  </si>
  <si>
    <t>Goodwill</t>
  </si>
  <si>
    <t>Current portion of operating lease liabilities</t>
  </si>
  <si>
    <t>Additional paid-in capital</t>
  </si>
  <si>
    <t>Accumulated deficit</t>
  </si>
  <si>
    <t>Stock-based compensation</t>
  </si>
  <si>
    <t>Purchases of property and equipment</t>
  </si>
  <si>
    <t>Provision for taxes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</si>
  <si>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</si>
  <si>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</si>
  <si>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</si>
  <si>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</si>
  <si>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</si>
  <si>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</si>
  <si>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</si>
  <si>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</si>
  <si>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</si>
  <si>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</si>
  <si>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</si>
  <si>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</si>
  <si>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</si>
  <si>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</si>
  <si>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</si>
  <si>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</si>
  <si>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Selling, general and administrative</t>
  </si>
  <si>
    <t>Goodwill impairment</t>
  </si>
  <si>
    <t>Change in fair value of derivative warrant liabilities</t>
  </si>
  <si>
    <t>Change in fair value of earn-out liabilities</t>
  </si>
  <si>
    <t>Transaction costs</t>
  </si>
  <si>
    <t>Available-for-sale investments</t>
  </si>
  <si>
    <t>Other assets</t>
  </si>
  <si>
    <t>Restricted cash</t>
  </si>
  <si>
    <t>Accrued expenses and other current liabilities</t>
  </si>
  <si>
    <t>Deferred revenue</t>
  </si>
  <si>
    <t>Current portion of debt</t>
  </si>
  <si>
    <t>Forward contract - liabilities</t>
  </si>
  <si>
    <t>Debt, less current portion</t>
  </si>
  <si>
    <t>Operating lease liabilities, less current portion</t>
  </si>
  <si>
    <t>Derivative warrant liabilities</t>
  </si>
  <si>
    <t>Earn-out liabilities</t>
  </si>
  <si>
    <t>Other liabilities</t>
  </si>
  <si>
    <t>Redeemable convertible preferred stock</t>
  </si>
  <si>
    <t>Accumulated other comprehensive income (loss)</t>
  </si>
  <si>
    <t>Change in fair value of forward contract</t>
  </si>
  <si>
    <t>Impairment of deferred offering costs</t>
  </si>
  <si>
    <t>Accretion of available-for-sale securities</t>
  </si>
  <si>
    <t>Amortization of debt issuance costs, commitment fees and accretion of debt end-of-term liabilities</t>
  </si>
  <si>
    <t>Amortization of exit fee asset</t>
  </si>
  <si>
    <t>Non-cash lease expense</t>
  </si>
  <si>
    <t>Prepaid expenses, other current assets and other assets</t>
  </si>
  <si>
    <t>Accrued expenses and operating lease liabilities</t>
  </si>
  <si>
    <t>Supplemental disclosures of other cash flow information:</t>
  </si>
  <si>
    <t>Maturities / (Purchases) of available-for-sale securities</t>
  </si>
  <si>
    <t>(+/-) Proceeds from Business Combination, net of transaction costs paid</t>
  </si>
  <si>
    <t>(+/-) Transaction costs paid directly by Rigetti</t>
  </si>
  <si>
    <t>Restructuring &amp; Other Impairments</t>
  </si>
  <si>
    <t>Other Gains &amp; Losses</t>
  </si>
  <si>
    <r>
      <t xml:space="preserve">Prepaid expenses and other current assets </t>
    </r>
    <r>
      <rPr>
        <vertAlign val="superscript"/>
        <sz val="9"/>
        <rFont val="Calibri"/>
        <family val="2"/>
      </rPr>
      <t>(1)</t>
    </r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</si>
  <si>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</si>
  <si>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Available-for-sale investments - long-term</t>
  </si>
  <si>
    <t>Deferred revenue, less current portion</t>
  </si>
  <si>
    <t>Loss on extinguishment of debt</t>
  </si>
  <si>
    <t>XXX</t>
  </si>
  <si>
    <t>Revenue by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</si>
</sst>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2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vertAlign val="superscript"/>
      <sz val="9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9" fillId="3" borderId="0" xfId="1" applyNumberFormat="1" applyFont="1" applyFill="1" applyBorder="1" applyAlignment="1">
      <alignment horizontal="right" vertical="center" wrapText="1"/>
    </xf>
    <xf numFmtId="167" fontId="29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41" fontId="8" fillId="0" borderId="13" xfId="0" applyNumberFormat="1" applyFont="1" applyBorder="1" applyAlignment="1">
      <alignment horizontal="right" vertical="top" wrapText="1"/>
    </xf>
    <xf numFmtId="0" fontId="4" fillId="0" borderId="13" xfId="0" applyFont="1" applyBorder="1"/>
    <xf numFmtId="0" fontId="21" fillId="0" borderId="14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30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H163"/>
  <sheetViews>
    <sheetView showGridLines="0" zoomScale="115" zoomScaleNormal="115" workbookViewId="0">
      <selection activeCell="C3" sqref="C3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5" width="9.125" style="5" bestFit="1" customWidth="1"/>
    <col min="6" max="6" width="1.5" style="5" customWidth="1"/>
    <col min="7" max="9" width="7.875" style="5" customWidth="1" outlineLevel="1"/>
    <col min="10" max="10" width="8.625" style="5" customWidth="1" outlineLevel="1"/>
    <col min="11" max="13" width="7.875" style="5" customWidth="1" outlineLevel="1"/>
    <col min="14" max="14" width="8.625" style="5" customWidth="1" outlineLevel="1"/>
    <col min="15" max="16" width="7.875" style="5" customWidth="1" outlineLevel="1"/>
    <col min="17" max="17" width="7.875" style="5" customWidth="1"/>
    <col min="18" max="18" width="8.625" style="5" customWidth="1"/>
    <col min="19" max="20" width="8" style="5" customWidth="1"/>
    <col min="21" max="21" width="1.5" style="5" customWidth="1"/>
    <col min="22" max="22" width="8.625" style="5" hidden="1" customWidth="1" outlineLevel="1"/>
    <col min="23" max="25" width="8" style="5" hidden="1" customWidth="1" outlineLevel="1"/>
    <col min="26" max="26" width="8.625" style="5" hidden="1" customWidth="1" outlineLevel="1"/>
    <col min="27" max="27" width="8.25" style="5" hidden="1" customWidth="1" outlineLevel="1"/>
    <col min="28" max="28" width="8.25" style="5" bestFit="1" customWidth="1" collapsed="1"/>
    <col min="29" max="29" width="8.25" style="5" hidden="1" customWidth="1" outlineLevel="1"/>
    <col min="30" max="30" width="8.625" style="5" hidden="1" customWidth="1" outlineLevel="1"/>
    <col min="31" max="31" width="8.25" style="5" hidden="1" customWidth="1" outlineLevel="1"/>
    <col min="32" max="32" width="8.625" style="5" bestFit="1" customWidth="1" collapsed="1"/>
    <col min="33" max="33" width="1.25" style="5" customWidth="1"/>
    <col min="34" max="34" width="10.5" style="5" bestFit="1" customWidth="1"/>
    <col min="35" max="35" width="1.375" style="5" customWidth="1"/>
    <col min="36" max="16384" width="9" style="5"/>
  </cols>
  <sheetData>
    <row r="2" spans="1:34" ht="12.75" customHeight="1">
      <c r="B2" s="1" t="s">
        <v>184</v>
      </c>
      <c r="C2" s="91"/>
      <c r="D2" s="91"/>
      <c r="E2" s="91"/>
      <c r="F2" s="3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3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3"/>
      <c r="AH2" s="1"/>
    </row>
    <row r="3" spans="1:34" ht="12.75" customHeight="1">
      <c r="B3" s="6" t="s">
        <v>102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3"/>
      <c r="AH3" s="1"/>
    </row>
    <row r="4" spans="1:34" ht="12.75" customHeight="1">
      <c r="B4" s="6" t="s">
        <v>145</v>
      </c>
      <c r="C4" s="3"/>
      <c r="D4" s="8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"/>
    </row>
    <row r="6" spans="1:34" ht="12.75" customHeight="1">
      <c r="A6" s="5" t="s">
        <v>20</v>
      </c>
      <c r="B6" s="1" t="s">
        <v>100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/>
      <c r="N6" s="2"/>
      <c r="O6" s="2"/>
      <c r="P6" s="2"/>
      <c r="Q6" s="2" t="s">
        <v>1</v>
      </c>
      <c r="R6" s="2"/>
      <c r="S6" s="2"/>
      <c r="T6" s="2"/>
      <c r="U6" s="3"/>
      <c r="V6" s="2"/>
      <c r="W6" s="2"/>
      <c r="X6" s="2"/>
      <c r="Y6" s="2"/>
      <c r="Z6" s="2"/>
      <c r="AA6" s="2"/>
      <c r="AB6" s="2" t="s">
        <v>10</v>
      </c>
      <c r="AC6" s="2"/>
      <c r="AD6" s="2"/>
      <c r="AE6" s="2"/>
      <c r="AF6" s="2"/>
      <c r="AG6" s="36"/>
      <c r="AH6" s="141" t="s">
        <v>27</v>
      </c>
    </row>
    <row r="7" spans="1:34" ht="12.75" customHeight="1">
      <c r="B7" s="6" t="s">
        <v>103</v>
      </c>
      <c r="C7" s="7">
        <v>2022</v>
      </c>
      <c r="D7" s="7">
        <v>2023</v>
      </c>
      <c r="E7" s="7">
        <v>2024</v>
      </c>
      <c r="F7" s="3"/>
      <c r="G7" s="4" t="s">
        <v>29</v>
      </c>
      <c r="H7" s="4" t="s">
        <v>30</v>
      </c>
      <c r="I7" s="4" t="s">
        <v>31</v>
      </c>
      <c r="J7" s="4" t="s">
        <v>32</v>
      </c>
      <c r="K7" s="4" t="s">
        <v>6</v>
      </c>
      <c r="L7" s="4" t="s">
        <v>7</v>
      </c>
      <c r="M7" s="4" t="s">
        <v>8</v>
      </c>
      <c r="N7" s="4" t="s">
        <v>9</v>
      </c>
      <c r="O7" s="4" t="s">
        <v>2</v>
      </c>
      <c r="P7" s="4" t="s">
        <v>3</v>
      </c>
      <c r="Q7" s="4" t="s">
        <v>4</v>
      </c>
      <c r="R7" s="4" t="s">
        <v>5</v>
      </c>
      <c r="S7" s="4" t="s">
        <v>33</v>
      </c>
      <c r="T7" s="4" t="s">
        <v>34</v>
      </c>
      <c r="U7" s="4"/>
      <c r="V7" s="4" t="str">
        <f t="shared" ref="V7:AE8" si="0">J7</f>
        <v>4Q22</v>
      </c>
      <c r="W7" s="4" t="str">
        <f t="shared" si="0"/>
        <v>1Q23</v>
      </c>
      <c r="X7" s="4" t="str">
        <f t="shared" si="0"/>
        <v>2Q23</v>
      </c>
      <c r="Y7" s="4" t="str">
        <f t="shared" si="0"/>
        <v>3Q23</v>
      </c>
      <c r="Z7" s="4" t="str">
        <f t="shared" si="0"/>
        <v>4Q23</v>
      </c>
      <c r="AA7" s="4" t="str">
        <f t="shared" si="0"/>
        <v>1Q24</v>
      </c>
      <c r="AB7" s="4" t="str">
        <f t="shared" si="0"/>
        <v>2Q24</v>
      </c>
      <c r="AC7" s="4" t="str">
        <f t="shared" si="0"/>
        <v>3Q24</v>
      </c>
      <c r="AD7" s="4" t="str">
        <f t="shared" si="0"/>
        <v>4Q24</v>
      </c>
      <c r="AE7" s="4" t="str">
        <f t="shared" si="0"/>
        <v>1Q25</v>
      </c>
      <c r="AF7" s="4" t="str">
        <f>T7</f>
        <v>2Q25</v>
      </c>
      <c r="AG7" s="36"/>
      <c r="AH7" s="141"/>
    </row>
    <row r="8" spans="1:34" ht="12.75" customHeight="1">
      <c r="B8" s="6" t="s">
        <v>104</v>
      </c>
      <c r="C8" s="3">
        <v>44926</v>
      </c>
      <c r="D8" s="81">
        <v>45291</v>
      </c>
      <c r="E8" s="3">
        <v>45657</v>
      </c>
      <c r="F8" s="3"/>
      <c r="G8" s="3">
        <v>44651</v>
      </c>
      <c r="H8" s="3">
        <v>44742</v>
      </c>
      <c r="I8" s="3">
        <v>44834</v>
      </c>
      <c r="J8" s="3">
        <v>44926</v>
      </c>
      <c r="K8" s="3">
        <v>45016</v>
      </c>
      <c r="L8" s="3">
        <v>45107</v>
      </c>
      <c r="M8" s="3">
        <v>45199</v>
      </c>
      <c r="N8" s="3">
        <v>45291</v>
      </c>
      <c r="O8" s="3">
        <v>45382</v>
      </c>
      <c r="P8" s="3">
        <v>45473</v>
      </c>
      <c r="Q8" s="3">
        <v>45565</v>
      </c>
      <c r="R8" s="3">
        <v>45657</v>
      </c>
      <c r="S8" s="3">
        <v>45747</v>
      </c>
      <c r="T8" s="3">
        <v>45838</v>
      </c>
      <c r="U8" s="3"/>
      <c r="V8" s="3">
        <f t="shared" si="0"/>
        <v>44926</v>
      </c>
      <c r="W8" s="3">
        <f t="shared" si="0"/>
        <v>45016</v>
      </c>
      <c r="X8" s="3">
        <f t="shared" si="0"/>
        <v>45107</v>
      </c>
      <c r="Y8" s="3">
        <f t="shared" si="0"/>
        <v>45199</v>
      </c>
      <c r="Z8" s="3">
        <f t="shared" si="0"/>
        <v>45291</v>
      </c>
      <c r="AA8" s="3">
        <f t="shared" si="0"/>
        <v>45382</v>
      </c>
      <c r="AB8" s="3">
        <f t="shared" si="0"/>
        <v>45473</v>
      </c>
      <c r="AC8" s="3">
        <f t="shared" si="0"/>
        <v>45565</v>
      </c>
      <c r="AD8" s="3">
        <f t="shared" si="0"/>
        <v>45657</v>
      </c>
      <c r="AE8" s="3">
        <f t="shared" si="0"/>
        <v>45747</v>
      </c>
      <c r="AF8" s="3">
        <f>T8</f>
        <v>45838</v>
      </c>
      <c r="AG8" s="36"/>
      <c r="AH8" s="141"/>
    </row>
    <row r="9" spans="1:34" ht="5.0999999999999996" customHeight="1">
      <c r="AH9" s="90"/>
    </row>
    <row r="10" spans="1:34" ht="12.75" customHeight="1">
      <c r="B10" s="9" t="s">
        <v>78</v>
      </c>
      <c r="C10" s="86"/>
      <c r="D10" s="86"/>
      <c r="E10" s="86"/>
      <c r="F10" s="11"/>
      <c r="G10" s="86"/>
      <c r="H10" s="86"/>
      <c r="I10" s="86"/>
      <c r="J10" s="30">
        <f>SUM(C10-SUM(G10:I10))</f>
        <v>0</v>
      </c>
      <c r="K10" s="86"/>
      <c r="L10" s="86"/>
      <c r="M10" s="86"/>
      <c r="N10" s="30">
        <f>SUM(D10-SUM(K10:M10))</f>
        <v>0</v>
      </c>
      <c r="O10" s="86"/>
      <c r="P10" s="86"/>
      <c r="Q10" s="86"/>
      <c r="R10" s="30">
        <f>SUM(E10-SUM(O10:Q10))</f>
        <v>0</v>
      </c>
      <c r="S10" s="86"/>
      <c r="T10" s="86"/>
      <c r="U10" s="30"/>
      <c r="V10" s="30">
        <f t="shared" ref="V10:AE10" si="1">SUM(G10:J10)</f>
        <v>0</v>
      </c>
      <c r="W10" s="30">
        <f t="shared" si="1"/>
        <v>0</v>
      </c>
      <c r="X10" s="30">
        <f t="shared" si="1"/>
        <v>0</v>
      </c>
      <c r="Y10" s="30">
        <f t="shared" si="1"/>
        <v>0</v>
      </c>
      <c r="Z10" s="30">
        <f t="shared" si="1"/>
        <v>0</v>
      </c>
      <c r="AA10" s="30">
        <f t="shared" si="1"/>
        <v>0</v>
      </c>
      <c r="AB10" s="30">
        <f t="shared" si="1"/>
        <v>0</v>
      </c>
      <c r="AC10" s="30">
        <f t="shared" si="1"/>
        <v>0</v>
      </c>
      <c r="AD10" s="30">
        <f t="shared" si="1"/>
        <v>0</v>
      </c>
      <c r="AE10" s="30">
        <f t="shared" si="1"/>
        <v>0</v>
      </c>
      <c r="AF10" s="30">
        <f>SUM(Q10:T10)</f>
        <v>0</v>
      </c>
      <c r="AG10" s="38"/>
      <c r="AH10" s="70" t="e">
        <f>SUM(AF10/AB10)-1</f>
        <v>#DIV/0!</v>
      </c>
    </row>
    <row r="11" spans="1:34" ht="12.75" customHeight="1">
      <c r="B11" s="12" t="s">
        <v>12</v>
      </c>
      <c r="C11" s="13">
        <f t="shared" ref="C11:E11" si="2">+SUM(C10:C10)</f>
        <v>0</v>
      </c>
      <c r="D11" s="13">
        <f t="shared" si="2"/>
        <v>0</v>
      </c>
      <c r="E11" s="13">
        <f t="shared" si="2"/>
        <v>0</v>
      </c>
      <c r="F11" s="11"/>
      <c r="G11" s="13">
        <f t="shared" ref="G11:T11" si="3">+SUM(G10:G10)</f>
        <v>0</v>
      </c>
      <c r="H11" s="13">
        <f t="shared" si="3"/>
        <v>0</v>
      </c>
      <c r="I11" s="13">
        <f t="shared" si="3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3"/>
        <v>0</v>
      </c>
      <c r="O11" s="13">
        <f t="shared" si="3"/>
        <v>0</v>
      </c>
      <c r="P11" s="13">
        <f t="shared" si="3"/>
        <v>0</v>
      </c>
      <c r="Q11" s="13">
        <f t="shared" si="3"/>
        <v>0</v>
      </c>
      <c r="R11" s="13">
        <f t="shared" si="3"/>
        <v>0</v>
      </c>
      <c r="S11" s="13">
        <f t="shared" si="3"/>
        <v>0</v>
      </c>
      <c r="T11" s="13">
        <f t="shared" si="3"/>
        <v>0</v>
      </c>
      <c r="V11" s="13">
        <f t="shared" ref="V11:AF11" si="4">+SUM(V10:V10)</f>
        <v>0</v>
      </c>
      <c r="W11" s="13">
        <f t="shared" si="4"/>
        <v>0</v>
      </c>
      <c r="X11" s="13">
        <f t="shared" si="4"/>
        <v>0</v>
      </c>
      <c r="Y11" s="13">
        <f t="shared" si="4"/>
        <v>0</v>
      </c>
      <c r="Z11" s="13">
        <f t="shared" si="4"/>
        <v>0</v>
      </c>
      <c r="AA11" s="13">
        <f t="shared" si="4"/>
        <v>0</v>
      </c>
      <c r="AB11" s="13">
        <f t="shared" si="4"/>
        <v>0</v>
      </c>
      <c r="AC11" s="13">
        <f t="shared" si="4"/>
        <v>0</v>
      </c>
      <c r="AD11" s="13">
        <f t="shared" si="4"/>
        <v>0</v>
      </c>
      <c r="AE11" s="13">
        <f t="shared" si="4"/>
        <v>0</v>
      </c>
      <c r="AF11" s="13">
        <f t="shared" si="4"/>
        <v>0</v>
      </c>
      <c r="AG11" s="38"/>
      <c r="AH11" s="71" t="e">
        <f t="shared" ref="AH11:AH33" si="5">SUM(AF11/AB11)-1</f>
        <v>#DIV/0!</v>
      </c>
    </row>
    <row r="12" spans="1:34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H12" s="70"/>
    </row>
    <row r="13" spans="1:34" ht="12.75" customHeight="1">
      <c r="B13" s="9" t="s">
        <v>13</v>
      </c>
      <c r="C13" s="79"/>
      <c r="D13" s="79"/>
      <c r="E13" s="79"/>
      <c r="F13" s="22"/>
      <c r="G13" s="79"/>
      <c r="H13" s="79"/>
      <c r="I13" s="79"/>
      <c r="J13" s="30">
        <f>SUM(C13-SUM(G13:I13))</f>
        <v>0</v>
      </c>
      <c r="K13" s="86"/>
      <c r="L13" s="86"/>
      <c r="M13" s="86"/>
      <c r="N13" s="30">
        <f>SUM(D13-SUM(K13:M13))</f>
        <v>0</v>
      </c>
      <c r="O13" s="79"/>
      <c r="P13" s="79"/>
      <c r="Q13" s="79"/>
      <c r="R13" s="30">
        <f>SUM(E13-SUM(O13:Q13))</f>
        <v>0</v>
      </c>
      <c r="S13" s="79"/>
      <c r="T13" s="79"/>
      <c r="V13" s="30">
        <f t="shared" ref="V13:AA13" si="6">SUM(H13:K13)</f>
        <v>0</v>
      </c>
      <c r="W13" s="30">
        <f t="shared" si="6"/>
        <v>0</v>
      </c>
      <c r="X13" s="30">
        <f t="shared" si="6"/>
        <v>0</v>
      </c>
      <c r="Y13" s="30">
        <f t="shared" si="6"/>
        <v>0</v>
      </c>
      <c r="Z13" s="30">
        <f t="shared" si="6"/>
        <v>0</v>
      </c>
      <c r="AA13" s="30">
        <f t="shared" si="6"/>
        <v>0</v>
      </c>
      <c r="AB13" s="30">
        <f t="shared" ref="AB13" si="7">SUM(M13:P13)</f>
        <v>0</v>
      </c>
      <c r="AC13" s="30">
        <f t="shared" ref="AC13" si="8">SUM(N13:Q13)</f>
        <v>0</v>
      </c>
      <c r="AD13" s="30">
        <f t="shared" ref="AD13" si="9">SUM(O13:R13)</f>
        <v>0</v>
      </c>
      <c r="AE13" s="30">
        <f t="shared" ref="AE13" si="10">SUM(P13:S13)</f>
        <v>0</v>
      </c>
      <c r="AF13" s="30">
        <f>SUM(Q13:T13)</f>
        <v>0</v>
      </c>
      <c r="AG13" s="11"/>
      <c r="AH13" s="70" t="e">
        <f t="shared" si="5"/>
        <v>#DIV/0!</v>
      </c>
    </row>
    <row r="14" spans="1:34" ht="12.75" customHeight="1">
      <c r="B14" s="23" t="s">
        <v>25</v>
      </c>
      <c r="C14" s="24">
        <f t="shared" ref="C14:E14" si="11">+SUM(C11+SUM(C13:C13))</f>
        <v>0</v>
      </c>
      <c r="D14" s="24">
        <f t="shared" si="11"/>
        <v>0</v>
      </c>
      <c r="E14" s="24">
        <f t="shared" si="11"/>
        <v>0</v>
      </c>
      <c r="G14" s="24">
        <f t="shared" ref="G14:T14" si="12">+SUM(G11+SUM(G13:G13))</f>
        <v>0</v>
      </c>
      <c r="H14" s="24">
        <f t="shared" si="12"/>
        <v>0</v>
      </c>
      <c r="I14" s="24">
        <f t="shared" si="12"/>
        <v>0</v>
      </c>
      <c r="J14" s="24">
        <f t="shared" si="12"/>
        <v>0</v>
      </c>
      <c r="K14" s="24">
        <f t="shared" si="12"/>
        <v>0</v>
      </c>
      <c r="L14" s="24">
        <f t="shared" si="12"/>
        <v>0</v>
      </c>
      <c r="M14" s="24">
        <f t="shared" si="12"/>
        <v>0</v>
      </c>
      <c r="N14" s="24">
        <f t="shared" si="12"/>
        <v>0</v>
      </c>
      <c r="O14" s="24">
        <f t="shared" si="12"/>
        <v>0</v>
      </c>
      <c r="P14" s="24">
        <f t="shared" si="12"/>
        <v>0</v>
      </c>
      <c r="Q14" s="24">
        <f t="shared" si="12"/>
        <v>0</v>
      </c>
      <c r="R14" s="24">
        <f t="shared" si="12"/>
        <v>0</v>
      </c>
      <c r="S14" s="24">
        <f t="shared" si="12"/>
        <v>0</v>
      </c>
      <c r="T14" s="24">
        <f t="shared" si="12"/>
        <v>0</v>
      </c>
      <c r="V14" s="24">
        <f t="shared" ref="V14:AF14" si="13">+SUM(V11+SUM(V13:V13))</f>
        <v>0</v>
      </c>
      <c r="W14" s="24">
        <f t="shared" si="13"/>
        <v>0</v>
      </c>
      <c r="X14" s="24">
        <f t="shared" si="13"/>
        <v>0</v>
      </c>
      <c r="Y14" s="24">
        <f t="shared" si="13"/>
        <v>0</v>
      </c>
      <c r="Z14" s="24">
        <f t="shared" si="13"/>
        <v>0</v>
      </c>
      <c r="AA14" s="24">
        <f t="shared" si="13"/>
        <v>0</v>
      </c>
      <c r="AB14" s="24">
        <f t="shared" si="13"/>
        <v>0</v>
      </c>
      <c r="AC14" s="24">
        <f t="shared" si="13"/>
        <v>0</v>
      </c>
      <c r="AD14" s="24">
        <f t="shared" si="13"/>
        <v>0</v>
      </c>
      <c r="AE14" s="24">
        <f t="shared" si="13"/>
        <v>0</v>
      </c>
      <c r="AF14" s="24">
        <f t="shared" si="13"/>
        <v>0</v>
      </c>
      <c r="AG14" s="40"/>
      <c r="AH14" s="71" t="e">
        <f t="shared" si="5"/>
        <v>#DIV/0!</v>
      </c>
    </row>
    <row r="15" spans="1:34" ht="12.75" customHeight="1">
      <c r="B15" s="14" t="s">
        <v>39</v>
      </c>
      <c r="C15" s="15" t="e">
        <f t="shared" ref="C15:E15" si="14">C14/C11</f>
        <v>#DIV/0!</v>
      </c>
      <c r="D15" s="15" t="e">
        <f t="shared" si="14"/>
        <v>#DIV/0!</v>
      </c>
      <c r="E15" s="15" t="e">
        <f t="shared" si="14"/>
        <v>#DIV/0!</v>
      </c>
      <c r="F15" s="25"/>
      <c r="G15" s="15" t="e">
        <f t="shared" ref="G15:T15" si="15">G14/G11</f>
        <v>#DIV/0!</v>
      </c>
      <c r="H15" s="15" t="e">
        <f t="shared" si="15"/>
        <v>#DIV/0!</v>
      </c>
      <c r="I15" s="15" t="e">
        <f t="shared" si="15"/>
        <v>#DIV/0!</v>
      </c>
      <c r="J15" s="15" t="e">
        <f t="shared" si="15"/>
        <v>#DIV/0!</v>
      </c>
      <c r="K15" s="15" t="e">
        <f t="shared" si="15"/>
        <v>#DIV/0!</v>
      </c>
      <c r="L15" s="15" t="e">
        <f t="shared" si="15"/>
        <v>#DIV/0!</v>
      </c>
      <c r="M15" s="15" t="e">
        <f t="shared" si="15"/>
        <v>#DIV/0!</v>
      </c>
      <c r="N15" s="15" t="e">
        <f t="shared" si="15"/>
        <v>#DIV/0!</v>
      </c>
      <c r="O15" s="15" t="e">
        <f t="shared" si="15"/>
        <v>#DIV/0!</v>
      </c>
      <c r="P15" s="15" t="e">
        <f t="shared" si="15"/>
        <v>#DIV/0!</v>
      </c>
      <c r="Q15" s="15" t="e">
        <f t="shared" si="15"/>
        <v>#DIV/0!</v>
      </c>
      <c r="R15" s="15" t="e">
        <f t="shared" si="15"/>
        <v>#DIV/0!</v>
      </c>
      <c r="S15" s="15" t="e">
        <f t="shared" si="15"/>
        <v>#DIV/0!</v>
      </c>
      <c r="T15" s="15" t="e">
        <f t="shared" si="15"/>
        <v>#DIV/0!</v>
      </c>
      <c r="U15" s="26"/>
      <c r="V15" s="15" t="e">
        <f t="shared" ref="V15:AF15" si="16">V14/V11</f>
        <v>#DIV/0!</v>
      </c>
      <c r="W15" s="15" t="e">
        <f t="shared" si="16"/>
        <v>#DIV/0!</v>
      </c>
      <c r="X15" s="15" t="e">
        <f t="shared" si="16"/>
        <v>#DIV/0!</v>
      </c>
      <c r="Y15" s="15" t="e">
        <f t="shared" si="16"/>
        <v>#DIV/0!</v>
      </c>
      <c r="Z15" s="15" t="e">
        <f t="shared" si="16"/>
        <v>#DIV/0!</v>
      </c>
      <c r="AA15" s="15" t="e">
        <f t="shared" si="16"/>
        <v>#DIV/0!</v>
      </c>
      <c r="AB15" s="15" t="e">
        <f t="shared" si="16"/>
        <v>#DIV/0!</v>
      </c>
      <c r="AC15" s="15" t="e">
        <f t="shared" si="16"/>
        <v>#DIV/0!</v>
      </c>
      <c r="AD15" s="15" t="e">
        <f t="shared" si="16"/>
        <v>#DIV/0!</v>
      </c>
      <c r="AE15" s="15" t="e">
        <f t="shared" si="16"/>
        <v>#DIV/0!</v>
      </c>
      <c r="AF15" s="15" t="e">
        <f t="shared" si="16"/>
        <v>#DIV/0!</v>
      </c>
      <c r="AG15" s="40"/>
      <c r="AH15" s="72" t="e">
        <f>SUM(AF15-AB15)*1000</f>
        <v>#DIV/0!</v>
      </c>
    </row>
    <row r="16" spans="1:34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40"/>
      <c r="AH16" s="70"/>
    </row>
    <row r="17" spans="2:34" ht="12.75" customHeight="1">
      <c r="B17" s="9" t="s">
        <v>119</v>
      </c>
      <c r="C17" s="79"/>
      <c r="D17" s="79"/>
      <c r="E17" s="79"/>
      <c r="F17" s="30"/>
      <c r="G17" s="79"/>
      <c r="H17" s="79"/>
      <c r="I17" s="79"/>
      <c r="J17" s="30">
        <f t="shared" ref="J17:J19" si="17">SUM(C17-SUM(G17:I17))</f>
        <v>0</v>
      </c>
      <c r="K17" s="86"/>
      <c r="L17" s="86"/>
      <c r="M17" s="86"/>
      <c r="N17" s="30">
        <f t="shared" ref="N17:N19" si="18">SUM(D17-SUM(K17:M17))</f>
        <v>0</v>
      </c>
      <c r="O17" s="79"/>
      <c r="P17" s="79"/>
      <c r="Q17" s="79"/>
      <c r="R17" s="30">
        <f t="shared" ref="R17:R19" si="19">SUM(E17-SUM(O17:Q17))</f>
        <v>0</v>
      </c>
      <c r="S17" s="79"/>
      <c r="T17" s="79"/>
      <c r="V17" s="30">
        <f t="shared" ref="V17:AA19" si="20">SUM(H17:K17)</f>
        <v>0</v>
      </c>
      <c r="W17" s="30">
        <f t="shared" si="20"/>
        <v>0</v>
      </c>
      <c r="X17" s="30">
        <f t="shared" si="20"/>
        <v>0</v>
      </c>
      <c r="Y17" s="30">
        <f t="shared" si="20"/>
        <v>0</v>
      </c>
      <c r="Z17" s="30">
        <f t="shared" si="20"/>
        <v>0</v>
      </c>
      <c r="AA17" s="30">
        <f t="shared" si="20"/>
        <v>0</v>
      </c>
      <c r="AB17" s="30">
        <f t="shared" ref="AB17:AB19" si="21">SUM(M17:P17)</f>
        <v>0</v>
      </c>
      <c r="AC17" s="30">
        <f t="shared" ref="AC17:AC19" si="22">SUM(N17:Q17)</f>
        <v>0</v>
      </c>
      <c r="AD17" s="30">
        <f t="shared" ref="AD17:AD19" si="23">SUM(O17:R17)</f>
        <v>0</v>
      </c>
      <c r="AE17" s="30">
        <f t="shared" ref="AE17:AE19" si="24">SUM(P17:S17)</f>
        <v>0</v>
      </c>
      <c r="AF17" s="30">
        <f t="shared" ref="AF17:AF19" si="25">SUM(Q17:T17)</f>
        <v>0</v>
      </c>
      <c r="AG17" s="11"/>
      <c r="AH17" s="70" t="e">
        <f t="shared" si="5"/>
        <v>#DIV/0!</v>
      </c>
    </row>
    <row r="18" spans="2:34" ht="12.75" customHeight="1">
      <c r="B18" s="9" t="s">
        <v>146</v>
      </c>
      <c r="C18" s="79"/>
      <c r="D18" s="79"/>
      <c r="E18" s="79"/>
      <c r="F18" s="30"/>
      <c r="G18" s="79"/>
      <c r="H18" s="79"/>
      <c r="I18" s="79"/>
      <c r="J18" s="30">
        <f t="shared" si="17"/>
        <v>0</v>
      </c>
      <c r="K18" s="86"/>
      <c r="L18" s="86"/>
      <c r="M18" s="86"/>
      <c r="N18" s="30">
        <f t="shared" si="18"/>
        <v>0</v>
      </c>
      <c r="O18" s="79"/>
      <c r="P18" s="79"/>
      <c r="Q18" s="79"/>
      <c r="R18" s="30">
        <f t="shared" si="19"/>
        <v>0</v>
      </c>
      <c r="S18" s="79"/>
      <c r="T18" s="79"/>
      <c r="V18" s="30">
        <f t="shared" si="20"/>
        <v>0</v>
      </c>
      <c r="W18" s="30">
        <f t="shared" si="20"/>
        <v>0</v>
      </c>
      <c r="X18" s="30">
        <f t="shared" si="20"/>
        <v>0</v>
      </c>
      <c r="Y18" s="30">
        <f t="shared" si="20"/>
        <v>0</v>
      </c>
      <c r="Z18" s="30">
        <f t="shared" si="20"/>
        <v>0</v>
      </c>
      <c r="AA18" s="30">
        <f t="shared" si="20"/>
        <v>0</v>
      </c>
      <c r="AB18" s="30">
        <f t="shared" si="21"/>
        <v>0</v>
      </c>
      <c r="AC18" s="30">
        <f t="shared" si="22"/>
        <v>0</v>
      </c>
      <c r="AD18" s="30">
        <f t="shared" si="23"/>
        <v>0</v>
      </c>
      <c r="AE18" s="30">
        <f t="shared" si="24"/>
        <v>0</v>
      </c>
      <c r="AF18" s="30">
        <f t="shared" si="25"/>
        <v>0</v>
      </c>
      <c r="AG18" s="11"/>
      <c r="AH18" s="70" t="e">
        <f t="shared" si="5"/>
        <v>#DIV/0!</v>
      </c>
    </row>
    <row r="19" spans="2:34" ht="12.75" customHeight="1">
      <c r="B19" s="9" t="s">
        <v>177</v>
      </c>
      <c r="C19" s="79"/>
      <c r="D19" s="79"/>
      <c r="E19" s="79"/>
      <c r="F19" s="30"/>
      <c r="G19" s="79"/>
      <c r="H19" s="79"/>
      <c r="I19" s="79"/>
      <c r="J19" s="30">
        <f t="shared" si="17"/>
        <v>0</v>
      </c>
      <c r="K19" s="86"/>
      <c r="L19" s="79"/>
      <c r="M19" s="79"/>
      <c r="N19" s="30">
        <f t="shared" si="18"/>
        <v>0</v>
      </c>
      <c r="O19" s="79"/>
      <c r="P19" s="79"/>
      <c r="Q19" s="79"/>
      <c r="R19" s="30">
        <f t="shared" si="19"/>
        <v>0</v>
      </c>
      <c r="S19" s="79"/>
      <c r="T19" s="79"/>
      <c r="V19" s="30">
        <f t="shared" si="20"/>
        <v>0</v>
      </c>
      <c r="W19" s="30">
        <f t="shared" si="20"/>
        <v>0</v>
      </c>
      <c r="X19" s="30">
        <f t="shared" si="20"/>
        <v>0</v>
      </c>
      <c r="Y19" s="30">
        <f t="shared" si="20"/>
        <v>0</v>
      </c>
      <c r="Z19" s="30">
        <f t="shared" si="20"/>
        <v>0</v>
      </c>
      <c r="AA19" s="30">
        <f t="shared" si="20"/>
        <v>0</v>
      </c>
      <c r="AB19" s="30">
        <f t="shared" si="21"/>
        <v>0</v>
      </c>
      <c r="AC19" s="30">
        <f t="shared" si="22"/>
        <v>0</v>
      </c>
      <c r="AD19" s="30">
        <f t="shared" si="23"/>
        <v>0</v>
      </c>
      <c r="AE19" s="30">
        <f t="shared" si="24"/>
        <v>0</v>
      </c>
      <c r="AF19" s="30">
        <f t="shared" si="25"/>
        <v>0</v>
      </c>
      <c r="AG19" s="11"/>
      <c r="AH19" s="70" t="e">
        <f t="shared" si="5"/>
        <v>#DIV/0!</v>
      </c>
    </row>
    <row r="20" spans="2:34" ht="12.75" customHeight="1">
      <c r="B20" s="23" t="s">
        <v>105</v>
      </c>
      <c r="C20" s="24">
        <f>+SUM(C14+SUM(C17:C19))</f>
        <v>0</v>
      </c>
      <c r="D20" s="24">
        <f>+SUM(D14+SUM(D17:D19))</f>
        <v>0</v>
      </c>
      <c r="E20" s="24">
        <f>+SUM(E14+SUM(E17:E19))</f>
        <v>0</v>
      </c>
      <c r="F20" s="30"/>
      <c r="G20" s="24">
        <f t="shared" ref="G20:T20" si="26">+SUM(G14+SUM(G17:G19))</f>
        <v>0</v>
      </c>
      <c r="H20" s="24">
        <f t="shared" si="26"/>
        <v>0</v>
      </c>
      <c r="I20" s="24">
        <f t="shared" si="26"/>
        <v>0</v>
      </c>
      <c r="J20" s="24">
        <f t="shared" si="26"/>
        <v>0</v>
      </c>
      <c r="K20" s="24">
        <f t="shared" si="26"/>
        <v>0</v>
      </c>
      <c r="L20" s="24">
        <f t="shared" si="26"/>
        <v>0</v>
      </c>
      <c r="M20" s="24">
        <f t="shared" si="26"/>
        <v>0</v>
      </c>
      <c r="N20" s="24">
        <f t="shared" si="26"/>
        <v>0</v>
      </c>
      <c r="O20" s="24">
        <f t="shared" si="26"/>
        <v>0</v>
      </c>
      <c r="P20" s="24">
        <f t="shared" si="26"/>
        <v>0</v>
      </c>
      <c r="Q20" s="24">
        <f t="shared" si="26"/>
        <v>0</v>
      </c>
      <c r="R20" s="24">
        <f t="shared" si="26"/>
        <v>0</v>
      </c>
      <c r="S20" s="24">
        <f t="shared" si="26"/>
        <v>0</v>
      </c>
      <c r="T20" s="24">
        <f t="shared" si="26"/>
        <v>0</v>
      </c>
      <c r="V20" s="24">
        <f t="shared" ref="V20:AF20" si="27">+SUM(V14+SUM(V17:V19))</f>
        <v>0</v>
      </c>
      <c r="W20" s="24">
        <f t="shared" si="27"/>
        <v>0</v>
      </c>
      <c r="X20" s="24">
        <f t="shared" si="27"/>
        <v>0</v>
      </c>
      <c r="Y20" s="24">
        <f t="shared" si="27"/>
        <v>0</v>
      </c>
      <c r="Z20" s="24">
        <f t="shared" si="27"/>
        <v>0</v>
      </c>
      <c r="AA20" s="24">
        <f t="shared" si="27"/>
        <v>0</v>
      </c>
      <c r="AB20" s="24">
        <f t="shared" si="27"/>
        <v>0</v>
      </c>
      <c r="AC20" s="24">
        <f t="shared" si="27"/>
        <v>0</v>
      </c>
      <c r="AD20" s="24">
        <f t="shared" si="27"/>
        <v>0</v>
      </c>
      <c r="AE20" s="24">
        <f t="shared" si="27"/>
        <v>0</v>
      </c>
      <c r="AF20" s="24">
        <f t="shared" si="27"/>
        <v>0</v>
      </c>
      <c r="AG20" s="11"/>
      <c r="AH20" s="71" t="e">
        <f t="shared" si="5"/>
        <v>#DIV/0!</v>
      </c>
    </row>
    <row r="21" spans="2:34" ht="12.75" customHeight="1">
      <c r="B21" s="14" t="s">
        <v>41</v>
      </c>
      <c r="C21" s="15" t="e">
        <f>C20/C11</f>
        <v>#DIV/0!</v>
      </c>
      <c r="D21" s="15" t="e">
        <f>D20/D11</f>
        <v>#DIV/0!</v>
      </c>
      <c r="E21" s="15" t="e">
        <f>E20/E11</f>
        <v>#DIV/0!</v>
      </c>
      <c r="F21" s="30"/>
      <c r="G21" s="15" t="e">
        <f t="shared" ref="G21:T21" si="28">G20/G11</f>
        <v>#DIV/0!</v>
      </c>
      <c r="H21" s="15" t="e">
        <f t="shared" si="28"/>
        <v>#DIV/0!</v>
      </c>
      <c r="I21" s="15" t="e">
        <f t="shared" si="28"/>
        <v>#DIV/0!</v>
      </c>
      <c r="J21" s="15" t="e">
        <f t="shared" si="28"/>
        <v>#DIV/0!</v>
      </c>
      <c r="K21" s="15" t="e">
        <f t="shared" si="28"/>
        <v>#DIV/0!</v>
      </c>
      <c r="L21" s="15" t="e">
        <f t="shared" si="28"/>
        <v>#DIV/0!</v>
      </c>
      <c r="M21" s="15" t="e">
        <f t="shared" si="28"/>
        <v>#DIV/0!</v>
      </c>
      <c r="N21" s="15" t="e">
        <f t="shared" si="28"/>
        <v>#DIV/0!</v>
      </c>
      <c r="O21" s="15" t="e">
        <f t="shared" si="28"/>
        <v>#DIV/0!</v>
      </c>
      <c r="P21" s="15" t="e">
        <f t="shared" si="28"/>
        <v>#DIV/0!</v>
      </c>
      <c r="Q21" s="15" t="e">
        <f t="shared" si="28"/>
        <v>#DIV/0!</v>
      </c>
      <c r="R21" s="15" t="e">
        <f t="shared" si="28"/>
        <v>#DIV/0!</v>
      </c>
      <c r="S21" s="15" t="e">
        <f t="shared" si="28"/>
        <v>#DIV/0!</v>
      </c>
      <c r="T21" s="15" t="e">
        <f t="shared" si="28"/>
        <v>#DIV/0!</v>
      </c>
      <c r="V21" s="15" t="e">
        <f t="shared" ref="V21:AF21" si="29">V20/V11</f>
        <v>#DIV/0!</v>
      </c>
      <c r="W21" s="15" t="e">
        <f t="shared" si="29"/>
        <v>#DIV/0!</v>
      </c>
      <c r="X21" s="15" t="e">
        <f t="shared" si="29"/>
        <v>#DIV/0!</v>
      </c>
      <c r="Y21" s="15" t="e">
        <f t="shared" si="29"/>
        <v>#DIV/0!</v>
      </c>
      <c r="Z21" s="15" t="e">
        <f t="shared" si="29"/>
        <v>#DIV/0!</v>
      </c>
      <c r="AA21" s="15" t="e">
        <f t="shared" si="29"/>
        <v>#DIV/0!</v>
      </c>
      <c r="AB21" s="15" t="e">
        <f t="shared" si="29"/>
        <v>#DIV/0!</v>
      </c>
      <c r="AC21" s="15" t="e">
        <f t="shared" si="29"/>
        <v>#DIV/0!</v>
      </c>
      <c r="AD21" s="15" t="e">
        <f t="shared" si="29"/>
        <v>#DIV/0!</v>
      </c>
      <c r="AE21" s="15" t="e">
        <f t="shared" si="29"/>
        <v>#DIV/0!</v>
      </c>
      <c r="AF21" s="15" t="e">
        <f t="shared" si="29"/>
        <v>#DIV/0!</v>
      </c>
      <c r="AG21" s="11"/>
      <c r="AH21" s="72" t="e">
        <f>SUM(AF21-AB21)*1000</f>
        <v>#DIV/0!</v>
      </c>
    </row>
    <row r="22" spans="2:34" ht="5.0999999999999996" customHeight="1">
      <c r="B22" s="14"/>
      <c r="C22" s="15"/>
      <c r="D22" s="15"/>
      <c r="E22" s="15"/>
      <c r="F22" s="30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1"/>
      <c r="AH22" s="70"/>
    </row>
    <row r="23" spans="2:34" ht="12.75" customHeight="1">
      <c r="B23" s="9" t="s">
        <v>93</v>
      </c>
      <c r="C23" s="79"/>
      <c r="D23" s="79"/>
      <c r="E23" s="79"/>
      <c r="F23" s="30"/>
      <c r="G23" s="79"/>
      <c r="H23" s="79"/>
      <c r="I23" s="79"/>
      <c r="J23" s="30">
        <f t="shared" ref="J23:J28" si="30">SUM(C23-SUM(G23:I23))</f>
        <v>0</v>
      </c>
      <c r="K23" s="79"/>
      <c r="L23" s="79"/>
      <c r="M23" s="79"/>
      <c r="N23" s="30">
        <f t="shared" ref="N23:N28" si="31">SUM(D23-SUM(K23:M23))</f>
        <v>0</v>
      </c>
      <c r="O23" s="79"/>
      <c r="P23" s="79"/>
      <c r="Q23" s="79"/>
      <c r="R23" s="30">
        <f t="shared" ref="R23:R28" si="32">SUM(E23-SUM(O23:Q23))</f>
        <v>0</v>
      </c>
      <c r="S23" s="79"/>
      <c r="T23" s="79"/>
      <c r="V23" s="30">
        <f t="shared" ref="V23:AA23" si="33">SUM(H23:K23)</f>
        <v>0</v>
      </c>
      <c r="W23" s="30">
        <f t="shared" si="33"/>
        <v>0</v>
      </c>
      <c r="X23" s="30">
        <f t="shared" si="33"/>
        <v>0</v>
      </c>
      <c r="Y23" s="30">
        <f t="shared" si="33"/>
        <v>0</v>
      </c>
      <c r="Z23" s="30">
        <f t="shared" si="33"/>
        <v>0</v>
      </c>
      <c r="AA23" s="30">
        <f t="shared" si="33"/>
        <v>0</v>
      </c>
      <c r="AB23" s="30">
        <f t="shared" ref="AB23:AB28" si="34">SUM(M23:P23)</f>
        <v>0</v>
      </c>
      <c r="AC23" s="30">
        <f t="shared" ref="AC23:AC28" si="35">SUM(N23:Q23)</f>
        <v>0</v>
      </c>
      <c r="AD23" s="30">
        <f t="shared" ref="AD23:AD28" si="36">SUM(O23:R23)</f>
        <v>0</v>
      </c>
      <c r="AE23" s="30">
        <f t="shared" ref="AE23:AE28" si="37">SUM(P23:S23)</f>
        <v>0</v>
      </c>
      <c r="AF23" s="30">
        <f t="shared" ref="AF23:AF28" si="38">SUM(Q23:T23)</f>
        <v>0</v>
      </c>
      <c r="AG23" s="11"/>
      <c r="AH23" s="70" t="e">
        <f t="shared" si="5"/>
        <v>#DIV/0!</v>
      </c>
    </row>
    <row r="24" spans="2:34" ht="12.75" customHeight="1">
      <c r="B24" s="9" t="s">
        <v>92</v>
      </c>
      <c r="C24" s="79"/>
      <c r="D24" s="79"/>
      <c r="E24" s="79"/>
      <c r="F24" s="30"/>
      <c r="G24" s="79"/>
      <c r="H24" s="79"/>
      <c r="I24" s="79"/>
      <c r="J24" s="30">
        <f t="shared" si="30"/>
        <v>0</v>
      </c>
      <c r="K24" s="79"/>
      <c r="L24" s="79"/>
      <c r="M24" s="79"/>
      <c r="N24" s="30">
        <f t="shared" si="31"/>
        <v>0</v>
      </c>
      <c r="O24" s="79"/>
      <c r="P24" s="79"/>
      <c r="Q24" s="79"/>
      <c r="R24" s="30">
        <f t="shared" si="32"/>
        <v>0</v>
      </c>
      <c r="S24" s="79"/>
      <c r="T24" s="79"/>
      <c r="V24" s="30"/>
      <c r="W24" s="30"/>
      <c r="X24" s="30"/>
      <c r="Y24" s="30"/>
      <c r="Z24" s="30"/>
      <c r="AA24" s="30"/>
      <c r="AB24" s="30">
        <f t="shared" si="34"/>
        <v>0</v>
      </c>
      <c r="AC24" s="30">
        <f t="shared" si="35"/>
        <v>0</v>
      </c>
      <c r="AD24" s="30">
        <f t="shared" si="36"/>
        <v>0</v>
      </c>
      <c r="AE24" s="30">
        <f t="shared" si="37"/>
        <v>0</v>
      </c>
      <c r="AF24" s="30">
        <f t="shared" si="38"/>
        <v>0</v>
      </c>
      <c r="AG24" s="11"/>
      <c r="AH24" s="70" t="e">
        <f t="shared" si="5"/>
        <v>#DIV/0!</v>
      </c>
    </row>
    <row r="25" spans="2:34" ht="12.75" customHeight="1">
      <c r="B25" s="9" t="s">
        <v>148</v>
      </c>
      <c r="C25" s="79"/>
      <c r="D25" s="79"/>
      <c r="E25" s="79"/>
      <c r="F25" s="30"/>
      <c r="G25" s="79"/>
      <c r="H25" s="79"/>
      <c r="I25" s="79"/>
      <c r="J25" s="30">
        <f t="shared" si="30"/>
        <v>0</v>
      </c>
      <c r="K25" s="79"/>
      <c r="L25" s="79"/>
      <c r="M25" s="79"/>
      <c r="N25" s="30">
        <f t="shared" si="31"/>
        <v>0</v>
      </c>
      <c r="O25" s="79"/>
      <c r="P25" s="79"/>
      <c r="Q25" s="79"/>
      <c r="R25" s="30">
        <f t="shared" si="32"/>
        <v>0</v>
      </c>
      <c r="S25" s="79"/>
      <c r="T25" s="79"/>
      <c r="V25" s="30"/>
      <c r="W25" s="30"/>
      <c r="X25" s="30"/>
      <c r="Y25" s="30"/>
      <c r="Z25" s="30"/>
      <c r="AA25" s="30"/>
      <c r="AB25" s="30">
        <f t="shared" si="34"/>
        <v>0</v>
      </c>
      <c r="AC25" s="30">
        <f t="shared" si="35"/>
        <v>0</v>
      </c>
      <c r="AD25" s="30">
        <f t="shared" si="36"/>
        <v>0</v>
      </c>
      <c r="AE25" s="30">
        <f t="shared" si="37"/>
        <v>0</v>
      </c>
      <c r="AF25" s="30">
        <f t="shared" si="38"/>
        <v>0</v>
      </c>
      <c r="AG25" s="11"/>
      <c r="AH25" s="70" t="e">
        <f t="shared" si="5"/>
        <v>#DIV/0!</v>
      </c>
    </row>
    <row r="26" spans="2:34" ht="12.75" customHeight="1">
      <c r="B26" s="9" t="s">
        <v>149</v>
      </c>
      <c r="C26" s="79"/>
      <c r="D26" s="79"/>
      <c r="E26" s="79"/>
      <c r="F26" s="30"/>
      <c r="G26" s="79"/>
      <c r="H26" s="79"/>
      <c r="I26" s="79"/>
      <c r="J26" s="30">
        <f t="shared" si="30"/>
        <v>0</v>
      </c>
      <c r="K26" s="79"/>
      <c r="L26" s="79"/>
      <c r="M26" s="79"/>
      <c r="N26" s="30">
        <f t="shared" si="31"/>
        <v>0</v>
      </c>
      <c r="O26" s="79"/>
      <c r="P26" s="79"/>
      <c r="Q26" s="79"/>
      <c r="R26" s="30">
        <f t="shared" si="32"/>
        <v>0</v>
      </c>
      <c r="S26" s="79"/>
      <c r="T26" s="79"/>
      <c r="V26" s="30"/>
      <c r="W26" s="30"/>
      <c r="X26" s="30"/>
      <c r="Y26" s="30"/>
      <c r="Z26" s="30"/>
      <c r="AA26" s="30"/>
      <c r="AB26" s="30">
        <f t="shared" si="34"/>
        <v>0</v>
      </c>
      <c r="AC26" s="30">
        <f t="shared" si="35"/>
        <v>0</v>
      </c>
      <c r="AD26" s="30">
        <f t="shared" si="36"/>
        <v>0</v>
      </c>
      <c r="AE26" s="30">
        <f t="shared" si="37"/>
        <v>0</v>
      </c>
      <c r="AF26" s="30">
        <f t="shared" si="38"/>
        <v>0</v>
      </c>
      <c r="AG26" s="11"/>
      <c r="AH26" s="70" t="e">
        <f t="shared" si="5"/>
        <v>#DIV/0!</v>
      </c>
    </row>
    <row r="27" spans="2:34" ht="12.75" customHeight="1">
      <c r="B27" s="9" t="s">
        <v>150</v>
      </c>
      <c r="C27" s="79"/>
      <c r="D27" s="79"/>
      <c r="E27" s="79"/>
      <c r="F27" s="30"/>
      <c r="G27" s="79"/>
      <c r="H27" s="79"/>
      <c r="I27" s="79"/>
      <c r="J27" s="30">
        <f t="shared" si="30"/>
        <v>0</v>
      </c>
      <c r="K27" s="79"/>
      <c r="L27" s="79"/>
      <c r="M27" s="79"/>
      <c r="N27" s="30">
        <f t="shared" si="31"/>
        <v>0</v>
      </c>
      <c r="O27" s="79"/>
      <c r="P27" s="79"/>
      <c r="Q27" s="79"/>
      <c r="R27" s="30">
        <f t="shared" si="32"/>
        <v>0</v>
      </c>
      <c r="S27" s="79"/>
      <c r="T27" s="79"/>
      <c r="V27" s="30">
        <f t="shared" ref="V27:AA28" si="39">SUM(H27:K27)</f>
        <v>0</v>
      </c>
      <c r="W27" s="30">
        <f t="shared" si="39"/>
        <v>0</v>
      </c>
      <c r="X27" s="30">
        <f t="shared" si="39"/>
        <v>0</v>
      </c>
      <c r="Y27" s="30">
        <f t="shared" si="39"/>
        <v>0</v>
      </c>
      <c r="Z27" s="30">
        <f t="shared" si="39"/>
        <v>0</v>
      </c>
      <c r="AA27" s="30">
        <f t="shared" si="39"/>
        <v>0</v>
      </c>
      <c r="AB27" s="30">
        <f t="shared" si="34"/>
        <v>0</v>
      </c>
      <c r="AC27" s="30">
        <f t="shared" si="35"/>
        <v>0</v>
      </c>
      <c r="AD27" s="30">
        <f t="shared" si="36"/>
        <v>0</v>
      </c>
      <c r="AE27" s="30">
        <f t="shared" si="37"/>
        <v>0</v>
      </c>
      <c r="AF27" s="30">
        <f t="shared" si="38"/>
        <v>0</v>
      </c>
      <c r="AG27" s="11"/>
      <c r="AH27" s="70" t="e">
        <f t="shared" si="5"/>
        <v>#DIV/0!</v>
      </c>
    </row>
    <row r="28" spans="2:34" ht="12.75" customHeight="1">
      <c r="B28" s="9" t="s">
        <v>178</v>
      </c>
      <c r="C28" s="79"/>
      <c r="D28" s="79"/>
      <c r="E28" s="79"/>
      <c r="F28" s="30"/>
      <c r="G28" s="79"/>
      <c r="H28" s="79"/>
      <c r="I28" s="79"/>
      <c r="J28" s="30">
        <f t="shared" si="30"/>
        <v>0</v>
      </c>
      <c r="K28" s="79"/>
      <c r="L28" s="79"/>
      <c r="M28" s="79"/>
      <c r="N28" s="30">
        <f t="shared" si="31"/>
        <v>0</v>
      </c>
      <c r="O28" s="79"/>
      <c r="P28" s="79"/>
      <c r="Q28" s="79"/>
      <c r="R28" s="30">
        <f t="shared" si="32"/>
        <v>0</v>
      </c>
      <c r="S28" s="79"/>
      <c r="T28" s="79"/>
      <c r="V28" s="30">
        <f t="shared" si="39"/>
        <v>0</v>
      </c>
      <c r="W28" s="30">
        <f t="shared" si="39"/>
        <v>0</v>
      </c>
      <c r="X28" s="30">
        <f t="shared" si="39"/>
        <v>0</v>
      </c>
      <c r="Y28" s="30">
        <f t="shared" si="39"/>
        <v>0</v>
      </c>
      <c r="Z28" s="30">
        <f t="shared" si="39"/>
        <v>0</v>
      </c>
      <c r="AA28" s="30">
        <f t="shared" si="39"/>
        <v>0</v>
      </c>
      <c r="AB28" s="30">
        <f t="shared" si="34"/>
        <v>0</v>
      </c>
      <c r="AC28" s="30">
        <f t="shared" si="35"/>
        <v>0</v>
      </c>
      <c r="AD28" s="30">
        <f t="shared" si="36"/>
        <v>0</v>
      </c>
      <c r="AE28" s="30">
        <f t="shared" si="37"/>
        <v>0</v>
      </c>
      <c r="AF28" s="30">
        <f t="shared" si="38"/>
        <v>0</v>
      </c>
      <c r="AG28" s="11"/>
      <c r="AH28" s="70" t="e">
        <f t="shared" si="5"/>
        <v>#DIV/0!</v>
      </c>
    </row>
    <row r="29" spans="2:34" ht="12.75" customHeight="1">
      <c r="B29" s="23" t="s">
        <v>106</v>
      </c>
      <c r="C29" s="24">
        <f>SUM(C20+SUM(C23:C28))</f>
        <v>0</v>
      </c>
      <c r="D29" s="24">
        <f>SUM(D20+SUM(D23:D28))</f>
        <v>0</v>
      </c>
      <c r="E29" s="24">
        <f>SUM(E20+SUM(E23:E28))</f>
        <v>0</v>
      </c>
      <c r="G29" s="24">
        <f t="shared" ref="G29:T29" si="40">SUM(G20+SUM(G23:G28))</f>
        <v>0</v>
      </c>
      <c r="H29" s="24">
        <f t="shared" si="40"/>
        <v>0</v>
      </c>
      <c r="I29" s="24">
        <f t="shared" si="40"/>
        <v>0</v>
      </c>
      <c r="J29" s="24">
        <f t="shared" si="40"/>
        <v>0</v>
      </c>
      <c r="K29" s="24">
        <f t="shared" si="40"/>
        <v>0</v>
      </c>
      <c r="L29" s="24">
        <f t="shared" si="40"/>
        <v>0</v>
      </c>
      <c r="M29" s="24">
        <f t="shared" si="40"/>
        <v>0</v>
      </c>
      <c r="N29" s="24">
        <f t="shared" si="40"/>
        <v>0</v>
      </c>
      <c r="O29" s="24">
        <f t="shared" si="40"/>
        <v>0</v>
      </c>
      <c r="P29" s="24">
        <f t="shared" si="40"/>
        <v>0</v>
      </c>
      <c r="Q29" s="24">
        <f t="shared" si="40"/>
        <v>0</v>
      </c>
      <c r="R29" s="24">
        <f t="shared" si="40"/>
        <v>0</v>
      </c>
      <c r="S29" s="24">
        <f t="shared" si="40"/>
        <v>0</v>
      </c>
      <c r="T29" s="24">
        <f t="shared" si="40"/>
        <v>0</v>
      </c>
      <c r="V29" s="24">
        <f t="shared" ref="V29:AF29" si="41">SUM(V20+SUM(V23:V28))</f>
        <v>0</v>
      </c>
      <c r="W29" s="24">
        <f t="shared" si="41"/>
        <v>0</v>
      </c>
      <c r="X29" s="24">
        <f t="shared" si="41"/>
        <v>0</v>
      </c>
      <c r="Y29" s="24">
        <f t="shared" si="41"/>
        <v>0</v>
      </c>
      <c r="Z29" s="24">
        <f t="shared" si="41"/>
        <v>0</v>
      </c>
      <c r="AA29" s="24">
        <f t="shared" si="41"/>
        <v>0</v>
      </c>
      <c r="AB29" s="24">
        <f t="shared" si="41"/>
        <v>0</v>
      </c>
      <c r="AC29" s="24">
        <f t="shared" si="41"/>
        <v>0</v>
      </c>
      <c r="AD29" s="24">
        <f t="shared" si="41"/>
        <v>0</v>
      </c>
      <c r="AE29" s="24">
        <f t="shared" si="41"/>
        <v>0</v>
      </c>
      <c r="AF29" s="24">
        <f t="shared" si="41"/>
        <v>0</v>
      </c>
      <c r="AG29" s="40"/>
      <c r="AH29" s="71" t="e">
        <f t="shared" si="5"/>
        <v>#DIV/0!</v>
      </c>
    </row>
    <row r="30" spans="2:34" ht="12.75" customHeight="1">
      <c r="B30" s="14" t="s">
        <v>107</v>
      </c>
      <c r="C30" s="15" t="e">
        <f>C29/C11</f>
        <v>#DIV/0!</v>
      </c>
      <c r="D30" s="15" t="e">
        <f>D29/D11</f>
        <v>#DIV/0!</v>
      </c>
      <c r="E30" s="15" t="e">
        <f>E29/E11</f>
        <v>#DIV/0!</v>
      </c>
      <c r="F30" s="25"/>
      <c r="G30" s="15" t="e">
        <f t="shared" ref="G30:T30" si="42">G29/G11</f>
        <v>#DIV/0!</v>
      </c>
      <c r="H30" s="15" t="e">
        <f t="shared" si="42"/>
        <v>#DIV/0!</v>
      </c>
      <c r="I30" s="15" t="e">
        <f t="shared" si="42"/>
        <v>#DIV/0!</v>
      </c>
      <c r="J30" s="15" t="e">
        <f t="shared" si="42"/>
        <v>#DIV/0!</v>
      </c>
      <c r="K30" s="15" t="e">
        <f t="shared" si="42"/>
        <v>#DIV/0!</v>
      </c>
      <c r="L30" s="15" t="e">
        <f t="shared" si="42"/>
        <v>#DIV/0!</v>
      </c>
      <c r="M30" s="15" t="e">
        <f t="shared" si="42"/>
        <v>#DIV/0!</v>
      </c>
      <c r="N30" s="15" t="e">
        <f t="shared" si="42"/>
        <v>#DIV/0!</v>
      </c>
      <c r="O30" s="15" t="e">
        <f t="shared" si="42"/>
        <v>#DIV/0!</v>
      </c>
      <c r="P30" s="15" t="e">
        <f t="shared" si="42"/>
        <v>#DIV/0!</v>
      </c>
      <c r="Q30" s="15" t="e">
        <f t="shared" si="42"/>
        <v>#DIV/0!</v>
      </c>
      <c r="R30" s="15" t="e">
        <f t="shared" si="42"/>
        <v>#DIV/0!</v>
      </c>
      <c r="S30" s="15" t="e">
        <f t="shared" si="42"/>
        <v>#DIV/0!</v>
      </c>
      <c r="T30" s="15" t="e">
        <f t="shared" si="42"/>
        <v>#DIV/0!</v>
      </c>
      <c r="U30" s="26"/>
      <c r="V30" s="15" t="e">
        <f t="shared" ref="V30:AF30" si="43">V29/V11</f>
        <v>#DIV/0!</v>
      </c>
      <c r="W30" s="15" t="e">
        <f t="shared" si="43"/>
        <v>#DIV/0!</v>
      </c>
      <c r="X30" s="15" t="e">
        <f t="shared" si="43"/>
        <v>#DIV/0!</v>
      </c>
      <c r="Y30" s="15" t="e">
        <f t="shared" si="43"/>
        <v>#DIV/0!</v>
      </c>
      <c r="Z30" s="15" t="e">
        <f t="shared" si="43"/>
        <v>#DIV/0!</v>
      </c>
      <c r="AA30" s="15" t="e">
        <f t="shared" si="43"/>
        <v>#DIV/0!</v>
      </c>
      <c r="AB30" s="15" t="e">
        <f t="shared" si="43"/>
        <v>#DIV/0!</v>
      </c>
      <c r="AC30" s="15" t="e">
        <f t="shared" si="43"/>
        <v>#DIV/0!</v>
      </c>
      <c r="AD30" s="15" t="e">
        <f t="shared" si="43"/>
        <v>#DIV/0!</v>
      </c>
      <c r="AE30" s="15" t="e">
        <f t="shared" si="43"/>
        <v>#DIV/0!</v>
      </c>
      <c r="AF30" s="15" t="e">
        <f t="shared" si="43"/>
        <v>#DIV/0!</v>
      </c>
      <c r="AG30" s="41"/>
      <c r="AH30" s="72" t="e">
        <f>SUM(AF30-AB30)*1000</f>
        <v>#DIV/0!</v>
      </c>
    </row>
    <row r="31" spans="2:34" ht="5.0999999999999996" customHeight="1">
      <c r="B31" s="27"/>
      <c r="C31" s="42"/>
      <c r="D31" s="42"/>
      <c r="E31" s="42"/>
      <c r="F31" s="28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1"/>
      <c r="AH31" s="70"/>
    </row>
    <row r="32" spans="2:34" ht="12.75" customHeight="1">
      <c r="B32" s="43" t="s">
        <v>129</v>
      </c>
      <c r="C32" s="79">
        <v>0</v>
      </c>
      <c r="D32" s="79">
        <v>0</v>
      </c>
      <c r="E32" s="79">
        <v>0</v>
      </c>
      <c r="F32" s="30"/>
      <c r="G32" s="79">
        <v>0</v>
      </c>
      <c r="H32" s="79">
        <v>0</v>
      </c>
      <c r="I32" s="79">
        <v>0</v>
      </c>
      <c r="J32" s="30">
        <f t="shared" ref="J32" si="44">SUM(C32-SUM(G32:I32))</f>
        <v>0</v>
      </c>
      <c r="K32" s="79">
        <v>0</v>
      </c>
      <c r="L32" s="79">
        <v>0</v>
      </c>
      <c r="M32" s="79">
        <v>0</v>
      </c>
      <c r="N32" s="30">
        <f t="shared" ref="N32" si="45">SUM(D32-SUM(K32:M32))</f>
        <v>0</v>
      </c>
      <c r="O32" s="79">
        <v>0</v>
      </c>
      <c r="P32" s="79">
        <v>0</v>
      </c>
      <c r="Q32" s="79">
        <v>0</v>
      </c>
      <c r="R32" s="30">
        <f t="shared" ref="R32" si="46">SUM(E32-SUM(O32:Q32))</f>
        <v>0</v>
      </c>
      <c r="S32" s="79">
        <v>0</v>
      </c>
      <c r="T32" s="79"/>
      <c r="U32" s="30"/>
      <c r="V32" s="30">
        <f t="shared" ref="V32:AA32" si="47">SUM(H32:K32)</f>
        <v>0</v>
      </c>
      <c r="W32" s="30">
        <f t="shared" si="47"/>
        <v>0</v>
      </c>
      <c r="X32" s="30">
        <f t="shared" si="47"/>
        <v>0</v>
      </c>
      <c r="Y32" s="30">
        <f t="shared" si="47"/>
        <v>0</v>
      </c>
      <c r="Z32" s="30">
        <f t="shared" si="47"/>
        <v>0</v>
      </c>
      <c r="AA32" s="30">
        <f t="shared" si="47"/>
        <v>0</v>
      </c>
      <c r="AB32" s="30">
        <f t="shared" ref="AB32" si="48">SUM(M32:P32)</f>
        <v>0</v>
      </c>
      <c r="AC32" s="30">
        <f t="shared" ref="AC32" si="49">SUM(N32:Q32)</f>
        <v>0</v>
      </c>
      <c r="AD32" s="30">
        <f t="shared" ref="AD32" si="50">SUM(O32:R32)</f>
        <v>0</v>
      </c>
      <c r="AE32" s="30">
        <f t="shared" ref="AE32" si="51">SUM(P32:S32)</f>
        <v>0</v>
      </c>
      <c r="AF32" s="30">
        <f>SUM(Q32:T32)</f>
        <v>0</v>
      </c>
      <c r="AG32" s="41"/>
      <c r="AH32" s="70" t="e">
        <f t="shared" si="5"/>
        <v>#DIV/0!</v>
      </c>
    </row>
    <row r="33" spans="1:34" ht="12.75" customHeight="1">
      <c r="B33" s="12" t="s">
        <v>68</v>
      </c>
      <c r="C33" s="13">
        <f t="shared" ref="C33:E33" si="52">SUM(C29+C32)</f>
        <v>0</v>
      </c>
      <c r="D33" s="13">
        <f t="shared" si="52"/>
        <v>0</v>
      </c>
      <c r="E33" s="13">
        <f t="shared" si="52"/>
        <v>0</v>
      </c>
      <c r="F33" s="11"/>
      <c r="G33" s="13">
        <f t="shared" ref="G33:T33" si="53">SUM(G29+G32)</f>
        <v>0</v>
      </c>
      <c r="H33" s="13">
        <f t="shared" si="53"/>
        <v>0</v>
      </c>
      <c r="I33" s="13">
        <f t="shared" si="53"/>
        <v>0</v>
      </c>
      <c r="J33" s="13">
        <f t="shared" si="53"/>
        <v>0</v>
      </c>
      <c r="K33" s="13">
        <f t="shared" si="53"/>
        <v>0</v>
      </c>
      <c r="L33" s="13">
        <f t="shared" si="53"/>
        <v>0</v>
      </c>
      <c r="M33" s="13">
        <f t="shared" si="53"/>
        <v>0</v>
      </c>
      <c r="N33" s="13">
        <f t="shared" si="53"/>
        <v>0</v>
      </c>
      <c r="O33" s="13">
        <f t="shared" si="53"/>
        <v>0</v>
      </c>
      <c r="P33" s="13">
        <f t="shared" si="53"/>
        <v>0</v>
      </c>
      <c r="Q33" s="13">
        <f t="shared" si="53"/>
        <v>0</v>
      </c>
      <c r="R33" s="13">
        <f t="shared" si="53"/>
        <v>0</v>
      </c>
      <c r="S33" s="13">
        <f t="shared" si="53"/>
        <v>0</v>
      </c>
      <c r="T33" s="13">
        <f t="shared" si="53"/>
        <v>0</v>
      </c>
      <c r="U33" s="30"/>
      <c r="V33" s="13">
        <f t="shared" ref="V33:AF33" si="54">SUM(V29+V32)</f>
        <v>0</v>
      </c>
      <c r="W33" s="13">
        <f t="shared" si="54"/>
        <v>0</v>
      </c>
      <c r="X33" s="13">
        <f t="shared" si="54"/>
        <v>0</v>
      </c>
      <c r="Y33" s="13">
        <f t="shared" si="54"/>
        <v>0</v>
      </c>
      <c r="Z33" s="13">
        <f t="shared" si="54"/>
        <v>0</v>
      </c>
      <c r="AA33" s="13">
        <f t="shared" si="54"/>
        <v>0</v>
      </c>
      <c r="AB33" s="13">
        <f t="shared" si="54"/>
        <v>0</v>
      </c>
      <c r="AC33" s="13">
        <f t="shared" si="54"/>
        <v>0</v>
      </c>
      <c r="AD33" s="13">
        <f t="shared" si="54"/>
        <v>0</v>
      </c>
      <c r="AE33" s="13">
        <f t="shared" si="54"/>
        <v>0</v>
      </c>
      <c r="AF33" s="13">
        <f t="shared" si="54"/>
        <v>0</v>
      </c>
      <c r="AG33" s="34"/>
      <c r="AH33" s="71" t="e">
        <f t="shared" si="5"/>
        <v>#DIV/0!</v>
      </c>
    </row>
    <row r="34" spans="1:34" ht="12.75" customHeight="1">
      <c r="B34" s="14" t="s">
        <v>83</v>
      </c>
      <c r="C34" s="15" t="e">
        <f>C33/C11</f>
        <v>#DIV/0!</v>
      </c>
      <c r="D34" s="15" t="e">
        <f>D33/D11</f>
        <v>#DIV/0!</v>
      </c>
      <c r="E34" s="15" t="e">
        <f>E33/E11</f>
        <v>#DIV/0!</v>
      </c>
      <c r="F34" s="25"/>
      <c r="G34" s="15" t="e">
        <f t="shared" ref="G34:T34" si="55">G33/G11</f>
        <v>#DIV/0!</v>
      </c>
      <c r="H34" s="15" t="e">
        <f t="shared" si="55"/>
        <v>#DIV/0!</v>
      </c>
      <c r="I34" s="15" t="e">
        <f t="shared" si="55"/>
        <v>#DIV/0!</v>
      </c>
      <c r="J34" s="15" t="e">
        <f t="shared" si="55"/>
        <v>#DIV/0!</v>
      </c>
      <c r="K34" s="15" t="e">
        <f t="shared" si="55"/>
        <v>#DIV/0!</v>
      </c>
      <c r="L34" s="15" t="e">
        <f t="shared" si="55"/>
        <v>#DIV/0!</v>
      </c>
      <c r="M34" s="15" t="e">
        <f t="shared" si="55"/>
        <v>#DIV/0!</v>
      </c>
      <c r="N34" s="15" t="e">
        <f t="shared" si="55"/>
        <v>#DIV/0!</v>
      </c>
      <c r="O34" s="15" t="e">
        <f t="shared" si="55"/>
        <v>#DIV/0!</v>
      </c>
      <c r="P34" s="15" t="e">
        <f t="shared" si="55"/>
        <v>#DIV/0!</v>
      </c>
      <c r="Q34" s="15" t="e">
        <f t="shared" si="55"/>
        <v>#DIV/0!</v>
      </c>
      <c r="R34" s="15" t="e">
        <f t="shared" si="55"/>
        <v>#DIV/0!</v>
      </c>
      <c r="S34" s="15" t="e">
        <f t="shared" si="55"/>
        <v>#DIV/0!</v>
      </c>
      <c r="T34" s="15" t="e">
        <f t="shared" si="55"/>
        <v>#DIV/0!</v>
      </c>
      <c r="U34" s="26"/>
      <c r="V34" s="15" t="e">
        <f t="shared" ref="V34:AF34" si="56">V33/V11</f>
        <v>#DIV/0!</v>
      </c>
      <c r="W34" s="15" t="e">
        <f t="shared" si="56"/>
        <v>#DIV/0!</v>
      </c>
      <c r="X34" s="15" t="e">
        <f t="shared" si="56"/>
        <v>#DIV/0!</v>
      </c>
      <c r="Y34" s="15" t="e">
        <f t="shared" si="56"/>
        <v>#DIV/0!</v>
      </c>
      <c r="Z34" s="15" t="e">
        <f t="shared" si="56"/>
        <v>#DIV/0!</v>
      </c>
      <c r="AA34" s="15" t="e">
        <f t="shared" si="56"/>
        <v>#DIV/0!</v>
      </c>
      <c r="AB34" s="15" t="e">
        <f t="shared" si="56"/>
        <v>#DIV/0!</v>
      </c>
      <c r="AC34" s="15" t="e">
        <f t="shared" si="56"/>
        <v>#DIV/0!</v>
      </c>
      <c r="AD34" s="15" t="e">
        <f t="shared" si="56"/>
        <v>#DIV/0!</v>
      </c>
      <c r="AE34" s="15" t="e">
        <f t="shared" si="56"/>
        <v>#DIV/0!</v>
      </c>
      <c r="AF34" s="15" t="e">
        <f t="shared" si="56"/>
        <v>#DIV/0!</v>
      </c>
      <c r="AG34" s="41"/>
      <c r="AH34" s="72" t="e">
        <f>SUM(AF34-AB34)*1000</f>
        <v>#DIV/0!</v>
      </c>
    </row>
    <row r="35" spans="1:34" ht="5.0999999999999996" customHeight="1">
      <c r="B35" s="14"/>
      <c r="C35" s="15"/>
      <c r="D35" s="15"/>
      <c r="E35" s="15"/>
      <c r="F35" s="2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26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41"/>
      <c r="AH35" s="72"/>
    </row>
    <row r="36" spans="1:34" ht="12.75" customHeight="1">
      <c r="B36" s="43" t="s">
        <v>84</v>
      </c>
      <c r="C36" s="79"/>
      <c r="D36" s="79"/>
      <c r="E36" s="79"/>
      <c r="F36" s="25"/>
      <c r="G36" s="79"/>
      <c r="H36" s="79"/>
      <c r="I36" s="79"/>
      <c r="J36" s="30">
        <f>C36</f>
        <v>0</v>
      </c>
      <c r="K36" s="79"/>
      <c r="L36" s="79"/>
      <c r="M36" s="79"/>
      <c r="N36" s="30">
        <f>D36</f>
        <v>0</v>
      </c>
      <c r="O36" s="79"/>
      <c r="P36" s="79"/>
      <c r="Q36" s="79"/>
      <c r="R36" s="30">
        <f>E36</f>
        <v>0</v>
      </c>
      <c r="S36" s="79"/>
      <c r="T36" s="79"/>
      <c r="U36" s="30"/>
      <c r="V36" s="30">
        <f t="shared" ref="V36:AE36" si="57">J36</f>
        <v>0</v>
      </c>
      <c r="W36" s="30">
        <f t="shared" si="57"/>
        <v>0</v>
      </c>
      <c r="X36" s="30">
        <f t="shared" si="57"/>
        <v>0</v>
      </c>
      <c r="Y36" s="30">
        <f t="shared" si="57"/>
        <v>0</v>
      </c>
      <c r="Z36" s="30">
        <f t="shared" si="57"/>
        <v>0</v>
      </c>
      <c r="AA36" s="30">
        <f t="shared" si="57"/>
        <v>0</v>
      </c>
      <c r="AB36" s="30">
        <f t="shared" si="57"/>
        <v>0</v>
      </c>
      <c r="AC36" s="30">
        <f t="shared" si="57"/>
        <v>0</v>
      </c>
      <c r="AD36" s="30">
        <f t="shared" si="57"/>
        <v>0</v>
      </c>
      <c r="AE36" s="30">
        <f t="shared" si="57"/>
        <v>0</v>
      </c>
      <c r="AF36" s="30">
        <f>T36</f>
        <v>0</v>
      </c>
      <c r="AG36" s="41"/>
      <c r="AH36" s="70" t="e">
        <f t="shared" ref="AH36" si="58">SUM(AF36/AB36)-1</f>
        <v>#DIV/0!</v>
      </c>
    </row>
    <row r="37" spans="1:34" ht="12.75" customHeight="1">
      <c r="B37" s="12" t="s">
        <v>85</v>
      </c>
      <c r="C37" s="73" t="e">
        <f t="shared" ref="C37:E37" si="59">C33/C36</f>
        <v>#DIV/0!</v>
      </c>
      <c r="D37" s="73" t="e">
        <f t="shared" si="59"/>
        <v>#DIV/0!</v>
      </c>
      <c r="E37" s="73" t="e">
        <f t="shared" si="59"/>
        <v>#DIV/0!</v>
      </c>
      <c r="F37" s="11"/>
      <c r="G37" s="73" t="e">
        <f t="shared" ref="G37:T37" si="60">G33/G36</f>
        <v>#DIV/0!</v>
      </c>
      <c r="H37" s="73" t="e">
        <f t="shared" si="60"/>
        <v>#DIV/0!</v>
      </c>
      <c r="I37" s="73" t="e">
        <f t="shared" si="60"/>
        <v>#DIV/0!</v>
      </c>
      <c r="J37" s="73" t="e">
        <f t="shared" si="60"/>
        <v>#DIV/0!</v>
      </c>
      <c r="K37" s="73" t="e">
        <f t="shared" si="60"/>
        <v>#DIV/0!</v>
      </c>
      <c r="L37" s="73" t="e">
        <f t="shared" si="60"/>
        <v>#DIV/0!</v>
      </c>
      <c r="M37" s="73" t="e">
        <f t="shared" si="60"/>
        <v>#DIV/0!</v>
      </c>
      <c r="N37" s="73" t="e">
        <f>N33/N36</f>
        <v>#DIV/0!</v>
      </c>
      <c r="O37" s="73" t="e">
        <f t="shared" si="60"/>
        <v>#DIV/0!</v>
      </c>
      <c r="P37" s="73" t="e">
        <f t="shared" si="60"/>
        <v>#DIV/0!</v>
      </c>
      <c r="Q37" s="73" t="e">
        <f t="shared" si="60"/>
        <v>#DIV/0!</v>
      </c>
      <c r="R37" s="73" t="e">
        <f>R33/R36</f>
        <v>#DIV/0!</v>
      </c>
      <c r="S37" s="73" t="e">
        <f t="shared" si="60"/>
        <v>#DIV/0!</v>
      </c>
      <c r="T37" s="73" t="e">
        <f t="shared" si="60"/>
        <v>#DIV/0!</v>
      </c>
      <c r="U37" s="26"/>
      <c r="V37" s="73" t="e">
        <f t="shared" ref="V37:AF37" si="61">V33/V36</f>
        <v>#DIV/0!</v>
      </c>
      <c r="W37" s="73" t="e">
        <f t="shared" si="61"/>
        <v>#DIV/0!</v>
      </c>
      <c r="X37" s="73" t="e">
        <f t="shared" si="61"/>
        <v>#DIV/0!</v>
      </c>
      <c r="Y37" s="73" t="e">
        <f t="shared" si="61"/>
        <v>#DIV/0!</v>
      </c>
      <c r="Z37" s="73" t="e">
        <f t="shared" si="61"/>
        <v>#DIV/0!</v>
      </c>
      <c r="AA37" s="73" t="e">
        <f t="shared" si="61"/>
        <v>#DIV/0!</v>
      </c>
      <c r="AB37" s="73" t="e">
        <f t="shared" si="61"/>
        <v>#DIV/0!</v>
      </c>
      <c r="AC37" s="73" t="e">
        <f t="shared" si="61"/>
        <v>#DIV/0!</v>
      </c>
      <c r="AD37" s="73" t="e">
        <f t="shared" si="61"/>
        <v>#DIV/0!</v>
      </c>
      <c r="AE37" s="73" t="e">
        <f t="shared" si="61"/>
        <v>#DIV/0!</v>
      </c>
      <c r="AF37" s="73" t="e">
        <f t="shared" si="61"/>
        <v>#DIV/0!</v>
      </c>
      <c r="AG37" s="34"/>
      <c r="AH37" s="71" t="e">
        <f>SUM(AF37/AB37)-1</f>
        <v>#DIV/0!</v>
      </c>
    </row>
    <row r="38" spans="1:34" ht="5.0999999999999996" customHeight="1">
      <c r="B38" s="14"/>
      <c r="C38" s="15"/>
      <c r="D38" s="15"/>
      <c r="E38" s="15"/>
      <c r="F38" s="2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26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41"/>
      <c r="AH38" s="72"/>
    </row>
    <row r="39" spans="1:34" ht="12.75" customHeight="1">
      <c r="B39" s="43" t="s">
        <v>86</v>
      </c>
      <c r="C39" s="79"/>
      <c r="D39" s="79"/>
      <c r="E39" s="79"/>
      <c r="F39" s="25"/>
      <c r="G39" s="79"/>
      <c r="H39" s="79"/>
      <c r="I39" s="79"/>
      <c r="J39" s="79">
        <f>C39</f>
        <v>0</v>
      </c>
      <c r="K39" s="79"/>
      <c r="L39" s="79"/>
      <c r="M39" s="79"/>
      <c r="N39" s="30">
        <f>D39</f>
        <v>0</v>
      </c>
      <c r="O39" s="79"/>
      <c r="P39" s="79"/>
      <c r="Q39" s="79"/>
      <c r="R39" s="30">
        <f>E39</f>
        <v>0</v>
      </c>
      <c r="S39" s="79"/>
      <c r="T39" s="79"/>
      <c r="U39" s="30"/>
      <c r="V39" s="30">
        <f t="shared" ref="V39:AA39" si="62">K39</f>
        <v>0</v>
      </c>
      <c r="W39" s="30">
        <f t="shared" si="62"/>
        <v>0</v>
      </c>
      <c r="X39" s="30">
        <f t="shared" si="62"/>
        <v>0</v>
      </c>
      <c r="Y39" s="30">
        <f t="shared" si="62"/>
        <v>0</v>
      </c>
      <c r="Z39" s="30">
        <f t="shared" si="62"/>
        <v>0</v>
      </c>
      <c r="AA39" s="30">
        <f t="shared" si="62"/>
        <v>0</v>
      </c>
      <c r="AB39" s="30">
        <f t="shared" ref="AB39" si="63">P39</f>
        <v>0</v>
      </c>
      <c r="AC39" s="30">
        <f t="shared" ref="AC39" si="64">Q39</f>
        <v>0</v>
      </c>
      <c r="AD39" s="30">
        <f t="shared" ref="AD39" si="65">R39</f>
        <v>0</v>
      </c>
      <c r="AE39" s="30">
        <f t="shared" ref="AE39" si="66">S39</f>
        <v>0</v>
      </c>
      <c r="AF39" s="30">
        <f>T39</f>
        <v>0</v>
      </c>
      <c r="AG39" s="41"/>
      <c r="AH39" s="70" t="e">
        <f t="shared" ref="AH39" si="67">SUM(AF39/AB39)-1</f>
        <v>#DIV/0!</v>
      </c>
    </row>
    <row r="40" spans="1:34" ht="12.75" customHeight="1">
      <c r="B40" s="12" t="s">
        <v>87</v>
      </c>
      <c r="C40" s="73" t="e">
        <f t="shared" ref="C40:E40" si="68">C33/C39</f>
        <v>#DIV/0!</v>
      </c>
      <c r="D40" s="73" t="e">
        <f t="shared" si="68"/>
        <v>#DIV/0!</v>
      </c>
      <c r="E40" s="73" t="e">
        <f t="shared" si="68"/>
        <v>#DIV/0!</v>
      </c>
      <c r="F40" s="25"/>
      <c r="G40" s="73" t="e">
        <f t="shared" ref="G40:T40" si="69">G33/G39</f>
        <v>#DIV/0!</v>
      </c>
      <c r="H40" s="73" t="e">
        <f t="shared" si="69"/>
        <v>#DIV/0!</v>
      </c>
      <c r="I40" s="73" t="e">
        <f t="shared" si="69"/>
        <v>#DIV/0!</v>
      </c>
      <c r="J40" s="73" t="e">
        <f t="shared" si="69"/>
        <v>#DIV/0!</v>
      </c>
      <c r="K40" s="73" t="e">
        <f t="shared" si="69"/>
        <v>#DIV/0!</v>
      </c>
      <c r="L40" s="73" t="e">
        <f t="shared" si="69"/>
        <v>#DIV/0!</v>
      </c>
      <c r="M40" s="73" t="e">
        <f t="shared" si="69"/>
        <v>#DIV/0!</v>
      </c>
      <c r="N40" s="73" t="e">
        <f t="shared" si="69"/>
        <v>#DIV/0!</v>
      </c>
      <c r="O40" s="73" t="e">
        <f t="shared" si="69"/>
        <v>#DIV/0!</v>
      </c>
      <c r="P40" s="73" t="e">
        <f t="shared" si="69"/>
        <v>#DIV/0!</v>
      </c>
      <c r="Q40" s="73" t="e">
        <f t="shared" si="69"/>
        <v>#DIV/0!</v>
      </c>
      <c r="R40" s="73" t="e">
        <f t="shared" si="69"/>
        <v>#DIV/0!</v>
      </c>
      <c r="S40" s="73" t="e">
        <f t="shared" si="69"/>
        <v>#DIV/0!</v>
      </c>
      <c r="T40" s="73" t="e">
        <f t="shared" si="69"/>
        <v>#DIV/0!</v>
      </c>
      <c r="U40" s="30"/>
      <c r="V40" s="73" t="e">
        <f t="shared" ref="V40:AF40" si="70">V33/V39</f>
        <v>#DIV/0!</v>
      </c>
      <c r="W40" s="73" t="e">
        <f t="shared" si="70"/>
        <v>#DIV/0!</v>
      </c>
      <c r="X40" s="73" t="e">
        <f t="shared" si="70"/>
        <v>#DIV/0!</v>
      </c>
      <c r="Y40" s="73" t="e">
        <f t="shared" si="70"/>
        <v>#DIV/0!</v>
      </c>
      <c r="Z40" s="73" t="e">
        <f t="shared" si="70"/>
        <v>#DIV/0!</v>
      </c>
      <c r="AA40" s="73" t="e">
        <f t="shared" si="70"/>
        <v>#DIV/0!</v>
      </c>
      <c r="AB40" s="73" t="e">
        <f t="shared" si="70"/>
        <v>#DIV/0!</v>
      </c>
      <c r="AC40" s="73" t="e">
        <f t="shared" si="70"/>
        <v>#DIV/0!</v>
      </c>
      <c r="AD40" s="73" t="e">
        <f t="shared" si="70"/>
        <v>#DIV/0!</v>
      </c>
      <c r="AE40" s="73" t="e">
        <f t="shared" si="70"/>
        <v>#DIV/0!</v>
      </c>
      <c r="AF40" s="73" t="e">
        <f t="shared" si="70"/>
        <v>#DIV/0!</v>
      </c>
      <c r="AG40" s="34"/>
      <c r="AH40" s="71" t="e">
        <f>SUM(AF40/AB40)-1</f>
        <v>#DIV/0!</v>
      </c>
    </row>
    <row r="41" spans="1:34">
      <c r="B41" s="14"/>
      <c r="C41" s="15"/>
      <c r="D41" s="15"/>
      <c r="E41" s="79"/>
      <c r="F41" s="2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26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41"/>
    </row>
    <row r="42" spans="1:34" ht="12.75" customHeight="1">
      <c r="A42" s="5" t="s">
        <v>20</v>
      </c>
      <c r="B42" s="96" t="s">
        <v>101</v>
      </c>
      <c r="C42" s="97" t="s">
        <v>0</v>
      </c>
      <c r="D42" s="97"/>
      <c r="E42" s="97"/>
      <c r="F42" s="98"/>
      <c r="G42" s="97" t="s">
        <v>1</v>
      </c>
      <c r="H42" s="97"/>
      <c r="I42" s="97"/>
      <c r="J42" s="97"/>
      <c r="K42" s="97"/>
      <c r="L42" s="97"/>
      <c r="M42" s="97"/>
      <c r="N42" s="97"/>
      <c r="O42" s="97"/>
      <c r="P42" s="97"/>
      <c r="Q42" s="97" t="s">
        <v>1</v>
      </c>
      <c r="R42" s="97"/>
      <c r="S42" s="97"/>
      <c r="T42" s="97"/>
      <c r="U42" s="96"/>
      <c r="V42" s="97"/>
      <c r="W42" s="97"/>
      <c r="X42" s="97"/>
      <c r="Y42" s="97"/>
      <c r="Z42" s="97"/>
      <c r="AA42" s="97"/>
      <c r="AB42" s="97" t="s">
        <v>10</v>
      </c>
      <c r="AC42" s="97"/>
      <c r="AD42" s="97"/>
      <c r="AE42" s="97"/>
      <c r="AF42" s="97"/>
      <c r="AG42" s="98"/>
      <c r="AH42" s="142" t="s">
        <v>27</v>
      </c>
    </row>
    <row r="43" spans="1:34" ht="12.75" customHeight="1">
      <c r="B43" s="100" t="str">
        <f t="shared" ref="B43:E44" si="71">B7</f>
        <v>Fiscal Period</v>
      </c>
      <c r="C43" s="99">
        <f t="shared" si="71"/>
        <v>2022</v>
      </c>
      <c r="D43" s="99">
        <f t="shared" si="71"/>
        <v>2023</v>
      </c>
      <c r="E43" s="99">
        <f t="shared" si="71"/>
        <v>2024</v>
      </c>
      <c r="F43" s="98"/>
      <c r="G43" s="99" t="str">
        <f t="shared" ref="G43:T43" si="72">G7</f>
        <v>1Q22</v>
      </c>
      <c r="H43" s="99" t="str">
        <f t="shared" si="72"/>
        <v>2Q22</v>
      </c>
      <c r="I43" s="99" t="str">
        <f t="shared" si="72"/>
        <v>3Q22</v>
      </c>
      <c r="J43" s="99" t="str">
        <f t="shared" si="72"/>
        <v>4Q22</v>
      </c>
      <c r="K43" s="99" t="str">
        <f t="shared" si="72"/>
        <v>1Q23</v>
      </c>
      <c r="L43" s="99" t="str">
        <f t="shared" si="72"/>
        <v>2Q23</v>
      </c>
      <c r="M43" s="99" t="str">
        <f t="shared" si="72"/>
        <v>3Q23</v>
      </c>
      <c r="N43" s="99" t="str">
        <f t="shared" si="72"/>
        <v>4Q23</v>
      </c>
      <c r="O43" s="99" t="str">
        <f t="shared" si="72"/>
        <v>1Q24</v>
      </c>
      <c r="P43" s="99" t="str">
        <f t="shared" si="72"/>
        <v>2Q24</v>
      </c>
      <c r="Q43" s="99" t="str">
        <f t="shared" si="72"/>
        <v>3Q24</v>
      </c>
      <c r="R43" s="99" t="str">
        <f t="shared" si="72"/>
        <v>4Q24</v>
      </c>
      <c r="S43" s="99" t="str">
        <f t="shared" si="72"/>
        <v>1Q25</v>
      </c>
      <c r="T43" s="99" t="str">
        <f t="shared" si="72"/>
        <v>2Q25</v>
      </c>
      <c r="U43" s="101"/>
      <c r="V43" s="99" t="str">
        <f t="shared" ref="V43:AF43" si="73">V7</f>
        <v>4Q22</v>
      </c>
      <c r="W43" s="99" t="str">
        <f t="shared" si="73"/>
        <v>1Q23</v>
      </c>
      <c r="X43" s="99" t="str">
        <f t="shared" si="73"/>
        <v>2Q23</v>
      </c>
      <c r="Y43" s="99" t="str">
        <f t="shared" si="73"/>
        <v>3Q23</v>
      </c>
      <c r="Z43" s="99" t="str">
        <f t="shared" si="73"/>
        <v>4Q23</v>
      </c>
      <c r="AA43" s="99" t="str">
        <f t="shared" si="73"/>
        <v>1Q24</v>
      </c>
      <c r="AB43" s="99" t="str">
        <f t="shared" si="73"/>
        <v>2Q24</v>
      </c>
      <c r="AC43" s="99" t="str">
        <f t="shared" si="73"/>
        <v>3Q24</v>
      </c>
      <c r="AD43" s="99" t="str">
        <f t="shared" si="73"/>
        <v>4Q24</v>
      </c>
      <c r="AE43" s="99" t="str">
        <f t="shared" si="73"/>
        <v>1Q25</v>
      </c>
      <c r="AF43" s="99" t="str">
        <f t="shared" si="73"/>
        <v>2Q25</v>
      </c>
      <c r="AG43" s="98"/>
      <c r="AH43" s="142"/>
    </row>
    <row r="44" spans="1:34" ht="12.75" customHeight="1">
      <c r="B44" s="100" t="str">
        <f t="shared" si="71"/>
        <v>Fiscal Period End Date</v>
      </c>
      <c r="C44" s="102">
        <f t="shared" si="71"/>
        <v>44926</v>
      </c>
      <c r="D44" s="102">
        <f t="shared" si="71"/>
        <v>45291</v>
      </c>
      <c r="E44" s="102">
        <f t="shared" si="71"/>
        <v>45657</v>
      </c>
      <c r="F44" s="98"/>
      <c r="G44" s="102">
        <f t="shared" ref="G44:T44" si="74">G8</f>
        <v>44651</v>
      </c>
      <c r="H44" s="102">
        <f t="shared" si="74"/>
        <v>44742</v>
      </c>
      <c r="I44" s="102">
        <f t="shared" si="74"/>
        <v>44834</v>
      </c>
      <c r="J44" s="102">
        <f t="shared" si="74"/>
        <v>44926</v>
      </c>
      <c r="K44" s="102">
        <f t="shared" si="74"/>
        <v>45016</v>
      </c>
      <c r="L44" s="102">
        <f t="shared" si="74"/>
        <v>45107</v>
      </c>
      <c r="M44" s="102">
        <f t="shared" si="74"/>
        <v>45199</v>
      </c>
      <c r="N44" s="102">
        <f t="shared" si="74"/>
        <v>45291</v>
      </c>
      <c r="O44" s="102">
        <f t="shared" si="74"/>
        <v>45382</v>
      </c>
      <c r="P44" s="102">
        <f t="shared" si="74"/>
        <v>45473</v>
      </c>
      <c r="Q44" s="102">
        <f t="shared" si="74"/>
        <v>45565</v>
      </c>
      <c r="R44" s="102">
        <f t="shared" si="74"/>
        <v>45657</v>
      </c>
      <c r="S44" s="102">
        <f t="shared" si="74"/>
        <v>45747</v>
      </c>
      <c r="T44" s="102">
        <f t="shared" si="74"/>
        <v>45838</v>
      </c>
      <c r="U44" s="103"/>
      <c r="V44" s="102">
        <f t="shared" ref="V44:AF44" si="75">V8</f>
        <v>44926</v>
      </c>
      <c r="W44" s="102">
        <f t="shared" si="75"/>
        <v>45016</v>
      </c>
      <c r="X44" s="102">
        <f t="shared" si="75"/>
        <v>45107</v>
      </c>
      <c r="Y44" s="102">
        <f t="shared" si="75"/>
        <v>45199</v>
      </c>
      <c r="Z44" s="102">
        <f t="shared" si="75"/>
        <v>45291</v>
      </c>
      <c r="AA44" s="102">
        <f t="shared" si="75"/>
        <v>45382</v>
      </c>
      <c r="AB44" s="102">
        <f t="shared" si="75"/>
        <v>45473</v>
      </c>
      <c r="AC44" s="102">
        <f t="shared" si="75"/>
        <v>45565</v>
      </c>
      <c r="AD44" s="102">
        <f t="shared" si="75"/>
        <v>45657</v>
      </c>
      <c r="AE44" s="102">
        <f t="shared" si="75"/>
        <v>45747</v>
      </c>
      <c r="AF44" s="102">
        <f t="shared" si="75"/>
        <v>45838</v>
      </c>
      <c r="AG44" s="98"/>
      <c r="AH44" s="142"/>
    </row>
    <row r="45" spans="1:34" ht="5.0999999999999996" customHeight="1">
      <c r="B45" s="45"/>
      <c r="C45" s="46"/>
      <c r="D45" s="46"/>
      <c r="E45" s="46"/>
    </row>
    <row r="46" spans="1:34">
      <c r="B46" s="74" t="s">
        <v>108</v>
      </c>
      <c r="C46" s="46"/>
      <c r="D46" s="46"/>
      <c r="E46" s="46"/>
    </row>
    <row r="47" spans="1:34" ht="12.75" customHeight="1">
      <c r="B47" s="110" t="s">
        <v>120</v>
      </c>
      <c r="C47" s="111"/>
      <c r="D47" s="111"/>
      <c r="E47" s="111"/>
      <c r="G47" s="111"/>
      <c r="H47" s="111"/>
      <c r="I47" s="111"/>
      <c r="J47" s="87">
        <f t="shared" ref="J47:J50" si="76">C47</f>
        <v>0</v>
      </c>
      <c r="K47" s="111"/>
      <c r="L47" s="111"/>
      <c r="M47" s="111"/>
      <c r="N47" s="87">
        <f t="shared" ref="N47:N50" si="77">D47</f>
        <v>0</v>
      </c>
      <c r="O47" s="111"/>
      <c r="P47" s="111"/>
      <c r="Q47" s="111"/>
      <c r="R47" s="87">
        <f t="shared" ref="R47:R50" si="78">E47</f>
        <v>0</v>
      </c>
      <c r="S47" s="111"/>
      <c r="T47" s="111"/>
      <c r="U47" s="87"/>
      <c r="V47" s="87">
        <f t="shared" ref="V47:AE50" si="79">J47</f>
        <v>0</v>
      </c>
      <c r="W47" s="87">
        <f t="shared" si="79"/>
        <v>0</v>
      </c>
      <c r="X47" s="87">
        <f t="shared" si="79"/>
        <v>0</v>
      </c>
      <c r="Y47" s="87">
        <f t="shared" si="79"/>
        <v>0</v>
      </c>
      <c r="Z47" s="87">
        <f t="shared" si="79"/>
        <v>0</v>
      </c>
      <c r="AA47" s="87">
        <f t="shared" si="79"/>
        <v>0</v>
      </c>
      <c r="AB47" s="87">
        <f t="shared" si="79"/>
        <v>0</v>
      </c>
      <c r="AC47" s="87">
        <f t="shared" si="79"/>
        <v>0</v>
      </c>
      <c r="AD47" s="87">
        <f t="shared" si="79"/>
        <v>0</v>
      </c>
      <c r="AE47" s="87">
        <f t="shared" si="79"/>
        <v>0</v>
      </c>
      <c r="AF47" s="87">
        <f>T47</f>
        <v>0</v>
      </c>
      <c r="AG47" s="11"/>
      <c r="AH47" s="70" t="e">
        <f t="shared" ref="AH47:AH50" si="80">SUM(AF47/AB47)-1</f>
        <v>#DIV/0!</v>
      </c>
    </row>
    <row r="48" spans="1:34" ht="12.75" customHeight="1">
      <c r="B48" s="110" t="s">
        <v>151</v>
      </c>
      <c r="C48" s="111"/>
      <c r="D48" s="111"/>
      <c r="E48" s="111"/>
      <c r="G48" s="111"/>
      <c r="H48" s="111"/>
      <c r="I48" s="111"/>
      <c r="J48" s="87">
        <f t="shared" ref="J48:J50" si="81">C48</f>
        <v>0</v>
      </c>
      <c r="K48" s="111"/>
      <c r="L48" s="111"/>
      <c r="M48" s="111"/>
      <c r="N48" s="87">
        <f t="shared" ref="N48:N50" si="82">D48</f>
        <v>0</v>
      </c>
      <c r="O48" s="111"/>
      <c r="P48" s="111"/>
      <c r="Q48" s="111"/>
      <c r="R48" s="87">
        <f t="shared" ref="R48:R50" si="83">E48</f>
        <v>0</v>
      </c>
      <c r="S48" s="111"/>
      <c r="T48" s="111"/>
      <c r="U48" s="87"/>
      <c r="V48" s="87">
        <f t="shared" si="79"/>
        <v>0</v>
      </c>
      <c r="W48" s="87">
        <f t="shared" si="79"/>
        <v>0</v>
      </c>
      <c r="X48" s="87">
        <f t="shared" si="79"/>
        <v>0</v>
      </c>
      <c r="Y48" s="87">
        <f t="shared" si="79"/>
        <v>0</v>
      </c>
      <c r="Z48" s="87">
        <f t="shared" si="79"/>
        <v>0</v>
      </c>
      <c r="AA48" s="87">
        <f t="shared" si="79"/>
        <v>0</v>
      </c>
      <c r="AB48" s="87">
        <f t="shared" si="79"/>
        <v>0</v>
      </c>
      <c r="AC48" s="87">
        <f t="shared" si="79"/>
        <v>0</v>
      </c>
      <c r="AD48" s="87">
        <f t="shared" si="79"/>
        <v>0</v>
      </c>
      <c r="AE48" s="87">
        <f t="shared" si="79"/>
        <v>0</v>
      </c>
      <c r="AF48" s="87">
        <f t="shared" ref="AF48:AF50" si="84">T48</f>
        <v>0</v>
      </c>
      <c r="AG48" s="11"/>
      <c r="AH48" s="70" t="e">
        <f t="shared" si="80"/>
        <v>#DIV/0!</v>
      </c>
    </row>
    <row r="49" spans="2:34" ht="12.75" customHeight="1">
      <c r="B49" s="110" t="s">
        <v>14</v>
      </c>
      <c r="C49" s="111"/>
      <c r="D49" s="111"/>
      <c r="E49" s="111"/>
      <c r="G49" s="111"/>
      <c r="H49" s="111"/>
      <c r="I49" s="111"/>
      <c r="J49" s="87">
        <f t="shared" si="81"/>
        <v>0</v>
      </c>
      <c r="K49" s="111"/>
      <c r="L49" s="111"/>
      <c r="M49" s="111"/>
      <c r="N49" s="87">
        <f t="shared" si="82"/>
        <v>0</v>
      </c>
      <c r="O49" s="111"/>
      <c r="P49" s="111"/>
      <c r="Q49" s="111"/>
      <c r="R49" s="87">
        <f t="shared" si="83"/>
        <v>0</v>
      </c>
      <c r="S49" s="111"/>
      <c r="T49" s="111"/>
      <c r="U49" s="87"/>
      <c r="V49" s="87">
        <f t="shared" si="79"/>
        <v>0</v>
      </c>
      <c r="W49" s="87">
        <f t="shared" si="79"/>
        <v>0</v>
      </c>
      <c r="X49" s="87">
        <f t="shared" si="79"/>
        <v>0</v>
      </c>
      <c r="Y49" s="87">
        <f t="shared" si="79"/>
        <v>0</v>
      </c>
      <c r="Z49" s="87">
        <f t="shared" si="79"/>
        <v>0</v>
      </c>
      <c r="AA49" s="87">
        <f t="shared" si="79"/>
        <v>0</v>
      </c>
      <c r="AB49" s="87">
        <f t="shared" si="79"/>
        <v>0</v>
      </c>
      <c r="AC49" s="87">
        <f t="shared" si="79"/>
        <v>0</v>
      </c>
      <c r="AD49" s="87">
        <f t="shared" si="79"/>
        <v>0</v>
      </c>
      <c r="AE49" s="87">
        <f t="shared" si="79"/>
        <v>0</v>
      </c>
      <c r="AF49" s="87">
        <f t="shared" si="84"/>
        <v>0</v>
      </c>
      <c r="AG49" s="11"/>
      <c r="AH49" s="70" t="e">
        <f t="shared" si="80"/>
        <v>#DIV/0!</v>
      </c>
    </row>
    <row r="50" spans="2:34" ht="12.75" customHeight="1">
      <c r="B50" s="110" t="s">
        <v>179</v>
      </c>
      <c r="C50" s="111"/>
      <c r="D50" s="111"/>
      <c r="E50" s="111"/>
      <c r="G50" s="111"/>
      <c r="H50" s="111"/>
      <c r="I50" s="111"/>
      <c r="J50" s="87">
        <f t="shared" si="81"/>
        <v>0</v>
      </c>
      <c r="K50" s="111"/>
      <c r="L50" s="111"/>
      <c r="M50" s="111"/>
      <c r="N50" s="87">
        <f t="shared" si="82"/>
        <v>0</v>
      </c>
      <c r="O50" s="111"/>
      <c r="P50" s="111"/>
      <c r="Q50" s="111"/>
      <c r="R50" s="87">
        <f t="shared" si="83"/>
        <v>0</v>
      </c>
      <c r="S50" s="111"/>
      <c r="T50" s="111"/>
      <c r="U50" s="87"/>
      <c r="V50" s="87">
        <f t="shared" si="79"/>
        <v>0</v>
      </c>
      <c r="W50" s="87">
        <f t="shared" si="79"/>
        <v>0</v>
      </c>
      <c r="X50" s="87">
        <f t="shared" si="79"/>
        <v>0</v>
      </c>
      <c r="Y50" s="87">
        <f t="shared" si="79"/>
        <v>0</v>
      </c>
      <c r="Z50" s="87">
        <f t="shared" si="79"/>
        <v>0</v>
      </c>
      <c r="AA50" s="87">
        <f t="shared" si="79"/>
        <v>0</v>
      </c>
      <c r="AB50" s="87">
        <f t="shared" si="79"/>
        <v>0</v>
      </c>
      <c r="AC50" s="87">
        <f t="shared" si="79"/>
        <v>0</v>
      </c>
      <c r="AD50" s="87">
        <f t="shared" si="79"/>
        <v>0</v>
      </c>
      <c r="AE50" s="87">
        <f t="shared" si="79"/>
        <v>0</v>
      </c>
      <c r="AF50" s="87">
        <f t="shared" si="84"/>
        <v>0</v>
      </c>
      <c r="AG50" s="11"/>
      <c r="AH50" s="70" t="e">
        <f t="shared" si="80"/>
        <v>#DIV/0!</v>
      </c>
    </row>
    <row r="51" spans="2:34" ht="12.75" customHeight="1">
      <c r="B51" s="23" t="s">
        <v>23</v>
      </c>
      <c r="C51" s="24">
        <f>SUM(C47:C50)</f>
        <v>0</v>
      </c>
      <c r="D51" s="24">
        <f>SUM(D47:D50)</f>
        <v>0</v>
      </c>
      <c r="E51" s="24">
        <f>SUM(E47:E50)</f>
        <v>0</v>
      </c>
      <c r="F51" s="47"/>
      <c r="G51" s="24">
        <f t="shared" ref="G51:T51" si="85">SUM(G47:G50)</f>
        <v>0</v>
      </c>
      <c r="H51" s="24">
        <f t="shared" si="85"/>
        <v>0</v>
      </c>
      <c r="I51" s="24">
        <f t="shared" si="85"/>
        <v>0</v>
      </c>
      <c r="J51" s="24">
        <f t="shared" si="85"/>
        <v>0</v>
      </c>
      <c r="K51" s="24">
        <f t="shared" si="85"/>
        <v>0</v>
      </c>
      <c r="L51" s="24">
        <f t="shared" si="85"/>
        <v>0</v>
      </c>
      <c r="M51" s="24">
        <f t="shared" si="85"/>
        <v>0</v>
      </c>
      <c r="N51" s="24">
        <f t="shared" si="85"/>
        <v>0</v>
      </c>
      <c r="O51" s="24">
        <f t="shared" si="85"/>
        <v>0</v>
      </c>
      <c r="P51" s="24">
        <f t="shared" si="85"/>
        <v>0</v>
      </c>
      <c r="Q51" s="24">
        <f t="shared" si="85"/>
        <v>0</v>
      </c>
      <c r="R51" s="24">
        <f t="shared" si="85"/>
        <v>0</v>
      </c>
      <c r="S51" s="24">
        <f t="shared" si="85"/>
        <v>0</v>
      </c>
      <c r="T51" s="24">
        <f t="shared" si="85"/>
        <v>0</v>
      </c>
      <c r="U51" s="47"/>
      <c r="V51" s="24">
        <f t="shared" ref="V51:AF51" si="86">SUM(V47:V50)</f>
        <v>0</v>
      </c>
      <c r="W51" s="24">
        <f t="shared" si="86"/>
        <v>0</v>
      </c>
      <c r="X51" s="24">
        <f t="shared" si="86"/>
        <v>0</v>
      </c>
      <c r="Y51" s="24">
        <f t="shared" si="86"/>
        <v>0</v>
      </c>
      <c r="Z51" s="24">
        <f t="shared" si="86"/>
        <v>0</v>
      </c>
      <c r="AA51" s="24">
        <f t="shared" si="86"/>
        <v>0</v>
      </c>
      <c r="AB51" s="24">
        <f t="shared" si="86"/>
        <v>0</v>
      </c>
      <c r="AC51" s="24">
        <f t="shared" si="86"/>
        <v>0</v>
      </c>
      <c r="AD51" s="24">
        <f t="shared" si="86"/>
        <v>0</v>
      </c>
      <c r="AE51" s="24">
        <f t="shared" si="86"/>
        <v>0</v>
      </c>
      <c r="AF51" s="24">
        <f t="shared" si="86"/>
        <v>0</v>
      </c>
      <c r="AG51" s="40"/>
      <c r="AH51" s="71" t="e">
        <f>SUM(AF51/AB51)-1</f>
        <v>#DIV/0!</v>
      </c>
    </row>
    <row r="52" spans="2:34" ht="5.0999999999999996" customHeight="1">
      <c r="B52" s="23"/>
      <c r="C52" s="48"/>
      <c r="D52" s="39"/>
      <c r="E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37"/>
    </row>
    <row r="53" spans="2:34" ht="12.75" customHeight="1">
      <c r="B53" s="74" t="s">
        <v>109</v>
      </c>
      <c r="C53" s="79"/>
      <c r="D53" s="79"/>
      <c r="E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11"/>
      <c r="AH53" s="70"/>
    </row>
    <row r="54" spans="2:34" ht="12.75" customHeight="1">
      <c r="B54" s="9" t="s">
        <v>121</v>
      </c>
      <c r="C54" s="79"/>
      <c r="D54" s="79"/>
      <c r="E54" s="79"/>
      <c r="G54" s="111"/>
      <c r="H54" s="111"/>
      <c r="I54" s="111"/>
      <c r="J54" s="87">
        <f t="shared" ref="J54:J59" si="87">C54</f>
        <v>0</v>
      </c>
      <c r="K54" s="111"/>
      <c r="L54" s="111"/>
      <c r="M54" s="111"/>
      <c r="N54" s="87">
        <f t="shared" ref="N54:N59" si="88">D54</f>
        <v>0</v>
      </c>
      <c r="O54" s="111"/>
      <c r="P54" s="111"/>
      <c r="Q54" s="111"/>
      <c r="R54" s="87">
        <f t="shared" ref="R54:R59" si="89">E54</f>
        <v>0</v>
      </c>
      <c r="S54" s="111"/>
      <c r="T54" s="111"/>
      <c r="U54" s="87"/>
      <c r="V54" s="87">
        <f t="shared" ref="V54" si="90">J54</f>
        <v>0</v>
      </c>
      <c r="W54" s="87">
        <f t="shared" ref="W54" si="91">K54</f>
        <v>0</v>
      </c>
      <c r="X54" s="87">
        <f t="shared" ref="X54" si="92">L54</f>
        <v>0</v>
      </c>
      <c r="Y54" s="87">
        <f t="shared" ref="Y54" si="93">M54</f>
        <v>0</v>
      </c>
      <c r="Z54" s="87">
        <f t="shared" ref="Z54" si="94">N54</f>
        <v>0</v>
      </c>
      <c r="AA54" s="87">
        <f t="shared" ref="AA54" si="95">O54</f>
        <v>0</v>
      </c>
      <c r="AB54" s="87">
        <f t="shared" ref="AB54" si="96">P54</f>
        <v>0</v>
      </c>
      <c r="AC54" s="87">
        <f t="shared" ref="AC54" si="97">Q54</f>
        <v>0</v>
      </c>
      <c r="AD54" s="87">
        <f t="shared" ref="AD54" si="98">R54</f>
        <v>0</v>
      </c>
      <c r="AE54" s="87">
        <f t="shared" ref="AE54" si="99">S54</f>
        <v>0</v>
      </c>
      <c r="AF54" s="87">
        <f>T54</f>
        <v>0</v>
      </c>
      <c r="AG54" s="11"/>
      <c r="AH54" s="70" t="e">
        <f t="shared" ref="AH54:AH59" si="100">SUM(AF54/AB54)-1</f>
        <v>#DIV/0!</v>
      </c>
    </row>
    <row r="55" spans="2:34" ht="12.75" customHeight="1">
      <c r="B55" s="9" t="s">
        <v>181</v>
      </c>
      <c r="C55" s="79"/>
      <c r="D55" s="79"/>
      <c r="E55" s="79"/>
      <c r="G55" s="111"/>
      <c r="H55" s="111"/>
      <c r="I55" s="111"/>
      <c r="J55" s="87">
        <f t="shared" si="87"/>
        <v>0</v>
      </c>
      <c r="K55" s="111"/>
      <c r="L55" s="111"/>
      <c r="M55" s="111"/>
      <c r="N55" s="87">
        <f t="shared" si="88"/>
        <v>0</v>
      </c>
      <c r="O55" s="111"/>
      <c r="P55" s="111"/>
      <c r="Q55" s="111"/>
      <c r="R55" s="87">
        <f t="shared" si="89"/>
        <v>0</v>
      </c>
      <c r="S55" s="111"/>
      <c r="T55" s="111"/>
      <c r="V55" s="30">
        <f t="shared" ref="V55:AA59" si="101">K55</f>
        <v>0</v>
      </c>
      <c r="W55" s="30">
        <f t="shared" si="101"/>
        <v>0</v>
      </c>
      <c r="X55" s="30">
        <f t="shared" si="101"/>
        <v>0</v>
      </c>
      <c r="Y55" s="30">
        <f t="shared" si="101"/>
        <v>0</v>
      </c>
      <c r="Z55" s="30">
        <f t="shared" si="101"/>
        <v>0</v>
      </c>
      <c r="AA55" s="30">
        <f t="shared" si="101"/>
        <v>0</v>
      </c>
      <c r="AB55" s="87">
        <f t="shared" ref="AB55:AB59" si="102">P55</f>
        <v>0</v>
      </c>
      <c r="AC55" s="87">
        <f t="shared" ref="AC55:AC59" si="103">Q55</f>
        <v>0</v>
      </c>
      <c r="AD55" s="87">
        <f t="shared" ref="AD55:AD59" si="104">R55</f>
        <v>0</v>
      </c>
      <c r="AE55" s="87">
        <f t="shared" ref="AE55:AE59" si="105">S55</f>
        <v>0</v>
      </c>
      <c r="AF55" s="87">
        <f t="shared" ref="AF55:AF59" si="106">T55</f>
        <v>0</v>
      </c>
      <c r="AG55" s="11"/>
      <c r="AH55" s="70" t="e">
        <f t="shared" si="100"/>
        <v>#DIV/0!</v>
      </c>
    </row>
    <row r="56" spans="2:34" ht="12.75" customHeight="1">
      <c r="B56" s="9" t="s">
        <v>122</v>
      </c>
      <c r="C56" s="79"/>
      <c r="D56" s="79"/>
      <c r="E56" s="79"/>
      <c r="G56" s="111"/>
      <c r="H56" s="111"/>
      <c r="I56" s="111"/>
      <c r="J56" s="87">
        <f t="shared" si="87"/>
        <v>0</v>
      </c>
      <c r="K56" s="111"/>
      <c r="L56" s="111"/>
      <c r="M56" s="111"/>
      <c r="N56" s="87">
        <f t="shared" si="88"/>
        <v>0</v>
      </c>
      <c r="O56" s="111"/>
      <c r="P56" s="111"/>
      <c r="Q56" s="111"/>
      <c r="R56" s="87">
        <f t="shared" si="89"/>
        <v>0</v>
      </c>
      <c r="S56" s="111"/>
      <c r="T56" s="111"/>
      <c r="V56" s="30">
        <f t="shared" si="101"/>
        <v>0</v>
      </c>
      <c r="W56" s="30">
        <f t="shared" si="101"/>
        <v>0</v>
      </c>
      <c r="X56" s="30">
        <f t="shared" si="101"/>
        <v>0</v>
      </c>
      <c r="Y56" s="30">
        <f t="shared" si="101"/>
        <v>0</v>
      </c>
      <c r="Z56" s="30">
        <f t="shared" si="101"/>
        <v>0</v>
      </c>
      <c r="AA56" s="30">
        <f t="shared" si="101"/>
        <v>0</v>
      </c>
      <c r="AB56" s="87">
        <f t="shared" si="102"/>
        <v>0</v>
      </c>
      <c r="AC56" s="87">
        <f t="shared" si="103"/>
        <v>0</v>
      </c>
      <c r="AD56" s="87">
        <f t="shared" si="104"/>
        <v>0</v>
      </c>
      <c r="AE56" s="87">
        <f t="shared" si="105"/>
        <v>0</v>
      </c>
      <c r="AF56" s="87">
        <f t="shared" si="106"/>
        <v>0</v>
      </c>
      <c r="AG56" s="11"/>
      <c r="AH56" s="70" t="e">
        <f t="shared" si="100"/>
        <v>#DIV/0!</v>
      </c>
    </row>
    <row r="57" spans="2:34" ht="12.75" customHeight="1">
      <c r="B57" s="9" t="s">
        <v>152</v>
      </c>
      <c r="C57" s="79"/>
      <c r="D57" s="79"/>
      <c r="E57" s="79"/>
      <c r="G57" s="111"/>
      <c r="H57" s="111"/>
      <c r="I57" s="111"/>
      <c r="J57" s="87">
        <f t="shared" si="87"/>
        <v>0</v>
      </c>
      <c r="K57" s="111"/>
      <c r="L57" s="111"/>
      <c r="M57" s="111"/>
      <c r="N57" s="87">
        <f t="shared" si="88"/>
        <v>0</v>
      </c>
      <c r="O57" s="111"/>
      <c r="P57" s="111"/>
      <c r="Q57" s="111"/>
      <c r="R57" s="87">
        <f t="shared" si="89"/>
        <v>0</v>
      </c>
      <c r="S57" s="111"/>
      <c r="T57" s="111"/>
      <c r="V57" s="30">
        <f t="shared" si="101"/>
        <v>0</v>
      </c>
      <c r="W57" s="30">
        <f t="shared" si="101"/>
        <v>0</v>
      </c>
      <c r="X57" s="30">
        <f t="shared" si="101"/>
        <v>0</v>
      </c>
      <c r="Y57" s="30">
        <f t="shared" si="101"/>
        <v>0</v>
      </c>
      <c r="Z57" s="30">
        <f t="shared" si="101"/>
        <v>0</v>
      </c>
      <c r="AA57" s="30">
        <f t="shared" si="101"/>
        <v>0</v>
      </c>
      <c r="AB57" s="87">
        <f t="shared" si="102"/>
        <v>0</v>
      </c>
      <c r="AC57" s="87">
        <f t="shared" si="103"/>
        <v>0</v>
      </c>
      <c r="AD57" s="87">
        <f t="shared" si="104"/>
        <v>0</v>
      </c>
      <c r="AE57" s="87">
        <f t="shared" si="105"/>
        <v>0</v>
      </c>
      <c r="AF57" s="87">
        <f t="shared" si="106"/>
        <v>0</v>
      </c>
      <c r="AG57" s="11"/>
      <c r="AH57" s="70" t="e">
        <f t="shared" si="100"/>
        <v>#DIV/0!</v>
      </c>
    </row>
    <row r="58" spans="2:34" ht="12.75" customHeight="1">
      <c r="B58" s="9" t="s">
        <v>153</v>
      </c>
      <c r="C58" s="79"/>
      <c r="D58" s="79"/>
      <c r="E58" s="79"/>
      <c r="G58" s="111"/>
      <c r="H58" s="111"/>
      <c r="I58" s="111"/>
      <c r="J58" s="87">
        <f t="shared" si="87"/>
        <v>0</v>
      </c>
      <c r="K58" s="111"/>
      <c r="L58" s="111"/>
      <c r="M58" s="111"/>
      <c r="N58" s="87">
        <f t="shared" si="88"/>
        <v>0</v>
      </c>
      <c r="O58" s="111"/>
      <c r="P58" s="111"/>
      <c r="Q58" s="111"/>
      <c r="R58" s="87">
        <f t="shared" si="89"/>
        <v>0</v>
      </c>
      <c r="S58" s="111"/>
      <c r="T58" s="111"/>
      <c r="V58" s="30">
        <f t="shared" si="101"/>
        <v>0</v>
      </c>
      <c r="W58" s="30">
        <f t="shared" si="101"/>
        <v>0</v>
      </c>
      <c r="X58" s="30">
        <f t="shared" si="101"/>
        <v>0</v>
      </c>
      <c r="Y58" s="30">
        <f t="shared" si="101"/>
        <v>0</v>
      </c>
      <c r="Z58" s="30">
        <f t="shared" si="101"/>
        <v>0</v>
      </c>
      <c r="AA58" s="30">
        <f t="shared" si="101"/>
        <v>0</v>
      </c>
      <c r="AB58" s="87">
        <f t="shared" si="102"/>
        <v>0</v>
      </c>
      <c r="AC58" s="87">
        <f t="shared" si="103"/>
        <v>0</v>
      </c>
      <c r="AD58" s="87">
        <f t="shared" si="104"/>
        <v>0</v>
      </c>
      <c r="AE58" s="87">
        <f t="shared" si="105"/>
        <v>0</v>
      </c>
      <c r="AF58" s="87">
        <f t="shared" si="106"/>
        <v>0</v>
      </c>
      <c r="AG58" s="11"/>
      <c r="AH58" s="70" t="e">
        <f t="shared" si="100"/>
        <v>#DIV/0!</v>
      </c>
    </row>
    <row r="59" spans="2:34" ht="12.75" customHeight="1">
      <c r="B59" s="9" t="s">
        <v>123</v>
      </c>
      <c r="C59" s="79"/>
      <c r="D59" s="79"/>
      <c r="E59" s="79"/>
      <c r="G59" s="111"/>
      <c r="H59" s="111"/>
      <c r="I59" s="111"/>
      <c r="J59" s="87">
        <f t="shared" si="87"/>
        <v>0</v>
      </c>
      <c r="K59" s="111"/>
      <c r="L59" s="111"/>
      <c r="M59" s="111"/>
      <c r="N59" s="87">
        <f t="shared" si="88"/>
        <v>0</v>
      </c>
      <c r="O59" s="111"/>
      <c r="P59" s="111"/>
      <c r="Q59" s="111"/>
      <c r="R59" s="87">
        <f t="shared" si="89"/>
        <v>0</v>
      </c>
      <c r="S59" s="111"/>
      <c r="T59" s="111"/>
      <c r="V59" s="30">
        <f t="shared" si="101"/>
        <v>0</v>
      </c>
      <c r="W59" s="30">
        <f t="shared" si="101"/>
        <v>0</v>
      </c>
      <c r="X59" s="30">
        <f t="shared" si="101"/>
        <v>0</v>
      </c>
      <c r="Y59" s="30">
        <f t="shared" si="101"/>
        <v>0</v>
      </c>
      <c r="Z59" s="30">
        <f t="shared" si="101"/>
        <v>0</v>
      </c>
      <c r="AA59" s="30">
        <f t="shared" si="101"/>
        <v>0</v>
      </c>
      <c r="AB59" s="87">
        <f t="shared" si="102"/>
        <v>0</v>
      </c>
      <c r="AC59" s="87">
        <f t="shared" si="103"/>
        <v>0</v>
      </c>
      <c r="AD59" s="87">
        <f t="shared" si="104"/>
        <v>0</v>
      </c>
      <c r="AE59" s="87">
        <f t="shared" si="105"/>
        <v>0</v>
      </c>
      <c r="AF59" s="87">
        <f t="shared" si="106"/>
        <v>0</v>
      </c>
      <c r="AG59" s="11"/>
      <c r="AH59" s="70" t="e">
        <f t="shared" si="100"/>
        <v>#DIV/0!</v>
      </c>
    </row>
    <row r="60" spans="2:34" ht="12.75" customHeight="1">
      <c r="B60" s="12" t="s">
        <v>24</v>
      </c>
      <c r="C60" s="13">
        <f>SUM(C54:C59)+C51</f>
        <v>0</v>
      </c>
      <c r="D60" s="13">
        <f>SUM(D54:D59)+D51</f>
        <v>0</v>
      </c>
      <c r="E60" s="13">
        <f>SUM(E54:E59)+E51</f>
        <v>0</v>
      </c>
      <c r="G60" s="13">
        <f t="shared" ref="G60:T60" si="107">SUM(G54:G59)+G51</f>
        <v>0</v>
      </c>
      <c r="H60" s="13">
        <f t="shared" si="107"/>
        <v>0</v>
      </c>
      <c r="I60" s="13">
        <f t="shared" si="107"/>
        <v>0</v>
      </c>
      <c r="J60" s="13">
        <f t="shared" si="107"/>
        <v>0</v>
      </c>
      <c r="K60" s="13">
        <f t="shared" si="107"/>
        <v>0</v>
      </c>
      <c r="L60" s="13">
        <f t="shared" si="107"/>
        <v>0</v>
      </c>
      <c r="M60" s="13">
        <f t="shared" si="107"/>
        <v>0</v>
      </c>
      <c r="N60" s="13">
        <f t="shared" si="107"/>
        <v>0</v>
      </c>
      <c r="O60" s="13">
        <f t="shared" si="107"/>
        <v>0</v>
      </c>
      <c r="P60" s="13">
        <f t="shared" si="107"/>
        <v>0</v>
      </c>
      <c r="Q60" s="13">
        <f t="shared" si="107"/>
        <v>0</v>
      </c>
      <c r="R60" s="13">
        <f t="shared" si="107"/>
        <v>0</v>
      </c>
      <c r="S60" s="13">
        <f t="shared" si="107"/>
        <v>0</v>
      </c>
      <c r="T60" s="13">
        <f t="shared" si="107"/>
        <v>0</v>
      </c>
      <c r="V60" s="13">
        <f t="shared" ref="V60:AF60" si="108">SUM(V54:V59)+V51</f>
        <v>0</v>
      </c>
      <c r="W60" s="13">
        <f t="shared" si="108"/>
        <v>0</v>
      </c>
      <c r="X60" s="13">
        <f t="shared" si="108"/>
        <v>0</v>
      </c>
      <c r="Y60" s="13">
        <f t="shared" si="108"/>
        <v>0</v>
      </c>
      <c r="Z60" s="13">
        <f t="shared" si="108"/>
        <v>0</v>
      </c>
      <c r="AA60" s="13">
        <f t="shared" si="108"/>
        <v>0</v>
      </c>
      <c r="AB60" s="13">
        <f t="shared" si="108"/>
        <v>0</v>
      </c>
      <c r="AC60" s="13">
        <f t="shared" si="108"/>
        <v>0</v>
      </c>
      <c r="AD60" s="13">
        <f t="shared" si="108"/>
        <v>0</v>
      </c>
      <c r="AE60" s="13">
        <f t="shared" si="108"/>
        <v>0</v>
      </c>
      <c r="AF60" s="13">
        <f t="shared" si="108"/>
        <v>0</v>
      </c>
      <c r="AG60" s="40"/>
      <c r="AH60" s="71" t="e">
        <f>SUM(AF60/AB60)-1</f>
        <v>#DIV/0!</v>
      </c>
    </row>
    <row r="61" spans="2:34" ht="12.75" customHeight="1">
      <c r="B61" s="23"/>
      <c r="C61" s="49"/>
      <c r="D61" s="39"/>
      <c r="E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37"/>
    </row>
    <row r="62" spans="2:34" ht="12.75" customHeight="1">
      <c r="B62" s="74" t="s">
        <v>59</v>
      </c>
      <c r="C62" s="49"/>
      <c r="D62" s="39"/>
      <c r="E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37"/>
    </row>
    <row r="63" spans="2:34" ht="12.75" customHeight="1">
      <c r="B63" s="110" t="s">
        <v>15</v>
      </c>
      <c r="C63" s="79"/>
      <c r="D63" s="79"/>
      <c r="E63" s="79"/>
      <c r="G63" s="111"/>
      <c r="H63" s="111"/>
      <c r="I63" s="111"/>
      <c r="J63" s="87">
        <f t="shared" ref="J63:J68" si="109">C63</f>
        <v>0</v>
      </c>
      <c r="K63" s="111"/>
      <c r="L63" s="111"/>
      <c r="M63" s="111"/>
      <c r="N63" s="87">
        <f t="shared" ref="N63:N68" si="110">D63</f>
        <v>0</v>
      </c>
      <c r="O63" s="111"/>
      <c r="P63" s="111"/>
      <c r="Q63" s="111"/>
      <c r="R63" s="87">
        <f t="shared" ref="R63:R68" si="111">E63</f>
        <v>0</v>
      </c>
      <c r="S63" s="111"/>
      <c r="T63" s="111"/>
      <c r="V63" s="30">
        <f t="shared" ref="V63:AA64" si="112">K63</f>
        <v>0</v>
      </c>
      <c r="W63" s="30">
        <f t="shared" si="112"/>
        <v>0</v>
      </c>
      <c r="X63" s="30">
        <f t="shared" si="112"/>
        <v>0</v>
      </c>
      <c r="Y63" s="30">
        <f t="shared" si="112"/>
        <v>0</v>
      </c>
      <c r="Z63" s="30">
        <f t="shared" si="112"/>
        <v>0</v>
      </c>
      <c r="AA63" s="30">
        <f t="shared" si="112"/>
        <v>0</v>
      </c>
      <c r="AB63" s="87">
        <f t="shared" ref="AB63:AB68" si="113">P63</f>
        <v>0</v>
      </c>
      <c r="AC63" s="87">
        <f t="shared" ref="AC63:AC68" si="114">Q63</f>
        <v>0</v>
      </c>
      <c r="AD63" s="87">
        <f t="shared" ref="AD63:AD68" si="115">R63</f>
        <v>0</v>
      </c>
      <c r="AE63" s="87">
        <f t="shared" ref="AE63:AE68" si="116">S63</f>
        <v>0</v>
      </c>
      <c r="AF63" s="87">
        <f t="shared" ref="AF63:AF68" si="117">T63</f>
        <v>0</v>
      </c>
      <c r="AG63" s="11"/>
      <c r="AH63" s="70" t="e">
        <f t="shared" ref="AH63" si="118">SUM(AF63/AB63)-1</f>
        <v>#DIV/0!</v>
      </c>
    </row>
    <row r="64" spans="2:34" ht="12.75" customHeight="1">
      <c r="B64" s="110" t="s">
        <v>154</v>
      </c>
      <c r="C64" s="79"/>
      <c r="D64" s="79"/>
      <c r="E64" s="79"/>
      <c r="G64" s="111"/>
      <c r="H64" s="111"/>
      <c r="I64" s="111"/>
      <c r="J64" s="87">
        <f t="shared" si="109"/>
        <v>0</v>
      </c>
      <c r="K64" s="111"/>
      <c r="L64" s="111"/>
      <c r="M64" s="111"/>
      <c r="N64" s="87">
        <f t="shared" si="110"/>
        <v>0</v>
      </c>
      <c r="O64" s="111"/>
      <c r="P64" s="111"/>
      <c r="Q64" s="111"/>
      <c r="R64" s="87">
        <f t="shared" si="111"/>
        <v>0</v>
      </c>
      <c r="S64" s="111"/>
      <c r="T64" s="111"/>
      <c r="V64" s="30">
        <f t="shared" si="112"/>
        <v>0</v>
      </c>
      <c r="W64" s="30">
        <f t="shared" si="112"/>
        <v>0</v>
      </c>
      <c r="X64" s="30">
        <f t="shared" si="112"/>
        <v>0</v>
      </c>
      <c r="Y64" s="30">
        <f t="shared" si="112"/>
        <v>0</v>
      </c>
      <c r="Z64" s="30">
        <f t="shared" si="112"/>
        <v>0</v>
      </c>
      <c r="AA64" s="30">
        <f t="shared" si="112"/>
        <v>0</v>
      </c>
      <c r="AB64" s="87">
        <f t="shared" si="113"/>
        <v>0</v>
      </c>
      <c r="AC64" s="87">
        <f t="shared" si="114"/>
        <v>0</v>
      </c>
      <c r="AD64" s="87">
        <f t="shared" si="115"/>
        <v>0</v>
      </c>
      <c r="AE64" s="87">
        <f t="shared" si="116"/>
        <v>0</v>
      </c>
      <c r="AF64" s="87">
        <f t="shared" si="117"/>
        <v>0</v>
      </c>
      <c r="AG64" s="11"/>
      <c r="AH64" s="70" t="e">
        <f t="shared" ref="AH64:AH68" si="119">SUM(AF64/AB64)-1</f>
        <v>#DIV/0!</v>
      </c>
    </row>
    <row r="65" spans="2:34" ht="12.75" customHeight="1">
      <c r="B65" s="110" t="s">
        <v>155</v>
      </c>
      <c r="C65" s="79"/>
      <c r="D65" s="79"/>
      <c r="E65" s="79"/>
      <c r="G65" s="111"/>
      <c r="H65" s="111"/>
      <c r="I65" s="111"/>
      <c r="J65" s="87">
        <f t="shared" si="109"/>
        <v>0</v>
      </c>
      <c r="K65" s="111"/>
      <c r="L65" s="111"/>
      <c r="M65" s="111"/>
      <c r="N65" s="87">
        <f t="shared" si="110"/>
        <v>0</v>
      </c>
      <c r="O65" s="111"/>
      <c r="P65" s="111"/>
      <c r="Q65" s="111"/>
      <c r="R65" s="87">
        <f t="shared" si="111"/>
        <v>0</v>
      </c>
      <c r="S65" s="111"/>
      <c r="T65" s="111"/>
      <c r="V65" s="30"/>
      <c r="W65" s="30"/>
      <c r="X65" s="30"/>
      <c r="Y65" s="30"/>
      <c r="Z65" s="30"/>
      <c r="AA65" s="30"/>
      <c r="AB65" s="87">
        <f t="shared" si="113"/>
        <v>0</v>
      </c>
      <c r="AC65" s="87">
        <f t="shared" si="114"/>
        <v>0</v>
      </c>
      <c r="AD65" s="87">
        <f t="shared" si="115"/>
        <v>0</v>
      </c>
      <c r="AE65" s="87">
        <f t="shared" si="116"/>
        <v>0</v>
      </c>
      <c r="AF65" s="87">
        <f t="shared" si="117"/>
        <v>0</v>
      </c>
      <c r="AG65" s="11"/>
      <c r="AH65" s="70" t="e">
        <f t="shared" si="119"/>
        <v>#DIV/0!</v>
      </c>
    </row>
    <row r="66" spans="2:34" ht="12.75" customHeight="1">
      <c r="B66" s="110" t="s">
        <v>156</v>
      </c>
      <c r="C66" s="79"/>
      <c r="D66" s="79"/>
      <c r="E66" s="79"/>
      <c r="G66" s="111"/>
      <c r="H66" s="111"/>
      <c r="I66" s="111"/>
      <c r="J66" s="87">
        <f t="shared" si="109"/>
        <v>0</v>
      </c>
      <c r="K66" s="111"/>
      <c r="L66" s="111"/>
      <c r="M66" s="111"/>
      <c r="N66" s="87">
        <f t="shared" si="110"/>
        <v>0</v>
      </c>
      <c r="O66" s="111"/>
      <c r="P66" s="111"/>
      <c r="Q66" s="111"/>
      <c r="R66" s="87">
        <f t="shared" si="111"/>
        <v>0</v>
      </c>
      <c r="S66" s="111"/>
      <c r="T66" s="111"/>
      <c r="V66" s="30"/>
      <c r="W66" s="30"/>
      <c r="X66" s="30"/>
      <c r="Y66" s="30"/>
      <c r="Z66" s="30"/>
      <c r="AA66" s="30"/>
      <c r="AB66" s="87">
        <f t="shared" si="113"/>
        <v>0</v>
      </c>
      <c r="AC66" s="87">
        <f t="shared" si="114"/>
        <v>0</v>
      </c>
      <c r="AD66" s="87">
        <f t="shared" si="115"/>
        <v>0</v>
      </c>
      <c r="AE66" s="87">
        <f t="shared" si="116"/>
        <v>0</v>
      </c>
      <c r="AF66" s="87">
        <f t="shared" si="117"/>
        <v>0</v>
      </c>
      <c r="AG66" s="11"/>
      <c r="AH66" s="70" t="e">
        <f t="shared" si="119"/>
        <v>#DIV/0!</v>
      </c>
    </row>
    <row r="67" spans="2:34" ht="12.75" customHeight="1">
      <c r="B67" s="110" t="s">
        <v>124</v>
      </c>
      <c r="C67" s="79"/>
      <c r="D67" s="79"/>
      <c r="E67" s="79"/>
      <c r="G67" s="111"/>
      <c r="H67" s="111"/>
      <c r="I67" s="111"/>
      <c r="J67" s="87">
        <f t="shared" si="109"/>
        <v>0</v>
      </c>
      <c r="K67" s="111"/>
      <c r="L67" s="111"/>
      <c r="M67" s="111"/>
      <c r="N67" s="87">
        <f t="shared" si="110"/>
        <v>0</v>
      </c>
      <c r="O67" s="111"/>
      <c r="P67" s="111"/>
      <c r="Q67" s="111"/>
      <c r="R67" s="87">
        <f t="shared" si="111"/>
        <v>0</v>
      </c>
      <c r="S67" s="111"/>
      <c r="T67" s="111"/>
      <c r="V67" s="30">
        <f t="shared" ref="V67:AA68" si="120">K67</f>
        <v>0</v>
      </c>
      <c r="W67" s="30">
        <f t="shared" si="120"/>
        <v>0</v>
      </c>
      <c r="X67" s="30">
        <f t="shared" si="120"/>
        <v>0</v>
      </c>
      <c r="Y67" s="30">
        <f t="shared" si="120"/>
        <v>0</v>
      </c>
      <c r="Z67" s="30">
        <f t="shared" si="120"/>
        <v>0</v>
      </c>
      <c r="AA67" s="30">
        <f t="shared" si="120"/>
        <v>0</v>
      </c>
      <c r="AB67" s="87">
        <f t="shared" si="113"/>
        <v>0</v>
      </c>
      <c r="AC67" s="87">
        <f t="shared" si="114"/>
        <v>0</v>
      </c>
      <c r="AD67" s="87">
        <f t="shared" si="115"/>
        <v>0</v>
      </c>
      <c r="AE67" s="87">
        <f t="shared" si="116"/>
        <v>0</v>
      </c>
      <c r="AF67" s="87">
        <f t="shared" si="117"/>
        <v>0</v>
      </c>
      <c r="AG67" s="11"/>
      <c r="AH67" s="70" t="e">
        <f t="shared" si="119"/>
        <v>#DIV/0!</v>
      </c>
    </row>
    <row r="68" spans="2:34" ht="12.75" customHeight="1">
      <c r="B68" s="110" t="s">
        <v>157</v>
      </c>
      <c r="C68" s="79"/>
      <c r="D68" s="79"/>
      <c r="E68" s="79"/>
      <c r="G68" s="111"/>
      <c r="H68" s="111"/>
      <c r="I68" s="111"/>
      <c r="J68" s="87">
        <f t="shared" si="109"/>
        <v>0</v>
      </c>
      <c r="K68" s="111"/>
      <c r="L68" s="111"/>
      <c r="M68" s="111"/>
      <c r="N68" s="87">
        <f t="shared" si="110"/>
        <v>0</v>
      </c>
      <c r="O68" s="111"/>
      <c r="P68" s="111"/>
      <c r="Q68" s="111"/>
      <c r="R68" s="87">
        <f t="shared" si="111"/>
        <v>0</v>
      </c>
      <c r="S68" s="111"/>
      <c r="T68" s="111"/>
      <c r="V68" s="30">
        <f t="shared" si="120"/>
        <v>0</v>
      </c>
      <c r="W68" s="30">
        <f t="shared" si="120"/>
        <v>0</v>
      </c>
      <c r="X68" s="30">
        <f t="shared" si="120"/>
        <v>0</v>
      </c>
      <c r="Y68" s="30">
        <f t="shared" si="120"/>
        <v>0</v>
      </c>
      <c r="Z68" s="30">
        <f t="shared" si="120"/>
        <v>0</v>
      </c>
      <c r="AA68" s="30">
        <f t="shared" si="120"/>
        <v>0</v>
      </c>
      <c r="AB68" s="87">
        <f t="shared" si="113"/>
        <v>0</v>
      </c>
      <c r="AC68" s="87">
        <f t="shared" si="114"/>
        <v>0</v>
      </c>
      <c r="AD68" s="87">
        <f t="shared" si="115"/>
        <v>0</v>
      </c>
      <c r="AE68" s="87">
        <f t="shared" si="116"/>
        <v>0</v>
      </c>
      <c r="AF68" s="87">
        <f t="shared" si="117"/>
        <v>0</v>
      </c>
      <c r="AG68" s="11"/>
      <c r="AH68" s="70" t="e">
        <f t="shared" si="119"/>
        <v>#DIV/0!</v>
      </c>
    </row>
    <row r="69" spans="2:34" ht="12.75" customHeight="1">
      <c r="B69" s="23" t="s">
        <v>21</v>
      </c>
      <c r="C69" s="24">
        <f>SUM(C63:C68)</f>
        <v>0</v>
      </c>
      <c r="D69" s="24">
        <f>SUM(D63:D68)</f>
        <v>0</v>
      </c>
      <c r="E69" s="24">
        <f>SUM(E63:E68)</f>
        <v>0</v>
      </c>
      <c r="G69" s="24">
        <f t="shared" ref="G69:T69" si="121">SUM(G63:G68)</f>
        <v>0</v>
      </c>
      <c r="H69" s="24">
        <f t="shared" si="121"/>
        <v>0</v>
      </c>
      <c r="I69" s="24">
        <f t="shared" si="121"/>
        <v>0</v>
      </c>
      <c r="J69" s="24">
        <f t="shared" si="121"/>
        <v>0</v>
      </c>
      <c r="K69" s="24">
        <f t="shared" si="121"/>
        <v>0</v>
      </c>
      <c r="L69" s="24">
        <f t="shared" si="121"/>
        <v>0</v>
      </c>
      <c r="M69" s="24">
        <f t="shared" si="121"/>
        <v>0</v>
      </c>
      <c r="N69" s="24">
        <f t="shared" si="121"/>
        <v>0</v>
      </c>
      <c r="O69" s="24">
        <f t="shared" si="121"/>
        <v>0</v>
      </c>
      <c r="P69" s="24">
        <f t="shared" si="121"/>
        <v>0</v>
      </c>
      <c r="Q69" s="24">
        <f t="shared" si="121"/>
        <v>0</v>
      </c>
      <c r="R69" s="24">
        <f t="shared" si="121"/>
        <v>0</v>
      </c>
      <c r="S69" s="24">
        <f t="shared" si="121"/>
        <v>0</v>
      </c>
      <c r="T69" s="24">
        <f t="shared" si="121"/>
        <v>0</v>
      </c>
      <c r="U69" s="47"/>
      <c r="V69" s="24">
        <f t="shared" ref="V69:AF69" si="122">SUM(V63:V68)</f>
        <v>0</v>
      </c>
      <c r="W69" s="24">
        <f t="shared" si="122"/>
        <v>0</v>
      </c>
      <c r="X69" s="24">
        <f t="shared" si="122"/>
        <v>0</v>
      </c>
      <c r="Y69" s="24">
        <f t="shared" si="122"/>
        <v>0</v>
      </c>
      <c r="Z69" s="24">
        <f t="shared" si="122"/>
        <v>0</v>
      </c>
      <c r="AA69" s="24">
        <f t="shared" si="122"/>
        <v>0</v>
      </c>
      <c r="AB69" s="24">
        <f t="shared" si="122"/>
        <v>0</v>
      </c>
      <c r="AC69" s="24">
        <f t="shared" si="122"/>
        <v>0</v>
      </c>
      <c r="AD69" s="24">
        <f t="shared" si="122"/>
        <v>0</v>
      </c>
      <c r="AE69" s="24">
        <f t="shared" si="122"/>
        <v>0</v>
      </c>
      <c r="AF69" s="24">
        <f t="shared" si="122"/>
        <v>0</v>
      </c>
      <c r="AG69" s="40"/>
      <c r="AH69" s="71" t="e">
        <f>SUM(AF69/AB69)-1</f>
        <v>#DIV/0!</v>
      </c>
    </row>
    <row r="70" spans="2:34" ht="5.0999999999999996" customHeight="1">
      <c r="B70" s="23"/>
      <c r="C70" s="49"/>
      <c r="D70" s="39"/>
      <c r="E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37"/>
    </row>
    <row r="71" spans="2:34">
      <c r="B71" s="74" t="s">
        <v>111</v>
      </c>
      <c r="C71" s="49"/>
      <c r="D71" s="39"/>
      <c r="E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37"/>
    </row>
    <row r="72" spans="2:34" ht="12.75" customHeight="1">
      <c r="B72" s="110" t="s">
        <v>158</v>
      </c>
      <c r="C72" s="79"/>
      <c r="D72" s="79"/>
      <c r="E72" s="79"/>
      <c r="G72" s="111"/>
      <c r="H72" s="111"/>
      <c r="I72" s="111"/>
      <c r="J72" s="87">
        <f t="shared" ref="J72:J77" si="123">C72</f>
        <v>0</v>
      </c>
      <c r="K72" s="111"/>
      <c r="L72" s="111"/>
      <c r="M72" s="111"/>
      <c r="N72" s="87">
        <f t="shared" ref="N72:N77" si="124">D72</f>
        <v>0</v>
      </c>
      <c r="O72" s="111"/>
      <c r="P72" s="111"/>
      <c r="Q72" s="111"/>
      <c r="R72" s="87">
        <f t="shared" ref="R72:R77" si="125">E72</f>
        <v>0</v>
      </c>
      <c r="S72" s="111"/>
      <c r="T72" s="111"/>
      <c r="V72" s="30">
        <f t="shared" ref="V72:AA73" si="126">K72</f>
        <v>0</v>
      </c>
      <c r="W72" s="30">
        <f t="shared" si="126"/>
        <v>0</v>
      </c>
      <c r="X72" s="30">
        <f t="shared" si="126"/>
        <v>0</v>
      </c>
      <c r="Y72" s="30">
        <f t="shared" si="126"/>
        <v>0</v>
      </c>
      <c r="Z72" s="30">
        <f t="shared" si="126"/>
        <v>0</v>
      </c>
      <c r="AA72" s="30">
        <f t="shared" si="126"/>
        <v>0</v>
      </c>
      <c r="AB72" s="87">
        <f t="shared" ref="AB72:AB77" si="127">P72</f>
        <v>0</v>
      </c>
      <c r="AC72" s="87">
        <f t="shared" ref="AC72:AC77" si="128">Q72</f>
        <v>0</v>
      </c>
      <c r="AD72" s="87">
        <f t="shared" ref="AD72:AD77" si="129">R72</f>
        <v>0</v>
      </c>
      <c r="AE72" s="87">
        <f t="shared" ref="AE72:AE77" si="130">S72</f>
        <v>0</v>
      </c>
      <c r="AF72" s="87">
        <f t="shared" ref="AF72:AF77" si="131">T72</f>
        <v>0</v>
      </c>
      <c r="AG72" s="40"/>
      <c r="AH72" s="70" t="e">
        <f t="shared" ref="AH72:AH77" si="132">SUM(AF72/AB72)-1</f>
        <v>#DIV/0!</v>
      </c>
    </row>
    <row r="73" spans="2:34" ht="12.75" customHeight="1">
      <c r="B73" s="110" t="s">
        <v>182</v>
      </c>
      <c r="C73" s="79"/>
      <c r="D73" s="79"/>
      <c r="E73" s="79"/>
      <c r="G73" s="111"/>
      <c r="H73" s="111"/>
      <c r="I73" s="111"/>
      <c r="J73" s="87">
        <f t="shared" si="123"/>
        <v>0</v>
      </c>
      <c r="K73" s="111"/>
      <c r="L73" s="111"/>
      <c r="M73" s="111"/>
      <c r="N73" s="87">
        <f t="shared" si="124"/>
        <v>0</v>
      </c>
      <c r="O73" s="111"/>
      <c r="P73" s="111"/>
      <c r="Q73" s="111"/>
      <c r="R73" s="87">
        <f t="shared" si="125"/>
        <v>0</v>
      </c>
      <c r="S73" s="111"/>
      <c r="T73" s="111"/>
      <c r="V73" s="30">
        <f t="shared" si="126"/>
        <v>0</v>
      </c>
      <c r="W73" s="30">
        <f t="shared" si="126"/>
        <v>0</v>
      </c>
      <c r="X73" s="30">
        <f t="shared" si="126"/>
        <v>0</v>
      </c>
      <c r="Y73" s="30">
        <f t="shared" si="126"/>
        <v>0</v>
      </c>
      <c r="Z73" s="30">
        <f t="shared" si="126"/>
        <v>0</v>
      </c>
      <c r="AA73" s="30">
        <f t="shared" si="126"/>
        <v>0</v>
      </c>
      <c r="AB73" s="87">
        <f t="shared" si="127"/>
        <v>0</v>
      </c>
      <c r="AC73" s="87">
        <f t="shared" si="128"/>
        <v>0</v>
      </c>
      <c r="AD73" s="87">
        <f t="shared" si="129"/>
        <v>0</v>
      </c>
      <c r="AE73" s="87">
        <f t="shared" si="130"/>
        <v>0</v>
      </c>
      <c r="AF73" s="87">
        <f t="shared" si="131"/>
        <v>0</v>
      </c>
      <c r="AG73" s="40"/>
      <c r="AH73" s="70" t="e">
        <f t="shared" si="132"/>
        <v>#DIV/0!</v>
      </c>
    </row>
    <row r="74" spans="2:34" ht="12.75" customHeight="1">
      <c r="B74" s="110" t="s">
        <v>159</v>
      </c>
      <c r="C74" s="79"/>
      <c r="D74" s="79"/>
      <c r="E74" s="79"/>
      <c r="G74" s="111"/>
      <c r="H74" s="111"/>
      <c r="I74" s="111"/>
      <c r="J74" s="87">
        <f t="shared" si="123"/>
        <v>0</v>
      </c>
      <c r="K74" s="111"/>
      <c r="L74" s="111"/>
      <c r="M74" s="111"/>
      <c r="N74" s="87">
        <f t="shared" si="124"/>
        <v>0</v>
      </c>
      <c r="O74" s="111"/>
      <c r="P74" s="111"/>
      <c r="Q74" s="111"/>
      <c r="R74" s="87">
        <f t="shared" si="125"/>
        <v>0</v>
      </c>
      <c r="S74" s="111"/>
      <c r="T74" s="111"/>
      <c r="V74" s="30"/>
      <c r="W74" s="30"/>
      <c r="X74" s="30"/>
      <c r="Y74" s="30"/>
      <c r="Z74" s="30"/>
      <c r="AA74" s="30"/>
      <c r="AB74" s="87">
        <f t="shared" si="127"/>
        <v>0</v>
      </c>
      <c r="AC74" s="87">
        <f t="shared" si="128"/>
        <v>0</v>
      </c>
      <c r="AD74" s="87">
        <f t="shared" si="129"/>
        <v>0</v>
      </c>
      <c r="AE74" s="87">
        <f t="shared" si="130"/>
        <v>0</v>
      </c>
      <c r="AF74" s="87">
        <f t="shared" si="131"/>
        <v>0</v>
      </c>
      <c r="AG74" s="40"/>
      <c r="AH74" s="70" t="e">
        <f t="shared" si="132"/>
        <v>#DIV/0!</v>
      </c>
    </row>
    <row r="75" spans="2:34" ht="12.75" customHeight="1">
      <c r="B75" s="110" t="s">
        <v>160</v>
      </c>
      <c r="C75" s="79"/>
      <c r="D75" s="79"/>
      <c r="E75" s="79"/>
      <c r="G75" s="111"/>
      <c r="H75" s="111"/>
      <c r="I75" s="111"/>
      <c r="J75" s="87">
        <f t="shared" si="123"/>
        <v>0</v>
      </c>
      <c r="K75" s="111"/>
      <c r="L75" s="111"/>
      <c r="M75" s="111"/>
      <c r="N75" s="87">
        <f t="shared" si="124"/>
        <v>0</v>
      </c>
      <c r="O75" s="111"/>
      <c r="P75" s="111"/>
      <c r="Q75" s="111"/>
      <c r="R75" s="87">
        <f t="shared" si="125"/>
        <v>0</v>
      </c>
      <c r="S75" s="111"/>
      <c r="T75" s="111"/>
      <c r="V75" s="30"/>
      <c r="W75" s="30"/>
      <c r="X75" s="30"/>
      <c r="Y75" s="30"/>
      <c r="Z75" s="30"/>
      <c r="AA75" s="30"/>
      <c r="AB75" s="87">
        <f t="shared" si="127"/>
        <v>0</v>
      </c>
      <c r="AC75" s="87">
        <f t="shared" si="128"/>
        <v>0</v>
      </c>
      <c r="AD75" s="87">
        <f t="shared" si="129"/>
        <v>0</v>
      </c>
      <c r="AE75" s="87">
        <f t="shared" si="130"/>
        <v>0</v>
      </c>
      <c r="AF75" s="87">
        <f t="shared" si="131"/>
        <v>0</v>
      </c>
      <c r="AG75" s="40"/>
      <c r="AH75" s="70" t="e">
        <f t="shared" si="132"/>
        <v>#DIV/0!</v>
      </c>
    </row>
    <row r="76" spans="2:34" ht="12.75" customHeight="1">
      <c r="B76" s="110" t="s">
        <v>161</v>
      </c>
      <c r="C76" s="79"/>
      <c r="D76" s="79"/>
      <c r="E76" s="79"/>
      <c r="G76" s="111"/>
      <c r="H76" s="111"/>
      <c r="I76" s="111"/>
      <c r="J76" s="87">
        <f t="shared" si="123"/>
        <v>0</v>
      </c>
      <c r="K76" s="111"/>
      <c r="L76" s="111"/>
      <c r="M76" s="111"/>
      <c r="N76" s="87">
        <f t="shared" si="124"/>
        <v>0</v>
      </c>
      <c r="O76" s="111"/>
      <c r="P76" s="111"/>
      <c r="Q76" s="111"/>
      <c r="R76" s="87">
        <f t="shared" si="125"/>
        <v>0</v>
      </c>
      <c r="S76" s="111"/>
      <c r="T76" s="111"/>
      <c r="V76" s="30"/>
      <c r="W76" s="30"/>
      <c r="X76" s="30"/>
      <c r="Y76" s="30"/>
      <c r="Z76" s="30"/>
      <c r="AA76" s="30"/>
      <c r="AB76" s="87">
        <f t="shared" si="127"/>
        <v>0</v>
      </c>
      <c r="AC76" s="87">
        <f t="shared" si="128"/>
        <v>0</v>
      </c>
      <c r="AD76" s="87">
        <f t="shared" si="129"/>
        <v>0</v>
      </c>
      <c r="AE76" s="87">
        <f t="shared" si="130"/>
        <v>0</v>
      </c>
      <c r="AF76" s="87">
        <f t="shared" si="131"/>
        <v>0</v>
      </c>
      <c r="AG76" s="40"/>
      <c r="AH76" s="70" t="e">
        <f t="shared" si="132"/>
        <v>#DIV/0!</v>
      </c>
    </row>
    <row r="77" spans="2:34" ht="12.75" customHeight="1">
      <c r="B77" s="110" t="s">
        <v>162</v>
      </c>
      <c r="C77" s="79"/>
      <c r="D77" s="79"/>
      <c r="E77" s="79"/>
      <c r="G77" s="111"/>
      <c r="H77" s="111"/>
      <c r="I77" s="111"/>
      <c r="J77" s="87">
        <f t="shared" si="123"/>
        <v>0</v>
      </c>
      <c r="K77" s="111"/>
      <c r="L77" s="111"/>
      <c r="M77" s="111"/>
      <c r="N77" s="87">
        <f t="shared" si="124"/>
        <v>0</v>
      </c>
      <c r="O77" s="111"/>
      <c r="P77" s="111"/>
      <c r="Q77" s="111"/>
      <c r="R77" s="87">
        <f t="shared" si="125"/>
        <v>0</v>
      </c>
      <c r="S77" s="111"/>
      <c r="T77" s="111"/>
      <c r="V77" s="30">
        <f t="shared" ref="V77:AA77" si="133">K77</f>
        <v>0</v>
      </c>
      <c r="W77" s="30">
        <f t="shared" si="133"/>
        <v>0</v>
      </c>
      <c r="X77" s="30">
        <f t="shared" si="133"/>
        <v>0</v>
      </c>
      <c r="Y77" s="30">
        <f t="shared" si="133"/>
        <v>0</v>
      </c>
      <c r="Z77" s="30">
        <f t="shared" si="133"/>
        <v>0</v>
      </c>
      <c r="AA77" s="30">
        <f t="shared" si="133"/>
        <v>0</v>
      </c>
      <c r="AB77" s="87">
        <f t="shared" si="127"/>
        <v>0</v>
      </c>
      <c r="AC77" s="87">
        <f t="shared" si="128"/>
        <v>0</v>
      </c>
      <c r="AD77" s="87">
        <f t="shared" si="129"/>
        <v>0</v>
      </c>
      <c r="AE77" s="87">
        <f t="shared" si="130"/>
        <v>0</v>
      </c>
      <c r="AF77" s="87">
        <f t="shared" si="131"/>
        <v>0</v>
      </c>
      <c r="AG77" s="40"/>
      <c r="AH77" s="70" t="e">
        <f t="shared" si="132"/>
        <v>#DIV/0!</v>
      </c>
    </row>
    <row r="78" spans="2:34" ht="12.75" customHeight="1">
      <c r="B78" s="12" t="s">
        <v>19</v>
      </c>
      <c r="C78" s="13">
        <f>SUM(C72:C77)+C69</f>
        <v>0</v>
      </c>
      <c r="D78" s="13">
        <f>SUM(D72:D77)+D69</f>
        <v>0</v>
      </c>
      <c r="E78" s="13">
        <f>SUM(E72:E77)+E69</f>
        <v>0</v>
      </c>
      <c r="G78" s="13">
        <f t="shared" ref="G78:T78" si="134">SUM(G72:G77)+G69</f>
        <v>0</v>
      </c>
      <c r="H78" s="13">
        <f t="shared" si="134"/>
        <v>0</v>
      </c>
      <c r="I78" s="13">
        <f t="shared" si="134"/>
        <v>0</v>
      </c>
      <c r="J78" s="13">
        <f t="shared" si="134"/>
        <v>0</v>
      </c>
      <c r="K78" s="13">
        <f t="shared" si="134"/>
        <v>0</v>
      </c>
      <c r="L78" s="13">
        <f t="shared" si="134"/>
        <v>0</v>
      </c>
      <c r="M78" s="13">
        <f t="shared" si="134"/>
        <v>0</v>
      </c>
      <c r="N78" s="13">
        <f t="shared" si="134"/>
        <v>0</v>
      </c>
      <c r="O78" s="13">
        <f t="shared" si="134"/>
        <v>0</v>
      </c>
      <c r="P78" s="13">
        <f t="shared" si="134"/>
        <v>0</v>
      </c>
      <c r="Q78" s="13">
        <f t="shared" si="134"/>
        <v>0</v>
      </c>
      <c r="R78" s="13">
        <f t="shared" si="134"/>
        <v>0</v>
      </c>
      <c r="S78" s="13">
        <f t="shared" si="134"/>
        <v>0</v>
      </c>
      <c r="T78" s="13">
        <f t="shared" si="134"/>
        <v>0</v>
      </c>
      <c r="V78" s="13">
        <f t="shared" ref="V78:AF78" si="135">SUM(V72:V77)+V69</f>
        <v>0</v>
      </c>
      <c r="W78" s="13">
        <f t="shared" si="135"/>
        <v>0</v>
      </c>
      <c r="X78" s="13">
        <f t="shared" si="135"/>
        <v>0</v>
      </c>
      <c r="Y78" s="13">
        <f t="shared" si="135"/>
        <v>0</v>
      </c>
      <c r="Z78" s="13">
        <f t="shared" si="135"/>
        <v>0</v>
      </c>
      <c r="AA78" s="13">
        <f t="shared" si="135"/>
        <v>0</v>
      </c>
      <c r="AB78" s="13">
        <f t="shared" si="135"/>
        <v>0</v>
      </c>
      <c r="AC78" s="13">
        <f t="shared" si="135"/>
        <v>0</v>
      </c>
      <c r="AD78" s="13">
        <f t="shared" si="135"/>
        <v>0</v>
      </c>
      <c r="AE78" s="13">
        <f t="shared" si="135"/>
        <v>0</v>
      </c>
      <c r="AF78" s="13">
        <f t="shared" si="135"/>
        <v>0</v>
      </c>
      <c r="AG78" s="40"/>
      <c r="AH78" s="71" t="e">
        <f>SUM(AF78/AB78)-1</f>
        <v>#DIV/0!</v>
      </c>
    </row>
    <row r="79" spans="2:34" ht="5.0999999999999996" customHeight="1">
      <c r="B79" s="23"/>
      <c r="C79" s="48"/>
      <c r="D79" s="39"/>
      <c r="E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37"/>
    </row>
    <row r="80" spans="2:34" ht="12.75" customHeight="1">
      <c r="B80" s="9" t="s">
        <v>163</v>
      </c>
      <c r="C80" s="79"/>
      <c r="D80" s="79"/>
      <c r="E80" s="79"/>
      <c r="G80" s="111"/>
      <c r="H80" s="111"/>
      <c r="I80" s="111"/>
      <c r="J80" s="87">
        <f t="shared" ref="J80:J85" si="136">C80</f>
        <v>0</v>
      </c>
      <c r="K80" s="111"/>
      <c r="L80" s="111"/>
      <c r="M80" s="111"/>
      <c r="N80" s="87">
        <f t="shared" ref="N80:N85" si="137">D80</f>
        <v>0</v>
      </c>
      <c r="O80" s="111"/>
      <c r="P80" s="111"/>
      <c r="Q80" s="111"/>
      <c r="R80" s="87">
        <f t="shared" ref="R80:R85" si="138">E80</f>
        <v>0</v>
      </c>
      <c r="S80" s="111"/>
      <c r="T80" s="111"/>
      <c r="V80" s="30">
        <f t="shared" ref="V80:AA80" si="139">K80</f>
        <v>0</v>
      </c>
      <c r="W80" s="30">
        <f t="shared" si="139"/>
        <v>0</v>
      </c>
      <c r="X80" s="30">
        <f t="shared" si="139"/>
        <v>0</v>
      </c>
      <c r="Y80" s="30">
        <f t="shared" si="139"/>
        <v>0</v>
      </c>
      <c r="Z80" s="30">
        <f t="shared" si="139"/>
        <v>0</v>
      </c>
      <c r="AA80" s="30">
        <f t="shared" si="139"/>
        <v>0</v>
      </c>
      <c r="AB80" s="87">
        <f t="shared" ref="AB80:AB85" si="140">P80</f>
        <v>0</v>
      </c>
      <c r="AC80" s="87">
        <f t="shared" ref="AC80:AC85" si="141">Q80</f>
        <v>0</v>
      </c>
      <c r="AD80" s="87">
        <f t="shared" ref="AD80:AD85" si="142">R80</f>
        <v>0</v>
      </c>
      <c r="AE80" s="87">
        <f t="shared" ref="AE80:AE85" si="143">S80</f>
        <v>0</v>
      </c>
      <c r="AF80" s="87">
        <f t="shared" ref="AF80:AF85" si="144">T80</f>
        <v>0</v>
      </c>
      <c r="AG80" s="11"/>
      <c r="AH80" s="70" t="e">
        <f t="shared" ref="AH80:AH85" si="145">SUM(AF80/AB80)-1</f>
        <v>#DIV/0!</v>
      </c>
    </row>
    <row r="81" spans="1:34" ht="12.75" customHeight="1">
      <c r="B81" s="9" t="s">
        <v>99</v>
      </c>
      <c r="C81" s="79"/>
      <c r="D81" s="79"/>
      <c r="E81" s="79"/>
      <c r="G81" s="111"/>
      <c r="H81" s="111"/>
      <c r="I81" s="111"/>
      <c r="J81" s="87">
        <f t="shared" si="136"/>
        <v>0</v>
      </c>
      <c r="K81" s="111"/>
      <c r="L81" s="111"/>
      <c r="M81" s="111"/>
      <c r="N81" s="87">
        <f t="shared" si="137"/>
        <v>0</v>
      </c>
      <c r="O81" s="111"/>
      <c r="P81" s="111"/>
      <c r="Q81" s="111"/>
      <c r="R81" s="87">
        <f t="shared" si="138"/>
        <v>0</v>
      </c>
      <c r="S81" s="111"/>
      <c r="T81" s="111"/>
      <c r="V81" s="30"/>
      <c r="W81" s="30"/>
      <c r="X81" s="30"/>
      <c r="Y81" s="30"/>
      <c r="Z81" s="30"/>
      <c r="AA81" s="30"/>
      <c r="AB81" s="87">
        <f t="shared" si="140"/>
        <v>0</v>
      </c>
      <c r="AC81" s="87">
        <f t="shared" si="141"/>
        <v>0</v>
      </c>
      <c r="AD81" s="87">
        <f t="shared" si="142"/>
        <v>0</v>
      </c>
      <c r="AE81" s="87">
        <f t="shared" si="143"/>
        <v>0</v>
      </c>
      <c r="AF81" s="87">
        <f t="shared" si="144"/>
        <v>0</v>
      </c>
      <c r="AG81" s="11"/>
      <c r="AH81" s="70" t="e">
        <f t="shared" si="145"/>
        <v>#DIV/0!</v>
      </c>
    </row>
    <row r="82" spans="1:34" ht="12.75" customHeight="1">
      <c r="B82" s="9" t="s">
        <v>22</v>
      </c>
      <c r="C82" s="79"/>
      <c r="D82" s="79"/>
      <c r="E82" s="79"/>
      <c r="G82" s="111"/>
      <c r="H82" s="111"/>
      <c r="I82" s="111"/>
      <c r="J82" s="87">
        <f t="shared" si="136"/>
        <v>0</v>
      </c>
      <c r="K82" s="111"/>
      <c r="L82" s="111"/>
      <c r="M82" s="111"/>
      <c r="N82" s="87">
        <f t="shared" si="137"/>
        <v>0</v>
      </c>
      <c r="O82" s="111"/>
      <c r="P82" s="111"/>
      <c r="Q82" s="111"/>
      <c r="R82" s="87">
        <f t="shared" si="138"/>
        <v>0</v>
      </c>
      <c r="S82" s="111"/>
      <c r="T82" s="111"/>
      <c r="V82" s="30"/>
      <c r="W82" s="30"/>
      <c r="X82" s="30"/>
      <c r="Y82" s="30"/>
      <c r="Z82" s="30"/>
      <c r="AA82" s="30"/>
      <c r="AB82" s="87">
        <f t="shared" si="140"/>
        <v>0</v>
      </c>
      <c r="AC82" s="87">
        <f t="shared" si="141"/>
        <v>0</v>
      </c>
      <c r="AD82" s="87">
        <f t="shared" si="142"/>
        <v>0</v>
      </c>
      <c r="AE82" s="87">
        <f t="shared" si="143"/>
        <v>0</v>
      </c>
      <c r="AF82" s="87">
        <f t="shared" si="144"/>
        <v>0</v>
      </c>
      <c r="AG82" s="11"/>
      <c r="AH82" s="70" t="e">
        <f t="shared" si="145"/>
        <v>#DIV/0!</v>
      </c>
    </row>
    <row r="83" spans="1:34" ht="12.75" customHeight="1">
      <c r="B83" s="9" t="s">
        <v>125</v>
      </c>
      <c r="C83" s="79"/>
      <c r="D83" s="79"/>
      <c r="E83" s="79"/>
      <c r="G83" s="111"/>
      <c r="H83" s="111"/>
      <c r="I83" s="111"/>
      <c r="J83" s="87">
        <f t="shared" si="136"/>
        <v>0</v>
      </c>
      <c r="K83" s="111"/>
      <c r="L83" s="111"/>
      <c r="M83" s="111"/>
      <c r="N83" s="87">
        <f t="shared" si="137"/>
        <v>0</v>
      </c>
      <c r="O83" s="111"/>
      <c r="P83" s="111"/>
      <c r="Q83" s="111"/>
      <c r="R83" s="87">
        <f t="shared" si="138"/>
        <v>0</v>
      </c>
      <c r="S83" s="111"/>
      <c r="T83" s="111"/>
      <c r="V83" s="30">
        <f t="shared" ref="V83:AA85" si="146">K83</f>
        <v>0</v>
      </c>
      <c r="W83" s="30">
        <f t="shared" si="146"/>
        <v>0</v>
      </c>
      <c r="X83" s="30">
        <f t="shared" si="146"/>
        <v>0</v>
      </c>
      <c r="Y83" s="30">
        <f t="shared" si="146"/>
        <v>0</v>
      </c>
      <c r="Z83" s="30">
        <f t="shared" si="146"/>
        <v>0</v>
      </c>
      <c r="AA83" s="30">
        <f t="shared" si="146"/>
        <v>0</v>
      </c>
      <c r="AB83" s="87">
        <f t="shared" si="140"/>
        <v>0</v>
      </c>
      <c r="AC83" s="87">
        <f t="shared" si="141"/>
        <v>0</v>
      </c>
      <c r="AD83" s="87">
        <f t="shared" si="142"/>
        <v>0</v>
      </c>
      <c r="AE83" s="87">
        <f t="shared" si="143"/>
        <v>0</v>
      </c>
      <c r="AF83" s="87">
        <f t="shared" si="144"/>
        <v>0</v>
      </c>
      <c r="AG83" s="11"/>
      <c r="AH83" s="70" t="e">
        <f t="shared" si="145"/>
        <v>#DIV/0!</v>
      </c>
    </row>
    <row r="84" spans="1:34" ht="12.75" customHeight="1">
      <c r="B84" s="9" t="s">
        <v>164</v>
      </c>
      <c r="C84" s="79"/>
      <c r="D84" s="79"/>
      <c r="E84" s="79"/>
      <c r="G84" s="111"/>
      <c r="H84" s="111"/>
      <c r="I84" s="111"/>
      <c r="J84" s="87">
        <f t="shared" si="136"/>
        <v>0</v>
      </c>
      <c r="K84" s="111"/>
      <c r="L84" s="111"/>
      <c r="M84" s="111"/>
      <c r="N84" s="87">
        <f t="shared" si="137"/>
        <v>0</v>
      </c>
      <c r="O84" s="111"/>
      <c r="P84" s="111"/>
      <c r="Q84" s="111"/>
      <c r="R84" s="87">
        <f t="shared" si="138"/>
        <v>0</v>
      </c>
      <c r="S84" s="111"/>
      <c r="T84" s="111"/>
      <c r="V84" s="30">
        <f t="shared" si="146"/>
        <v>0</v>
      </c>
      <c r="W84" s="30">
        <f t="shared" si="146"/>
        <v>0</v>
      </c>
      <c r="X84" s="30">
        <f t="shared" si="146"/>
        <v>0</v>
      </c>
      <c r="Y84" s="30">
        <f t="shared" si="146"/>
        <v>0</v>
      </c>
      <c r="Z84" s="30">
        <f t="shared" si="146"/>
        <v>0</v>
      </c>
      <c r="AA84" s="30">
        <f t="shared" si="146"/>
        <v>0</v>
      </c>
      <c r="AB84" s="87">
        <f t="shared" si="140"/>
        <v>0</v>
      </c>
      <c r="AC84" s="87">
        <f t="shared" si="141"/>
        <v>0</v>
      </c>
      <c r="AD84" s="87">
        <f t="shared" si="142"/>
        <v>0</v>
      </c>
      <c r="AE84" s="87">
        <f t="shared" si="143"/>
        <v>0</v>
      </c>
      <c r="AF84" s="87">
        <f t="shared" si="144"/>
        <v>0</v>
      </c>
      <c r="AG84" s="11"/>
      <c r="AH84" s="70" t="e">
        <f t="shared" si="145"/>
        <v>#DIV/0!</v>
      </c>
    </row>
    <row r="85" spans="1:34" ht="12.75" customHeight="1">
      <c r="B85" s="9" t="s">
        <v>126</v>
      </c>
      <c r="C85" s="79"/>
      <c r="D85" s="79"/>
      <c r="E85" s="79"/>
      <c r="G85" s="111"/>
      <c r="H85" s="111"/>
      <c r="I85" s="111"/>
      <c r="J85" s="87">
        <f t="shared" si="136"/>
        <v>0</v>
      </c>
      <c r="K85" s="111"/>
      <c r="L85" s="111"/>
      <c r="M85" s="111"/>
      <c r="N85" s="87">
        <f t="shared" si="137"/>
        <v>0</v>
      </c>
      <c r="O85" s="111"/>
      <c r="P85" s="111"/>
      <c r="Q85" s="111"/>
      <c r="R85" s="87">
        <f t="shared" si="138"/>
        <v>0</v>
      </c>
      <c r="S85" s="111"/>
      <c r="T85" s="111"/>
      <c r="V85" s="30">
        <f t="shared" si="146"/>
        <v>0</v>
      </c>
      <c r="W85" s="30">
        <f t="shared" si="146"/>
        <v>0</v>
      </c>
      <c r="X85" s="30">
        <f t="shared" si="146"/>
        <v>0</v>
      </c>
      <c r="Y85" s="30">
        <f t="shared" si="146"/>
        <v>0</v>
      </c>
      <c r="Z85" s="30">
        <f t="shared" si="146"/>
        <v>0</v>
      </c>
      <c r="AA85" s="30">
        <f t="shared" si="146"/>
        <v>0</v>
      </c>
      <c r="AB85" s="87">
        <f t="shared" si="140"/>
        <v>0</v>
      </c>
      <c r="AC85" s="87">
        <f t="shared" si="141"/>
        <v>0</v>
      </c>
      <c r="AD85" s="87">
        <f t="shared" si="142"/>
        <v>0</v>
      </c>
      <c r="AE85" s="87">
        <f t="shared" si="143"/>
        <v>0</v>
      </c>
      <c r="AF85" s="87">
        <f t="shared" si="144"/>
        <v>0</v>
      </c>
      <c r="AG85" s="11"/>
      <c r="AH85" s="70" t="e">
        <f t="shared" si="145"/>
        <v>#DIV/0!</v>
      </c>
    </row>
    <row r="86" spans="1:34" ht="12.75" customHeight="1">
      <c r="B86" s="12" t="s">
        <v>18</v>
      </c>
      <c r="C86" s="13">
        <f>SUM(C80:C85)</f>
        <v>0</v>
      </c>
      <c r="D86" s="13">
        <f>SUM(D80:D85)</f>
        <v>0</v>
      </c>
      <c r="E86" s="13">
        <f>SUM(E80:E85)</f>
        <v>0</v>
      </c>
      <c r="F86" s="50"/>
      <c r="G86" s="13">
        <f t="shared" ref="G86:T86" si="147">SUM(G80:G85)</f>
        <v>0</v>
      </c>
      <c r="H86" s="13">
        <f t="shared" si="147"/>
        <v>0</v>
      </c>
      <c r="I86" s="13">
        <f t="shared" si="147"/>
        <v>0</v>
      </c>
      <c r="J86" s="13">
        <f t="shared" si="147"/>
        <v>0</v>
      </c>
      <c r="K86" s="13">
        <f t="shared" si="147"/>
        <v>0</v>
      </c>
      <c r="L86" s="13">
        <f t="shared" si="147"/>
        <v>0</v>
      </c>
      <c r="M86" s="13">
        <f t="shared" si="147"/>
        <v>0</v>
      </c>
      <c r="N86" s="13">
        <f t="shared" si="147"/>
        <v>0</v>
      </c>
      <c r="O86" s="13">
        <f t="shared" si="147"/>
        <v>0</v>
      </c>
      <c r="P86" s="13">
        <f t="shared" si="147"/>
        <v>0</v>
      </c>
      <c r="Q86" s="13">
        <f t="shared" si="147"/>
        <v>0</v>
      </c>
      <c r="R86" s="13">
        <f t="shared" si="147"/>
        <v>0</v>
      </c>
      <c r="S86" s="13">
        <f t="shared" si="147"/>
        <v>0</v>
      </c>
      <c r="T86" s="13">
        <f t="shared" si="147"/>
        <v>0</v>
      </c>
      <c r="V86" s="13">
        <f t="shared" ref="V86:AF86" si="148">SUM(V80:V85)</f>
        <v>0</v>
      </c>
      <c r="W86" s="13">
        <f t="shared" si="148"/>
        <v>0</v>
      </c>
      <c r="X86" s="13">
        <f t="shared" si="148"/>
        <v>0</v>
      </c>
      <c r="Y86" s="13">
        <f t="shared" si="148"/>
        <v>0</v>
      </c>
      <c r="Z86" s="13">
        <f t="shared" si="148"/>
        <v>0</v>
      </c>
      <c r="AA86" s="13">
        <f t="shared" si="148"/>
        <v>0</v>
      </c>
      <c r="AB86" s="13">
        <f t="shared" si="148"/>
        <v>0</v>
      </c>
      <c r="AC86" s="13">
        <f t="shared" si="148"/>
        <v>0</v>
      </c>
      <c r="AD86" s="13">
        <f t="shared" si="148"/>
        <v>0</v>
      </c>
      <c r="AE86" s="13">
        <f t="shared" si="148"/>
        <v>0</v>
      </c>
      <c r="AF86" s="13">
        <f t="shared" si="148"/>
        <v>0</v>
      </c>
      <c r="AG86" s="40"/>
      <c r="AH86" s="71" t="e">
        <f>SUM(AF86/AB86)-1</f>
        <v>#DIV/0!</v>
      </c>
    </row>
    <row r="87" spans="1:34" ht="12.75" customHeight="1">
      <c r="B87" s="23" t="s">
        <v>69</v>
      </c>
      <c r="C87" s="30">
        <f>SUM(C86+C78)</f>
        <v>0</v>
      </c>
      <c r="D87" s="30">
        <f>SUM(D86+D78)</f>
        <v>0</v>
      </c>
      <c r="E87" s="30">
        <f>SUM(E86+E78)</f>
        <v>0</v>
      </c>
      <c r="F87" s="30"/>
      <c r="G87" s="30">
        <f t="shared" ref="G87:T87" si="149">SUM(G86+G78)</f>
        <v>0</v>
      </c>
      <c r="H87" s="30">
        <f t="shared" si="149"/>
        <v>0</v>
      </c>
      <c r="I87" s="30">
        <f t="shared" si="149"/>
        <v>0</v>
      </c>
      <c r="J87" s="30">
        <f t="shared" si="149"/>
        <v>0</v>
      </c>
      <c r="K87" s="30">
        <f t="shared" si="149"/>
        <v>0</v>
      </c>
      <c r="L87" s="30">
        <f t="shared" si="149"/>
        <v>0</v>
      </c>
      <c r="M87" s="30">
        <f t="shared" si="149"/>
        <v>0</v>
      </c>
      <c r="N87" s="30">
        <f t="shared" si="149"/>
        <v>0</v>
      </c>
      <c r="O87" s="30">
        <f t="shared" si="149"/>
        <v>0</v>
      </c>
      <c r="P87" s="30">
        <f t="shared" si="149"/>
        <v>0</v>
      </c>
      <c r="Q87" s="30">
        <f t="shared" si="149"/>
        <v>0</v>
      </c>
      <c r="R87" s="30">
        <f t="shared" si="149"/>
        <v>0</v>
      </c>
      <c r="S87" s="30">
        <f t="shared" si="149"/>
        <v>0</v>
      </c>
      <c r="T87" s="30">
        <f t="shared" si="149"/>
        <v>0</v>
      </c>
      <c r="U87" s="30"/>
      <c r="V87" s="30">
        <f t="shared" ref="V87:AF87" si="150">SUM(V86+V78)</f>
        <v>0</v>
      </c>
      <c r="W87" s="30">
        <f t="shared" si="150"/>
        <v>0</v>
      </c>
      <c r="X87" s="30">
        <f t="shared" si="150"/>
        <v>0</v>
      </c>
      <c r="Y87" s="30">
        <f t="shared" si="150"/>
        <v>0</v>
      </c>
      <c r="Z87" s="30">
        <f t="shared" si="150"/>
        <v>0</v>
      </c>
      <c r="AA87" s="30">
        <f t="shared" si="150"/>
        <v>0</v>
      </c>
      <c r="AB87" s="30">
        <f t="shared" si="150"/>
        <v>0</v>
      </c>
      <c r="AC87" s="30">
        <f t="shared" si="150"/>
        <v>0</v>
      </c>
      <c r="AD87" s="30">
        <f t="shared" si="150"/>
        <v>0</v>
      </c>
      <c r="AE87" s="30">
        <f t="shared" si="150"/>
        <v>0</v>
      </c>
      <c r="AF87" s="30">
        <f t="shared" si="150"/>
        <v>0</v>
      </c>
      <c r="AG87" s="11"/>
      <c r="AH87" s="71" t="e">
        <f>SUM(AF87/AB87)-1</f>
        <v>#DIV/0!</v>
      </c>
    </row>
    <row r="88" spans="1:34" ht="5.0999999999999996" customHeight="1">
      <c r="B88" s="23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11"/>
    </row>
    <row r="89" spans="1:34" ht="12.75" customHeight="1">
      <c r="B89" s="64" t="s">
        <v>80</v>
      </c>
      <c r="C89" s="65">
        <f>C87-C60</f>
        <v>0</v>
      </c>
      <c r="D89" s="65">
        <f>D87-D60</f>
        <v>0</v>
      </c>
      <c r="E89" s="65">
        <f>E87-E60</f>
        <v>0</v>
      </c>
      <c r="F89" s="66"/>
      <c r="G89" s="65">
        <f t="shared" ref="G89:T89" si="151">G87-G60</f>
        <v>0</v>
      </c>
      <c r="H89" s="65">
        <f t="shared" si="151"/>
        <v>0</v>
      </c>
      <c r="I89" s="65">
        <f t="shared" si="151"/>
        <v>0</v>
      </c>
      <c r="J89" s="65">
        <f t="shared" si="151"/>
        <v>0</v>
      </c>
      <c r="K89" s="65">
        <f t="shared" si="151"/>
        <v>0</v>
      </c>
      <c r="L89" s="65">
        <f t="shared" si="151"/>
        <v>0</v>
      </c>
      <c r="M89" s="65">
        <f t="shared" si="151"/>
        <v>0</v>
      </c>
      <c r="N89" s="65">
        <f t="shared" si="151"/>
        <v>0</v>
      </c>
      <c r="O89" s="65">
        <f t="shared" si="151"/>
        <v>0</v>
      </c>
      <c r="P89" s="65">
        <f t="shared" si="151"/>
        <v>0</v>
      </c>
      <c r="Q89" s="65">
        <f t="shared" si="151"/>
        <v>0</v>
      </c>
      <c r="R89" s="65">
        <f t="shared" si="151"/>
        <v>0</v>
      </c>
      <c r="S89" s="65">
        <f t="shared" si="151"/>
        <v>0</v>
      </c>
      <c r="T89" s="65">
        <f t="shared" si="151"/>
        <v>0</v>
      </c>
      <c r="U89" s="26"/>
      <c r="V89" s="65">
        <f t="shared" ref="V89:AF89" si="152">V87-V60</f>
        <v>0</v>
      </c>
      <c r="W89" s="65">
        <f t="shared" si="152"/>
        <v>0</v>
      </c>
      <c r="X89" s="65">
        <f t="shared" si="152"/>
        <v>0</v>
      </c>
      <c r="Y89" s="65">
        <f t="shared" si="152"/>
        <v>0</v>
      </c>
      <c r="Z89" s="65">
        <f t="shared" si="152"/>
        <v>0</v>
      </c>
      <c r="AA89" s="65">
        <f t="shared" si="152"/>
        <v>0</v>
      </c>
      <c r="AB89" s="65">
        <f t="shared" si="152"/>
        <v>0</v>
      </c>
      <c r="AC89" s="65">
        <f t="shared" si="152"/>
        <v>0</v>
      </c>
      <c r="AD89" s="65">
        <f t="shared" si="152"/>
        <v>0</v>
      </c>
      <c r="AE89" s="65">
        <f t="shared" si="152"/>
        <v>0</v>
      </c>
      <c r="AF89" s="65">
        <f t="shared" si="152"/>
        <v>0</v>
      </c>
    </row>
    <row r="90" spans="1:34" ht="5.0999999999999996" customHeight="1" thickBot="1">
      <c r="B90" s="106"/>
      <c r="C90" s="107"/>
      <c r="D90" s="107"/>
      <c r="E90" s="107"/>
      <c r="F90" s="108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9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68"/>
      <c r="AH90" s="68"/>
    </row>
    <row r="91" spans="1:34" ht="12.75" customHeight="1">
      <c r="B91" s="144" t="s">
        <v>180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</row>
    <row r="92" spans="1:34">
      <c r="B92" s="63"/>
      <c r="C92" s="22"/>
      <c r="D92" s="22"/>
      <c r="E92" s="22"/>
      <c r="F92" s="51"/>
    </row>
    <row r="93" spans="1:34" ht="12.75" customHeight="1">
      <c r="A93" s="5" t="s">
        <v>20</v>
      </c>
      <c r="B93" s="88" t="s">
        <v>17</v>
      </c>
      <c r="C93" s="92" t="s">
        <v>0</v>
      </c>
      <c r="D93" s="92"/>
      <c r="E93" s="92"/>
      <c r="F93" s="93"/>
      <c r="G93" s="92" t="s">
        <v>1</v>
      </c>
      <c r="H93" s="92"/>
      <c r="I93" s="92"/>
      <c r="J93" s="92"/>
      <c r="K93" s="92"/>
      <c r="L93" s="92"/>
      <c r="M93" s="92"/>
      <c r="N93" s="92"/>
      <c r="O93" s="92"/>
      <c r="P93" s="92"/>
      <c r="Q93" s="92" t="s">
        <v>1</v>
      </c>
      <c r="R93" s="92"/>
      <c r="S93" s="92"/>
      <c r="T93" s="92"/>
      <c r="U93" s="88"/>
      <c r="V93" s="92"/>
      <c r="W93" s="92"/>
      <c r="X93" s="92"/>
      <c r="Y93" s="92"/>
      <c r="Z93" s="92"/>
      <c r="AA93" s="92"/>
      <c r="AB93" s="92" t="s">
        <v>10</v>
      </c>
      <c r="AC93" s="92"/>
      <c r="AD93" s="92"/>
      <c r="AE93" s="92"/>
      <c r="AF93" s="92"/>
      <c r="AG93" s="93"/>
      <c r="AH93" s="143" t="s">
        <v>27</v>
      </c>
    </row>
    <row r="94" spans="1:34" ht="12.75" customHeight="1">
      <c r="B94" s="89" t="str">
        <f t="shared" ref="B94:E95" si="153">B7</f>
        <v>Fiscal Period</v>
      </c>
      <c r="C94" s="94">
        <f t="shared" si="153"/>
        <v>2022</v>
      </c>
      <c r="D94" s="94">
        <f t="shared" si="153"/>
        <v>2023</v>
      </c>
      <c r="E94" s="94">
        <f t="shared" si="153"/>
        <v>2024</v>
      </c>
      <c r="F94" s="93"/>
      <c r="G94" s="94" t="str">
        <f t="shared" ref="G94:T94" si="154">G7</f>
        <v>1Q22</v>
      </c>
      <c r="H94" s="94" t="str">
        <f t="shared" si="154"/>
        <v>2Q22</v>
      </c>
      <c r="I94" s="94" t="str">
        <f t="shared" si="154"/>
        <v>3Q22</v>
      </c>
      <c r="J94" s="94" t="str">
        <f t="shared" si="154"/>
        <v>4Q22</v>
      </c>
      <c r="K94" s="94" t="str">
        <f t="shared" si="154"/>
        <v>1Q23</v>
      </c>
      <c r="L94" s="94" t="str">
        <f t="shared" si="154"/>
        <v>2Q23</v>
      </c>
      <c r="M94" s="94" t="str">
        <f t="shared" si="154"/>
        <v>3Q23</v>
      </c>
      <c r="N94" s="94" t="str">
        <f t="shared" si="154"/>
        <v>4Q23</v>
      </c>
      <c r="O94" s="94" t="str">
        <f t="shared" si="154"/>
        <v>1Q24</v>
      </c>
      <c r="P94" s="94" t="str">
        <f t="shared" si="154"/>
        <v>2Q24</v>
      </c>
      <c r="Q94" s="94" t="str">
        <f t="shared" si="154"/>
        <v>3Q24</v>
      </c>
      <c r="R94" s="94" t="str">
        <f t="shared" si="154"/>
        <v>4Q24</v>
      </c>
      <c r="S94" s="94" t="str">
        <f t="shared" si="154"/>
        <v>1Q25</v>
      </c>
      <c r="T94" s="94" t="str">
        <f t="shared" si="154"/>
        <v>2Q25</v>
      </c>
      <c r="U94" s="94"/>
      <c r="V94" s="94" t="str">
        <f t="shared" ref="V94:AF94" si="155">V7</f>
        <v>4Q22</v>
      </c>
      <c r="W94" s="94" t="str">
        <f t="shared" si="155"/>
        <v>1Q23</v>
      </c>
      <c r="X94" s="94" t="str">
        <f t="shared" si="155"/>
        <v>2Q23</v>
      </c>
      <c r="Y94" s="94" t="str">
        <f t="shared" si="155"/>
        <v>3Q23</v>
      </c>
      <c r="Z94" s="94" t="str">
        <f t="shared" si="155"/>
        <v>4Q23</v>
      </c>
      <c r="AA94" s="94" t="str">
        <f t="shared" si="155"/>
        <v>1Q24</v>
      </c>
      <c r="AB94" s="94" t="str">
        <f t="shared" si="155"/>
        <v>2Q24</v>
      </c>
      <c r="AC94" s="94" t="str">
        <f t="shared" si="155"/>
        <v>3Q24</v>
      </c>
      <c r="AD94" s="94" t="str">
        <f t="shared" si="155"/>
        <v>4Q24</v>
      </c>
      <c r="AE94" s="94" t="str">
        <f t="shared" si="155"/>
        <v>1Q25</v>
      </c>
      <c r="AF94" s="94" t="str">
        <f t="shared" si="155"/>
        <v>2Q25</v>
      </c>
      <c r="AG94" s="93"/>
      <c r="AH94" s="143"/>
    </row>
    <row r="95" spans="1:34" ht="12.75" customHeight="1">
      <c r="B95" s="89" t="str">
        <f t="shared" si="153"/>
        <v>Fiscal Period End Date</v>
      </c>
      <c r="C95" s="95">
        <f t="shared" si="153"/>
        <v>44926</v>
      </c>
      <c r="D95" s="95">
        <f t="shared" si="153"/>
        <v>45291</v>
      </c>
      <c r="E95" s="95">
        <f t="shared" si="153"/>
        <v>45657</v>
      </c>
      <c r="F95" s="93"/>
      <c r="G95" s="95">
        <f t="shared" ref="G95:T95" si="156">G8</f>
        <v>44651</v>
      </c>
      <c r="H95" s="95">
        <f t="shared" si="156"/>
        <v>44742</v>
      </c>
      <c r="I95" s="95">
        <f t="shared" si="156"/>
        <v>44834</v>
      </c>
      <c r="J95" s="95">
        <f t="shared" si="156"/>
        <v>44926</v>
      </c>
      <c r="K95" s="95">
        <f t="shared" si="156"/>
        <v>45016</v>
      </c>
      <c r="L95" s="95">
        <f t="shared" si="156"/>
        <v>45107</v>
      </c>
      <c r="M95" s="95">
        <f t="shared" si="156"/>
        <v>45199</v>
      </c>
      <c r="N95" s="95">
        <f t="shared" si="156"/>
        <v>45291</v>
      </c>
      <c r="O95" s="95">
        <f t="shared" si="156"/>
        <v>45382</v>
      </c>
      <c r="P95" s="95">
        <f t="shared" si="156"/>
        <v>45473</v>
      </c>
      <c r="Q95" s="95">
        <f t="shared" si="156"/>
        <v>45565</v>
      </c>
      <c r="R95" s="95">
        <f t="shared" si="156"/>
        <v>45657</v>
      </c>
      <c r="S95" s="95">
        <f t="shared" si="156"/>
        <v>45747</v>
      </c>
      <c r="T95" s="95">
        <f t="shared" si="156"/>
        <v>45838</v>
      </c>
      <c r="U95" s="95"/>
      <c r="V95" s="95">
        <f t="shared" ref="V95:AF95" si="157">V8</f>
        <v>44926</v>
      </c>
      <c r="W95" s="95">
        <f t="shared" si="157"/>
        <v>45016</v>
      </c>
      <c r="X95" s="95">
        <f t="shared" si="157"/>
        <v>45107</v>
      </c>
      <c r="Y95" s="95">
        <f t="shared" si="157"/>
        <v>45199</v>
      </c>
      <c r="Z95" s="95">
        <f t="shared" si="157"/>
        <v>45291</v>
      </c>
      <c r="AA95" s="95">
        <f t="shared" si="157"/>
        <v>45382</v>
      </c>
      <c r="AB95" s="95">
        <f t="shared" si="157"/>
        <v>45473</v>
      </c>
      <c r="AC95" s="95">
        <f t="shared" si="157"/>
        <v>45565</v>
      </c>
      <c r="AD95" s="95">
        <f t="shared" si="157"/>
        <v>45657</v>
      </c>
      <c r="AE95" s="95">
        <f t="shared" si="157"/>
        <v>45747</v>
      </c>
      <c r="AF95" s="95">
        <f t="shared" si="157"/>
        <v>45838</v>
      </c>
      <c r="AG95" s="93"/>
      <c r="AH95" s="143"/>
    </row>
    <row r="96" spans="1:34" ht="5.0999999999999996" customHeight="1">
      <c r="B96" s="52"/>
      <c r="C96" s="46"/>
      <c r="D96" s="46"/>
      <c r="E96" s="46"/>
    </row>
    <row r="97" spans="2:34" ht="12.75" customHeight="1">
      <c r="B97" s="53" t="s">
        <v>70</v>
      </c>
      <c r="C97" s="54"/>
      <c r="D97" s="54"/>
      <c r="E97" s="54"/>
    </row>
    <row r="98" spans="2:34" ht="12.75" customHeight="1">
      <c r="B98" s="55" t="s">
        <v>71</v>
      </c>
      <c r="C98" s="30">
        <f>C33</f>
        <v>0</v>
      </c>
      <c r="D98" s="30">
        <f>D33</f>
        <v>0</v>
      </c>
      <c r="E98" s="30">
        <f>E33</f>
        <v>0</v>
      </c>
      <c r="F98" s="30"/>
      <c r="G98" s="30">
        <f t="shared" ref="G98:M98" si="158">G33</f>
        <v>0</v>
      </c>
      <c r="H98" s="104">
        <f t="shared" si="158"/>
        <v>0</v>
      </c>
      <c r="I98" s="30">
        <f t="shared" si="158"/>
        <v>0</v>
      </c>
      <c r="J98" s="30">
        <f t="shared" si="158"/>
        <v>0</v>
      </c>
      <c r="K98" s="30">
        <f t="shared" si="158"/>
        <v>0</v>
      </c>
      <c r="L98" s="104">
        <f t="shared" si="158"/>
        <v>0</v>
      </c>
      <c r="M98" s="30">
        <f t="shared" si="158"/>
        <v>0</v>
      </c>
      <c r="N98" s="30">
        <f t="shared" ref="N98" si="159">SUM(D98-SUM(K98:M98))</f>
        <v>0</v>
      </c>
      <c r="O98" s="30">
        <f>O33</f>
        <v>0</v>
      </c>
      <c r="P98" s="30">
        <f>P33</f>
        <v>0</v>
      </c>
      <c r="Q98" s="30">
        <f>Q33</f>
        <v>0</v>
      </c>
      <c r="R98" s="30">
        <f>SUM(E98-SUM(O98:Q98))</f>
        <v>0</v>
      </c>
      <c r="S98" s="30">
        <f>S33</f>
        <v>0</v>
      </c>
      <c r="T98" s="30">
        <f>T33</f>
        <v>0</v>
      </c>
      <c r="V98" s="30">
        <f t="shared" ref="V98:AA98" si="160">SUM(H98:K98)</f>
        <v>0</v>
      </c>
      <c r="W98" s="30">
        <f t="shared" si="160"/>
        <v>0</v>
      </c>
      <c r="X98" s="30">
        <f t="shared" si="160"/>
        <v>0</v>
      </c>
      <c r="Y98" s="30">
        <f t="shared" si="160"/>
        <v>0</v>
      </c>
      <c r="Z98" s="30">
        <f t="shared" si="160"/>
        <v>0</v>
      </c>
      <c r="AA98" s="30">
        <f t="shared" si="160"/>
        <v>0</v>
      </c>
      <c r="AB98" s="30">
        <f t="shared" ref="AB98" si="161">SUM(M98:P98)</f>
        <v>0</v>
      </c>
      <c r="AC98" s="30">
        <f t="shared" ref="AC98" si="162">SUM(N98:Q98)</f>
        <v>0</v>
      </c>
      <c r="AD98" s="30">
        <f t="shared" ref="AD98" si="163">SUM(O98:R98)</f>
        <v>0</v>
      </c>
      <c r="AE98" s="30">
        <f t="shared" ref="AE98" si="164">SUM(P98:S98)</f>
        <v>0</v>
      </c>
      <c r="AF98" s="30">
        <f>SUM(Q98:T98)</f>
        <v>0</v>
      </c>
      <c r="AG98" s="11"/>
      <c r="AH98" s="70" t="e">
        <f>SUM(AF98/AB98)-1</f>
        <v>#DIV/0!</v>
      </c>
    </row>
    <row r="99" spans="2:34" ht="5.0999999999999996" customHeight="1"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11"/>
      <c r="AH99" s="70"/>
    </row>
    <row r="100" spans="2:34" ht="12.75" customHeight="1">
      <c r="B100" s="34" t="s">
        <v>79</v>
      </c>
      <c r="C100" s="30"/>
      <c r="D100" s="30"/>
      <c r="E100" s="30"/>
      <c r="F100" s="30"/>
      <c r="G100" s="30"/>
      <c r="H100" s="30"/>
      <c r="I100" s="30"/>
      <c r="J100" s="30"/>
      <c r="K100" s="79"/>
      <c r="L100" s="79"/>
      <c r="M100" s="79"/>
      <c r="N100" s="30"/>
      <c r="O100" s="79"/>
      <c r="P100" s="79"/>
      <c r="Q100" s="79"/>
      <c r="R100" s="30"/>
      <c r="S100" s="79"/>
      <c r="T100" s="79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57"/>
      <c r="AH100" s="70"/>
    </row>
    <row r="101" spans="2:34" ht="12.75" customHeight="1">
      <c r="B101" s="58" t="s">
        <v>72</v>
      </c>
      <c r="C101" s="79"/>
      <c r="D101" s="79"/>
      <c r="E101" s="79"/>
      <c r="F101" s="30"/>
      <c r="G101" s="79"/>
      <c r="H101" s="30"/>
      <c r="I101" s="30"/>
      <c r="J101" s="30">
        <f>SUM(C101-SUM(G101:I101))</f>
        <v>0</v>
      </c>
      <c r="K101" s="79"/>
      <c r="L101" s="30"/>
      <c r="M101" s="30"/>
      <c r="N101" s="30">
        <f t="shared" ref="N101:N112" si="165">SUM(D101-SUM(K101:M101))</f>
        <v>0</v>
      </c>
      <c r="O101" s="79"/>
      <c r="P101" s="30"/>
      <c r="Q101" s="30"/>
      <c r="R101" s="30">
        <f t="shared" ref="R101:R111" si="166">SUM(E101-SUM(O101:Q101))</f>
        <v>0</v>
      </c>
      <c r="S101" s="79"/>
      <c r="T101" s="30"/>
      <c r="V101" s="30">
        <f t="shared" ref="V101:AA104" si="167">SUM(H101:K101)</f>
        <v>0</v>
      </c>
      <c r="W101" s="30">
        <f t="shared" si="167"/>
        <v>0</v>
      </c>
      <c r="X101" s="30">
        <f t="shared" si="167"/>
        <v>0</v>
      </c>
      <c r="Y101" s="30">
        <f t="shared" si="167"/>
        <v>0</v>
      </c>
      <c r="Z101" s="30">
        <f t="shared" si="167"/>
        <v>0</v>
      </c>
      <c r="AA101" s="30">
        <f t="shared" si="167"/>
        <v>0</v>
      </c>
      <c r="AB101" s="30">
        <f t="shared" ref="AB101" si="168">SUM(M101:P101)</f>
        <v>0</v>
      </c>
      <c r="AC101" s="30">
        <f t="shared" ref="AC101" si="169">SUM(N101:Q101)</f>
        <v>0</v>
      </c>
      <c r="AD101" s="30">
        <f t="shared" ref="AD101" si="170">SUM(O101:R101)</f>
        <v>0</v>
      </c>
      <c r="AE101" s="30">
        <f t="shared" ref="AE101" si="171">SUM(P101:S101)</f>
        <v>0</v>
      </c>
      <c r="AF101" s="30">
        <f>SUM(Q101:T101)</f>
        <v>0</v>
      </c>
      <c r="AG101" s="11"/>
      <c r="AH101" s="70" t="e">
        <f t="shared" ref="AH101:AH115" si="172">SUM(AF101/AB101)-1</f>
        <v>#DIV/0!</v>
      </c>
    </row>
    <row r="102" spans="2:34" ht="12.75" customHeight="1">
      <c r="B102" s="58" t="s">
        <v>127</v>
      </c>
      <c r="C102" s="79"/>
      <c r="D102" s="79"/>
      <c r="E102" s="79"/>
      <c r="F102" s="30"/>
      <c r="G102" s="79"/>
      <c r="H102" s="30"/>
      <c r="I102" s="30"/>
      <c r="J102" s="30">
        <f t="shared" ref="J102:J112" si="173">SUM(C102-SUM(G102:I102))</f>
        <v>0</v>
      </c>
      <c r="K102" s="79"/>
      <c r="L102" s="30"/>
      <c r="M102" s="30"/>
      <c r="N102" s="30">
        <f t="shared" si="165"/>
        <v>0</v>
      </c>
      <c r="O102" s="79"/>
      <c r="P102" s="30"/>
      <c r="Q102" s="30"/>
      <c r="R102" s="30">
        <f t="shared" si="166"/>
        <v>0</v>
      </c>
      <c r="S102" s="79"/>
      <c r="T102" s="30"/>
      <c r="V102" s="30">
        <f t="shared" si="167"/>
        <v>0</v>
      </c>
      <c r="W102" s="30">
        <f t="shared" si="167"/>
        <v>0</v>
      </c>
      <c r="X102" s="30">
        <f t="shared" si="167"/>
        <v>0</v>
      </c>
      <c r="Y102" s="30">
        <f t="shared" si="167"/>
        <v>0</v>
      </c>
      <c r="Z102" s="30">
        <f t="shared" si="167"/>
        <v>0</v>
      </c>
      <c r="AA102" s="30">
        <f t="shared" si="167"/>
        <v>0</v>
      </c>
      <c r="AB102" s="30">
        <f t="shared" ref="AB102:AB112" si="174">SUM(M102:P102)</f>
        <v>0</v>
      </c>
      <c r="AC102" s="30">
        <f t="shared" ref="AC102:AC112" si="175">SUM(N102:Q102)</f>
        <v>0</v>
      </c>
      <c r="AD102" s="30">
        <f t="shared" ref="AD102:AD112" si="176">SUM(O102:R102)</f>
        <v>0</v>
      </c>
      <c r="AE102" s="30">
        <f t="shared" ref="AE102:AE112" si="177">SUM(P102:S102)</f>
        <v>0</v>
      </c>
      <c r="AF102" s="30">
        <f t="shared" ref="AF102:AF112" si="178">SUM(Q102:T102)</f>
        <v>0</v>
      </c>
      <c r="AG102" s="11"/>
      <c r="AH102" s="70" t="e">
        <f t="shared" si="172"/>
        <v>#DIV/0!</v>
      </c>
    </row>
    <row r="103" spans="2:34" ht="12.75" customHeight="1">
      <c r="B103" s="58" t="s">
        <v>149</v>
      </c>
      <c r="C103" s="79"/>
      <c r="D103" s="79"/>
      <c r="E103" s="79"/>
      <c r="F103" s="30"/>
      <c r="G103" s="79"/>
      <c r="H103" s="30"/>
      <c r="I103" s="30"/>
      <c r="J103" s="30">
        <f t="shared" si="173"/>
        <v>0</v>
      </c>
      <c r="K103" s="79"/>
      <c r="L103" s="30"/>
      <c r="M103" s="30"/>
      <c r="N103" s="30">
        <f t="shared" si="165"/>
        <v>0</v>
      </c>
      <c r="O103" s="79"/>
      <c r="P103" s="30"/>
      <c r="Q103" s="30"/>
      <c r="R103" s="30">
        <f t="shared" si="166"/>
        <v>0</v>
      </c>
      <c r="S103" s="79"/>
      <c r="T103" s="30"/>
      <c r="V103" s="30">
        <f t="shared" si="167"/>
        <v>0</v>
      </c>
      <c r="W103" s="30">
        <f t="shared" si="167"/>
        <v>0</v>
      </c>
      <c r="X103" s="30">
        <f t="shared" si="167"/>
        <v>0</v>
      </c>
      <c r="Y103" s="30">
        <f t="shared" si="167"/>
        <v>0</v>
      </c>
      <c r="Z103" s="30">
        <f t="shared" si="167"/>
        <v>0</v>
      </c>
      <c r="AA103" s="30">
        <f t="shared" si="167"/>
        <v>0</v>
      </c>
      <c r="AB103" s="30">
        <f t="shared" si="174"/>
        <v>0</v>
      </c>
      <c r="AC103" s="30">
        <f t="shared" si="175"/>
        <v>0</v>
      </c>
      <c r="AD103" s="30">
        <f t="shared" si="176"/>
        <v>0</v>
      </c>
      <c r="AE103" s="30">
        <f t="shared" si="177"/>
        <v>0</v>
      </c>
      <c r="AF103" s="30">
        <f t="shared" si="178"/>
        <v>0</v>
      </c>
      <c r="AG103" s="11"/>
      <c r="AH103" s="70" t="e">
        <f t="shared" si="172"/>
        <v>#DIV/0!</v>
      </c>
    </row>
    <row r="104" spans="2:34" ht="12.75" customHeight="1">
      <c r="B104" s="58" t="s">
        <v>148</v>
      </c>
      <c r="C104" s="79"/>
      <c r="D104" s="79"/>
      <c r="E104" s="79"/>
      <c r="F104" s="30"/>
      <c r="G104" s="79"/>
      <c r="H104" s="30"/>
      <c r="I104" s="30"/>
      <c r="J104" s="30">
        <f t="shared" si="173"/>
        <v>0</v>
      </c>
      <c r="K104" s="79"/>
      <c r="L104" s="30"/>
      <c r="M104" s="30"/>
      <c r="N104" s="30">
        <f t="shared" si="165"/>
        <v>0</v>
      </c>
      <c r="O104" s="79"/>
      <c r="P104" s="30"/>
      <c r="Q104" s="30"/>
      <c r="R104" s="30">
        <f t="shared" si="166"/>
        <v>0</v>
      </c>
      <c r="S104" s="79"/>
      <c r="T104" s="30"/>
      <c r="V104" s="30">
        <f t="shared" si="167"/>
        <v>0</v>
      </c>
      <c r="W104" s="30">
        <f t="shared" si="167"/>
        <v>0</v>
      </c>
      <c r="X104" s="30">
        <f t="shared" si="167"/>
        <v>0</v>
      </c>
      <c r="Y104" s="30">
        <f t="shared" si="167"/>
        <v>0</v>
      </c>
      <c r="Z104" s="30">
        <f t="shared" si="167"/>
        <v>0</v>
      </c>
      <c r="AA104" s="30">
        <f t="shared" si="167"/>
        <v>0</v>
      </c>
      <c r="AB104" s="30">
        <f t="shared" si="174"/>
        <v>0</v>
      </c>
      <c r="AC104" s="30">
        <f t="shared" si="175"/>
        <v>0</v>
      </c>
      <c r="AD104" s="30">
        <f t="shared" si="176"/>
        <v>0</v>
      </c>
      <c r="AE104" s="30">
        <f t="shared" si="177"/>
        <v>0</v>
      </c>
      <c r="AF104" s="30">
        <f t="shared" si="178"/>
        <v>0</v>
      </c>
      <c r="AG104" s="11"/>
      <c r="AH104" s="70" t="e">
        <f t="shared" si="172"/>
        <v>#DIV/0!</v>
      </c>
    </row>
    <row r="105" spans="2:34" ht="12.75" customHeight="1">
      <c r="B105" s="58" t="s">
        <v>165</v>
      </c>
      <c r="C105" s="79"/>
      <c r="D105" s="79"/>
      <c r="E105" s="79"/>
      <c r="F105" s="30"/>
      <c r="G105" s="79"/>
      <c r="H105" s="30"/>
      <c r="I105" s="30"/>
      <c r="J105" s="30">
        <f t="shared" si="173"/>
        <v>0</v>
      </c>
      <c r="K105" s="79"/>
      <c r="L105" s="30"/>
      <c r="M105" s="30"/>
      <c r="N105" s="30">
        <f t="shared" si="165"/>
        <v>0</v>
      </c>
      <c r="O105" s="79"/>
      <c r="P105" s="30"/>
      <c r="Q105" s="30"/>
      <c r="R105" s="30">
        <f t="shared" si="166"/>
        <v>0</v>
      </c>
      <c r="S105" s="79"/>
      <c r="T105" s="30"/>
      <c r="V105" s="30"/>
      <c r="W105" s="30"/>
      <c r="X105" s="30"/>
      <c r="Y105" s="30"/>
      <c r="Z105" s="30"/>
      <c r="AA105" s="30"/>
      <c r="AB105" s="30">
        <f t="shared" si="174"/>
        <v>0</v>
      </c>
      <c r="AC105" s="30">
        <f t="shared" si="175"/>
        <v>0</v>
      </c>
      <c r="AD105" s="30">
        <f t="shared" si="176"/>
        <v>0</v>
      </c>
      <c r="AE105" s="30">
        <f t="shared" si="177"/>
        <v>0</v>
      </c>
      <c r="AF105" s="30">
        <f t="shared" si="178"/>
        <v>0</v>
      </c>
      <c r="AG105" s="11"/>
      <c r="AH105" s="70" t="e">
        <f t="shared" si="172"/>
        <v>#DIV/0!</v>
      </c>
    </row>
    <row r="106" spans="2:34" ht="12.75" customHeight="1">
      <c r="B106" s="58" t="s">
        <v>166</v>
      </c>
      <c r="C106" s="79"/>
      <c r="D106" s="79"/>
      <c r="E106" s="79"/>
      <c r="F106" s="30"/>
      <c r="G106" s="79"/>
      <c r="H106" s="30"/>
      <c r="I106" s="30"/>
      <c r="J106" s="30">
        <f t="shared" si="173"/>
        <v>0</v>
      </c>
      <c r="K106" s="79"/>
      <c r="L106" s="30"/>
      <c r="M106" s="30"/>
      <c r="N106" s="30">
        <f t="shared" si="165"/>
        <v>0</v>
      </c>
      <c r="O106" s="79"/>
      <c r="P106" s="30"/>
      <c r="Q106" s="30"/>
      <c r="R106" s="30">
        <f t="shared" si="166"/>
        <v>0</v>
      </c>
      <c r="S106" s="79"/>
      <c r="T106" s="30"/>
      <c r="V106" s="30"/>
      <c r="W106" s="30"/>
      <c r="X106" s="30"/>
      <c r="Y106" s="30"/>
      <c r="Z106" s="30"/>
      <c r="AA106" s="30"/>
      <c r="AB106" s="30">
        <f t="shared" si="174"/>
        <v>0</v>
      </c>
      <c r="AC106" s="30">
        <f t="shared" si="175"/>
        <v>0</v>
      </c>
      <c r="AD106" s="30">
        <f t="shared" si="176"/>
        <v>0</v>
      </c>
      <c r="AE106" s="30">
        <f t="shared" si="177"/>
        <v>0</v>
      </c>
      <c r="AF106" s="30">
        <f t="shared" si="178"/>
        <v>0</v>
      </c>
      <c r="AG106" s="11"/>
      <c r="AH106" s="70" t="e">
        <f t="shared" si="172"/>
        <v>#DIV/0!</v>
      </c>
    </row>
    <row r="107" spans="2:34" ht="12.75" customHeight="1">
      <c r="B107" s="58" t="s">
        <v>167</v>
      </c>
      <c r="C107" s="79"/>
      <c r="D107" s="79"/>
      <c r="E107" s="79"/>
      <c r="F107" s="30"/>
      <c r="G107" s="79"/>
      <c r="H107" s="30"/>
      <c r="I107" s="30"/>
      <c r="J107" s="30">
        <f t="shared" si="173"/>
        <v>0</v>
      </c>
      <c r="K107" s="79"/>
      <c r="L107" s="30"/>
      <c r="M107" s="30"/>
      <c r="N107" s="30">
        <f t="shared" si="165"/>
        <v>0</v>
      </c>
      <c r="O107" s="79"/>
      <c r="P107" s="30"/>
      <c r="Q107" s="30"/>
      <c r="R107" s="30">
        <f t="shared" si="166"/>
        <v>0</v>
      </c>
      <c r="S107" s="79"/>
      <c r="T107" s="30"/>
      <c r="V107" s="30"/>
      <c r="W107" s="30"/>
      <c r="X107" s="30"/>
      <c r="Y107" s="30"/>
      <c r="Z107" s="30"/>
      <c r="AA107" s="30"/>
      <c r="AB107" s="30">
        <f t="shared" si="174"/>
        <v>0</v>
      </c>
      <c r="AC107" s="30">
        <f t="shared" si="175"/>
        <v>0</v>
      </c>
      <c r="AD107" s="30">
        <f t="shared" si="176"/>
        <v>0</v>
      </c>
      <c r="AE107" s="30">
        <f t="shared" si="177"/>
        <v>0</v>
      </c>
      <c r="AF107" s="30">
        <f t="shared" si="178"/>
        <v>0</v>
      </c>
      <c r="AG107" s="11"/>
      <c r="AH107" s="70" t="e">
        <f t="shared" si="172"/>
        <v>#DIV/0!</v>
      </c>
    </row>
    <row r="108" spans="2:34" ht="12.75" customHeight="1">
      <c r="B108" s="58" t="s">
        <v>183</v>
      </c>
      <c r="C108" s="79"/>
      <c r="D108" s="79"/>
      <c r="E108" s="79"/>
      <c r="F108" s="30"/>
      <c r="G108" s="79"/>
      <c r="H108" s="30"/>
      <c r="I108" s="30"/>
      <c r="J108" s="30">
        <f t="shared" si="173"/>
        <v>0</v>
      </c>
      <c r="K108" s="79"/>
      <c r="L108" s="30"/>
      <c r="M108" s="30"/>
      <c r="N108" s="30">
        <f t="shared" si="165"/>
        <v>0</v>
      </c>
      <c r="O108" s="79"/>
      <c r="P108" s="30"/>
      <c r="Q108" s="30"/>
      <c r="R108" s="30">
        <f t="shared" si="166"/>
        <v>0</v>
      </c>
      <c r="S108" s="79"/>
      <c r="T108" s="30"/>
      <c r="V108" s="30"/>
      <c r="W108" s="30"/>
      <c r="X108" s="30"/>
      <c r="Y108" s="30"/>
      <c r="Z108" s="30"/>
      <c r="AA108" s="30"/>
      <c r="AB108" s="30">
        <f t="shared" si="174"/>
        <v>0</v>
      </c>
      <c r="AC108" s="30">
        <f t="shared" si="175"/>
        <v>0</v>
      </c>
      <c r="AD108" s="30">
        <f t="shared" si="176"/>
        <v>0</v>
      </c>
      <c r="AE108" s="30">
        <f t="shared" si="177"/>
        <v>0</v>
      </c>
      <c r="AF108" s="30">
        <f t="shared" si="178"/>
        <v>0</v>
      </c>
      <c r="AG108" s="11"/>
      <c r="AH108" s="70" t="e">
        <f t="shared" si="172"/>
        <v>#DIV/0!</v>
      </c>
    </row>
    <row r="109" spans="2:34" ht="12.75" customHeight="1">
      <c r="B109" s="58" t="s">
        <v>168</v>
      </c>
      <c r="C109" s="79"/>
      <c r="D109" s="79"/>
      <c r="E109" s="79"/>
      <c r="F109" s="30"/>
      <c r="G109" s="79"/>
      <c r="H109" s="30"/>
      <c r="I109" s="30"/>
      <c r="J109" s="30">
        <f t="shared" si="173"/>
        <v>0</v>
      </c>
      <c r="K109" s="79"/>
      <c r="L109" s="30"/>
      <c r="M109" s="30"/>
      <c r="N109" s="30">
        <f t="shared" si="165"/>
        <v>0</v>
      </c>
      <c r="O109" s="79"/>
      <c r="P109" s="30"/>
      <c r="Q109" s="30"/>
      <c r="R109" s="30">
        <f t="shared" si="166"/>
        <v>0</v>
      </c>
      <c r="S109" s="79"/>
      <c r="T109" s="30"/>
      <c r="V109" s="30"/>
      <c r="W109" s="30"/>
      <c r="X109" s="30"/>
      <c r="Y109" s="30"/>
      <c r="Z109" s="30"/>
      <c r="AA109" s="30"/>
      <c r="AB109" s="30">
        <f t="shared" si="174"/>
        <v>0</v>
      </c>
      <c r="AC109" s="30">
        <f t="shared" si="175"/>
        <v>0</v>
      </c>
      <c r="AD109" s="30">
        <f t="shared" si="176"/>
        <v>0</v>
      </c>
      <c r="AE109" s="30">
        <f t="shared" si="177"/>
        <v>0</v>
      </c>
      <c r="AF109" s="30">
        <f t="shared" si="178"/>
        <v>0</v>
      </c>
      <c r="AG109" s="11"/>
      <c r="AH109" s="70" t="e">
        <f t="shared" si="172"/>
        <v>#DIV/0!</v>
      </c>
    </row>
    <row r="110" spans="2:34" ht="12.75" customHeight="1">
      <c r="B110" s="58" t="s">
        <v>169</v>
      </c>
      <c r="C110" s="79"/>
      <c r="D110" s="79"/>
      <c r="E110" s="79"/>
      <c r="F110" s="30"/>
      <c r="G110" s="79"/>
      <c r="H110" s="30"/>
      <c r="I110" s="30"/>
      <c r="J110" s="30">
        <f t="shared" si="173"/>
        <v>0</v>
      </c>
      <c r="K110" s="79"/>
      <c r="L110" s="30"/>
      <c r="M110" s="30"/>
      <c r="N110" s="30">
        <f t="shared" si="165"/>
        <v>0</v>
      </c>
      <c r="O110" s="79"/>
      <c r="P110" s="30"/>
      <c r="Q110" s="30"/>
      <c r="R110" s="30">
        <f t="shared" si="166"/>
        <v>0</v>
      </c>
      <c r="S110" s="79"/>
      <c r="T110" s="30"/>
      <c r="V110" s="30"/>
      <c r="W110" s="30"/>
      <c r="X110" s="30"/>
      <c r="Y110" s="30"/>
      <c r="Z110" s="30"/>
      <c r="AA110" s="30"/>
      <c r="AB110" s="30">
        <f t="shared" si="174"/>
        <v>0</v>
      </c>
      <c r="AC110" s="30">
        <f t="shared" si="175"/>
        <v>0</v>
      </c>
      <c r="AD110" s="30">
        <f t="shared" si="176"/>
        <v>0</v>
      </c>
      <c r="AE110" s="30">
        <f t="shared" si="177"/>
        <v>0</v>
      </c>
      <c r="AF110" s="30">
        <f t="shared" si="178"/>
        <v>0</v>
      </c>
      <c r="AG110" s="11"/>
      <c r="AH110" s="70" t="e">
        <f t="shared" si="172"/>
        <v>#DIV/0!</v>
      </c>
    </row>
    <row r="111" spans="2:34" ht="12.75" customHeight="1">
      <c r="B111" s="58" t="s">
        <v>170</v>
      </c>
      <c r="C111" s="79"/>
      <c r="D111" s="79"/>
      <c r="E111" s="79"/>
      <c r="F111" s="30"/>
      <c r="G111" s="79"/>
      <c r="H111" s="30"/>
      <c r="I111" s="30"/>
      <c r="J111" s="30">
        <f t="shared" si="173"/>
        <v>0</v>
      </c>
      <c r="K111" s="79"/>
      <c r="L111" s="30"/>
      <c r="M111" s="30"/>
      <c r="N111" s="30">
        <f t="shared" si="165"/>
        <v>0</v>
      </c>
      <c r="O111" s="79"/>
      <c r="P111" s="30"/>
      <c r="Q111" s="30"/>
      <c r="R111" s="30">
        <f t="shared" si="166"/>
        <v>0</v>
      </c>
      <c r="S111" s="79"/>
      <c r="T111" s="30"/>
      <c r="V111" s="30"/>
      <c r="W111" s="30"/>
      <c r="X111" s="30"/>
      <c r="Y111" s="30"/>
      <c r="Z111" s="30"/>
      <c r="AA111" s="30"/>
      <c r="AB111" s="30">
        <f t="shared" si="174"/>
        <v>0</v>
      </c>
      <c r="AC111" s="30">
        <f t="shared" si="175"/>
        <v>0</v>
      </c>
      <c r="AD111" s="30">
        <f t="shared" si="176"/>
        <v>0</v>
      </c>
      <c r="AE111" s="30">
        <f t="shared" si="177"/>
        <v>0</v>
      </c>
      <c r="AF111" s="30">
        <f t="shared" si="178"/>
        <v>0</v>
      </c>
      <c r="AG111" s="11"/>
      <c r="AH111" s="70" t="e">
        <f t="shared" si="172"/>
        <v>#DIV/0!</v>
      </c>
    </row>
    <row r="112" spans="2:34" ht="12.75" customHeight="1">
      <c r="B112" s="58" t="s">
        <v>147</v>
      </c>
      <c r="C112" s="79"/>
      <c r="D112" s="79"/>
      <c r="E112" s="79"/>
      <c r="F112" s="30"/>
      <c r="G112" s="79"/>
      <c r="H112" s="30"/>
      <c r="I112" s="30"/>
      <c r="J112" s="30">
        <f t="shared" si="173"/>
        <v>0</v>
      </c>
      <c r="K112" s="79"/>
      <c r="L112" s="30"/>
      <c r="M112" s="30"/>
      <c r="N112" s="30">
        <f t="shared" si="165"/>
        <v>0</v>
      </c>
      <c r="O112" s="79"/>
      <c r="P112" s="30"/>
      <c r="Q112" s="30"/>
      <c r="R112" s="79">
        <v>0</v>
      </c>
      <c r="S112" s="79"/>
      <c r="T112" s="30"/>
      <c r="V112" s="30"/>
      <c r="W112" s="30"/>
      <c r="X112" s="30"/>
      <c r="Y112" s="30"/>
      <c r="Z112" s="30"/>
      <c r="AA112" s="30"/>
      <c r="AB112" s="30">
        <f t="shared" si="174"/>
        <v>0</v>
      </c>
      <c r="AC112" s="30">
        <f t="shared" si="175"/>
        <v>0</v>
      </c>
      <c r="AD112" s="30">
        <f t="shared" si="176"/>
        <v>0</v>
      </c>
      <c r="AE112" s="30">
        <f t="shared" si="177"/>
        <v>0</v>
      </c>
      <c r="AF112" s="30">
        <f t="shared" si="178"/>
        <v>0</v>
      </c>
      <c r="AG112" s="11"/>
      <c r="AH112" s="70" t="e">
        <f t="shared" si="172"/>
        <v>#DIV/0!</v>
      </c>
    </row>
    <row r="113" spans="2:34" ht="5.0999999999999996" customHeight="1">
      <c r="B113" s="8"/>
      <c r="C113" s="79"/>
      <c r="D113" s="79"/>
      <c r="E113" s="79"/>
      <c r="F113" s="30"/>
      <c r="G113" s="79"/>
      <c r="H113" s="30"/>
      <c r="I113" s="30"/>
      <c r="J113" s="30"/>
      <c r="K113" s="79"/>
      <c r="L113" s="30"/>
      <c r="M113" s="30"/>
      <c r="N113" s="30"/>
      <c r="O113" s="79"/>
      <c r="P113" s="30"/>
      <c r="Q113" s="30"/>
      <c r="R113" s="30"/>
      <c r="S113" s="79"/>
      <c r="T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11"/>
      <c r="AH113" s="70"/>
    </row>
    <row r="114" spans="2:34" ht="12.75" customHeight="1">
      <c r="B114" s="34" t="s">
        <v>16</v>
      </c>
      <c r="C114" s="79"/>
      <c r="D114" s="79"/>
      <c r="E114" s="79"/>
      <c r="F114" s="30"/>
      <c r="G114" s="79"/>
      <c r="H114" s="30"/>
      <c r="I114" s="30"/>
      <c r="J114" s="30"/>
      <c r="K114" s="79"/>
      <c r="L114" s="30"/>
      <c r="M114" s="30"/>
      <c r="N114" s="30"/>
      <c r="O114" s="79"/>
      <c r="P114" s="30"/>
      <c r="Q114" s="30"/>
      <c r="R114" s="30"/>
      <c r="S114" s="79"/>
      <c r="T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57"/>
      <c r="AH114" s="70"/>
    </row>
    <row r="115" spans="2:34" ht="12.75" customHeight="1">
      <c r="B115" s="58" t="s">
        <v>14</v>
      </c>
      <c r="C115" s="79"/>
      <c r="D115" s="79"/>
      <c r="E115" s="79"/>
      <c r="F115" s="30"/>
      <c r="G115" s="79"/>
      <c r="H115" s="30"/>
      <c r="I115" s="30"/>
      <c r="J115" s="30">
        <f t="shared" ref="J115:J120" si="179">SUM(C115-SUM(G115:I115))</f>
        <v>0</v>
      </c>
      <c r="K115" s="79"/>
      <c r="L115" s="30"/>
      <c r="M115" s="30"/>
      <c r="N115" s="30">
        <f t="shared" ref="N115:N119" si="180">SUM(D115-SUM(K115:M115))</f>
        <v>0</v>
      </c>
      <c r="O115" s="79"/>
      <c r="P115" s="30"/>
      <c r="Q115" s="30"/>
      <c r="R115" s="30">
        <f t="shared" ref="R115:R120" si="181">SUM(E115-SUM(O115:Q115))</f>
        <v>0</v>
      </c>
      <c r="S115" s="79"/>
      <c r="T115" s="30"/>
      <c r="V115" s="30">
        <f t="shared" ref="V115:AA120" si="182">SUM(H115:K115)</f>
        <v>0</v>
      </c>
      <c r="W115" s="30">
        <f t="shared" si="182"/>
        <v>0</v>
      </c>
      <c r="X115" s="30">
        <f t="shared" si="182"/>
        <v>0</v>
      </c>
      <c r="Y115" s="30">
        <f t="shared" si="182"/>
        <v>0</v>
      </c>
      <c r="Z115" s="30">
        <f t="shared" si="182"/>
        <v>0</v>
      </c>
      <c r="AA115" s="30">
        <f t="shared" si="182"/>
        <v>0</v>
      </c>
      <c r="AB115" s="30">
        <f t="shared" ref="AB115:AB120" si="183">SUM(M115:P115)</f>
        <v>0</v>
      </c>
      <c r="AC115" s="30">
        <f t="shared" ref="AC115:AC120" si="184">SUM(N115:Q115)</f>
        <v>0</v>
      </c>
      <c r="AD115" s="30">
        <f t="shared" ref="AD115:AD120" si="185">SUM(O115:R115)</f>
        <v>0</v>
      </c>
      <c r="AE115" s="30">
        <f t="shared" ref="AE115:AE120" si="186">SUM(P115:S115)</f>
        <v>0</v>
      </c>
      <c r="AF115" s="30">
        <f t="shared" ref="AF115:AF120" si="187">SUM(Q115:T115)</f>
        <v>0</v>
      </c>
      <c r="AG115" s="57"/>
      <c r="AH115" s="70" t="e">
        <f t="shared" si="172"/>
        <v>#DIV/0!</v>
      </c>
    </row>
    <row r="116" spans="2:34" ht="12.75" customHeight="1">
      <c r="B116" s="58" t="s">
        <v>171</v>
      </c>
      <c r="C116" s="79"/>
      <c r="D116" s="79"/>
      <c r="E116" s="79"/>
      <c r="F116" s="30"/>
      <c r="G116" s="79"/>
      <c r="H116" s="30"/>
      <c r="I116" s="30"/>
      <c r="J116" s="30">
        <f t="shared" si="179"/>
        <v>0</v>
      </c>
      <c r="K116" s="79"/>
      <c r="L116" s="30"/>
      <c r="M116" s="30"/>
      <c r="N116" s="30">
        <f t="shared" si="180"/>
        <v>0</v>
      </c>
      <c r="O116" s="79"/>
      <c r="P116" s="30"/>
      <c r="Q116" s="30"/>
      <c r="R116" s="30">
        <f t="shared" si="181"/>
        <v>0</v>
      </c>
      <c r="S116" s="79"/>
      <c r="T116" s="30"/>
      <c r="V116" s="30">
        <f t="shared" si="182"/>
        <v>0</v>
      </c>
      <c r="W116" s="30">
        <f t="shared" si="182"/>
        <v>0</v>
      </c>
      <c r="X116" s="30">
        <f t="shared" si="182"/>
        <v>0</v>
      </c>
      <c r="Y116" s="30">
        <f t="shared" si="182"/>
        <v>0</v>
      </c>
      <c r="Z116" s="30">
        <f t="shared" si="182"/>
        <v>0</v>
      </c>
      <c r="AA116" s="30">
        <f t="shared" si="182"/>
        <v>0</v>
      </c>
      <c r="AB116" s="30">
        <f t="shared" si="183"/>
        <v>0</v>
      </c>
      <c r="AC116" s="30">
        <f t="shared" si="184"/>
        <v>0</v>
      </c>
      <c r="AD116" s="30">
        <f t="shared" si="185"/>
        <v>0</v>
      </c>
      <c r="AE116" s="30">
        <f t="shared" si="186"/>
        <v>0</v>
      </c>
      <c r="AF116" s="30">
        <f t="shared" si="187"/>
        <v>0</v>
      </c>
      <c r="AG116" s="57"/>
      <c r="AH116" s="70" t="e">
        <f t="shared" ref="AH116:AH120" si="188">SUM(AF116/AB116)-1</f>
        <v>#DIV/0!</v>
      </c>
    </row>
    <row r="117" spans="2:34" ht="12.75" customHeight="1">
      <c r="B117" s="58" t="s">
        <v>155</v>
      </c>
      <c r="C117" s="79"/>
      <c r="D117" s="79"/>
      <c r="E117" s="79"/>
      <c r="F117" s="30"/>
      <c r="G117" s="79"/>
      <c r="H117" s="30"/>
      <c r="I117" s="30"/>
      <c r="J117" s="30">
        <f t="shared" si="179"/>
        <v>0</v>
      </c>
      <c r="K117" s="79"/>
      <c r="L117" s="30"/>
      <c r="M117" s="30"/>
      <c r="N117" s="30">
        <f t="shared" si="180"/>
        <v>0</v>
      </c>
      <c r="O117" s="79"/>
      <c r="P117" s="30"/>
      <c r="Q117" s="30"/>
      <c r="R117" s="30">
        <f t="shared" si="181"/>
        <v>0</v>
      </c>
      <c r="S117" s="79"/>
      <c r="T117" s="30"/>
      <c r="V117" s="30">
        <f t="shared" si="182"/>
        <v>0</v>
      </c>
      <c r="W117" s="30">
        <f t="shared" si="182"/>
        <v>0</v>
      </c>
      <c r="X117" s="30">
        <f t="shared" si="182"/>
        <v>0</v>
      </c>
      <c r="Y117" s="30">
        <f t="shared" si="182"/>
        <v>0</v>
      </c>
      <c r="Z117" s="30">
        <f t="shared" si="182"/>
        <v>0</v>
      </c>
      <c r="AA117" s="30">
        <f t="shared" si="182"/>
        <v>0</v>
      </c>
      <c r="AB117" s="30">
        <f t="shared" si="183"/>
        <v>0</v>
      </c>
      <c r="AC117" s="30">
        <f t="shared" si="184"/>
        <v>0</v>
      </c>
      <c r="AD117" s="30">
        <f t="shared" si="185"/>
        <v>0</v>
      </c>
      <c r="AE117" s="30">
        <f t="shared" si="186"/>
        <v>0</v>
      </c>
      <c r="AF117" s="30">
        <f t="shared" si="187"/>
        <v>0</v>
      </c>
      <c r="AG117" s="57"/>
      <c r="AH117" s="70" t="e">
        <f t="shared" si="188"/>
        <v>#DIV/0!</v>
      </c>
    </row>
    <row r="118" spans="2:34" ht="12.75" customHeight="1">
      <c r="B118" s="58" t="s">
        <v>15</v>
      </c>
      <c r="C118" s="79"/>
      <c r="D118" s="79"/>
      <c r="E118" s="79"/>
      <c r="F118" s="30"/>
      <c r="G118" s="79"/>
      <c r="H118" s="30"/>
      <c r="I118" s="30"/>
      <c r="J118" s="30">
        <f t="shared" si="179"/>
        <v>0</v>
      </c>
      <c r="K118" s="79"/>
      <c r="L118" s="30"/>
      <c r="M118" s="30"/>
      <c r="N118" s="30">
        <f t="shared" si="180"/>
        <v>0</v>
      </c>
      <c r="O118" s="79"/>
      <c r="P118" s="30"/>
      <c r="Q118" s="30"/>
      <c r="R118" s="30">
        <f t="shared" si="181"/>
        <v>0</v>
      </c>
      <c r="S118" s="79"/>
      <c r="T118" s="30"/>
      <c r="V118" s="30">
        <f t="shared" si="182"/>
        <v>0</v>
      </c>
      <c r="W118" s="30">
        <f t="shared" si="182"/>
        <v>0</v>
      </c>
      <c r="X118" s="30">
        <f t="shared" si="182"/>
        <v>0</v>
      </c>
      <c r="Y118" s="30">
        <f t="shared" si="182"/>
        <v>0</v>
      </c>
      <c r="Z118" s="30">
        <f t="shared" si="182"/>
        <v>0</v>
      </c>
      <c r="AA118" s="30">
        <f t="shared" si="182"/>
        <v>0</v>
      </c>
      <c r="AB118" s="30">
        <f t="shared" si="183"/>
        <v>0</v>
      </c>
      <c r="AC118" s="30">
        <f t="shared" si="184"/>
        <v>0</v>
      </c>
      <c r="AD118" s="30">
        <f t="shared" si="185"/>
        <v>0</v>
      </c>
      <c r="AE118" s="30">
        <f t="shared" si="186"/>
        <v>0</v>
      </c>
      <c r="AF118" s="30">
        <f t="shared" si="187"/>
        <v>0</v>
      </c>
      <c r="AG118" s="57"/>
      <c r="AH118" s="70" t="e">
        <f t="shared" si="188"/>
        <v>#DIV/0!</v>
      </c>
    </row>
    <row r="119" spans="2:34" ht="12.75" customHeight="1">
      <c r="B119" s="58" t="s">
        <v>172</v>
      </c>
      <c r="C119" s="79"/>
      <c r="D119" s="79"/>
      <c r="E119" s="79"/>
      <c r="F119" s="30"/>
      <c r="G119" s="79"/>
      <c r="H119" s="30"/>
      <c r="I119" s="30"/>
      <c r="J119" s="30">
        <f t="shared" si="179"/>
        <v>0</v>
      </c>
      <c r="K119" s="79"/>
      <c r="L119" s="30"/>
      <c r="M119" s="30"/>
      <c r="N119" s="30">
        <f t="shared" si="180"/>
        <v>0</v>
      </c>
      <c r="O119" s="79"/>
      <c r="P119" s="30"/>
      <c r="Q119" s="30"/>
      <c r="R119" s="30">
        <f t="shared" si="181"/>
        <v>0</v>
      </c>
      <c r="S119" s="79"/>
      <c r="T119" s="30"/>
      <c r="V119" s="30">
        <f t="shared" si="182"/>
        <v>0</v>
      </c>
      <c r="W119" s="30">
        <f t="shared" si="182"/>
        <v>0</v>
      </c>
      <c r="X119" s="30">
        <f t="shared" si="182"/>
        <v>0</v>
      </c>
      <c r="Y119" s="30">
        <f t="shared" si="182"/>
        <v>0</v>
      </c>
      <c r="Z119" s="30">
        <f t="shared" si="182"/>
        <v>0</v>
      </c>
      <c r="AA119" s="30">
        <f t="shared" si="182"/>
        <v>0</v>
      </c>
      <c r="AB119" s="30">
        <f t="shared" si="183"/>
        <v>0</v>
      </c>
      <c r="AC119" s="30">
        <f t="shared" si="184"/>
        <v>0</v>
      </c>
      <c r="AD119" s="30">
        <f t="shared" si="185"/>
        <v>0</v>
      </c>
      <c r="AE119" s="30">
        <f t="shared" si="186"/>
        <v>0</v>
      </c>
      <c r="AF119" s="30">
        <f t="shared" si="187"/>
        <v>0</v>
      </c>
      <c r="AG119" s="57"/>
      <c r="AH119" s="70" t="e">
        <f t="shared" si="188"/>
        <v>#DIV/0!</v>
      </c>
    </row>
    <row r="120" spans="2:34" ht="12.75" customHeight="1">
      <c r="B120" s="58" t="s">
        <v>162</v>
      </c>
      <c r="C120" s="79"/>
      <c r="D120" s="79"/>
      <c r="E120" s="79"/>
      <c r="F120" s="30"/>
      <c r="G120" s="79"/>
      <c r="H120" s="30"/>
      <c r="I120" s="30"/>
      <c r="J120" s="30">
        <f t="shared" si="179"/>
        <v>0</v>
      </c>
      <c r="K120" s="79"/>
      <c r="L120" s="30"/>
      <c r="M120" s="30"/>
      <c r="N120" s="30">
        <f>SUM(D120-SUM(K120:M120))</f>
        <v>0</v>
      </c>
      <c r="O120" s="79"/>
      <c r="P120" s="30"/>
      <c r="Q120" s="30"/>
      <c r="R120" s="30">
        <f t="shared" si="181"/>
        <v>0</v>
      </c>
      <c r="S120" s="79"/>
      <c r="T120" s="30"/>
      <c r="V120" s="30">
        <f t="shared" si="182"/>
        <v>0</v>
      </c>
      <c r="W120" s="30">
        <f t="shared" si="182"/>
        <v>0</v>
      </c>
      <c r="X120" s="30">
        <f t="shared" si="182"/>
        <v>0</v>
      </c>
      <c r="Y120" s="30">
        <f t="shared" si="182"/>
        <v>0</v>
      </c>
      <c r="Z120" s="30">
        <f t="shared" si="182"/>
        <v>0</v>
      </c>
      <c r="AA120" s="30">
        <f t="shared" si="182"/>
        <v>0</v>
      </c>
      <c r="AB120" s="30">
        <f t="shared" si="183"/>
        <v>0</v>
      </c>
      <c r="AC120" s="30">
        <f t="shared" si="184"/>
        <v>0</v>
      </c>
      <c r="AD120" s="30">
        <f t="shared" si="185"/>
        <v>0</v>
      </c>
      <c r="AE120" s="30">
        <f t="shared" si="186"/>
        <v>0</v>
      </c>
      <c r="AF120" s="30">
        <f t="shared" si="187"/>
        <v>0</v>
      </c>
      <c r="AG120" s="57"/>
      <c r="AH120" s="70" t="e">
        <f t="shared" si="188"/>
        <v>#DIV/0!</v>
      </c>
    </row>
    <row r="121" spans="2:34" ht="12.75" customHeight="1">
      <c r="B121" s="12" t="s">
        <v>73</v>
      </c>
      <c r="C121" s="13">
        <f>SUM(C98:C120)</f>
        <v>0</v>
      </c>
      <c r="D121" s="13">
        <f>SUM(D98:D120)</f>
        <v>0</v>
      </c>
      <c r="E121" s="13">
        <f>SUM(E98:E120)</f>
        <v>0</v>
      </c>
      <c r="G121" s="13">
        <f t="shared" ref="G121:T121" si="189">SUM(G98:G120)</f>
        <v>0</v>
      </c>
      <c r="H121" s="13">
        <f t="shared" si="189"/>
        <v>0</v>
      </c>
      <c r="I121" s="13">
        <f t="shared" si="189"/>
        <v>0</v>
      </c>
      <c r="J121" s="13">
        <f t="shared" si="189"/>
        <v>0</v>
      </c>
      <c r="K121" s="32">
        <f t="shared" si="189"/>
        <v>0</v>
      </c>
      <c r="L121" s="13">
        <f t="shared" si="189"/>
        <v>0</v>
      </c>
      <c r="M121" s="13">
        <f t="shared" si="189"/>
        <v>0</v>
      </c>
      <c r="N121" s="13">
        <f t="shared" si="189"/>
        <v>0</v>
      </c>
      <c r="O121" s="13">
        <f t="shared" si="189"/>
        <v>0</v>
      </c>
      <c r="P121" s="13">
        <f t="shared" si="189"/>
        <v>0</v>
      </c>
      <c r="Q121" s="13">
        <f t="shared" si="189"/>
        <v>0</v>
      </c>
      <c r="R121" s="13">
        <f t="shared" si="189"/>
        <v>0</v>
      </c>
      <c r="S121" s="13">
        <f t="shared" si="189"/>
        <v>0</v>
      </c>
      <c r="T121" s="13">
        <f t="shared" si="189"/>
        <v>0</v>
      </c>
      <c r="V121" s="13">
        <f t="shared" ref="V121:AF121" si="190">SUM(V98:V120)</f>
        <v>0</v>
      </c>
      <c r="W121" s="13">
        <f t="shared" si="190"/>
        <v>0</v>
      </c>
      <c r="X121" s="13">
        <f t="shared" si="190"/>
        <v>0</v>
      </c>
      <c r="Y121" s="13">
        <f t="shared" si="190"/>
        <v>0</v>
      </c>
      <c r="Z121" s="13">
        <f t="shared" si="190"/>
        <v>0</v>
      </c>
      <c r="AA121" s="13">
        <f t="shared" si="190"/>
        <v>0</v>
      </c>
      <c r="AB121" s="13">
        <f t="shared" si="190"/>
        <v>0</v>
      </c>
      <c r="AC121" s="13">
        <f t="shared" si="190"/>
        <v>0</v>
      </c>
      <c r="AD121" s="13">
        <f t="shared" si="190"/>
        <v>0</v>
      </c>
      <c r="AE121" s="13">
        <f t="shared" si="190"/>
        <v>0</v>
      </c>
      <c r="AF121" s="13">
        <f t="shared" si="190"/>
        <v>0</v>
      </c>
      <c r="AG121" s="40"/>
      <c r="AH121" s="71" t="e">
        <f>SUM(AF121/AB121)-1</f>
        <v>#DIV/0!</v>
      </c>
    </row>
    <row r="122" spans="2:34" ht="12.75" customHeight="1">
      <c r="B122" s="51"/>
      <c r="C122" s="59"/>
      <c r="D122" s="59"/>
      <c r="E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37"/>
    </row>
    <row r="123" spans="2:34" ht="12.75" customHeight="1">
      <c r="B123" s="138" t="s">
        <v>74</v>
      </c>
      <c r="C123" s="56"/>
      <c r="D123" s="56"/>
      <c r="E123" s="56"/>
      <c r="G123" s="56"/>
      <c r="H123" s="56"/>
      <c r="I123" s="56"/>
      <c r="J123" s="30"/>
      <c r="K123" s="79"/>
      <c r="L123" s="79"/>
      <c r="M123" s="79"/>
      <c r="N123" s="30"/>
      <c r="O123" s="79"/>
      <c r="P123" s="79"/>
      <c r="Q123" s="79"/>
      <c r="R123" s="30"/>
      <c r="S123" s="79"/>
      <c r="T123" s="79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7"/>
      <c r="AH123" s="37"/>
    </row>
    <row r="124" spans="2:34" ht="12.75" customHeight="1">
      <c r="B124" s="58" t="s">
        <v>128</v>
      </c>
      <c r="C124" s="79"/>
      <c r="D124" s="79"/>
      <c r="E124" s="79"/>
      <c r="F124" s="30"/>
      <c r="G124" s="79"/>
      <c r="H124" s="30"/>
      <c r="I124" s="30"/>
      <c r="J124" s="30">
        <f t="shared" ref="J124:J125" si="191">SUM(C124-SUM(G124:I124))</f>
        <v>0</v>
      </c>
      <c r="K124" s="79"/>
      <c r="L124" s="30"/>
      <c r="M124" s="30"/>
      <c r="N124" s="30">
        <f t="shared" ref="N124:N125" si="192">SUM(D124-SUM(K124:M124))</f>
        <v>0</v>
      </c>
      <c r="O124" s="79"/>
      <c r="P124" s="30"/>
      <c r="Q124" s="30"/>
      <c r="R124" s="30">
        <f t="shared" ref="R124:R125" si="193">SUM(E124-SUM(O124:Q124))</f>
        <v>0</v>
      </c>
      <c r="S124" s="79"/>
      <c r="T124" s="30"/>
      <c r="U124" s="30"/>
      <c r="V124" s="30">
        <f t="shared" ref="V124:AA125" si="194">SUM(H124:K124)</f>
        <v>0</v>
      </c>
      <c r="W124" s="30">
        <f t="shared" si="194"/>
        <v>0</v>
      </c>
      <c r="X124" s="30">
        <f t="shared" si="194"/>
        <v>0</v>
      </c>
      <c r="Y124" s="30">
        <f t="shared" si="194"/>
        <v>0</v>
      </c>
      <c r="Z124" s="30">
        <f t="shared" si="194"/>
        <v>0</v>
      </c>
      <c r="AA124" s="30">
        <f t="shared" si="194"/>
        <v>0</v>
      </c>
      <c r="AB124" s="30">
        <f t="shared" ref="AB124:AB125" si="195">SUM(M124:P124)</f>
        <v>0</v>
      </c>
      <c r="AC124" s="30">
        <f t="shared" ref="AC124:AC125" si="196">SUM(N124:Q124)</f>
        <v>0</v>
      </c>
      <c r="AD124" s="30">
        <f t="shared" ref="AD124:AD125" si="197">SUM(O124:R124)</f>
        <v>0</v>
      </c>
      <c r="AE124" s="30">
        <f t="shared" ref="AE124:AE125" si="198">SUM(P124:S124)</f>
        <v>0</v>
      </c>
      <c r="AF124" s="30">
        <f t="shared" ref="AF124:AF125" si="199">SUM(Q124:T124)</f>
        <v>0</v>
      </c>
      <c r="AG124" s="57"/>
      <c r="AH124" s="70" t="e">
        <f t="shared" ref="AH124:AH125" si="200">SUM(AF124/AB124)-1</f>
        <v>#DIV/0!</v>
      </c>
    </row>
    <row r="125" spans="2:34" ht="12.75" customHeight="1">
      <c r="B125" s="58" t="s">
        <v>174</v>
      </c>
      <c r="C125" s="79"/>
      <c r="D125" s="79"/>
      <c r="E125" s="79"/>
      <c r="F125" s="30"/>
      <c r="G125" s="79"/>
      <c r="H125" s="30"/>
      <c r="I125" s="30"/>
      <c r="J125" s="30">
        <f t="shared" si="191"/>
        <v>0</v>
      </c>
      <c r="K125" s="79"/>
      <c r="L125" s="30"/>
      <c r="M125" s="30"/>
      <c r="N125" s="30">
        <f t="shared" si="192"/>
        <v>0</v>
      </c>
      <c r="O125" s="79"/>
      <c r="P125" s="30"/>
      <c r="Q125" s="30"/>
      <c r="R125" s="30">
        <f t="shared" si="193"/>
        <v>0</v>
      </c>
      <c r="S125" s="79"/>
      <c r="T125" s="30"/>
      <c r="U125" s="30"/>
      <c r="V125" s="30">
        <f t="shared" si="194"/>
        <v>0</v>
      </c>
      <c r="W125" s="30">
        <f t="shared" si="194"/>
        <v>0</v>
      </c>
      <c r="X125" s="30">
        <f t="shared" si="194"/>
        <v>0</v>
      </c>
      <c r="Y125" s="30">
        <f t="shared" si="194"/>
        <v>0</v>
      </c>
      <c r="Z125" s="30">
        <f t="shared" si="194"/>
        <v>0</v>
      </c>
      <c r="AA125" s="30">
        <f t="shared" si="194"/>
        <v>0</v>
      </c>
      <c r="AB125" s="30">
        <f t="shared" si="195"/>
        <v>0</v>
      </c>
      <c r="AC125" s="30">
        <f t="shared" si="196"/>
        <v>0</v>
      </c>
      <c r="AD125" s="30">
        <f t="shared" si="197"/>
        <v>0</v>
      </c>
      <c r="AE125" s="30">
        <f t="shared" si="198"/>
        <v>0</v>
      </c>
      <c r="AF125" s="30">
        <f t="shared" si="199"/>
        <v>0</v>
      </c>
      <c r="AG125" s="57"/>
      <c r="AH125" s="70" t="e">
        <f t="shared" si="200"/>
        <v>#DIV/0!</v>
      </c>
    </row>
    <row r="126" spans="2:34" ht="12.75" customHeight="1">
      <c r="B126" s="12" t="s">
        <v>75</v>
      </c>
      <c r="C126" s="13">
        <f>SUM(C124:C125)</f>
        <v>0</v>
      </c>
      <c r="D126" s="13">
        <f>SUM(D124:D125)</f>
        <v>0</v>
      </c>
      <c r="E126" s="13">
        <f>SUM(E124:E125)</f>
        <v>0</v>
      </c>
      <c r="G126" s="13">
        <f t="shared" ref="G126:T126" si="201">SUM(G124:G125)</f>
        <v>0</v>
      </c>
      <c r="H126" s="13">
        <f t="shared" si="201"/>
        <v>0</v>
      </c>
      <c r="I126" s="13">
        <f t="shared" si="201"/>
        <v>0</v>
      </c>
      <c r="J126" s="13">
        <f t="shared" si="201"/>
        <v>0</v>
      </c>
      <c r="K126" s="13">
        <f t="shared" si="201"/>
        <v>0</v>
      </c>
      <c r="L126" s="13">
        <f t="shared" si="201"/>
        <v>0</v>
      </c>
      <c r="M126" s="13">
        <f t="shared" si="201"/>
        <v>0</v>
      </c>
      <c r="N126" s="13">
        <f t="shared" si="201"/>
        <v>0</v>
      </c>
      <c r="O126" s="13">
        <f t="shared" si="201"/>
        <v>0</v>
      </c>
      <c r="P126" s="13">
        <f t="shared" si="201"/>
        <v>0</v>
      </c>
      <c r="Q126" s="13">
        <f t="shared" si="201"/>
        <v>0</v>
      </c>
      <c r="R126" s="13">
        <f t="shared" si="201"/>
        <v>0</v>
      </c>
      <c r="S126" s="13">
        <f t="shared" si="201"/>
        <v>0</v>
      </c>
      <c r="T126" s="13">
        <f t="shared" si="201"/>
        <v>0</v>
      </c>
      <c r="V126" s="13">
        <f t="shared" ref="V126:AF126" si="202">SUM(V124:V125)</f>
        <v>0</v>
      </c>
      <c r="W126" s="13">
        <f t="shared" si="202"/>
        <v>0</v>
      </c>
      <c r="X126" s="13">
        <f t="shared" si="202"/>
        <v>0</v>
      </c>
      <c r="Y126" s="13">
        <f t="shared" si="202"/>
        <v>0</v>
      </c>
      <c r="Z126" s="13">
        <f t="shared" si="202"/>
        <v>0</v>
      </c>
      <c r="AA126" s="13">
        <f t="shared" si="202"/>
        <v>0</v>
      </c>
      <c r="AB126" s="13">
        <f t="shared" si="202"/>
        <v>0</v>
      </c>
      <c r="AC126" s="13">
        <f t="shared" si="202"/>
        <v>0</v>
      </c>
      <c r="AD126" s="13">
        <f t="shared" si="202"/>
        <v>0</v>
      </c>
      <c r="AE126" s="13">
        <f t="shared" si="202"/>
        <v>0</v>
      </c>
      <c r="AF126" s="13">
        <f t="shared" si="202"/>
        <v>0</v>
      </c>
      <c r="AG126" s="40"/>
      <c r="AH126" s="71" t="e">
        <f>SUM(AF126/AB126)-1</f>
        <v>#DIV/0!</v>
      </c>
    </row>
    <row r="127" spans="2:34" ht="5.0999999999999996" customHeight="1">
      <c r="B127" s="50"/>
      <c r="C127" s="59"/>
      <c r="D127" s="59"/>
      <c r="E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37"/>
    </row>
    <row r="128" spans="2:34" ht="12.75" customHeight="1">
      <c r="B128" s="138" t="s">
        <v>76</v>
      </c>
      <c r="C128" s="60"/>
      <c r="D128" s="60"/>
      <c r="E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61"/>
      <c r="AH128" s="37"/>
    </row>
    <row r="129" spans="2:34" ht="12.75" customHeight="1">
      <c r="B129" s="80" t="s">
        <v>117</v>
      </c>
      <c r="C129" s="79"/>
      <c r="D129" s="79"/>
      <c r="E129" s="79"/>
      <c r="G129" s="79"/>
      <c r="H129" s="30"/>
      <c r="I129" s="30"/>
      <c r="J129" s="30">
        <f t="shared" ref="J129:J132" si="203">SUM(C129-SUM(G129:I129))</f>
        <v>0</v>
      </c>
      <c r="K129" s="79"/>
      <c r="L129" s="30"/>
      <c r="M129" s="30"/>
      <c r="N129" s="30">
        <f t="shared" ref="N129:N132" si="204">SUM(D129-SUM(K129:M129))</f>
        <v>0</v>
      </c>
      <c r="O129" s="79"/>
      <c r="P129" s="30"/>
      <c r="Q129" s="30"/>
      <c r="R129" s="30">
        <f t="shared" ref="R129:R132" si="205">SUM(E129-SUM(O129:Q129))</f>
        <v>0</v>
      </c>
      <c r="S129" s="79"/>
      <c r="T129" s="30"/>
      <c r="U129" s="30"/>
      <c r="V129" s="30"/>
      <c r="W129" s="30"/>
      <c r="X129" s="30"/>
      <c r="Y129" s="30"/>
      <c r="Z129" s="30"/>
      <c r="AA129" s="30"/>
      <c r="AB129" s="30">
        <f t="shared" ref="AB129:AB132" si="206">SUM(M129:P129)</f>
        <v>0</v>
      </c>
      <c r="AC129" s="30">
        <f t="shared" ref="AC129:AC132" si="207">SUM(N129:Q129)</f>
        <v>0</v>
      </c>
      <c r="AD129" s="30">
        <f t="shared" ref="AD129:AD132" si="208">SUM(O129:R129)</f>
        <v>0</v>
      </c>
      <c r="AE129" s="30">
        <f t="shared" ref="AE129:AE132" si="209">SUM(P129:S129)</f>
        <v>0</v>
      </c>
      <c r="AF129" s="30">
        <f t="shared" ref="AF129:AF132" si="210">SUM(Q129:T129)</f>
        <v>0</v>
      </c>
      <c r="AG129" s="61"/>
      <c r="AH129" s="70" t="e">
        <f t="shared" ref="AH129:AH130" si="211">SUM(AF129/AB129)-1</f>
        <v>#DIV/0!</v>
      </c>
    </row>
    <row r="130" spans="2:34" ht="12.75" customHeight="1">
      <c r="B130" s="80" t="s">
        <v>116</v>
      </c>
      <c r="C130" s="79"/>
      <c r="D130" s="79"/>
      <c r="E130" s="79"/>
      <c r="F130" s="30"/>
      <c r="G130" s="79"/>
      <c r="H130" s="30"/>
      <c r="I130" s="30"/>
      <c r="J130" s="30">
        <f t="shared" si="203"/>
        <v>0</v>
      </c>
      <c r="K130" s="79"/>
      <c r="L130" s="30"/>
      <c r="M130" s="30"/>
      <c r="N130" s="30">
        <f t="shared" si="204"/>
        <v>0</v>
      </c>
      <c r="O130" s="79"/>
      <c r="P130" s="30"/>
      <c r="Q130" s="30"/>
      <c r="R130" s="30">
        <f t="shared" si="205"/>
        <v>0</v>
      </c>
      <c r="S130" s="79"/>
      <c r="T130" s="30"/>
      <c r="U130" s="30"/>
      <c r="V130" s="30"/>
      <c r="W130" s="30"/>
      <c r="X130" s="30"/>
      <c r="Y130" s="30"/>
      <c r="Z130" s="30"/>
      <c r="AA130" s="30"/>
      <c r="AB130" s="30">
        <f t="shared" si="206"/>
        <v>0</v>
      </c>
      <c r="AC130" s="30">
        <f t="shared" si="207"/>
        <v>0</v>
      </c>
      <c r="AD130" s="30">
        <f t="shared" si="208"/>
        <v>0</v>
      </c>
      <c r="AE130" s="30">
        <f t="shared" si="209"/>
        <v>0</v>
      </c>
      <c r="AF130" s="30">
        <f t="shared" si="210"/>
        <v>0</v>
      </c>
      <c r="AG130" s="61"/>
      <c r="AH130" s="70" t="e">
        <f t="shared" si="211"/>
        <v>#DIV/0!</v>
      </c>
    </row>
    <row r="131" spans="2:34" ht="12.75" customHeight="1">
      <c r="B131" s="80" t="s">
        <v>175</v>
      </c>
      <c r="C131" s="79"/>
      <c r="D131" s="79"/>
      <c r="E131" s="79"/>
      <c r="F131" s="30"/>
      <c r="G131" s="79"/>
      <c r="H131" s="30"/>
      <c r="I131" s="30"/>
      <c r="J131" s="30">
        <f t="shared" si="203"/>
        <v>0</v>
      </c>
      <c r="K131" s="79"/>
      <c r="L131" s="30"/>
      <c r="M131" s="30"/>
      <c r="N131" s="30">
        <f t="shared" si="204"/>
        <v>0</v>
      </c>
      <c r="O131" s="79"/>
      <c r="P131" s="30"/>
      <c r="Q131" s="30"/>
      <c r="R131" s="30">
        <f t="shared" si="205"/>
        <v>0</v>
      </c>
      <c r="S131" s="79"/>
      <c r="T131" s="30"/>
      <c r="U131" s="30"/>
      <c r="V131" s="30">
        <f t="shared" ref="V131:AA131" si="212">SUM(H131:K131)</f>
        <v>0</v>
      </c>
      <c r="W131" s="30">
        <f t="shared" si="212"/>
        <v>0</v>
      </c>
      <c r="X131" s="30">
        <f t="shared" si="212"/>
        <v>0</v>
      </c>
      <c r="Y131" s="30">
        <f t="shared" si="212"/>
        <v>0</v>
      </c>
      <c r="Z131" s="30">
        <f t="shared" si="212"/>
        <v>0</v>
      </c>
      <c r="AA131" s="30">
        <f t="shared" si="212"/>
        <v>0</v>
      </c>
      <c r="AB131" s="30">
        <f t="shared" si="206"/>
        <v>0</v>
      </c>
      <c r="AC131" s="30">
        <f t="shared" si="207"/>
        <v>0</v>
      </c>
      <c r="AD131" s="30">
        <f t="shared" si="208"/>
        <v>0</v>
      </c>
      <c r="AE131" s="30">
        <f t="shared" si="209"/>
        <v>0</v>
      </c>
      <c r="AF131" s="30">
        <f t="shared" si="210"/>
        <v>0</v>
      </c>
      <c r="AG131" s="61"/>
      <c r="AH131" s="70" t="e">
        <f t="shared" ref="AH131:AH132" si="213">SUM(AF131/AB131)-1</f>
        <v>#DIV/0!</v>
      </c>
    </row>
    <row r="132" spans="2:34" ht="12.75" customHeight="1">
      <c r="B132" s="80" t="s">
        <v>176</v>
      </c>
      <c r="C132" s="79"/>
      <c r="D132" s="79"/>
      <c r="E132" s="79"/>
      <c r="F132" s="30"/>
      <c r="G132" s="79"/>
      <c r="H132" s="30"/>
      <c r="I132" s="30"/>
      <c r="J132" s="30">
        <f t="shared" si="203"/>
        <v>0</v>
      </c>
      <c r="K132" s="79"/>
      <c r="L132" s="30"/>
      <c r="M132" s="30"/>
      <c r="N132" s="30">
        <f t="shared" si="204"/>
        <v>0</v>
      </c>
      <c r="O132" s="79"/>
      <c r="P132" s="30"/>
      <c r="Q132" s="30"/>
      <c r="R132" s="30">
        <f t="shared" si="205"/>
        <v>0</v>
      </c>
      <c r="S132" s="79"/>
      <c r="T132" s="30"/>
      <c r="U132" s="30"/>
      <c r="V132" s="30"/>
      <c r="W132" s="30"/>
      <c r="X132" s="30"/>
      <c r="Y132" s="30"/>
      <c r="Z132" s="30"/>
      <c r="AA132" s="30"/>
      <c r="AB132" s="30">
        <f t="shared" si="206"/>
        <v>0</v>
      </c>
      <c r="AC132" s="30">
        <f t="shared" si="207"/>
        <v>0</v>
      </c>
      <c r="AD132" s="30">
        <f t="shared" si="208"/>
        <v>0</v>
      </c>
      <c r="AE132" s="30">
        <f t="shared" si="209"/>
        <v>0</v>
      </c>
      <c r="AF132" s="30">
        <f t="shared" si="210"/>
        <v>0</v>
      </c>
      <c r="AG132" s="61"/>
      <c r="AH132" s="70" t="e">
        <f t="shared" si="213"/>
        <v>#DIV/0!</v>
      </c>
    </row>
    <row r="133" spans="2:34" ht="12.75" customHeight="1">
      <c r="B133" s="12" t="s">
        <v>77</v>
      </c>
      <c r="C133" s="32">
        <f t="shared" ref="C133:E133" si="214">SUM(C129:C132)</f>
        <v>0</v>
      </c>
      <c r="D133" s="32">
        <f t="shared" si="214"/>
        <v>0</v>
      </c>
      <c r="E133" s="32">
        <f t="shared" si="214"/>
        <v>0</v>
      </c>
      <c r="G133" s="32">
        <f t="shared" ref="G133" si="215">SUM(G129:G132)</f>
        <v>0</v>
      </c>
      <c r="H133" s="32">
        <f t="shared" ref="H133" si="216">SUM(H129:H132)</f>
        <v>0</v>
      </c>
      <c r="I133" s="32">
        <f t="shared" ref="I133" si="217">SUM(I129:I132)</f>
        <v>0</v>
      </c>
      <c r="J133" s="32">
        <f t="shared" ref="J133" si="218">SUM(J129:J132)</f>
        <v>0</v>
      </c>
      <c r="K133" s="32">
        <f t="shared" ref="K133" si="219">SUM(K129:K132)</f>
        <v>0</v>
      </c>
      <c r="L133" s="32">
        <f t="shared" ref="L133" si="220">SUM(L129:L132)</f>
        <v>0</v>
      </c>
      <c r="M133" s="32">
        <f t="shared" ref="M133" si="221">SUM(M129:M132)</f>
        <v>0</v>
      </c>
      <c r="N133" s="32">
        <f t="shared" ref="N133" si="222">SUM(N129:N132)</f>
        <v>0</v>
      </c>
      <c r="O133" s="32">
        <f t="shared" ref="O133" si="223">SUM(O129:O132)</f>
        <v>0</v>
      </c>
      <c r="P133" s="32">
        <f t="shared" ref="P133" si="224">SUM(P129:P132)</f>
        <v>0</v>
      </c>
      <c r="Q133" s="32">
        <f t="shared" ref="Q133" si="225">SUM(Q129:Q132)</f>
        <v>0</v>
      </c>
      <c r="R133" s="32">
        <f t="shared" ref="R133" si="226">SUM(R129:R132)</f>
        <v>0</v>
      </c>
      <c r="S133" s="32">
        <f t="shared" ref="S133" si="227">SUM(S129:S132)</f>
        <v>0</v>
      </c>
      <c r="T133" s="32">
        <f t="shared" ref="T133" si="228">SUM(T129:T132)</f>
        <v>0</v>
      </c>
      <c r="U133" s="30"/>
      <c r="V133" s="32">
        <f t="shared" ref="V133" si="229">SUM(V129:V132)</f>
        <v>0</v>
      </c>
      <c r="W133" s="32">
        <f t="shared" ref="W133" si="230">SUM(W129:W132)</f>
        <v>0</v>
      </c>
      <c r="X133" s="32">
        <f t="shared" ref="X133" si="231">SUM(X129:X132)</f>
        <v>0</v>
      </c>
      <c r="Y133" s="32">
        <f t="shared" ref="Y133" si="232">SUM(Y129:Y132)</f>
        <v>0</v>
      </c>
      <c r="Z133" s="32">
        <f t="shared" ref="Z133" si="233">SUM(Z129:Z132)</f>
        <v>0</v>
      </c>
      <c r="AA133" s="32">
        <f t="shared" ref="AA133" si="234">SUM(AA129:AA132)</f>
        <v>0</v>
      </c>
      <c r="AB133" s="32">
        <f t="shared" ref="AB133" si="235">SUM(AB129:AB132)</f>
        <v>0</v>
      </c>
      <c r="AC133" s="32">
        <f t="shared" ref="AC133" si="236">SUM(AC129:AC132)</f>
        <v>0</v>
      </c>
      <c r="AD133" s="32">
        <f t="shared" ref="AD133" si="237">SUM(AD129:AD132)</f>
        <v>0</v>
      </c>
      <c r="AE133" s="32">
        <f t="shared" ref="AE133" si="238">SUM(AE129:AE132)</f>
        <v>0</v>
      </c>
      <c r="AF133" s="32">
        <f t="shared" ref="AF133" si="239">SUM(AF129:AF132)</f>
        <v>0</v>
      </c>
      <c r="AG133" s="40"/>
      <c r="AH133" s="71" t="e">
        <f>SUM(AF133/AB133)-1</f>
        <v>#DIV/0!</v>
      </c>
    </row>
    <row r="134" spans="2:34" ht="5.0999999999999996" customHeight="1">
      <c r="B134" s="8"/>
      <c r="C134" s="62"/>
      <c r="D134" s="62"/>
      <c r="E134" s="62"/>
      <c r="F134" s="30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44"/>
    </row>
    <row r="135" spans="2:34" ht="5.0999999999999996" customHeight="1">
      <c r="B135" s="67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11"/>
      <c r="AH135" s="44"/>
    </row>
    <row r="136" spans="2:34">
      <c r="B136" s="129" t="s">
        <v>82</v>
      </c>
      <c r="C136" s="121"/>
      <c r="D136" s="121">
        <f t="shared" ref="D136:E136" si="240">C142</f>
        <v>0</v>
      </c>
      <c r="E136" s="121">
        <f t="shared" si="240"/>
        <v>0</v>
      </c>
      <c r="F136" s="121"/>
      <c r="G136" s="121"/>
      <c r="H136" s="121">
        <f>G142</f>
        <v>0</v>
      </c>
      <c r="I136" s="121">
        <f t="shared" ref="I136:T136" si="241">H142</f>
        <v>0</v>
      </c>
      <c r="J136" s="121">
        <f t="shared" si="241"/>
        <v>0</v>
      </c>
      <c r="K136" s="121">
        <f t="shared" si="241"/>
        <v>0</v>
      </c>
      <c r="L136" s="121">
        <f t="shared" si="241"/>
        <v>0</v>
      </c>
      <c r="M136" s="121">
        <f t="shared" si="241"/>
        <v>0</v>
      </c>
      <c r="N136" s="121">
        <f t="shared" si="241"/>
        <v>0</v>
      </c>
      <c r="O136" s="121">
        <f t="shared" si="241"/>
        <v>0</v>
      </c>
      <c r="P136" s="121">
        <f t="shared" si="241"/>
        <v>0</v>
      </c>
      <c r="Q136" s="121">
        <f t="shared" si="241"/>
        <v>0</v>
      </c>
      <c r="R136" s="121">
        <f t="shared" si="241"/>
        <v>0</v>
      </c>
      <c r="S136" s="121">
        <f t="shared" si="241"/>
        <v>0</v>
      </c>
      <c r="T136" s="121">
        <f t="shared" si="241"/>
        <v>0</v>
      </c>
      <c r="U136" s="121"/>
      <c r="V136" s="121">
        <f t="shared" ref="V136:AF136" si="242">G142</f>
        <v>0</v>
      </c>
      <c r="W136" s="121">
        <f t="shared" si="242"/>
        <v>0</v>
      </c>
      <c r="X136" s="121">
        <f t="shared" si="242"/>
        <v>0</v>
      </c>
      <c r="Y136" s="121">
        <f t="shared" si="242"/>
        <v>0</v>
      </c>
      <c r="Z136" s="121">
        <f t="shared" si="242"/>
        <v>0</v>
      </c>
      <c r="AA136" s="121">
        <f t="shared" si="242"/>
        <v>0</v>
      </c>
      <c r="AB136" s="121">
        <f t="shared" si="242"/>
        <v>0</v>
      </c>
      <c r="AC136" s="121">
        <f t="shared" si="242"/>
        <v>0</v>
      </c>
      <c r="AD136" s="121">
        <f t="shared" si="242"/>
        <v>0</v>
      </c>
      <c r="AE136" s="121">
        <f t="shared" si="242"/>
        <v>0</v>
      </c>
      <c r="AF136" s="123">
        <f t="shared" si="242"/>
        <v>0</v>
      </c>
      <c r="AG136" s="11"/>
      <c r="AH136" s="44"/>
    </row>
    <row r="137" spans="2:34">
      <c r="B137" s="130" t="s">
        <v>112</v>
      </c>
      <c r="C137" s="30"/>
      <c r="D137" s="30">
        <v>0</v>
      </c>
      <c r="E137" s="30">
        <v>0</v>
      </c>
      <c r="F137" s="30"/>
      <c r="G137" s="30"/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/>
      <c r="V137" s="30">
        <f t="shared" ref="V137:AE137" si="243">SUM(H137:K137)</f>
        <v>0</v>
      </c>
      <c r="W137" s="30">
        <f t="shared" si="243"/>
        <v>0</v>
      </c>
      <c r="X137" s="30">
        <f t="shared" si="243"/>
        <v>0</v>
      </c>
      <c r="Y137" s="30">
        <f t="shared" si="243"/>
        <v>0</v>
      </c>
      <c r="Z137" s="30">
        <f t="shared" si="243"/>
        <v>0</v>
      </c>
      <c r="AA137" s="30">
        <f t="shared" si="243"/>
        <v>0</v>
      </c>
      <c r="AB137" s="30">
        <f t="shared" si="243"/>
        <v>0</v>
      </c>
      <c r="AC137" s="30">
        <f t="shared" si="243"/>
        <v>0</v>
      </c>
      <c r="AD137" s="30">
        <f t="shared" si="243"/>
        <v>0</v>
      </c>
      <c r="AE137" s="30">
        <f t="shared" si="243"/>
        <v>0</v>
      </c>
      <c r="AF137" s="124">
        <f>SUM(R137:T137)</f>
        <v>0</v>
      </c>
      <c r="AG137" s="11"/>
      <c r="AH137" s="44"/>
    </row>
    <row r="138" spans="2:34">
      <c r="B138" s="131" t="s">
        <v>96</v>
      </c>
      <c r="C138" s="83">
        <f t="shared" ref="C138:E138" si="244">SUM(C136:C137)</f>
        <v>0</v>
      </c>
      <c r="D138" s="83">
        <f t="shared" si="244"/>
        <v>0</v>
      </c>
      <c r="E138" s="83">
        <f t="shared" si="244"/>
        <v>0</v>
      </c>
      <c r="F138" s="30"/>
      <c r="G138" s="83">
        <f t="shared" ref="G138:T138" si="245">SUM(G136:G137)</f>
        <v>0</v>
      </c>
      <c r="H138" s="83">
        <f t="shared" si="245"/>
        <v>0</v>
      </c>
      <c r="I138" s="83">
        <f t="shared" si="245"/>
        <v>0</v>
      </c>
      <c r="J138" s="83">
        <f t="shared" si="245"/>
        <v>0</v>
      </c>
      <c r="K138" s="83">
        <f t="shared" si="245"/>
        <v>0</v>
      </c>
      <c r="L138" s="83">
        <f t="shared" si="245"/>
        <v>0</v>
      </c>
      <c r="M138" s="83">
        <f t="shared" si="245"/>
        <v>0</v>
      </c>
      <c r="N138" s="83">
        <f t="shared" si="245"/>
        <v>0</v>
      </c>
      <c r="O138" s="83">
        <f t="shared" si="245"/>
        <v>0</v>
      </c>
      <c r="P138" s="83">
        <f t="shared" si="245"/>
        <v>0</v>
      </c>
      <c r="Q138" s="83">
        <f t="shared" si="245"/>
        <v>0</v>
      </c>
      <c r="R138" s="83">
        <f t="shared" si="245"/>
        <v>0</v>
      </c>
      <c r="S138" s="83">
        <f t="shared" si="245"/>
        <v>0</v>
      </c>
      <c r="T138" s="83">
        <f t="shared" si="245"/>
        <v>0</v>
      </c>
      <c r="U138" s="30"/>
      <c r="V138" s="120">
        <f t="shared" ref="V138:AF138" si="246">SUM(V136:V137)</f>
        <v>0</v>
      </c>
      <c r="W138" s="120">
        <f t="shared" si="246"/>
        <v>0</v>
      </c>
      <c r="X138" s="120">
        <f t="shared" si="246"/>
        <v>0</v>
      </c>
      <c r="Y138" s="120">
        <f t="shared" si="246"/>
        <v>0</v>
      </c>
      <c r="Z138" s="120">
        <f t="shared" si="246"/>
        <v>0</v>
      </c>
      <c r="AA138" s="120">
        <f t="shared" si="246"/>
        <v>0</v>
      </c>
      <c r="AB138" s="120">
        <f t="shared" ref="AB138" si="247">SUM(AB136:AB137)</f>
        <v>0</v>
      </c>
      <c r="AC138" s="120">
        <f t="shared" ref="AC138" si="248">SUM(AC136:AC137)</f>
        <v>0</v>
      </c>
      <c r="AD138" s="120">
        <f t="shared" ref="AD138" si="249">SUM(AD136:AD137)</f>
        <v>0</v>
      </c>
      <c r="AE138" s="120">
        <f t="shared" ref="AE138" si="250">SUM(AE136:AE137)</f>
        <v>0</v>
      </c>
      <c r="AF138" s="125">
        <f t="shared" si="246"/>
        <v>0</v>
      </c>
      <c r="AG138" s="11"/>
      <c r="AH138" s="44"/>
    </row>
    <row r="139" spans="2:34">
      <c r="B139" s="132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124"/>
      <c r="AG139" s="11"/>
      <c r="AH139" s="44"/>
    </row>
    <row r="140" spans="2:34">
      <c r="B140" s="130" t="s">
        <v>113</v>
      </c>
      <c r="C140" s="79"/>
      <c r="D140" s="79"/>
      <c r="E140" s="79"/>
      <c r="F140" s="30"/>
      <c r="G140" s="79"/>
      <c r="H140" s="79"/>
      <c r="I140" s="79"/>
      <c r="J140" s="30">
        <f>C140</f>
        <v>0</v>
      </c>
      <c r="K140" s="79"/>
      <c r="L140" s="79"/>
      <c r="M140" s="79"/>
      <c r="N140" s="30">
        <f>D140</f>
        <v>0</v>
      </c>
      <c r="O140" s="79"/>
      <c r="P140" s="79"/>
      <c r="Q140" s="79"/>
      <c r="R140" s="30">
        <f>E140</f>
        <v>0</v>
      </c>
      <c r="S140" s="79"/>
      <c r="T140" s="79"/>
      <c r="U140" s="30"/>
      <c r="V140" s="30">
        <f t="shared" ref="V140:AE141" si="251">SUM(H140:K140)</f>
        <v>0</v>
      </c>
      <c r="W140" s="30">
        <f t="shared" si="251"/>
        <v>0</v>
      </c>
      <c r="X140" s="30">
        <f t="shared" si="251"/>
        <v>0</v>
      </c>
      <c r="Y140" s="30">
        <f t="shared" si="251"/>
        <v>0</v>
      </c>
      <c r="Z140" s="30">
        <f t="shared" si="251"/>
        <v>0</v>
      </c>
      <c r="AA140" s="30">
        <f t="shared" si="251"/>
        <v>0</v>
      </c>
      <c r="AB140" s="30">
        <f t="shared" si="251"/>
        <v>0</v>
      </c>
      <c r="AC140" s="30">
        <f t="shared" si="251"/>
        <v>0</v>
      </c>
      <c r="AD140" s="30">
        <f t="shared" si="251"/>
        <v>0</v>
      </c>
      <c r="AE140" s="30">
        <f t="shared" si="251"/>
        <v>0</v>
      </c>
      <c r="AF140" s="124">
        <f>SUM(R140:T140)</f>
        <v>0</v>
      </c>
      <c r="AG140" s="11"/>
      <c r="AH140" s="44"/>
    </row>
    <row r="141" spans="2:34">
      <c r="B141" s="132" t="s">
        <v>81</v>
      </c>
      <c r="C141" s="30">
        <f>+C133+C126+C121</f>
        <v>0</v>
      </c>
      <c r="D141" s="30">
        <f>+D133+D126+D121</f>
        <v>0</v>
      </c>
      <c r="E141" s="30">
        <f>+E133+E126+E121</f>
        <v>0</v>
      </c>
      <c r="F141" s="30"/>
      <c r="G141" s="30">
        <f t="shared" ref="G141:T141" si="252">+G133+G126+G121</f>
        <v>0</v>
      </c>
      <c r="H141" s="30">
        <f t="shared" si="252"/>
        <v>0</v>
      </c>
      <c r="I141" s="30">
        <f t="shared" si="252"/>
        <v>0</v>
      </c>
      <c r="J141" s="30">
        <f t="shared" si="252"/>
        <v>0</v>
      </c>
      <c r="K141" s="30">
        <f t="shared" si="252"/>
        <v>0</v>
      </c>
      <c r="L141" s="30">
        <f t="shared" si="252"/>
        <v>0</v>
      </c>
      <c r="M141" s="30">
        <f t="shared" si="252"/>
        <v>0</v>
      </c>
      <c r="N141" s="30">
        <f t="shared" si="252"/>
        <v>0</v>
      </c>
      <c r="O141" s="30">
        <f t="shared" si="252"/>
        <v>0</v>
      </c>
      <c r="P141" s="30">
        <f t="shared" si="252"/>
        <v>0</v>
      </c>
      <c r="Q141" s="30">
        <f t="shared" si="252"/>
        <v>0</v>
      </c>
      <c r="R141" s="30">
        <f t="shared" si="252"/>
        <v>0</v>
      </c>
      <c r="S141" s="30">
        <f t="shared" si="252"/>
        <v>0</v>
      </c>
      <c r="T141" s="30">
        <f t="shared" si="252"/>
        <v>0</v>
      </c>
      <c r="U141" s="30"/>
      <c r="V141" s="30">
        <f t="shared" si="251"/>
        <v>0</v>
      </c>
      <c r="W141" s="30">
        <f t="shared" si="251"/>
        <v>0</v>
      </c>
      <c r="X141" s="30">
        <f t="shared" si="251"/>
        <v>0</v>
      </c>
      <c r="Y141" s="30">
        <f t="shared" si="251"/>
        <v>0</v>
      </c>
      <c r="Z141" s="30">
        <f t="shared" si="251"/>
        <v>0</v>
      </c>
      <c r="AA141" s="30">
        <f t="shared" si="251"/>
        <v>0</v>
      </c>
      <c r="AB141" s="30">
        <f t="shared" si="251"/>
        <v>0</v>
      </c>
      <c r="AC141" s="30">
        <f t="shared" si="251"/>
        <v>0</v>
      </c>
      <c r="AD141" s="30">
        <f t="shared" si="251"/>
        <v>0</v>
      </c>
      <c r="AE141" s="30">
        <f t="shared" si="251"/>
        <v>0</v>
      </c>
      <c r="AF141" s="124">
        <f>SUM(R141:T141)</f>
        <v>0</v>
      </c>
      <c r="AG141" s="11"/>
      <c r="AH141" s="44"/>
    </row>
    <row r="142" spans="2:34">
      <c r="B142" s="131" t="s">
        <v>97</v>
      </c>
      <c r="C142" s="83">
        <f t="shared" ref="C142:E142" si="253">SUM(C138:C141)</f>
        <v>0</v>
      </c>
      <c r="D142" s="83">
        <f t="shared" si="253"/>
        <v>0</v>
      </c>
      <c r="E142" s="83">
        <f t="shared" si="253"/>
        <v>0</v>
      </c>
      <c r="F142" s="30"/>
      <c r="G142" s="82">
        <f t="shared" ref="G142:T142" si="254">SUM(G138:G141)</f>
        <v>0</v>
      </c>
      <c r="H142" s="82">
        <f t="shared" si="254"/>
        <v>0</v>
      </c>
      <c r="I142" s="82">
        <f t="shared" si="254"/>
        <v>0</v>
      </c>
      <c r="J142" s="82">
        <f t="shared" si="254"/>
        <v>0</v>
      </c>
      <c r="K142" s="82">
        <f t="shared" si="254"/>
        <v>0</v>
      </c>
      <c r="L142" s="82">
        <f t="shared" si="254"/>
        <v>0</v>
      </c>
      <c r="M142" s="82">
        <f t="shared" si="254"/>
        <v>0</v>
      </c>
      <c r="N142" s="82">
        <f t="shared" si="254"/>
        <v>0</v>
      </c>
      <c r="O142" s="82">
        <f t="shared" si="254"/>
        <v>0</v>
      </c>
      <c r="P142" s="82">
        <f t="shared" si="254"/>
        <v>0</v>
      </c>
      <c r="Q142" s="82">
        <f t="shared" si="254"/>
        <v>0</v>
      </c>
      <c r="R142" s="82">
        <f t="shared" si="254"/>
        <v>0</v>
      </c>
      <c r="S142" s="82">
        <f t="shared" si="254"/>
        <v>0</v>
      </c>
      <c r="T142" s="82">
        <f t="shared" si="254"/>
        <v>0</v>
      </c>
      <c r="U142" s="30"/>
      <c r="V142" s="82">
        <f t="shared" ref="V142:AF142" si="255">SUM(V138:V141)</f>
        <v>0</v>
      </c>
      <c r="W142" s="82">
        <f t="shared" si="255"/>
        <v>0</v>
      </c>
      <c r="X142" s="82">
        <f t="shared" si="255"/>
        <v>0</v>
      </c>
      <c r="Y142" s="82">
        <f t="shared" si="255"/>
        <v>0</v>
      </c>
      <c r="Z142" s="82">
        <f t="shared" si="255"/>
        <v>0</v>
      </c>
      <c r="AA142" s="82">
        <f t="shared" si="255"/>
        <v>0</v>
      </c>
      <c r="AB142" s="82">
        <f t="shared" si="255"/>
        <v>0</v>
      </c>
      <c r="AC142" s="82">
        <f t="shared" si="255"/>
        <v>0</v>
      </c>
      <c r="AD142" s="82">
        <f t="shared" si="255"/>
        <v>0</v>
      </c>
      <c r="AE142" s="82">
        <f t="shared" si="255"/>
        <v>0</v>
      </c>
      <c r="AF142" s="126">
        <f t="shared" si="255"/>
        <v>0</v>
      </c>
      <c r="AG142" s="11"/>
      <c r="AH142" s="44"/>
    </row>
    <row r="143" spans="2:34" ht="5.0999999999999996" customHeight="1">
      <c r="B143" s="133"/>
      <c r="C143" s="62"/>
      <c r="D143" s="62"/>
      <c r="E143" s="62"/>
      <c r="F143" s="30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22"/>
      <c r="AG143" s="11"/>
      <c r="AH143" s="44"/>
    </row>
    <row r="144" spans="2:34">
      <c r="B144" s="134" t="s">
        <v>80</v>
      </c>
      <c r="C144" s="127">
        <f>C142-C47</f>
        <v>0</v>
      </c>
      <c r="D144" s="127">
        <f>D142-D47</f>
        <v>0</v>
      </c>
      <c r="E144" s="127">
        <f>E142-E47</f>
        <v>0</v>
      </c>
      <c r="F144" s="128"/>
      <c r="G144" s="127">
        <f t="shared" ref="G144:AF144" si="256">G142-G47</f>
        <v>0</v>
      </c>
      <c r="H144" s="127">
        <f t="shared" si="256"/>
        <v>0</v>
      </c>
      <c r="I144" s="127">
        <f t="shared" si="256"/>
        <v>0</v>
      </c>
      <c r="J144" s="127">
        <f t="shared" si="256"/>
        <v>0</v>
      </c>
      <c r="K144" s="127">
        <f t="shared" si="256"/>
        <v>0</v>
      </c>
      <c r="L144" s="127">
        <f t="shared" si="256"/>
        <v>0</v>
      </c>
      <c r="M144" s="127">
        <f t="shared" si="256"/>
        <v>0</v>
      </c>
      <c r="N144" s="127">
        <f t="shared" si="256"/>
        <v>0</v>
      </c>
      <c r="O144" s="127">
        <f t="shared" si="256"/>
        <v>0</v>
      </c>
      <c r="P144" s="127">
        <f t="shared" si="256"/>
        <v>0</v>
      </c>
      <c r="Q144" s="127">
        <f t="shared" si="256"/>
        <v>0</v>
      </c>
      <c r="R144" s="127">
        <f t="shared" si="256"/>
        <v>0</v>
      </c>
      <c r="S144" s="127">
        <f t="shared" si="256"/>
        <v>0</v>
      </c>
      <c r="T144" s="127">
        <f t="shared" si="256"/>
        <v>0</v>
      </c>
      <c r="U144" s="127"/>
      <c r="V144" s="127">
        <f t="shared" si="256"/>
        <v>0</v>
      </c>
      <c r="W144" s="127">
        <f t="shared" si="256"/>
        <v>0</v>
      </c>
      <c r="X144" s="127">
        <f t="shared" si="256"/>
        <v>0</v>
      </c>
      <c r="Y144" s="127">
        <f t="shared" si="256"/>
        <v>0</v>
      </c>
      <c r="Z144" s="127">
        <f t="shared" si="256"/>
        <v>0</v>
      </c>
      <c r="AA144" s="127">
        <f t="shared" si="256"/>
        <v>0</v>
      </c>
      <c r="AB144" s="127">
        <f t="shared" si="256"/>
        <v>0</v>
      </c>
      <c r="AC144" s="127">
        <f t="shared" si="256"/>
        <v>0</v>
      </c>
      <c r="AD144" s="127">
        <f t="shared" si="256"/>
        <v>0</v>
      </c>
      <c r="AE144" s="127">
        <f t="shared" si="256"/>
        <v>0</v>
      </c>
      <c r="AF144" s="127">
        <f t="shared" si="256"/>
        <v>0</v>
      </c>
      <c r="AG144" s="11"/>
      <c r="AH144" s="44"/>
    </row>
    <row r="145" spans="2:34" ht="5.0999999999999996" customHeight="1">
      <c r="B145" s="8"/>
      <c r="C145" s="62"/>
      <c r="D145" s="62"/>
      <c r="E145" s="62"/>
      <c r="F145" s="30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44"/>
    </row>
    <row r="146" spans="2:34">
      <c r="B146" s="8"/>
      <c r="C146" s="62"/>
      <c r="D146" s="62"/>
      <c r="E146" s="62"/>
      <c r="F146" s="30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44"/>
    </row>
    <row r="147" spans="2:34">
      <c r="B147" s="138" t="s">
        <v>173</v>
      </c>
      <c r="C147" s="62"/>
      <c r="D147" s="62"/>
      <c r="E147" s="62"/>
      <c r="F147" s="30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44"/>
    </row>
    <row r="148" spans="2:34">
      <c r="B148" s="80" t="s">
        <v>95</v>
      </c>
      <c r="C148" s="62"/>
      <c r="D148" s="62"/>
      <c r="E148" s="62"/>
      <c r="F148" s="30"/>
      <c r="G148" s="79"/>
      <c r="H148" s="30"/>
      <c r="I148" s="30"/>
      <c r="J148" s="30">
        <f t="shared" ref="J148" si="257">SUM(C148-SUM(G148:I148))</f>
        <v>0</v>
      </c>
      <c r="K148" s="79"/>
      <c r="L148" s="30"/>
      <c r="M148" s="30"/>
      <c r="N148" s="30">
        <f t="shared" ref="N148" si="258">SUM(D148-SUM(K148:M148))</f>
        <v>0</v>
      </c>
      <c r="O148" s="79"/>
      <c r="P148" s="30"/>
      <c r="Q148" s="30"/>
      <c r="R148" s="30">
        <f t="shared" ref="R148" si="259">SUM(E148-SUM(O148:Q148))</f>
        <v>0</v>
      </c>
      <c r="S148" s="79"/>
      <c r="T148" s="30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44"/>
    </row>
    <row r="149" spans="2:34" ht="5.0999999999999996" customHeight="1" thickBot="1">
      <c r="B149" s="68"/>
      <c r="C149" s="69"/>
      <c r="D149" s="69"/>
      <c r="E149" s="69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H149" s="44"/>
    </row>
    <row r="150" spans="2:34" ht="12.75" customHeight="1">
      <c r="B150" s="140" t="s">
        <v>130</v>
      </c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H150" s="44"/>
    </row>
    <row r="151" spans="2:34" ht="12.75" customHeight="1">
      <c r="B151" s="139" t="s">
        <v>131</v>
      </c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</row>
    <row r="152" spans="2:34" ht="12.75" customHeight="1">
      <c r="C152" s="54"/>
      <c r="D152" s="54"/>
      <c r="E152" s="54"/>
    </row>
    <row r="153" spans="2:34" ht="12.75" customHeight="1">
      <c r="C153" s="54"/>
      <c r="D153" s="54"/>
      <c r="E153" s="54"/>
    </row>
    <row r="154" spans="2:34" ht="12.75" customHeight="1">
      <c r="C154" s="54"/>
      <c r="D154" s="54"/>
      <c r="E154" s="54"/>
    </row>
    <row r="155" spans="2:34" ht="12.75" customHeight="1">
      <c r="C155" s="54"/>
      <c r="D155" s="54"/>
      <c r="E155" s="54"/>
    </row>
    <row r="156" spans="2:34" ht="12.75" customHeight="1">
      <c r="C156" s="54"/>
      <c r="D156" s="54"/>
      <c r="E156" s="5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</row>
    <row r="157" spans="2:34" ht="12.75" customHeight="1">
      <c r="C157" s="54"/>
      <c r="D157" s="54"/>
      <c r="E157" s="54"/>
    </row>
    <row r="158" spans="2:34" ht="12.75" customHeight="1">
      <c r="C158" s="54"/>
      <c r="D158" s="54"/>
      <c r="E158" s="5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</row>
    <row r="159" spans="2:34"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</row>
    <row r="160" spans="2:34"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</row>
    <row r="162" spans="7:20"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</row>
    <row r="163" spans="7:20"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</row>
  </sheetData>
  <mergeCells count="6">
    <mergeCell ref="B151:AF151"/>
    <mergeCell ref="B150:AF150"/>
    <mergeCell ref="AH6:AH8"/>
    <mergeCell ref="AH42:AH44"/>
    <mergeCell ref="AH93:AH95"/>
    <mergeCell ref="B91:AH91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F14:AF16 AF34 F51" formulaRange="1"/>
    <ignoredError sqref="AH126:AH128 AH121:AH123" evalError="1"/>
    <ignoredError sqref="O99:T100 S98:T98 O98:Q98 N98 R9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16"/>
  <sheetViews>
    <sheetView showGridLines="0" zoomScaleNormal="100" workbookViewId="0">
      <selection activeCell="B6" sqref="B6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1" width="9.125" style="8" bestFit="1" customWidth="1"/>
    <col min="22" max="22" width="1.5" style="8" customWidth="1"/>
    <col min="23" max="28" width="8.75" style="8" hidden="1" customWidth="1" outlineLevel="1"/>
    <col min="29" max="31" width="8.75" style="8" customWidth="1" outlineLevel="1"/>
    <col min="32" max="32" width="8.75" style="8" bestFit="1" customWidth="1"/>
    <col min="33" max="16384" width="9" style="8"/>
  </cols>
  <sheetData>
    <row r="2" spans="1:32" s="5" customFormat="1" ht="12.75" customHeight="1">
      <c r="B2" s="1" t="s">
        <v>184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3"/>
      <c r="W2" s="2" t="s">
        <v>10</v>
      </c>
      <c r="X2" s="2"/>
      <c r="Y2" s="2"/>
      <c r="Z2" s="2"/>
      <c r="AA2" s="2" t="s">
        <v>10</v>
      </c>
      <c r="AB2" s="2"/>
      <c r="AC2" s="2" t="s">
        <v>10</v>
      </c>
      <c r="AD2" s="2"/>
      <c r="AE2" s="2"/>
      <c r="AF2" s="2"/>
    </row>
    <row r="3" spans="1:32" s="5" customFormat="1" ht="12.75" customHeight="1">
      <c r="B3" s="6" t="s">
        <v>88</v>
      </c>
      <c r="C3" s="7" t="e">
        <f>'Historical Financials'!#REF!</f>
        <v>#REF!</v>
      </c>
      <c r="D3" s="7">
        <f>'Historical Financials'!C7</f>
        <v>2022</v>
      </c>
      <c r="E3" s="7">
        <f>'Historical Financials'!D7</f>
        <v>2023</v>
      </c>
      <c r="F3" s="7">
        <f>'Historical Financials'!E7</f>
        <v>2024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str">
        <f>'Historical Financials'!R7</f>
        <v>4Q24</v>
      </c>
      <c r="T3" s="7" t="str">
        <f>'Historical Financials'!S7</f>
        <v>1Q25</v>
      </c>
      <c r="U3" s="7" t="str">
        <f>'Historical Financials'!T7</f>
        <v>2Q25</v>
      </c>
      <c r="V3" s="4"/>
      <c r="W3" s="4" t="str">
        <f t="shared" ref="W3:AB4" si="0">L3</f>
        <v>1Q23</v>
      </c>
      <c r="X3" s="4" t="str">
        <f t="shared" si="0"/>
        <v>2Q23</v>
      </c>
      <c r="Y3" s="4" t="str">
        <f t="shared" si="0"/>
        <v>3Q23</v>
      </c>
      <c r="Z3" s="4" t="str">
        <f t="shared" si="0"/>
        <v>4Q23</v>
      </c>
      <c r="AA3" s="4" t="str">
        <f t="shared" si="0"/>
        <v>1Q24</v>
      </c>
      <c r="AB3" s="4" t="str">
        <f t="shared" si="0"/>
        <v>2Q24</v>
      </c>
      <c r="AC3" s="4" t="str">
        <f t="shared" ref="AC3:AE4" si="1">S3</f>
        <v>4Q24</v>
      </c>
      <c r="AD3" s="4" t="str">
        <f t="shared" si="1"/>
        <v>1Q25</v>
      </c>
      <c r="AE3" s="4" t="str">
        <f t="shared" si="1"/>
        <v>2Q25</v>
      </c>
      <c r="AF3" s="4" t="e">
        <f>#REF!</f>
        <v>#REF!</v>
      </c>
    </row>
    <row r="4" spans="1:32" s="5" customFormat="1" ht="12.75" customHeight="1">
      <c r="B4" s="6" t="s">
        <v>145</v>
      </c>
      <c r="C4" s="3" t="e">
        <f>'Historical Financials'!#REF!</f>
        <v>#REF!</v>
      </c>
      <c r="D4" s="3">
        <f>'Historical Financials'!C8</f>
        <v>44926</v>
      </c>
      <c r="E4" s="3">
        <f>'Historical Financials'!D8</f>
        <v>45291</v>
      </c>
      <c r="F4" s="3">
        <f>'Historical Financials'!E8</f>
        <v>45657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>
        <f>'Historical Financials'!R8</f>
        <v>45657</v>
      </c>
      <c r="T4" s="3">
        <f>'Historical Financials'!S8</f>
        <v>45747</v>
      </c>
      <c r="U4" s="3">
        <f>'Historical Financials'!T8</f>
        <v>45838</v>
      </c>
      <c r="V4" s="3"/>
      <c r="W4" s="3">
        <f t="shared" si="0"/>
        <v>45016</v>
      </c>
      <c r="X4" s="3">
        <f t="shared" si="0"/>
        <v>45107</v>
      </c>
      <c r="Y4" s="3">
        <f t="shared" si="0"/>
        <v>45199</v>
      </c>
      <c r="Z4" s="3">
        <f t="shared" si="0"/>
        <v>45291</v>
      </c>
      <c r="AA4" s="3">
        <f t="shared" si="0"/>
        <v>45382</v>
      </c>
      <c r="AB4" s="3">
        <f t="shared" si="0"/>
        <v>45473</v>
      </c>
      <c r="AC4" s="3">
        <f t="shared" si="1"/>
        <v>45657</v>
      </c>
      <c r="AD4" s="3">
        <f t="shared" si="1"/>
        <v>45747</v>
      </c>
      <c r="AE4" s="3">
        <f t="shared" si="1"/>
        <v>45838</v>
      </c>
      <c r="AF4" s="3" t="e">
        <f>#REF!</f>
        <v>#REF!</v>
      </c>
    </row>
    <row r="5" spans="1:32" ht="5.0999999999999996" customHeight="1"/>
    <row r="6" spans="1:32" ht="12.75" customHeight="1">
      <c r="A6" s="77" t="s">
        <v>20</v>
      </c>
      <c r="B6" s="74" t="s">
        <v>115</v>
      </c>
      <c r="C6" s="10"/>
      <c r="D6" s="10"/>
      <c r="E6" s="10"/>
      <c r="F6" s="10"/>
      <c r="G6" s="10"/>
      <c r="H6" s="86"/>
      <c r="I6" s="86"/>
      <c r="J6" s="86"/>
      <c r="K6" s="30"/>
      <c r="L6" s="86"/>
      <c r="M6" s="86"/>
      <c r="N6" s="86"/>
      <c r="O6" s="30"/>
      <c r="P6" s="86"/>
      <c r="Q6" s="86"/>
      <c r="R6" s="86"/>
      <c r="S6" s="30"/>
      <c r="T6" s="86"/>
      <c r="U6" s="86"/>
      <c r="V6" s="5"/>
      <c r="W6" s="11"/>
      <c r="X6" s="11"/>
      <c r="Y6" s="11"/>
      <c r="Z6" s="11"/>
      <c r="AA6" s="11"/>
      <c r="AB6" s="11"/>
      <c r="AC6" s="11"/>
      <c r="AD6" s="11"/>
      <c r="AE6" s="11"/>
    </row>
    <row r="7" spans="1:32" ht="12.75" customHeight="1">
      <c r="B7" s="9"/>
      <c r="C7" s="78"/>
      <c r="D7" s="78"/>
      <c r="E7" s="78"/>
      <c r="F7" s="78"/>
      <c r="G7" s="78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30"/>
      <c r="T7" s="86"/>
      <c r="U7" s="86"/>
      <c r="V7" s="30"/>
      <c r="W7" s="30">
        <f t="shared" ref="W7:AB8" si="2">SUM(I7:L7)</f>
        <v>0</v>
      </c>
      <c r="X7" s="30">
        <f t="shared" si="2"/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si="2"/>
        <v>0</v>
      </c>
      <c r="AC7" s="30">
        <f t="shared" ref="AC7:AE8" si="3">SUM(P7:S7)</f>
        <v>0</v>
      </c>
      <c r="AD7" s="30">
        <f t="shared" si="3"/>
        <v>0</v>
      </c>
      <c r="AE7" s="30">
        <f t="shared" si="3"/>
        <v>0</v>
      </c>
      <c r="AF7" s="30">
        <f>SUM(S7:U7)</f>
        <v>0</v>
      </c>
    </row>
    <row r="8" spans="1:32" ht="12.75" customHeight="1">
      <c r="B8" s="9"/>
      <c r="C8" s="78"/>
      <c r="D8" s="78"/>
      <c r="E8" s="78"/>
      <c r="F8" s="78"/>
      <c r="G8" s="78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30"/>
      <c r="T8" s="86"/>
      <c r="U8" s="86"/>
      <c r="V8" s="5"/>
      <c r="W8" s="11">
        <f t="shared" si="2"/>
        <v>0</v>
      </c>
      <c r="X8" s="11">
        <f t="shared" si="2"/>
        <v>0</v>
      </c>
      <c r="Y8" s="11">
        <f t="shared" si="2"/>
        <v>0</v>
      </c>
      <c r="Z8" s="11">
        <f t="shared" si="2"/>
        <v>0</v>
      </c>
      <c r="AA8" s="11">
        <f t="shared" si="2"/>
        <v>0</v>
      </c>
      <c r="AB8" s="11">
        <f t="shared" si="2"/>
        <v>0</v>
      </c>
      <c r="AC8" s="30">
        <f t="shared" si="3"/>
        <v>0</v>
      </c>
      <c r="AD8" s="30">
        <f t="shared" si="3"/>
        <v>0</v>
      </c>
      <c r="AE8" s="30">
        <f t="shared" si="3"/>
        <v>0</v>
      </c>
      <c r="AF8" s="30">
        <f>SUM(S8:U8)</f>
        <v>0</v>
      </c>
    </row>
    <row r="9" spans="1:32" ht="12.75" customHeight="1">
      <c r="B9" s="12" t="s">
        <v>89</v>
      </c>
      <c r="C9" s="32"/>
      <c r="D9" s="32">
        <f t="shared" ref="D9:F9" si="4">SUM(D7:D8)</f>
        <v>0</v>
      </c>
      <c r="E9" s="32">
        <f t="shared" si="4"/>
        <v>0</v>
      </c>
      <c r="F9" s="32">
        <f t="shared" si="4"/>
        <v>0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U9" si="5">SUM(P7:P8)</f>
        <v>0</v>
      </c>
      <c r="Q9" s="32">
        <f t="shared" si="5"/>
        <v>0</v>
      </c>
      <c r="R9" s="32">
        <f t="shared" si="5"/>
        <v>0</v>
      </c>
      <c r="S9" s="32">
        <f t="shared" si="5"/>
        <v>0</v>
      </c>
      <c r="T9" s="32">
        <f t="shared" si="5"/>
        <v>0</v>
      </c>
      <c r="U9" s="32">
        <f t="shared" si="5"/>
        <v>0</v>
      </c>
      <c r="V9" s="5"/>
      <c r="W9" s="32">
        <f t="shared" ref="W9:AF9" si="6">SUM(W7:W8)</f>
        <v>0</v>
      </c>
      <c r="X9" s="32">
        <f t="shared" si="6"/>
        <v>0</v>
      </c>
      <c r="Y9" s="32">
        <f t="shared" si="6"/>
        <v>0</v>
      </c>
      <c r="Z9" s="32">
        <f t="shared" si="6"/>
        <v>0</v>
      </c>
      <c r="AA9" s="32">
        <f t="shared" si="6"/>
        <v>0</v>
      </c>
      <c r="AB9" s="32">
        <f t="shared" si="6"/>
        <v>0</v>
      </c>
      <c r="AC9" s="32">
        <f t="shared" si="6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</row>
    <row r="10" spans="1:32">
      <c r="B10" s="75" t="s">
        <v>80</v>
      </c>
      <c r="C10" s="119"/>
      <c r="D10" s="76">
        <f>+D9-'Historical Financials'!C11</f>
        <v>0</v>
      </c>
      <c r="E10" s="76">
        <f>+E9-'Historical Financials'!D11</f>
        <v>0</v>
      </c>
      <c r="F10" s="76">
        <f>+F9-'Historical Financials'!E11</f>
        <v>0</v>
      </c>
      <c r="G10" s="11"/>
      <c r="H10" s="119"/>
      <c r="I10" s="119"/>
      <c r="J10" s="119"/>
      <c r="K10" s="119"/>
      <c r="L10" s="119"/>
      <c r="M10" s="119"/>
      <c r="N10" s="119"/>
      <c r="O10" s="119"/>
      <c r="P10" s="76">
        <f>+P9-'Historical Financials'!O11</f>
        <v>0</v>
      </c>
      <c r="Q10" s="76">
        <f>+Q9-'Historical Financials'!P11</f>
        <v>0</v>
      </c>
      <c r="R10" s="76">
        <f>+R9-'Historical Financials'!Q11</f>
        <v>0</v>
      </c>
      <c r="S10" s="76">
        <f>+S9-'Historical Financials'!R11</f>
        <v>0</v>
      </c>
      <c r="T10" s="76">
        <f>+T9-'Historical Financials'!S11</f>
        <v>0</v>
      </c>
      <c r="U10" s="76">
        <f>+U9-'Historical Financials'!T11</f>
        <v>0</v>
      </c>
      <c r="V10" s="76"/>
      <c r="W10" s="76">
        <f>W9-'Historical Financials'!V11</f>
        <v>0</v>
      </c>
      <c r="X10" s="76">
        <f>X9-'Historical Financials'!W11</f>
        <v>0</v>
      </c>
      <c r="Y10" s="76">
        <f>Y9-'Historical Financials'!X11</f>
        <v>0</v>
      </c>
      <c r="Z10" s="76">
        <f>Z9-'Historical Financials'!Y11</f>
        <v>0</v>
      </c>
      <c r="AA10" s="76">
        <f>AA9-'Historical Financials'!Z11</f>
        <v>0</v>
      </c>
      <c r="AB10" s="76">
        <f>AB9-'Historical Financials'!AA11</f>
        <v>0</v>
      </c>
      <c r="AC10" s="76">
        <f>AC9-'Historical Financials'!AC11</f>
        <v>0</v>
      </c>
      <c r="AD10" s="76">
        <f>AD9-'Historical Financials'!AD11</f>
        <v>0</v>
      </c>
      <c r="AE10" s="76">
        <f>AE9-'Historical Financials'!AE11</f>
        <v>0</v>
      </c>
      <c r="AF10" s="76">
        <f>AF9-'Historical Financials'!AF11</f>
        <v>0</v>
      </c>
    </row>
    <row r="11" spans="1:32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.75" customHeight="1">
      <c r="A12" s="77" t="s">
        <v>20</v>
      </c>
      <c r="B12" s="74" t="s">
        <v>185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ht="12.75" customHeight="1">
      <c r="B13" s="9"/>
      <c r="C13" s="78"/>
      <c r="D13" s="78"/>
      <c r="E13" s="78"/>
      <c r="F13" s="78"/>
      <c r="G13" s="78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30"/>
      <c r="T13" s="86"/>
      <c r="U13" s="86"/>
      <c r="V13" s="5"/>
      <c r="W13" s="11">
        <f t="shared" ref="W13:AB14" si="7">SUM(I13:L13)</f>
        <v>0</v>
      </c>
      <c r="X13" s="11">
        <f t="shared" si="7"/>
        <v>0</v>
      </c>
      <c r="Y13" s="11">
        <f t="shared" si="7"/>
        <v>0</v>
      </c>
      <c r="Z13" s="11">
        <f t="shared" si="7"/>
        <v>0</v>
      </c>
      <c r="AA13" s="11">
        <f t="shared" si="7"/>
        <v>0</v>
      </c>
      <c r="AB13" s="11">
        <f t="shared" si="7"/>
        <v>0</v>
      </c>
      <c r="AC13" s="30">
        <f t="shared" ref="AC13:AE14" si="8">SUM(P13:S13)</f>
        <v>0</v>
      </c>
      <c r="AD13" s="30">
        <f t="shared" si="8"/>
        <v>0</v>
      </c>
      <c r="AE13" s="30">
        <f t="shared" si="8"/>
        <v>0</v>
      </c>
      <c r="AF13" s="30">
        <f>SUM(S13:U13)</f>
        <v>0</v>
      </c>
    </row>
    <row r="14" spans="1:32" ht="12.75" customHeight="1">
      <c r="B14" s="9"/>
      <c r="C14" s="78"/>
      <c r="D14" s="78"/>
      <c r="E14" s="78"/>
      <c r="F14" s="78"/>
      <c r="G14" s="78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30"/>
      <c r="T14" s="86"/>
      <c r="U14" s="86"/>
      <c r="V14" s="5"/>
      <c r="W14" s="11">
        <f t="shared" si="7"/>
        <v>0</v>
      </c>
      <c r="X14" s="11">
        <f t="shared" si="7"/>
        <v>0</v>
      </c>
      <c r="Y14" s="11">
        <f t="shared" si="7"/>
        <v>0</v>
      </c>
      <c r="Z14" s="11">
        <f t="shared" si="7"/>
        <v>0</v>
      </c>
      <c r="AA14" s="11">
        <f t="shared" si="7"/>
        <v>0</v>
      </c>
      <c r="AB14" s="11">
        <f t="shared" si="7"/>
        <v>0</v>
      </c>
      <c r="AC14" s="30">
        <f t="shared" si="8"/>
        <v>0</v>
      </c>
      <c r="AD14" s="30">
        <f t="shared" si="8"/>
        <v>0</v>
      </c>
      <c r="AE14" s="30">
        <f t="shared" si="8"/>
        <v>0</v>
      </c>
      <c r="AF14" s="30">
        <f>SUM(S14:U14)</f>
        <v>0</v>
      </c>
    </row>
    <row r="15" spans="1:32" ht="12.75" customHeight="1">
      <c r="B15" s="12" t="s">
        <v>114</v>
      </c>
      <c r="C15" s="32"/>
      <c r="D15" s="32">
        <f t="shared" ref="D15:F15" si="9">SUM(D13:D14)</f>
        <v>0</v>
      </c>
      <c r="E15" s="32">
        <f t="shared" si="9"/>
        <v>0</v>
      </c>
      <c r="F15" s="32">
        <f t="shared" si="9"/>
        <v>0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U15" si="10">SUM(P13:P14)</f>
        <v>0</v>
      </c>
      <c r="Q15" s="32">
        <f t="shared" si="10"/>
        <v>0</v>
      </c>
      <c r="R15" s="32">
        <f t="shared" si="10"/>
        <v>0</v>
      </c>
      <c r="S15" s="32">
        <f t="shared" si="10"/>
        <v>0</v>
      </c>
      <c r="T15" s="32">
        <f t="shared" si="10"/>
        <v>0</v>
      </c>
      <c r="U15" s="32">
        <f t="shared" si="10"/>
        <v>0</v>
      </c>
      <c r="V15" s="5"/>
      <c r="W15" s="32">
        <f t="shared" ref="W15:AF15" si="11">SUM(W13:W14)</f>
        <v>0</v>
      </c>
      <c r="X15" s="32">
        <f t="shared" si="11"/>
        <v>0</v>
      </c>
      <c r="Y15" s="32">
        <f t="shared" si="11"/>
        <v>0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</row>
    <row r="16" spans="1:32" ht="12.75" customHeight="1">
      <c r="B16" s="75" t="s">
        <v>80</v>
      </c>
      <c r="C16" s="76"/>
      <c r="D16" s="76">
        <f t="shared" ref="D16:F16" si="12">+D15-D9</f>
        <v>0</v>
      </c>
      <c r="E16" s="76">
        <f t="shared" si="12"/>
        <v>0</v>
      </c>
      <c r="F16" s="76">
        <f t="shared" si="12"/>
        <v>0</v>
      </c>
      <c r="G16" s="11"/>
      <c r="H16" s="119"/>
      <c r="I16" s="119"/>
      <c r="J16" s="119"/>
      <c r="K16" s="119"/>
      <c r="L16" s="119"/>
      <c r="M16" s="119"/>
      <c r="N16" s="119"/>
      <c r="O16" s="119"/>
      <c r="P16" s="76">
        <f t="shared" ref="P16" si="13">+P15-P9</f>
        <v>0</v>
      </c>
      <c r="Q16" s="76">
        <f t="shared" ref="Q16" si="14">+Q15-Q9</f>
        <v>0</v>
      </c>
      <c r="R16" s="76">
        <f t="shared" ref="R16" si="15">+R15-R9</f>
        <v>0</v>
      </c>
      <c r="S16" s="76">
        <f t="shared" ref="S16" si="16">+S15-S9</f>
        <v>0</v>
      </c>
      <c r="T16" s="76">
        <f t="shared" ref="T16" si="17">+T15-T9</f>
        <v>0</v>
      </c>
      <c r="U16" s="76">
        <f t="shared" ref="U16" si="18">+U15-U9</f>
        <v>0</v>
      </c>
      <c r="V16" s="76"/>
      <c r="W16" s="76">
        <f>W15-'Historical Financials'!V17</f>
        <v>0</v>
      </c>
      <c r="X16" s="76">
        <f>X15-'Historical Financials'!W17</f>
        <v>0</v>
      </c>
      <c r="Y16" s="76">
        <f>Y15-'Historical Financials'!X17</f>
        <v>0</v>
      </c>
      <c r="Z16" s="76">
        <f>Z15-'Historical Financials'!Y17</f>
        <v>0</v>
      </c>
      <c r="AA16" s="76">
        <f>AA15-'Historical Financials'!Z17</f>
        <v>0</v>
      </c>
      <c r="AB16" s="76">
        <f>AB15-'Historical Financials'!AA17</f>
        <v>0</v>
      </c>
      <c r="AC16" s="76">
        <f t="shared" ref="AC16" si="19">+AC15-AC9</f>
        <v>0</v>
      </c>
      <c r="AD16" s="76">
        <f t="shared" ref="AD16" si="20">+AD15-AD9</f>
        <v>0</v>
      </c>
      <c r="AE16" s="76">
        <f t="shared" ref="AE16" si="21">+AE15-AE9</f>
        <v>0</v>
      </c>
      <c r="AF16" s="76">
        <f t="shared" ref="AF16" si="22">+AF15-AF9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tabSelected="1" zoomScaleNormal="100" workbookViewId="0">
      <selection activeCell="A76" sqref="A76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8" bestFit="1" customWidth="1"/>
    <col min="38" max="16384" width="9" style="8"/>
  </cols>
  <sheetData>
    <row r="2" spans="2:37" s="5" customFormat="1" ht="12.75" customHeight="1">
      <c r="B2" s="1" t="s">
        <v>184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46" t="s">
        <v>27</v>
      </c>
    </row>
    <row r="3" spans="2:37" s="5" customFormat="1" ht="12.75" customHeight="1">
      <c r="B3" s="6" t="s">
        <v>28</v>
      </c>
      <c r="C3" s="7" t="e">
        <f>'Historical Financials'!#REF!</f>
        <v>#REF!</v>
      </c>
      <c r="D3" s="7">
        <f>'Historical Financials'!C7</f>
        <v>2022</v>
      </c>
      <c r="E3" s="7">
        <f>'Historical Financials'!D7</f>
        <v>2023</v>
      </c>
      <c r="F3" s="7">
        <f>'Historical Financials'!E7</f>
        <v>2024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str">
        <f>'Historical Financials'!R7</f>
        <v>4Q24</v>
      </c>
      <c r="T3" s="7" t="str">
        <f>'Historical Financials'!S7</f>
        <v>1Q25</v>
      </c>
      <c r="U3" s="7" t="str">
        <f>'Historical Financials'!T7</f>
        <v>2Q25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e">
        <f>V3</f>
        <v>#REF!</v>
      </c>
      <c r="AJ3" s="3"/>
      <c r="AK3" s="146"/>
    </row>
    <row r="4" spans="2:37" s="5" customFormat="1" ht="12.75" customHeight="1">
      <c r="B4" s="6" t="s">
        <v>145</v>
      </c>
      <c r="C4" s="3" t="e">
        <f>'Historical Financials'!#REF!</f>
        <v>#REF!</v>
      </c>
      <c r="D4" s="3">
        <f>'Historical Financials'!C8</f>
        <v>44926</v>
      </c>
      <c r="E4" s="3">
        <f>'Historical Financials'!D8</f>
        <v>45291</v>
      </c>
      <c r="F4" s="3">
        <f>'Historical Financials'!E8</f>
        <v>45657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>
        <f>'Historical Financials'!R8</f>
        <v>45657</v>
      </c>
      <c r="T4" s="3">
        <f>'Historical Financials'!S8</f>
        <v>45747</v>
      </c>
      <c r="U4" s="3">
        <f>'Historical Financials'!T8</f>
        <v>45838</v>
      </c>
      <c r="V4" s="3" t="e">
        <f>'Historical Financials'!#REF!</f>
        <v>#REF!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 t="e">
        <f>V4</f>
        <v>#REF!</v>
      </c>
      <c r="AJ4" s="3"/>
      <c r="AK4" s="146"/>
    </row>
    <row r="5" spans="2:37" ht="5.0999999999999996" customHeight="1">
      <c r="AK5" s="114"/>
    </row>
    <row r="6" spans="2:37" ht="12.75" customHeight="1">
      <c r="B6" s="9"/>
      <c r="C6" s="135"/>
      <c r="D6" s="85"/>
      <c r="E6" s="85"/>
      <c r="F6" s="85"/>
      <c r="G6" s="10"/>
      <c r="H6" s="135"/>
      <c r="I6" s="135"/>
      <c r="J6" s="135"/>
      <c r="K6" s="135"/>
      <c r="L6" s="135"/>
      <c r="M6" s="135"/>
      <c r="N6" s="135"/>
      <c r="O6" s="135"/>
      <c r="P6" s="85">
        <f>'Revenue Drivers'!P7</f>
        <v>0</v>
      </c>
      <c r="Q6" s="85">
        <f>'Revenue Drivers'!Q7</f>
        <v>0</v>
      </c>
      <c r="R6" s="85"/>
      <c r="S6" s="85"/>
      <c r="T6" s="85"/>
      <c r="U6" s="85"/>
      <c r="V6" s="85"/>
      <c r="W6" s="5"/>
      <c r="X6" s="135"/>
      <c r="Y6" s="135"/>
      <c r="Z6" s="135"/>
      <c r="AA6" s="135"/>
      <c r="AB6" s="135"/>
      <c r="AC6" s="10">
        <f t="shared" ref="AB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>
        <f>SUM(S6:V6)</f>
        <v>0</v>
      </c>
      <c r="AK6" s="115" t="e">
        <f>SUM(AI6/AE6)-1</f>
        <v>#DIV/0!</v>
      </c>
    </row>
    <row r="7" spans="2:37" ht="12.75" customHeight="1">
      <c r="B7" s="9"/>
      <c r="C7" s="135"/>
      <c r="D7" s="85"/>
      <c r="E7" s="85"/>
      <c r="F7" s="85"/>
      <c r="G7" s="10"/>
      <c r="H7" s="135"/>
      <c r="I7" s="135"/>
      <c r="J7" s="135"/>
      <c r="K7" s="135"/>
      <c r="L7" s="135"/>
      <c r="M7" s="135"/>
      <c r="N7" s="135"/>
      <c r="O7" s="135"/>
      <c r="P7" s="85">
        <f>'Revenue Drivers'!P8</f>
        <v>0</v>
      </c>
      <c r="Q7" s="85">
        <f>'Revenue Drivers'!Q8</f>
        <v>0</v>
      </c>
      <c r="R7" s="85"/>
      <c r="S7" s="85"/>
      <c r="T7" s="85"/>
      <c r="U7" s="85"/>
      <c r="V7" s="85"/>
      <c r="W7" s="5"/>
      <c r="X7" s="135"/>
      <c r="Y7" s="135"/>
      <c r="Z7" s="135"/>
      <c r="AA7" s="135"/>
      <c r="AB7" s="135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>
        <f>SUM(S7:V7)</f>
        <v>0</v>
      </c>
      <c r="AK7" s="115" t="e">
        <f>SUM(AI7/AE7)-1</f>
        <v>#DIV/0!</v>
      </c>
    </row>
    <row r="8" spans="2:37" ht="12.75" customHeight="1">
      <c r="B8" s="12" t="s">
        <v>12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Financials'!G11</f>
        <v>0</v>
      </c>
      <c r="I8" s="13">
        <f>'Historical Financials'!H11</f>
        <v>0</v>
      </c>
      <c r="J8" s="13">
        <f>'Historical Financials'!I11</f>
        <v>0</v>
      </c>
      <c r="K8" s="13">
        <f>'Historical Financials'!J11</f>
        <v>0</v>
      </c>
      <c r="L8" s="13">
        <f>'Historical Financials'!K11</f>
        <v>0</v>
      </c>
      <c r="M8" s="13">
        <f>'Historical Financials'!L11</f>
        <v>0</v>
      </c>
      <c r="N8" s="13">
        <f>'Historical Financials'!M11</f>
        <v>0</v>
      </c>
      <c r="O8" s="13">
        <f>'Historical Financials'!N11</f>
        <v>0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0</v>
      </c>
      <c r="Y8" s="13">
        <f t="shared" ref="Y8" si="4">SUM(I8:L8)</f>
        <v>0</v>
      </c>
      <c r="Z8" s="13">
        <f t="shared" ref="Z8" si="5">SUM(J8:M8)</f>
        <v>0</v>
      </c>
      <c r="AA8" s="13">
        <f t="shared" ref="AA8" si="6">SUM(K8:N8)</f>
        <v>0</v>
      </c>
      <c r="AB8" s="13">
        <f t="shared" si="1"/>
        <v>0</v>
      </c>
      <c r="AC8" s="13">
        <f t="shared" ref="AC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>SUM(AI6:AI7)</f>
        <v>0</v>
      </c>
      <c r="AK8" s="116" t="e">
        <f>SUM(AI8/AE8)-1</f>
        <v>#DIV/0!</v>
      </c>
    </row>
    <row r="9" spans="2:37" ht="12.75" customHeight="1">
      <c r="B9" s="14" t="s">
        <v>35</v>
      </c>
      <c r="C9" s="135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5"/>
      <c r="I9" s="135"/>
      <c r="J9" s="135"/>
      <c r="K9" s="135"/>
      <c r="L9" s="135"/>
      <c r="M9" s="15" t="e">
        <f>SUM(M8/I8)-1</f>
        <v>#DIV/0!</v>
      </c>
      <c r="N9" s="15" t="e">
        <f t="shared" ref="N9:V9" si="8">SUM(N8/J8)-1</f>
        <v>#DIV/0!</v>
      </c>
      <c r="O9" s="15" t="e">
        <f t="shared" si="8"/>
        <v>#DIV/0!</v>
      </c>
      <c r="P9" s="15" t="e">
        <f t="shared" si="8"/>
        <v>#DIV/0!</v>
      </c>
      <c r="Q9" s="15" t="e">
        <f t="shared" si="8"/>
        <v>#DIV/0!</v>
      </c>
      <c r="R9" s="15" t="e">
        <f t="shared" si="8"/>
        <v>#DIV/0!</v>
      </c>
      <c r="S9" s="15" t="e">
        <f t="shared" si="8"/>
        <v>#DIV/0!</v>
      </c>
      <c r="T9" s="15" t="e">
        <f t="shared" si="8"/>
        <v>#DIV/0!</v>
      </c>
      <c r="U9" s="15" t="e">
        <f t="shared" si="8"/>
        <v>#DIV/0!</v>
      </c>
      <c r="V9" s="15" t="e">
        <f t="shared" si="8"/>
        <v>#DIV/0!</v>
      </c>
      <c r="W9" s="5"/>
      <c r="X9" s="105"/>
      <c r="Y9" s="105"/>
      <c r="Z9" s="105"/>
      <c r="AA9" s="105"/>
      <c r="AB9" s="15" t="e">
        <f t="shared" ref="AB9:AI9" si="9">SUM(AB8/X8)-1</f>
        <v>#DIV/0!</v>
      </c>
      <c r="AC9" s="15" t="e">
        <f t="shared" si="9"/>
        <v>#DIV/0!</v>
      </c>
      <c r="AD9" s="15" t="e">
        <f t="shared" si="9"/>
        <v>#DIV/0!</v>
      </c>
      <c r="AE9" s="15" t="e">
        <f t="shared" si="9"/>
        <v>#DIV/0!</v>
      </c>
      <c r="AF9" s="15" t="e">
        <f t="shared" si="9"/>
        <v>#DIV/0!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#DIV/0!</v>
      </c>
      <c r="AK9" s="117" t="e">
        <f>SUM(AI9-AE9)*10000</f>
        <v>#DIV/0!</v>
      </c>
    </row>
    <row r="10" spans="2:37" ht="12.75" customHeight="1">
      <c r="B10" s="14" t="s">
        <v>36</v>
      </c>
      <c r="C10" s="15" t="s">
        <v>37</v>
      </c>
      <c r="D10" s="15" t="s">
        <v>37</v>
      </c>
      <c r="E10" s="15" t="s">
        <v>37</v>
      </c>
      <c r="F10" s="15" t="s">
        <v>37</v>
      </c>
      <c r="G10" s="11"/>
      <c r="H10" s="135"/>
      <c r="I10" s="135"/>
      <c r="J10" s="15" t="e">
        <f>SUM(J8/I8)-1</f>
        <v>#DIV/0!</v>
      </c>
      <c r="K10" s="15" t="e">
        <f t="shared" ref="K10:V10" si="10">SUM(K8/J8)-1</f>
        <v>#DIV/0!</v>
      </c>
      <c r="L10" s="15" t="e">
        <f t="shared" si="10"/>
        <v>#DIV/0!</v>
      </c>
      <c r="M10" s="15" t="e">
        <f t="shared" si="10"/>
        <v>#DIV/0!</v>
      </c>
      <c r="N10" s="15" t="e">
        <f t="shared" si="10"/>
        <v>#DIV/0!</v>
      </c>
      <c r="O10" s="15" t="e">
        <f t="shared" si="10"/>
        <v>#DIV/0!</v>
      </c>
      <c r="P10" s="15" t="e">
        <f t="shared" si="10"/>
        <v>#DIV/0!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37</v>
      </c>
      <c r="Y10" s="15" t="s">
        <v>37</v>
      </c>
      <c r="Z10" s="15" t="s">
        <v>37</v>
      </c>
      <c r="AA10" s="15" t="s">
        <v>37</v>
      </c>
      <c r="AB10" s="15" t="s">
        <v>37</v>
      </c>
      <c r="AC10" s="15" t="s">
        <v>37</v>
      </c>
      <c r="AD10" s="15" t="s">
        <v>37</v>
      </c>
      <c r="AE10" s="15" t="s">
        <v>37</v>
      </c>
      <c r="AF10" s="15" t="s">
        <v>37</v>
      </c>
      <c r="AG10" s="15" t="s">
        <v>37</v>
      </c>
      <c r="AH10" s="15" t="s">
        <v>37</v>
      </c>
      <c r="AI10" s="15" t="s">
        <v>37</v>
      </c>
      <c r="AK10" s="114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4"/>
    </row>
    <row r="12" spans="2:37" ht="12.75" customHeight="1">
      <c r="B12" s="21" t="s">
        <v>38</v>
      </c>
      <c r="C12" s="85" t="e">
        <f>'Historical Financials'!#REF!</f>
        <v>#REF!</v>
      </c>
      <c r="D12" s="85"/>
      <c r="E12" s="85"/>
      <c r="F12" s="85"/>
      <c r="G12" s="10"/>
      <c r="H12" s="85">
        <f>'Historical Financials'!G13</f>
        <v>0</v>
      </c>
      <c r="I12" s="85">
        <f>'Historical Financials'!H13</f>
        <v>0</v>
      </c>
      <c r="J12" s="85">
        <f>'Historical Financials'!I13</f>
        <v>0</v>
      </c>
      <c r="K12" s="85">
        <f>'Historical Financials'!J13</f>
        <v>0</v>
      </c>
      <c r="L12" s="85">
        <f>'Historical Financials'!K13</f>
        <v>0</v>
      </c>
      <c r="M12" s="85">
        <f>'Historical Financials'!L13</f>
        <v>0</v>
      </c>
      <c r="N12" s="85">
        <f>'Historical Financials'!M13</f>
        <v>0</v>
      </c>
      <c r="O12" s="85">
        <f>'Historical Financials'!N13</f>
        <v>0</v>
      </c>
      <c r="P12" s="85">
        <f>'Historical Financials'!O13</f>
        <v>0</v>
      </c>
      <c r="Q12" s="85">
        <f>'Historical Financials'!P13</f>
        <v>0</v>
      </c>
      <c r="R12" s="85"/>
      <c r="S12" s="85"/>
      <c r="T12" s="85"/>
      <c r="U12" s="85"/>
      <c r="V12" s="85"/>
      <c r="W12" s="5"/>
      <c r="X12" s="10">
        <f>SUM(G12:K12)</f>
        <v>0</v>
      </c>
      <c r="Y12" s="10">
        <f t="shared" ref="Y12:AH12" si="11">SUM(I12:L12)</f>
        <v>0</v>
      </c>
      <c r="Z12" s="10">
        <f t="shared" si="11"/>
        <v>0</v>
      </c>
      <c r="AA12" s="10">
        <f t="shared" si="11"/>
        <v>0</v>
      </c>
      <c r="AB12" s="10">
        <f t="shared" si="11"/>
        <v>0</v>
      </c>
      <c r="AC12" s="10">
        <f t="shared" si="11"/>
        <v>0</v>
      </c>
      <c r="AD12" s="10">
        <f t="shared" si="11"/>
        <v>0</v>
      </c>
      <c r="AE12" s="10">
        <f t="shared" si="11"/>
        <v>0</v>
      </c>
      <c r="AF12" s="10">
        <f t="shared" si="11"/>
        <v>0</v>
      </c>
      <c r="AG12" s="10">
        <f t="shared" si="11"/>
        <v>0</v>
      </c>
      <c r="AH12" s="10">
        <f t="shared" si="11"/>
        <v>0</v>
      </c>
      <c r="AI12" s="10">
        <f>SUM(S12:V12)</f>
        <v>0</v>
      </c>
      <c r="AK12" s="115" t="e">
        <f>SUM(AI12/AE12)-1</f>
        <v>#DIV/0!</v>
      </c>
    </row>
    <row r="13" spans="2:37" ht="12.75" customHeight="1">
      <c r="B13" s="23" t="s">
        <v>25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0</v>
      </c>
      <c r="I13" s="24">
        <f t="shared" ref="I13:V13" si="13">+I8+I12</f>
        <v>0</v>
      </c>
      <c r="J13" s="24">
        <f t="shared" si="13"/>
        <v>0</v>
      </c>
      <c r="K13" s="24">
        <f t="shared" si="13"/>
        <v>0</v>
      </c>
      <c r="L13" s="24">
        <f t="shared" si="13"/>
        <v>0</v>
      </c>
      <c r="M13" s="24">
        <f t="shared" si="13"/>
        <v>0</v>
      </c>
      <c r="N13" s="24">
        <f t="shared" si="13"/>
        <v>0</v>
      </c>
      <c r="O13" s="24">
        <f t="shared" si="13"/>
        <v>0</v>
      </c>
      <c r="P13" s="24">
        <f t="shared" si="13"/>
        <v>0</v>
      </c>
      <c r="Q13" s="24">
        <f t="shared" si="13"/>
        <v>0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0</v>
      </c>
      <c r="Y13" s="24">
        <f t="shared" si="14"/>
        <v>0</v>
      </c>
      <c r="Z13" s="24">
        <f t="shared" si="14"/>
        <v>0</v>
      </c>
      <c r="AA13" s="24">
        <f t="shared" si="14"/>
        <v>0</v>
      </c>
      <c r="AB13" s="24">
        <f t="shared" si="14"/>
        <v>0</v>
      </c>
      <c r="AC13" s="24">
        <f t="shared" si="14"/>
        <v>0</v>
      </c>
      <c r="AD13" s="24">
        <f t="shared" si="14"/>
        <v>0</v>
      </c>
      <c r="AE13" s="24">
        <f t="shared" si="14"/>
        <v>0</v>
      </c>
      <c r="AF13" s="24">
        <f t="shared" si="14"/>
        <v>0</v>
      </c>
      <c r="AG13" s="24">
        <f t="shared" si="14"/>
        <v>0</v>
      </c>
      <c r="AH13" s="24">
        <f t="shared" si="14"/>
        <v>0</v>
      </c>
      <c r="AI13" s="24">
        <f>+AI8+AI12</f>
        <v>0</v>
      </c>
      <c r="AK13" s="116" t="e">
        <f>SUM(AI13/AE13)-1</f>
        <v>#DIV/0!</v>
      </c>
    </row>
    <row r="14" spans="2:37" ht="12.75" customHeight="1">
      <c r="B14" s="14" t="s">
        <v>39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 t="e">
        <f t="shared" ref="H14" si="15">H13/H8</f>
        <v>#DIV/0!</v>
      </c>
      <c r="I14" s="15" t="e">
        <f t="shared" ref="I14:V14" si="16">I13/I8</f>
        <v>#DIV/0!</v>
      </c>
      <c r="J14" s="15" t="e">
        <f t="shared" si="16"/>
        <v>#DIV/0!</v>
      </c>
      <c r="K14" s="15" t="e">
        <f t="shared" si="16"/>
        <v>#DIV/0!</v>
      </c>
      <c r="L14" s="15" t="e">
        <f t="shared" si="16"/>
        <v>#DIV/0!</v>
      </c>
      <c r="M14" s="15" t="e">
        <f t="shared" si="16"/>
        <v>#DIV/0!</v>
      </c>
      <c r="N14" s="15" t="e">
        <f t="shared" si="16"/>
        <v>#DIV/0!</v>
      </c>
      <c r="O14" s="15" t="e">
        <f t="shared" si="16"/>
        <v>#DIV/0!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 t="e">
        <f t="shared" ref="X14:AH14" si="17">X13/X8</f>
        <v>#DIV/0!</v>
      </c>
      <c r="Y14" s="15" t="e">
        <f t="shared" si="17"/>
        <v>#DIV/0!</v>
      </c>
      <c r="Z14" s="15" t="e">
        <f t="shared" si="17"/>
        <v>#DIV/0!</v>
      </c>
      <c r="AA14" s="15" t="e">
        <f t="shared" si="17"/>
        <v>#DIV/0!</v>
      </c>
      <c r="AB14" s="15" t="e">
        <f t="shared" si="17"/>
        <v>#DIV/0!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#DIV/0!</v>
      </c>
      <c r="AK14" s="117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4"/>
    </row>
    <row r="16" spans="2:37" ht="12.75" customHeight="1">
      <c r="B16" s="21" t="s">
        <v>132</v>
      </c>
      <c r="C16" s="85" t="e">
        <f>'Historical Financials'!#REF!</f>
        <v>#REF!</v>
      </c>
      <c r="D16" s="85"/>
      <c r="E16" s="85"/>
      <c r="F16" s="85"/>
      <c r="G16" s="85"/>
      <c r="H16" s="85">
        <f>'Historical Financials'!G17</f>
        <v>0</v>
      </c>
      <c r="I16" s="85">
        <f>'Historical Financials'!H17</f>
        <v>0</v>
      </c>
      <c r="J16" s="85">
        <f>'Historical Financials'!I17</f>
        <v>0</v>
      </c>
      <c r="K16" s="85">
        <f>'Historical Financials'!J17</f>
        <v>0</v>
      </c>
      <c r="L16" s="85">
        <f>'Historical Financials'!K17</f>
        <v>0</v>
      </c>
      <c r="M16" s="85">
        <f>'Historical Financials'!L17</f>
        <v>0</v>
      </c>
      <c r="N16" s="85">
        <f>'Historical Financials'!M17</f>
        <v>0</v>
      </c>
      <c r="O16" s="85">
        <f>'Historical Financials'!N17</f>
        <v>0</v>
      </c>
      <c r="P16" s="85">
        <f>'Historical Financials'!O17</f>
        <v>0</v>
      </c>
      <c r="Q16" s="85">
        <f>'Historical Financials'!P17</f>
        <v>0</v>
      </c>
      <c r="R16" s="85"/>
      <c r="S16" s="85"/>
      <c r="T16" s="85"/>
      <c r="U16" s="85"/>
      <c r="V16" s="85"/>
      <c r="W16" s="5"/>
      <c r="X16" s="10">
        <f t="shared" ref="X16:X19" si="18">SUM(G16:K16)</f>
        <v>0</v>
      </c>
      <c r="Y16" s="10">
        <f t="shared" ref="Y16:Y19" si="19">SUM(I16:L16)</f>
        <v>0</v>
      </c>
      <c r="Z16" s="10">
        <f t="shared" ref="Z16:Z19" si="20">SUM(J16:M16)</f>
        <v>0</v>
      </c>
      <c r="AA16" s="10">
        <f t="shared" ref="AA16:AA19" si="21">SUM(K16:N16)</f>
        <v>0</v>
      </c>
      <c r="AB16" s="10">
        <f t="shared" ref="AB16:AB19" si="22">SUM(L16:O16)</f>
        <v>0</v>
      </c>
      <c r="AC16" s="10">
        <f t="shared" ref="AC16:AC19" si="23">SUM(M16:P16)</f>
        <v>0</v>
      </c>
      <c r="AD16" s="10">
        <f t="shared" ref="AD16:AD19" si="24">SUM(N16:Q16)</f>
        <v>0</v>
      </c>
      <c r="AE16" s="10">
        <f t="shared" ref="AE16:AE19" si="25">SUM(O16:R16)</f>
        <v>0</v>
      </c>
      <c r="AF16" s="10">
        <f t="shared" ref="AF16:AF19" si="26">SUM(P16:S16)</f>
        <v>0</v>
      </c>
      <c r="AG16" s="10">
        <f t="shared" ref="AG16:AG19" si="27">SUM(Q16:T16)</f>
        <v>0</v>
      </c>
      <c r="AH16" s="10">
        <f t="shared" ref="AH16:AH19" si="28">SUM(R16:U16)</f>
        <v>0</v>
      </c>
      <c r="AI16" s="10">
        <f t="shared" ref="AI16:AI19" si="29">SUM(S16:V16)</f>
        <v>0</v>
      </c>
      <c r="AK16" s="115" t="e">
        <f>SUM(AI16/AE16)-1</f>
        <v>#DIV/0!</v>
      </c>
    </row>
    <row r="17" spans="2:37" ht="12.75" customHeight="1">
      <c r="B17" s="21" t="s">
        <v>133</v>
      </c>
      <c r="C17" s="85" t="e">
        <f>'Historical Financials'!#REF!</f>
        <v>#REF!</v>
      </c>
      <c r="D17" s="85"/>
      <c r="E17" s="85"/>
      <c r="F17" s="85"/>
      <c r="G17" s="85"/>
      <c r="H17" s="85">
        <f>'Historical Financials'!G18</f>
        <v>0</v>
      </c>
      <c r="I17" s="85">
        <f>'Historical Financials'!H18</f>
        <v>0</v>
      </c>
      <c r="J17" s="85">
        <f>'Historical Financials'!I18</f>
        <v>0</v>
      </c>
      <c r="K17" s="85">
        <f>'Historical Financials'!J18</f>
        <v>0</v>
      </c>
      <c r="L17" s="85">
        <f>'Historical Financials'!K18</f>
        <v>0</v>
      </c>
      <c r="M17" s="85">
        <f>'Historical Financials'!L18</f>
        <v>0</v>
      </c>
      <c r="N17" s="85">
        <f>'Historical Financials'!M18</f>
        <v>0</v>
      </c>
      <c r="O17" s="85">
        <f>'Historical Financials'!N18</f>
        <v>0</v>
      </c>
      <c r="P17" s="85">
        <f>'Historical Financials'!O18</f>
        <v>0</v>
      </c>
      <c r="Q17" s="85">
        <f>'Historical Financials'!P18</f>
        <v>0</v>
      </c>
      <c r="R17" s="85"/>
      <c r="S17" s="85"/>
      <c r="T17" s="85"/>
      <c r="U17" s="85"/>
      <c r="V17" s="85"/>
      <c r="W17" s="5"/>
      <c r="X17" s="10">
        <f t="shared" si="18"/>
        <v>0</v>
      </c>
      <c r="Y17" s="10">
        <f t="shared" si="19"/>
        <v>0</v>
      </c>
      <c r="Z17" s="10">
        <f t="shared" si="20"/>
        <v>0</v>
      </c>
      <c r="AA17" s="10">
        <f t="shared" si="21"/>
        <v>0</v>
      </c>
      <c r="AB17" s="10">
        <f t="shared" si="22"/>
        <v>0</v>
      </c>
      <c r="AC17" s="10">
        <f t="shared" si="23"/>
        <v>0</v>
      </c>
      <c r="AD17" s="10">
        <f t="shared" si="24"/>
        <v>0</v>
      </c>
      <c r="AE17" s="10">
        <f t="shared" si="25"/>
        <v>0</v>
      </c>
      <c r="AF17" s="10">
        <f t="shared" si="26"/>
        <v>0</v>
      </c>
      <c r="AG17" s="10">
        <f t="shared" si="27"/>
        <v>0</v>
      </c>
      <c r="AH17" s="10">
        <f t="shared" si="28"/>
        <v>0</v>
      </c>
      <c r="AI17" s="10">
        <f t="shared" si="29"/>
        <v>0</v>
      </c>
      <c r="AK17" s="115" t="e">
        <f t="shared" ref="AK17:AK18" si="30">SUM(AI17/AE17)-1</f>
        <v>#DIV/0!</v>
      </c>
    </row>
    <row r="18" spans="2:37" ht="12.75" customHeight="1">
      <c r="B18" s="21" t="s">
        <v>134</v>
      </c>
      <c r="C18" s="85" t="e">
        <f>'Historical Financials'!#REF!</f>
        <v>#REF!</v>
      </c>
      <c r="D18" s="85"/>
      <c r="E18" s="85"/>
      <c r="F18" s="85"/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/>
      <c r="S18" s="85"/>
      <c r="T18" s="85"/>
      <c r="U18" s="85"/>
      <c r="V18" s="85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5" t="e">
        <f t="shared" si="30"/>
        <v>#REF!</v>
      </c>
    </row>
    <row r="19" spans="2:37" ht="12.75" customHeight="1">
      <c r="B19" s="21" t="s">
        <v>135</v>
      </c>
      <c r="C19" s="85" t="e">
        <f>'Historical Financials'!#REF!</f>
        <v>#REF!</v>
      </c>
      <c r="D19" s="85"/>
      <c r="E19" s="85"/>
      <c r="F19" s="85"/>
      <c r="G19" s="85"/>
      <c r="H19" s="85">
        <f>'Historical Financials'!G19</f>
        <v>0</v>
      </c>
      <c r="I19" s="85">
        <f>'Historical Financials'!H19</f>
        <v>0</v>
      </c>
      <c r="J19" s="85">
        <f>'Historical Financials'!I19</f>
        <v>0</v>
      </c>
      <c r="K19" s="85">
        <f>'Historical Financials'!J19</f>
        <v>0</v>
      </c>
      <c r="L19" s="85">
        <f>'Historical Financials'!K19</f>
        <v>0</v>
      </c>
      <c r="M19" s="85">
        <f>'Historical Financials'!L19</f>
        <v>0</v>
      </c>
      <c r="N19" s="85">
        <f>'Historical Financials'!M19</f>
        <v>0</v>
      </c>
      <c r="O19" s="85">
        <f>'Historical Financials'!N19</f>
        <v>0</v>
      </c>
      <c r="P19" s="85">
        <f>'Historical Financials'!O19</f>
        <v>0</v>
      </c>
      <c r="Q19" s="85">
        <f>'Historical Financials'!P19</f>
        <v>0</v>
      </c>
      <c r="R19" s="85"/>
      <c r="S19" s="85"/>
      <c r="T19" s="85"/>
      <c r="U19" s="85"/>
      <c r="V19" s="85"/>
      <c r="W19" s="5"/>
      <c r="X19" s="10">
        <f t="shared" si="18"/>
        <v>0</v>
      </c>
      <c r="Y19" s="10">
        <f t="shared" si="19"/>
        <v>0</v>
      </c>
      <c r="Z19" s="10">
        <f t="shared" si="20"/>
        <v>0</v>
      </c>
      <c r="AA19" s="10">
        <f t="shared" si="21"/>
        <v>0</v>
      </c>
      <c r="AB19" s="10">
        <f t="shared" si="22"/>
        <v>0</v>
      </c>
      <c r="AC19" s="10">
        <f t="shared" si="23"/>
        <v>0</v>
      </c>
      <c r="AD19" s="10">
        <f t="shared" si="24"/>
        <v>0</v>
      </c>
      <c r="AE19" s="10">
        <f t="shared" si="25"/>
        <v>0</v>
      </c>
      <c r="AF19" s="10">
        <f t="shared" si="26"/>
        <v>0</v>
      </c>
      <c r="AG19" s="10">
        <f t="shared" si="27"/>
        <v>0</v>
      </c>
      <c r="AH19" s="10">
        <f t="shared" si="28"/>
        <v>0</v>
      </c>
      <c r="AI19" s="10">
        <f t="shared" si="29"/>
        <v>0</v>
      </c>
      <c r="AK19" s="115" t="e">
        <f>SUM(AI19/AE19)-1</f>
        <v>#DIV/0!</v>
      </c>
    </row>
    <row r="20" spans="2:37" ht="12.75" customHeight="1">
      <c r="B20" s="12" t="s">
        <v>40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6" t="e">
        <f>SUM(AI20/AE20)-1</f>
        <v>#REF!</v>
      </c>
    </row>
    <row r="21" spans="2:37" ht="12.75" customHeight="1">
      <c r="B21" s="14" t="s">
        <v>41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7" t="e">
        <f>SUM(AI21-AE21)*10000</f>
        <v>#DIV/0!</v>
      </c>
    </row>
    <row r="22" spans="2:37" ht="5.0999999999999996" customHeight="1">
      <c r="AK22" s="114"/>
    </row>
    <row r="23" spans="2:37" ht="12.75" customHeight="1">
      <c r="B23" s="29" t="s">
        <v>42</v>
      </c>
      <c r="C23" s="112" t="e">
        <f>-C19</f>
        <v>#REF!</v>
      </c>
      <c r="D23" s="112"/>
      <c r="E23" s="112"/>
      <c r="F23" s="112"/>
      <c r="G23" s="136"/>
      <c r="H23" s="112">
        <f t="shared" ref="D23:V23" si="37">-H19</f>
        <v>0</v>
      </c>
      <c r="I23" s="112">
        <f t="shared" si="37"/>
        <v>0</v>
      </c>
      <c r="J23" s="112">
        <f t="shared" si="37"/>
        <v>0</v>
      </c>
      <c r="K23" s="112">
        <f t="shared" si="37"/>
        <v>0</v>
      </c>
      <c r="L23" s="112">
        <f t="shared" si="37"/>
        <v>0</v>
      </c>
      <c r="M23" s="112">
        <f t="shared" si="37"/>
        <v>0</v>
      </c>
      <c r="N23" s="112">
        <f t="shared" si="37"/>
        <v>0</v>
      </c>
      <c r="O23" s="112">
        <f t="shared" si="37"/>
        <v>0</v>
      </c>
      <c r="P23" s="112">
        <f t="shared" si="37"/>
        <v>0</v>
      </c>
      <c r="Q23" s="112">
        <f t="shared" si="37"/>
        <v>0</v>
      </c>
      <c r="R23" s="112"/>
      <c r="S23" s="112"/>
      <c r="T23" s="112"/>
      <c r="U23" s="112"/>
      <c r="V23" s="112"/>
      <c r="X23" s="10">
        <f>SUM(G23:K23)</f>
        <v>0</v>
      </c>
      <c r="Y23" s="10">
        <f t="shared" ref="Y23:AH23" si="38">SUM(I23:L23)</f>
        <v>0</v>
      </c>
      <c r="Z23" s="10">
        <f t="shared" si="38"/>
        <v>0</v>
      </c>
      <c r="AA23" s="10">
        <f t="shared" si="38"/>
        <v>0</v>
      </c>
      <c r="AB23" s="10">
        <f t="shared" si="38"/>
        <v>0</v>
      </c>
      <c r="AC23" s="10">
        <f t="shared" si="38"/>
        <v>0</v>
      </c>
      <c r="AD23" s="10">
        <f t="shared" si="38"/>
        <v>0</v>
      </c>
      <c r="AE23" s="10">
        <f t="shared" si="38"/>
        <v>0</v>
      </c>
      <c r="AF23" s="10">
        <f t="shared" si="38"/>
        <v>0</v>
      </c>
      <c r="AG23" s="10">
        <f t="shared" si="38"/>
        <v>0</v>
      </c>
      <c r="AH23" s="10">
        <f t="shared" si="38"/>
        <v>0</v>
      </c>
      <c r="AI23" s="10">
        <f>SUM(S23:V23)</f>
        <v>0</v>
      </c>
      <c r="AK23" s="115" t="e">
        <f>SUM(AI23/AE23)-1</f>
        <v>#DIV/0!</v>
      </c>
    </row>
    <row r="24" spans="2:37" ht="12.75" customHeight="1">
      <c r="B24" s="23" t="s">
        <v>11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6" t="e">
        <f>SUM(AI24/AE24)-1</f>
        <v>#REF!</v>
      </c>
    </row>
    <row r="25" spans="2:37" ht="12.75" customHeight="1">
      <c r="B25" s="14" t="s">
        <v>43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7" t="e">
        <f>SUM(AI25-AE25)*10000</f>
        <v>#DIV/0!</v>
      </c>
    </row>
    <row r="26" spans="2:37" ht="5.0999999999999996" customHeight="1">
      <c r="AK26" s="114"/>
    </row>
    <row r="27" spans="2:37" ht="12.75" customHeight="1">
      <c r="B27" s="29" t="s">
        <v>44</v>
      </c>
      <c r="C27" s="85" t="e">
        <f>'Historical Financials'!#REF!</f>
        <v>#REF!</v>
      </c>
      <c r="D27" s="85"/>
      <c r="E27" s="85"/>
      <c r="F27" s="85"/>
      <c r="H27" s="85">
        <f>'Historical Financials'!G102</f>
        <v>0</v>
      </c>
      <c r="I27" s="85">
        <f>'Historical Financials'!H102</f>
        <v>0</v>
      </c>
      <c r="J27" s="85">
        <f>'Historical Financials'!I102</f>
        <v>0</v>
      </c>
      <c r="K27" s="85">
        <f>'Historical Financials'!J102</f>
        <v>0</v>
      </c>
      <c r="L27" s="85">
        <f>'Historical Financials'!K102</f>
        <v>0</v>
      </c>
      <c r="M27" s="85">
        <f>'Historical Financials'!L102</f>
        <v>0</v>
      </c>
      <c r="N27" s="85">
        <f>'Historical Financials'!M102</f>
        <v>0</v>
      </c>
      <c r="O27" s="85">
        <f>'Historical Financials'!N102</f>
        <v>0</v>
      </c>
      <c r="P27" s="85">
        <f>'Historical Financials'!O102</f>
        <v>0</v>
      </c>
      <c r="Q27" s="85">
        <f>'Historical Financials'!P102</f>
        <v>0</v>
      </c>
      <c r="R27" s="85"/>
      <c r="S27" s="85"/>
      <c r="T27" s="85"/>
      <c r="U27" s="85"/>
      <c r="V27" s="85"/>
      <c r="X27" s="10">
        <f>SUM(G27:K27)</f>
        <v>0</v>
      </c>
      <c r="Y27" s="10">
        <f t="shared" ref="Y27" si="45">SUM(I27:L27)</f>
        <v>0</v>
      </c>
      <c r="Z27" s="10">
        <f t="shared" ref="Z27" si="46">SUM(J27:M27)</f>
        <v>0</v>
      </c>
      <c r="AA27" s="10">
        <f t="shared" ref="AA27" si="47">SUM(K27:N27)</f>
        <v>0</v>
      </c>
      <c r="AB27" s="10">
        <f t="shared" ref="AB27" si="48">SUM(L27:O27)</f>
        <v>0</v>
      </c>
      <c r="AC27" s="10">
        <f t="shared" ref="AC27" si="49">SUM(M27:P27)</f>
        <v>0</v>
      </c>
      <c r="AD27" s="10">
        <f t="shared" ref="AD27" si="50">SUM(N27:Q27)</f>
        <v>0</v>
      </c>
      <c r="AE27" s="10">
        <f t="shared" ref="AE27" si="51">SUM(O27:R27)</f>
        <v>0</v>
      </c>
      <c r="AF27" s="10">
        <f t="shared" ref="AF27" si="52">SUM(P27:S27)</f>
        <v>0</v>
      </c>
      <c r="AG27" s="10">
        <f t="shared" ref="AG27" si="53">SUM(Q27:T27)</f>
        <v>0</v>
      </c>
      <c r="AH27" s="10">
        <f t="shared" ref="AH27" si="54">SUM(R27:U27)</f>
        <v>0</v>
      </c>
      <c r="AI27" s="10">
        <f t="shared" ref="AI27" si="55">SUM(S27:V27)</f>
        <v>0</v>
      </c>
      <c r="AK27" s="115" t="e">
        <f>SUM(AI27/AE27)-1</f>
        <v>#DIV/0!</v>
      </c>
    </row>
    <row r="28" spans="2:37" ht="12.75" customHeight="1">
      <c r="B28" s="12" t="s">
        <v>45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6" t="e">
        <f>SUM(AI28/AE28)-1</f>
        <v>#REF!</v>
      </c>
    </row>
    <row r="29" spans="2:37" ht="12.75" customHeight="1">
      <c r="B29" s="14" t="s">
        <v>46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7" t="e">
        <f>SUM(AI29-AE29)*10000</f>
        <v>#DIV/0!</v>
      </c>
    </row>
    <row r="30" spans="2:37" ht="5.0999999999999996" customHeight="1">
      <c r="AK30" s="114"/>
    </row>
    <row r="31" spans="2:37" ht="12.75" customHeight="1">
      <c r="B31" s="21" t="s">
        <v>47</v>
      </c>
      <c r="C31" s="85" t="e">
        <f>SUM('Historical Financials'!#REF!+'Historical Financials'!#REF!)</f>
        <v>#REF!</v>
      </c>
      <c r="D31" s="85"/>
      <c r="E31" s="85"/>
      <c r="F31" s="85"/>
      <c r="H31" s="85">
        <f>SUM('Historical Financials'!G124+'Historical Financials'!G125)</f>
        <v>0</v>
      </c>
      <c r="I31" s="85">
        <f>SUM('Historical Financials'!H124+'Historical Financials'!H125)</f>
        <v>0</v>
      </c>
      <c r="J31" s="85">
        <f>SUM('Historical Financials'!I124+'Historical Financials'!I125)</f>
        <v>0</v>
      </c>
      <c r="K31" s="85">
        <f>SUM('Historical Financials'!J124+'Historical Financials'!J125)</f>
        <v>0</v>
      </c>
      <c r="L31" s="85">
        <f>SUM('Historical Financials'!K124+'Historical Financials'!K125)</f>
        <v>0</v>
      </c>
      <c r="M31" s="85">
        <f>SUM('Historical Financials'!L124+'Historical Financials'!L125)</f>
        <v>0</v>
      </c>
      <c r="N31" s="85">
        <f>SUM('Historical Financials'!M124+'Historical Financials'!M125)</f>
        <v>0</v>
      </c>
      <c r="O31" s="85">
        <f>SUM('Historical Financials'!N124+'Historical Financials'!N125)</f>
        <v>0</v>
      </c>
      <c r="P31" s="85">
        <f>SUM('Historical Financials'!O124+'Historical Financials'!O125)</f>
        <v>0</v>
      </c>
      <c r="Q31" s="85">
        <f>SUM('Historical Financials'!P124+'Historical Financials'!P125)</f>
        <v>0</v>
      </c>
      <c r="R31" s="85"/>
      <c r="S31" s="85"/>
      <c r="T31" s="85"/>
      <c r="U31" s="85"/>
      <c r="V31" s="85"/>
      <c r="X31" s="10">
        <f t="shared" ref="X31:X34" si="60">SUM(G31:K31)</f>
        <v>0</v>
      </c>
      <c r="Y31" s="10">
        <f t="shared" ref="Y31:Y34" si="61">SUM(I31:L31)</f>
        <v>0</v>
      </c>
      <c r="Z31" s="10">
        <f t="shared" ref="Z31:Z34" si="62">SUM(J31:M31)</f>
        <v>0</v>
      </c>
      <c r="AA31" s="10">
        <f t="shared" ref="AA31:AA34" si="63">SUM(K31:N31)</f>
        <v>0</v>
      </c>
      <c r="AB31" s="10">
        <f t="shared" ref="AB31:AB34" si="64">SUM(L31:O31)</f>
        <v>0</v>
      </c>
      <c r="AC31" s="10">
        <f t="shared" ref="AC31:AC34" si="65">SUM(M31:P31)</f>
        <v>0</v>
      </c>
      <c r="AD31" s="10">
        <f t="shared" ref="AD31:AD34" si="66">SUM(N31:Q31)</f>
        <v>0</v>
      </c>
      <c r="AE31" s="10">
        <f t="shared" ref="AE31:AE34" si="67">SUM(O31:R31)</f>
        <v>0</v>
      </c>
      <c r="AF31" s="10">
        <f t="shared" ref="AF31:AF34" si="68">SUM(P31:S31)</f>
        <v>0</v>
      </c>
      <c r="AG31" s="10">
        <f t="shared" ref="AG31:AG34" si="69">SUM(Q31:T31)</f>
        <v>0</v>
      </c>
      <c r="AH31" s="10">
        <f t="shared" ref="AH31:AH34" si="70">SUM(R31:U31)</f>
        <v>0</v>
      </c>
      <c r="AI31" s="10">
        <f t="shared" ref="AI31:AI34" si="71">SUM(S31:V31)</f>
        <v>0</v>
      </c>
      <c r="AK31" s="115" t="e">
        <f>SUM(AI31/AE31)-1</f>
        <v>#DIV/0!</v>
      </c>
    </row>
    <row r="32" spans="2:37" ht="12.75" customHeight="1">
      <c r="B32" s="21" t="s">
        <v>48</v>
      </c>
      <c r="C32" s="85" t="e">
        <f>'Historical Financials'!#REF!</f>
        <v>#REF!</v>
      </c>
      <c r="D32" s="85"/>
      <c r="E32" s="85"/>
      <c r="F32" s="85"/>
      <c r="H32" s="85">
        <f>'Historical Financials'!G32</f>
        <v>0</v>
      </c>
      <c r="I32" s="85">
        <f>'Historical Financials'!H32</f>
        <v>0</v>
      </c>
      <c r="J32" s="85">
        <f>'Historical Financials'!I32</f>
        <v>0</v>
      </c>
      <c r="K32" s="85">
        <f>'Historical Financials'!J32</f>
        <v>0</v>
      </c>
      <c r="L32" s="85">
        <f>'Historical Financials'!K32</f>
        <v>0</v>
      </c>
      <c r="M32" s="85">
        <f>'Historical Financials'!L32</f>
        <v>0</v>
      </c>
      <c r="N32" s="85">
        <f>'Historical Financials'!M32</f>
        <v>0</v>
      </c>
      <c r="O32" s="85">
        <f>'Historical Financials'!N32</f>
        <v>0</v>
      </c>
      <c r="P32" s="85">
        <f>'Historical Financials'!O32</f>
        <v>0</v>
      </c>
      <c r="Q32" s="85">
        <f>'Historical Financials'!P32</f>
        <v>0</v>
      </c>
      <c r="R32" s="85"/>
      <c r="S32" s="85"/>
      <c r="T32" s="85"/>
      <c r="U32" s="85"/>
      <c r="V32" s="85"/>
      <c r="X32" s="10">
        <f t="shared" si="60"/>
        <v>0</v>
      </c>
      <c r="Y32" s="10">
        <f t="shared" si="61"/>
        <v>0</v>
      </c>
      <c r="Z32" s="10">
        <f t="shared" si="62"/>
        <v>0</v>
      </c>
      <c r="AA32" s="10">
        <f t="shared" si="63"/>
        <v>0</v>
      </c>
      <c r="AB32" s="10">
        <f t="shared" si="64"/>
        <v>0</v>
      </c>
      <c r="AC32" s="10">
        <f t="shared" si="65"/>
        <v>0</v>
      </c>
      <c r="AD32" s="10">
        <f t="shared" si="66"/>
        <v>0</v>
      </c>
      <c r="AE32" s="10">
        <f t="shared" si="67"/>
        <v>0</v>
      </c>
      <c r="AF32" s="10">
        <f t="shared" si="68"/>
        <v>0</v>
      </c>
      <c r="AG32" s="10">
        <f t="shared" si="69"/>
        <v>0</v>
      </c>
      <c r="AH32" s="10">
        <f t="shared" si="70"/>
        <v>0</v>
      </c>
      <c r="AI32" s="10">
        <f t="shared" si="71"/>
        <v>0</v>
      </c>
      <c r="AK32" s="115" t="e">
        <f>SUM(AI32/AE32)-1</f>
        <v>#DIV/0!</v>
      </c>
    </row>
    <row r="33" spans="1:37" ht="12.75" customHeight="1">
      <c r="B33" s="21" t="s">
        <v>98</v>
      </c>
      <c r="C33" s="78">
        <v>0</v>
      </c>
      <c r="D33" s="78"/>
      <c r="E33" s="78"/>
      <c r="F33" s="78"/>
      <c r="H33" s="78">
        <v>0</v>
      </c>
      <c r="I33" s="78">
        <v>0</v>
      </c>
      <c r="J33" s="78">
        <v>0</v>
      </c>
      <c r="K33" s="112">
        <f>D33</f>
        <v>0</v>
      </c>
      <c r="L33" s="78">
        <v>0</v>
      </c>
      <c r="M33" s="78">
        <v>0</v>
      </c>
      <c r="N33" s="78">
        <v>0</v>
      </c>
      <c r="O33" s="112">
        <f>E33</f>
        <v>0</v>
      </c>
      <c r="P33" s="78">
        <v>0</v>
      </c>
      <c r="Q33" s="78">
        <v>0</v>
      </c>
      <c r="R33" s="78"/>
      <c r="S33" s="112"/>
      <c r="T33" s="78"/>
      <c r="U33" s="78"/>
      <c r="V33" s="78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5" t="e">
        <f>SUM(AI33/AE33)-1</f>
        <v>#DIV/0!</v>
      </c>
    </row>
    <row r="34" spans="1:37" ht="12.75" customHeight="1">
      <c r="B34" s="21" t="s">
        <v>49</v>
      </c>
      <c r="C34" s="85" t="e">
        <f>SUM('Historical Financials'!#REF!)</f>
        <v>#REF!</v>
      </c>
      <c r="D34" s="85"/>
      <c r="E34" s="85"/>
      <c r="F34" s="85"/>
      <c r="H34" s="85">
        <f>SUM('Historical Financials'!G115:G120)</f>
        <v>0</v>
      </c>
      <c r="I34" s="85">
        <f>SUM('Historical Financials'!H115:H120)</f>
        <v>0</v>
      </c>
      <c r="J34" s="85">
        <f>SUM('Historical Financials'!I115:I120)</f>
        <v>0</v>
      </c>
      <c r="K34" s="85">
        <f>SUM('Historical Financials'!J115:J120)</f>
        <v>0</v>
      </c>
      <c r="L34" s="85">
        <f>SUM('Historical Financials'!K115:K120)</f>
        <v>0</v>
      </c>
      <c r="M34" s="85">
        <f>SUM('Historical Financials'!L115:L120)</f>
        <v>0</v>
      </c>
      <c r="N34" s="85">
        <f>SUM('Historical Financials'!M115:M120)</f>
        <v>0</v>
      </c>
      <c r="O34" s="85">
        <f>SUM('Historical Financials'!N115:N120)</f>
        <v>0</v>
      </c>
      <c r="P34" s="85">
        <f>SUM('Historical Financials'!O115:O120)</f>
        <v>0</v>
      </c>
      <c r="Q34" s="85">
        <f>SUM('Historical Financials'!P115:P120)</f>
        <v>0</v>
      </c>
      <c r="R34" s="85"/>
      <c r="S34" s="85"/>
      <c r="T34" s="85"/>
      <c r="U34" s="85"/>
      <c r="V34" s="85"/>
      <c r="X34" s="10">
        <f t="shared" si="60"/>
        <v>0</v>
      </c>
      <c r="Y34" s="10">
        <f t="shared" si="61"/>
        <v>0</v>
      </c>
      <c r="Z34" s="10">
        <f t="shared" si="62"/>
        <v>0</v>
      </c>
      <c r="AA34" s="10">
        <f t="shared" si="63"/>
        <v>0</v>
      </c>
      <c r="AB34" s="10">
        <f t="shared" si="64"/>
        <v>0</v>
      </c>
      <c r="AC34" s="10">
        <f t="shared" si="65"/>
        <v>0</v>
      </c>
      <c r="AD34" s="10">
        <f t="shared" si="66"/>
        <v>0</v>
      </c>
      <c r="AE34" s="10">
        <f t="shared" si="67"/>
        <v>0</v>
      </c>
      <c r="AF34" s="10">
        <f t="shared" si="68"/>
        <v>0</v>
      </c>
      <c r="AG34" s="10">
        <f t="shared" si="69"/>
        <v>0</v>
      </c>
      <c r="AH34" s="10">
        <f t="shared" si="70"/>
        <v>0</v>
      </c>
      <c r="AI34" s="10">
        <f t="shared" si="71"/>
        <v>0</v>
      </c>
      <c r="AK34" s="115" t="e">
        <f>SUM(AI34/AE34)-1</f>
        <v>#DIV/0!</v>
      </c>
    </row>
    <row r="35" spans="1:37" ht="12.75" customHeight="1">
      <c r="B35" s="12" t="s">
        <v>50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6" t="e">
        <f>SUM(AI35/AE35)-1</f>
        <v>#REF!</v>
      </c>
    </row>
    <row r="36" spans="1:37" ht="5.0999999999999996" customHeight="1"/>
    <row r="37" spans="1:37" ht="12.75" customHeight="1">
      <c r="B37" s="29" t="s">
        <v>117</v>
      </c>
      <c r="C37" s="85" t="e">
        <f>'Historical Financials'!#REF!</f>
        <v>#REF!</v>
      </c>
      <c r="D37" s="85"/>
      <c r="E37" s="85"/>
      <c r="F37" s="85"/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/>
      <c r="S37" s="85"/>
      <c r="T37" s="85"/>
      <c r="U37" s="85"/>
      <c r="V37" s="85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136</v>
      </c>
      <c r="C38" s="85" t="e">
        <f>SUM('Historical Financials'!#REF!)</f>
        <v>#REF!</v>
      </c>
      <c r="D38" s="85"/>
      <c r="E38" s="85"/>
      <c r="F38" s="85"/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/>
      <c r="S38" s="85"/>
      <c r="T38" s="85"/>
      <c r="U38" s="85"/>
      <c r="V38" s="85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137</v>
      </c>
      <c r="C39" s="85" t="e">
        <f>'Historical Financials'!#REF!</f>
        <v>#REF!</v>
      </c>
      <c r="D39" s="85"/>
      <c r="E39" s="85"/>
      <c r="F39" s="85"/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/>
      <c r="S39" s="85"/>
      <c r="T39" s="85"/>
      <c r="U39" s="85"/>
      <c r="V39" s="85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138</v>
      </c>
      <c r="C40" s="85" t="e">
        <f>'Historical Financials'!#REF!</f>
        <v>#REF!</v>
      </c>
      <c r="D40" s="85"/>
      <c r="E40" s="85"/>
      <c r="F40" s="85"/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/>
      <c r="S40" s="85"/>
      <c r="T40" s="85"/>
      <c r="U40" s="85"/>
      <c r="V40" s="85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118</v>
      </c>
      <c r="C41" s="85" t="e">
        <f>'Historical Financials'!#REF!</f>
        <v>#REF!</v>
      </c>
      <c r="D41" s="85"/>
      <c r="E41" s="85"/>
      <c r="F41" s="85"/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/>
      <c r="S41" s="85"/>
      <c r="T41" s="85"/>
      <c r="U41" s="85"/>
      <c r="V41" s="85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139</v>
      </c>
      <c r="C42" s="85" t="e">
        <f>'Historical Financials'!#REF!</f>
        <v>#REF!</v>
      </c>
      <c r="D42" s="85"/>
      <c r="E42" s="85"/>
      <c r="F42" s="85"/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/>
      <c r="S42" s="85"/>
      <c r="T42" s="85"/>
      <c r="U42" s="85"/>
      <c r="V42" s="85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90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F43:U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51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52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53</v>
      </c>
      <c r="C48" s="85" t="e">
        <f>'Historical Financials'!#REF!</f>
        <v>#REF!</v>
      </c>
      <c r="D48" s="85"/>
      <c r="E48" s="85"/>
      <c r="F48" s="85"/>
      <c r="G48" s="30"/>
      <c r="H48" s="85">
        <f>'Historical Financials'!G47</f>
        <v>0</v>
      </c>
      <c r="I48" s="85">
        <f>'Historical Financials'!H47</f>
        <v>0</v>
      </c>
      <c r="J48" s="85">
        <f>'Historical Financials'!I47</f>
        <v>0</v>
      </c>
      <c r="K48" s="85">
        <f>'Historical Financials'!J47</f>
        <v>0</v>
      </c>
      <c r="L48" s="85">
        <f>'Historical Financials'!K47</f>
        <v>0</v>
      </c>
      <c r="M48" s="85">
        <f>'Historical Financials'!L47</f>
        <v>0</v>
      </c>
      <c r="N48" s="85">
        <f>'Historical Financials'!M47</f>
        <v>0</v>
      </c>
      <c r="O48" s="85">
        <f>'Historical Financials'!N47</f>
        <v>0</v>
      </c>
      <c r="P48" s="85">
        <f>'Historical Financials'!O47</f>
        <v>0</v>
      </c>
      <c r="Q48" s="85">
        <f>'Historical Financials'!P47</f>
        <v>0</v>
      </c>
      <c r="R48" s="85"/>
      <c r="S48" s="85"/>
      <c r="T48" s="85"/>
      <c r="U48" s="85"/>
      <c r="V48" s="85"/>
      <c r="X48" s="10">
        <f t="shared" ref="X48:AH48" si="91">K48</f>
        <v>0</v>
      </c>
      <c r="Y48" s="10">
        <f t="shared" si="91"/>
        <v>0</v>
      </c>
      <c r="Z48" s="10">
        <f t="shared" si="91"/>
        <v>0</v>
      </c>
      <c r="AA48" s="10">
        <f t="shared" si="91"/>
        <v>0</v>
      </c>
      <c r="AB48" s="10">
        <f t="shared" si="91"/>
        <v>0</v>
      </c>
      <c r="AC48" s="10">
        <f t="shared" si="91"/>
        <v>0</v>
      </c>
      <c r="AD48" s="10">
        <f t="shared" si="91"/>
        <v>0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110</v>
      </c>
      <c r="C49" s="85" t="e">
        <f>'Historical Financials'!#REF!</f>
        <v>#REF!</v>
      </c>
      <c r="D49" s="85"/>
      <c r="E49" s="85"/>
      <c r="F49" s="85"/>
      <c r="G49" s="30"/>
      <c r="H49" s="85">
        <f>'Historical Financials'!G50</f>
        <v>0</v>
      </c>
      <c r="I49" s="85">
        <f>'Historical Financials'!H50</f>
        <v>0</v>
      </c>
      <c r="J49" s="85">
        <f>'Historical Financials'!I50</f>
        <v>0</v>
      </c>
      <c r="K49" s="85">
        <f>'Historical Financials'!J50</f>
        <v>0</v>
      </c>
      <c r="L49" s="85">
        <f>'Historical Financials'!K50</f>
        <v>0</v>
      </c>
      <c r="M49" s="85">
        <f>'Historical Financials'!L50</f>
        <v>0</v>
      </c>
      <c r="N49" s="85">
        <f>'Historical Financials'!M50</f>
        <v>0</v>
      </c>
      <c r="O49" s="85">
        <f>'Historical Financials'!N50</f>
        <v>0</v>
      </c>
      <c r="P49" s="85">
        <f>'Historical Financials'!O50</f>
        <v>0</v>
      </c>
      <c r="Q49" s="85">
        <f>'Historical Financials'!P50</f>
        <v>0</v>
      </c>
      <c r="R49" s="85"/>
      <c r="S49" s="85"/>
      <c r="T49" s="85"/>
      <c r="U49" s="85"/>
      <c r="V49" s="85"/>
      <c r="X49" s="10">
        <f t="shared" ref="X49:X51" si="92">K49</f>
        <v>0</v>
      </c>
      <c r="Y49" s="10">
        <f t="shared" ref="Y49:Y51" si="93">L49</f>
        <v>0</v>
      </c>
      <c r="Z49" s="10">
        <f t="shared" ref="Z49:Z51" si="94">M49</f>
        <v>0</v>
      </c>
      <c r="AA49" s="10">
        <f t="shared" ref="AA49:AA51" si="95">N49</f>
        <v>0</v>
      </c>
      <c r="AB49" s="10">
        <f t="shared" ref="AB49:AB51" si="96">O49</f>
        <v>0</v>
      </c>
      <c r="AC49" s="10">
        <f t="shared" ref="AC49:AC51" si="97">P49</f>
        <v>0</v>
      </c>
      <c r="AD49" s="10">
        <f t="shared" ref="AD49:AD51" si="98">Q49</f>
        <v>0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140</v>
      </c>
      <c r="C50" s="85" t="e">
        <f>'Historical Financials'!#REF!</f>
        <v>#REF!</v>
      </c>
      <c r="D50" s="85"/>
      <c r="E50" s="85"/>
      <c r="F50" s="85"/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/>
      <c r="S50" s="85"/>
      <c r="T50" s="85"/>
      <c r="U50" s="85"/>
      <c r="V50" s="85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141</v>
      </c>
      <c r="C51" s="85" t="e">
        <f>'Historical Financials'!#REF!</f>
        <v>#REF!</v>
      </c>
      <c r="D51" s="85"/>
      <c r="E51" s="85"/>
      <c r="F51" s="85"/>
      <c r="G51" s="30"/>
      <c r="H51" s="85">
        <f>'Historical Financials'!G54</f>
        <v>0</v>
      </c>
      <c r="I51" s="85">
        <f>'Historical Financials'!H54</f>
        <v>0</v>
      </c>
      <c r="J51" s="85">
        <f>'Historical Financials'!I54</f>
        <v>0</v>
      </c>
      <c r="K51" s="85">
        <f>'Historical Financials'!J54</f>
        <v>0</v>
      </c>
      <c r="L51" s="85">
        <f>'Historical Financials'!K54</f>
        <v>0</v>
      </c>
      <c r="M51" s="85">
        <f>'Historical Financials'!L54</f>
        <v>0</v>
      </c>
      <c r="N51" s="85">
        <f>'Historical Financials'!M54</f>
        <v>0</v>
      </c>
      <c r="O51" s="85">
        <f>'Historical Financials'!N54</f>
        <v>0</v>
      </c>
      <c r="P51" s="85">
        <f>'Historical Financials'!O54</f>
        <v>0</v>
      </c>
      <c r="Q51" s="85">
        <f>'Historical Financials'!P54</f>
        <v>0</v>
      </c>
      <c r="R51" s="85"/>
      <c r="S51" s="85"/>
      <c r="T51" s="85"/>
      <c r="U51" s="85"/>
      <c r="V51" s="85"/>
      <c r="X51" s="10">
        <f t="shared" si="92"/>
        <v>0</v>
      </c>
      <c r="Y51" s="10">
        <f t="shared" si="93"/>
        <v>0</v>
      </c>
      <c r="Z51" s="10">
        <f t="shared" si="94"/>
        <v>0</v>
      </c>
      <c r="AA51" s="10">
        <f t="shared" si="95"/>
        <v>0</v>
      </c>
      <c r="AB51" s="10">
        <f t="shared" si="96"/>
        <v>0</v>
      </c>
      <c r="AC51" s="10">
        <f t="shared" si="97"/>
        <v>0</v>
      </c>
      <c r="AD51" s="10">
        <f t="shared" si="98"/>
        <v>0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54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55</v>
      </c>
    </row>
    <row r="55" spans="2:35" ht="12.75" customHeight="1">
      <c r="B55" s="8" t="s">
        <v>56</v>
      </c>
      <c r="C55" s="85" t="e">
        <f>'Historical Financials'!#REF!</f>
        <v>#REF!</v>
      </c>
      <c r="D55" s="85"/>
      <c r="E55" s="85"/>
      <c r="F55" s="85"/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/>
      <c r="S55" s="85"/>
      <c r="T55" s="85"/>
      <c r="U55" s="85"/>
      <c r="V55" s="85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57</v>
      </c>
      <c r="C56" s="85" t="e">
        <f>'Historical Financials'!#REF!</f>
        <v>#REF!</v>
      </c>
      <c r="D56" s="85"/>
      <c r="E56" s="85"/>
      <c r="F56" s="85"/>
      <c r="G56" s="85"/>
      <c r="H56" s="85">
        <f>'Historical Financials'!G63</f>
        <v>0</v>
      </c>
      <c r="I56" s="85">
        <f>'Historical Financials'!H63</f>
        <v>0</v>
      </c>
      <c r="J56" s="85">
        <f>'Historical Financials'!I63</f>
        <v>0</v>
      </c>
      <c r="K56" s="85">
        <f>'Historical Financials'!J63</f>
        <v>0</v>
      </c>
      <c r="L56" s="85">
        <f>'Historical Financials'!K63</f>
        <v>0</v>
      </c>
      <c r="M56" s="85">
        <f>'Historical Financials'!L63</f>
        <v>0</v>
      </c>
      <c r="N56" s="85">
        <f>'Historical Financials'!M63</f>
        <v>0</v>
      </c>
      <c r="O56" s="85">
        <f>'Historical Financials'!N63</f>
        <v>0</v>
      </c>
      <c r="P56" s="85">
        <f>'Historical Financials'!O63</f>
        <v>0</v>
      </c>
      <c r="Q56" s="85">
        <f>'Historical Financials'!P63</f>
        <v>0</v>
      </c>
      <c r="R56" s="85"/>
      <c r="S56" s="85"/>
      <c r="T56" s="85"/>
      <c r="U56" s="85"/>
      <c r="V56" s="85"/>
      <c r="X56" s="10">
        <f t="shared" si="105"/>
        <v>0</v>
      </c>
      <c r="Y56" s="10">
        <f t="shared" si="106"/>
        <v>0</v>
      </c>
      <c r="Z56" s="10">
        <f t="shared" si="107"/>
        <v>0</v>
      </c>
      <c r="AA56" s="10">
        <f t="shared" si="108"/>
        <v>0</v>
      </c>
      <c r="AB56" s="10">
        <f t="shared" si="109"/>
        <v>0</v>
      </c>
      <c r="AC56" s="10">
        <f t="shared" si="110"/>
        <v>0</v>
      </c>
      <c r="AD56" s="10">
        <f t="shared" si="111"/>
        <v>0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142</v>
      </c>
      <c r="C57" s="85" t="e">
        <f>'Historical Financials'!#REF!</f>
        <v>#REF!</v>
      </c>
      <c r="D57" s="85"/>
      <c r="E57" s="85"/>
      <c r="F57" s="85"/>
      <c r="G57" s="85"/>
      <c r="H57" s="85">
        <f>'Historical Financials'!G68</f>
        <v>0</v>
      </c>
      <c r="I57" s="85">
        <f>'Historical Financials'!H68</f>
        <v>0</v>
      </c>
      <c r="J57" s="85">
        <f>'Historical Financials'!I68</f>
        <v>0</v>
      </c>
      <c r="K57" s="85">
        <f>'Historical Financials'!J68</f>
        <v>0</v>
      </c>
      <c r="L57" s="85">
        <f>'Historical Financials'!K68</f>
        <v>0</v>
      </c>
      <c r="M57" s="85">
        <f>'Historical Financials'!L68</f>
        <v>0</v>
      </c>
      <c r="N57" s="85">
        <f>'Historical Financials'!M68</f>
        <v>0</v>
      </c>
      <c r="O57" s="85">
        <f>'Historical Financials'!N68</f>
        <v>0</v>
      </c>
      <c r="P57" s="85">
        <f>'Historical Financials'!O68</f>
        <v>0</v>
      </c>
      <c r="Q57" s="85">
        <f>'Historical Financials'!P68</f>
        <v>0</v>
      </c>
      <c r="R57" s="85"/>
      <c r="S57" s="85"/>
      <c r="T57" s="85"/>
      <c r="U57" s="85"/>
      <c r="V57" s="85"/>
      <c r="X57" s="10">
        <f t="shared" si="105"/>
        <v>0</v>
      </c>
      <c r="Y57" s="10">
        <f t="shared" si="106"/>
        <v>0</v>
      </c>
      <c r="Z57" s="10">
        <f t="shared" si="107"/>
        <v>0</v>
      </c>
      <c r="AA57" s="10">
        <f t="shared" si="108"/>
        <v>0</v>
      </c>
      <c r="AB57" s="10">
        <f t="shared" si="109"/>
        <v>0</v>
      </c>
      <c r="AC57" s="10">
        <f t="shared" si="110"/>
        <v>0</v>
      </c>
      <c r="AD57" s="10">
        <f t="shared" si="111"/>
        <v>0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143</v>
      </c>
      <c r="C58" s="85" t="e">
        <f>'Historical Financials'!#REF!</f>
        <v>#REF!</v>
      </c>
      <c r="D58" s="85"/>
      <c r="E58" s="85"/>
      <c r="F58" s="85"/>
      <c r="G58" s="85"/>
      <c r="H58" s="85">
        <f>'Historical Financials'!G77</f>
        <v>0</v>
      </c>
      <c r="I58" s="85">
        <f>'Historical Financials'!H77</f>
        <v>0</v>
      </c>
      <c r="J58" s="85">
        <f>'Historical Financials'!I77</f>
        <v>0</v>
      </c>
      <c r="K58" s="85">
        <f>'Historical Financials'!J77</f>
        <v>0</v>
      </c>
      <c r="L58" s="85">
        <f>'Historical Financials'!K77</f>
        <v>0</v>
      </c>
      <c r="M58" s="85">
        <f>'Historical Financials'!L77</f>
        <v>0</v>
      </c>
      <c r="N58" s="85">
        <f>'Historical Financials'!M77</f>
        <v>0</v>
      </c>
      <c r="O58" s="85">
        <f>'Historical Financials'!N77</f>
        <v>0</v>
      </c>
      <c r="P58" s="85">
        <f>'Historical Financials'!O77</f>
        <v>0</v>
      </c>
      <c r="Q58" s="85">
        <f>'Historical Financials'!P77</f>
        <v>0</v>
      </c>
      <c r="R58" s="85"/>
      <c r="S58" s="85"/>
      <c r="T58" s="85"/>
      <c r="U58" s="85"/>
      <c r="V58" s="85"/>
      <c r="X58" s="10">
        <f t="shared" ref="X58" si="117">K58</f>
        <v>0</v>
      </c>
      <c r="Y58" s="10">
        <f t="shared" ref="Y58" si="118">L58</f>
        <v>0</v>
      </c>
      <c r="Z58" s="10">
        <f t="shared" ref="Z58" si="119">M58</f>
        <v>0</v>
      </c>
      <c r="AA58" s="10">
        <f t="shared" ref="AA58" si="120">N58</f>
        <v>0</v>
      </c>
      <c r="AB58" s="10">
        <f t="shared" ref="AB58" si="121">O58</f>
        <v>0</v>
      </c>
      <c r="AC58" s="10">
        <f t="shared" ref="AC58" si="122">P58</f>
        <v>0</v>
      </c>
      <c r="AD58" s="10">
        <f t="shared" ref="AD58" si="123">Q58</f>
        <v>0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58</v>
      </c>
      <c r="C59" s="85" t="e">
        <f>'Historical Financials'!#REF!</f>
        <v>#REF!</v>
      </c>
      <c r="D59" s="85"/>
      <c r="E59" s="85"/>
      <c r="F59" s="85"/>
      <c r="G59" s="85"/>
      <c r="H59" s="85">
        <f>'Historical Financials'!G56</f>
        <v>0</v>
      </c>
      <c r="I59" s="85">
        <f>'Historical Financials'!H56</f>
        <v>0</v>
      </c>
      <c r="J59" s="85">
        <f>'Historical Financials'!I56</f>
        <v>0</v>
      </c>
      <c r="K59" s="85">
        <f>'Historical Financials'!J56</f>
        <v>0</v>
      </c>
      <c r="L59" s="85">
        <f>'Historical Financials'!K56</f>
        <v>0</v>
      </c>
      <c r="M59" s="85">
        <f>'Historical Financials'!L56</f>
        <v>0</v>
      </c>
      <c r="N59" s="85">
        <f>'Historical Financials'!M56</f>
        <v>0</v>
      </c>
      <c r="O59" s="85">
        <f>'Historical Financials'!N56</f>
        <v>0</v>
      </c>
      <c r="P59" s="85">
        <f>'Historical Financials'!O56</f>
        <v>0</v>
      </c>
      <c r="Q59" s="85">
        <f>'Historical Financials'!P56</f>
        <v>0</v>
      </c>
      <c r="R59" s="85"/>
      <c r="S59" s="85"/>
      <c r="T59" s="85"/>
      <c r="U59" s="85"/>
      <c r="V59" s="85"/>
      <c r="X59" s="10">
        <f t="shared" si="105"/>
        <v>0</v>
      </c>
      <c r="Y59" s="10">
        <f t="shared" si="106"/>
        <v>0</v>
      </c>
      <c r="Z59" s="10">
        <f t="shared" si="107"/>
        <v>0</v>
      </c>
      <c r="AA59" s="10">
        <f t="shared" si="108"/>
        <v>0</v>
      </c>
      <c r="AB59" s="10">
        <f t="shared" si="109"/>
        <v>0</v>
      </c>
      <c r="AC59" s="10">
        <f t="shared" si="110"/>
        <v>0</v>
      </c>
      <c r="AD59" s="10">
        <f t="shared" si="111"/>
        <v>0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59</v>
      </c>
      <c r="C60" s="85" t="e">
        <f>'Historical Financials'!#REF!</f>
        <v>#REF!</v>
      </c>
      <c r="D60" s="85"/>
      <c r="E60" s="85"/>
      <c r="F60" s="85"/>
      <c r="G60" s="85"/>
      <c r="H60" s="85">
        <f>'Historical Financials'!G69</f>
        <v>0</v>
      </c>
      <c r="I60" s="85">
        <f>'Historical Financials'!H69</f>
        <v>0</v>
      </c>
      <c r="J60" s="85">
        <f>'Historical Financials'!I69</f>
        <v>0</v>
      </c>
      <c r="K60" s="85">
        <f>'Historical Financials'!J69</f>
        <v>0</v>
      </c>
      <c r="L60" s="85">
        <f>'Historical Financials'!K69</f>
        <v>0</v>
      </c>
      <c r="M60" s="85">
        <f>'Historical Financials'!L69</f>
        <v>0</v>
      </c>
      <c r="N60" s="85">
        <f>'Historical Financials'!M69</f>
        <v>0</v>
      </c>
      <c r="O60" s="85">
        <f>'Historical Financials'!N69</f>
        <v>0</v>
      </c>
      <c r="P60" s="85">
        <f>'Historical Financials'!O69</f>
        <v>0</v>
      </c>
      <c r="Q60" s="85">
        <f>'Historical Financials'!P69</f>
        <v>0</v>
      </c>
      <c r="R60" s="85"/>
      <c r="S60" s="85"/>
      <c r="T60" s="85"/>
      <c r="U60" s="85"/>
      <c r="V60" s="85"/>
      <c r="X60" s="10">
        <f t="shared" si="105"/>
        <v>0</v>
      </c>
      <c r="Y60" s="10">
        <f t="shared" si="106"/>
        <v>0</v>
      </c>
      <c r="Z60" s="10">
        <f t="shared" si="107"/>
        <v>0</v>
      </c>
      <c r="AA60" s="10">
        <f t="shared" si="108"/>
        <v>0</v>
      </c>
      <c r="AB60" s="10">
        <f t="shared" si="109"/>
        <v>0</v>
      </c>
      <c r="AC60" s="10">
        <f t="shared" si="110"/>
        <v>0</v>
      </c>
      <c r="AD60" s="10">
        <f t="shared" si="111"/>
        <v>0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19</v>
      </c>
      <c r="C61" s="85" t="e">
        <f>'Historical Financials'!#REF!</f>
        <v>#REF!</v>
      </c>
      <c r="D61" s="85"/>
      <c r="E61" s="85"/>
      <c r="F61" s="85"/>
      <c r="G61" s="85"/>
      <c r="H61" s="85">
        <f>'Historical Financials'!G78</f>
        <v>0</v>
      </c>
      <c r="I61" s="85">
        <f>'Historical Financials'!H78</f>
        <v>0</v>
      </c>
      <c r="J61" s="85">
        <f>'Historical Financials'!I78</f>
        <v>0</v>
      </c>
      <c r="K61" s="85">
        <f>'Historical Financials'!J78</f>
        <v>0</v>
      </c>
      <c r="L61" s="85">
        <f>'Historical Financials'!K78</f>
        <v>0</v>
      </c>
      <c r="M61" s="85">
        <f>'Historical Financials'!L78</f>
        <v>0</v>
      </c>
      <c r="N61" s="85">
        <f>'Historical Financials'!M78</f>
        <v>0</v>
      </c>
      <c r="O61" s="85">
        <f>'Historical Financials'!N78</f>
        <v>0</v>
      </c>
      <c r="P61" s="85">
        <f>'Historical Financials'!O78</f>
        <v>0</v>
      </c>
      <c r="Q61" s="85">
        <f>'Historical Financials'!P78</f>
        <v>0</v>
      </c>
      <c r="R61" s="85"/>
      <c r="S61" s="85"/>
      <c r="T61" s="85"/>
      <c r="U61" s="85"/>
      <c r="V61" s="85"/>
      <c r="X61" s="10">
        <f t="shared" si="105"/>
        <v>0</v>
      </c>
      <c r="Y61" s="10">
        <f t="shared" si="106"/>
        <v>0</v>
      </c>
      <c r="Z61" s="10">
        <f t="shared" si="107"/>
        <v>0</v>
      </c>
      <c r="AA61" s="10">
        <f t="shared" si="108"/>
        <v>0</v>
      </c>
      <c r="AB61" s="10">
        <f t="shared" si="109"/>
        <v>0</v>
      </c>
      <c r="AC61" s="10">
        <f t="shared" si="110"/>
        <v>0</v>
      </c>
      <c r="AD61" s="10">
        <f t="shared" si="111"/>
        <v>0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144</v>
      </c>
      <c r="C63" s="78">
        <v>0</v>
      </c>
      <c r="D63" s="78"/>
      <c r="E63" s="78"/>
      <c r="F63" s="78"/>
      <c r="H63" s="78">
        <v>0</v>
      </c>
      <c r="I63" s="78">
        <v>0</v>
      </c>
      <c r="J63" s="78">
        <v>0</v>
      </c>
      <c r="K63" s="112">
        <f>D63</f>
        <v>0</v>
      </c>
      <c r="L63" s="78">
        <v>0</v>
      </c>
      <c r="M63" s="78">
        <v>0</v>
      </c>
      <c r="N63" s="78">
        <v>0</v>
      </c>
      <c r="O63" s="112">
        <f>E63</f>
        <v>0</v>
      </c>
      <c r="P63" s="78">
        <v>0</v>
      </c>
      <c r="Q63" s="78">
        <v>0</v>
      </c>
      <c r="R63" s="78"/>
      <c r="S63" s="112"/>
      <c r="T63" s="78"/>
      <c r="U63" s="78"/>
      <c r="V63" s="78"/>
      <c r="W63" s="113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26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60</v>
      </c>
      <c r="C66" s="85" t="e">
        <f>'Historical Financials'!#REF!</f>
        <v>#REF!</v>
      </c>
      <c r="D66" s="85"/>
      <c r="E66" s="85"/>
      <c r="F66" s="85"/>
      <c r="H66" s="85">
        <f>'Historical Financials'!G86</f>
        <v>0</v>
      </c>
      <c r="I66" s="85">
        <f>'Historical Financials'!H86</f>
        <v>0</v>
      </c>
      <c r="J66" s="85">
        <f>'Historical Financials'!I86</f>
        <v>0</v>
      </c>
      <c r="K66" s="85">
        <f>'Historical Financials'!J86</f>
        <v>0</v>
      </c>
      <c r="L66" s="85">
        <f>'Historical Financials'!K86</f>
        <v>0</v>
      </c>
      <c r="M66" s="85">
        <f>'Historical Financials'!L86</f>
        <v>0</v>
      </c>
      <c r="N66" s="85">
        <f>'Historical Financials'!M86</f>
        <v>0</v>
      </c>
      <c r="O66" s="85">
        <f>'Historical Financials'!N86</f>
        <v>0</v>
      </c>
      <c r="P66" s="85">
        <f>'Historical Financials'!O86</f>
        <v>0</v>
      </c>
      <c r="Q66" s="85">
        <f>'Historical Financials'!P86</f>
        <v>0</v>
      </c>
      <c r="R66" s="85"/>
      <c r="S66" s="85"/>
      <c r="T66" s="85"/>
      <c r="U66" s="85"/>
      <c r="V66" s="85"/>
      <c r="X66" s="10">
        <f t="shared" ref="X66:AH66" si="132">K66</f>
        <v>0</v>
      </c>
      <c r="Y66" s="10">
        <f t="shared" si="132"/>
        <v>0</v>
      </c>
      <c r="Z66" s="10">
        <f t="shared" si="132"/>
        <v>0</v>
      </c>
      <c r="AA66" s="10">
        <f t="shared" si="132"/>
        <v>0</v>
      </c>
      <c r="AB66" s="10">
        <f t="shared" si="132"/>
        <v>0</v>
      </c>
      <c r="AC66" s="10">
        <f t="shared" si="132"/>
        <v>0</v>
      </c>
      <c r="AD66" s="10">
        <f t="shared" si="132"/>
        <v>0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61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0</v>
      </c>
      <c r="I67" s="13">
        <f t="shared" ref="I67:R67" si="134">SUM(I64:I66)</f>
        <v>0</v>
      </c>
      <c r="J67" s="13">
        <f t="shared" si="134"/>
        <v>0</v>
      </c>
      <c r="K67" s="13">
        <f t="shared" si="134"/>
        <v>0</v>
      </c>
      <c r="L67" s="13">
        <f t="shared" si="134"/>
        <v>0</v>
      </c>
      <c r="M67" s="13">
        <f t="shared" si="134"/>
        <v>0</v>
      </c>
      <c r="N67" s="13">
        <f t="shared" si="134"/>
        <v>0</v>
      </c>
      <c r="O67" s="13">
        <f t="shared" si="134"/>
        <v>0</v>
      </c>
      <c r="P67" s="13">
        <f t="shared" si="134"/>
        <v>0</v>
      </c>
      <c r="Q67" s="13">
        <f t="shared" si="134"/>
        <v>0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0</v>
      </c>
      <c r="Y67" s="13">
        <f t="shared" si="135"/>
        <v>0</v>
      </c>
      <c r="Z67" s="13">
        <f t="shared" si="135"/>
        <v>0</v>
      </c>
      <c r="AA67" s="13">
        <f t="shared" si="135"/>
        <v>0</v>
      </c>
      <c r="AB67" s="13">
        <f t="shared" si="135"/>
        <v>0</v>
      </c>
      <c r="AC67" s="13">
        <f t="shared" si="135"/>
        <v>0</v>
      </c>
      <c r="AD67" s="13">
        <f t="shared" si="135"/>
        <v>0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91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62</v>
      </c>
      <c r="C71" s="137" t="s">
        <v>94</v>
      </c>
      <c r="D71" s="137"/>
      <c r="E71" s="137"/>
      <c r="F71" s="137"/>
      <c r="H71" s="135"/>
      <c r="I71" s="135"/>
      <c r="J71" s="135"/>
      <c r="K71" s="135"/>
      <c r="L71" s="137" t="s">
        <v>94</v>
      </c>
      <c r="M71" s="137" t="s">
        <v>94</v>
      </c>
      <c r="N71" s="137" t="s">
        <v>94</v>
      </c>
      <c r="O71" s="137" t="s">
        <v>94</v>
      </c>
      <c r="P71" s="137" t="s">
        <v>94</v>
      </c>
      <c r="Q71" s="137" t="s">
        <v>94</v>
      </c>
      <c r="R71" s="137"/>
      <c r="S71" s="137"/>
      <c r="T71" s="137"/>
      <c r="U71" s="137"/>
      <c r="V71" s="137"/>
      <c r="W71" s="137"/>
      <c r="X71" s="137" t="s">
        <v>94</v>
      </c>
      <c r="Y71" s="137" t="s">
        <v>94</v>
      </c>
      <c r="Z71" s="137" t="s">
        <v>94</v>
      </c>
      <c r="AA71" s="137" t="s">
        <v>94</v>
      </c>
      <c r="AB71" s="137" t="s">
        <v>94</v>
      </c>
      <c r="AC71" s="137" t="s">
        <v>94</v>
      </c>
      <c r="AD71" s="137" t="s">
        <v>94</v>
      </c>
      <c r="AE71" s="137"/>
      <c r="AF71" s="137"/>
      <c r="AG71" s="137"/>
      <c r="AH71" s="137"/>
      <c r="AI71" s="137"/>
    </row>
    <row r="72" spans="1:35" ht="12.75" customHeight="1">
      <c r="B72" s="8" t="s">
        <v>63</v>
      </c>
      <c r="C72" s="137" t="s">
        <v>94</v>
      </c>
      <c r="D72" s="137"/>
      <c r="E72" s="137"/>
      <c r="F72" s="137"/>
      <c r="H72" s="135"/>
      <c r="I72" s="135"/>
      <c r="J72" s="135"/>
      <c r="K72" s="135"/>
      <c r="L72" s="137" t="s">
        <v>94</v>
      </c>
      <c r="M72" s="137" t="s">
        <v>94</v>
      </c>
      <c r="N72" s="137" t="s">
        <v>94</v>
      </c>
      <c r="O72" s="137" t="s">
        <v>94</v>
      </c>
      <c r="P72" s="137" t="s">
        <v>94</v>
      </c>
      <c r="Q72" s="137" t="s">
        <v>94</v>
      </c>
      <c r="R72" s="137"/>
      <c r="S72" s="137"/>
      <c r="T72" s="137"/>
      <c r="U72" s="137"/>
      <c r="V72" s="137"/>
      <c r="W72" s="137"/>
      <c r="X72" s="137" t="s">
        <v>94</v>
      </c>
      <c r="Y72" s="137" t="s">
        <v>94</v>
      </c>
      <c r="Z72" s="137" t="s">
        <v>94</v>
      </c>
      <c r="AA72" s="137" t="s">
        <v>94</v>
      </c>
      <c r="AB72" s="137" t="s">
        <v>94</v>
      </c>
      <c r="AC72" s="137" t="s">
        <v>94</v>
      </c>
      <c r="AD72" s="137" t="s">
        <v>94</v>
      </c>
      <c r="AE72" s="137"/>
      <c r="AF72" s="137"/>
      <c r="AG72" s="137"/>
      <c r="AH72" s="137"/>
      <c r="AI72" s="137"/>
    </row>
    <row r="73" spans="1:35" ht="12.75" customHeight="1">
      <c r="B73" s="8" t="s">
        <v>64</v>
      </c>
      <c r="C73" s="137" t="s">
        <v>94</v>
      </c>
      <c r="D73" s="137"/>
      <c r="E73" s="137"/>
      <c r="F73" s="137"/>
      <c r="H73" s="135"/>
      <c r="I73" s="135"/>
      <c r="J73" s="135"/>
      <c r="K73" s="135"/>
      <c r="L73" s="137" t="s">
        <v>94</v>
      </c>
      <c r="M73" s="137" t="s">
        <v>94</v>
      </c>
      <c r="N73" s="137" t="s">
        <v>94</v>
      </c>
      <c r="O73" s="137" t="s">
        <v>94</v>
      </c>
      <c r="P73" s="137" t="s">
        <v>94</v>
      </c>
      <c r="Q73" s="137" t="s">
        <v>94</v>
      </c>
      <c r="R73" s="137"/>
      <c r="S73" s="137"/>
      <c r="T73" s="137"/>
      <c r="U73" s="137"/>
      <c r="V73" s="137"/>
      <c r="X73" s="137" t="s">
        <v>94</v>
      </c>
      <c r="Y73" s="137" t="s">
        <v>94</v>
      </c>
      <c r="Z73" s="137" t="s">
        <v>94</v>
      </c>
      <c r="AA73" s="137" t="s">
        <v>94</v>
      </c>
      <c r="AB73" s="137" t="s">
        <v>94</v>
      </c>
      <c r="AC73" s="137" t="s">
        <v>94</v>
      </c>
      <c r="AD73" s="137" t="s">
        <v>94</v>
      </c>
      <c r="AE73" s="137"/>
      <c r="AF73" s="137"/>
      <c r="AG73" s="137"/>
      <c r="AH73" s="137"/>
      <c r="AI73" s="137"/>
    </row>
    <row r="74" spans="1:35" ht="12.75" customHeight="1">
      <c r="B74" s="8" t="s">
        <v>65</v>
      </c>
      <c r="C74" s="137" t="s">
        <v>94</v>
      </c>
      <c r="D74" s="137"/>
      <c r="E74" s="137"/>
      <c r="F74" s="137"/>
      <c r="H74" s="135"/>
      <c r="I74" s="135"/>
      <c r="J74" s="135"/>
      <c r="K74" s="135"/>
      <c r="L74" s="137" t="s">
        <v>94</v>
      </c>
      <c r="M74" s="137" t="s">
        <v>94</v>
      </c>
      <c r="N74" s="137" t="s">
        <v>94</v>
      </c>
      <c r="O74" s="137" t="s">
        <v>94</v>
      </c>
      <c r="P74" s="137" t="s">
        <v>94</v>
      </c>
      <c r="Q74" s="137" t="s">
        <v>94</v>
      </c>
      <c r="R74" s="137"/>
      <c r="S74" s="137"/>
      <c r="T74" s="137"/>
      <c r="U74" s="137"/>
      <c r="V74" s="137"/>
      <c r="X74" s="137" t="s">
        <v>94</v>
      </c>
      <c r="Y74" s="137" t="s">
        <v>94</v>
      </c>
      <c r="Z74" s="137" t="s">
        <v>94</v>
      </c>
      <c r="AA74" s="137" t="s">
        <v>94</v>
      </c>
      <c r="AB74" s="137" t="s">
        <v>94</v>
      </c>
      <c r="AC74" s="137" t="s">
        <v>94</v>
      </c>
      <c r="AD74" s="137" t="s">
        <v>94</v>
      </c>
      <c r="AE74" s="137"/>
      <c r="AF74" s="137"/>
      <c r="AG74" s="137"/>
      <c r="AH74" s="137"/>
      <c r="AI74" s="137"/>
    </row>
    <row r="75" spans="1:35" ht="12.75" customHeight="1">
      <c r="B75" s="8" t="s">
        <v>66</v>
      </c>
      <c r="C75" s="137" t="s">
        <v>94</v>
      </c>
      <c r="D75" s="137"/>
      <c r="E75" s="137"/>
      <c r="F75" s="137"/>
      <c r="H75" s="135"/>
      <c r="I75" s="135"/>
      <c r="J75" s="135"/>
      <c r="K75" s="135"/>
      <c r="L75" s="137" t="s">
        <v>94</v>
      </c>
      <c r="M75" s="137" t="s">
        <v>94</v>
      </c>
      <c r="N75" s="137" t="s">
        <v>94</v>
      </c>
      <c r="O75" s="137" t="s">
        <v>94</v>
      </c>
      <c r="P75" s="137" t="s">
        <v>94</v>
      </c>
      <c r="Q75" s="137" t="s">
        <v>94</v>
      </c>
      <c r="R75" s="137"/>
      <c r="S75" s="137"/>
      <c r="T75" s="137"/>
      <c r="U75" s="137"/>
      <c r="V75" s="137"/>
      <c r="X75" s="137" t="s">
        <v>94</v>
      </c>
      <c r="Y75" s="137" t="s">
        <v>94</v>
      </c>
      <c r="Z75" s="137" t="s">
        <v>94</v>
      </c>
      <c r="AA75" s="137" t="s">
        <v>94</v>
      </c>
      <c r="AB75" s="137" t="s">
        <v>94</v>
      </c>
      <c r="AC75" s="137" t="s">
        <v>94</v>
      </c>
      <c r="AD75" s="137" t="s">
        <v>94</v>
      </c>
      <c r="AE75" s="137"/>
      <c r="AF75" s="137"/>
      <c r="AG75" s="137"/>
      <c r="AH75" s="137"/>
      <c r="AI75" s="137"/>
    </row>
    <row r="76" spans="1:35" ht="12.75" customHeight="1">
      <c r="B76" s="8" t="s">
        <v>67</v>
      </c>
      <c r="C76" s="137" t="s">
        <v>94</v>
      </c>
      <c r="D76" s="137"/>
      <c r="E76" s="137"/>
      <c r="F76" s="137"/>
      <c r="H76" s="135"/>
      <c r="I76" s="135"/>
      <c r="J76" s="135"/>
      <c r="K76" s="135"/>
      <c r="L76" s="137" t="s">
        <v>94</v>
      </c>
      <c r="M76" s="137" t="s">
        <v>94</v>
      </c>
      <c r="N76" s="137" t="s">
        <v>94</v>
      </c>
      <c r="O76" s="137" t="s">
        <v>94</v>
      </c>
      <c r="P76" s="137" t="s">
        <v>94</v>
      </c>
      <c r="Q76" s="137" t="s">
        <v>94</v>
      </c>
      <c r="R76" s="137"/>
      <c r="S76" s="137"/>
      <c r="T76" s="137"/>
      <c r="U76" s="137"/>
      <c r="V76" s="137"/>
      <c r="X76" s="137" t="s">
        <v>94</v>
      </c>
      <c r="Y76" s="137" t="s">
        <v>94</v>
      </c>
      <c r="Z76" s="137" t="s">
        <v>94</v>
      </c>
      <c r="AA76" s="137" t="s">
        <v>94</v>
      </c>
      <c r="AB76" s="137" t="s">
        <v>94</v>
      </c>
      <c r="AC76" s="137" t="s">
        <v>94</v>
      </c>
      <c r="AD76" s="137" t="s">
        <v>94</v>
      </c>
      <c r="AE76" s="137"/>
      <c r="AF76" s="137"/>
      <c r="AG76" s="137"/>
      <c r="AH76" s="137"/>
      <c r="AI76" s="137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2025-11-08T06:30:07Z</dcterms:modified>
</cp:coreProperties>
</file>