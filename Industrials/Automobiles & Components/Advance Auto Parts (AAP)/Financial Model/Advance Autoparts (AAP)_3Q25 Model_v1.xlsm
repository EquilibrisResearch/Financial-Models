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572F4481-33AC-4E08-B6B3-0AC74C3CC264}" xr6:coauthVersionLast="47" xr6:coauthVersionMax="47" xr10:uidLastSave="{00000000-0000-0000-0000-000000000000}"/>
  <bookViews>
    <workbookView xWindow="-120" yWindow="-120" windowWidth="29040" windowHeight="1572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10" l="1"/>
  <c r="Q89" i="8"/>
  <c r="P89" i="8"/>
  <c r="O89" i="8"/>
  <c r="N89" i="8"/>
  <c r="M89" i="8"/>
  <c r="L89" i="8"/>
  <c r="K89" i="8"/>
  <c r="J89" i="8"/>
  <c r="I89" i="8"/>
  <c r="H89" i="8"/>
  <c r="K104" i="8"/>
  <c r="K117" i="8"/>
  <c r="N117" i="8" s="1"/>
  <c r="AG117" i="8" s="1"/>
  <c r="I125" i="8"/>
  <c r="I118" i="8"/>
  <c r="I117" i="8"/>
  <c r="I115" i="8"/>
  <c r="I114" i="8"/>
  <c r="I107" i="8"/>
  <c r="I108" i="8"/>
  <c r="I92" i="8"/>
  <c r="I93" i="8"/>
  <c r="I94" i="8"/>
  <c r="J94" i="8" s="1"/>
  <c r="I95" i="8"/>
  <c r="I96" i="8"/>
  <c r="I99" i="8"/>
  <c r="I100" i="8"/>
  <c r="I101" i="8"/>
  <c r="I102" i="8"/>
  <c r="I103" i="8"/>
  <c r="I35" i="9" s="1"/>
  <c r="I32" i="8"/>
  <c r="Y19" i="10"/>
  <c r="X19" i="10"/>
  <c r="W19" i="10"/>
  <c r="V19" i="10"/>
  <c r="U19" i="10"/>
  <c r="T19" i="10"/>
  <c r="Y18" i="10"/>
  <c r="X18" i="10"/>
  <c r="W18" i="10"/>
  <c r="V18" i="10"/>
  <c r="U18" i="10"/>
  <c r="T18" i="10"/>
  <c r="Y17" i="10"/>
  <c r="X17" i="10"/>
  <c r="W17" i="10"/>
  <c r="V17" i="10"/>
  <c r="U17" i="10"/>
  <c r="T17" i="10"/>
  <c r="Y16" i="10"/>
  <c r="X16" i="10"/>
  <c r="W16" i="10"/>
  <c r="V16" i="10"/>
  <c r="U16" i="10"/>
  <c r="T16" i="10"/>
  <c r="S19" i="10"/>
  <c r="S18" i="10"/>
  <c r="S17" i="10"/>
  <c r="S16" i="10"/>
  <c r="Q12" i="10"/>
  <c r="P12" i="10"/>
  <c r="P9" i="9" s="1"/>
  <c r="O12" i="10"/>
  <c r="O9" i="9" s="1"/>
  <c r="Q11" i="10"/>
  <c r="Q8" i="9" s="1"/>
  <c r="P11" i="10"/>
  <c r="O11" i="10"/>
  <c r="O8" i="9" s="1"/>
  <c r="Q10" i="10"/>
  <c r="P10" i="10"/>
  <c r="P7" i="9" s="1"/>
  <c r="O10" i="10"/>
  <c r="O7" i="9" s="1"/>
  <c r="Q9" i="10"/>
  <c r="Q6" i="9" s="1"/>
  <c r="P9" i="10"/>
  <c r="P6" i="9" s="1"/>
  <c r="O9" i="10"/>
  <c r="O6" i="9" s="1"/>
  <c r="M12" i="10"/>
  <c r="M9" i="9" s="1"/>
  <c r="L12" i="10"/>
  <c r="K12" i="10"/>
  <c r="M11" i="10"/>
  <c r="M8" i="9" s="1"/>
  <c r="L11" i="10"/>
  <c r="K11" i="10"/>
  <c r="M10" i="10"/>
  <c r="L10" i="10"/>
  <c r="L7" i="9" s="1"/>
  <c r="K10" i="10"/>
  <c r="K7" i="9" s="1"/>
  <c r="M9" i="10"/>
  <c r="M6" i="9"/>
  <c r="L9" i="10"/>
  <c r="L6" i="9" s="1"/>
  <c r="K9" i="10"/>
  <c r="K6" i="9"/>
  <c r="H12" i="10"/>
  <c r="H11" i="10"/>
  <c r="H10" i="10"/>
  <c r="H9" i="10"/>
  <c r="G12" i="10"/>
  <c r="G11" i="10"/>
  <c r="G8" i="9" s="1"/>
  <c r="G10" i="10"/>
  <c r="G9" i="10"/>
  <c r="N19" i="10"/>
  <c r="N18" i="10"/>
  <c r="N17" i="10"/>
  <c r="N16" i="10"/>
  <c r="J19" i="10"/>
  <c r="J18" i="10"/>
  <c r="J17" i="10"/>
  <c r="J16" i="10"/>
  <c r="H92" i="8"/>
  <c r="H93" i="8"/>
  <c r="X93" i="8" s="1"/>
  <c r="H94" i="8"/>
  <c r="H95" i="8"/>
  <c r="H96" i="8"/>
  <c r="H99" i="8"/>
  <c r="J99" i="8" s="1"/>
  <c r="H100" i="8"/>
  <c r="H101" i="8"/>
  <c r="H102" i="8"/>
  <c r="H103" i="8"/>
  <c r="H107" i="8"/>
  <c r="H108" i="8"/>
  <c r="H114" i="8"/>
  <c r="H115" i="8"/>
  <c r="Y115" i="8" s="1"/>
  <c r="H117" i="8"/>
  <c r="H118" i="8"/>
  <c r="H125" i="8"/>
  <c r="X114" i="8"/>
  <c r="G117" i="8"/>
  <c r="G114" i="8"/>
  <c r="G119" i="8" s="1"/>
  <c r="G111" i="8"/>
  <c r="Y118" i="8"/>
  <c r="X118" i="8"/>
  <c r="W118" i="8"/>
  <c r="V118" i="8"/>
  <c r="U118" i="8"/>
  <c r="T118" i="8"/>
  <c r="S118" i="8"/>
  <c r="Y117" i="8"/>
  <c r="X117" i="8"/>
  <c r="W117" i="8"/>
  <c r="V117" i="8"/>
  <c r="U117" i="8"/>
  <c r="T117" i="8"/>
  <c r="S117" i="8"/>
  <c r="AD116" i="8"/>
  <c r="Y116" i="8"/>
  <c r="X116" i="8"/>
  <c r="W116" i="8"/>
  <c r="V116" i="8"/>
  <c r="U116" i="8"/>
  <c r="T116" i="8"/>
  <c r="S116" i="8"/>
  <c r="W115" i="8"/>
  <c r="V115" i="8"/>
  <c r="U115" i="8"/>
  <c r="T115" i="8"/>
  <c r="S115" i="8"/>
  <c r="W114" i="8"/>
  <c r="V114" i="8"/>
  <c r="U114" i="8"/>
  <c r="T114" i="8"/>
  <c r="S114" i="8"/>
  <c r="J117" i="8"/>
  <c r="N116" i="8"/>
  <c r="AG116" i="8" s="1"/>
  <c r="J116" i="8"/>
  <c r="AC116" i="8" s="1"/>
  <c r="N114" i="8"/>
  <c r="AG114" i="8" s="1"/>
  <c r="C114" i="8"/>
  <c r="D114" i="8"/>
  <c r="Y108" i="8"/>
  <c r="X108" i="8"/>
  <c r="W108" i="8"/>
  <c r="V108" i="8"/>
  <c r="U108" i="8"/>
  <c r="T108" i="8"/>
  <c r="S108" i="8"/>
  <c r="N108" i="8"/>
  <c r="AD108" i="8" s="1"/>
  <c r="J108" i="8"/>
  <c r="Z108" i="8" s="1"/>
  <c r="J97" i="8"/>
  <c r="AB97" i="8" s="1"/>
  <c r="W97" i="8"/>
  <c r="X97" i="8"/>
  <c r="Y97" i="8"/>
  <c r="E96" i="8"/>
  <c r="N96" i="8" s="1"/>
  <c r="C96" i="8"/>
  <c r="Y93" i="8"/>
  <c r="W93" i="8"/>
  <c r="V93" i="8"/>
  <c r="U93" i="8"/>
  <c r="T93" i="8"/>
  <c r="S93" i="8"/>
  <c r="M74" i="8"/>
  <c r="AC74" i="8" s="1"/>
  <c r="L74" i="8"/>
  <c r="AB74" i="8" s="1"/>
  <c r="K74" i="8"/>
  <c r="AA74" i="8" s="1"/>
  <c r="I74" i="8"/>
  <c r="Y74" i="8" s="1"/>
  <c r="H74" i="8"/>
  <c r="X74" i="8" s="1"/>
  <c r="G74" i="8"/>
  <c r="W74" i="8" s="1"/>
  <c r="E74" i="8"/>
  <c r="N74" i="8" s="1"/>
  <c r="AD74" i="8" s="1"/>
  <c r="D74" i="8"/>
  <c r="J74" i="8" s="1"/>
  <c r="Z74" i="8" s="1"/>
  <c r="C74" i="8"/>
  <c r="AG47" i="8"/>
  <c r="AF47" i="8"/>
  <c r="AE47" i="8"/>
  <c r="AC47" i="8"/>
  <c r="AB47" i="8"/>
  <c r="AA47" i="8"/>
  <c r="Y47" i="8"/>
  <c r="X47" i="8"/>
  <c r="W47" i="8"/>
  <c r="V47" i="8"/>
  <c r="U47" i="8"/>
  <c r="T47" i="8"/>
  <c r="S47" i="8"/>
  <c r="AG48" i="8"/>
  <c r="AF48" i="8"/>
  <c r="AE48" i="8"/>
  <c r="AC48" i="8"/>
  <c r="AB48" i="8"/>
  <c r="AA48" i="8"/>
  <c r="Y48" i="8"/>
  <c r="X48" i="8"/>
  <c r="W48" i="8"/>
  <c r="V48" i="8"/>
  <c r="U48" i="8"/>
  <c r="T48" i="8"/>
  <c r="S48" i="8"/>
  <c r="D71" i="8"/>
  <c r="J71" i="8" s="1"/>
  <c r="D64" i="8"/>
  <c r="J64" i="8" s="1"/>
  <c r="D49" i="8"/>
  <c r="J49" i="8" s="1"/>
  <c r="D57" i="8"/>
  <c r="J57" i="8" s="1"/>
  <c r="Z57" i="8" s="1"/>
  <c r="M49" i="8"/>
  <c r="M64" i="8"/>
  <c r="AG54" i="8"/>
  <c r="AF54" i="8"/>
  <c r="AE54" i="8"/>
  <c r="AC54" i="8"/>
  <c r="AB54" i="8"/>
  <c r="AA54" i="8"/>
  <c r="Y54" i="8"/>
  <c r="X54" i="8"/>
  <c r="W54" i="8"/>
  <c r="V54" i="8"/>
  <c r="U54" i="8"/>
  <c r="T54" i="8"/>
  <c r="S54" i="8"/>
  <c r="AG55" i="8"/>
  <c r="AF55" i="8"/>
  <c r="AE55" i="8"/>
  <c r="AC55" i="8"/>
  <c r="AB55" i="8"/>
  <c r="AA55" i="8"/>
  <c r="Y55" i="8"/>
  <c r="X55" i="8"/>
  <c r="W55" i="8"/>
  <c r="V55" i="8"/>
  <c r="U55" i="8"/>
  <c r="T55" i="8"/>
  <c r="S55" i="8"/>
  <c r="AG56" i="8"/>
  <c r="AF56" i="8"/>
  <c r="AE56" i="8"/>
  <c r="AC56" i="8"/>
  <c r="AB56" i="8"/>
  <c r="AA56" i="8"/>
  <c r="Y56" i="8"/>
  <c r="X56" i="8"/>
  <c r="W56" i="8"/>
  <c r="V56" i="8"/>
  <c r="U56" i="8"/>
  <c r="T56" i="8"/>
  <c r="S56" i="8"/>
  <c r="AG57" i="8"/>
  <c r="AF57" i="8"/>
  <c r="AE57" i="8"/>
  <c r="AC57" i="8"/>
  <c r="AB57" i="8"/>
  <c r="AA57" i="8"/>
  <c r="Y57" i="8"/>
  <c r="X57" i="8"/>
  <c r="W57" i="8"/>
  <c r="V57" i="8"/>
  <c r="U57" i="8"/>
  <c r="T57" i="8"/>
  <c r="S57" i="8"/>
  <c r="AG69" i="8"/>
  <c r="AF69" i="8"/>
  <c r="AE69" i="8"/>
  <c r="AC69" i="8"/>
  <c r="AB69" i="8"/>
  <c r="AA69" i="8"/>
  <c r="Y69" i="8"/>
  <c r="X69" i="8"/>
  <c r="W69" i="8"/>
  <c r="V69" i="8"/>
  <c r="U69" i="8"/>
  <c r="T69" i="8"/>
  <c r="S69" i="8"/>
  <c r="AG74" i="8"/>
  <c r="AF74" i="8"/>
  <c r="AE74" i="8"/>
  <c r="V74" i="8"/>
  <c r="U74" i="8"/>
  <c r="T74" i="8"/>
  <c r="S74" i="8"/>
  <c r="N31" i="8"/>
  <c r="J31" i="8"/>
  <c r="N13" i="8"/>
  <c r="N14" i="9" s="1"/>
  <c r="J13" i="8"/>
  <c r="J14" i="9" s="1"/>
  <c r="N69" i="9"/>
  <c r="N68" i="9"/>
  <c r="N70" i="9" s="1"/>
  <c r="N67" i="9"/>
  <c r="N66" i="9"/>
  <c r="N65" i="9"/>
  <c r="J69" i="9"/>
  <c r="J68" i="9"/>
  <c r="J67" i="9"/>
  <c r="J66" i="9"/>
  <c r="J65" i="9"/>
  <c r="X65" i="9" s="1"/>
  <c r="Q63" i="9"/>
  <c r="P63" i="9"/>
  <c r="O63" i="9"/>
  <c r="M63" i="9"/>
  <c r="L63" i="9"/>
  <c r="K63" i="9"/>
  <c r="I63" i="9"/>
  <c r="H63" i="9"/>
  <c r="Q62" i="9"/>
  <c r="P62" i="9"/>
  <c r="O62" i="9"/>
  <c r="M62" i="9"/>
  <c r="L62" i="9"/>
  <c r="K62" i="9"/>
  <c r="I62" i="9"/>
  <c r="H62" i="9"/>
  <c r="G63" i="9"/>
  <c r="G62" i="9"/>
  <c r="E63" i="9"/>
  <c r="D63" i="9"/>
  <c r="E62" i="9"/>
  <c r="D62" i="9"/>
  <c r="C63" i="9"/>
  <c r="C62" i="9"/>
  <c r="Q57" i="9"/>
  <c r="P57" i="9"/>
  <c r="O57" i="9"/>
  <c r="M57" i="9"/>
  <c r="L57" i="9"/>
  <c r="K57" i="9"/>
  <c r="I57" i="9"/>
  <c r="H57" i="9"/>
  <c r="Q56" i="9"/>
  <c r="P56" i="9"/>
  <c r="O56" i="9"/>
  <c r="M56" i="9"/>
  <c r="L56" i="9"/>
  <c r="K56" i="9"/>
  <c r="I56" i="9"/>
  <c r="H56" i="9"/>
  <c r="Q55" i="9"/>
  <c r="P55" i="9"/>
  <c r="O55" i="9"/>
  <c r="M55" i="9"/>
  <c r="L55" i="9"/>
  <c r="K55" i="9"/>
  <c r="I55" i="9"/>
  <c r="H55" i="9"/>
  <c r="G57" i="9"/>
  <c r="G56" i="9"/>
  <c r="G55" i="9"/>
  <c r="E57" i="9"/>
  <c r="D57" i="9"/>
  <c r="E56" i="9"/>
  <c r="D56" i="9"/>
  <c r="E55" i="9"/>
  <c r="D55" i="9"/>
  <c r="C57" i="9"/>
  <c r="C56" i="9"/>
  <c r="C55" i="9"/>
  <c r="Q49" i="9"/>
  <c r="P49" i="9"/>
  <c r="O49" i="9"/>
  <c r="M49" i="9"/>
  <c r="L49" i="9"/>
  <c r="K49" i="9"/>
  <c r="I49" i="9"/>
  <c r="H49" i="9"/>
  <c r="G49" i="9"/>
  <c r="E49" i="9"/>
  <c r="D49" i="9"/>
  <c r="C49" i="9"/>
  <c r="Q35" i="9"/>
  <c r="P35" i="9"/>
  <c r="O35" i="9"/>
  <c r="M35" i="9"/>
  <c r="L35" i="9"/>
  <c r="K35" i="9"/>
  <c r="G35" i="9"/>
  <c r="E35" i="9"/>
  <c r="D35" i="9"/>
  <c r="C35" i="9"/>
  <c r="Q34" i="9"/>
  <c r="P34" i="9"/>
  <c r="O34" i="9"/>
  <c r="M34" i="9"/>
  <c r="L34" i="9"/>
  <c r="K34" i="9"/>
  <c r="I34" i="9"/>
  <c r="H34" i="9"/>
  <c r="Q33" i="9"/>
  <c r="P33" i="9"/>
  <c r="O33" i="9"/>
  <c r="M33" i="9"/>
  <c r="L33" i="9"/>
  <c r="K33" i="9"/>
  <c r="I33" i="9"/>
  <c r="H33" i="9"/>
  <c r="G34" i="9"/>
  <c r="G33" i="9"/>
  <c r="E34" i="9"/>
  <c r="D34" i="9"/>
  <c r="E33" i="9"/>
  <c r="D33" i="9"/>
  <c r="C34" i="9"/>
  <c r="C33" i="9"/>
  <c r="Q32" i="9"/>
  <c r="P32" i="9"/>
  <c r="O32" i="9"/>
  <c r="M32" i="9"/>
  <c r="L32" i="9"/>
  <c r="K32" i="9"/>
  <c r="I32" i="9"/>
  <c r="H32" i="9"/>
  <c r="G32" i="9"/>
  <c r="E32" i="9"/>
  <c r="D32" i="9"/>
  <c r="C32" i="9"/>
  <c r="Q27" i="9"/>
  <c r="P27" i="9"/>
  <c r="O27" i="9"/>
  <c r="M27" i="9"/>
  <c r="L27" i="9"/>
  <c r="K27" i="9"/>
  <c r="I27" i="9"/>
  <c r="H27" i="9"/>
  <c r="G27" i="9"/>
  <c r="E27" i="9"/>
  <c r="D27" i="9"/>
  <c r="C27" i="9"/>
  <c r="Q23" i="9"/>
  <c r="P23" i="9"/>
  <c r="O23" i="9"/>
  <c r="M23" i="9"/>
  <c r="L23" i="9"/>
  <c r="K23" i="9"/>
  <c r="I23" i="9"/>
  <c r="H23" i="9"/>
  <c r="G23" i="9"/>
  <c r="E23" i="9"/>
  <c r="D23" i="9"/>
  <c r="C23" i="9"/>
  <c r="Q19" i="9"/>
  <c r="Q28" i="9" s="1"/>
  <c r="P19" i="9"/>
  <c r="P28" i="9" s="1"/>
  <c r="O19" i="9"/>
  <c r="O28" i="9" s="1"/>
  <c r="M19" i="9"/>
  <c r="M28" i="9" s="1"/>
  <c r="L19" i="9"/>
  <c r="L28" i="9" s="1"/>
  <c r="K19" i="9"/>
  <c r="K28" i="9" s="1"/>
  <c r="I19" i="9"/>
  <c r="I28" i="9" s="1"/>
  <c r="H19" i="9"/>
  <c r="H28" i="9" s="1"/>
  <c r="G19" i="9"/>
  <c r="G28" i="9" s="1"/>
  <c r="Q18" i="9"/>
  <c r="P18" i="9"/>
  <c r="O18" i="9"/>
  <c r="M18" i="9"/>
  <c r="L18" i="9"/>
  <c r="K18" i="9"/>
  <c r="I18" i="9"/>
  <c r="H18" i="9"/>
  <c r="G18" i="9"/>
  <c r="E19" i="9"/>
  <c r="E28" i="9" s="1"/>
  <c r="D19" i="9"/>
  <c r="D28" i="9" s="1"/>
  <c r="C19" i="9"/>
  <c r="C28" i="9" s="1"/>
  <c r="E18" i="9"/>
  <c r="D18" i="9"/>
  <c r="C18" i="9"/>
  <c r="Q14" i="9"/>
  <c r="P14" i="9"/>
  <c r="O14" i="9"/>
  <c r="M14" i="9"/>
  <c r="L14" i="9"/>
  <c r="K14" i="9"/>
  <c r="I14" i="9"/>
  <c r="H14" i="9"/>
  <c r="G14" i="9"/>
  <c r="E14" i="9"/>
  <c r="D14" i="9"/>
  <c r="C14" i="9"/>
  <c r="Q9" i="9"/>
  <c r="L9" i="9"/>
  <c r="K9" i="9"/>
  <c r="H9" i="9"/>
  <c r="G9" i="9"/>
  <c r="P8" i="9"/>
  <c r="L8" i="9"/>
  <c r="K8" i="9"/>
  <c r="H8" i="9"/>
  <c r="Q7" i="9"/>
  <c r="M7" i="9"/>
  <c r="H7" i="9"/>
  <c r="G7" i="9"/>
  <c r="H6" i="9"/>
  <c r="G6" i="9"/>
  <c r="B9" i="9"/>
  <c r="B8" i="9"/>
  <c r="B7" i="9"/>
  <c r="B6" i="9"/>
  <c r="Q70" i="9"/>
  <c r="P70" i="9"/>
  <c r="O70" i="9"/>
  <c r="M70" i="9"/>
  <c r="L70" i="9"/>
  <c r="K70" i="9"/>
  <c r="I70" i="9"/>
  <c r="H70" i="9"/>
  <c r="G70" i="9"/>
  <c r="D70" i="9"/>
  <c r="C70" i="9"/>
  <c r="E70" i="9"/>
  <c r="B19" i="10"/>
  <c r="B18" i="10"/>
  <c r="B17" i="10"/>
  <c r="B16" i="10"/>
  <c r="N134" i="8"/>
  <c r="N33" i="9" s="1"/>
  <c r="J134" i="8"/>
  <c r="J33" i="9" s="1"/>
  <c r="N133" i="8"/>
  <c r="N34" i="9" s="1"/>
  <c r="J133" i="8"/>
  <c r="J34" i="9" s="1"/>
  <c r="N125" i="8"/>
  <c r="J125" i="8"/>
  <c r="N110" i="8"/>
  <c r="J110" i="8"/>
  <c r="Q111" i="8"/>
  <c r="P111" i="8"/>
  <c r="O111" i="8"/>
  <c r="M111" i="8"/>
  <c r="L111" i="8"/>
  <c r="K111" i="8"/>
  <c r="I111" i="8"/>
  <c r="H111" i="8"/>
  <c r="E111" i="8"/>
  <c r="D111" i="8"/>
  <c r="C111" i="8"/>
  <c r="J18" i="8"/>
  <c r="AC18" i="8" s="1"/>
  <c r="N18" i="8"/>
  <c r="AF18" i="8" s="1"/>
  <c r="Y18" i="8"/>
  <c r="X18" i="8"/>
  <c r="W18" i="8"/>
  <c r="V18" i="8"/>
  <c r="U18" i="8"/>
  <c r="T18" i="8"/>
  <c r="S18" i="8"/>
  <c r="N47" i="8"/>
  <c r="N55" i="9" s="1"/>
  <c r="J47" i="8"/>
  <c r="Z47" i="8" s="1"/>
  <c r="N46" i="8"/>
  <c r="N49" i="9" s="1"/>
  <c r="J46" i="8"/>
  <c r="J49" i="9" s="1"/>
  <c r="N56" i="8"/>
  <c r="AD56" i="8" s="1"/>
  <c r="J56" i="8"/>
  <c r="Z56" i="8" s="1"/>
  <c r="N55" i="8"/>
  <c r="AD55" i="8" s="1"/>
  <c r="J55" i="8"/>
  <c r="Z55" i="8" s="1"/>
  <c r="N54" i="8"/>
  <c r="AD54" i="8" s="1"/>
  <c r="J54" i="8"/>
  <c r="Z54" i="8" s="1"/>
  <c r="N53" i="8"/>
  <c r="N56" i="9" s="1"/>
  <c r="J53" i="8"/>
  <c r="J56" i="9" s="1"/>
  <c r="N69" i="8"/>
  <c r="AD69" i="8" s="1"/>
  <c r="J69" i="8"/>
  <c r="Z69" i="8" s="1"/>
  <c r="N68" i="8"/>
  <c r="N63" i="9" s="1"/>
  <c r="J68" i="8"/>
  <c r="J63" i="9" s="1"/>
  <c r="T19" i="9"/>
  <c r="B2" i="10"/>
  <c r="N38" i="8"/>
  <c r="AD38" i="8" s="1"/>
  <c r="J38" i="8"/>
  <c r="Z38" i="8" s="1"/>
  <c r="J35" i="8"/>
  <c r="Z35" i="8" s="1"/>
  <c r="N28" i="8"/>
  <c r="J28" i="8"/>
  <c r="N24" i="8"/>
  <c r="J24" i="8"/>
  <c r="N23" i="8"/>
  <c r="J23" i="8"/>
  <c r="N22" i="8"/>
  <c r="J22" i="8"/>
  <c r="N17" i="8"/>
  <c r="N18" i="9" s="1"/>
  <c r="J17" i="8"/>
  <c r="J18" i="9" s="1"/>
  <c r="N49" i="8"/>
  <c r="N48" i="8"/>
  <c r="AD48" i="8" s="1"/>
  <c r="J48" i="8"/>
  <c r="Z48" i="8" s="1"/>
  <c r="N57" i="8"/>
  <c r="AD57" i="8" s="1"/>
  <c r="N64" i="8"/>
  <c r="N63" i="8"/>
  <c r="N62" i="9" s="1"/>
  <c r="J63" i="8"/>
  <c r="J62" i="9" s="1"/>
  <c r="N62" i="8"/>
  <c r="J62" i="8"/>
  <c r="N61" i="8"/>
  <c r="N57" i="9" s="1"/>
  <c r="J61" i="8"/>
  <c r="J57" i="9" s="1"/>
  <c r="N71" i="8"/>
  <c r="N70" i="8"/>
  <c r="J70" i="8"/>
  <c r="J96" i="8"/>
  <c r="N95" i="8"/>
  <c r="J95" i="8"/>
  <c r="N94" i="8"/>
  <c r="N93" i="8"/>
  <c r="N27" i="9" s="1"/>
  <c r="J93" i="8"/>
  <c r="J27" i="9" s="1"/>
  <c r="N92" i="8"/>
  <c r="N23" i="9" s="1"/>
  <c r="J92" i="8"/>
  <c r="J23" i="9" s="1"/>
  <c r="N103" i="8"/>
  <c r="N102" i="8"/>
  <c r="N101" i="8"/>
  <c r="J101" i="8"/>
  <c r="N100" i="8"/>
  <c r="J100" i="8"/>
  <c r="N99" i="8"/>
  <c r="N109" i="8"/>
  <c r="J109" i="8"/>
  <c r="N107" i="8"/>
  <c r="N32" i="9" s="1"/>
  <c r="J107" i="8"/>
  <c r="J32" i="9" s="1"/>
  <c r="AF35" i="8"/>
  <c r="AE35" i="8"/>
  <c r="AC35" i="8"/>
  <c r="AB35" i="8"/>
  <c r="AA35" i="8"/>
  <c r="Y35" i="8"/>
  <c r="X35" i="8"/>
  <c r="W35" i="8"/>
  <c r="U35" i="8"/>
  <c r="T35" i="8"/>
  <c r="S35" i="8"/>
  <c r="AG35" i="8"/>
  <c r="AF38" i="8"/>
  <c r="AE38" i="8"/>
  <c r="AC38" i="8"/>
  <c r="AB38" i="8"/>
  <c r="AA38" i="8"/>
  <c r="Y38" i="8"/>
  <c r="X38" i="8"/>
  <c r="W38" i="8"/>
  <c r="U38" i="8"/>
  <c r="T38" i="8"/>
  <c r="S38" i="8"/>
  <c r="AG38" i="8"/>
  <c r="V38" i="8"/>
  <c r="V35" i="8"/>
  <c r="N35" i="8"/>
  <c r="AD35" i="8" s="1"/>
  <c r="AE65" i="9"/>
  <c r="AD65" i="9"/>
  <c r="AC65" i="9"/>
  <c r="AA65" i="9"/>
  <c r="Z65" i="9"/>
  <c r="Y65" i="9"/>
  <c r="W65" i="9"/>
  <c r="V65" i="9"/>
  <c r="U65" i="9"/>
  <c r="S65" i="9"/>
  <c r="AB65" i="9"/>
  <c r="T65" i="9"/>
  <c r="AC117" i="8" l="1"/>
  <c r="AD117" i="8"/>
  <c r="AE117" i="8"/>
  <c r="AF117" i="8"/>
  <c r="AE116" i="8"/>
  <c r="AF116" i="8"/>
  <c r="AD114" i="8"/>
  <c r="AE114" i="8"/>
  <c r="AF114" i="8"/>
  <c r="J103" i="8"/>
  <c r="H35" i="9"/>
  <c r="J102" i="8"/>
  <c r="J35" i="9" s="1"/>
  <c r="X115" i="8"/>
  <c r="J114" i="8"/>
  <c r="AA114" i="8" s="1"/>
  <c r="Y114" i="8"/>
  <c r="Z117" i="8"/>
  <c r="Z116" i="8"/>
  <c r="AA117" i="8"/>
  <c r="AA116" i="8"/>
  <c r="AB117" i="8"/>
  <c r="AB116" i="8"/>
  <c r="AE108" i="8"/>
  <c r="AF108" i="8"/>
  <c r="AG108" i="8"/>
  <c r="AA108" i="8"/>
  <c r="AB108" i="8"/>
  <c r="AC108" i="8"/>
  <c r="AA97" i="8"/>
  <c r="AC97" i="8"/>
  <c r="AD93" i="8"/>
  <c r="AE93" i="8"/>
  <c r="AF93" i="8"/>
  <c r="AG93" i="8"/>
  <c r="AA93" i="8"/>
  <c r="AB93" i="8"/>
  <c r="AC93" i="8"/>
  <c r="Z93" i="8"/>
  <c r="N35" i="9"/>
  <c r="J55" i="9"/>
  <c r="AD47" i="8"/>
  <c r="J19" i="9"/>
  <c r="J28" i="9" s="1"/>
  <c r="AA28" i="9" s="1"/>
  <c r="N19" i="9"/>
  <c r="N28" i="9" s="1"/>
  <c r="AB28" i="9" s="1"/>
  <c r="J111" i="8"/>
  <c r="J70" i="9"/>
  <c r="U19" i="9"/>
  <c r="W19" i="9"/>
  <c r="V19" i="9"/>
  <c r="N111" i="8"/>
  <c r="AA18" i="8"/>
  <c r="AB18" i="8"/>
  <c r="Z18" i="8"/>
  <c r="AG18" i="8"/>
  <c r="AE18" i="8"/>
  <c r="AD18" i="8"/>
  <c r="S19" i="9"/>
  <c r="AI38" i="8"/>
  <c r="AI108" i="8" l="1"/>
  <c r="AB114" i="8"/>
  <c r="Z114" i="8"/>
  <c r="AC114" i="8"/>
  <c r="Z19" i="9"/>
  <c r="AA19" i="9"/>
  <c r="AC19" i="9"/>
  <c r="AB19" i="9"/>
  <c r="X19" i="9"/>
  <c r="AC28" i="9"/>
  <c r="AD28" i="9"/>
  <c r="Y19" i="9"/>
  <c r="AE19" i="9"/>
  <c r="AE28" i="9"/>
  <c r="AD19" i="9"/>
  <c r="AE63" i="9"/>
  <c r="AD63" i="9"/>
  <c r="AC63" i="9"/>
  <c r="AA63" i="9"/>
  <c r="AE62" i="9"/>
  <c r="AD62" i="9"/>
  <c r="AC62" i="9"/>
  <c r="AA62" i="9"/>
  <c r="AE57" i="9"/>
  <c r="AD57" i="9"/>
  <c r="AC57" i="9"/>
  <c r="AA57" i="9"/>
  <c r="AG126" i="8"/>
  <c r="Q122" i="8"/>
  <c r="AE126" i="8"/>
  <c r="AG122" i="8"/>
  <c r="M122" i="8"/>
  <c r="L122" i="8"/>
  <c r="J122" i="8"/>
  <c r="I122" i="8"/>
  <c r="W126" i="8"/>
  <c r="Y122" i="8"/>
  <c r="X122" i="8"/>
  <c r="W109" i="8"/>
  <c r="X107" i="8"/>
  <c r="H119" i="8"/>
  <c r="I119" i="8"/>
  <c r="H122" i="8"/>
  <c r="O122" i="8"/>
  <c r="K122" i="8"/>
  <c r="N115" i="8"/>
  <c r="J115" i="8"/>
  <c r="AG96" i="8"/>
  <c r="AA96" i="8"/>
  <c r="Y96" i="8"/>
  <c r="T96" i="8"/>
  <c r="AF95" i="8"/>
  <c r="AB95" i="8"/>
  <c r="V95" i="8"/>
  <c r="U95" i="8"/>
  <c r="AF94" i="8"/>
  <c r="AC94" i="8"/>
  <c r="W94" i="8"/>
  <c r="T94" i="8"/>
  <c r="AB62" i="9"/>
  <c r="AB57" i="9"/>
  <c r="AB63" i="9"/>
  <c r="N76" i="8"/>
  <c r="J76" i="8"/>
  <c r="N75" i="8"/>
  <c r="J75" i="8"/>
  <c r="AD109" i="8"/>
  <c r="AA109" i="8"/>
  <c r="U109" i="8"/>
  <c r="AE107" i="8"/>
  <c r="AC107" i="8"/>
  <c r="U107" i="8"/>
  <c r="N118" i="8"/>
  <c r="J118" i="8"/>
  <c r="AD118" i="8" l="1"/>
  <c r="AG118" i="8"/>
  <c r="AF118" i="8"/>
  <c r="AE118" i="8"/>
  <c r="AF115" i="8"/>
  <c r="AE115" i="8"/>
  <c r="AD115" i="8"/>
  <c r="AG115" i="8"/>
  <c r="AB115" i="8"/>
  <c r="AA115" i="8"/>
  <c r="Z115" i="8"/>
  <c r="AC115" i="8"/>
  <c r="AC118" i="8"/>
  <c r="AB118" i="8"/>
  <c r="AA118" i="8"/>
  <c r="Z118" i="8"/>
  <c r="AG19" i="9"/>
  <c r="P122" i="8"/>
  <c r="T126" i="8"/>
  <c r="AA42" i="9"/>
  <c r="Z133" i="8"/>
  <c r="AB96" i="8"/>
  <c r="U126" i="8"/>
  <c r="AC96" i="8"/>
  <c r="AI96" i="8" s="1"/>
  <c r="AB122" i="8"/>
  <c r="X133" i="8"/>
  <c r="AD122" i="8"/>
  <c r="AG107" i="8"/>
  <c r="X94" i="8"/>
  <c r="Y94" i="8"/>
  <c r="AC95" i="8"/>
  <c r="AE96" i="8"/>
  <c r="S109" i="8"/>
  <c r="V126" i="8"/>
  <c r="AE94" i="8"/>
  <c r="AD95" i="8"/>
  <c r="X109" i="8"/>
  <c r="AA126" i="8"/>
  <c r="W107" i="8"/>
  <c r="Y109" i="8"/>
  <c r="AB126" i="8"/>
  <c r="U96" i="8"/>
  <c r="Y107" i="8"/>
  <c r="AE109" i="8"/>
  <c r="AD126" i="8"/>
  <c r="V96" i="8"/>
  <c r="Z107" i="8"/>
  <c r="W96" i="8"/>
  <c r="AB107" i="8"/>
  <c r="AA122" i="8"/>
  <c r="AI93" i="8"/>
  <c r="AF107" i="8"/>
  <c r="AB42" i="9"/>
  <c r="AC42" i="9"/>
  <c r="AD42" i="9"/>
  <c r="AE42" i="9"/>
  <c r="H10" i="9"/>
  <c r="G10" i="9"/>
  <c r="P10" i="9"/>
  <c r="O10" i="9"/>
  <c r="Q10" i="9"/>
  <c r="M10" i="9"/>
  <c r="L10" i="9"/>
  <c r="K10" i="9"/>
  <c r="Y133" i="8"/>
  <c r="S133" i="8"/>
  <c r="W95" i="8"/>
  <c r="S107" i="8"/>
  <c r="AF109" i="8"/>
  <c r="U122" i="8"/>
  <c r="Z94" i="8"/>
  <c r="X95" i="8"/>
  <c r="T107" i="8"/>
  <c r="AG109" i="8"/>
  <c r="AA94" i="8"/>
  <c r="Y95" i="8"/>
  <c r="X96" i="8"/>
  <c r="T109" i="8"/>
  <c r="W122" i="8"/>
  <c r="T122" i="8"/>
  <c r="V122" i="8"/>
  <c r="AB94" i="8"/>
  <c r="Z95" i="8"/>
  <c r="V107" i="8"/>
  <c r="X126" i="8"/>
  <c r="AA95" i="8"/>
  <c r="Z96" i="8"/>
  <c r="V109" i="8"/>
  <c r="Y126" i="8"/>
  <c r="AD94" i="8"/>
  <c r="Z126" i="8"/>
  <c r="Z122" i="8"/>
  <c r="S94" i="8"/>
  <c r="AG94" i="8"/>
  <c r="AI94" i="8" s="1"/>
  <c r="AE95" i="8"/>
  <c r="AD96" i="8"/>
  <c r="AA107" i="8"/>
  <c r="Z109" i="8"/>
  <c r="AC126" i="8"/>
  <c r="AC122" i="8"/>
  <c r="U94" i="8"/>
  <c r="S95" i="8"/>
  <c r="AG95" i="8"/>
  <c r="AF96" i="8"/>
  <c r="AB109" i="8"/>
  <c r="AE122" i="8"/>
  <c r="V94" i="8"/>
  <c r="T95" i="8"/>
  <c r="S96" i="8"/>
  <c r="AD107" i="8"/>
  <c r="AC109" i="8"/>
  <c r="AF126" i="8"/>
  <c r="AF122" i="8"/>
  <c r="S126" i="8"/>
  <c r="S122" i="8"/>
  <c r="D122" i="8"/>
  <c r="G122" i="8" s="1"/>
  <c r="E122" i="8"/>
  <c r="N122" i="8"/>
  <c r="AE14" i="9"/>
  <c r="AB13" i="8"/>
  <c r="X13" i="8"/>
  <c r="AI115" i="8" l="1"/>
  <c r="Z42" i="9"/>
  <c r="AE133" i="8"/>
  <c r="AF133" i="8"/>
  <c r="AC133" i="8"/>
  <c r="W133" i="8"/>
  <c r="V133" i="8"/>
  <c r="AB133" i="8"/>
  <c r="AA133" i="8"/>
  <c r="AG133" i="8"/>
  <c r="AD133" i="8"/>
  <c r="AI95" i="8"/>
  <c r="AD13" i="8"/>
  <c r="Z13" i="8"/>
  <c r="AB14" i="9"/>
  <c r="AD14" i="9"/>
  <c r="AA13" i="8"/>
  <c r="Y13" i="8"/>
  <c r="AC13" i="8"/>
  <c r="AA14" i="9"/>
  <c r="AC14" i="9"/>
  <c r="T133" i="8"/>
  <c r="U133" i="8"/>
  <c r="W13" i="8"/>
  <c r="U13" i="8"/>
  <c r="S13" i="8"/>
  <c r="V13" i="8"/>
  <c r="AE13" i="8"/>
  <c r="AG13" i="8"/>
  <c r="AF13" i="8"/>
  <c r="T13" i="8"/>
  <c r="AI13" i="8" l="1"/>
  <c r="T28" i="8"/>
  <c r="U28" i="8"/>
  <c r="S28" i="8"/>
  <c r="U23" i="8"/>
  <c r="T23" i="8"/>
  <c r="S23" i="8"/>
  <c r="X23" i="8"/>
  <c r="V23" i="8"/>
  <c r="Y23" i="8"/>
  <c r="W23" i="8"/>
  <c r="AA23" i="8"/>
  <c r="Z23" i="8"/>
  <c r="AB23" i="8"/>
  <c r="AC23" i="8"/>
  <c r="AG23" i="8"/>
  <c r="AF23" i="8"/>
  <c r="AE23" i="8"/>
  <c r="AD23" i="8"/>
  <c r="W24" i="8"/>
  <c r="Y24" i="8"/>
  <c r="X24" i="8"/>
  <c r="V24" i="8"/>
  <c r="Z24" i="8"/>
  <c r="AC24" i="8"/>
  <c r="AB24" i="8"/>
  <c r="AA24" i="8"/>
  <c r="Y28" i="8"/>
  <c r="V28" i="8"/>
  <c r="X28" i="8"/>
  <c r="W28" i="8"/>
  <c r="U24" i="8"/>
  <c r="S24" i="8"/>
  <c r="T24" i="8"/>
  <c r="U22" i="8"/>
  <c r="T22" i="8"/>
  <c r="S22" i="8"/>
  <c r="Z28" i="8"/>
  <c r="AC28" i="8"/>
  <c r="AB28" i="8"/>
  <c r="AA28" i="8"/>
  <c r="AG24" i="8"/>
  <c r="AE24" i="8"/>
  <c r="AD24" i="8"/>
  <c r="AF24" i="8"/>
  <c r="Y22" i="8"/>
  <c r="W22" i="8"/>
  <c r="X22" i="8"/>
  <c r="V22" i="8"/>
  <c r="AG28" i="8"/>
  <c r="AF28" i="8"/>
  <c r="AE28" i="8"/>
  <c r="AD28" i="8"/>
  <c r="AB22" i="8"/>
  <c r="AA22" i="8"/>
  <c r="Z22" i="8"/>
  <c r="AC22" i="8"/>
  <c r="U10" i="8"/>
  <c r="S10" i="8"/>
  <c r="T10" i="8"/>
  <c r="AG22" i="8"/>
  <c r="AE22" i="8"/>
  <c r="AF22" i="8"/>
  <c r="AD22" i="8"/>
  <c r="AB51" i="9" l="1"/>
  <c r="AE51" i="9"/>
  <c r="AD51" i="9"/>
  <c r="AC51" i="9"/>
  <c r="AA51" i="9"/>
  <c r="AE50" i="9"/>
  <c r="AD50" i="9"/>
  <c r="AC50" i="9"/>
  <c r="AA50" i="9"/>
  <c r="N8" i="8"/>
  <c r="J8" i="8"/>
  <c r="D52" i="9" l="1"/>
  <c r="P52" i="9"/>
  <c r="C52" i="9"/>
  <c r="I52" i="9"/>
  <c r="E52" i="9"/>
  <c r="M52" i="9"/>
  <c r="H52" i="9"/>
  <c r="G52" i="9"/>
  <c r="K52" i="9"/>
  <c r="L52" i="9"/>
  <c r="O52" i="9"/>
  <c r="Q52" i="9"/>
  <c r="AE41" i="9" l="1"/>
  <c r="AI118" i="8" l="1"/>
  <c r="AI109" i="8"/>
  <c r="AC41" i="9"/>
  <c r="AB41" i="9"/>
  <c r="AA41" i="9"/>
  <c r="AD41" i="9"/>
  <c r="AC70" i="8" l="1"/>
  <c r="AB70" i="8"/>
  <c r="AA70" i="8"/>
  <c r="X70" i="8"/>
  <c r="Y70" i="8"/>
  <c r="U70" i="8"/>
  <c r="T70" i="8"/>
  <c r="S70" i="8"/>
  <c r="I50" i="8"/>
  <c r="B2" i="9"/>
  <c r="Q65" i="8"/>
  <c r="Q58" i="9" s="1"/>
  <c r="P65" i="8"/>
  <c r="P58" i="9" s="1"/>
  <c r="O65" i="8"/>
  <c r="O58" i="9" s="1"/>
  <c r="M65" i="8"/>
  <c r="M58" i="9" s="1"/>
  <c r="L65" i="8"/>
  <c r="L58" i="9" s="1"/>
  <c r="K65" i="8"/>
  <c r="K58" i="9" s="1"/>
  <c r="I65" i="8"/>
  <c r="I58" i="9" s="1"/>
  <c r="H65" i="8"/>
  <c r="H58" i="9" s="1"/>
  <c r="G65" i="8"/>
  <c r="G58" i="9" s="1"/>
  <c r="E65" i="8"/>
  <c r="E58" i="9" s="1"/>
  <c r="D65" i="8"/>
  <c r="D58" i="9" s="1"/>
  <c r="C65" i="8"/>
  <c r="C58" i="9" s="1"/>
  <c r="AA101" i="8"/>
  <c r="AD100" i="8"/>
  <c r="W100" i="8"/>
  <c r="V77" i="8"/>
  <c r="V76" i="8"/>
  <c r="V75" i="8"/>
  <c r="AE69" i="9"/>
  <c r="AE70" i="9" s="1"/>
  <c r="AE55" i="9"/>
  <c r="AE49" i="9"/>
  <c r="AE52" i="9" s="1"/>
  <c r="Q4" i="9"/>
  <c r="AE4" i="9" s="1"/>
  <c r="Q3" i="9"/>
  <c r="AE3" i="9" s="1"/>
  <c r="U77" i="8"/>
  <c r="T77" i="8"/>
  <c r="S77" i="8"/>
  <c r="U76" i="8"/>
  <c r="T76" i="8"/>
  <c r="S76" i="8"/>
  <c r="U75" i="8"/>
  <c r="T75" i="8"/>
  <c r="S75" i="8"/>
  <c r="U71" i="8"/>
  <c r="T71" i="8"/>
  <c r="S71" i="8"/>
  <c r="U68" i="8"/>
  <c r="T68" i="8"/>
  <c r="S68" i="8"/>
  <c r="U64" i="8"/>
  <c r="T64" i="8"/>
  <c r="S64" i="8"/>
  <c r="U63" i="8"/>
  <c r="U61" i="8"/>
  <c r="T61" i="8"/>
  <c r="S61" i="8"/>
  <c r="U53" i="8"/>
  <c r="T53" i="8"/>
  <c r="S53" i="8"/>
  <c r="U49" i="8"/>
  <c r="T49" i="8"/>
  <c r="S49" i="8"/>
  <c r="U46" i="8"/>
  <c r="T46" i="8"/>
  <c r="S46" i="8"/>
  <c r="U8" i="8"/>
  <c r="U86" i="8" s="1"/>
  <c r="T8" i="8"/>
  <c r="T86" i="8" s="1"/>
  <c r="S8" i="8"/>
  <c r="S86" i="8" s="1"/>
  <c r="U7" i="8"/>
  <c r="U85" i="8" s="1"/>
  <c r="T7" i="8"/>
  <c r="T85" i="8" s="1"/>
  <c r="S7" i="8"/>
  <c r="S85" i="8" s="1"/>
  <c r="AG70" i="8"/>
  <c r="AF70" i="8"/>
  <c r="AE70" i="8"/>
  <c r="W70" i="8"/>
  <c r="AG68" i="8"/>
  <c r="AE68" i="8"/>
  <c r="AC68" i="8"/>
  <c r="AB68" i="8"/>
  <c r="AA68" i="8"/>
  <c r="Y68" i="8"/>
  <c r="X68" i="8"/>
  <c r="W68" i="8"/>
  <c r="AF68" i="8"/>
  <c r="AD70" i="8"/>
  <c r="Z70" i="8"/>
  <c r="AG77" i="8"/>
  <c r="AG76" i="8"/>
  <c r="AG75" i="8"/>
  <c r="AG71" i="8"/>
  <c r="AG64" i="8"/>
  <c r="AG63" i="8"/>
  <c r="AG62" i="8"/>
  <c r="AG61" i="8"/>
  <c r="AG53" i="8"/>
  <c r="AG49" i="8"/>
  <c r="AG46" i="8"/>
  <c r="AG8" i="8"/>
  <c r="AG86" i="8" s="1"/>
  <c r="AG7" i="8"/>
  <c r="AG85" i="8" s="1"/>
  <c r="P4" i="10"/>
  <c r="X4" i="10" s="1"/>
  <c r="O4" i="10"/>
  <c r="W4" i="10" s="1"/>
  <c r="N4" i="10"/>
  <c r="V4" i="10" s="1"/>
  <c r="M4" i="10"/>
  <c r="U4" i="10" s="1"/>
  <c r="L4" i="10"/>
  <c r="T4" i="10" s="1"/>
  <c r="K4" i="10"/>
  <c r="S4" i="10" s="1"/>
  <c r="J4" i="10"/>
  <c r="I4" i="10"/>
  <c r="H4" i="10"/>
  <c r="G4" i="10"/>
  <c r="P3" i="10"/>
  <c r="X3" i="10" s="1"/>
  <c r="O3" i="10"/>
  <c r="W3" i="10" s="1"/>
  <c r="N3" i="10"/>
  <c r="V3" i="10" s="1"/>
  <c r="M3" i="10"/>
  <c r="U3" i="10" s="1"/>
  <c r="L3" i="10"/>
  <c r="T3" i="10" s="1"/>
  <c r="K3" i="10"/>
  <c r="S3" i="10" s="1"/>
  <c r="J3" i="10"/>
  <c r="I3" i="10"/>
  <c r="H3" i="10"/>
  <c r="G3" i="10"/>
  <c r="Q4" i="10"/>
  <c r="Y4" i="10" s="1"/>
  <c r="Q3" i="10"/>
  <c r="Y3" i="10" s="1"/>
  <c r="Q86" i="8"/>
  <c r="Q85" i="8"/>
  <c r="Q78" i="8"/>
  <c r="Q72" i="9" s="1"/>
  <c r="Q43" i="8"/>
  <c r="Q42" i="8"/>
  <c r="Q11" i="8"/>
  <c r="AF71" i="8"/>
  <c r="AF62" i="8"/>
  <c r="AE62" i="8"/>
  <c r="AC62" i="8"/>
  <c r="AB62" i="8"/>
  <c r="AA62" i="8"/>
  <c r="AF64" i="8"/>
  <c r="AE64" i="8"/>
  <c r="AC64" i="8"/>
  <c r="AB64" i="8"/>
  <c r="AA64" i="8"/>
  <c r="Y64" i="8"/>
  <c r="X64" i="8"/>
  <c r="W64" i="8"/>
  <c r="Y62" i="8"/>
  <c r="X62" i="8"/>
  <c r="W62" i="8"/>
  <c r="AD62" i="8"/>
  <c r="Z62" i="8"/>
  <c r="V62" i="8"/>
  <c r="X69" i="9"/>
  <c r="T69" i="9"/>
  <c r="O119" i="8"/>
  <c r="E119" i="8"/>
  <c r="D119" i="8"/>
  <c r="C119" i="8"/>
  <c r="AF53" i="8"/>
  <c r="AE53" i="8"/>
  <c r="AC53" i="8"/>
  <c r="AB53" i="8"/>
  <c r="AA53" i="8"/>
  <c r="Y53" i="8"/>
  <c r="X53" i="8"/>
  <c r="W53" i="8"/>
  <c r="AD53" i="8"/>
  <c r="Z53" i="8"/>
  <c r="V53" i="8"/>
  <c r="AF63" i="8"/>
  <c r="AE63" i="8"/>
  <c r="AC63" i="8"/>
  <c r="AB63" i="8"/>
  <c r="AA63" i="8"/>
  <c r="Y63" i="8"/>
  <c r="X63" i="8"/>
  <c r="W63" i="8"/>
  <c r="AD63" i="8"/>
  <c r="Z63" i="8"/>
  <c r="V63" i="8"/>
  <c r="T62" i="8"/>
  <c r="AD55" i="9"/>
  <c r="AC55" i="9"/>
  <c r="AA55" i="9"/>
  <c r="Z55" i="9"/>
  <c r="Y55" i="9"/>
  <c r="W55" i="9"/>
  <c r="V55" i="9"/>
  <c r="U55" i="9"/>
  <c r="S55" i="9"/>
  <c r="AD49" i="9"/>
  <c r="AD52" i="9" s="1"/>
  <c r="AC49" i="9"/>
  <c r="AC52" i="9" s="1"/>
  <c r="AA49" i="9"/>
  <c r="AA52" i="9" s="1"/>
  <c r="Z49" i="9"/>
  <c r="Y49" i="9"/>
  <c r="W49" i="9"/>
  <c r="V49" i="9"/>
  <c r="U49" i="9"/>
  <c r="S49" i="9"/>
  <c r="AC69" i="9"/>
  <c r="AC70" i="9" s="1"/>
  <c r="AA69" i="9"/>
  <c r="AA70" i="9" s="1"/>
  <c r="Z69" i="9"/>
  <c r="Y69" i="9"/>
  <c r="W69" i="9"/>
  <c r="V69" i="9"/>
  <c r="U69" i="9"/>
  <c r="S69" i="9"/>
  <c r="AD69" i="9"/>
  <c r="AD70" i="9" s="1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H4" i="9"/>
  <c r="V4" i="9" s="1"/>
  <c r="G4" i="9"/>
  <c r="U4" i="9" s="1"/>
  <c r="T4" i="9"/>
  <c r="S4" i="9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H3" i="9"/>
  <c r="V3" i="9" s="1"/>
  <c r="G3" i="9"/>
  <c r="U3" i="9" s="1"/>
  <c r="T3" i="9"/>
  <c r="S3" i="9"/>
  <c r="E4" i="9"/>
  <c r="D4" i="9"/>
  <c r="C4" i="9"/>
  <c r="E3" i="9"/>
  <c r="D3" i="9"/>
  <c r="C3" i="9"/>
  <c r="N10" i="8"/>
  <c r="J10" i="8"/>
  <c r="U17" i="8"/>
  <c r="AD71" i="8"/>
  <c r="AD76" i="8"/>
  <c r="AD75" i="8"/>
  <c r="N77" i="8"/>
  <c r="AD77" i="8" s="1"/>
  <c r="J77" i="8"/>
  <c r="Z77" i="8" s="1"/>
  <c r="Z76" i="8"/>
  <c r="Z75" i="8"/>
  <c r="Z71" i="8"/>
  <c r="V71" i="8"/>
  <c r="AF77" i="8"/>
  <c r="AE77" i="8"/>
  <c r="AC77" i="8"/>
  <c r="AB77" i="8"/>
  <c r="AA77" i="8"/>
  <c r="Y77" i="8"/>
  <c r="X77" i="8"/>
  <c r="W77" i="8"/>
  <c r="AF76" i="8"/>
  <c r="AE76" i="8"/>
  <c r="AC76" i="8"/>
  <c r="AB76" i="8"/>
  <c r="AA76" i="8"/>
  <c r="Y76" i="8"/>
  <c r="X76" i="8"/>
  <c r="W76" i="8"/>
  <c r="AF75" i="8"/>
  <c r="AE75" i="8"/>
  <c r="AC75" i="8"/>
  <c r="AB75" i="8"/>
  <c r="AA75" i="8"/>
  <c r="Y75" i="8"/>
  <c r="X75" i="8"/>
  <c r="W75" i="8"/>
  <c r="AE71" i="8"/>
  <c r="AC71" i="8"/>
  <c r="AB71" i="8"/>
  <c r="AA71" i="8"/>
  <c r="Y71" i="8"/>
  <c r="X71" i="8"/>
  <c r="W71" i="8"/>
  <c r="AF61" i="8"/>
  <c r="AE61" i="8"/>
  <c r="AC61" i="8"/>
  <c r="AB61" i="8"/>
  <c r="AA61" i="8"/>
  <c r="Y61" i="8"/>
  <c r="X61" i="8"/>
  <c r="W61" i="8"/>
  <c r="AF49" i="8"/>
  <c r="AE49" i="8"/>
  <c r="AC49" i="8"/>
  <c r="AB49" i="8"/>
  <c r="AA49" i="8"/>
  <c r="Y49" i="8"/>
  <c r="X49" i="8"/>
  <c r="W49" i="8"/>
  <c r="AE46" i="8"/>
  <c r="AC46" i="8"/>
  <c r="AB46" i="8"/>
  <c r="AA46" i="8"/>
  <c r="Y46" i="8"/>
  <c r="X46" i="8"/>
  <c r="W46" i="8"/>
  <c r="I78" i="8"/>
  <c r="I72" i="9" s="1"/>
  <c r="P86" i="8"/>
  <c r="O86" i="8"/>
  <c r="N86" i="8"/>
  <c r="M86" i="8"/>
  <c r="L86" i="8"/>
  <c r="K86" i="8"/>
  <c r="J86" i="8"/>
  <c r="I86" i="8"/>
  <c r="H86" i="8"/>
  <c r="G86" i="8"/>
  <c r="P85" i="8"/>
  <c r="O85" i="8"/>
  <c r="N85" i="8"/>
  <c r="M85" i="8"/>
  <c r="L85" i="8"/>
  <c r="K85" i="8"/>
  <c r="J85" i="8"/>
  <c r="I85" i="8"/>
  <c r="H85" i="8"/>
  <c r="G85" i="8"/>
  <c r="M78" i="8"/>
  <c r="M72" i="9" s="1"/>
  <c r="L78" i="8"/>
  <c r="L72" i="9" s="1"/>
  <c r="K78" i="8"/>
  <c r="K72" i="9" s="1"/>
  <c r="H78" i="8"/>
  <c r="H72" i="9" s="1"/>
  <c r="G78" i="8"/>
  <c r="G72" i="9" s="1"/>
  <c r="P43" i="8"/>
  <c r="O43" i="8"/>
  <c r="N43" i="8"/>
  <c r="M43" i="8"/>
  <c r="L43" i="8"/>
  <c r="K43" i="8"/>
  <c r="J43" i="8"/>
  <c r="I43" i="8"/>
  <c r="H43" i="8"/>
  <c r="G43" i="8"/>
  <c r="P42" i="8"/>
  <c r="O42" i="8"/>
  <c r="N42" i="8"/>
  <c r="M42" i="8"/>
  <c r="L42" i="8"/>
  <c r="K42" i="8"/>
  <c r="J42" i="8"/>
  <c r="I42" i="8"/>
  <c r="H42" i="8"/>
  <c r="G42" i="8"/>
  <c r="E43" i="8"/>
  <c r="D43" i="8"/>
  <c r="C43" i="8"/>
  <c r="E42" i="8"/>
  <c r="D42" i="8"/>
  <c r="C42" i="8"/>
  <c r="AF46" i="8"/>
  <c r="L11" i="8"/>
  <c r="K11" i="8"/>
  <c r="I11" i="8"/>
  <c r="H11" i="8"/>
  <c r="G11" i="8"/>
  <c r="P11" i="8"/>
  <c r="P14" i="8" s="1"/>
  <c r="P19" i="8" s="1"/>
  <c r="AA8" i="8"/>
  <c r="Z8" i="8"/>
  <c r="Y8" i="8"/>
  <c r="X8" i="8"/>
  <c r="W8" i="8"/>
  <c r="V8" i="8"/>
  <c r="AA7" i="8"/>
  <c r="Z7" i="8"/>
  <c r="Y7" i="8"/>
  <c r="X7" i="8"/>
  <c r="W7" i="8"/>
  <c r="V7" i="8"/>
  <c r="AE8" i="8"/>
  <c r="AD8" i="8"/>
  <c r="AC8" i="8"/>
  <c r="AB8" i="8"/>
  <c r="AE7" i="8"/>
  <c r="AD7" i="8"/>
  <c r="AC7" i="8"/>
  <c r="AB7" i="8"/>
  <c r="AF8" i="8"/>
  <c r="AF7" i="8"/>
  <c r="D4" i="10"/>
  <c r="C4" i="10"/>
  <c r="D3" i="10"/>
  <c r="C3" i="10"/>
  <c r="E4" i="10"/>
  <c r="E3" i="10"/>
  <c r="I11" i="10" l="1"/>
  <c r="I8" i="9" s="1"/>
  <c r="I9" i="10"/>
  <c r="I6" i="9" s="1"/>
  <c r="I12" i="10"/>
  <c r="I9" i="9" s="1"/>
  <c r="I10" i="10"/>
  <c r="I7" i="9" s="1"/>
  <c r="AI70" i="8"/>
  <c r="W10" i="8"/>
  <c r="Y10" i="8"/>
  <c r="X10" i="8"/>
  <c r="V10" i="8"/>
  <c r="Z10" i="8"/>
  <c r="AB10" i="8"/>
  <c r="AC10" i="8"/>
  <c r="AA10" i="8"/>
  <c r="AF10" i="8"/>
  <c r="AE10" i="8"/>
  <c r="AD10" i="8"/>
  <c r="I14" i="8"/>
  <c r="K14" i="8"/>
  <c r="H14" i="8"/>
  <c r="G14" i="8"/>
  <c r="L14" i="8"/>
  <c r="L19" i="8" s="1"/>
  <c r="Q14" i="8"/>
  <c r="Q19" i="8" s="1"/>
  <c r="AI46" i="8"/>
  <c r="AI48" i="8"/>
  <c r="AI64" i="8"/>
  <c r="AI71" i="8"/>
  <c r="AI49" i="8"/>
  <c r="V70" i="8"/>
  <c r="AI53" i="8"/>
  <c r="AI75" i="8"/>
  <c r="AA43" i="9"/>
  <c r="AI57" i="8"/>
  <c r="AI76" i="8"/>
  <c r="AI77" i="8"/>
  <c r="AI61" i="8"/>
  <c r="AI62" i="8"/>
  <c r="AA40" i="9"/>
  <c r="AI63" i="8"/>
  <c r="AI68" i="8"/>
  <c r="V68" i="8"/>
  <c r="Z68" i="8"/>
  <c r="AD68" i="8"/>
  <c r="V49" i="8"/>
  <c r="Z49" i="8"/>
  <c r="AB50" i="9"/>
  <c r="W99" i="8"/>
  <c r="S72" i="9"/>
  <c r="U72" i="9"/>
  <c r="AD49" i="8"/>
  <c r="AF17" i="8"/>
  <c r="Q72" i="8"/>
  <c r="Q59" i="9" s="1"/>
  <c r="Y72" i="9"/>
  <c r="V61" i="8"/>
  <c r="T55" i="9"/>
  <c r="AA17" i="8"/>
  <c r="Z18" i="9"/>
  <c r="AE72" i="9"/>
  <c r="AE134" i="8"/>
  <c r="V72" i="9"/>
  <c r="W72" i="9"/>
  <c r="AD61" i="8"/>
  <c r="AB55" i="9"/>
  <c r="Z72" i="9"/>
  <c r="AA72" i="9"/>
  <c r="V46" i="8"/>
  <c r="Z46" i="8"/>
  <c r="J52" i="9"/>
  <c r="Z61" i="8"/>
  <c r="X55" i="9"/>
  <c r="Y17" i="8"/>
  <c r="T18" i="9"/>
  <c r="T50" i="8"/>
  <c r="T58" i="8" s="1"/>
  <c r="I58" i="8"/>
  <c r="S50" i="8"/>
  <c r="S58" i="8" s="1"/>
  <c r="T63" i="8"/>
  <c r="T65" i="8" s="1"/>
  <c r="T72" i="8" s="1"/>
  <c r="AE65" i="8"/>
  <c r="S63" i="8"/>
  <c r="AF65" i="8"/>
  <c r="AG65" i="8"/>
  <c r="AC65" i="8"/>
  <c r="J65" i="8"/>
  <c r="J58" i="9" s="1"/>
  <c r="N65" i="8"/>
  <c r="N58" i="9" s="1"/>
  <c r="U92" i="8"/>
  <c r="U99" i="8"/>
  <c r="U134" i="8"/>
  <c r="S125" i="8"/>
  <c r="T78" i="8"/>
  <c r="U100" i="8"/>
  <c r="S78" i="8"/>
  <c r="U50" i="8"/>
  <c r="U58" i="8" s="1"/>
  <c r="U78" i="8"/>
  <c r="S11" i="8"/>
  <c r="S14" i="8" s="1"/>
  <c r="T11" i="8"/>
  <c r="T14" i="8" s="1"/>
  <c r="S17" i="8"/>
  <c r="S62" i="8"/>
  <c r="S92" i="8"/>
  <c r="S99" i="8"/>
  <c r="S100" i="8"/>
  <c r="S134" i="8"/>
  <c r="U11" i="8"/>
  <c r="U14" i="8" s="1"/>
  <c r="T17" i="8"/>
  <c r="T92" i="8"/>
  <c r="T99" i="8"/>
  <c r="T100" i="8"/>
  <c r="T125" i="8"/>
  <c r="T134" i="8"/>
  <c r="U62" i="8"/>
  <c r="U65" i="8" s="1"/>
  <c r="U72" i="8" s="1"/>
  <c r="S42" i="8"/>
  <c r="S43" i="8"/>
  <c r="T42" i="8"/>
  <c r="T43" i="8"/>
  <c r="U42" i="8"/>
  <c r="U43" i="8"/>
  <c r="U125" i="8"/>
  <c r="AC103" i="8"/>
  <c r="Z103" i="8"/>
  <c r="AA103" i="8"/>
  <c r="AE103" i="8"/>
  <c r="AB103" i="8"/>
  <c r="T103" i="8"/>
  <c r="V102" i="8"/>
  <c r="Y102" i="8"/>
  <c r="X102" i="8"/>
  <c r="W102" i="8"/>
  <c r="AA102" i="8"/>
  <c r="T102" i="8"/>
  <c r="AG102" i="8"/>
  <c r="Z102" i="8"/>
  <c r="AB102" i="8"/>
  <c r="I72" i="8"/>
  <c r="I59" i="9" s="1"/>
  <c r="AG99" i="8"/>
  <c r="AG101" i="8"/>
  <c r="Q50" i="8"/>
  <c r="AG78" i="8"/>
  <c r="AG50" i="8"/>
  <c r="AG10" i="8"/>
  <c r="H72" i="8"/>
  <c r="H59" i="9" s="1"/>
  <c r="AG17" i="8"/>
  <c r="AG100" i="8"/>
  <c r="AG42" i="8"/>
  <c r="AG43" i="8"/>
  <c r="Z64" i="8"/>
  <c r="X70" i="9"/>
  <c r="V64" i="8"/>
  <c r="AD64" i="8"/>
  <c r="T70" i="9"/>
  <c r="G72" i="8"/>
  <c r="G59" i="9" s="1"/>
  <c r="Z70" i="9"/>
  <c r="S70" i="9"/>
  <c r="W70" i="9"/>
  <c r="Y70" i="9"/>
  <c r="V70" i="9"/>
  <c r="U70" i="9"/>
  <c r="AB69" i="9"/>
  <c r="AB70" i="9" s="1"/>
  <c r="H50" i="8"/>
  <c r="H58" i="8" s="1"/>
  <c r="P119" i="8"/>
  <c r="K119" i="8"/>
  <c r="L119" i="8"/>
  <c r="P50" i="8"/>
  <c r="P58" i="8" s="1"/>
  <c r="M50" i="8"/>
  <c r="M58" i="8" s="1"/>
  <c r="G50" i="8"/>
  <c r="G58" i="8" s="1"/>
  <c r="L50" i="8"/>
  <c r="L58" i="8" s="1"/>
  <c r="K50" i="8"/>
  <c r="K58" i="8" s="1"/>
  <c r="E72" i="8"/>
  <c r="E59" i="9" s="1"/>
  <c r="AC134" i="8"/>
  <c r="Z52" i="9"/>
  <c r="V23" i="9"/>
  <c r="S52" i="9"/>
  <c r="W58" i="9"/>
  <c r="AF101" i="8"/>
  <c r="Y52" i="9"/>
  <c r="S33" i="9"/>
  <c r="S58" i="9"/>
  <c r="V52" i="9"/>
  <c r="U52" i="9"/>
  <c r="W52" i="9"/>
  <c r="S18" i="9"/>
  <c r="AF99" i="8"/>
  <c r="AC99" i="8"/>
  <c r="Y92" i="8"/>
  <c r="AD134" i="8"/>
  <c r="AC100" i="8"/>
  <c r="AA134" i="8"/>
  <c r="AB134" i="8"/>
  <c r="Y101" i="8"/>
  <c r="Z134" i="8"/>
  <c r="W92" i="8"/>
  <c r="V92" i="8"/>
  <c r="V100" i="8"/>
  <c r="X101" i="8"/>
  <c r="X92" i="8"/>
  <c r="Y99" i="8"/>
  <c r="AE100" i="8"/>
  <c r="Z99" i="8"/>
  <c r="AB101" i="8"/>
  <c r="AA99" i="8"/>
  <c r="X100" i="8"/>
  <c r="AF100" i="8"/>
  <c r="AC101" i="8"/>
  <c r="AB99" i="8"/>
  <c r="Y100" i="8"/>
  <c r="V101" i="8"/>
  <c r="AD101" i="8"/>
  <c r="W101" i="8"/>
  <c r="AE101" i="8"/>
  <c r="V99" i="8"/>
  <c r="AD99" i="8"/>
  <c r="AE99" i="8"/>
  <c r="X99" i="8"/>
  <c r="Z101" i="8"/>
  <c r="V17" i="8"/>
  <c r="J11" i="8"/>
  <c r="J14" i="8" s="1"/>
  <c r="J19" i="8" s="1"/>
  <c r="AB17" i="8"/>
  <c r="AC17" i="8"/>
  <c r="Z17" i="8"/>
  <c r="AD17" i="8"/>
  <c r="AE17" i="8"/>
  <c r="W17" i="8"/>
  <c r="X17" i="8"/>
  <c r="J78" i="8"/>
  <c r="J72" i="9" s="1"/>
  <c r="J50" i="8"/>
  <c r="J58" i="8" s="1"/>
  <c r="N50" i="8"/>
  <c r="N58" i="8" s="1"/>
  <c r="AD46" i="8"/>
  <c r="I10" i="9" l="1"/>
  <c r="I15" i="8"/>
  <c r="I19" i="8"/>
  <c r="I25" i="8" s="1"/>
  <c r="I29" i="8" s="1"/>
  <c r="G15" i="8"/>
  <c r="G19" i="8"/>
  <c r="H15" i="8"/>
  <c r="H19" i="8"/>
  <c r="H25" i="8" s="1"/>
  <c r="H29" i="8" s="1"/>
  <c r="H32" i="8" s="1"/>
  <c r="K19" i="8"/>
  <c r="K25" i="8" s="1"/>
  <c r="Q79" i="8"/>
  <c r="AE59" i="9"/>
  <c r="S6" i="9"/>
  <c r="Q13" i="10"/>
  <c r="Q14" i="10" s="1"/>
  <c r="Q15" i="8"/>
  <c r="L15" i="8"/>
  <c r="K15" i="8"/>
  <c r="Q20" i="8"/>
  <c r="Q25" i="8"/>
  <c r="Q29" i="8" s="1"/>
  <c r="Q32" i="8" s="1"/>
  <c r="AD65" i="8"/>
  <c r="AI107" i="8"/>
  <c r="AI100" i="8"/>
  <c r="AI17" i="8"/>
  <c r="AD43" i="9"/>
  <c r="AE43" i="9"/>
  <c r="AB43" i="9"/>
  <c r="AC43" i="9"/>
  <c r="AB40" i="9"/>
  <c r="AD40" i="9"/>
  <c r="AC40" i="9"/>
  <c r="AE40" i="9"/>
  <c r="AG58" i="8"/>
  <c r="AI101" i="8"/>
  <c r="AG72" i="8"/>
  <c r="AG79" i="8" s="1"/>
  <c r="AI65" i="8"/>
  <c r="AI99" i="8"/>
  <c r="AI28" i="8"/>
  <c r="AI24" i="8"/>
  <c r="AI22" i="8"/>
  <c r="AG11" i="8"/>
  <c r="AG14" i="8" s="1"/>
  <c r="AG19" i="8" s="1"/>
  <c r="AI10" i="8"/>
  <c r="N52" i="9"/>
  <c r="AB49" i="9"/>
  <c r="AB52" i="9" s="1"/>
  <c r="Z73" i="9"/>
  <c r="Z82" i="9" s="1"/>
  <c r="Y73" i="9"/>
  <c r="Y82" i="9" s="1"/>
  <c r="Q73" i="9"/>
  <c r="Q82" i="9" s="1"/>
  <c r="AE34" i="9"/>
  <c r="AA34" i="9"/>
  <c r="T72" i="9"/>
  <c r="T73" i="9" s="1"/>
  <c r="T82" i="9" s="1"/>
  <c r="W73" i="9"/>
  <c r="W82" i="9" s="1"/>
  <c r="U59" i="9"/>
  <c r="W59" i="9"/>
  <c r="AA73" i="9"/>
  <c r="AA82" i="9" s="1"/>
  <c r="H79" i="8"/>
  <c r="H81" i="8" s="1"/>
  <c r="V59" i="9"/>
  <c r="S59" i="9"/>
  <c r="S73" i="9"/>
  <c r="S82" i="9" s="1"/>
  <c r="AE73" i="9"/>
  <c r="AE82" i="9" s="1"/>
  <c r="X72" i="9"/>
  <c r="X73" i="9" s="1"/>
  <c r="X82" i="9" s="1"/>
  <c r="T58" i="9"/>
  <c r="V73" i="9"/>
  <c r="V82" i="9" s="1"/>
  <c r="U73" i="9"/>
  <c r="U82" i="9" s="1"/>
  <c r="S65" i="8"/>
  <c r="S72" i="8" s="1"/>
  <c r="S79" i="8" s="1"/>
  <c r="S81" i="8" s="1"/>
  <c r="S15" i="8"/>
  <c r="U19" i="8"/>
  <c r="U25" i="8" s="1"/>
  <c r="T79" i="8"/>
  <c r="T81" i="8" s="1"/>
  <c r="U79" i="8"/>
  <c r="U81" i="8" s="1"/>
  <c r="U15" i="8"/>
  <c r="AD18" i="9"/>
  <c r="AE18" i="9"/>
  <c r="Q58" i="8"/>
  <c r="AE58" i="9"/>
  <c r="AE32" i="9"/>
  <c r="S111" i="8"/>
  <c r="U101" i="8"/>
  <c r="U102" i="8"/>
  <c r="S102" i="8"/>
  <c r="U103" i="8"/>
  <c r="S103" i="8"/>
  <c r="AD125" i="8"/>
  <c r="AF125" i="8"/>
  <c r="AG125" i="8"/>
  <c r="X125" i="8"/>
  <c r="AE125" i="8"/>
  <c r="I79" i="8"/>
  <c r="I81" i="8" s="1"/>
  <c r="AC102" i="8"/>
  <c r="AI102" i="8" s="1"/>
  <c r="Q119" i="8"/>
  <c r="AD103" i="8"/>
  <c r="Y103" i="8"/>
  <c r="X103" i="8"/>
  <c r="W103" i="8"/>
  <c r="AG103" i="8"/>
  <c r="AI103" i="8" s="1"/>
  <c r="AF103" i="8"/>
  <c r="V103" i="8"/>
  <c r="AE102" i="8"/>
  <c r="AD102" i="8"/>
  <c r="AF102" i="8"/>
  <c r="G79" i="8"/>
  <c r="G81" i="8" s="1"/>
  <c r="Z27" i="9"/>
  <c r="T38" i="9"/>
  <c r="M119" i="8"/>
  <c r="S38" i="9"/>
  <c r="AE38" i="9"/>
  <c r="T49" i="9"/>
  <c r="T52" i="9" s="1"/>
  <c r="X49" i="9"/>
  <c r="X52" i="9" s="1"/>
  <c r="V58" i="9"/>
  <c r="AD58" i="9"/>
  <c r="AA58" i="9"/>
  <c r="Z58" i="9"/>
  <c r="U58" i="9"/>
  <c r="Y58" i="9"/>
  <c r="L72" i="8"/>
  <c r="L59" i="9" s="1"/>
  <c r="K72" i="8"/>
  <c r="K59" i="9" s="1"/>
  <c r="J72" i="8"/>
  <c r="J59" i="9" s="1"/>
  <c r="M72" i="8"/>
  <c r="M59" i="9" s="1"/>
  <c r="AC18" i="9"/>
  <c r="S27" i="9"/>
  <c r="AB18" i="9"/>
  <c r="S23" i="9"/>
  <c r="U23" i="9"/>
  <c r="Y33" i="9"/>
  <c r="W35" i="9"/>
  <c r="AA18" i="9"/>
  <c r="AB33" i="9"/>
  <c r="AC32" i="9"/>
  <c r="AE35" i="9"/>
  <c r="X58" i="9"/>
  <c r="S35" i="9"/>
  <c r="Z33" i="9"/>
  <c r="W34" i="9"/>
  <c r="Y134" i="8"/>
  <c r="T23" i="9"/>
  <c r="AD32" i="9"/>
  <c r="AB58" i="9"/>
  <c r="W18" i="9"/>
  <c r="V18" i="9"/>
  <c r="Y18" i="9"/>
  <c r="X18" i="9"/>
  <c r="AA33" i="9"/>
  <c r="AB32" i="9"/>
  <c r="U18" i="9"/>
  <c r="AG92" i="8"/>
  <c r="X33" i="9"/>
  <c r="X134" i="8"/>
  <c r="Z100" i="8"/>
  <c r="AB100" i="8"/>
  <c r="AA100" i="8"/>
  <c r="V134" i="8"/>
  <c r="W134" i="8"/>
  <c r="W32" i="9"/>
  <c r="L20" i="8"/>
  <c r="L25" i="8"/>
  <c r="L29" i="8" s="1"/>
  <c r="L32" i="8" s="1"/>
  <c r="K29" i="8" l="1"/>
  <c r="K32" i="8" s="1"/>
  <c r="K20" i="8"/>
  <c r="I20" i="8"/>
  <c r="H20" i="8"/>
  <c r="Q81" i="8"/>
  <c r="T59" i="9"/>
  <c r="S10" i="9"/>
  <c r="S15" i="9" s="1"/>
  <c r="S20" i="9" s="1"/>
  <c r="S24" i="9" s="1"/>
  <c r="Q15" i="9"/>
  <c r="Q20" i="9" s="1"/>
  <c r="Q24" i="9" s="1"/>
  <c r="Q29" i="9" s="1"/>
  <c r="Q26" i="8"/>
  <c r="G25" i="8"/>
  <c r="G29" i="8" s="1"/>
  <c r="G32" i="8" s="1"/>
  <c r="G89" i="8" s="1"/>
  <c r="G104" i="8" s="1"/>
  <c r="G127" i="8" s="1"/>
  <c r="G20" i="8"/>
  <c r="AI23" i="8"/>
  <c r="AG81" i="8"/>
  <c r="AG20" i="8"/>
  <c r="AC34" i="9"/>
  <c r="AD34" i="9"/>
  <c r="AB34" i="9"/>
  <c r="AG34" i="9"/>
  <c r="Y34" i="9"/>
  <c r="Z34" i="9"/>
  <c r="X34" i="9"/>
  <c r="AD33" i="9"/>
  <c r="AF134" i="8"/>
  <c r="X59" i="9"/>
  <c r="K79" i="8"/>
  <c r="K81" i="8" s="1"/>
  <c r="Y59" i="9"/>
  <c r="AC33" i="9"/>
  <c r="AA59" i="9"/>
  <c r="L79" i="8"/>
  <c r="L81" i="8" s="1"/>
  <c r="Z59" i="9"/>
  <c r="T6" i="9"/>
  <c r="T10" i="9" s="1"/>
  <c r="J15" i="8"/>
  <c r="AD111" i="8"/>
  <c r="AF111" i="8"/>
  <c r="AE111" i="8"/>
  <c r="AG111" i="8"/>
  <c r="U20" i="8"/>
  <c r="S19" i="8"/>
  <c r="S25" i="8" s="1"/>
  <c r="S32" i="8" s="1"/>
  <c r="T101" i="8"/>
  <c r="AG18" i="9"/>
  <c r="T111" i="8"/>
  <c r="S101" i="8"/>
  <c r="U119" i="8"/>
  <c r="T15" i="8"/>
  <c r="T19" i="8"/>
  <c r="U111" i="8"/>
  <c r="U32" i="8"/>
  <c r="U26" i="8"/>
  <c r="U29" i="8" s="1"/>
  <c r="W125" i="8"/>
  <c r="X119" i="8"/>
  <c r="AB125" i="8"/>
  <c r="Y125" i="8"/>
  <c r="V125" i="8"/>
  <c r="AD35" i="9"/>
  <c r="L26" i="8"/>
  <c r="AG15" i="8"/>
  <c r="AF119" i="8"/>
  <c r="AG119" i="8"/>
  <c r="X27" i="9"/>
  <c r="AB111" i="8"/>
  <c r="Y27" i="9"/>
  <c r="AA27" i="9"/>
  <c r="AD119" i="8"/>
  <c r="Z39" i="9"/>
  <c r="Y39" i="9"/>
  <c r="AA39" i="9"/>
  <c r="X39" i="9"/>
  <c r="S39" i="9"/>
  <c r="W39" i="9"/>
  <c r="V119" i="8"/>
  <c r="AC38" i="9"/>
  <c r="AD38" i="9"/>
  <c r="W38" i="9"/>
  <c r="AB119" i="8"/>
  <c r="W119" i="8"/>
  <c r="AB38" i="9"/>
  <c r="U38" i="9"/>
  <c r="V38" i="9"/>
  <c r="AE119" i="8"/>
  <c r="N119" i="8"/>
  <c r="M79" i="8"/>
  <c r="M81" i="8" s="1"/>
  <c r="J79" i="8"/>
  <c r="J81" i="8" s="1"/>
  <c r="AB92" i="8"/>
  <c r="AC35" i="9"/>
  <c r="Z92" i="8"/>
  <c r="AC92" i="8"/>
  <c r="AI92" i="8" s="1"/>
  <c r="AA92" i="8"/>
  <c r="AB35" i="9"/>
  <c r="AC111" i="8"/>
  <c r="AA111" i="8"/>
  <c r="Z111" i="8"/>
  <c r="V32" i="9"/>
  <c r="U32" i="9"/>
  <c r="S32" i="9"/>
  <c r="T32" i="9"/>
  <c r="V34" i="9"/>
  <c r="U34" i="9"/>
  <c r="S34" i="9"/>
  <c r="T34" i="9"/>
  <c r="V35" i="9"/>
  <c r="T35" i="9"/>
  <c r="U35" i="9"/>
  <c r="W33" i="9"/>
  <c r="U33" i="9"/>
  <c r="V33" i="9"/>
  <c r="T33" i="9"/>
  <c r="Z32" i="9"/>
  <c r="Y32" i="9"/>
  <c r="AA32" i="9"/>
  <c r="AG32" i="9" s="1"/>
  <c r="X32" i="9"/>
  <c r="AF92" i="8"/>
  <c r="AE92" i="8"/>
  <c r="AD92" i="8"/>
  <c r="AA35" i="9"/>
  <c r="AG35" i="9" s="1"/>
  <c r="X35" i="9"/>
  <c r="Y35" i="9"/>
  <c r="Z23" i="9"/>
  <c r="X23" i="9"/>
  <c r="Y23" i="9"/>
  <c r="W23" i="9"/>
  <c r="AA23" i="9"/>
  <c r="Z35" i="9"/>
  <c r="Y111" i="8"/>
  <c r="W111" i="8"/>
  <c r="X111" i="8"/>
  <c r="V111" i="8"/>
  <c r="J20" i="8"/>
  <c r="J25" i="8"/>
  <c r="J29" i="8" s="1"/>
  <c r="J32" i="8" s="1"/>
  <c r="H26" i="8"/>
  <c r="I26" i="8"/>
  <c r="K26" i="8"/>
  <c r="U39" i="8" l="1"/>
  <c r="U36" i="8"/>
  <c r="S39" i="8"/>
  <c r="S36" i="8"/>
  <c r="Q16" i="9"/>
  <c r="Q21" i="9"/>
  <c r="T15" i="9"/>
  <c r="T20" i="9" s="1"/>
  <c r="T24" i="9" s="1"/>
  <c r="W6" i="9"/>
  <c r="V6" i="9"/>
  <c r="U6" i="9"/>
  <c r="G26" i="8"/>
  <c r="AG25" i="8"/>
  <c r="AG29" i="8" s="1"/>
  <c r="AG32" i="8" s="1"/>
  <c r="AG89" i="8" s="1"/>
  <c r="AI35" i="8"/>
  <c r="AI111" i="8"/>
  <c r="AE33" i="9"/>
  <c r="AG33" i="9" s="1"/>
  <c r="AG134" i="8"/>
  <c r="S119" i="8"/>
  <c r="S26" i="8"/>
  <c r="S29" i="8" s="1"/>
  <c r="S20" i="8"/>
  <c r="T119" i="8"/>
  <c r="AD27" i="9"/>
  <c r="AE27" i="9"/>
  <c r="AD23" i="9"/>
  <c r="AE23" i="9"/>
  <c r="AD39" i="9"/>
  <c r="AE39" i="9"/>
  <c r="Q25" i="9"/>
  <c r="T20" i="8"/>
  <c r="T25" i="8"/>
  <c r="S33" i="8"/>
  <c r="U33" i="8"/>
  <c r="Z125" i="8"/>
  <c r="Y119" i="8"/>
  <c r="AC125" i="8"/>
  <c r="AA125" i="8"/>
  <c r="AC27" i="9"/>
  <c r="J26" i="8"/>
  <c r="AB27" i="9"/>
  <c r="W27" i="9"/>
  <c r="V27" i="9"/>
  <c r="U27" i="9"/>
  <c r="T27" i="9"/>
  <c r="Z119" i="8"/>
  <c r="AB39" i="9"/>
  <c r="AC39" i="9"/>
  <c r="T39" i="9"/>
  <c r="U39" i="9"/>
  <c r="J119" i="8"/>
  <c r="AC119" i="8"/>
  <c r="AI119" i="8" s="1"/>
  <c r="AA38" i="9"/>
  <c r="AA119" i="8"/>
  <c r="V39" i="9"/>
  <c r="S16" i="9"/>
  <c r="AC23" i="9"/>
  <c r="AB23" i="9"/>
  <c r="AG27" i="9" l="1"/>
  <c r="AG26" i="8"/>
  <c r="U10" i="9"/>
  <c r="U15" i="9" s="1"/>
  <c r="V10" i="9"/>
  <c r="W10" i="9"/>
  <c r="W15" i="9" s="1"/>
  <c r="T16" i="9"/>
  <c r="AG23" i="9"/>
  <c r="Q30" i="9"/>
  <c r="Q36" i="9"/>
  <c r="Q44" i="9" s="1"/>
  <c r="T26" i="8"/>
  <c r="T29" i="8" s="1"/>
  <c r="T32" i="8"/>
  <c r="T29" i="9"/>
  <c r="T79" i="9" s="1"/>
  <c r="T21" i="9"/>
  <c r="T25" i="9"/>
  <c r="X38" i="9"/>
  <c r="Y38" i="9"/>
  <c r="Z38" i="9"/>
  <c r="S29" i="9"/>
  <c r="S79" i="9" s="1"/>
  <c r="S21" i="9"/>
  <c r="T39" i="8" l="1"/>
  <c r="T36" i="8"/>
  <c r="W11" i="9"/>
  <c r="V15" i="9"/>
  <c r="V16" i="9" s="1"/>
  <c r="W20" i="9"/>
  <c r="W21" i="9" s="1"/>
  <c r="W16" i="9"/>
  <c r="U16" i="9"/>
  <c r="U20" i="9"/>
  <c r="U24" i="9" s="1"/>
  <c r="U29" i="9" s="1"/>
  <c r="Q45" i="9"/>
  <c r="T33" i="8"/>
  <c r="T30" i="9"/>
  <c r="T80" i="9" a="1"/>
  <c r="T80" i="9" s="1"/>
  <c r="T81" i="9" a="1"/>
  <c r="T81" i="9" s="1"/>
  <c r="T77" i="9"/>
  <c r="T78" i="9"/>
  <c r="T36" i="9"/>
  <c r="S25" i="9"/>
  <c r="V20" i="9" l="1"/>
  <c r="V24" i="9" s="1"/>
  <c r="U21" i="9"/>
  <c r="W24" i="9"/>
  <c r="W29" i="9" s="1"/>
  <c r="U25" i="9"/>
  <c r="U79" i="9"/>
  <c r="U36" i="9"/>
  <c r="U78" i="9"/>
  <c r="U81" i="9" a="1"/>
  <c r="U81" i="9" s="1"/>
  <c r="U77" i="9"/>
  <c r="U30" i="9"/>
  <c r="U80" i="9" a="1"/>
  <c r="U80" i="9" s="1"/>
  <c r="S30" i="9"/>
  <c r="S77" i="9"/>
  <c r="S78" i="9"/>
  <c r="S81" i="9" a="1"/>
  <c r="S81" i="9" s="1"/>
  <c r="S36" i="9"/>
  <c r="S80" i="9" a="1"/>
  <c r="S80" i="9" s="1"/>
  <c r="B86" i="8"/>
  <c r="B85" i="8"/>
  <c r="E86" i="8"/>
  <c r="D86" i="8"/>
  <c r="C86" i="8"/>
  <c r="E85" i="8"/>
  <c r="D85" i="8"/>
  <c r="C85" i="8"/>
  <c r="B43" i="8"/>
  <c r="B42" i="8"/>
  <c r="AF43" i="8"/>
  <c r="AE43" i="8"/>
  <c r="AD43" i="8"/>
  <c r="AB43" i="8"/>
  <c r="AA43" i="8"/>
  <c r="Z43" i="8"/>
  <c r="X43" i="8"/>
  <c r="W43" i="8"/>
  <c r="V43" i="8"/>
  <c r="AC43" i="8"/>
  <c r="Y43" i="8"/>
  <c r="AF42" i="8"/>
  <c r="AE42" i="8"/>
  <c r="AD42" i="8"/>
  <c r="AC42" i="8"/>
  <c r="AB42" i="8"/>
  <c r="AA42" i="8"/>
  <c r="Z42" i="8"/>
  <c r="Y42" i="8"/>
  <c r="X42" i="8"/>
  <c r="W42" i="8"/>
  <c r="V42" i="8"/>
  <c r="V21" i="9" l="1"/>
  <c r="W25" i="9"/>
  <c r="V29" i="9"/>
  <c r="V25" i="9"/>
  <c r="W79" i="9"/>
  <c r="W36" i="9"/>
  <c r="W77" i="9"/>
  <c r="W80" i="9" a="1"/>
  <c r="W80" i="9" s="1"/>
  <c r="W81" i="9" a="1"/>
  <c r="W81" i="9" s="1"/>
  <c r="W30" i="9"/>
  <c r="W78" i="9"/>
  <c r="V85" i="8"/>
  <c r="Y85" i="8"/>
  <c r="Z85" i="8"/>
  <c r="Z86" i="8"/>
  <c r="AC85" i="8"/>
  <c r="AD85" i="8"/>
  <c r="Y86" i="8"/>
  <c r="AD86" i="8"/>
  <c r="AE86" i="8"/>
  <c r="AB85" i="8"/>
  <c r="W85" i="8"/>
  <c r="AE85" i="8"/>
  <c r="AB86" i="8"/>
  <c r="AA86" i="8"/>
  <c r="X85" i="8"/>
  <c r="AF85" i="8"/>
  <c r="AC86" i="8"/>
  <c r="V86" i="8"/>
  <c r="W86" i="8"/>
  <c r="AA85" i="8"/>
  <c r="X86" i="8"/>
  <c r="AF86" i="8"/>
  <c r="V79" i="9" l="1"/>
  <c r="V77" i="9"/>
  <c r="V78" i="9"/>
  <c r="V30" i="9"/>
  <c r="V81" i="9" a="1"/>
  <c r="V81" i="9" s="1"/>
  <c r="V80" i="9" a="1"/>
  <c r="V80" i="9" s="1"/>
  <c r="V36" i="9"/>
  <c r="P13" i="10" l="1"/>
  <c r="P14" i="10" s="1"/>
  <c r="O13" i="10"/>
  <c r="M13" i="10"/>
  <c r="L13" i="10"/>
  <c r="L14" i="10" s="1"/>
  <c r="K13" i="10"/>
  <c r="K14" i="10" s="1"/>
  <c r="I13" i="10"/>
  <c r="I14" i="10" s="1"/>
  <c r="H13" i="10"/>
  <c r="H14" i="10" s="1"/>
  <c r="G13" i="10"/>
  <c r="G14" i="10" s="1"/>
  <c r="N78" i="8"/>
  <c r="N72" i="9" s="1"/>
  <c r="P78" i="8"/>
  <c r="P72" i="9" s="1"/>
  <c r="AD72" i="9" l="1"/>
  <c r="AB72" i="9"/>
  <c r="AB73" i="9" s="1"/>
  <c r="AB82" i="9" s="1"/>
  <c r="O50" i="8"/>
  <c r="O58" i="8" s="1"/>
  <c r="K15" i="9"/>
  <c r="I15" i="9"/>
  <c r="L15" i="9"/>
  <c r="G15" i="9"/>
  <c r="O15" i="9"/>
  <c r="H15" i="9"/>
  <c r="O78" i="8"/>
  <c r="O72" i="9" s="1"/>
  <c r="Q11" i="9" l="1"/>
  <c r="M15" i="9"/>
  <c r="Q12" i="9"/>
  <c r="P15" i="9"/>
  <c r="AC72" i="9"/>
  <c r="AC73" i="9" s="1"/>
  <c r="AC82" i="9" s="1"/>
  <c r="AC58" i="9"/>
  <c r="AD73" i="9"/>
  <c r="AD82" i="9" s="1"/>
  <c r="AA11" i="8" l="1"/>
  <c r="D50" i="8"/>
  <c r="D58" i="8" s="1"/>
  <c r="C50" i="8"/>
  <c r="C58" i="8" s="1"/>
  <c r="E50" i="8"/>
  <c r="E58" i="8" s="1"/>
  <c r="AA14" i="8" l="1"/>
  <c r="V65" i="8"/>
  <c r="V72" i="8" s="1"/>
  <c r="V50" i="8"/>
  <c r="V58" i="8" s="1"/>
  <c r="V78" i="8"/>
  <c r="X78" i="8"/>
  <c r="AB11" i="8"/>
  <c r="AB50" i="8"/>
  <c r="AB58" i="8" s="1"/>
  <c r="AB78" i="8"/>
  <c r="Y78" i="8"/>
  <c r="Z50" i="8"/>
  <c r="Z58" i="8" s="1"/>
  <c r="AB65" i="8"/>
  <c r="AB72" i="8" s="1"/>
  <c r="AA65" i="8"/>
  <c r="AA72" i="8" s="1"/>
  <c r="W65" i="8"/>
  <c r="W72" i="8" s="1"/>
  <c r="Y11" i="8"/>
  <c r="W50" i="8"/>
  <c r="W58" i="8" s="1"/>
  <c r="AA50" i="8"/>
  <c r="AA58" i="8" s="1"/>
  <c r="Z78" i="8"/>
  <c r="Z11" i="8"/>
  <c r="X50" i="8"/>
  <c r="X58" i="8" s="1"/>
  <c r="X65" i="8"/>
  <c r="X72" i="8" s="1"/>
  <c r="Z65" i="8"/>
  <c r="Z72" i="8" s="1"/>
  <c r="AA78" i="8"/>
  <c r="W78" i="8"/>
  <c r="AD78" i="8"/>
  <c r="AD50" i="8"/>
  <c r="AD58" i="8" s="1"/>
  <c r="AE78" i="8"/>
  <c r="AD11" i="8"/>
  <c r="AD14" i="8" s="1"/>
  <c r="AD19" i="8" s="1"/>
  <c r="AD72" i="8"/>
  <c r="AE72" i="8"/>
  <c r="AC11" i="8"/>
  <c r="AC14" i="8" s="1"/>
  <c r="AC19" i="8" s="1"/>
  <c r="AE11" i="8"/>
  <c r="AE14" i="8" s="1"/>
  <c r="AE19" i="8" s="1"/>
  <c r="AE50" i="8"/>
  <c r="AE58" i="8" s="1"/>
  <c r="Z14" i="8" l="1"/>
  <c r="Y14" i="8"/>
  <c r="AB14" i="8"/>
  <c r="AI11" i="8"/>
  <c r="AA19" i="8"/>
  <c r="AA25" i="8" s="1"/>
  <c r="AA32" i="8" s="1"/>
  <c r="V79" i="8"/>
  <c r="V81" i="8" s="1"/>
  <c r="AB79" i="8"/>
  <c r="AB81" i="8" s="1"/>
  <c r="Z79" i="8"/>
  <c r="Z81" i="8" s="1"/>
  <c r="X79" i="8"/>
  <c r="X81" i="8" s="1"/>
  <c r="AA79" i="8"/>
  <c r="AA81" i="8" s="1"/>
  <c r="W79" i="8"/>
  <c r="W81" i="8" s="1"/>
  <c r="AA15" i="8"/>
  <c r="AD79" i="8"/>
  <c r="AD81" i="8" s="1"/>
  <c r="AI14" i="8"/>
  <c r="AE79" i="8"/>
  <c r="AE81" i="8" s="1"/>
  <c r="AA39" i="8" l="1"/>
  <c r="AA36" i="8"/>
  <c r="Y19" i="8"/>
  <c r="Y25" i="8" s="1"/>
  <c r="Y32" i="8" s="1"/>
  <c r="AD25" i="8"/>
  <c r="AD29" i="8" s="1"/>
  <c r="AD32" i="8" s="1"/>
  <c r="AD89" i="8" s="1"/>
  <c r="Z19" i="8"/>
  <c r="Z20" i="8" s="1"/>
  <c r="AB19" i="8"/>
  <c r="AB25" i="8" s="1"/>
  <c r="AB32" i="8" s="1"/>
  <c r="AA20" i="8"/>
  <c r="AE20" i="8"/>
  <c r="AD15" i="8"/>
  <c r="AC15" i="8"/>
  <c r="AI15" i="8" s="1"/>
  <c r="Z15" i="8"/>
  <c r="AE15" i="8"/>
  <c r="AB15" i="8"/>
  <c r="AA26" i="8"/>
  <c r="AA29" i="8" s="1"/>
  <c r="Y15" i="8"/>
  <c r="AB39" i="8" l="1"/>
  <c r="AB36" i="8"/>
  <c r="Y36" i="8"/>
  <c r="Y39" i="8"/>
  <c r="AC25" i="8"/>
  <c r="AC29" i="8" s="1"/>
  <c r="AI19" i="8"/>
  <c r="Y20" i="8"/>
  <c r="AD20" i="8"/>
  <c r="AC20" i="8"/>
  <c r="AI20" i="8" s="1"/>
  <c r="AB20" i="8"/>
  <c r="Z25" i="8"/>
  <c r="Z32" i="8" s="1"/>
  <c r="AE25" i="8"/>
  <c r="AE29" i="8" s="1"/>
  <c r="AE32" i="8" s="1"/>
  <c r="AE89" i="8" s="1"/>
  <c r="Y26" i="8"/>
  <c r="Y29" i="8" s="1"/>
  <c r="AD26" i="8"/>
  <c r="AA33" i="8"/>
  <c r="Y33" i="8"/>
  <c r="AB26" i="8"/>
  <c r="AB29" i="8" s="1"/>
  <c r="AC32" i="8" l="1"/>
  <c r="AC89" i="8" s="1"/>
  <c r="AI29" i="8"/>
  <c r="AC26" i="8"/>
  <c r="AI26" i="8" s="1"/>
  <c r="Z33" i="8"/>
  <c r="Z39" i="8"/>
  <c r="Z36" i="8"/>
  <c r="AI25" i="8"/>
  <c r="Z26" i="8"/>
  <c r="Z29" i="8" s="1"/>
  <c r="AE26" i="8"/>
  <c r="AB33" i="8"/>
  <c r="Y65" i="8" l="1"/>
  <c r="AC72" i="8"/>
  <c r="AI72" i="8" s="1"/>
  <c r="Y72" i="8" l="1"/>
  <c r="Y79" i="8" s="1"/>
  <c r="M11" i="8" l="1"/>
  <c r="E11" i="8"/>
  <c r="D11" i="8"/>
  <c r="C11" i="8"/>
  <c r="E78" i="8"/>
  <c r="E72" i="9" s="1"/>
  <c r="D78" i="8"/>
  <c r="D72" i="9" s="1"/>
  <c r="C78" i="8"/>
  <c r="C72" i="9" s="1"/>
  <c r="P72" i="8"/>
  <c r="P59" i="9" s="1"/>
  <c r="N72" i="8"/>
  <c r="N59" i="9" s="1"/>
  <c r="AF11" i="8"/>
  <c r="AF14" i="8" s="1"/>
  <c r="AF19" i="8" s="1"/>
  <c r="O73" i="9"/>
  <c r="O82" i="9" s="1"/>
  <c r="G73" i="9"/>
  <c r="G82" i="9" s="1"/>
  <c r="C14" i="8" l="1"/>
  <c r="C19" i="8" s="1"/>
  <c r="C10" i="10"/>
  <c r="C7" i="9" s="1"/>
  <c r="C9" i="10"/>
  <c r="C11" i="10"/>
  <c r="C8" i="9" s="1"/>
  <c r="C12" i="10"/>
  <c r="C9" i="9" s="1"/>
  <c r="D14" i="8"/>
  <c r="D19" i="8" s="1"/>
  <c r="D12" i="10"/>
  <c r="D11" i="10"/>
  <c r="D10" i="10"/>
  <c r="D9" i="10"/>
  <c r="E14" i="8"/>
  <c r="E19" i="8" s="1"/>
  <c r="E10" i="10"/>
  <c r="E9" i="10"/>
  <c r="E12" i="10"/>
  <c r="E11" i="10"/>
  <c r="M14" i="8"/>
  <c r="M19" i="8" s="1"/>
  <c r="M14" i="10"/>
  <c r="D72" i="8"/>
  <c r="D59" i="9" s="1"/>
  <c r="C72" i="8"/>
  <c r="C59" i="9" s="1"/>
  <c r="H73" i="9"/>
  <c r="H82" i="9" s="1"/>
  <c r="P73" i="9"/>
  <c r="P82" i="9" s="1"/>
  <c r="C73" i="9"/>
  <c r="C82" i="9" s="1"/>
  <c r="I73" i="9"/>
  <c r="I82" i="9" s="1"/>
  <c r="AB59" i="9"/>
  <c r="AD59" i="9"/>
  <c r="E73" i="9"/>
  <c r="E82" i="9" s="1"/>
  <c r="I20" i="9"/>
  <c r="I24" i="9" s="1"/>
  <c r="I29" i="9" s="1"/>
  <c r="O11" i="9"/>
  <c r="D73" i="9"/>
  <c r="D82" i="9" s="1"/>
  <c r="AC78" i="8"/>
  <c r="O72" i="8"/>
  <c r="O59" i="9" s="1"/>
  <c r="AF72" i="8"/>
  <c r="AF78" i="8"/>
  <c r="K73" i="9"/>
  <c r="K82" i="9" s="1"/>
  <c r="L73" i="9"/>
  <c r="L82" i="9" s="1"/>
  <c r="M73" i="9"/>
  <c r="M82" i="9" s="1"/>
  <c r="D8" i="9" l="1"/>
  <c r="J11" i="10"/>
  <c r="E8" i="9"/>
  <c r="N11" i="10"/>
  <c r="E9" i="9"/>
  <c r="N12" i="10"/>
  <c r="D9" i="9"/>
  <c r="J12" i="10"/>
  <c r="E6" i="9"/>
  <c r="E13" i="10"/>
  <c r="E14" i="10" s="1"/>
  <c r="N9" i="10"/>
  <c r="E7" i="9"/>
  <c r="N10" i="10"/>
  <c r="C6" i="9"/>
  <c r="C10" i="9" s="1"/>
  <c r="C15" i="9" s="1"/>
  <c r="C20" i="9" s="1"/>
  <c r="C24" i="9" s="1"/>
  <c r="C29" i="9" s="1"/>
  <c r="C13" i="10"/>
  <c r="C14" i="10" s="1"/>
  <c r="D6" i="9"/>
  <c r="D13" i="10"/>
  <c r="D14" i="10" s="1"/>
  <c r="J9" i="10"/>
  <c r="D7" i="9"/>
  <c r="J10" i="10"/>
  <c r="AC79" i="8"/>
  <c r="AI79" i="8" s="1"/>
  <c r="AI78" i="8"/>
  <c r="C79" i="8"/>
  <c r="C81" i="8" s="1"/>
  <c r="P25" i="8"/>
  <c r="P29" i="8" s="1"/>
  <c r="P32" i="8" s="1"/>
  <c r="E25" i="8"/>
  <c r="E29" i="8" s="1"/>
  <c r="M20" i="8"/>
  <c r="C25" i="8"/>
  <c r="C29" i="8" s="1"/>
  <c r="D20" i="8"/>
  <c r="M15" i="8"/>
  <c r="N73" i="9"/>
  <c r="N82" i="9" s="1"/>
  <c r="N79" i="8"/>
  <c r="N81" i="8" s="1"/>
  <c r="AC50" i="8"/>
  <c r="AI50" i="8" s="1"/>
  <c r="Y50" i="8"/>
  <c r="P79" i="8"/>
  <c r="P81" i="8" s="1"/>
  <c r="D79" i="8"/>
  <c r="D81" i="8" s="1"/>
  <c r="E79" i="8"/>
  <c r="E81" i="8" s="1"/>
  <c r="AC59" i="9"/>
  <c r="J73" i="9"/>
  <c r="J82" i="9" s="1"/>
  <c r="K11" i="9"/>
  <c r="L12" i="9"/>
  <c r="I12" i="9"/>
  <c r="H12" i="9"/>
  <c r="L20" i="9"/>
  <c r="L24" i="9" s="1"/>
  <c r="L29" i="9" s="1"/>
  <c r="L11" i="9"/>
  <c r="AF50" i="8"/>
  <c r="AF58" i="8" s="1"/>
  <c r="D15" i="8"/>
  <c r="E15" i="8"/>
  <c r="C15" i="8"/>
  <c r="P15" i="8"/>
  <c r="I16" i="9"/>
  <c r="M11" i="9"/>
  <c r="M20" i="9"/>
  <c r="M24" i="9" s="1"/>
  <c r="M29" i="9" s="1"/>
  <c r="M12" i="9"/>
  <c r="O20" i="9"/>
  <c r="O24" i="9" s="1"/>
  <c r="O29" i="9" s="1"/>
  <c r="H20" i="9"/>
  <c r="H24" i="9" s="1"/>
  <c r="H29" i="9" s="1"/>
  <c r="P11" i="9"/>
  <c r="P20" i="9"/>
  <c r="P24" i="9" s="1"/>
  <c r="P29" i="9" s="1"/>
  <c r="P12" i="9"/>
  <c r="G20" i="9"/>
  <c r="G24" i="9" s="1"/>
  <c r="G29" i="9" s="1"/>
  <c r="K20" i="9"/>
  <c r="K24" i="9" s="1"/>
  <c r="K29" i="9" s="1"/>
  <c r="D10" i="9" l="1"/>
  <c r="D15" i="9" s="1"/>
  <c r="J9" i="9"/>
  <c r="AA9" i="9" s="1"/>
  <c r="T12" i="10"/>
  <c r="U12" i="10"/>
  <c r="S12" i="10"/>
  <c r="N7" i="9"/>
  <c r="V10" i="10"/>
  <c r="W10" i="10"/>
  <c r="Y10" i="10"/>
  <c r="X10" i="10"/>
  <c r="J7" i="9"/>
  <c r="AA7" i="9" s="1"/>
  <c r="T10" i="10"/>
  <c r="S10" i="10"/>
  <c r="U10" i="10"/>
  <c r="Y11" i="10"/>
  <c r="N8" i="9"/>
  <c r="V11" i="10"/>
  <c r="W11" i="10"/>
  <c r="X11" i="10"/>
  <c r="Y12" i="10"/>
  <c r="N9" i="9"/>
  <c r="V12" i="10"/>
  <c r="X12" i="10"/>
  <c r="W12" i="10"/>
  <c r="N6" i="9"/>
  <c r="X9" i="10"/>
  <c r="W9" i="10"/>
  <c r="Y9" i="10"/>
  <c r="V9" i="10"/>
  <c r="N13" i="10"/>
  <c r="C16" i="9"/>
  <c r="J6" i="9"/>
  <c r="S9" i="10"/>
  <c r="T9" i="10"/>
  <c r="U9" i="10"/>
  <c r="J13" i="10"/>
  <c r="J8" i="9"/>
  <c r="AA8" i="9" s="1"/>
  <c r="T11" i="10"/>
  <c r="U11" i="10"/>
  <c r="S11" i="10"/>
  <c r="E10" i="9"/>
  <c r="C32" i="8"/>
  <c r="C89" i="8"/>
  <c r="E32" i="8"/>
  <c r="E89" i="8"/>
  <c r="L16" i="9"/>
  <c r="L21" i="9"/>
  <c r="P20" i="8"/>
  <c r="E20" i="8"/>
  <c r="D25" i="8"/>
  <c r="D29" i="8" s="1"/>
  <c r="M25" i="8"/>
  <c r="M29" i="8" s="1"/>
  <c r="M32" i="8" s="1"/>
  <c r="C20" i="8"/>
  <c r="Y58" i="8"/>
  <c r="Y81" i="8" s="1"/>
  <c r="AC58" i="8"/>
  <c r="AF25" i="8"/>
  <c r="AF29" i="8" s="1"/>
  <c r="AF32" i="8" s="1"/>
  <c r="AF89" i="8" s="1"/>
  <c r="C26" i="8"/>
  <c r="P26" i="8"/>
  <c r="AF20" i="8"/>
  <c r="E26" i="8"/>
  <c r="AF79" i="8"/>
  <c r="O79" i="8"/>
  <c r="O81" i="8" s="1"/>
  <c r="AF15" i="8"/>
  <c r="C79" i="9"/>
  <c r="C21" i="9"/>
  <c r="K16" i="9"/>
  <c r="I21" i="9"/>
  <c r="P16" i="9"/>
  <c r="M16" i="9"/>
  <c r="O16" i="9"/>
  <c r="G16" i="9"/>
  <c r="H16" i="9"/>
  <c r="AA11" i="10" l="1"/>
  <c r="M36" i="8"/>
  <c r="V13" i="10"/>
  <c r="V14" i="10" s="1"/>
  <c r="D11" i="9"/>
  <c r="D20" i="9"/>
  <c r="D16" i="9"/>
  <c r="AB7" i="9"/>
  <c r="AC7" i="9"/>
  <c r="AD7" i="9"/>
  <c r="AE7" i="9"/>
  <c r="AG7" i="9" s="1"/>
  <c r="J10" i="9"/>
  <c r="Z6" i="9"/>
  <c r="Z10" i="9" s="1"/>
  <c r="AA6" i="9"/>
  <c r="AA10" i="9" s="1"/>
  <c r="Y6" i="9"/>
  <c r="Y10" i="9" s="1"/>
  <c r="X6" i="9"/>
  <c r="X10" i="9" s="1"/>
  <c r="Y13" i="10"/>
  <c r="AA9" i="10"/>
  <c r="AA12" i="10"/>
  <c r="AB8" i="9"/>
  <c r="AE8" i="9"/>
  <c r="AG8" i="9" s="1"/>
  <c r="AD8" i="9"/>
  <c r="AC8" i="9"/>
  <c r="U13" i="10"/>
  <c r="U14" i="10" s="1"/>
  <c r="T13" i="10"/>
  <c r="T14" i="10" s="1"/>
  <c r="X13" i="10"/>
  <c r="X14" i="10" s="1"/>
  <c r="AC9" i="9"/>
  <c r="AD9" i="9"/>
  <c r="AB9" i="9"/>
  <c r="AE9" i="9"/>
  <c r="AG9" i="9" s="1"/>
  <c r="W13" i="10"/>
  <c r="W14" i="10" s="1"/>
  <c r="E15" i="9"/>
  <c r="E11" i="9"/>
  <c r="S13" i="10"/>
  <c r="S14" i="10" s="1"/>
  <c r="N10" i="9"/>
  <c r="AB6" i="9"/>
  <c r="AD6" i="9"/>
  <c r="AE6" i="9"/>
  <c r="AC6" i="9"/>
  <c r="AA10" i="10"/>
  <c r="D32" i="8"/>
  <c r="D89" i="8"/>
  <c r="AC81" i="8"/>
  <c r="AI58" i="8"/>
  <c r="D26" i="8"/>
  <c r="M26" i="8"/>
  <c r="AF81" i="8"/>
  <c r="AF26" i="8"/>
  <c r="H21" i="9"/>
  <c r="I25" i="9"/>
  <c r="M21" i="9"/>
  <c r="C25" i="9"/>
  <c r="O21" i="9"/>
  <c r="K21" i="9"/>
  <c r="G21" i="9"/>
  <c r="P21" i="9"/>
  <c r="D24" i="9" l="1"/>
  <c r="D21" i="9"/>
  <c r="Z15" i="9"/>
  <c r="Z11" i="9"/>
  <c r="AE10" i="9"/>
  <c r="AG6" i="9"/>
  <c r="AA15" i="9"/>
  <c r="AA11" i="9"/>
  <c r="AD10" i="9"/>
  <c r="AB10" i="9"/>
  <c r="J15" i="9"/>
  <c r="K12" i="9"/>
  <c r="J12" i="9"/>
  <c r="Y14" i="10"/>
  <c r="AA13" i="10"/>
  <c r="N15" i="9"/>
  <c r="O12" i="9"/>
  <c r="N12" i="9"/>
  <c r="N11" i="9"/>
  <c r="E20" i="9"/>
  <c r="E16" i="9"/>
  <c r="X15" i="9"/>
  <c r="X11" i="9"/>
  <c r="AC10" i="9"/>
  <c r="Y15" i="9"/>
  <c r="Y11" i="9"/>
  <c r="H79" i="9" a="1"/>
  <c r="H79" i="9" s="1"/>
  <c r="G79" i="9" a="1"/>
  <c r="G79" i="9" s="1"/>
  <c r="I79" i="9" a="1"/>
  <c r="I79" i="9" s="1"/>
  <c r="L25" i="9"/>
  <c r="G25" i="9"/>
  <c r="K25" i="9"/>
  <c r="H25" i="9"/>
  <c r="L30" i="9"/>
  <c r="L36" i="9"/>
  <c r="L44" i="9" s="1"/>
  <c r="P25" i="9"/>
  <c r="O25" i="9"/>
  <c r="I36" i="9"/>
  <c r="I44" i="9" s="1"/>
  <c r="I30" i="9"/>
  <c r="M25" i="9"/>
  <c r="C81" i="9" a="1"/>
  <c r="C81" i="9" s="1"/>
  <c r="C36" i="9"/>
  <c r="C30" i="9"/>
  <c r="C80" i="9" a="1"/>
  <c r="C80" i="9" s="1"/>
  <c r="C78" i="9"/>
  <c r="C77" i="9"/>
  <c r="X20" i="9" l="1"/>
  <c r="X16" i="9"/>
  <c r="AE15" i="9"/>
  <c r="AE11" i="9"/>
  <c r="AG11" i="9" s="1"/>
  <c r="AG10" i="9"/>
  <c r="N20" i="9"/>
  <c r="N16" i="9"/>
  <c r="AA20" i="9"/>
  <c r="AA16" i="9"/>
  <c r="Z20" i="9"/>
  <c r="Z16" i="9"/>
  <c r="AB15" i="9"/>
  <c r="AB11" i="9"/>
  <c r="AC11" i="9"/>
  <c r="AC15" i="9"/>
  <c r="E24" i="9"/>
  <c r="E21" i="9"/>
  <c r="J20" i="9"/>
  <c r="J16" i="9"/>
  <c r="Y16" i="9"/>
  <c r="Y20" i="9"/>
  <c r="AD15" i="9"/>
  <c r="AD11" i="9"/>
  <c r="D29" i="9"/>
  <c r="D25" i="9"/>
  <c r="U89" i="8"/>
  <c r="U104" i="8" s="1"/>
  <c r="T89" i="8"/>
  <c r="T104" i="8" s="1"/>
  <c r="S89" i="8"/>
  <c r="S104" i="8" s="1"/>
  <c r="V89" i="8"/>
  <c r="H81" i="9" a="1"/>
  <c r="H81" i="9" s="1"/>
  <c r="H80" i="9" a="1"/>
  <c r="H80" i="9" s="1"/>
  <c r="H77" i="9"/>
  <c r="H78" i="9"/>
  <c r="G80" i="9" a="1"/>
  <c r="G80" i="9" s="1"/>
  <c r="K36" i="9"/>
  <c r="K44" i="9" s="1"/>
  <c r="K30" i="9"/>
  <c r="I80" i="9" a="1"/>
  <c r="I80" i="9" s="1"/>
  <c r="I81" i="9" a="1"/>
  <c r="I81" i="9" s="1"/>
  <c r="I77" i="9"/>
  <c r="I78" i="9"/>
  <c r="G77" i="9"/>
  <c r="O36" i="9"/>
  <c r="O44" i="9" s="1"/>
  <c r="O30" i="9"/>
  <c r="H36" i="9"/>
  <c r="H44" i="9" s="1"/>
  <c r="H30" i="9"/>
  <c r="G81" i="9" a="1"/>
  <c r="G81" i="9" s="1"/>
  <c r="C45" i="9"/>
  <c r="M30" i="9"/>
  <c r="M36" i="9"/>
  <c r="M44" i="9" s="1"/>
  <c r="G36" i="9"/>
  <c r="G30" i="9"/>
  <c r="P30" i="9"/>
  <c r="P36" i="9"/>
  <c r="P44" i="9" s="1"/>
  <c r="G78" i="9"/>
  <c r="D79" i="9" l="1"/>
  <c r="D30" i="9"/>
  <c r="D78" i="9"/>
  <c r="D36" i="9"/>
  <c r="D77" i="9"/>
  <c r="D80" i="9" a="1"/>
  <c r="D80" i="9" s="1"/>
  <c r="D81" i="9" a="1"/>
  <c r="D81" i="9" s="1"/>
  <c r="AD20" i="9"/>
  <c r="AD16" i="9"/>
  <c r="N24" i="9"/>
  <c r="N21" i="9"/>
  <c r="AA21" i="9"/>
  <c r="AA24" i="9"/>
  <c r="AC20" i="9"/>
  <c r="AC16" i="9"/>
  <c r="Y24" i="9"/>
  <c r="Y21" i="9"/>
  <c r="AB16" i="9"/>
  <c r="AB20" i="9"/>
  <c r="AE20" i="9"/>
  <c r="AE16" i="9"/>
  <c r="AG16" i="9" s="1"/>
  <c r="AG15" i="9"/>
  <c r="E29" i="9"/>
  <c r="E25" i="9"/>
  <c r="Z21" i="9"/>
  <c r="Z24" i="9"/>
  <c r="J24" i="9"/>
  <c r="J21" i="9"/>
  <c r="X24" i="9"/>
  <c r="X21" i="9"/>
  <c r="U127" i="8"/>
  <c r="S127" i="8"/>
  <c r="T127" i="8"/>
  <c r="V127" i="8"/>
  <c r="U44" i="9"/>
  <c r="U45" i="9" s="1"/>
  <c r="W44" i="9"/>
  <c r="W45" i="9" s="1"/>
  <c r="V44" i="9"/>
  <c r="V45" i="9" s="1"/>
  <c r="O45" i="9"/>
  <c r="P45" i="9"/>
  <c r="M45" i="9"/>
  <c r="L45" i="9"/>
  <c r="G45" i="9"/>
  <c r="I45" i="9"/>
  <c r="E79" i="9" l="1"/>
  <c r="E36" i="9"/>
  <c r="E80" i="9" a="1"/>
  <c r="E80" i="9" s="1"/>
  <c r="E77" i="9"/>
  <c r="E30" i="9"/>
  <c r="E81" i="9" a="1"/>
  <c r="E81" i="9" s="1"/>
  <c r="E78" i="9"/>
  <c r="AD24" i="9"/>
  <c r="AD21" i="9"/>
  <c r="AA29" i="9"/>
  <c r="AA25" i="9"/>
  <c r="Y29" i="9"/>
  <c r="Y25" i="9"/>
  <c r="AC24" i="9"/>
  <c r="AC21" i="9"/>
  <c r="D44" i="9"/>
  <c r="D45" i="9" s="1"/>
  <c r="J29" i="9"/>
  <c r="J25" i="9"/>
  <c r="AB24" i="9"/>
  <c r="AB21" i="9"/>
  <c r="Z29" i="9"/>
  <c r="Z25" i="9"/>
  <c r="N29" i="9"/>
  <c r="N25" i="9"/>
  <c r="X25" i="9"/>
  <c r="X29" i="9"/>
  <c r="AE24" i="9"/>
  <c r="AE21" i="9"/>
  <c r="AG21" i="9" s="1"/>
  <c r="AG20" i="9"/>
  <c r="T44" i="9"/>
  <c r="T45" i="9" s="1"/>
  <c r="S44" i="9"/>
  <c r="S45" i="9" s="1"/>
  <c r="H45" i="9"/>
  <c r="K45" i="9"/>
  <c r="AE29" i="9" l="1"/>
  <c r="AG24" i="9"/>
  <c r="AE25" i="9"/>
  <c r="AG25" i="9" s="1"/>
  <c r="Z79" i="9"/>
  <c r="Z77" i="9"/>
  <c r="Z78" i="9"/>
  <c r="Z81" i="9" a="1"/>
  <c r="Z81" i="9" s="1"/>
  <c r="Z80" i="9" a="1"/>
  <c r="Z80" i="9" s="1"/>
  <c r="Z30" i="9"/>
  <c r="Z36" i="9"/>
  <c r="AC29" i="9"/>
  <c r="AC25" i="9"/>
  <c r="AB29" i="9"/>
  <c r="AB25" i="9"/>
  <c r="Y80" i="9" a="1"/>
  <c r="Y80" i="9" s="1"/>
  <c r="Y79" i="9"/>
  <c r="Y78" i="9"/>
  <c r="Y30" i="9"/>
  <c r="Y36" i="9"/>
  <c r="Y77" i="9"/>
  <c r="Y81" i="9" a="1"/>
  <c r="Y81" i="9" s="1"/>
  <c r="X78" i="9"/>
  <c r="X77" i="9"/>
  <c r="X36" i="9"/>
  <c r="X79" i="9"/>
  <c r="X80" i="9" a="1"/>
  <c r="X80" i="9" s="1"/>
  <c r="X30" i="9"/>
  <c r="X81" i="9" a="1"/>
  <c r="X81" i="9" s="1"/>
  <c r="Q81" i="9" a="1"/>
  <c r="Q81" i="9" s="1"/>
  <c r="N36" i="9"/>
  <c r="Q77" i="9"/>
  <c r="N79" i="9" a="1"/>
  <c r="N79" i="9" s="1"/>
  <c r="Q79" i="9" a="1"/>
  <c r="Q79" i="9" s="1"/>
  <c r="P79" i="9" a="1"/>
  <c r="P79" i="9" s="1"/>
  <c r="N30" i="9"/>
  <c r="O79" i="9" a="1"/>
  <c r="O79" i="9" s="1"/>
  <c r="Q80" i="9" a="1"/>
  <c r="Q80" i="9" s="1"/>
  <c r="Q78" i="9"/>
  <c r="O78" i="9"/>
  <c r="N81" i="9" a="1"/>
  <c r="N81" i="9" s="1"/>
  <c r="O81" i="9" a="1"/>
  <c r="O81" i="9" s="1"/>
  <c r="P81" i="9" a="1"/>
  <c r="P81" i="9" s="1"/>
  <c r="P77" i="9"/>
  <c r="O80" i="9" a="1"/>
  <c r="O80" i="9" s="1"/>
  <c r="P80" i="9" a="1"/>
  <c r="P80" i="9" s="1"/>
  <c r="P78" i="9"/>
  <c r="N77" i="9"/>
  <c r="N78" i="9"/>
  <c r="N80" i="9" a="1"/>
  <c r="N80" i="9" s="1"/>
  <c r="O77" i="9"/>
  <c r="AD29" i="9"/>
  <c r="AD25" i="9"/>
  <c r="J79" i="9" a="1"/>
  <c r="J79" i="9" s="1"/>
  <c r="M79" i="9" a="1"/>
  <c r="M79" i="9" s="1"/>
  <c r="J30" i="9"/>
  <c r="L81" i="9" a="1"/>
  <c r="L81" i="9" s="1"/>
  <c r="L79" i="9" a="1"/>
  <c r="L79" i="9" s="1"/>
  <c r="K79" i="9" a="1"/>
  <c r="K79" i="9" s="1"/>
  <c r="J36" i="9"/>
  <c r="K81" i="9" a="1"/>
  <c r="K81" i="9" s="1"/>
  <c r="M78" i="9"/>
  <c r="J80" i="9" a="1"/>
  <c r="J80" i="9" s="1"/>
  <c r="J81" i="9" a="1"/>
  <c r="J81" i="9" s="1"/>
  <c r="L78" i="9"/>
  <c r="L77" i="9"/>
  <c r="J78" i="9"/>
  <c r="K80" i="9" a="1"/>
  <c r="K80" i="9" s="1"/>
  <c r="K77" i="9"/>
  <c r="K78" i="9"/>
  <c r="M81" i="9" a="1"/>
  <c r="M81" i="9" s="1"/>
  <c r="M80" i="9" a="1"/>
  <c r="M80" i="9" s="1"/>
  <c r="L80" i="9" a="1"/>
  <c r="L80" i="9" s="1"/>
  <c r="M77" i="9"/>
  <c r="J77" i="9"/>
  <c r="AA79" i="9"/>
  <c r="AA77" i="9"/>
  <c r="AA78" i="9"/>
  <c r="AA81" i="9" a="1"/>
  <c r="AA81" i="9" s="1"/>
  <c r="AA80" i="9" a="1"/>
  <c r="AA80" i="9" s="1"/>
  <c r="AA30" i="9"/>
  <c r="AA36" i="9"/>
  <c r="E44" i="9"/>
  <c r="E45" i="9" s="1"/>
  <c r="C123" i="8"/>
  <c r="N44" i="9" l="1"/>
  <c r="N45" i="9" s="1"/>
  <c r="AB77" i="9"/>
  <c r="AB79" i="9"/>
  <c r="AB78" i="9"/>
  <c r="AB80" i="9" a="1"/>
  <c r="AB80" i="9" s="1"/>
  <c r="AB30" i="9"/>
  <c r="AB81" i="9" a="1"/>
  <c r="AB81" i="9" s="1"/>
  <c r="AB36" i="9"/>
  <c r="J44" i="9"/>
  <c r="J45" i="9" s="1"/>
  <c r="AD79" i="9"/>
  <c r="AD81" i="9" a="1"/>
  <c r="AD81" i="9" s="1"/>
  <c r="AD80" i="9" a="1"/>
  <c r="AD80" i="9" s="1"/>
  <c r="AD78" i="9"/>
  <c r="AD30" i="9"/>
  <c r="AD77" i="9"/>
  <c r="AD36" i="9"/>
  <c r="AC81" i="9" a="1"/>
  <c r="AC81" i="9" s="1"/>
  <c r="AC36" i="9"/>
  <c r="AC80" i="9" a="1"/>
  <c r="AC80" i="9" s="1"/>
  <c r="AC77" i="9"/>
  <c r="AC30" i="9"/>
  <c r="AC78" i="9"/>
  <c r="AC79" i="9"/>
  <c r="AE79" i="9"/>
  <c r="AG29" i="9"/>
  <c r="AE80" i="9" a="1"/>
  <c r="AE80" i="9" s="1"/>
  <c r="AE30" i="9"/>
  <c r="AG30" i="9" s="1"/>
  <c r="AE78" i="9"/>
  <c r="AE81" i="9" a="1"/>
  <c r="AE81" i="9" s="1"/>
  <c r="AE36" i="9"/>
  <c r="AG36" i="9" s="1"/>
  <c r="AE77" i="9"/>
  <c r="S121" i="8"/>
  <c r="S123" i="8" s="1"/>
  <c r="S128" i="8" s="1"/>
  <c r="S130" i="8" s="1"/>
  <c r="Z44" i="9" l="1"/>
  <c r="Z45" i="9" s="1"/>
  <c r="Y44" i="9"/>
  <c r="Y45" i="9" s="1"/>
  <c r="X44" i="9"/>
  <c r="X45" i="9" s="1"/>
  <c r="AA44" i="9"/>
  <c r="AA45" i="9" s="1"/>
  <c r="AD44" i="9"/>
  <c r="AD45" i="9" s="1"/>
  <c r="AC44" i="9"/>
  <c r="AC45" i="9" s="1"/>
  <c r="AE44" i="9"/>
  <c r="AE45" i="9" s="1"/>
  <c r="AB44" i="9"/>
  <c r="AB45" i="9" s="1"/>
  <c r="T121" i="8"/>
  <c r="T123" i="8" s="1"/>
  <c r="T128" i="8" s="1"/>
  <c r="T130" i="8" s="1"/>
  <c r="U121" i="8" l="1"/>
  <c r="U123" i="8" s="1"/>
  <c r="U128" i="8" s="1"/>
  <c r="U130" i="8" s="1"/>
  <c r="V121" i="8" l="1"/>
  <c r="W121" i="8" l="1"/>
  <c r="X121" i="8" l="1"/>
  <c r="Y121" i="8" l="1"/>
  <c r="Z121" i="8" l="1"/>
  <c r="V123" i="8"/>
  <c r="W123" i="8" l="1"/>
  <c r="O11" i="8" l="1"/>
  <c r="O14" i="8" l="1"/>
  <c r="O19" i="8" s="1"/>
  <c r="O14" i="10"/>
  <c r="O25" i="8" l="1"/>
  <c r="O29" i="8" s="1"/>
  <c r="O32" i="8" s="1"/>
  <c r="O15" i="8"/>
  <c r="O20" i="8" l="1"/>
  <c r="O26" i="8"/>
  <c r="V11" i="8" l="1"/>
  <c r="V14" i="8" s="1"/>
  <c r="X11" i="8"/>
  <c r="X14" i="8" s="1"/>
  <c r="N11" i="8"/>
  <c r="W11" i="8"/>
  <c r="W14" i="8" l="1"/>
  <c r="N14" i="8"/>
  <c r="N19" i="8" s="1"/>
  <c r="N14" i="10"/>
  <c r="X19" i="8"/>
  <c r="V19" i="8"/>
  <c r="N15" i="8" l="1"/>
  <c r="N25" i="8"/>
  <c r="N29" i="8" s="1"/>
  <c r="N32" i="8" s="1"/>
  <c r="W19" i="8"/>
  <c r="W20" i="8" s="1"/>
  <c r="W15" i="8"/>
  <c r="X25" i="8"/>
  <c r="X32" i="8" s="1"/>
  <c r="X15" i="8"/>
  <c r="V15" i="8"/>
  <c r="V25" i="8"/>
  <c r="V32" i="8" s="1"/>
  <c r="V39" i="8" l="1"/>
  <c r="V36" i="8"/>
  <c r="X39" i="8"/>
  <c r="X36" i="8"/>
  <c r="W25" i="8"/>
  <c r="W32" i="8" s="1"/>
  <c r="N20" i="8"/>
  <c r="N26" i="8"/>
  <c r="V20" i="8"/>
  <c r="X20" i="8"/>
  <c r="W39" i="8" l="1"/>
  <c r="W36" i="8"/>
  <c r="W26" i="8"/>
  <c r="W29" i="8" s="1"/>
  <c r="X26" i="8"/>
  <c r="X29" i="8" s="1"/>
  <c r="V26" i="8"/>
  <c r="V29" i="8" s="1"/>
  <c r="W33" i="8"/>
  <c r="V104" i="8" l="1"/>
  <c r="V33" i="8"/>
  <c r="X33" i="8"/>
  <c r="V128" i="8" l="1"/>
  <c r="V130" i="8" s="1"/>
  <c r="X123" i="8"/>
  <c r="X128" i="8" s="1"/>
  <c r="X130" i="8" s="1"/>
  <c r="Y123" i="8" l="1"/>
  <c r="Y128" i="8" s="1"/>
  <c r="Y130" i="8" s="1"/>
  <c r="Z123" i="8" l="1"/>
  <c r="Z128" i="8" s="1"/>
  <c r="Z130" i="8" s="1"/>
  <c r="W128" i="8" l="1"/>
  <c r="W130" i="8" s="1"/>
  <c r="E33" i="8"/>
  <c r="E36" i="8"/>
  <c r="E39" i="8"/>
  <c r="E104" i="8"/>
  <c r="E127" i="8" s="1"/>
  <c r="C33" i="8"/>
  <c r="D33" i="8"/>
  <c r="C36" i="8"/>
  <c r="D36" i="8"/>
  <c r="C39" i="8"/>
  <c r="D39" i="8"/>
  <c r="C104" i="8"/>
  <c r="C127" i="8" s="1"/>
  <c r="C128" i="8" s="1"/>
  <c r="D104" i="8"/>
  <c r="D127" i="8" s="1"/>
  <c r="D121" i="8" l="1"/>
  <c r="C130" i="8"/>
  <c r="G33" i="8"/>
  <c r="H33" i="8"/>
  <c r="I33" i="8"/>
  <c r="J33" i="8"/>
  <c r="K33" i="8"/>
  <c r="L33" i="8"/>
  <c r="M33" i="8"/>
  <c r="N33" i="8"/>
  <c r="O33" i="8"/>
  <c r="P33" i="8"/>
  <c r="Q33" i="8"/>
  <c r="G36" i="8"/>
  <c r="H36" i="8"/>
  <c r="I36" i="8"/>
  <c r="J36" i="8"/>
  <c r="K36" i="8"/>
  <c r="L36" i="8"/>
  <c r="N36" i="8"/>
  <c r="O36" i="8"/>
  <c r="P36" i="8"/>
  <c r="Q36" i="8"/>
  <c r="G39" i="8"/>
  <c r="H39" i="8"/>
  <c r="I39" i="8"/>
  <c r="J39" i="8"/>
  <c r="K39" i="8"/>
  <c r="L39" i="8"/>
  <c r="M39" i="8"/>
  <c r="N39" i="8"/>
  <c r="O39" i="8"/>
  <c r="P39" i="8"/>
  <c r="Q39" i="8"/>
  <c r="AA89" i="8"/>
  <c r="AA104" i="8" s="1"/>
  <c r="AB89" i="8"/>
  <c r="AB104" i="8" s="1"/>
  <c r="M104" i="8"/>
  <c r="M127" i="8" s="1"/>
  <c r="O104" i="8"/>
  <c r="O127" i="8" s="1"/>
  <c r="P104" i="8"/>
  <c r="P127" i="8" s="1"/>
  <c r="Q104" i="8"/>
  <c r="Q127" i="8" s="1"/>
  <c r="J104" i="8"/>
  <c r="J127" i="8" s="1"/>
  <c r="K127" i="8"/>
  <c r="D123" i="8" l="1"/>
  <c r="D128" i="8" s="1"/>
  <c r="D130" i="8" s="1"/>
  <c r="G123" i="8"/>
  <c r="AD104" i="8"/>
  <c r="AC104" i="8"/>
  <c r="I104" i="8"/>
  <c r="I127" i="8" s="1"/>
  <c r="H104" i="8"/>
  <c r="H127" i="8" s="1"/>
  <c r="W89" i="8"/>
  <c r="W104" i="8" s="1"/>
  <c r="X89" i="8"/>
  <c r="X104" i="8" s="1"/>
  <c r="Y89" i="8"/>
  <c r="Y104" i="8" s="1"/>
  <c r="Z89" i="8"/>
  <c r="Z104" i="8" s="1"/>
  <c r="AF104" i="8"/>
  <c r="AE104" i="8"/>
  <c r="N104" i="8"/>
  <c r="N127" i="8" s="1"/>
  <c r="L104" i="8"/>
  <c r="L127" i="8" s="1"/>
  <c r="AA127" i="8" l="1"/>
  <c r="E121" i="8"/>
  <c r="E123" i="8" s="1"/>
  <c r="E128" i="8" s="1"/>
  <c r="E130" i="8" s="1"/>
  <c r="W127" i="8"/>
  <c r="X127" i="8"/>
  <c r="Y127" i="8"/>
  <c r="Z127" i="8"/>
  <c r="G128" i="8"/>
  <c r="G130" i="8" s="1"/>
  <c r="AG104" i="8"/>
  <c r="AI104" i="8" s="1"/>
  <c r="AI89" i="8"/>
  <c r="AD127" i="8"/>
  <c r="AE127" i="8"/>
  <c r="AC127" i="8"/>
  <c r="AB127" i="8"/>
  <c r="AF127" i="8"/>
  <c r="AG127" i="8"/>
  <c r="H121" i="8" l="1"/>
  <c r="H123" i="8" s="1"/>
  <c r="H128" i="8" s="1"/>
  <c r="AA121" i="8"/>
  <c r="AA123" i="8" s="1"/>
  <c r="AA128" i="8" s="1"/>
  <c r="AA130" i="8" s="1"/>
  <c r="I121" i="8" l="1"/>
  <c r="I123" i="8" s="1"/>
  <c r="I128" i="8" s="1"/>
  <c r="AB121" i="8"/>
  <c r="AB123" i="8" s="1"/>
  <c r="AB128" i="8" s="1"/>
  <c r="AB130" i="8" s="1"/>
  <c r="H130" i="8"/>
  <c r="AC121" i="8" l="1"/>
  <c r="AC123" i="8" s="1"/>
  <c r="AC128" i="8" s="1"/>
  <c r="AC130" i="8" s="1"/>
  <c r="I130" i="8"/>
  <c r="J121" i="8"/>
  <c r="J123" i="8" s="1"/>
  <c r="J128" i="8" s="1"/>
  <c r="AD121" i="8" l="1"/>
  <c r="AD123" i="8" s="1"/>
  <c r="AD128" i="8" s="1"/>
  <c r="AD130" i="8" s="1"/>
  <c r="J130" i="8"/>
  <c r="K121" i="8"/>
  <c r="K123" i="8" s="1"/>
  <c r="K128" i="8" s="1"/>
  <c r="K130" i="8" s="1"/>
  <c r="L121" i="8" l="1"/>
  <c r="L123" i="8" s="1"/>
  <c r="L128" i="8" s="1"/>
  <c r="AE121" i="8"/>
  <c r="AE123" i="8" s="1"/>
  <c r="AE128" i="8" s="1"/>
  <c r="AE130" i="8" s="1"/>
  <c r="M121" i="8" l="1"/>
  <c r="M123" i="8" s="1"/>
  <c r="M128" i="8" s="1"/>
  <c r="AF121" i="8"/>
  <c r="AF123" i="8" s="1"/>
  <c r="AF128" i="8" s="1"/>
  <c r="AF130" i="8" s="1"/>
  <c r="L130" i="8"/>
  <c r="N121" i="8" l="1"/>
  <c r="N123" i="8" s="1"/>
  <c r="N128" i="8" s="1"/>
  <c r="AG121" i="8"/>
  <c r="AG123" i="8" s="1"/>
  <c r="AG128" i="8" s="1"/>
  <c r="AG130" i="8" s="1"/>
  <c r="M130" i="8"/>
  <c r="O121" i="8" l="1"/>
  <c r="O123" i="8" s="1"/>
  <c r="O128" i="8" s="1"/>
  <c r="N130" i="8"/>
  <c r="P121" i="8" l="1"/>
  <c r="P123" i="8" s="1"/>
  <c r="P128" i="8" s="1"/>
  <c r="O130" i="8"/>
  <c r="Q121" i="8" l="1"/>
  <c r="Q123" i="8" s="1"/>
  <c r="Q128" i="8" s="1"/>
  <c r="Q130" i="8" s="1"/>
  <c r="P130" i="8"/>
  <c r="AI32" i="8"/>
  <c r="AC33" i="8"/>
  <c r="AD33" i="8"/>
  <c r="AE33" i="8"/>
  <c r="AF33" i="8"/>
  <c r="AG33" i="8"/>
  <c r="AI33" i="8" s="1"/>
  <c r="AC36" i="8"/>
  <c r="AD36" i="8"/>
  <c r="AE36" i="8"/>
  <c r="AF36" i="8"/>
  <c r="AG36" i="8"/>
  <c r="AC39" i="8"/>
  <c r="AD39" i="8"/>
  <c r="AE39" i="8"/>
  <c r="AF39" i="8"/>
  <c r="AG39" i="8"/>
  <c r="AI36" i="8" l="1"/>
  <c r="AI39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<sst xmlns="http://schemas.openxmlformats.org/spreadsheetml/2006/main" count="228" uniqueCount="179">
  <si>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</si>
  <si>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</si>
  <si>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</si>
  <si>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</si>
  <si>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</si>
  <si>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</si>
  <si>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</si>
  <si>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</si>
  <si>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</si>
  <si>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</si>
  <si>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</si>
  <si>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</si>
  <si>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</si>
  <si>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Accounts payable</t>
  </si>
  <si>
    <t>Changes in assets and liabilities:</t>
  </si>
  <si>
    <t>Cash-Flows Statement</t>
  </si>
  <si>
    <t>Other current assets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</si>
  <si>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</si>
  <si>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</si>
  <si>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</si>
  <si>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</si>
  <si>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</si>
  <si>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</si>
  <si>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</si>
  <si>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</si>
  <si>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</si>
  <si>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</si>
  <si>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</si>
  <si>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</si>
  <si>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</si>
  <si>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</si>
  <si>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</si>
  <si>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</si>
  <si>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</si>
  <si>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</si>
  <si>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</si>
  <si>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</si>
  <si>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</si>
  <si>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</si>
  <si>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</si>
  <si>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</si>
  <si>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</si>
  <si>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</si>
  <si>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</si>
  <si>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</si>
  <si>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</si>
  <si>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</si>
  <si>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</si>
  <si>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</si>
  <si>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</si>
  <si>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</si>
  <si>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</si>
  <si>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</si>
  <si>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</si>
  <si>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Cash flows from investing activities:</t>
  </si>
  <si>
    <t>Cash flows from financing activities: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</si>
  <si>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</si>
  <si>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</si>
  <si>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</si>
  <si>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</si>
  <si>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</si>
  <si>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</si>
  <si>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</si>
  <si>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</si>
  <si>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</si>
  <si>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</si>
  <si>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</si>
  <si>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</si>
  <si>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</si>
  <si>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</si>
  <si>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</si>
  <si>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</si>
  <si>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</si>
  <si>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</si>
  <si>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</si>
  <si>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</si>
  <si>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</si>
  <si>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</si>
  <si>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</si>
  <si>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</si>
  <si>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</si>
  <si>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</si>
  <si>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</si>
  <si>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</si>
  <si>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</si>
  <si>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EOP FX Adjustment</t>
  </si>
  <si>
    <t>Deferred income taxes</t>
  </si>
  <si>
    <t>Retained earnings</t>
  </si>
  <si>
    <t>Purchases of property and equipment</t>
  </si>
  <si>
    <t>Disaggregated Revenues</t>
  </si>
  <si>
    <t>Offerings Drivers</t>
  </si>
  <si>
    <t>Variance Check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</si>
  <si>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</si>
  <si>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</si>
  <si>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</si>
  <si>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</si>
  <si>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</si>
  <si>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</si>
  <si>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</si>
  <si>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</si>
  <si>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</si>
  <si>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</si>
  <si>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Long-term debt</t>
  </si>
  <si>
    <t>Interest paid</t>
  </si>
  <si>
    <t>BOP Restricted Cash Adjustment</t>
  </si>
  <si>
    <t>$ in thousands except per share</t>
  </si>
  <si>
    <t>(+/-) Proceeds / (Purchases) of ST Investments</t>
  </si>
  <si>
    <t>(-) Proceeds From Equity Issuances / (Share Repurchases)</t>
  </si>
  <si>
    <t>(-) 'Proceeds from issuance of Debt / (Repayment), net</t>
  </si>
  <si>
    <t>(+/-) Changes in Additions to content assets</t>
  </si>
  <si>
    <t>(+/-) Changes in Other Financing Activities</t>
  </si>
  <si>
    <t>Summary Debt:</t>
  </si>
  <si>
    <t>CPLTD</t>
  </si>
  <si>
    <t>LTD</t>
  </si>
  <si>
    <t>Cost of Revenue</t>
  </si>
  <si>
    <t>XXX</t>
  </si>
  <si>
    <t>(-) Cost of Revenues</t>
  </si>
  <si>
    <t>(+) Depreciation and Amortization</t>
  </si>
  <si>
    <t>Advance Autoparts (NASDAQ: AAP)</t>
  </si>
  <si>
    <t>Interest expense</t>
  </si>
  <si>
    <t>Loss on early redemptions of senior unsecured notes</t>
  </si>
  <si>
    <t>Other income (expense), net</t>
  </si>
  <si>
    <t>Net Income</t>
  </si>
  <si>
    <t>Receivables, net</t>
  </si>
  <si>
    <t>Inventories, net</t>
  </si>
  <si>
    <t>Operating lease right-of-use assets</t>
  </si>
  <si>
    <t>Goodwill</t>
  </si>
  <si>
    <t>Other intangible assets, net</t>
  </si>
  <si>
    <t>Other assets</t>
  </si>
  <si>
    <t>Non-current operating lease liabilities</t>
  </si>
  <si>
    <t>Other long-term liabilities</t>
  </si>
  <si>
    <t>Accrued expenses</t>
  </si>
  <si>
    <t>Current portion of long-term debt</t>
  </si>
  <si>
    <t>Other current liabilities</t>
  </si>
  <si>
    <t>Accumulated other comprehensive loss</t>
  </si>
  <si>
    <t>Treasury stock</t>
  </si>
  <si>
    <t>Depreciation and amortization</t>
  </si>
  <si>
    <t>Share-based compensation</t>
  </si>
  <si>
    <t>Provision for deferred income taxes</t>
  </si>
  <si>
    <t>Other, net</t>
  </si>
  <si>
    <t>Inventories</t>
  </si>
  <si>
    <t>Other assets and liabilities, net</t>
  </si>
  <si>
    <t>Purchase of intangible asset</t>
  </si>
  <si>
    <t>Proceeds from sales of property and equipment</t>
  </si>
  <si>
    <t>Dividends paid</t>
  </si>
  <si>
    <t>Selling, general and administrative expense</t>
  </si>
  <si>
    <t>Restructuring and related expenses</t>
  </si>
  <si>
    <t>Benefit (Provision) for income taxes</t>
  </si>
  <si>
    <t xml:space="preserve">Net (loss) income from continuing operations	</t>
  </si>
  <si>
    <t>Net income from discontinued operations</t>
  </si>
  <si>
    <t>Net income (loss) from Continuing Operations</t>
  </si>
  <si>
    <t>Net Cash Used in Continuing Operating Activities</t>
  </si>
  <si>
    <t>Net Cash Provided by Continuing Financing Activities</t>
  </si>
  <si>
    <t>Net Cash Used in Continuing Investing Activities</t>
  </si>
  <si>
    <t>Net Cash Used in Discontinued Investing Activities</t>
  </si>
  <si>
    <t>Net Cash Used in Discontinued Operating Activities</t>
  </si>
  <si>
    <t xml:space="preserve">Purchase of noncontrolling interests	</t>
  </si>
  <si>
    <t>EOP Discontinued Operations Cash Adjustment</t>
  </si>
  <si>
    <t xml:space="preserve">Income taxes paid </t>
  </si>
  <si>
    <t xml:space="preserve">Parts and Batteries </t>
  </si>
  <si>
    <t xml:space="preserve">Accessories and Chemicals </t>
  </si>
  <si>
    <t xml:space="preserve">Engine Maintenance </t>
  </si>
  <si>
    <t xml:space="preserve">Other </t>
  </si>
  <si>
    <t>5.90% Senior Unsecured Notes</t>
  </si>
  <si>
    <t>1.75% Senior Unsecured Notes</t>
  </si>
  <si>
    <t>5.95% Senior Unsecured Notes</t>
  </si>
  <si>
    <t>3.90% Senior Unsecured Notes</t>
  </si>
  <si>
    <t>3.50% Senior Unsecured Notes</t>
  </si>
  <si>
    <t>(-) Selling, general and administrative expense</t>
  </si>
  <si>
    <t>(-) Restructuring and related expenses</t>
  </si>
  <si>
    <t>(+) Share-Based Compensation (SBC)</t>
  </si>
  <si>
    <t>(+) Restructuring and Related Expenses</t>
  </si>
  <si>
    <t>Accounts Receivables</t>
  </si>
  <si>
    <t>Property and Equipment</t>
  </si>
  <si>
    <t>Property and equipment</t>
  </si>
  <si>
    <t>Common stock &amp; Additional paid-in capital</t>
  </si>
  <si>
    <t>(Gain) Loss and impairment of long-lived assets</t>
  </si>
  <si>
    <t>Proceeds from Debt Issuances / (Repayment)</t>
  </si>
  <si>
    <t>Proceeds from Equity Issuances / (Repurchases)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</si>
</sst>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  <numFmt numFmtId="172" formatCode="_(* #,##0.000_);_(* \(#,##0.000\);_(* &quot;-&quot;_);_(@_)"/>
    <numFmt numFmtId="174" formatCode="&quot;$&quot;#,##0.000_);\(&quot;$&quot;#,##0.000\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sz val="8"/>
      <color rgb="FF0000CC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79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41" fontId="8" fillId="5" borderId="2" xfId="0" applyNumberFormat="1" applyFont="1" applyFill="1" applyBorder="1" applyAlignment="1">
      <alignment horizontal="right" vertical="top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5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4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5" borderId="0" xfId="0" applyNumberFormat="1" applyFont="1" applyFill="1" applyAlignment="1">
      <alignment horizontal="right" vertical="top" wrapText="1"/>
    </xf>
    <xf numFmtId="41" fontId="6" fillId="0" borderId="10" xfId="0" applyNumberFormat="1" applyFont="1" applyBorder="1" applyAlignment="1">
      <alignment horizontal="right" vertical="top" wrapText="1"/>
    </xf>
    <xf numFmtId="41" fontId="8" fillId="5" borderId="10" xfId="0" applyNumberFormat="1" applyFont="1" applyFill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1" fontId="6" fillId="5" borderId="10" xfId="0" applyNumberFormat="1" applyFont="1" applyFill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166" fontId="9" fillId="0" borderId="0" xfId="1" applyNumberFormat="1" applyFont="1" applyFill="1" applyBorder="1" applyAlignment="1">
      <alignment horizontal="right" vertical="center" wrapText="1"/>
    </xf>
    <xf numFmtId="9" fontId="31" fillId="0" borderId="0" xfId="1" applyFont="1" applyBorder="1"/>
    <xf numFmtId="9" fontId="31" fillId="0" borderId="6" xfId="1" applyFont="1" applyBorder="1"/>
    <xf numFmtId="0" fontId="4" fillId="0" borderId="6" xfId="0" applyFont="1" applyBorder="1"/>
    <xf numFmtId="9" fontId="31" fillId="0" borderId="2" xfId="1" applyFont="1" applyBorder="1"/>
    <xf numFmtId="0" fontId="4" fillId="0" borderId="2" xfId="0" applyFont="1" applyBorder="1"/>
    <xf numFmtId="0" fontId="23" fillId="9" borderId="15" xfId="0" applyFont="1" applyFill="1" applyBorder="1"/>
    <xf numFmtId="0" fontId="23" fillId="9" borderId="16" xfId="0" applyFont="1" applyFill="1" applyBorder="1"/>
    <xf numFmtId="0" fontId="23" fillId="9" borderId="17" xfId="0" applyFont="1" applyFill="1" applyBorder="1"/>
    <xf numFmtId="9" fontId="32" fillId="0" borderId="2" xfId="1" applyFont="1" applyBorder="1"/>
    <xf numFmtId="9" fontId="32" fillId="0" borderId="0" xfId="1" applyFont="1" applyBorder="1"/>
    <xf numFmtId="9" fontId="32" fillId="0" borderId="6" xfId="1" applyFont="1" applyBorder="1"/>
    <xf numFmtId="41" fontId="6" fillId="0" borderId="0" xfId="0" applyNumberFormat="1" applyFont="1" applyAlignment="1">
      <alignment vertical="center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172" fontId="6" fillId="0" borderId="0" xfId="0" applyNumberFormat="1" applyFont="1" applyAlignment="1">
      <alignment horizontal="right" vertical="top" wrapText="1"/>
    </xf>
    <xf numFmtId="174" fontId="8" fillId="3" borderId="2" xfId="0" applyNumberFormat="1" applyFont="1" applyFill="1" applyBorder="1" applyAlignment="1">
      <alignment horizontal="right" vertical="top" wrapText="1"/>
    </xf>
    <xf numFmtId="172" fontId="6" fillId="0" borderId="13" xfId="0" applyNumberFormat="1" applyFont="1" applyBorder="1" applyAlignment="1">
      <alignment horizontal="right" vertical="top" wrapText="1"/>
    </xf>
    <xf numFmtId="172" fontId="11" fillId="0" borderId="0" xfId="0" applyNumberFormat="1" applyFont="1" applyAlignment="1">
      <alignment horizontal="right" vertical="top" wrapText="1"/>
    </xf>
    <xf numFmtId="9" fontId="13" fillId="0" borderId="2" xfId="1" applyFont="1" applyBorder="1"/>
    <xf numFmtId="9" fontId="13" fillId="0" borderId="0" xfId="1" applyFont="1" applyBorder="1"/>
    <xf numFmtId="9" fontId="13" fillId="0" borderId="6" xfId="1" applyFont="1" applyBorder="1"/>
    <xf numFmtId="9" fontId="13" fillId="0" borderId="18" xfId="1" applyFont="1" applyBorder="1"/>
    <xf numFmtId="9" fontId="13" fillId="0" borderId="19" xfId="1" applyFont="1" applyBorder="1"/>
    <xf numFmtId="9" fontId="13" fillId="0" borderId="20" xfId="1" applyFont="1" applyBorder="1"/>
    <xf numFmtId="0" fontId="2" fillId="2" borderId="0" xfId="0" applyFont="1" applyFill="1" applyAlignment="1">
      <alignment vertical="center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B03C"/>
      <color rgb="FF0000C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I149"/>
  <sheetViews>
    <sheetView showGridLines="0" zoomScale="115" zoomScaleNormal="115" workbookViewId="0">
      <selection activeCell="K101" sqref="K101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7" width="8.875" style="5" bestFit="1" customWidth="1"/>
    <col min="18" max="18" width="1.5" style="5" customWidth="1"/>
    <col min="19" max="28" width="8.75" style="5" hidden="1" customWidth="1" outlineLevel="1"/>
    <col min="29" max="29" width="9" style="5" bestFit="1" customWidth="1" collapsed="1"/>
    <col min="30" max="32" width="9" style="5" hidden="1" customWidth="1" outlineLevel="1"/>
    <col min="33" max="33" width="9" style="5" bestFit="1" customWidth="1" collapsed="1"/>
    <col min="34" max="34" width="1.25" style="5" customWidth="1"/>
    <col min="35" max="35" width="8" style="5" bestFit="1" customWidth="1"/>
    <col min="36" max="36" width="1.375" style="5" customWidth="1"/>
    <col min="37" max="16384" width="9" style="5"/>
  </cols>
  <sheetData>
    <row r="2" spans="1:35" ht="12.75" customHeight="1">
      <c r="B2" s="1" t="s">
        <v>118</v>
      </c>
      <c r="C2" s="102"/>
      <c r="D2" s="102"/>
      <c r="E2" s="102"/>
      <c r="F2" s="3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3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3"/>
      <c r="AI2" s="1"/>
    </row>
    <row r="3" spans="1:35" ht="12.75" customHeight="1">
      <c r="B3" s="6" t="s">
        <v>75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3"/>
      <c r="AI3" s="1"/>
    </row>
    <row r="4" spans="1:35" ht="12.75" customHeight="1">
      <c r="B4" s="6" t="s">
        <v>105</v>
      </c>
      <c r="C4" s="3"/>
      <c r="D4" s="86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1"/>
    </row>
    <row r="6" spans="1:35" ht="12.75" customHeight="1">
      <c r="A6" s="5" t="s">
        <v>19</v>
      </c>
      <c r="B6" s="1" t="s">
        <v>73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/>
      <c r="V6" s="2"/>
      <c r="W6" s="2"/>
      <c r="X6" s="2"/>
      <c r="Y6" s="2"/>
      <c r="Z6" s="2"/>
      <c r="AA6" s="2"/>
      <c r="AB6" s="2" t="s">
        <v>10</v>
      </c>
      <c r="AC6" s="2" t="s">
        <v>10</v>
      </c>
      <c r="AD6" s="2"/>
      <c r="AE6" s="2"/>
      <c r="AF6" s="2"/>
      <c r="AG6" s="2"/>
      <c r="AH6" s="38"/>
      <c r="AI6" s="164" t="s">
        <v>25</v>
      </c>
    </row>
    <row r="7" spans="1:35" ht="12.75" customHeight="1">
      <c r="B7" s="6" t="s">
        <v>76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27</v>
      </c>
      <c r="P7" s="4" t="s">
        <v>28</v>
      </c>
      <c r="Q7" s="4" t="s">
        <v>61</v>
      </c>
      <c r="R7" s="3"/>
      <c r="S7" s="4" t="e">
        <f>#REF!</f>
        <v>#REF!</v>
      </c>
      <c r="T7" s="4" t="e">
        <f>#REF!</f>
        <v>#REF!</v>
      </c>
      <c r="U7" s="4" t="e">
        <f>#REF!</f>
        <v>#REF!</v>
      </c>
      <c r="V7" s="4" t="e">
        <f>#REF!</f>
        <v>#REF!</v>
      </c>
      <c r="W7" s="4" t="str">
        <f t="shared" ref="W7:AG8" si="0">G7</f>
        <v>1Q23</v>
      </c>
      <c r="X7" s="4" t="str">
        <f t="shared" si="0"/>
        <v>2Q23</v>
      </c>
      <c r="Y7" s="4" t="str">
        <f t="shared" si="0"/>
        <v>3Q23</v>
      </c>
      <c r="Z7" s="4" t="str">
        <f t="shared" si="0"/>
        <v>4Q23</v>
      </c>
      <c r="AA7" s="4" t="str">
        <f t="shared" si="0"/>
        <v>1Q24</v>
      </c>
      <c r="AB7" s="4" t="str">
        <f t="shared" si="0"/>
        <v>2Q24</v>
      </c>
      <c r="AC7" s="4" t="str">
        <f t="shared" si="0"/>
        <v>3Q24</v>
      </c>
      <c r="AD7" s="4" t="str">
        <f t="shared" si="0"/>
        <v>4Q24</v>
      </c>
      <c r="AE7" s="4" t="str">
        <f t="shared" si="0"/>
        <v>1Q25</v>
      </c>
      <c r="AF7" s="4" t="str">
        <f t="shared" si="0"/>
        <v>2Q25</v>
      </c>
      <c r="AG7" s="4" t="str">
        <f t="shared" si="0"/>
        <v>3Q25</v>
      </c>
      <c r="AH7" s="38"/>
      <c r="AI7" s="164"/>
    </row>
    <row r="8" spans="1:35" ht="12.75" customHeight="1">
      <c r="B8" s="6" t="s">
        <v>77</v>
      </c>
      <c r="C8" s="3">
        <v>44926</v>
      </c>
      <c r="D8" s="86">
        <v>45290</v>
      </c>
      <c r="E8" s="3">
        <v>45654</v>
      </c>
      <c r="F8" s="3"/>
      <c r="G8" s="3">
        <v>45038</v>
      </c>
      <c r="H8" s="3">
        <v>45122</v>
      </c>
      <c r="I8" s="3">
        <v>45206</v>
      </c>
      <c r="J8" s="3">
        <f>D8</f>
        <v>45290</v>
      </c>
      <c r="K8" s="3">
        <v>45402</v>
      </c>
      <c r="L8" s="3">
        <v>45486</v>
      </c>
      <c r="M8" s="3">
        <v>45570</v>
      </c>
      <c r="N8" s="3">
        <f>E8</f>
        <v>45654</v>
      </c>
      <c r="O8" s="3">
        <v>45766</v>
      </c>
      <c r="P8" s="3">
        <v>45859</v>
      </c>
      <c r="Q8" s="3">
        <v>45934</v>
      </c>
      <c r="R8" s="3"/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>
        <f t="shared" si="0"/>
        <v>45038</v>
      </c>
      <c r="X8" s="3">
        <f t="shared" si="0"/>
        <v>45122</v>
      </c>
      <c r="Y8" s="3">
        <f t="shared" si="0"/>
        <v>45206</v>
      </c>
      <c r="Z8" s="3">
        <f t="shared" si="0"/>
        <v>45290</v>
      </c>
      <c r="AA8" s="3">
        <f t="shared" si="0"/>
        <v>45402</v>
      </c>
      <c r="AB8" s="3">
        <f t="shared" si="0"/>
        <v>45486</v>
      </c>
      <c r="AC8" s="3">
        <f t="shared" si="0"/>
        <v>45570</v>
      </c>
      <c r="AD8" s="3">
        <f t="shared" si="0"/>
        <v>45654</v>
      </c>
      <c r="AE8" s="3">
        <f t="shared" si="0"/>
        <v>45766</v>
      </c>
      <c r="AF8" s="3">
        <f t="shared" si="0"/>
        <v>45859</v>
      </c>
      <c r="AG8" s="3">
        <f t="shared" si="0"/>
        <v>45934</v>
      </c>
      <c r="AH8" s="38"/>
      <c r="AI8" s="164"/>
    </row>
    <row r="9" spans="1:35" ht="5.0999999999999996" customHeight="1">
      <c r="AI9" s="101"/>
    </row>
    <row r="10" spans="1:35" ht="12.75" customHeight="1">
      <c r="B10" s="9" t="s">
        <v>56</v>
      </c>
      <c r="C10" s="83">
        <v>9148.8739999999998</v>
      </c>
      <c r="D10" s="83">
        <v>9209.0750000000007</v>
      </c>
      <c r="E10" s="83">
        <v>9094.3269999999993</v>
      </c>
      <c r="F10" s="11"/>
      <c r="G10" s="83">
        <v>3417.5940000000001</v>
      </c>
      <c r="H10" s="83">
        <v>2686.0659999999998</v>
      </c>
      <c r="I10" s="83">
        <v>2719.0790000000002</v>
      </c>
      <c r="J10" s="32">
        <f>SUM(D10-SUM(G10:I10))</f>
        <v>386.33600000000115</v>
      </c>
      <c r="K10" s="83">
        <v>2772</v>
      </c>
      <c r="L10" s="83">
        <v>2178</v>
      </c>
      <c r="M10" s="83">
        <v>2148</v>
      </c>
      <c r="N10" s="32">
        <f>SUM(E10-SUM(K10:M10))</f>
        <v>1996.3269999999993</v>
      </c>
      <c r="O10" s="83">
        <v>2583</v>
      </c>
      <c r="P10" s="83">
        <v>2010</v>
      </c>
      <c r="Q10" s="83">
        <v>2036</v>
      </c>
      <c r="S10" s="32" t="e">
        <f>SUM(#REF!)</f>
        <v>#REF!</v>
      </c>
      <c r="T10" s="32" t="e">
        <f>SUM(#REF!)</f>
        <v>#REF!</v>
      </c>
      <c r="U10" s="32" t="e">
        <f>SUM(#REF!)</f>
        <v>#REF!</v>
      </c>
      <c r="V10" s="32" t="e">
        <f>SUM(#REF!)</f>
        <v>#REF!</v>
      </c>
      <c r="W10" s="32">
        <f>SUM(G10:G10)</f>
        <v>3417.5940000000001</v>
      </c>
      <c r="X10" s="32">
        <f>SUM(G10:H10)</f>
        <v>6103.66</v>
      </c>
      <c r="Y10" s="32">
        <f>SUM(G10:I10)</f>
        <v>8822.7389999999996</v>
      </c>
      <c r="Z10" s="32">
        <f t="shared" ref="Z10:AG10" si="1">SUM(G10:J10)</f>
        <v>9209.0750000000007</v>
      </c>
      <c r="AA10" s="32">
        <f t="shared" si="1"/>
        <v>8563.4810000000016</v>
      </c>
      <c r="AB10" s="32">
        <f t="shared" si="1"/>
        <v>8055.4150000000009</v>
      </c>
      <c r="AC10" s="32">
        <f t="shared" si="1"/>
        <v>7484.3360000000011</v>
      </c>
      <c r="AD10" s="32">
        <f t="shared" si="1"/>
        <v>9094.3269999999993</v>
      </c>
      <c r="AE10" s="32">
        <f t="shared" si="1"/>
        <v>8905.3269999999993</v>
      </c>
      <c r="AF10" s="32">
        <f t="shared" si="1"/>
        <v>8737.3269999999993</v>
      </c>
      <c r="AG10" s="32">
        <f t="shared" si="1"/>
        <v>8625.3269999999993</v>
      </c>
      <c r="AH10" s="40"/>
      <c r="AI10" s="12">
        <f>SUM(AG10/AC10)-1</f>
        <v>0.15245053134974129</v>
      </c>
    </row>
    <row r="11" spans="1:35" ht="12.75" customHeight="1">
      <c r="B11" s="13" t="s">
        <v>12</v>
      </c>
      <c r="C11" s="14">
        <f t="shared" ref="C11:E11" si="2">+SUM(C10:C10)</f>
        <v>9148.8739999999998</v>
      </c>
      <c r="D11" s="14">
        <f t="shared" si="2"/>
        <v>9209.0750000000007</v>
      </c>
      <c r="E11" s="14">
        <f t="shared" si="2"/>
        <v>9094.3269999999993</v>
      </c>
      <c r="F11" s="11"/>
      <c r="G11" s="14">
        <f t="shared" ref="G11:P11" si="3">+SUM(G10:G10)</f>
        <v>3417.5940000000001</v>
      </c>
      <c r="H11" s="14">
        <f t="shared" si="3"/>
        <v>2686.0659999999998</v>
      </c>
      <c r="I11" s="14">
        <f t="shared" si="3"/>
        <v>2719.0790000000002</v>
      </c>
      <c r="J11" s="14">
        <f t="shared" si="3"/>
        <v>386.33600000000115</v>
      </c>
      <c r="K11" s="14">
        <f t="shared" si="3"/>
        <v>2772</v>
      </c>
      <c r="L11" s="14">
        <f t="shared" si="3"/>
        <v>2178</v>
      </c>
      <c r="M11" s="14">
        <f t="shared" si="3"/>
        <v>2148</v>
      </c>
      <c r="N11" s="14">
        <f t="shared" si="3"/>
        <v>1996.3269999999993</v>
      </c>
      <c r="O11" s="14">
        <f t="shared" si="3"/>
        <v>2583</v>
      </c>
      <c r="P11" s="14">
        <f t="shared" si="3"/>
        <v>2010</v>
      </c>
      <c r="Q11" s="14">
        <f>+SUM(Q10:Q10)</f>
        <v>2036</v>
      </c>
      <c r="S11" s="14" t="e">
        <f t="shared" ref="S11:U11" si="4">+SUM(S10:S10)</f>
        <v>#REF!</v>
      </c>
      <c r="T11" s="14" t="e">
        <f t="shared" si="4"/>
        <v>#REF!</v>
      </c>
      <c r="U11" s="14" t="e">
        <f t="shared" si="4"/>
        <v>#REF!</v>
      </c>
      <c r="V11" s="14" t="e">
        <f t="shared" ref="V11:AF11" si="5">+SUM(V10:V10)</f>
        <v>#REF!</v>
      </c>
      <c r="W11" s="14">
        <f t="shared" si="5"/>
        <v>3417.5940000000001</v>
      </c>
      <c r="X11" s="14">
        <f t="shared" si="5"/>
        <v>6103.66</v>
      </c>
      <c r="Y11" s="14">
        <f t="shared" si="5"/>
        <v>8822.7389999999996</v>
      </c>
      <c r="Z11" s="14">
        <f t="shared" si="5"/>
        <v>9209.0750000000007</v>
      </c>
      <c r="AA11" s="14">
        <f t="shared" si="5"/>
        <v>8563.4810000000016</v>
      </c>
      <c r="AB11" s="14">
        <f t="shared" si="5"/>
        <v>8055.4150000000009</v>
      </c>
      <c r="AC11" s="14">
        <f t="shared" si="5"/>
        <v>7484.3360000000011</v>
      </c>
      <c r="AD11" s="14">
        <f t="shared" si="5"/>
        <v>9094.3269999999993</v>
      </c>
      <c r="AE11" s="14">
        <f t="shared" si="5"/>
        <v>8905.3269999999993</v>
      </c>
      <c r="AF11" s="14">
        <f t="shared" si="5"/>
        <v>8737.3269999999993</v>
      </c>
      <c r="AG11" s="14">
        <f>+SUM(AG10:AG10)</f>
        <v>8625.3269999999993</v>
      </c>
      <c r="AH11" s="40"/>
      <c r="AI11" s="15">
        <f>SUM(AG11/AC11)-1</f>
        <v>0.15245053134974129</v>
      </c>
    </row>
    <row r="12" spans="1:35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I12" s="76"/>
    </row>
    <row r="13" spans="1:35" ht="12.75" customHeight="1">
      <c r="B13" s="9" t="s">
        <v>114</v>
      </c>
      <c r="C13" s="83">
        <v>-4916.0039999999999</v>
      </c>
      <c r="D13" s="83">
        <v>-5348.9660000000003</v>
      </c>
      <c r="E13" s="83">
        <v>-5685.8069999999998</v>
      </c>
      <c r="F13" s="24"/>
      <c r="G13" s="83">
        <v>-1946.931</v>
      </c>
      <c r="H13" s="83">
        <v>-1537.9970000000001</v>
      </c>
      <c r="I13" s="83">
        <v>-1732.42</v>
      </c>
      <c r="J13" s="32">
        <f t="shared" ref="J13" si="6">SUM(D13-SUM(G13:I13))</f>
        <v>-131.61800000000039</v>
      </c>
      <c r="K13" s="83">
        <v>-1568</v>
      </c>
      <c r="L13" s="83">
        <v>-1228</v>
      </c>
      <c r="M13" s="83">
        <v>-1240</v>
      </c>
      <c r="N13" s="32">
        <f t="shared" ref="N13" si="7">SUM(E13-SUM(K13:M13))</f>
        <v>-1649.8069999999998</v>
      </c>
      <c r="O13" s="83">
        <v>-1474</v>
      </c>
      <c r="P13" s="83">
        <v>-1136</v>
      </c>
      <c r="Q13" s="83">
        <v>-1155</v>
      </c>
      <c r="S13" s="32" t="e">
        <f>SUM(#REF!)</f>
        <v>#REF!</v>
      </c>
      <c r="T13" s="32" t="e">
        <f>SUM(#REF!)</f>
        <v>#REF!</v>
      </c>
      <c r="U13" s="32" t="e">
        <f>SUM(#REF!)</f>
        <v>#REF!</v>
      </c>
      <c r="V13" s="32" t="e">
        <f>SUM(#REF!)</f>
        <v>#REF!</v>
      </c>
      <c r="W13" s="32">
        <f>SUM(G13:G13)</f>
        <v>-1946.931</v>
      </c>
      <c r="X13" s="32">
        <f>SUM(G13:H13)</f>
        <v>-3484.9279999999999</v>
      </c>
      <c r="Y13" s="32">
        <f>SUM(G13:I13)</f>
        <v>-5217.348</v>
      </c>
      <c r="Z13" s="32">
        <f t="shared" ref="Z13" si="8">SUM(G13:J13)</f>
        <v>-5348.9660000000003</v>
      </c>
      <c r="AA13" s="32">
        <f t="shared" ref="AA13" si="9">SUM(H13:K13)</f>
        <v>-4970.0350000000008</v>
      </c>
      <c r="AB13" s="32">
        <f t="shared" ref="AB13" si="10">SUM(I13:L13)</f>
        <v>-4660.0380000000005</v>
      </c>
      <c r="AC13" s="32">
        <f t="shared" ref="AC13" si="11">SUM(J13:M13)</f>
        <v>-4167.6180000000004</v>
      </c>
      <c r="AD13" s="32">
        <f t="shared" ref="AD13" si="12">SUM(K13:N13)</f>
        <v>-5685.8069999999998</v>
      </c>
      <c r="AE13" s="32">
        <f t="shared" ref="AE13" si="13">SUM(L13:O13)</f>
        <v>-5591.8069999999998</v>
      </c>
      <c r="AF13" s="32">
        <f t="shared" ref="AF13" si="14">SUM(M13:P13)</f>
        <v>-5499.8069999999998</v>
      </c>
      <c r="AG13" s="32">
        <f>SUM(N13:Q13)</f>
        <v>-5414.8069999999998</v>
      </c>
      <c r="AH13" s="11"/>
      <c r="AI13" s="12">
        <f t="shared" ref="AI13" si="15">SUM(AG13/AC13)-1</f>
        <v>0.29925703363408052</v>
      </c>
    </row>
    <row r="14" spans="1:35" ht="12.75" customHeight="1">
      <c r="B14" s="25" t="s">
        <v>23</v>
      </c>
      <c r="C14" s="26">
        <f>+SUM(C11+SUM(C13:C13))</f>
        <v>4232.87</v>
      </c>
      <c r="D14" s="26">
        <f>+SUM(D11+SUM(D13:D13))</f>
        <v>3860.1090000000004</v>
      </c>
      <c r="E14" s="26">
        <f>+SUM(E11+SUM(E13:E13))</f>
        <v>3408.5199999999995</v>
      </c>
      <c r="G14" s="26">
        <f t="shared" ref="G14:Q14" si="16">+SUM(G11+SUM(G13:G13))</f>
        <v>1470.663</v>
      </c>
      <c r="H14" s="26">
        <f t="shared" si="16"/>
        <v>1148.0689999999997</v>
      </c>
      <c r="I14" s="26">
        <f t="shared" si="16"/>
        <v>986.65900000000011</v>
      </c>
      <c r="J14" s="26">
        <f t="shared" si="16"/>
        <v>254.71800000000076</v>
      </c>
      <c r="K14" s="26">
        <f t="shared" si="16"/>
        <v>1204</v>
      </c>
      <c r="L14" s="26">
        <f t="shared" si="16"/>
        <v>950</v>
      </c>
      <c r="M14" s="26">
        <f t="shared" si="16"/>
        <v>908</v>
      </c>
      <c r="N14" s="26">
        <f t="shared" si="16"/>
        <v>346.51999999999953</v>
      </c>
      <c r="O14" s="26">
        <f t="shared" si="16"/>
        <v>1109</v>
      </c>
      <c r="P14" s="26">
        <f t="shared" si="16"/>
        <v>874</v>
      </c>
      <c r="Q14" s="26">
        <f t="shared" si="16"/>
        <v>881</v>
      </c>
      <c r="S14" s="26" t="e">
        <f t="shared" ref="S14:AG14" si="17">+SUM(S11+SUM(S13:S13))</f>
        <v>#REF!</v>
      </c>
      <c r="T14" s="26" t="e">
        <f t="shared" si="17"/>
        <v>#REF!</v>
      </c>
      <c r="U14" s="26" t="e">
        <f t="shared" si="17"/>
        <v>#REF!</v>
      </c>
      <c r="V14" s="26" t="e">
        <f t="shared" si="17"/>
        <v>#REF!</v>
      </c>
      <c r="W14" s="26">
        <f t="shared" si="17"/>
        <v>1470.663</v>
      </c>
      <c r="X14" s="26">
        <f t="shared" si="17"/>
        <v>2618.732</v>
      </c>
      <c r="Y14" s="26">
        <f t="shared" si="17"/>
        <v>3605.3909999999996</v>
      </c>
      <c r="Z14" s="26">
        <f t="shared" si="17"/>
        <v>3860.1090000000004</v>
      </c>
      <c r="AA14" s="26">
        <f t="shared" si="17"/>
        <v>3593.4460000000008</v>
      </c>
      <c r="AB14" s="26">
        <f t="shared" si="17"/>
        <v>3395.3770000000004</v>
      </c>
      <c r="AC14" s="26">
        <f t="shared" si="17"/>
        <v>3316.7180000000008</v>
      </c>
      <c r="AD14" s="26">
        <f t="shared" si="17"/>
        <v>3408.5199999999995</v>
      </c>
      <c r="AE14" s="26">
        <f t="shared" si="17"/>
        <v>3313.5199999999995</v>
      </c>
      <c r="AF14" s="26">
        <f t="shared" si="17"/>
        <v>3237.5199999999995</v>
      </c>
      <c r="AG14" s="26">
        <f t="shared" si="17"/>
        <v>3210.5199999999995</v>
      </c>
      <c r="AH14" s="42"/>
      <c r="AI14" s="77">
        <f>SUM(AG14/AC14)-1</f>
        <v>-3.2019001916955614E-2</v>
      </c>
    </row>
    <row r="15" spans="1:35" ht="12.75" customHeight="1">
      <c r="B15" s="16" t="s">
        <v>32</v>
      </c>
      <c r="C15" s="17">
        <f>C14/C11</f>
        <v>0.46266567885840376</v>
      </c>
      <c r="D15" s="17">
        <f>D14/D11</f>
        <v>0.41916359677817805</v>
      </c>
      <c r="E15" s="17">
        <f>E14/E11</f>
        <v>0.3747962878396609</v>
      </c>
      <c r="F15" s="27"/>
      <c r="G15" s="17">
        <f t="shared" ref="G15:Q15" si="18">G14/G11</f>
        <v>0.43032115576045604</v>
      </c>
      <c r="H15" s="17">
        <f t="shared" si="18"/>
        <v>0.42741652662294966</v>
      </c>
      <c r="I15" s="17">
        <f t="shared" si="18"/>
        <v>0.36286514661765989</v>
      </c>
      <c r="J15" s="17">
        <f t="shared" si="18"/>
        <v>0.65931727822413655</v>
      </c>
      <c r="K15" s="17">
        <f t="shared" si="18"/>
        <v>0.43434343434343436</v>
      </c>
      <c r="L15" s="17">
        <f t="shared" si="18"/>
        <v>0.43617998163452709</v>
      </c>
      <c r="M15" s="17">
        <f t="shared" si="18"/>
        <v>0.42271880819366853</v>
      </c>
      <c r="N15" s="17">
        <f t="shared" si="18"/>
        <v>0.17357877742474037</v>
      </c>
      <c r="O15" s="17">
        <f t="shared" si="18"/>
        <v>0.42934572202864885</v>
      </c>
      <c r="P15" s="17">
        <f t="shared" si="18"/>
        <v>0.43482587064676614</v>
      </c>
      <c r="Q15" s="17">
        <f t="shared" si="18"/>
        <v>0.43271119842829076</v>
      </c>
      <c r="R15" s="28"/>
      <c r="S15" s="17" t="e">
        <f t="shared" ref="S15:AG15" si="19">S14/S11</f>
        <v>#REF!</v>
      </c>
      <c r="T15" s="17" t="e">
        <f t="shared" si="19"/>
        <v>#REF!</v>
      </c>
      <c r="U15" s="17" t="e">
        <f t="shared" si="19"/>
        <v>#REF!</v>
      </c>
      <c r="V15" s="17" t="e">
        <f t="shared" si="19"/>
        <v>#REF!</v>
      </c>
      <c r="W15" s="17">
        <f t="shared" si="19"/>
        <v>0.43032115576045604</v>
      </c>
      <c r="X15" s="17">
        <f t="shared" si="19"/>
        <v>0.4290429021275759</v>
      </c>
      <c r="Y15" s="17">
        <f t="shared" si="19"/>
        <v>0.40864758665081213</v>
      </c>
      <c r="Z15" s="17">
        <f t="shared" si="19"/>
        <v>0.41916359677817805</v>
      </c>
      <c r="AA15" s="17">
        <f t="shared" si="19"/>
        <v>0.41962444944993749</v>
      </c>
      <c r="AB15" s="17">
        <f t="shared" si="19"/>
        <v>0.42150243035275031</v>
      </c>
      <c r="AC15" s="17">
        <f t="shared" si="19"/>
        <v>0.44315460984114025</v>
      </c>
      <c r="AD15" s="17">
        <f t="shared" si="19"/>
        <v>0.3747962878396609</v>
      </c>
      <c r="AE15" s="17">
        <f t="shared" si="19"/>
        <v>0.37208291172238817</v>
      </c>
      <c r="AF15" s="17">
        <f t="shared" si="19"/>
        <v>0.37053895316038871</v>
      </c>
      <c r="AG15" s="17">
        <f t="shared" si="19"/>
        <v>0.37222009090206087</v>
      </c>
      <c r="AH15" s="42"/>
      <c r="AI15" s="78">
        <f>SUM(AG15-AC15)*1000</f>
        <v>-70.934518939079368</v>
      </c>
    </row>
    <row r="16" spans="1:35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  <c r="AG16" s="30"/>
      <c r="AH16" s="42"/>
      <c r="AI16" s="76"/>
    </row>
    <row r="17" spans="2:35" ht="12.75" customHeight="1">
      <c r="B17" s="9" t="s">
        <v>145</v>
      </c>
      <c r="C17" s="83">
        <v>-3708.252</v>
      </c>
      <c r="D17" s="83">
        <v>-3805.2350000000001</v>
      </c>
      <c r="E17" s="83">
        <v>-3812.924</v>
      </c>
      <c r="F17" s="32"/>
      <c r="G17" s="83">
        <v>-1380.664</v>
      </c>
      <c r="H17" s="83">
        <v>-1013.701</v>
      </c>
      <c r="I17" s="83">
        <v>-1030.355</v>
      </c>
      <c r="J17" s="32">
        <f t="shared" ref="J17:J18" si="20">SUM(D17-SUM(G17:I17))</f>
        <v>-380.51500000000033</v>
      </c>
      <c r="K17" s="83">
        <v>-1151</v>
      </c>
      <c r="L17" s="83">
        <v>-889</v>
      </c>
      <c r="M17" s="83">
        <v>-895</v>
      </c>
      <c r="N17" s="32">
        <f t="shared" ref="N17:N18" si="21">SUM(E17-SUM(K17:M17))</f>
        <v>-877.92399999999998</v>
      </c>
      <c r="O17" s="83">
        <v>-1122</v>
      </c>
      <c r="P17" s="83">
        <v>-823</v>
      </c>
      <c r="Q17" s="83">
        <v>-826</v>
      </c>
      <c r="S17" s="32" t="e">
        <f>SUM(#REF!)</f>
        <v>#REF!</v>
      </c>
      <c r="T17" s="32" t="e">
        <f>SUM(#REF!)</f>
        <v>#REF!</v>
      </c>
      <c r="U17" s="32" t="e">
        <f>SUM(#REF!)</f>
        <v>#REF!</v>
      </c>
      <c r="V17" s="32" t="e">
        <f>SUM(#REF!)</f>
        <v>#REF!</v>
      </c>
      <c r="W17" s="32">
        <f>SUM(G17:G17)</f>
        <v>-1380.664</v>
      </c>
      <c r="X17" s="32">
        <f>SUM(G17:H17)</f>
        <v>-2394.3649999999998</v>
      </c>
      <c r="Y17" s="32">
        <f>SUM(G17:I17)</f>
        <v>-3424.72</v>
      </c>
      <c r="Z17" s="32">
        <f t="shared" ref="Z17:AG17" si="22">SUM(G17:J17)</f>
        <v>-3805.2350000000001</v>
      </c>
      <c r="AA17" s="32">
        <f t="shared" si="22"/>
        <v>-3575.5710000000004</v>
      </c>
      <c r="AB17" s="32">
        <f t="shared" si="22"/>
        <v>-3450.8700000000003</v>
      </c>
      <c r="AC17" s="32">
        <f t="shared" si="22"/>
        <v>-3315.5150000000003</v>
      </c>
      <c r="AD17" s="32">
        <f t="shared" si="22"/>
        <v>-3812.924</v>
      </c>
      <c r="AE17" s="32">
        <f t="shared" si="22"/>
        <v>-3783.924</v>
      </c>
      <c r="AF17" s="32">
        <f t="shared" si="22"/>
        <v>-3717.924</v>
      </c>
      <c r="AG17" s="32">
        <f t="shared" si="22"/>
        <v>-3648.924</v>
      </c>
      <c r="AH17" s="11"/>
      <c r="AI17" s="76">
        <f>SUM(AG17/AC17)-1</f>
        <v>0.10056024478851699</v>
      </c>
    </row>
    <row r="18" spans="2:35" ht="12.75" customHeight="1">
      <c r="B18" s="9" t="s">
        <v>146</v>
      </c>
      <c r="C18" s="83">
        <v>0</v>
      </c>
      <c r="D18" s="83">
        <v>-15.987</v>
      </c>
      <c r="E18" s="83">
        <v>-308.90199999999999</v>
      </c>
      <c r="F18" s="32"/>
      <c r="G18" s="83">
        <v>0</v>
      </c>
      <c r="H18" s="83">
        <v>0</v>
      </c>
      <c r="I18" s="83">
        <v>0</v>
      </c>
      <c r="J18" s="32">
        <f t="shared" si="20"/>
        <v>-15.987</v>
      </c>
      <c r="K18" s="83">
        <v>0</v>
      </c>
      <c r="L18" s="83">
        <v>-7</v>
      </c>
      <c r="M18" s="83">
        <v>-13</v>
      </c>
      <c r="N18" s="32">
        <f t="shared" si="21"/>
        <v>-288.90199999999999</v>
      </c>
      <c r="O18" s="83">
        <v>-118</v>
      </c>
      <c r="P18" s="83">
        <v>-29</v>
      </c>
      <c r="Q18" s="83">
        <v>-33</v>
      </c>
      <c r="S18" s="32" t="e">
        <f>SUM(#REF!)</f>
        <v>#REF!</v>
      </c>
      <c r="T18" s="32" t="e">
        <f>SUM(#REF!)</f>
        <v>#REF!</v>
      </c>
      <c r="U18" s="32" t="e">
        <f>SUM(#REF!)</f>
        <v>#REF!</v>
      </c>
      <c r="V18" s="32" t="e">
        <f>SUM(#REF!)</f>
        <v>#REF!</v>
      </c>
      <c r="W18" s="32">
        <f>SUM(G18:G18)</f>
        <v>0</v>
      </c>
      <c r="X18" s="32">
        <f>SUM(G18:H18)</f>
        <v>0</v>
      </c>
      <c r="Y18" s="32">
        <f>SUM(G18:I18)</f>
        <v>0</v>
      </c>
      <c r="Z18" s="32">
        <f t="shared" ref="Z18" si="23">SUM(G18:J18)</f>
        <v>-15.987</v>
      </c>
      <c r="AA18" s="32">
        <f t="shared" ref="AA18" si="24">SUM(H18:K18)</f>
        <v>-15.987</v>
      </c>
      <c r="AB18" s="32">
        <f t="shared" ref="AB18" si="25">SUM(I18:L18)</f>
        <v>-22.987000000000002</v>
      </c>
      <c r="AC18" s="32">
        <f t="shared" ref="AC18" si="26">SUM(J18:M18)</f>
        <v>-35.987000000000002</v>
      </c>
      <c r="AD18" s="32">
        <f t="shared" ref="AD18" si="27">SUM(K18:N18)</f>
        <v>-308.90199999999999</v>
      </c>
      <c r="AE18" s="32">
        <f t="shared" ref="AE18" si="28">SUM(L18:O18)</f>
        <v>-426.90199999999999</v>
      </c>
      <c r="AF18" s="32">
        <f t="shared" ref="AF18" si="29">SUM(M18:P18)</f>
        <v>-448.90199999999999</v>
      </c>
      <c r="AG18" s="32">
        <f t="shared" ref="AG18" si="30">SUM(N18:Q18)</f>
        <v>-468.90199999999999</v>
      </c>
      <c r="AH18" s="11"/>
      <c r="AI18" s="76"/>
    </row>
    <row r="19" spans="2:35" ht="12.75" customHeight="1">
      <c r="B19" s="25" t="s">
        <v>78</v>
      </c>
      <c r="C19" s="26">
        <f>+SUM(C14+SUM(C17:C18))</f>
        <v>524.61799999999994</v>
      </c>
      <c r="D19" s="26">
        <f t="shared" ref="D19:E19" si="31">+SUM(D14+SUM(D17:D18))</f>
        <v>38.887000000000171</v>
      </c>
      <c r="E19" s="26">
        <f t="shared" si="31"/>
        <v>-713.30600000000049</v>
      </c>
      <c r="F19" s="32"/>
      <c r="G19" s="26">
        <f t="shared" ref="G19" si="32">+SUM(G14+SUM(G17:G18))</f>
        <v>89.999000000000024</v>
      </c>
      <c r="H19" s="26">
        <f t="shared" ref="H19" si="33">+SUM(H14+SUM(H17:H18))</f>
        <v>134.36799999999971</v>
      </c>
      <c r="I19" s="26">
        <f t="shared" ref="I19" si="34">+SUM(I14+SUM(I17:I18))</f>
        <v>-43.695999999999913</v>
      </c>
      <c r="J19" s="26">
        <f t="shared" ref="J19" si="35">+SUM(J14+SUM(J17:J18))</f>
        <v>-141.78399999999959</v>
      </c>
      <c r="K19" s="26">
        <f t="shared" ref="K19" si="36">+SUM(K14+SUM(K17:K18))</f>
        <v>53</v>
      </c>
      <c r="L19" s="26">
        <f t="shared" ref="L19" si="37">+SUM(L14+SUM(L17:L18))</f>
        <v>54</v>
      </c>
      <c r="M19" s="26">
        <f t="shared" ref="M19" si="38">+SUM(M14+SUM(M17:M18))</f>
        <v>0</v>
      </c>
      <c r="N19" s="26">
        <f t="shared" ref="N19" si="39">+SUM(N14+SUM(N17:N18))</f>
        <v>-820.30600000000049</v>
      </c>
      <c r="O19" s="26">
        <f t="shared" ref="O19" si="40">+SUM(O14+SUM(O17:O18))</f>
        <v>-131</v>
      </c>
      <c r="P19" s="26">
        <f t="shared" ref="P19" si="41">+SUM(P14+SUM(P17:P18))</f>
        <v>22</v>
      </c>
      <c r="Q19" s="26">
        <f t="shared" ref="Q19" si="42">+SUM(Q14+SUM(Q17:Q18))</f>
        <v>22</v>
      </c>
      <c r="S19" s="26" t="e">
        <f t="shared" ref="S19:AB19" si="43">+SUM(S14+SUM(S17:S17))</f>
        <v>#REF!</v>
      </c>
      <c r="T19" s="26" t="e">
        <f t="shared" si="43"/>
        <v>#REF!</v>
      </c>
      <c r="U19" s="26" t="e">
        <f t="shared" si="43"/>
        <v>#REF!</v>
      </c>
      <c r="V19" s="26" t="e">
        <f t="shared" si="43"/>
        <v>#REF!</v>
      </c>
      <c r="W19" s="26">
        <f t="shared" si="43"/>
        <v>89.999000000000024</v>
      </c>
      <c r="X19" s="26">
        <f t="shared" si="43"/>
        <v>224.36700000000019</v>
      </c>
      <c r="Y19" s="26">
        <f t="shared" si="43"/>
        <v>180.67099999999982</v>
      </c>
      <c r="Z19" s="26">
        <f t="shared" si="43"/>
        <v>54.874000000000251</v>
      </c>
      <c r="AA19" s="26">
        <f t="shared" si="43"/>
        <v>17.875000000000455</v>
      </c>
      <c r="AB19" s="26">
        <f t="shared" si="43"/>
        <v>-55.492999999999938</v>
      </c>
      <c r="AC19" s="26">
        <f t="shared" ref="AC19" si="44">+SUM(AC14+SUM(AC17:AC18))</f>
        <v>-34.783999999999651</v>
      </c>
      <c r="AD19" s="26">
        <f t="shared" ref="AD19" si="45">+SUM(AD14+SUM(AD17:AD18))</f>
        <v>-713.30600000000049</v>
      </c>
      <c r="AE19" s="26">
        <f t="shared" ref="AE19" si="46">+SUM(AE14+SUM(AE17:AE18))</f>
        <v>-897.30600000000049</v>
      </c>
      <c r="AF19" s="26">
        <f t="shared" ref="AF19" si="47">+SUM(AF14+SUM(AF17:AF18))</f>
        <v>-929.30600000000049</v>
      </c>
      <c r="AG19" s="26">
        <f t="shared" ref="AG19" si="48">+SUM(AG14+SUM(AG17:AG18))</f>
        <v>-907.30600000000049</v>
      </c>
      <c r="AH19" s="11"/>
      <c r="AI19" s="77">
        <f>SUM(AG19/AC19)-1</f>
        <v>25.084004139834683</v>
      </c>
    </row>
    <row r="20" spans="2:35" ht="12.75" customHeight="1">
      <c r="B20" s="16" t="s">
        <v>34</v>
      </c>
      <c r="C20" s="17">
        <f>C19/C11</f>
        <v>5.7342357103180121E-2</v>
      </c>
      <c r="D20" s="17">
        <f>D19/D11</f>
        <v>4.2226825169737643E-3</v>
      </c>
      <c r="E20" s="17">
        <f>E19/E11</f>
        <v>-7.8434171104689823E-2</v>
      </c>
      <c r="F20" s="32"/>
      <c r="G20" s="17">
        <f t="shared" ref="G20:Q20" si="49">G19/G11</f>
        <v>2.6334023292409813E-2</v>
      </c>
      <c r="H20" s="17">
        <f t="shared" si="49"/>
        <v>5.0024087271124285E-2</v>
      </c>
      <c r="I20" s="17">
        <f t="shared" si="49"/>
        <v>-1.6070147281487559E-2</v>
      </c>
      <c r="J20" s="17">
        <f t="shared" si="49"/>
        <v>-0.36699660399237755</v>
      </c>
      <c r="K20" s="17">
        <f t="shared" si="49"/>
        <v>1.911976911976912E-2</v>
      </c>
      <c r="L20" s="17">
        <f t="shared" si="49"/>
        <v>2.4793388429752067E-2</v>
      </c>
      <c r="M20" s="17">
        <f t="shared" si="49"/>
        <v>0</v>
      </c>
      <c r="N20" s="17">
        <f t="shared" si="49"/>
        <v>-0.41090763186592216</v>
      </c>
      <c r="O20" s="17">
        <f t="shared" si="49"/>
        <v>-5.0716221447928762E-2</v>
      </c>
      <c r="P20" s="17">
        <f t="shared" si="49"/>
        <v>1.0945273631840797E-2</v>
      </c>
      <c r="Q20" s="17">
        <f t="shared" si="49"/>
        <v>1.0805500982318271E-2</v>
      </c>
      <c r="S20" s="17" t="e">
        <f t="shared" ref="S20:AG20" si="50">S19/S11</f>
        <v>#REF!</v>
      </c>
      <c r="T20" s="17" t="e">
        <f t="shared" si="50"/>
        <v>#REF!</v>
      </c>
      <c r="U20" s="17" t="e">
        <f t="shared" si="50"/>
        <v>#REF!</v>
      </c>
      <c r="V20" s="17" t="e">
        <f t="shared" si="50"/>
        <v>#REF!</v>
      </c>
      <c r="W20" s="17">
        <f t="shared" si="50"/>
        <v>2.6334023292409813E-2</v>
      </c>
      <c r="X20" s="17">
        <f t="shared" si="50"/>
        <v>3.6759419757981311E-2</v>
      </c>
      <c r="Y20" s="17">
        <f t="shared" si="50"/>
        <v>2.0477881075253369E-2</v>
      </c>
      <c r="Z20" s="17">
        <f t="shared" si="50"/>
        <v>5.9586874903288598E-3</v>
      </c>
      <c r="AA20" s="17">
        <f t="shared" si="50"/>
        <v>2.0873520943177726E-3</v>
      </c>
      <c r="AB20" s="17">
        <f t="shared" si="50"/>
        <v>-6.8889064064359112E-3</v>
      </c>
      <c r="AC20" s="17">
        <f t="shared" si="50"/>
        <v>-4.6475732783776199E-3</v>
      </c>
      <c r="AD20" s="17">
        <f t="shared" si="50"/>
        <v>-7.8434171104689823E-2</v>
      </c>
      <c r="AE20" s="17">
        <f t="shared" si="50"/>
        <v>-0.10076058970097343</v>
      </c>
      <c r="AF20" s="17">
        <f t="shared" si="50"/>
        <v>-0.10636044639281562</v>
      </c>
      <c r="AG20" s="17">
        <f t="shared" si="50"/>
        <v>-0.10519091044316356</v>
      </c>
      <c r="AH20" s="11"/>
      <c r="AI20" s="78">
        <f>SUM(AG20-AC20)*1000</f>
        <v>-100.54333716478594</v>
      </c>
    </row>
    <row r="21" spans="2:35" ht="5.0999999999999996" customHeight="1">
      <c r="B21" s="16"/>
      <c r="C21" s="17"/>
      <c r="D21" s="17"/>
      <c r="E21" s="17"/>
      <c r="F21" s="32"/>
      <c r="G21" s="83"/>
      <c r="H21" s="83"/>
      <c r="I21" s="83"/>
      <c r="J21" s="83"/>
      <c r="K21" s="83"/>
      <c r="L21" s="83"/>
      <c r="M21" s="83"/>
      <c r="N21" s="83"/>
      <c r="O21" s="32"/>
      <c r="P21" s="83"/>
      <c r="Q21" s="83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11"/>
      <c r="AI21" s="76"/>
    </row>
    <row r="22" spans="2:35" ht="12.75" customHeight="1">
      <c r="B22" s="9" t="s">
        <v>119</v>
      </c>
      <c r="C22" s="83">
        <v>-50.841000000000001</v>
      </c>
      <c r="D22" s="83">
        <v>-87.989000000000004</v>
      </c>
      <c r="E22" s="83">
        <v>-81.033000000000001</v>
      </c>
      <c r="F22" s="32"/>
      <c r="G22" s="83">
        <v>-29.718</v>
      </c>
      <c r="H22" s="83">
        <v>-20.869</v>
      </c>
      <c r="I22" s="83">
        <v>-19.407</v>
      </c>
      <c r="J22" s="32">
        <f t="shared" ref="J22:J24" si="51">SUM(D22-SUM(G22:I22))</f>
        <v>-17.995000000000005</v>
      </c>
      <c r="K22" s="83">
        <v>-25</v>
      </c>
      <c r="L22" s="83">
        <v>-19</v>
      </c>
      <c r="M22" s="83">
        <v>-19</v>
      </c>
      <c r="N22" s="32">
        <f t="shared" ref="N22:N24" si="52">SUM(E22-SUM(K22:M22))</f>
        <v>-18.033000000000001</v>
      </c>
      <c r="O22" s="83">
        <v>-27</v>
      </c>
      <c r="P22" s="83">
        <v>-19</v>
      </c>
      <c r="Q22" s="83">
        <v>-40</v>
      </c>
      <c r="S22" s="32" t="e">
        <f>SUM(#REF!)</f>
        <v>#REF!</v>
      </c>
      <c r="T22" s="32" t="e">
        <f>SUM(#REF!)</f>
        <v>#REF!</v>
      </c>
      <c r="U22" s="32" t="e">
        <f>SUM(#REF!)</f>
        <v>#REF!</v>
      </c>
      <c r="V22" s="32" t="e">
        <f>SUM(#REF!)</f>
        <v>#REF!</v>
      </c>
      <c r="W22" s="32">
        <f>SUM(G22:G22)</f>
        <v>-29.718</v>
      </c>
      <c r="X22" s="32">
        <f>SUM(G22:H22)</f>
        <v>-50.587000000000003</v>
      </c>
      <c r="Y22" s="32">
        <f>SUM(G22:I22)</f>
        <v>-69.994</v>
      </c>
      <c r="Z22" s="32">
        <f t="shared" ref="Z22:Z24" si="53">SUM(G22:J22)</f>
        <v>-87.989000000000004</v>
      </c>
      <c r="AA22" s="32">
        <f t="shared" ref="AA22:AA24" si="54">SUM(H22:K22)</f>
        <v>-83.271000000000001</v>
      </c>
      <c r="AB22" s="32">
        <f t="shared" ref="AB22:AB24" si="55">SUM(I22:L22)</f>
        <v>-81.402000000000001</v>
      </c>
      <c r="AC22" s="32">
        <f t="shared" ref="AC22:AC24" si="56">SUM(J22:M22)</f>
        <v>-80.995000000000005</v>
      </c>
      <c r="AD22" s="32">
        <f t="shared" ref="AD22:AD24" si="57">SUM(K22:N22)</f>
        <v>-81.033000000000001</v>
      </c>
      <c r="AE22" s="32">
        <f t="shared" ref="AE22:AE24" si="58">SUM(L22:O22)</f>
        <v>-83.033000000000001</v>
      </c>
      <c r="AF22" s="32">
        <f t="shared" ref="AF22:AF24" si="59">SUM(M22:P22)</f>
        <v>-83.033000000000001</v>
      </c>
      <c r="AG22" s="32">
        <f t="shared" ref="AG22:AG24" si="60">SUM(N22:Q22)</f>
        <v>-104.033</v>
      </c>
      <c r="AH22" s="11"/>
      <c r="AI22" s="76">
        <f>SUM(AG22/AC22)-1</f>
        <v>0.28443731094511993</v>
      </c>
    </row>
    <row r="23" spans="2:35" ht="12.75" customHeight="1">
      <c r="B23" s="9" t="s">
        <v>120</v>
      </c>
      <c r="C23" s="83">
        <v>-7.4080000000000004</v>
      </c>
      <c r="D23" s="83">
        <v>0</v>
      </c>
      <c r="E23" s="83">
        <v>0</v>
      </c>
      <c r="F23" s="32"/>
      <c r="G23" s="83">
        <v>0</v>
      </c>
      <c r="H23" s="83">
        <v>0</v>
      </c>
      <c r="I23" s="83">
        <v>0</v>
      </c>
      <c r="J23" s="32">
        <f t="shared" si="51"/>
        <v>0</v>
      </c>
      <c r="K23" s="83">
        <v>0</v>
      </c>
      <c r="L23" s="83">
        <v>0</v>
      </c>
      <c r="M23" s="83">
        <v>0</v>
      </c>
      <c r="N23" s="32">
        <f t="shared" si="52"/>
        <v>0</v>
      </c>
      <c r="O23" s="83">
        <v>0</v>
      </c>
      <c r="P23" s="83">
        <v>0</v>
      </c>
      <c r="Q23" s="83">
        <v>0</v>
      </c>
      <c r="S23" s="32" t="e">
        <f>SUM(#REF!)</f>
        <v>#REF!</v>
      </c>
      <c r="T23" s="32" t="e">
        <f>SUM(#REF!)</f>
        <v>#REF!</v>
      </c>
      <c r="U23" s="32" t="e">
        <f>SUM(#REF!)</f>
        <v>#REF!</v>
      </c>
      <c r="V23" s="32" t="e">
        <f>SUM(#REF!)</f>
        <v>#REF!</v>
      </c>
      <c r="W23" s="32">
        <f>SUM(G23:G23)</f>
        <v>0</v>
      </c>
      <c r="X23" s="32">
        <f>SUM(G23:H23)</f>
        <v>0</v>
      </c>
      <c r="Y23" s="32">
        <f>SUM(G23:I23)</f>
        <v>0</v>
      </c>
      <c r="Z23" s="32">
        <f t="shared" si="53"/>
        <v>0</v>
      </c>
      <c r="AA23" s="32">
        <f t="shared" si="54"/>
        <v>0</v>
      </c>
      <c r="AB23" s="32">
        <f t="shared" si="55"/>
        <v>0</v>
      </c>
      <c r="AC23" s="32">
        <f t="shared" si="56"/>
        <v>0</v>
      </c>
      <c r="AD23" s="32">
        <f t="shared" si="57"/>
        <v>0</v>
      </c>
      <c r="AE23" s="32">
        <f t="shared" si="58"/>
        <v>0</v>
      </c>
      <c r="AF23" s="32">
        <f t="shared" si="59"/>
        <v>0</v>
      </c>
      <c r="AG23" s="32">
        <f t="shared" si="60"/>
        <v>0</v>
      </c>
      <c r="AH23" s="11"/>
      <c r="AI23" s="76" t="e">
        <f>SUM(AG23/AC23)-1</f>
        <v>#DIV/0!</v>
      </c>
    </row>
    <row r="24" spans="2:35" ht="12.75" customHeight="1">
      <c r="B24" s="9" t="s">
        <v>121</v>
      </c>
      <c r="C24" s="83">
        <v>-6.1760000000000002</v>
      </c>
      <c r="D24" s="83">
        <v>1.9239999999999999</v>
      </c>
      <c r="E24" s="83">
        <v>26.241</v>
      </c>
      <c r="F24" s="32"/>
      <c r="G24" s="83">
        <v>-0.67400000000000004</v>
      </c>
      <c r="H24" s="83">
        <v>1.6839999999999999</v>
      </c>
      <c r="I24" s="83">
        <v>-1.216</v>
      </c>
      <c r="J24" s="32">
        <f t="shared" si="51"/>
        <v>2.13</v>
      </c>
      <c r="K24" s="83">
        <v>1</v>
      </c>
      <c r="L24" s="83">
        <v>9</v>
      </c>
      <c r="M24" s="83">
        <v>2</v>
      </c>
      <c r="N24" s="32">
        <f t="shared" si="52"/>
        <v>14.241</v>
      </c>
      <c r="O24" s="83">
        <v>27</v>
      </c>
      <c r="P24" s="83">
        <v>18</v>
      </c>
      <c r="Q24" s="83">
        <v>16</v>
      </c>
      <c r="S24" s="32" t="e">
        <f>SUM(#REF!)</f>
        <v>#REF!</v>
      </c>
      <c r="T24" s="32" t="e">
        <f>SUM(#REF!)</f>
        <v>#REF!</v>
      </c>
      <c r="U24" s="32" t="e">
        <f>SUM(#REF!)</f>
        <v>#REF!</v>
      </c>
      <c r="V24" s="32" t="e">
        <f>SUM(#REF!)</f>
        <v>#REF!</v>
      </c>
      <c r="W24" s="32">
        <f>SUM(G24:G24)</f>
        <v>-0.67400000000000004</v>
      </c>
      <c r="X24" s="32">
        <f>SUM(G24:H24)</f>
        <v>1.0099999999999998</v>
      </c>
      <c r="Y24" s="32">
        <f>SUM(G24:I24)</f>
        <v>-0.20600000000000018</v>
      </c>
      <c r="Z24" s="32">
        <f t="shared" si="53"/>
        <v>1.9239999999999997</v>
      </c>
      <c r="AA24" s="32">
        <f t="shared" si="54"/>
        <v>3.5979999999999999</v>
      </c>
      <c r="AB24" s="32">
        <f t="shared" si="55"/>
        <v>10.914</v>
      </c>
      <c r="AC24" s="32">
        <f t="shared" si="56"/>
        <v>14.129999999999999</v>
      </c>
      <c r="AD24" s="32">
        <f t="shared" si="57"/>
        <v>26.241</v>
      </c>
      <c r="AE24" s="32">
        <f t="shared" si="58"/>
        <v>52.241</v>
      </c>
      <c r="AF24" s="32">
        <f t="shared" si="59"/>
        <v>61.241</v>
      </c>
      <c r="AG24" s="32">
        <f t="shared" si="60"/>
        <v>75.241</v>
      </c>
      <c r="AH24" s="11"/>
      <c r="AI24" s="76">
        <f>SUM(AG24/AC24)-1</f>
        <v>4.3249115357395613</v>
      </c>
    </row>
    <row r="25" spans="2:35" ht="12.75" customHeight="1">
      <c r="B25" s="25" t="s">
        <v>79</v>
      </c>
      <c r="C25" s="26">
        <f t="shared" ref="C25:E25" si="61">SUM(C19+SUM(C22:C24))</f>
        <v>460.19299999999993</v>
      </c>
      <c r="D25" s="26">
        <f t="shared" si="61"/>
        <v>-47.177999999999827</v>
      </c>
      <c r="E25" s="26">
        <f t="shared" si="61"/>
        <v>-768.09800000000052</v>
      </c>
      <c r="G25" s="26">
        <f t="shared" ref="G25:Q25" si="62">SUM(G19+SUM(G22:G24))</f>
        <v>59.607000000000028</v>
      </c>
      <c r="H25" s="26">
        <f t="shared" si="62"/>
        <v>115.18299999999971</v>
      </c>
      <c r="I25" s="26">
        <f t="shared" si="62"/>
        <v>-64.318999999999917</v>
      </c>
      <c r="J25" s="26">
        <f t="shared" si="62"/>
        <v>-157.6489999999996</v>
      </c>
      <c r="K25" s="26">
        <f t="shared" si="62"/>
        <v>29</v>
      </c>
      <c r="L25" s="26">
        <f t="shared" si="62"/>
        <v>44</v>
      </c>
      <c r="M25" s="26">
        <f t="shared" si="62"/>
        <v>-17</v>
      </c>
      <c r="N25" s="26">
        <f t="shared" si="62"/>
        <v>-824.09800000000052</v>
      </c>
      <c r="O25" s="26">
        <f t="shared" si="62"/>
        <v>-131</v>
      </c>
      <c r="P25" s="26">
        <f t="shared" si="62"/>
        <v>21</v>
      </c>
      <c r="Q25" s="26">
        <f t="shared" si="62"/>
        <v>-2</v>
      </c>
      <c r="S25" s="26" t="e">
        <f t="shared" ref="S25:AG25" si="63">SUM(S19+SUM(S22:S24))</f>
        <v>#REF!</v>
      </c>
      <c r="T25" s="26" t="e">
        <f t="shared" si="63"/>
        <v>#REF!</v>
      </c>
      <c r="U25" s="26" t="e">
        <f t="shared" si="63"/>
        <v>#REF!</v>
      </c>
      <c r="V25" s="26" t="e">
        <f t="shared" si="63"/>
        <v>#REF!</v>
      </c>
      <c r="W25" s="26">
        <f t="shared" si="63"/>
        <v>59.607000000000028</v>
      </c>
      <c r="X25" s="26">
        <f t="shared" si="63"/>
        <v>174.79000000000019</v>
      </c>
      <c r="Y25" s="26">
        <f t="shared" si="63"/>
        <v>110.47099999999982</v>
      </c>
      <c r="Z25" s="26">
        <f t="shared" si="63"/>
        <v>-31.190999999999747</v>
      </c>
      <c r="AA25" s="26">
        <f t="shared" si="63"/>
        <v>-61.797999999999547</v>
      </c>
      <c r="AB25" s="26">
        <f t="shared" si="63"/>
        <v>-125.98099999999994</v>
      </c>
      <c r="AC25" s="26">
        <f t="shared" si="63"/>
        <v>-101.64899999999966</v>
      </c>
      <c r="AD25" s="26">
        <f t="shared" si="63"/>
        <v>-768.09800000000052</v>
      </c>
      <c r="AE25" s="26">
        <f t="shared" si="63"/>
        <v>-928.09800000000052</v>
      </c>
      <c r="AF25" s="26">
        <f t="shared" si="63"/>
        <v>-951.09800000000052</v>
      </c>
      <c r="AG25" s="26">
        <f t="shared" si="63"/>
        <v>-936.09800000000052</v>
      </c>
      <c r="AH25" s="42"/>
      <c r="AI25" s="77">
        <f>SUM(AG25/AC25)-1</f>
        <v>8.2091215850623591</v>
      </c>
    </row>
    <row r="26" spans="2:35" ht="12.75" customHeight="1">
      <c r="B26" s="16" t="s">
        <v>80</v>
      </c>
      <c r="C26" s="17">
        <f>C25/C11</f>
        <v>5.0300506925770309E-2</v>
      </c>
      <c r="D26" s="17">
        <f>D25/D11</f>
        <v>-5.1229900940105086E-3</v>
      </c>
      <c r="E26" s="17">
        <f>E25/E11</f>
        <v>-8.445902594001739E-2</v>
      </c>
      <c r="F26" s="27"/>
      <c r="G26" s="17">
        <f t="shared" ref="G26:Q26" si="64">G25/G11</f>
        <v>1.7441217417867666E-2</v>
      </c>
      <c r="H26" s="17">
        <f t="shared" si="64"/>
        <v>4.2881671559820089E-2</v>
      </c>
      <c r="I26" s="17">
        <f t="shared" si="64"/>
        <v>-2.3654700727709609E-2</v>
      </c>
      <c r="J26" s="17">
        <f t="shared" si="64"/>
        <v>-0.40806189430961426</v>
      </c>
      <c r="K26" s="17">
        <f t="shared" si="64"/>
        <v>1.0461760461760462E-2</v>
      </c>
      <c r="L26" s="17">
        <f t="shared" si="64"/>
        <v>2.0202020202020204E-2</v>
      </c>
      <c r="M26" s="17">
        <f t="shared" si="64"/>
        <v>-7.9143389199255124E-3</v>
      </c>
      <c r="N26" s="17">
        <f t="shared" si="64"/>
        <v>-0.412807120276388</v>
      </c>
      <c r="O26" s="17">
        <f t="shared" si="64"/>
        <v>-5.0716221447928762E-2</v>
      </c>
      <c r="P26" s="17">
        <f t="shared" si="64"/>
        <v>1.0447761194029851E-2</v>
      </c>
      <c r="Q26" s="17">
        <f t="shared" si="64"/>
        <v>-9.8231827111984276E-4</v>
      </c>
      <c r="R26" s="28"/>
      <c r="S26" s="17" t="e">
        <f t="shared" ref="S26:AG26" si="65">S25/S11</f>
        <v>#REF!</v>
      </c>
      <c r="T26" s="17" t="e">
        <f t="shared" si="65"/>
        <v>#REF!</v>
      </c>
      <c r="U26" s="17" t="e">
        <f t="shared" si="65"/>
        <v>#REF!</v>
      </c>
      <c r="V26" s="17" t="e">
        <f t="shared" si="65"/>
        <v>#REF!</v>
      </c>
      <c r="W26" s="17">
        <f t="shared" si="65"/>
        <v>1.7441217417867666E-2</v>
      </c>
      <c r="X26" s="17">
        <f t="shared" si="65"/>
        <v>2.8636916210929213E-2</v>
      </c>
      <c r="Y26" s="17">
        <f t="shared" si="65"/>
        <v>1.2521168312924118E-2</v>
      </c>
      <c r="Z26" s="17">
        <f t="shared" si="65"/>
        <v>-3.3869851206554127E-3</v>
      </c>
      <c r="AA26" s="17">
        <f t="shared" si="65"/>
        <v>-7.2164578866934529E-3</v>
      </c>
      <c r="AB26" s="17">
        <f t="shared" si="65"/>
        <v>-1.5639293568363632E-2</v>
      </c>
      <c r="AC26" s="17">
        <f t="shared" si="65"/>
        <v>-1.3581565552374939E-2</v>
      </c>
      <c r="AD26" s="17">
        <f t="shared" si="65"/>
        <v>-8.445902594001739E-2</v>
      </c>
      <c r="AE26" s="17">
        <f t="shared" si="65"/>
        <v>-0.10421829540902884</v>
      </c>
      <c r="AF26" s="17">
        <f t="shared" si="65"/>
        <v>-0.10885457302902828</v>
      </c>
      <c r="AG26" s="17">
        <f t="shared" si="65"/>
        <v>-0.1085289867850808</v>
      </c>
      <c r="AH26" s="43"/>
      <c r="AI26" s="78">
        <f>SUM(AG26-AC26)*1000</f>
        <v>-94.947421232705864</v>
      </c>
    </row>
    <row r="27" spans="2:35" ht="5.0999999999999996" customHeight="1">
      <c r="B27" s="29"/>
      <c r="C27" s="44"/>
      <c r="D27" s="44"/>
      <c r="E27" s="44"/>
      <c r="F27" s="30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3"/>
      <c r="AI27" s="76"/>
    </row>
    <row r="28" spans="2:35" ht="12.75" customHeight="1">
      <c r="B28" s="45" t="s">
        <v>147</v>
      </c>
      <c r="C28" s="83">
        <v>-99.656999999999996</v>
      </c>
      <c r="D28" s="83">
        <v>17.154</v>
      </c>
      <c r="E28" s="83">
        <v>181.143</v>
      </c>
      <c r="F28" s="32"/>
      <c r="G28" s="83">
        <v>-16.956</v>
      </c>
      <c r="H28" s="83">
        <v>-29.821000000000002</v>
      </c>
      <c r="I28" s="83">
        <v>15.686</v>
      </c>
      <c r="J28" s="32">
        <f>SUM(D28-SUM(G28:I28))</f>
        <v>48.245000000000005</v>
      </c>
      <c r="K28" s="83">
        <v>-12</v>
      </c>
      <c r="L28" s="83">
        <v>-13</v>
      </c>
      <c r="M28" s="83">
        <v>-8</v>
      </c>
      <c r="N28" s="32">
        <f>SUM(E28-SUM(K28:M28))</f>
        <v>214.143</v>
      </c>
      <c r="O28" s="83">
        <v>155</v>
      </c>
      <c r="P28" s="83">
        <v>-6</v>
      </c>
      <c r="Q28" s="83">
        <v>1</v>
      </c>
      <c r="R28" s="32"/>
      <c r="S28" s="32" t="e">
        <f>SUM(#REF!)</f>
        <v>#REF!</v>
      </c>
      <c r="T28" s="32" t="e">
        <f>SUM(#REF!)</f>
        <v>#REF!</v>
      </c>
      <c r="U28" s="32" t="e">
        <f>SUM(#REF!)</f>
        <v>#REF!</v>
      </c>
      <c r="V28" s="32" t="e">
        <f>SUM(#REF!)</f>
        <v>#REF!</v>
      </c>
      <c r="W28" s="32">
        <f>SUM(G28:G28)</f>
        <v>-16.956</v>
      </c>
      <c r="X28" s="32">
        <f>SUM(G28:H28)</f>
        <v>-46.777000000000001</v>
      </c>
      <c r="Y28" s="32">
        <f>SUM(G28:I28)</f>
        <v>-31.091000000000001</v>
      </c>
      <c r="Z28" s="32">
        <f t="shared" ref="Z28" si="66">SUM(G28:J28)</f>
        <v>17.154000000000003</v>
      </c>
      <c r="AA28" s="32">
        <f t="shared" ref="AA28" si="67">SUM(H28:K28)</f>
        <v>22.11</v>
      </c>
      <c r="AB28" s="32">
        <f t="shared" ref="AB28" si="68">SUM(I28:L28)</f>
        <v>38.931000000000004</v>
      </c>
      <c r="AC28" s="32">
        <f t="shared" ref="AC28" si="69">SUM(J28:M28)</f>
        <v>15.245000000000005</v>
      </c>
      <c r="AD28" s="32">
        <f t="shared" ref="AD28" si="70">SUM(K28:N28)</f>
        <v>181.143</v>
      </c>
      <c r="AE28" s="32">
        <f t="shared" ref="AE28" si="71">SUM(L28:O28)</f>
        <v>348.14300000000003</v>
      </c>
      <c r="AF28" s="32">
        <f t="shared" ref="AF28" si="72">SUM(M28:P28)</f>
        <v>355.14300000000003</v>
      </c>
      <c r="AG28" s="32">
        <f>SUM(N28:Q28)</f>
        <v>364.14300000000003</v>
      </c>
      <c r="AH28" s="43"/>
      <c r="AI28" s="76">
        <f>SUM(AG28/AC28)-1</f>
        <v>22.886061003607736</v>
      </c>
    </row>
    <row r="29" spans="2:35" ht="12.75" customHeight="1">
      <c r="B29" s="13" t="s">
        <v>148</v>
      </c>
      <c r="C29" s="14">
        <f>SUM(C25+SUM(C28))</f>
        <v>360.53599999999994</v>
      </c>
      <c r="D29" s="14">
        <f t="shared" ref="D29:E29" si="73">SUM(D25+SUM(D28))</f>
        <v>-30.023999999999827</v>
      </c>
      <c r="E29" s="14">
        <f t="shared" si="73"/>
        <v>-586.9550000000005</v>
      </c>
      <c r="F29" s="11"/>
      <c r="G29" s="14">
        <f t="shared" ref="G29" si="74">SUM(G25+SUM(G28))</f>
        <v>42.651000000000025</v>
      </c>
      <c r="H29" s="14">
        <f t="shared" ref="H29" si="75">SUM(H25+SUM(H28))</f>
        <v>85.361999999999711</v>
      </c>
      <c r="I29" s="14">
        <f t="shared" ref="I29" si="76">SUM(I25+SUM(I28))</f>
        <v>-48.632999999999917</v>
      </c>
      <c r="J29" s="14">
        <f t="shared" ref="J29" si="77">SUM(J25+SUM(J28))</f>
        <v>-109.4039999999996</v>
      </c>
      <c r="K29" s="14">
        <f t="shared" ref="K29" si="78">SUM(K25+SUM(K28))</f>
        <v>17</v>
      </c>
      <c r="L29" s="14">
        <f t="shared" ref="L29" si="79">SUM(L25+SUM(L28))</f>
        <v>31</v>
      </c>
      <c r="M29" s="14">
        <f t="shared" ref="M29" si="80">SUM(M25+SUM(M28))</f>
        <v>-25</v>
      </c>
      <c r="N29" s="14">
        <f t="shared" ref="N29" si="81">SUM(N25+SUM(N28))</f>
        <v>-609.9550000000005</v>
      </c>
      <c r="O29" s="14">
        <f t="shared" ref="O29" si="82">SUM(O25+SUM(O28))</f>
        <v>24</v>
      </c>
      <c r="P29" s="14">
        <f t="shared" ref="P29" si="83">SUM(P25+SUM(P28))</f>
        <v>15</v>
      </c>
      <c r="Q29" s="14">
        <f t="shared" ref="Q29" si="84">SUM(Q25+SUM(Q28))</f>
        <v>-1</v>
      </c>
      <c r="R29" s="32"/>
      <c r="S29" s="14" t="e">
        <f t="shared" ref="S29:AB29" si="85">SUM(S23+SUM(S26:S26))</f>
        <v>#REF!</v>
      </c>
      <c r="T29" s="14" t="e">
        <f t="shared" si="85"/>
        <v>#REF!</v>
      </c>
      <c r="U29" s="14" t="e">
        <f t="shared" si="85"/>
        <v>#REF!</v>
      </c>
      <c r="V29" s="14" t="e">
        <f t="shared" si="85"/>
        <v>#REF!</v>
      </c>
      <c r="W29" s="14">
        <f t="shared" si="85"/>
        <v>1.7441217417867666E-2</v>
      </c>
      <c r="X29" s="14">
        <f t="shared" si="85"/>
        <v>2.8636916210929213E-2</v>
      </c>
      <c r="Y29" s="14">
        <f t="shared" si="85"/>
        <v>1.2521168312924118E-2</v>
      </c>
      <c r="Z29" s="14">
        <f t="shared" si="85"/>
        <v>-3.3869851206554127E-3</v>
      </c>
      <c r="AA29" s="14">
        <f t="shared" si="85"/>
        <v>-7.2164578866934529E-3</v>
      </c>
      <c r="AB29" s="14">
        <f t="shared" si="85"/>
        <v>-1.5639293568363632E-2</v>
      </c>
      <c r="AC29" s="14">
        <f t="shared" ref="AC29" si="86">SUM(AC25+SUM(AC28))</f>
        <v>-86.403999999999655</v>
      </c>
      <c r="AD29" s="14">
        <f t="shared" ref="AD29" si="87">SUM(AD25+SUM(AD28))</f>
        <v>-586.9550000000005</v>
      </c>
      <c r="AE29" s="14">
        <f t="shared" ref="AE29" si="88">SUM(AE25+SUM(AE28))</f>
        <v>-579.9550000000005</v>
      </c>
      <c r="AF29" s="14">
        <f t="shared" ref="AF29" si="89">SUM(AF25+SUM(AF28))</f>
        <v>-595.9550000000005</v>
      </c>
      <c r="AG29" s="14">
        <f t="shared" ref="AG29" si="90">SUM(AG25+SUM(AG28))</f>
        <v>-571.9550000000005</v>
      </c>
      <c r="AH29" s="36"/>
      <c r="AI29" s="77">
        <f>SUM(AG29/AC29)-1</f>
        <v>5.6195430767094434</v>
      </c>
    </row>
    <row r="30" spans="2:35" ht="5.0999999999999996" customHeight="1">
      <c r="B30" s="25"/>
      <c r="C30" s="49"/>
      <c r="D30" s="49"/>
      <c r="E30" s="49"/>
      <c r="F30" s="11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32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36"/>
      <c r="AI30" s="150"/>
    </row>
    <row r="31" spans="2:35" ht="12.75" customHeight="1">
      <c r="B31" s="45" t="s">
        <v>149</v>
      </c>
      <c r="C31" s="83">
        <v>103.866</v>
      </c>
      <c r="D31" s="83">
        <v>59.759</v>
      </c>
      <c r="E31" s="83">
        <v>251.167</v>
      </c>
      <c r="F31" s="32"/>
      <c r="G31" s="83">
        <v>0</v>
      </c>
      <c r="H31" s="83">
        <v>0</v>
      </c>
      <c r="I31" s="83">
        <v>0</v>
      </c>
      <c r="J31" s="32">
        <f>SUM(D31-SUM(G31:I31))</f>
        <v>59.759</v>
      </c>
      <c r="K31" s="83">
        <v>23</v>
      </c>
      <c r="L31" s="83">
        <v>14</v>
      </c>
      <c r="M31" s="83">
        <v>19</v>
      </c>
      <c r="N31" s="32">
        <f>SUM(E31-SUM(K31:M31))</f>
        <v>195.167</v>
      </c>
      <c r="O31" s="83">
        <v>0</v>
      </c>
      <c r="P31" s="83">
        <v>0</v>
      </c>
      <c r="Q31" s="83">
        <v>0</v>
      </c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43"/>
      <c r="AI31" s="76"/>
    </row>
    <row r="32" spans="2:35" ht="12.75" customHeight="1">
      <c r="B32" s="13" t="s">
        <v>122</v>
      </c>
      <c r="C32" s="14">
        <f>SUM(C29+C31)</f>
        <v>464.40199999999993</v>
      </c>
      <c r="D32" s="14">
        <f t="shared" ref="D32:E32" si="91">SUM(D29+D31)</f>
        <v>29.735000000000174</v>
      </c>
      <c r="E32" s="14">
        <f t="shared" si="91"/>
        <v>-335.78800000000047</v>
      </c>
      <c r="F32" s="11"/>
      <c r="G32" s="14">
        <f t="shared" ref="G32" si="92">SUM(G29+G31)</f>
        <v>42.651000000000025</v>
      </c>
      <c r="H32" s="14">
        <f t="shared" ref="H32:I32" si="93">SUM(H29+H31)</f>
        <v>85.361999999999711</v>
      </c>
      <c r="I32" s="14">
        <f t="shared" si="93"/>
        <v>-48.632999999999917</v>
      </c>
      <c r="J32" s="14">
        <f t="shared" ref="J32" si="94">SUM(J29+J31)</f>
        <v>-49.644999999999598</v>
      </c>
      <c r="K32" s="14">
        <f t="shared" ref="K32" si="95">SUM(K29+K31)</f>
        <v>40</v>
      </c>
      <c r="L32" s="14">
        <f t="shared" ref="L32" si="96">SUM(L29+L31)</f>
        <v>45</v>
      </c>
      <c r="M32" s="14">
        <f t="shared" ref="M32" si="97">SUM(M29+M31)</f>
        <v>-6</v>
      </c>
      <c r="N32" s="14">
        <f t="shared" ref="N32" si="98">SUM(N29+N31)</f>
        <v>-414.78800000000047</v>
      </c>
      <c r="O32" s="14">
        <f t="shared" ref="O32" si="99">SUM(O29+O31)</f>
        <v>24</v>
      </c>
      <c r="P32" s="14">
        <f t="shared" ref="P32" si="100">SUM(P29+P31)</f>
        <v>15</v>
      </c>
      <c r="Q32" s="14">
        <f t="shared" ref="Q32" si="101">SUM(Q29+Q31)</f>
        <v>-1</v>
      </c>
      <c r="R32" s="32"/>
      <c r="S32" s="14" t="e">
        <f t="shared" ref="S32:AB32" si="102">SUM(S25+SUM(S28:S28))</f>
        <v>#REF!</v>
      </c>
      <c r="T32" s="14" t="e">
        <f t="shared" si="102"/>
        <v>#REF!</v>
      </c>
      <c r="U32" s="14" t="e">
        <f t="shared" si="102"/>
        <v>#REF!</v>
      </c>
      <c r="V32" s="14" t="e">
        <f t="shared" si="102"/>
        <v>#REF!</v>
      </c>
      <c r="W32" s="14">
        <f t="shared" si="102"/>
        <v>42.651000000000025</v>
      </c>
      <c r="X32" s="14">
        <f t="shared" si="102"/>
        <v>128.0130000000002</v>
      </c>
      <c r="Y32" s="14">
        <f t="shared" si="102"/>
        <v>79.379999999999825</v>
      </c>
      <c r="Z32" s="14">
        <f t="shared" si="102"/>
        <v>-14.036999999999743</v>
      </c>
      <c r="AA32" s="14">
        <f t="shared" si="102"/>
        <v>-39.687999999999548</v>
      </c>
      <c r="AB32" s="14">
        <f t="shared" si="102"/>
        <v>-87.049999999999926</v>
      </c>
      <c r="AC32" s="14">
        <f t="shared" ref="AC32" si="103">SUM(AC29+AC31)</f>
        <v>-86.403999999999655</v>
      </c>
      <c r="AD32" s="14">
        <f t="shared" ref="AD32" si="104">SUM(AD29+AD31)</f>
        <v>-586.9550000000005</v>
      </c>
      <c r="AE32" s="14">
        <f t="shared" ref="AE32" si="105">SUM(AE29+AE31)</f>
        <v>-579.9550000000005</v>
      </c>
      <c r="AF32" s="14">
        <f t="shared" ref="AF32" si="106">SUM(AF29+AF31)</f>
        <v>-595.9550000000005</v>
      </c>
      <c r="AG32" s="14">
        <f t="shared" ref="AG32" si="107">SUM(AG29+AG31)</f>
        <v>-571.9550000000005</v>
      </c>
      <c r="AH32" s="36"/>
      <c r="AI32" s="77">
        <f>SUM(AG32/AC32)-1</f>
        <v>5.6195430767094434</v>
      </c>
    </row>
    <row r="33" spans="1:35" ht="12.75" customHeight="1">
      <c r="B33" s="16" t="s">
        <v>62</v>
      </c>
      <c r="C33" s="17">
        <f>C32/C11</f>
        <v>5.0760563540387584E-2</v>
      </c>
      <c r="D33" s="17">
        <f>D32/D11</f>
        <v>3.2288802078384825E-3</v>
      </c>
      <c r="E33" s="17">
        <f>E32/E11</f>
        <v>-3.6922798135585015E-2</v>
      </c>
      <c r="F33" s="27"/>
      <c r="G33" s="17">
        <f t="shared" ref="G33:Q33" si="108">G32/G11</f>
        <v>1.2479832303076381E-2</v>
      </c>
      <c r="H33" s="17">
        <f t="shared" si="108"/>
        <v>3.1779561634002931E-2</v>
      </c>
      <c r="I33" s="17">
        <f t="shared" si="108"/>
        <v>-1.7885835608307046E-2</v>
      </c>
      <c r="J33" s="17">
        <f t="shared" si="108"/>
        <v>-0.12850213285844303</v>
      </c>
      <c r="K33" s="17">
        <f t="shared" si="108"/>
        <v>1.443001443001443E-2</v>
      </c>
      <c r="L33" s="17">
        <f t="shared" si="108"/>
        <v>2.0661157024793389E-2</v>
      </c>
      <c r="M33" s="17">
        <f t="shared" si="108"/>
        <v>-2.7932960893854749E-3</v>
      </c>
      <c r="N33" s="17">
        <f t="shared" si="108"/>
        <v>-0.20777557985239922</v>
      </c>
      <c r="O33" s="17">
        <f t="shared" si="108"/>
        <v>9.2915214866434379E-3</v>
      </c>
      <c r="P33" s="17">
        <f t="shared" si="108"/>
        <v>7.462686567164179E-3</v>
      </c>
      <c r="Q33" s="17">
        <f t="shared" si="108"/>
        <v>-4.9115913555992138E-4</v>
      </c>
      <c r="R33" s="28"/>
      <c r="S33" s="17" t="e">
        <f t="shared" ref="S33:AG33" si="109">S32/S11</f>
        <v>#REF!</v>
      </c>
      <c r="T33" s="17" t="e">
        <f t="shared" si="109"/>
        <v>#REF!</v>
      </c>
      <c r="U33" s="17" t="e">
        <f t="shared" si="109"/>
        <v>#REF!</v>
      </c>
      <c r="V33" s="17" t="e">
        <f t="shared" si="109"/>
        <v>#REF!</v>
      </c>
      <c r="W33" s="17">
        <f t="shared" si="109"/>
        <v>1.2479832303076381E-2</v>
      </c>
      <c r="X33" s="17">
        <f t="shared" si="109"/>
        <v>2.0973153812630489E-2</v>
      </c>
      <c r="Y33" s="17">
        <f t="shared" si="109"/>
        <v>8.9972059697107469E-3</v>
      </c>
      <c r="Z33" s="17">
        <f t="shared" si="109"/>
        <v>-1.524257322260894E-3</v>
      </c>
      <c r="AA33" s="17">
        <f t="shared" si="109"/>
        <v>-4.6345639115681512E-3</v>
      </c>
      <c r="AB33" s="17">
        <f t="shared" si="109"/>
        <v>-1.0806395449520591E-2</v>
      </c>
      <c r="AC33" s="17">
        <f t="shared" si="109"/>
        <v>-1.1544644708628747E-2</v>
      </c>
      <c r="AD33" s="17">
        <f t="shared" si="109"/>
        <v>-6.4540784601213541E-2</v>
      </c>
      <c r="AE33" s="17">
        <f t="shared" si="109"/>
        <v>-6.5124503569605086E-2</v>
      </c>
      <c r="AF33" s="17">
        <f t="shared" si="109"/>
        <v>-6.8207931327281271E-2</v>
      </c>
      <c r="AG33" s="17">
        <f t="shared" si="109"/>
        <v>-6.6311109132442231E-2</v>
      </c>
      <c r="AH33" s="43"/>
      <c r="AI33" s="78">
        <f>SUM(AG33-AC33)*1000</f>
        <v>-54.766464423813488</v>
      </c>
    </row>
    <row r="34" spans="1:35" ht="5.0999999999999996" customHeight="1">
      <c r="B34" s="16"/>
      <c r="C34" s="17"/>
      <c r="D34" s="17"/>
      <c r="E34" s="17"/>
      <c r="F34" s="2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28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43"/>
      <c r="AI34" s="78"/>
    </row>
    <row r="35" spans="1:35" ht="12.75" customHeight="1">
      <c r="B35" s="45" t="s">
        <v>93</v>
      </c>
      <c r="C35" s="83">
        <v>60.350999999999999</v>
      </c>
      <c r="D35" s="83">
        <v>59.432000000000002</v>
      </c>
      <c r="E35" s="83">
        <v>59.646999999999998</v>
      </c>
      <c r="F35" s="27"/>
      <c r="G35" s="83">
        <v>59.334000000000003</v>
      </c>
      <c r="H35" s="83">
        <v>59.451000000000001</v>
      </c>
      <c r="I35" s="83">
        <v>59.473999999999997</v>
      </c>
      <c r="J35" s="32">
        <f>D35</f>
        <v>59.432000000000002</v>
      </c>
      <c r="K35" s="83">
        <v>59.6</v>
      </c>
      <c r="L35" s="83">
        <v>59.6</v>
      </c>
      <c r="M35" s="83">
        <v>59.7</v>
      </c>
      <c r="N35" s="32">
        <f>E35</f>
        <v>59.646999999999998</v>
      </c>
      <c r="O35" s="83">
        <v>59.8</v>
      </c>
      <c r="P35" s="83">
        <v>59.9</v>
      </c>
      <c r="Q35" s="83">
        <v>60</v>
      </c>
      <c r="R35" s="134"/>
      <c r="S35" s="32" t="e">
        <f>#REF!</f>
        <v>#REF!</v>
      </c>
      <c r="T35" s="32" t="e">
        <f>#REF!</f>
        <v>#REF!</v>
      </c>
      <c r="U35" s="32" t="e">
        <f>#REF!</f>
        <v>#REF!</v>
      </c>
      <c r="V35" s="32" t="e">
        <f>#REF!</f>
        <v>#REF!</v>
      </c>
      <c r="W35" s="32">
        <f t="shared" ref="W35:AF35" si="110">G35</f>
        <v>59.334000000000003</v>
      </c>
      <c r="X35" s="32">
        <f t="shared" si="110"/>
        <v>59.451000000000001</v>
      </c>
      <c r="Y35" s="32">
        <f t="shared" si="110"/>
        <v>59.473999999999997</v>
      </c>
      <c r="Z35" s="32">
        <f t="shared" si="110"/>
        <v>59.432000000000002</v>
      </c>
      <c r="AA35" s="32">
        <f t="shared" si="110"/>
        <v>59.6</v>
      </c>
      <c r="AB35" s="32">
        <f t="shared" si="110"/>
        <v>59.6</v>
      </c>
      <c r="AC35" s="32">
        <f t="shared" si="110"/>
        <v>59.7</v>
      </c>
      <c r="AD35" s="32">
        <f t="shared" si="110"/>
        <v>59.646999999999998</v>
      </c>
      <c r="AE35" s="32">
        <f t="shared" si="110"/>
        <v>59.8</v>
      </c>
      <c r="AF35" s="32">
        <f t="shared" si="110"/>
        <v>59.9</v>
      </c>
      <c r="AG35" s="32">
        <f>Q35</f>
        <v>60</v>
      </c>
      <c r="AH35" s="43"/>
      <c r="AI35" s="76">
        <f>SUM(AG35/AC35)-1</f>
        <v>5.0251256281406143E-3</v>
      </c>
    </row>
    <row r="36" spans="1:35" ht="12.75" customHeight="1">
      <c r="B36" s="13" t="s">
        <v>63</v>
      </c>
      <c r="C36" s="149">
        <f t="shared" ref="C36:D36" si="111">C32/C35</f>
        <v>7.6950174810690779</v>
      </c>
      <c r="D36" s="149">
        <f t="shared" si="111"/>
        <v>0.50031969309463209</v>
      </c>
      <c r="E36" s="149">
        <f>E32/E35</f>
        <v>-5.6295874059047479</v>
      </c>
      <c r="F36" s="27"/>
      <c r="G36" s="149">
        <f t="shared" ref="G36:L36" si="112">G32/G35</f>
        <v>0.71882900192132715</v>
      </c>
      <c r="H36" s="149">
        <f t="shared" si="112"/>
        <v>1.4358379169399962</v>
      </c>
      <c r="I36" s="149">
        <f t="shared" si="112"/>
        <v>-0.81771866698052798</v>
      </c>
      <c r="J36" s="149">
        <f t="shared" si="112"/>
        <v>-0.83532440436128008</v>
      </c>
      <c r="K36" s="149">
        <f t="shared" si="112"/>
        <v>0.67114093959731547</v>
      </c>
      <c r="L36" s="149">
        <f t="shared" si="112"/>
        <v>0.75503355704697983</v>
      </c>
      <c r="M36" s="149">
        <f>M32/M35</f>
        <v>-0.10050251256281406</v>
      </c>
      <c r="N36" s="149">
        <f t="shared" ref="N36:Q36" si="113">N32/N35</f>
        <v>-6.9540463057655959</v>
      </c>
      <c r="O36" s="149">
        <f t="shared" si="113"/>
        <v>0.40133779264214048</v>
      </c>
      <c r="P36" s="149">
        <f t="shared" si="113"/>
        <v>0.25041736227045075</v>
      </c>
      <c r="Q36" s="149">
        <f t="shared" si="113"/>
        <v>-1.6666666666666666E-2</v>
      </c>
      <c r="R36" s="134"/>
      <c r="S36" s="149" t="e">
        <f t="shared" ref="S36" si="114">S32/S35</f>
        <v>#REF!</v>
      </c>
      <c r="T36" s="149" t="e">
        <f t="shared" ref="T36" si="115">T32/T35</f>
        <v>#REF!</v>
      </c>
      <c r="U36" s="149" t="e">
        <f t="shared" ref="U36" si="116">U32/U35</f>
        <v>#REF!</v>
      </c>
      <c r="V36" s="149" t="e">
        <f t="shared" ref="V36" si="117">V32/V35</f>
        <v>#REF!</v>
      </c>
      <c r="W36" s="149">
        <f t="shared" ref="W36" si="118">W32/W35</f>
        <v>0.71882900192132715</v>
      </c>
      <c r="X36" s="149">
        <f t="shared" ref="X36" si="119">X32/X35</f>
        <v>2.1532522581621873</v>
      </c>
      <c r="Y36" s="149">
        <f t="shared" ref="Y36" si="120">Y32/Y35</f>
        <v>1.3347008776944518</v>
      </c>
      <c r="Z36" s="149">
        <f t="shared" ref="Z36" si="121">Z32/Z35</f>
        <v>-0.23618589312154636</v>
      </c>
      <c r="AA36" s="149">
        <f t="shared" ref="AA36" si="122">AA32/AA35</f>
        <v>-0.6659060402684488</v>
      </c>
      <c r="AB36" s="149">
        <f t="shared" ref="AB36" si="123">AB32/AB35</f>
        <v>-1.4605704697986563</v>
      </c>
      <c r="AC36" s="149">
        <f t="shared" ref="AC36" si="124">AC32/AC35</f>
        <v>-1.4473031825795586</v>
      </c>
      <c r="AD36" s="149">
        <f t="shared" ref="AD36" si="125">AD32/AD35</f>
        <v>-9.8404781464281612</v>
      </c>
      <c r="AE36" s="149">
        <f t="shared" ref="AE36" si="126">AE32/AE35</f>
        <v>-9.6982441471571992</v>
      </c>
      <c r="AF36" s="149">
        <f t="shared" ref="AF36" si="127">AF32/AF35</f>
        <v>-9.9491652754591069</v>
      </c>
      <c r="AG36" s="149">
        <f t="shared" ref="AG36" si="128">AG32/AG35</f>
        <v>-9.5325833333333421</v>
      </c>
      <c r="AH36" s="43"/>
      <c r="AI36" s="77">
        <f>SUM(AG36/AC36)-1</f>
        <v>5.5864453613258975</v>
      </c>
    </row>
    <row r="37" spans="1:35" ht="12.75" customHeight="1">
      <c r="B37" s="25"/>
      <c r="C37" s="49"/>
      <c r="D37" s="49"/>
      <c r="E37" s="49"/>
      <c r="F37" s="148"/>
      <c r="G37" s="134"/>
      <c r="H37" s="134"/>
      <c r="I37" s="134"/>
      <c r="J37" s="134"/>
      <c r="K37" s="134"/>
      <c r="L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X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43"/>
      <c r="AI37" s="76"/>
    </row>
    <row r="38" spans="1:35" ht="12.75" customHeight="1">
      <c r="B38" s="45" t="s">
        <v>64</v>
      </c>
      <c r="C38" s="83">
        <v>60.716999999999999</v>
      </c>
      <c r="D38" s="83">
        <v>59.607999999999997</v>
      </c>
      <c r="E38" s="83">
        <v>59.902000000000001</v>
      </c>
      <c r="F38" s="148"/>
      <c r="G38" s="83">
        <v>59.543999999999997</v>
      </c>
      <c r="H38" s="83">
        <v>59.603999999999999</v>
      </c>
      <c r="I38" s="83">
        <v>59.63</v>
      </c>
      <c r="J38" s="32">
        <f>D38</f>
        <v>59.607999999999997</v>
      </c>
      <c r="K38" s="83">
        <v>59.8</v>
      </c>
      <c r="L38" s="83">
        <v>59.9</v>
      </c>
      <c r="M38" s="83">
        <v>59.9</v>
      </c>
      <c r="N38" s="32">
        <f>E38</f>
        <v>59.902000000000001</v>
      </c>
      <c r="O38" s="83">
        <v>60.2</v>
      </c>
      <c r="P38" s="83">
        <v>60.5</v>
      </c>
      <c r="Q38" s="83">
        <v>60</v>
      </c>
      <c r="R38" s="134"/>
      <c r="S38" s="32" t="e">
        <f>#REF!</f>
        <v>#REF!</v>
      </c>
      <c r="T38" s="32" t="e">
        <f>#REF!</f>
        <v>#REF!</v>
      </c>
      <c r="U38" s="32" t="e">
        <f>#REF!</f>
        <v>#REF!</v>
      </c>
      <c r="V38" s="32" t="e">
        <f>#REF!</f>
        <v>#REF!</v>
      </c>
      <c r="W38" s="32">
        <f t="shared" ref="W38:AF38" si="129">G38</f>
        <v>59.543999999999997</v>
      </c>
      <c r="X38" s="32">
        <f t="shared" si="129"/>
        <v>59.603999999999999</v>
      </c>
      <c r="Y38" s="32">
        <f t="shared" si="129"/>
        <v>59.63</v>
      </c>
      <c r="Z38" s="32">
        <f t="shared" si="129"/>
        <v>59.607999999999997</v>
      </c>
      <c r="AA38" s="32">
        <f t="shared" si="129"/>
        <v>59.8</v>
      </c>
      <c r="AB38" s="32">
        <f t="shared" si="129"/>
        <v>59.9</v>
      </c>
      <c r="AC38" s="32">
        <f t="shared" si="129"/>
        <v>59.9</v>
      </c>
      <c r="AD38" s="32">
        <f t="shared" si="129"/>
        <v>59.902000000000001</v>
      </c>
      <c r="AE38" s="32">
        <f t="shared" si="129"/>
        <v>60.2</v>
      </c>
      <c r="AF38" s="32">
        <f t="shared" si="129"/>
        <v>60.5</v>
      </c>
      <c r="AG38" s="32">
        <f>Q38</f>
        <v>60</v>
      </c>
      <c r="AH38" s="43"/>
      <c r="AI38" s="76">
        <f>SUM(AG38/AC38)-1</f>
        <v>1.6694490818029983E-3</v>
      </c>
    </row>
    <row r="39" spans="1:35" ht="12.75" customHeight="1">
      <c r="B39" s="13" t="s">
        <v>92</v>
      </c>
      <c r="C39" s="149">
        <f t="shared" ref="C39:D39" si="130">C32/C38</f>
        <v>7.6486321787967118</v>
      </c>
      <c r="D39" s="149">
        <f t="shared" si="130"/>
        <v>0.49884243725674698</v>
      </c>
      <c r="E39" s="149">
        <f>E32/E38</f>
        <v>-5.6056225167774105</v>
      </c>
      <c r="F39" s="27"/>
      <c r="G39" s="149">
        <f t="shared" ref="G39:L39" si="131">G32/G38</f>
        <v>0.71629383313180217</v>
      </c>
      <c r="H39" s="149">
        <f t="shared" si="131"/>
        <v>1.4321522045500255</v>
      </c>
      <c r="I39" s="149">
        <f t="shared" si="131"/>
        <v>-0.81557940633908965</v>
      </c>
      <c r="J39" s="149">
        <f t="shared" si="131"/>
        <v>-0.83285800563682055</v>
      </c>
      <c r="K39" s="149">
        <f t="shared" si="131"/>
        <v>0.66889632107023411</v>
      </c>
      <c r="L39" s="149">
        <f t="shared" si="131"/>
        <v>0.75125208681135225</v>
      </c>
      <c r="M39" s="149">
        <f>M32/M38</f>
        <v>-0.1001669449081803</v>
      </c>
      <c r="N39" s="149">
        <f t="shared" ref="N39:Q39" si="132">N32/N38</f>
        <v>-6.9244432573202976</v>
      </c>
      <c r="O39" s="149">
        <f t="shared" si="132"/>
        <v>0.39867109634551495</v>
      </c>
      <c r="P39" s="149">
        <f t="shared" si="132"/>
        <v>0.24793388429752067</v>
      </c>
      <c r="Q39" s="149">
        <f t="shared" si="132"/>
        <v>-1.6666666666666666E-2</v>
      </c>
      <c r="R39" s="134"/>
      <c r="S39" s="149" t="e">
        <f t="shared" ref="S39" si="133">S32/S38</f>
        <v>#REF!</v>
      </c>
      <c r="T39" s="149" t="e">
        <f t="shared" ref="T39" si="134">T32/T38</f>
        <v>#REF!</v>
      </c>
      <c r="U39" s="149" t="e">
        <f t="shared" ref="U39" si="135">U32/U38</f>
        <v>#REF!</v>
      </c>
      <c r="V39" s="149" t="e">
        <f t="shared" ref="V39" si="136">V32/V38</f>
        <v>#REF!</v>
      </c>
      <c r="W39" s="149">
        <f t="shared" ref="W39" si="137">W32/W38</f>
        <v>0.71629383313180217</v>
      </c>
      <c r="X39" s="149">
        <f t="shared" ref="X39" si="138">X32/X38</f>
        <v>2.1477249849003459</v>
      </c>
      <c r="Y39" s="149">
        <f t="shared" ref="Y39" si="139">Y32/Y38</f>
        <v>1.3312091229246994</v>
      </c>
      <c r="Z39" s="149">
        <f t="shared" ref="Z39" si="140">Z32/Z38</f>
        <v>-0.23548852503019299</v>
      </c>
      <c r="AA39" s="149">
        <f t="shared" ref="AA39" si="141">AA32/AA38</f>
        <v>-0.66367892976587872</v>
      </c>
      <c r="AB39" s="149">
        <f t="shared" ref="AB39" si="142">AB32/AB38</f>
        <v>-1.4532554257095147</v>
      </c>
      <c r="AC39" s="149">
        <f t="shared" ref="AC39" si="143">AC32/AC38</f>
        <v>-1.4424707846410627</v>
      </c>
      <c r="AD39" s="149">
        <f t="shared" ref="AD39" si="144">AD32/AD38</f>
        <v>-9.7985876932322871</v>
      </c>
      <c r="AE39" s="149">
        <f t="shared" ref="AE39" si="145">AE32/AE38</f>
        <v>-9.633803986710971</v>
      </c>
      <c r="AF39" s="149">
        <f t="shared" ref="AF39" si="146">AF32/AF38</f>
        <v>-9.8504958677686041</v>
      </c>
      <c r="AG39" s="149">
        <f t="shared" ref="AG39" si="147">AG32/AG38</f>
        <v>-9.5325833333333421</v>
      </c>
      <c r="AH39" s="43"/>
      <c r="AI39" s="77">
        <f>SUM(AG39/AC39)-1</f>
        <v>5.6085105049149284</v>
      </c>
    </row>
    <row r="40" spans="1:35">
      <c r="B40" s="16"/>
      <c r="C40" s="17"/>
      <c r="D40" s="17"/>
      <c r="E40" s="17"/>
      <c r="F40" s="2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28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43"/>
    </row>
    <row r="41" spans="1:35" ht="12.75" customHeight="1">
      <c r="A41" s="5" t="s">
        <v>19</v>
      </c>
      <c r="B41" s="107" t="s">
        <v>74</v>
      </c>
      <c r="C41" s="108"/>
      <c r="D41" s="108"/>
      <c r="E41" s="108"/>
      <c r="F41" s="109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7"/>
      <c r="S41" s="108"/>
      <c r="T41" s="108"/>
      <c r="U41" s="108"/>
      <c r="V41" s="108"/>
      <c r="W41" s="108"/>
      <c r="X41" s="108"/>
      <c r="Y41" s="108"/>
      <c r="Z41" s="108"/>
      <c r="AA41" s="108"/>
      <c r="AB41" s="108" t="s">
        <v>10</v>
      </c>
      <c r="AC41" s="108"/>
      <c r="AD41" s="108"/>
      <c r="AE41" s="108"/>
      <c r="AF41" s="108"/>
      <c r="AG41" s="108"/>
      <c r="AH41" s="109"/>
      <c r="AI41" s="165" t="s">
        <v>25</v>
      </c>
    </row>
    <row r="42" spans="1:35" ht="12.75" customHeight="1">
      <c r="B42" s="111" t="str">
        <f t="shared" ref="B42:E43" si="148">B7</f>
        <v>Fiscal Period</v>
      </c>
      <c r="C42" s="110">
        <f t="shared" si="148"/>
        <v>2022</v>
      </c>
      <c r="D42" s="110">
        <f t="shared" si="148"/>
        <v>2023</v>
      </c>
      <c r="E42" s="110">
        <f t="shared" si="148"/>
        <v>2024</v>
      </c>
      <c r="F42" s="109"/>
      <c r="G42" s="110" t="str">
        <f t="shared" ref="G42:Q42" si="149">G7</f>
        <v>1Q23</v>
      </c>
      <c r="H42" s="110" t="str">
        <f t="shared" si="149"/>
        <v>2Q23</v>
      </c>
      <c r="I42" s="110" t="str">
        <f t="shared" si="149"/>
        <v>3Q23</v>
      </c>
      <c r="J42" s="110" t="str">
        <f t="shared" si="149"/>
        <v>4Q23</v>
      </c>
      <c r="K42" s="110" t="str">
        <f t="shared" si="149"/>
        <v>1Q24</v>
      </c>
      <c r="L42" s="110" t="str">
        <f t="shared" si="149"/>
        <v>2Q24</v>
      </c>
      <c r="M42" s="110" t="str">
        <f t="shared" si="149"/>
        <v>3Q24</v>
      </c>
      <c r="N42" s="110" t="str">
        <f t="shared" si="149"/>
        <v>4Q24</v>
      </c>
      <c r="O42" s="110" t="str">
        <f t="shared" si="149"/>
        <v>1Q25</v>
      </c>
      <c r="P42" s="110" t="str">
        <f t="shared" si="149"/>
        <v>2Q25</v>
      </c>
      <c r="Q42" s="110" t="str">
        <f t="shared" si="149"/>
        <v>3Q25</v>
      </c>
      <c r="R42" s="112"/>
      <c r="S42" s="110" t="e">
        <f t="shared" ref="S42:AG42" si="150">S7</f>
        <v>#REF!</v>
      </c>
      <c r="T42" s="110" t="e">
        <f t="shared" si="150"/>
        <v>#REF!</v>
      </c>
      <c r="U42" s="110" t="e">
        <f t="shared" si="150"/>
        <v>#REF!</v>
      </c>
      <c r="V42" s="110" t="e">
        <f t="shared" si="150"/>
        <v>#REF!</v>
      </c>
      <c r="W42" s="110" t="str">
        <f t="shared" si="150"/>
        <v>1Q23</v>
      </c>
      <c r="X42" s="110" t="str">
        <f t="shared" si="150"/>
        <v>2Q23</v>
      </c>
      <c r="Y42" s="110" t="str">
        <f t="shared" si="150"/>
        <v>3Q23</v>
      </c>
      <c r="Z42" s="110" t="str">
        <f t="shared" si="150"/>
        <v>4Q23</v>
      </c>
      <c r="AA42" s="110" t="str">
        <f t="shared" si="150"/>
        <v>1Q24</v>
      </c>
      <c r="AB42" s="110" t="str">
        <f t="shared" si="150"/>
        <v>2Q24</v>
      </c>
      <c r="AC42" s="110" t="str">
        <f t="shared" si="150"/>
        <v>3Q24</v>
      </c>
      <c r="AD42" s="110" t="str">
        <f t="shared" si="150"/>
        <v>4Q24</v>
      </c>
      <c r="AE42" s="110" t="str">
        <f t="shared" si="150"/>
        <v>1Q25</v>
      </c>
      <c r="AF42" s="110" t="str">
        <f t="shared" si="150"/>
        <v>2Q25</v>
      </c>
      <c r="AG42" s="110" t="str">
        <f t="shared" si="150"/>
        <v>3Q25</v>
      </c>
      <c r="AH42" s="109"/>
      <c r="AI42" s="165"/>
    </row>
    <row r="43" spans="1:35" ht="12.75" customHeight="1">
      <c r="B43" s="111" t="str">
        <f t="shared" si="148"/>
        <v>Fiscal Period End Date</v>
      </c>
      <c r="C43" s="113">
        <f t="shared" si="148"/>
        <v>44926</v>
      </c>
      <c r="D43" s="113">
        <f t="shared" si="148"/>
        <v>45290</v>
      </c>
      <c r="E43" s="113">
        <f t="shared" si="148"/>
        <v>45654</v>
      </c>
      <c r="F43" s="109"/>
      <c r="G43" s="113">
        <f t="shared" ref="G43:Q43" si="151">G8</f>
        <v>45038</v>
      </c>
      <c r="H43" s="113">
        <f t="shared" si="151"/>
        <v>45122</v>
      </c>
      <c r="I43" s="113">
        <f t="shared" si="151"/>
        <v>45206</v>
      </c>
      <c r="J43" s="113">
        <f t="shared" si="151"/>
        <v>45290</v>
      </c>
      <c r="K43" s="113">
        <f t="shared" si="151"/>
        <v>45402</v>
      </c>
      <c r="L43" s="113">
        <f t="shared" si="151"/>
        <v>45486</v>
      </c>
      <c r="M43" s="113">
        <f t="shared" si="151"/>
        <v>45570</v>
      </c>
      <c r="N43" s="113">
        <f t="shared" si="151"/>
        <v>45654</v>
      </c>
      <c r="O43" s="113">
        <f t="shared" si="151"/>
        <v>45766</v>
      </c>
      <c r="P43" s="113">
        <f t="shared" si="151"/>
        <v>45859</v>
      </c>
      <c r="Q43" s="113">
        <f t="shared" si="151"/>
        <v>45934</v>
      </c>
      <c r="R43" s="114"/>
      <c r="S43" s="113" t="e">
        <f t="shared" ref="S43:AG43" si="152">S8</f>
        <v>#REF!</v>
      </c>
      <c r="T43" s="113" t="e">
        <f t="shared" si="152"/>
        <v>#REF!</v>
      </c>
      <c r="U43" s="113" t="e">
        <f t="shared" si="152"/>
        <v>#REF!</v>
      </c>
      <c r="V43" s="113" t="e">
        <f t="shared" si="152"/>
        <v>#REF!</v>
      </c>
      <c r="W43" s="113">
        <f t="shared" si="152"/>
        <v>45038</v>
      </c>
      <c r="X43" s="113">
        <f t="shared" si="152"/>
        <v>45122</v>
      </c>
      <c r="Y43" s="113">
        <f t="shared" si="152"/>
        <v>45206</v>
      </c>
      <c r="Z43" s="113">
        <f t="shared" si="152"/>
        <v>45290</v>
      </c>
      <c r="AA43" s="113">
        <f t="shared" si="152"/>
        <v>45402</v>
      </c>
      <c r="AB43" s="113">
        <f t="shared" si="152"/>
        <v>45486</v>
      </c>
      <c r="AC43" s="113">
        <f t="shared" si="152"/>
        <v>45570</v>
      </c>
      <c r="AD43" s="113">
        <f t="shared" si="152"/>
        <v>45654</v>
      </c>
      <c r="AE43" s="113">
        <f t="shared" si="152"/>
        <v>45766</v>
      </c>
      <c r="AF43" s="113">
        <f t="shared" si="152"/>
        <v>45859</v>
      </c>
      <c r="AG43" s="113">
        <f t="shared" si="152"/>
        <v>45934</v>
      </c>
      <c r="AH43" s="109"/>
      <c r="AI43" s="165"/>
    </row>
    <row r="44" spans="1:35" ht="5.0999999999999996" customHeight="1">
      <c r="B44" s="47"/>
      <c r="C44" s="48"/>
      <c r="D44" s="48"/>
      <c r="E44" s="48"/>
    </row>
    <row r="45" spans="1:35">
      <c r="B45" s="79" t="s">
        <v>81</v>
      </c>
      <c r="C45" s="48"/>
      <c r="D45" s="48"/>
      <c r="E45" s="48"/>
    </row>
    <row r="46" spans="1:35" s="123" customFormat="1" ht="12.75" customHeight="1">
      <c r="B46" s="115" t="s">
        <v>101</v>
      </c>
      <c r="C46" s="83">
        <v>270.80500000000001</v>
      </c>
      <c r="D46" s="83">
        <v>488.04899999999998</v>
      </c>
      <c r="E46" s="83">
        <v>1869.4169999999999</v>
      </c>
      <c r="G46" s="83">
        <v>226.499</v>
      </c>
      <c r="H46" s="83">
        <v>277.06400000000002</v>
      </c>
      <c r="I46" s="83">
        <v>317.52800000000002</v>
      </c>
      <c r="J46" s="32">
        <f t="shared" ref="J46:J47" si="153">D46</f>
        <v>488.04899999999998</v>
      </c>
      <c r="K46" s="83">
        <v>451.00299999999999</v>
      </c>
      <c r="L46" s="83">
        <v>479.41800000000001</v>
      </c>
      <c r="M46" s="83">
        <v>464.49200000000002</v>
      </c>
      <c r="N46" s="32">
        <f t="shared" ref="N46:N47" si="154">E46</f>
        <v>1869.4169999999999</v>
      </c>
      <c r="O46" s="83">
        <v>1672</v>
      </c>
      <c r="P46" s="83">
        <v>1657</v>
      </c>
      <c r="Q46" s="83">
        <v>3174</v>
      </c>
      <c r="S46" s="97" t="e">
        <f>#REF!</f>
        <v>#REF!</v>
      </c>
      <c r="T46" s="97" t="e">
        <f>#REF!</f>
        <v>#REF!</v>
      </c>
      <c r="U46" s="97" t="e">
        <f>#REF!</f>
        <v>#REF!</v>
      </c>
      <c r="V46" s="97" t="e">
        <f>#REF!</f>
        <v>#REF!</v>
      </c>
      <c r="W46" s="97">
        <f t="shared" ref="W46:AG49" si="155">G46</f>
        <v>226.499</v>
      </c>
      <c r="X46" s="97">
        <f t="shared" si="155"/>
        <v>277.06400000000002</v>
      </c>
      <c r="Y46" s="97">
        <f t="shared" si="155"/>
        <v>317.52800000000002</v>
      </c>
      <c r="Z46" s="97">
        <f t="shared" si="155"/>
        <v>488.04899999999998</v>
      </c>
      <c r="AA46" s="97">
        <f t="shared" si="155"/>
        <v>451.00299999999999</v>
      </c>
      <c r="AB46" s="97">
        <f t="shared" si="155"/>
        <v>479.41800000000001</v>
      </c>
      <c r="AC46" s="97">
        <f t="shared" si="155"/>
        <v>464.49200000000002</v>
      </c>
      <c r="AD46" s="97">
        <f t="shared" si="155"/>
        <v>1869.4169999999999</v>
      </c>
      <c r="AE46" s="97">
        <f t="shared" si="155"/>
        <v>1672</v>
      </c>
      <c r="AF46" s="97">
        <f t="shared" si="155"/>
        <v>1657</v>
      </c>
      <c r="AG46" s="97">
        <f t="shared" si="155"/>
        <v>3174</v>
      </c>
      <c r="AH46" s="124"/>
      <c r="AI46" s="76">
        <f>SUM(AG46/AC46)-1</f>
        <v>5.8332716171645576</v>
      </c>
    </row>
    <row r="47" spans="1:35" s="123" customFormat="1" ht="12.75" customHeight="1">
      <c r="B47" s="115" t="s">
        <v>123</v>
      </c>
      <c r="C47" s="83">
        <v>684.048</v>
      </c>
      <c r="D47" s="83">
        <v>609.52800000000002</v>
      </c>
      <c r="E47" s="83">
        <v>544.04</v>
      </c>
      <c r="G47" s="83">
        <v>782.09299999999996</v>
      </c>
      <c r="H47" s="83">
        <v>793.77200000000005</v>
      </c>
      <c r="I47" s="83">
        <v>868.30499999999995</v>
      </c>
      <c r="J47" s="32">
        <f t="shared" si="153"/>
        <v>609.52800000000002</v>
      </c>
      <c r="K47" s="83">
        <v>825.38400000000001</v>
      </c>
      <c r="L47" s="83">
        <v>847.60900000000004</v>
      </c>
      <c r="M47" s="83">
        <v>668.93700000000001</v>
      </c>
      <c r="N47" s="32">
        <f t="shared" si="154"/>
        <v>544.04</v>
      </c>
      <c r="O47" s="83">
        <v>494</v>
      </c>
      <c r="P47" s="83">
        <v>492</v>
      </c>
      <c r="Q47" s="83">
        <v>483</v>
      </c>
      <c r="S47" s="97" t="e">
        <f>#REF!</f>
        <v>#REF!</v>
      </c>
      <c r="T47" s="97" t="e">
        <f>#REF!</f>
        <v>#REF!</v>
      </c>
      <c r="U47" s="97" t="e">
        <f>#REF!</f>
        <v>#REF!</v>
      </c>
      <c r="V47" s="97" t="e">
        <f>#REF!</f>
        <v>#REF!</v>
      </c>
      <c r="W47" s="97">
        <f t="shared" ref="W47" si="156">G47</f>
        <v>782.09299999999996</v>
      </c>
      <c r="X47" s="97">
        <f t="shared" ref="X47" si="157">H47</f>
        <v>793.77200000000005</v>
      </c>
      <c r="Y47" s="97">
        <f t="shared" ref="Y47" si="158">I47</f>
        <v>868.30499999999995</v>
      </c>
      <c r="Z47" s="97">
        <f t="shared" ref="Z47" si="159">J47</f>
        <v>609.52800000000002</v>
      </c>
      <c r="AA47" s="97">
        <f t="shared" ref="AA47" si="160">K47</f>
        <v>825.38400000000001</v>
      </c>
      <c r="AB47" s="97">
        <f t="shared" ref="AB47" si="161">L47</f>
        <v>847.60900000000004</v>
      </c>
      <c r="AC47" s="97">
        <f t="shared" ref="AC47" si="162">M47</f>
        <v>668.93700000000001</v>
      </c>
      <c r="AD47" s="97">
        <f t="shared" ref="AD47" si="163">N47</f>
        <v>544.04</v>
      </c>
      <c r="AE47" s="97">
        <f t="shared" ref="AE47" si="164">O47</f>
        <v>494</v>
      </c>
      <c r="AF47" s="97">
        <f t="shared" ref="AF47" si="165">P47</f>
        <v>492</v>
      </c>
      <c r="AG47" s="97">
        <f t="shared" ref="AG47" si="166">Q47</f>
        <v>483</v>
      </c>
      <c r="AH47" s="124"/>
      <c r="AI47" s="76"/>
    </row>
    <row r="48" spans="1:35" s="123" customFormat="1" ht="12.75" customHeight="1">
      <c r="B48" s="115" t="s">
        <v>124</v>
      </c>
      <c r="C48" s="83">
        <v>4896.2690000000002</v>
      </c>
      <c r="D48" s="83">
        <v>3893.569</v>
      </c>
      <c r="E48" s="83">
        <v>3612.0810000000001</v>
      </c>
      <c r="G48" s="83">
        <v>5015.973</v>
      </c>
      <c r="H48" s="83">
        <v>5067.4669999999996</v>
      </c>
      <c r="I48" s="83">
        <v>4949.3819999999996</v>
      </c>
      <c r="J48" s="32">
        <f t="shared" ref="J48:J49" si="167">D48</f>
        <v>3893.569</v>
      </c>
      <c r="K48" s="83">
        <v>4828.3140000000003</v>
      </c>
      <c r="L48" s="83">
        <v>4903.49</v>
      </c>
      <c r="M48" s="83">
        <v>4042.2</v>
      </c>
      <c r="N48" s="32">
        <f t="shared" ref="N48:N49" si="168">E48</f>
        <v>3612.0810000000001</v>
      </c>
      <c r="O48" s="83">
        <v>3731</v>
      </c>
      <c r="P48" s="83">
        <v>3692</v>
      </c>
      <c r="Q48" s="83">
        <v>3694</v>
      </c>
      <c r="S48" s="97" t="e">
        <f>#REF!</f>
        <v>#REF!</v>
      </c>
      <c r="T48" s="97" t="e">
        <f>#REF!</f>
        <v>#REF!</v>
      </c>
      <c r="U48" s="97" t="e">
        <f>#REF!</f>
        <v>#REF!</v>
      </c>
      <c r="V48" s="97" t="e">
        <f>#REF!</f>
        <v>#REF!</v>
      </c>
      <c r="W48" s="97">
        <f t="shared" ref="W48" si="169">G48</f>
        <v>5015.973</v>
      </c>
      <c r="X48" s="97">
        <f t="shared" ref="X48" si="170">H48</f>
        <v>5067.4669999999996</v>
      </c>
      <c r="Y48" s="97">
        <f t="shared" ref="Y48" si="171">I48</f>
        <v>4949.3819999999996</v>
      </c>
      <c r="Z48" s="97">
        <f t="shared" ref="Z48" si="172">J48</f>
        <v>3893.569</v>
      </c>
      <c r="AA48" s="97">
        <f t="shared" ref="AA48" si="173">K48</f>
        <v>4828.3140000000003</v>
      </c>
      <c r="AB48" s="97">
        <f t="shared" ref="AB48" si="174">L48</f>
        <v>4903.49</v>
      </c>
      <c r="AC48" s="97">
        <f t="shared" ref="AC48" si="175">M48</f>
        <v>4042.2</v>
      </c>
      <c r="AD48" s="97">
        <f t="shared" ref="AD48" si="176">N48</f>
        <v>3612.0810000000001</v>
      </c>
      <c r="AE48" s="97">
        <f t="shared" ref="AE48" si="177">O48</f>
        <v>3731</v>
      </c>
      <c r="AF48" s="97">
        <f t="shared" ref="AF48" si="178">P48</f>
        <v>3692</v>
      </c>
      <c r="AG48" s="97">
        <f t="shared" ref="AG48" si="179">Q48</f>
        <v>3694</v>
      </c>
      <c r="AH48" s="124"/>
      <c r="AI48" s="76">
        <f>SUM(AG48/AC48)-1</f>
        <v>-8.614121023205179E-2</v>
      </c>
    </row>
    <row r="49" spans="2:35" s="123" customFormat="1" ht="12.75" customHeight="1">
      <c r="B49" s="115" t="s">
        <v>16</v>
      </c>
      <c r="C49" s="83">
        <v>163.69499999999999</v>
      </c>
      <c r="D49" s="83">
        <f>(180402+1205473)/1000</f>
        <v>1385.875</v>
      </c>
      <c r="E49" s="83">
        <v>118.002</v>
      </c>
      <c r="G49" s="83">
        <v>177.12700000000001</v>
      </c>
      <c r="H49" s="83">
        <v>188.16900000000001</v>
      </c>
      <c r="I49" s="83">
        <v>185.249</v>
      </c>
      <c r="J49" s="32">
        <f t="shared" si="167"/>
        <v>1385.875</v>
      </c>
      <c r="K49" s="83">
        <v>236.50700000000001</v>
      </c>
      <c r="L49" s="83">
        <v>229.62299999999999</v>
      </c>
      <c r="M49" s="83">
        <f>(180448+2137690)/1000</f>
        <v>2318.1379999999999</v>
      </c>
      <c r="N49" s="32">
        <f t="shared" si="168"/>
        <v>118.002</v>
      </c>
      <c r="O49" s="83">
        <v>183</v>
      </c>
      <c r="P49" s="83">
        <v>172</v>
      </c>
      <c r="Q49" s="83">
        <v>167</v>
      </c>
      <c r="S49" s="97" t="e">
        <f>#REF!</f>
        <v>#REF!</v>
      </c>
      <c r="T49" s="97" t="e">
        <f>#REF!</f>
        <v>#REF!</v>
      </c>
      <c r="U49" s="97" t="e">
        <f>#REF!</f>
        <v>#REF!</v>
      </c>
      <c r="V49" s="97" t="e">
        <f>#REF!</f>
        <v>#REF!</v>
      </c>
      <c r="W49" s="97">
        <f t="shared" si="155"/>
        <v>177.12700000000001</v>
      </c>
      <c r="X49" s="97">
        <f t="shared" si="155"/>
        <v>188.16900000000001</v>
      </c>
      <c r="Y49" s="97">
        <f t="shared" si="155"/>
        <v>185.249</v>
      </c>
      <c r="Z49" s="97">
        <f t="shared" si="155"/>
        <v>1385.875</v>
      </c>
      <c r="AA49" s="97">
        <f t="shared" si="155"/>
        <v>236.50700000000001</v>
      </c>
      <c r="AB49" s="97">
        <f t="shared" si="155"/>
        <v>229.62299999999999</v>
      </c>
      <c r="AC49" s="97">
        <f t="shared" si="155"/>
        <v>2318.1379999999999</v>
      </c>
      <c r="AD49" s="97">
        <f t="shared" si="155"/>
        <v>118.002</v>
      </c>
      <c r="AE49" s="97">
        <f t="shared" si="155"/>
        <v>183</v>
      </c>
      <c r="AF49" s="97">
        <f t="shared" si="155"/>
        <v>172</v>
      </c>
      <c r="AG49" s="97">
        <f t="shared" si="155"/>
        <v>167</v>
      </c>
      <c r="AH49" s="124"/>
      <c r="AI49" s="76">
        <f>SUM(AG49/AC49)-1</f>
        <v>-0.92795942260555675</v>
      </c>
    </row>
    <row r="50" spans="2:35" ht="12.75" customHeight="1">
      <c r="B50" s="25" t="s">
        <v>21</v>
      </c>
      <c r="C50" s="26">
        <f>SUM(C46:C49)</f>
        <v>6014.817</v>
      </c>
      <c r="D50" s="26">
        <f>SUM(D46:D49)</f>
        <v>6377.0209999999997</v>
      </c>
      <c r="E50" s="26">
        <f>SUM(E46:E49)</f>
        <v>6143.5400000000009</v>
      </c>
      <c r="F50" s="49"/>
      <c r="G50" s="26">
        <f t="shared" ref="G50:Q50" si="180">SUM(G46:G49)</f>
        <v>6201.692</v>
      </c>
      <c r="H50" s="26">
        <f t="shared" si="180"/>
        <v>6326.4719999999998</v>
      </c>
      <c r="I50" s="26">
        <f t="shared" si="180"/>
        <v>6320.4639999999999</v>
      </c>
      <c r="J50" s="26">
        <f t="shared" si="180"/>
        <v>6377.0209999999997</v>
      </c>
      <c r="K50" s="26">
        <f t="shared" si="180"/>
        <v>6341.2079999999996</v>
      </c>
      <c r="L50" s="26">
        <f t="shared" si="180"/>
        <v>6460.1399999999994</v>
      </c>
      <c r="M50" s="26">
        <f t="shared" si="180"/>
        <v>7493.7669999999998</v>
      </c>
      <c r="N50" s="26">
        <f t="shared" si="180"/>
        <v>6143.5400000000009</v>
      </c>
      <c r="O50" s="26">
        <f t="shared" si="180"/>
        <v>6080</v>
      </c>
      <c r="P50" s="26">
        <f t="shared" si="180"/>
        <v>6013</v>
      </c>
      <c r="Q50" s="26">
        <f t="shared" si="180"/>
        <v>7518</v>
      </c>
      <c r="R50" s="49"/>
      <c r="S50" s="26" t="e">
        <f t="shared" ref="S50:AG50" si="181">SUM(S46:S49)</f>
        <v>#REF!</v>
      </c>
      <c r="T50" s="26" t="e">
        <f t="shared" si="181"/>
        <v>#REF!</v>
      </c>
      <c r="U50" s="26" t="e">
        <f t="shared" si="181"/>
        <v>#REF!</v>
      </c>
      <c r="V50" s="26" t="e">
        <f t="shared" si="181"/>
        <v>#REF!</v>
      </c>
      <c r="W50" s="26">
        <f t="shared" si="181"/>
        <v>6201.692</v>
      </c>
      <c r="X50" s="26">
        <f t="shared" si="181"/>
        <v>6326.4719999999998</v>
      </c>
      <c r="Y50" s="26">
        <f t="shared" si="181"/>
        <v>6320.4639999999999</v>
      </c>
      <c r="Z50" s="26">
        <f t="shared" si="181"/>
        <v>6377.0209999999997</v>
      </c>
      <c r="AA50" s="26">
        <f t="shared" si="181"/>
        <v>6341.2079999999996</v>
      </c>
      <c r="AB50" s="26">
        <f t="shared" si="181"/>
        <v>6460.1399999999994</v>
      </c>
      <c r="AC50" s="26">
        <f t="shared" si="181"/>
        <v>7493.7669999999998</v>
      </c>
      <c r="AD50" s="26">
        <f t="shared" si="181"/>
        <v>6143.5400000000009</v>
      </c>
      <c r="AE50" s="26">
        <f t="shared" si="181"/>
        <v>6080</v>
      </c>
      <c r="AF50" s="26">
        <f t="shared" si="181"/>
        <v>6013</v>
      </c>
      <c r="AG50" s="26">
        <f t="shared" si="181"/>
        <v>7518</v>
      </c>
      <c r="AH50" s="42"/>
      <c r="AI50" s="77">
        <f>SUM(AG50/AC50)-1</f>
        <v>3.2337541319338303E-3</v>
      </c>
    </row>
    <row r="51" spans="2:35" ht="5.0999999999999996" customHeight="1">
      <c r="B51" s="25"/>
      <c r="C51" s="50"/>
      <c r="D51" s="41"/>
      <c r="E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39"/>
    </row>
    <row r="52" spans="2:35" ht="12.75" customHeight="1">
      <c r="B52" s="79" t="s">
        <v>82</v>
      </c>
      <c r="C52" s="83"/>
      <c r="D52" s="83"/>
      <c r="E52" s="83"/>
      <c r="G52" s="83"/>
      <c r="H52" s="83"/>
      <c r="I52" s="83"/>
      <c r="J52" s="83"/>
      <c r="K52" s="83"/>
      <c r="L52" s="83"/>
      <c r="M52" s="83"/>
      <c r="N52" s="83"/>
      <c r="O52" s="32"/>
      <c r="P52" s="83"/>
      <c r="Q52" s="83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11"/>
      <c r="AI52" s="76"/>
    </row>
    <row r="53" spans="2:35" ht="12.75" customHeight="1">
      <c r="B53" s="9" t="s">
        <v>174</v>
      </c>
      <c r="C53" s="83">
        <v>1690.1389999999999</v>
      </c>
      <c r="D53" s="83">
        <v>1555.9849999999999</v>
      </c>
      <c r="E53" s="83">
        <v>1334.338</v>
      </c>
      <c r="G53" s="83">
        <v>1694.337</v>
      </c>
      <c r="H53" s="83">
        <v>1688.8910000000001</v>
      </c>
      <c r="I53" s="83">
        <v>1663.08</v>
      </c>
      <c r="J53" s="32">
        <f t="shared" ref="J53:J56" si="182">D53</f>
        <v>1555.9849999999999</v>
      </c>
      <c r="K53" s="83">
        <v>1611.251</v>
      </c>
      <c r="L53" s="83">
        <v>1579.886</v>
      </c>
      <c r="M53" s="83">
        <v>1479.7380000000001</v>
      </c>
      <c r="N53" s="32">
        <f t="shared" ref="N53:N56" si="183">E53</f>
        <v>1334.338</v>
      </c>
      <c r="O53" s="83">
        <v>1265</v>
      </c>
      <c r="P53" s="83">
        <v>1263</v>
      </c>
      <c r="Q53" s="83">
        <v>1269</v>
      </c>
      <c r="S53" s="32" t="e">
        <f>#REF!</f>
        <v>#REF!</v>
      </c>
      <c r="T53" s="32" t="e">
        <f>#REF!</f>
        <v>#REF!</v>
      </c>
      <c r="U53" s="32" t="e">
        <f>#REF!</f>
        <v>#REF!</v>
      </c>
      <c r="V53" s="32" t="e">
        <f>#REF!</f>
        <v>#REF!</v>
      </c>
      <c r="W53" s="32">
        <f t="shared" ref="W53:AG54" si="184">G53</f>
        <v>1694.337</v>
      </c>
      <c r="X53" s="32">
        <f t="shared" si="184"/>
        <v>1688.8910000000001</v>
      </c>
      <c r="Y53" s="32">
        <f t="shared" si="184"/>
        <v>1663.08</v>
      </c>
      <c r="Z53" s="32">
        <f t="shared" si="184"/>
        <v>1555.9849999999999</v>
      </c>
      <c r="AA53" s="32">
        <f t="shared" si="184"/>
        <v>1611.251</v>
      </c>
      <c r="AB53" s="32">
        <f t="shared" si="184"/>
        <v>1579.886</v>
      </c>
      <c r="AC53" s="32">
        <f t="shared" si="184"/>
        <v>1479.7380000000001</v>
      </c>
      <c r="AD53" s="32">
        <f t="shared" si="184"/>
        <v>1334.338</v>
      </c>
      <c r="AE53" s="32">
        <f t="shared" si="184"/>
        <v>1265</v>
      </c>
      <c r="AF53" s="32">
        <f t="shared" si="184"/>
        <v>1263</v>
      </c>
      <c r="AG53" s="32">
        <f t="shared" si="184"/>
        <v>1269</v>
      </c>
      <c r="AH53" s="11"/>
      <c r="AI53" s="76">
        <f t="shared" ref="AI53:AI58" si="185">SUM(AG53/AC53)-1</f>
        <v>-0.14241575197771505</v>
      </c>
    </row>
    <row r="54" spans="2:35" ht="12.75" customHeight="1">
      <c r="B54" s="9" t="s">
        <v>125</v>
      </c>
      <c r="C54" s="83">
        <v>2607.69</v>
      </c>
      <c r="D54" s="83">
        <v>2347.0729999999999</v>
      </c>
      <c r="E54" s="83">
        <v>2242.6019999999999</v>
      </c>
      <c r="G54" s="83">
        <v>2628.8989999999999</v>
      </c>
      <c r="H54" s="83">
        <v>2618.8220000000001</v>
      </c>
      <c r="I54" s="83">
        <v>2600.9459999999999</v>
      </c>
      <c r="J54" s="32">
        <f t="shared" si="182"/>
        <v>2347.0729999999999</v>
      </c>
      <c r="K54" s="83">
        <v>2589.5039999999999</v>
      </c>
      <c r="L54" s="83">
        <v>2596.201</v>
      </c>
      <c r="M54" s="83">
        <v>2399.63</v>
      </c>
      <c r="N54" s="32">
        <f t="shared" si="183"/>
        <v>2242.6019999999999</v>
      </c>
      <c r="O54" s="83">
        <v>2185</v>
      </c>
      <c r="P54" s="83">
        <v>2173</v>
      </c>
      <c r="Q54" s="83">
        <v>2184</v>
      </c>
      <c r="R54" s="122"/>
      <c r="S54" s="98" t="e">
        <f>#REF!</f>
        <v>#REF!</v>
      </c>
      <c r="T54" s="98" t="e">
        <f>#REF!</f>
        <v>#REF!</v>
      </c>
      <c r="U54" s="98" t="e">
        <f>#REF!</f>
        <v>#REF!</v>
      </c>
      <c r="V54" s="98" t="e">
        <f>#REF!</f>
        <v>#REF!</v>
      </c>
      <c r="W54" s="98">
        <f t="shared" si="184"/>
        <v>2628.8989999999999</v>
      </c>
      <c r="X54" s="98">
        <f t="shared" si="184"/>
        <v>2618.8220000000001</v>
      </c>
      <c r="Y54" s="98">
        <f t="shared" si="184"/>
        <v>2600.9459999999999</v>
      </c>
      <c r="Z54" s="98">
        <f t="shared" si="184"/>
        <v>2347.0729999999999</v>
      </c>
      <c r="AA54" s="98">
        <f t="shared" si="184"/>
        <v>2589.5039999999999</v>
      </c>
      <c r="AB54" s="98">
        <f t="shared" si="184"/>
        <v>2596.201</v>
      </c>
      <c r="AC54" s="98">
        <f t="shared" si="184"/>
        <v>2399.63</v>
      </c>
      <c r="AD54" s="98">
        <f t="shared" si="184"/>
        <v>2242.6019999999999</v>
      </c>
      <c r="AE54" s="98">
        <f t="shared" si="184"/>
        <v>2185</v>
      </c>
      <c r="AF54" s="98">
        <f t="shared" si="184"/>
        <v>2173</v>
      </c>
      <c r="AG54" s="98">
        <f t="shared" si="184"/>
        <v>2184</v>
      </c>
      <c r="AH54" s="11"/>
      <c r="AI54" s="76"/>
    </row>
    <row r="55" spans="2:35" ht="12.75" customHeight="1">
      <c r="B55" s="9" t="s">
        <v>126</v>
      </c>
      <c r="C55" s="83">
        <v>990.471</v>
      </c>
      <c r="D55" s="83">
        <v>601.15899999999999</v>
      </c>
      <c r="E55" s="83">
        <v>598.21699999999998</v>
      </c>
      <c r="G55" s="83">
        <v>990.57299999999998</v>
      </c>
      <c r="H55" s="83">
        <v>991.87099999999998</v>
      </c>
      <c r="I55" s="83">
        <v>989.93399999999997</v>
      </c>
      <c r="J55" s="32">
        <f t="shared" si="182"/>
        <v>601.15899999999999</v>
      </c>
      <c r="K55" s="83">
        <v>989.92100000000005</v>
      </c>
      <c r="L55" s="83">
        <v>990.26599999999996</v>
      </c>
      <c r="M55" s="83">
        <v>600.18200000000002</v>
      </c>
      <c r="N55" s="32">
        <f t="shared" si="183"/>
        <v>598.21699999999998</v>
      </c>
      <c r="O55" s="83">
        <v>600</v>
      </c>
      <c r="P55" s="83">
        <v>600</v>
      </c>
      <c r="Q55" s="83">
        <v>599</v>
      </c>
      <c r="R55" s="122"/>
      <c r="S55" s="98" t="e">
        <f>#REF!</f>
        <v>#REF!</v>
      </c>
      <c r="T55" s="98" t="e">
        <f>#REF!</f>
        <v>#REF!</v>
      </c>
      <c r="U55" s="98" t="e">
        <f>#REF!</f>
        <v>#REF!</v>
      </c>
      <c r="V55" s="98" t="e">
        <f>#REF!</f>
        <v>#REF!</v>
      </c>
      <c r="W55" s="98">
        <f t="shared" ref="W55" si="186">G55</f>
        <v>990.57299999999998</v>
      </c>
      <c r="X55" s="98">
        <f t="shared" ref="X55" si="187">H55</f>
        <v>991.87099999999998</v>
      </c>
      <c r="Y55" s="98">
        <f t="shared" ref="Y55" si="188">I55</f>
        <v>989.93399999999997</v>
      </c>
      <c r="Z55" s="98">
        <f t="shared" ref="Z55" si="189">J55</f>
        <v>601.15899999999999</v>
      </c>
      <c r="AA55" s="98">
        <f t="shared" ref="AA55" si="190">K55</f>
        <v>989.92100000000005</v>
      </c>
      <c r="AB55" s="98">
        <f t="shared" ref="AB55" si="191">L55</f>
        <v>990.26599999999996</v>
      </c>
      <c r="AC55" s="98">
        <f t="shared" ref="AC55" si="192">M55</f>
        <v>600.18200000000002</v>
      </c>
      <c r="AD55" s="98">
        <f t="shared" ref="AD55" si="193">N55</f>
        <v>598.21699999999998</v>
      </c>
      <c r="AE55" s="98">
        <f t="shared" ref="AE55" si="194">O55</f>
        <v>600</v>
      </c>
      <c r="AF55" s="98">
        <f t="shared" ref="AF55" si="195">P55</f>
        <v>600</v>
      </c>
      <c r="AG55" s="98">
        <f t="shared" ref="AG55" si="196">Q55</f>
        <v>599</v>
      </c>
      <c r="AH55" s="11"/>
      <c r="AI55" s="76"/>
    </row>
    <row r="56" spans="2:35" ht="12.75" customHeight="1">
      <c r="B56" s="9" t="s">
        <v>127</v>
      </c>
      <c r="C56" s="83">
        <v>620.90099999999995</v>
      </c>
      <c r="D56" s="83">
        <v>419.161</v>
      </c>
      <c r="E56" s="83">
        <v>405.75099999999998</v>
      </c>
      <c r="G56" s="83">
        <v>612.10400000000004</v>
      </c>
      <c r="H56" s="83">
        <v>606.45000000000005</v>
      </c>
      <c r="I56" s="83">
        <v>598.69899999999996</v>
      </c>
      <c r="J56" s="32">
        <f t="shared" si="182"/>
        <v>419.161</v>
      </c>
      <c r="K56" s="83">
        <v>583.54700000000003</v>
      </c>
      <c r="L56" s="83">
        <v>577.27499999999998</v>
      </c>
      <c r="M56" s="83">
        <v>409.50099999999998</v>
      </c>
      <c r="N56" s="32">
        <f t="shared" si="183"/>
        <v>405.75099999999998</v>
      </c>
      <c r="O56" s="83">
        <v>404</v>
      </c>
      <c r="P56" s="83">
        <v>404</v>
      </c>
      <c r="Q56" s="83">
        <v>401</v>
      </c>
      <c r="R56" s="122"/>
      <c r="S56" s="98" t="e">
        <f>#REF!</f>
        <v>#REF!</v>
      </c>
      <c r="T56" s="98" t="e">
        <f>#REF!</f>
        <v>#REF!</v>
      </c>
      <c r="U56" s="98" t="e">
        <f>#REF!</f>
        <v>#REF!</v>
      </c>
      <c r="V56" s="98" t="e">
        <f>#REF!</f>
        <v>#REF!</v>
      </c>
      <c r="W56" s="98">
        <f t="shared" ref="W56" si="197">G56</f>
        <v>612.10400000000004</v>
      </c>
      <c r="X56" s="98">
        <f t="shared" ref="X56" si="198">H56</f>
        <v>606.45000000000005</v>
      </c>
      <c r="Y56" s="98">
        <f t="shared" ref="Y56" si="199">I56</f>
        <v>598.69899999999996</v>
      </c>
      <c r="Z56" s="98">
        <f t="shared" ref="Z56" si="200">J56</f>
        <v>419.161</v>
      </c>
      <c r="AA56" s="98">
        <f t="shared" ref="AA56" si="201">K56</f>
        <v>583.54700000000003</v>
      </c>
      <c r="AB56" s="98">
        <f t="shared" ref="AB56" si="202">L56</f>
        <v>577.27499999999998</v>
      </c>
      <c r="AC56" s="98">
        <f t="shared" ref="AC56" si="203">M56</f>
        <v>409.50099999999998</v>
      </c>
      <c r="AD56" s="98">
        <f t="shared" ref="AD56" si="204">N56</f>
        <v>405.75099999999998</v>
      </c>
      <c r="AE56" s="98">
        <f t="shared" ref="AE56" si="205">O56</f>
        <v>404</v>
      </c>
      <c r="AF56" s="98">
        <f t="shared" ref="AF56" si="206">P56</f>
        <v>404</v>
      </c>
      <c r="AG56" s="98">
        <f t="shared" ref="AG56" si="207">Q56</f>
        <v>401</v>
      </c>
      <c r="AH56" s="11"/>
      <c r="AI56" s="76"/>
    </row>
    <row r="57" spans="2:35" ht="12.75" customHeight="1">
      <c r="B57" s="9" t="s">
        <v>128</v>
      </c>
      <c r="C57" s="83">
        <v>62.429000000000002</v>
      </c>
      <c r="D57" s="83">
        <f>(85988+889939)/1000</f>
        <v>975.92700000000002</v>
      </c>
      <c r="E57" s="83">
        <v>73.661000000000001</v>
      </c>
      <c r="G57" s="83">
        <v>54.633000000000003</v>
      </c>
      <c r="H57" s="83">
        <v>71.87</v>
      </c>
      <c r="I57" s="83">
        <v>75.808999999999997</v>
      </c>
      <c r="J57" s="32">
        <f t="shared" ref="J57" si="208">D57</f>
        <v>975.92700000000002</v>
      </c>
      <c r="K57" s="83">
        <v>85.679000000000002</v>
      </c>
      <c r="L57" s="83">
        <v>86.037999999999997</v>
      </c>
      <c r="M57" s="83">
        <v>85.366</v>
      </c>
      <c r="N57" s="32">
        <f t="shared" ref="N57" si="209">E57</f>
        <v>73.661000000000001</v>
      </c>
      <c r="O57" s="83">
        <v>83</v>
      </c>
      <c r="P57" s="83">
        <v>86</v>
      </c>
      <c r="Q57" s="83">
        <v>88</v>
      </c>
      <c r="R57" s="122"/>
      <c r="S57" s="98" t="e">
        <f>#REF!</f>
        <v>#REF!</v>
      </c>
      <c r="T57" s="98" t="e">
        <f>#REF!</f>
        <v>#REF!</v>
      </c>
      <c r="U57" s="98" t="e">
        <f>#REF!</f>
        <v>#REF!</v>
      </c>
      <c r="V57" s="98" t="e">
        <f>#REF!</f>
        <v>#REF!</v>
      </c>
      <c r="W57" s="98">
        <f t="shared" ref="W57" si="210">G57</f>
        <v>54.633000000000003</v>
      </c>
      <c r="X57" s="98">
        <f t="shared" ref="X57" si="211">H57</f>
        <v>71.87</v>
      </c>
      <c r="Y57" s="98">
        <f t="shared" ref="Y57" si="212">I57</f>
        <v>75.808999999999997</v>
      </c>
      <c r="Z57" s="98">
        <f t="shared" ref="Z57" si="213">J57</f>
        <v>975.92700000000002</v>
      </c>
      <c r="AA57" s="98">
        <f t="shared" ref="AA57" si="214">K57</f>
        <v>85.679000000000002</v>
      </c>
      <c r="AB57" s="98">
        <f t="shared" ref="AB57" si="215">L57</f>
        <v>86.037999999999997</v>
      </c>
      <c r="AC57" s="98">
        <f t="shared" ref="AC57" si="216">M57</f>
        <v>85.366</v>
      </c>
      <c r="AD57" s="98">
        <f t="shared" ref="AD57" si="217">N57</f>
        <v>73.661000000000001</v>
      </c>
      <c r="AE57" s="98">
        <f t="shared" ref="AE57" si="218">O57</f>
        <v>83</v>
      </c>
      <c r="AF57" s="98">
        <f t="shared" ref="AF57" si="219">P57</f>
        <v>86</v>
      </c>
      <c r="AG57" s="98">
        <f t="shared" ref="AG57" si="220">Q57</f>
        <v>88</v>
      </c>
      <c r="AH57" s="11"/>
      <c r="AI57" s="76">
        <f t="shared" si="185"/>
        <v>3.0855375676498875E-2</v>
      </c>
    </row>
    <row r="58" spans="2:35" ht="12.75" customHeight="1">
      <c r="B58" s="13" t="s">
        <v>22</v>
      </c>
      <c r="C58" s="14">
        <f>SUM(C53:C57)+C50</f>
        <v>11986.447</v>
      </c>
      <c r="D58" s="14">
        <f>SUM(D53:D57)+D50</f>
        <v>12276.325999999999</v>
      </c>
      <c r="E58" s="14">
        <f>SUM(E53:E57)+E50</f>
        <v>10798.109</v>
      </c>
      <c r="G58" s="14">
        <f t="shared" ref="G58:Q58" si="221">SUM(G53:G57)+G50</f>
        <v>12182.238000000001</v>
      </c>
      <c r="H58" s="14">
        <f t="shared" si="221"/>
        <v>12304.376</v>
      </c>
      <c r="I58" s="14">
        <f t="shared" si="221"/>
        <v>12248.932000000001</v>
      </c>
      <c r="J58" s="14">
        <f t="shared" si="221"/>
        <v>12276.325999999999</v>
      </c>
      <c r="K58" s="14">
        <f t="shared" si="221"/>
        <v>12201.11</v>
      </c>
      <c r="L58" s="14">
        <f t="shared" si="221"/>
        <v>12289.805999999997</v>
      </c>
      <c r="M58" s="14">
        <f t="shared" si="221"/>
        <v>12468.184000000001</v>
      </c>
      <c r="N58" s="14">
        <f t="shared" si="221"/>
        <v>10798.109</v>
      </c>
      <c r="O58" s="14">
        <f t="shared" si="221"/>
        <v>10617</v>
      </c>
      <c r="P58" s="14">
        <f t="shared" si="221"/>
        <v>10539</v>
      </c>
      <c r="Q58" s="14">
        <f t="shared" si="221"/>
        <v>12059</v>
      </c>
      <c r="S58" s="14" t="e">
        <f t="shared" ref="S58:AG58" si="222">SUM(S53:S57)+S50</f>
        <v>#REF!</v>
      </c>
      <c r="T58" s="14" t="e">
        <f t="shared" si="222"/>
        <v>#REF!</v>
      </c>
      <c r="U58" s="14" t="e">
        <f t="shared" si="222"/>
        <v>#REF!</v>
      </c>
      <c r="V58" s="14" t="e">
        <f t="shared" si="222"/>
        <v>#REF!</v>
      </c>
      <c r="W58" s="14">
        <f t="shared" si="222"/>
        <v>12182.238000000001</v>
      </c>
      <c r="X58" s="14">
        <f t="shared" si="222"/>
        <v>12304.376</v>
      </c>
      <c r="Y58" s="14">
        <f t="shared" si="222"/>
        <v>12248.932000000001</v>
      </c>
      <c r="Z58" s="14">
        <f t="shared" si="222"/>
        <v>12276.325999999999</v>
      </c>
      <c r="AA58" s="14">
        <f t="shared" si="222"/>
        <v>12201.11</v>
      </c>
      <c r="AB58" s="14">
        <f t="shared" si="222"/>
        <v>12289.805999999997</v>
      </c>
      <c r="AC58" s="14">
        <f t="shared" si="222"/>
        <v>12468.184000000001</v>
      </c>
      <c r="AD58" s="14">
        <f t="shared" si="222"/>
        <v>10798.109</v>
      </c>
      <c r="AE58" s="14">
        <f t="shared" si="222"/>
        <v>10617</v>
      </c>
      <c r="AF58" s="14">
        <f t="shared" si="222"/>
        <v>10539</v>
      </c>
      <c r="AG58" s="34">
        <f t="shared" si="222"/>
        <v>12059</v>
      </c>
      <c r="AH58" s="42"/>
      <c r="AI58" s="77">
        <f t="shared" si="185"/>
        <v>-3.2818251639533114E-2</v>
      </c>
    </row>
    <row r="59" spans="2:35" ht="12.75" customHeight="1">
      <c r="B59" s="25"/>
      <c r="C59" s="51"/>
      <c r="D59" s="41"/>
      <c r="E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39"/>
    </row>
    <row r="60" spans="2:35" ht="12.75" customHeight="1">
      <c r="B60" s="79" t="s">
        <v>48</v>
      </c>
      <c r="C60" s="51"/>
      <c r="D60" s="41"/>
      <c r="E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39"/>
    </row>
    <row r="61" spans="2:35" ht="12.75" customHeight="1">
      <c r="B61" s="121" t="s">
        <v>13</v>
      </c>
      <c r="C61" s="83">
        <v>4178.9070000000002</v>
      </c>
      <c r="D61" s="83">
        <v>3526.0790000000002</v>
      </c>
      <c r="E61" s="83">
        <v>3407.8890000000001</v>
      </c>
      <c r="G61" s="83">
        <v>3682.7489999999998</v>
      </c>
      <c r="H61" s="83">
        <v>3780.2150000000001</v>
      </c>
      <c r="I61" s="83">
        <v>3943.0189999999998</v>
      </c>
      <c r="J61" s="32">
        <f t="shared" ref="J61:J64" si="223">D61</f>
        <v>3526.0790000000002</v>
      </c>
      <c r="K61" s="83">
        <v>4031.299</v>
      </c>
      <c r="L61" s="83">
        <v>4048.3209999999999</v>
      </c>
      <c r="M61" s="83">
        <v>3498.46</v>
      </c>
      <c r="N61" s="32">
        <f t="shared" ref="N61:N64" si="224">E61</f>
        <v>3407.8890000000001</v>
      </c>
      <c r="O61" s="83">
        <v>3425</v>
      </c>
      <c r="P61" s="83">
        <v>3322</v>
      </c>
      <c r="Q61" s="83">
        <v>3177</v>
      </c>
      <c r="S61" s="98" t="e">
        <f>#REF!</f>
        <v>#REF!</v>
      </c>
      <c r="T61" s="98" t="e">
        <f>#REF!</f>
        <v>#REF!</v>
      </c>
      <c r="U61" s="98" t="e">
        <f>#REF!</f>
        <v>#REF!</v>
      </c>
      <c r="V61" s="98" t="e">
        <f>#REF!</f>
        <v>#REF!</v>
      </c>
      <c r="W61" s="98">
        <f t="shared" ref="W61:AG64" si="225">G61</f>
        <v>3682.7489999999998</v>
      </c>
      <c r="X61" s="98">
        <f t="shared" si="225"/>
        <v>3780.2150000000001</v>
      </c>
      <c r="Y61" s="98">
        <f t="shared" si="225"/>
        <v>3943.0189999999998</v>
      </c>
      <c r="Z61" s="98">
        <f t="shared" si="225"/>
        <v>3526.0790000000002</v>
      </c>
      <c r="AA61" s="98">
        <f t="shared" si="225"/>
        <v>4031.299</v>
      </c>
      <c r="AB61" s="98">
        <f t="shared" si="225"/>
        <v>4048.3209999999999</v>
      </c>
      <c r="AC61" s="98">
        <f t="shared" si="225"/>
        <v>3498.46</v>
      </c>
      <c r="AD61" s="98">
        <f t="shared" si="225"/>
        <v>3407.8890000000001</v>
      </c>
      <c r="AE61" s="98">
        <f t="shared" si="225"/>
        <v>3425</v>
      </c>
      <c r="AF61" s="98">
        <f t="shared" si="225"/>
        <v>3322</v>
      </c>
      <c r="AG61" s="98">
        <f t="shared" si="225"/>
        <v>3177</v>
      </c>
      <c r="AH61" s="11"/>
      <c r="AI61" s="76">
        <f t="shared" ref="AI61:AI65" si="226">SUM(AG61/AC61)-1</f>
        <v>-9.1886144189157526E-2</v>
      </c>
    </row>
    <row r="62" spans="2:35" ht="12.75" customHeight="1">
      <c r="B62" s="121" t="s">
        <v>131</v>
      </c>
      <c r="C62" s="83">
        <v>629.46400000000006</v>
      </c>
      <c r="D62" s="83">
        <v>616.06700000000001</v>
      </c>
      <c r="E62" s="83">
        <v>784.63499999999999</v>
      </c>
      <c r="G62" s="83">
        <v>718.29</v>
      </c>
      <c r="H62" s="83">
        <v>685.19100000000003</v>
      </c>
      <c r="I62" s="83">
        <v>714.31700000000001</v>
      </c>
      <c r="J62" s="32">
        <f t="shared" si="223"/>
        <v>616.06700000000001</v>
      </c>
      <c r="K62" s="83">
        <v>668.20500000000004</v>
      </c>
      <c r="L62" s="83">
        <v>694.97</v>
      </c>
      <c r="M62" s="83">
        <v>641.91399999999999</v>
      </c>
      <c r="N62" s="32">
        <f t="shared" si="224"/>
        <v>784.63499999999999</v>
      </c>
      <c r="O62" s="83">
        <v>663</v>
      </c>
      <c r="P62" s="83">
        <v>703</v>
      </c>
      <c r="Q62" s="83">
        <v>761</v>
      </c>
      <c r="S62" s="98" t="e">
        <f>#REF!</f>
        <v>#REF!</v>
      </c>
      <c r="T62" s="98" t="e">
        <f>#REF!</f>
        <v>#REF!</v>
      </c>
      <c r="U62" s="98" t="e">
        <f>#REF!</f>
        <v>#REF!</v>
      </c>
      <c r="V62" s="98" t="e">
        <f>#REF!</f>
        <v>#REF!</v>
      </c>
      <c r="W62" s="98">
        <f t="shared" si="225"/>
        <v>718.29</v>
      </c>
      <c r="X62" s="98">
        <f t="shared" si="225"/>
        <v>685.19100000000003</v>
      </c>
      <c r="Y62" s="98">
        <f t="shared" si="225"/>
        <v>714.31700000000001</v>
      </c>
      <c r="Z62" s="98">
        <f t="shared" si="225"/>
        <v>616.06700000000001</v>
      </c>
      <c r="AA62" s="98">
        <f t="shared" si="225"/>
        <v>668.20500000000004</v>
      </c>
      <c r="AB62" s="98">
        <f t="shared" si="225"/>
        <v>694.97</v>
      </c>
      <c r="AC62" s="98">
        <f t="shared" si="225"/>
        <v>641.91399999999999</v>
      </c>
      <c r="AD62" s="98">
        <f t="shared" si="225"/>
        <v>784.63499999999999</v>
      </c>
      <c r="AE62" s="98">
        <f t="shared" si="225"/>
        <v>663</v>
      </c>
      <c r="AF62" s="98">
        <f t="shared" si="225"/>
        <v>703</v>
      </c>
      <c r="AG62" s="98">
        <f t="shared" si="225"/>
        <v>761</v>
      </c>
      <c r="AH62" s="11"/>
      <c r="AI62" s="76">
        <f t="shared" si="226"/>
        <v>0.18551706303336579</v>
      </c>
    </row>
    <row r="63" spans="2:35" ht="12.75" customHeight="1">
      <c r="B63" s="121" t="s">
        <v>132</v>
      </c>
      <c r="C63" s="83">
        <v>185</v>
      </c>
      <c r="D63" s="83">
        <v>0</v>
      </c>
      <c r="E63" s="83">
        <v>0</v>
      </c>
      <c r="G63" s="83">
        <v>116</v>
      </c>
      <c r="H63" s="83">
        <v>95</v>
      </c>
      <c r="I63" s="83">
        <v>0</v>
      </c>
      <c r="J63" s="32">
        <f t="shared" si="223"/>
        <v>0</v>
      </c>
      <c r="K63" s="83">
        <v>0</v>
      </c>
      <c r="L63" s="83">
        <v>0</v>
      </c>
      <c r="M63" s="83">
        <v>0</v>
      </c>
      <c r="N63" s="32">
        <f t="shared" si="224"/>
        <v>0</v>
      </c>
      <c r="O63" s="83">
        <v>299</v>
      </c>
      <c r="P63" s="83">
        <v>300</v>
      </c>
      <c r="Q63" s="83">
        <v>0</v>
      </c>
      <c r="S63" s="98" t="e">
        <f>#REF!</f>
        <v>#REF!</v>
      </c>
      <c r="T63" s="98" t="e">
        <f>#REF!</f>
        <v>#REF!</v>
      </c>
      <c r="U63" s="98" t="e">
        <f>#REF!</f>
        <v>#REF!</v>
      </c>
      <c r="V63" s="98" t="e">
        <f>#REF!</f>
        <v>#REF!</v>
      </c>
      <c r="W63" s="98">
        <f t="shared" si="225"/>
        <v>116</v>
      </c>
      <c r="X63" s="98">
        <f t="shared" si="225"/>
        <v>95</v>
      </c>
      <c r="Y63" s="98">
        <f t="shared" si="225"/>
        <v>0</v>
      </c>
      <c r="Z63" s="98">
        <f t="shared" si="225"/>
        <v>0</v>
      </c>
      <c r="AA63" s="98">
        <f t="shared" si="225"/>
        <v>0</v>
      </c>
      <c r="AB63" s="98">
        <f t="shared" si="225"/>
        <v>0</v>
      </c>
      <c r="AC63" s="98">
        <f t="shared" si="225"/>
        <v>0</v>
      </c>
      <c r="AD63" s="98">
        <f t="shared" si="225"/>
        <v>0</v>
      </c>
      <c r="AE63" s="98">
        <f t="shared" si="225"/>
        <v>299</v>
      </c>
      <c r="AF63" s="98">
        <f t="shared" si="225"/>
        <v>300</v>
      </c>
      <c r="AG63" s="98">
        <f t="shared" si="225"/>
        <v>0</v>
      </c>
      <c r="AH63" s="11"/>
      <c r="AI63" s="76" t="e">
        <f t="shared" si="226"/>
        <v>#DIV/0!</v>
      </c>
    </row>
    <row r="64" spans="2:35" ht="12.75" customHeight="1">
      <c r="B64" s="121" t="s">
        <v>133</v>
      </c>
      <c r="C64" s="83">
        <v>427.48</v>
      </c>
      <c r="D64" s="83">
        <f>(768851+396408)/1000</f>
        <v>1165.259</v>
      </c>
      <c r="E64" s="83">
        <v>472.83300000000003</v>
      </c>
      <c r="G64" s="83">
        <v>466.416</v>
      </c>
      <c r="H64" s="83">
        <v>465.97199999999998</v>
      </c>
      <c r="I64" s="83">
        <v>478.60300000000001</v>
      </c>
      <c r="J64" s="32">
        <f t="shared" si="223"/>
        <v>1165.259</v>
      </c>
      <c r="K64" s="83">
        <v>510.34500000000003</v>
      </c>
      <c r="L64" s="83">
        <v>513.48299999999995</v>
      </c>
      <c r="M64" s="83">
        <f>(458343+994824)/1000</f>
        <v>1453.1669999999999</v>
      </c>
      <c r="N64" s="32">
        <f t="shared" si="224"/>
        <v>472.83300000000003</v>
      </c>
      <c r="O64" s="83">
        <v>406</v>
      </c>
      <c r="P64" s="83">
        <v>406</v>
      </c>
      <c r="Q64" s="83">
        <v>411</v>
      </c>
      <c r="S64" s="98" t="e">
        <f>#REF!</f>
        <v>#REF!</v>
      </c>
      <c r="T64" s="98" t="e">
        <f>#REF!</f>
        <v>#REF!</v>
      </c>
      <c r="U64" s="98" t="e">
        <f>#REF!</f>
        <v>#REF!</v>
      </c>
      <c r="V64" s="98" t="e">
        <f>#REF!</f>
        <v>#REF!</v>
      </c>
      <c r="W64" s="98">
        <f t="shared" si="225"/>
        <v>466.416</v>
      </c>
      <c r="X64" s="98">
        <f t="shared" si="225"/>
        <v>465.97199999999998</v>
      </c>
      <c r="Y64" s="98">
        <f t="shared" si="225"/>
        <v>478.60300000000001</v>
      </c>
      <c r="Z64" s="98">
        <f t="shared" si="225"/>
        <v>1165.259</v>
      </c>
      <c r="AA64" s="98">
        <f t="shared" si="225"/>
        <v>510.34500000000003</v>
      </c>
      <c r="AB64" s="98">
        <f t="shared" si="225"/>
        <v>513.48299999999995</v>
      </c>
      <c r="AC64" s="98">
        <f t="shared" si="225"/>
        <v>1453.1669999999999</v>
      </c>
      <c r="AD64" s="98">
        <f t="shared" si="225"/>
        <v>472.83300000000003</v>
      </c>
      <c r="AE64" s="98">
        <f t="shared" si="225"/>
        <v>406</v>
      </c>
      <c r="AF64" s="98">
        <f t="shared" si="225"/>
        <v>406</v>
      </c>
      <c r="AG64" s="98">
        <f t="shared" si="225"/>
        <v>411</v>
      </c>
      <c r="AH64" s="11"/>
      <c r="AI64" s="76">
        <f t="shared" si="226"/>
        <v>-0.71716946503739765</v>
      </c>
    </row>
    <row r="65" spans="2:35" ht="12.75" customHeight="1">
      <c r="B65" s="25" t="s">
        <v>20</v>
      </c>
      <c r="C65" s="26">
        <f>SUM(C61:C64)</f>
        <v>5420.8510000000006</v>
      </c>
      <c r="D65" s="26">
        <f>SUM(D61:D64)</f>
        <v>5307.4050000000007</v>
      </c>
      <c r="E65" s="26">
        <f>SUM(E61:E64)</f>
        <v>4665.357</v>
      </c>
      <c r="G65" s="26">
        <f t="shared" ref="G65:Q65" si="227">SUM(G61:G64)</f>
        <v>4983.4549999999999</v>
      </c>
      <c r="H65" s="26">
        <f t="shared" si="227"/>
        <v>5026.3779999999997</v>
      </c>
      <c r="I65" s="26">
        <f t="shared" si="227"/>
        <v>5135.9389999999994</v>
      </c>
      <c r="J65" s="26">
        <f t="shared" si="227"/>
        <v>5307.4050000000007</v>
      </c>
      <c r="K65" s="26">
        <f t="shared" si="227"/>
        <v>5209.8490000000002</v>
      </c>
      <c r="L65" s="26">
        <f t="shared" si="227"/>
        <v>5256.7740000000003</v>
      </c>
      <c r="M65" s="26">
        <f t="shared" si="227"/>
        <v>5593.5409999999993</v>
      </c>
      <c r="N65" s="26">
        <f t="shared" si="227"/>
        <v>4665.357</v>
      </c>
      <c r="O65" s="26">
        <f t="shared" si="227"/>
        <v>4793</v>
      </c>
      <c r="P65" s="26">
        <f t="shared" si="227"/>
        <v>4731</v>
      </c>
      <c r="Q65" s="26">
        <f t="shared" si="227"/>
        <v>4349</v>
      </c>
      <c r="R65" s="49"/>
      <c r="S65" s="26" t="e">
        <f t="shared" ref="S65:AG65" si="228">SUM(S61:S64)</f>
        <v>#REF!</v>
      </c>
      <c r="T65" s="26" t="e">
        <f t="shared" si="228"/>
        <v>#REF!</v>
      </c>
      <c r="U65" s="26" t="e">
        <f t="shared" si="228"/>
        <v>#REF!</v>
      </c>
      <c r="V65" s="26" t="e">
        <f t="shared" si="228"/>
        <v>#REF!</v>
      </c>
      <c r="W65" s="26">
        <f t="shared" si="228"/>
        <v>4983.4549999999999</v>
      </c>
      <c r="X65" s="26">
        <f t="shared" si="228"/>
        <v>5026.3779999999997</v>
      </c>
      <c r="Y65" s="26">
        <f t="shared" si="228"/>
        <v>5135.9389999999994</v>
      </c>
      <c r="Z65" s="26">
        <f t="shared" si="228"/>
        <v>5307.4050000000007</v>
      </c>
      <c r="AA65" s="26">
        <f t="shared" si="228"/>
        <v>5209.8490000000002</v>
      </c>
      <c r="AB65" s="26">
        <f t="shared" si="228"/>
        <v>5256.7740000000003</v>
      </c>
      <c r="AC65" s="26">
        <f t="shared" si="228"/>
        <v>5593.5409999999993</v>
      </c>
      <c r="AD65" s="26">
        <f t="shared" si="228"/>
        <v>4665.357</v>
      </c>
      <c r="AE65" s="26">
        <f t="shared" si="228"/>
        <v>4793</v>
      </c>
      <c r="AF65" s="26">
        <f t="shared" si="228"/>
        <v>4731</v>
      </c>
      <c r="AG65" s="26">
        <f t="shared" si="228"/>
        <v>4349</v>
      </c>
      <c r="AH65" s="42"/>
      <c r="AI65" s="77">
        <f t="shared" si="226"/>
        <v>-0.22249608968630052</v>
      </c>
    </row>
    <row r="66" spans="2:35" ht="5.0999999999999996" customHeight="1">
      <c r="B66" s="25"/>
      <c r="C66" s="51"/>
      <c r="D66" s="41"/>
      <c r="E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39"/>
    </row>
    <row r="67" spans="2:35">
      <c r="B67" s="79" t="s">
        <v>83</v>
      </c>
      <c r="C67" s="51"/>
      <c r="D67" s="41"/>
      <c r="E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39"/>
    </row>
    <row r="68" spans="2:35" ht="12.75" customHeight="1">
      <c r="B68" s="121" t="s">
        <v>102</v>
      </c>
      <c r="C68" s="83">
        <v>1188.2829999999999</v>
      </c>
      <c r="D68" s="83">
        <v>1786.3610000000001</v>
      </c>
      <c r="E68" s="83">
        <v>1789.1610000000001</v>
      </c>
      <c r="F68" s="52"/>
      <c r="G68" s="83">
        <v>1784.596</v>
      </c>
      <c r="H68" s="83">
        <v>1785.0740000000001</v>
      </c>
      <c r="I68" s="83">
        <v>1785.7170000000001</v>
      </c>
      <c r="J68" s="32">
        <f t="shared" ref="J68:J69" si="229">D68</f>
        <v>1786.3610000000001</v>
      </c>
      <c r="K68" s="83">
        <v>1787.221</v>
      </c>
      <c r="L68" s="83">
        <v>1787.867</v>
      </c>
      <c r="M68" s="83">
        <v>1788.5129999999999</v>
      </c>
      <c r="N68" s="32">
        <f t="shared" ref="N68:N69" si="230">E68</f>
        <v>1789.1610000000001</v>
      </c>
      <c r="O68" s="83">
        <v>1491</v>
      </c>
      <c r="P68" s="83">
        <v>1492</v>
      </c>
      <c r="Q68" s="83">
        <v>3411</v>
      </c>
      <c r="R68" s="122"/>
      <c r="S68" s="98" t="e">
        <f>#REF!</f>
        <v>#REF!</v>
      </c>
      <c r="T68" s="98" t="e">
        <f>#REF!</f>
        <v>#REF!</v>
      </c>
      <c r="U68" s="98" t="e">
        <f>#REF!</f>
        <v>#REF!</v>
      </c>
      <c r="V68" s="98" t="e">
        <f>#REF!</f>
        <v>#REF!</v>
      </c>
      <c r="W68" s="98">
        <f t="shared" ref="W68:AG71" si="231">G68</f>
        <v>1784.596</v>
      </c>
      <c r="X68" s="98">
        <f t="shared" si="231"/>
        <v>1785.0740000000001</v>
      </c>
      <c r="Y68" s="98">
        <f t="shared" si="231"/>
        <v>1785.7170000000001</v>
      </c>
      <c r="Z68" s="98">
        <f t="shared" si="231"/>
        <v>1786.3610000000001</v>
      </c>
      <c r="AA68" s="98">
        <f t="shared" si="231"/>
        <v>1787.221</v>
      </c>
      <c r="AB68" s="98">
        <f t="shared" si="231"/>
        <v>1787.867</v>
      </c>
      <c r="AC68" s="98">
        <f t="shared" si="231"/>
        <v>1788.5129999999999</v>
      </c>
      <c r="AD68" s="98">
        <f t="shared" si="231"/>
        <v>1789.1610000000001</v>
      </c>
      <c r="AE68" s="98">
        <f t="shared" si="231"/>
        <v>1491</v>
      </c>
      <c r="AF68" s="98">
        <f t="shared" si="231"/>
        <v>1492</v>
      </c>
      <c r="AG68" s="98">
        <f t="shared" si="231"/>
        <v>3411</v>
      </c>
      <c r="AH68" s="42"/>
      <c r="AI68" s="76">
        <f t="shared" ref="AI68:AI79" si="232">SUM(AG68/AC68)-1</f>
        <v>0.90717092914616781</v>
      </c>
    </row>
    <row r="69" spans="2:35" ht="12.75" customHeight="1">
      <c r="B69" s="121" t="s">
        <v>129</v>
      </c>
      <c r="C69" s="83">
        <v>2278.3180000000002</v>
      </c>
      <c r="D69" s="83">
        <v>2039.9079999999999</v>
      </c>
      <c r="E69" s="83">
        <v>1897.165</v>
      </c>
      <c r="F69" s="52"/>
      <c r="G69" s="83">
        <v>2269.2800000000002</v>
      </c>
      <c r="H69" s="83">
        <v>2249.9940000000001</v>
      </c>
      <c r="I69" s="83">
        <v>2209.8989999999999</v>
      </c>
      <c r="J69" s="32">
        <f t="shared" si="229"/>
        <v>2039.9079999999999</v>
      </c>
      <c r="K69" s="83">
        <v>2191.201</v>
      </c>
      <c r="L69" s="83">
        <v>2177.0740000000001</v>
      </c>
      <c r="M69" s="83">
        <v>2018.383</v>
      </c>
      <c r="N69" s="32">
        <f t="shared" si="230"/>
        <v>1897.165</v>
      </c>
      <c r="O69" s="83">
        <v>1881</v>
      </c>
      <c r="P69" s="83">
        <v>1854</v>
      </c>
      <c r="Q69" s="83">
        <v>1850</v>
      </c>
      <c r="R69" s="122"/>
      <c r="S69" s="98" t="e">
        <f>#REF!</f>
        <v>#REF!</v>
      </c>
      <c r="T69" s="98" t="e">
        <f>#REF!</f>
        <v>#REF!</v>
      </c>
      <c r="U69" s="98" t="e">
        <f>#REF!</f>
        <v>#REF!</v>
      </c>
      <c r="V69" s="98" t="e">
        <f>#REF!</f>
        <v>#REF!</v>
      </c>
      <c r="W69" s="98">
        <f t="shared" ref="W69" si="233">G69</f>
        <v>2269.2800000000002</v>
      </c>
      <c r="X69" s="98">
        <f t="shared" ref="X69" si="234">H69</f>
        <v>2249.9940000000001</v>
      </c>
      <c r="Y69" s="98">
        <f t="shared" ref="Y69" si="235">I69</f>
        <v>2209.8989999999999</v>
      </c>
      <c r="Z69" s="98">
        <f t="shared" ref="Z69" si="236">J69</f>
        <v>2039.9079999999999</v>
      </c>
      <c r="AA69" s="98">
        <f t="shared" ref="AA69" si="237">K69</f>
        <v>2191.201</v>
      </c>
      <c r="AB69" s="98">
        <f t="shared" ref="AB69" si="238">L69</f>
        <v>2177.0740000000001</v>
      </c>
      <c r="AC69" s="98">
        <f t="shared" ref="AC69" si="239">M69</f>
        <v>2018.383</v>
      </c>
      <c r="AD69" s="98">
        <f t="shared" ref="AD69" si="240">N69</f>
        <v>1897.165</v>
      </c>
      <c r="AE69" s="98">
        <f t="shared" ref="AE69" si="241">O69</f>
        <v>1881</v>
      </c>
      <c r="AF69" s="98">
        <f t="shared" ref="AF69" si="242">P69</f>
        <v>1854</v>
      </c>
      <c r="AG69" s="98">
        <f t="shared" ref="AG69" si="243">Q69</f>
        <v>1850</v>
      </c>
      <c r="AH69" s="42"/>
      <c r="AI69" s="76"/>
    </row>
    <row r="70" spans="2:35" ht="12.75" customHeight="1">
      <c r="B70" s="121" t="s">
        <v>86</v>
      </c>
      <c r="C70" s="83">
        <v>410.74900000000002</v>
      </c>
      <c r="D70" s="83">
        <v>355.63499999999999</v>
      </c>
      <c r="E70" s="83">
        <v>192.67099999999999</v>
      </c>
      <c r="F70" s="52"/>
      <c r="G70" s="83">
        <v>422.98399999999998</v>
      </c>
      <c r="H70" s="83">
        <v>432.68</v>
      </c>
      <c r="I70" s="83">
        <v>382.84</v>
      </c>
      <c r="J70" s="32">
        <f t="shared" ref="J70:J71" si="244">D70</f>
        <v>355.63499999999999</v>
      </c>
      <c r="K70" s="83">
        <v>364.56400000000002</v>
      </c>
      <c r="L70" s="83">
        <v>375.65800000000002</v>
      </c>
      <c r="M70" s="83">
        <v>380.11799999999999</v>
      </c>
      <c r="N70" s="32">
        <f t="shared" ref="N70:N71" si="245">E70</f>
        <v>192.67099999999999</v>
      </c>
      <c r="O70" s="83">
        <v>171</v>
      </c>
      <c r="P70" s="83">
        <v>172</v>
      </c>
      <c r="Q70" s="83">
        <v>166</v>
      </c>
      <c r="R70" s="122"/>
      <c r="S70" s="98" t="e">
        <f>#REF!</f>
        <v>#REF!</v>
      </c>
      <c r="T70" s="98" t="e">
        <f>#REF!</f>
        <v>#REF!</v>
      </c>
      <c r="U70" s="98" t="e">
        <f>#REF!</f>
        <v>#REF!</v>
      </c>
      <c r="V70" s="98" t="e">
        <f>#REF!</f>
        <v>#REF!</v>
      </c>
      <c r="W70" s="98">
        <f t="shared" si="231"/>
        <v>422.98399999999998</v>
      </c>
      <c r="X70" s="98">
        <f t="shared" si="231"/>
        <v>432.68</v>
      </c>
      <c r="Y70" s="98">
        <f t="shared" si="231"/>
        <v>382.84</v>
      </c>
      <c r="Z70" s="98">
        <f t="shared" si="231"/>
        <v>355.63499999999999</v>
      </c>
      <c r="AA70" s="98">
        <f t="shared" si="231"/>
        <v>364.56400000000002</v>
      </c>
      <c r="AB70" s="98">
        <f t="shared" si="231"/>
        <v>375.65800000000002</v>
      </c>
      <c r="AC70" s="98">
        <f t="shared" si="231"/>
        <v>380.11799999999999</v>
      </c>
      <c r="AD70" s="98">
        <f t="shared" si="231"/>
        <v>192.67099999999999</v>
      </c>
      <c r="AE70" s="98">
        <f t="shared" si="231"/>
        <v>171</v>
      </c>
      <c r="AF70" s="98">
        <f t="shared" si="231"/>
        <v>172</v>
      </c>
      <c r="AG70" s="98">
        <f t="shared" si="231"/>
        <v>166</v>
      </c>
      <c r="AH70" s="42"/>
      <c r="AI70" s="76">
        <f t="shared" si="232"/>
        <v>-0.56329350359625163</v>
      </c>
    </row>
    <row r="71" spans="2:35" ht="12.75" customHeight="1">
      <c r="B71" s="121" t="s">
        <v>130</v>
      </c>
      <c r="C71" s="83">
        <v>89.054000000000002</v>
      </c>
      <c r="D71" s="83">
        <f>(83538+183751)/1000</f>
        <v>267.28899999999999</v>
      </c>
      <c r="E71" s="83">
        <v>83.813000000000002</v>
      </c>
      <c r="F71" s="52"/>
      <c r="G71" s="83">
        <v>85.762</v>
      </c>
      <c r="H71" s="83">
        <v>87.063000000000002</v>
      </c>
      <c r="I71" s="83">
        <v>87.668999999999997</v>
      </c>
      <c r="J71" s="32">
        <f t="shared" si="244"/>
        <v>267.28899999999999</v>
      </c>
      <c r="K71" s="83">
        <v>83.625</v>
      </c>
      <c r="L71" s="83">
        <v>85.680999999999997</v>
      </c>
      <c r="M71" s="83">
        <v>89.948999999999998</v>
      </c>
      <c r="N71" s="32">
        <f t="shared" si="245"/>
        <v>83.813000000000002</v>
      </c>
      <c r="O71" s="83">
        <v>84</v>
      </c>
      <c r="P71" s="83">
        <v>87</v>
      </c>
      <c r="Q71" s="83">
        <v>88</v>
      </c>
      <c r="S71" s="98" t="e">
        <f>#REF!</f>
        <v>#REF!</v>
      </c>
      <c r="T71" s="98" t="e">
        <f>#REF!</f>
        <v>#REF!</v>
      </c>
      <c r="U71" s="98" t="e">
        <f>#REF!</f>
        <v>#REF!</v>
      </c>
      <c r="V71" s="98" t="e">
        <f>#REF!</f>
        <v>#REF!</v>
      </c>
      <c r="W71" s="98">
        <f t="shared" si="231"/>
        <v>85.762</v>
      </c>
      <c r="X71" s="98">
        <f t="shared" si="231"/>
        <v>87.063000000000002</v>
      </c>
      <c r="Y71" s="98">
        <f t="shared" si="231"/>
        <v>87.668999999999997</v>
      </c>
      <c r="Z71" s="98">
        <f t="shared" si="231"/>
        <v>267.28899999999999</v>
      </c>
      <c r="AA71" s="98">
        <f t="shared" si="231"/>
        <v>83.625</v>
      </c>
      <c r="AB71" s="98">
        <f t="shared" si="231"/>
        <v>85.680999999999997</v>
      </c>
      <c r="AC71" s="98">
        <f t="shared" si="231"/>
        <v>89.948999999999998</v>
      </c>
      <c r="AD71" s="98">
        <f t="shared" si="231"/>
        <v>83.813000000000002</v>
      </c>
      <c r="AE71" s="98">
        <f t="shared" si="231"/>
        <v>84</v>
      </c>
      <c r="AF71" s="98">
        <f t="shared" si="231"/>
        <v>87</v>
      </c>
      <c r="AG71" s="98">
        <f t="shared" si="231"/>
        <v>88</v>
      </c>
      <c r="AH71" s="42"/>
      <c r="AI71" s="76">
        <f t="shared" si="232"/>
        <v>-2.1667833994819308E-2</v>
      </c>
    </row>
    <row r="72" spans="2:35" ht="12.75" customHeight="1">
      <c r="B72" s="13" t="s">
        <v>18</v>
      </c>
      <c r="C72" s="14">
        <f t="shared" ref="C72:E72" si="246">SUM(C68:C71)+C65</f>
        <v>9387.255000000001</v>
      </c>
      <c r="D72" s="14">
        <f t="shared" si="246"/>
        <v>9756.5980000000018</v>
      </c>
      <c r="E72" s="14">
        <f t="shared" si="246"/>
        <v>8628.1669999999995</v>
      </c>
      <c r="G72" s="14">
        <f t="shared" ref="G72:Q72" si="247">SUM(G68:G71)+G65</f>
        <v>9546.0770000000011</v>
      </c>
      <c r="H72" s="14">
        <f t="shared" si="247"/>
        <v>9581.1890000000003</v>
      </c>
      <c r="I72" s="14">
        <f t="shared" si="247"/>
        <v>9602.0639999999985</v>
      </c>
      <c r="J72" s="14">
        <f t="shared" si="247"/>
        <v>9756.5980000000018</v>
      </c>
      <c r="K72" s="14">
        <f t="shared" si="247"/>
        <v>9636.4599999999991</v>
      </c>
      <c r="L72" s="14">
        <f t="shared" si="247"/>
        <v>9683.0540000000001</v>
      </c>
      <c r="M72" s="14">
        <f t="shared" si="247"/>
        <v>9870.503999999999</v>
      </c>
      <c r="N72" s="14">
        <f t="shared" si="247"/>
        <v>8628.1669999999995</v>
      </c>
      <c r="O72" s="14">
        <f t="shared" si="247"/>
        <v>8420</v>
      </c>
      <c r="P72" s="14">
        <f t="shared" si="247"/>
        <v>8336</v>
      </c>
      <c r="Q72" s="14">
        <f t="shared" si="247"/>
        <v>9864</v>
      </c>
      <c r="S72" s="14" t="e">
        <f t="shared" ref="S72:AG72" si="248">SUM(S68:S71)+S65</f>
        <v>#REF!</v>
      </c>
      <c r="T72" s="14" t="e">
        <f t="shared" si="248"/>
        <v>#REF!</v>
      </c>
      <c r="U72" s="14" t="e">
        <f t="shared" si="248"/>
        <v>#REF!</v>
      </c>
      <c r="V72" s="14" t="e">
        <f t="shared" si="248"/>
        <v>#REF!</v>
      </c>
      <c r="W72" s="14">
        <f t="shared" si="248"/>
        <v>9546.0770000000011</v>
      </c>
      <c r="X72" s="14">
        <f t="shared" si="248"/>
        <v>9581.1890000000003</v>
      </c>
      <c r="Y72" s="14">
        <f t="shared" si="248"/>
        <v>9602.0639999999985</v>
      </c>
      <c r="Z72" s="14">
        <f t="shared" si="248"/>
        <v>9756.5980000000018</v>
      </c>
      <c r="AA72" s="14">
        <f t="shared" si="248"/>
        <v>9636.4599999999991</v>
      </c>
      <c r="AB72" s="14">
        <f t="shared" si="248"/>
        <v>9683.0540000000001</v>
      </c>
      <c r="AC72" s="14">
        <f t="shared" si="248"/>
        <v>9870.503999999999</v>
      </c>
      <c r="AD72" s="14">
        <f t="shared" si="248"/>
        <v>8628.1669999999995</v>
      </c>
      <c r="AE72" s="14">
        <f t="shared" si="248"/>
        <v>8420</v>
      </c>
      <c r="AF72" s="14">
        <f t="shared" si="248"/>
        <v>8336</v>
      </c>
      <c r="AG72" s="14">
        <f t="shared" si="248"/>
        <v>9864</v>
      </c>
      <c r="AH72" s="42"/>
      <c r="AI72" s="77">
        <f t="shared" si="232"/>
        <v>-6.5893291771113027E-4</v>
      </c>
    </row>
    <row r="73" spans="2:35" ht="5.0999999999999996" customHeight="1">
      <c r="B73" s="25"/>
      <c r="C73" s="50"/>
      <c r="D73" s="41"/>
      <c r="E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39"/>
    </row>
    <row r="74" spans="2:35" ht="12.75" customHeight="1">
      <c r="B74" s="9" t="s">
        <v>175</v>
      </c>
      <c r="C74" s="83">
        <f>897.56+0.008</f>
        <v>897.56799999999998</v>
      </c>
      <c r="D74" s="83">
        <f>946.099+0.008</f>
        <v>946.10700000000008</v>
      </c>
      <c r="E74" s="83">
        <f>993.691+0.008</f>
        <v>993.69900000000007</v>
      </c>
      <c r="F74" s="32"/>
      <c r="G74" s="83">
        <f>914.184+0.008</f>
        <v>914.19200000000001</v>
      </c>
      <c r="H74" s="83">
        <f>925.411+0.008</f>
        <v>925.41899999999998</v>
      </c>
      <c r="I74" s="83">
        <f>937.04+0.008</f>
        <v>937.048</v>
      </c>
      <c r="J74" s="32">
        <f t="shared" ref="J74" si="249">D74</f>
        <v>946.10700000000008</v>
      </c>
      <c r="K74" s="83">
        <f>963.741+0.008</f>
        <v>963.74900000000002</v>
      </c>
      <c r="L74" s="83">
        <f>975.54+0.008</f>
        <v>975.548</v>
      </c>
      <c r="M74" s="83">
        <f>987.657+0.008</f>
        <v>987.66500000000008</v>
      </c>
      <c r="N74" s="32">
        <f t="shared" ref="N74" si="250">E74</f>
        <v>993.69900000000007</v>
      </c>
      <c r="O74" s="83">
        <v>1007</v>
      </c>
      <c r="P74" s="83">
        <v>1016</v>
      </c>
      <c r="Q74" s="83">
        <v>1026</v>
      </c>
      <c r="S74" s="32" t="e">
        <f>#REF!</f>
        <v>#REF!</v>
      </c>
      <c r="T74" s="32" t="e">
        <f>#REF!</f>
        <v>#REF!</v>
      </c>
      <c r="U74" s="32" t="e">
        <f>#REF!</f>
        <v>#REF!</v>
      </c>
      <c r="V74" s="32" t="e">
        <f>#REF!</f>
        <v>#REF!</v>
      </c>
      <c r="W74" s="32">
        <f t="shared" ref="W74" si="251">G74</f>
        <v>914.19200000000001</v>
      </c>
      <c r="X74" s="32">
        <f t="shared" ref="X74" si="252">H74</f>
        <v>925.41899999999998</v>
      </c>
      <c r="Y74" s="32">
        <f t="shared" ref="Y74" si="253">I74</f>
        <v>937.048</v>
      </c>
      <c r="Z74" s="32">
        <f t="shared" ref="Z74" si="254">J74</f>
        <v>946.10700000000008</v>
      </c>
      <c r="AA74" s="32">
        <f t="shared" ref="AA74" si="255">K74</f>
        <v>963.74900000000002</v>
      </c>
      <c r="AB74" s="32">
        <f t="shared" ref="AB74" si="256">L74</f>
        <v>975.548</v>
      </c>
      <c r="AC74" s="32">
        <f t="shared" ref="AC74" si="257">M74</f>
        <v>987.66500000000008</v>
      </c>
      <c r="AD74" s="32">
        <f t="shared" ref="AD74" si="258">N74</f>
        <v>993.69900000000007</v>
      </c>
      <c r="AE74" s="32">
        <f t="shared" ref="AE74" si="259">O74</f>
        <v>1007</v>
      </c>
      <c r="AF74" s="32">
        <f t="shared" ref="AF74" si="260">P74</f>
        <v>1016</v>
      </c>
      <c r="AG74" s="32">
        <f t="shared" ref="AG74" si="261">Q74</f>
        <v>1026</v>
      </c>
      <c r="AH74" s="11"/>
      <c r="AI74" s="76"/>
    </row>
    <row r="75" spans="2:35" ht="12.75" customHeight="1">
      <c r="B75" s="9" t="s">
        <v>135</v>
      </c>
      <c r="C75" s="83">
        <v>-2918.768</v>
      </c>
      <c r="D75" s="83">
        <v>-2933.2860000000001</v>
      </c>
      <c r="E75" s="83">
        <v>-2939.7869999999998</v>
      </c>
      <c r="F75" s="32"/>
      <c r="G75" s="83">
        <v>-2931.373</v>
      </c>
      <c r="H75" s="83">
        <v>-2932.576</v>
      </c>
      <c r="I75" s="83">
        <v>-2933.0050000000001</v>
      </c>
      <c r="J75" s="32">
        <f>D75</f>
        <v>-2933.2860000000001</v>
      </c>
      <c r="K75" s="83">
        <v>-2936.6239999999998</v>
      </c>
      <c r="L75" s="83">
        <v>-2937.9029999999998</v>
      </c>
      <c r="M75" s="83">
        <v>-2938.8870000000002</v>
      </c>
      <c r="N75" s="32">
        <f>E75</f>
        <v>-2939.7869999999998</v>
      </c>
      <c r="O75" s="83">
        <v>-2942</v>
      </c>
      <c r="P75" s="83">
        <v>-2943</v>
      </c>
      <c r="Q75" s="83">
        <v>-2944</v>
      </c>
      <c r="S75" s="32" t="e">
        <f>#REF!</f>
        <v>#REF!</v>
      </c>
      <c r="T75" s="32" t="e">
        <f>#REF!</f>
        <v>#REF!</v>
      </c>
      <c r="U75" s="32" t="e">
        <f>#REF!</f>
        <v>#REF!</v>
      </c>
      <c r="V75" s="32" t="e">
        <f>#REF!</f>
        <v>#REF!</v>
      </c>
      <c r="W75" s="32">
        <f t="shared" ref="W75:AG77" si="262">G75</f>
        <v>-2931.373</v>
      </c>
      <c r="X75" s="32">
        <f t="shared" si="262"/>
        <v>-2932.576</v>
      </c>
      <c r="Y75" s="32">
        <f t="shared" si="262"/>
        <v>-2933.0050000000001</v>
      </c>
      <c r="Z75" s="32">
        <f t="shared" si="262"/>
        <v>-2933.2860000000001</v>
      </c>
      <c r="AA75" s="32">
        <f t="shared" si="262"/>
        <v>-2936.6239999999998</v>
      </c>
      <c r="AB75" s="32">
        <f t="shared" si="262"/>
        <v>-2937.9029999999998</v>
      </c>
      <c r="AC75" s="32">
        <f t="shared" si="262"/>
        <v>-2938.8870000000002</v>
      </c>
      <c r="AD75" s="32">
        <f t="shared" si="262"/>
        <v>-2939.7869999999998</v>
      </c>
      <c r="AE75" s="32">
        <f t="shared" si="262"/>
        <v>-2942</v>
      </c>
      <c r="AF75" s="32">
        <f t="shared" si="262"/>
        <v>-2943</v>
      </c>
      <c r="AG75" s="32">
        <f t="shared" si="262"/>
        <v>-2944</v>
      </c>
      <c r="AH75" s="11"/>
      <c r="AI75" s="76">
        <f t="shared" si="232"/>
        <v>1.7397742750910883E-3</v>
      </c>
    </row>
    <row r="76" spans="2:35" ht="12.75" customHeight="1">
      <c r="B76" s="9" t="s">
        <v>134</v>
      </c>
      <c r="C76" s="83">
        <v>-44.695</v>
      </c>
      <c r="D76" s="83">
        <v>-52.231999999999999</v>
      </c>
      <c r="E76" s="83">
        <v>-47.146000000000001</v>
      </c>
      <c r="F76" s="32"/>
      <c r="G76" s="83">
        <v>-44.354999999999997</v>
      </c>
      <c r="H76" s="83">
        <v>-36.823999999999998</v>
      </c>
      <c r="I76" s="83">
        <v>-47.598999999999997</v>
      </c>
      <c r="J76" s="32">
        <f>D76</f>
        <v>-52.231999999999999</v>
      </c>
      <c r="K76" s="83">
        <v>-46.45</v>
      </c>
      <c r="L76" s="83">
        <v>-44.530999999999999</v>
      </c>
      <c r="M76" s="83">
        <v>-43.514000000000003</v>
      </c>
      <c r="N76" s="32">
        <f>E76</f>
        <v>-47.146000000000001</v>
      </c>
      <c r="O76" s="83">
        <v>-40</v>
      </c>
      <c r="P76" s="83">
        <v>-41</v>
      </c>
      <c r="Q76" s="83">
        <v>-42</v>
      </c>
      <c r="S76" s="32" t="e">
        <f>#REF!</f>
        <v>#REF!</v>
      </c>
      <c r="T76" s="32" t="e">
        <f>#REF!</f>
        <v>#REF!</v>
      </c>
      <c r="U76" s="32" t="e">
        <f>#REF!</f>
        <v>#REF!</v>
      </c>
      <c r="V76" s="32" t="e">
        <f>#REF!</f>
        <v>#REF!</v>
      </c>
      <c r="W76" s="32">
        <f t="shared" si="262"/>
        <v>-44.354999999999997</v>
      </c>
      <c r="X76" s="32">
        <f t="shared" si="262"/>
        <v>-36.823999999999998</v>
      </c>
      <c r="Y76" s="32">
        <f t="shared" si="262"/>
        <v>-47.598999999999997</v>
      </c>
      <c r="Z76" s="32">
        <f t="shared" si="262"/>
        <v>-52.231999999999999</v>
      </c>
      <c r="AA76" s="32">
        <f t="shared" si="262"/>
        <v>-46.45</v>
      </c>
      <c r="AB76" s="32">
        <f t="shared" si="262"/>
        <v>-44.530999999999999</v>
      </c>
      <c r="AC76" s="32">
        <f t="shared" si="262"/>
        <v>-43.514000000000003</v>
      </c>
      <c r="AD76" s="32">
        <f t="shared" si="262"/>
        <v>-47.146000000000001</v>
      </c>
      <c r="AE76" s="32">
        <f t="shared" si="262"/>
        <v>-40</v>
      </c>
      <c r="AF76" s="32">
        <f t="shared" si="262"/>
        <v>-41</v>
      </c>
      <c r="AG76" s="32">
        <f t="shared" si="262"/>
        <v>-42</v>
      </c>
      <c r="AH76" s="11"/>
      <c r="AI76" s="76">
        <f t="shared" si="232"/>
        <v>-3.4793399825343685E-2</v>
      </c>
    </row>
    <row r="77" spans="2:35" ht="12.75" customHeight="1">
      <c r="B77" s="9" t="s">
        <v>87</v>
      </c>
      <c r="C77" s="83">
        <v>4665.0870000000004</v>
      </c>
      <c r="D77" s="83">
        <v>4559.1390000000001</v>
      </c>
      <c r="E77" s="83">
        <v>4163.1760000000004</v>
      </c>
      <c r="F77" s="32"/>
      <c r="G77" s="83">
        <v>4697.6970000000001</v>
      </c>
      <c r="H77" s="83">
        <v>4767.1679999999997</v>
      </c>
      <c r="I77" s="83">
        <v>4690.424</v>
      </c>
      <c r="J77" s="32">
        <f>D77</f>
        <v>4559.1390000000001</v>
      </c>
      <c r="K77" s="83">
        <v>4583.9750000000004</v>
      </c>
      <c r="L77" s="83">
        <v>4613.6379999999999</v>
      </c>
      <c r="M77" s="83">
        <v>4592.4160000000002</v>
      </c>
      <c r="N77" s="32">
        <f>E77</f>
        <v>4163.1760000000004</v>
      </c>
      <c r="O77" s="83">
        <v>4172</v>
      </c>
      <c r="P77" s="83">
        <v>4171</v>
      </c>
      <c r="Q77" s="83">
        <v>4155</v>
      </c>
      <c r="S77" s="32" t="e">
        <f>#REF!</f>
        <v>#REF!</v>
      </c>
      <c r="T77" s="32" t="e">
        <f>#REF!</f>
        <v>#REF!</v>
      </c>
      <c r="U77" s="32" t="e">
        <f>#REF!</f>
        <v>#REF!</v>
      </c>
      <c r="V77" s="32" t="e">
        <f>#REF!</f>
        <v>#REF!</v>
      </c>
      <c r="W77" s="32">
        <f t="shared" si="262"/>
        <v>4697.6970000000001</v>
      </c>
      <c r="X77" s="32">
        <f t="shared" si="262"/>
        <v>4767.1679999999997</v>
      </c>
      <c r="Y77" s="32">
        <f t="shared" si="262"/>
        <v>4690.424</v>
      </c>
      <c r="Z77" s="32">
        <f t="shared" si="262"/>
        <v>4559.1390000000001</v>
      </c>
      <c r="AA77" s="32">
        <f t="shared" si="262"/>
        <v>4583.9750000000004</v>
      </c>
      <c r="AB77" s="32">
        <f t="shared" si="262"/>
        <v>4613.6379999999999</v>
      </c>
      <c r="AC77" s="32">
        <f t="shared" si="262"/>
        <v>4592.4160000000002</v>
      </c>
      <c r="AD77" s="32">
        <f t="shared" si="262"/>
        <v>4163.1760000000004</v>
      </c>
      <c r="AE77" s="32">
        <f t="shared" si="262"/>
        <v>4172</v>
      </c>
      <c r="AF77" s="32">
        <f t="shared" si="262"/>
        <v>4171</v>
      </c>
      <c r="AG77" s="32">
        <f t="shared" si="262"/>
        <v>4155</v>
      </c>
      <c r="AH77" s="11"/>
      <c r="AI77" s="76">
        <f t="shared" si="232"/>
        <v>-9.5247468870415908E-2</v>
      </c>
    </row>
    <row r="78" spans="2:35" ht="12.75" customHeight="1">
      <c r="B78" s="13" t="s">
        <v>17</v>
      </c>
      <c r="C78" s="14">
        <f>SUM(C74:C77)</f>
        <v>2599.1920000000005</v>
      </c>
      <c r="D78" s="14">
        <f>SUM(D74:D77)</f>
        <v>2519.7280000000001</v>
      </c>
      <c r="E78" s="14">
        <f>SUM(E74:E77)</f>
        <v>2169.9420000000009</v>
      </c>
      <c r="F78" s="53"/>
      <c r="G78" s="14">
        <f>SUM(G74:G77)</f>
        <v>2636.1610000000001</v>
      </c>
      <c r="H78" s="14">
        <f>SUM(H74:H77)</f>
        <v>2723.1869999999994</v>
      </c>
      <c r="I78" s="14">
        <f>SUM(I74:I77)</f>
        <v>2646.8679999999999</v>
      </c>
      <c r="J78" s="14">
        <f>SUM(J74:J77)</f>
        <v>2519.7280000000001</v>
      </c>
      <c r="K78" s="14">
        <f>SUM(K74:K77)</f>
        <v>2564.6500000000005</v>
      </c>
      <c r="L78" s="14">
        <f>SUM(L74:L77)</f>
        <v>2606.7520000000004</v>
      </c>
      <c r="M78" s="14">
        <f>SUM(M74:M77)</f>
        <v>2597.6800000000003</v>
      </c>
      <c r="N78" s="14">
        <f>SUM(N74:N77)</f>
        <v>2169.9420000000009</v>
      </c>
      <c r="O78" s="14">
        <f>SUM(O74:O77)</f>
        <v>2197</v>
      </c>
      <c r="P78" s="14">
        <f>SUM(P74:P77)</f>
        <v>2203</v>
      </c>
      <c r="Q78" s="14">
        <f>SUM(Q74:Q77)</f>
        <v>2195</v>
      </c>
      <c r="S78" s="14" t="e">
        <f>SUM(S74:S77)</f>
        <v>#REF!</v>
      </c>
      <c r="T78" s="14" t="e">
        <f>SUM(T74:T77)</f>
        <v>#REF!</v>
      </c>
      <c r="U78" s="14" t="e">
        <f>SUM(U74:U77)</f>
        <v>#REF!</v>
      </c>
      <c r="V78" s="14" t="e">
        <f>SUM(V74:V77)</f>
        <v>#REF!</v>
      </c>
      <c r="W78" s="14">
        <f>SUM(W74:W77)</f>
        <v>2636.1610000000001</v>
      </c>
      <c r="X78" s="14">
        <f>SUM(X74:X77)</f>
        <v>2723.1869999999994</v>
      </c>
      <c r="Y78" s="14">
        <f>SUM(Y74:Y77)</f>
        <v>2646.8679999999999</v>
      </c>
      <c r="Z78" s="14">
        <f>SUM(Z74:Z77)</f>
        <v>2519.7280000000001</v>
      </c>
      <c r="AA78" s="14">
        <f>SUM(AA74:AA77)</f>
        <v>2564.6500000000005</v>
      </c>
      <c r="AB78" s="14">
        <f>SUM(AB74:AB77)</f>
        <v>2606.7520000000004</v>
      </c>
      <c r="AC78" s="14">
        <f>SUM(AC74:AC77)</f>
        <v>2597.6800000000003</v>
      </c>
      <c r="AD78" s="14">
        <f>SUM(AD74:AD77)</f>
        <v>2169.9420000000009</v>
      </c>
      <c r="AE78" s="14">
        <f>SUM(AE74:AE77)</f>
        <v>2197</v>
      </c>
      <c r="AF78" s="14">
        <f>SUM(AF74:AF77)</f>
        <v>2203</v>
      </c>
      <c r="AG78" s="14">
        <f>SUM(AG74:AG77)</f>
        <v>2195</v>
      </c>
      <c r="AH78" s="42"/>
      <c r="AI78" s="76">
        <f t="shared" si="232"/>
        <v>-0.15501524437190117</v>
      </c>
    </row>
    <row r="79" spans="2:35" ht="12.75" customHeight="1">
      <c r="B79" s="25" t="s">
        <v>52</v>
      </c>
      <c r="C79" s="32">
        <f>SUM(C78+C72)</f>
        <v>11986.447000000002</v>
      </c>
      <c r="D79" s="32">
        <f>SUM(D78+D72)</f>
        <v>12276.326000000001</v>
      </c>
      <c r="E79" s="32">
        <f>SUM(E78+E72)</f>
        <v>10798.109</v>
      </c>
      <c r="F79" s="32"/>
      <c r="G79" s="32">
        <f>SUM(G78+G72)</f>
        <v>12182.238000000001</v>
      </c>
      <c r="H79" s="32">
        <f>SUM(H78+H72)</f>
        <v>12304.376</v>
      </c>
      <c r="I79" s="32">
        <f>SUM(I78+I72)</f>
        <v>12248.931999999999</v>
      </c>
      <c r="J79" s="32">
        <f>SUM(J78+J72)</f>
        <v>12276.326000000001</v>
      </c>
      <c r="K79" s="32">
        <f>SUM(K78+K72)</f>
        <v>12201.11</v>
      </c>
      <c r="L79" s="32">
        <f>SUM(L78+L72)</f>
        <v>12289.806</v>
      </c>
      <c r="M79" s="32">
        <f>SUM(M78+M72)</f>
        <v>12468.183999999999</v>
      </c>
      <c r="N79" s="32">
        <f>SUM(N78+N72)</f>
        <v>10798.109</v>
      </c>
      <c r="O79" s="32">
        <f>SUM(O78+O72)</f>
        <v>10617</v>
      </c>
      <c r="P79" s="32">
        <f>SUM(P78+P72)</f>
        <v>10539</v>
      </c>
      <c r="Q79" s="32">
        <f>SUM(Q78+Q72)</f>
        <v>12059</v>
      </c>
      <c r="R79" s="32"/>
      <c r="S79" s="32" t="e">
        <f>SUM(S78+S72)</f>
        <v>#REF!</v>
      </c>
      <c r="T79" s="32" t="e">
        <f>SUM(T78+T72)</f>
        <v>#REF!</v>
      </c>
      <c r="U79" s="32" t="e">
        <f>SUM(U78+U72)</f>
        <v>#REF!</v>
      </c>
      <c r="V79" s="32" t="e">
        <f>SUM(V78+V72)</f>
        <v>#REF!</v>
      </c>
      <c r="W79" s="32">
        <f>SUM(W78+W72)</f>
        <v>12182.238000000001</v>
      </c>
      <c r="X79" s="32">
        <f>SUM(X78+X72)</f>
        <v>12304.376</v>
      </c>
      <c r="Y79" s="32">
        <f>SUM(Y78+Y72)</f>
        <v>12248.931999999999</v>
      </c>
      <c r="Z79" s="32">
        <f>SUM(Z78+Z72)</f>
        <v>12276.326000000001</v>
      </c>
      <c r="AA79" s="32">
        <f>SUM(AA78+AA72)</f>
        <v>12201.11</v>
      </c>
      <c r="AB79" s="32">
        <f>SUM(AB78+AB72)</f>
        <v>12289.806</v>
      </c>
      <c r="AC79" s="32">
        <f>SUM(AC78+AC72)</f>
        <v>12468.183999999999</v>
      </c>
      <c r="AD79" s="32">
        <f>SUM(AD78+AD72)</f>
        <v>10798.109</v>
      </c>
      <c r="AE79" s="32">
        <f>SUM(AE78+AE72)</f>
        <v>10617</v>
      </c>
      <c r="AF79" s="32">
        <f>SUM(AF78+AF72)</f>
        <v>10539</v>
      </c>
      <c r="AG79" s="32">
        <f>SUM(AG78+AG72)</f>
        <v>12059</v>
      </c>
      <c r="AH79" s="11"/>
      <c r="AI79" s="77">
        <f t="shared" si="232"/>
        <v>-3.2818251639533003E-2</v>
      </c>
    </row>
    <row r="80" spans="2:35" ht="5.0999999999999996" customHeight="1">
      <c r="B80" s="25"/>
      <c r="C80" s="32"/>
      <c r="D80" s="32"/>
      <c r="E80" s="32"/>
      <c r="F80" s="32"/>
      <c r="G80" s="32"/>
      <c r="H80" s="32"/>
      <c r="I80" s="32"/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11"/>
    </row>
    <row r="81" spans="1:35" ht="12.75" customHeight="1">
      <c r="B81" s="144" t="s">
        <v>58</v>
      </c>
      <c r="C81" s="70">
        <f>C79-C58</f>
        <v>0</v>
      </c>
      <c r="D81" s="70">
        <f>D79-D58</f>
        <v>0</v>
      </c>
      <c r="E81" s="70">
        <f>E79-E58</f>
        <v>0</v>
      </c>
      <c r="F81" s="71"/>
      <c r="G81" s="70">
        <f>G79-G58</f>
        <v>0</v>
      </c>
      <c r="H81" s="70">
        <f>H79-H58</f>
        <v>0</v>
      </c>
      <c r="I81" s="70">
        <f>I79-I58</f>
        <v>0</v>
      </c>
      <c r="J81" s="70">
        <f>J79-J58</f>
        <v>0</v>
      </c>
      <c r="K81" s="70">
        <f>K79-K58</f>
        <v>0</v>
      </c>
      <c r="L81" s="70">
        <f>L79-L58</f>
        <v>0</v>
      </c>
      <c r="M81" s="70">
        <f>M79-M58</f>
        <v>0</v>
      </c>
      <c r="N81" s="70">
        <f>N79-N58</f>
        <v>0</v>
      </c>
      <c r="O81" s="70">
        <f>O79-O58</f>
        <v>0</v>
      </c>
      <c r="P81" s="70">
        <f>P79-P58</f>
        <v>0</v>
      </c>
      <c r="Q81" s="70">
        <f>Q79-Q58</f>
        <v>0</v>
      </c>
      <c r="R81" s="28"/>
      <c r="S81" s="70" t="e">
        <f>S79-S58</f>
        <v>#REF!</v>
      </c>
      <c r="T81" s="70" t="e">
        <f>T79-T58</f>
        <v>#REF!</v>
      </c>
      <c r="U81" s="70" t="e">
        <f>U79-U58</f>
        <v>#REF!</v>
      </c>
      <c r="V81" s="70" t="e">
        <f>V79-V58</f>
        <v>#REF!</v>
      </c>
      <c r="W81" s="70">
        <f>W79-W58</f>
        <v>0</v>
      </c>
      <c r="X81" s="70">
        <f>X79-X58</f>
        <v>0</v>
      </c>
      <c r="Y81" s="70">
        <f>Y79-Y58</f>
        <v>0</v>
      </c>
      <c r="Z81" s="70">
        <f>Z79-Z58</f>
        <v>0</v>
      </c>
      <c r="AA81" s="70">
        <f>AA79-AA58</f>
        <v>0</v>
      </c>
      <c r="AB81" s="70">
        <f>AB79-AB58</f>
        <v>0</v>
      </c>
      <c r="AC81" s="70">
        <f>AC79-AC58</f>
        <v>0</v>
      </c>
      <c r="AD81" s="70">
        <f>AD79-AD58</f>
        <v>0</v>
      </c>
      <c r="AE81" s="70">
        <f>AE79-AE58</f>
        <v>0</v>
      </c>
      <c r="AF81" s="70">
        <f>AF79-AF58</f>
        <v>0</v>
      </c>
      <c r="AG81" s="70">
        <f>AG79-AG58</f>
        <v>0</v>
      </c>
    </row>
    <row r="82" spans="1:35" ht="5.0999999999999996" customHeight="1" thickBot="1">
      <c r="B82" s="117"/>
      <c r="C82" s="118"/>
      <c r="D82" s="118"/>
      <c r="E82" s="118"/>
      <c r="F82" s="119"/>
      <c r="G82" s="118"/>
      <c r="H82" s="118"/>
      <c r="I82" s="118"/>
      <c r="J82" s="118"/>
      <c r="K82" s="118"/>
      <c r="L82" s="118"/>
      <c r="M82" s="118"/>
      <c r="N82" s="118"/>
      <c r="O82" s="118"/>
      <c r="P82" s="118"/>
      <c r="Q82" s="118"/>
      <c r="R82" s="120"/>
      <c r="S82" s="118"/>
      <c r="T82" s="118"/>
      <c r="U82" s="118"/>
      <c r="V82" s="118"/>
      <c r="W82" s="118"/>
      <c r="X82" s="118"/>
      <c r="Y82" s="118"/>
      <c r="Z82" s="118"/>
      <c r="AA82" s="118"/>
      <c r="AB82" s="118"/>
      <c r="AC82" s="118"/>
      <c r="AD82" s="118"/>
      <c r="AE82" s="118"/>
      <c r="AF82" s="118"/>
      <c r="AG82" s="118"/>
      <c r="AH82" s="74"/>
      <c r="AI82" s="74"/>
    </row>
    <row r="83" spans="1:35">
      <c r="B83" s="69"/>
      <c r="C83" s="24"/>
      <c r="D83" s="24"/>
      <c r="E83" s="24"/>
      <c r="F83" s="54"/>
    </row>
    <row r="84" spans="1:35" ht="12.75" customHeight="1">
      <c r="A84" s="5" t="s">
        <v>19</v>
      </c>
      <c r="B84" s="99" t="s">
        <v>15</v>
      </c>
      <c r="C84" s="103"/>
      <c r="D84" s="103"/>
      <c r="E84" s="103"/>
      <c r="F84" s="104"/>
      <c r="G84" s="103"/>
      <c r="H84" s="103"/>
      <c r="I84" s="103"/>
      <c r="J84" s="103"/>
      <c r="K84" s="103"/>
      <c r="L84" s="103"/>
      <c r="M84" s="103"/>
      <c r="N84" s="103"/>
      <c r="O84" s="103"/>
      <c r="P84" s="103"/>
      <c r="Q84" s="103"/>
      <c r="R84" s="99"/>
      <c r="S84" s="103"/>
      <c r="T84" s="103"/>
      <c r="U84" s="103"/>
      <c r="V84" s="103"/>
      <c r="W84" s="103"/>
      <c r="X84" s="103"/>
      <c r="Y84" s="103"/>
      <c r="Z84" s="103"/>
      <c r="AA84" s="103"/>
      <c r="AB84" s="103" t="s">
        <v>10</v>
      </c>
      <c r="AC84" s="103"/>
      <c r="AD84" s="103"/>
      <c r="AE84" s="103"/>
      <c r="AF84" s="103"/>
      <c r="AG84" s="103"/>
      <c r="AH84" s="104"/>
      <c r="AI84" s="166" t="s">
        <v>25</v>
      </c>
    </row>
    <row r="85" spans="1:35" ht="12.75" customHeight="1">
      <c r="B85" s="100" t="str">
        <f t="shared" ref="B85:E86" si="263">B7</f>
        <v>Fiscal Period</v>
      </c>
      <c r="C85" s="105">
        <f t="shared" si="263"/>
        <v>2022</v>
      </c>
      <c r="D85" s="105">
        <f t="shared" si="263"/>
        <v>2023</v>
      </c>
      <c r="E85" s="105">
        <f t="shared" si="263"/>
        <v>2024</v>
      </c>
      <c r="F85" s="104"/>
      <c r="G85" s="105" t="str">
        <f t="shared" ref="G85:Q85" si="264">G7</f>
        <v>1Q23</v>
      </c>
      <c r="H85" s="105" t="str">
        <f t="shared" si="264"/>
        <v>2Q23</v>
      </c>
      <c r="I85" s="105" t="str">
        <f t="shared" si="264"/>
        <v>3Q23</v>
      </c>
      <c r="J85" s="105" t="str">
        <f t="shared" si="264"/>
        <v>4Q23</v>
      </c>
      <c r="K85" s="105" t="str">
        <f t="shared" si="264"/>
        <v>1Q24</v>
      </c>
      <c r="L85" s="105" t="str">
        <f t="shared" si="264"/>
        <v>2Q24</v>
      </c>
      <c r="M85" s="105" t="str">
        <f t="shared" si="264"/>
        <v>3Q24</v>
      </c>
      <c r="N85" s="105" t="str">
        <f t="shared" si="264"/>
        <v>4Q24</v>
      </c>
      <c r="O85" s="105" t="str">
        <f t="shared" si="264"/>
        <v>1Q25</v>
      </c>
      <c r="P85" s="105" t="str">
        <f t="shared" si="264"/>
        <v>2Q25</v>
      </c>
      <c r="Q85" s="105" t="str">
        <f t="shared" si="264"/>
        <v>3Q25</v>
      </c>
      <c r="R85" s="105"/>
      <c r="S85" s="105" t="e">
        <f t="shared" ref="S85:AG85" si="265">S7</f>
        <v>#REF!</v>
      </c>
      <c r="T85" s="105" t="e">
        <f t="shared" si="265"/>
        <v>#REF!</v>
      </c>
      <c r="U85" s="105" t="e">
        <f t="shared" si="265"/>
        <v>#REF!</v>
      </c>
      <c r="V85" s="105" t="e">
        <f t="shared" si="265"/>
        <v>#REF!</v>
      </c>
      <c r="W85" s="105" t="str">
        <f t="shared" si="265"/>
        <v>1Q23</v>
      </c>
      <c r="X85" s="105" t="str">
        <f t="shared" si="265"/>
        <v>2Q23</v>
      </c>
      <c r="Y85" s="105" t="str">
        <f t="shared" si="265"/>
        <v>3Q23</v>
      </c>
      <c r="Z85" s="105" t="str">
        <f t="shared" si="265"/>
        <v>4Q23</v>
      </c>
      <c r="AA85" s="105" t="str">
        <f t="shared" si="265"/>
        <v>1Q24</v>
      </c>
      <c r="AB85" s="105" t="str">
        <f t="shared" si="265"/>
        <v>2Q24</v>
      </c>
      <c r="AC85" s="105" t="str">
        <f t="shared" si="265"/>
        <v>3Q24</v>
      </c>
      <c r="AD85" s="105" t="str">
        <f t="shared" si="265"/>
        <v>4Q24</v>
      </c>
      <c r="AE85" s="105" t="str">
        <f t="shared" si="265"/>
        <v>1Q25</v>
      </c>
      <c r="AF85" s="105" t="str">
        <f t="shared" si="265"/>
        <v>2Q25</v>
      </c>
      <c r="AG85" s="105" t="str">
        <f t="shared" si="265"/>
        <v>3Q25</v>
      </c>
      <c r="AH85" s="104"/>
      <c r="AI85" s="166"/>
    </row>
    <row r="86" spans="1:35" ht="12.75" customHeight="1">
      <c r="B86" s="100" t="str">
        <f t="shared" si="263"/>
        <v>Fiscal Period End Date</v>
      </c>
      <c r="C86" s="106">
        <f t="shared" si="263"/>
        <v>44926</v>
      </c>
      <c r="D86" s="106">
        <f t="shared" si="263"/>
        <v>45290</v>
      </c>
      <c r="E86" s="106">
        <f t="shared" si="263"/>
        <v>45654</v>
      </c>
      <c r="F86" s="104"/>
      <c r="G86" s="106">
        <f t="shared" ref="G86:Q86" si="266">G8</f>
        <v>45038</v>
      </c>
      <c r="H86" s="106">
        <f t="shared" si="266"/>
        <v>45122</v>
      </c>
      <c r="I86" s="106">
        <f t="shared" si="266"/>
        <v>45206</v>
      </c>
      <c r="J86" s="106">
        <f t="shared" si="266"/>
        <v>45290</v>
      </c>
      <c r="K86" s="106">
        <f t="shared" si="266"/>
        <v>45402</v>
      </c>
      <c r="L86" s="106">
        <f t="shared" si="266"/>
        <v>45486</v>
      </c>
      <c r="M86" s="106">
        <f t="shared" si="266"/>
        <v>45570</v>
      </c>
      <c r="N86" s="106">
        <f t="shared" si="266"/>
        <v>45654</v>
      </c>
      <c r="O86" s="106">
        <f t="shared" si="266"/>
        <v>45766</v>
      </c>
      <c r="P86" s="106">
        <f t="shared" si="266"/>
        <v>45859</v>
      </c>
      <c r="Q86" s="106">
        <f t="shared" si="266"/>
        <v>45934</v>
      </c>
      <c r="R86" s="106"/>
      <c r="S86" s="106" t="e">
        <f t="shared" ref="S86:AG86" si="267">S8</f>
        <v>#REF!</v>
      </c>
      <c r="T86" s="106" t="e">
        <f t="shared" si="267"/>
        <v>#REF!</v>
      </c>
      <c r="U86" s="106" t="e">
        <f t="shared" si="267"/>
        <v>#REF!</v>
      </c>
      <c r="V86" s="106" t="e">
        <f t="shared" si="267"/>
        <v>#REF!</v>
      </c>
      <c r="W86" s="106">
        <f t="shared" si="267"/>
        <v>45038</v>
      </c>
      <c r="X86" s="106">
        <f t="shared" si="267"/>
        <v>45122</v>
      </c>
      <c r="Y86" s="106">
        <f t="shared" si="267"/>
        <v>45206</v>
      </c>
      <c r="Z86" s="106">
        <f t="shared" si="267"/>
        <v>45290</v>
      </c>
      <c r="AA86" s="106">
        <f t="shared" si="267"/>
        <v>45402</v>
      </c>
      <c r="AB86" s="106">
        <f t="shared" si="267"/>
        <v>45486</v>
      </c>
      <c r="AC86" s="106">
        <f t="shared" si="267"/>
        <v>45570</v>
      </c>
      <c r="AD86" s="106">
        <f t="shared" si="267"/>
        <v>45654</v>
      </c>
      <c r="AE86" s="106">
        <f t="shared" si="267"/>
        <v>45766</v>
      </c>
      <c r="AF86" s="106">
        <f t="shared" si="267"/>
        <v>45859</v>
      </c>
      <c r="AG86" s="106">
        <f t="shared" si="267"/>
        <v>45934</v>
      </c>
      <c r="AH86" s="104"/>
      <c r="AI86" s="166"/>
    </row>
    <row r="87" spans="1:35" ht="5.0999999999999996" customHeight="1">
      <c r="B87" s="55"/>
      <c r="C87" s="48"/>
      <c r="D87" s="48"/>
      <c r="E87" s="48"/>
    </row>
    <row r="88" spans="1:35" ht="12.75" customHeight="1">
      <c r="B88" s="56" t="s">
        <v>53</v>
      </c>
      <c r="C88" s="57"/>
      <c r="D88" s="57"/>
      <c r="E88" s="57"/>
    </row>
    <row r="89" spans="1:35" ht="12.75" customHeight="1">
      <c r="B89" s="58" t="s">
        <v>150</v>
      </c>
      <c r="C89" s="32">
        <f>C29</f>
        <v>360.53599999999994</v>
      </c>
      <c r="D89" s="32">
        <f>D29</f>
        <v>-30.023999999999827</v>
      </c>
      <c r="E89" s="32">
        <f>E29</f>
        <v>-586.9550000000005</v>
      </c>
      <c r="F89" s="32"/>
      <c r="G89" s="32">
        <f>G32</f>
        <v>42.651000000000025</v>
      </c>
      <c r="H89" s="32">
        <f t="shared" ref="H89:Q89" si="268">H32</f>
        <v>85.361999999999711</v>
      </c>
      <c r="I89" s="32">
        <f t="shared" si="268"/>
        <v>-48.632999999999917</v>
      </c>
      <c r="J89" s="32">
        <f t="shared" si="268"/>
        <v>-49.644999999999598</v>
      </c>
      <c r="K89" s="32">
        <f t="shared" si="268"/>
        <v>40</v>
      </c>
      <c r="L89" s="32">
        <f t="shared" si="268"/>
        <v>45</v>
      </c>
      <c r="M89" s="32">
        <f t="shared" si="268"/>
        <v>-6</v>
      </c>
      <c r="N89" s="32">
        <f t="shared" si="268"/>
        <v>-414.78800000000047</v>
      </c>
      <c r="O89" s="32">
        <f t="shared" si="268"/>
        <v>24</v>
      </c>
      <c r="P89" s="32">
        <f t="shared" si="268"/>
        <v>15</v>
      </c>
      <c r="Q89" s="32">
        <f t="shared" si="268"/>
        <v>-1</v>
      </c>
      <c r="S89" s="32" t="e">
        <f>SUM(#REF!)</f>
        <v>#REF!</v>
      </c>
      <c r="T89" s="32" t="e">
        <f>SUM(#REF!)</f>
        <v>#REF!</v>
      </c>
      <c r="U89" s="32" t="e">
        <f>SUM(#REF!)</f>
        <v>#REF!</v>
      </c>
      <c r="V89" s="32" t="e">
        <f>SUM(#REF!)</f>
        <v>#REF!</v>
      </c>
      <c r="W89" s="32">
        <f>SUM(G89:G89)</f>
        <v>42.651000000000025</v>
      </c>
      <c r="X89" s="32">
        <f>SUM(G89:H89)</f>
        <v>128.01299999999975</v>
      </c>
      <c r="Y89" s="32">
        <f>SUM(G89:I89)</f>
        <v>79.379999999999825</v>
      </c>
      <c r="Z89" s="32">
        <f t="shared" ref="Z89:AB89" si="269">SUM(G89:J89)</f>
        <v>29.735000000000227</v>
      </c>
      <c r="AA89" s="32">
        <f t="shared" si="269"/>
        <v>27.084000000000195</v>
      </c>
      <c r="AB89" s="32">
        <f t="shared" si="269"/>
        <v>-13.277999999999508</v>
      </c>
      <c r="AC89" s="32">
        <f>AC32</f>
        <v>-86.403999999999655</v>
      </c>
      <c r="AD89" s="32">
        <f>AD32</f>
        <v>-586.9550000000005</v>
      </c>
      <c r="AE89" s="32">
        <f>AE32</f>
        <v>-579.9550000000005</v>
      </c>
      <c r="AF89" s="32">
        <f>AF32</f>
        <v>-595.9550000000005</v>
      </c>
      <c r="AG89" s="32">
        <f>AG32</f>
        <v>-571.9550000000005</v>
      </c>
      <c r="AH89" s="11"/>
      <c r="AI89" s="76">
        <f>SUM(AG89/AC89)-1</f>
        <v>5.6195430767094434</v>
      </c>
    </row>
    <row r="90" spans="1:35" ht="5.0999999999999996" customHeight="1">
      <c r="C90" s="32"/>
      <c r="D90" s="32"/>
      <c r="E90" s="32"/>
      <c r="F90" s="32"/>
      <c r="G90" s="32"/>
      <c r="H90" s="32"/>
      <c r="I90" s="32"/>
      <c r="J90" s="32"/>
      <c r="K90" s="32"/>
      <c r="L90" s="32"/>
      <c r="M90" s="32"/>
      <c r="N90" s="32"/>
      <c r="O90" s="32"/>
      <c r="P90" s="32"/>
      <c r="Q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11"/>
      <c r="AI90" s="76"/>
    </row>
    <row r="91" spans="1:35" ht="12.75" customHeight="1">
      <c r="B91" s="36" t="s">
        <v>57</v>
      </c>
      <c r="C91" s="32"/>
      <c r="D91" s="32"/>
      <c r="E91" s="32"/>
      <c r="F91" s="32"/>
      <c r="G91" s="83"/>
      <c r="H91" s="83"/>
      <c r="I91" s="83"/>
      <c r="J91" s="32"/>
      <c r="K91" s="83"/>
      <c r="L91" s="83"/>
      <c r="M91" s="83"/>
      <c r="N91" s="32"/>
      <c r="O91" s="83"/>
      <c r="P91" s="83"/>
      <c r="Q91" s="83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60"/>
      <c r="AI91" s="76"/>
    </row>
    <row r="92" spans="1:35" ht="12.75" customHeight="1">
      <c r="B92" s="61" t="s">
        <v>136</v>
      </c>
      <c r="C92" s="83">
        <v>248.327</v>
      </c>
      <c r="D92" s="83">
        <v>269.43</v>
      </c>
      <c r="E92" s="83">
        <v>291.98</v>
      </c>
      <c r="F92" s="32"/>
      <c r="G92" s="83">
        <v>92.554000000000002</v>
      </c>
      <c r="H92" s="83">
        <f>162.974-G92</f>
        <v>70.419999999999987</v>
      </c>
      <c r="I92" s="83">
        <f>234.976-H92-G92</f>
        <v>72.00200000000001</v>
      </c>
      <c r="J92" s="32">
        <f t="shared" ref="J92:J97" si="270">SUM(D92-SUM(G92:I92))</f>
        <v>34.454000000000008</v>
      </c>
      <c r="K92" s="83">
        <v>83</v>
      </c>
      <c r="L92" s="83"/>
      <c r="M92" s="83"/>
      <c r="N92" s="32">
        <f t="shared" ref="N92:N96" si="271">SUM(E92-SUM(K92:M92))</f>
        <v>208.98000000000002</v>
      </c>
      <c r="O92" s="83"/>
      <c r="P92" s="83"/>
      <c r="Q92" s="83"/>
      <c r="S92" s="32" t="e">
        <f>SUM(#REF!)</f>
        <v>#REF!</v>
      </c>
      <c r="T92" s="32" t="e">
        <f>SUM(#REF!)</f>
        <v>#REF!</v>
      </c>
      <c r="U92" s="32" t="e">
        <f>SUM(#REF!)</f>
        <v>#REF!</v>
      </c>
      <c r="V92" s="32" t="e">
        <f>SUM(#REF!)</f>
        <v>#REF!</v>
      </c>
      <c r="W92" s="32">
        <f t="shared" ref="W92:W97" si="272">SUM(G92:G92)</f>
        <v>92.554000000000002</v>
      </c>
      <c r="X92" s="32">
        <f t="shared" ref="X92:X97" si="273">SUM(G92:H92)</f>
        <v>162.97399999999999</v>
      </c>
      <c r="Y92" s="32">
        <f t="shared" ref="Y92:Y97" si="274">SUM(G92:I92)</f>
        <v>234.976</v>
      </c>
      <c r="Z92" s="32">
        <f t="shared" ref="Z92:AG92" si="275">SUM(G92:J92)</f>
        <v>269.43</v>
      </c>
      <c r="AA92" s="32">
        <f t="shared" si="275"/>
        <v>259.87599999999998</v>
      </c>
      <c r="AB92" s="32">
        <f t="shared" si="275"/>
        <v>189.45600000000002</v>
      </c>
      <c r="AC92" s="32">
        <f t="shared" si="275"/>
        <v>117.45400000000001</v>
      </c>
      <c r="AD92" s="32">
        <f t="shared" si="275"/>
        <v>291.98</v>
      </c>
      <c r="AE92" s="32">
        <f t="shared" si="275"/>
        <v>208.98000000000002</v>
      </c>
      <c r="AF92" s="32">
        <f t="shared" si="275"/>
        <v>208.98000000000002</v>
      </c>
      <c r="AG92" s="32">
        <f t="shared" si="275"/>
        <v>208.98000000000002</v>
      </c>
      <c r="AH92" s="11"/>
      <c r="AI92" s="76">
        <f t="shared" ref="AI92:AI104" si="276">SUM(AG92/AC92)-1</f>
        <v>0.77924974883784293</v>
      </c>
    </row>
    <row r="93" spans="1:35" ht="12.75" customHeight="1">
      <c r="B93" s="61" t="s">
        <v>137</v>
      </c>
      <c r="C93" s="83">
        <v>46.481999999999999</v>
      </c>
      <c r="D93" s="83">
        <v>40.905000000000001</v>
      </c>
      <c r="E93" s="83">
        <v>42.192999999999998</v>
      </c>
      <c r="F93" s="32"/>
      <c r="G93" s="83">
        <v>16.524000000000001</v>
      </c>
      <c r="H93" s="83">
        <f>26.791-G93</f>
        <v>10.266999999999999</v>
      </c>
      <c r="I93" s="83">
        <f>37.435-H93-G93</f>
        <v>10.644000000000002</v>
      </c>
      <c r="J93" s="32">
        <f t="shared" si="270"/>
        <v>3.4699999999999989</v>
      </c>
      <c r="K93" s="83">
        <v>15</v>
      </c>
      <c r="L93" s="83"/>
      <c r="M93" s="83"/>
      <c r="N93" s="32">
        <f t="shared" si="271"/>
        <v>27.192999999999998</v>
      </c>
      <c r="O93" s="83"/>
      <c r="P93" s="83"/>
      <c r="Q93" s="83"/>
      <c r="S93" s="32" t="e">
        <f>SUM(#REF!)</f>
        <v>#REF!</v>
      </c>
      <c r="T93" s="32" t="e">
        <f>SUM(#REF!)</f>
        <v>#REF!</v>
      </c>
      <c r="U93" s="32" t="e">
        <f>SUM(#REF!)</f>
        <v>#REF!</v>
      </c>
      <c r="V93" s="32" t="e">
        <f>SUM(#REF!)</f>
        <v>#REF!</v>
      </c>
      <c r="W93" s="32">
        <f t="shared" ref="W93" si="277">SUM(G93:G93)</f>
        <v>16.524000000000001</v>
      </c>
      <c r="X93" s="32">
        <f t="shared" ref="X93" si="278">SUM(G93:H93)</f>
        <v>26.791</v>
      </c>
      <c r="Y93" s="32">
        <f t="shared" ref="Y93" si="279">SUM(G93:I93)</f>
        <v>37.435000000000002</v>
      </c>
      <c r="Z93" s="32">
        <f t="shared" ref="Z93" si="280">SUM(G93:J93)</f>
        <v>40.905000000000001</v>
      </c>
      <c r="AA93" s="32">
        <f t="shared" ref="AA93" si="281">SUM(H93:K93)</f>
        <v>39.381</v>
      </c>
      <c r="AB93" s="32">
        <f t="shared" ref="AB93" si="282">SUM(I93:L93)</f>
        <v>29.114000000000001</v>
      </c>
      <c r="AC93" s="32">
        <f t="shared" ref="AC93" si="283">SUM(J93:M93)</f>
        <v>18.47</v>
      </c>
      <c r="AD93" s="32">
        <f t="shared" ref="AD93" si="284">SUM(K93:N93)</f>
        <v>42.192999999999998</v>
      </c>
      <c r="AE93" s="32">
        <f t="shared" ref="AE93" si="285">SUM(L93:O93)</f>
        <v>27.192999999999998</v>
      </c>
      <c r="AF93" s="32">
        <f t="shared" ref="AF93" si="286">SUM(M93:P93)</f>
        <v>27.192999999999998</v>
      </c>
      <c r="AG93" s="32">
        <f t="shared" ref="AG93" si="287">SUM(N93:Q93)</f>
        <v>27.192999999999998</v>
      </c>
      <c r="AH93" s="11"/>
      <c r="AI93" s="76">
        <f t="shared" si="276"/>
        <v>0.47227937195452085</v>
      </c>
    </row>
    <row r="94" spans="1:35" ht="12.75" customHeight="1">
      <c r="B94" s="61" t="s">
        <v>176</v>
      </c>
      <c r="C94" s="83">
        <v>2.3450000000000002</v>
      </c>
      <c r="D94" s="83">
        <v>0.85699999999999998</v>
      </c>
      <c r="E94" s="83">
        <v>157.95699999999999</v>
      </c>
      <c r="F94" s="32"/>
      <c r="G94" s="83">
        <v>0.09</v>
      </c>
      <c r="H94" s="83">
        <f>0.859-G94</f>
        <v>0.76900000000000002</v>
      </c>
      <c r="I94" s="83">
        <f>1.886-H94-G94</f>
        <v>1.0269999999999999</v>
      </c>
      <c r="J94" s="32">
        <f t="shared" si="270"/>
        <v>-1.0289999999999999</v>
      </c>
      <c r="K94" s="83">
        <v>-18</v>
      </c>
      <c r="L94" s="83"/>
      <c r="M94" s="83"/>
      <c r="N94" s="32">
        <f t="shared" si="271"/>
        <v>175.95699999999999</v>
      </c>
      <c r="O94" s="83"/>
      <c r="P94" s="83"/>
      <c r="Q94" s="83"/>
      <c r="S94" s="32" t="e">
        <f>SUM(#REF!)</f>
        <v>#REF!</v>
      </c>
      <c r="T94" s="32" t="e">
        <f>SUM(#REF!)</f>
        <v>#REF!</v>
      </c>
      <c r="U94" s="32" t="e">
        <f>SUM(#REF!)</f>
        <v>#REF!</v>
      </c>
      <c r="V94" s="32" t="e">
        <f>SUM(#REF!)</f>
        <v>#REF!</v>
      </c>
      <c r="W94" s="32">
        <f t="shared" si="272"/>
        <v>0.09</v>
      </c>
      <c r="X94" s="32">
        <f t="shared" si="273"/>
        <v>0.85899999999999999</v>
      </c>
      <c r="Y94" s="32">
        <f t="shared" si="274"/>
        <v>1.8859999999999999</v>
      </c>
      <c r="Z94" s="32">
        <f t="shared" ref="Z94:Z96" si="288">SUM(G94:J94)</f>
        <v>0.85699999999999998</v>
      </c>
      <c r="AA94" s="32">
        <f t="shared" ref="AA94:AA97" si="289">SUM(H94:K94)</f>
        <v>-17.233000000000001</v>
      </c>
      <c r="AB94" s="32">
        <f t="shared" ref="AB94:AB97" si="290">SUM(I94:L94)</f>
        <v>-18.001999999999999</v>
      </c>
      <c r="AC94" s="32">
        <f t="shared" ref="AC94:AC97" si="291">SUM(J94:M94)</f>
        <v>-19.029</v>
      </c>
      <c r="AD94" s="32">
        <f t="shared" ref="AD94:AD96" si="292">SUM(K94:N94)</f>
        <v>157.95699999999999</v>
      </c>
      <c r="AE94" s="32">
        <f t="shared" ref="AE94:AE96" si="293">SUM(L94:O94)</f>
        <v>175.95699999999999</v>
      </c>
      <c r="AF94" s="32">
        <f t="shared" ref="AF94:AF96" si="294">SUM(M94:P94)</f>
        <v>175.95699999999999</v>
      </c>
      <c r="AG94" s="32">
        <f t="shared" ref="AG94:AG96" si="295">SUM(N94:Q94)</f>
        <v>175.95699999999999</v>
      </c>
      <c r="AH94" s="11"/>
      <c r="AI94" s="76">
        <f t="shared" si="276"/>
        <v>-10.246781228651006</v>
      </c>
    </row>
    <row r="95" spans="1:35" ht="12.75" customHeight="1">
      <c r="B95" s="61" t="s">
        <v>138</v>
      </c>
      <c r="C95" s="83">
        <v>22.811</v>
      </c>
      <c r="D95" s="83">
        <v>-37.174999999999997</v>
      </c>
      <c r="E95" s="83">
        <v>-203.27600000000001</v>
      </c>
      <c r="F95" s="32"/>
      <c r="G95" s="83">
        <v>6.899</v>
      </c>
      <c r="H95" s="83">
        <f>16.249-G95</f>
        <v>9.3499999999999979</v>
      </c>
      <c r="I95" s="83">
        <f>-33.059-H95-G95</f>
        <v>-49.307999999999993</v>
      </c>
      <c r="J95" s="32">
        <f t="shared" si="270"/>
        <v>-4.1159999999999997</v>
      </c>
      <c r="K95" s="83">
        <v>3</v>
      </c>
      <c r="L95" s="83"/>
      <c r="M95" s="83"/>
      <c r="N95" s="32">
        <f t="shared" si="271"/>
        <v>-206.27600000000001</v>
      </c>
      <c r="O95" s="83"/>
      <c r="P95" s="83"/>
      <c r="Q95" s="83"/>
      <c r="S95" s="32" t="e">
        <f>SUM(#REF!)</f>
        <v>#REF!</v>
      </c>
      <c r="T95" s="32" t="e">
        <f>SUM(#REF!)</f>
        <v>#REF!</v>
      </c>
      <c r="U95" s="32" t="e">
        <f>SUM(#REF!)</f>
        <v>#REF!</v>
      </c>
      <c r="V95" s="32" t="e">
        <f>SUM(#REF!)</f>
        <v>#REF!</v>
      </c>
      <c r="W95" s="32">
        <f t="shared" si="272"/>
        <v>6.899</v>
      </c>
      <c r="X95" s="32">
        <f t="shared" si="273"/>
        <v>16.248999999999999</v>
      </c>
      <c r="Y95" s="32">
        <f t="shared" si="274"/>
        <v>-33.058999999999997</v>
      </c>
      <c r="Z95" s="32">
        <f t="shared" si="288"/>
        <v>-37.174999999999997</v>
      </c>
      <c r="AA95" s="32">
        <f t="shared" si="289"/>
        <v>-41.073999999999998</v>
      </c>
      <c r="AB95" s="32">
        <f t="shared" si="290"/>
        <v>-50.423999999999992</v>
      </c>
      <c r="AC95" s="32">
        <f t="shared" si="291"/>
        <v>-1.1159999999999997</v>
      </c>
      <c r="AD95" s="32">
        <f t="shared" si="292"/>
        <v>-203.27600000000001</v>
      </c>
      <c r="AE95" s="32">
        <f t="shared" si="293"/>
        <v>-206.27600000000001</v>
      </c>
      <c r="AF95" s="32">
        <f t="shared" si="294"/>
        <v>-206.27600000000001</v>
      </c>
      <c r="AG95" s="32">
        <f t="shared" si="295"/>
        <v>-206.27600000000001</v>
      </c>
      <c r="AH95" s="11"/>
      <c r="AI95" s="76">
        <f t="shared" si="276"/>
        <v>183.83512544802875</v>
      </c>
    </row>
    <row r="96" spans="1:35" ht="12.75" customHeight="1">
      <c r="B96" s="61" t="s">
        <v>139</v>
      </c>
      <c r="C96" s="83">
        <f>2.587+7.408</f>
        <v>9.995000000000001</v>
      </c>
      <c r="D96" s="83">
        <v>3.2669999999999999</v>
      </c>
      <c r="E96" s="83">
        <f>3.968+34.176</f>
        <v>38.144000000000005</v>
      </c>
      <c r="F96" s="32"/>
      <c r="G96" s="83">
        <v>0.39100000000000001</v>
      </c>
      <c r="H96" s="83">
        <f>1.17-G96</f>
        <v>0.77899999999999991</v>
      </c>
      <c r="I96" s="83">
        <f>1.499-H96-G96</f>
        <v>0.32900000000000018</v>
      </c>
      <c r="J96" s="32">
        <f t="shared" si="270"/>
        <v>1.7679999999999998</v>
      </c>
      <c r="K96" s="83">
        <v>1</v>
      </c>
      <c r="L96" s="83"/>
      <c r="M96" s="83"/>
      <c r="N96" s="32">
        <f t="shared" si="271"/>
        <v>37.144000000000005</v>
      </c>
      <c r="O96" s="83"/>
      <c r="P96" s="83"/>
      <c r="Q96" s="83"/>
      <c r="S96" s="32" t="e">
        <f>SUM(#REF!)</f>
        <v>#REF!</v>
      </c>
      <c r="T96" s="32" t="e">
        <f>SUM(#REF!)</f>
        <v>#REF!</v>
      </c>
      <c r="U96" s="32" t="e">
        <f>SUM(#REF!)</f>
        <v>#REF!</v>
      </c>
      <c r="V96" s="32" t="e">
        <f>SUM(#REF!)</f>
        <v>#REF!</v>
      </c>
      <c r="W96" s="32">
        <f t="shared" si="272"/>
        <v>0.39100000000000001</v>
      </c>
      <c r="X96" s="32">
        <f t="shared" si="273"/>
        <v>1.17</v>
      </c>
      <c r="Y96" s="32">
        <f t="shared" si="274"/>
        <v>1.4990000000000001</v>
      </c>
      <c r="Z96" s="32">
        <f t="shared" si="288"/>
        <v>3.2669999999999999</v>
      </c>
      <c r="AA96" s="32">
        <f t="shared" si="289"/>
        <v>3.8759999999999999</v>
      </c>
      <c r="AB96" s="32">
        <f t="shared" si="290"/>
        <v>3.097</v>
      </c>
      <c r="AC96" s="32">
        <f t="shared" si="291"/>
        <v>2.7679999999999998</v>
      </c>
      <c r="AD96" s="32">
        <f t="shared" si="292"/>
        <v>38.144000000000005</v>
      </c>
      <c r="AE96" s="32">
        <f t="shared" si="293"/>
        <v>37.144000000000005</v>
      </c>
      <c r="AF96" s="32">
        <f t="shared" si="294"/>
        <v>37.144000000000005</v>
      </c>
      <c r="AG96" s="32">
        <f t="shared" si="295"/>
        <v>37.144000000000005</v>
      </c>
      <c r="AH96" s="11"/>
      <c r="AI96" s="76">
        <f t="shared" si="276"/>
        <v>12.419075144508673</v>
      </c>
    </row>
    <row r="97" spans="2:35" ht="12.75" customHeight="1">
      <c r="B97" s="85" t="s">
        <v>155</v>
      </c>
      <c r="C97" s="83">
        <v>113.93300000000001</v>
      </c>
      <c r="D97" s="83">
        <v>145.58699999999999</v>
      </c>
      <c r="E97" s="83">
        <v>-55.871000000000002</v>
      </c>
      <c r="F97" s="32"/>
      <c r="G97" s="83">
        <v>0</v>
      </c>
      <c r="H97" s="83">
        <v>0</v>
      </c>
      <c r="I97" s="83">
        <v>0</v>
      </c>
      <c r="J97" s="32">
        <f t="shared" si="270"/>
        <v>145.58699999999999</v>
      </c>
      <c r="K97" s="83">
        <v>6</v>
      </c>
      <c r="L97" s="83"/>
      <c r="M97" s="83"/>
      <c r="N97" s="32"/>
      <c r="O97" s="83"/>
      <c r="P97" s="83"/>
      <c r="Q97" s="83"/>
      <c r="S97" s="32"/>
      <c r="T97" s="32"/>
      <c r="U97" s="32"/>
      <c r="V97" s="32"/>
      <c r="W97" s="32">
        <f t="shared" si="272"/>
        <v>0</v>
      </c>
      <c r="X97" s="32">
        <f t="shared" si="273"/>
        <v>0</v>
      </c>
      <c r="Y97" s="32">
        <f t="shared" si="274"/>
        <v>0</v>
      </c>
      <c r="Z97" s="32"/>
      <c r="AA97" s="32">
        <f t="shared" si="289"/>
        <v>151.58699999999999</v>
      </c>
      <c r="AB97" s="32">
        <f t="shared" si="290"/>
        <v>151.58699999999999</v>
      </c>
      <c r="AC97" s="32">
        <f t="shared" si="291"/>
        <v>151.58699999999999</v>
      </c>
      <c r="AD97" s="32"/>
      <c r="AE97" s="32"/>
      <c r="AF97" s="32"/>
      <c r="AG97" s="32"/>
      <c r="AH97" s="11"/>
      <c r="AI97" s="76"/>
    </row>
    <row r="98" spans="2:35" ht="12.75" customHeight="1">
      <c r="B98" s="36" t="s">
        <v>14</v>
      </c>
      <c r="C98" s="83"/>
      <c r="D98" s="83"/>
      <c r="E98" s="83"/>
      <c r="F98" s="32"/>
      <c r="G98" s="83"/>
      <c r="H98" s="83"/>
      <c r="I98" s="83"/>
      <c r="J98" s="32"/>
      <c r="K98" s="83"/>
      <c r="L98" s="83"/>
      <c r="M98" s="83"/>
      <c r="N98" s="32"/>
      <c r="O98" s="83"/>
      <c r="P98" s="83"/>
      <c r="Q98" s="83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60"/>
      <c r="AI98" s="76"/>
    </row>
    <row r="99" spans="2:35" ht="12.75" customHeight="1">
      <c r="B99" s="61" t="s">
        <v>123</v>
      </c>
      <c r="C99" s="83">
        <v>27.42</v>
      </c>
      <c r="D99" s="83">
        <v>-114.745</v>
      </c>
      <c r="E99" s="83">
        <v>28.952000000000002</v>
      </c>
      <c r="F99" s="32"/>
      <c r="G99" s="83">
        <v>-83.37</v>
      </c>
      <c r="H99" s="83">
        <f>-93.539-G99</f>
        <v>-10.168999999999997</v>
      </c>
      <c r="I99" s="83">
        <f>-170.371-H99-G99</f>
        <v>-76.831999999999994</v>
      </c>
      <c r="J99" s="32">
        <f t="shared" ref="J99:J103" si="296">SUM(D99-SUM(G99:I99))</f>
        <v>55.625999999999976</v>
      </c>
      <c r="K99" s="83">
        <v>3</v>
      </c>
      <c r="L99" s="83"/>
      <c r="M99" s="83"/>
      <c r="N99" s="32">
        <f t="shared" ref="N99:N103" si="297">SUM(E99-SUM(K99:M99))</f>
        <v>25.952000000000002</v>
      </c>
      <c r="O99" s="83"/>
      <c r="P99" s="83"/>
      <c r="Q99" s="83"/>
      <c r="S99" s="32" t="e">
        <f>SUM(#REF!)</f>
        <v>#REF!</v>
      </c>
      <c r="T99" s="32" t="e">
        <f>SUM(#REF!)</f>
        <v>#REF!</v>
      </c>
      <c r="U99" s="32" t="e">
        <f>SUM(#REF!)</f>
        <v>#REF!</v>
      </c>
      <c r="V99" s="32" t="e">
        <f>SUM(#REF!)</f>
        <v>#REF!</v>
      </c>
      <c r="W99" s="32">
        <f>SUM(G99:G99)</f>
        <v>-83.37</v>
      </c>
      <c r="X99" s="32">
        <f>SUM(G99:H99)</f>
        <v>-93.539000000000001</v>
      </c>
      <c r="Y99" s="32">
        <f>SUM(G99:I99)</f>
        <v>-170.37099999999998</v>
      </c>
      <c r="Z99" s="32">
        <f t="shared" ref="Z99:AG103" si="298">SUM(G99:J99)</f>
        <v>-114.745</v>
      </c>
      <c r="AA99" s="32">
        <f t="shared" si="298"/>
        <v>-28.375000000000014</v>
      </c>
      <c r="AB99" s="32">
        <f t="shared" si="298"/>
        <v>-18.206000000000017</v>
      </c>
      <c r="AC99" s="32">
        <f t="shared" si="298"/>
        <v>58.625999999999976</v>
      </c>
      <c r="AD99" s="32">
        <f t="shared" si="298"/>
        <v>28.952000000000002</v>
      </c>
      <c r="AE99" s="32">
        <f t="shared" si="298"/>
        <v>25.952000000000002</v>
      </c>
      <c r="AF99" s="32">
        <f t="shared" si="298"/>
        <v>25.952000000000002</v>
      </c>
      <c r="AG99" s="32">
        <f t="shared" si="298"/>
        <v>25.952000000000002</v>
      </c>
      <c r="AH99" s="60"/>
      <c r="AI99" s="76">
        <f t="shared" si="276"/>
        <v>-0.55732951250298479</v>
      </c>
    </row>
    <row r="100" spans="2:35" ht="12.75" customHeight="1">
      <c r="B100" s="61" t="s">
        <v>140</v>
      </c>
      <c r="C100" s="83">
        <v>-70.968999999999994</v>
      </c>
      <c r="D100" s="83">
        <v>-64.146000000000001</v>
      </c>
      <c r="E100" s="83">
        <v>270.40300000000002</v>
      </c>
      <c r="F100" s="32"/>
      <c r="G100" s="83">
        <v>-100.178</v>
      </c>
      <c r="H100" s="83">
        <f>-145.148-G100</f>
        <v>-44.97</v>
      </c>
      <c r="I100" s="83">
        <f>-41.025-H100-G100</f>
        <v>104.12299999999999</v>
      </c>
      <c r="J100" s="32">
        <f t="shared" si="296"/>
        <v>-23.120999999999995</v>
      </c>
      <c r="K100" s="83">
        <v>1</v>
      </c>
      <c r="L100" s="83"/>
      <c r="M100" s="83"/>
      <c r="N100" s="32">
        <f t="shared" si="297"/>
        <v>269.40300000000002</v>
      </c>
      <c r="O100" s="83"/>
      <c r="P100" s="83"/>
      <c r="Q100" s="83"/>
      <c r="S100" s="32" t="e">
        <f>SUM(#REF!)</f>
        <v>#REF!</v>
      </c>
      <c r="T100" s="32" t="e">
        <f>SUM(#REF!)</f>
        <v>#REF!</v>
      </c>
      <c r="U100" s="32" t="e">
        <f>SUM(#REF!)</f>
        <v>#REF!</v>
      </c>
      <c r="V100" s="32" t="e">
        <f>SUM(#REF!)</f>
        <v>#REF!</v>
      </c>
      <c r="W100" s="32">
        <f>SUM(G100:G100)</f>
        <v>-100.178</v>
      </c>
      <c r="X100" s="32">
        <f>SUM(G100:H100)</f>
        <v>-145.148</v>
      </c>
      <c r="Y100" s="32">
        <f>SUM(G100:I100)</f>
        <v>-41.025000000000006</v>
      </c>
      <c r="Z100" s="32">
        <f t="shared" si="298"/>
        <v>-64.146000000000001</v>
      </c>
      <c r="AA100" s="32">
        <f t="shared" si="298"/>
        <v>37.031999999999996</v>
      </c>
      <c r="AB100" s="32">
        <f t="shared" si="298"/>
        <v>82.001999999999995</v>
      </c>
      <c r="AC100" s="32">
        <f t="shared" si="298"/>
        <v>-22.120999999999995</v>
      </c>
      <c r="AD100" s="32">
        <f t="shared" si="298"/>
        <v>270.40300000000002</v>
      </c>
      <c r="AE100" s="32">
        <f t="shared" si="298"/>
        <v>269.40300000000002</v>
      </c>
      <c r="AF100" s="32">
        <f t="shared" si="298"/>
        <v>269.40300000000002</v>
      </c>
      <c r="AG100" s="32">
        <f t="shared" si="298"/>
        <v>269.40300000000002</v>
      </c>
      <c r="AH100" s="60"/>
      <c r="AI100" s="76">
        <f t="shared" si="276"/>
        <v>-13.178608561999914</v>
      </c>
    </row>
    <row r="101" spans="2:35" ht="12.75" customHeight="1">
      <c r="B101" s="61" t="s">
        <v>13</v>
      </c>
      <c r="C101" s="83">
        <v>119.334</v>
      </c>
      <c r="D101" s="83">
        <v>57.518000000000001</v>
      </c>
      <c r="E101" s="83">
        <v>-110.11199999999999</v>
      </c>
      <c r="F101" s="32"/>
      <c r="G101" s="83">
        <v>-440.995</v>
      </c>
      <c r="H101" s="83">
        <f>-346.808-G101</f>
        <v>94.187000000000012</v>
      </c>
      <c r="I101" s="83">
        <f>-191.871-H101-G101</f>
        <v>154.93700000000001</v>
      </c>
      <c r="J101" s="32">
        <f t="shared" si="296"/>
        <v>249.38899999999998</v>
      </c>
      <c r="K101" s="83">
        <v>-141.32300000000001</v>
      </c>
      <c r="L101" s="83"/>
      <c r="M101" s="83"/>
      <c r="N101" s="32">
        <f t="shared" si="297"/>
        <v>31.211000000000013</v>
      </c>
      <c r="O101" s="83"/>
      <c r="P101" s="83"/>
      <c r="Q101" s="83"/>
      <c r="S101" s="32" t="e">
        <f>SUM(#REF!)</f>
        <v>#REF!</v>
      </c>
      <c r="T101" s="32" t="e">
        <f>SUM(#REF!)</f>
        <v>#REF!</v>
      </c>
      <c r="U101" s="32" t="e">
        <f>SUM(#REF!)</f>
        <v>#REF!</v>
      </c>
      <c r="V101" s="32" t="e">
        <f>SUM(#REF!)</f>
        <v>#REF!</v>
      </c>
      <c r="W101" s="32">
        <f>SUM(G101:G101)</f>
        <v>-440.995</v>
      </c>
      <c r="X101" s="32">
        <f>SUM(G101:H101)</f>
        <v>-346.80799999999999</v>
      </c>
      <c r="Y101" s="32">
        <f>SUM(G101:I101)</f>
        <v>-191.87099999999998</v>
      </c>
      <c r="Z101" s="32">
        <f t="shared" si="298"/>
        <v>57.518000000000001</v>
      </c>
      <c r="AA101" s="32">
        <f t="shared" si="298"/>
        <v>357.19000000000005</v>
      </c>
      <c r="AB101" s="32">
        <f t="shared" si="298"/>
        <v>263.00300000000004</v>
      </c>
      <c r="AC101" s="32">
        <f t="shared" si="298"/>
        <v>108.06599999999997</v>
      </c>
      <c r="AD101" s="32">
        <f t="shared" si="298"/>
        <v>-110.11199999999999</v>
      </c>
      <c r="AE101" s="32">
        <f t="shared" si="298"/>
        <v>31.211000000000013</v>
      </c>
      <c r="AF101" s="32">
        <f t="shared" si="298"/>
        <v>31.211000000000013</v>
      </c>
      <c r="AG101" s="32">
        <f t="shared" si="298"/>
        <v>31.211000000000013</v>
      </c>
      <c r="AH101" s="60"/>
      <c r="AI101" s="76">
        <f t="shared" si="276"/>
        <v>-0.71118575685229379</v>
      </c>
    </row>
    <row r="102" spans="2:35" ht="12.75" customHeight="1">
      <c r="B102" s="61" t="s">
        <v>131</v>
      </c>
      <c r="C102" s="83">
        <v>-158.63200000000001</v>
      </c>
      <c r="D102" s="83">
        <v>94.697999999999993</v>
      </c>
      <c r="E102" s="83">
        <v>126.58799999999999</v>
      </c>
      <c r="F102" s="32"/>
      <c r="G102" s="83">
        <v>85.034999999999997</v>
      </c>
      <c r="H102" s="83">
        <f>120.888-G102</f>
        <v>35.853000000000009</v>
      </c>
      <c r="I102" s="83">
        <f>145.704-H102-G102</f>
        <v>24.816000000000003</v>
      </c>
      <c r="J102" s="32">
        <f t="shared" si="296"/>
        <v>-51.006000000000014</v>
      </c>
      <c r="K102" s="83">
        <v>1.27</v>
      </c>
      <c r="L102" s="83"/>
      <c r="M102" s="83"/>
      <c r="N102" s="32">
        <f t="shared" si="297"/>
        <v>125.318</v>
      </c>
      <c r="O102" s="83"/>
      <c r="P102" s="83"/>
      <c r="Q102" s="83"/>
      <c r="S102" s="32" t="e">
        <f>SUM(#REF!)</f>
        <v>#REF!</v>
      </c>
      <c r="T102" s="32" t="e">
        <f>SUM(#REF!)</f>
        <v>#REF!</v>
      </c>
      <c r="U102" s="32" t="e">
        <f>SUM(#REF!)</f>
        <v>#REF!</v>
      </c>
      <c r="V102" s="32" t="e">
        <f>SUM(#REF!)</f>
        <v>#REF!</v>
      </c>
      <c r="W102" s="32">
        <f>SUM(G102:G102)</f>
        <v>85.034999999999997</v>
      </c>
      <c r="X102" s="32">
        <f>SUM(G102:H102)</f>
        <v>120.88800000000001</v>
      </c>
      <c r="Y102" s="32">
        <f>SUM(G102:I102)</f>
        <v>145.70400000000001</v>
      </c>
      <c r="Z102" s="32">
        <f t="shared" si="298"/>
        <v>94.697999999999993</v>
      </c>
      <c r="AA102" s="32">
        <f t="shared" si="298"/>
        <v>10.932999999999996</v>
      </c>
      <c r="AB102" s="32">
        <f t="shared" si="298"/>
        <v>-24.920000000000012</v>
      </c>
      <c r="AC102" s="32">
        <f t="shared" si="298"/>
        <v>-49.736000000000011</v>
      </c>
      <c r="AD102" s="32">
        <f t="shared" si="298"/>
        <v>126.58799999999999</v>
      </c>
      <c r="AE102" s="32">
        <f t="shared" si="298"/>
        <v>125.318</v>
      </c>
      <c r="AF102" s="32">
        <f t="shared" si="298"/>
        <v>125.318</v>
      </c>
      <c r="AG102" s="32">
        <f t="shared" si="298"/>
        <v>125.318</v>
      </c>
      <c r="AH102" s="60"/>
      <c r="AI102" s="76">
        <f t="shared" si="276"/>
        <v>-3.5196638249959782</v>
      </c>
    </row>
    <row r="103" spans="2:35" ht="12.75" customHeight="1">
      <c r="B103" s="61" t="s">
        <v>141</v>
      </c>
      <c r="C103" s="83">
        <v>14.989000000000001</v>
      </c>
      <c r="D103" s="83">
        <v>-78.796999999999997</v>
      </c>
      <c r="E103" s="83">
        <v>84.63</v>
      </c>
      <c r="F103" s="32"/>
      <c r="G103" s="83">
        <v>1.534</v>
      </c>
      <c r="H103" s="83">
        <f>-36.008-G103</f>
        <v>-37.542000000000002</v>
      </c>
      <c r="I103" s="83">
        <f>-45.015-H103-G103</f>
        <v>-9.0069999999999997</v>
      </c>
      <c r="J103" s="32">
        <f t="shared" si="296"/>
        <v>-33.781999999999996</v>
      </c>
      <c r="K103" s="83">
        <v>13.340999999999999</v>
      </c>
      <c r="L103" s="83"/>
      <c r="M103" s="83"/>
      <c r="N103" s="32">
        <f t="shared" si="297"/>
        <v>71.289000000000001</v>
      </c>
      <c r="O103" s="83"/>
      <c r="P103" s="83"/>
      <c r="Q103" s="83"/>
      <c r="S103" s="32" t="e">
        <f>SUM(#REF!)</f>
        <v>#REF!</v>
      </c>
      <c r="T103" s="32" t="e">
        <f>SUM(#REF!)</f>
        <v>#REF!</v>
      </c>
      <c r="U103" s="32" t="e">
        <f>SUM(#REF!)</f>
        <v>#REF!</v>
      </c>
      <c r="V103" s="32" t="e">
        <f>SUM(#REF!)</f>
        <v>#REF!</v>
      </c>
      <c r="W103" s="32">
        <f>SUM(G103:G103)</f>
        <v>1.534</v>
      </c>
      <c r="X103" s="32">
        <f>SUM(G103:H103)</f>
        <v>-36.008000000000003</v>
      </c>
      <c r="Y103" s="32">
        <f>SUM(G103:I103)</f>
        <v>-45.015000000000001</v>
      </c>
      <c r="Z103" s="32">
        <f t="shared" si="298"/>
        <v>-78.796999999999997</v>
      </c>
      <c r="AA103" s="32">
        <f t="shared" si="298"/>
        <v>-66.989999999999995</v>
      </c>
      <c r="AB103" s="32">
        <f t="shared" si="298"/>
        <v>-29.447999999999993</v>
      </c>
      <c r="AC103" s="32">
        <f t="shared" si="298"/>
        <v>-20.440999999999995</v>
      </c>
      <c r="AD103" s="32">
        <f t="shared" si="298"/>
        <v>84.63</v>
      </c>
      <c r="AE103" s="32">
        <f t="shared" si="298"/>
        <v>71.289000000000001</v>
      </c>
      <c r="AF103" s="32">
        <f t="shared" si="298"/>
        <v>71.289000000000001</v>
      </c>
      <c r="AG103" s="32">
        <f t="shared" si="298"/>
        <v>71.289000000000001</v>
      </c>
      <c r="AH103" s="60"/>
      <c r="AI103" s="76">
        <f t="shared" si="276"/>
        <v>-4.4875495328017223</v>
      </c>
    </row>
    <row r="104" spans="2:35" ht="12.75" customHeight="1">
      <c r="B104" s="13" t="s">
        <v>151</v>
      </c>
      <c r="C104" s="14">
        <f>SUM(C89:C103)</f>
        <v>736.57099999999991</v>
      </c>
      <c r="D104" s="14">
        <f>SUM(D89:D103)</f>
        <v>287.37500000000011</v>
      </c>
      <c r="E104" s="14">
        <f>SUM(E89:E103)</f>
        <v>84.632999999999527</v>
      </c>
      <c r="G104" s="14">
        <f>SUM(G89:G103)</f>
        <v>-378.86500000000001</v>
      </c>
      <c r="H104" s="14">
        <f>SUM(H89:H103)</f>
        <v>214.3059999999997</v>
      </c>
      <c r="I104" s="14">
        <f>SUM(I89:I103)</f>
        <v>184.0980000000001</v>
      </c>
      <c r="J104" s="14">
        <f>SUM(J89:J103)</f>
        <v>327.59500000000037</v>
      </c>
      <c r="K104" s="169">
        <f>SUM(K89:K103)</f>
        <v>7.2879999999999914</v>
      </c>
      <c r="L104" s="14">
        <f>SUM(L89:L103)</f>
        <v>45</v>
      </c>
      <c r="M104" s="14">
        <f>SUM(M89:M103)</f>
        <v>-6</v>
      </c>
      <c r="N104" s="14">
        <f>SUM(N89:N103)</f>
        <v>351.38299999999953</v>
      </c>
      <c r="O104" s="14">
        <f>SUM(O89:O103)</f>
        <v>24</v>
      </c>
      <c r="P104" s="14">
        <f>SUM(P89:P103)</f>
        <v>15</v>
      </c>
      <c r="Q104" s="14">
        <f>SUM(Q89:Q103)</f>
        <v>-1</v>
      </c>
      <c r="S104" s="14" t="e">
        <f>SUM(S89:S103)</f>
        <v>#REF!</v>
      </c>
      <c r="T104" s="14" t="e">
        <f>SUM(T89:T103)</f>
        <v>#REF!</v>
      </c>
      <c r="U104" s="14" t="e">
        <f>SUM(U89:U103)</f>
        <v>#REF!</v>
      </c>
      <c r="V104" s="14" t="e">
        <f>SUM(V89:V103)</f>
        <v>#REF!</v>
      </c>
      <c r="W104" s="14">
        <f>SUM(W89:W103)</f>
        <v>-378.86500000000001</v>
      </c>
      <c r="X104" s="14">
        <f>SUM(X89:X103)</f>
        <v>-164.55900000000022</v>
      </c>
      <c r="Y104" s="14">
        <f>SUM(Y89:Y103)</f>
        <v>19.538999999999888</v>
      </c>
      <c r="Z104" s="14">
        <f>SUM(Z89:Z103)</f>
        <v>201.54700000000028</v>
      </c>
      <c r="AA104" s="14">
        <f>SUM(AA89:AA103)</f>
        <v>733.28700000000003</v>
      </c>
      <c r="AB104" s="14">
        <f>SUM(AB89:AB103)</f>
        <v>563.98100000000068</v>
      </c>
      <c r="AC104" s="14">
        <f>SUM(AC89:AC103)</f>
        <v>258.12400000000031</v>
      </c>
      <c r="AD104" s="14">
        <f>SUM(AD89:AD103)</f>
        <v>140.50399999999951</v>
      </c>
      <c r="AE104" s="14">
        <f>SUM(AE89:AE103)</f>
        <v>186.21599999999953</v>
      </c>
      <c r="AF104" s="14">
        <f>SUM(AF89:AF103)</f>
        <v>170.21599999999953</v>
      </c>
      <c r="AG104" s="14">
        <f>SUM(AG89:AG103)</f>
        <v>194.21599999999953</v>
      </c>
      <c r="AH104" s="42"/>
      <c r="AI104" s="77">
        <f t="shared" si="276"/>
        <v>-0.24758643132758174</v>
      </c>
    </row>
    <row r="105" spans="2:35" ht="12.75" customHeight="1">
      <c r="B105" s="54"/>
      <c r="C105" s="62"/>
      <c r="D105" s="62"/>
      <c r="E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39"/>
    </row>
    <row r="106" spans="2:35" ht="12.75" customHeight="1">
      <c r="B106" s="54" t="s">
        <v>54</v>
      </c>
      <c r="C106" s="59"/>
      <c r="D106" s="59"/>
      <c r="E106" s="59"/>
      <c r="G106" s="83"/>
      <c r="H106" s="83"/>
      <c r="I106" s="83"/>
      <c r="J106" s="32"/>
      <c r="K106" s="83"/>
      <c r="L106" s="83"/>
      <c r="M106" s="83"/>
      <c r="N106" s="32"/>
      <c r="O106" s="59"/>
      <c r="P106" s="59"/>
      <c r="Q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60"/>
      <c r="AI106" s="39"/>
    </row>
    <row r="107" spans="2:35" ht="12.75" customHeight="1">
      <c r="B107" s="61" t="s">
        <v>88</v>
      </c>
      <c r="C107" s="83">
        <v>-398.75700000000001</v>
      </c>
      <c r="D107" s="83">
        <v>-225.672</v>
      </c>
      <c r="E107" s="83">
        <v>-180.8</v>
      </c>
      <c r="F107" s="32"/>
      <c r="G107" s="83">
        <v>-89.995999999999995</v>
      </c>
      <c r="H107" s="83">
        <f>-144.874-G107</f>
        <v>-54.878</v>
      </c>
      <c r="I107" s="83">
        <f>-187.201-H107-G107</f>
        <v>-42.326999999999984</v>
      </c>
      <c r="J107" s="32">
        <f t="shared" ref="J107:J109" si="299">SUM(D107-SUM(G107:I107))</f>
        <v>-38.471000000000032</v>
      </c>
      <c r="K107" s="83">
        <v>48.957000000000001</v>
      </c>
      <c r="L107" s="83"/>
      <c r="M107" s="83"/>
      <c r="N107" s="32">
        <f t="shared" ref="N107:N109" si="300">SUM(E107-SUM(K107:M107))</f>
        <v>-229.75700000000001</v>
      </c>
      <c r="O107" s="83"/>
      <c r="P107" s="83"/>
      <c r="Q107" s="83"/>
      <c r="R107" s="32"/>
      <c r="S107" s="32" t="e">
        <f>SUM(#REF!)</f>
        <v>#REF!</v>
      </c>
      <c r="T107" s="32" t="e">
        <f>SUM(#REF!)</f>
        <v>#REF!</v>
      </c>
      <c r="U107" s="32" t="e">
        <f>SUM(#REF!)</f>
        <v>#REF!</v>
      </c>
      <c r="V107" s="32" t="e">
        <f>SUM(#REF!)</f>
        <v>#REF!</v>
      </c>
      <c r="W107" s="32">
        <f>SUM(G107:G107)</f>
        <v>-89.995999999999995</v>
      </c>
      <c r="X107" s="32">
        <f>SUM(G107:H107)</f>
        <v>-144.874</v>
      </c>
      <c r="Y107" s="32">
        <f>SUM(G107:I107)</f>
        <v>-187.20099999999996</v>
      </c>
      <c r="Z107" s="32">
        <f t="shared" ref="Z107:Z109" si="301">SUM(G107:J107)</f>
        <v>-225.672</v>
      </c>
      <c r="AA107" s="32">
        <f t="shared" ref="AA107:AA109" si="302">SUM(H107:K107)</f>
        <v>-86.719000000000023</v>
      </c>
      <c r="AB107" s="32">
        <f t="shared" ref="AB107:AB109" si="303">SUM(I107:L107)</f>
        <v>-31.841000000000015</v>
      </c>
      <c r="AC107" s="32">
        <f t="shared" ref="AC107:AC109" si="304">SUM(J107:M107)</f>
        <v>10.485999999999969</v>
      </c>
      <c r="AD107" s="32">
        <f t="shared" ref="AD107:AD109" si="305">SUM(K107:N107)</f>
        <v>-180.8</v>
      </c>
      <c r="AE107" s="32">
        <f t="shared" ref="AE107:AE109" si="306">SUM(L107:O107)</f>
        <v>-229.75700000000001</v>
      </c>
      <c r="AF107" s="32">
        <f t="shared" ref="AF107:AF109" si="307">SUM(M107:P107)</f>
        <v>-229.75700000000001</v>
      </c>
      <c r="AG107" s="32">
        <f t="shared" ref="AG107:AG109" si="308">SUM(N107:Q107)</f>
        <v>-229.75700000000001</v>
      </c>
      <c r="AH107" s="60"/>
      <c r="AI107" s="76">
        <f t="shared" ref="AI107:AI119" si="309">SUM(AG107/AC107)-1</f>
        <v>-22.910833492275479</v>
      </c>
    </row>
    <row r="108" spans="2:35" ht="12.75" customHeight="1">
      <c r="B108" s="61" t="s">
        <v>143</v>
      </c>
      <c r="C108" s="83">
        <v>1.137</v>
      </c>
      <c r="D108" s="83">
        <v>6.9219999999999997</v>
      </c>
      <c r="E108" s="83">
        <v>13.394</v>
      </c>
      <c r="F108" s="32"/>
      <c r="G108" s="83">
        <v>0.32500000000000001</v>
      </c>
      <c r="H108" s="83">
        <f>1.532-G108</f>
        <v>1.2070000000000001</v>
      </c>
      <c r="I108" s="83">
        <f>2.001-H108-G108</f>
        <v>0.46899999999999981</v>
      </c>
      <c r="J108" s="32">
        <f t="shared" ref="J108" si="310">SUM(D108-SUM(G108:I108))</f>
        <v>4.9209999999999994</v>
      </c>
      <c r="K108" s="83">
        <v>10.028</v>
      </c>
      <c r="L108" s="83"/>
      <c r="M108" s="83"/>
      <c r="N108" s="32">
        <f t="shared" ref="N108" si="311">SUM(E108-SUM(K108:M108))</f>
        <v>3.3659999999999997</v>
      </c>
      <c r="O108" s="83"/>
      <c r="P108" s="83"/>
      <c r="Q108" s="83"/>
      <c r="R108" s="32"/>
      <c r="S108" s="32" t="e">
        <f>SUM(#REF!)</f>
        <v>#REF!</v>
      </c>
      <c r="T108" s="32" t="e">
        <f>SUM(#REF!)</f>
        <v>#REF!</v>
      </c>
      <c r="U108" s="32" t="e">
        <f>SUM(#REF!)</f>
        <v>#REF!</v>
      </c>
      <c r="V108" s="32" t="e">
        <f>SUM(#REF!)</f>
        <v>#REF!</v>
      </c>
      <c r="W108" s="32">
        <f>SUM(G108:G108)</f>
        <v>0.32500000000000001</v>
      </c>
      <c r="X108" s="32">
        <f>SUM(G108:H108)</f>
        <v>1.532</v>
      </c>
      <c r="Y108" s="32">
        <f>SUM(G108:I108)</f>
        <v>2.0009999999999999</v>
      </c>
      <c r="Z108" s="32">
        <f t="shared" ref="Z108" si="312">SUM(G108:J108)</f>
        <v>6.9219999999999988</v>
      </c>
      <c r="AA108" s="32">
        <f t="shared" ref="AA108" si="313">SUM(H108:K108)</f>
        <v>16.625</v>
      </c>
      <c r="AB108" s="32">
        <f t="shared" ref="AB108" si="314">SUM(I108:L108)</f>
        <v>15.417999999999999</v>
      </c>
      <c r="AC108" s="32">
        <f t="shared" ref="AC108" si="315">SUM(J108:M108)</f>
        <v>14.949</v>
      </c>
      <c r="AD108" s="32">
        <f t="shared" ref="AD108" si="316">SUM(K108:N108)</f>
        <v>13.394</v>
      </c>
      <c r="AE108" s="32">
        <f t="shared" ref="AE108" si="317">SUM(L108:O108)</f>
        <v>3.3659999999999997</v>
      </c>
      <c r="AF108" s="32">
        <f t="shared" ref="AF108" si="318">SUM(M108:P108)</f>
        <v>3.3659999999999997</v>
      </c>
      <c r="AG108" s="32">
        <f t="shared" ref="AG108" si="319">SUM(N108:Q108)</f>
        <v>3.3659999999999997</v>
      </c>
      <c r="AH108" s="60"/>
      <c r="AI108" s="76">
        <f t="shared" ref="AI108" si="320">SUM(AG108/AC108)-1</f>
        <v>-0.77483443708609268</v>
      </c>
    </row>
    <row r="109" spans="2:35" ht="12.75" customHeight="1">
      <c r="B109" s="61" t="s">
        <v>142</v>
      </c>
      <c r="C109" s="83">
        <v>-1.9</v>
      </c>
      <c r="D109" s="83">
        <v>0</v>
      </c>
      <c r="E109" s="83">
        <v>0</v>
      </c>
      <c r="F109" s="32"/>
      <c r="G109" s="83">
        <v>0</v>
      </c>
      <c r="H109" s="83">
        <v>0</v>
      </c>
      <c r="I109" s="83">
        <v>0</v>
      </c>
      <c r="J109" s="32">
        <f t="shared" si="299"/>
        <v>0</v>
      </c>
      <c r="K109" s="83">
        <v>0</v>
      </c>
      <c r="L109" s="83"/>
      <c r="M109" s="83"/>
      <c r="N109" s="32">
        <f t="shared" si="300"/>
        <v>0</v>
      </c>
      <c r="O109" s="83"/>
      <c r="P109" s="83"/>
      <c r="Q109" s="83"/>
      <c r="R109" s="32"/>
      <c r="S109" s="32" t="e">
        <f>SUM(#REF!)</f>
        <v>#REF!</v>
      </c>
      <c r="T109" s="32" t="e">
        <f>SUM(#REF!)</f>
        <v>#REF!</v>
      </c>
      <c r="U109" s="32" t="e">
        <f>SUM(#REF!)</f>
        <v>#REF!</v>
      </c>
      <c r="V109" s="32" t="e">
        <f>SUM(#REF!)</f>
        <v>#REF!</v>
      </c>
      <c r="W109" s="32">
        <f>SUM(G109:G109)</f>
        <v>0</v>
      </c>
      <c r="X109" s="32">
        <f>SUM(G109:H109)</f>
        <v>0</v>
      </c>
      <c r="Y109" s="32">
        <f>SUM(G109:I109)</f>
        <v>0</v>
      </c>
      <c r="Z109" s="32">
        <f t="shared" si="301"/>
        <v>0</v>
      </c>
      <c r="AA109" s="32">
        <f t="shared" si="302"/>
        <v>0</v>
      </c>
      <c r="AB109" s="32">
        <f t="shared" si="303"/>
        <v>0</v>
      </c>
      <c r="AC109" s="32">
        <f t="shared" si="304"/>
        <v>0</v>
      </c>
      <c r="AD109" s="32">
        <f t="shared" si="305"/>
        <v>0</v>
      </c>
      <c r="AE109" s="32">
        <f t="shared" si="306"/>
        <v>0</v>
      </c>
      <c r="AF109" s="32">
        <f t="shared" si="307"/>
        <v>0</v>
      </c>
      <c r="AG109" s="32">
        <f t="shared" si="308"/>
        <v>0</v>
      </c>
      <c r="AH109" s="60"/>
      <c r="AI109" s="76" t="e">
        <f t="shared" si="309"/>
        <v>#DIV/0!</v>
      </c>
    </row>
    <row r="110" spans="2:35" ht="12.75" customHeight="1">
      <c r="B110" s="85" t="s">
        <v>154</v>
      </c>
      <c r="C110" s="83">
        <v>-24.928000000000001</v>
      </c>
      <c r="D110" s="83">
        <v>-16.739000000000001</v>
      </c>
      <c r="E110" s="83">
        <v>1522.16</v>
      </c>
      <c r="F110" s="32"/>
      <c r="G110" s="83">
        <v>0</v>
      </c>
      <c r="H110" s="83">
        <v>0</v>
      </c>
      <c r="I110" s="83">
        <v>0</v>
      </c>
      <c r="J110" s="32">
        <f t="shared" ref="J110" si="321">SUM(D110-SUM(G110:I110))</f>
        <v>-16.739000000000001</v>
      </c>
      <c r="K110" s="83">
        <v>0</v>
      </c>
      <c r="L110" s="83"/>
      <c r="M110" s="83"/>
      <c r="N110" s="32">
        <f t="shared" ref="N110" si="322">SUM(E110-SUM(K110:M110))</f>
        <v>1522.16</v>
      </c>
      <c r="O110" s="83"/>
      <c r="P110" s="83"/>
      <c r="Q110" s="83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60"/>
      <c r="AI110" s="76"/>
    </row>
    <row r="111" spans="2:35" ht="12.75" customHeight="1">
      <c r="B111" s="13" t="s">
        <v>153</v>
      </c>
      <c r="C111" s="14">
        <f>SUM(C107:C110)</f>
        <v>-424.44799999999998</v>
      </c>
      <c r="D111" s="14">
        <f>SUM(D107:D110)</f>
        <v>-235.489</v>
      </c>
      <c r="E111" s="14">
        <f>SUM(E107:E110)</f>
        <v>1354.7540000000001</v>
      </c>
      <c r="G111" s="14">
        <f>SUM(G107:G110)</f>
        <v>-89.670999999999992</v>
      </c>
      <c r="H111" s="14">
        <f>SUM(H107:H110)</f>
        <v>-53.670999999999999</v>
      </c>
      <c r="I111" s="14">
        <f>SUM(I107:I110)</f>
        <v>-41.857999999999983</v>
      </c>
      <c r="J111" s="14">
        <f>SUM(J107:J110)</f>
        <v>-50.28900000000003</v>
      </c>
      <c r="K111" s="14">
        <f>SUM(K107:K110)</f>
        <v>58.984999999999999</v>
      </c>
      <c r="L111" s="14">
        <f>SUM(L107:L110)</f>
        <v>0</v>
      </c>
      <c r="M111" s="14">
        <f>SUM(M107:M110)</f>
        <v>0</v>
      </c>
      <c r="N111" s="14">
        <f>SUM(N107:N110)</f>
        <v>1295.769</v>
      </c>
      <c r="O111" s="14">
        <f>SUM(O107:O110)</f>
        <v>0</v>
      </c>
      <c r="P111" s="14">
        <f>SUM(P107:P110)</f>
        <v>0</v>
      </c>
      <c r="Q111" s="14">
        <f>SUM(Q107:Q110)</f>
        <v>0</v>
      </c>
      <c r="S111" s="14" t="e">
        <f>SUM(S107:S109)</f>
        <v>#REF!</v>
      </c>
      <c r="T111" s="14" t="e">
        <f>SUM(T107:T109)</f>
        <v>#REF!</v>
      </c>
      <c r="U111" s="14" t="e">
        <f>SUM(U107:U109)</f>
        <v>#REF!</v>
      </c>
      <c r="V111" s="14" t="e">
        <f>SUM(V107:V109)</f>
        <v>#REF!</v>
      </c>
      <c r="W111" s="14">
        <f>SUM(W107:W109)</f>
        <v>-89.670999999999992</v>
      </c>
      <c r="X111" s="14">
        <f>SUM(X107:X109)</f>
        <v>-143.34199999999998</v>
      </c>
      <c r="Y111" s="14">
        <f>SUM(Y107:Y109)</f>
        <v>-185.19999999999996</v>
      </c>
      <c r="Z111" s="14">
        <f>SUM(Z107:Z109)</f>
        <v>-218.75</v>
      </c>
      <c r="AA111" s="14">
        <f>SUM(AA107:AA109)</f>
        <v>-70.094000000000023</v>
      </c>
      <c r="AB111" s="14">
        <f>SUM(AB107:AB109)</f>
        <v>-16.423000000000016</v>
      </c>
      <c r="AC111" s="14">
        <f>SUM(AC107:AC109)</f>
        <v>25.434999999999967</v>
      </c>
      <c r="AD111" s="14">
        <f>SUM(AD107:AD109)</f>
        <v>-167.40600000000001</v>
      </c>
      <c r="AE111" s="14">
        <f>SUM(AE107:AE109)</f>
        <v>-226.39100000000002</v>
      </c>
      <c r="AF111" s="14">
        <f>SUM(AF107:AF109)</f>
        <v>-226.39100000000002</v>
      </c>
      <c r="AG111" s="14">
        <f>SUM(AG107:AG109)</f>
        <v>-226.39100000000002</v>
      </c>
      <c r="AH111" s="42"/>
      <c r="AI111" s="77">
        <f t="shared" si="309"/>
        <v>-9.9007666601140283</v>
      </c>
    </row>
    <row r="112" spans="2:35" ht="5.0999999999999996" customHeight="1">
      <c r="B112" s="53"/>
      <c r="C112" s="62"/>
      <c r="D112" s="62"/>
      <c r="E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39"/>
    </row>
    <row r="113" spans="2:35" ht="12.75" customHeight="1">
      <c r="B113" s="54" t="s">
        <v>55</v>
      </c>
      <c r="C113" s="64"/>
      <c r="D113" s="64"/>
      <c r="E113" s="64"/>
      <c r="G113" s="64"/>
      <c r="H113" s="64"/>
      <c r="I113" s="64"/>
      <c r="J113" s="64"/>
      <c r="K113" s="64"/>
      <c r="L113" s="64"/>
      <c r="M113" s="64"/>
      <c r="N113" s="64"/>
      <c r="O113" s="64"/>
      <c r="P113" s="64"/>
      <c r="Q113" s="64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65"/>
      <c r="AI113" s="76"/>
    </row>
    <row r="114" spans="2:35" ht="12.75" customHeight="1">
      <c r="B114" s="85" t="s">
        <v>177</v>
      </c>
      <c r="C114" s="83">
        <f>2035-1850+348.618-201.081</f>
        <v>332.53699999999992</v>
      </c>
      <c r="D114" s="83">
        <f>4805-4990+599.571</f>
        <v>414.57100000000003</v>
      </c>
      <c r="E114" s="83">
        <v>0</v>
      </c>
      <c r="G114" s="83">
        <f>(2886+599.571-2955)</f>
        <v>530.57099999999991</v>
      </c>
      <c r="H114" s="83">
        <f>4327-4417+599.571-G114</f>
        <v>-20.999999999999886</v>
      </c>
      <c r="I114" s="83">
        <f>4805-4990+599.571-H114-G114</f>
        <v>-95</v>
      </c>
      <c r="J114" s="32">
        <f t="shared" ref="J114:J115" si="323">SUM(D114-SUM(G114:I114))</f>
        <v>0</v>
      </c>
      <c r="K114" s="83">
        <v>0</v>
      </c>
      <c r="L114" s="83"/>
      <c r="M114" s="83"/>
      <c r="N114" s="32">
        <f t="shared" ref="N114:N115" si="324">SUM(E114-SUM(K114:M114))</f>
        <v>0</v>
      </c>
      <c r="O114" s="83"/>
      <c r="P114" s="83"/>
      <c r="Q114" s="83"/>
      <c r="R114" s="32"/>
      <c r="S114" s="32" t="e">
        <f>SUM(#REF!)</f>
        <v>#REF!</v>
      </c>
      <c r="T114" s="32" t="e">
        <f>SUM(#REF!)</f>
        <v>#REF!</v>
      </c>
      <c r="U114" s="32" t="e">
        <f>SUM(#REF!)</f>
        <v>#REF!</v>
      </c>
      <c r="V114" s="32" t="e">
        <f>SUM(#REF!)</f>
        <v>#REF!</v>
      </c>
      <c r="W114" s="32">
        <f>SUM(G114:G114)</f>
        <v>530.57099999999991</v>
      </c>
      <c r="X114" s="32">
        <f>SUM(G114:H114)</f>
        <v>509.57100000000003</v>
      </c>
      <c r="Y114" s="32">
        <f>SUM(G114:I114)</f>
        <v>414.57100000000003</v>
      </c>
      <c r="Z114" s="32">
        <f t="shared" ref="Z114:Z118" si="325">SUM(G114:J114)</f>
        <v>414.57100000000003</v>
      </c>
      <c r="AA114" s="32">
        <f t="shared" ref="AA114:AA118" si="326">SUM(H114:K114)</f>
        <v>-115.99999999999989</v>
      </c>
      <c r="AB114" s="32">
        <f t="shared" ref="AB114:AB118" si="327">SUM(I114:L114)</f>
        <v>-95</v>
      </c>
      <c r="AC114" s="32">
        <f t="shared" ref="AC114:AC118" si="328">SUM(J114:M114)</f>
        <v>0</v>
      </c>
      <c r="AD114" s="32">
        <f t="shared" ref="AD114:AD118" si="329">SUM(K114:N114)</f>
        <v>0</v>
      </c>
      <c r="AE114" s="32">
        <f t="shared" ref="AE114:AE118" si="330">SUM(L114:O114)</f>
        <v>0</v>
      </c>
      <c r="AF114" s="32">
        <f t="shared" ref="AF114:AF118" si="331">SUM(M114:P114)</f>
        <v>0</v>
      </c>
      <c r="AG114" s="32">
        <f t="shared" ref="AG114:AG118" si="332">SUM(N114:Q114)</f>
        <v>0</v>
      </c>
      <c r="AH114" s="65"/>
      <c r="AI114" s="76"/>
    </row>
    <row r="115" spans="2:35" ht="12.75" customHeight="1">
      <c r="B115" s="85" t="s">
        <v>144</v>
      </c>
      <c r="C115" s="83">
        <v>-336.23</v>
      </c>
      <c r="D115" s="83">
        <v>-209.29300000000001</v>
      </c>
      <c r="E115" s="83">
        <v>-59.854999999999997</v>
      </c>
      <c r="G115" s="83">
        <v>-89.486999999999995</v>
      </c>
      <c r="H115" s="83">
        <f>-179.347-G115</f>
        <v>-89.860000000000014</v>
      </c>
      <c r="I115" s="83">
        <f>-194.322-H115-G115</f>
        <v>-14.974999999999994</v>
      </c>
      <c r="J115" s="32">
        <f t="shared" ref="J115:J118" si="333">SUM(D115-SUM(G115:I115))</f>
        <v>-14.971000000000004</v>
      </c>
      <c r="K115" s="83">
        <v>-14.965999999999999</v>
      </c>
      <c r="L115" s="83"/>
      <c r="M115" s="83"/>
      <c r="N115" s="32">
        <f t="shared" ref="N115:N118" si="334">SUM(E115-SUM(K115:M115))</f>
        <v>-44.888999999999996</v>
      </c>
      <c r="O115" s="83"/>
      <c r="P115" s="83"/>
      <c r="Q115" s="83"/>
      <c r="R115" s="32"/>
      <c r="S115" s="32" t="e">
        <f>SUM(#REF!)</f>
        <v>#REF!</v>
      </c>
      <c r="T115" s="32" t="e">
        <f>SUM(#REF!)</f>
        <v>#REF!</v>
      </c>
      <c r="U115" s="32" t="e">
        <f>SUM(#REF!)</f>
        <v>#REF!</v>
      </c>
      <c r="V115" s="32" t="e">
        <f>SUM(#REF!)</f>
        <v>#REF!</v>
      </c>
      <c r="W115" s="32">
        <f>SUM(G115:G115)</f>
        <v>-89.486999999999995</v>
      </c>
      <c r="X115" s="32">
        <f>SUM(G115:H115)</f>
        <v>-179.34700000000001</v>
      </c>
      <c r="Y115" s="32">
        <f>SUM(G115:I115)</f>
        <v>-194.322</v>
      </c>
      <c r="Z115" s="32">
        <f t="shared" si="325"/>
        <v>-209.29300000000001</v>
      </c>
      <c r="AA115" s="32">
        <f t="shared" si="326"/>
        <v>-134.77200000000002</v>
      </c>
      <c r="AB115" s="32">
        <f t="shared" si="327"/>
        <v>-44.911999999999999</v>
      </c>
      <c r="AC115" s="32">
        <f t="shared" si="328"/>
        <v>-29.937000000000005</v>
      </c>
      <c r="AD115" s="32">
        <f t="shared" si="329"/>
        <v>-59.854999999999997</v>
      </c>
      <c r="AE115" s="32">
        <f t="shared" si="330"/>
        <v>-44.888999999999996</v>
      </c>
      <c r="AF115" s="32">
        <f t="shared" si="331"/>
        <v>-44.888999999999996</v>
      </c>
      <c r="AG115" s="32">
        <f t="shared" si="332"/>
        <v>-44.888999999999996</v>
      </c>
      <c r="AH115" s="65"/>
      <c r="AI115" s="76">
        <f t="shared" si="309"/>
        <v>0.49944884256939526</v>
      </c>
    </row>
    <row r="116" spans="2:35" ht="12.75" customHeight="1">
      <c r="B116" s="85" t="s">
        <v>156</v>
      </c>
      <c r="C116" s="83">
        <v>0</v>
      </c>
      <c r="D116" s="83">
        <v>0</v>
      </c>
      <c r="E116" s="83">
        <v>-9.1010000000000009</v>
      </c>
      <c r="G116" s="83">
        <v>0</v>
      </c>
      <c r="H116" s="83">
        <v>0</v>
      </c>
      <c r="I116" s="83">
        <v>0</v>
      </c>
      <c r="J116" s="32">
        <f t="shared" ref="J116:J117" si="335">SUM(D116-SUM(G116:I116))</f>
        <v>0</v>
      </c>
      <c r="K116" s="83">
        <v>-7.149</v>
      </c>
      <c r="L116" s="83"/>
      <c r="M116" s="83"/>
      <c r="N116" s="32">
        <f t="shared" ref="N116:N117" si="336">SUM(E116-SUM(K116:M116))</f>
        <v>-1.9520000000000008</v>
      </c>
      <c r="O116" s="83"/>
      <c r="P116" s="83"/>
      <c r="Q116" s="83"/>
      <c r="R116" s="32"/>
      <c r="S116" s="32" t="e">
        <f>SUM(#REF!)</f>
        <v>#REF!</v>
      </c>
      <c r="T116" s="32" t="e">
        <f>SUM(#REF!)</f>
        <v>#REF!</v>
      </c>
      <c r="U116" s="32" t="e">
        <f>SUM(#REF!)</f>
        <v>#REF!</v>
      </c>
      <c r="V116" s="32" t="e">
        <f>SUM(#REF!)</f>
        <v>#REF!</v>
      </c>
      <c r="W116" s="32">
        <f>SUM(G116:G116)</f>
        <v>0</v>
      </c>
      <c r="X116" s="32">
        <f>SUM(G116:H116)</f>
        <v>0</v>
      </c>
      <c r="Y116" s="32">
        <f>SUM(G116:I116)</f>
        <v>0</v>
      </c>
      <c r="Z116" s="32">
        <f t="shared" si="325"/>
        <v>0</v>
      </c>
      <c r="AA116" s="32">
        <f t="shared" si="326"/>
        <v>-7.149</v>
      </c>
      <c r="AB116" s="32">
        <f t="shared" si="327"/>
        <v>-7.149</v>
      </c>
      <c r="AC116" s="32">
        <f t="shared" si="328"/>
        <v>-7.149</v>
      </c>
      <c r="AD116" s="32">
        <f t="shared" si="329"/>
        <v>-9.1010000000000009</v>
      </c>
      <c r="AE116" s="32">
        <f t="shared" si="330"/>
        <v>-1.9520000000000008</v>
      </c>
      <c r="AF116" s="32">
        <f t="shared" si="331"/>
        <v>-1.9520000000000008</v>
      </c>
      <c r="AG116" s="32">
        <f t="shared" si="332"/>
        <v>-1.9520000000000008</v>
      </c>
      <c r="AH116" s="65"/>
      <c r="AI116" s="76"/>
    </row>
    <row r="117" spans="2:35" ht="12.75" customHeight="1">
      <c r="B117" s="85" t="s">
        <v>178</v>
      </c>
      <c r="C117" s="83">
        <v>-618.48</v>
      </c>
      <c r="D117" s="83">
        <v>-14.518000000000001</v>
      </c>
      <c r="E117" s="83">
        <v>-6.5010000000000003</v>
      </c>
      <c r="G117" s="83">
        <f>-(12.605)</f>
        <v>-12.605</v>
      </c>
      <c r="H117" s="83">
        <f>-13.808-G117</f>
        <v>-1.2029999999999994</v>
      </c>
      <c r="I117" s="83">
        <f>-14.237-H117-G117</f>
        <v>-0.42900000000000027</v>
      </c>
      <c r="J117" s="32">
        <f t="shared" si="335"/>
        <v>-0.28100000000000058</v>
      </c>
      <c r="K117" s="83">
        <f>(0.946-3.338)</f>
        <v>-2.3920000000000003</v>
      </c>
      <c r="L117" s="83"/>
      <c r="M117" s="83"/>
      <c r="N117" s="32">
        <f t="shared" si="336"/>
        <v>-4.109</v>
      </c>
      <c r="O117" s="83"/>
      <c r="P117" s="83"/>
      <c r="Q117" s="83"/>
      <c r="R117" s="32"/>
      <c r="S117" s="32" t="e">
        <f>SUM(#REF!)</f>
        <v>#REF!</v>
      </c>
      <c r="T117" s="32" t="e">
        <f>SUM(#REF!)</f>
        <v>#REF!</v>
      </c>
      <c r="U117" s="32" t="e">
        <f>SUM(#REF!)</f>
        <v>#REF!</v>
      </c>
      <c r="V117" s="32" t="e">
        <f>SUM(#REF!)</f>
        <v>#REF!</v>
      </c>
      <c r="W117" s="32">
        <f>SUM(G117:G117)</f>
        <v>-12.605</v>
      </c>
      <c r="X117" s="32">
        <f>SUM(G117:H117)</f>
        <v>-13.808</v>
      </c>
      <c r="Y117" s="32">
        <f>SUM(G117:I117)</f>
        <v>-14.237</v>
      </c>
      <c r="Z117" s="32">
        <f t="shared" si="325"/>
        <v>-14.518000000000001</v>
      </c>
      <c r="AA117" s="32">
        <f t="shared" si="326"/>
        <v>-4.3050000000000006</v>
      </c>
      <c r="AB117" s="32">
        <f t="shared" si="327"/>
        <v>-3.1020000000000012</v>
      </c>
      <c r="AC117" s="32">
        <f t="shared" si="328"/>
        <v>-2.6730000000000009</v>
      </c>
      <c r="AD117" s="32">
        <f t="shared" si="329"/>
        <v>-6.5010000000000003</v>
      </c>
      <c r="AE117" s="32">
        <f t="shared" si="330"/>
        <v>-4.109</v>
      </c>
      <c r="AF117" s="32">
        <f t="shared" si="331"/>
        <v>-4.109</v>
      </c>
      <c r="AG117" s="32">
        <f t="shared" si="332"/>
        <v>-4.109</v>
      </c>
      <c r="AH117" s="65"/>
      <c r="AI117" s="76"/>
    </row>
    <row r="118" spans="2:35" ht="12.75" customHeight="1">
      <c r="B118" s="85" t="s">
        <v>139</v>
      </c>
      <c r="C118" s="83">
        <v>1.4690000000000001</v>
      </c>
      <c r="D118" s="83">
        <v>-1.4930000000000001</v>
      </c>
      <c r="E118" s="83">
        <v>0.44700000000000001</v>
      </c>
      <c r="G118" s="83">
        <v>-2.819</v>
      </c>
      <c r="H118" s="83">
        <f>-2.013-G118</f>
        <v>0.80600000000000005</v>
      </c>
      <c r="I118" s="83">
        <f>-1.028-H118-G118</f>
        <v>0.98499999999999988</v>
      </c>
      <c r="J118" s="32">
        <f t="shared" si="333"/>
        <v>-0.46500000000000008</v>
      </c>
      <c r="K118" s="83">
        <v>-1.137</v>
      </c>
      <c r="L118" s="83"/>
      <c r="M118" s="83"/>
      <c r="N118" s="32">
        <f t="shared" si="334"/>
        <v>1.5840000000000001</v>
      </c>
      <c r="O118" s="83"/>
      <c r="P118" s="83"/>
      <c r="Q118" s="83"/>
      <c r="R118" s="32"/>
      <c r="S118" s="32" t="e">
        <f>SUM(#REF!)</f>
        <v>#REF!</v>
      </c>
      <c r="T118" s="32" t="e">
        <f>SUM(#REF!)</f>
        <v>#REF!</v>
      </c>
      <c r="U118" s="32" t="e">
        <f>SUM(#REF!)</f>
        <v>#REF!</v>
      </c>
      <c r="V118" s="32" t="e">
        <f>SUM(#REF!)</f>
        <v>#REF!</v>
      </c>
      <c r="W118" s="32">
        <f>SUM(G118:G118)</f>
        <v>-2.819</v>
      </c>
      <c r="X118" s="32">
        <f>SUM(G118:H118)</f>
        <v>-2.0129999999999999</v>
      </c>
      <c r="Y118" s="32">
        <f>SUM(G118:I118)</f>
        <v>-1.028</v>
      </c>
      <c r="Z118" s="32">
        <f t="shared" si="325"/>
        <v>-1.4930000000000001</v>
      </c>
      <c r="AA118" s="32">
        <f t="shared" si="326"/>
        <v>0.18899999999999983</v>
      </c>
      <c r="AB118" s="32">
        <f t="shared" si="327"/>
        <v>-0.61700000000000021</v>
      </c>
      <c r="AC118" s="32">
        <f t="shared" si="328"/>
        <v>-1.6020000000000001</v>
      </c>
      <c r="AD118" s="32">
        <f t="shared" si="329"/>
        <v>0.44700000000000006</v>
      </c>
      <c r="AE118" s="32">
        <f t="shared" si="330"/>
        <v>1.5840000000000001</v>
      </c>
      <c r="AF118" s="32">
        <f t="shared" si="331"/>
        <v>1.5840000000000001</v>
      </c>
      <c r="AG118" s="32">
        <f t="shared" si="332"/>
        <v>1.5840000000000001</v>
      </c>
      <c r="AH118" s="65"/>
      <c r="AI118" s="76">
        <f t="shared" si="309"/>
        <v>-1.9887640449438202</v>
      </c>
    </row>
    <row r="119" spans="2:35" ht="12.75" customHeight="1">
      <c r="B119" s="13" t="s">
        <v>152</v>
      </c>
      <c r="C119" s="14">
        <f>SUM(C114:C118)</f>
        <v>-620.70400000000006</v>
      </c>
      <c r="D119" s="14">
        <f>SUM(D114:D118)</f>
        <v>189.26700000000002</v>
      </c>
      <c r="E119" s="14">
        <f>SUM(E114:E118)</f>
        <v>-75.010000000000005</v>
      </c>
      <c r="G119" s="169">
        <f>SUM(G114:G118)</f>
        <v>425.65999999999991</v>
      </c>
      <c r="H119" s="14">
        <f>SUM(H114:H118)</f>
        <v>-111.25699999999991</v>
      </c>
      <c r="I119" s="14">
        <f>SUM(I114:I118)</f>
        <v>-109.419</v>
      </c>
      <c r="J119" s="14">
        <f>SUM(J114:J118)</f>
        <v>-15.717000000000004</v>
      </c>
      <c r="K119" s="14">
        <f>SUM(K114:K118)</f>
        <v>-25.643999999999998</v>
      </c>
      <c r="L119" s="14">
        <f>SUM(L114:L118)</f>
        <v>0</v>
      </c>
      <c r="M119" s="14">
        <f>SUM(M114:M118)</f>
        <v>0</v>
      </c>
      <c r="N119" s="14">
        <f>SUM(N114:N118)</f>
        <v>-49.365999999999993</v>
      </c>
      <c r="O119" s="14">
        <f>SUM(O114:O118)</f>
        <v>0</v>
      </c>
      <c r="P119" s="14">
        <f>SUM(P114:P118)</f>
        <v>0</v>
      </c>
      <c r="Q119" s="14">
        <f>SUM(Q114:Q118)</f>
        <v>0</v>
      </c>
      <c r="S119" s="14" t="e">
        <f>SUM(S114:S118)</f>
        <v>#REF!</v>
      </c>
      <c r="T119" s="14" t="e">
        <f>SUM(T114:T118)</f>
        <v>#REF!</v>
      </c>
      <c r="U119" s="14" t="e">
        <f>SUM(U114:U118)</f>
        <v>#REF!</v>
      </c>
      <c r="V119" s="14" t="e">
        <f>SUM(V114:V118)</f>
        <v>#REF!</v>
      </c>
      <c r="W119" s="14">
        <f>SUM(W114:W118)</f>
        <v>425.65999999999991</v>
      </c>
      <c r="X119" s="14">
        <f>SUM(X114:X118)</f>
        <v>314.40300000000008</v>
      </c>
      <c r="Y119" s="14">
        <f>SUM(Y114:Y118)</f>
        <v>204.98400000000004</v>
      </c>
      <c r="Z119" s="14">
        <f>SUM(Z114:Z118)</f>
        <v>189.26700000000002</v>
      </c>
      <c r="AA119" s="14">
        <f>SUM(AA114:AA118)</f>
        <v>-262.03699999999986</v>
      </c>
      <c r="AB119" s="14">
        <f>SUM(AB114:AB118)</f>
        <v>-150.78</v>
      </c>
      <c r="AC119" s="14">
        <f>SUM(AC114:AC118)</f>
        <v>-41.361000000000004</v>
      </c>
      <c r="AD119" s="14">
        <f>SUM(AD114:AD118)</f>
        <v>-75.010000000000005</v>
      </c>
      <c r="AE119" s="14">
        <f>SUM(AE114:AE118)</f>
        <v>-49.365999999999993</v>
      </c>
      <c r="AF119" s="14">
        <f>SUM(AF114:AF118)</f>
        <v>-49.365999999999993</v>
      </c>
      <c r="AG119" s="14">
        <f>SUM(AG114:AG118)</f>
        <v>-49.365999999999993</v>
      </c>
      <c r="AH119" s="42"/>
      <c r="AI119" s="77">
        <f t="shared" si="309"/>
        <v>0.19353980803172033</v>
      </c>
    </row>
    <row r="120" spans="2:35" ht="5.0999999999999996" customHeight="1">
      <c r="B120" s="7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11"/>
      <c r="AI120" s="46"/>
    </row>
    <row r="121" spans="2:35">
      <c r="B121" s="94" t="s">
        <v>84</v>
      </c>
      <c r="C121" s="95">
        <v>588.04999999999995</v>
      </c>
      <c r="D121" s="170">
        <f t="shared" ref="D121:E121" si="337">C128</f>
        <v>270.80499999999984</v>
      </c>
      <c r="E121" s="95">
        <f t="shared" si="337"/>
        <v>488.04899999999998</v>
      </c>
      <c r="F121" s="95"/>
      <c r="G121" s="170">
        <v>269.28199999999998</v>
      </c>
      <c r="H121" s="95">
        <f t="shared" ref="H121:Q121" si="338">G128</f>
        <v>226.49899999999991</v>
      </c>
      <c r="I121" s="95">
        <f t="shared" si="338"/>
        <v>277.06399999999974</v>
      </c>
      <c r="J121" s="95">
        <f t="shared" si="338"/>
        <v>306.6629999999999</v>
      </c>
      <c r="K121" s="95">
        <f t="shared" si="338"/>
        <v>561.70700000000022</v>
      </c>
      <c r="L121" s="95">
        <f t="shared" si="338"/>
        <v>611.75300000000027</v>
      </c>
      <c r="M121" s="95">
        <f t="shared" si="338"/>
        <v>656.75300000000027</v>
      </c>
      <c r="N121" s="95">
        <f t="shared" si="338"/>
        <v>650.75300000000027</v>
      </c>
      <c r="O121" s="95">
        <f t="shared" si="338"/>
        <v>2240.6909999999998</v>
      </c>
      <c r="P121" s="95">
        <f t="shared" si="338"/>
        <v>2264.6909999999998</v>
      </c>
      <c r="Q121" s="95">
        <f t="shared" si="338"/>
        <v>2279.6909999999998</v>
      </c>
      <c r="R121" s="95"/>
      <c r="S121" s="95" t="e">
        <f>#REF!</f>
        <v>#REF!</v>
      </c>
      <c r="T121" s="95" t="e">
        <f>#REF!</f>
        <v>#REF!</v>
      </c>
      <c r="U121" s="95" t="e">
        <f>#REF!</f>
        <v>#REF!</v>
      </c>
      <c r="V121" s="95" t="e">
        <f>#REF!</f>
        <v>#REF!</v>
      </c>
      <c r="W121" s="95" t="e">
        <f>#REF!</f>
        <v>#REF!</v>
      </c>
      <c r="X121" s="95" t="e">
        <f>#REF!</f>
        <v>#REF!</v>
      </c>
      <c r="Y121" s="95" t="e">
        <f>#REF!</f>
        <v>#REF!</v>
      </c>
      <c r="Z121" s="95" t="e">
        <f>#REF!</f>
        <v>#REF!</v>
      </c>
      <c r="AA121" s="95">
        <f t="shared" ref="AA121:AG121" si="339">G128</f>
        <v>226.49899999999991</v>
      </c>
      <c r="AB121" s="95">
        <f t="shared" si="339"/>
        <v>277.06399999999974</v>
      </c>
      <c r="AC121" s="95">
        <f t="shared" si="339"/>
        <v>306.6629999999999</v>
      </c>
      <c r="AD121" s="95">
        <f t="shared" si="339"/>
        <v>561.70700000000022</v>
      </c>
      <c r="AE121" s="95">
        <f t="shared" si="339"/>
        <v>611.75300000000027</v>
      </c>
      <c r="AF121" s="95">
        <f t="shared" si="339"/>
        <v>656.75300000000027</v>
      </c>
      <c r="AG121" s="145">
        <f t="shared" si="339"/>
        <v>650.75300000000027</v>
      </c>
      <c r="AH121" s="11"/>
      <c r="AI121" s="46"/>
    </row>
    <row r="122" spans="2:35">
      <c r="B122" s="132" t="s">
        <v>104</v>
      </c>
      <c r="C122" s="32"/>
      <c r="D122" s="32">
        <f t="shared" ref="D122:E122" si="340">-C126</f>
        <v>0</v>
      </c>
      <c r="E122" s="32">
        <f t="shared" si="340"/>
        <v>15.422000000000001</v>
      </c>
      <c r="F122" s="32"/>
      <c r="G122" s="32">
        <f>D122</f>
        <v>0</v>
      </c>
      <c r="H122" s="32">
        <f t="shared" ref="H122:Q122" si="341">-G126</f>
        <v>0</v>
      </c>
      <c r="I122" s="32">
        <f t="shared" si="341"/>
        <v>0</v>
      </c>
      <c r="J122" s="32">
        <f t="shared" si="341"/>
        <v>0</v>
      </c>
      <c r="K122" s="32">
        <f t="shared" si="341"/>
        <v>0</v>
      </c>
      <c r="L122" s="32">
        <f t="shared" si="341"/>
        <v>0</v>
      </c>
      <c r="M122" s="32">
        <f t="shared" si="341"/>
        <v>0</v>
      </c>
      <c r="N122" s="32">
        <f t="shared" si="341"/>
        <v>0</v>
      </c>
      <c r="O122" s="32">
        <f t="shared" si="341"/>
        <v>0</v>
      </c>
      <c r="P122" s="32">
        <f t="shared" si="341"/>
        <v>0</v>
      </c>
      <c r="Q122" s="32">
        <f t="shared" si="341"/>
        <v>0</v>
      </c>
      <c r="R122" s="32"/>
      <c r="S122" s="32" t="e">
        <f>-#REF!</f>
        <v>#REF!</v>
      </c>
      <c r="T122" s="32" t="e">
        <f>-#REF!</f>
        <v>#REF!</v>
      </c>
      <c r="U122" s="32" t="e">
        <f>-#REF!</f>
        <v>#REF!</v>
      </c>
      <c r="V122" s="32" t="e">
        <f>-#REF!</f>
        <v>#REF!</v>
      </c>
      <c r="W122" s="32" t="e">
        <f>-#REF!</f>
        <v>#REF!</v>
      </c>
      <c r="X122" s="32" t="e">
        <f>-#REF!</f>
        <v>#REF!</v>
      </c>
      <c r="Y122" s="32" t="e">
        <f>-#REF!</f>
        <v>#REF!</v>
      </c>
      <c r="Z122" s="32" t="e">
        <f>-#REF!</f>
        <v>#REF!</v>
      </c>
      <c r="AA122" s="32">
        <f t="shared" ref="AA122:AG122" si="342">-G126</f>
        <v>0</v>
      </c>
      <c r="AB122" s="32">
        <f t="shared" si="342"/>
        <v>0</v>
      </c>
      <c r="AC122" s="32">
        <f t="shared" si="342"/>
        <v>0</v>
      </c>
      <c r="AD122" s="32">
        <f t="shared" si="342"/>
        <v>0</v>
      </c>
      <c r="AE122" s="32">
        <f t="shared" si="342"/>
        <v>0</v>
      </c>
      <c r="AF122" s="32">
        <f t="shared" si="342"/>
        <v>0</v>
      </c>
      <c r="AG122" s="137">
        <f t="shared" si="342"/>
        <v>0</v>
      </c>
      <c r="AH122" s="11"/>
      <c r="AI122" s="46"/>
    </row>
    <row r="123" spans="2:35">
      <c r="B123" s="91" t="s">
        <v>69</v>
      </c>
      <c r="C123" s="87">
        <f t="shared" ref="C123:E123" si="343">SUM(C121:C122)</f>
        <v>588.04999999999995</v>
      </c>
      <c r="D123" s="87">
        <f t="shared" si="343"/>
        <v>270.80499999999984</v>
      </c>
      <c r="E123" s="87">
        <f t="shared" si="343"/>
        <v>503.471</v>
      </c>
      <c r="F123" s="32"/>
      <c r="G123" s="87">
        <f t="shared" ref="G123:Q123" si="344">SUM(G121:G122)</f>
        <v>269.28199999999998</v>
      </c>
      <c r="H123" s="87">
        <f t="shared" si="344"/>
        <v>226.49899999999991</v>
      </c>
      <c r="I123" s="87">
        <f t="shared" si="344"/>
        <v>277.06399999999974</v>
      </c>
      <c r="J123" s="87">
        <f t="shared" si="344"/>
        <v>306.6629999999999</v>
      </c>
      <c r="K123" s="87">
        <f t="shared" si="344"/>
        <v>561.70700000000022</v>
      </c>
      <c r="L123" s="87">
        <f t="shared" si="344"/>
        <v>611.75300000000027</v>
      </c>
      <c r="M123" s="87">
        <f t="shared" si="344"/>
        <v>656.75300000000027</v>
      </c>
      <c r="N123" s="87">
        <f t="shared" si="344"/>
        <v>650.75300000000027</v>
      </c>
      <c r="O123" s="87">
        <f t="shared" si="344"/>
        <v>2240.6909999999998</v>
      </c>
      <c r="P123" s="87">
        <f t="shared" si="344"/>
        <v>2264.6909999999998</v>
      </c>
      <c r="Q123" s="87">
        <f t="shared" si="344"/>
        <v>2279.6909999999998</v>
      </c>
      <c r="R123" s="32"/>
      <c r="S123" s="135" t="e">
        <f t="shared" ref="S123:AG123" si="345">SUM(S121:S122)</f>
        <v>#REF!</v>
      </c>
      <c r="T123" s="135" t="e">
        <f t="shared" si="345"/>
        <v>#REF!</v>
      </c>
      <c r="U123" s="135" t="e">
        <f t="shared" si="345"/>
        <v>#REF!</v>
      </c>
      <c r="V123" s="135" t="e">
        <f t="shared" si="345"/>
        <v>#REF!</v>
      </c>
      <c r="W123" s="135" t="e">
        <f t="shared" si="345"/>
        <v>#REF!</v>
      </c>
      <c r="X123" s="135" t="e">
        <f t="shared" si="345"/>
        <v>#REF!</v>
      </c>
      <c r="Y123" s="135" t="e">
        <f t="shared" si="345"/>
        <v>#REF!</v>
      </c>
      <c r="Z123" s="135" t="e">
        <f t="shared" si="345"/>
        <v>#REF!</v>
      </c>
      <c r="AA123" s="135">
        <f t="shared" si="345"/>
        <v>226.49899999999991</v>
      </c>
      <c r="AB123" s="135">
        <f t="shared" si="345"/>
        <v>277.06399999999974</v>
      </c>
      <c r="AC123" s="135">
        <f t="shared" si="345"/>
        <v>306.6629999999999</v>
      </c>
      <c r="AD123" s="135">
        <f t="shared" si="345"/>
        <v>561.70700000000022</v>
      </c>
      <c r="AE123" s="135">
        <f t="shared" si="345"/>
        <v>611.75300000000027</v>
      </c>
      <c r="AF123" s="135">
        <f t="shared" si="345"/>
        <v>656.75300000000027</v>
      </c>
      <c r="AG123" s="138">
        <f t="shared" si="345"/>
        <v>650.75300000000027</v>
      </c>
      <c r="AH123" s="11"/>
      <c r="AI123" s="46"/>
    </row>
    <row r="124" spans="2:35" ht="5.0999999999999996" customHeight="1">
      <c r="B124" s="142"/>
      <c r="C124" s="72"/>
      <c r="D124" s="72"/>
      <c r="E124" s="72"/>
      <c r="F124" s="3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3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139"/>
      <c r="AH124" s="11"/>
      <c r="AI124" s="46"/>
    </row>
    <row r="125" spans="2:35">
      <c r="B125" s="132" t="s">
        <v>85</v>
      </c>
      <c r="C125" s="83">
        <v>-8.6639999999999997</v>
      </c>
      <c r="D125" s="83">
        <v>-8.4870000000000001</v>
      </c>
      <c r="E125" s="83">
        <v>1.569</v>
      </c>
      <c r="F125" s="32"/>
      <c r="G125" s="83">
        <v>9.2999999999999999E-2</v>
      </c>
      <c r="H125" s="83">
        <f>1.28-G125</f>
        <v>1.1870000000000001</v>
      </c>
      <c r="I125" s="83">
        <f>-1.942-H125-G125</f>
        <v>-3.222</v>
      </c>
      <c r="J125" s="32">
        <f t="shared" ref="J125" si="346">SUM(D125-SUM(G125:I125))</f>
        <v>-6.5449999999999999</v>
      </c>
      <c r="K125" s="83">
        <v>9.4169999999999998</v>
      </c>
      <c r="L125" s="83"/>
      <c r="M125" s="83"/>
      <c r="N125" s="32">
        <f t="shared" ref="N125" si="347">SUM(E125-SUM(K125:M125))</f>
        <v>-7.8479999999999999</v>
      </c>
      <c r="O125" s="83"/>
      <c r="P125" s="83"/>
      <c r="Q125" s="83"/>
      <c r="R125" s="32"/>
      <c r="S125" s="32" t="e">
        <f>SUM(#REF!)</f>
        <v>#REF!</v>
      </c>
      <c r="T125" s="32" t="e">
        <f>SUM(#REF!)</f>
        <v>#REF!</v>
      </c>
      <c r="U125" s="32" t="e">
        <f>SUM(#REF!)</f>
        <v>#REF!</v>
      </c>
      <c r="V125" s="32" t="e">
        <f>SUM(#REF!)</f>
        <v>#REF!</v>
      </c>
      <c r="W125" s="32">
        <f>SUM(G125:G125)</f>
        <v>9.2999999999999999E-2</v>
      </c>
      <c r="X125" s="32">
        <f>SUM(G125:H125)</f>
        <v>1.28</v>
      </c>
      <c r="Y125" s="32">
        <f>SUM(G125:I125)</f>
        <v>-1.9419999999999999</v>
      </c>
      <c r="Z125" s="32">
        <f t="shared" ref="Z125:AG125" si="348">SUM(G125:J125)</f>
        <v>-8.4870000000000001</v>
      </c>
      <c r="AA125" s="32">
        <f t="shared" si="348"/>
        <v>0.83699999999999974</v>
      </c>
      <c r="AB125" s="32">
        <f t="shared" si="348"/>
        <v>-0.34999999999999964</v>
      </c>
      <c r="AC125" s="32">
        <f t="shared" si="348"/>
        <v>2.8719999999999999</v>
      </c>
      <c r="AD125" s="32">
        <f t="shared" si="348"/>
        <v>1.569</v>
      </c>
      <c r="AE125" s="32">
        <f t="shared" si="348"/>
        <v>-7.8479999999999999</v>
      </c>
      <c r="AF125" s="32">
        <f t="shared" si="348"/>
        <v>-7.8479999999999999</v>
      </c>
      <c r="AG125" s="137">
        <f t="shared" si="348"/>
        <v>-7.8479999999999999</v>
      </c>
      <c r="AH125" s="11"/>
      <c r="AI125" s="46"/>
    </row>
    <row r="126" spans="2:35">
      <c r="B126" s="132" t="s">
        <v>157</v>
      </c>
      <c r="C126" s="83">
        <v>0</v>
      </c>
      <c r="D126" s="83">
        <v>-15.422000000000001</v>
      </c>
      <c r="E126" s="83">
        <v>0</v>
      </c>
      <c r="F126" s="32"/>
      <c r="G126" s="83">
        <v>0</v>
      </c>
      <c r="H126" s="171">
        <v>0</v>
      </c>
      <c r="I126" s="83"/>
      <c r="J126" s="32"/>
      <c r="K126" s="83"/>
      <c r="L126" s="83"/>
      <c r="M126" s="83"/>
      <c r="N126" s="32"/>
      <c r="O126" s="83"/>
      <c r="P126" s="83"/>
      <c r="Q126" s="83"/>
      <c r="R126" s="32"/>
      <c r="S126" s="32" t="e">
        <f>#REF!</f>
        <v>#REF!</v>
      </c>
      <c r="T126" s="32" t="e">
        <f>#REF!</f>
        <v>#REF!</v>
      </c>
      <c r="U126" s="32" t="e">
        <f>#REF!</f>
        <v>#REF!</v>
      </c>
      <c r="V126" s="32" t="e">
        <f>#REF!</f>
        <v>#REF!</v>
      </c>
      <c r="W126" s="32">
        <f t="shared" ref="W126:AG126" si="349">G126</f>
        <v>0</v>
      </c>
      <c r="X126" s="32">
        <f t="shared" si="349"/>
        <v>0</v>
      </c>
      <c r="Y126" s="32">
        <f t="shared" si="349"/>
        <v>0</v>
      </c>
      <c r="Z126" s="32">
        <f t="shared" si="349"/>
        <v>0</v>
      </c>
      <c r="AA126" s="32">
        <f t="shared" si="349"/>
        <v>0</v>
      </c>
      <c r="AB126" s="32">
        <f t="shared" si="349"/>
        <v>0</v>
      </c>
      <c r="AC126" s="32">
        <f t="shared" si="349"/>
        <v>0</v>
      </c>
      <c r="AD126" s="32">
        <f t="shared" si="349"/>
        <v>0</v>
      </c>
      <c r="AE126" s="32">
        <f t="shared" si="349"/>
        <v>0</v>
      </c>
      <c r="AF126" s="32">
        <f t="shared" si="349"/>
        <v>0</v>
      </c>
      <c r="AG126" s="137">
        <f t="shared" si="349"/>
        <v>0</v>
      </c>
      <c r="AH126" s="11"/>
      <c r="AI126" s="46"/>
    </row>
    <row r="127" spans="2:35">
      <c r="B127" s="132" t="s">
        <v>59</v>
      </c>
      <c r="C127" s="32">
        <f>+C119+C111+C104</f>
        <v>-308.58100000000013</v>
      </c>
      <c r="D127" s="32">
        <f>+D119+D111+D104</f>
        <v>241.15300000000013</v>
      </c>
      <c r="E127" s="32">
        <f>+E119+E111+E104</f>
        <v>1364.3769999999997</v>
      </c>
      <c r="F127" s="32"/>
      <c r="G127" s="168">
        <f>G119+G111+G104</f>
        <v>-42.87600000000009</v>
      </c>
      <c r="H127" s="32">
        <f>+H119+H111+H104</f>
        <v>49.377999999999787</v>
      </c>
      <c r="I127" s="32">
        <f>+I119+I111+I104</f>
        <v>32.821000000000112</v>
      </c>
      <c r="J127" s="32">
        <f>+J119+J111+J104</f>
        <v>261.58900000000034</v>
      </c>
      <c r="K127" s="32">
        <f>+K119+K111+K104</f>
        <v>40.628999999999991</v>
      </c>
      <c r="L127" s="32">
        <f>+L119+L111+L104</f>
        <v>45</v>
      </c>
      <c r="M127" s="32">
        <f>+M119+M111+M104</f>
        <v>-6</v>
      </c>
      <c r="N127" s="32">
        <f>+N119+N111+N104</f>
        <v>1597.7859999999996</v>
      </c>
      <c r="O127" s="32">
        <f>+O119+O111+O104</f>
        <v>24</v>
      </c>
      <c r="P127" s="32">
        <f>+P119+P111+P104</f>
        <v>15</v>
      </c>
      <c r="Q127" s="32">
        <f>+Q119+Q111+Q104</f>
        <v>-1</v>
      </c>
      <c r="R127" s="32"/>
      <c r="S127" s="32" t="e">
        <f>SUM(#REF!)</f>
        <v>#REF!</v>
      </c>
      <c r="T127" s="32" t="e">
        <f>SUM(#REF!)</f>
        <v>#REF!</v>
      </c>
      <c r="U127" s="32" t="e">
        <f>SUM(#REF!)</f>
        <v>#REF!</v>
      </c>
      <c r="V127" s="32" t="e">
        <f>SUM(#REF!)</f>
        <v>#REF!</v>
      </c>
      <c r="W127" s="32">
        <f>SUM(G127:G127)</f>
        <v>-42.87600000000009</v>
      </c>
      <c r="X127" s="32">
        <f>SUM(G127:H127)</f>
        <v>6.5019999999996969</v>
      </c>
      <c r="Y127" s="32">
        <f>SUM(G127:I127)</f>
        <v>39.322999999999809</v>
      </c>
      <c r="Z127" s="32">
        <f t="shared" ref="Z127:AG127" si="350">SUM(G127:J127)</f>
        <v>300.91200000000015</v>
      </c>
      <c r="AA127" s="32">
        <f t="shared" si="350"/>
        <v>384.41700000000026</v>
      </c>
      <c r="AB127" s="32">
        <f t="shared" si="350"/>
        <v>380.03900000000044</v>
      </c>
      <c r="AC127" s="32">
        <f t="shared" si="350"/>
        <v>341.2180000000003</v>
      </c>
      <c r="AD127" s="32">
        <f t="shared" si="350"/>
        <v>1677.4149999999995</v>
      </c>
      <c r="AE127" s="32">
        <f t="shared" si="350"/>
        <v>1660.7859999999996</v>
      </c>
      <c r="AF127" s="32">
        <f t="shared" si="350"/>
        <v>1630.7859999999996</v>
      </c>
      <c r="AG127" s="137">
        <f t="shared" si="350"/>
        <v>1635.7859999999996</v>
      </c>
      <c r="AH127" s="11"/>
      <c r="AI127" s="46"/>
    </row>
    <row r="128" spans="2:35">
      <c r="B128" s="91" t="s">
        <v>70</v>
      </c>
      <c r="C128" s="87">
        <f t="shared" ref="C128:E128" si="351">SUM(C123:C127)</f>
        <v>270.80499999999984</v>
      </c>
      <c r="D128" s="87">
        <f t="shared" si="351"/>
        <v>488.04899999999998</v>
      </c>
      <c r="E128" s="87">
        <f t="shared" si="351"/>
        <v>1869.4169999999997</v>
      </c>
      <c r="F128" s="32"/>
      <c r="G128" s="87">
        <f t="shared" ref="G128:Q128" si="352">SUM(G123:G127)</f>
        <v>226.49899999999991</v>
      </c>
      <c r="H128" s="87">
        <f t="shared" si="352"/>
        <v>277.06399999999974</v>
      </c>
      <c r="I128" s="87">
        <f t="shared" si="352"/>
        <v>306.6629999999999</v>
      </c>
      <c r="J128" s="87">
        <f t="shared" si="352"/>
        <v>561.70700000000022</v>
      </c>
      <c r="K128" s="87">
        <f t="shared" si="352"/>
        <v>611.75300000000027</v>
      </c>
      <c r="L128" s="87">
        <f t="shared" si="352"/>
        <v>656.75300000000027</v>
      </c>
      <c r="M128" s="87">
        <f t="shared" si="352"/>
        <v>650.75300000000027</v>
      </c>
      <c r="N128" s="87">
        <f t="shared" si="352"/>
        <v>2240.6909999999998</v>
      </c>
      <c r="O128" s="87">
        <f t="shared" si="352"/>
        <v>2264.6909999999998</v>
      </c>
      <c r="P128" s="87">
        <f t="shared" si="352"/>
        <v>2279.6909999999998</v>
      </c>
      <c r="Q128" s="87">
        <f t="shared" si="352"/>
        <v>2278.6909999999998</v>
      </c>
      <c r="R128" s="32"/>
      <c r="S128" s="136" t="e">
        <f t="shared" ref="S128:U128" si="353">SUM(S123:S127)</f>
        <v>#REF!</v>
      </c>
      <c r="T128" s="136" t="e">
        <f t="shared" si="353"/>
        <v>#REF!</v>
      </c>
      <c r="U128" s="136" t="e">
        <f t="shared" si="353"/>
        <v>#REF!</v>
      </c>
      <c r="V128" s="136" t="e">
        <f t="shared" ref="V128:AG128" si="354">SUM(V123:V127)</f>
        <v>#REF!</v>
      </c>
      <c r="W128" s="136" t="e">
        <f t="shared" si="354"/>
        <v>#REF!</v>
      </c>
      <c r="X128" s="136" t="e">
        <f t="shared" si="354"/>
        <v>#REF!</v>
      </c>
      <c r="Y128" s="136" t="e">
        <f t="shared" si="354"/>
        <v>#REF!</v>
      </c>
      <c r="Z128" s="136" t="e">
        <f t="shared" si="354"/>
        <v>#REF!</v>
      </c>
      <c r="AA128" s="136">
        <f t="shared" si="354"/>
        <v>611.75300000000016</v>
      </c>
      <c r="AB128" s="136">
        <f t="shared" si="354"/>
        <v>656.75300000000016</v>
      </c>
      <c r="AC128" s="136">
        <f t="shared" si="354"/>
        <v>650.75300000000016</v>
      </c>
      <c r="AD128" s="136">
        <f t="shared" si="354"/>
        <v>2240.6909999999998</v>
      </c>
      <c r="AE128" s="136">
        <f t="shared" si="354"/>
        <v>2264.6909999999998</v>
      </c>
      <c r="AF128" s="136">
        <f t="shared" si="354"/>
        <v>2279.6909999999998</v>
      </c>
      <c r="AG128" s="140">
        <f t="shared" si="354"/>
        <v>2278.6909999999998</v>
      </c>
      <c r="AH128" s="11"/>
      <c r="AI128" s="46"/>
    </row>
    <row r="129" spans="2:35" ht="5.0999999999999996" customHeight="1">
      <c r="B129" s="92"/>
      <c r="C129" s="66"/>
      <c r="D129" s="66"/>
      <c r="E129" s="66"/>
      <c r="F129" s="32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93"/>
      <c r="AH129" s="11"/>
      <c r="AI129" s="46"/>
    </row>
    <row r="130" spans="2:35">
      <c r="B130" s="143" t="s">
        <v>94</v>
      </c>
      <c r="C130" s="89">
        <f>C128-C46</f>
        <v>0</v>
      </c>
      <c r="D130" s="89">
        <f>D128-D46</f>
        <v>0</v>
      </c>
      <c r="E130" s="89">
        <f>E128-E46</f>
        <v>0</v>
      </c>
      <c r="F130" s="90"/>
      <c r="G130" s="89">
        <f>G128-G46</f>
        <v>0</v>
      </c>
      <c r="H130" s="89">
        <f>H128-H46</f>
        <v>0</v>
      </c>
      <c r="I130" s="89">
        <f>I128-I46</f>
        <v>-10.865000000000123</v>
      </c>
      <c r="J130" s="89">
        <f>J128-J46</f>
        <v>73.658000000000243</v>
      </c>
      <c r="K130" s="89">
        <f>K128-K46</f>
        <v>160.75000000000028</v>
      </c>
      <c r="L130" s="89">
        <f>L128-L46</f>
        <v>177.33500000000026</v>
      </c>
      <c r="M130" s="89">
        <f>M128-M46</f>
        <v>186.26100000000025</v>
      </c>
      <c r="N130" s="89">
        <f>N128-N46</f>
        <v>371.27399999999989</v>
      </c>
      <c r="O130" s="89">
        <f>O128-O46</f>
        <v>592.6909999999998</v>
      </c>
      <c r="P130" s="89">
        <f>P128-P46</f>
        <v>622.6909999999998</v>
      </c>
      <c r="Q130" s="89">
        <f>Q128-Q46</f>
        <v>-895.3090000000002</v>
      </c>
      <c r="R130" s="89"/>
      <c r="S130" s="89" t="e">
        <f>S128-S46</f>
        <v>#REF!</v>
      </c>
      <c r="T130" s="89" t="e">
        <f>T128-T46</f>
        <v>#REF!</v>
      </c>
      <c r="U130" s="89" t="e">
        <f>U128-U46</f>
        <v>#REF!</v>
      </c>
      <c r="V130" s="89" t="e">
        <f>V128-V46</f>
        <v>#REF!</v>
      </c>
      <c r="W130" s="89" t="e">
        <f>W128-W46</f>
        <v>#REF!</v>
      </c>
      <c r="X130" s="89" t="e">
        <f>X128-X46</f>
        <v>#REF!</v>
      </c>
      <c r="Y130" s="89" t="e">
        <f>Y128-Y46</f>
        <v>#REF!</v>
      </c>
      <c r="Z130" s="89" t="e">
        <f>Z128-Z46</f>
        <v>#REF!</v>
      </c>
      <c r="AA130" s="89">
        <f>AA128-AA46</f>
        <v>160.75000000000017</v>
      </c>
      <c r="AB130" s="89">
        <f>AB128-AB46</f>
        <v>177.33500000000015</v>
      </c>
      <c r="AC130" s="89">
        <f>AC128-AC46</f>
        <v>186.26100000000014</v>
      </c>
      <c r="AD130" s="89">
        <f>AD128-AD46</f>
        <v>371.27399999999989</v>
      </c>
      <c r="AE130" s="89">
        <f>AE128-AE46</f>
        <v>592.6909999999998</v>
      </c>
      <c r="AF130" s="89">
        <f>AF128-AF46</f>
        <v>622.6909999999998</v>
      </c>
      <c r="AG130" s="141">
        <f>AG128-AG46</f>
        <v>-895.3090000000002</v>
      </c>
      <c r="AH130" s="11"/>
      <c r="AI130" s="46"/>
    </row>
    <row r="131" spans="2:35" ht="5.0999999999999996" customHeight="1">
      <c r="B131" s="8"/>
      <c r="C131" s="66"/>
      <c r="D131" s="66"/>
      <c r="E131" s="66"/>
      <c r="F131" s="32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46"/>
    </row>
    <row r="132" spans="2:35" ht="12.75" customHeight="1">
      <c r="B132" s="73" t="s">
        <v>60</v>
      </c>
      <c r="C132" s="63"/>
      <c r="D132" s="63"/>
      <c r="E132" s="63"/>
      <c r="F132" s="11"/>
      <c r="G132" s="63"/>
      <c r="H132" s="63"/>
      <c r="I132" s="63"/>
      <c r="J132" s="63"/>
      <c r="K132" s="63"/>
      <c r="L132" s="63"/>
      <c r="M132" s="63"/>
      <c r="N132" s="63"/>
      <c r="O132" s="83"/>
      <c r="P132" s="63"/>
      <c r="Q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7"/>
      <c r="AI132" s="46"/>
    </row>
    <row r="133" spans="2:35" ht="12.75" customHeight="1">
      <c r="B133" s="8" t="s">
        <v>103</v>
      </c>
      <c r="C133" s="83">
        <v>46.158999999999999</v>
      </c>
      <c r="D133" s="83">
        <v>73.843999999999994</v>
      </c>
      <c r="E133" s="83">
        <v>75.739999999999995</v>
      </c>
      <c r="F133" s="11"/>
      <c r="G133" s="83"/>
      <c r="H133" s="83"/>
      <c r="I133" s="83"/>
      <c r="J133" s="32">
        <f t="shared" ref="J133:J134" si="355">SUM(D133-SUM(G133:I133))</f>
        <v>73.843999999999994</v>
      </c>
      <c r="K133" s="83"/>
      <c r="L133" s="83"/>
      <c r="M133" s="83"/>
      <c r="N133" s="32">
        <f t="shared" ref="N133:N134" si="356">SUM(E133-SUM(K133:M133))</f>
        <v>75.739999999999995</v>
      </c>
      <c r="O133" s="83"/>
      <c r="P133" s="83"/>
      <c r="Q133" s="83"/>
      <c r="S133" s="32" t="e">
        <f>SUM(#REF!)</f>
        <v>#REF!</v>
      </c>
      <c r="T133" s="32" t="e">
        <f>SUM(#REF!)</f>
        <v>#REF!</v>
      </c>
      <c r="U133" s="32" t="e">
        <f>SUM(#REF!)</f>
        <v>#REF!</v>
      </c>
      <c r="V133" s="32" t="e">
        <f>SUM(#REF!)</f>
        <v>#REF!</v>
      </c>
      <c r="W133" s="32">
        <f>SUM(G133:G133)</f>
        <v>0</v>
      </c>
      <c r="X133" s="32">
        <f>SUM(G133:H133)</f>
        <v>0</v>
      </c>
      <c r="Y133" s="32">
        <f>SUM(G133:I133)</f>
        <v>0</v>
      </c>
      <c r="Z133" s="32">
        <f t="shared" ref="Z133" si="357">SUM(G133:J133)</f>
        <v>73.843999999999994</v>
      </c>
      <c r="AA133" s="32">
        <f t="shared" ref="AA133" si="358">SUM(H133:K133)</f>
        <v>73.843999999999994</v>
      </c>
      <c r="AB133" s="32">
        <f t="shared" ref="AB133" si="359">SUM(I133:L133)</f>
        <v>73.843999999999994</v>
      </c>
      <c r="AC133" s="32">
        <f t="shared" ref="AC133" si="360">SUM(J133:M133)</f>
        <v>73.843999999999994</v>
      </c>
      <c r="AD133" s="32">
        <f t="shared" ref="AD133" si="361">SUM(K133:N133)</f>
        <v>75.739999999999995</v>
      </c>
      <c r="AE133" s="32">
        <f t="shared" ref="AE133" si="362">SUM(L133:O133)</f>
        <v>75.739999999999995</v>
      </c>
      <c r="AF133" s="32">
        <f t="shared" ref="AF133" si="363">SUM(M133:P133)</f>
        <v>75.739999999999995</v>
      </c>
      <c r="AG133" s="32">
        <f t="shared" ref="AG133" si="364">SUM(N133:Q133)</f>
        <v>75.739999999999995</v>
      </c>
      <c r="AH133" s="67"/>
      <c r="AI133" s="46"/>
    </row>
    <row r="134" spans="2:35" ht="12.75" customHeight="1">
      <c r="B134" s="8" t="s">
        <v>158</v>
      </c>
      <c r="C134" s="83">
        <v>94.605000000000004</v>
      </c>
      <c r="D134" s="83">
        <v>98.792000000000002</v>
      </c>
      <c r="E134" s="83">
        <v>37.036999999999999</v>
      </c>
      <c r="F134" s="32"/>
      <c r="G134" s="83"/>
      <c r="H134" s="83"/>
      <c r="I134" s="83"/>
      <c r="J134" s="32">
        <f t="shared" si="355"/>
        <v>98.792000000000002</v>
      </c>
      <c r="K134" s="83"/>
      <c r="L134" s="83"/>
      <c r="M134" s="83"/>
      <c r="N134" s="32">
        <f t="shared" si="356"/>
        <v>37.036999999999999</v>
      </c>
      <c r="O134" s="83"/>
      <c r="P134" s="83"/>
      <c r="Q134" s="83"/>
      <c r="R134" s="32"/>
      <c r="S134" s="32" t="e">
        <f>SUM(#REF!)</f>
        <v>#REF!</v>
      </c>
      <c r="T134" s="32" t="e">
        <f>SUM(#REF!)</f>
        <v>#REF!</v>
      </c>
      <c r="U134" s="32" t="e">
        <f>SUM(#REF!)</f>
        <v>#REF!</v>
      </c>
      <c r="V134" s="32" t="e">
        <f>SUM(#REF!)</f>
        <v>#REF!</v>
      </c>
      <c r="W134" s="32">
        <f>SUM(G134:G134)</f>
        <v>0</v>
      </c>
      <c r="X134" s="32">
        <f>SUM(G134:H134)</f>
        <v>0</v>
      </c>
      <c r="Y134" s="32">
        <f>SUM(G134:I134)</f>
        <v>0</v>
      </c>
      <c r="Z134" s="32">
        <f t="shared" ref="Z134:AG134" si="365">SUM(G134:J134)</f>
        <v>98.792000000000002</v>
      </c>
      <c r="AA134" s="32">
        <f t="shared" si="365"/>
        <v>98.792000000000002</v>
      </c>
      <c r="AB134" s="32">
        <f t="shared" si="365"/>
        <v>98.792000000000002</v>
      </c>
      <c r="AC134" s="32">
        <f t="shared" si="365"/>
        <v>98.792000000000002</v>
      </c>
      <c r="AD134" s="32">
        <f t="shared" si="365"/>
        <v>37.036999999999999</v>
      </c>
      <c r="AE134" s="32">
        <f t="shared" si="365"/>
        <v>37.036999999999999</v>
      </c>
      <c r="AF134" s="32">
        <f t="shared" si="365"/>
        <v>37.036999999999999</v>
      </c>
      <c r="AG134" s="32">
        <f t="shared" si="365"/>
        <v>37.036999999999999</v>
      </c>
      <c r="AH134" s="11"/>
      <c r="AI134" s="46"/>
    </row>
    <row r="135" spans="2:35" ht="5.0999999999999996" customHeight="1" thickBot="1">
      <c r="B135" s="74"/>
      <c r="C135" s="75"/>
      <c r="D135" s="75"/>
      <c r="E135" s="75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I135" s="46"/>
    </row>
    <row r="136" spans="2:35" ht="12.75" customHeight="1">
      <c r="B136" s="163"/>
      <c r="C136" s="163"/>
      <c r="D136" s="163"/>
      <c r="E136" s="163"/>
      <c r="F136" s="163"/>
      <c r="G136" s="163"/>
      <c r="H136" s="163"/>
      <c r="I136" s="163"/>
      <c r="J136" s="163"/>
      <c r="K136" s="163"/>
      <c r="L136" s="163"/>
      <c r="M136" s="163"/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3"/>
      <c r="AE136" s="163"/>
      <c r="AF136" s="163"/>
      <c r="AG136" s="131"/>
      <c r="AI136" s="46"/>
    </row>
    <row r="137" spans="2:35" ht="12.75" customHeight="1">
      <c r="B137" s="54"/>
      <c r="C137" s="68"/>
      <c r="D137" s="68"/>
      <c r="E137" s="68"/>
    </row>
    <row r="138" spans="2:35" ht="12.75" customHeight="1">
      <c r="C138" s="57"/>
      <c r="D138" s="57"/>
      <c r="E138" s="57"/>
    </row>
    <row r="139" spans="2:35" ht="12.75" customHeight="1">
      <c r="C139" s="57"/>
      <c r="D139" s="57"/>
      <c r="E139" s="57"/>
    </row>
    <row r="140" spans="2:35" ht="12.75" customHeight="1">
      <c r="C140" s="57"/>
      <c r="D140" s="57"/>
      <c r="E140" s="57"/>
    </row>
    <row r="141" spans="2:35" ht="12.75" customHeight="1">
      <c r="C141" s="57"/>
      <c r="D141" s="57"/>
      <c r="E141" s="57"/>
    </row>
    <row r="142" spans="2:35" ht="12.75" customHeight="1">
      <c r="C142" s="57"/>
      <c r="D142" s="57"/>
      <c r="E142" s="57"/>
      <c r="G142" s="88"/>
      <c r="H142" s="88"/>
      <c r="I142" s="88"/>
      <c r="J142" s="88"/>
      <c r="K142" s="88"/>
      <c r="L142" s="88"/>
    </row>
    <row r="143" spans="2:35" ht="12.75" customHeight="1">
      <c r="C143" s="57"/>
      <c r="D143" s="57"/>
      <c r="E143" s="57"/>
    </row>
    <row r="144" spans="2:35" ht="12.75" customHeight="1">
      <c r="C144" s="57"/>
      <c r="D144" s="57"/>
      <c r="E144" s="57"/>
      <c r="G144" s="88"/>
      <c r="H144" s="88"/>
      <c r="I144" s="88"/>
      <c r="J144" s="88"/>
      <c r="K144" s="88"/>
      <c r="L144" s="88"/>
    </row>
    <row r="145" spans="7:12">
      <c r="G145" s="88"/>
      <c r="H145" s="88"/>
      <c r="I145" s="88"/>
      <c r="J145" s="88"/>
      <c r="K145" s="88"/>
      <c r="L145" s="88"/>
    </row>
    <row r="146" spans="7:12">
      <c r="G146" s="88"/>
      <c r="H146" s="88"/>
      <c r="I146" s="88"/>
      <c r="J146" s="88"/>
      <c r="K146" s="88"/>
      <c r="L146" s="88"/>
    </row>
    <row r="148" spans="7:12">
      <c r="G148" s="88"/>
      <c r="H148" s="88"/>
      <c r="I148" s="88"/>
      <c r="J148" s="88"/>
      <c r="K148" s="88"/>
      <c r="L148" s="88"/>
    </row>
    <row r="149" spans="7:12">
      <c r="G149" s="88"/>
      <c r="H149" s="88"/>
      <c r="I149" s="88"/>
      <c r="J149" s="88"/>
      <c r="K149" s="88"/>
      <c r="L149" s="88"/>
    </row>
  </sheetData>
  <mergeCells count="4">
    <mergeCell ref="B136:AF136"/>
    <mergeCell ref="AI6:AI8"/>
    <mergeCell ref="AI41:AI43"/>
    <mergeCell ref="AI84:AI86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F15:AF16 AF33 F50 S20:AD21 S25:AD27" formulaRange="1"/>
    <ignoredError sqref="C15:E16 C20:E21 C25:E27 C33:E34 G15:Q16 G20:Q21 G33:Q34 G25:Q27 AG111:AI113 AG109:AI109 AG104:AI107" evalError="1"/>
    <ignoredError sqref="S125:AG12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A19"/>
  <sheetViews>
    <sheetView showGridLines="0" zoomScale="130" zoomScaleNormal="130" workbookViewId="0">
      <selection activeCell="J14" sqref="J14"/>
    </sheetView>
  </sheetViews>
  <sheetFormatPr defaultRowHeight="12" outlineLevelRow="1" outlineLevelCol="1"/>
  <cols>
    <col min="1" max="1" width="1.5" style="8" customWidth="1"/>
    <col min="2" max="2" width="24.5" style="8" bestFit="1" customWidth="1"/>
    <col min="3" max="5" width="8.625" style="8" bestFit="1" customWidth="1"/>
    <col min="6" max="6" width="1.5" style="8" customWidth="1"/>
    <col min="7" max="9" width="8" style="8" customWidth="1" outlineLevel="1"/>
    <col min="10" max="10" width="8.75" style="8" customWidth="1" outlineLevel="1"/>
    <col min="11" max="11" width="8.5" style="8" customWidth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0" width="8.75" style="8" hidden="1" customWidth="1" outlineLevel="1"/>
    <col min="21" max="21" width="8.75" style="8" bestFit="1" customWidth="1" collapsed="1"/>
    <col min="22" max="24" width="8.75" style="8" hidden="1" customWidth="1" outlineLevel="1"/>
    <col min="25" max="25" width="8.75" style="8" bestFit="1" customWidth="1" collapsed="1"/>
    <col min="26" max="26" width="1.5" style="8" customWidth="1"/>
    <col min="27" max="27" width="9.875" style="8" bestFit="1" customWidth="1"/>
    <col min="28" max="16384" width="9" style="8"/>
  </cols>
  <sheetData>
    <row r="2" spans="1:27" s="5" customFormat="1" ht="12.75" customHeight="1">
      <c r="B2" s="178" t="str">
        <f>'Historical Financials'!B2</f>
        <v>Advance Autoparts (NASDAQ: AAP)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 t="s">
        <v>1</v>
      </c>
      <c r="M2" s="2"/>
      <c r="N2" s="2"/>
      <c r="O2" s="2"/>
      <c r="P2" s="2"/>
      <c r="Q2" s="2"/>
      <c r="R2" s="3"/>
      <c r="S2" s="2" t="s">
        <v>10</v>
      </c>
      <c r="T2" s="2"/>
      <c r="U2" s="2" t="s">
        <v>10</v>
      </c>
      <c r="V2" s="2"/>
      <c r="W2" s="2"/>
      <c r="X2" s="2"/>
      <c r="Y2" s="2"/>
      <c r="Z2" s="3"/>
      <c r="AA2" s="164" t="s">
        <v>25</v>
      </c>
    </row>
    <row r="3" spans="1:27" s="5" customFormat="1" ht="12.75" customHeight="1">
      <c r="B3" s="6" t="s">
        <v>65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Y4" si="0">K3</f>
        <v>1Q24</v>
      </c>
      <c r="T3" s="4" t="str">
        <f t="shared" si="0"/>
        <v>2Q24</v>
      </c>
      <c r="U3" s="4" t="str">
        <f t="shared" si="0"/>
        <v>3Q24</v>
      </c>
      <c r="V3" s="4" t="str">
        <f t="shared" si="0"/>
        <v>4Q24</v>
      </c>
      <c r="W3" s="4" t="str">
        <f t="shared" si="0"/>
        <v>1Q25</v>
      </c>
      <c r="X3" s="4" t="str">
        <f t="shared" si="0"/>
        <v>2Q25</v>
      </c>
      <c r="Y3" s="4" t="str">
        <f t="shared" si="0"/>
        <v>3Q25</v>
      </c>
      <c r="Z3" s="3"/>
      <c r="AA3" s="164"/>
    </row>
    <row r="4" spans="1:27" s="5" customFormat="1" ht="12.75" customHeight="1">
      <c r="B4" s="6" t="s">
        <v>105</v>
      </c>
      <c r="C4" s="3">
        <f>'Historical Financials'!C8</f>
        <v>44926</v>
      </c>
      <c r="D4" s="3">
        <f>'Historical Financials'!D8</f>
        <v>45290</v>
      </c>
      <c r="E4" s="3">
        <f>'Historical Financials'!E8</f>
        <v>45654</v>
      </c>
      <c r="F4" s="3"/>
      <c r="G4" s="3">
        <f>'Historical Financials'!G8</f>
        <v>45038</v>
      </c>
      <c r="H4" s="3">
        <f>'Historical Financials'!H8</f>
        <v>45122</v>
      </c>
      <c r="I4" s="3">
        <f>'Historical Financials'!I8</f>
        <v>45206</v>
      </c>
      <c r="J4" s="3">
        <f>'Historical Financials'!J8</f>
        <v>45290</v>
      </c>
      <c r="K4" s="3">
        <f>'Historical Financials'!K8</f>
        <v>45402</v>
      </c>
      <c r="L4" s="3">
        <f>'Historical Financials'!L8</f>
        <v>45486</v>
      </c>
      <c r="M4" s="3">
        <f>'Historical Financials'!M8</f>
        <v>45570</v>
      </c>
      <c r="N4" s="3">
        <f>'Historical Financials'!N8</f>
        <v>45654</v>
      </c>
      <c r="O4" s="3">
        <f>'Historical Financials'!O8</f>
        <v>45766</v>
      </c>
      <c r="P4" s="3">
        <f>'Historical Financials'!P8</f>
        <v>45859</v>
      </c>
      <c r="Q4" s="3">
        <f>'Historical Financials'!Q8</f>
        <v>45934</v>
      </c>
      <c r="R4" s="3"/>
      <c r="S4" s="3">
        <f t="shared" si="0"/>
        <v>45402</v>
      </c>
      <c r="T4" s="3">
        <f t="shared" si="0"/>
        <v>45486</v>
      </c>
      <c r="U4" s="3">
        <f t="shared" si="0"/>
        <v>45570</v>
      </c>
      <c r="V4" s="3">
        <f t="shared" si="0"/>
        <v>45654</v>
      </c>
      <c r="W4" s="3">
        <f t="shared" si="0"/>
        <v>45766</v>
      </c>
      <c r="X4" s="3">
        <f t="shared" si="0"/>
        <v>45859</v>
      </c>
      <c r="Y4" s="3">
        <f t="shared" si="0"/>
        <v>45934</v>
      </c>
      <c r="Z4" s="3"/>
      <c r="AA4" s="164"/>
    </row>
    <row r="5" spans="1:27" ht="5.0999999999999996" customHeight="1"/>
    <row r="6" spans="1:27">
      <c r="A6" s="36" t="s">
        <v>19</v>
      </c>
      <c r="B6" s="1" t="s">
        <v>90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5.0999999999999996" customHeight="1"/>
    <row r="8" spans="1:27" ht="12.75" customHeight="1">
      <c r="A8" s="81"/>
      <c r="B8" s="79" t="s">
        <v>89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5"/>
      <c r="S8" s="11"/>
      <c r="T8" s="11"/>
      <c r="U8" s="11"/>
      <c r="V8" s="11"/>
      <c r="W8" s="11"/>
      <c r="X8" s="11"/>
      <c r="AA8" s="12"/>
    </row>
    <row r="9" spans="1:27" ht="12.75" customHeight="1">
      <c r="B9" s="9" t="s">
        <v>159</v>
      </c>
      <c r="C9" s="125">
        <f>C16*'Historical Financials'!$C$11</f>
        <v>5763.7906199999998</v>
      </c>
      <c r="D9" s="125">
        <f>D16*'Historical Financials'!$D$11</f>
        <v>5801.7172500000006</v>
      </c>
      <c r="E9" s="125">
        <f>E16*'Historical Financials'!$E$11</f>
        <v>5729.4260099999992</v>
      </c>
      <c r="F9" s="82"/>
      <c r="G9" s="125">
        <f>G16*'Historical Financials'!$G$11</f>
        <v>2255.61204</v>
      </c>
      <c r="H9" s="125">
        <f>H16*'Historical Financials'!$H$11</f>
        <v>1772.8035600000001</v>
      </c>
      <c r="I9" s="125">
        <f>I16*'Historical Financials'!$I$11</f>
        <v>1821.7829300000003</v>
      </c>
      <c r="J9" s="125">
        <f>SUM(D9-SUM(G9:I9))</f>
        <v>-48.48127999999997</v>
      </c>
      <c r="K9" s="125">
        <f>K16*'Historical Financials'!$K$11</f>
        <v>1718.64</v>
      </c>
      <c r="L9" s="125">
        <f>L16*'Historical Financials'!$L$11</f>
        <v>1372.14</v>
      </c>
      <c r="M9" s="125">
        <f>M16*'Historical Financials'!$M$11</f>
        <v>1374.72</v>
      </c>
      <c r="N9" s="125">
        <f>SUM(E9-SUM(K9:M9))</f>
        <v>1263.9260099999992</v>
      </c>
      <c r="O9" s="125">
        <f>O16*'Historical Financials'!$O$11</f>
        <v>1601.46</v>
      </c>
      <c r="P9" s="125">
        <f>P16*'Historical Financials'!$P$11</f>
        <v>1266.3</v>
      </c>
      <c r="Q9" s="125">
        <f>Q16*'Historical Financials'!$Q$11</f>
        <v>1323.4</v>
      </c>
      <c r="R9" s="11"/>
      <c r="S9" s="125">
        <f t="shared" ref="S9:Y12" si="1">SUM(H9:K9)</f>
        <v>5264.745210000001</v>
      </c>
      <c r="T9" s="125">
        <f t="shared" si="1"/>
        <v>4864.081650000001</v>
      </c>
      <c r="U9" s="125">
        <f t="shared" si="1"/>
        <v>4417.01872</v>
      </c>
      <c r="V9" s="125">
        <f t="shared" si="1"/>
        <v>5729.4260099999992</v>
      </c>
      <c r="W9" s="125">
        <f t="shared" si="1"/>
        <v>5612.2460099999989</v>
      </c>
      <c r="X9" s="125">
        <f t="shared" si="1"/>
        <v>5506.4060099999997</v>
      </c>
      <c r="Y9" s="125">
        <f t="shared" si="1"/>
        <v>5455.0860099999991</v>
      </c>
      <c r="AA9" s="12">
        <f t="shared" ref="AA9:AA13" si="2">SUM(Y9/U9)-1</f>
        <v>0.23501537027671882</v>
      </c>
    </row>
    <row r="10" spans="1:27" ht="12.75" customHeight="1">
      <c r="B10" s="9" t="s">
        <v>160</v>
      </c>
      <c r="C10" s="125">
        <f>C17*'Historical Financials'!$C$11</f>
        <v>2104.2410199999999</v>
      </c>
      <c r="D10" s="125">
        <f>D17*'Historical Financials'!$D$11</f>
        <v>2025.9965000000002</v>
      </c>
      <c r="E10" s="125">
        <f>E17*'Historical Financials'!$E$11</f>
        <v>2000.7519399999999</v>
      </c>
      <c r="F10" s="82"/>
      <c r="G10" s="125">
        <f>G17*'Historical Financials'!$G$11</f>
        <v>683.51880000000006</v>
      </c>
      <c r="H10" s="125">
        <f>H17*'Historical Financials'!$H$11</f>
        <v>537.21320000000003</v>
      </c>
      <c r="I10" s="125">
        <f>I17*'Historical Financials'!$I$11</f>
        <v>516.62501000000009</v>
      </c>
      <c r="J10" s="125">
        <f>SUM(D10-SUM(G10:I10))</f>
        <v>288.63949000000002</v>
      </c>
      <c r="K10" s="125">
        <f>K17*'Historical Financials'!$K$11</f>
        <v>637.56000000000006</v>
      </c>
      <c r="L10" s="125">
        <f>L17*'Historical Financials'!$L$11</f>
        <v>479.16</v>
      </c>
      <c r="M10" s="125">
        <f>M17*'Historical Financials'!$M$11</f>
        <v>451.08</v>
      </c>
      <c r="N10" s="125">
        <f>SUM(E10-SUM(K10:M10))</f>
        <v>432.95193999999992</v>
      </c>
      <c r="O10" s="125">
        <f>O17*'Historical Financials'!$O$11</f>
        <v>594.09</v>
      </c>
      <c r="P10" s="125">
        <f>P17*'Historical Financials'!$P$11</f>
        <v>442.2</v>
      </c>
      <c r="Q10" s="125">
        <f>Q17*'Historical Financials'!$Q$11</f>
        <v>407.20000000000005</v>
      </c>
      <c r="R10" s="11"/>
      <c r="S10" s="125">
        <f t="shared" si="1"/>
        <v>1980.0377000000003</v>
      </c>
      <c r="T10" s="125">
        <f t="shared" si="1"/>
        <v>1921.9845000000003</v>
      </c>
      <c r="U10" s="125">
        <f t="shared" si="1"/>
        <v>1856.43949</v>
      </c>
      <c r="V10" s="125">
        <f t="shared" si="1"/>
        <v>2000.7519399999999</v>
      </c>
      <c r="W10" s="125">
        <f t="shared" si="1"/>
        <v>1957.2819399999998</v>
      </c>
      <c r="X10" s="125">
        <f t="shared" si="1"/>
        <v>1920.32194</v>
      </c>
      <c r="Y10" s="125">
        <f t="shared" si="1"/>
        <v>1876.4419400000002</v>
      </c>
      <c r="AA10" s="12">
        <f t="shared" si="2"/>
        <v>1.0774630742206526E-2</v>
      </c>
    </row>
    <row r="11" spans="1:27" ht="12.75" customHeight="1">
      <c r="B11" s="9" t="s">
        <v>161</v>
      </c>
      <c r="C11" s="125">
        <f>C18*'Historical Financials'!$C$11</f>
        <v>1189.3536200000001</v>
      </c>
      <c r="D11" s="125">
        <f>D18*'Historical Financials'!$D$11</f>
        <v>1289.2705000000003</v>
      </c>
      <c r="E11" s="125">
        <f>E18*'Historical Financials'!$E$11</f>
        <v>1273.20578</v>
      </c>
      <c r="F11" s="82"/>
      <c r="G11" s="125">
        <f>G18*'Historical Financials'!$G$11</f>
        <v>444.28722000000005</v>
      </c>
      <c r="H11" s="125">
        <f>H18*'Historical Financials'!$H$11</f>
        <v>349.18858</v>
      </c>
      <c r="I11" s="125">
        <f>I18*'Historical Financials'!$I$11</f>
        <v>353.48027000000002</v>
      </c>
      <c r="J11" s="125">
        <f>SUM(D11-SUM(G11:I11))</f>
        <v>142.31443000000013</v>
      </c>
      <c r="K11" s="125">
        <f>K18*'Historical Financials'!$K$11</f>
        <v>388.08000000000004</v>
      </c>
      <c r="L11" s="125">
        <f>L18*'Historical Financials'!$L$11</f>
        <v>304.92</v>
      </c>
      <c r="M11" s="125">
        <f>M18*'Historical Financials'!$M$11</f>
        <v>300.72000000000003</v>
      </c>
      <c r="N11" s="125">
        <f>SUM(E11-SUM(K11:M11))</f>
        <v>279.48577999999998</v>
      </c>
      <c r="O11" s="125">
        <f>O18*'Historical Financials'!$O$11</f>
        <v>361.62000000000006</v>
      </c>
      <c r="P11" s="125">
        <f>P18*'Historical Financials'!$P$11</f>
        <v>281.40000000000003</v>
      </c>
      <c r="Q11" s="125">
        <f>Q18*'Historical Financials'!$Q$11</f>
        <v>285.04000000000002</v>
      </c>
      <c r="R11" s="11"/>
      <c r="S11" s="125">
        <f t="shared" si="1"/>
        <v>1233.0632800000003</v>
      </c>
      <c r="T11" s="125">
        <f t="shared" si="1"/>
        <v>1188.7947000000001</v>
      </c>
      <c r="U11" s="125">
        <f t="shared" si="1"/>
        <v>1136.0344300000002</v>
      </c>
      <c r="V11" s="125">
        <f t="shared" si="1"/>
        <v>1273.20578</v>
      </c>
      <c r="W11" s="125">
        <f t="shared" si="1"/>
        <v>1246.7457800000002</v>
      </c>
      <c r="X11" s="125">
        <f t="shared" si="1"/>
        <v>1223.2257800000002</v>
      </c>
      <c r="Y11" s="125">
        <f t="shared" si="1"/>
        <v>1207.5457800000001</v>
      </c>
      <c r="AA11" s="12">
        <f t="shared" si="2"/>
        <v>6.2948224201268221E-2</v>
      </c>
    </row>
    <row r="12" spans="1:27" ht="12.75" customHeight="1">
      <c r="B12" s="9" t="s">
        <v>162</v>
      </c>
      <c r="C12" s="125">
        <f>C19*'Historical Financials'!$C$11</f>
        <v>91.488739999999993</v>
      </c>
      <c r="D12" s="125">
        <f>D19*'Historical Financials'!$D$11</f>
        <v>92.090750000000014</v>
      </c>
      <c r="E12" s="125">
        <f>E19*'Historical Financials'!$E$11</f>
        <v>90.943269999999998</v>
      </c>
      <c r="F12" s="82"/>
      <c r="G12" s="125">
        <f>G19*'Historical Financials'!$G$11</f>
        <v>34.175940000000004</v>
      </c>
      <c r="H12" s="125">
        <f>H19*'Historical Financials'!$H$11</f>
        <v>26.860659999999999</v>
      </c>
      <c r="I12" s="125">
        <f>I19*'Historical Financials'!$I$11</f>
        <v>27.190790000000003</v>
      </c>
      <c r="J12" s="125">
        <f>SUM(D12-SUM(G12:I12))</f>
        <v>3.8633600000000001</v>
      </c>
      <c r="K12" s="125">
        <f>K19*'Historical Financials'!$K$11</f>
        <v>27.72</v>
      </c>
      <c r="L12" s="125">
        <f>L19*'Historical Financials'!$L$11</f>
        <v>21.78</v>
      </c>
      <c r="M12" s="125">
        <f>M19*'Historical Financials'!$M$11</f>
        <v>21.48</v>
      </c>
      <c r="N12" s="125">
        <f>SUM(E12-SUM(K12:M12))</f>
        <v>19.963269999999994</v>
      </c>
      <c r="O12" s="125">
        <f>O19*'Historical Financials'!$O$11</f>
        <v>25.830000000000002</v>
      </c>
      <c r="P12" s="125">
        <f>P19*'Historical Financials'!$P$11</f>
        <v>20.100000000000001</v>
      </c>
      <c r="Q12" s="125">
        <f>Q19*'Historical Financials'!$Q$11</f>
        <v>20.36</v>
      </c>
      <c r="R12" s="11"/>
      <c r="S12" s="125">
        <f t="shared" si="1"/>
        <v>85.634810000000002</v>
      </c>
      <c r="T12" s="125">
        <f t="shared" si="1"/>
        <v>80.554150000000007</v>
      </c>
      <c r="U12" s="125">
        <f t="shared" si="1"/>
        <v>74.843360000000004</v>
      </c>
      <c r="V12" s="125">
        <f t="shared" si="1"/>
        <v>90.943269999999998</v>
      </c>
      <c r="W12" s="125">
        <f t="shared" si="1"/>
        <v>89.053269999999998</v>
      </c>
      <c r="X12" s="125">
        <f t="shared" si="1"/>
        <v>87.373269999999991</v>
      </c>
      <c r="Y12" s="125">
        <f t="shared" si="1"/>
        <v>86.253270000000001</v>
      </c>
      <c r="AA12" s="12">
        <f t="shared" si="2"/>
        <v>0.15245053134974151</v>
      </c>
    </row>
    <row r="13" spans="1:27" ht="12.75" customHeight="1">
      <c r="B13" s="13" t="s">
        <v>66</v>
      </c>
      <c r="C13" s="14">
        <f t="shared" ref="C13:E13" si="3">SUM(C9:C12)</f>
        <v>9148.8739999999998</v>
      </c>
      <c r="D13" s="14">
        <f t="shared" si="3"/>
        <v>9209.0750000000007</v>
      </c>
      <c r="E13" s="14">
        <f t="shared" si="3"/>
        <v>9094.3269999999993</v>
      </c>
      <c r="F13" s="11"/>
      <c r="G13" s="14">
        <f t="shared" ref="G13:Q13" si="4">SUM(G9:G12)</f>
        <v>3417.5940000000001</v>
      </c>
      <c r="H13" s="14">
        <f t="shared" si="4"/>
        <v>2686.0659999999998</v>
      </c>
      <c r="I13" s="14">
        <f t="shared" si="4"/>
        <v>2719.0790000000006</v>
      </c>
      <c r="J13" s="14">
        <f t="shared" si="4"/>
        <v>386.33600000000018</v>
      </c>
      <c r="K13" s="14">
        <f t="shared" si="4"/>
        <v>2772</v>
      </c>
      <c r="L13" s="14">
        <f t="shared" si="4"/>
        <v>2178.0000000000005</v>
      </c>
      <c r="M13" s="14">
        <f t="shared" si="4"/>
        <v>2148</v>
      </c>
      <c r="N13" s="14">
        <f t="shared" si="4"/>
        <v>1996.3269999999991</v>
      </c>
      <c r="O13" s="14">
        <f t="shared" si="4"/>
        <v>2583</v>
      </c>
      <c r="P13" s="14">
        <f t="shared" si="4"/>
        <v>2010</v>
      </c>
      <c r="Q13" s="14">
        <f t="shared" si="4"/>
        <v>2036</v>
      </c>
      <c r="R13" s="5"/>
      <c r="S13" s="14">
        <f t="shared" ref="S13:Y13" si="5">SUM(S9:S12)</f>
        <v>8563.4810000000016</v>
      </c>
      <c r="T13" s="14">
        <f t="shared" si="5"/>
        <v>8055.4150000000018</v>
      </c>
      <c r="U13" s="14">
        <f t="shared" si="5"/>
        <v>7484.3360000000002</v>
      </c>
      <c r="V13" s="14">
        <f t="shared" si="5"/>
        <v>9094.3269999999993</v>
      </c>
      <c r="W13" s="14">
        <f t="shared" si="5"/>
        <v>8905.3269999999993</v>
      </c>
      <c r="X13" s="14">
        <f t="shared" si="5"/>
        <v>8737.3269999999993</v>
      </c>
      <c r="Y13" s="14">
        <f t="shared" si="5"/>
        <v>8625.3269999999993</v>
      </c>
      <c r="AA13" s="15">
        <f t="shared" si="2"/>
        <v>0.15245053134974151</v>
      </c>
    </row>
    <row r="14" spans="1:27" outlineLevel="1">
      <c r="B14" s="133" t="s">
        <v>91</v>
      </c>
      <c r="C14" s="80">
        <f>+C13-'Historical Financials'!C11</f>
        <v>0</v>
      </c>
      <c r="D14" s="80">
        <f>+D13-'Historical Financials'!D11</f>
        <v>0</v>
      </c>
      <c r="E14" s="80">
        <f>+E13-'Historical Financials'!E11</f>
        <v>0</v>
      </c>
      <c r="F14" s="11"/>
      <c r="G14" s="80">
        <f>G13-'Historical Financials'!G11</f>
        <v>0</v>
      </c>
      <c r="H14" s="80">
        <f>H13-'Historical Financials'!H11</f>
        <v>0</v>
      </c>
      <c r="I14" s="80">
        <f>I13-'Historical Financials'!I11</f>
        <v>0</v>
      </c>
      <c r="J14" s="80">
        <f>J13-'Historical Financials'!J11</f>
        <v>-9.6633812063373625E-13</v>
      </c>
      <c r="K14" s="80">
        <f>K13-'Historical Financials'!K11</f>
        <v>0</v>
      </c>
      <c r="L14" s="80">
        <f>L13-'Historical Financials'!L11</f>
        <v>0</v>
      </c>
      <c r="M14" s="80">
        <f>M13-'Historical Financials'!M11</f>
        <v>0</v>
      </c>
      <c r="N14" s="80">
        <f>N13-'Historical Financials'!N11</f>
        <v>0</v>
      </c>
      <c r="O14" s="80">
        <f>O13-'Historical Financials'!O11</f>
        <v>0</v>
      </c>
      <c r="P14" s="80">
        <f>P13-'Historical Financials'!P11</f>
        <v>0</v>
      </c>
      <c r="Q14" s="80">
        <f>Q13-'Historical Financials'!Q11</f>
        <v>0</v>
      </c>
      <c r="R14" s="80"/>
      <c r="S14" s="80">
        <f>+S13-'Historical Financials'!AA11</f>
        <v>0</v>
      </c>
      <c r="T14" s="80">
        <f>+T13-'Historical Financials'!AB11</f>
        <v>0</v>
      </c>
      <c r="U14" s="80">
        <f>+U13-'Historical Financials'!AC11</f>
        <v>0</v>
      </c>
      <c r="V14" s="80">
        <f>+V13-'Historical Financials'!AD11</f>
        <v>0</v>
      </c>
      <c r="W14" s="80">
        <f>+W13-'Historical Financials'!AE11</f>
        <v>0</v>
      </c>
      <c r="X14" s="80">
        <f>+X13-'Historical Financials'!AF11</f>
        <v>0</v>
      </c>
      <c r="Y14" s="80">
        <f>Y13-'Historical Financials'!AG11</f>
        <v>0</v>
      </c>
    </row>
    <row r="15" spans="1:27" ht="5.0999999999999996" customHeight="1">
      <c r="B15" s="18"/>
      <c r="C15" s="19"/>
      <c r="D15" s="19"/>
      <c r="E15" s="19"/>
      <c r="F15" s="20"/>
      <c r="G15" s="21"/>
      <c r="H15" s="21"/>
      <c r="I15" s="21"/>
      <c r="J15" s="22"/>
      <c r="K15" s="21"/>
      <c r="L15" s="21"/>
      <c r="M15" s="21"/>
      <c r="N15" s="21"/>
      <c r="O15" s="21"/>
      <c r="P15" s="21"/>
      <c r="Q15" s="21"/>
      <c r="R15" s="20"/>
      <c r="S15" s="20"/>
      <c r="T15" s="20"/>
      <c r="U15" s="20"/>
      <c r="V15" s="20"/>
      <c r="W15" s="20"/>
      <c r="X15" s="20"/>
      <c r="Y15" s="20"/>
    </row>
    <row r="16" spans="1:27">
      <c r="B16" s="156" t="str">
        <f>B9&amp;"(%)"</f>
        <v>Parts and Batteries (%)</v>
      </c>
      <c r="C16" s="159">
        <v>0.63</v>
      </c>
      <c r="D16" s="159">
        <v>0.63</v>
      </c>
      <c r="E16" s="159">
        <v>0.63</v>
      </c>
      <c r="F16" s="155"/>
      <c r="G16" s="154">
        <v>0.66</v>
      </c>
      <c r="H16" s="154">
        <v>0.66</v>
      </c>
      <c r="I16" s="154">
        <v>0.67</v>
      </c>
      <c r="J16" s="172">
        <f>D16</f>
        <v>0.63</v>
      </c>
      <c r="K16" s="154">
        <v>0.62</v>
      </c>
      <c r="L16" s="154">
        <v>0.63</v>
      </c>
      <c r="M16" s="154">
        <v>0.64</v>
      </c>
      <c r="N16" s="172">
        <f>E16</f>
        <v>0.63</v>
      </c>
      <c r="O16" s="154">
        <v>0.62</v>
      </c>
      <c r="P16" s="154">
        <v>0.63</v>
      </c>
      <c r="Q16" s="154">
        <v>0.65</v>
      </c>
      <c r="R16" s="155"/>
      <c r="S16" s="172">
        <f>K16</f>
        <v>0.62</v>
      </c>
      <c r="T16" s="172">
        <f t="shared" ref="T16:Y19" si="6">L16</f>
        <v>0.63</v>
      </c>
      <c r="U16" s="172">
        <f t="shared" si="6"/>
        <v>0.64</v>
      </c>
      <c r="V16" s="172">
        <f t="shared" si="6"/>
        <v>0.63</v>
      </c>
      <c r="W16" s="172">
        <f t="shared" si="6"/>
        <v>0.62</v>
      </c>
      <c r="X16" s="172">
        <f t="shared" si="6"/>
        <v>0.63</v>
      </c>
      <c r="Y16" s="175">
        <f t="shared" si="6"/>
        <v>0.65</v>
      </c>
    </row>
    <row r="17" spans="2:25">
      <c r="B17" s="157" t="str">
        <f t="shared" ref="B17:B19" si="7">B10&amp;"(%)"</f>
        <v>Accessories and Chemicals (%)</v>
      </c>
      <c r="C17" s="160">
        <v>0.23</v>
      </c>
      <c r="D17" s="160">
        <v>0.22</v>
      </c>
      <c r="E17" s="160">
        <v>0.22</v>
      </c>
      <c r="G17" s="151">
        <v>0.2</v>
      </c>
      <c r="H17" s="151">
        <v>0.2</v>
      </c>
      <c r="I17" s="151">
        <v>0.19</v>
      </c>
      <c r="J17" s="173">
        <f t="shared" ref="J17:J19" si="8">D17</f>
        <v>0.22</v>
      </c>
      <c r="K17" s="151">
        <v>0.23</v>
      </c>
      <c r="L17" s="151">
        <v>0.22</v>
      </c>
      <c r="M17" s="151">
        <v>0.21</v>
      </c>
      <c r="N17" s="173">
        <f t="shared" ref="N17:N19" si="9">E17</f>
        <v>0.22</v>
      </c>
      <c r="O17" s="151">
        <v>0.23</v>
      </c>
      <c r="P17" s="151">
        <v>0.22</v>
      </c>
      <c r="Q17" s="151">
        <v>0.2</v>
      </c>
      <c r="S17" s="173">
        <f t="shared" ref="S17:S19" si="10">K17</f>
        <v>0.23</v>
      </c>
      <c r="T17" s="173">
        <f t="shared" si="6"/>
        <v>0.22</v>
      </c>
      <c r="U17" s="173">
        <f t="shared" si="6"/>
        <v>0.21</v>
      </c>
      <c r="V17" s="173">
        <f t="shared" si="6"/>
        <v>0.22</v>
      </c>
      <c r="W17" s="173">
        <f t="shared" si="6"/>
        <v>0.23</v>
      </c>
      <c r="X17" s="173">
        <f t="shared" si="6"/>
        <v>0.22</v>
      </c>
      <c r="Y17" s="176">
        <f t="shared" si="6"/>
        <v>0.2</v>
      </c>
    </row>
    <row r="18" spans="2:25">
      <c r="B18" s="157" t="str">
        <f t="shared" si="7"/>
        <v>Engine Maintenance (%)</v>
      </c>
      <c r="C18" s="160">
        <v>0.13</v>
      </c>
      <c r="D18" s="160">
        <v>0.14000000000000001</v>
      </c>
      <c r="E18" s="160">
        <v>0.14000000000000001</v>
      </c>
      <c r="G18" s="151">
        <v>0.13</v>
      </c>
      <c r="H18" s="151">
        <v>0.13</v>
      </c>
      <c r="I18" s="151">
        <v>0.13</v>
      </c>
      <c r="J18" s="173">
        <f t="shared" si="8"/>
        <v>0.14000000000000001</v>
      </c>
      <c r="K18" s="151">
        <v>0.14000000000000001</v>
      </c>
      <c r="L18" s="151">
        <v>0.14000000000000001</v>
      </c>
      <c r="M18" s="151">
        <v>0.14000000000000001</v>
      </c>
      <c r="N18" s="173">
        <f t="shared" si="9"/>
        <v>0.14000000000000001</v>
      </c>
      <c r="O18" s="151">
        <v>0.14000000000000001</v>
      </c>
      <c r="P18" s="151">
        <v>0.14000000000000001</v>
      </c>
      <c r="Q18" s="151">
        <v>0.14000000000000001</v>
      </c>
      <c r="S18" s="173">
        <f t="shared" si="10"/>
        <v>0.14000000000000001</v>
      </c>
      <c r="T18" s="173">
        <f t="shared" si="6"/>
        <v>0.14000000000000001</v>
      </c>
      <c r="U18" s="173">
        <f t="shared" si="6"/>
        <v>0.14000000000000001</v>
      </c>
      <c r="V18" s="173">
        <f t="shared" si="6"/>
        <v>0.14000000000000001</v>
      </c>
      <c r="W18" s="173">
        <f t="shared" si="6"/>
        <v>0.14000000000000001</v>
      </c>
      <c r="X18" s="173">
        <f t="shared" si="6"/>
        <v>0.14000000000000001</v>
      </c>
      <c r="Y18" s="176">
        <f t="shared" si="6"/>
        <v>0.14000000000000001</v>
      </c>
    </row>
    <row r="19" spans="2:25">
      <c r="B19" s="158" t="str">
        <f t="shared" si="7"/>
        <v>Other (%)</v>
      </c>
      <c r="C19" s="161">
        <v>0.01</v>
      </c>
      <c r="D19" s="161">
        <v>0.01</v>
      </c>
      <c r="E19" s="161">
        <v>0.01</v>
      </c>
      <c r="F19" s="153"/>
      <c r="G19" s="152">
        <v>0.01</v>
      </c>
      <c r="H19" s="152">
        <v>0.01</v>
      </c>
      <c r="I19" s="152">
        <v>0.01</v>
      </c>
      <c r="J19" s="174">
        <f t="shared" si="8"/>
        <v>0.01</v>
      </c>
      <c r="K19" s="152">
        <v>0.01</v>
      </c>
      <c r="L19" s="152">
        <v>0.01</v>
      </c>
      <c r="M19" s="152">
        <v>0.01</v>
      </c>
      <c r="N19" s="174">
        <f t="shared" si="9"/>
        <v>0.01</v>
      </c>
      <c r="O19" s="152">
        <v>0.01</v>
      </c>
      <c r="P19" s="152">
        <v>0.01</v>
      </c>
      <c r="Q19" s="152">
        <v>0.01</v>
      </c>
      <c r="R19" s="153"/>
      <c r="S19" s="174">
        <f t="shared" si="10"/>
        <v>0.01</v>
      </c>
      <c r="T19" s="174">
        <f t="shared" si="6"/>
        <v>0.01</v>
      </c>
      <c r="U19" s="174">
        <f t="shared" si="6"/>
        <v>0.01</v>
      </c>
      <c r="V19" s="174">
        <f t="shared" si="6"/>
        <v>0.01</v>
      </c>
      <c r="W19" s="174">
        <f t="shared" si="6"/>
        <v>0.01</v>
      </c>
      <c r="X19" s="174">
        <f t="shared" si="6"/>
        <v>0.01</v>
      </c>
      <c r="Y19" s="177">
        <f t="shared" si="6"/>
        <v>0.01</v>
      </c>
    </row>
  </sheetData>
  <mergeCells count="1">
    <mergeCell ref="AA2:AA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A9:AA12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G83"/>
  <sheetViews>
    <sheetView showGridLines="0" tabSelected="1" zoomScale="130" zoomScaleNormal="130" workbookViewId="0">
      <selection activeCell="I33" sqref="I33"/>
    </sheetView>
  </sheetViews>
  <sheetFormatPr defaultRowHeight="12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customWidth="1" outlineLevel="1"/>
    <col min="9" max="12" width="8.875" style="8" customWidth="1" outlineLevel="1"/>
    <col min="13" max="17" width="8.875" style="8" bestFit="1" customWidth="1"/>
    <col min="18" max="18" width="1.625" style="8" customWidth="1"/>
    <col min="19" max="19" width="9" style="8" hidden="1" customWidth="1" outlineLevel="1"/>
    <col min="20" max="20" width="8.625" style="8" hidden="1" customWidth="1" outlineLevel="1"/>
    <col min="21" max="21" width="8.5" style="8" hidden="1" customWidth="1" outlineLevel="1"/>
    <col min="22" max="23" width="8.25" style="8" hidden="1" customWidth="1" outlineLevel="1"/>
    <col min="24" max="24" width="9.25" style="8" hidden="1" customWidth="1" outlineLevel="1"/>
    <col min="25" max="25" width="9.75" style="8" hidden="1" customWidth="1" outlineLevel="1"/>
    <col min="26" max="26" width="9" style="8" hidden="1" customWidth="1" outlineLevel="1"/>
    <col min="27" max="27" width="9" style="8" customWidth="1" collapsed="1"/>
    <col min="28" max="29" width="9" style="8" hidden="1" customWidth="1" outlineLevel="1"/>
    <col min="30" max="30" width="8.5" style="8" hidden="1" customWidth="1" outlineLevel="1"/>
    <col min="31" max="31" width="8.5" style="8" bestFit="1" customWidth="1" collapsed="1"/>
    <col min="32" max="32" width="1.5" style="8" customWidth="1"/>
    <col min="33" max="33" width="9.375" style="130" bestFit="1" customWidth="1"/>
    <col min="34" max="16384" width="9" style="8"/>
  </cols>
  <sheetData>
    <row r="2" spans="2:33" s="5" customFormat="1" ht="12.75" customHeight="1">
      <c r="B2" s="1" t="str">
        <f>'Historical Financials'!B2</f>
        <v>Advance Autoparts (NASDAQ: AAP)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 t="s">
        <v>10</v>
      </c>
      <c r="T2" s="2"/>
      <c r="U2" s="2"/>
      <c r="V2" s="2"/>
      <c r="W2" s="2"/>
      <c r="X2" s="2"/>
      <c r="Y2" s="2"/>
      <c r="Z2" s="2" t="s">
        <v>10</v>
      </c>
      <c r="AA2" s="2" t="s">
        <v>10</v>
      </c>
      <c r="AB2" s="2"/>
      <c r="AC2" s="2"/>
      <c r="AD2" s="2"/>
      <c r="AE2" s="2"/>
      <c r="AF2" s="3"/>
      <c r="AG2" s="167" t="s">
        <v>25</v>
      </c>
    </row>
    <row r="3" spans="2:33" s="5" customFormat="1" ht="12.75" customHeight="1">
      <c r="B3" s="6" t="s">
        <v>26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e">
        <f>#REF!</f>
        <v>#REF!</v>
      </c>
      <c r="T3" s="4" t="e">
        <f>#REF!</f>
        <v>#REF!</v>
      </c>
      <c r="U3" s="4" t="str">
        <f t="shared" ref="U3:AE4" si="0">G3</f>
        <v>1Q23</v>
      </c>
      <c r="V3" s="4" t="str">
        <f t="shared" si="0"/>
        <v>2Q23</v>
      </c>
      <c r="W3" s="4" t="str">
        <f t="shared" si="0"/>
        <v>3Q23</v>
      </c>
      <c r="X3" s="4" t="str">
        <f t="shared" si="0"/>
        <v>4Q23</v>
      </c>
      <c r="Y3" s="4" t="str">
        <f t="shared" si="0"/>
        <v>1Q24</v>
      </c>
      <c r="Z3" s="4" t="str">
        <f t="shared" si="0"/>
        <v>2Q24</v>
      </c>
      <c r="AA3" s="4" t="str">
        <f t="shared" si="0"/>
        <v>3Q24</v>
      </c>
      <c r="AB3" s="4" t="str">
        <f t="shared" si="0"/>
        <v>4Q24</v>
      </c>
      <c r="AC3" s="4" t="str">
        <f t="shared" si="0"/>
        <v>1Q25</v>
      </c>
      <c r="AD3" s="4" t="str">
        <f t="shared" si="0"/>
        <v>2Q25</v>
      </c>
      <c r="AE3" s="4" t="str">
        <f t="shared" si="0"/>
        <v>3Q25</v>
      </c>
      <c r="AF3" s="3"/>
      <c r="AG3" s="167"/>
    </row>
    <row r="4" spans="2:33" s="5" customFormat="1" ht="12.75" customHeight="1">
      <c r="B4" s="6" t="s">
        <v>72</v>
      </c>
      <c r="C4" s="3">
        <f>'Historical Financials'!C8</f>
        <v>44926</v>
      </c>
      <c r="D4" s="3">
        <f>'Historical Financials'!D8</f>
        <v>45290</v>
      </c>
      <c r="E4" s="3">
        <f>'Historical Financials'!E8</f>
        <v>45654</v>
      </c>
      <c r="F4" s="3"/>
      <c r="G4" s="3">
        <f>'Historical Financials'!G8</f>
        <v>45038</v>
      </c>
      <c r="H4" s="3">
        <f>'Historical Financials'!H8</f>
        <v>45122</v>
      </c>
      <c r="I4" s="3">
        <f>'Historical Financials'!I8</f>
        <v>45206</v>
      </c>
      <c r="J4" s="3">
        <f>'Historical Financials'!J8</f>
        <v>45290</v>
      </c>
      <c r="K4" s="3">
        <f>'Historical Financials'!K8</f>
        <v>45402</v>
      </c>
      <c r="L4" s="3">
        <f>'Historical Financials'!L8</f>
        <v>45486</v>
      </c>
      <c r="M4" s="3">
        <f>'Historical Financials'!M8</f>
        <v>45570</v>
      </c>
      <c r="N4" s="3">
        <f>'Historical Financials'!N8</f>
        <v>45654</v>
      </c>
      <c r="O4" s="3">
        <f>'Historical Financials'!O8</f>
        <v>45766</v>
      </c>
      <c r="P4" s="3">
        <f>'Historical Financials'!P8</f>
        <v>45859</v>
      </c>
      <c r="Q4" s="3">
        <f>'Historical Financials'!Q8</f>
        <v>45934</v>
      </c>
      <c r="R4" s="3"/>
      <c r="S4" s="3" t="e">
        <f>#REF!</f>
        <v>#REF!</v>
      </c>
      <c r="T4" s="3" t="e">
        <f>#REF!</f>
        <v>#REF!</v>
      </c>
      <c r="U4" s="3">
        <f t="shared" si="0"/>
        <v>45038</v>
      </c>
      <c r="V4" s="3">
        <f t="shared" si="0"/>
        <v>45122</v>
      </c>
      <c r="W4" s="3">
        <f t="shared" si="0"/>
        <v>45206</v>
      </c>
      <c r="X4" s="3">
        <f t="shared" si="0"/>
        <v>45290</v>
      </c>
      <c r="Y4" s="3">
        <f t="shared" si="0"/>
        <v>45402</v>
      </c>
      <c r="Z4" s="3">
        <f t="shared" si="0"/>
        <v>45486</v>
      </c>
      <c r="AA4" s="3">
        <f t="shared" si="0"/>
        <v>45570</v>
      </c>
      <c r="AB4" s="3">
        <f t="shared" si="0"/>
        <v>45654</v>
      </c>
      <c r="AC4" s="3">
        <f t="shared" si="0"/>
        <v>45766</v>
      </c>
      <c r="AD4" s="3">
        <f t="shared" si="0"/>
        <v>45859</v>
      </c>
      <c r="AE4" s="3">
        <f t="shared" si="0"/>
        <v>45934</v>
      </c>
      <c r="AF4" s="3"/>
      <c r="AG4" s="167"/>
    </row>
    <row r="5" spans="2:33" ht="5.0999999999999996" customHeight="1">
      <c r="AG5" s="126"/>
    </row>
    <row r="6" spans="2:33" ht="12.75" customHeight="1">
      <c r="B6" s="9" t="str">
        <f>'Revenue Drivers'!B9</f>
        <v xml:space="preserve">Parts and Batteries </v>
      </c>
      <c r="C6" s="96">
        <f>'Revenue Drivers'!C9</f>
        <v>5763.7906199999998</v>
      </c>
      <c r="D6" s="96">
        <f>'Revenue Drivers'!D9</f>
        <v>5801.7172500000006</v>
      </c>
      <c r="E6" s="96">
        <f>'Revenue Drivers'!E9</f>
        <v>5729.4260099999992</v>
      </c>
      <c r="F6" s="10"/>
      <c r="G6" s="96">
        <f>'Revenue Drivers'!G9</f>
        <v>2255.61204</v>
      </c>
      <c r="H6" s="96">
        <f>'Revenue Drivers'!H9</f>
        <v>1772.8035600000001</v>
      </c>
      <c r="I6" s="96">
        <f>'Revenue Drivers'!I9</f>
        <v>1821.7829300000003</v>
      </c>
      <c r="J6" s="96">
        <f>'Revenue Drivers'!J9</f>
        <v>-48.48127999999997</v>
      </c>
      <c r="K6" s="96">
        <f>'Revenue Drivers'!K9</f>
        <v>1718.64</v>
      </c>
      <c r="L6" s="96">
        <f>'Revenue Drivers'!L9</f>
        <v>1372.14</v>
      </c>
      <c r="M6" s="96">
        <f>'Revenue Drivers'!M9</f>
        <v>1374.72</v>
      </c>
      <c r="N6" s="96">
        <f>'Revenue Drivers'!N9</f>
        <v>1263.9260099999992</v>
      </c>
      <c r="O6" s="96">
        <f>'Revenue Drivers'!O9</f>
        <v>1601.46</v>
      </c>
      <c r="P6" s="96">
        <f>'Revenue Drivers'!P9</f>
        <v>1266.3</v>
      </c>
      <c r="Q6" s="96">
        <f>'Revenue Drivers'!Q9</f>
        <v>1323.4</v>
      </c>
      <c r="R6" s="5"/>
      <c r="S6" s="10">
        <f>SUM(F6:F6)</f>
        <v>0</v>
      </c>
      <c r="T6" s="10" t="e">
        <f>SUM(#REF!)</f>
        <v>#REF!</v>
      </c>
      <c r="U6" s="10">
        <f>SUM(G6:G6)</f>
        <v>2255.61204</v>
      </c>
      <c r="V6" s="10">
        <f>SUM(G6:H6)</f>
        <v>4028.4156000000003</v>
      </c>
      <c r="W6" s="10">
        <f>SUM(G6:I6)</f>
        <v>5850.1985300000006</v>
      </c>
      <c r="X6" s="10">
        <f t="shared" ref="X6:AE6" si="1">SUM(G6:J6)</f>
        <v>5801.7172500000006</v>
      </c>
      <c r="Y6" s="10">
        <f t="shared" si="1"/>
        <v>5264.745210000001</v>
      </c>
      <c r="Z6" s="10">
        <f t="shared" si="1"/>
        <v>4864.081650000001</v>
      </c>
      <c r="AA6" s="147">
        <f t="shared" si="1"/>
        <v>4417.01872</v>
      </c>
      <c r="AB6" s="147">
        <f t="shared" si="1"/>
        <v>5729.4260099999992</v>
      </c>
      <c r="AC6" s="147">
        <f t="shared" si="1"/>
        <v>5612.2460099999989</v>
      </c>
      <c r="AD6" s="147">
        <f t="shared" si="1"/>
        <v>5506.4060099999997</v>
      </c>
      <c r="AE6" s="147">
        <f t="shared" si="1"/>
        <v>5455.0860099999991</v>
      </c>
      <c r="AG6" s="127">
        <f t="shared" ref="AG6:AG10" si="2">SUM(AE6/AA6)-1</f>
        <v>0.23501537027671882</v>
      </c>
    </row>
    <row r="7" spans="2:33" ht="12.75" customHeight="1">
      <c r="B7" s="9" t="str">
        <f>'Revenue Drivers'!B10</f>
        <v xml:space="preserve">Accessories and Chemicals </v>
      </c>
      <c r="C7" s="96">
        <f>'Revenue Drivers'!C10</f>
        <v>2104.2410199999999</v>
      </c>
      <c r="D7" s="96">
        <f>'Revenue Drivers'!D10</f>
        <v>2025.9965000000002</v>
      </c>
      <c r="E7" s="96">
        <f>'Revenue Drivers'!E10</f>
        <v>2000.7519399999999</v>
      </c>
      <c r="F7" s="10"/>
      <c r="G7" s="96">
        <f>'Revenue Drivers'!G10</f>
        <v>683.51880000000006</v>
      </c>
      <c r="H7" s="96">
        <f>'Revenue Drivers'!H10</f>
        <v>537.21320000000003</v>
      </c>
      <c r="I7" s="96">
        <f>'Revenue Drivers'!I10</f>
        <v>516.62501000000009</v>
      </c>
      <c r="J7" s="96">
        <f>'Revenue Drivers'!J10</f>
        <v>288.63949000000002</v>
      </c>
      <c r="K7" s="96">
        <f>'Revenue Drivers'!K10</f>
        <v>637.56000000000006</v>
      </c>
      <c r="L7" s="96">
        <f>'Revenue Drivers'!L10</f>
        <v>479.16</v>
      </c>
      <c r="M7" s="96">
        <f>'Revenue Drivers'!M10</f>
        <v>451.08</v>
      </c>
      <c r="N7" s="96">
        <f>'Revenue Drivers'!N10</f>
        <v>432.95193999999992</v>
      </c>
      <c r="O7" s="96">
        <f>'Revenue Drivers'!O10</f>
        <v>594.09</v>
      </c>
      <c r="P7" s="96">
        <f>'Revenue Drivers'!P10</f>
        <v>442.2</v>
      </c>
      <c r="Q7" s="96">
        <f>'Revenue Drivers'!Q10</f>
        <v>407.20000000000005</v>
      </c>
      <c r="R7" s="5"/>
      <c r="S7" s="10"/>
      <c r="T7" s="10"/>
      <c r="U7" s="10"/>
      <c r="V7" s="10"/>
      <c r="W7" s="10"/>
      <c r="X7" s="10"/>
      <c r="Y7" s="10"/>
      <c r="Z7" s="10"/>
      <c r="AA7" s="147">
        <f t="shared" ref="AA7:AE9" si="3">SUM(J7:M7)</f>
        <v>1856.43949</v>
      </c>
      <c r="AB7" s="147">
        <f t="shared" si="3"/>
        <v>2000.7519399999999</v>
      </c>
      <c r="AC7" s="147">
        <f t="shared" si="3"/>
        <v>1957.2819399999998</v>
      </c>
      <c r="AD7" s="147">
        <f t="shared" si="3"/>
        <v>1920.32194</v>
      </c>
      <c r="AE7" s="147">
        <f t="shared" si="3"/>
        <v>1876.4419400000002</v>
      </c>
      <c r="AG7" s="127">
        <f t="shared" si="2"/>
        <v>1.0774630742206526E-2</v>
      </c>
    </row>
    <row r="8" spans="2:33" ht="12.75" customHeight="1">
      <c r="B8" s="9" t="str">
        <f>'Revenue Drivers'!B11</f>
        <v xml:space="preserve">Engine Maintenance </v>
      </c>
      <c r="C8" s="96">
        <f>'Revenue Drivers'!C11</f>
        <v>1189.3536200000001</v>
      </c>
      <c r="D8" s="96">
        <f>'Revenue Drivers'!D11</f>
        <v>1289.2705000000003</v>
      </c>
      <c r="E8" s="96">
        <f>'Revenue Drivers'!E11</f>
        <v>1273.20578</v>
      </c>
      <c r="F8" s="10"/>
      <c r="G8" s="96">
        <f>'Revenue Drivers'!G11</f>
        <v>444.28722000000005</v>
      </c>
      <c r="H8" s="96">
        <f>'Revenue Drivers'!H11</f>
        <v>349.18858</v>
      </c>
      <c r="I8" s="96">
        <f>'Revenue Drivers'!I11</f>
        <v>353.48027000000002</v>
      </c>
      <c r="J8" s="96">
        <f>'Revenue Drivers'!J11</f>
        <v>142.31443000000013</v>
      </c>
      <c r="K8" s="96">
        <f>'Revenue Drivers'!K11</f>
        <v>388.08000000000004</v>
      </c>
      <c r="L8" s="96">
        <f>'Revenue Drivers'!L11</f>
        <v>304.92</v>
      </c>
      <c r="M8" s="96">
        <f>'Revenue Drivers'!M11</f>
        <v>300.72000000000003</v>
      </c>
      <c r="N8" s="96">
        <f>'Revenue Drivers'!N11</f>
        <v>279.48577999999998</v>
      </c>
      <c r="O8" s="96">
        <f>'Revenue Drivers'!O11</f>
        <v>361.62000000000006</v>
      </c>
      <c r="P8" s="96">
        <f>'Revenue Drivers'!P11</f>
        <v>281.40000000000003</v>
      </c>
      <c r="Q8" s="96">
        <f>'Revenue Drivers'!Q11</f>
        <v>285.04000000000002</v>
      </c>
      <c r="R8" s="5"/>
      <c r="S8" s="10"/>
      <c r="T8" s="10"/>
      <c r="U8" s="10"/>
      <c r="V8" s="10"/>
      <c r="W8" s="10"/>
      <c r="X8" s="10"/>
      <c r="Y8" s="10"/>
      <c r="Z8" s="10"/>
      <c r="AA8" s="147">
        <f t="shared" si="3"/>
        <v>1136.0344300000002</v>
      </c>
      <c r="AB8" s="147">
        <f t="shared" si="3"/>
        <v>1273.20578</v>
      </c>
      <c r="AC8" s="147">
        <f t="shared" si="3"/>
        <v>1246.7457800000002</v>
      </c>
      <c r="AD8" s="147">
        <f t="shared" si="3"/>
        <v>1223.2257800000002</v>
      </c>
      <c r="AE8" s="147">
        <f t="shared" si="3"/>
        <v>1207.5457800000001</v>
      </c>
      <c r="AG8" s="127">
        <f t="shared" si="2"/>
        <v>6.2948224201268221E-2</v>
      </c>
    </row>
    <row r="9" spans="2:33" ht="12.75" customHeight="1">
      <c r="B9" s="9" t="str">
        <f>'Revenue Drivers'!B12</f>
        <v xml:space="preserve">Other </v>
      </c>
      <c r="C9" s="96">
        <f>'Revenue Drivers'!C12</f>
        <v>91.488739999999993</v>
      </c>
      <c r="D9" s="96">
        <f>'Revenue Drivers'!D12</f>
        <v>92.090750000000014</v>
      </c>
      <c r="E9" s="96">
        <f>'Revenue Drivers'!E12</f>
        <v>90.943269999999998</v>
      </c>
      <c r="F9" s="10"/>
      <c r="G9" s="96">
        <f>'Revenue Drivers'!G12</f>
        <v>34.175940000000004</v>
      </c>
      <c r="H9" s="96">
        <f>'Revenue Drivers'!H12</f>
        <v>26.860659999999999</v>
      </c>
      <c r="I9" s="96">
        <f>'Revenue Drivers'!I12</f>
        <v>27.190790000000003</v>
      </c>
      <c r="J9" s="96">
        <f>'Revenue Drivers'!J12</f>
        <v>3.8633600000000001</v>
      </c>
      <c r="K9" s="96">
        <f>'Revenue Drivers'!K12</f>
        <v>27.72</v>
      </c>
      <c r="L9" s="96">
        <f>'Revenue Drivers'!L12</f>
        <v>21.78</v>
      </c>
      <c r="M9" s="96">
        <f>'Revenue Drivers'!M12</f>
        <v>21.48</v>
      </c>
      <c r="N9" s="96">
        <f>'Revenue Drivers'!N12</f>
        <v>19.963269999999994</v>
      </c>
      <c r="O9" s="96">
        <f>'Revenue Drivers'!O12</f>
        <v>25.830000000000002</v>
      </c>
      <c r="P9" s="96">
        <f>'Revenue Drivers'!P12</f>
        <v>20.100000000000001</v>
      </c>
      <c r="Q9" s="96">
        <f>'Revenue Drivers'!Q12</f>
        <v>20.36</v>
      </c>
      <c r="R9" s="5"/>
      <c r="S9" s="10"/>
      <c r="T9" s="10"/>
      <c r="U9" s="10"/>
      <c r="V9" s="10"/>
      <c r="W9" s="10"/>
      <c r="X9" s="10"/>
      <c r="Y9" s="10"/>
      <c r="Z9" s="10"/>
      <c r="AA9" s="147">
        <f t="shared" si="3"/>
        <v>74.843360000000004</v>
      </c>
      <c r="AB9" s="147">
        <f t="shared" si="3"/>
        <v>90.943269999999998</v>
      </c>
      <c r="AC9" s="147">
        <f t="shared" si="3"/>
        <v>89.053269999999998</v>
      </c>
      <c r="AD9" s="147">
        <f t="shared" si="3"/>
        <v>87.373269999999991</v>
      </c>
      <c r="AE9" s="147">
        <f t="shared" si="3"/>
        <v>86.253270000000001</v>
      </c>
      <c r="AG9" s="127">
        <f t="shared" si="2"/>
        <v>0.15245053134974151</v>
      </c>
    </row>
    <row r="10" spans="2:33" ht="12.75" customHeight="1">
      <c r="B10" s="13" t="s">
        <v>12</v>
      </c>
      <c r="C10" s="14">
        <f>SUM(C6:C9)</f>
        <v>9148.8739999999998</v>
      </c>
      <c r="D10" s="14">
        <f>SUM(D6:D9)</f>
        <v>9209.0750000000007</v>
      </c>
      <c r="E10" s="14">
        <f>SUM(E6:E9)</f>
        <v>9094.3269999999993</v>
      </c>
      <c r="F10" s="10"/>
      <c r="G10" s="14">
        <f t="shared" ref="G10:Q10" si="4">SUM(G6:G9)</f>
        <v>3417.5940000000001</v>
      </c>
      <c r="H10" s="14">
        <f t="shared" si="4"/>
        <v>2686.0659999999998</v>
      </c>
      <c r="I10" s="14">
        <f t="shared" si="4"/>
        <v>2719.0790000000006</v>
      </c>
      <c r="J10" s="14">
        <f t="shared" si="4"/>
        <v>386.33600000000018</v>
      </c>
      <c r="K10" s="14">
        <f t="shared" si="4"/>
        <v>2772</v>
      </c>
      <c r="L10" s="14">
        <f t="shared" si="4"/>
        <v>2178.0000000000005</v>
      </c>
      <c r="M10" s="14">
        <f t="shared" si="4"/>
        <v>2148</v>
      </c>
      <c r="N10" s="14">
        <f t="shared" si="4"/>
        <v>1996.3269999999991</v>
      </c>
      <c r="O10" s="14">
        <f t="shared" si="4"/>
        <v>2583</v>
      </c>
      <c r="P10" s="14">
        <f t="shared" si="4"/>
        <v>2010</v>
      </c>
      <c r="Q10" s="14">
        <f t="shared" si="4"/>
        <v>2036</v>
      </c>
      <c r="R10" s="5"/>
      <c r="S10" s="14">
        <f t="shared" ref="S10:AE10" si="5">SUM(S6:S9)</f>
        <v>0</v>
      </c>
      <c r="T10" s="14" t="e">
        <f t="shared" si="5"/>
        <v>#REF!</v>
      </c>
      <c r="U10" s="14">
        <f t="shared" si="5"/>
        <v>2255.61204</v>
      </c>
      <c r="V10" s="14">
        <f t="shared" si="5"/>
        <v>4028.4156000000003</v>
      </c>
      <c r="W10" s="14">
        <f t="shared" si="5"/>
        <v>5850.1985300000006</v>
      </c>
      <c r="X10" s="14">
        <f t="shared" si="5"/>
        <v>5801.7172500000006</v>
      </c>
      <c r="Y10" s="14">
        <f t="shared" si="5"/>
        <v>5264.745210000001</v>
      </c>
      <c r="Z10" s="14">
        <f t="shared" si="5"/>
        <v>4864.081650000001</v>
      </c>
      <c r="AA10" s="14">
        <f t="shared" si="5"/>
        <v>7484.3360000000002</v>
      </c>
      <c r="AB10" s="14">
        <f t="shared" si="5"/>
        <v>9094.3269999999993</v>
      </c>
      <c r="AC10" s="14">
        <f t="shared" si="5"/>
        <v>8905.3269999999993</v>
      </c>
      <c r="AD10" s="14">
        <f t="shared" si="5"/>
        <v>8737.3269999999993</v>
      </c>
      <c r="AE10" s="14">
        <f t="shared" si="5"/>
        <v>8625.3269999999993</v>
      </c>
      <c r="AG10" s="128">
        <f t="shared" si="2"/>
        <v>0.15245053134974151</v>
      </c>
    </row>
    <row r="11" spans="2:33" ht="12.75" customHeight="1">
      <c r="B11" s="16" t="s">
        <v>29</v>
      </c>
      <c r="C11" s="17"/>
      <c r="D11" s="17">
        <f>SUM(D10/C10)-1</f>
        <v>6.580154016767592E-3</v>
      </c>
      <c r="E11" s="17">
        <f>SUM(E10/D10)-1</f>
        <v>-1.2460317675771049E-2</v>
      </c>
      <c r="F11" s="11"/>
      <c r="G11" s="17"/>
      <c r="H11" s="17"/>
      <c r="I11" s="17"/>
      <c r="J11" s="17"/>
      <c r="K11" s="17">
        <f t="shared" ref="K11:Q11" si="6">SUM(K10/G10)-1</f>
        <v>-0.18890307040567134</v>
      </c>
      <c r="L11" s="17">
        <f t="shared" si="6"/>
        <v>-0.18914874020221373</v>
      </c>
      <c r="M11" s="17">
        <f t="shared" si="6"/>
        <v>-0.21002663034064128</v>
      </c>
      <c r="N11" s="17">
        <f t="shared" si="6"/>
        <v>4.1673336163339636</v>
      </c>
      <c r="O11" s="17">
        <f t="shared" si="6"/>
        <v>-6.8181818181818232E-2</v>
      </c>
      <c r="P11" s="17">
        <f t="shared" si="6"/>
        <v>-7.7134986225895541E-2</v>
      </c>
      <c r="Q11" s="17">
        <f t="shared" si="6"/>
        <v>-5.2141527001862142E-2</v>
      </c>
      <c r="R11" s="5"/>
      <c r="S11" s="116"/>
      <c r="T11" s="116"/>
      <c r="U11" s="116"/>
      <c r="V11" s="116"/>
      <c r="W11" s="17" t="e">
        <f t="shared" ref="W11:AE11" si="7">SUM(W10/S10)-1</f>
        <v>#DIV/0!</v>
      </c>
      <c r="X11" s="17" t="e">
        <f t="shared" si="7"/>
        <v>#REF!</v>
      </c>
      <c r="Y11" s="17">
        <f t="shared" si="7"/>
        <v>1.3340650416106135</v>
      </c>
      <c r="Z11" s="17">
        <f t="shared" si="7"/>
        <v>0.20744285917272309</v>
      </c>
      <c r="AA11" s="17">
        <f t="shared" si="7"/>
        <v>0.27933025889977769</v>
      </c>
      <c r="AB11" s="17">
        <f t="shared" si="7"/>
        <v>0.56752330527655381</v>
      </c>
      <c r="AC11" s="17">
        <f t="shared" si="7"/>
        <v>0.69150199008396029</v>
      </c>
      <c r="AD11" s="17">
        <f t="shared" si="7"/>
        <v>0.79629529862024362</v>
      </c>
      <c r="AE11" s="17">
        <f t="shared" si="7"/>
        <v>0.15245053134974151</v>
      </c>
      <c r="AG11" s="129">
        <f>SUM(AE11-AA11)*10000</f>
        <v>-1268.7972755003618</v>
      </c>
    </row>
    <row r="12" spans="2:33" ht="12.75" customHeight="1">
      <c r="B12" s="16" t="s">
        <v>30</v>
      </c>
      <c r="C12" s="17" t="s">
        <v>31</v>
      </c>
      <c r="D12" s="17" t="s">
        <v>31</v>
      </c>
      <c r="E12" s="17" t="s">
        <v>31</v>
      </c>
      <c r="F12" s="11"/>
      <c r="G12" s="17"/>
      <c r="H12" s="17">
        <f t="shared" ref="H12:Q12" si="8">SUM(H10/G10)-1</f>
        <v>-0.21404766043011547</v>
      </c>
      <c r="I12" s="17">
        <f t="shared" si="8"/>
        <v>1.2290464940176715E-2</v>
      </c>
      <c r="J12" s="17">
        <f t="shared" si="8"/>
        <v>-0.85791659602387427</v>
      </c>
      <c r="K12" s="17">
        <f t="shared" si="8"/>
        <v>6.175101466081335</v>
      </c>
      <c r="L12" s="17">
        <f t="shared" si="8"/>
        <v>-0.21428571428571408</v>
      </c>
      <c r="M12" s="17">
        <f t="shared" si="8"/>
        <v>-1.3774104683195842E-2</v>
      </c>
      <c r="N12" s="17">
        <f t="shared" si="8"/>
        <v>-7.0611266294227648E-2</v>
      </c>
      <c r="O12" s="17">
        <f t="shared" si="8"/>
        <v>0.29387620364800005</v>
      </c>
      <c r="P12" s="17">
        <f t="shared" si="8"/>
        <v>-0.22183507549361203</v>
      </c>
      <c r="Q12" s="17">
        <f t="shared" si="8"/>
        <v>1.2935323383084674E-2</v>
      </c>
      <c r="R12" s="5"/>
      <c r="S12" s="17" t="s">
        <v>31</v>
      </c>
      <c r="T12" s="17" t="s">
        <v>31</v>
      </c>
      <c r="U12" s="17" t="s">
        <v>31</v>
      </c>
      <c r="V12" s="17" t="s">
        <v>31</v>
      </c>
      <c r="W12" s="17" t="s">
        <v>31</v>
      </c>
      <c r="X12" s="17" t="s">
        <v>31</v>
      </c>
      <c r="Y12" s="17" t="s">
        <v>31</v>
      </c>
      <c r="Z12" s="17" t="s">
        <v>31</v>
      </c>
      <c r="AA12" s="17" t="s">
        <v>31</v>
      </c>
      <c r="AB12" s="17" t="s">
        <v>31</v>
      </c>
      <c r="AC12" s="17" t="s">
        <v>31</v>
      </c>
      <c r="AD12" s="17" t="s">
        <v>31</v>
      </c>
      <c r="AE12" s="17" t="s">
        <v>31</v>
      </c>
      <c r="AG12" s="126"/>
    </row>
    <row r="13" spans="2:33" ht="5.0999999999999996" customHeight="1">
      <c r="B13" s="18"/>
      <c r="C13" s="19"/>
      <c r="D13" s="19"/>
      <c r="E13" s="19"/>
      <c r="F13" s="20"/>
      <c r="G13" s="21"/>
      <c r="H13" s="21"/>
      <c r="I13" s="21"/>
      <c r="J13" s="22"/>
      <c r="K13" s="21"/>
      <c r="L13" s="21"/>
      <c r="M13" s="21"/>
      <c r="N13" s="21"/>
      <c r="O13" s="21"/>
      <c r="P13" s="21"/>
      <c r="Q13" s="21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G13" s="126"/>
    </row>
    <row r="14" spans="2:33" ht="12.75" customHeight="1">
      <c r="B14" s="23" t="s">
        <v>116</v>
      </c>
      <c r="C14" s="96">
        <f>'Historical Financials'!C13</f>
        <v>-4916.0039999999999</v>
      </c>
      <c r="D14" s="96">
        <f>'Historical Financials'!D13</f>
        <v>-5348.9660000000003</v>
      </c>
      <c r="E14" s="96">
        <f>'Historical Financials'!E13</f>
        <v>-5685.8069999999998</v>
      </c>
      <c r="F14" s="10"/>
      <c r="G14" s="96">
        <f>'Historical Financials'!G13</f>
        <v>-1946.931</v>
      </c>
      <c r="H14" s="96">
        <f>'Historical Financials'!H13</f>
        <v>-1537.9970000000001</v>
      </c>
      <c r="I14" s="96">
        <f>'Historical Financials'!I13</f>
        <v>-1732.42</v>
      </c>
      <c r="J14" s="96">
        <f>'Historical Financials'!J13</f>
        <v>-131.61800000000039</v>
      </c>
      <c r="K14" s="96">
        <f>'Historical Financials'!K13</f>
        <v>-1568</v>
      </c>
      <c r="L14" s="96">
        <f>'Historical Financials'!L13</f>
        <v>-1228</v>
      </c>
      <c r="M14" s="96">
        <f>'Historical Financials'!M13</f>
        <v>-1240</v>
      </c>
      <c r="N14" s="96">
        <f>'Historical Financials'!N13</f>
        <v>-1649.8069999999998</v>
      </c>
      <c r="O14" s="96">
        <f>'Historical Financials'!O13</f>
        <v>-1474</v>
      </c>
      <c r="P14" s="96">
        <f>'Historical Financials'!P13</f>
        <v>-1136</v>
      </c>
      <c r="Q14" s="96">
        <f>'Historical Financials'!Q13</f>
        <v>-1155</v>
      </c>
      <c r="R14" s="5"/>
      <c r="S14" s="10"/>
      <c r="T14" s="10"/>
      <c r="U14" s="10"/>
      <c r="V14" s="10"/>
      <c r="W14" s="10"/>
      <c r="X14" s="10"/>
      <c r="Y14" s="10"/>
      <c r="Z14" s="10"/>
      <c r="AA14" s="147">
        <f t="shared" ref="AA14" si="9">SUM(J14:M14)</f>
        <v>-4167.6180000000004</v>
      </c>
      <c r="AB14" s="147">
        <f t="shared" ref="AB14" si="10">SUM(K14:N14)</f>
        <v>-5685.8069999999998</v>
      </c>
      <c r="AC14" s="147">
        <f t="shared" ref="AC14" si="11">SUM(L14:O14)</f>
        <v>-5591.8069999999998</v>
      </c>
      <c r="AD14" s="147">
        <f t="shared" ref="AD14" si="12">SUM(M14:P14)</f>
        <v>-5499.8069999999998</v>
      </c>
      <c r="AE14" s="147">
        <f t="shared" ref="AE14" si="13">SUM(N14:Q14)</f>
        <v>-5414.8069999999998</v>
      </c>
      <c r="AG14" s="127"/>
    </row>
    <row r="15" spans="2:33" ht="12.75" customHeight="1">
      <c r="B15" s="25" t="s">
        <v>23</v>
      </c>
      <c r="C15" s="26">
        <f>SUM(C10+SUM(C14:C14))</f>
        <v>4232.87</v>
      </c>
      <c r="D15" s="26">
        <f>SUM(D10+SUM(D14:D14))</f>
        <v>3860.1090000000004</v>
      </c>
      <c r="E15" s="26">
        <f>SUM(E10+SUM(E14:E14))</f>
        <v>3408.5199999999995</v>
      </c>
      <c r="F15" s="5"/>
      <c r="G15" s="26">
        <f t="shared" ref="G15:Q15" si="14">SUM(G10+SUM(G14:G14))</f>
        <v>1470.663</v>
      </c>
      <c r="H15" s="26">
        <f t="shared" si="14"/>
        <v>1148.0689999999997</v>
      </c>
      <c r="I15" s="26">
        <f t="shared" si="14"/>
        <v>986.65900000000056</v>
      </c>
      <c r="J15" s="26">
        <f t="shared" si="14"/>
        <v>254.71799999999979</v>
      </c>
      <c r="K15" s="26">
        <f t="shared" si="14"/>
        <v>1204</v>
      </c>
      <c r="L15" s="26">
        <f t="shared" si="14"/>
        <v>950.00000000000045</v>
      </c>
      <c r="M15" s="26">
        <f t="shared" si="14"/>
        <v>908</v>
      </c>
      <c r="N15" s="26">
        <f t="shared" si="14"/>
        <v>346.5199999999993</v>
      </c>
      <c r="O15" s="26">
        <f t="shared" si="14"/>
        <v>1109</v>
      </c>
      <c r="P15" s="26">
        <f t="shared" si="14"/>
        <v>874</v>
      </c>
      <c r="Q15" s="26">
        <f t="shared" si="14"/>
        <v>881</v>
      </c>
      <c r="R15" s="5"/>
      <c r="S15" s="26">
        <f t="shared" ref="S15:AE15" si="15">SUM(S10+SUM(S14:S14))</f>
        <v>0</v>
      </c>
      <c r="T15" s="26" t="e">
        <f t="shared" si="15"/>
        <v>#REF!</v>
      </c>
      <c r="U15" s="26">
        <f t="shared" si="15"/>
        <v>2255.61204</v>
      </c>
      <c r="V15" s="26">
        <f t="shared" si="15"/>
        <v>4028.4156000000003</v>
      </c>
      <c r="W15" s="26">
        <f t="shared" si="15"/>
        <v>5850.1985300000006</v>
      </c>
      <c r="X15" s="26">
        <f t="shared" si="15"/>
        <v>5801.7172500000006</v>
      </c>
      <c r="Y15" s="26">
        <f t="shared" si="15"/>
        <v>5264.745210000001</v>
      </c>
      <c r="Z15" s="26">
        <f t="shared" si="15"/>
        <v>4864.081650000001</v>
      </c>
      <c r="AA15" s="26">
        <f t="shared" si="15"/>
        <v>3316.7179999999998</v>
      </c>
      <c r="AB15" s="26">
        <f t="shared" si="15"/>
        <v>3408.5199999999995</v>
      </c>
      <c r="AC15" s="26">
        <f t="shared" si="15"/>
        <v>3313.5199999999995</v>
      </c>
      <c r="AD15" s="26">
        <f t="shared" si="15"/>
        <v>3237.5199999999995</v>
      </c>
      <c r="AE15" s="26">
        <f t="shared" si="15"/>
        <v>3210.5199999999995</v>
      </c>
      <c r="AG15" s="128">
        <f>SUM(AE15/AA15)-1</f>
        <v>-3.2019001916955392E-2</v>
      </c>
    </row>
    <row r="16" spans="2:33" ht="12.75" customHeight="1">
      <c r="B16" s="16" t="s">
        <v>32</v>
      </c>
      <c r="C16" s="17">
        <f>C15/C10</f>
        <v>0.46266567885840376</v>
      </c>
      <c r="D16" s="17">
        <f>D15/D10</f>
        <v>0.41916359677817805</v>
      </c>
      <c r="E16" s="17">
        <f>E15/E10</f>
        <v>0.3747962878396609</v>
      </c>
      <c r="F16" s="27"/>
      <c r="G16" s="17">
        <f t="shared" ref="G16:Q16" si="16">G15/G10</f>
        <v>0.43032115576045604</v>
      </c>
      <c r="H16" s="17">
        <f t="shared" si="16"/>
        <v>0.42741652662294966</v>
      </c>
      <c r="I16" s="17">
        <f t="shared" si="16"/>
        <v>0.36286514661766001</v>
      </c>
      <c r="J16" s="17">
        <f t="shared" si="16"/>
        <v>0.65931727822413566</v>
      </c>
      <c r="K16" s="17">
        <f t="shared" si="16"/>
        <v>0.43434343434343436</v>
      </c>
      <c r="L16" s="17">
        <f t="shared" si="16"/>
        <v>0.4361799816345272</v>
      </c>
      <c r="M16" s="17">
        <f t="shared" si="16"/>
        <v>0.42271880819366853</v>
      </c>
      <c r="N16" s="17">
        <f t="shared" si="16"/>
        <v>0.17357877742474026</v>
      </c>
      <c r="O16" s="17">
        <f t="shared" si="16"/>
        <v>0.42934572202864885</v>
      </c>
      <c r="P16" s="17">
        <f t="shared" si="16"/>
        <v>0.43482587064676614</v>
      </c>
      <c r="Q16" s="17">
        <f t="shared" si="16"/>
        <v>0.43271119842829076</v>
      </c>
      <c r="R16" s="28"/>
      <c r="S16" s="17" t="e">
        <f t="shared" ref="S16:AE16" si="17">S15/S10</f>
        <v>#DIV/0!</v>
      </c>
      <c r="T16" s="17" t="e">
        <f t="shared" si="17"/>
        <v>#REF!</v>
      </c>
      <c r="U16" s="17">
        <f t="shared" si="17"/>
        <v>1</v>
      </c>
      <c r="V16" s="17">
        <f t="shared" si="17"/>
        <v>1</v>
      </c>
      <c r="W16" s="17">
        <f t="shared" si="17"/>
        <v>1</v>
      </c>
      <c r="X16" s="17">
        <f t="shared" si="17"/>
        <v>1</v>
      </c>
      <c r="Y16" s="17">
        <f t="shared" si="17"/>
        <v>1</v>
      </c>
      <c r="Z16" s="17">
        <f t="shared" si="17"/>
        <v>1</v>
      </c>
      <c r="AA16" s="17">
        <f t="shared" si="17"/>
        <v>0.44315460984114019</v>
      </c>
      <c r="AB16" s="17">
        <f t="shared" si="17"/>
        <v>0.3747962878396609</v>
      </c>
      <c r="AC16" s="17">
        <f t="shared" si="17"/>
        <v>0.37208291172238817</v>
      </c>
      <c r="AD16" s="17">
        <f t="shared" si="17"/>
        <v>0.37053895316038871</v>
      </c>
      <c r="AE16" s="17">
        <f t="shared" si="17"/>
        <v>0.37222009090206087</v>
      </c>
      <c r="AG16" s="129">
        <f>SUM(AE16-AA16)*10000</f>
        <v>-709.34518939079317</v>
      </c>
    </row>
    <row r="17" spans="2:33" ht="5.0999999999999996" customHeight="1"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5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G17" s="126"/>
    </row>
    <row r="18" spans="2:33" ht="12.75" customHeight="1">
      <c r="B18" s="23" t="s">
        <v>168</v>
      </c>
      <c r="C18" s="146">
        <f>'Historical Financials'!C17</f>
        <v>-3708.252</v>
      </c>
      <c r="D18" s="146">
        <f>'Historical Financials'!D17</f>
        <v>-3805.2350000000001</v>
      </c>
      <c r="E18" s="146">
        <f>'Historical Financials'!E17</f>
        <v>-3812.924</v>
      </c>
      <c r="F18" s="96"/>
      <c r="G18" s="146">
        <f>'Historical Financials'!G17</f>
        <v>-1380.664</v>
      </c>
      <c r="H18" s="146">
        <f>'Historical Financials'!H17</f>
        <v>-1013.701</v>
      </c>
      <c r="I18" s="146">
        <f>'Historical Financials'!I17</f>
        <v>-1030.355</v>
      </c>
      <c r="J18" s="146">
        <f>'Historical Financials'!J17</f>
        <v>-380.51500000000033</v>
      </c>
      <c r="K18" s="146">
        <f>'Historical Financials'!K17</f>
        <v>-1151</v>
      </c>
      <c r="L18" s="146">
        <f>'Historical Financials'!L17</f>
        <v>-889</v>
      </c>
      <c r="M18" s="146">
        <f>'Historical Financials'!M17</f>
        <v>-895</v>
      </c>
      <c r="N18" s="146">
        <f>'Historical Financials'!N17</f>
        <v>-877.92399999999998</v>
      </c>
      <c r="O18" s="146">
        <f>'Historical Financials'!O17</f>
        <v>-1122</v>
      </c>
      <c r="P18" s="146">
        <f>'Historical Financials'!P17</f>
        <v>-823</v>
      </c>
      <c r="Q18" s="146">
        <f>'Historical Financials'!Q17</f>
        <v>-826</v>
      </c>
      <c r="R18" s="5"/>
      <c r="S18" s="10">
        <f>SUM(F18:F18)</f>
        <v>0</v>
      </c>
      <c r="T18" s="10" t="e">
        <f>SUM(#REF!)</f>
        <v>#REF!</v>
      </c>
      <c r="U18" s="10">
        <f>SUM(G18:G18)</f>
        <v>-1380.664</v>
      </c>
      <c r="V18" s="10">
        <f>SUM(G18:H18)</f>
        <v>-2394.3649999999998</v>
      </c>
      <c r="W18" s="10">
        <f>SUM(G18:I18)</f>
        <v>-3424.72</v>
      </c>
      <c r="X18" s="10">
        <f t="shared" ref="X18:AE18" si="18">SUM(G18:J18)</f>
        <v>-3805.2350000000001</v>
      </c>
      <c r="Y18" s="10">
        <f t="shared" si="18"/>
        <v>-3575.5710000000004</v>
      </c>
      <c r="Z18" s="10">
        <f t="shared" si="18"/>
        <v>-3450.8700000000003</v>
      </c>
      <c r="AA18" s="147">
        <f t="shared" si="18"/>
        <v>-3315.5150000000003</v>
      </c>
      <c r="AB18" s="147">
        <f t="shared" si="18"/>
        <v>-3812.924</v>
      </c>
      <c r="AC18" s="147">
        <f t="shared" si="18"/>
        <v>-3783.924</v>
      </c>
      <c r="AD18" s="147">
        <f t="shared" si="18"/>
        <v>-3717.924</v>
      </c>
      <c r="AE18" s="147">
        <f t="shared" si="18"/>
        <v>-3648.924</v>
      </c>
      <c r="AG18" s="127">
        <f>SUM(AE18/AA18)-1</f>
        <v>0.10056024478851699</v>
      </c>
    </row>
    <row r="19" spans="2:33" ht="12.75" customHeight="1">
      <c r="B19" s="23" t="s">
        <v>169</v>
      </c>
      <c r="C19" s="146">
        <f>'Historical Financials'!C18</f>
        <v>0</v>
      </c>
      <c r="D19" s="146">
        <f>'Historical Financials'!D18</f>
        <v>-15.987</v>
      </c>
      <c r="E19" s="146">
        <f>'Historical Financials'!E18</f>
        <v>-308.90199999999999</v>
      </c>
      <c r="F19" s="96"/>
      <c r="G19" s="146">
        <f>'Historical Financials'!G18</f>
        <v>0</v>
      </c>
      <c r="H19" s="146">
        <f>'Historical Financials'!H18</f>
        <v>0</v>
      </c>
      <c r="I19" s="146">
        <f>'Historical Financials'!I18</f>
        <v>0</v>
      </c>
      <c r="J19" s="146">
        <f>'Historical Financials'!J18</f>
        <v>-15.987</v>
      </c>
      <c r="K19" s="146">
        <f>'Historical Financials'!K18</f>
        <v>0</v>
      </c>
      <c r="L19" s="146">
        <f>'Historical Financials'!L18</f>
        <v>-7</v>
      </c>
      <c r="M19" s="146">
        <f>'Historical Financials'!M18</f>
        <v>-13</v>
      </c>
      <c r="N19" s="146">
        <f>'Historical Financials'!N18</f>
        <v>-288.90199999999999</v>
      </c>
      <c r="O19" s="146">
        <f>'Historical Financials'!O18</f>
        <v>-118</v>
      </c>
      <c r="P19" s="146">
        <f>'Historical Financials'!P18</f>
        <v>-29</v>
      </c>
      <c r="Q19" s="146">
        <f>'Historical Financials'!Q18</f>
        <v>-33</v>
      </c>
      <c r="R19" s="5"/>
      <c r="S19" s="10">
        <f>SUM(F19:F19)</f>
        <v>0</v>
      </c>
      <c r="T19" s="10" t="e">
        <f>SUM(#REF!)</f>
        <v>#REF!</v>
      </c>
      <c r="U19" s="10">
        <f>SUM(G19:G19)</f>
        <v>0</v>
      </c>
      <c r="V19" s="10">
        <f>SUM(G19:H19)</f>
        <v>0</v>
      </c>
      <c r="W19" s="10">
        <f>SUM(G19:I19)</f>
        <v>0</v>
      </c>
      <c r="X19" s="10">
        <f t="shared" ref="X19" si="19">SUM(G19:J19)</f>
        <v>-15.987</v>
      </c>
      <c r="Y19" s="10">
        <f t="shared" ref="Y19" si="20">SUM(H19:K19)</f>
        <v>-15.987</v>
      </c>
      <c r="Z19" s="10">
        <f t="shared" ref="Z19" si="21">SUM(I19:L19)</f>
        <v>-22.987000000000002</v>
      </c>
      <c r="AA19" s="147">
        <f t="shared" ref="AA19" si="22">SUM(J19:M19)</f>
        <v>-35.987000000000002</v>
      </c>
      <c r="AB19" s="147">
        <f t="shared" ref="AB19" si="23">SUM(K19:N19)</f>
        <v>-308.90199999999999</v>
      </c>
      <c r="AC19" s="147">
        <f t="shared" ref="AC19" si="24">SUM(L19:O19)</f>
        <v>-426.90199999999999</v>
      </c>
      <c r="AD19" s="147">
        <f t="shared" ref="AD19" si="25">SUM(M19:P19)</f>
        <v>-448.90199999999999</v>
      </c>
      <c r="AE19" s="147">
        <f t="shared" ref="AE19" si="26">SUM(N19:Q19)</f>
        <v>-468.90199999999999</v>
      </c>
      <c r="AG19" s="127">
        <f>SUM(AE19/AA19)-1</f>
        <v>12.029760746936393</v>
      </c>
    </row>
    <row r="20" spans="2:33" ht="12.75" customHeight="1">
      <c r="B20" s="13" t="s">
        <v>33</v>
      </c>
      <c r="C20" s="14">
        <f>SUM(C15+SUM(C18:C19))</f>
        <v>524.61799999999994</v>
      </c>
      <c r="D20" s="14">
        <f>SUM(D15+SUM(D18:D19))</f>
        <v>38.887000000000171</v>
      </c>
      <c r="E20" s="14">
        <f>SUM(E15+SUM(E18:E19))</f>
        <v>-713.30600000000049</v>
      </c>
      <c r="F20" s="11"/>
      <c r="G20" s="14">
        <f t="shared" ref="G20:Q20" si="27">SUM(G15+SUM(G18:G19))</f>
        <v>89.999000000000024</v>
      </c>
      <c r="H20" s="14">
        <f t="shared" si="27"/>
        <v>134.36799999999971</v>
      </c>
      <c r="I20" s="14">
        <f t="shared" si="27"/>
        <v>-43.695999999999458</v>
      </c>
      <c r="J20" s="14">
        <f t="shared" si="27"/>
        <v>-141.78400000000056</v>
      </c>
      <c r="K20" s="14">
        <f t="shared" si="27"/>
        <v>53</v>
      </c>
      <c r="L20" s="14">
        <f t="shared" si="27"/>
        <v>54.000000000000455</v>
      </c>
      <c r="M20" s="14">
        <f t="shared" si="27"/>
        <v>0</v>
      </c>
      <c r="N20" s="14">
        <f t="shared" si="27"/>
        <v>-820.30600000000072</v>
      </c>
      <c r="O20" s="14">
        <f t="shared" si="27"/>
        <v>-131</v>
      </c>
      <c r="P20" s="14">
        <f t="shared" si="27"/>
        <v>22</v>
      </c>
      <c r="Q20" s="14">
        <f t="shared" si="27"/>
        <v>22</v>
      </c>
      <c r="R20" s="5"/>
      <c r="S20" s="14">
        <f t="shared" ref="S20:AE20" si="28">SUM(S15+SUM(S18:S19))</f>
        <v>0</v>
      </c>
      <c r="T20" s="14" t="e">
        <f t="shared" si="28"/>
        <v>#REF!</v>
      </c>
      <c r="U20" s="14">
        <f t="shared" si="28"/>
        <v>874.94803999999999</v>
      </c>
      <c r="V20" s="14">
        <f t="shared" si="28"/>
        <v>1634.0506000000005</v>
      </c>
      <c r="W20" s="14">
        <f t="shared" si="28"/>
        <v>2425.4785300000008</v>
      </c>
      <c r="X20" s="14">
        <f t="shared" si="28"/>
        <v>1980.4952500000004</v>
      </c>
      <c r="Y20" s="14">
        <f t="shared" si="28"/>
        <v>1673.1872100000005</v>
      </c>
      <c r="Z20" s="14">
        <f t="shared" si="28"/>
        <v>1390.2246500000006</v>
      </c>
      <c r="AA20" s="14">
        <f t="shared" si="28"/>
        <v>-34.78400000000056</v>
      </c>
      <c r="AB20" s="14">
        <f t="shared" si="28"/>
        <v>-713.30600000000049</v>
      </c>
      <c r="AC20" s="14">
        <f t="shared" si="28"/>
        <v>-897.30600000000049</v>
      </c>
      <c r="AD20" s="14">
        <f t="shared" si="28"/>
        <v>-929.30600000000049</v>
      </c>
      <c r="AE20" s="14">
        <f t="shared" si="28"/>
        <v>-907.30600000000049</v>
      </c>
      <c r="AG20" s="128">
        <f>SUM(AE20/AA20)-1</f>
        <v>25.084004139834001</v>
      </c>
    </row>
    <row r="21" spans="2:33" ht="12.75" customHeight="1">
      <c r="B21" s="16" t="s">
        <v>34</v>
      </c>
      <c r="C21" s="17">
        <f>C20/C10</f>
        <v>5.7342357103180121E-2</v>
      </c>
      <c r="D21" s="17">
        <f>D20/D10</f>
        <v>4.2226825169737643E-3</v>
      </c>
      <c r="E21" s="17">
        <f>E20/E10</f>
        <v>-7.8434171104689823E-2</v>
      </c>
      <c r="F21" s="27"/>
      <c r="G21" s="17">
        <f t="shared" ref="G21:Q21" si="29">G20/G10</f>
        <v>2.6334023292409813E-2</v>
      </c>
      <c r="H21" s="17">
        <f t="shared" si="29"/>
        <v>5.0024087271124285E-2</v>
      </c>
      <c r="I21" s="17">
        <f t="shared" si="29"/>
        <v>-1.6070147281487389E-2</v>
      </c>
      <c r="J21" s="17">
        <f t="shared" si="29"/>
        <v>-0.36699660399238099</v>
      </c>
      <c r="K21" s="17">
        <f t="shared" si="29"/>
        <v>1.911976911976912E-2</v>
      </c>
      <c r="L21" s="17">
        <f t="shared" si="29"/>
        <v>2.4793388429752268E-2</v>
      </c>
      <c r="M21" s="17">
        <f t="shared" si="29"/>
        <v>0</v>
      </c>
      <c r="N21" s="17">
        <f t="shared" si="29"/>
        <v>-0.41090763186592233</v>
      </c>
      <c r="O21" s="17">
        <f t="shared" si="29"/>
        <v>-5.0716221447928762E-2</v>
      </c>
      <c r="P21" s="17">
        <f t="shared" si="29"/>
        <v>1.0945273631840797E-2</v>
      </c>
      <c r="Q21" s="17">
        <f t="shared" si="29"/>
        <v>1.0805500982318271E-2</v>
      </c>
      <c r="R21" s="28"/>
      <c r="S21" s="17" t="e">
        <f t="shared" ref="S21:AE21" si="30">S20/S10</f>
        <v>#DIV/0!</v>
      </c>
      <c r="T21" s="17" t="e">
        <f t="shared" si="30"/>
        <v>#REF!</v>
      </c>
      <c r="U21" s="17">
        <f t="shared" si="30"/>
        <v>0.38789828413932387</v>
      </c>
      <c r="V21" s="17">
        <f t="shared" si="30"/>
        <v>0.4056310873187961</v>
      </c>
      <c r="W21" s="17">
        <f t="shared" si="30"/>
        <v>0.41459764443241903</v>
      </c>
      <c r="X21" s="17">
        <f t="shared" si="30"/>
        <v>0.34136362815681859</v>
      </c>
      <c r="Y21" s="17">
        <f t="shared" si="30"/>
        <v>0.31780972169781418</v>
      </c>
      <c r="Z21" s="17">
        <f t="shared" si="30"/>
        <v>0.28581441473129882</v>
      </c>
      <c r="AA21" s="17">
        <f t="shared" si="30"/>
        <v>-4.6475732783777422E-3</v>
      </c>
      <c r="AB21" s="17">
        <f t="shared" si="30"/>
        <v>-7.8434171104689823E-2</v>
      </c>
      <c r="AC21" s="17">
        <f t="shared" si="30"/>
        <v>-0.10076058970097343</v>
      </c>
      <c r="AD21" s="17">
        <f t="shared" si="30"/>
        <v>-0.10636044639281562</v>
      </c>
      <c r="AE21" s="17">
        <f t="shared" si="30"/>
        <v>-0.10519091044316356</v>
      </c>
      <c r="AG21" s="129">
        <f>SUM(AE21-AA21)*10000</f>
        <v>-1005.4333716478582</v>
      </c>
    </row>
    <row r="22" spans="2:33" ht="5.0999999999999996" customHeight="1">
      <c r="AG22" s="126"/>
    </row>
    <row r="23" spans="2:33" ht="12.75" customHeight="1">
      <c r="B23" s="31" t="s">
        <v>117</v>
      </c>
      <c r="C23" s="146">
        <f>'Historical Financials'!C92</f>
        <v>248.327</v>
      </c>
      <c r="D23" s="146">
        <f>'Historical Financials'!D92</f>
        <v>269.43</v>
      </c>
      <c r="E23" s="146">
        <f>'Historical Financials'!E92</f>
        <v>291.98</v>
      </c>
      <c r="G23" s="146">
        <f>'Historical Financials'!G92</f>
        <v>92.554000000000002</v>
      </c>
      <c r="H23" s="146">
        <f>'Historical Financials'!H92</f>
        <v>70.419999999999987</v>
      </c>
      <c r="I23" s="146">
        <f>'Historical Financials'!I92</f>
        <v>72.00200000000001</v>
      </c>
      <c r="J23" s="146">
        <f>'Historical Financials'!J92</f>
        <v>34.454000000000008</v>
      </c>
      <c r="K23" s="146">
        <f>'Historical Financials'!K92</f>
        <v>83</v>
      </c>
      <c r="L23" s="146">
        <f>'Historical Financials'!L92</f>
        <v>0</v>
      </c>
      <c r="M23" s="146">
        <f>'Historical Financials'!M92</f>
        <v>0</v>
      </c>
      <c r="N23" s="146">
        <f>'Historical Financials'!N92</f>
        <v>208.98000000000002</v>
      </c>
      <c r="O23" s="146">
        <f>'Historical Financials'!O92</f>
        <v>0</v>
      </c>
      <c r="P23" s="146">
        <f>'Historical Financials'!P92</f>
        <v>0</v>
      </c>
      <c r="Q23" s="146">
        <f>'Historical Financials'!Q92</f>
        <v>0</v>
      </c>
      <c r="S23" s="10">
        <f>SUM(F23:F23)</f>
        <v>0</v>
      </c>
      <c r="T23" s="10" t="e">
        <f>SUM(#REF!)</f>
        <v>#REF!</v>
      </c>
      <c r="U23" s="10">
        <f>SUM(G23:G23)</f>
        <v>92.554000000000002</v>
      </c>
      <c r="V23" s="10">
        <f>SUM(G23:H23)</f>
        <v>162.97399999999999</v>
      </c>
      <c r="W23" s="10">
        <f>SUM(G23:I23)</f>
        <v>234.976</v>
      </c>
      <c r="X23" s="10">
        <f t="shared" ref="X23:AE23" si="31">SUM(G23:J23)</f>
        <v>269.43</v>
      </c>
      <c r="Y23" s="10">
        <f t="shared" si="31"/>
        <v>259.87599999999998</v>
      </c>
      <c r="Z23" s="10">
        <f t="shared" si="31"/>
        <v>189.45600000000002</v>
      </c>
      <c r="AA23" s="10">
        <f t="shared" si="31"/>
        <v>117.45400000000001</v>
      </c>
      <c r="AB23" s="10">
        <f t="shared" si="31"/>
        <v>291.98</v>
      </c>
      <c r="AC23" s="10">
        <f t="shared" si="31"/>
        <v>208.98000000000002</v>
      </c>
      <c r="AD23" s="10">
        <f t="shared" si="31"/>
        <v>208.98000000000002</v>
      </c>
      <c r="AE23" s="10">
        <f t="shared" si="31"/>
        <v>208.98000000000002</v>
      </c>
      <c r="AG23" s="127">
        <f>SUM(AE23/AA23)-1</f>
        <v>0.77924974883784293</v>
      </c>
    </row>
    <row r="24" spans="2:33" ht="12.75" customHeight="1">
      <c r="B24" s="25" t="s">
        <v>11</v>
      </c>
      <c r="C24" s="26">
        <f>SUM(C20+SUM(C23:C23))</f>
        <v>772.94499999999994</v>
      </c>
      <c r="D24" s="26">
        <f>SUM(D20+SUM(D23:D23))</f>
        <v>308.31700000000018</v>
      </c>
      <c r="E24" s="26">
        <f>SUM(E20+SUM(E23:E23))</f>
        <v>-421.32600000000048</v>
      </c>
      <c r="G24" s="26">
        <f t="shared" ref="G24:Q24" si="32">SUM(G20+SUM(G23:G23))</f>
        <v>182.55300000000003</v>
      </c>
      <c r="H24" s="26">
        <f t="shared" si="32"/>
        <v>204.7879999999997</v>
      </c>
      <c r="I24" s="26">
        <f t="shared" si="32"/>
        <v>28.306000000000552</v>
      </c>
      <c r="J24" s="26">
        <f t="shared" si="32"/>
        <v>-107.33000000000055</v>
      </c>
      <c r="K24" s="26">
        <f t="shared" si="32"/>
        <v>136</v>
      </c>
      <c r="L24" s="26">
        <f t="shared" si="32"/>
        <v>54.000000000000455</v>
      </c>
      <c r="M24" s="26">
        <f t="shared" si="32"/>
        <v>0</v>
      </c>
      <c r="N24" s="26">
        <f t="shared" si="32"/>
        <v>-611.3260000000007</v>
      </c>
      <c r="O24" s="26">
        <f t="shared" si="32"/>
        <v>-131</v>
      </c>
      <c r="P24" s="26">
        <f t="shared" si="32"/>
        <v>22</v>
      </c>
      <c r="Q24" s="26">
        <f t="shared" si="32"/>
        <v>22</v>
      </c>
      <c r="S24" s="26">
        <f t="shared" ref="S24:AE24" si="33">SUM(S20+SUM(S23:S23))</f>
        <v>0</v>
      </c>
      <c r="T24" s="26" t="e">
        <f t="shared" si="33"/>
        <v>#REF!</v>
      </c>
      <c r="U24" s="26">
        <f t="shared" si="33"/>
        <v>967.50203999999997</v>
      </c>
      <c r="V24" s="26">
        <f t="shared" si="33"/>
        <v>1797.0246000000004</v>
      </c>
      <c r="W24" s="26">
        <f t="shared" si="33"/>
        <v>2660.4545300000009</v>
      </c>
      <c r="X24" s="26">
        <f t="shared" si="33"/>
        <v>2249.9252500000002</v>
      </c>
      <c r="Y24" s="26">
        <f t="shared" si="33"/>
        <v>1933.0632100000005</v>
      </c>
      <c r="Z24" s="26">
        <f t="shared" si="33"/>
        <v>1579.6806500000007</v>
      </c>
      <c r="AA24" s="26">
        <f t="shared" si="33"/>
        <v>82.669999999999447</v>
      </c>
      <c r="AB24" s="26">
        <f t="shared" si="33"/>
        <v>-421.32600000000048</v>
      </c>
      <c r="AC24" s="26">
        <f t="shared" si="33"/>
        <v>-688.32600000000048</v>
      </c>
      <c r="AD24" s="26">
        <f t="shared" si="33"/>
        <v>-720.32600000000048</v>
      </c>
      <c r="AE24" s="26">
        <f t="shared" si="33"/>
        <v>-698.32600000000048</v>
      </c>
      <c r="AG24" s="128">
        <f>SUM(AE24/AA24)-1</f>
        <v>-9.4471513245434267</v>
      </c>
    </row>
    <row r="25" spans="2:33" ht="12.75" customHeight="1">
      <c r="B25" s="16" t="s">
        <v>35</v>
      </c>
      <c r="C25" s="17">
        <f>C24/C10</f>
        <v>8.448526015332597E-2</v>
      </c>
      <c r="D25" s="17">
        <f>D24/D10</f>
        <v>3.3479692585846044E-2</v>
      </c>
      <c r="E25" s="17">
        <f>E24/E10</f>
        <v>-4.6328441895700533E-2</v>
      </c>
      <c r="G25" s="17">
        <f t="shared" ref="G25:Q25" si="34">G24/G10</f>
        <v>5.3415648552753783E-2</v>
      </c>
      <c r="H25" s="17">
        <f t="shared" si="34"/>
        <v>7.624086675457703E-2</v>
      </c>
      <c r="I25" s="17">
        <f t="shared" si="34"/>
        <v>1.0410142551945179E-2</v>
      </c>
      <c r="J25" s="17">
        <f t="shared" si="34"/>
        <v>-0.2778151660730569</v>
      </c>
      <c r="K25" s="17">
        <f t="shared" si="34"/>
        <v>4.9062049062049064E-2</v>
      </c>
      <c r="L25" s="17">
        <f t="shared" si="34"/>
        <v>2.4793388429752268E-2</v>
      </c>
      <c r="M25" s="17">
        <f t="shared" si="34"/>
        <v>0</v>
      </c>
      <c r="N25" s="17">
        <f t="shared" si="34"/>
        <v>-0.30622538291572521</v>
      </c>
      <c r="O25" s="17">
        <f t="shared" si="34"/>
        <v>-5.0716221447928762E-2</v>
      </c>
      <c r="P25" s="17">
        <f t="shared" si="34"/>
        <v>1.0945273631840797E-2</v>
      </c>
      <c r="Q25" s="17">
        <f t="shared" si="34"/>
        <v>1.0805500982318271E-2</v>
      </c>
      <c r="S25" s="17" t="e">
        <f t="shared" ref="S25:AE25" si="35">S24/S10</f>
        <v>#DIV/0!</v>
      </c>
      <c r="T25" s="17" t="e">
        <f t="shared" si="35"/>
        <v>#REF!</v>
      </c>
      <c r="U25" s="17">
        <f t="shared" si="35"/>
        <v>0.4289310496852996</v>
      </c>
      <c r="V25" s="17">
        <f t="shared" si="35"/>
        <v>0.44608719120241724</v>
      </c>
      <c r="W25" s="17">
        <f t="shared" si="35"/>
        <v>0.45476311895350341</v>
      </c>
      <c r="X25" s="17">
        <f t="shared" si="35"/>
        <v>0.38780332667883805</v>
      </c>
      <c r="Y25" s="17">
        <f t="shared" si="35"/>
        <v>0.3671712747519647</v>
      </c>
      <c r="Z25" s="17">
        <f t="shared" si="35"/>
        <v>0.32476441878807694</v>
      </c>
      <c r="AA25" s="17">
        <f t="shared" si="35"/>
        <v>1.1045736054607843E-2</v>
      </c>
      <c r="AB25" s="17">
        <f t="shared" si="35"/>
        <v>-4.6328441895700533E-2</v>
      </c>
      <c r="AC25" s="17">
        <f t="shared" si="35"/>
        <v>-7.729373665896834E-2</v>
      </c>
      <c r="AD25" s="17">
        <f t="shared" si="35"/>
        <v>-8.2442376255346811E-2</v>
      </c>
      <c r="AE25" s="17">
        <f t="shared" si="35"/>
        <v>-8.0962263807505569E-2</v>
      </c>
      <c r="AG25" s="129">
        <f>SUM(AE25-AA25)*10000</f>
        <v>-920.07999862113411</v>
      </c>
    </row>
    <row r="26" spans="2:33" ht="5.0999999999999996" customHeight="1">
      <c r="AG26" s="126"/>
    </row>
    <row r="27" spans="2:33" ht="12.75" customHeight="1">
      <c r="B27" s="31" t="s">
        <v>170</v>
      </c>
      <c r="C27" s="146">
        <f>'Historical Financials'!C93</f>
        <v>46.481999999999999</v>
      </c>
      <c r="D27" s="146">
        <f>'Historical Financials'!D93</f>
        <v>40.905000000000001</v>
      </c>
      <c r="E27" s="146">
        <f>'Historical Financials'!E93</f>
        <v>42.192999999999998</v>
      </c>
      <c r="G27" s="146">
        <f>'Historical Financials'!G93</f>
        <v>16.524000000000001</v>
      </c>
      <c r="H27" s="146">
        <f>'Historical Financials'!H93</f>
        <v>10.266999999999999</v>
      </c>
      <c r="I27" s="146">
        <f>'Historical Financials'!I93</f>
        <v>10.644000000000002</v>
      </c>
      <c r="J27" s="146">
        <f>'Historical Financials'!J93</f>
        <v>3.4699999999999989</v>
      </c>
      <c r="K27" s="146">
        <f>'Historical Financials'!K93</f>
        <v>15</v>
      </c>
      <c r="L27" s="146">
        <f>'Historical Financials'!L93</f>
        <v>0</v>
      </c>
      <c r="M27" s="146">
        <f>'Historical Financials'!M93</f>
        <v>0</v>
      </c>
      <c r="N27" s="146">
        <f>'Historical Financials'!N93</f>
        <v>27.192999999999998</v>
      </c>
      <c r="O27" s="146">
        <f>'Historical Financials'!O93</f>
        <v>0</v>
      </c>
      <c r="P27" s="146">
        <f>'Historical Financials'!P93</f>
        <v>0</v>
      </c>
      <c r="Q27" s="146">
        <f>'Historical Financials'!Q93</f>
        <v>0</v>
      </c>
      <c r="S27" s="10">
        <f>SUM(F27:F27)</f>
        <v>0</v>
      </c>
      <c r="T27" s="10" t="e">
        <f>SUM(#REF!)</f>
        <v>#REF!</v>
      </c>
      <c r="U27" s="10">
        <f>SUM(G27:G27)</f>
        <v>16.524000000000001</v>
      </c>
      <c r="V27" s="10">
        <f>SUM(G27:H27)</f>
        <v>26.791</v>
      </c>
      <c r="W27" s="10">
        <f>SUM(G27:I27)</f>
        <v>37.435000000000002</v>
      </c>
      <c r="X27" s="10">
        <f t="shared" ref="X27:AE27" si="36">SUM(G27:J27)</f>
        <v>40.905000000000001</v>
      </c>
      <c r="Y27" s="10">
        <f t="shared" si="36"/>
        <v>39.381</v>
      </c>
      <c r="Z27" s="10">
        <f t="shared" si="36"/>
        <v>29.114000000000001</v>
      </c>
      <c r="AA27" s="147">
        <f t="shared" si="36"/>
        <v>18.47</v>
      </c>
      <c r="AB27" s="147">
        <f t="shared" si="36"/>
        <v>42.192999999999998</v>
      </c>
      <c r="AC27" s="147">
        <f t="shared" si="36"/>
        <v>27.192999999999998</v>
      </c>
      <c r="AD27" s="147">
        <f t="shared" si="36"/>
        <v>27.192999999999998</v>
      </c>
      <c r="AE27" s="147">
        <f t="shared" si="36"/>
        <v>27.192999999999998</v>
      </c>
      <c r="AG27" s="127">
        <f>SUM(AE27/AA27)-1</f>
        <v>0.47227937195452085</v>
      </c>
    </row>
    <row r="28" spans="2:33" ht="12.75" customHeight="1">
      <c r="B28" s="31" t="s">
        <v>171</v>
      </c>
      <c r="C28" s="162">
        <f>-C19</f>
        <v>0</v>
      </c>
      <c r="D28" s="162">
        <f t="shared" ref="D28:Q28" si="37">-D19</f>
        <v>15.987</v>
      </c>
      <c r="E28" s="162">
        <f t="shared" si="37"/>
        <v>308.90199999999999</v>
      </c>
      <c r="G28" s="162">
        <f t="shared" si="37"/>
        <v>0</v>
      </c>
      <c r="H28" s="162">
        <f t="shared" si="37"/>
        <v>0</v>
      </c>
      <c r="I28" s="162">
        <f t="shared" si="37"/>
        <v>0</v>
      </c>
      <c r="J28" s="162">
        <f t="shared" si="37"/>
        <v>15.987</v>
      </c>
      <c r="K28" s="162">
        <f t="shared" si="37"/>
        <v>0</v>
      </c>
      <c r="L28" s="162">
        <f t="shared" si="37"/>
        <v>7</v>
      </c>
      <c r="M28" s="162">
        <f t="shared" si="37"/>
        <v>13</v>
      </c>
      <c r="N28" s="162">
        <f t="shared" si="37"/>
        <v>288.90199999999999</v>
      </c>
      <c r="O28" s="162">
        <f t="shared" si="37"/>
        <v>118</v>
      </c>
      <c r="P28" s="162">
        <f t="shared" si="37"/>
        <v>29</v>
      </c>
      <c r="Q28" s="162">
        <f t="shared" si="37"/>
        <v>33</v>
      </c>
      <c r="S28" s="10"/>
      <c r="T28" s="10"/>
      <c r="U28" s="10"/>
      <c r="V28" s="10"/>
      <c r="W28" s="10"/>
      <c r="X28" s="10"/>
      <c r="Y28" s="10"/>
      <c r="Z28" s="10"/>
      <c r="AA28" s="147">
        <f t="shared" ref="AA28" si="38">SUM(J28:M28)</f>
        <v>35.987000000000002</v>
      </c>
      <c r="AB28" s="147">
        <f t="shared" ref="AB28" si="39">SUM(K28:N28)</f>
        <v>308.90199999999999</v>
      </c>
      <c r="AC28" s="147">
        <f t="shared" ref="AC28" si="40">SUM(L28:O28)</f>
        <v>426.90199999999999</v>
      </c>
      <c r="AD28" s="147">
        <f t="shared" ref="AD28" si="41">SUM(M28:P28)</f>
        <v>448.90199999999999</v>
      </c>
      <c r="AE28" s="147">
        <f t="shared" ref="AE28" si="42">SUM(N28:Q28)</f>
        <v>468.90199999999999</v>
      </c>
      <c r="AG28" s="127"/>
    </row>
    <row r="29" spans="2:33" ht="12.75" customHeight="1">
      <c r="B29" s="13" t="s">
        <v>36</v>
      </c>
      <c r="C29" s="14">
        <f>SUM(C24+SUM(C27:C28))</f>
        <v>819.42699999999991</v>
      </c>
      <c r="D29" s="14">
        <f t="shared" ref="D29:E29" si="43">SUM(D24+SUM(D27:D28))</f>
        <v>365.20900000000017</v>
      </c>
      <c r="E29" s="14">
        <f t="shared" si="43"/>
        <v>-70.231000000000506</v>
      </c>
      <c r="F29" s="11"/>
      <c r="G29" s="14">
        <f t="shared" ref="G29" si="44">SUM(G24+SUM(G27:G28))</f>
        <v>199.07700000000003</v>
      </c>
      <c r="H29" s="14">
        <f t="shared" ref="H29" si="45">SUM(H24+SUM(H27:H28))</f>
        <v>215.05499999999969</v>
      </c>
      <c r="I29" s="14">
        <f t="shared" ref="I29" si="46">SUM(I24+SUM(I27:I28))</f>
        <v>38.950000000000557</v>
      </c>
      <c r="J29" s="14">
        <f t="shared" ref="J29" si="47">SUM(J24+SUM(J27:J28))</f>
        <v>-87.873000000000559</v>
      </c>
      <c r="K29" s="14">
        <f t="shared" ref="K29" si="48">SUM(K24+SUM(K27:K28))</f>
        <v>151</v>
      </c>
      <c r="L29" s="14">
        <f t="shared" ref="L29" si="49">SUM(L24+SUM(L27:L28))</f>
        <v>61.000000000000455</v>
      </c>
      <c r="M29" s="14">
        <f t="shared" ref="M29" si="50">SUM(M24+SUM(M27:M28))</f>
        <v>13</v>
      </c>
      <c r="N29" s="14">
        <f t="shared" ref="N29" si="51">SUM(N24+SUM(N27:N28))</f>
        <v>-295.23100000000073</v>
      </c>
      <c r="O29" s="14">
        <f t="shared" ref="O29" si="52">SUM(O24+SUM(O27:O28))</f>
        <v>-13</v>
      </c>
      <c r="P29" s="14">
        <f t="shared" ref="P29" si="53">SUM(P24+SUM(P27:P28))</f>
        <v>51</v>
      </c>
      <c r="Q29" s="14">
        <f t="shared" ref="Q29" si="54">SUM(Q24+SUM(Q27:Q28))</f>
        <v>55</v>
      </c>
      <c r="S29" s="14">
        <f t="shared" ref="S29:Z29" si="55">+SUM(S24+SUM(S27:S27))</f>
        <v>0</v>
      </c>
      <c r="T29" s="14" t="e">
        <f t="shared" si="55"/>
        <v>#REF!</v>
      </c>
      <c r="U29" s="14">
        <f t="shared" si="55"/>
        <v>984.02603999999997</v>
      </c>
      <c r="V29" s="14">
        <f t="shared" si="55"/>
        <v>1823.8156000000004</v>
      </c>
      <c r="W29" s="14">
        <f t="shared" si="55"/>
        <v>2697.8895300000008</v>
      </c>
      <c r="X29" s="14">
        <f t="shared" si="55"/>
        <v>2290.8302500000004</v>
      </c>
      <c r="Y29" s="14">
        <f t="shared" si="55"/>
        <v>1972.4442100000006</v>
      </c>
      <c r="Z29" s="14">
        <f t="shared" si="55"/>
        <v>1608.7946500000007</v>
      </c>
      <c r="AA29" s="14">
        <f t="shared" ref="AA29" si="56">SUM(AA24+SUM(AA27:AA28))</f>
        <v>137.12699999999944</v>
      </c>
      <c r="AB29" s="14">
        <f t="shared" ref="AB29" si="57">SUM(AB24+SUM(AB27:AB28))</f>
        <v>-70.231000000000506</v>
      </c>
      <c r="AC29" s="14">
        <f t="shared" ref="AC29" si="58">SUM(AC24+SUM(AC27:AC28))</f>
        <v>-234.23100000000051</v>
      </c>
      <c r="AD29" s="14">
        <f t="shared" ref="AD29" si="59">SUM(AD24+SUM(AD27:AD28))</f>
        <v>-244.23100000000051</v>
      </c>
      <c r="AE29" s="14">
        <f t="shared" ref="AE29" si="60">SUM(AE24+SUM(AE27:AE28))</f>
        <v>-202.23100000000051</v>
      </c>
      <c r="AG29" s="128">
        <f>SUM(AE29/AA29)-1</f>
        <v>-2.4747715621285478</v>
      </c>
    </row>
    <row r="30" spans="2:33" ht="12.75" customHeight="1">
      <c r="B30" s="16" t="s">
        <v>37</v>
      </c>
      <c r="C30" s="17">
        <f>C29/C10</f>
        <v>8.9565885375621074E-2</v>
      </c>
      <c r="D30" s="17">
        <f>D29/D10</f>
        <v>3.9657511747922584E-2</v>
      </c>
      <c r="E30" s="17">
        <f>E29/E10</f>
        <v>-7.7225065692052321E-3</v>
      </c>
      <c r="G30" s="17">
        <f t="shared" ref="G30:Q30" si="61">G29/G10</f>
        <v>5.8250628951244651E-2</v>
      </c>
      <c r="H30" s="17">
        <f t="shared" si="61"/>
        <v>8.0063185342430052E-2</v>
      </c>
      <c r="I30" s="17">
        <f t="shared" si="61"/>
        <v>1.4324703327854965E-2</v>
      </c>
      <c r="J30" s="17">
        <f t="shared" si="61"/>
        <v>-0.22745226952704514</v>
      </c>
      <c r="K30" s="17">
        <f t="shared" si="61"/>
        <v>5.4473304473304472E-2</v>
      </c>
      <c r="L30" s="17">
        <f t="shared" si="61"/>
        <v>2.8007346189164575E-2</v>
      </c>
      <c r="M30" s="17">
        <f t="shared" si="61"/>
        <v>6.0521415270018619E-3</v>
      </c>
      <c r="N30" s="17">
        <f t="shared" si="61"/>
        <v>-0.14788709464932392</v>
      </c>
      <c r="O30" s="17">
        <f t="shared" si="61"/>
        <v>-5.0329074719318622E-3</v>
      </c>
      <c r="P30" s="17">
        <f t="shared" si="61"/>
        <v>2.5373134328358207E-2</v>
      </c>
      <c r="Q30" s="17">
        <f t="shared" si="61"/>
        <v>2.7013752455795677E-2</v>
      </c>
      <c r="S30" s="17" t="e">
        <f t="shared" ref="S30:AE30" si="62">S29/S10</f>
        <v>#DIV/0!</v>
      </c>
      <c r="T30" s="17" t="e">
        <f t="shared" si="62"/>
        <v>#REF!</v>
      </c>
      <c r="U30" s="17">
        <f t="shared" si="62"/>
        <v>0.43625677756180092</v>
      </c>
      <c r="V30" s="17">
        <f t="shared" si="62"/>
        <v>0.45273769667657932</v>
      </c>
      <c r="W30" s="17">
        <f t="shared" si="62"/>
        <v>0.46116204709381042</v>
      </c>
      <c r="X30" s="17">
        <f t="shared" si="62"/>
        <v>0.39485382539109437</v>
      </c>
      <c r="Y30" s="17">
        <f t="shared" si="62"/>
        <v>0.37465140881907943</v>
      </c>
      <c r="Z30" s="17">
        <f t="shared" si="62"/>
        <v>0.33074992686440624</v>
      </c>
      <c r="AA30" s="17">
        <f t="shared" si="62"/>
        <v>1.832186582750954E-2</v>
      </c>
      <c r="AB30" s="17">
        <f t="shared" si="62"/>
        <v>-7.7225065692052321E-3</v>
      </c>
      <c r="AC30" s="17">
        <f t="shared" si="62"/>
        <v>-2.6302346898659703E-2</v>
      </c>
      <c r="AD30" s="17">
        <f t="shared" si="62"/>
        <v>-2.795259923315226E-2</v>
      </c>
      <c r="AE30" s="17">
        <f t="shared" si="62"/>
        <v>-2.3446183547591936E-2</v>
      </c>
      <c r="AG30" s="129">
        <f>SUM(AE30-AA30)*10000</f>
        <v>-417.68049375101481</v>
      </c>
    </row>
    <row r="31" spans="2:33" ht="5.0999999999999996" customHeight="1">
      <c r="AG31" s="126"/>
    </row>
    <row r="32" spans="2:33" ht="12.75" customHeight="1">
      <c r="B32" s="23" t="s">
        <v>38</v>
      </c>
      <c r="C32" s="146">
        <f>'Historical Financials'!C107</f>
        <v>-398.75700000000001</v>
      </c>
      <c r="D32" s="146">
        <f>'Historical Financials'!D107</f>
        <v>-225.672</v>
      </c>
      <c r="E32" s="146">
        <f>'Historical Financials'!E107</f>
        <v>-180.8</v>
      </c>
      <c r="G32" s="146">
        <f>'Historical Financials'!G107</f>
        <v>-89.995999999999995</v>
      </c>
      <c r="H32" s="146">
        <f>'Historical Financials'!H107</f>
        <v>-54.878</v>
      </c>
      <c r="I32" s="146">
        <f>'Historical Financials'!I107</f>
        <v>-42.326999999999984</v>
      </c>
      <c r="J32" s="146">
        <f>'Historical Financials'!J107</f>
        <v>-38.471000000000032</v>
      </c>
      <c r="K32" s="146">
        <f>'Historical Financials'!K107</f>
        <v>48.957000000000001</v>
      </c>
      <c r="L32" s="146">
        <f>'Historical Financials'!L107</f>
        <v>0</v>
      </c>
      <c r="M32" s="146">
        <f>'Historical Financials'!M107</f>
        <v>0</v>
      </c>
      <c r="N32" s="146">
        <f>'Historical Financials'!N107</f>
        <v>-229.75700000000001</v>
      </c>
      <c r="O32" s="146">
        <f>'Historical Financials'!O107</f>
        <v>0</v>
      </c>
      <c r="P32" s="146">
        <f>'Historical Financials'!P107</f>
        <v>0</v>
      </c>
      <c r="Q32" s="146">
        <f>'Historical Financials'!Q107</f>
        <v>0</v>
      </c>
      <c r="S32" s="10">
        <f>SUM(F32:F32)</f>
        <v>0</v>
      </c>
      <c r="T32" s="10" t="e">
        <f>SUM(#REF!)</f>
        <v>#REF!</v>
      </c>
      <c r="U32" s="10">
        <f>SUM(G32:G32)</f>
        <v>-89.995999999999995</v>
      </c>
      <c r="V32" s="10">
        <f>SUM(G32:H32)</f>
        <v>-144.874</v>
      </c>
      <c r="W32" s="10">
        <f>SUM(G32:I32)</f>
        <v>-187.20099999999996</v>
      </c>
      <c r="X32" s="10">
        <f t="shared" ref="X32:AE35" si="63">SUM(G32:J32)</f>
        <v>-225.672</v>
      </c>
      <c r="Y32" s="10">
        <f t="shared" si="63"/>
        <v>-86.719000000000023</v>
      </c>
      <c r="Z32" s="10">
        <f t="shared" si="63"/>
        <v>-31.841000000000015</v>
      </c>
      <c r="AA32" s="147">
        <f t="shared" si="63"/>
        <v>10.485999999999969</v>
      </c>
      <c r="AB32" s="147">
        <f t="shared" si="63"/>
        <v>-180.8</v>
      </c>
      <c r="AC32" s="147">
        <f t="shared" si="63"/>
        <v>-229.75700000000001</v>
      </c>
      <c r="AD32" s="147">
        <f t="shared" si="63"/>
        <v>-229.75700000000001</v>
      </c>
      <c r="AE32" s="147">
        <f t="shared" si="63"/>
        <v>-229.75700000000001</v>
      </c>
      <c r="AG32" s="127">
        <f>SUM(AE32/AA32)-1</f>
        <v>-22.910833492275479</v>
      </c>
    </row>
    <row r="33" spans="1:33" ht="12.75" customHeight="1">
      <c r="B33" s="23" t="s">
        <v>39</v>
      </c>
      <c r="C33" s="146">
        <f>-'Historical Financials'!C134</f>
        <v>-94.605000000000004</v>
      </c>
      <c r="D33" s="146">
        <f>-'Historical Financials'!D134</f>
        <v>-98.792000000000002</v>
      </c>
      <c r="E33" s="146">
        <f>-'Historical Financials'!E134</f>
        <v>-37.036999999999999</v>
      </c>
      <c r="G33" s="146">
        <f>-'Historical Financials'!G134</f>
        <v>0</v>
      </c>
      <c r="H33" s="146">
        <f>-'Historical Financials'!H134</f>
        <v>0</v>
      </c>
      <c r="I33" s="146">
        <f>-'Historical Financials'!I134</f>
        <v>0</v>
      </c>
      <c r="J33" s="146">
        <f>-'Historical Financials'!J134</f>
        <v>-98.792000000000002</v>
      </c>
      <c r="K33" s="146">
        <f>-'Historical Financials'!K134</f>
        <v>0</v>
      </c>
      <c r="L33" s="146">
        <f>-'Historical Financials'!L134</f>
        <v>0</v>
      </c>
      <c r="M33" s="146">
        <f>-'Historical Financials'!M134</f>
        <v>0</v>
      </c>
      <c r="N33" s="146">
        <f>-'Historical Financials'!N134</f>
        <v>-37.036999999999999</v>
      </c>
      <c r="O33" s="146">
        <f>-'Historical Financials'!O134</f>
        <v>0</v>
      </c>
      <c r="P33" s="146">
        <f>-'Historical Financials'!P134</f>
        <v>0</v>
      </c>
      <c r="Q33" s="146">
        <f>-'Historical Financials'!Q134</f>
        <v>0</v>
      </c>
      <c r="S33" s="10">
        <f>SUM(F33:F33)</f>
        <v>0</v>
      </c>
      <c r="T33" s="10" t="e">
        <f>SUM(#REF!)</f>
        <v>#REF!</v>
      </c>
      <c r="U33" s="10">
        <f>SUM(G33:G33)</f>
        <v>0</v>
      </c>
      <c r="V33" s="10">
        <f>SUM(G33:H33)</f>
        <v>0</v>
      </c>
      <c r="W33" s="10">
        <f>SUM(G33:I33)</f>
        <v>0</v>
      </c>
      <c r="X33" s="10">
        <f t="shared" si="63"/>
        <v>-98.792000000000002</v>
      </c>
      <c r="Y33" s="10">
        <f t="shared" si="63"/>
        <v>-98.792000000000002</v>
      </c>
      <c r="Z33" s="10">
        <f t="shared" si="63"/>
        <v>-98.792000000000002</v>
      </c>
      <c r="AA33" s="147">
        <f t="shared" si="63"/>
        <v>-98.792000000000002</v>
      </c>
      <c r="AB33" s="147">
        <f t="shared" si="63"/>
        <v>-37.036999999999999</v>
      </c>
      <c r="AC33" s="147">
        <f t="shared" si="63"/>
        <v>-37.036999999999999</v>
      </c>
      <c r="AD33" s="147">
        <f t="shared" si="63"/>
        <v>-37.036999999999999</v>
      </c>
      <c r="AE33" s="147">
        <f t="shared" si="63"/>
        <v>-37.036999999999999</v>
      </c>
      <c r="AG33" s="127">
        <f>SUM(AE33/AA33)-1</f>
        <v>-0.6251012227710746</v>
      </c>
    </row>
    <row r="34" spans="1:33" ht="12.75" customHeight="1">
      <c r="B34" s="23" t="s">
        <v>71</v>
      </c>
      <c r="C34" s="146">
        <f>-'Historical Financials'!C133</f>
        <v>-46.158999999999999</v>
      </c>
      <c r="D34" s="146">
        <f>-'Historical Financials'!D133</f>
        <v>-73.843999999999994</v>
      </c>
      <c r="E34" s="146">
        <f>-'Historical Financials'!E133</f>
        <v>-75.739999999999995</v>
      </c>
      <c r="G34" s="146">
        <f>-'Historical Financials'!G133</f>
        <v>0</v>
      </c>
      <c r="H34" s="146">
        <f>-'Historical Financials'!H133</f>
        <v>0</v>
      </c>
      <c r="I34" s="146">
        <f>-'Historical Financials'!I133</f>
        <v>0</v>
      </c>
      <c r="J34" s="146">
        <f>-'Historical Financials'!J133</f>
        <v>-73.843999999999994</v>
      </c>
      <c r="K34" s="146">
        <f>-'Historical Financials'!K133</f>
        <v>0</v>
      </c>
      <c r="L34" s="146">
        <f>-'Historical Financials'!L133</f>
        <v>0</v>
      </c>
      <c r="M34" s="146">
        <f>-'Historical Financials'!M133</f>
        <v>0</v>
      </c>
      <c r="N34" s="146">
        <f>-'Historical Financials'!N133</f>
        <v>-75.739999999999995</v>
      </c>
      <c r="O34" s="146">
        <f>-'Historical Financials'!O133</f>
        <v>0</v>
      </c>
      <c r="P34" s="146">
        <f>-'Historical Financials'!P133</f>
        <v>0</v>
      </c>
      <c r="Q34" s="146">
        <f>-'Historical Financials'!Q133</f>
        <v>0</v>
      </c>
      <c r="S34" s="10">
        <f>SUM(F34:F34)</f>
        <v>0</v>
      </c>
      <c r="T34" s="10" t="e">
        <f>SUM(#REF!)</f>
        <v>#REF!</v>
      </c>
      <c r="U34" s="10">
        <f>SUM(G34:G34)</f>
        <v>0</v>
      </c>
      <c r="V34" s="10">
        <f>SUM(G34:H34)</f>
        <v>0</v>
      </c>
      <c r="W34" s="10">
        <f>SUM(G34:I34)</f>
        <v>0</v>
      </c>
      <c r="X34" s="10">
        <f t="shared" si="63"/>
        <v>-73.843999999999994</v>
      </c>
      <c r="Y34" s="10">
        <f t="shared" si="63"/>
        <v>-73.843999999999994</v>
      </c>
      <c r="Z34" s="10">
        <f t="shared" si="63"/>
        <v>-73.843999999999994</v>
      </c>
      <c r="AA34" s="147">
        <f t="shared" si="63"/>
        <v>-73.843999999999994</v>
      </c>
      <c r="AB34" s="147">
        <f t="shared" si="63"/>
        <v>-75.739999999999995</v>
      </c>
      <c r="AC34" s="147">
        <f t="shared" si="63"/>
        <v>-75.739999999999995</v>
      </c>
      <c r="AD34" s="147">
        <f t="shared" si="63"/>
        <v>-75.739999999999995</v>
      </c>
      <c r="AE34" s="147">
        <f t="shared" si="63"/>
        <v>-75.739999999999995</v>
      </c>
      <c r="AG34" s="127">
        <f>SUM(AE34/AA34)-1</f>
        <v>2.5675748876008875E-2</v>
      </c>
    </row>
    <row r="35" spans="1:33" ht="12.75" customHeight="1">
      <c r="B35" s="23" t="s">
        <v>40</v>
      </c>
      <c r="C35" s="146">
        <f>SUM('Historical Financials'!C99:C103)</f>
        <v>-67.85799999999999</v>
      </c>
      <c r="D35" s="146">
        <f>SUM('Historical Financials'!D99:D103)</f>
        <v>-105.47200000000002</v>
      </c>
      <c r="E35" s="146">
        <f>SUM('Historical Financials'!E99:E103)</f>
        <v>400.46100000000001</v>
      </c>
      <c r="G35" s="146">
        <f>SUM('Historical Financials'!G99:G103)</f>
        <v>-537.97400000000005</v>
      </c>
      <c r="H35" s="146">
        <f>SUM('Historical Financials'!H99:H103)</f>
        <v>37.359000000000023</v>
      </c>
      <c r="I35" s="146">
        <f>SUM('Historical Financials'!I99:I103)</f>
        <v>198.03700000000001</v>
      </c>
      <c r="J35" s="146">
        <f>SUM('Historical Financials'!J99:J103)</f>
        <v>197.10599999999994</v>
      </c>
      <c r="K35" s="146">
        <f>SUM('Historical Financials'!K99:K103)</f>
        <v>-122.712</v>
      </c>
      <c r="L35" s="146">
        <f>SUM('Historical Financials'!L99:L103)</f>
        <v>0</v>
      </c>
      <c r="M35" s="146">
        <f>SUM('Historical Financials'!M99:M103)</f>
        <v>0</v>
      </c>
      <c r="N35" s="146">
        <f>SUM('Historical Financials'!N99:N103)</f>
        <v>523.173</v>
      </c>
      <c r="O35" s="146">
        <f>SUM('Historical Financials'!O99:O103)</f>
        <v>0</v>
      </c>
      <c r="P35" s="146">
        <f>SUM('Historical Financials'!P99:P103)</f>
        <v>0</v>
      </c>
      <c r="Q35" s="146">
        <f>SUM('Historical Financials'!Q99:Q103)</f>
        <v>0</v>
      </c>
      <c r="S35" s="10">
        <f>SUM(F35:F35)</f>
        <v>0</v>
      </c>
      <c r="T35" s="10" t="e">
        <f>SUM(#REF!)</f>
        <v>#REF!</v>
      </c>
      <c r="U35" s="10">
        <f>SUM(G35:G35)</f>
        <v>-537.97400000000005</v>
      </c>
      <c r="V35" s="10">
        <f>SUM(G35:H35)</f>
        <v>-500.61500000000001</v>
      </c>
      <c r="W35" s="10">
        <f>SUM(G35:I35)</f>
        <v>-302.57799999999997</v>
      </c>
      <c r="X35" s="10">
        <f t="shared" si="63"/>
        <v>-105.47200000000004</v>
      </c>
      <c r="Y35" s="10">
        <f t="shared" si="63"/>
        <v>309.78999999999996</v>
      </c>
      <c r="Z35" s="10">
        <f t="shared" si="63"/>
        <v>272.43099999999993</v>
      </c>
      <c r="AA35" s="147">
        <f t="shared" si="63"/>
        <v>74.393999999999934</v>
      </c>
      <c r="AB35" s="147">
        <f t="shared" si="63"/>
        <v>400.46100000000001</v>
      </c>
      <c r="AC35" s="147">
        <f t="shared" si="63"/>
        <v>523.173</v>
      </c>
      <c r="AD35" s="147">
        <f t="shared" si="63"/>
        <v>523.173</v>
      </c>
      <c r="AE35" s="147">
        <f t="shared" si="63"/>
        <v>523.173</v>
      </c>
      <c r="AG35" s="127">
        <f>SUM(AE35/AA35)-1</f>
        <v>6.0324622953464049</v>
      </c>
    </row>
    <row r="36" spans="1:33" ht="12.75" customHeight="1">
      <c r="B36" s="13" t="s">
        <v>41</v>
      </c>
      <c r="C36" s="14">
        <f>SUM(C29+SUM(C32:C35))</f>
        <v>212.04799999999989</v>
      </c>
      <c r="D36" s="14">
        <f>SUM(D29+SUM(D32:D35))</f>
        <v>-138.57099999999986</v>
      </c>
      <c r="E36" s="14">
        <f>SUM(E29+SUM(E32:E35))</f>
        <v>36.652999999999508</v>
      </c>
      <c r="G36" s="14">
        <f t="shared" ref="G36:P36" si="64">SUM(G29+SUM(G32:G35))</f>
        <v>-428.89300000000003</v>
      </c>
      <c r="H36" s="14">
        <f t="shared" si="64"/>
        <v>197.53599999999972</v>
      </c>
      <c r="I36" s="14">
        <f t="shared" si="64"/>
        <v>194.66000000000059</v>
      </c>
      <c r="J36" s="14">
        <f t="shared" si="64"/>
        <v>-101.87400000000065</v>
      </c>
      <c r="K36" s="14">
        <f t="shared" si="64"/>
        <v>77.245000000000005</v>
      </c>
      <c r="L36" s="14">
        <f t="shared" si="64"/>
        <v>61.000000000000455</v>
      </c>
      <c r="M36" s="14">
        <f t="shared" si="64"/>
        <v>13</v>
      </c>
      <c r="N36" s="14">
        <f t="shared" si="64"/>
        <v>-114.59200000000072</v>
      </c>
      <c r="O36" s="14">
        <f t="shared" si="64"/>
        <v>-13</v>
      </c>
      <c r="P36" s="14">
        <f t="shared" si="64"/>
        <v>51</v>
      </c>
      <c r="Q36" s="14">
        <f>SUM(Q29+SUM(Q32:Q35))</f>
        <v>55</v>
      </c>
      <c r="S36" s="14">
        <f t="shared" ref="S36:AC36" si="65">SUM(S29+SUM(S32:S35))</f>
        <v>0</v>
      </c>
      <c r="T36" s="14" t="e">
        <f t="shared" si="65"/>
        <v>#REF!</v>
      </c>
      <c r="U36" s="14">
        <f t="shared" si="65"/>
        <v>356.05603999999994</v>
      </c>
      <c r="V36" s="14">
        <f t="shared" si="65"/>
        <v>1178.3266000000003</v>
      </c>
      <c r="W36" s="14">
        <f t="shared" si="65"/>
        <v>2208.1105300000008</v>
      </c>
      <c r="X36" s="14">
        <f t="shared" si="65"/>
        <v>1787.0502500000005</v>
      </c>
      <c r="Y36" s="14">
        <f t="shared" si="65"/>
        <v>2022.8792100000005</v>
      </c>
      <c r="Z36" s="14">
        <f t="shared" si="65"/>
        <v>1676.7486500000007</v>
      </c>
      <c r="AA36" s="14">
        <f t="shared" si="65"/>
        <v>49.370999999999341</v>
      </c>
      <c r="AB36" s="14">
        <f t="shared" si="65"/>
        <v>36.652999999999508</v>
      </c>
      <c r="AC36" s="14">
        <f t="shared" si="65"/>
        <v>-53.592000000000496</v>
      </c>
      <c r="AD36" s="14">
        <f>SUM(AD29+SUM(AD32:AD35))</f>
        <v>-63.592000000000496</v>
      </c>
      <c r="AE36" s="14">
        <f>SUM(AE29+SUM(AE32:AE35))</f>
        <v>-21.592000000000496</v>
      </c>
      <c r="AG36" s="128">
        <f>SUM(AE36/AA36)-1</f>
        <v>-1.4373417593324174</v>
      </c>
    </row>
    <row r="37" spans="1:33" ht="5.0999999999999996" customHeight="1"/>
    <row r="38" spans="1:33" ht="12.75" customHeight="1">
      <c r="B38" s="31" t="s">
        <v>106</v>
      </c>
      <c r="C38" s="146"/>
      <c r="D38" s="146"/>
      <c r="E38" s="146"/>
      <c r="F38" s="32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S38" s="10">
        <f>SUM(F38:F38)</f>
        <v>0</v>
      </c>
      <c r="T38" s="10" t="e">
        <f>SUM(#REF!)</f>
        <v>#REF!</v>
      </c>
      <c r="U38" s="10">
        <f>SUM(G38:G38)</f>
        <v>0</v>
      </c>
      <c r="V38" s="10">
        <f>SUM(G38:H38)</f>
        <v>0</v>
      </c>
      <c r="W38" s="10">
        <f>SUM(G38:I38)</f>
        <v>0</v>
      </c>
      <c r="X38" s="10">
        <f t="shared" ref="X38:AE39" si="66">SUM(G38:J38)</f>
        <v>0</v>
      </c>
      <c r="Y38" s="10">
        <f t="shared" si="66"/>
        <v>0</v>
      </c>
      <c r="Z38" s="10">
        <f t="shared" si="66"/>
        <v>0</v>
      </c>
      <c r="AA38" s="147">
        <f t="shared" si="66"/>
        <v>0</v>
      </c>
      <c r="AB38" s="147">
        <f t="shared" si="66"/>
        <v>0</v>
      </c>
      <c r="AC38" s="147">
        <f t="shared" si="66"/>
        <v>0</v>
      </c>
      <c r="AD38" s="147">
        <f t="shared" si="66"/>
        <v>0</v>
      </c>
      <c r="AE38" s="147">
        <f t="shared" si="66"/>
        <v>0</v>
      </c>
    </row>
    <row r="39" spans="1:33" ht="12.75" customHeight="1">
      <c r="B39" s="31" t="s">
        <v>95</v>
      </c>
      <c r="C39" s="146"/>
      <c r="D39" s="146"/>
      <c r="E39" s="146"/>
      <c r="F39" s="32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S39" s="10">
        <f>SUM(F39:F39)</f>
        <v>0</v>
      </c>
      <c r="T39" s="10" t="e">
        <f>SUM(#REF!)</f>
        <v>#REF!</v>
      </c>
      <c r="U39" s="10">
        <f>SUM(G39:G39)</f>
        <v>0</v>
      </c>
      <c r="V39" s="10">
        <f>SUM(G39:H39)</f>
        <v>0</v>
      </c>
      <c r="W39" s="10">
        <f>SUM(G39:I39)</f>
        <v>0</v>
      </c>
      <c r="X39" s="10">
        <f t="shared" si="66"/>
        <v>0</v>
      </c>
      <c r="Y39" s="10">
        <f t="shared" si="66"/>
        <v>0</v>
      </c>
      <c r="Z39" s="10">
        <f t="shared" si="66"/>
        <v>0</v>
      </c>
      <c r="AA39" s="147">
        <f t="shared" si="66"/>
        <v>0</v>
      </c>
      <c r="AB39" s="147">
        <f t="shared" si="66"/>
        <v>0</v>
      </c>
      <c r="AC39" s="147">
        <f t="shared" si="66"/>
        <v>0</v>
      </c>
      <c r="AD39" s="147">
        <f t="shared" si="66"/>
        <v>0</v>
      </c>
      <c r="AE39" s="147">
        <f t="shared" si="66"/>
        <v>0</v>
      </c>
    </row>
    <row r="40" spans="1:33" ht="12.75" customHeight="1">
      <c r="B40" s="31" t="s">
        <v>107</v>
      </c>
      <c r="C40" s="146"/>
      <c r="D40" s="146"/>
      <c r="E40" s="146"/>
      <c r="F40" s="32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S40" s="10"/>
      <c r="T40" s="10"/>
      <c r="U40" s="10"/>
      <c r="V40" s="10"/>
      <c r="W40" s="10"/>
      <c r="X40" s="10"/>
      <c r="Y40" s="10"/>
      <c r="Z40" s="10"/>
      <c r="AA40" s="147">
        <f t="shared" ref="AA40:AE41" si="67">SUM(J40:M40)</f>
        <v>0</v>
      </c>
      <c r="AB40" s="147">
        <f t="shared" si="67"/>
        <v>0</v>
      </c>
      <c r="AC40" s="147">
        <f t="shared" si="67"/>
        <v>0</v>
      </c>
      <c r="AD40" s="147">
        <f t="shared" si="67"/>
        <v>0</v>
      </c>
      <c r="AE40" s="147">
        <f t="shared" si="67"/>
        <v>0</v>
      </c>
    </row>
    <row r="41" spans="1:33" ht="12.75" customHeight="1">
      <c r="B41" s="31" t="s">
        <v>108</v>
      </c>
      <c r="C41" s="146"/>
      <c r="D41" s="146"/>
      <c r="E41" s="146"/>
      <c r="F41" s="32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S41" s="10"/>
      <c r="T41" s="10"/>
      <c r="U41" s="10"/>
      <c r="V41" s="10"/>
      <c r="W41" s="10"/>
      <c r="X41" s="10"/>
      <c r="Y41" s="10"/>
      <c r="Z41" s="10"/>
      <c r="AA41" s="147">
        <f t="shared" si="67"/>
        <v>0</v>
      </c>
      <c r="AB41" s="147">
        <f t="shared" si="67"/>
        <v>0</v>
      </c>
      <c r="AC41" s="147">
        <f t="shared" si="67"/>
        <v>0</v>
      </c>
      <c r="AD41" s="147">
        <f t="shared" si="67"/>
        <v>0</v>
      </c>
      <c r="AE41" s="147">
        <f t="shared" si="67"/>
        <v>0</v>
      </c>
    </row>
    <row r="42" spans="1:33" ht="12.75" customHeight="1">
      <c r="B42" s="31" t="s">
        <v>109</v>
      </c>
      <c r="C42" s="146"/>
      <c r="D42" s="146"/>
      <c r="E42" s="146"/>
      <c r="F42" s="32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S42" s="10"/>
      <c r="T42" s="10"/>
      <c r="U42" s="10"/>
      <c r="V42" s="10"/>
      <c r="W42" s="10"/>
      <c r="X42" s="10"/>
      <c r="Y42" s="10"/>
      <c r="Z42" s="10">
        <f t="shared" ref="Z42:AE44" si="68">SUM(I42:L42)</f>
        <v>0</v>
      </c>
      <c r="AA42" s="147">
        <f t="shared" si="68"/>
        <v>0</v>
      </c>
      <c r="AB42" s="147">
        <f t="shared" si="68"/>
        <v>0</v>
      </c>
      <c r="AC42" s="147">
        <f t="shared" si="68"/>
        <v>0</v>
      </c>
      <c r="AD42" s="147">
        <f t="shared" si="68"/>
        <v>0</v>
      </c>
      <c r="AE42" s="147">
        <f t="shared" si="68"/>
        <v>0</v>
      </c>
    </row>
    <row r="43" spans="1:33" ht="12.75" customHeight="1">
      <c r="B43" s="31" t="s">
        <v>110</v>
      </c>
      <c r="C43" s="146"/>
      <c r="D43" s="146"/>
      <c r="E43" s="146"/>
      <c r="F43" s="32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S43" s="10"/>
      <c r="T43" s="10"/>
      <c r="U43" s="10"/>
      <c r="V43" s="10"/>
      <c r="W43" s="10"/>
      <c r="X43" s="10"/>
      <c r="Y43" s="10"/>
      <c r="Z43" s="10"/>
      <c r="AA43" s="147">
        <f>SUM(J43:M43)</f>
        <v>0</v>
      </c>
      <c r="AB43" s="147">
        <f>SUM(K43:N43)</f>
        <v>0</v>
      </c>
      <c r="AC43" s="147">
        <f>SUM(L43:O43)</f>
        <v>0</v>
      </c>
      <c r="AD43" s="147">
        <f>SUM(M43:P43)</f>
        <v>0</v>
      </c>
      <c r="AE43" s="147">
        <f>SUM(N43:Q43)</f>
        <v>0</v>
      </c>
    </row>
    <row r="44" spans="1:33" ht="12.75" customHeight="1">
      <c r="B44" s="31" t="s">
        <v>67</v>
      </c>
      <c r="C44" s="97"/>
      <c r="D44" s="97">
        <f>SUM(D49-C49)-SUM(D36:D42)</f>
        <v>355.81499999999983</v>
      </c>
      <c r="E44" s="97">
        <f>SUM(E49-D49)-SUM(E36:E43)</f>
        <v>1344.7150000000004</v>
      </c>
      <c r="F44" s="32"/>
      <c r="G44" s="97"/>
      <c r="H44" s="97">
        <f t="shared" ref="H44:Q44" si="69">SUM(H49-G49)-SUM(H36:H43)</f>
        <v>-146.97099999999969</v>
      </c>
      <c r="I44" s="97">
        <f t="shared" si="69"/>
        <v>-154.19600000000059</v>
      </c>
      <c r="J44" s="97">
        <f t="shared" si="69"/>
        <v>272.39500000000061</v>
      </c>
      <c r="K44" s="97">
        <f t="shared" si="69"/>
        <v>-114.291</v>
      </c>
      <c r="L44" s="97">
        <f t="shared" si="69"/>
        <v>-32.585000000000434</v>
      </c>
      <c r="M44" s="97">
        <f t="shared" si="69"/>
        <v>-27.925999999999988</v>
      </c>
      <c r="N44" s="97">
        <f t="shared" si="69"/>
        <v>1519.5170000000007</v>
      </c>
      <c r="O44" s="97">
        <f t="shared" si="69"/>
        <v>-184.41699999999992</v>
      </c>
      <c r="P44" s="97">
        <f t="shared" si="69"/>
        <v>-66</v>
      </c>
      <c r="Q44" s="97">
        <f t="shared" si="69"/>
        <v>1462</v>
      </c>
      <c r="S44" s="10">
        <f>SUM(F44:F44)</f>
        <v>0</v>
      </c>
      <c r="T44" s="10" t="e">
        <f>SUM(#REF!)</f>
        <v>#REF!</v>
      </c>
      <c r="U44" s="10">
        <f>SUM(G44:G44)</f>
        <v>0</v>
      </c>
      <c r="V44" s="10">
        <f>SUM(G44:H44)</f>
        <v>-146.97099999999969</v>
      </c>
      <c r="W44" s="10">
        <f>SUM(G44:I44)</f>
        <v>-301.16700000000026</v>
      </c>
      <c r="X44" s="10">
        <f t="shared" ref="X44:Y44" si="70">SUM(G44:J44)</f>
        <v>-28.77199999999965</v>
      </c>
      <c r="Y44" s="10">
        <f t="shared" si="70"/>
        <v>-143.06299999999965</v>
      </c>
      <c r="Z44" s="10">
        <f t="shared" si="68"/>
        <v>-28.677000000000419</v>
      </c>
      <c r="AA44" s="147">
        <f t="shared" si="68"/>
        <v>97.593000000000188</v>
      </c>
      <c r="AB44" s="147">
        <f t="shared" si="68"/>
        <v>1344.7150000000004</v>
      </c>
      <c r="AC44" s="147">
        <f t="shared" si="68"/>
        <v>1274.5890000000004</v>
      </c>
      <c r="AD44" s="147">
        <f t="shared" si="68"/>
        <v>1241.1740000000009</v>
      </c>
      <c r="AE44" s="147">
        <f t="shared" si="68"/>
        <v>2731.1000000000008</v>
      </c>
    </row>
    <row r="45" spans="1:33" ht="12.75" customHeight="1">
      <c r="B45" s="13" t="s">
        <v>42</v>
      </c>
      <c r="C45" s="14">
        <f>SUM(C36+SUM(C38:C44))</f>
        <v>212.04799999999989</v>
      </c>
      <c r="D45" s="14">
        <f>SUM(D36+SUM(D38:D44))</f>
        <v>217.24399999999997</v>
      </c>
      <c r="E45" s="14">
        <f>SUM(E36+SUM(E38:E44))</f>
        <v>1381.3679999999999</v>
      </c>
      <c r="G45" s="14">
        <f t="shared" ref="G45:Q45" si="71">SUM(G36+SUM(G38:G44))</f>
        <v>-428.89300000000003</v>
      </c>
      <c r="H45" s="14">
        <f t="shared" si="71"/>
        <v>50.565000000000026</v>
      </c>
      <c r="I45" s="14">
        <f t="shared" si="71"/>
        <v>40.463999999999999</v>
      </c>
      <c r="J45" s="14">
        <f t="shared" si="71"/>
        <v>170.52099999999996</v>
      </c>
      <c r="K45" s="14">
        <f t="shared" si="71"/>
        <v>-37.045999999999992</v>
      </c>
      <c r="L45" s="14">
        <f t="shared" si="71"/>
        <v>28.41500000000002</v>
      </c>
      <c r="M45" s="14">
        <f t="shared" si="71"/>
        <v>-14.925999999999988</v>
      </c>
      <c r="N45" s="14">
        <f t="shared" si="71"/>
        <v>1404.925</v>
      </c>
      <c r="O45" s="14">
        <f t="shared" si="71"/>
        <v>-197.41699999999992</v>
      </c>
      <c r="P45" s="14">
        <f t="shared" si="71"/>
        <v>-15</v>
      </c>
      <c r="Q45" s="14">
        <f t="shared" si="71"/>
        <v>1517</v>
      </c>
      <c r="S45" s="14">
        <f t="shared" ref="S45:AE45" si="72">SUM(S36+SUM(S38:S44))</f>
        <v>0</v>
      </c>
      <c r="T45" s="14" t="e">
        <f t="shared" si="72"/>
        <v>#REF!</v>
      </c>
      <c r="U45" s="14">
        <f t="shared" si="72"/>
        <v>356.05603999999994</v>
      </c>
      <c r="V45" s="14">
        <f t="shared" si="72"/>
        <v>1031.3556000000005</v>
      </c>
      <c r="W45" s="14">
        <f t="shared" si="72"/>
        <v>1906.9435300000005</v>
      </c>
      <c r="X45" s="14">
        <f t="shared" si="72"/>
        <v>1758.2782500000008</v>
      </c>
      <c r="Y45" s="14">
        <f t="shared" si="72"/>
        <v>1879.8162100000009</v>
      </c>
      <c r="Z45" s="14">
        <f t="shared" si="72"/>
        <v>1648.0716500000003</v>
      </c>
      <c r="AA45" s="14">
        <f t="shared" si="72"/>
        <v>146.96399999999954</v>
      </c>
      <c r="AB45" s="14">
        <f t="shared" si="72"/>
        <v>1381.3679999999999</v>
      </c>
      <c r="AC45" s="14">
        <f t="shared" si="72"/>
        <v>1220.9969999999998</v>
      </c>
      <c r="AD45" s="14">
        <f t="shared" si="72"/>
        <v>1177.5820000000003</v>
      </c>
      <c r="AE45" s="14">
        <f t="shared" si="72"/>
        <v>2709.5080000000003</v>
      </c>
    </row>
    <row r="46" spans="1:33" ht="5.0999999999999996" customHeight="1"/>
    <row r="47" spans="1:33" ht="12.75" customHeight="1">
      <c r="A47" s="5"/>
      <c r="B47" s="33" t="s">
        <v>43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</row>
    <row r="48" spans="1:33" ht="5.0999999999999996" customHeight="1"/>
    <row r="49" spans="2:31" ht="12.75" customHeight="1">
      <c r="B49" s="8" t="s">
        <v>44</v>
      </c>
      <c r="C49" s="96">
        <f>'Historical Financials'!C46</f>
        <v>270.80500000000001</v>
      </c>
      <c r="D49" s="96">
        <f>'Historical Financials'!D46</f>
        <v>488.04899999999998</v>
      </c>
      <c r="E49" s="96">
        <f>'Historical Financials'!E46</f>
        <v>1869.4169999999999</v>
      </c>
      <c r="F49" s="32"/>
      <c r="G49" s="96">
        <f>'Historical Financials'!G46</f>
        <v>226.499</v>
      </c>
      <c r="H49" s="96">
        <f>'Historical Financials'!H46</f>
        <v>277.06400000000002</v>
      </c>
      <c r="I49" s="96">
        <f>'Historical Financials'!I46</f>
        <v>317.52800000000002</v>
      </c>
      <c r="J49" s="96">
        <f>'Historical Financials'!J46</f>
        <v>488.04899999999998</v>
      </c>
      <c r="K49" s="96">
        <f>'Historical Financials'!K46</f>
        <v>451.00299999999999</v>
      </c>
      <c r="L49" s="96">
        <f>'Historical Financials'!L46</f>
        <v>479.41800000000001</v>
      </c>
      <c r="M49" s="96">
        <f>'Historical Financials'!M46</f>
        <v>464.49200000000002</v>
      </c>
      <c r="N49" s="96">
        <f>'Historical Financials'!N46</f>
        <v>1869.4169999999999</v>
      </c>
      <c r="O49" s="96">
        <f>'Historical Financials'!O46</f>
        <v>1672</v>
      </c>
      <c r="P49" s="96">
        <f>'Historical Financials'!P46</f>
        <v>1657</v>
      </c>
      <c r="Q49" s="96">
        <f>'Historical Financials'!Q46</f>
        <v>3174</v>
      </c>
      <c r="S49" s="10" t="e">
        <f>#REF!</f>
        <v>#REF!</v>
      </c>
      <c r="T49" s="10" t="e">
        <f>#REF!</f>
        <v>#REF!</v>
      </c>
      <c r="U49" s="10">
        <f t="shared" ref="U49:AE49" si="73">G49</f>
        <v>226.499</v>
      </c>
      <c r="V49" s="10">
        <f t="shared" si="73"/>
        <v>277.06400000000002</v>
      </c>
      <c r="W49" s="10">
        <f t="shared" si="73"/>
        <v>317.52800000000002</v>
      </c>
      <c r="X49" s="10">
        <f t="shared" si="73"/>
        <v>488.04899999999998</v>
      </c>
      <c r="Y49" s="10">
        <f t="shared" si="73"/>
        <v>451.00299999999999</v>
      </c>
      <c r="Z49" s="10">
        <f t="shared" si="73"/>
        <v>479.41800000000001</v>
      </c>
      <c r="AA49" s="10">
        <f t="shared" si="73"/>
        <v>464.49200000000002</v>
      </c>
      <c r="AB49" s="10">
        <f t="shared" si="73"/>
        <v>1869.4169999999999</v>
      </c>
      <c r="AC49" s="10">
        <f t="shared" si="73"/>
        <v>1672</v>
      </c>
      <c r="AD49" s="10">
        <f t="shared" si="73"/>
        <v>1657</v>
      </c>
      <c r="AE49" s="10">
        <f t="shared" si="73"/>
        <v>3174</v>
      </c>
    </row>
    <row r="50" spans="2:31" ht="12.75" customHeight="1">
      <c r="B50" s="8" t="s">
        <v>115</v>
      </c>
      <c r="C50" s="96"/>
      <c r="D50" s="96"/>
      <c r="E50" s="96"/>
      <c r="F50" s="32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S50" s="10"/>
      <c r="T50" s="10"/>
      <c r="U50" s="10"/>
      <c r="V50" s="10"/>
      <c r="W50" s="10"/>
      <c r="X50" s="10"/>
      <c r="Y50" s="10"/>
      <c r="Z50" s="10"/>
      <c r="AA50" s="10">
        <f t="shared" ref="AA50:AE51" si="74">M50</f>
        <v>0</v>
      </c>
      <c r="AB50" s="10">
        <f t="shared" si="74"/>
        <v>0</v>
      </c>
      <c r="AC50" s="10">
        <f t="shared" si="74"/>
        <v>0</v>
      </c>
      <c r="AD50" s="10">
        <f t="shared" si="74"/>
        <v>0</v>
      </c>
      <c r="AE50" s="10">
        <f t="shared" si="74"/>
        <v>0</v>
      </c>
    </row>
    <row r="51" spans="2:31" ht="12.75" customHeight="1">
      <c r="B51" s="31" t="s">
        <v>115</v>
      </c>
      <c r="C51" s="82"/>
      <c r="D51" s="82"/>
      <c r="E51" s="82"/>
      <c r="F51" s="96"/>
      <c r="G51" s="82"/>
      <c r="H51" s="82"/>
      <c r="I51" s="82"/>
      <c r="J51" s="10"/>
      <c r="K51" s="82"/>
      <c r="L51" s="82"/>
      <c r="M51" s="82"/>
      <c r="N51" s="10"/>
      <c r="O51" s="82"/>
      <c r="P51" s="82"/>
      <c r="Q51" s="82"/>
      <c r="S51" s="10"/>
      <c r="T51" s="10"/>
      <c r="U51" s="10"/>
      <c r="V51" s="10"/>
      <c r="W51" s="10"/>
      <c r="X51" s="10"/>
      <c r="Y51" s="10"/>
      <c r="Z51" s="10"/>
      <c r="AA51" s="10">
        <f t="shared" si="74"/>
        <v>0</v>
      </c>
      <c r="AB51" s="10">
        <f t="shared" si="74"/>
        <v>0</v>
      </c>
      <c r="AC51" s="10">
        <f t="shared" si="74"/>
        <v>0</v>
      </c>
      <c r="AD51" s="10">
        <f t="shared" si="74"/>
        <v>0</v>
      </c>
      <c r="AE51" s="10">
        <f t="shared" si="74"/>
        <v>0</v>
      </c>
    </row>
    <row r="52" spans="2:31" ht="12.75" customHeight="1">
      <c r="B52" s="13" t="s">
        <v>45</v>
      </c>
      <c r="C52" s="14">
        <f>SUM(C49:C51)</f>
        <v>270.80500000000001</v>
      </c>
      <c r="D52" s="14">
        <f>SUM(D49:D51)</f>
        <v>488.04899999999998</v>
      </c>
      <c r="E52" s="14">
        <f>SUM(E49:E51)</f>
        <v>1869.4169999999999</v>
      </c>
      <c r="F52" s="32"/>
      <c r="G52" s="14">
        <f t="shared" ref="G52:Q52" si="75">SUM(G49:G51)</f>
        <v>226.499</v>
      </c>
      <c r="H52" s="14">
        <f t="shared" si="75"/>
        <v>277.06400000000002</v>
      </c>
      <c r="I52" s="14">
        <f t="shared" si="75"/>
        <v>317.52800000000002</v>
      </c>
      <c r="J52" s="14">
        <f t="shared" si="75"/>
        <v>488.04899999999998</v>
      </c>
      <c r="K52" s="14">
        <f t="shared" si="75"/>
        <v>451.00299999999999</v>
      </c>
      <c r="L52" s="14">
        <f t="shared" si="75"/>
        <v>479.41800000000001</v>
      </c>
      <c r="M52" s="14">
        <f t="shared" si="75"/>
        <v>464.49200000000002</v>
      </c>
      <c r="N52" s="14">
        <f t="shared" si="75"/>
        <v>1869.4169999999999</v>
      </c>
      <c r="O52" s="14">
        <f t="shared" si="75"/>
        <v>1672</v>
      </c>
      <c r="P52" s="14">
        <f t="shared" si="75"/>
        <v>1657</v>
      </c>
      <c r="Q52" s="14">
        <f t="shared" si="75"/>
        <v>3174</v>
      </c>
      <c r="S52" s="14" t="e">
        <f t="shared" ref="S52:Z52" si="76">SUM(S49:S49)</f>
        <v>#REF!</v>
      </c>
      <c r="T52" s="14" t="e">
        <f t="shared" si="76"/>
        <v>#REF!</v>
      </c>
      <c r="U52" s="14">
        <f t="shared" si="76"/>
        <v>226.499</v>
      </c>
      <c r="V52" s="14">
        <f t="shared" si="76"/>
        <v>277.06400000000002</v>
      </c>
      <c r="W52" s="14">
        <f t="shared" si="76"/>
        <v>317.52800000000002</v>
      </c>
      <c r="X52" s="14">
        <f t="shared" si="76"/>
        <v>488.04899999999998</v>
      </c>
      <c r="Y52" s="14">
        <f t="shared" si="76"/>
        <v>451.00299999999999</v>
      </c>
      <c r="Z52" s="14">
        <f t="shared" si="76"/>
        <v>479.41800000000001</v>
      </c>
      <c r="AA52" s="14">
        <f>SUM(AA49:AA51)</f>
        <v>464.49200000000002</v>
      </c>
      <c r="AB52" s="14">
        <f>SUM(AB49:AB51)</f>
        <v>1869.4169999999999</v>
      </c>
      <c r="AC52" s="14">
        <f>SUM(AC49:AC51)</f>
        <v>1672</v>
      </c>
      <c r="AD52" s="14">
        <f>SUM(AD49:AD51)</f>
        <v>1657</v>
      </c>
      <c r="AE52" s="14">
        <f>SUM(AE49:AE51)</f>
        <v>3174</v>
      </c>
    </row>
    <row r="53" spans="2:31" ht="5.0999999999999996" customHeight="1"/>
    <row r="54" spans="2:31" ht="12.75" customHeight="1">
      <c r="B54" s="35" t="s">
        <v>46</v>
      </c>
    </row>
    <row r="55" spans="2:31" ht="12.75" customHeight="1">
      <c r="B55" s="8" t="s">
        <v>172</v>
      </c>
      <c r="C55" s="96">
        <f>'Historical Financials'!C47</f>
        <v>684.048</v>
      </c>
      <c r="D55" s="96">
        <f>'Historical Financials'!D47</f>
        <v>609.52800000000002</v>
      </c>
      <c r="E55" s="96">
        <f>'Historical Financials'!E47</f>
        <v>544.04</v>
      </c>
      <c r="F55" s="96"/>
      <c r="G55" s="96">
        <f>'Historical Financials'!G47</f>
        <v>782.09299999999996</v>
      </c>
      <c r="H55" s="96">
        <f>'Historical Financials'!H47</f>
        <v>793.77200000000005</v>
      </c>
      <c r="I55" s="96">
        <f>'Historical Financials'!I47</f>
        <v>868.30499999999995</v>
      </c>
      <c r="J55" s="96">
        <f>'Historical Financials'!J47</f>
        <v>609.52800000000002</v>
      </c>
      <c r="K55" s="96">
        <f>'Historical Financials'!K47</f>
        <v>825.38400000000001</v>
      </c>
      <c r="L55" s="96">
        <f>'Historical Financials'!L47</f>
        <v>847.60900000000004</v>
      </c>
      <c r="M55" s="96">
        <f>'Historical Financials'!M47</f>
        <v>668.93700000000001</v>
      </c>
      <c r="N55" s="96">
        <f>'Historical Financials'!N47</f>
        <v>544.04</v>
      </c>
      <c r="O55" s="96">
        <f>'Historical Financials'!O47</f>
        <v>494</v>
      </c>
      <c r="P55" s="96">
        <f>'Historical Financials'!P47</f>
        <v>492</v>
      </c>
      <c r="Q55" s="96">
        <f>'Historical Financials'!Q47</f>
        <v>483</v>
      </c>
      <c r="S55" s="10" t="e">
        <f>#REF!</f>
        <v>#REF!</v>
      </c>
      <c r="T55" s="10" t="e">
        <f>#REF!</f>
        <v>#REF!</v>
      </c>
      <c r="U55" s="10">
        <f t="shared" ref="U55:AC59" si="77">G55</f>
        <v>782.09299999999996</v>
      </c>
      <c r="V55" s="10">
        <f t="shared" si="77"/>
        <v>793.77200000000005</v>
      </c>
      <c r="W55" s="10">
        <f t="shared" si="77"/>
        <v>868.30499999999995</v>
      </c>
      <c r="X55" s="10">
        <f t="shared" si="77"/>
        <v>609.52800000000002</v>
      </c>
      <c r="Y55" s="10">
        <f t="shared" si="77"/>
        <v>825.38400000000001</v>
      </c>
      <c r="Z55" s="10">
        <f t="shared" si="77"/>
        <v>847.60900000000004</v>
      </c>
      <c r="AA55" s="10">
        <f t="shared" si="77"/>
        <v>668.93700000000001</v>
      </c>
      <c r="AB55" s="10">
        <f t="shared" si="77"/>
        <v>544.04</v>
      </c>
      <c r="AC55" s="10">
        <f t="shared" si="77"/>
        <v>494</v>
      </c>
      <c r="AD55" s="10">
        <f t="shared" ref="AD55:AE59" si="78">P55</f>
        <v>492</v>
      </c>
      <c r="AE55" s="10">
        <f t="shared" si="78"/>
        <v>483</v>
      </c>
    </row>
    <row r="56" spans="2:31" ht="12.75" customHeight="1">
      <c r="B56" s="8" t="s">
        <v>173</v>
      </c>
      <c r="C56" s="96">
        <f>'Historical Financials'!C53</f>
        <v>1690.1389999999999</v>
      </c>
      <c r="D56" s="96">
        <f>'Historical Financials'!D53</f>
        <v>1555.9849999999999</v>
      </c>
      <c r="E56" s="96">
        <f>'Historical Financials'!E53</f>
        <v>1334.338</v>
      </c>
      <c r="F56" s="96"/>
      <c r="G56" s="96">
        <f>'Historical Financials'!G53</f>
        <v>1694.337</v>
      </c>
      <c r="H56" s="96">
        <f>'Historical Financials'!H53</f>
        <v>1688.8910000000001</v>
      </c>
      <c r="I56" s="96">
        <f>'Historical Financials'!I53</f>
        <v>1663.08</v>
      </c>
      <c r="J56" s="96">
        <f>'Historical Financials'!J53</f>
        <v>1555.9849999999999</v>
      </c>
      <c r="K56" s="96">
        <f>'Historical Financials'!K53</f>
        <v>1611.251</v>
      </c>
      <c r="L56" s="96">
        <f>'Historical Financials'!L53</f>
        <v>1579.886</v>
      </c>
      <c r="M56" s="96">
        <f>'Historical Financials'!M53</f>
        <v>1479.7380000000001</v>
      </c>
      <c r="N56" s="96">
        <f>'Historical Financials'!N53</f>
        <v>1334.338</v>
      </c>
      <c r="O56" s="96">
        <f>'Historical Financials'!O53</f>
        <v>1265</v>
      </c>
      <c r="P56" s="96">
        <f>'Historical Financials'!P53</f>
        <v>1263</v>
      </c>
      <c r="Q56" s="96">
        <f>'Historical Financials'!Q53</f>
        <v>1269</v>
      </c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</row>
    <row r="57" spans="2:31" ht="12.75" customHeight="1">
      <c r="B57" s="8" t="s">
        <v>47</v>
      </c>
      <c r="C57" s="96">
        <f>'Historical Financials'!C61</f>
        <v>4178.9070000000002</v>
      </c>
      <c r="D57" s="96">
        <f>'Historical Financials'!D61</f>
        <v>3526.0790000000002</v>
      </c>
      <c r="E57" s="96">
        <f>'Historical Financials'!E61</f>
        <v>3407.8890000000001</v>
      </c>
      <c r="F57" s="96"/>
      <c r="G57" s="96">
        <f>'Historical Financials'!G61</f>
        <v>3682.7489999999998</v>
      </c>
      <c r="H57" s="96">
        <f>'Historical Financials'!H61</f>
        <v>3780.2150000000001</v>
      </c>
      <c r="I57" s="96">
        <f>'Historical Financials'!I61</f>
        <v>3943.0189999999998</v>
      </c>
      <c r="J57" s="96">
        <f>'Historical Financials'!J61</f>
        <v>3526.0790000000002</v>
      </c>
      <c r="K57" s="96">
        <f>'Historical Financials'!K61</f>
        <v>4031.299</v>
      </c>
      <c r="L57" s="96">
        <f>'Historical Financials'!L61</f>
        <v>4048.3209999999999</v>
      </c>
      <c r="M57" s="96">
        <f>'Historical Financials'!M61</f>
        <v>3498.46</v>
      </c>
      <c r="N57" s="96">
        <f>'Historical Financials'!N61</f>
        <v>3407.8890000000001</v>
      </c>
      <c r="O57" s="96">
        <f>'Historical Financials'!O61</f>
        <v>3425</v>
      </c>
      <c r="P57" s="96">
        <f>'Historical Financials'!P61</f>
        <v>3322</v>
      </c>
      <c r="Q57" s="96">
        <f>'Historical Financials'!Q61</f>
        <v>3177</v>
      </c>
      <c r="S57" s="10"/>
      <c r="T57" s="10"/>
      <c r="U57" s="10"/>
      <c r="V57" s="10"/>
      <c r="W57" s="10"/>
      <c r="X57" s="10"/>
      <c r="Y57" s="10"/>
      <c r="Z57" s="10"/>
      <c r="AA57" s="10">
        <f t="shared" ref="AA57" si="79">M57</f>
        <v>3498.46</v>
      </c>
      <c r="AB57" s="10">
        <f t="shared" ref="AB57" si="80">N57</f>
        <v>3407.8890000000001</v>
      </c>
      <c r="AC57" s="10">
        <f t="shared" ref="AC57" si="81">O57</f>
        <v>3425</v>
      </c>
      <c r="AD57" s="10">
        <f t="shared" ref="AD57" si="82">P57</f>
        <v>3322</v>
      </c>
      <c r="AE57" s="10">
        <f t="shared" ref="AE57" si="83">Q57</f>
        <v>3177</v>
      </c>
    </row>
    <row r="58" spans="2:31" ht="12.75" customHeight="1">
      <c r="B58" s="8" t="s">
        <v>48</v>
      </c>
      <c r="C58" s="96">
        <f>'Historical Financials'!C65</f>
        <v>5420.8510000000006</v>
      </c>
      <c r="D58" s="96">
        <f>'Historical Financials'!D65</f>
        <v>5307.4050000000007</v>
      </c>
      <c r="E58" s="96">
        <f>'Historical Financials'!E65</f>
        <v>4665.357</v>
      </c>
      <c r="F58" s="96"/>
      <c r="G58" s="96">
        <f>'Historical Financials'!G65</f>
        <v>4983.4549999999999</v>
      </c>
      <c r="H58" s="96">
        <f>'Historical Financials'!H65</f>
        <v>5026.3779999999997</v>
      </c>
      <c r="I58" s="96">
        <f>'Historical Financials'!I65</f>
        <v>5135.9389999999994</v>
      </c>
      <c r="J58" s="96">
        <f>'Historical Financials'!J65</f>
        <v>5307.4050000000007</v>
      </c>
      <c r="K58" s="96">
        <f>'Historical Financials'!K65</f>
        <v>5209.8490000000002</v>
      </c>
      <c r="L58" s="96">
        <f>'Historical Financials'!L65</f>
        <v>5256.7740000000003</v>
      </c>
      <c r="M58" s="96">
        <f>'Historical Financials'!M65</f>
        <v>5593.5409999999993</v>
      </c>
      <c r="N58" s="96">
        <f>'Historical Financials'!N65</f>
        <v>4665.357</v>
      </c>
      <c r="O58" s="96">
        <f>'Historical Financials'!O65</f>
        <v>4793</v>
      </c>
      <c r="P58" s="96">
        <f>'Historical Financials'!P65</f>
        <v>4731</v>
      </c>
      <c r="Q58" s="96">
        <f>'Historical Financials'!Q65</f>
        <v>4349</v>
      </c>
      <c r="S58" s="10" t="e">
        <f>#REF!</f>
        <v>#REF!</v>
      </c>
      <c r="T58" s="10" t="e">
        <f>#REF!</f>
        <v>#REF!</v>
      </c>
      <c r="U58" s="10">
        <f t="shared" si="77"/>
        <v>4983.4549999999999</v>
      </c>
      <c r="V58" s="10">
        <f t="shared" si="77"/>
        <v>5026.3779999999997</v>
      </c>
      <c r="W58" s="10">
        <f t="shared" si="77"/>
        <v>5135.9389999999994</v>
      </c>
      <c r="X58" s="10">
        <f t="shared" si="77"/>
        <v>5307.4050000000007</v>
      </c>
      <c r="Y58" s="10">
        <f t="shared" si="77"/>
        <v>5209.8490000000002</v>
      </c>
      <c r="Z58" s="10">
        <f t="shared" si="77"/>
        <v>5256.7740000000003</v>
      </c>
      <c r="AA58" s="10">
        <f t="shared" si="77"/>
        <v>5593.5409999999993</v>
      </c>
      <c r="AB58" s="10">
        <f t="shared" si="77"/>
        <v>4665.357</v>
      </c>
      <c r="AC58" s="10">
        <f t="shared" si="77"/>
        <v>4793</v>
      </c>
      <c r="AD58" s="10">
        <f t="shared" si="78"/>
        <v>4731</v>
      </c>
      <c r="AE58" s="10">
        <f t="shared" si="78"/>
        <v>4349</v>
      </c>
    </row>
    <row r="59" spans="2:31" ht="12.75" customHeight="1">
      <c r="B59" s="8" t="s">
        <v>18</v>
      </c>
      <c r="C59" s="96">
        <f>'Historical Financials'!C72</f>
        <v>9387.255000000001</v>
      </c>
      <c r="D59" s="96">
        <f>'Historical Financials'!D72</f>
        <v>9756.5980000000018</v>
      </c>
      <c r="E59" s="96">
        <f>'Historical Financials'!E72</f>
        <v>8628.1669999999995</v>
      </c>
      <c r="F59" s="96"/>
      <c r="G59" s="96">
        <f>'Historical Financials'!G72</f>
        <v>9546.0770000000011</v>
      </c>
      <c r="H59" s="96">
        <f>'Historical Financials'!H72</f>
        <v>9581.1890000000003</v>
      </c>
      <c r="I59" s="96">
        <f>'Historical Financials'!I72</f>
        <v>9602.0639999999985</v>
      </c>
      <c r="J59" s="96">
        <f>'Historical Financials'!J72</f>
        <v>9756.5980000000018</v>
      </c>
      <c r="K59" s="96">
        <f>'Historical Financials'!K72</f>
        <v>9636.4599999999991</v>
      </c>
      <c r="L59" s="96">
        <f>'Historical Financials'!L72</f>
        <v>9683.0540000000001</v>
      </c>
      <c r="M59" s="96">
        <f>'Historical Financials'!M72</f>
        <v>9870.503999999999</v>
      </c>
      <c r="N59" s="96">
        <f>'Historical Financials'!N72</f>
        <v>8628.1669999999995</v>
      </c>
      <c r="O59" s="96">
        <f>'Historical Financials'!O72</f>
        <v>8420</v>
      </c>
      <c r="P59" s="96">
        <f>'Historical Financials'!P72</f>
        <v>8336</v>
      </c>
      <c r="Q59" s="96">
        <f>'Historical Financials'!Q72</f>
        <v>9864</v>
      </c>
      <c r="S59" s="10" t="e">
        <f>#REF!</f>
        <v>#REF!</v>
      </c>
      <c r="T59" s="10" t="e">
        <f>#REF!</f>
        <v>#REF!</v>
      </c>
      <c r="U59" s="10">
        <f t="shared" si="77"/>
        <v>9546.0770000000011</v>
      </c>
      <c r="V59" s="10">
        <f t="shared" si="77"/>
        <v>9581.1890000000003</v>
      </c>
      <c r="W59" s="10">
        <f t="shared" si="77"/>
        <v>9602.0639999999985</v>
      </c>
      <c r="X59" s="10">
        <f t="shared" si="77"/>
        <v>9756.5980000000018</v>
      </c>
      <c r="Y59" s="10">
        <f t="shared" si="77"/>
        <v>9636.4599999999991</v>
      </c>
      <c r="Z59" s="10">
        <f t="shared" si="77"/>
        <v>9683.0540000000001</v>
      </c>
      <c r="AA59" s="10">
        <f t="shared" si="77"/>
        <v>9870.503999999999</v>
      </c>
      <c r="AB59" s="10">
        <f t="shared" si="77"/>
        <v>8628.1669999999995</v>
      </c>
      <c r="AC59" s="10">
        <f t="shared" si="77"/>
        <v>8420</v>
      </c>
      <c r="AD59" s="10">
        <f t="shared" si="78"/>
        <v>8336</v>
      </c>
      <c r="AE59" s="10">
        <f t="shared" si="78"/>
        <v>9864</v>
      </c>
    </row>
    <row r="60" spans="2:31" ht="5.0999999999999996" customHeight="1">
      <c r="E60" s="10"/>
    </row>
    <row r="61" spans="2:31">
      <c r="B61" s="35" t="s">
        <v>111</v>
      </c>
      <c r="E61" s="10"/>
    </row>
    <row r="62" spans="2:31">
      <c r="B62" s="8" t="s">
        <v>112</v>
      </c>
      <c r="C62" s="96">
        <f>'Historical Financials'!C63</f>
        <v>185</v>
      </c>
      <c r="D62" s="96">
        <f>'Historical Financials'!D63</f>
        <v>0</v>
      </c>
      <c r="E62" s="96">
        <f>'Historical Financials'!E63</f>
        <v>0</v>
      </c>
      <c r="G62" s="96">
        <f>'Historical Financials'!G63</f>
        <v>116</v>
      </c>
      <c r="H62" s="96">
        <f>'Historical Financials'!H63</f>
        <v>95</v>
      </c>
      <c r="I62" s="96">
        <f>'Historical Financials'!I63</f>
        <v>0</v>
      </c>
      <c r="J62" s="96">
        <f>'Historical Financials'!J63</f>
        <v>0</v>
      </c>
      <c r="K62" s="96">
        <f>'Historical Financials'!K63</f>
        <v>0</v>
      </c>
      <c r="L62" s="96">
        <f>'Historical Financials'!L63</f>
        <v>0</v>
      </c>
      <c r="M62" s="96">
        <f>'Historical Financials'!M63</f>
        <v>0</v>
      </c>
      <c r="N62" s="96">
        <f>'Historical Financials'!N63</f>
        <v>0</v>
      </c>
      <c r="O62" s="96">
        <f>'Historical Financials'!O63</f>
        <v>299</v>
      </c>
      <c r="P62" s="96">
        <f>'Historical Financials'!P63</f>
        <v>300</v>
      </c>
      <c r="Q62" s="96">
        <f>'Historical Financials'!Q63</f>
        <v>0</v>
      </c>
      <c r="AA62" s="10">
        <f t="shared" ref="AA62:AA63" si="84">M62</f>
        <v>0</v>
      </c>
      <c r="AB62" s="10">
        <f t="shared" ref="AB62:AB63" si="85">N62</f>
        <v>0</v>
      </c>
      <c r="AC62" s="10">
        <f t="shared" ref="AC62:AC63" si="86">O62</f>
        <v>299</v>
      </c>
      <c r="AD62" s="10">
        <f t="shared" ref="AD62:AD63" si="87">P62</f>
        <v>300</v>
      </c>
      <c r="AE62" s="10">
        <f t="shared" ref="AE62:AE63" si="88">Q62</f>
        <v>0</v>
      </c>
    </row>
    <row r="63" spans="2:31">
      <c r="B63" s="8" t="s">
        <v>113</v>
      </c>
      <c r="C63" s="96">
        <f>'Historical Financials'!C68</f>
        <v>1188.2829999999999</v>
      </c>
      <c r="D63" s="96">
        <f>'Historical Financials'!D68</f>
        <v>1786.3610000000001</v>
      </c>
      <c r="E63" s="96">
        <f>'Historical Financials'!E68</f>
        <v>1789.1610000000001</v>
      </c>
      <c r="G63" s="96">
        <f>'Historical Financials'!G68</f>
        <v>1784.596</v>
      </c>
      <c r="H63" s="96">
        <f>'Historical Financials'!H68</f>
        <v>1785.0740000000001</v>
      </c>
      <c r="I63" s="96">
        <f>'Historical Financials'!I68</f>
        <v>1785.7170000000001</v>
      </c>
      <c r="J63" s="96">
        <f>'Historical Financials'!J68</f>
        <v>1786.3610000000001</v>
      </c>
      <c r="K63" s="96">
        <f>'Historical Financials'!K68</f>
        <v>1787.221</v>
      </c>
      <c r="L63" s="96">
        <f>'Historical Financials'!L68</f>
        <v>1787.867</v>
      </c>
      <c r="M63" s="96">
        <f>'Historical Financials'!M68</f>
        <v>1788.5129999999999</v>
      </c>
      <c r="N63" s="96">
        <f>'Historical Financials'!N68</f>
        <v>1789.1610000000001</v>
      </c>
      <c r="O63" s="96">
        <f>'Historical Financials'!O68</f>
        <v>1491</v>
      </c>
      <c r="P63" s="96">
        <f>'Historical Financials'!P68</f>
        <v>1492</v>
      </c>
      <c r="Q63" s="96">
        <f>'Historical Financials'!Q68</f>
        <v>3411</v>
      </c>
      <c r="AA63" s="10">
        <f t="shared" si="84"/>
        <v>1788.5129999999999</v>
      </c>
      <c r="AB63" s="10">
        <f t="shared" si="85"/>
        <v>1789.1610000000001</v>
      </c>
      <c r="AC63" s="10">
        <f t="shared" si="86"/>
        <v>1491</v>
      </c>
      <c r="AD63" s="10">
        <f t="shared" si="87"/>
        <v>1492</v>
      </c>
      <c r="AE63" s="10">
        <f t="shared" si="88"/>
        <v>3411</v>
      </c>
    </row>
    <row r="64" spans="2:31">
      <c r="E64" s="10"/>
    </row>
    <row r="65" spans="1:31">
      <c r="B65" s="31" t="s">
        <v>163</v>
      </c>
      <c r="C65" s="82"/>
      <c r="D65" s="82">
        <v>298369</v>
      </c>
      <c r="E65" s="82">
        <v>299110</v>
      </c>
      <c r="G65" s="82"/>
      <c r="H65" s="82"/>
      <c r="I65" s="82"/>
      <c r="J65" s="10">
        <f>D65</f>
        <v>298369</v>
      </c>
      <c r="K65" s="82"/>
      <c r="L65" s="82"/>
      <c r="M65" s="82"/>
      <c r="N65" s="10">
        <f>E65</f>
        <v>299110</v>
      </c>
      <c r="O65" s="82"/>
      <c r="P65" s="82"/>
      <c r="Q65" s="82"/>
      <c r="S65" s="10" t="e">
        <f>#REF!</f>
        <v>#REF!</v>
      </c>
      <c r="T65" s="10" t="e">
        <f>#REF!</f>
        <v>#REF!</v>
      </c>
      <c r="U65" s="10">
        <f t="shared" ref="U65" si="89">G65</f>
        <v>0</v>
      </c>
      <c r="V65" s="10">
        <f t="shared" ref="V65" si="90">H65</f>
        <v>0</v>
      </c>
      <c r="W65" s="10">
        <f t="shared" ref="W65" si="91">I65</f>
        <v>0</v>
      </c>
      <c r="X65" s="10">
        <f t="shared" ref="X65" si="92">J65</f>
        <v>298369</v>
      </c>
      <c r="Y65" s="10">
        <f t="shared" ref="Y65" si="93">K65</f>
        <v>0</v>
      </c>
      <c r="Z65" s="10">
        <f t="shared" ref="Z65" si="94">L65</f>
        <v>0</v>
      </c>
      <c r="AA65" s="10">
        <f t="shared" ref="AA65" si="95">M65</f>
        <v>0</v>
      </c>
      <c r="AB65" s="10">
        <f t="shared" ref="AB65" si="96">N65</f>
        <v>299110</v>
      </c>
      <c r="AC65" s="10">
        <f t="shared" ref="AC65" si="97">O65</f>
        <v>0</v>
      </c>
      <c r="AD65" s="10">
        <f t="shared" ref="AD65" si="98">P65</f>
        <v>0</v>
      </c>
      <c r="AE65" s="10">
        <f t="shared" ref="AE65" si="99">Q65</f>
        <v>0</v>
      </c>
    </row>
    <row r="66" spans="1:31">
      <c r="B66" s="31" t="s">
        <v>164</v>
      </c>
      <c r="C66" s="82"/>
      <c r="D66" s="82">
        <v>347514</v>
      </c>
      <c r="E66" s="82">
        <v>348084</v>
      </c>
      <c r="G66" s="82"/>
      <c r="H66" s="82"/>
      <c r="I66" s="82"/>
      <c r="J66" s="10">
        <f t="shared" ref="J66:J69" si="100">D66</f>
        <v>347514</v>
      </c>
      <c r="K66" s="82"/>
      <c r="L66" s="82"/>
      <c r="M66" s="82"/>
      <c r="N66" s="10">
        <f t="shared" ref="N66:N69" si="101">E66</f>
        <v>348084</v>
      </c>
      <c r="O66" s="82"/>
      <c r="P66" s="82"/>
      <c r="Q66" s="82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</row>
    <row r="67" spans="1:31">
      <c r="B67" s="31" t="s">
        <v>165</v>
      </c>
      <c r="C67" s="82"/>
      <c r="D67" s="82">
        <v>298116</v>
      </c>
      <c r="E67" s="82">
        <v>298571</v>
      </c>
      <c r="G67" s="82"/>
      <c r="H67" s="82"/>
      <c r="I67" s="82"/>
      <c r="J67" s="10">
        <f t="shared" si="100"/>
        <v>298116</v>
      </c>
      <c r="K67" s="82"/>
      <c r="L67" s="82"/>
      <c r="M67" s="82"/>
      <c r="N67" s="10">
        <f t="shared" si="101"/>
        <v>298571</v>
      </c>
      <c r="O67" s="82"/>
      <c r="P67" s="82"/>
      <c r="Q67" s="82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</row>
    <row r="68" spans="1:31">
      <c r="B68" s="31" t="s">
        <v>166</v>
      </c>
      <c r="C68" s="82"/>
      <c r="D68" s="82">
        <v>496149</v>
      </c>
      <c r="E68" s="82">
        <v>496741</v>
      </c>
      <c r="G68" s="82"/>
      <c r="H68" s="82"/>
      <c r="I68" s="82"/>
      <c r="J68" s="10">
        <f t="shared" si="100"/>
        <v>496149</v>
      </c>
      <c r="K68" s="82"/>
      <c r="L68" s="82"/>
      <c r="M68" s="82"/>
      <c r="N68" s="10">
        <f t="shared" si="101"/>
        <v>496741</v>
      </c>
      <c r="O68" s="82"/>
      <c r="P68" s="82"/>
      <c r="Q68" s="82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</row>
    <row r="69" spans="1:31" ht="12.75" customHeight="1">
      <c r="B69" s="31" t="s">
        <v>167</v>
      </c>
      <c r="C69" s="82"/>
      <c r="D69" s="82">
        <v>346213</v>
      </c>
      <c r="E69" s="82">
        <v>346655</v>
      </c>
      <c r="G69" s="96"/>
      <c r="H69" s="96"/>
      <c r="I69" s="96"/>
      <c r="J69" s="10">
        <f t="shared" si="100"/>
        <v>346213</v>
      </c>
      <c r="K69" s="96"/>
      <c r="L69" s="96"/>
      <c r="M69" s="96"/>
      <c r="N69" s="10">
        <f t="shared" si="101"/>
        <v>346655</v>
      </c>
      <c r="O69" s="96"/>
      <c r="P69" s="96"/>
      <c r="Q69" s="96"/>
      <c r="S69" s="10" t="e">
        <f>#REF!</f>
        <v>#REF!</v>
      </c>
      <c r="T69" s="10" t="e">
        <f>#REF!</f>
        <v>#REF!</v>
      </c>
      <c r="U69" s="10">
        <f t="shared" ref="U69:AE69" si="102">G69</f>
        <v>0</v>
      </c>
      <c r="V69" s="10">
        <f t="shared" si="102"/>
        <v>0</v>
      </c>
      <c r="W69" s="10">
        <f t="shared" si="102"/>
        <v>0</v>
      </c>
      <c r="X69" s="10">
        <f t="shared" si="102"/>
        <v>346213</v>
      </c>
      <c r="Y69" s="10">
        <f t="shared" si="102"/>
        <v>0</v>
      </c>
      <c r="Z69" s="10">
        <f t="shared" si="102"/>
        <v>0</v>
      </c>
      <c r="AA69" s="10">
        <f t="shared" si="102"/>
        <v>0</v>
      </c>
      <c r="AB69" s="10">
        <f t="shared" si="102"/>
        <v>346655</v>
      </c>
      <c r="AC69" s="10">
        <f t="shared" si="102"/>
        <v>0</v>
      </c>
      <c r="AD69" s="10">
        <f t="shared" si="102"/>
        <v>0</v>
      </c>
      <c r="AE69" s="10">
        <f t="shared" si="102"/>
        <v>0</v>
      </c>
    </row>
    <row r="70" spans="1:31" ht="12.75" customHeight="1">
      <c r="B70" s="13" t="s">
        <v>24</v>
      </c>
      <c r="C70" s="14">
        <f t="shared" ref="C70:D70" si="103">SUM(C65:C69)</f>
        <v>0</v>
      </c>
      <c r="D70" s="14">
        <f t="shared" si="103"/>
        <v>1786361</v>
      </c>
      <c r="E70" s="14">
        <f>SUM(E65:E69)</f>
        <v>1789161</v>
      </c>
      <c r="G70" s="14">
        <f t="shared" ref="G70:Q70" si="104">SUM(G65:G69)</f>
        <v>0</v>
      </c>
      <c r="H70" s="14">
        <f t="shared" si="104"/>
        <v>0</v>
      </c>
      <c r="I70" s="14">
        <f t="shared" si="104"/>
        <v>0</v>
      </c>
      <c r="J70" s="14">
        <f t="shared" si="104"/>
        <v>1786361</v>
      </c>
      <c r="K70" s="14">
        <f t="shared" si="104"/>
        <v>0</v>
      </c>
      <c r="L70" s="14">
        <f t="shared" si="104"/>
        <v>0</v>
      </c>
      <c r="M70" s="14">
        <f t="shared" si="104"/>
        <v>0</v>
      </c>
      <c r="N70" s="14">
        <f t="shared" si="104"/>
        <v>1789161</v>
      </c>
      <c r="O70" s="14">
        <f t="shared" si="104"/>
        <v>0</v>
      </c>
      <c r="P70" s="14">
        <f t="shared" si="104"/>
        <v>0</v>
      </c>
      <c r="Q70" s="14">
        <f t="shared" si="104"/>
        <v>0</v>
      </c>
      <c r="S70" s="14" t="e">
        <f t="shared" ref="S70:Z70" si="105">SUM(S69:S69)</f>
        <v>#REF!</v>
      </c>
      <c r="T70" s="14" t="e">
        <f t="shared" si="105"/>
        <v>#REF!</v>
      </c>
      <c r="U70" s="14">
        <f t="shared" si="105"/>
        <v>0</v>
      </c>
      <c r="V70" s="14">
        <f t="shared" si="105"/>
        <v>0</v>
      </c>
      <c r="W70" s="14">
        <f t="shared" si="105"/>
        <v>0</v>
      </c>
      <c r="X70" s="14">
        <f t="shared" si="105"/>
        <v>346213</v>
      </c>
      <c r="Y70" s="14">
        <f t="shared" si="105"/>
        <v>0</v>
      </c>
      <c r="Z70" s="14">
        <f t="shared" si="105"/>
        <v>0</v>
      </c>
      <c r="AA70" s="14">
        <f t="shared" ref="AA70" si="106">SUM(AA65:AA69)</f>
        <v>0</v>
      </c>
      <c r="AB70" s="14">
        <f t="shared" ref="AB70" si="107">SUM(AB65:AB69)</f>
        <v>645765</v>
      </c>
      <c r="AC70" s="14">
        <f t="shared" ref="AC70" si="108">SUM(AC65:AC69)</f>
        <v>0</v>
      </c>
      <c r="AD70" s="14">
        <f t="shared" ref="AD70" si="109">SUM(AD65:AD69)</f>
        <v>0</v>
      </c>
      <c r="AE70" s="14">
        <f t="shared" ref="AE70" si="110">SUM(AE65:AE69)</f>
        <v>0</v>
      </c>
    </row>
    <row r="71" spans="1:31" ht="5.0999999999999996" customHeight="1"/>
    <row r="72" spans="1:31" ht="12.75" customHeight="1">
      <c r="B72" s="8" t="s">
        <v>49</v>
      </c>
      <c r="C72" s="96">
        <f>'Historical Financials'!C78</f>
        <v>2599.1920000000005</v>
      </c>
      <c r="D72" s="96">
        <f>'Historical Financials'!D78</f>
        <v>2519.7280000000001</v>
      </c>
      <c r="E72" s="96">
        <f>'Historical Financials'!E78</f>
        <v>2169.9420000000009</v>
      </c>
      <c r="G72" s="96">
        <f>'Historical Financials'!G78</f>
        <v>2636.1610000000001</v>
      </c>
      <c r="H72" s="96">
        <f>'Historical Financials'!H78</f>
        <v>2723.1869999999994</v>
      </c>
      <c r="I72" s="96">
        <f>'Historical Financials'!I78</f>
        <v>2646.8679999999999</v>
      </c>
      <c r="J72" s="96">
        <f>'Historical Financials'!J78</f>
        <v>2519.7280000000001</v>
      </c>
      <c r="K72" s="96">
        <f>'Historical Financials'!K78</f>
        <v>2564.6500000000005</v>
      </c>
      <c r="L72" s="96">
        <f>'Historical Financials'!L78</f>
        <v>2606.7520000000004</v>
      </c>
      <c r="M72" s="96">
        <f>'Historical Financials'!M78</f>
        <v>2597.6800000000003</v>
      </c>
      <c r="N72" s="96">
        <f>'Historical Financials'!N78</f>
        <v>2169.9420000000009</v>
      </c>
      <c r="O72" s="96">
        <f>'Historical Financials'!O78</f>
        <v>2197</v>
      </c>
      <c r="P72" s="96">
        <f>'Historical Financials'!P78</f>
        <v>2203</v>
      </c>
      <c r="Q72" s="96">
        <f>'Historical Financials'!Q78</f>
        <v>2195</v>
      </c>
      <c r="S72" s="10" t="e">
        <f>#REF!</f>
        <v>#REF!</v>
      </c>
      <c r="T72" s="10" t="e">
        <f>#REF!</f>
        <v>#REF!</v>
      </c>
      <c r="U72" s="10">
        <f t="shared" ref="U72:AE72" si="111">G72</f>
        <v>2636.1610000000001</v>
      </c>
      <c r="V72" s="10">
        <f t="shared" si="111"/>
        <v>2723.1869999999994</v>
      </c>
      <c r="W72" s="10">
        <f t="shared" si="111"/>
        <v>2646.8679999999999</v>
      </c>
      <c r="X72" s="10">
        <f t="shared" si="111"/>
        <v>2519.7280000000001</v>
      </c>
      <c r="Y72" s="10">
        <f t="shared" si="111"/>
        <v>2564.6500000000005</v>
      </c>
      <c r="Z72" s="10">
        <f t="shared" si="111"/>
        <v>2606.7520000000004</v>
      </c>
      <c r="AA72" s="147">
        <f t="shared" si="111"/>
        <v>2597.6800000000003</v>
      </c>
      <c r="AB72" s="147">
        <f t="shared" si="111"/>
        <v>2169.9420000000009</v>
      </c>
      <c r="AC72" s="147">
        <f t="shared" si="111"/>
        <v>2197</v>
      </c>
      <c r="AD72" s="147">
        <f t="shared" si="111"/>
        <v>2203</v>
      </c>
      <c r="AE72" s="147">
        <f t="shared" si="111"/>
        <v>2195</v>
      </c>
    </row>
    <row r="73" spans="1:31" ht="12.75" customHeight="1">
      <c r="B73" s="13" t="s">
        <v>50</v>
      </c>
      <c r="C73" s="14">
        <f>SUM(C70:C72)</f>
        <v>2599.1920000000005</v>
      </c>
      <c r="D73" s="14">
        <f>SUM(D70:D72)</f>
        <v>1788880.7279999999</v>
      </c>
      <c r="E73" s="14">
        <f>SUM(E70:E72)</f>
        <v>1791330.942</v>
      </c>
      <c r="G73" s="14">
        <f t="shared" ref="G73:L73" si="112">SUM(G70:G72)</f>
        <v>2636.1610000000001</v>
      </c>
      <c r="H73" s="14">
        <f t="shared" si="112"/>
        <v>2723.1869999999994</v>
      </c>
      <c r="I73" s="14">
        <f t="shared" si="112"/>
        <v>2646.8679999999999</v>
      </c>
      <c r="J73" s="14">
        <f t="shared" si="112"/>
        <v>1788880.7279999999</v>
      </c>
      <c r="K73" s="14">
        <f t="shared" si="112"/>
        <v>2564.6500000000005</v>
      </c>
      <c r="L73" s="14">
        <f t="shared" si="112"/>
        <v>2606.7520000000004</v>
      </c>
      <c r="M73" s="14">
        <f>SUM(M70:M72)</f>
        <v>2597.6800000000003</v>
      </c>
      <c r="N73" s="14">
        <f>SUM(N70:N72)</f>
        <v>1791330.942</v>
      </c>
      <c r="O73" s="14">
        <f>SUM(O70:O72)</f>
        <v>2197</v>
      </c>
      <c r="P73" s="14">
        <f>SUM(P70:P72)</f>
        <v>2203</v>
      </c>
      <c r="Q73" s="14">
        <f>SUM(Q70:Q72)</f>
        <v>2195</v>
      </c>
      <c r="S73" s="14" t="e">
        <f t="shared" ref="S73:AC73" si="113">SUM(S70:S72)</f>
        <v>#REF!</v>
      </c>
      <c r="T73" s="14" t="e">
        <f t="shared" si="113"/>
        <v>#REF!</v>
      </c>
      <c r="U73" s="14">
        <f t="shared" si="113"/>
        <v>2636.1610000000001</v>
      </c>
      <c r="V73" s="14">
        <f t="shared" si="113"/>
        <v>2723.1869999999994</v>
      </c>
      <c r="W73" s="14">
        <f t="shared" si="113"/>
        <v>2646.8679999999999</v>
      </c>
      <c r="X73" s="14">
        <f t="shared" si="113"/>
        <v>348732.728</v>
      </c>
      <c r="Y73" s="14">
        <f t="shared" si="113"/>
        <v>2564.6500000000005</v>
      </c>
      <c r="Z73" s="14">
        <f t="shared" si="113"/>
        <v>2606.7520000000004</v>
      </c>
      <c r="AA73" s="14">
        <f t="shared" si="113"/>
        <v>2597.6800000000003</v>
      </c>
      <c r="AB73" s="14">
        <f t="shared" si="113"/>
        <v>647934.94200000004</v>
      </c>
      <c r="AC73" s="14">
        <f t="shared" si="113"/>
        <v>2197</v>
      </c>
      <c r="AD73" s="14">
        <f>SUM(AD70:AD72)</f>
        <v>2203</v>
      </c>
      <c r="AE73" s="14">
        <f>SUM(AE70:AE72)</f>
        <v>2195</v>
      </c>
    </row>
    <row r="74" spans="1:31" ht="5.0999999999999996" customHeight="1"/>
    <row r="75" spans="1:31" ht="12.75" customHeight="1">
      <c r="A75" s="5"/>
      <c r="B75" s="33" t="s">
        <v>68</v>
      </c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D75" s="33"/>
      <c r="AE75" s="33"/>
    </row>
    <row r="76" spans="1:31" ht="5.0999999999999996" customHeight="1"/>
    <row r="77" spans="1:31" ht="12.75" customHeight="1">
      <c r="B77" s="31" t="s">
        <v>96</v>
      </c>
      <c r="C77" s="84">
        <f>C70/C29</f>
        <v>0</v>
      </c>
      <c r="D77" s="84">
        <f>D70/D29</f>
        <v>4891.3389319540292</v>
      </c>
      <c r="E77" s="84">
        <f>E70/E29</f>
        <v>-25475.374122538298</v>
      </c>
      <c r="G77" s="84">
        <f>SUM(G70/SUM(G29:G29))</f>
        <v>0</v>
      </c>
      <c r="H77" s="84">
        <f>SUM(H70/SUM(G29:H29))</f>
        <v>0</v>
      </c>
      <c r="I77" s="84">
        <f>SUM(I70/SUM(G29:I29))</f>
        <v>0</v>
      </c>
      <c r="J77" s="84">
        <f t="shared" ref="J77:Q77" si="114">SUM(J70/SUM(G29:J29))</f>
        <v>4891.3389319540356</v>
      </c>
      <c r="K77" s="84">
        <f t="shared" si="114"/>
        <v>0</v>
      </c>
      <c r="L77" s="84">
        <f t="shared" si="114"/>
        <v>0</v>
      </c>
      <c r="M77" s="84">
        <f t="shared" si="114"/>
        <v>0</v>
      </c>
      <c r="N77" s="84">
        <f t="shared" si="114"/>
        <v>-25475.374122538378</v>
      </c>
      <c r="O77" s="84">
        <f t="shared" si="114"/>
        <v>0</v>
      </c>
      <c r="P77" s="84">
        <f t="shared" si="114"/>
        <v>0</v>
      </c>
      <c r="Q77" s="84">
        <f t="shared" si="114"/>
        <v>0</v>
      </c>
      <c r="R77" s="84"/>
      <c r="S77" s="84" t="e">
        <f t="shared" ref="S77:AE77" si="115">S70/S29</f>
        <v>#REF!</v>
      </c>
      <c r="T77" s="84" t="e">
        <f t="shared" si="115"/>
        <v>#REF!</v>
      </c>
      <c r="U77" s="84">
        <f t="shared" si="115"/>
        <v>0</v>
      </c>
      <c r="V77" s="84">
        <f t="shared" si="115"/>
        <v>0</v>
      </c>
      <c r="W77" s="84">
        <f t="shared" si="115"/>
        <v>0</v>
      </c>
      <c r="X77" s="84">
        <f t="shared" si="115"/>
        <v>151.12992331055517</v>
      </c>
      <c r="Y77" s="84">
        <f t="shared" si="115"/>
        <v>0</v>
      </c>
      <c r="Z77" s="84">
        <f t="shared" si="115"/>
        <v>0</v>
      </c>
      <c r="AA77" s="84">
        <f t="shared" si="115"/>
        <v>0</v>
      </c>
      <c r="AB77" s="84">
        <f t="shared" si="115"/>
        <v>-9194.8712107188476</v>
      </c>
      <c r="AC77" s="84">
        <f t="shared" si="115"/>
        <v>0</v>
      </c>
      <c r="AD77" s="84">
        <f t="shared" si="115"/>
        <v>0</v>
      </c>
      <c r="AE77" s="84">
        <f t="shared" si="115"/>
        <v>0</v>
      </c>
    </row>
    <row r="78" spans="1:31" ht="12.75" customHeight="1">
      <c r="B78" s="31" t="s">
        <v>97</v>
      </c>
      <c r="C78" s="84">
        <f>SUM(C70-C49)/C29</f>
        <v>-0.33048093362801084</v>
      </c>
      <c r="D78" s="84">
        <f>SUM(D70-D49)/D29</f>
        <v>4890.0025766068175</v>
      </c>
      <c r="E78" s="84">
        <f>SUM(E70-E49)/E29</f>
        <v>-25448.756005182713</v>
      </c>
      <c r="G78" s="84">
        <f>SUM(G70-G49)/SUM(G29:G29)</f>
        <v>-1.1377456963888344</v>
      </c>
      <c r="H78" s="84">
        <f>SUM(H70-H49)/SUM(G29:H29)</f>
        <v>-0.66902340316614073</v>
      </c>
      <c r="I78" s="84">
        <f>SUM(I70-I49)/SUM(G29:I29)</f>
        <v>-0.70081795348303355</v>
      </c>
      <c r="J78" s="84">
        <f t="shared" ref="J78:Q78" si="116">SUM(J70-J49)/SUM(G29:J29)</f>
        <v>4890.0025766068229</v>
      </c>
      <c r="K78" s="84">
        <f t="shared" si="116"/>
        <v>-1.4221302170704955</v>
      </c>
      <c r="L78" s="84">
        <f t="shared" si="116"/>
        <v>-2.939825971780194</v>
      </c>
      <c r="M78" s="84">
        <f t="shared" si="116"/>
        <v>-3.3873124913401473</v>
      </c>
      <c r="N78" s="84">
        <f t="shared" si="116"/>
        <v>-25448.756005182797</v>
      </c>
      <c r="O78" s="84">
        <f t="shared" si="116"/>
        <v>7.1382524089467152</v>
      </c>
      <c r="P78" s="84">
        <f t="shared" si="116"/>
        <v>6.784560518525474</v>
      </c>
      <c r="Q78" s="84">
        <f t="shared" si="116"/>
        <v>15.694923132457381</v>
      </c>
      <c r="R78" s="84"/>
      <c r="S78" s="84" t="e">
        <f t="shared" ref="S78:AE78" si="117">SUM(S70-S49)/S29</f>
        <v>#REF!</v>
      </c>
      <c r="T78" s="84" t="e">
        <f t="shared" si="117"/>
        <v>#REF!</v>
      </c>
      <c r="U78" s="84">
        <f t="shared" si="117"/>
        <v>-0.23017581933095999</v>
      </c>
      <c r="V78" s="84">
        <f t="shared" si="117"/>
        <v>-0.15191448082799597</v>
      </c>
      <c r="W78" s="84">
        <f t="shared" si="117"/>
        <v>-0.11769495988221576</v>
      </c>
      <c r="X78" s="84">
        <f t="shared" si="117"/>
        <v>150.91687871678835</v>
      </c>
      <c r="Y78" s="84">
        <f t="shared" si="117"/>
        <v>-0.22865184105764891</v>
      </c>
      <c r="Z78" s="84">
        <f t="shared" si="117"/>
        <v>-0.29799825602353897</v>
      </c>
      <c r="AA78" s="84">
        <f t="shared" si="117"/>
        <v>-3.3873124913401584</v>
      </c>
      <c r="AB78" s="84">
        <f t="shared" si="117"/>
        <v>-9168.2530933632625</v>
      </c>
      <c r="AC78" s="84">
        <f t="shared" si="117"/>
        <v>7.1382524089467081</v>
      </c>
      <c r="AD78" s="84">
        <f t="shared" si="117"/>
        <v>6.7845605185254803</v>
      </c>
      <c r="AE78" s="84">
        <f t="shared" si="117"/>
        <v>15.694923132457397</v>
      </c>
    </row>
    <row r="79" spans="1:31" ht="12.75" customHeight="1">
      <c r="B79" s="31" t="s">
        <v>98</v>
      </c>
      <c r="C79" s="84">
        <f>C29/-C34</f>
        <v>17.752269329924822</v>
      </c>
      <c r="D79" s="84">
        <f>D29/-D34</f>
        <v>4.9456827907480658</v>
      </c>
      <c r="E79" s="84">
        <f>E29/-E34</f>
        <v>-0.9272643253234818</v>
      </c>
      <c r="G79" s="84" t="e" cm="1">
        <f t="array" ref="G79">SUM(G29:G29)/SUM(-G34:G34)</f>
        <v>#DIV/0!</v>
      </c>
      <c r="H79" s="84" t="e" cm="1">
        <f t="array" ref="H79">SUM(G29:H29)/SUM(-G34:H34)</f>
        <v>#DIV/0!</v>
      </c>
      <c r="I79" s="84" t="e" cm="1">
        <f t="array" ref="I79">SUM(G29:I29)/SUM(-G34:I34)</f>
        <v>#DIV/0!</v>
      </c>
      <c r="J79" s="84" cm="1">
        <f t="array" ref="J79">SUM(G29:J29)/SUM(-G34:J34)</f>
        <v>4.9456827907480605</v>
      </c>
      <c r="K79" s="84" cm="1">
        <f t="array" ref="K79">SUM(H29:K29)/SUM(-H34:K34)</f>
        <v>4.2946210931152127</v>
      </c>
      <c r="L79" s="84" cm="1">
        <f t="array" ref="L79">SUM(I29:L29)/SUM(-I34:L34)</f>
        <v>2.2083987866312831</v>
      </c>
      <c r="M79" s="84" cm="1">
        <f t="array" ref="M79">SUM(J29:M29)/SUM(-J34:M34)</f>
        <v>1.856982286983369</v>
      </c>
      <c r="N79" s="84" cm="1">
        <f t="array" ref="N79">SUM(K29:N29)/SUM(-K34:N34)</f>
        <v>-0.9272643253234788</v>
      </c>
      <c r="O79" s="84" cm="1">
        <f t="array" ref="O79">SUM(L29:O29)/SUM(-L34:O34)</f>
        <v>-3.0925666754687127</v>
      </c>
      <c r="P79" s="84" cm="1">
        <f t="array" ref="P79">SUM(M29:P29)/SUM(-M34:P34)</f>
        <v>-3.2245973065751352</v>
      </c>
      <c r="Q79" s="84" cm="1">
        <f t="array" ref="Q79">SUM(N29:Q29)/SUM(-N34:Q34)</f>
        <v>-2.6700686559281852</v>
      </c>
      <c r="R79" s="84"/>
      <c r="S79" s="84" t="e">
        <f t="shared" ref="S79:AE79" si="118">S29/-S34</f>
        <v>#DIV/0!</v>
      </c>
      <c r="T79" s="84" t="e">
        <f t="shared" si="118"/>
        <v>#REF!</v>
      </c>
      <c r="U79" s="84" t="e">
        <f t="shared" si="118"/>
        <v>#DIV/0!</v>
      </c>
      <c r="V79" s="84" t="e">
        <f t="shared" si="118"/>
        <v>#DIV/0!</v>
      </c>
      <c r="W79" s="84" t="e">
        <f t="shared" si="118"/>
        <v>#DIV/0!</v>
      </c>
      <c r="X79" s="84">
        <f t="shared" si="118"/>
        <v>31.022564460213431</v>
      </c>
      <c r="Y79" s="84">
        <f t="shared" si="118"/>
        <v>26.710961080114846</v>
      </c>
      <c r="Z79" s="84">
        <f t="shared" si="118"/>
        <v>21.786396321976071</v>
      </c>
      <c r="AA79" s="84">
        <f t="shared" si="118"/>
        <v>1.856982286983363</v>
      </c>
      <c r="AB79" s="84">
        <f t="shared" si="118"/>
        <v>-0.9272643253234818</v>
      </c>
      <c r="AC79" s="84">
        <f t="shared" si="118"/>
        <v>-3.0925666754687158</v>
      </c>
      <c r="AD79" s="84">
        <f t="shared" si="118"/>
        <v>-3.2245973065751325</v>
      </c>
      <c r="AE79" s="84">
        <f t="shared" si="118"/>
        <v>-2.6700686559281821</v>
      </c>
    </row>
    <row r="80" spans="1:31" ht="12.75" customHeight="1">
      <c r="B80" s="31" t="s">
        <v>99</v>
      </c>
      <c r="C80" s="84" cm="1">
        <f t="array" ref="C80">SUM(C29+C32)/SUM(-C33:C34)</f>
        <v>2.9884771674575878</v>
      </c>
      <c r="D80" s="84" cm="1">
        <f t="array" ref="D80">SUM(D29+D32)/SUM(-D33:D34)</f>
        <v>0.80827289788920142</v>
      </c>
      <c r="E80" s="84" cm="1">
        <f t="array" ref="E80">SUM(E29+E32)/SUM(-E33:E34)</f>
        <v>-2.2259059914698969</v>
      </c>
      <c r="G80" s="84" t="e" cm="1">
        <f t="array" ref="G80">SUM(G29:G29+G32:G32)/SUM(-G33:G34)</f>
        <v>#DIV/0!</v>
      </c>
      <c r="H80" s="84" t="e" cm="1">
        <f t="array" ref="H80">SUM(G29:H29+G32:H32)/SUM(-G33:H34)</f>
        <v>#DIV/0!</v>
      </c>
      <c r="I80" s="84" t="e" cm="1">
        <f t="array" ref="I80">SUM(G29:I29+G32:I32)/SUM(-G33:I34)</f>
        <v>#DIV/0!</v>
      </c>
      <c r="J80" s="84" cm="1">
        <f t="array" ref="J80">SUM(G29:J29+G32:J32)/SUM(-G33:J34)</f>
        <v>0.80827289788919843</v>
      </c>
      <c r="K80" s="84" cm="1">
        <f t="array" ref="K80">SUM(H29:K29+H32:K32)/SUM(-H33:K34)</f>
        <v>1.3346752705113629</v>
      </c>
      <c r="L80" s="84" cm="1">
        <f t="array" ref="L80">SUM(I29:L29+I32:L32)/SUM(-I33:L34)</f>
        <v>0.76018906832874056</v>
      </c>
      <c r="M80" s="84" cm="1">
        <f t="array" ref="M80">SUM(J29:M29+J32:M32)/SUM(-J33:M34)</f>
        <v>0.85505340716884004</v>
      </c>
      <c r="N80" s="84" cm="1">
        <f t="array" ref="N80">SUM(K29:N29+K32:N32)/SUM(-K33:N34)</f>
        <v>-2.2259059914698947</v>
      </c>
      <c r="O80" s="84" cm="1">
        <f t="array" ref="O80">SUM(L29:O29+L32:O32)/SUM(-L33:O34)</f>
        <v>-4.1142076841909283</v>
      </c>
      <c r="P80" s="84" cm="1">
        <f t="array" ref="P80">SUM(M29:P29+M32:P32)/SUM(-M33:P34)</f>
        <v>-4.2028782464509682</v>
      </c>
      <c r="Q80" s="84" cm="1">
        <f t="array" ref="Q80">SUM(N29:Q29+N32:Q32)/SUM(-N33:Q34)</f>
        <v>-3.8304618849588197</v>
      </c>
      <c r="R80" s="84"/>
      <c r="S80" s="84" t="e" cm="1">
        <f t="array" ref="S80">SUM(S29+S32)/SUM(-S33:S34)</f>
        <v>#DIV/0!</v>
      </c>
      <c r="T80" s="84" t="e" cm="1">
        <f t="array" ref="T80">SUM(T29+T32)/SUM(-T33:T34)</f>
        <v>#REF!</v>
      </c>
      <c r="U80" s="84" t="e" cm="1">
        <f t="array" ref="U80">SUM(U29+U32)/SUM(-U33:U34)</f>
        <v>#DIV/0!</v>
      </c>
      <c r="V80" s="84" t="e" cm="1">
        <f t="array" ref="V80">SUM(V29+V32)/SUM(-V33:V34)</f>
        <v>#DIV/0!</v>
      </c>
      <c r="W80" s="84" t="e" cm="1">
        <f t="array" ref="W80">SUM(W29+W32)/SUM(-W33:W34)</f>
        <v>#DIV/0!</v>
      </c>
      <c r="X80" s="84" cm="1">
        <f t="array" ref="X80">SUM(X29+X32)/SUM(-X33:X34)</f>
        <v>11.962500579253462</v>
      </c>
      <c r="Y80" s="84" cm="1">
        <f t="array" ref="Y80">SUM(Y29+Y32)/SUM(-Y33:Y34)</f>
        <v>10.923128490002089</v>
      </c>
      <c r="Z80" s="84" cm="1">
        <f t="array" ref="Z80">SUM(Z29+Z32)/SUM(-Z33:Z34)</f>
        <v>9.1345585509395537</v>
      </c>
      <c r="AA80" s="84" cm="1">
        <f t="array" ref="AA80">SUM(AA29+AA32)/SUM(-AA33:AA34)</f>
        <v>0.85505340716883738</v>
      </c>
      <c r="AB80" s="84" cm="1">
        <f t="array" ref="AB80">SUM(AB29+AB32)/SUM(-AB33:AB34)</f>
        <v>-2.2259059914698969</v>
      </c>
      <c r="AC80" s="84" cm="1">
        <f t="array" ref="AC80">SUM(AC29+AC32)/SUM(-AC33:AC34)</f>
        <v>-4.1142076841909301</v>
      </c>
      <c r="AD80" s="84" cm="1">
        <f t="array" ref="AD80">SUM(AD29+AD32)/SUM(-AD33:AD34)</f>
        <v>-4.2028782464509655</v>
      </c>
      <c r="AE80" s="84" cm="1">
        <f t="array" ref="AE80">SUM(AE29+AE32)/SUM(-AE33:AE34)</f>
        <v>-3.8304618849588175</v>
      </c>
    </row>
    <row r="81" spans="2:31" ht="12.75" customHeight="1">
      <c r="B81" s="31" t="s">
        <v>100</v>
      </c>
      <c r="C81" s="84" cm="1">
        <f t="array" ref="C81">SUM(C29)/SUM(-C32:C34)</f>
        <v>1.5188046433781073</v>
      </c>
      <c r="D81" s="84" cm="1">
        <f t="array" ref="D81">SUM(D29)/SUM(-D32:D34)</f>
        <v>0.91690099119274582</v>
      </c>
      <c r="E81" s="84" cm="1">
        <f t="array" ref="E81">SUM(E29)/SUM(-E32:E34)</f>
        <v>-0.23922514365907582</v>
      </c>
      <c r="G81" s="84" cm="1">
        <f t="array" ref="G81">SUM(G29:G29)/SUM(-G32:G34)</f>
        <v>2.2120649806658079</v>
      </c>
      <c r="H81" s="84" cm="1">
        <f t="array" ref="H81">SUM(G29:H29)/SUM(-G32:H34)</f>
        <v>2.8585667545591322</v>
      </c>
      <c r="I81" s="84" cm="1">
        <f t="array" ref="I81">SUM(G29:I29)/SUM(-G32:I34)</f>
        <v>2.4202969001233989</v>
      </c>
      <c r="J81" s="84" cm="1">
        <f t="array" ref="J81">SUM(G29:J29)/SUM(-G32:J34)</f>
        <v>0.9169009911927446</v>
      </c>
      <c r="K81" s="84" cm="1">
        <f t="array" ref="K81">SUM(H29:K29)/SUM(-H32:K34)</f>
        <v>1.2227718763856479</v>
      </c>
      <c r="L81" s="84" cm="1">
        <f t="array" ref="L81">SUM(I29:L29)/SUM(-I32:L34)</f>
        <v>0.79753224078991991</v>
      </c>
      <c r="M81" s="84" cm="1">
        <f t="array" ref="M81">SUM(J29:M29)/SUM(-J32:M34)</f>
        <v>0.84567992599444874</v>
      </c>
      <c r="N81" s="84" cm="1">
        <f t="array" ref="N81">SUM(K29:N29)/SUM(-K32:N34)</f>
        <v>-0.23922514365907507</v>
      </c>
      <c r="O81" s="84" cm="1">
        <f t="array" ref="O81">SUM(L29:O29)/SUM(-L32:O34)</f>
        <v>-0.6838182486994</v>
      </c>
      <c r="P81" s="84" cm="1">
        <f t="array" ref="P81">SUM(M29:P29)/SUM(-M32:P34)</f>
        <v>-0.71301243088277588</v>
      </c>
      <c r="Q81" s="84" cm="1">
        <f t="array" ref="Q81">SUM(N29:Q29)/SUM(-N32:Q34)</f>
        <v>-0.59039686571260297</v>
      </c>
      <c r="R81" s="84"/>
      <c r="S81" s="84" t="e" cm="1">
        <f t="array" ref="S81">SUM(S29)/SUM(-S32:S34)</f>
        <v>#DIV/0!</v>
      </c>
      <c r="T81" s="84" t="e" cm="1">
        <f t="array" ref="T81">SUM(T29)/SUM(-T32:T34)</f>
        <v>#REF!</v>
      </c>
      <c r="U81" s="84" cm="1">
        <f t="array" ref="U81">SUM(U29)/SUM(-U32:U34)</f>
        <v>10.934108627050092</v>
      </c>
      <c r="V81" s="84" cm="1">
        <f t="array" ref="V81">SUM(V29)/SUM(-V32:V34)</f>
        <v>12.588978008476333</v>
      </c>
      <c r="W81" s="84" cm="1">
        <f t="array" ref="W81">SUM(W29)/SUM(-W32:W34)</f>
        <v>14.411726059155674</v>
      </c>
      <c r="X81" s="84" cm="1">
        <f t="array" ref="X81">SUM(X29)/SUM(-X32:X34)</f>
        <v>5.7514040641915312</v>
      </c>
      <c r="Y81" s="84" cm="1">
        <f t="array" ref="Y81">SUM(Y29)/SUM(-Y32:Y34)</f>
        <v>7.6051906074685292</v>
      </c>
      <c r="Z81" s="84" cm="1">
        <f t="array" ref="Z81">SUM(Z29)/SUM(-Z32:Z34)</f>
        <v>7.8678513964895842</v>
      </c>
      <c r="AA81" s="84" cm="1">
        <f t="array" ref="AA81">SUM(AA29)/SUM(-AA32:AA34)</f>
        <v>0.84567992599444597</v>
      </c>
      <c r="AB81" s="84" cm="1">
        <f t="array" ref="AB81">SUM(AB29)/SUM(-AB32:AB34)</f>
        <v>-0.23922514365907582</v>
      </c>
      <c r="AC81" s="84" cm="1">
        <f t="array" ref="AC81">SUM(AC29)/SUM(-AC32:AC34)</f>
        <v>-0.68381824869940067</v>
      </c>
      <c r="AD81" s="84" cm="1">
        <f t="array" ref="AD81">SUM(AD29)/SUM(-AD32:AD34)</f>
        <v>-0.71301243088277522</v>
      </c>
      <c r="AE81" s="84" cm="1">
        <f t="array" ref="AE81">SUM(AE29)/SUM(-AE32:AE34)</f>
        <v>-0.5903968657126023</v>
      </c>
    </row>
    <row r="82" spans="2:31" ht="12.75" customHeight="1">
      <c r="B82" s="8" t="s">
        <v>51</v>
      </c>
      <c r="C82" s="84" t="e">
        <f>C73/C70</f>
        <v>#DIV/0!</v>
      </c>
      <c r="D82" s="84">
        <f>D73/D70</f>
        <v>1.0014105368399779</v>
      </c>
      <c r="E82" s="84">
        <f>E73/E70</f>
        <v>1.0012128265706663</v>
      </c>
      <c r="G82" s="84" t="e">
        <f t="shared" ref="G82:P82" si="119">G73/G70</f>
        <v>#DIV/0!</v>
      </c>
      <c r="H82" s="84" t="e">
        <f t="shared" si="119"/>
        <v>#DIV/0!</v>
      </c>
      <c r="I82" s="84" t="e">
        <f t="shared" si="119"/>
        <v>#DIV/0!</v>
      </c>
      <c r="J82" s="84">
        <f t="shared" si="119"/>
        <v>1.0014105368399779</v>
      </c>
      <c r="K82" s="84" t="e">
        <f t="shared" si="119"/>
        <v>#DIV/0!</v>
      </c>
      <c r="L82" s="84" t="e">
        <f t="shared" si="119"/>
        <v>#DIV/0!</v>
      </c>
      <c r="M82" s="84" t="e">
        <f t="shared" si="119"/>
        <v>#DIV/0!</v>
      </c>
      <c r="N82" s="84">
        <f t="shared" si="119"/>
        <v>1.0012128265706663</v>
      </c>
      <c r="O82" s="84" t="e">
        <f t="shared" si="119"/>
        <v>#DIV/0!</v>
      </c>
      <c r="P82" s="84" t="e">
        <f t="shared" si="119"/>
        <v>#DIV/0!</v>
      </c>
      <c r="Q82" s="84" t="e">
        <f>Q73/Q70</f>
        <v>#DIV/0!</v>
      </c>
      <c r="R82" s="84"/>
      <c r="S82" s="84" t="e">
        <f t="shared" ref="S82:AC82" si="120">S73/S70</f>
        <v>#REF!</v>
      </c>
      <c r="T82" s="84" t="e">
        <f t="shared" si="120"/>
        <v>#REF!</v>
      </c>
      <c r="U82" s="84" t="e">
        <f t="shared" si="120"/>
        <v>#DIV/0!</v>
      </c>
      <c r="V82" s="84" t="e">
        <f t="shared" si="120"/>
        <v>#DIV/0!</v>
      </c>
      <c r="W82" s="84" t="e">
        <f t="shared" si="120"/>
        <v>#DIV/0!</v>
      </c>
      <c r="X82" s="84">
        <f t="shared" si="120"/>
        <v>1.0072779704979304</v>
      </c>
      <c r="Y82" s="84" t="e">
        <f t="shared" si="120"/>
        <v>#DIV/0!</v>
      </c>
      <c r="Z82" s="84" t="e">
        <f t="shared" si="120"/>
        <v>#DIV/0!</v>
      </c>
      <c r="AA82" s="84" t="e">
        <f t="shared" si="120"/>
        <v>#DIV/0!</v>
      </c>
      <c r="AB82" s="84">
        <f t="shared" si="120"/>
        <v>1.0033602657313418</v>
      </c>
      <c r="AC82" s="84" t="e">
        <f t="shared" si="120"/>
        <v>#DIV/0!</v>
      </c>
      <c r="AD82" s="84" t="e">
        <f>AD73/AD70</f>
        <v>#DIV/0!</v>
      </c>
      <c r="AE82" s="84" t="e">
        <f>AE73/AE70</f>
        <v>#DIV/0!</v>
      </c>
    </row>
    <row r="83" spans="2:31" ht="5.0999999999999996" customHeight="1" thickBot="1"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  <c r="AC83" s="37"/>
      <c r="AD83" s="37"/>
      <c r="AE83" s="37"/>
    </row>
  </sheetData>
  <mergeCells count="1">
    <mergeCell ref="AG2:AG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6:F37 AF37:AG37 F32:F34 F39 AF39:AG39 AF35 AF36 F35 AF38:AG38 F38 G36:P37" formulaRange="1"/>
    <ignoredError sqref="C12:F13 F20 R23:AE23 F27 AG29:AG36 R27:AE27 AG10:AG13 F15 F23:F24 AG15:AG18 R18:AE18 F18 C77:AE82 G13:AE13 C21:AE22 C16:AE17 C25:AE26 C30:AE30 D11:F11 K11:AE11 H12:AE12 AG20:AG27 F29 R29:Z29" evalError="1"/>
    <ignoredError sqref="AA42:AE4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2025-12-24T19:07:24Z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