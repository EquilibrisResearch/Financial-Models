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6AB44701-3798-40C4-B746-BE43620F4245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" i="8" l="1"/>
  <c r="N64" i="8"/>
  <c r="N63" i="8"/>
  <c r="N72" i="8"/>
  <c r="N71" i="8"/>
  <c r="N70" i="8"/>
  <c r="N69" i="8"/>
  <c r="J65" i="8"/>
  <c r="J64" i="8"/>
  <c r="J63" i="8"/>
  <c r="J72" i="8"/>
  <c r="J71" i="8"/>
  <c r="J70" i="8"/>
  <c r="J69" i="8"/>
  <c r="J48" i="8"/>
  <c r="J47" i="8"/>
  <c r="J46" i="8"/>
  <c r="J45" i="8"/>
  <c r="J44" i="8"/>
  <c r="N48" i="8"/>
  <c r="N47" i="8"/>
  <c r="N46" i="8"/>
  <c r="N45" i="8"/>
  <c r="N44" i="8"/>
  <c r="N59" i="8"/>
  <c r="N58" i="8"/>
  <c r="N57" i="8"/>
  <c r="N56" i="8"/>
  <c r="N55" i="8"/>
  <c r="N54" i="8"/>
  <c r="N53" i="8"/>
  <c r="N52" i="8"/>
  <c r="J59" i="8"/>
  <c r="J58" i="8"/>
  <c r="J57" i="8"/>
  <c r="J56" i="8"/>
  <c r="J55" i="8"/>
  <c r="J54" i="8"/>
  <c r="J53" i="8"/>
  <c r="J52" i="8"/>
  <c r="S53" i="8"/>
  <c r="Y53" i="8"/>
  <c r="X53" i="8"/>
  <c r="V53" i="8"/>
  <c r="U53" i="8"/>
  <c r="T53" i="8"/>
  <c r="W53" i="8"/>
  <c r="N29" i="8"/>
  <c r="N25" i="8"/>
  <c r="N24" i="8"/>
  <c r="N23" i="8"/>
  <c r="J29" i="8"/>
  <c r="J25" i="8"/>
  <c r="J24" i="8"/>
  <c r="J23" i="8"/>
  <c r="N10" i="8"/>
  <c r="N14" i="8"/>
  <c r="X14" i="8" s="1"/>
  <c r="N13" i="8"/>
  <c r="N19" i="8"/>
  <c r="N18" i="8"/>
  <c r="J10" i="8"/>
  <c r="J14" i="8"/>
  <c r="V14" i="8" s="1"/>
  <c r="J13" i="8"/>
  <c r="J19" i="8"/>
  <c r="J18" i="8"/>
  <c r="Y22" i="10"/>
  <c r="X22" i="10"/>
  <c r="W22" i="10"/>
  <c r="V22" i="10"/>
  <c r="U22" i="10"/>
  <c r="T22" i="10"/>
  <c r="S22" i="10"/>
  <c r="Q22" i="10"/>
  <c r="P22" i="10"/>
  <c r="O22" i="10"/>
  <c r="N22" i="10"/>
  <c r="M22" i="10"/>
  <c r="L22" i="10"/>
  <c r="K22" i="10"/>
  <c r="J22" i="10"/>
  <c r="I22" i="10"/>
  <c r="H22" i="10"/>
  <c r="G22" i="10"/>
  <c r="E22" i="10"/>
  <c r="D22" i="10"/>
  <c r="C22" i="10"/>
  <c r="J55" i="10"/>
  <c r="S55" i="10" s="1"/>
  <c r="J54" i="10"/>
  <c r="V54" i="10" s="1"/>
  <c r="J53" i="10"/>
  <c r="U53" i="10" s="1"/>
  <c r="J43" i="10"/>
  <c r="V43" i="10" s="1"/>
  <c r="J42" i="10"/>
  <c r="J32" i="10"/>
  <c r="J31" i="10"/>
  <c r="J30" i="10"/>
  <c r="J29" i="10"/>
  <c r="N55" i="10"/>
  <c r="N54" i="10"/>
  <c r="W54" i="10" s="1"/>
  <c r="N53" i="10"/>
  <c r="N44" i="10"/>
  <c r="N43" i="10"/>
  <c r="N42" i="10"/>
  <c r="N32" i="10"/>
  <c r="N31" i="10"/>
  <c r="X31" i="10" s="1"/>
  <c r="N30" i="10"/>
  <c r="N29" i="10"/>
  <c r="Y31" i="10"/>
  <c r="V31" i="10"/>
  <c r="U31" i="10"/>
  <c r="T31" i="10"/>
  <c r="S31" i="10"/>
  <c r="Y30" i="10"/>
  <c r="X30" i="10"/>
  <c r="W30" i="10"/>
  <c r="V30" i="10"/>
  <c r="U30" i="10"/>
  <c r="T30" i="10"/>
  <c r="S30" i="10"/>
  <c r="Y29" i="10"/>
  <c r="X29" i="10"/>
  <c r="W29" i="10"/>
  <c r="V29" i="10"/>
  <c r="U29" i="10"/>
  <c r="T29" i="10"/>
  <c r="S29" i="10"/>
  <c r="Y54" i="10"/>
  <c r="X54" i="10"/>
  <c r="T54" i="10"/>
  <c r="S54" i="10"/>
  <c r="Y53" i="10"/>
  <c r="X53" i="10"/>
  <c r="W53" i="10"/>
  <c r="Q57" i="10"/>
  <c r="P57" i="10"/>
  <c r="O57" i="10"/>
  <c r="M57" i="10"/>
  <c r="L57" i="10"/>
  <c r="K57" i="10"/>
  <c r="I57" i="10"/>
  <c r="H57" i="10"/>
  <c r="G57" i="10"/>
  <c r="E57" i="10"/>
  <c r="D57" i="10"/>
  <c r="C57" i="10"/>
  <c r="Y44" i="10"/>
  <c r="X44" i="10"/>
  <c r="W44" i="10"/>
  <c r="V44" i="10"/>
  <c r="U44" i="10"/>
  <c r="T44" i="10"/>
  <c r="S44" i="10"/>
  <c r="Y43" i="10"/>
  <c r="X43" i="10"/>
  <c r="W43" i="10"/>
  <c r="Q46" i="10"/>
  <c r="P46" i="10"/>
  <c r="O46" i="10"/>
  <c r="M46" i="10"/>
  <c r="L46" i="10"/>
  <c r="K46" i="10"/>
  <c r="I46" i="10"/>
  <c r="H46" i="10"/>
  <c r="G46" i="10"/>
  <c r="E46" i="10"/>
  <c r="D46" i="10"/>
  <c r="C46" i="10"/>
  <c r="Q34" i="10"/>
  <c r="P34" i="10"/>
  <c r="O34" i="10"/>
  <c r="M34" i="10"/>
  <c r="L34" i="10"/>
  <c r="K34" i="10"/>
  <c r="I34" i="10"/>
  <c r="H34" i="10"/>
  <c r="G34" i="10"/>
  <c r="E34" i="10"/>
  <c r="D34" i="10"/>
  <c r="C34" i="10"/>
  <c r="J38" i="10"/>
  <c r="J37" i="10"/>
  <c r="Y38" i="10"/>
  <c r="Q38" i="10"/>
  <c r="P38" i="10"/>
  <c r="X38" i="10" s="1"/>
  <c r="O38" i="10"/>
  <c r="W38" i="10" s="1"/>
  <c r="M38" i="10"/>
  <c r="U38" i="10" s="1"/>
  <c r="L38" i="10"/>
  <c r="T38" i="10" s="1"/>
  <c r="K38" i="10"/>
  <c r="S38" i="10" s="1"/>
  <c r="I38" i="10"/>
  <c r="H38" i="10"/>
  <c r="G38" i="10"/>
  <c r="E38" i="10"/>
  <c r="D38" i="10"/>
  <c r="C38" i="10"/>
  <c r="B38" i="10"/>
  <c r="Y37" i="10"/>
  <c r="T37" i="10"/>
  <c r="Q37" i="10"/>
  <c r="P37" i="10"/>
  <c r="X37" i="10" s="1"/>
  <c r="O37" i="10"/>
  <c r="W37" i="10" s="1"/>
  <c r="N37" i="10"/>
  <c r="V37" i="10" s="1"/>
  <c r="M37" i="10"/>
  <c r="U37" i="10" s="1"/>
  <c r="L37" i="10"/>
  <c r="K37" i="10"/>
  <c r="S37" i="10" s="1"/>
  <c r="I37" i="10"/>
  <c r="H37" i="10"/>
  <c r="G37" i="10"/>
  <c r="E37" i="10"/>
  <c r="D37" i="10"/>
  <c r="C37" i="10"/>
  <c r="B37" i="10"/>
  <c r="Y61" i="10"/>
  <c r="B61" i="10"/>
  <c r="Y60" i="10"/>
  <c r="B60" i="10"/>
  <c r="Y59" i="10"/>
  <c r="B59" i="10"/>
  <c r="Q56" i="10"/>
  <c r="Q20" i="10" s="1"/>
  <c r="P56" i="10"/>
  <c r="O56" i="10"/>
  <c r="O20" i="10" s="1"/>
  <c r="M56" i="10"/>
  <c r="M20" i="10" s="1"/>
  <c r="L56" i="10"/>
  <c r="K56" i="10"/>
  <c r="K20" i="10" s="1"/>
  <c r="I56" i="10"/>
  <c r="I20" i="10" s="1"/>
  <c r="H56" i="10"/>
  <c r="H20" i="10" s="1"/>
  <c r="G56" i="10"/>
  <c r="G20" i="10" s="1"/>
  <c r="E56" i="10"/>
  <c r="D56" i="10"/>
  <c r="C56" i="10"/>
  <c r="C20" i="10" s="1"/>
  <c r="Y50" i="10"/>
  <c r="B50" i="10"/>
  <c r="Y49" i="10"/>
  <c r="B49" i="10"/>
  <c r="Y48" i="10"/>
  <c r="B48" i="10"/>
  <c r="Q45" i="10"/>
  <c r="Q19" i="10" s="1"/>
  <c r="P45" i="10"/>
  <c r="P19" i="10" s="1"/>
  <c r="O45" i="10"/>
  <c r="O19" i="10" s="1"/>
  <c r="M45" i="10"/>
  <c r="M19" i="10" s="1"/>
  <c r="L45" i="10"/>
  <c r="L19" i="10" s="1"/>
  <c r="K45" i="10"/>
  <c r="K19" i="10" s="1"/>
  <c r="I45" i="10"/>
  <c r="I19" i="10" s="1"/>
  <c r="H45" i="10"/>
  <c r="H19" i="10" s="1"/>
  <c r="G45" i="10"/>
  <c r="G19" i="10" s="1"/>
  <c r="E45" i="10"/>
  <c r="E19" i="10" s="1"/>
  <c r="D45" i="10"/>
  <c r="D19" i="10" s="1"/>
  <c r="C45" i="10"/>
  <c r="C19" i="10" s="1"/>
  <c r="V42" i="10"/>
  <c r="Y25" i="10"/>
  <c r="B25" i="10"/>
  <c r="N10" i="10"/>
  <c r="N9" i="10"/>
  <c r="J10" i="10"/>
  <c r="J9" i="10"/>
  <c r="Q33" i="10"/>
  <c r="Q11" i="10"/>
  <c r="Q36" i="10" s="1"/>
  <c r="Q4" i="10"/>
  <c r="Q3" i="10"/>
  <c r="B2" i="10"/>
  <c r="Y136" i="8"/>
  <c r="Y135" i="8"/>
  <c r="X8" i="8"/>
  <c r="W8" i="8"/>
  <c r="U8" i="8"/>
  <c r="T8" i="8"/>
  <c r="S8" i="8"/>
  <c r="X7" i="8"/>
  <c r="W7" i="8"/>
  <c r="V7" i="8"/>
  <c r="U7" i="8"/>
  <c r="T7" i="8"/>
  <c r="S7" i="8"/>
  <c r="Y8" i="8"/>
  <c r="Y7" i="8"/>
  <c r="Q132" i="8"/>
  <c r="Q128" i="8"/>
  <c r="Q119" i="8"/>
  <c r="Q88" i="8"/>
  <c r="Q87" i="8"/>
  <c r="Q80" i="8"/>
  <c r="Q66" i="8"/>
  <c r="Q73" i="8" s="1"/>
  <c r="Q49" i="8"/>
  <c r="Q60" i="8" s="1"/>
  <c r="Q41" i="8"/>
  <c r="Q40" i="8"/>
  <c r="Q11" i="8"/>
  <c r="Q15" i="8" s="1"/>
  <c r="AA53" i="8" l="1"/>
  <c r="W14" i="8"/>
  <c r="S14" i="8"/>
  <c r="T14" i="8"/>
  <c r="Y14" i="8"/>
  <c r="U14" i="8"/>
  <c r="V53" i="10"/>
  <c r="T53" i="10"/>
  <c r="U54" i="10"/>
  <c r="S53" i="10"/>
  <c r="S56" i="10" s="1"/>
  <c r="S43" i="10"/>
  <c r="T43" i="10"/>
  <c r="U43" i="10"/>
  <c r="N38" i="10"/>
  <c r="V38" i="10" s="1"/>
  <c r="W31" i="10"/>
  <c r="N56" i="10"/>
  <c r="Q59" i="10"/>
  <c r="V55" i="10"/>
  <c r="U55" i="10"/>
  <c r="U56" i="10" s="1"/>
  <c r="X55" i="10"/>
  <c r="Q60" i="10"/>
  <c r="L20" i="10"/>
  <c r="Q61" i="10"/>
  <c r="Q18" i="10"/>
  <c r="Q21" i="10" s="1"/>
  <c r="D20" i="10"/>
  <c r="E20" i="10"/>
  <c r="P20" i="10"/>
  <c r="T55" i="10"/>
  <c r="W55" i="10"/>
  <c r="W56" i="10" s="1"/>
  <c r="Y55" i="10"/>
  <c r="Y56" i="10" s="1"/>
  <c r="J56" i="10"/>
  <c r="N45" i="10"/>
  <c r="Y42" i="10"/>
  <c r="Q48" i="10"/>
  <c r="Q49" i="10"/>
  <c r="Q50" i="10"/>
  <c r="J45" i="10"/>
  <c r="W42" i="10"/>
  <c r="V45" i="10"/>
  <c r="U42" i="10"/>
  <c r="U45" i="10" s="1"/>
  <c r="X42" i="10"/>
  <c r="S42" i="10"/>
  <c r="T42" i="10"/>
  <c r="Q25" i="10"/>
  <c r="Q39" i="10"/>
  <c r="Q15" i="10"/>
  <c r="Q24" i="10"/>
  <c r="Q26" i="10"/>
  <c r="Q12" i="10"/>
  <c r="Q14" i="10"/>
  <c r="Q81" i="8"/>
  <c r="Q83" i="8" s="1"/>
  <c r="Q16" i="8"/>
  <c r="Q20" i="8"/>
  <c r="S32" i="10"/>
  <c r="X32" i="10"/>
  <c r="Y39" i="10"/>
  <c r="B39" i="10"/>
  <c r="Y36" i="10"/>
  <c r="B36" i="10"/>
  <c r="P33" i="10"/>
  <c r="P18" i="10" s="1"/>
  <c r="O33" i="10"/>
  <c r="O18" i="10" s="1"/>
  <c r="O21" i="10" s="1"/>
  <c r="M33" i="10"/>
  <c r="M18" i="10" s="1"/>
  <c r="M21" i="10" s="1"/>
  <c r="L33" i="10"/>
  <c r="L18" i="10" s="1"/>
  <c r="K33" i="10"/>
  <c r="K18" i="10" s="1"/>
  <c r="I33" i="10"/>
  <c r="I18" i="10" s="1"/>
  <c r="I21" i="10" s="1"/>
  <c r="H33" i="10"/>
  <c r="H18" i="10" s="1"/>
  <c r="H21" i="10" s="1"/>
  <c r="G33" i="10"/>
  <c r="G18" i="10" s="1"/>
  <c r="G21" i="10" s="1"/>
  <c r="E33" i="10"/>
  <c r="E18" i="10" s="1"/>
  <c r="D33" i="10"/>
  <c r="D18" i="10" s="1"/>
  <c r="C33" i="10"/>
  <c r="C18" i="10" s="1"/>
  <c r="Y32" i="10"/>
  <c r="Y26" i="10"/>
  <c r="B26" i="10"/>
  <c r="Y24" i="10"/>
  <c r="B24" i="10"/>
  <c r="K21" i="10"/>
  <c r="Y71" i="8"/>
  <c r="X71" i="8"/>
  <c r="V71" i="8"/>
  <c r="U71" i="8"/>
  <c r="T71" i="8"/>
  <c r="S71" i="8"/>
  <c r="W71" i="8"/>
  <c r="Y70" i="8"/>
  <c r="X70" i="8"/>
  <c r="V70" i="8"/>
  <c r="U70" i="8"/>
  <c r="T70" i="8"/>
  <c r="W70" i="8"/>
  <c r="S70" i="8"/>
  <c r="Y58" i="8"/>
  <c r="X58" i="8"/>
  <c r="V58" i="8"/>
  <c r="U58" i="8"/>
  <c r="T58" i="8"/>
  <c r="Y57" i="8"/>
  <c r="X57" i="8"/>
  <c r="V57" i="8"/>
  <c r="U57" i="8"/>
  <c r="T57" i="8"/>
  <c r="W48" i="8"/>
  <c r="W47" i="8"/>
  <c r="W46" i="8"/>
  <c r="W45" i="8"/>
  <c r="W59" i="8"/>
  <c r="W58" i="8"/>
  <c r="W57" i="8"/>
  <c r="W56" i="8"/>
  <c r="S48" i="8"/>
  <c r="S47" i="8"/>
  <c r="S46" i="8"/>
  <c r="S45" i="8"/>
  <c r="S59" i="8"/>
  <c r="S58" i="8"/>
  <c r="S57" i="8"/>
  <c r="S56" i="8"/>
  <c r="Y45" i="8"/>
  <c r="X45" i="8"/>
  <c r="V45" i="8"/>
  <c r="U45" i="8"/>
  <c r="T45" i="8"/>
  <c r="X25" i="8"/>
  <c r="Y24" i="8"/>
  <c r="U25" i="8"/>
  <c r="V24" i="8"/>
  <c r="W13" i="8"/>
  <c r="X19" i="8"/>
  <c r="X18" i="8"/>
  <c r="T13" i="8"/>
  <c r="V19" i="8"/>
  <c r="V18" i="8"/>
  <c r="W72" i="8"/>
  <c r="W69" i="8"/>
  <c r="S72" i="8"/>
  <c r="S69" i="8"/>
  <c r="W65" i="8"/>
  <c r="S65" i="8"/>
  <c r="Y65" i="8"/>
  <c r="X65" i="8"/>
  <c r="V65" i="8"/>
  <c r="U65" i="8"/>
  <c r="T65" i="8"/>
  <c r="Y59" i="8"/>
  <c r="X59" i="8"/>
  <c r="V59" i="8"/>
  <c r="U59" i="8"/>
  <c r="T59" i="8"/>
  <c r="Y56" i="8"/>
  <c r="X56" i="8"/>
  <c r="V56" i="8"/>
  <c r="U56" i="8"/>
  <c r="T56" i="8"/>
  <c r="Y48" i="8"/>
  <c r="X48" i="8"/>
  <c r="V48" i="8"/>
  <c r="U48" i="8"/>
  <c r="T48" i="8"/>
  <c r="Y47" i="8"/>
  <c r="X47" i="8"/>
  <c r="V47" i="8"/>
  <c r="U47" i="8"/>
  <c r="T47" i="8"/>
  <c r="Y46" i="8"/>
  <c r="X46" i="8"/>
  <c r="V46" i="8"/>
  <c r="U46" i="8"/>
  <c r="T46" i="8"/>
  <c r="X79" i="8"/>
  <c r="V79" i="8"/>
  <c r="U79" i="8"/>
  <c r="T79" i="8"/>
  <c r="X78" i="8"/>
  <c r="V78" i="8"/>
  <c r="U78" i="8"/>
  <c r="T78" i="8"/>
  <c r="X77" i="8"/>
  <c r="V77" i="8"/>
  <c r="U77" i="8"/>
  <c r="T77" i="8"/>
  <c r="X76" i="8"/>
  <c r="V76" i="8"/>
  <c r="U76" i="8"/>
  <c r="T76" i="8"/>
  <c r="X75" i="8"/>
  <c r="V75" i="8"/>
  <c r="U75" i="8"/>
  <c r="T75" i="8"/>
  <c r="Y79" i="8"/>
  <c r="Y78" i="8"/>
  <c r="Y77" i="8"/>
  <c r="Y76" i="8"/>
  <c r="Y75" i="8"/>
  <c r="X72" i="8"/>
  <c r="V72" i="8"/>
  <c r="U72" i="8"/>
  <c r="T72" i="8"/>
  <c r="X69" i="8"/>
  <c r="V69" i="8"/>
  <c r="U69" i="8"/>
  <c r="T69" i="8"/>
  <c r="Y72" i="8"/>
  <c r="Y69" i="8"/>
  <c r="Y64" i="8"/>
  <c r="X64" i="8"/>
  <c r="V64" i="8"/>
  <c r="U64" i="8"/>
  <c r="T64" i="8"/>
  <c r="X63" i="8"/>
  <c r="V63" i="8"/>
  <c r="U63" i="8"/>
  <c r="T63" i="8"/>
  <c r="Y63" i="8"/>
  <c r="X55" i="8"/>
  <c r="V55" i="8"/>
  <c r="U55" i="8"/>
  <c r="T55" i="8"/>
  <c r="X54" i="8"/>
  <c r="V54" i="8"/>
  <c r="U54" i="8"/>
  <c r="T54" i="8"/>
  <c r="X52" i="8"/>
  <c r="V52" i="8"/>
  <c r="U52" i="8"/>
  <c r="T52" i="8"/>
  <c r="Y55" i="8"/>
  <c r="Y54" i="8"/>
  <c r="Y52" i="8"/>
  <c r="X44" i="8"/>
  <c r="V44" i="8"/>
  <c r="U44" i="8"/>
  <c r="T44" i="8"/>
  <c r="Y44" i="8"/>
  <c r="Y36" i="8"/>
  <c r="X36" i="8"/>
  <c r="V36" i="8"/>
  <c r="U36" i="8"/>
  <c r="T36" i="8"/>
  <c r="X33" i="8"/>
  <c r="V33" i="8"/>
  <c r="U33" i="8"/>
  <c r="T33" i="8"/>
  <c r="Y33" i="8"/>
  <c r="Y88" i="8"/>
  <c r="Y40" i="8"/>
  <c r="AA14" i="8" l="1"/>
  <c r="J57" i="10"/>
  <c r="J19" i="10"/>
  <c r="J46" i="10" s="1"/>
  <c r="N20" i="10"/>
  <c r="N57" i="10" s="1"/>
  <c r="X20" i="10"/>
  <c r="N19" i="10"/>
  <c r="P21" i="10"/>
  <c r="E21" i="10"/>
  <c r="D21" i="10"/>
  <c r="L21" i="10"/>
  <c r="T56" i="10"/>
  <c r="J20" i="10"/>
  <c r="T20" i="10" s="1"/>
  <c r="V56" i="10"/>
  <c r="X56" i="10"/>
  <c r="X57" i="10" s="1"/>
  <c r="X45" i="10"/>
  <c r="S45" i="10"/>
  <c r="Y45" i="10"/>
  <c r="T45" i="10"/>
  <c r="W45" i="10"/>
  <c r="J33" i="10"/>
  <c r="AA71" i="8"/>
  <c r="T25" i="8"/>
  <c r="Q21" i="8"/>
  <c r="Q26" i="8"/>
  <c r="AA57" i="8"/>
  <c r="Y33" i="10"/>
  <c r="N33" i="10"/>
  <c r="X33" i="10"/>
  <c r="W32" i="10"/>
  <c r="W33" i="10" s="1"/>
  <c r="U32" i="10"/>
  <c r="V32" i="10"/>
  <c r="T32" i="10"/>
  <c r="S33" i="10"/>
  <c r="Y20" i="10"/>
  <c r="Y57" i="10" s="1"/>
  <c r="W20" i="10"/>
  <c r="W57" i="10" s="1"/>
  <c r="AA70" i="8"/>
  <c r="AA55" i="8"/>
  <c r="AA59" i="8"/>
  <c r="AA54" i="8"/>
  <c r="AA56" i="8"/>
  <c r="AA58" i="8"/>
  <c r="U24" i="8"/>
  <c r="AA24" i="8" s="1"/>
  <c r="S24" i="8"/>
  <c r="T24" i="8"/>
  <c r="AA45" i="8"/>
  <c r="W25" i="8"/>
  <c r="W24" i="8"/>
  <c r="Y25" i="8"/>
  <c r="AA25" i="8" s="1"/>
  <c r="X24" i="8"/>
  <c r="V25" i="8"/>
  <c r="S25" i="8"/>
  <c r="U13" i="8"/>
  <c r="S13" i="8"/>
  <c r="V13" i="8"/>
  <c r="AA46" i="8"/>
  <c r="AA48" i="8"/>
  <c r="AA47" i="8"/>
  <c r="S18" i="8"/>
  <c r="T18" i="8"/>
  <c r="U18" i="8"/>
  <c r="S19" i="8"/>
  <c r="T19" i="8"/>
  <c r="U19" i="8"/>
  <c r="Y49" i="8"/>
  <c r="Y60" i="8" s="1"/>
  <c r="X13" i="8"/>
  <c r="Y13" i="8"/>
  <c r="W19" i="8"/>
  <c r="W18" i="8"/>
  <c r="Y19" i="8"/>
  <c r="Y18" i="8"/>
  <c r="Y80" i="8"/>
  <c r="Y66" i="8"/>
  <c r="Y73" i="8" s="1"/>
  <c r="Y41" i="8"/>
  <c r="Y87" i="8"/>
  <c r="V57" i="10" l="1"/>
  <c r="V20" i="10"/>
  <c r="T57" i="10"/>
  <c r="S46" i="10"/>
  <c r="U19" i="10"/>
  <c r="U46" i="10" s="1"/>
  <c r="T19" i="10"/>
  <c r="T46" i="10" s="1"/>
  <c r="V19" i="10"/>
  <c r="V46" i="10" s="1"/>
  <c r="S19" i="10"/>
  <c r="Y19" i="10"/>
  <c r="Y46" i="10" s="1"/>
  <c r="X19" i="10"/>
  <c r="W19" i="10"/>
  <c r="W46" i="10"/>
  <c r="X46" i="10"/>
  <c r="N46" i="10"/>
  <c r="U20" i="10"/>
  <c r="U57" i="10" s="1"/>
  <c r="S20" i="10"/>
  <c r="S57" i="10" s="1"/>
  <c r="J18" i="10"/>
  <c r="N18" i="10"/>
  <c r="N34" i="10" s="1"/>
  <c r="Q30" i="8"/>
  <c r="Q27" i="8"/>
  <c r="V33" i="10"/>
  <c r="T33" i="10"/>
  <c r="U33" i="10"/>
  <c r="Y81" i="8"/>
  <c r="Y83" i="8" s="1"/>
  <c r="T18" i="10" l="1"/>
  <c r="S18" i="10"/>
  <c r="S34" i="10" s="1"/>
  <c r="U18" i="10"/>
  <c r="U21" i="10" s="1"/>
  <c r="V18" i="10"/>
  <c r="V34" i="10" s="1"/>
  <c r="U34" i="10"/>
  <c r="T34" i="10"/>
  <c r="J34" i="10"/>
  <c r="Y18" i="10"/>
  <c r="Y34" i="10" s="1"/>
  <c r="X18" i="10"/>
  <c r="X34" i="10" s="1"/>
  <c r="W18" i="10"/>
  <c r="W34" i="10" s="1"/>
  <c r="S21" i="10"/>
  <c r="J21" i="10"/>
  <c r="T21" i="10"/>
  <c r="V21" i="10"/>
  <c r="X21" i="10"/>
  <c r="W21" i="10"/>
  <c r="N21" i="10"/>
  <c r="Q37" i="8"/>
  <c r="Q34" i="8"/>
  <c r="Q31" i="8"/>
  <c r="Q91" i="8"/>
  <c r="Q111" i="8" s="1"/>
  <c r="Q137" i="8" s="1"/>
  <c r="Y137" i="8" s="1"/>
  <c r="Y21" i="10" l="1"/>
  <c r="W64" i="8" l="1"/>
  <c r="W63" i="8"/>
  <c r="S64" i="8"/>
  <c r="S63" i="8"/>
  <c r="W55" i="8"/>
  <c r="W54" i="8"/>
  <c r="W52" i="8"/>
  <c r="S55" i="8"/>
  <c r="S54" i="8"/>
  <c r="S52" i="8"/>
  <c r="W44" i="8"/>
  <c r="S44" i="8"/>
  <c r="V23" i="8" l="1"/>
  <c r="U23" i="8"/>
  <c r="T23" i="8"/>
  <c r="S23" i="8"/>
  <c r="W29" i="8"/>
  <c r="X29" i="8"/>
  <c r="Y29" i="8"/>
  <c r="W23" i="8"/>
  <c r="Y23" i="8"/>
  <c r="X23" i="8"/>
  <c r="V29" i="8"/>
  <c r="U29" i="8"/>
  <c r="T29" i="8"/>
  <c r="S29" i="8"/>
  <c r="X136" i="8"/>
  <c r="Y132" i="8" s="1"/>
  <c r="W136" i="8"/>
  <c r="X132" i="8" s="1"/>
  <c r="V136" i="8"/>
  <c r="U136" i="8"/>
  <c r="V132" i="8" s="1"/>
  <c r="T136" i="8"/>
  <c r="U132" i="8" s="1"/>
  <c r="S136" i="8"/>
  <c r="T132" i="8" s="1"/>
  <c r="X135" i="8"/>
  <c r="W135" i="8"/>
  <c r="U135" i="8"/>
  <c r="T135" i="8"/>
  <c r="S135" i="8"/>
  <c r="C11" i="8"/>
  <c r="C15" i="8" s="1"/>
  <c r="C40" i="8"/>
  <c r="C41" i="8"/>
  <c r="C49" i="8"/>
  <c r="C60" i="8" s="1"/>
  <c r="C66" i="8"/>
  <c r="C73" i="8" s="1"/>
  <c r="C80" i="8"/>
  <c r="C87" i="8"/>
  <c r="C88" i="8"/>
  <c r="C119" i="8"/>
  <c r="C128" i="8"/>
  <c r="C133" i="8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N127" i="8"/>
  <c r="J127" i="8"/>
  <c r="U127" i="8" s="1"/>
  <c r="N126" i="8"/>
  <c r="Y126" i="8" s="1"/>
  <c r="J126" i="8"/>
  <c r="U126" i="8" s="1"/>
  <c r="N125" i="8"/>
  <c r="J125" i="8"/>
  <c r="U125" i="8" s="1"/>
  <c r="N124" i="8"/>
  <c r="J124" i="8"/>
  <c r="U124" i="8" s="1"/>
  <c r="N123" i="8"/>
  <c r="J123" i="8"/>
  <c r="N118" i="8"/>
  <c r="Y118" i="8" s="1"/>
  <c r="J118" i="8"/>
  <c r="U118" i="8" s="1"/>
  <c r="N117" i="8"/>
  <c r="J117" i="8"/>
  <c r="U117" i="8" s="1"/>
  <c r="N116" i="8"/>
  <c r="J116" i="8"/>
  <c r="U116" i="8" s="1"/>
  <c r="N115" i="8"/>
  <c r="J115" i="8"/>
  <c r="N110" i="8"/>
  <c r="Y110" i="8" s="1"/>
  <c r="J110" i="8"/>
  <c r="U110" i="8" s="1"/>
  <c r="N109" i="8"/>
  <c r="J109" i="8"/>
  <c r="U109" i="8" s="1"/>
  <c r="N108" i="8"/>
  <c r="J108" i="8"/>
  <c r="U108" i="8" s="1"/>
  <c r="N107" i="8"/>
  <c r="J107" i="8"/>
  <c r="U107" i="8" s="1"/>
  <c r="N106" i="8"/>
  <c r="Y106" i="8" s="1"/>
  <c r="J106" i="8"/>
  <c r="U106" i="8" s="1"/>
  <c r="N102" i="8"/>
  <c r="J102" i="8"/>
  <c r="U102" i="8" s="1"/>
  <c r="N101" i="8"/>
  <c r="J101" i="8"/>
  <c r="U101" i="8" s="1"/>
  <c r="N100" i="8"/>
  <c r="J100" i="8"/>
  <c r="U100" i="8" s="1"/>
  <c r="N99" i="8"/>
  <c r="Y99" i="8" s="1"/>
  <c r="J99" i="8"/>
  <c r="U99" i="8" s="1"/>
  <c r="N98" i="8"/>
  <c r="J98" i="8"/>
  <c r="U98" i="8" s="1"/>
  <c r="N97" i="8"/>
  <c r="J97" i="8"/>
  <c r="U97" i="8" s="1"/>
  <c r="N96" i="8"/>
  <c r="J96" i="8"/>
  <c r="U96" i="8" s="1"/>
  <c r="N95" i="8"/>
  <c r="Y95" i="8" s="1"/>
  <c r="J95" i="8"/>
  <c r="U95" i="8" s="1"/>
  <c r="V48" i="11"/>
  <c r="N122" i="8"/>
  <c r="J122" i="8"/>
  <c r="U122" i="8" s="1"/>
  <c r="N114" i="8"/>
  <c r="J114" i="8"/>
  <c r="U114" i="8" s="1"/>
  <c r="N79" i="8"/>
  <c r="W79" i="8" s="1"/>
  <c r="J79" i="8"/>
  <c r="S79" i="8" s="1"/>
  <c r="N78" i="8"/>
  <c r="W78" i="8" s="1"/>
  <c r="J78" i="8"/>
  <c r="S78" i="8" s="1"/>
  <c r="N77" i="8"/>
  <c r="W77" i="8" s="1"/>
  <c r="J77" i="8"/>
  <c r="S77" i="8" s="1"/>
  <c r="N76" i="8"/>
  <c r="W76" i="8" s="1"/>
  <c r="J76" i="8"/>
  <c r="S76" i="8" s="1"/>
  <c r="W75" i="8"/>
  <c r="S75" i="8"/>
  <c r="T4" i="11"/>
  <c r="AE4" i="11" s="1"/>
  <c r="T3" i="11"/>
  <c r="AE3" i="11" s="1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54" i="11"/>
  <c r="AD54" i="11" s="1"/>
  <c r="N8" i="8"/>
  <c r="V8" i="8" s="1"/>
  <c r="J8" i="8"/>
  <c r="J76" i="11"/>
  <c r="N135" i="8"/>
  <c r="V135" i="8" s="1"/>
  <c r="H76" i="11"/>
  <c r="X48" i="11"/>
  <c r="W48" i="11"/>
  <c r="W44" i="11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P132" i="8"/>
  <c r="N132" i="8"/>
  <c r="M132" i="8"/>
  <c r="L132" i="8"/>
  <c r="J132" i="8"/>
  <c r="I132" i="8"/>
  <c r="H132" i="8"/>
  <c r="P4" i="10"/>
  <c r="Y4" i="10" s="1"/>
  <c r="O4" i="10"/>
  <c r="X4" i="10" s="1"/>
  <c r="M4" i="10"/>
  <c r="V4" i="10" s="1"/>
  <c r="L4" i="10"/>
  <c r="U4" i="10" s="1"/>
  <c r="K4" i="10"/>
  <c r="T4" i="10" s="1"/>
  <c r="I4" i="10"/>
  <c r="H4" i="10"/>
  <c r="P3" i="10"/>
  <c r="Y3" i="10" s="1"/>
  <c r="O3" i="10"/>
  <c r="X3" i="10" s="1"/>
  <c r="N3" i="10"/>
  <c r="W3" i="10" s="1"/>
  <c r="M3" i="10"/>
  <c r="V3" i="10" s="1"/>
  <c r="L3" i="10"/>
  <c r="U3" i="10" s="1"/>
  <c r="K3" i="10"/>
  <c r="T3" i="10" s="1"/>
  <c r="J3" i="10"/>
  <c r="S3" i="10" s="1"/>
  <c r="I3" i="10"/>
  <c r="H3" i="10"/>
  <c r="G4" i="10"/>
  <c r="G3" i="10"/>
  <c r="D4" i="10"/>
  <c r="C4" i="10"/>
  <c r="D3" i="10"/>
  <c r="C3" i="10"/>
  <c r="E4" i="10"/>
  <c r="E3" i="10"/>
  <c r="V10" i="8" l="1"/>
  <c r="U10" i="8"/>
  <c r="T10" i="8"/>
  <c r="S10" i="8"/>
  <c r="X10" i="8"/>
  <c r="W10" i="8"/>
  <c r="Y10" i="8"/>
  <c r="Y11" i="8" s="1"/>
  <c r="Y15" i="8" s="1"/>
  <c r="O4" i="11"/>
  <c r="Z4" i="11" s="1"/>
  <c r="J4" i="10"/>
  <c r="S4" i="10" s="1"/>
  <c r="X98" i="8"/>
  <c r="Y98" i="8"/>
  <c r="AA98" i="8" s="1"/>
  <c r="X102" i="8"/>
  <c r="Y102" i="8"/>
  <c r="AA102" i="8" s="1"/>
  <c r="X109" i="8"/>
  <c r="Y109" i="8"/>
  <c r="AA109" i="8" s="1"/>
  <c r="X117" i="8"/>
  <c r="Y117" i="8"/>
  <c r="AA117" i="8" s="1"/>
  <c r="X125" i="8"/>
  <c r="Y125" i="8"/>
  <c r="AA125" i="8" s="1"/>
  <c r="X122" i="8"/>
  <c r="Y122" i="8"/>
  <c r="X114" i="8"/>
  <c r="Y114" i="8"/>
  <c r="X96" i="8"/>
  <c r="Y96" i="8"/>
  <c r="AA96" i="8" s="1"/>
  <c r="X100" i="8"/>
  <c r="Y100" i="8"/>
  <c r="AA100" i="8" s="1"/>
  <c r="X107" i="8"/>
  <c r="Y107" i="8"/>
  <c r="AA107" i="8" s="1"/>
  <c r="X115" i="8"/>
  <c r="Y115" i="8"/>
  <c r="X123" i="8"/>
  <c r="Y123" i="8"/>
  <c r="X127" i="8"/>
  <c r="Y127" i="8"/>
  <c r="AA127" i="8" s="1"/>
  <c r="X97" i="8"/>
  <c r="Y97" i="8"/>
  <c r="AA97" i="8" s="1"/>
  <c r="X101" i="8"/>
  <c r="Y101" i="8"/>
  <c r="AA101" i="8" s="1"/>
  <c r="X108" i="8"/>
  <c r="Y108" i="8"/>
  <c r="AA108" i="8" s="1"/>
  <c r="X116" i="8"/>
  <c r="Y116" i="8"/>
  <c r="AA116" i="8" s="1"/>
  <c r="X124" i="8"/>
  <c r="Y124" i="8"/>
  <c r="AA124" i="8" s="1"/>
  <c r="V9" i="10"/>
  <c r="U9" i="10"/>
  <c r="T9" i="10"/>
  <c r="S9" i="10"/>
  <c r="X10" i="10"/>
  <c r="W10" i="10"/>
  <c r="Y10" i="10"/>
  <c r="W9" i="10"/>
  <c r="Y9" i="10"/>
  <c r="X9" i="10"/>
  <c r="V10" i="10"/>
  <c r="U10" i="10"/>
  <c r="T10" i="10"/>
  <c r="S10" i="10"/>
  <c r="AA19" i="8"/>
  <c r="S95" i="8"/>
  <c r="S96" i="8"/>
  <c r="S97" i="8"/>
  <c r="S98" i="8"/>
  <c r="S99" i="8"/>
  <c r="S100" i="8"/>
  <c r="S101" i="8"/>
  <c r="S102" i="8"/>
  <c r="S106" i="8"/>
  <c r="S107" i="8"/>
  <c r="S108" i="8"/>
  <c r="S109" i="8"/>
  <c r="S110" i="8"/>
  <c r="S114" i="8"/>
  <c r="S115" i="8"/>
  <c r="S116" i="8"/>
  <c r="S117" i="8"/>
  <c r="S118" i="8"/>
  <c r="S122" i="8"/>
  <c r="S123" i="8"/>
  <c r="S124" i="8"/>
  <c r="S125" i="8"/>
  <c r="S126" i="8"/>
  <c r="S127" i="8"/>
  <c r="T95" i="8"/>
  <c r="T96" i="8"/>
  <c r="T97" i="8"/>
  <c r="T98" i="8"/>
  <c r="T99" i="8"/>
  <c r="T100" i="8"/>
  <c r="T101" i="8"/>
  <c r="T102" i="8"/>
  <c r="T106" i="8"/>
  <c r="T107" i="8"/>
  <c r="T108" i="8"/>
  <c r="T109" i="8"/>
  <c r="T110" i="8"/>
  <c r="T114" i="8"/>
  <c r="T115" i="8"/>
  <c r="T116" i="8"/>
  <c r="T117" i="8"/>
  <c r="T118" i="8"/>
  <c r="T122" i="8"/>
  <c r="T123" i="8"/>
  <c r="T124" i="8"/>
  <c r="T125" i="8"/>
  <c r="T126" i="8"/>
  <c r="T127" i="8"/>
  <c r="U115" i="8"/>
  <c r="U123" i="8"/>
  <c r="V95" i="8"/>
  <c r="V96" i="8"/>
  <c r="V97" i="8"/>
  <c r="V98" i="8"/>
  <c r="V99" i="8"/>
  <c r="V100" i="8"/>
  <c r="V101" i="8"/>
  <c r="V102" i="8"/>
  <c r="V106" i="8"/>
  <c r="V107" i="8"/>
  <c r="V108" i="8"/>
  <c r="V109" i="8"/>
  <c r="V110" i="8"/>
  <c r="V114" i="8"/>
  <c r="V115" i="8"/>
  <c r="V116" i="8"/>
  <c r="V117" i="8"/>
  <c r="V118" i="8"/>
  <c r="V122" i="8"/>
  <c r="V123" i="8"/>
  <c r="V124" i="8"/>
  <c r="V125" i="8"/>
  <c r="V126" i="8"/>
  <c r="V127" i="8"/>
  <c r="W95" i="8"/>
  <c r="W96" i="8"/>
  <c r="W97" i="8"/>
  <c r="W98" i="8"/>
  <c r="W99" i="8"/>
  <c r="W100" i="8"/>
  <c r="W101" i="8"/>
  <c r="W102" i="8"/>
  <c r="W106" i="8"/>
  <c r="W107" i="8"/>
  <c r="W108" i="8"/>
  <c r="W109" i="8"/>
  <c r="W110" i="8"/>
  <c r="W114" i="8"/>
  <c r="W115" i="8"/>
  <c r="W116" i="8"/>
  <c r="W117" i="8"/>
  <c r="W118" i="8"/>
  <c r="W122" i="8"/>
  <c r="W123" i="8"/>
  <c r="W124" i="8"/>
  <c r="W125" i="8"/>
  <c r="W126" i="8"/>
  <c r="W127" i="8"/>
  <c r="X95" i="8"/>
  <c r="X99" i="8"/>
  <c r="X106" i="8"/>
  <c r="X110" i="8"/>
  <c r="X118" i="8"/>
  <c r="X126" i="8"/>
  <c r="C81" i="8"/>
  <c r="C83" i="8" s="1"/>
  <c r="C16" i="8"/>
  <c r="C20" i="8"/>
  <c r="C26" i="8" s="1"/>
  <c r="O55" i="11"/>
  <c r="Z55" i="11" s="1"/>
  <c r="AA106" i="8"/>
  <c r="K132" i="8"/>
  <c r="K55" i="11"/>
  <c r="V55" i="11" s="1"/>
  <c r="AA126" i="8"/>
  <c r="S55" i="11"/>
  <c r="AD55" i="11" s="1"/>
  <c r="AG21" i="11"/>
  <c r="AG22" i="11"/>
  <c r="AG23" i="11"/>
  <c r="AE48" i="11"/>
  <c r="AD38" i="11"/>
  <c r="X44" i="11"/>
  <c r="V44" i="11"/>
  <c r="Y48" i="11"/>
  <c r="AD48" i="11"/>
  <c r="AC48" i="11"/>
  <c r="AD44" i="11"/>
  <c r="AA99" i="8"/>
  <c r="AA72" i="8"/>
  <c r="N4" i="10"/>
  <c r="W4" i="10" s="1"/>
  <c r="W132" i="8"/>
  <c r="AE28" i="11"/>
  <c r="R76" i="11"/>
  <c r="R79" i="11" s="1"/>
  <c r="R88" i="11" s="1"/>
  <c r="AE37" i="11"/>
  <c r="K4" i="11"/>
  <c r="V4" i="11" s="1"/>
  <c r="AE38" i="11"/>
  <c r="AE39" i="11"/>
  <c r="AE76" i="11"/>
  <c r="AE79" i="11" s="1"/>
  <c r="T57" i="11"/>
  <c r="T76" i="11"/>
  <c r="T79" i="11" s="1"/>
  <c r="T88" i="11" s="1"/>
  <c r="T12" i="11"/>
  <c r="T17" i="11" s="1"/>
  <c r="AD32" i="11"/>
  <c r="AB57" i="11"/>
  <c r="S75" i="11"/>
  <c r="S4" i="11"/>
  <c r="AD4" i="11" s="1"/>
  <c r="R57" i="11"/>
  <c r="I76" i="11"/>
  <c r="J135" i="8"/>
  <c r="H12" i="11"/>
  <c r="H17" i="11" s="1"/>
  <c r="H25" i="11" s="1"/>
  <c r="E12" i="11"/>
  <c r="E17" i="11" s="1"/>
  <c r="F12" i="11"/>
  <c r="F17" i="11" s="1"/>
  <c r="K75" i="11"/>
  <c r="V75" i="11" s="1"/>
  <c r="V76" i="11" s="1"/>
  <c r="O75" i="11"/>
  <c r="Z75" i="11" s="1"/>
  <c r="Z76" i="11" s="1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O132" i="8"/>
  <c r="S11" i="10" l="1"/>
  <c r="Y16" i="8"/>
  <c r="Y20" i="8"/>
  <c r="Y119" i="8"/>
  <c r="Y128" i="8"/>
  <c r="AA115" i="8"/>
  <c r="X11" i="10"/>
  <c r="W11" i="10"/>
  <c r="AA123" i="8"/>
  <c r="C21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P12" i="11"/>
  <c r="N12" i="11"/>
  <c r="I12" i="11"/>
  <c r="I17" i="11" s="1"/>
  <c r="I25" i="11" s="1"/>
  <c r="M12" i="11"/>
  <c r="L12" i="11"/>
  <c r="L17" i="11" s="1"/>
  <c r="T11" i="10"/>
  <c r="AD9" i="11"/>
  <c r="AD7" i="11"/>
  <c r="AD11" i="11"/>
  <c r="Y11" i="11"/>
  <c r="AC8" i="11"/>
  <c r="AC7" i="11"/>
  <c r="R12" i="11"/>
  <c r="R17" i="11" s="1"/>
  <c r="R18" i="11" s="1"/>
  <c r="W7" i="11"/>
  <c r="AA9" i="11"/>
  <c r="AE6" i="11"/>
  <c r="AE10" i="11"/>
  <c r="AA118" i="8"/>
  <c r="AA110" i="8"/>
  <c r="AA95" i="8"/>
  <c r="AA76" i="11"/>
  <c r="AD41" i="11"/>
  <c r="X76" i="11"/>
  <c r="N76" i="11"/>
  <c r="W76" i="11"/>
  <c r="S76" i="11"/>
  <c r="S79" i="11" s="1"/>
  <c r="S88" i="11" s="1"/>
  <c r="S57" i="11"/>
  <c r="U11" i="10"/>
  <c r="V11" i="10"/>
  <c r="T25" i="11"/>
  <c r="T18" i="11"/>
  <c r="Y46" i="11"/>
  <c r="V45" i="11"/>
  <c r="C17" i="11"/>
  <c r="C18" i="11" s="1"/>
  <c r="C13" i="11"/>
  <c r="L76" i="11"/>
  <c r="F13" i="11"/>
  <c r="K76" i="11"/>
  <c r="H18" i="11"/>
  <c r="O76" i="11"/>
  <c r="E18" i="11"/>
  <c r="E25" i="11"/>
  <c r="F18" i="11"/>
  <c r="F25" i="11"/>
  <c r="AE88" i="11"/>
  <c r="I18" i="11"/>
  <c r="H29" i="11"/>
  <c r="H26" i="11"/>
  <c r="Y21" i="8" l="1"/>
  <c r="Y26" i="8"/>
  <c r="Y30" i="8" s="1"/>
  <c r="C30" i="8"/>
  <c r="C27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I14" i="11"/>
  <c r="M14" i="11"/>
  <c r="J14" i="11"/>
  <c r="J25" i="11"/>
  <c r="J26" i="11" s="1"/>
  <c r="N13" i="11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N14" i="11"/>
  <c r="R13" i="11"/>
  <c r="R25" i="11"/>
  <c r="R26" i="11" s="1"/>
  <c r="AG6" i="11"/>
  <c r="K12" i="11"/>
  <c r="L14" i="11" s="1"/>
  <c r="S12" i="11"/>
  <c r="T14" i="11" s="1"/>
  <c r="AA122" i="8"/>
  <c r="T26" i="11"/>
  <c r="T29" i="11"/>
  <c r="AC45" i="11"/>
  <c r="C25" i="11"/>
  <c r="C29" i="11" s="1"/>
  <c r="C30" i="11" s="1"/>
  <c r="D25" i="11"/>
  <c r="D29" i="11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Y27" i="8" l="1"/>
  <c r="Y31" i="8"/>
  <c r="Y91" i="8"/>
  <c r="Y34" i="8"/>
  <c r="Y37" i="8"/>
  <c r="C31" i="8"/>
  <c r="C34" i="8"/>
  <c r="C37" i="8"/>
  <c r="C91" i="8"/>
  <c r="C111" i="8" s="1"/>
  <c r="C137" i="8" s="1"/>
  <c r="C138" i="8" s="1"/>
  <c r="C140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N25" i="11"/>
  <c r="N26" i="11" s="1"/>
  <c r="S14" i="11"/>
  <c r="AB12" i="11"/>
  <c r="S13" i="11"/>
  <c r="X12" i="11"/>
  <c r="S17" i="11"/>
  <c r="S18" i="11" s="1"/>
  <c r="AA12" i="11"/>
  <c r="R29" i="11"/>
  <c r="R30" i="11" s="1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T34" i="11"/>
  <c r="T30" i="11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15" i="10"/>
  <c r="B14" i="10"/>
  <c r="I11" i="10"/>
  <c r="D11" i="10"/>
  <c r="O11" i="10"/>
  <c r="E11" i="10"/>
  <c r="P11" i="10"/>
  <c r="N11" i="10"/>
  <c r="M11" i="10"/>
  <c r="L11" i="10"/>
  <c r="H11" i="10"/>
  <c r="C11" i="10"/>
  <c r="N144" i="8"/>
  <c r="Y144" i="8" s="1"/>
  <c r="J144" i="8"/>
  <c r="E132" i="8"/>
  <c r="D132" i="8"/>
  <c r="G132" i="8" s="1"/>
  <c r="E60" i="10" l="1"/>
  <c r="E59" i="10"/>
  <c r="E61" i="10"/>
  <c r="O60" i="10"/>
  <c r="W60" i="10" s="1"/>
  <c r="O59" i="10"/>
  <c r="W59" i="10" s="1"/>
  <c r="O61" i="10"/>
  <c r="W61" i="10" s="1"/>
  <c r="C60" i="10"/>
  <c r="C61" i="10"/>
  <c r="C59" i="10"/>
  <c r="D60" i="10"/>
  <c r="D59" i="10"/>
  <c r="D61" i="10"/>
  <c r="N60" i="10"/>
  <c r="V60" i="10" s="1"/>
  <c r="N59" i="10"/>
  <c r="V59" i="10" s="1"/>
  <c r="N61" i="10"/>
  <c r="V61" i="10" s="1"/>
  <c r="H61" i="10"/>
  <c r="H60" i="10"/>
  <c r="H59" i="10"/>
  <c r="I60" i="10"/>
  <c r="I59" i="10"/>
  <c r="I61" i="10"/>
  <c r="P59" i="10"/>
  <c r="X59" i="10" s="1"/>
  <c r="P61" i="10"/>
  <c r="X61" i="10" s="1"/>
  <c r="P60" i="10"/>
  <c r="X60" i="10" s="1"/>
  <c r="L61" i="10"/>
  <c r="T61" i="10" s="1"/>
  <c r="L59" i="10"/>
  <c r="T59" i="10" s="1"/>
  <c r="L60" i="10"/>
  <c r="T60" i="10" s="1"/>
  <c r="M60" i="10"/>
  <c r="U60" i="10" s="1"/>
  <c r="M59" i="10"/>
  <c r="U59" i="10" s="1"/>
  <c r="M61" i="10"/>
  <c r="U61" i="10" s="1"/>
  <c r="E50" i="10"/>
  <c r="E49" i="10"/>
  <c r="E48" i="10"/>
  <c r="C48" i="10"/>
  <c r="C50" i="10"/>
  <c r="C49" i="10"/>
  <c r="I49" i="10"/>
  <c r="I48" i="10"/>
  <c r="I50" i="10"/>
  <c r="P50" i="10"/>
  <c r="X50" i="10" s="1"/>
  <c r="P49" i="10"/>
  <c r="X49" i="10" s="1"/>
  <c r="P48" i="10"/>
  <c r="X48" i="10" s="1"/>
  <c r="M49" i="10"/>
  <c r="U49" i="10" s="1"/>
  <c r="M50" i="10"/>
  <c r="U50" i="10" s="1"/>
  <c r="M48" i="10"/>
  <c r="U48" i="10" s="1"/>
  <c r="O48" i="10"/>
  <c r="W48" i="10" s="1"/>
  <c r="O50" i="10"/>
  <c r="W50" i="10" s="1"/>
  <c r="O49" i="10"/>
  <c r="W49" i="10" s="1"/>
  <c r="D49" i="10"/>
  <c r="D48" i="10"/>
  <c r="D50" i="10"/>
  <c r="H50" i="10"/>
  <c r="H49" i="10"/>
  <c r="H48" i="10"/>
  <c r="L50" i="10"/>
  <c r="T50" i="10" s="1"/>
  <c r="L49" i="10"/>
  <c r="T49" i="10" s="1"/>
  <c r="L48" i="10"/>
  <c r="T48" i="10" s="1"/>
  <c r="N49" i="10"/>
  <c r="V49" i="10" s="1"/>
  <c r="N50" i="10"/>
  <c r="V50" i="10" s="1"/>
  <c r="N48" i="10"/>
  <c r="V48" i="10" s="1"/>
  <c r="O25" i="10"/>
  <c r="W25" i="10" s="1"/>
  <c r="D25" i="10"/>
  <c r="L25" i="10"/>
  <c r="T25" i="10" s="1"/>
  <c r="P25" i="10"/>
  <c r="X25" i="10" s="1"/>
  <c r="I25" i="10"/>
  <c r="E25" i="10"/>
  <c r="C25" i="10"/>
  <c r="H25" i="10"/>
  <c r="M25" i="10"/>
  <c r="U25" i="10" s="1"/>
  <c r="N25" i="10"/>
  <c r="V25" i="10" s="1"/>
  <c r="E36" i="10"/>
  <c r="E39" i="10"/>
  <c r="H39" i="10"/>
  <c r="H36" i="10"/>
  <c r="M36" i="10"/>
  <c r="U36" i="10" s="1"/>
  <c r="M39" i="10"/>
  <c r="U39" i="10" s="1"/>
  <c r="O36" i="10"/>
  <c r="W36" i="10" s="1"/>
  <c r="O39" i="10"/>
  <c r="W39" i="10" s="1"/>
  <c r="C36" i="10"/>
  <c r="C39" i="10"/>
  <c r="D36" i="10"/>
  <c r="D39" i="10"/>
  <c r="I39" i="10"/>
  <c r="I36" i="10"/>
  <c r="L36" i="10"/>
  <c r="T36" i="10" s="1"/>
  <c r="L39" i="10"/>
  <c r="T39" i="10" s="1"/>
  <c r="N36" i="10"/>
  <c r="V36" i="10" s="1"/>
  <c r="N39" i="10"/>
  <c r="V39" i="10" s="1"/>
  <c r="P36" i="10"/>
  <c r="X36" i="10" s="1"/>
  <c r="P39" i="10"/>
  <c r="X39" i="10" s="1"/>
  <c r="E26" i="10"/>
  <c r="E24" i="10"/>
  <c r="C24" i="10"/>
  <c r="H26" i="10"/>
  <c r="H24" i="10"/>
  <c r="I26" i="10"/>
  <c r="I24" i="10"/>
  <c r="L24" i="10"/>
  <c r="T24" i="10" s="1"/>
  <c r="L26" i="10"/>
  <c r="T26" i="10" s="1"/>
  <c r="M24" i="10"/>
  <c r="U24" i="10" s="1"/>
  <c r="M26" i="10"/>
  <c r="U26" i="10" s="1"/>
  <c r="D26" i="10"/>
  <c r="D24" i="10"/>
  <c r="N26" i="10"/>
  <c r="V26" i="10" s="1"/>
  <c r="N24" i="10"/>
  <c r="V24" i="10" s="1"/>
  <c r="O24" i="10"/>
  <c r="W24" i="10" s="1"/>
  <c r="O26" i="10"/>
  <c r="W26" i="10" s="1"/>
  <c r="P24" i="10"/>
  <c r="X24" i="10" s="1"/>
  <c r="P26" i="10"/>
  <c r="X26" i="10" s="1"/>
  <c r="X144" i="8"/>
  <c r="W144" i="8"/>
  <c r="V144" i="8"/>
  <c r="U144" i="8"/>
  <c r="T144" i="8"/>
  <c r="S144" i="8"/>
  <c r="AA52" i="8"/>
  <c r="AA63" i="8"/>
  <c r="AA64" i="8"/>
  <c r="C14" i="10"/>
  <c r="C15" i="10"/>
  <c r="H14" i="10"/>
  <c r="H15" i="10"/>
  <c r="E15" i="10"/>
  <c r="E14" i="10"/>
  <c r="L15" i="10"/>
  <c r="T15" i="10" s="1"/>
  <c r="L14" i="10"/>
  <c r="T14" i="10" s="1"/>
  <c r="M15" i="10"/>
  <c r="U15" i="10" s="1"/>
  <c r="M14" i="10"/>
  <c r="U14" i="10" s="1"/>
  <c r="O14" i="10"/>
  <c r="W14" i="10" s="1"/>
  <c r="O15" i="10"/>
  <c r="W15" i="10" s="1"/>
  <c r="D14" i="10"/>
  <c r="D15" i="10"/>
  <c r="N14" i="10"/>
  <c r="V14" i="10" s="1"/>
  <c r="N15" i="10"/>
  <c r="V15" i="10" s="1"/>
  <c r="I15" i="10"/>
  <c r="I14" i="10"/>
  <c r="P14" i="10"/>
  <c r="X14" i="10" s="1"/>
  <c r="P15" i="10"/>
  <c r="X15" i="10" s="1"/>
  <c r="Y15" i="10"/>
  <c r="Y14" i="10"/>
  <c r="J11" i="10"/>
  <c r="Y11" i="10"/>
  <c r="G11" i="10"/>
  <c r="K11" i="10"/>
  <c r="J60" i="10" l="1"/>
  <c r="J61" i="10"/>
  <c r="J59" i="10"/>
  <c r="K61" i="10"/>
  <c r="S61" i="10" s="1"/>
  <c r="K60" i="10"/>
  <c r="S60" i="10" s="1"/>
  <c r="K59" i="10"/>
  <c r="S59" i="10" s="1"/>
  <c r="G61" i="10"/>
  <c r="G60" i="10"/>
  <c r="G59" i="10"/>
  <c r="K48" i="10"/>
  <c r="S48" i="10" s="1"/>
  <c r="K50" i="10"/>
  <c r="S50" i="10" s="1"/>
  <c r="K49" i="10"/>
  <c r="S49" i="10" s="1"/>
  <c r="G50" i="10"/>
  <c r="G49" i="10"/>
  <c r="G48" i="10"/>
  <c r="J49" i="10"/>
  <c r="J50" i="10"/>
  <c r="J48" i="10"/>
  <c r="G25" i="10"/>
  <c r="K25" i="10"/>
  <c r="S25" i="10" s="1"/>
  <c r="J25" i="10"/>
  <c r="K36" i="10"/>
  <c r="S36" i="10" s="1"/>
  <c r="K39" i="10"/>
  <c r="S39" i="10" s="1"/>
  <c r="J36" i="10"/>
  <c r="J39" i="10"/>
  <c r="G39" i="10"/>
  <c r="G36" i="10"/>
  <c r="K26" i="10"/>
  <c r="S26" i="10" s="1"/>
  <c r="K24" i="10"/>
  <c r="S24" i="10" s="1"/>
  <c r="G26" i="10"/>
  <c r="G24" i="10"/>
  <c r="J24" i="10"/>
  <c r="J26" i="10"/>
  <c r="AC47" i="11"/>
  <c r="AB47" i="11"/>
  <c r="AA47" i="11"/>
  <c r="Z47" i="11"/>
  <c r="X47" i="11"/>
  <c r="Y47" i="11"/>
  <c r="W47" i="11"/>
  <c r="V47" i="11"/>
  <c r="G15" i="10"/>
  <c r="G14" i="10"/>
  <c r="K15" i="10"/>
  <c r="S15" i="10" s="1"/>
  <c r="K14" i="10"/>
  <c r="S14" i="10" s="1"/>
  <c r="J15" i="10"/>
  <c r="J14" i="10"/>
  <c r="N143" i="8" l="1"/>
  <c r="Y143" i="8" s="1"/>
  <c r="J143" i="8"/>
  <c r="AA44" i="8"/>
  <c r="E128" i="8"/>
  <c r="O128" i="8"/>
  <c r="U143" i="8" l="1"/>
  <c r="T143" i="8"/>
  <c r="S143" i="8"/>
  <c r="X143" i="8"/>
  <c r="W143" i="8"/>
  <c r="V143" i="8"/>
  <c r="K54" i="11"/>
  <c r="O54" i="11"/>
  <c r="T128" i="8"/>
  <c r="S128" i="8"/>
  <c r="X57" i="11"/>
  <c r="AA77" i="8"/>
  <c r="AA79" i="8"/>
  <c r="AA76" i="8"/>
  <c r="AA69" i="8"/>
  <c r="AA78" i="8"/>
  <c r="AA75" i="8"/>
  <c r="P128" i="8"/>
  <c r="I128" i="8"/>
  <c r="D128" i="8"/>
  <c r="G128" i="8"/>
  <c r="H128" i="8"/>
  <c r="K128" i="8"/>
  <c r="L128" i="8"/>
  <c r="M128" i="8"/>
  <c r="J94" i="8"/>
  <c r="AA23" i="8" l="1"/>
  <c r="U94" i="8"/>
  <c r="T94" i="8"/>
  <c r="S94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A29" i="8"/>
  <c r="O57" i="11"/>
  <c r="W57" i="11"/>
  <c r="K57" i="11"/>
  <c r="J105" i="8"/>
  <c r="N128" i="8"/>
  <c r="J128" i="8"/>
  <c r="U105" i="8" l="1"/>
  <c r="T105" i="8"/>
  <c r="S105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U128" i="8"/>
  <c r="W128" i="8"/>
  <c r="X128" i="8"/>
  <c r="V128" i="8"/>
  <c r="Y41" i="11" l="1"/>
  <c r="W41" i="11"/>
  <c r="X41" i="11"/>
  <c r="V41" i="11"/>
  <c r="P80" i="8"/>
  <c r="O80" i="8"/>
  <c r="M80" i="8"/>
  <c r="L80" i="8"/>
  <c r="V79" i="11" s="1"/>
  <c r="V88" i="11" s="1"/>
  <c r="K80" i="8"/>
  <c r="I80" i="8"/>
  <c r="J79" i="11" s="1"/>
  <c r="H80" i="8"/>
  <c r="I79" i="11" s="1"/>
  <c r="G80" i="8"/>
  <c r="H79" i="11" s="1"/>
  <c r="E80" i="8"/>
  <c r="E79" i="11" s="1"/>
  <c r="E88" i="11" s="1"/>
  <c r="D80" i="8"/>
  <c r="D79" i="11" s="1"/>
  <c r="D88" i="11" s="1"/>
  <c r="C79" i="11"/>
  <c r="C88" i="11" s="1"/>
  <c r="N36" i="8"/>
  <c r="W36" i="8" s="1"/>
  <c r="N33" i="8"/>
  <c r="W33" i="8" s="1"/>
  <c r="AD17" i="11" l="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A33" i="8"/>
  <c r="AA36" i="8"/>
  <c r="T80" i="8"/>
  <c r="U80" i="8"/>
  <c r="V80" i="8"/>
  <c r="X80" i="8"/>
  <c r="J80" i="8"/>
  <c r="S80" i="8"/>
  <c r="W80" i="8"/>
  <c r="N80" i="8"/>
  <c r="X79" i="11" s="1"/>
  <c r="X88" i="11" s="1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N105" i="8"/>
  <c r="Y105" i="8" s="1"/>
  <c r="N94" i="8"/>
  <c r="Y94" i="8" s="1"/>
  <c r="Y111" i="8" l="1"/>
  <c r="X94" i="8"/>
  <c r="W94" i="8"/>
  <c r="V94" i="8"/>
  <c r="AA105" i="8"/>
  <c r="X105" i="8"/>
  <c r="W105" i="8"/>
  <c r="V105" i="8"/>
  <c r="AA94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A114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O66" i="8"/>
  <c r="M66" i="8"/>
  <c r="O119" i="8"/>
  <c r="K119" i="8"/>
  <c r="G119" i="8"/>
  <c r="N11" i="8"/>
  <c r="J11" i="8"/>
  <c r="J36" i="8"/>
  <c r="S36" i="8" s="1"/>
  <c r="J33" i="8"/>
  <c r="S33" i="8" s="1"/>
  <c r="L49" i="8"/>
  <c r="L60" i="8" s="1"/>
  <c r="K49" i="8"/>
  <c r="K60" i="8" s="1"/>
  <c r="G49" i="8"/>
  <c r="G60" i="8" s="1"/>
  <c r="P88" i="8"/>
  <c r="O88" i="8"/>
  <c r="N88" i="8"/>
  <c r="M88" i="8"/>
  <c r="L88" i="8"/>
  <c r="K88" i="8"/>
  <c r="J88" i="8"/>
  <c r="I88" i="8"/>
  <c r="H88" i="8"/>
  <c r="G88" i="8"/>
  <c r="P87" i="8"/>
  <c r="O87" i="8"/>
  <c r="N87" i="8"/>
  <c r="M87" i="8"/>
  <c r="L87" i="8"/>
  <c r="K87" i="8"/>
  <c r="J87" i="8"/>
  <c r="I87" i="8"/>
  <c r="H87" i="8"/>
  <c r="G87" i="8"/>
  <c r="H49" i="8"/>
  <c r="H60" i="8" s="1"/>
  <c r="I49" i="8"/>
  <c r="I60" i="8" s="1"/>
  <c r="M49" i="8"/>
  <c r="M60" i="8" s="1"/>
  <c r="O49" i="8"/>
  <c r="O60" i="8" s="1"/>
  <c r="P49" i="8"/>
  <c r="P60" i="8" s="1"/>
  <c r="P41" i="8"/>
  <c r="O41" i="8"/>
  <c r="N41" i="8"/>
  <c r="M41" i="8"/>
  <c r="L41" i="8"/>
  <c r="K41" i="8"/>
  <c r="J41" i="8"/>
  <c r="I41" i="8"/>
  <c r="H41" i="8"/>
  <c r="G41" i="8"/>
  <c r="P40" i="8"/>
  <c r="O40" i="8"/>
  <c r="N40" i="8"/>
  <c r="M40" i="8"/>
  <c r="L40" i="8"/>
  <c r="K40" i="8"/>
  <c r="J40" i="8"/>
  <c r="I40" i="8"/>
  <c r="H40" i="8"/>
  <c r="G40" i="8"/>
  <c r="E41" i="8"/>
  <c r="D41" i="8"/>
  <c r="E40" i="8"/>
  <c r="D40" i="8"/>
  <c r="P11" i="8"/>
  <c r="P15" i="8" s="1"/>
  <c r="O11" i="8"/>
  <c r="O15" i="8" s="1"/>
  <c r="M11" i="8"/>
  <c r="M15" i="8" s="1"/>
  <c r="L11" i="8"/>
  <c r="L15" i="8" s="1"/>
  <c r="K11" i="8"/>
  <c r="K15" i="8" s="1"/>
  <c r="I11" i="8"/>
  <c r="H11" i="8"/>
  <c r="G11" i="8"/>
  <c r="H12" i="10" l="1"/>
  <c r="H15" i="8"/>
  <c r="H16" i="8" s="1"/>
  <c r="I12" i="10"/>
  <c r="I15" i="8"/>
  <c r="I16" i="8" s="1"/>
  <c r="G12" i="10"/>
  <c r="G15" i="8"/>
  <c r="G20" i="8" s="1"/>
  <c r="G26" i="8" s="1"/>
  <c r="N12" i="10"/>
  <c r="N15" i="8"/>
  <c r="N16" i="8" s="1"/>
  <c r="J12" i="10"/>
  <c r="J15" i="8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O20" i="8"/>
  <c r="O26" i="8" s="1"/>
  <c r="O12" i="10"/>
  <c r="P16" i="8"/>
  <c r="P12" i="10"/>
  <c r="K20" i="8"/>
  <c r="K26" i="8" s="1"/>
  <c r="K12" i="10"/>
  <c r="M20" i="8"/>
  <c r="M26" i="8" s="1"/>
  <c r="M12" i="10"/>
  <c r="L16" i="8"/>
  <c r="L12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M73" i="8"/>
  <c r="K66" i="8"/>
  <c r="P66" i="8"/>
  <c r="H66" i="8"/>
  <c r="G66" i="8"/>
  <c r="L66" i="8"/>
  <c r="E66" i="8"/>
  <c r="I66" i="8"/>
  <c r="P119" i="8"/>
  <c r="N119" i="8"/>
  <c r="H119" i="8"/>
  <c r="L119" i="8"/>
  <c r="M119" i="8"/>
  <c r="J16" i="8"/>
  <c r="N66" i="8"/>
  <c r="N49" i="8"/>
  <c r="N60" i="8" s="1"/>
  <c r="J49" i="8"/>
  <c r="J60" i="8" s="1"/>
  <c r="J66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P20" i="8"/>
  <c r="O16" i="8"/>
  <c r="O21" i="8"/>
  <c r="L20" i="8"/>
  <c r="K16" i="8"/>
  <c r="K50" i="11"/>
  <c r="O50" i="11"/>
  <c r="M16" i="8"/>
  <c r="O27" i="8"/>
  <c r="O30" i="8"/>
  <c r="O91" i="8" s="1"/>
  <c r="O111" i="8" s="1"/>
  <c r="AD50" i="11"/>
  <c r="H20" i="8"/>
  <c r="H26" i="8" s="1"/>
  <c r="M81" i="8"/>
  <c r="M83" i="8" s="1"/>
  <c r="G21" i="8"/>
  <c r="G16" i="8"/>
  <c r="I20" i="8"/>
  <c r="I26" i="8" s="1"/>
  <c r="N73" i="8"/>
  <c r="K73" i="8"/>
  <c r="I73" i="8"/>
  <c r="E73" i="8"/>
  <c r="H73" i="8"/>
  <c r="J73" i="8"/>
  <c r="P73" i="8"/>
  <c r="G73" i="8"/>
  <c r="L73" i="8"/>
  <c r="O73" i="8"/>
  <c r="I119" i="8"/>
  <c r="J119" i="8"/>
  <c r="N20" i="8"/>
  <c r="N26" i="8" s="1"/>
  <c r="J20" i="8"/>
  <c r="J26" i="8" s="1"/>
  <c r="M21" i="8"/>
  <c r="K21" i="8"/>
  <c r="L26" i="8" l="1"/>
  <c r="L27" i="8" s="1"/>
  <c r="P26" i="8"/>
  <c r="P27" i="8" s="1"/>
  <c r="P21" i="8"/>
  <c r="L21" i="8"/>
  <c r="N27" i="8"/>
  <c r="N30" i="8"/>
  <c r="N91" i="8" s="1"/>
  <c r="N111" i="8" s="1"/>
  <c r="M27" i="8"/>
  <c r="M30" i="8"/>
  <c r="M91" i="8" s="1"/>
  <c r="M111" i="8" s="1"/>
  <c r="K27" i="8"/>
  <c r="K30" i="8"/>
  <c r="K91" i="8" s="1"/>
  <c r="K111" i="8" s="1"/>
  <c r="J27" i="8"/>
  <c r="J30" i="8"/>
  <c r="J91" i="8" s="1"/>
  <c r="J111" i="8" s="1"/>
  <c r="G27" i="8"/>
  <c r="G30" i="8"/>
  <c r="G91" i="8" s="1"/>
  <c r="G111" i="8" s="1"/>
  <c r="G137" i="8" s="1"/>
  <c r="O37" i="8"/>
  <c r="O31" i="8"/>
  <c r="O34" i="8"/>
  <c r="K81" i="8"/>
  <c r="K83" i="8" s="1"/>
  <c r="H21" i="8"/>
  <c r="I21" i="8"/>
  <c r="J81" i="8"/>
  <c r="J83" i="8" s="1"/>
  <c r="N81" i="8"/>
  <c r="N83" i="8" s="1"/>
  <c r="I81" i="8"/>
  <c r="I83" i="8" s="1"/>
  <c r="H81" i="8"/>
  <c r="H83" i="8" s="1"/>
  <c r="P81" i="8"/>
  <c r="P83" i="8" s="1"/>
  <c r="O81" i="8"/>
  <c r="O83" i="8" s="1"/>
  <c r="L81" i="8"/>
  <c r="L83" i="8" s="1"/>
  <c r="G81" i="8"/>
  <c r="G83" i="8" s="1"/>
  <c r="J21" i="8"/>
  <c r="N21" i="8"/>
  <c r="P30" i="8" l="1"/>
  <c r="P91" i="8" s="1"/>
  <c r="P111" i="8" s="1"/>
  <c r="P137" i="8" s="1"/>
  <c r="X137" i="8" s="1"/>
  <c r="L30" i="8"/>
  <c r="L91" i="8" s="1"/>
  <c r="L111" i="8" s="1"/>
  <c r="L137" i="8" s="1"/>
  <c r="T137" i="8" s="1"/>
  <c r="H27" i="8"/>
  <c r="H30" i="8"/>
  <c r="H91" i="8" s="1"/>
  <c r="H111" i="8" s="1"/>
  <c r="I27" i="8"/>
  <c r="I30" i="8"/>
  <c r="I91" i="8" s="1"/>
  <c r="I111" i="8" s="1"/>
  <c r="G34" i="8"/>
  <c r="G31" i="8"/>
  <c r="G37" i="8"/>
  <c r="K34" i="8"/>
  <c r="K37" i="8"/>
  <c r="K31" i="8"/>
  <c r="M37" i="8"/>
  <c r="M31" i="8"/>
  <c r="M34" i="8"/>
  <c r="N37" i="8"/>
  <c r="N31" i="8"/>
  <c r="N34" i="8"/>
  <c r="J31" i="8"/>
  <c r="J34" i="8"/>
  <c r="J37" i="8"/>
  <c r="O137" i="8"/>
  <c r="W137" i="8" s="1"/>
  <c r="K137" i="8"/>
  <c r="S137" i="8" s="1"/>
  <c r="M137" i="8"/>
  <c r="U137" i="8" s="1"/>
  <c r="P34" i="8" l="1"/>
  <c r="P31" i="8"/>
  <c r="P37" i="8"/>
  <c r="L31" i="8"/>
  <c r="L34" i="8"/>
  <c r="L37" i="8"/>
  <c r="I37" i="8"/>
  <c r="I31" i="8"/>
  <c r="I34" i="8"/>
  <c r="H37" i="8"/>
  <c r="H31" i="8"/>
  <c r="H34" i="8"/>
  <c r="H137" i="8" l="1"/>
  <c r="I137" i="8"/>
  <c r="B88" i="8" l="1"/>
  <c r="B87" i="8"/>
  <c r="E88" i="8"/>
  <c r="D88" i="8"/>
  <c r="E87" i="8"/>
  <c r="D87" i="8"/>
  <c r="B41" i="8"/>
  <c r="B40" i="8"/>
  <c r="X41" i="8"/>
  <c r="W41" i="8"/>
  <c r="U41" i="8"/>
  <c r="T41" i="8"/>
  <c r="S41" i="8"/>
  <c r="V41" i="8"/>
  <c r="X40" i="8"/>
  <c r="W40" i="8"/>
  <c r="V40" i="8"/>
  <c r="U40" i="8"/>
  <c r="T40" i="8"/>
  <c r="S40" i="8"/>
  <c r="S87" i="8" l="1"/>
  <c r="S88" i="8"/>
  <c r="V87" i="8"/>
  <c r="W87" i="8"/>
  <c r="W88" i="8"/>
  <c r="X88" i="8"/>
  <c r="U87" i="8"/>
  <c r="X87" i="8"/>
  <c r="U88" i="8"/>
  <c r="T88" i="8"/>
  <c r="V88" i="8"/>
  <c r="T87" i="8"/>
  <c r="T11" i="8" l="1"/>
  <c r="D49" i="8"/>
  <c r="D60" i="8" s="1"/>
  <c r="E49" i="8"/>
  <c r="E60" i="8" s="1"/>
  <c r="T12" i="10" l="1"/>
  <c r="T15" i="8"/>
  <c r="T20" i="8" s="1"/>
  <c r="T26" i="8" s="1"/>
  <c r="U11" i="8"/>
  <c r="U49" i="8"/>
  <c r="U60" i="8" s="1"/>
  <c r="S49" i="8"/>
  <c r="S60" i="8" s="1"/>
  <c r="U66" i="8"/>
  <c r="U73" i="8" s="1"/>
  <c r="T66" i="8"/>
  <c r="T73" i="8" s="1"/>
  <c r="T49" i="8"/>
  <c r="T60" i="8" s="1"/>
  <c r="S11" i="8"/>
  <c r="S66" i="8"/>
  <c r="S73" i="8" s="1"/>
  <c r="W49" i="8"/>
  <c r="W60" i="8" s="1"/>
  <c r="W11" i="8"/>
  <c r="W66" i="8"/>
  <c r="W73" i="8" s="1"/>
  <c r="X66" i="8"/>
  <c r="X73" i="8" s="1"/>
  <c r="V11" i="8"/>
  <c r="X11" i="8"/>
  <c r="X49" i="8"/>
  <c r="X60" i="8" s="1"/>
  <c r="W12" i="10" l="1"/>
  <c r="W15" i="8"/>
  <c r="W20" i="8" s="1"/>
  <c r="W26" i="8" s="1"/>
  <c r="X12" i="10"/>
  <c r="X15" i="8"/>
  <c r="X20" i="8" s="1"/>
  <c r="X26" i="8" s="1"/>
  <c r="U12" i="10"/>
  <c r="U15" i="8"/>
  <c r="U20" i="8" s="1"/>
  <c r="U26" i="8" s="1"/>
  <c r="S12" i="10"/>
  <c r="S15" i="8"/>
  <c r="S20" i="8" s="1"/>
  <c r="S26" i="8" s="1"/>
  <c r="V12" i="10"/>
  <c r="V15" i="8"/>
  <c r="V20" i="8" s="1"/>
  <c r="V26" i="8" s="1"/>
  <c r="T21" i="8"/>
  <c r="AA10" i="8"/>
  <c r="U81" i="8"/>
  <c r="U83" i="8" s="1"/>
  <c r="S81" i="8"/>
  <c r="S83" i="8" s="1"/>
  <c r="AA18" i="8"/>
  <c r="T81" i="8"/>
  <c r="T83" i="8" s="1"/>
  <c r="T16" i="8"/>
  <c r="AA13" i="8"/>
  <c r="W81" i="8"/>
  <c r="W83" i="8" s="1"/>
  <c r="X81" i="8"/>
  <c r="X83" i="8" s="1"/>
  <c r="T27" i="8" l="1"/>
  <c r="T30" i="8"/>
  <c r="T91" i="8" s="1"/>
  <c r="S21" i="8"/>
  <c r="U21" i="8"/>
  <c r="W21" i="8"/>
  <c r="V21" i="8"/>
  <c r="X21" i="8"/>
  <c r="W16" i="8"/>
  <c r="V16" i="8"/>
  <c r="S16" i="8"/>
  <c r="X16" i="8"/>
  <c r="U16" i="8"/>
  <c r="W27" i="8" l="1"/>
  <c r="W30" i="8"/>
  <c r="W91" i="8" s="1"/>
  <c r="X27" i="8"/>
  <c r="X30" i="8"/>
  <c r="X91" i="8" s="1"/>
  <c r="S27" i="8"/>
  <c r="S30" i="8"/>
  <c r="U27" i="8"/>
  <c r="U30" i="8"/>
  <c r="U91" i="8" s="1"/>
  <c r="V27" i="8"/>
  <c r="V30" i="8"/>
  <c r="V91" i="8" s="1"/>
  <c r="T31" i="8"/>
  <c r="T34" i="8"/>
  <c r="T37" i="8"/>
  <c r="S31" i="8" l="1"/>
  <c r="S91" i="8"/>
  <c r="S37" i="8"/>
  <c r="S34" i="8"/>
  <c r="W34" i="8"/>
  <c r="W31" i="8"/>
  <c r="W37" i="8"/>
  <c r="U31" i="8"/>
  <c r="U34" i="8"/>
  <c r="U37" i="8"/>
  <c r="X31" i="8"/>
  <c r="X34" i="8"/>
  <c r="X37" i="8"/>
  <c r="V37" i="8"/>
  <c r="V31" i="8"/>
  <c r="V34" i="8"/>
  <c r="V66" i="8" l="1"/>
  <c r="V73" i="8" s="1"/>
  <c r="U119" i="8" l="1"/>
  <c r="S119" i="8"/>
  <c r="T119" i="8"/>
  <c r="V119" i="8"/>
  <c r="X119" i="8"/>
  <c r="W119" i="8"/>
  <c r="E11" i="8" l="1"/>
  <c r="D11" i="8"/>
  <c r="C12" i="10"/>
  <c r="E119" i="8"/>
  <c r="D119" i="8"/>
  <c r="D66" i="8"/>
  <c r="Y12" i="10"/>
  <c r="D12" i="10" l="1"/>
  <c r="D15" i="8"/>
  <c r="D20" i="8" s="1"/>
  <c r="D26" i="8" s="1"/>
  <c r="E12" i="10"/>
  <c r="E15" i="8"/>
  <c r="E20" i="8" s="1"/>
  <c r="E26" i="8" s="1"/>
  <c r="D73" i="8"/>
  <c r="AA11" i="8"/>
  <c r="V81" i="8"/>
  <c r="AA80" i="8"/>
  <c r="D21" i="8" l="1"/>
  <c r="E21" i="8"/>
  <c r="V49" i="8"/>
  <c r="V60" i="8" s="1"/>
  <c r="D81" i="8"/>
  <c r="D83" i="8" s="1"/>
  <c r="E81" i="8"/>
  <c r="E83" i="8" s="1"/>
  <c r="AA73" i="8"/>
  <c r="AA66" i="8"/>
  <c r="D16" i="8"/>
  <c r="E16" i="8"/>
  <c r="D27" i="8" l="1"/>
  <c r="D30" i="8"/>
  <c r="D91" i="8" s="1"/>
  <c r="D111" i="8" s="1"/>
  <c r="D137" i="8" s="1"/>
  <c r="E27" i="8"/>
  <c r="E30" i="8"/>
  <c r="E91" i="8" s="1"/>
  <c r="E111" i="8" s="1"/>
  <c r="E137" i="8" s="1"/>
  <c r="AA27" i="8"/>
  <c r="AA26" i="8"/>
  <c r="J137" i="8"/>
  <c r="V83" i="8"/>
  <c r="AA20" i="8"/>
  <c r="AA21" i="8"/>
  <c r="AA128" i="8"/>
  <c r="AA81" i="8"/>
  <c r="AA60" i="8"/>
  <c r="AA49" i="8"/>
  <c r="AA15" i="8"/>
  <c r="AA119" i="8"/>
  <c r="AA16" i="8"/>
  <c r="D31" i="8" l="1"/>
  <c r="E34" i="8"/>
  <c r="E37" i="8"/>
  <c r="D37" i="8"/>
  <c r="D34" i="8"/>
  <c r="E31" i="8"/>
  <c r="N137" i="8"/>
  <c r="V137" i="8" s="1"/>
  <c r="AA30" i="8" l="1"/>
  <c r="AA31" i="8"/>
  <c r="U111" i="8"/>
  <c r="V111" i="8"/>
  <c r="S111" i="8" l="1"/>
  <c r="T111" i="8"/>
  <c r="AA34" i="8" l="1"/>
  <c r="AA37" i="8"/>
  <c r="D131" i="8" l="1"/>
  <c r="G131" i="8" s="1"/>
  <c r="D133" i="8" l="1"/>
  <c r="D138" i="8" s="1"/>
  <c r="D140" i="8" s="1"/>
  <c r="E131" i="8" l="1"/>
  <c r="E133" i="8" s="1"/>
  <c r="E138" i="8" s="1"/>
  <c r="G133" i="8"/>
  <c r="G138" i="8" l="1"/>
  <c r="G140" i="8" s="1"/>
  <c r="E140" i="8"/>
  <c r="H131" i="8" l="1"/>
  <c r="H133" i="8" s="1"/>
  <c r="H138" i="8" s="1"/>
  <c r="H140" i="8" s="1"/>
  <c r="I131" i="8" l="1"/>
  <c r="I133" i="8" s="1"/>
  <c r="I138" i="8" l="1"/>
  <c r="J131" i="8" l="1"/>
  <c r="I140" i="8"/>
  <c r="J133" i="8" l="1"/>
  <c r="J138" i="8" s="1"/>
  <c r="K131" i="8" l="1"/>
  <c r="K133" i="8" s="1"/>
  <c r="J140" i="8"/>
  <c r="K138" i="8" l="1"/>
  <c r="L131" i="8" l="1"/>
  <c r="L133" i="8" s="1"/>
  <c r="K140" i="8"/>
  <c r="L138" i="8" l="1"/>
  <c r="M131" i="8" l="1"/>
  <c r="M133" i="8" s="1"/>
  <c r="L140" i="8"/>
  <c r="M138" i="8" l="1"/>
  <c r="N131" i="8" l="1"/>
  <c r="N133" i="8" s="1"/>
  <c r="M140" i="8"/>
  <c r="N138" i="8" l="1"/>
  <c r="O131" i="8" s="1"/>
  <c r="O133" i="8" s="1"/>
  <c r="O138" i="8" l="1"/>
  <c r="P131" i="8" s="1"/>
  <c r="P133" i="8" s="1"/>
  <c r="N140" i="8"/>
  <c r="P138" i="8" l="1"/>
  <c r="Q131" i="8" s="1"/>
  <c r="Q133" i="8" s="1"/>
  <c r="Q138" i="8" s="1"/>
  <c r="Q140" i="8" s="1"/>
  <c r="O140" i="8"/>
  <c r="P140" i="8" l="1"/>
  <c r="W111" i="8" l="1"/>
  <c r="X111" i="8"/>
  <c r="AA91" i="8" l="1"/>
  <c r="AA111" i="8" l="1"/>
  <c r="S133" i="8" l="1"/>
  <c r="S138" i="8" s="1"/>
  <c r="T131" i="8" l="1"/>
  <c r="T133" i="8" s="1"/>
  <c r="T138" i="8" s="1"/>
  <c r="S140" i="8" l="1"/>
  <c r="U131" i="8"/>
  <c r="U133" i="8" s="1"/>
  <c r="U138" i="8" s="1"/>
  <c r="T140" i="8" l="1"/>
  <c r="V131" i="8"/>
  <c r="V133" i="8" s="1"/>
  <c r="U140" i="8"/>
  <c r="V138" i="8" l="1"/>
  <c r="W131" i="8" s="1"/>
  <c r="W133" i="8" s="1"/>
  <c r="W138" i="8" s="1"/>
  <c r="X131" i="8" l="1"/>
  <c r="X133" i="8" s="1"/>
  <c r="W140" i="8"/>
  <c r="V140" i="8"/>
  <c r="X138" i="8" l="1"/>
  <c r="Y131" i="8" s="1"/>
  <c r="Y133" i="8" s="1"/>
  <c r="Y138" i="8" s="1"/>
  <c r="Y140" i="8" s="1"/>
  <c r="X140" i="8" l="1"/>
  <c r="C21" i="10" l="1"/>
  <c r="C2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<sst xmlns="http://schemas.openxmlformats.org/spreadsheetml/2006/main" count="284" uniqueCount="164">
  <si>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</si>
  <si>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</si>
  <si>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</si>
  <si>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</si>
  <si>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</si>
  <si>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</si>
  <si>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</si>
  <si>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</si>
  <si>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</si>
  <si>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</si>
  <si>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</si>
  <si>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</si>
  <si>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</si>
  <si>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</si>
  <si>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</si>
  <si>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</si>
  <si>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</si>
  <si>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</si>
  <si>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</si>
  <si>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</si>
  <si>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</si>
  <si>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</si>
  <si>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</si>
  <si>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</si>
  <si>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</si>
  <si>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</si>
  <si>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</si>
  <si>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</si>
  <si>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</si>
  <si>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</si>
  <si>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</si>
  <si>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</si>
  <si>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</si>
  <si>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</si>
  <si>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</si>
  <si>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</si>
  <si>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</si>
  <si>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</si>
  <si>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</si>
  <si>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</si>
  <si>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</si>
  <si>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</si>
  <si>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</si>
  <si>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</si>
  <si>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</si>
  <si>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</si>
  <si>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</si>
  <si>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</si>
  <si>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</si>
  <si>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</si>
  <si>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</si>
  <si>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</si>
  <si>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</si>
  <si>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</si>
  <si>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</si>
  <si>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</si>
  <si>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</si>
  <si>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</si>
  <si>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</si>
  <si>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</si>
  <si>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</si>
  <si>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</si>
  <si>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</si>
  <si>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</si>
  <si>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</si>
  <si>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</si>
  <si>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</si>
  <si>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</si>
  <si>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</si>
  <si>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</si>
  <si>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</si>
  <si>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</si>
  <si>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</si>
  <si>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</si>
  <si>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</si>
  <si>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</si>
  <si>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</si>
  <si>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</si>
  <si>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</si>
  <si>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</si>
  <si>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</si>
  <si>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</si>
  <si>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</si>
  <si>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</si>
  <si>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</si>
  <si>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</si>
  <si>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</si>
  <si>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</si>
  <si>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Receivables</t>
  </si>
  <si>
    <t>Additions to property and equipment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</si>
  <si>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</si>
  <si>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</si>
  <si>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</si>
  <si>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</si>
  <si>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</si>
  <si>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</si>
  <si>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</si>
  <si>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</si>
  <si>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</si>
  <si>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</si>
  <si>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</si>
  <si>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</si>
  <si>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</si>
  <si>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</si>
  <si>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</si>
  <si>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</si>
  <si>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</si>
  <si>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</si>
  <si>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</si>
  <si>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</si>
  <si>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Proceeds from Equity Issuances / (Repurchases)</t>
  </si>
  <si>
    <t>3Q25</t>
  </si>
  <si>
    <t>XXX</t>
  </si>
  <si>
    <t>Earnings before Taxes</t>
  </si>
  <si>
    <t>(+/-) XXX</t>
  </si>
  <si>
    <t>(+) XXX</t>
  </si>
  <si>
    <t>(-) XXX</t>
  </si>
  <si>
    <t>(-) Mandatory Outflows</t>
  </si>
  <si>
    <t>Other Income</t>
  </si>
  <si>
    <t>Inventories</t>
  </si>
  <si>
    <t>Goodwill</t>
  </si>
  <si>
    <t>Intangibles</t>
  </si>
  <si>
    <t>Other LT Assets</t>
  </si>
  <si>
    <t xml:space="preserve">Selling, General, and Administrative </t>
  </si>
  <si>
    <t>A/P</t>
  </si>
  <si>
    <t>Other ST Liabilities</t>
  </si>
  <si>
    <t>Other LT Liabilities</t>
  </si>
  <si>
    <t xml:space="preserve">Cash &amp; CEs </t>
  </si>
  <si>
    <t>A/R</t>
  </si>
  <si>
    <t>PP&amp;E</t>
  </si>
  <si>
    <t>GE Vernova Inc (NYSE: GEV)</t>
  </si>
  <si>
    <t>Equipment</t>
  </si>
  <si>
    <t>Sales</t>
  </si>
  <si>
    <t xml:space="preserve">Power </t>
  </si>
  <si>
    <t xml:space="preserve">Wind </t>
  </si>
  <si>
    <t xml:space="preserve">Electrification </t>
  </si>
  <si>
    <t>Revenue: Power</t>
  </si>
  <si>
    <t>Revenue: Wind</t>
  </si>
  <si>
    <t>Revenue: Electrification</t>
  </si>
  <si>
    <t xml:space="preserve">Gas Power </t>
  </si>
  <si>
    <t xml:space="preserve">Nuclear Power </t>
  </si>
  <si>
    <t xml:space="preserve">Hydro Power </t>
  </si>
  <si>
    <t xml:space="preserve">Steam Power </t>
  </si>
  <si>
    <t>Revenue: End Channels</t>
  </si>
  <si>
    <t>Onshore Wind</t>
  </si>
  <si>
    <t>Offshore Wind</t>
  </si>
  <si>
    <t>LM Wind</t>
  </si>
  <si>
    <t>Grid Solutions</t>
  </si>
  <si>
    <t>Power Conversion &amp; Storage</t>
  </si>
  <si>
    <t>Electrification Software</t>
  </si>
  <si>
    <t>Cost of Equipment</t>
  </si>
  <si>
    <t>Cost of Services</t>
  </si>
  <si>
    <t xml:space="preserve"> Research and Development</t>
  </si>
  <si>
    <t>Non-Operating Income</t>
  </si>
  <si>
    <t>Interest Income (Expense)</t>
  </si>
  <si>
    <t>Current Contract Assets</t>
  </si>
  <si>
    <t>Other Current Assets</t>
  </si>
  <si>
    <t>Assets Held For Sale</t>
  </si>
  <si>
    <t>LT Contract Assets</t>
  </si>
  <si>
    <t xml:space="preserve">LT Investments </t>
  </si>
  <si>
    <t>Deferred Income Taxes</t>
  </si>
  <si>
    <t>Contract Liabilities</t>
  </si>
  <si>
    <t>Liabilities Held For Sale</t>
  </si>
  <si>
    <t>LT Employee Comp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</si>
</sst>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A157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7" width="8" style="5" customWidth="1"/>
    <col min="18" max="18" width="1.5" style="5" customWidth="1"/>
    <col min="19" max="19" width="8.625" style="5" customWidth="1" outlineLevel="1"/>
    <col min="20" max="20" width="8.25" style="5" customWidth="1" outlineLevel="1"/>
    <col min="21" max="21" width="8.25" style="5" bestFit="1" customWidth="1"/>
    <col min="22" max="22" width="8.25" style="5" customWidth="1" outlineLevel="1"/>
    <col min="23" max="23" width="8.625" style="5" customWidth="1" outlineLevel="1"/>
    <col min="24" max="24" width="8.25" style="5" customWidth="1" outlineLevel="1"/>
    <col min="25" max="25" width="8.625" style="5" bestFit="1" customWidth="1"/>
    <col min="26" max="26" width="1.25" style="5" customWidth="1"/>
    <col min="27" max="27" width="10.5" style="5" bestFit="1" customWidth="1"/>
    <col min="28" max="28" width="1.375" style="5" customWidth="1"/>
    <col min="29" max="16384" width="9" style="5"/>
  </cols>
  <sheetData>
    <row r="2" spans="1:27" ht="12.75" customHeight="1">
      <c r="B2" s="1" t="s">
        <v>130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3"/>
      <c r="S2" s="86"/>
      <c r="T2" s="86"/>
      <c r="U2" s="86"/>
      <c r="V2" s="86"/>
      <c r="W2" s="86"/>
      <c r="X2" s="86"/>
      <c r="Y2" s="86"/>
      <c r="Z2" s="3"/>
      <c r="AA2" s="1"/>
    </row>
    <row r="3" spans="1:27" ht="12.75" customHeight="1">
      <c r="B3" s="6" t="s">
        <v>78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3"/>
      <c r="AA3" s="1"/>
    </row>
    <row r="4" spans="1:27" ht="12.75" customHeight="1">
      <c r="B4" s="6" t="s">
        <v>98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</row>
    <row r="6" spans="1:27" ht="12.75" customHeight="1">
      <c r="A6" s="5" t="s">
        <v>17</v>
      </c>
      <c r="B6" s="1" t="s">
        <v>76</v>
      </c>
      <c r="C6" s="2"/>
      <c r="D6" s="2" t="s">
        <v>0</v>
      </c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 t="s">
        <v>10</v>
      </c>
      <c r="V6" s="2"/>
      <c r="W6" s="2"/>
      <c r="X6" s="2"/>
      <c r="Y6" s="2"/>
      <c r="Z6" s="35"/>
      <c r="AA6" s="151" t="s">
        <v>23</v>
      </c>
    </row>
    <row r="7" spans="1:27" ht="12.75" customHeight="1">
      <c r="B7" s="6" t="s">
        <v>79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25</v>
      </c>
      <c r="P7" s="4" t="s">
        <v>26</v>
      </c>
      <c r="Q7" s="4" t="s">
        <v>111</v>
      </c>
      <c r="R7" s="4"/>
      <c r="S7" s="4" t="str">
        <f t="shared" ref="S7:X8" si="0">K7</f>
        <v>1Q24</v>
      </c>
      <c r="T7" s="4" t="str">
        <f t="shared" si="0"/>
        <v>2Q24</v>
      </c>
      <c r="U7" s="4" t="str">
        <f t="shared" si="0"/>
        <v>3Q24</v>
      </c>
      <c r="V7" s="4" t="str">
        <f t="shared" si="0"/>
        <v>4Q24</v>
      </c>
      <c r="W7" s="4" t="str">
        <f t="shared" si="0"/>
        <v>1Q25</v>
      </c>
      <c r="X7" s="4" t="str">
        <f t="shared" si="0"/>
        <v>2Q25</v>
      </c>
      <c r="Y7" s="4" t="str">
        <f>Q7</f>
        <v>3Q25</v>
      </c>
      <c r="Z7" s="35"/>
      <c r="AA7" s="151"/>
    </row>
    <row r="8" spans="1:27" ht="12.75" customHeight="1">
      <c r="B8" s="6" t="s">
        <v>80</v>
      </c>
      <c r="C8" s="3" t="s">
        <v>112</v>
      </c>
      <c r="D8" s="3" t="s">
        <v>112</v>
      </c>
      <c r="E8" s="3" t="s">
        <v>112</v>
      </c>
      <c r="F8" s="3"/>
      <c r="G8" s="3" t="s">
        <v>112</v>
      </c>
      <c r="H8" s="3" t="s">
        <v>112</v>
      </c>
      <c r="I8" s="3" t="s">
        <v>112</v>
      </c>
      <c r="J8" s="3" t="str">
        <f>D8</f>
        <v>XXX</v>
      </c>
      <c r="K8" s="3" t="s">
        <v>112</v>
      </c>
      <c r="L8" s="3" t="s">
        <v>112</v>
      </c>
      <c r="M8" s="3" t="s">
        <v>112</v>
      </c>
      <c r="N8" s="3" t="str">
        <f>E8</f>
        <v>XXX</v>
      </c>
      <c r="O8" s="3" t="s">
        <v>112</v>
      </c>
      <c r="P8" s="3" t="s">
        <v>112</v>
      </c>
      <c r="Q8" s="3" t="s">
        <v>112</v>
      </c>
      <c r="R8" s="3"/>
      <c r="S8" s="3" t="str">
        <f t="shared" si="0"/>
        <v>XXX</v>
      </c>
      <c r="T8" s="3" t="str">
        <f t="shared" si="0"/>
        <v>XXX</v>
      </c>
      <c r="U8" s="3" t="str">
        <f t="shared" si="0"/>
        <v>XXX</v>
      </c>
      <c r="V8" s="3" t="str">
        <f t="shared" si="0"/>
        <v>XXX</v>
      </c>
      <c r="W8" s="3" t="str">
        <f t="shared" si="0"/>
        <v>XXX</v>
      </c>
      <c r="X8" s="3" t="str">
        <f t="shared" si="0"/>
        <v>XXX</v>
      </c>
      <c r="Y8" s="3" t="str">
        <f>Q8</f>
        <v>XXX</v>
      </c>
      <c r="Z8" s="35"/>
      <c r="AA8" s="151"/>
    </row>
    <row r="9" spans="1:27" ht="5.0999999999999996" customHeight="1">
      <c r="AA9" s="85"/>
    </row>
    <row r="10" spans="1:27" ht="12.75" customHeight="1">
      <c r="B10" s="9" t="s">
        <v>60</v>
      </c>
      <c r="C10" s="81">
        <v>29654</v>
      </c>
      <c r="D10" s="81">
        <v>33239</v>
      </c>
      <c r="E10" s="81">
        <v>34935</v>
      </c>
      <c r="F10" s="11"/>
      <c r="G10" s="76">
        <v>6822</v>
      </c>
      <c r="H10" s="76">
        <v>8119</v>
      </c>
      <c r="I10" s="76">
        <v>8252</v>
      </c>
      <c r="J10" s="30">
        <f t="shared" ref="J10" si="1">SUM(D10-SUM(G10:I10))</f>
        <v>10046</v>
      </c>
      <c r="K10" s="76">
        <v>7259</v>
      </c>
      <c r="L10" s="76">
        <v>8204</v>
      </c>
      <c r="M10" s="76">
        <v>8913</v>
      </c>
      <c r="N10" s="30">
        <f t="shared" ref="N10" si="2">SUM(E10-SUM(K10:M10))</f>
        <v>10559</v>
      </c>
      <c r="O10" s="76">
        <v>8032</v>
      </c>
      <c r="P10" s="76">
        <v>9111</v>
      </c>
      <c r="Q10" s="76">
        <v>9969</v>
      </c>
      <c r="R10" s="30"/>
      <c r="S10" s="30">
        <f t="shared" ref="S10:X10" si="3">SUM(G10:J10)</f>
        <v>33239</v>
      </c>
      <c r="T10" s="30">
        <f t="shared" si="3"/>
        <v>33676</v>
      </c>
      <c r="U10" s="30">
        <f t="shared" si="3"/>
        <v>33761</v>
      </c>
      <c r="V10" s="30">
        <f t="shared" si="3"/>
        <v>34422</v>
      </c>
      <c r="W10" s="30">
        <f t="shared" si="3"/>
        <v>34935</v>
      </c>
      <c r="X10" s="30">
        <f t="shared" si="3"/>
        <v>35708</v>
      </c>
      <c r="Y10" s="30">
        <f>SUM(M10:P10)</f>
        <v>36615</v>
      </c>
      <c r="Z10" s="37"/>
      <c r="AA10" s="68">
        <f>SUM(Y10/U10)-1</f>
        <v>8.4535410680963263E-2</v>
      </c>
    </row>
    <row r="11" spans="1:27" ht="12.75" customHeight="1">
      <c r="B11" s="12" t="s">
        <v>12</v>
      </c>
      <c r="C11" s="13">
        <f t="shared" ref="C11:E11" si="4">+SUM(C10:C10)</f>
        <v>29654</v>
      </c>
      <c r="D11" s="13">
        <f t="shared" si="4"/>
        <v>33239</v>
      </c>
      <c r="E11" s="13">
        <f t="shared" si="4"/>
        <v>34935</v>
      </c>
      <c r="F11" s="11"/>
      <c r="G11" s="13">
        <f t="shared" ref="G11:P11" si="5">+SUM(G10:G10)</f>
        <v>6822</v>
      </c>
      <c r="H11" s="13">
        <f t="shared" si="5"/>
        <v>8119</v>
      </c>
      <c r="I11" s="13">
        <f t="shared" si="5"/>
        <v>8252</v>
      </c>
      <c r="J11" s="13">
        <f t="shared" si="5"/>
        <v>10046</v>
      </c>
      <c r="K11" s="13">
        <f t="shared" si="5"/>
        <v>7259</v>
      </c>
      <c r="L11" s="13">
        <f t="shared" si="5"/>
        <v>8204</v>
      </c>
      <c r="M11" s="13">
        <f t="shared" si="5"/>
        <v>8913</v>
      </c>
      <c r="N11" s="13">
        <f t="shared" si="5"/>
        <v>10559</v>
      </c>
      <c r="O11" s="13">
        <f t="shared" si="5"/>
        <v>8032</v>
      </c>
      <c r="P11" s="13">
        <f t="shared" si="5"/>
        <v>9111</v>
      </c>
      <c r="Q11" s="13">
        <f t="shared" ref="Q11" si="6">+SUM(Q10:Q10)</f>
        <v>9969</v>
      </c>
      <c r="S11" s="13">
        <f t="shared" ref="S11:Y11" si="7">+SUM(S10:S10)</f>
        <v>33239</v>
      </c>
      <c r="T11" s="13">
        <f t="shared" si="7"/>
        <v>33676</v>
      </c>
      <c r="U11" s="13">
        <f t="shared" si="7"/>
        <v>33761</v>
      </c>
      <c r="V11" s="13">
        <f t="shared" si="7"/>
        <v>34422</v>
      </c>
      <c r="W11" s="13">
        <f t="shared" si="7"/>
        <v>34935</v>
      </c>
      <c r="X11" s="13">
        <f t="shared" si="7"/>
        <v>35708</v>
      </c>
      <c r="Y11" s="13">
        <f t="shared" si="7"/>
        <v>36615</v>
      </c>
      <c r="Z11" s="37"/>
      <c r="AA11" s="69">
        <f>SUM(Y11/U11)-1</f>
        <v>8.4535410680963263E-2</v>
      </c>
    </row>
    <row r="12" spans="1:27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A12" s="68"/>
    </row>
    <row r="13" spans="1:27" ht="12.75" customHeight="1">
      <c r="B13" s="9" t="s">
        <v>150</v>
      </c>
      <c r="C13" s="76">
        <v>-16972</v>
      </c>
      <c r="D13" s="76">
        <v>-18705</v>
      </c>
      <c r="E13" s="76">
        <v>-17989</v>
      </c>
      <c r="F13" s="22"/>
      <c r="G13" s="76">
        <v>-3575</v>
      </c>
      <c r="H13" s="76">
        <v>-4621</v>
      </c>
      <c r="I13" s="76">
        <v>-5005</v>
      </c>
      <c r="J13" s="30">
        <f t="shared" ref="J13:J14" si="8">SUM(D13-SUM(G13:I13))</f>
        <v>-5504</v>
      </c>
      <c r="K13" s="76">
        <v>-3693</v>
      </c>
      <c r="L13" s="76">
        <v>-3853</v>
      </c>
      <c r="M13" s="76">
        <v>-5076</v>
      </c>
      <c r="N13" s="30">
        <f t="shared" ref="N13:N14" si="9">SUM(E13-SUM(K13:M13))</f>
        <v>-5367</v>
      </c>
      <c r="O13" s="76">
        <v>-3915</v>
      </c>
      <c r="P13" s="76">
        <v>-4265</v>
      </c>
      <c r="Q13" s="76">
        <v>-5165</v>
      </c>
      <c r="S13" s="30">
        <f t="shared" ref="S13" si="10">SUM(G13:J13)</f>
        <v>-18705</v>
      </c>
      <c r="T13" s="30">
        <f t="shared" ref="T13" si="11">SUM(H13:K13)</f>
        <v>-18823</v>
      </c>
      <c r="U13" s="30">
        <f t="shared" ref="U13" si="12">SUM(I13:L13)</f>
        <v>-18055</v>
      </c>
      <c r="V13" s="30">
        <f t="shared" ref="V13" si="13">SUM(J13:M13)</f>
        <v>-18126</v>
      </c>
      <c r="W13" s="30">
        <f t="shared" ref="W13" si="14">SUM(K13:N13)</f>
        <v>-17989</v>
      </c>
      <c r="X13" s="30">
        <f t="shared" ref="X13" si="15">SUM(L13:O13)</f>
        <v>-18211</v>
      </c>
      <c r="Y13" s="30">
        <f>SUM(M13:P13)</f>
        <v>-18623</v>
      </c>
      <c r="Z13" s="11"/>
      <c r="AA13" s="68">
        <f>SUM(Y13/U13)-1</f>
        <v>3.14594295209083E-2</v>
      </c>
    </row>
    <row r="14" spans="1:27" ht="12.75" customHeight="1">
      <c r="B14" s="9" t="s">
        <v>151</v>
      </c>
      <c r="C14" s="76">
        <v>-9224</v>
      </c>
      <c r="D14" s="76">
        <v>-9716</v>
      </c>
      <c r="E14" s="76">
        <v>-10861</v>
      </c>
      <c r="F14" s="22"/>
      <c r="G14" s="76">
        <v>-2328</v>
      </c>
      <c r="H14" s="76">
        <v>-2351</v>
      </c>
      <c r="I14" s="76">
        <v>-2196</v>
      </c>
      <c r="J14" s="30">
        <f t="shared" si="8"/>
        <v>-2841</v>
      </c>
      <c r="K14" s="76">
        <v>-2416</v>
      </c>
      <c r="L14" s="76">
        <v>-2649</v>
      </c>
      <c r="M14" s="76">
        <v>-2728</v>
      </c>
      <c r="N14" s="30">
        <f t="shared" si="9"/>
        <v>-3068</v>
      </c>
      <c r="O14" s="76">
        <v>-2647</v>
      </c>
      <c r="P14" s="76">
        <v>-3000</v>
      </c>
      <c r="Q14" s="76">
        <v>-2906</v>
      </c>
      <c r="S14" s="30">
        <f t="shared" ref="S14" si="16">SUM(G14:J14)</f>
        <v>-9716</v>
      </c>
      <c r="T14" s="30">
        <f t="shared" ref="T14" si="17">SUM(H14:K14)</f>
        <v>-9804</v>
      </c>
      <c r="U14" s="30">
        <f t="shared" ref="U14" si="18">SUM(I14:L14)</f>
        <v>-10102</v>
      </c>
      <c r="V14" s="30">
        <f t="shared" ref="V14" si="19">SUM(J14:M14)</f>
        <v>-10634</v>
      </c>
      <c r="W14" s="30">
        <f t="shared" ref="W14" si="20">SUM(K14:N14)</f>
        <v>-10861</v>
      </c>
      <c r="X14" s="30">
        <f t="shared" ref="X14" si="21">SUM(L14:O14)</f>
        <v>-11092</v>
      </c>
      <c r="Y14" s="30">
        <f>SUM(M14:P14)</f>
        <v>-11443</v>
      </c>
      <c r="Z14" s="11"/>
      <c r="AA14" s="68">
        <f>SUM(Y14/U14)-1</f>
        <v>0.13274599089289252</v>
      </c>
    </row>
    <row r="15" spans="1:27" ht="12.75" customHeight="1">
      <c r="B15" s="23" t="s">
        <v>21</v>
      </c>
      <c r="C15" s="24">
        <f>+SUM(C11+SUM(C13:C14))</f>
        <v>3458</v>
      </c>
      <c r="D15" s="24">
        <f t="shared" ref="D15:E15" si="22">+SUM(D11+SUM(D13:D14))</f>
        <v>4818</v>
      </c>
      <c r="E15" s="24">
        <f t="shared" si="22"/>
        <v>6085</v>
      </c>
      <c r="G15" s="24">
        <f t="shared" ref="G15" si="23">+SUM(G11+SUM(G13:G14))</f>
        <v>919</v>
      </c>
      <c r="H15" s="24">
        <f t="shared" ref="H15" si="24">+SUM(H11+SUM(H13:H14))</f>
        <v>1147</v>
      </c>
      <c r="I15" s="24">
        <f t="shared" ref="I15" si="25">+SUM(I11+SUM(I13:I14))</f>
        <v>1051</v>
      </c>
      <c r="J15" s="24">
        <f t="shared" ref="J15" si="26">+SUM(J11+SUM(J13:J14))</f>
        <v>1701</v>
      </c>
      <c r="K15" s="24">
        <f t="shared" ref="K15" si="27">+SUM(K11+SUM(K13:K14))</f>
        <v>1150</v>
      </c>
      <c r="L15" s="24">
        <f t="shared" ref="L15" si="28">+SUM(L11+SUM(L13:L14))</f>
        <v>1702</v>
      </c>
      <c r="M15" s="24">
        <f t="shared" ref="M15" si="29">+SUM(M11+SUM(M13:M14))</f>
        <v>1109</v>
      </c>
      <c r="N15" s="24">
        <f t="shared" ref="N15" si="30">+SUM(N11+SUM(N13:N14))</f>
        <v>2124</v>
      </c>
      <c r="O15" s="24">
        <f t="shared" ref="O15" si="31">+SUM(O11+SUM(O13:O14))</f>
        <v>1470</v>
      </c>
      <c r="P15" s="24">
        <f t="shared" ref="P15" si="32">+SUM(P11+SUM(P13:P14))</f>
        <v>1846</v>
      </c>
      <c r="Q15" s="24">
        <f t="shared" ref="Q15" si="33">+SUM(Q11+SUM(Q13:Q14))</f>
        <v>1898</v>
      </c>
      <c r="S15" s="24">
        <f t="shared" ref="S15" si="34">+SUM(S11+SUM(S13:S14))</f>
        <v>4818</v>
      </c>
      <c r="T15" s="24">
        <f t="shared" ref="T15" si="35">+SUM(T11+SUM(T13:T14))</f>
        <v>5049</v>
      </c>
      <c r="U15" s="24">
        <f t="shared" ref="U15" si="36">+SUM(U11+SUM(U13:U14))</f>
        <v>5604</v>
      </c>
      <c r="V15" s="24">
        <f t="shared" ref="V15" si="37">+SUM(V11+SUM(V13:V14))</f>
        <v>5662</v>
      </c>
      <c r="W15" s="24">
        <f t="shared" ref="W15" si="38">+SUM(W11+SUM(W13:W14))</f>
        <v>6085</v>
      </c>
      <c r="X15" s="24">
        <f t="shared" ref="X15" si="39">+SUM(X11+SUM(X13:X14))</f>
        <v>6405</v>
      </c>
      <c r="Y15" s="24">
        <f t="shared" ref="Y15" si="40">+SUM(Y11+SUM(Y13:Y14))</f>
        <v>6549</v>
      </c>
      <c r="Z15" s="39"/>
      <c r="AA15" s="69">
        <f>SUM(Y15/U15)-1</f>
        <v>0.1686295503211992</v>
      </c>
    </row>
    <row r="16" spans="1:27" ht="12.75" customHeight="1">
      <c r="B16" s="14" t="s">
        <v>31</v>
      </c>
      <c r="C16" s="15">
        <f t="shared" ref="C16:E16" si="41">C15/C11</f>
        <v>0.11661158696971741</v>
      </c>
      <c r="D16" s="15">
        <f t="shared" si="41"/>
        <v>0.14495020909172959</v>
      </c>
      <c r="E16" s="15">
        <f t="shared" si="41"/>
        <v>0.17418062115357091</v>
      </c>
      <c r="F16" s="25"/>
      <c r="G16" s="15">
        <f t="shared" ref="G16:P16" si="42">G15/G11</f>
        <v>0.13471122837877456</v>
      </c>
      <c r="H16" s="15">
        <f t="shared" si="42"/>
        <v>0.14127355585663259</v>
      </c>
      <c r="I16" s="15">
        <f t="shared" si="42"/>
        <v>0.12736306349975762</v>
      </c>
      <c r="J16" s="15">
        <f t="shared" si="42"/>
        <v>0.16932112283495918</v>
      </c>
      <c r="K16" s="15">
        <f t="shared" si="42"/>
        <v>0.15842402534784406</v>
      </c>
      <c r="L16" s="15">
        <f t="shared" si="42"/>
        <v>0.20745977571916138</v>
      </c>
      <c r="M16" s="15">
        <f t="shared" si="42"/>
        <v>0.12442499719510827</v>
      </c>
      <c r="N16" s="15">
        <f t="shared" si="42"/>
        <v>0.20115541244436025</v>
      </c>
      <c r="O16" s="15">
        <f t="shared" si="42"/>
        <v>0.18301792828685259</v>
      </c>
      <c r="P16" s="15">
        <f t="shared" si="42"/>
        <v>0.20261222697837777</v>
      </c>
      <c r="Q16" s="15">
        <f t="shared" ref="Q16" si="43">Q15/Q11</f>
        <v>0.19039020964991474</v>
      </c>
      <c r="R16" s="26"/>
      <c r="S16" s="15">
        <f t="shared" ref="S16:Y16" si="44">S15/S11</f>
        <v>0.14495020909172959</v>
      </c>
      <c r="T16" s="15">
        <f t="shared" si="44"/>
        <v>0.14992873262857823</v>
      </c>
      <c r="U16" s="15">
        <f t="shared" si="44"/>
        <v>0.165990343887918</v>
      </c>
      <c r="V16" s="15">
        <f t="shared" si="44"/>
        <v>0.16448782755214689</v>
      </c>
      <c r="W16" s="15">
        <f t="shared" si="44"/>
        <v>0.17418062115357091</v>
      </c>
      <c r="X16" s="15">
        <f t="shared" si="44"/>
        <v>0.17937156939621374</v>
      </c>
      <c r="Y16" s="15">
        <f t="shared" si="44"/>
        <v>0.17886112249078245</v>
      </c>
      <c r="Z16" s="39"/>
      <c r="AA16" s="70">
        <f>SUM(Y16-U16)*1000</f>
        <v>12.870778602864451</v>
      </c>
    </row>
    <row r="17" spans="2:27" ht="5.0999999999999996" customHeight="1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S17" s="28"/>
      <c r="T17" s="28"/>
      <c r="U17" s="28"/>
      <c r="V17" s="28"/>
      <c r="W17" s="28"/>
      <c r="X17" s="28"/>
      <c r="Y17" s="28"/>
      <c r="Z17" s="39"/>
      <c r="AA17" s="68"/>
    </row>
    <row r="18" spans="2:27" ht="12.75" customHeight="1">
      <c r="B18" s="9" t="s">
        <v>123</v>
      </c>
      <c r="C18" s="76">
        <v>-5360</v>
      </c>
      <c r="D18" s="76">
        <v>-4845</v>
      </c>
      <c r="E18" s="76">
        <v>-4632</v>
      </c>
      <c r="F18" s="30"/>
      <c r="G18" s="76">
        <v>-1186</v>
      </c>
      <c r="H18" s="76">
        <v>-1272</v>
      </c>
      <c r="I18" s="76">
        <v>-1135</v>
      </c>
      <c r="J18" s="30">
        <f t="shared" ref="J18:J19" si="45">SUM(D18-SUM(G18:I18))</f>
        <v>-1252</v>
      </c>
      <c r="K18" s="76">
        <v>-1202</v>
      </c>
      <c r="L18" s="76">
        <v>-938</v>
      </c>
      <c r="M18" s="76">
        <v>-1226</v>
      </c>
      <c r="N18" s="30">
        <f t="shared" ref="N18:N19" si="46">SUM(E18-SUM(K18:M18))</f>
        <v>-1266</v>
      </c>
      <c r="O18" s="76">
        <v>-1188</v>
      </c>
      <c r="P18" s="76">
        <v>-1185</v>
      </c>
      <c r="Q18" s="76">
        <v>-1221</v>
      </c>
      <c r="S18" s="30">
        <f t="shared" ref="S18:S19" si="47">SUM(G18:J18)</f>
        <v>-4845</v>
      </c>
      <c r="T18" s="30">
        <f t="shared" ref="T18:T19" si="48">SUM(H18:K18)</f>
        <v>-4861</v>
      </c>
      <c r="U18" s="30">
        <f t="shared" ref="U18:U19" si="49">SUM(I18:L18)</f>
        <v>-4527</v>
      </c>
      <c r="V18" s="30">
        <f t="shared" ref="V18:V19" si="50">SUM(J18:M18)</f>
        <v>-4618</v>
      </c>
      <c r="W18" s="30">
        <f t="shared" ref="W18:W19" si="51">SUM(K18:N18)</f>
        <v>-4632</v>
      </c>
      <c r="X18" s="30">
        <f t="shared" ref="X18:X19" si="52">SUM(L18:O18)</f>
        <v>-4618</v>
      </c>
      <c r="Y18" s="30">
        <f t="shared" ref="Y18:Y19" si="53">SUM(M18:P18)</f>
        <v>-4865</v>
      </c>
      <c r="Z18" s="11"/>
      <c r="AA18" s="68">
        <f>SUM(Y18/U18)-1</f>
        <v>7.4663132317207781E-2</v>
      </c>
    </row>
    <row r="19" spans="2:27" ht="12.75" customHeight="1">
      <c r="B19" s="9" t="s">
        <v>152</v>
      </c>
      <c r="C19" s="76">
        <v>-979</v>
      </c>
      <c r="D19" s="76">
        <v>-896</v>
      </c>
      <c r="E19" s="76">
        <v>-982</v>
      </c>
      <c r="F19" s="30"/>
      <c r="G19" s="76">
        <v>-202</v>
      </c>
      <c r="H19" s="76">
        <v>-216</v>
      </c>
      <c r="I19" s="76">
        <v>-223</v>
      </c>
      <c r="J19" s="30">
        <f t="shared" si="45"/>
        <v>-255</v>
      </c>
      <c r="K19" s="76">
        <v>-237</v>
      </c>
      <c r="L19" s="76">
        <v>-237</v>
      </c>
      <c r="M19" s="76">
        <v>-242</v>
      </c>
      <c r="N19" s="30">
        <f t="shared" si="46"/>
        <v>-266</v>
      </c>
      <c r="O19" s="76">
        <v>-239</v>
      </c>
      <c r="P19" s="76">
        <v>-283</v>
      </c>
      <c r="Q19" s="76">
        <v>-310</v>
      </c>
      <c r="S19" s="30">
        <f t="shared" si="47"/>
        <v>-896</v>
      </c>
      <c r="T19" s="30">
        <f t="shared" si="48"/>
        <v>-931</v>
      </c>
      <c r="U19" s="30">
        <f t="shared" si="49"/>
        <v>-952</v>
      </c>
      <c r="V19" s="30">
        <f t="shared" si="50"/>
        <v>-971</v>
      </c>
      <c r="W19" s="30">
        <f t="shared" si="51"/>
        <v>-982</v>
      </c>
      <c r="X19" s="30">
        <f t="shared" si="52"/>
        <v>-984</v>
      </c>
      <c r="Y19" s="30">
        <f t="shared" si="53"/>
        <v>-1030</v>
      </c>
      <c r="Z19" s="11"/>
      <c r="AA19" s="68">
        <f>SUM(Y19/U19)-1</f>
        <v>8.1932773109243628E-2</v>
      </c>
    </row>
    <row r="20" spans="2:27" ht="12.75" customHeight="1">
      <c r="B20" s="23" t="s">
        <v>81</v>
      </c>
      <c r="C20" s="24">
        <f>+SUM(C15+SUM(C18:C19))</f>
        <v>-2881</v>
      </c>
      <c r="D20" s="24">
        <f>+SUM(D15+SUM(D18:D19))</f>
        <v>-923</v>
      </c>
      <c r="E20" s="24">
        <f>+SUM(E15+SUM(E18:E19))</f>
        <v>471</v>
      </c>
      <c r="F20" s="30"/>
      <c r="G20" s="24">
        <f>+SUM(G15+SUM(G18:G19))</f>
        <v>-469</v>
      </c>
      <c r="H20" s="24">
        <f>+SUM(H15+SUM(H18:H19))</f>
        <v>-341</v>
      </c>
      <c r="I20" s="24">
        <f>+SUM(I15+SUM(I18:I19))</f>
        <v>-307</v>
      </c>
      <c r="J20" s="24">
        <f>+SUM(J15+SUM(J18:J19))</f>
        <v>194</v>
      </c>
      <c r="K20" s="24">
        <f>+SUM(K15+SUM(K18:K19))</f>
        <v>-289</v>
      </c>
      <c r="L20" s="24">
        <f>+SUM(L15+SUM(L18:L19))</f>
        <v>527</v>
      </c>
      <c r="M20" s="24">
        <f>+SUM(M15+SUM(M18:M19))</f>
        <v>-359</v>
      </c>
      <c r="N20" s="24">
        <f>+SUM(N15+SUM(N18:N19))</f>
        <v>592</v>
      </c>
      <c r="O20" s="24">
        <f>+SUM(O15+SUM(O18:O19))</f>
        <v>43</v>
      </c>
      <c r="P20" s="24">
        <f>+SUM(P15+SUM(P18:P19))</f>
        <v>378</v>
      </c>
      <c r="Q20" s="24">
        <f>+SUM(Q15+SUM(Q18:Q19))</f>
        <v>367</v>
      </c>
      <c r="S20" s="24">
        <f>+SUM(S15+SUM(S18:S19))</f>
        <v>-923</v>
      </c>
      <c r="T20" s="24">
        <f>+SUM(T15+SUM(T18:T19))</f>
        <v>-743</v>
      </c>
      <c r="U20" s="24">
        <f>+SUM(U15+SUM(U18:U19))</f>
        <v>125</v>
      </c>
      <c r="V20" s="24">
        <f>+SUM(V15+SUM(V18:V19))</f>
        <v>73</v>
      </c>
      <c r="W20" s="24">
        <f>+SUM(W15+SUM(W18:W19))</f>
        <v>471</v>
      </c>
      <c r="X20" s="24">
        <f>+SUM(X15+SUM(X18:X19))</f>
        <v>803</v>
      </c>
      <c r="Y20" s="24">
        <f>+SUM(Y15+SUM(Y18:Y19))</f>
        <v>654</v>
      </c>
      <c r="Z20" s="11"/>
      <c r="AA20" s="69">
        <f>SUM(Y20/U20)-1</f>
        <v>4.2320000000000002</v>
      </c>
    </row>
    <row r="21" spans="2:27" ht="12.75" customHeight="1">
      <c r="B21" s="14" t="s">
        <v>33</v>
      </c>
      <c r="C21" s="15">
        <f>C20/C11</f>
        <v>-9.7153840965805621E-2</v>
      </c>
      <c r="D21" s="15">
        <f>D20/D11</f>
        <v>-2.7768585095821172E-2</v>
      </c>
      <c r="E21" s="15">
        <f>E20/E11</f>
        <v>1.3482181193645342E-2</v>
      </c>
      <c r="F21" s="30"/>
      <c r="G21" s="15">
        <f>G20/G11</f>
        <v>-6.8748167692758724E-2</v>
      </c>
      <c r="H21" s="15">
        <f>H20/H11</f>
        <v>-4.2000246335755637E-2</v>
      </c>
      <c r="I21" s="15">
        <f>I20/I11</f>
        <v>-3.7203102278235582E-2</v>
      </c>
      <c r="J21" s="15">
        <f>J20/J11</f>
        <v>1.9311168624328089E-2</v>
      </c>
      <c r="K21" s="15">
        <f>K20/K11</f>
        <v>-3.9812646370023422E-2</v>
      </c>
      <c r="L21" s="15">
        <f>L20/L11</f>
        <v>6.4236957581667475E-2</v>
      </c>
      <c r="M21" s="15">
        <f>M20/M11</f>
        <v>-4.0278245259732975E-2</v>
      </c>
      <c r="N21" s="15">
        <f>N20/N11</f>
        <v>5.6065915332891375E-2</v>
      </c>
      <c r="O21" s="15">
        <f>O20/O11</f>
        <v>5.3535856573705175E-3</v>
      </c>
      <c r="P21" s="15">
        <f>P20/P11</f>
        <v>4.1488310833058942E-2</v>
      </c>
      <c r="Q21" s="15">
        <f>Q20/Q11</f>
        <v>3.6814123783729565E-2</v>
      </c>
      <c r="S21" s="15">
        <f>S20/S11</f>
        <v>-2.7768585095821172E-2</v>
      </c>
      <c r="T21" s="15">
        <f>T20/T11</f>
        <v>-2.2063190402660648E-2</v>
      </c>
      <c r="U21" s="15">
        <f>U20/U11</f>
        <v>3.7024969639524894E-3</v>
      </c>
      <c r="V21" s="15">
        <f>V20/V11</f>
        <v>2.1207367381325896E-3</v>
      </c>
      <c r="W21" s="15">
        <f>W20/W11</f>
        <v>1.3482181193645342E-2</v>
      </c>
      <c r="X21" s="15">
        <f>X20/X11</f>
        <v>2.2487957880586985E-2</v>
      </c>
      <c r="Y21" s="15">
        <f>Y20/Y11</f>
        <v>1.7861532158951251E-2</v>
      </c>
      <c r="Z21" s="11"/>
      <c r="AA21" s="70">
        <f>SUM(Y21-U21)*1000</f>
        <v>14.159035194998761</v>
      </c>
    </row>
    <row r="22" spans="2:27" ht="5.0999999999999996" customHeight="1">
      <c r="B22" s="14"/>
      <c r="C22" s="15"/>
      <c r="D22" s="15"/>
      <c r="E22" s="15"/>
      <c r="F22" s="30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S22" s="30"/>
      <c r="T22" s="30"/>
      <c r="U22" s="30"/>
      <c r="V22" s="30"/>
      <c r="W22" s="30"/>
      <c r="X22" s="30"/>
      <c r="Y22" s="30"/>
      <c r="Z22" s="11"/>
      <c r="AA22" s="68"/>
    </row>
    <row r="23" spans="2:27" ht="12.75" customHeight="1">
      <c r="B23" s="9" t="s">
        <v>154</v>
      </c>
      <c r="C23" s="76">
        <v>-151</v>
      </c>
      <c r="D23" s="76">
        <v>-98</v>
      </c>
      <c r="E23" s="76">
        <v>120</v>
      </c>
      <c r="F23" s="30"/>
      <c r="G23" s="76">
        <v>-21</v>
      </c>
      <c r="H23" s="76">
        <v>-21</v>
      </c>
      <c r="I23" s="76">
        <v>-21</v>
      </c>
      <c r="J23" s="30">
        <f t="shared" ref="J23:J25" si="54">SUM(D23-SUM(G23:I23))</f>
        <v>-35</v>
      </c>
      <c r="K23" s="76">
        <v>-14</v>
      </c>
      <c r="L23" s="76">
        <v>60</v>
      </c>
      <c r="M23" s="76">
        <v>36</v>
      </c>
      <c r="N23" s="30">
        <f t="shared" ref="N23:N25" si="55">SUM(E23-SUM(K23:M23))</f>
        <v>38</v>
      </c>
      <c r="O23" s="76">
        <v>56</v>
      </c>
      <c r="P23" s="76">
        <v>42</v>
      </c>
      <c r="Q23" s="76">
        <v>44</v>
      </c>
      <c r="S23" s="30">
        <f t="shared" ref="S23" si="56">SUM(G23:J23)</f>
        <v>-98</v>
      </c>
      <c r="T23" s="30">
        <f t="shared" ref="T23" si="57">SUM(H23:K23)</f>
        <v>-91</v>
      </c>
      <c r="U23" s="30">
        <f t="shared" ref="U23" si="58">SUM(I23:L23)</f>
        <v>-10</v>
      </c>
      <c r="V23" s="30">
        <f t="shared" ref="V23" si="59">SUM(J23:M23)</f>
        <v>47</v>
      </c>
      <c r="W23" s="30">
        <f t="shared" ref="W23" si="60">SUM(K23:N23)</f>
        <v>120</v>
      </c>
      <c r="X23" s="30">
        <f t="shared" ref="X23" si="61">SUM(L23:O23)</f>
        <v>190</v>
      </c>
      <c r="Y23" s="30">
        <f t="shared" ref="Y23" si="62">SUM(M23:P23)</f>
        <v>172</v>
      </c>
      <c r="Z23" s="11"/>
      <c r="AA23" s="68">
        <f>SUM(Y23/U23)-1</f>
        <v>-18.2</v>
      </c>
    </row>
    <row r="24" spans="2:27" ht="12.75" customHeight="1">
      <c r="B24" s="9" t="s">
        <v>153</v>
      </c>
      <c r="C24" s="76">
        <v>188</v>
      </c>
      <c r="D24" s="76">
        <v>567</v>
      </c>
      <c r="E24" s="76">
        <v>536</v>
      </c>
      <c r="F24" s="30"/>
      <c r="G24" s="76">
        <v>139</v>
      </c>
      <c r="H24" s="76">
        <v>143</v>
      </c>
      <c r="I24" s="76">
        <v>134</v>
      </c>
      <c r="J24" s="30">
        <f t="shared" si="54"/>
        <v>151</v>
      </c>
      <c r="K24" s="76">
        <v>134</v>
      </c>
      <c r="L24" s="76">
        <v>134</v>
      </c>
      <c r="M24" s="76">
        <v>130</v>
      </c>
      <c r="N24" s="30">
        <f t="shared" si="55"/>
        <v>138</v>
      </c>
      <c r="O24" s="76">
        <v>115</v>
      </c>
      <c r="P24" s="76">
        <v>110</v>
      </c>
      <c r="Q24" s="76">
        <v>115</v>
      </c>
      <c r="S24" s="30">
        <f t="shared" ref="S24:S25" si="63">SUM(G24:J24)</f>
        <v>567</v>
      </c>
      <c r="T24" s="30">
        <f t="shared" ref="T24:T25" si="64">SUM(H24:K24)</f>
        <v>562</v>
      </c>
      <c r="U24" s="30">
        <f t="shared" ref="U24:U25" si="65">SUM(I24:L24)</f>
        <v>553</v>
      </c>
      <c r="V24" s="30">
        <f t="shared" ref="V24:V25" si="66">SUM(J24:M24)</f>
        <v>549</v>
      </c>
      <c r="W24" s="30">
        <f t="shared" ref="W24:W25" si="67">SUM(K24:N24)</f>
        <v>536</v>
      </c>
      <c r="X24" s="30">
        <f t="shared" ref="X24:X25" si="68">SUM(L24:O24)</f>
        <v>517</v>
      </c>
      <c r="Y24" s="30">
        <f t="shared" ref="Y24:Y25" si="69">SUM(M24:P24)</f>
        <v>493</v>
      </c>
      <c r="Z24" s="11"/>
      <c r="AA24" s="68">
        <f t="shared" ref="AA24:AA25" si="70">SUM(Y24/U24)-1</f>
        <v>-0.10849909584086803</v>
      </c>
    </row>
    <row r="25" spans="2:27" ht="12.75" customHeight="1">
      <c r="B25" s="9" t="s">
        <v>118</v>
      </c>
      <c r="C25" s="76">
        <v>370</v>
      </c>
      <c r="D25" s="76">
        <v>324</v>
      </c>
      <c r="E25" s="76">
        <v>1372</v>
      </c>
      <c r="F25" s="30"/>
      <c r="G25" s="76">
        <v>-64</v>
      </c>
      <c r="H25" s="76">
        <v>192</v>
      </c>
      <c r="I25" s="76">
        <v>178</v>
      </c>
      <c r="J25" s="30">
        <f t="shared" si="54"/>
        <v>18</v>
      </c>
      <c r="K25" s="76">
        <v>73</v>
      </c>
      <c r="L25" s="76">
        <v>881</v>
      </c>
      <c r="M25" s="76">
        <v>71</v>
      </c>
      <c r="N25" s="30">
        <f t="shared" si="55"/>
        <v>347</v>
      </c>
      <c r="O25" s="76">
        <v>118</v>
      </c>
      <c r="P25" s="76">
        <v>115</v>
      </c>
      <c r="Q25" s="76">
        <v>221</v>
      </c>
      <c r="S25" s="30">
        <f t="shared" si="63"/>
        <v>324</v>
      </c>
      <c r="T25" s="30">
        <f t="shared" si="64"/>
        <v>461</v>
      </c>
      <c r="U25" s="30">
        <f t="shared" si="65"/>
        <v>1150</v>
      </c>
      <c r="V25" s="30">
        <f t="shared" si="66"/>
        <v>1043</v>
      </c>
      <c r="W25" s="30">
        <f t="shared" si="67"/>
        <v>1372</v>
      </c>
      <c r="X25" s="30">
        <f t="shared" si="68"/>
        <v>1417</v>
      </c>
      <c r="Y25" s="30">
        <f t="shared" si="69"/>
        <v>651</v>
      </c>
      <c r="Z25" s="11"/>
      <c r="AA25" s="68">
        <f t="shared" si="70"/>
        <v>-0.43391304347826087</v>
      </c>
    </row>
    <row r="26" spans="2:27" ht="12.75" customHeight="1">
      <c r="B26" s="23" t="s">
        <v>113</v>
      </c>
      <c r="C26" s="24">
        <f>SUM(C23:C25)+C20</f>
        <v>-2474</v>
      </c>
      <c r="D26" s="24">
        <f>SUM(D23:D25)+D20</f>
        <v>-130</v>
      </c>
      <c r="E26" s="24">
        <f>SUM(E23:E25)+E20</f>
        <v>2499</v>
      </c>
      <c r="F26" s="30"/>
      <c r="G26" s="24">
        <f>SUM(G23:G25)+G20</f>
        <v>-415</v>
      </c>
      <c r="H26" s="24">
        <f>SUM(H23:H25)+H20</f>
        <v>-27</v>
      </c>
      <c r="I26" s="24">
        <f>SUM(I23:I25)+I20</f>
        <v>-16</v>
      </c>
      <c r="J26" s="24">
        <f>SUM(J23:J25)+J20</f>
        <v>328</v>
      </c>
      <c r="K26" s="24">
        <f>SUM(K23:K25)+K20</f>
        <v>-96</v>
      </c>
      <c r="L26" s="24">
        <f>SUM(L23:L25)+L20</f>
        <v>1602</v>
      </c>
      <c r="M26" s="24">
        <f>SUM(M23:M25)+M20</f>
        <v>-122</v>
      </c>
      <c r="N26" s="24">
        <f>SUM(N23:N25)+N20</f>
        <v>1115</v>
      </c>
      <c r="O26" s="24">
        <f>SUM(O23:O25)+O20</f>
        <v>332</v>
      </c>
      <c r="P26" s="24">
        <f>SUM(P23:P25)+P20</f>
        <v>645</v>
      </c>
      <c r="Q26" s="24">
        <f>SUM(Q23:Q25)+Q20</f>
        <v>747</v>
      </c>
      <c r="S26" s="24">
        <f>SUM(S23:S25)+S20</f>
        <v>-130</v>
      </c>
      <c r="T26" s="24">
        <f>SUM(T23:T25)+T20</f>
        <v>189</v>
      </c>
      <c r="U26" s="24">
        <f>SUM(U23:U25)+U20</f>
        <v>1818</v>
      </c>
      <c r="V26" s="24">
        <f>SUM(V23:V25)+V20</f>
        <v>1712</v>
      </c>
      <c r="W26" s="24">
        <f>SUM(W23:W25)+W20</f>
        <v>2499</v>
      </c>
      <c r="X26" s="24">
        <f>SUM(X23:X25)+X20</f>
        <v>2927</v>
      </c>
      <c r="Y26" s="24">
        <f>SUM(Y23:Y25)+Y20</f>
        <v>1970</v>
      </c>
      <c r="Z26" s="11"/>
      <c r="AA26" s="68">
        <f>SUM(Y26/U26)-1</f>
        <v>8.3608360836083584E-2</v>
      </c>
    </row>
    <row r="27" spans="2:27" ht="12.75" customHeight="1">
      <c r="B27" s="14" t="s">
        <v>82</v>
      </c>
      <c r="C27" s="15">
        <f>C26/C11</f>
        <v>-8.3428879746408585E-2</v>
      </c>
      <c r="D27" s="15">
        <f>D26/D11</f>
        <v>-3.9110683233550946E-3</v>
      </c>
      <c r="E27" s="15">
        <f>E26/E11</f>
        <v>7.153284671532846E-2</v>
      </c>
      <c r="F27" s="25"/>
      <c r="G27" s="15">
        <f>G26/G11</f>
        <v>-6.0832600410436824E-2</v>
      </c>
      <c r="H27" s="15">
        <f>H26/H11</f>
        <v>-3.3255327010715606E-3</v>
      </c>
      <c r="I27" s="15">
        <f>I26/I11</f>
        <v>-1.9389238972370335E-3</v>
      </c>
      <c r="J27" s="15">
        <f>J26/J11</f>
        <v>3.2649810869998012E-2</v>
      </c>
      <c r="K27" s="15">
        <f>K26/K11</f>
        <v>-1.3224962115993938E-2</v>
      </c>
      <c r="L27" s="15">
        <f>L26/L11</f>
        <v>0.19527059970745977</v>
      </c>
      <c r="M27" s="15">
        <f>M26/M11</f>
        <v>-1.3687871648154382E-2</v>
      </c>
      <c r="N27" s="15">
        <f>N26/N11</f>
        <v>0.10559712093948291</v>
      </c>
      <c r="O27" s="15">
        <f>O26/O11</f>
        <v>4.1334661354581671E-2</v>
      </c>
      <c r="P27" s="15">
        <f>P26/P11</f>
        <v>7.0793546262759299E-2</v>
      </c>
      <c r="Q27" s="15">
        <f>Q26/Q11</f>
        <v>7.4932290099307852E-2</v>
      </c>
      <c r="S27" s="15">
        <f>S26/S11</f>
        <v>-3.9110683233550946E-3</v>
      </c>
      <c r="T27" s="15">
        <f>T26/T11</f>
        <v>5.6123054994654947E-3</v>
      </c>
      <c r="U27" s="15">
        <f>U26/U11</f>
        <v>5.3849115843725009E-2</v>
      </c>
      <c r="V27" s="15">
        <f>V26/V11</f>
        <v>4.9735634187438267E-2</v>
      </c>
      <c r="W27" s="15">
        <f>W26/W11</f>
        <v>7.153284671532846E-2</v>
      </c>
      <c r="X27" s="15">
        <f>X26/X11</f>
        <v>8.1970426795115944E-2</v>
      </c>
      <c r="Y27" s="15">
        <f>Y26/Y11</f>
        <v>5.3803086166871503E-2</v>
      </c>
      <c r="Z27" s="40"/>
      <c r="AA27" s="70">
        <f>SUM(Y27-U27)*1000</f>
        <v>-4.6029676853506785E-2</v>
      </c>
    </row>
    <row r="28" spans="2:27" ht="5.0999999999999996" customHeight="1">
      <c r="B28" s="9"/>
      <c r="C28" s="76"/>
      <c r="D28" s="76"/>
      <c r="E28" s="76"/>
      <c r="F28" s="30"/>
      <c r="G28" s="76"/>
      <c r="H28" s="76"/>
      <c r="I28" s="76"/>
      <c r="J28" s="30"/>
      <c r="K28" s="76"/>
      <c r="L28" s="76"/>
      <c r="M28" s="76"/>
      <c r="N28" s="30"/>
      <c r="O28" s="76"/>
      <c r="P28" s="76"/>
      <c r="Q28" s="76"/>
      <c r="S28" s="30"/>
      <c r="T28" s="30"/>
      <c r="U28" s="30"/>
      <c r="V28" s="30"/>
      <c r="W28" s="30"/>
      <c r="X28" s="30"/>
      <c r="Y28" s="30"/>
      <c r="Z28" s="11"/>
      <c r="AA28" s="68"/>
    </row>
    <row r="29" spans="2:27" ht="12.75" customHeight="1">
      <c r="B29" s="9" t="s">
        <v>87</v>
      </c>
      <c r="C29" s="76">
        <v>-248</v>
      </c>
      <c r="D29" s="76">
        <v>-344</v>
      </c>
      <c r="E29" s="76">
        <v>-939</v>
      </c>
      <c r="F29" s="30"/>
      <c r="G29" s="76">
        <v>69</v>
      </c>
      <c r="H29" s="76">
        <v>-122</v>
      </c>
      <c r="I29" s="76">
        <v>-169</v>
      </c>
      <c r="J29" s="30">
        <f t="shared" ref="J29" si="71">SUM(D29-SUM(G29:I29))</f>
        <v>-122</v>
      </c>
      <c r="K29" s="76">
        <v>-10</v>
      </c>
      <c r="L29" s="76">
        <v>-322</v>
      </c>
      <c r="M29" s="76">
        <v>23</v>
      </c>
      <c r="N29" s="30">
        <f t="shared" ref="N29" si="72">SUM(E29-SUM(K29:M29))</f>
        <v>-630</v>
      </c>
      <c r="O29" s="76">
        <v>-68</v>
      </c>
      <c r="P29" s="76">
        <v>-153</v>
      </c>
      <c r="Q29" s="76">
        <v>-293</v>
      </c>
      <c r="S29" s="30">
        <f t="shared" ref="S29" si="73">SUM(G29:J29)</f>
        <v>-344</v>
      </c>
      <c r="T29" s="30">
        <f t="shared" ref="T29" si="74">SUM(H29:K29)</f>
        <v>-423</v>
      </c>
      <c r="U29" s="30">
        <f t="shared" ref="U29" si="75">SUM(I29:L29)</f>
        <v>-623</v>
      </c>
      <c r="V29" s="30">
        <f t="shared" ref="V29" si="76">SUM(J29:M29)</f>
        <v>-431</v>
      </c>
      <c r="W29" s="30">
        <f t="shared" ref="W29" si="77">SUM(K29:N29)</f>
        <v>-939</v>
      </c>
      <c r="X29" s="30">
        <f t="shared" ref="X29" si="78">SUM(L29:O29)</f>
        <v>-997</v>
      </c>
      <c r="Y29" s="30">
        <f>SUM(M29:P29)</f>
        <v>-828</v>
      </c>
      <c r="Z29" s="11"/>
      <c r="AA29" s="68">
        <f>SUM(Y29/U29)-1</f>
        <v>0.32905296950240781</v>
      </c>
    </row>
    <row r="30" spans="2:27" ht="12.75" customHeight="1">
      <c r="B30" s="12" t="s">
        <v>50</v>
      </c>
      <c r="C30" s="13">
        <f>SUM(C26+SUM(C29:C29))</f>
        <v>-2722</v>
      </c>
      <c r="D30" s="13">
        <f>SUM(D26+SUM(D29:D29))</f>
        <v>-474</v>
      </c>
      <c r="E30" s="13">
        <f>SUM(E26+SUM(E29:E29))</f>
        <v>1560</v>
      </c>
      <c r="G30" s="13">
        <f t="shared" ref="G30:Q30" si="79">SUM(G26+SUM(G29:G29))</f>
        <v>-346</v>
      </c>
      <c r="H30" s="13">
        <f t="shared" si="79"/>
        <v>-149</v>
      </c>
      <c r="I30" s="13">
        <f t="shared" si="79"/>
        <v>-185</v>
      </c>
      <c r="J30" s="13">
        <f t="shared" si="79"/>
        <v>206</v>
      </c>
      <c r="K30" s="13">
        <f t="shared" si="79"/>
        <v>-106</v>
      </c>
      <c r="L30" s="13">
        <f t="shared" si="79"/>
        <v>1280</v>
      </c>
      <c r="M30" s="13">
        <f t="shared" si="79"/>
        <v>-99</v>
      </c>
      <c r="N30" s="13">
        <f t="shared" si="79"/>
        <v>485</v>
      </c>
      <c r="O30" s="13">
        <f t="shared" si="79"/>
        <v>264</v>
      </c>
      <c r="P30" s="13">
        <f t="shared" si="79"/>
        <v>492</v>
      </c>
      <c r="Q30" s="13">
        <f t="shared" si="79"/>
        <v>454</v>
      </c>
      <c r="S30" s="13">
        <f t="shared" ref="S30:Y30" si="80">SUM(S26+SUM(S29:S29))</f>
        <v>-474</v>
      </c>
      <c r="T30" s="13">
        <f t="shared" si="80"/>
        <v>-234</v>
      </c>
      <c r="U30" s="13">
        <f t="shared" si="80"/>
        <v>1195</v>
      </c>
      <c r="V30" s="13">
        <f t="shared" si="80"/>
        <v>1281</v>
      </c>
      <c r="W30" s="13">
        <f t="shared" si="80"/>
        <v>1560</v>
      </c>
      <c r="X30" s="13">
        <f t="shared" si="80"/>
        <v>1930</v>
      </c>
      <c r="Y30" s="13">
        <f t="shared" si="80"/>
        <v>1142</v>
      </c>
      <c r="Z30" s="39"/>
      <c r="AA30" s="69">
        <f>SUM(Y30/U30)-1</f>
        <v>-4.4351464435146482E-2</v>
      </c>
    </row>
    <row r="31" spans="2:27" ht="12.75" customHeight="1">
      <c r="B31" s="14" t="s">
        <v>64</v>
      </c>
      <c r="C31" s="15">
        <f>C30/C11</f>
        <v>-9.1792001079112437E-2</v>
      </c>
      <c r="D31" s="15">
        <f>D30/D11</f>
        <v>-1.4260356809771654E-2</v>
      </c>
      <c r="E31" s="15">
        <f>E30/E11</f>
        <v>4.4654358093602402E-2</v>
      </c>
      <c r="F31" s="25"/>
      <c r="G31" s="15">
        <f>G30/G11</f>
        <v>-5.0718264438581059E-2</v>
      </c>
      <c r="H31" s="15">
        <f>H30/H11</f>
        <v>-1.8352013794802315E-2</v>
      </c>
      <c r="I31" s="15">
        <f>I30/I11</f>
        <v>-2.24188075618032E-2</v>
      </c>
      <c r="J31" s="15">
        <f>J30/J11</f>
        <v>2.0505673900059727E-2</v>
      </c>
      <c r="K31" s="15">
        <f>K30/K11</f>
        <v>-1.4602562336409974E-2</v>
      </c>
      <c r="L31" s="15">
        <f>L30/L11</f>
        <v>0.15602145294978059</v>
      </c>
      <c r="M31" s="15">
        <f>M30/M11</f>
        <v>-1.1107371255469539E-2</v>
      </c>
      <c r="N31" s="15">
        <f>N30/N11</f>
        <v>4.5932379960223507E-2</v>
      </c>
      <c r="O31" s="15">
        <f>O30/O11</f>
        <v>3.2868525896414341E-2</v>
      </c>
      <c r="P31" s="15">
        <f>P30/P11</f>
        <v>5.4000658544616401E-2</v>
      </c>
      <c r="Q31" s="15">
        <f>Q30/Q11</f>
        <v>4.5541177650717225E-2</v>
      </c>
      <c r="S31" s="15">
        <f>S30/S11</f>
        <v>-1.4260356809771654E-2</v>
      </c>
      <c r="T31" s="15">
        <f>T30/T11</f>
        <v>-6.948568713623946E-3</v>
      </c>
      <c r="U31" s="15">
        <f>U30/U11</f>
        <v>3.5395870975385803E-2</v>
      </c>
      <c r="V31" s="15">
        <f>V30/V11</f>
        <v>3.7214572075997911E-2</v>
      </c>
      <c r="W31" s="15">
        <f>W30/W11</f>
        <v>4.4654358093602402E-2</v>
      </c>
      <c r="X31" s="15">
        <f>X30/X11</f>
        <v>5.4049512714237705E-2</v>
      </c>
      <c r="Y31" s="15">
        <f>Y30/Y11</f>
        <v>3.118940325003414E-2</v>
      </c>
      <c r="Z31" s="40"/>
      <c r="AA31" s="70">
        <f>SUM(Y31-U31)*1000</f>
        <v>-4.2064677253516622</v>
      </c>
    </row>
    <row r="32" spans="2:27" ht="5.0999999999999996" customHeight="1">
      <c r="B32" s="14"/>
      <c r="C32" s="15"/>
      <c r="D32" s="15"/>
      <c r="E32" s="15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6"/>
      <c r="S32" s="15"/>
      <c r="T32" s="15"/>
      <c r="U32" s="15"/>
      <c r="V32" s="15"/>
      <c r="W32" s="15"/>
      <c r="X32" s="15"/>
      <c r="Y32" s="15"/>
      <c r="Z32" s="40"/>
      <c r="AA32" s="70"/>
    </row>
    <row r="33" spans="1:27" ht="12.75" customHeight="1">
      <c r="B33" s="41" t="s">
        <v>65</v>
      </c>
      <c r="C33" s="76"/>
      <c r="D33" s="76"/>
      <c r="E33" s="76"/>
      <c r="F33" s="25"/>
      <c r="G33" s="76"/>
      <c r="H33" s="76"/>
      <c r="I33" s="76"/>
      <c r="J33" s="30">
        <f>D33</f>
        <v>0</v>
      </c>
      <c r="K33" s="76"/>
      <c r="L33" s="76"/>
      <c r="M33" s="76"/>
      <c r="N33" s="30">
        <f>E33</f>
        <v>0</v>
      </c>
      <c r="O33" s="76"/>
      <c r="P33" s="76"/>
      <c r="Q33" s="76"/>
      <c r="R33" s="30"/>
      <c r="S33" s="30">
        <f t="shared" ref="S33:X33" si="81">J33</f>
        <v>0</v>
      </c>
      <c r="T33" s="30">
        <f t="shared" si="81"/>
        <v>0</v>
      </c>
      <c r="U33" s="30">
        <f t="shared" si="81"/>
        <v>0</v>
      </c>
      <c r="V33" s="30">
        <f t="shared" si="81"/>
        <v>0</v>
      </c>
      <c r="W33" s="30">
        <f t="shared" si="81"/>
        <v>0</v>
      </c>
      <c r="X33" s="30">
        <f t="shared" si="81"/>
        <v>0</v>
      </c>
      <c r="Y33" s="30">
        <f>P33</f>
        <v>0</v>
      </c>
      <c r="Z33" s="40"/>
      <c r="AA33" s="68" t="e">
        <f>SUM(Y33/U33)-1</f>
        <v>#DIV/0!</v>
      </c>
    </row>
    <row r="34" spans="1:27" ht="12.75" customHeight="1">
      <c r="B34" s="12" t="s">
        <v>66</v>
      </c>
      <c r="C34" s="71" t="e">
        <f t="shared" ref="C34:E34" si="82">C30/C33</f>
        <v>#DIV/0!</v>
      </c>
      <c r="D34" s="71" t="e">
        <f t="shared" si="82"/>
        <v>#DIV/0!</v>
      </c>
      <c r="E34" s="71" t="e">
        <f t="shared" si="82"/>
        <v>#DIV/0!</v>
      </c>
      <c r="F34" s="11"/>
      <c r="G34" s="71" t="e">
        <f t="shared" ref="G34:P34" si="83">G30/G33</f>
        <v>#DIV/0!</v>
      </c>
      <c r="H34" s="71" t="e">
        <f t="shared" si="83"/>
        <v>#DIV/0!</v>
      </c>
      <c r="I34" s="71" t="e">
        <f t="shared" si="83"/>
        <v>#DIV/0!</v>
      </c>
      <c r="J34" s="71" t="e">
        <f t="shared" si="83"/>
        <v>#DIV/0!</v>
      </c>
      <c r="K34" s="71" t="e">
        <f t="shared" si="83"/>
        <v>#DIV/0!</v>
      </c>
      <c r="L34" s="71" t="e">
        <f t="shared" si="83"/>
        <v>#DIV/0!</v>
      </c>
      <c r="M34" s="71" t="e">
        <f t="shared" si="83"/>
        <v>#DIV/0!</v>
      </c>
      <c r="N34" s="71" t="e">
        <f t="shared" si="83"/>
        <v>#DIV/0!</v>
      </c>
      <c r="O34" s="71" t="e">
        <f t="shared" si="83"/>
        <v>#DIV/0!</v>
      </c>
      <c r="P34" s="71" t="e">
        <f t="shared" si="83"/>
        <v>#DIV/0!</v>
      </c>
      <c r="Q34" s="71" t="e">
        <f t="shared" ref="Q34" si="84">Q30/Q33</f>
        <v>#DIV/0!</v>
      </c>
      <c r="R34" s="30"/>
      <c r="S34" s="71" t="e">
        <f t="shared" ref="S34:Y34" si="85">S30/S33</f>
        <v>#DIV/0!</v>
      </c>
      <c r="T34" s="71" t="e">
        <f t="shared" si="85"/>
        <v>#DIV/0!</v>
      </c>
      <c r="U34" s="71" t="e">
        <f t="shared" si="85"/>
        <v>#DIV/0!</v>
      </c>
      <c r="V34" s="71" t="e">
        <f t="shared" si="85"/>
        <v>#DIV/0!</v>
      </c>
      <c r="W34" s="71" t="e">
        <f t="shared" si="85"/>
        <v>#DIV/0!</v>
      </c>
      <c r="X34" s="71" t="e">
        <f t="shared" si="85"/>
        <v>#DIV/0!</v>
      </c>
      <c r="Y34" s="71" t="e">
        <f t="shared" si="85"/>
        <v>#DIV/0!</v>
      </c>
      <c r="Z34" s="33"/>
      <c r="AA34" s="69" t="e">
        <f>SUM(Y34/U34)-1</f>
        <v>#DIV/0!</v>
      </c>
    </row>
    <row r="35" spans="1:27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6"/>
      <c r="S35" s="15"/>
      <c r="T35" s="15"/>
      <c r="U35" s="15"/>
      <c r="V35" s="15"/>
      <c r="W35" s="15"/>
      <c r="X35" s="15"/>
      <c r="Y35" s="15"/>
      <c r="Z35" s="40"/>
      <c r="AA35" s="70"/>
    </row>
    <row r="36" spans="1:27" ht="12.75" customHeight="1">
      <c r="B36" s="41" t="s">
        <v>67</v>
      </c>
      <c r="C36" s="76"/>
      <c r="D36" s="76"/>
      <c r="E36" s="76"/>
      <c r="F36" s="25"/>
      <c r="G36" s="76"/>
      <c r="H36" s="76"/>
      <c r="I36" s="76"/>
      <c r="J36" s="30">
        <f>D36</f>
        <v>0</v>
      </c>
      <c r="K36" s="76"/>
      <c r="L36" s="76"/>
      <c r="M36" s="76"/>
      <c r="N36" s="30">
        <f>E36</f>
        <v>0</v>
      </c>
      <c r="O36" s="76"/>
      <c r="P36" s="76"/>
      <c r="Q36" s="76"/>
      <c r="R36" s="30"/>
      <c r="S36" s="30">
        <f t="shared" ref="S36" si="86">J36</f>
        <v>0</v>
      </c>
      <c r="T36" s="30">
        <f t="shared" ref="T36" si="87">K36</f>
        <v>0</v>
      </c>
      <c r="U36" s="30">
        <f t="shared" ref="U36" si="88">L36</f>
        <v>0</v>
      </c>
      <c r="V36" s="30">
        <f t="shared" ref="V36" si="89">M36</f>
        <v>0</v>
      </c>
      <c r="W36" s="30">
        <f t="shared" ref="W36" si="90">N36</f>
        <v>0</v>
      </c>
      <c r="X36" s="30">
        <f t="shared" ref="X36" si="91">O36</f>
        <v>0</v>
      </c>
      <c r="Y36" s="30">
        <f>P36</f>
        <v>0</v>
      </c>
      <c r="Z36" s="40"/>
      <c r="AA36" s="68" t="e">
        <f>SUM(Y36/U36)-1</f>
        <v>#DIV/0!</v>
      </c>
    </row>
    <row r="37" spans="1:27" ht="12.75" customHeight="1">
      <c r="B37" s="12" t="s">
        <v>68</v>
      </c>
      <c r="C37" s="71" t="e">
        <f t="shared" ref="C37:E37" si="92">C30/C36</f>
        <v>#DIV/0!</v>
      </c>
      <c r="D37" s="71" t="e">
        <f t="shared" si="92"/>
        <v>#DIV/0!</v>
      </c>
      <c r="E37" s="71" t="e">
        <f t="shared" si="92"/>
        <v>#DIV/0!</v>
      </c>
      <c r="F37" s="25"/>
      <c r="G37" s="71" t="e">
        <f t="shared" ref="G37:P37" si="93">G30/G36</f>
        <v>#DIV/0!</v>
      </c>
      <c r="H37" s="71" t="e">
        <f t="shared" si="93"/>
        <v>#DIV/0!</v>
      </c>
      <c r="I37" s="71" t="e">
        <f t="shared" si="93"/>
        <v>#DIV/0!</v>
      </c>
      <c r="J37" s="71" t="e">
        <f t="shared" si="93"/>
        <v>#DIV/0!</v>
      </c>
      <c r="K37" s="71" t="e">
        <f t="shared" si="93"/>
        <v>#DIV/0!</v>
      </c>
      <c r="L37" s="71" t="e">
        <f t="shared" si="93"/>
        <v>#DIV/0!</v>
      </c>
      <c r="M37" s="71" t="e">
        <f t="shared" si="93"/>
        <v>#DIV/0!</v>
      </c>
      <c r="N37" s="71" t="e">
        <f t="shared" si="93"/>
        <v>#DIV/0!</v>
      </c>
      <c r="O37" s="71" t="e">
        <f t="shared" si="93"/>
        <v>#DIV/0!</v>
      </c>
      <c r="P37" s="71" t="e">
        <f t="shared" si="93"/>
        <v>#DIV/0!</v>
      </c>
      <c r="Q37" s="71" t="e">
        <f t="shared" ref="Q37" si="94">Q30/Q36</f>
        <v>#DIV/0!</v>
      </c>
      <c r="R37" s="30"/>
      <c r="S37" s="71" t="e">
        <f t="shared" ref="S37:Y37" si="95">S30/S36</f>
        <v>#DIV/0!</v>
      </c>
      <c r="T37" s="71" t="e">
        <f t="shared" si="95"/>
        <v>#DIV/0!</v>
      </c>
      <c r="U37" s="71" t="e">
        <f t="shared" si="95"/>
        <v>#DIV/0!</v>
      </c>
      <c r="V37" s="71" t="e">
        <f t="shared" si="95"/>
        <v>#DIV/0!</v>
      </c>
      <c r="W37" s="71" t="e">
        <f t="shared" si="95"/>
        <v>#DIV/0!</v>
      </c>
      <c r="X37" s="71" t="e">
        <f t="shared" si="95"/>
        <v>#DIV/0!</v>
      </c>
      <c r="Y37" s="71" t="e">
        <f t="shared" si="95"/>
        <v>#DIV/0!</v>
      </c>
      <c r="Z37" s="33"/>
      <c r="AA37" s="69" t="e">
        <f>SUM(Y37/U37)-1</f>
        <v>#DIV/0!</v>
      </c>
    </row>
    <row r="38" spans="1:27">
      <c r="B38" s="14"/>
      <c r="C38" s="15"/>
      <c r="D38" s="15"/>
      <c r="E38" s="76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6"/>
      <c r="S38" s="15"/>
      <c r="T38" s="15"/>
      <c r="U38" s="15"/>
      <c r="V38" s="15"/>
      <c r="W38" s="15"/>
      <c r="X38" s="15"/>
      <c r="Y38" s="15"/>
      <c r="Z38" s="40"/>
    </row>
    <row r="39" spans="1:27" ht="12.75" customHeight="1">
      <c r="A39" s="5" t="s">
        <v>17</v>
      </c>
      <c r="B39" s="91" t="s">
        <v>77</v>
      </c>
      <c r="C39" s="92" t="s">
        <v>0</v>
      </c>
      <c r="D39" s="92"/>
      <c r="E39" s="92"/>
      <c r="F39" s="93"/>
      <c r="G39" s="92"/>
      <c r="H39" s="92"/>
      <c r="I39" s="92"/>
      <c r="J39" s="92"/>
      <c r="K39" s="92"/>
      <c r="L39" s="92"/>
      <c r="M39" s="92" t="s">
        <v>1</v>
      </c>
      <c r="N39" s="92"/>
      <c r="O39" s="92"/>
      <c r="P39" s="92"/>
      <c r="Q39" s="92"/>
      <c r="R39" s="91"/>
      <c r="S39" s="92"/>
      <c r="T39" s="92"/>
      <c r="U39" s="92" t="s">
        <v>10</v>
      </c>
      <c r="V39" s="92"/>
      <c r="W39" s="92"/>
      <c r="X39" s="92"/>
      <c r="Y39" s="92"/>
      <c r="Z39" s="93"/>
      <c r="AA39" s="152" t="s">
        <v>23</v>
      </c>
    </row>
    <row r="40" spans="1:27" ht="12.75" customHeight="1">
      <c r="B40" s="95" t="str">
        <f>B7</f>
        <v>Fiscal Period</v>
      </c>
      <c r="C40" s="94">
        <f>C7</f>
        <v>2022</v>
      </c>
      <c r="D40" s="94">
        <f>D7</f>
        <v>2023</v>
      </c>
      <c r="E40" s="94">
        <f>E7</f>
        <v>2024</v>
      </c>
      <c r="F40" s="93"/>
      <c r="G40" s="94" t="str">
        <f>G7</f>
        <v>1Q23</v>
      </c>
      <c r="H40" s="94" t="str">
        <f>H7</f>
        <v>2Q23</v>
      </c>
      <c r="I40" s="94" t="str">
        <f>I7</f>
        <v>3Q23</v>
      </c>
      <c r="J40" s="94" t="str">
        <f>J7</f>
        <v>4Q23</v>
      </c>
      <c r="K40" s="94" t="str">
        <f>K7</f>
        <v>1Q24</v>
      </c>
      <c r="L40" s="94" t="str">
        <f>L7</f>
        <v>2Q24</v>
      </c>
      <c r="M40" s="94" t="str">
        <f>M7</f>
        <v>3Q24</v>
      </c>
      <c r="N40" s="94" t="str">
        <f>N7</f>
        <v>4Q24</v>
      </c>
      <c r="O40" s="94" t="str">
        <f>O7</f>
        <v>1Q25</v>
      </c>
      <c r="P40" s="94" t="str">
        <f>P7</f>
        <v>2Q25</v>
      </c>
      <c r="Q40" s="94" t="str">
        <f>Q7</f>
        <v>3Q25</v>
      </c>
      <c r="R40" s="96"/>
      <c r="S40" s="94" t="str">
        <f>S7</f>
        <v>1Q24</v>
      </c>
      <c r="T40" s="94" t="str">
        <f>T7</f>
        <v>2Q24</v>
      </c>
      <c r="U40" s="94" t="str">
        <f>U7</f>
        <v>3Q24</v>
      </c>
      <c r="V40" s="94" t="str">
        <f>V7</f>
        <v>4Q24</v>
      </c>
      <c r="W40" s="94" t="str">
        <f>W7</f>
        <v>1Q25</v>
      </c>
      <c r="X40" s="94" t="str">
        <f>X7</f>
        <v>2Q25</v>
      </c>
      <c r="Y40" s="94" t="str">
        <f>Y7</f>
        <v>3Q25</v>
      </c>
      <c r="Z40" s="93"/>
      <c r="AA40" s="152"/>
    </row>
    <row r="41" spans="1:27" ht="12.75" customHeight="1">
      <c r="B41" s="95" t="str">
        <f>B8</f>
        <v>Fiscal Period End Date</v>
      </c>
      <c r="C41" s="97" t="str">
        <f>C8</f>
        <v>XXX</v>
      </c>
      <c r="D41" s="97" t="str">
        <f>D8</f>
        <v>XXX</v>
      </c>
      <c r="E41" s="97" t="str">
        <f>E8</f>
        <v>XXX</v>
      </c>
      <c r="F41" s="93"/>
      <c r="G41" s="97" t="str">
        <f>G8</f>
        <v>XXX</v>
      </c>
      <c r="H41" s="97" t="str">
        <f>H8</f>
        <v>XXX</v>
      </c>
      <c r="I41" s="97" t="str">
        <f>I8</f>
        <v>XXX</v>
      </c>
      <c r="J41" s="97" t="str">
        <f>J8</f>
        <v>XXX</v>
      </c>
      <c r="K41" s="97" t="str">
        <f>K8</f>
        <v>XXX</v>
      </c>
      <c r="L41" s="97" t="str">
        <f>L8</f>
        <v>XXX</v>
      </c>
      <c r="M41" s="97" t="str">
        <f>M8</f>
        <v>XXX</v>
      </c>
      <c r="N41" s="97" t="str">
        <f>N8</f>
        <v>XXX</v>
      </c>
      <c r="O41" s="97" t="str">
        <f>O8</f>
        <v>XXX</v>
      </c>
      <c r="P41" s="97" t="str">
        <f>P8</f>
        <v>XXX</v>
      </c>
      <c r="Q41" s="97" t="str">
        <f>Q8</f>
        <v>XXX</v>
      </c>
      <c r="R41" s="98"/>
      <c r="S41" s="97" t="str">
        <f>S8</f>
        <v>XXX</v>
      </c>
      <c r="T41" s="97" t="str">
        <f>T8</f>
        <v>XXX</v>
      </c>
      <c r="U41" s="97" t="str">
        <f>U8</f>
        <v>XXX</v>
      </c>
      <c r="V41" s="97" t="str">
        <f>V8</f>
        <v>XXX</v>
      </c>
      <c r="W41" s="97" t="str">
        <f>W8</f>
        <v>XXX</v>
      </c>
      <c r="X41" s="97" t="str">
        <f>X8</f>
        <v>XXX</v>
      </c>
      <c r="Y41" s="97" t="str">
        <f>Y8</f>
        <v>XXX</v>
      </c>
      <c r="Z41" s="93"/>
      <c r="AA41" s="152"/>
    </row>
    <row r="42" spans="1:27" ht="5.0999999999999996" customHeight="1">
      <c r="B42" s="43"/>
      <c r="C42" s="44"/>
      <c r="D42" s="44"/>
      <c r="E42" s="44"/>
    </row>
    <row r="43" spans="1:27">
      <c r="B43" s="72" t="s">
        <v>83</v>
      </c>
      <c r="C43" s="44"/>
      <c r="D43" s="44"/>
      <c r="E43" s="44"/>
    </row>
    <row r="44" spans="1:27" ht="12.75" customHeight="1">
      <c r="B44" s="9" t="s">
        <v>127</v>
      </c>
      <c r="C44" s="105"/>
      <c r="D44" s="105">
        <v>1551</v>
      </c>
      <c r="E44" s="105">
        <v>8205</v>
      </c>
      <c r="G44" s="105"/>
      <c r="H44" s="105"/>
      <c r="I44" s="105"/>
      <c r="J44" s="82">
        <f t="shared" ref="J44:J48" si="96">D44</f>
        <v>1551</v>
      </c>
      <c r="K44" s="105">
        <v>3255</v>
      </c>
      <c r="L44" s="105">
        <v>5779</v>
      </c>
      <c r="M44" s="105">
        <v>7395</v>
      </c>
      <c r="N44" s="82">
        <f t="shared" ref="N44:N48" si="97">E44</f>
        <v>8205</v>
      </c>
      <c r="O44" s="105">
        <v>8107</v>
      </c>
      <c r="P44" s="105">
        <v>7892</v>
      </c>
      <c r="Q44" s="105">
        <v>7945</v>
      </c>
      <c r="R44" s="82"/>
      <c r="S44" s="30">
        <f t="shared" ref="S44:X45" si="98">J44</f>
        <v>1551</v>
      </c>
      <c r="T44" s="30">
        <f t="shared" si="98"/>
        <v>3255</v>
      </c>
      <c r="U44" s="30">
        <f t="shared" si="98"/>
        <v>5779</v>
      </c>
      <c r="V44" s="30">
        <f t="shared" si="98"/>
        <v>7395</v>
      </c>
      <c r="W44" s="30">
        <f t="shared" si="98"/>
        <v>8205</v>
      </c>
      <c r="X44" s="30">
        <f t="shared" si="98"/>
        <v>8107</v>
      </c>
      <c r="Y44" s="30">
        <f>P44</f>
        <v>7892</v>
      </c>
      <c r="Z44" s="11"/>
      <c r="AA44" s="68">
        <f>SUM(Y44/U44)-1</f>
        <v>0.36563419276691467</v>
      </c>
    </row>
    <row r="45" spans="1:27" ht="12.75" customHeight="1">
      <c r="B45" s="9" t="s">
        <v>128</v>
      </c>
      <c r="C45" s="105"/>
      <c r="D45" s="105">
        <v>7489</v>
      </c>
      <c r="E45" s="105">
        <v>8177</v>
      </c>
      <c r="G45" s="105"/>
      <c r="H45" s="105"/>
      <c r="I45" s="105"/>
      <c r="J45" s="82">
        <f t="shared" si="96"/>
        <v>7489</v>
      </c>
      <c r="K45" s="105">
        <v>7096</v>
      </c>
      <c r="L45" s="105">
        <v>6431</v>
      </c>
      <c r="M45" s="105">
        <v>7226</v>
      </c>
      <c r="N45" s="82">
        <f t="shared" si="97"/>
        <v>8177</v>
      </c>
      <c r="O45" s="105">
        <v>7136</v>
      </c>
      <c r="P45" s="105">
        <v>6948</v>
      </c>
      <c r="Q45" s="105">
        <v>7374</v>
      </c>
      <c r="R45" s="82"/>
      <c r="S45" s="30">
        <f t="shared" si="98"/>
        <v>7489</v>
      </c>
      <c r="T45" s="30">
        <f t="shared" si="98"/>
        <v>7096</v>
      </c>
      <c r="U45" s="30">
        <f t="shared" si="98"/>
        <v>6431</v>
      </c>
      <c r="V45" s="30">
        <f t="shared" si="98"/>
        <v>7226</v>
      </c>
      <c r="W45" s="30">
        <f t="shared" si="98"/>
        <v>8177</v>
      </c>
      <c r="X45" s="30">
        <f t="shared" si="98"/>
        <v>7136</v>
      </c>
      <c r="Y45" s="30">
        <f t="shared" ref="Y45" si="99">P45</f>
        <v>6948</v>
      </c>
      <c r="Z45" s="11"/>
      <c r="AA45" s="68">
        <f>SUM(Y45/U45)-1</f>
        <v>8.0391851967034578E-2</v>
      </c>
    </row>
    <row r="46" spans="1:27" ht="12.75" customHeight="1">
      <c r="B46" s="9" t="s">
        <v>119</v>
      </c>
      <c r="C46" s="105"/>
      <c r="D46" s="105">
        <v>8253</v>
      </c>
      <c r="E46" s="105">
        <v>8587</v>
      </c>
      <c r="G46" s="105"/>
      <c r="H46" s="105"/>
      <c r="I46" s="105"/>
      <c r="J46" s="82">
        <f t="shared" si="96"/>
        <v>8253</v>
      </c>
      <c r="K46" s="105">
        <v>8859</v>
      </c>
      <c r="L46" s="105">
        <v>9346</v>
      </c>
      <c r="M46" s="105">
        <v>9377</v>
      </c>
      <c r="N46" s="82">
        <f t="shared" si="97"/>
        <v>8587</v>
      </c>
      <c r="O46" s="105">
        <v>9156</v>
      </c>
      <c r="P46" s="105">
        <v>9825</v>
      </c>
      <c r="Q46" s="105">
        <v>10032</v>
      </c>
      <c r="R46" s="82"/>
      <c r="S46" s="30">
        <f t="shared" ref="S46:S48" si="100">J46</f>
        <v>8253</v>
      </c>
      <c r="T46" s="30">
        <f t="shared" ref="T46:T48" si="101">K46</f>
        <v>8859</v>
      </c>
      <c r="U46" s="30">
        <f t="shared" ref="U46:U48" si="102">L46</f>
        <v>9346</v>
      </c>
      <c r="V46" s="30">
        <f t="shared" ref="V46:V48" si="103">M46</f>
        <v>9377</v>
      </c>
      <c r="W46" s="30">
        <f t="shared" ref="W46:W48" si="104">N46</f>
        <v>8587</v>
      </c>
      <c r="X46" s="30">
        <f t="shared" ref="X46:X48" si="105">O46</f>
        <v>9156</v>
      </c>
      <c r="Y46" s="30">
        <f t="shared" ref="Y46:Y48" si="106">P46</f>
        <v>9825</v>
      </c>
      <c r="Z46" s="11"/>
      <c r="AA46" s="68">
        <f>SUM(Y46/U46)-1</f>
        <v>5.1251872458805803E-2</v>
      </c>
    </row>
    <row r="47" spans="1:27" ht="12.75" customHeight="1">
      <c r="B47" s="9" t="s">
        <v>155</v>
      </c>
      <c r="C47" s="105"/>
      <c r="D47" s="105">
        <v>8339</v>
      </c>
      <c r="E47" s="105">
        <v>8621</v>
      </c>
      <c r="G47" s="105"/>
      <c r="H47" s="105"/>
      <c r="I47" s="105"/>
      <c r="J47" s="82">
        <f t="shared" si="96"/>
        <v>8339</v>
      </c>
      <c r="K47" s="105">
        <v>8579</v>
      </c>
      <c r="L47" s="105">
        <v>8702</v>
      </c>
      <c r="M47" s="105">
        <v>8592</v>
      </c>
      <c r="N47" s="82">
        <f t="shared" si="97"/>
        <v>8621</v>
      </c>
      <c r="O47" s="105">
        <v>9040</v>
      </c>
      <c r="P47" s="105">
        <v>9489</v>
      </c>
      <c r="Q47" s="105">
        <v>9485</v>
      </c>
      <c r="R47" s="82"/>
      <c r="S47" s="30">
        <f t="shared" si="100"/>
        <v>8339</v>
      </c>
      <c r="T47" s="30">
        <f t="shared" si="101"/>
        <v>8579</v>
      </c>
      <c r="U47" s="30">
        <f t="shared" si="102"/>
        <v>8702</v>
      </c>
      <c r="V47" s="30">
        <f t="shared" si="103"/>
        <v>8592</v>
      </c>
      <c r="W47" s="30">
        <f t="shared" si="104"/>
        <v>8621</v>
      </c>
      <c r="X47" s="30">
        <f t="shared" si="105"/>
        <v>9040</v>
      </c>
      <c r="Y47" s="30">
        <f t="shared" si="106"/>
        <v>9489</v>
      </c>
      <c r="Z47" s="11"/>
      <c r="AA47" s="68">
        <f>SUM(Y47/U47)-1</f>
        <v>9.0438979544932296E-2</v>
      </c>
    </row>
    <row r="48" spans="1:27" ht="12.75" customHeight="1">
      <c r="B48" s="9" t="s">
        <v>156</v>
      </c>
      <c r="C48" s="105"/>
      <c r="D48" s="105">
        <v>352</v>
      </c>
      <c r="E48" s="105">
        <v>564</v>
      </c>
      <c r="G48" s="105"/>
      <c r="H48" s="105"/>
      <c r="I48" s="105"/>
      <c r="J48" s="82">
        <f t="shared" si="96"/>
        <v>352</v>
      </c>
      <c r="K48" s="105">
        <v>462</v>
      </c>
      <c r="L48" s="105">
        <v>463</v>
      </c>
      <c r="M48" s="105">
        <v>550</v>
      </c>
      <c r="N48" s="82">
        <f t="shared" si="97"/>
        <v>564</v>
      </c>
      <c r="O48" s="105">
        <v>497</v>
      </c>
      <c r="P48" s="105">
        <v>555</v>
      </c>
      <c r="Q48" s="105">
        <v>934</v>
      </c>
      <c r="R48" s="82"/>
      <c r="S48" s="30">
        <f t="shared" si="100"/>
        <v>352</v>
      </c>
      <c r="T48" s="30">
        <f t="shared" si="101"/>
        <v>462</v>
      </c>
      <c r="U48" s="30">
        <f t="shared" si="102"/>
        <v>463</v>
      </c>
      <c r="V48" s="30">
        <f t="shared" si="103"/>
        <v>550</v>
      </c>
      <c r="W48" s="30">
        <f t="shared" si="104"/>
        <v>564</v>
      </c>
      <c r="X48" s="30">
        <f t="shared" si="105"/>
        <v>497</v>
      </c>
      <c r="Y48" s="30">
        <f t="shared" si="106"/>
        <v>555</v>
      </c>
      <c r="Z48" s="11"/>
      <c r="AA48" s="68">
        <f>SUM(Y48/U48)-1</f>
        <v>0.19870410367170632</v>
      </c>
    </row>
    <row r="49" spans="2:27" ht="12.75" customHeight="1">
      <c r="B49" s="23" t="s">
        <v>19</v>
      </c>
      <c r="C49" s="24">
        <f>SUM(C44:C48)</f>
        <v>0</v>
      </c>
      <c r="D49" s="24">
        <f>SUM(D44:D48)</f>
        <v>25984</v>
      </c>
      <c r="E49" s="24">
        <f>SUM(E44:E48)</f>
        <v>34154</v>
      </c>
      <c r="F49" s="45"/>
      <c r="G49" s="24">
        <f>SUM(G44:G48)</f>
        <v>0</v>
      </c>
      <c r="H49" s="24">
        <f>SUM(H44:H48)</f>
        <v>0</v>
      </c>
      <c r="I49" s="24">
        <f>SUM(I44:I48)</f>
        <v>0</v>
      </c>
      <c r="J49" s="24">
        <f>SUM(J44:J48)</f>
        <v>25984</v>
      </c>
      <c r="K49" s="24">
        <f>SUM(K44:K48)</f>
        <v>28251</v>
      </c>
      <c r="L49" s="24">
        <f>SUM(L44:L48)</f>
        <v>30721</v>
      </c>
      <c r="M49" s="24">
        <f>SUM(M44:M48)</f>
        <v>33140</v>
      </c>
      <c r="N49" s="24">
        <f>SUM(N44:N48)</f>
        <v>34154</v>
      </c>
      <c r="O49" s="24">
        <f>SUM(O44:O48)</f>
        <v>33936</v>
      </c>
      <c r="P49" s="24">
        <f>SUM(P44:P48)</f>
        <v>34709</v>
      </c>
      <c r="Q49" s="24">
        <f>SUM(Q44:Q48)</f>
        <v>35770</v>
      </c>
      <c r="R49" s="45"/>
      <c r="S49" s="24">
        <f>SUM(S44:S48)</f>
        <v>25984</v>
      </c>
      <c r="T49" s="24">
        <f>SUM(T44:T48)</f>
        <v>28251</v>
      </c>
      <c r="U49" s="24">
        <f>SUM(U44:U48)</f>
        <v>30721</v>
      </c>
      <c r="V49" s="24">
        <f>SUM(V44:V48)</f>
        <v>33140</v>
      </c>
      <c r="W49" s="24">
        <f>SUM(W44:W48)</f>
        <v>34154</v>
      </c>
      <c r="X49" s="24">
        <f>SUM(X44:X48)</f>
        <v>33936</v>
      </c>
      <c r="Y49" s="24">
        <f>SUM(Y44:Y48)</f>
        <v>34709</v>
      </c>
      <c r="Z49" s="39"/>
      <c r="AA49" s="69">
        <f>SUM(Y49/U49)-1</f>
        <v>0.12981348263402892</v>
      </c>
    </row>
    <row r="50" spans="2:27" ht="5.0999999999999996" customHeight="1">
      <c r="B50" s="23"/>
      <c r="C50" s="46"/>
      <c r="D50" s="38"/>
      <c r="E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S50" s="39"/>
      <c r="T50" s="39"/>
      <c r="U50" s="39"/>
      <c r="V50" s="39"/>
      <c r="W50" s="39"/>
      <c r="X50" s="39"/>
      <c r="Y50" s="39"/>
      <c r="Z50" s="39"/>
      <c r="AA50" s="36"/>
    </row>
    <row r="51" spans="2:27" ht="12.75" customHeight="1">
      <c r="B51" s="72" t="s">
        <v>84</v>
      </c>
      <c r="C51" s="76"/>
      <c r="D51" s="76"/>
      <c r="E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S51" s="30"/>
      <c r="T51" s="30"/>
      <c r="U51" s="30"/>
      <c r="V51" s="30"/>
      <c r="W51" s="30"/>
      <c r="X51" s="30"/>
      <c r="Y51" s="30"/>
      <c r="Z51" s="11"/>
      <c r="AA51" s="68"/>
    </row>
    <row r="52" spans="2:27" ht="12.75" customHeight="1">
      <c r="B52" s="9" t="s">
        <v>157</v>
      </c>
      <c r="C52" s="76"/>
      <c r="D52" s="76">
        <v>1444</v>
      </c>
      <c r="E52" s="76">
        <v>0</v>
      </c>
      <c r="G52" s="105"/>
      <c r="H52" s="105"/>
      <c r="I52" s="105"/>
      <c r="J52" s="82">
        <f t="shared" ref="J52:J59" si="107">D52</f>
        <v>1444</v>
      </c>
      <c r="K52" s="105">
        <v>993</v>
      </c>
      <c r="L52" s="105">
        <v>0</v>
      </c>
      <c r="M52" s="105">
        <v>0</v>
      </c>
      <c r="N52" s="82">
        <f t="shared" ref="N52:N59" si="108">E52</f>
        <v>0</v>
      </c>
      <c r="O52" s="105">
        <v>0</v>
      </c>
      <c r="P52" s="105">
        <v>0</v>
      </c>
      <c r="Q52" s="105">
        <v>508</v>
      </c>
      <c r="S52" s="30">
        <f t="shared" ref="S52:S55" si="109">J52</f>
        <v>1444</v>
      </c>
      <c r="T52" s="30">
        <f t="shared" ref="T52:T55" si="110">K52</f>
        <v>993</v>
      </c>
      <c r="U52" s="30">
        <f t="shared" ref="U52:U55" si="111">L52</f>
        <v>0</v>
      </c>
      <c r="V52" s="30">
        <f t="shared" ref="V52:V55" si="112">M52</f>
        <v>0</v>
      </c>
      <c r="W52" s="30">
        <f t="shared" ref="W52:W55" si="113">N52</f>
        <v>0</v>
      </c>
      <c r="X52" s="30">
        <f t="shared" ref="X52:X55" si="114">O52</f>
        <v>0</v>
      </c>
      <c r="Y52" s="30">
        <f t="shared" ref="Y52:Y55" si="115">P52</f>
        <v>0</v>
      </c>
      <c r="Z52" s="11"/>
      <c r="AA52" s="68" t="e">
        <f>SUM(Y52/U52)-1</f>
        <v>#DIV/0!</v>
      </c>
    </row>
    <row r="53" spans="2:27" ht="12.75" customHeight="1">
      <c r="B53" s="9" t="s">
        <v>129</v>
      </c>
      <c r="C53" s="76"/>
      <c r="D53" s="76">
        <v>5228</v>
      </c>
      <c r="E53" s="76">
        <v>5150</v>
      </c>
      <c r="G53" s="105"/>
      <c r="H53" s="105"/>
      <c r="I53" s="105"/>
      <c r="J53" s="82">
        <f t="shared" si="107"/>
        <v>5228</v>
      </c>
      <c r="K53" s="105">
        <v>5224</v>
      </c>
      <c r="L53" s="105">
        <v>5168</v>
      </c>
      <c r="M53" s="105">
        <v>5148</v>
      </c>
      <c r="N53" s="82">
        <f t="shared" si="108"/>
        <v>5150</v>
      </c>
      <c r="O53" s="105">
        <v>5225</v>
      </c>
      <c r="P53" s="105">
        <v>5419</v>
      </c>
      <c r="Q53" s="105">
        <v>5555</v>
      </c>
      <c r="S53" s="30">
        <f t="shared" ref="S53" si="116">J53</f>
        <v>5228</v>
      </c>
      <c r="T53" s="30">
        <f t="shared" ref="T53" si="117">K53</f>
        <v>5224</v>
      </c>
      <c r="U53" s="30">
        <f t="shared" ref="U53" si="118">L53</f>
        <v>5168</v>
      </c>
      <c r="V53" s="30">
        <f t="shared" ref="V53" si="119">M53</f>
        <v>5148</v>
      </c>
      <c r="W53" s="30">
        <f t="shared" ref="W53" si="120">N53</f>
        <v>5150</v>
      </c>
      <c r="X53" s="30">
        <f t="shared" ref="X53" si="121">O53</f>
        <v>5225</v>
      </c>
      <c r="Y53" s="30">
        <f t="shared" ref="Y53" si="122">P53</f>
        <v>5419</v>
      </c>
      <c r="Z53" s="11"/>
      <c r="AA53" s="68">
        <f t="shared" ref="AA53" si="123">SUM(Y53/U53)-1</f>
        <v>4.856811145510842E-2</v>
      </c>
    </row>
    <row r="54" spans="2:27" ht="12.75" customHeight="1">
      <c r="B54" s="9" t="s">
        <v>120</v>
      </c>
      <c r="C54" s="76"/>
      <c r="D54" s="76">
        <v>4437</v>
      </c>
      <c r="E54" s="76">
        <v>4263</v>
      </c>
      <c r="G54" s="105"/>
      <c r="H54" s="105"/>
      <c r="I54" s="105"/>
      <c r="J54" s="82">
        <f t="shared" si="107"/>
        <v>4437</v>
      </c>
      <c r="K54" s="105">
        <v>4403</v>
      </c>
      <c r="L54" s="105">
        <v>4354</v>
      </c>
      <c r="M54" s="105">
        <v>4444</v>
      </c>
      <c r="N54" s="82">
        <f t="shared" si="108"/>
        <v>4263</v>
      </c>
      <c r="O54" s="105">
        <v>4368</v>
      </c>
      <c r="P54" s="105">
        <v>4528</v>
      </c>
      <c r="Q54" s="105">
        <v>4327</v>
      </c>
      <c r="S54" s="30">
        <f t="shared" si="109"/>
        <v>4437</v>
      </c>
      <c r="T54" s="30">
        <f t="shared" si="110"/>
        <v>4403</v>
      </c>
      <c r="U54" s="30">
        <f t="shared" si="111"/>
        <v>4354</v>
      </c>
      <c r="V54" s="30">
        <f t="shared" si="112"/>
        <v>4444</v>
      </c>
      <c r="W54" s="30">
        <f t="shared" si="113"/>
        <v>4263</v>
      </c>
      <c r="X54" s="30">
        <f t="shared" si="114"/>
        <v>4368</v>
      </c>
      <c r="Y54" s="30">
        <f t="shared" si="115"/>
        <v>4528</v>
      </c>
      <c r="Z54" s="11"/>
      <c r="AA54" s="68">
        <f t="shared" ref="AA54:AA59" si="124">SUM(Y54/U54)-1</f>
        <v>3.9963252181901776E-2</v>
      </c>
    </row>
    <row r="55" spans="2:27" ht="12.75" customHeight="1">
      <c r="B55" s="9" t="s">
        <v>121</v>
      </c>
      <c r="C55" s="76"/>
      <c r="D55" s="76">
        <v>1042</v>
      </c>
      <c r="E55" s="76">
        <v>813</v>
      </c>
      <c r="G55" s="105"/>
      <c r="H55" s="105"/>
      <c r="I55" s="105"/>
      <c r="J55" s="82">
        <f t="shared" si="107"/>
        <v>1042</v>
      </c>
      <c r="K55" s="105">
        <v>991</v>
      </c>
      <c r="L55" s="105">
        <v>925</v>
      </c>
      <c r="M55" s="105">
        <v>869</v>
      </c>
      <c r="N55" s="82">
        <f t="shared" si="108"/>
        <v>813</v>
      </c>
      <c r="O55" s="105">
        <v>773</v>
      </c>
      <c r="P55" s="105">
        <v>739</v>
      </c>
      <c r="Q55" s="105">
        <v>747</v>
      </c>
      <c r="S55" s="30">
        <f t="shared" si="109"/>
        <v>1042</v>
      </c>
      <c r="T55" s="30">
        <f t="shared" si="110"/>
        <v>991</v>
      </c>
      <c r="U55" s="30">
        <f t="shared" si="111"/>
        <v>925</v>
      </c>
      <c r="V55" s="30">
        <f t="shared" si="112"/>
        <v>869</v>
      </c>
      <c r="W55" s="30">
        <f t="shared" si="113"/>
        <v>813</v>
      </c>
      <c r="X55" s="30">
        <f t="shared" si="114"/>
        <v>773</v>
      </c>
      <c r="Y55" s="30">
        <f t="shared" si="115"/>
        <v>739</v>
      </c>
      <c r="Z55" s="11"/>
      <c r="AA55" s="68">
        <f t="shared" si="124"/>
        <v>-0.20108108108108103</v>
      </c>
    </row>
    <row r="56" spans="2:27" ht="12.75" customHeight="1">
      <c r="B56" s="9" t="s">
        <v>158</v>
      </c>
      <c r="C56" s="76"/>
      <c r="D56" s="76">
        <v>621</v>
      </c>
      <c r="E56" s="76">
        <v>555</v>
      </c>
      <c r="G56" s="105"/>
      <c r="H56" s="105"/>
      <c r="I56" s="105"/>
      <c r="J56" s="82">
        <f t="shared" si="107"/>
        <v>621</v>
      </c>
      <c r="K56" s="105">
        <v>633</v>
      </c>
      <c r="L56" s="105">
        <v>614</v>
      </c>
      <c r="M56" s="105">
        <v>618</v>
      </c>
      <c r="N56" s="82">
        <f t="shared" si="108"/>
        <v>555</v>
      </c>
      <c r="O56" s="105">
        <v>505</v>
      </c>
      <c r="P56" s="105">
        <v>496</v>
      </c>
      <c r="Q56" s="105">
        <v>486</v>
      </c>
      <c r="S56" s="30">
        <f t="shared" ref="S56:S59" si="125">J56</f>
        <v>621</v>
      </c>
      <c r="T56" s="30">
        <f t="shared" ref="T56:T59" si="126">K56</f>
        <v>633</v>
      </c>
      <c r="U56" s="30">
        <f t="shared" ref="U56:U59" si="127">L56</f>
        <v>614</v>
      </c>
      <c r="V56" s="30">
        <f t="shared" ref="V56:V59" si="128">M56</f>
        <v>618</v>
      </c>
      <c r="W56" s="30">
        <f t="shared" ref="W56:W59" si="129">N56</f>
        <v>555</v>
      </c>
      <c r="X56" s="30">
        <f t="shared" ref="X56:X59" si="130">O56</f>
        <v>505</v>
      </c>
      <c r="Y56" s="30">
        <f t="shared" ref="Y56:Y59" si="131">P56</f>
        <v>496</v>
      </c>
      <c r="Z56" s="11"/>
      <c r="AA56" s="68">
        <f t="shared" si="124"/>
        <v>-0.19218241042345274</v>
      </c>
    </row>
    <row r="57" spans="2:27" ht="12.75" customHeight="1">
      <c r="B57" s="9" t="s">
        <v>159</v>
      </c>
      <c r="C57" s="76"/>
      <c r="D57" s="76">
        <v>3555</v>
      </c>
      <c r="E57" s="76">
        <v>2149</v>
      </c>
      <c r="G57" s="105"/>
      <c r="H57" s="105"/>
      <c r="I57" s="105"/>
      <c r="J57" s="82">
        <f t="shared" si="107"/>
        <v>3555</v>
      </c>
      <c r="K57" s="105">
        <v>3647</v>
      </c>
      <c r="L57" s="105">
        <v>2405</v>
      </c>
      <c r="M57" s="105">
        <v>2376</v>
      </c>
      <c r="N57" s="82">
        <f t="shared" si="108"/>
        <v>2149</v>
      </c>
      <c r="O57" s="105">
        <v>2137</v>
      </c>
      <c r="P57" s="105">
        <v>2170</v>
      </c>
      <c r="Q57" s="105">
        <v>1916</v>
      </c>
      <c r="S57" s="30">
        <f t="shared" si="125"/>
        <v>3555</v>
      </c>
      <c r="T57" s="30">
        <f t="shared" si="126"/>
        <v>3647</v>
      </c>
      <c r="U57" s="30">
        <f t="shared" si="127"/>
        <v>2405</v>
      </c>
      <c r="V57" s="30">
        <f t="shared" si="128"/>
        <v>2376</v>
      </c>
      <c r="W57" s="30">
        <f t="shared" si="129"/>
        <v>2149</v>
      </c>
      <c r="X57" s="30">
        <f t="shared" si="130"/>
        <v>2137</v>
      </c>
      <c r="Y57" s="30">
        <f t="shared" si="131"/>
        <v>2170</v>
      </c>
      <c r="Z57" s="11"/>
      <c r="AA57" s="68">
        <f t="shared" si="124"/>
        <v>-9.7713097713097663E-2</v>
      </c>
    </row>
    <row r="58" spans="2:27" ht="12.75" customHeight="1">
      <c r="B58" s="9" t="s">
        <v>160</v>
      </c>
      <c r="C58" s="76"/>
      <c r="D58" s="76">
        <v>1582</v>
      </c>
      <c r="E58" s="76">
        <v>1639</v>
      </c>
      <c r="G58" s="105"/>
      <c r="H58" s="105"/>
      <c r="I58" s="105"/>
      <c r="J58" s="82">
        <f t="shared" si="107"/>
        <v>1582</v>
      </c>
      <c r="K58" s="105">
        <v>1428</v>
      </c>
      <c r="L58" s="105">
        <v>1383</v>
      </c>
      <c r="M58" s="105">
        <v>1499</v>
      </c>
      <c r="N58" s="82">
        <f t="shared" si="108"/>
        <v>1639</v>
      </c>
      <c r="O58" s="105">
        <v>1639</v>
      </c>
      <c r="P58" s="105">
        <v>1733</v>
      </c>
      <c r="Q58" s="105">
        <v>1684</v>
      </c>
      <c r="S58" s="30">
        <f t="shared" si="125"/>
        <v>1582</v>
      </c>
      <c r="T58" s="30">
        <f t="shared" si="126"/>
        <v>1428</v>
      </c>
      <c r="U58" s="30">
        <f t="shared" si="127"/>
        <v>1383</v>
      </c>
      <c r="V58" s="30">
        <f t="shared" si="128"/>
        <v>1499</v>
      </c>
      <c r="W58" s="30">
        <f t="shared" si="129"/>
        <v>1639</v>
      </c>
      <c r="X58" s="30">
        <f t="shared" si="130"/>
        <v>1639</v>
      </c>
      <c r="Y58" s="30">
        <f t="shared" si="131"/>
        <v>1733</v>
      </c>
      <c r="Z58" s="11"/>
      <c r="AA58" s="68">
        <f t="shared" si="124"/>
        <v>0.25307302964569778</v>
      </c>
    </row>
    <row r="59" spans="2:27" ht="12.75" customHeight="1">
      <c r="B59" s="9" t="s">
        <v>122</v>
      </c>
      <c r="C59" s="76"/>
      <c r="D59" s="76">
        <v>2228</v>
      </c>
      <c r="E59" s="76">
        <v>2762</v>
      </c>
      <c r="G59" s="105"/>
      <c r="H59" s="105"/>
      <c r="I59" s="105"/>
      <c r="J59" s="82">
        <f t="shared" si="107"/>
        <v>2228</v>
      </c>
      <c r="K59" s="105">
        <v>2302</v>
      </c>
      <c r="L59" s="105">
        <v>2480</v>
      </c>
      <c r="M59" s="105">
        <v>2759</v>
      </c>
      <c r="N59" s="82">
        <f t="shared" si="108"/>
        <v>2762</v>
      </c>
      <c r="O59" s="105">
        <v>2976</v>
      </c>
      <c r="P59" s="105">
        <v>3284</v>
      </c>
      <c r="Q59" s="105">
        <v>3406</v>
      </c>
      <c r="S59" s="30">
        <f t="shared" si="125"/>
        <v>2228</v>
      </c>
      <c r="T59" s="30">
        <f t="shared" si="126"/>
        <v>2302</v>
      </c>
      <c r="U59" s="30">
        <f t="shared" si="127"/>
        <v>2480</v>
      </c>
      <c r="V59" s="30">
        <f t="shared" si="128"/>
        <v>2759</v>
      </c>
      <c r="W59" s="30">
        <f t="shared" si="129"/>
        <v>2762</v>
      </c>
      <c r="X59" s="30">
        <f t="shared" si="130"/>
        <v>2976</v>
      </c>
      <c r="Y59" s="30">
        <f t="shared" si="131"/>
        <v>3284</v>
      </c>
      <c r="Z59" s="11"/>
      <c r="AA59" s="68">
        <f t="shared" si="124"/>
        <v>0.3241935483870968</v>
      </c>
    </row>
    <row r="60" spans="2:27" ht="12.75" customHeight="1">
      <c r="B60" s="12" t="s">
        <v>20</v>
      </c>
      <c r="C60" s="13">
        <f>SUM(C52:C59)+C49</f>
        <v>0</v>
      </c>
      <c r="D60" s="13">
        <f>SUM(D52:D59)+D49</f>
        <v>46121</v>
      </c>
      <c r="E60" s="13">
        <f>SUM(E52:E59)+E49</f>
        <v>51485</v>
      </c>
      <c r="G60" s="13">
        <f>SUM(G52:G59)+G49</f>
        <v>0</v>
      </c>
      <c r="H60" s="13">
        <f>SUM(H52:H59)+H49</f>
        <v>0</v>
      </c>
      <c r="I60" s="13">
        <f>SUM(I52:I59)+I49</f>
        <v>0</v>
      </c>
      <c r="J60" s="13">
        <f>SUM(J52:J59)+J49</f>
        <v>46121</v>
      </c>
      <c r="K60" s="13">
        <f>SUM(K52:K59)+K49</f>
        <v>47872</v>
      </c>
      <c r="L60" s="13">
        <f>SUM(L52:L59)+L49</f>
        <v>48050</v>
      </c>
      <c r="M60" s="13">
        <f>SUM(M52:M59)+M49</f>
        <v>50853</v>
      </c>
      <c r="N60" s="13">
        <f>SUM(N52:N59)+N49</f>
        <v>51485</v>
      </c>
      <c r="O60" s="13">
        <f>SUM(O52:O59)+O49</f>
        <v>51559</v>
      </c>
      <c r="P60" s="13">
        <f>SUM(P52:P59)+P49</f>
        <v>53078</v>
      </c>
      <c r="Q60" s="13">
        <f>SUM(Q52:Q59)+Q49</f>
        <v>54399</v>
      </c>
      <c r="S60" s="13">
        <f>SUM(S52:S59)+S49</f>
        <v>46121</v>
      </c>
      <c r="T60" s="13">
        <f>SUM(T52:T59)+T49</f>
        <v>47872</v>
      </c>
      <c r="U60" s="13">
        <f>SUM(U52:U59)+U49</f>
        <v>48050</v>
      </c>
      <c r="V60" s="13">
        <f>SUM(V52:V59)+V49</f>
        <v>50853</v>
      </c>
      <c r="W60" s="13">
        <f>SUM(W52:W59)+W49</f>
        <v>51485</v>
      </c>
      <c r="X60" s="13">
        <f>SUM(X52:X59)+X49</f>
        <v>51559</v>
      </c>
      <c r="Y60" s="13">
        <f>SUM(Y52:Y59)+Y49</f>
        <v>53078</v>
      </c>
      <c r="Z60" s="39"/>
      <c r="AA60" s="69">
        <f>SUM(Y60/U60)-1</f>
        <v>0.10464099895941725</v>
      </c>
    </row>
    <row r="61" spans="2:27" ht="12.75" customHeight="1">
      <c r="B61" s="23"/>
      <c r="C61" s="47"/>
      <c r="D61" s="38"/>
      <c r="E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S61" s="39"/>
      <c r="T61" s="39"/>
      <c r="U61" s="39"/>
      <c r="V61" s="39"/>
      <c r="W61" s="39"/>
      <c r="X61" s="39"/>
      <c r="Y61" s="39"/>
      <c r="Z61" s="39"/>
      <c r="AA61" s="36"/>
    </row>
    <row r="62" spans="2:27" ht="12.75" customHeight="1">
      <c r="B62" s="72" t="s">
        <v>46</v>
      </c>
      <c r="C62" s="47"/>
      <c r="D62" s="38"/>
      <c r="E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S62" s="39"/>
      <c r="T62" s="39"/>
      <c r="U62" s="39"/>
      <c r="V62" s="39"/>
      <c r="W62" s="39"/>
      <c r="X62" s="39"/>
      <c r="Y62" s="39"/>
      <c r="Z62" s="39"/>
      <c r="AA62" s="36"/>
    </row>
    <row r="63" spans="2:27" ht="12.75" customHeight="1">
      <c r="B63" s="9" t="s">
        <v>124</v>
      </c>
      <c r="C63" s="76"/>
      <c r="D63" s="76">
        <v>7900</v>
      </c>
      <c r="E63" s="76">
        <v>8602</v>
      </c>
      <c r="G63" s="105"/>
      <c r="H63" s="105"/>
      <c r="I63" s="105"/>
      <c r="J63" s="82">
        <f t="shared" ref="J63:J65" si="132">D63</f>
        <v>7900</v>
      </c>
      <c r="K63" s="105">
        <v>7509</v>
      </c>
      <c r="L63" s="105">
        <v>7841</v>
      </c>
      <c r="M63" s="105">
        <v>8942</v>
      </c>
      <c r="N63" s="82">
        <f t="shared" ref="N63:N65" si="133">E63</f>
        <v>8602</v>
      </c>
      <c r="O63" s="105">
        <v>8421</v>
      </c>
      <c r="P63" s="105">
        <v>9035</v>
      </c>
      <c r="Q63" s="105">
        <v>9543</v>
      </c>
      <c r="S63" s="30">
        <f t="shared" ref="S63" si="134">J63</f>
        <v>7900</v>
      </c>
      <c r="T63" s="30">
        <f t="shared" ref="T63" si="135">K63</f>
        <v>7509</v>
      </c>
      <c r="U63" s="30">
        <f t="shared" ref="U63" si="136">L63</f>
        <v>7841</v>
      </c>
      <c r="V63" s="30">
        <f t="shared" ref="V63" si="137">M63</f>
        <v>8942</v>
      </c>
      <c r="W63" s="30">
        <f t="shared" ref="W63" si="138">N63</f>
        <v>8602</v>
      </c>
      <c r="X63" s="30">
        <f t="shared" ref="X63" si="139">O63</f>
        <v>8421</v>
      </c>
      <c r="Y63" s="30">
        <f t="shared" ref="Y63" si="140">P63</f>
        <v>9035</v>
      </c>
      <c r="Z63" s="11"/>
      <c r="AA63" s="68">
        <f>SUM(Y63/U63)-1</f>
        <v>0.15227649534498156</v>
      </c>
    </row>
    <row r="64" spans="2:27" ht="12.75" customHeight="1">
      <c r="B64" s="9" t="s">
        <v>161</v>
      </c>
      <c r="C64" s="76"/>
      <c r="D64" s="76">
        <v>15606</v>
      </c>
      <c r="E64" s="76">
        <v>17587</v>
      </c>
      <c r="G64" s="105"/>
      <c r="H64" s="105"/>
      <c r="I64" s="105"/>
      <c r="J64" s="82">
        <f t="shared" si="132"/>
        <v>15606</v>
      </c>
      <c r="K64" s="105">
        <v>16136</v>
      </c>
      <c r="L64" s="105">
        <v>16580</v>
      </c>
      <c r="M64" s="105">
        <v>16966</v>
      </c>
      <c r="N64" s="82">
        <f t="shared" si="133"/>
        <v>17587</v>
      </c>
      <c r="O64" s="105">
        <v>18708</v>
      </c>
      <c r="P64" s="105">
        <v>19603</v>
      </c>
      <c r="Q64" s="105">
        <v>20151</v>
      </c>
      <c r="S64" s="30">
        <f t="shared" ref="S64" si="141">J64</f>
        <v>15606</v>
      </c>
      <c r="T64" s="30">
        <f t="shared" ref="T64" si="142">K64</f>
        <v>16136</v>
      </c>
      <c r="U64" s="30">
        <f t="shared" ref="U64" si="143">L64</f>
        <v>16580</v>
      </c>
      <c r="V64" s="30">
        <f t="shared" ref="V64" si="144">M64</f>
        <v>16966</v>
      </c>
      <c r="W64" s="30">
        <f t="shared" ref="W64" si="145">N64</f>
        <v>17587</v>
      </c>
      <c r="X64" s="30">
        <f t="shared" ref="X64" si="146">O64</f>
        <v>18708</v>
      </c>
      <c r="Y64" s="30">
        <f t="shared" ref="Y64" si="147">P64</f>
        <v>19603</v>
      </c>
      <c r="Z64" s="11"/>
      <c r="AA64" s="68">
        <f>SUM(Y64/U64)-1</f>
        <v>0.18232810615199035</v>
      </c>
    </row>
    <row r="65" spans="2:27" ht="12.75" customHeight="1">
      <c r="B65" s="9" t="s">
        <v>125</v>
      </c>
      <c r="C65" s="76"/>
      <c r="D65" s="76">
        <v>4352</v>
      </c>
      <c r="E65" s="76">
        <v>5496</v>
      </c>
      <c r="G65" s="105"/>
      <c r="H65" s="105"/>
      <c r="I65" s="105"/>
      <c r="J65" s="82">
        <f t="shared" si="132"/>
        <v>4352</v>
      </c>
      <c r="K65" s="105">
        <v>4399</v>
      </c>
      <c r="L65" s="105">
        <v>4644</v>
      </c>
      <c r="M65" s="105">
        <v>5324</v>
      </c>
      <c r="N65" s="82">
        <f t="shared" si="133"/>
        <v>5496</v>
      </c>
      <c r="O65" s="105">
        <v>5547</v>
      </c>
      <c r="P65" s="105">
        <v>5123</v>
      </c>
      <c r="Q65" s="105">
        <v>5499</v>
      </c>
      <c r="S65" s="30">
        <f t="shared" ref="S65" si="148">J65</f>
        <v>4352</v>
      </c>
      <c r="T65" s="30">
        <f t="shared" ref="T65" si="149">K65</f>
        <v>4399</v>
      </c>
      <c r="U65" s="30">
        <f t="shared" ref="U65" si="150">L65</f>
        <v>4644</v>
      </c>
      <c r="V65" s="30">
        <f t="shared" ref="V65" si="151">M65</f>
        <v>5324</v>
      </c>
      <c r="W65" s="30">
        <f t="shared" ref="W65" si="152">N65</f>
        <v>5496</v>
      </c>
      <c r="X65" s="30">
        <f t="shared" ref="X65" si="153">O65</f>
        <v>5547</v>
      </c>
      <c r="Y65" s="30">
        <f t="shared" ref="Y65" si="154">P65</f>
        <v>5123</v>
      </c>
      <c r="Z65" s="11"/>
      <c r="AA65" s="68"/>
    </row>
    <row r="66" spans="2:27" ht="12.75" customHeight="1">
      <c r="B66" s="23" t="s">
        <v>18</v>
      </c>
      <c r="C66" s="24">
        <f>SUM(C63:C65)</f>
        <v>0</v>
      </c>
      <c r="D66" s="24">
        <f>SUM(D63:D65)</f>
        <v>27858</v>
      </c>
      <c r="E66" s="24">
        <f>SUM(E63:E65)</f>
        <v>31685</v>
      </c>
      <c r="G66" s="24">
        <f>SUM(G63:G65)</f>
        <v>0</v>
      </c>
      <c r="H66" s="24">
        <f>SUM(H63:H65)</f>
        <v>0</v>
      </c>
      <c r="I66" s="24">
        <f>SUM(I63:I65)</f>
        <v>0</v>
      </c>
      <c r="J66" s="24">
        <f>SUM(J63:J65)</f>
        <v>27858</v>
      </c>
      <c r="K66" s="24">
        <f>SUM(K63:K65)</f>
        <v>28044</v>
      </c>
      <c r="L66" s="24">
        <f>SUM(L63:L65)</f>
        <v>29065</v>
      </c>
      <c r="M66" s="24">
        <f>SUM(M63:M65)</f>
        <v>31232</v>
      </c>
      <c r="N66" s="24">
        <f>SUM(N63:N65)</f>
        <v>31685</v>
      </c>
      <c r="O66" s="24">
        <f>SUM(O63:O65)</f>
        <v>32676</v>
      </c>
      <c r="P66" s="24">
        <f>SUM(P63:P65)</f>
        <v>33761</v>
      </c>
      <c r="Q66" s="24">
        <f>SUM(Q63:Q65)</f>
        <v>35193</v>
      </c>
      <c r="R66" s="45"/>
      <c r="S66" s="24">
        <f>SUM(S63:S65)</f>
        <v>27858</v>
      </c>
      <c r="T66" s="24">
        <f>SUM(T63:T65)</f>
        <v>28044</v>
      </c>
      <c r="U66" s="24">
        <f>SUM(U63:U65)</f>
        <v>29065</v>
      </c>
      <c r="V66" s="24">
        <f>SUM(V63:V65)</f>
        <v>31232</v>
      </c>
      <c r="W66" s="24">
        <f>SUM(W63:W65)</f>
        <v>31685</v>
      </c>
      <c r="X66" s="24">
        <f>SUM(X63:X65)</f>
        <v>32676</v>
      </c>
      <c r="Y66" s="24">
        <f>SUM(Y63:Y65)</f>
        <v>33761</v>
      </c>
      <c r="Z66" s="39"/>
      <c r="AA66" s="69">
        <f>SUM(Y66/U66)-1</f>
        <v>0.16156889729915713</v>
      </c>
    </row>
    <row r="67" spans="2:27" ht="5.0999999999999996" customHeight="1">
      <c r="B67" s="23"/>
      <c r="C67" s="47"/>
      <c r="D67" s="38"/>
      <c r="E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S67" s="39"/>
      <c r="T67" s="39"/>
      <c r="U67" s="39"/>
      <c r="V67" s="39"/>
      <c r="W67" s="39"/>
      <c r="X67" s="39"/>
      <c r="Y67" s="39"/>
      <c r="Z67" s="39"/>
      <c r="AA67" s="36"/>
    </row>
    <row r="68" spans="2:27">
      <c r="B68" s="72" t="s">
        <v>85</v>
      </c>
      <c r="C68" s="47"/>
      <c r="D68" s="38"/>
      <c r="E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S68" s="39"/>
      <c r="T68" s="39"/>
      <c r="U68" s="39"/>
      <c r="V68" s="39"/>
      <c r="W68" s="39"/>
      <c r="X68" s="39"/>
      <c r="Y68" s="39"/>
      <c r="Z68" s="39"/>
      <c r="AA68" s="36"/>
    </row>
    <row r="69" spans="2:27" ht="12.75" customHeight="1">
      <c r="B69" s="104" t="s">
        <v>162</v>
      </c>
      <c r="C69" s="76"/>
      <c r="D69" s="76">
        <v>1448</v>
      </c>
      <c r="E69" s="76">
        <v>0</v>
      </c>
      <c r="G69" s="105"/>
      <c r="H69" s="105"/>
      <c r="I69" s="105"/>
      <c r="J69" s="82">
        <f t="shared" ref="J69:J72" si="155">D69</f>
        <v>1448</v>
      </c>
      <c r="K69" s="105">
        <v>1472</v>
      </c>
      <c r="L69" s="105">
        <v>0</v>
      </c>
      <c r="M69" s="105">
        <v>0</v>
      </c>
      <c r="N69" s="82">
        <f t="shared" ref="N69:N72" si="156">E69</f>
        <v>0</v>
      </c>
      <c r="O69" s="105">
        <v>0</v>
      </c>
      <c r="P69" s="105">
        <v>0</v>
      </c>
      <c r="Q69" s="105">
        <v>80</v>
      </c>
      <c r="S69" s="30">
        <f t="shared" ref="S69:X72" si="157">J69</f>
        <v>1448</v>
      </c>
      <c r="T69" s="30">
        <f t="shared" si="157"/>
        <v>1472</v>
      </c>
      <c r="U69" s="30">
        <f t="shared" si="157"/>
        <v>0</v>
      </c>
      <c r="V69" s="30">
        <f t="shared" si="157"/>
        <v>0</v>
      </c>
      <c r="W69" s="30">
        <f t="shared" si="157"/>
        <v>0</v>
      </c>
      <c r="X69" s="30">
        <f t="shared" si="157"/>
        <v>0</v>
      </c>
      <c r="Y69" s="30">
        <f>P69</f>
        <v>0</v>
      </c>
      <c r="Z69" s="39"/>
      <c r="AA69" s="68" t="e">
        <f>SUM(Y69/U69)-1</f>
        <v>#DIV/0!</v>
      </c>
    </row>
    <row r="70" spans="2:27" ht="12.75" customHeight="1">
      <c r="B70" s="104" t="s">
        <v>160</v>
      </c>
      <c r="C70" s="76"/>
      <c r="D70" s="76">
        <v>382</v>
      </c>
      <c r="E70" s="76">
        <v>827</v>
      </c>
      <c r="G70" s="105"/>
      <c r="H70" s="105"/>
      <c r="I70" s="105"/>
      <c r="J70" s="82">
        <f t="shared" si="155"/>
        <v>382</v>
      </c>
      <c r="K70" s="105">
        <v>423</v>
      </c>
      <c r="L70" s="105">
        <v>674</v>
      </c>
      <c r="M70" s="105">
        <v>823</v>
      </c>
      <c r="N70" s="82">
        <f t="shared" si="156"/>
        <v>827</v>
      </c>
      <c r="O70" s="105">
        <v>782</v>
      </c>
      <c r="P70" s="105">
        <v>818</v>
      </c>
      <c r="Q70" s="105">
        <v>820</v>
      </c>
      <c r="S70" s="30">
        <f t="shared" ref="S70:S71" si="158">J70</f>
        <v>382</v>
      </c>
      <c r="T70" s="30">
        <f t="shared" ref="T70:T71" si="159">K70</f>
        <v>423</v>
      </c>
      <c r="U70" s="30">
        <f t="shared" ref="U70:U71" si="160">L70</f>
        <v>674</v>
      </c>
      <c r="V70" s="30">
        <f t="shared" ref="V70:V71" si="161">M70</f>
        <v>823</v>
      </c>
      <c r="W70" s="30">
        <f t="shared" ref="W70:W71" si="162">N70</f>
        <v>827</v>
      </c>
      <c r="X70" s="30">
        <f t="shared" ref="X70:X71" si="163">O70</f>
        <v>782</v>
      </c>
      <c r="Y70" s="30">
        <f t="shared" ref="Y70:Y71" si="164">P70</f>
        <v>818</v>
      </c>
      <c r="Z70" s="39"/>
      <c r="AA70" s="68">
        <f t="shared" ref="AA70:AA71" si="165">SUM(Y70/U70)-1</f>
        <v>0.21364985163204753</v>
      </c>
    </row>
    <row r="71" spans="2:27" ht="12.75" customHeight="1">
      <c r="B71" s="104" t="s">
        <v>163</v>
      </c>
      <c r="C71" s="76"/>
      <c r="D71" s="76">
        <v>3273</v>
      </c>
      <c r="E71" s="76">
        <v>3264</v>
      </c>
      <c r="G71" s="105"/>
      <c r="H71" s="105"/>
      <c r="I71" s="105"/>
      <c r="J71" s="82">
        <f t="shared" si="155"/>
        <v>3273</v>
      </c>
      <c r="K71" s="105">
        <v>3266</v>
      </c>
      <c r="L71" s="105">
        <v>3224</v>
      </c>
      <c r="M71" s="105">
        <v>3233</v>
      </c>
      <c r="N71" s="82">
        <f t="shared" si="156"/>
        <v>3264</v>
      </c>
      <c r="O71" s="105">
        <v>3252</v>
      </c>
      <c r="P71" s="105">
        <v>3243</v>
      </c>
      <c r="Q71" s="105">
        <v>3195</v>
      </c>
      <c r="S71" s="30">
        <f t="shared" si="158"/>
        <v>3273</v>
      </c>
      <c r="T71" s="30">
        <f t="shared" si="159"/>
        <v>3266</v>
      </c>
      <c r="U71" s="30">
        <f t="shared" si="160"/>
        <v>3224</v>
      </c>
      <c r="V71" s="30">
        <f t="shared" si="161"/>
        <v>3233</v>
      </c>
      <c r="W71" s="30">
        <f t="shared" si="162"/>
        <v>3264</v>
      </c>
      <c r="X71" s="30">
        <f t="shared" si="163"/>
        <v>3252</v>
      </c>
      <c r="Y71" s="30">
        <f t="shared" si="164"/>
        <v>3243</v>
      </c>
      <c r="Z71" s="39"/>
      <c r="AA71" s="68">
        <f t="shared" si="165"/>
        <v>5.893300248138944E-3</v>
      </c>
    </row>
    <row r="72" spans="2:27" ht="12.75" customHeight="1">
      <c r="B72" s="104" t="s">
        <v>126</v>
      </c>
      <c r="C72" s="76"/>
      <c r="D72" s="76">
        <v>4780</v>
      </c>
      <c r="E72" s="76">
        <v>5116</v>
      </c>
      <c r="G72" s="105"/>
      <c r="H72" s="105"/>
      <c r="I72" s="105"/>
      <c r="J72" s="82">
        <f t="shared" si="155"/>
        <v>4780</v>
      </c>
      <c r="K72" s="105">
        <v>4687</v>
      </c>
      <c r="L72" s="105">
        <v>5040</v>
      </c>
      <c r="M72" s="105">
        <v>5048</v>
      </c>
      <c r="N72" s="82">
        <f t="shared" si="156"/>
        <v>5116</v>
      </c>
      <c r="O72" s="105">
        <v>5177</v>
      </c>
      <c r="P72" s="105">
        <v>5309</v>
      </c>
      <c r="Q72" s="105">
        <v>5382</v>
      </c>
      <c r="S72" s="30">
        <f t="shared" si="157"/>
        <v>4780</v>
      </c>
      <c r="T72" s="30">
        <f t="shared" si="157"/>
        <v>4687</v>
      </c>
      <c r="U72" s="30">
        <f t="shared" si="157"/>
        <v>5040</v>
      </c>
      <c r="V72" s="30">
        <f t="shared" si="157"/>
        <v>5048</v>
      </c>
      <c r="W72" s="30">
        <f t="shared" si="157"/>
        <v>5116</v>
      </c>
      <c r="X72" s="30">
        <f t="shared" si="157"/>
        <v>5177</v>
      </c>
      <c r="Y72" s="30">
        <f t="shared" ref="Y72" si="166">P72</f>
        <v>5309</v>
      </c>
      <c r="Z72" s="39"/>
      <c r="AA72" s="68">
        <f>SUM(Y72/U72)-1</f>
        <v>5.3373015873015905E-2</v>
      </c>
    </row>
    <row r="73" spans="2:27" ht="12.75" customHeight="1">
      <c r="B73" s="12" t="s">
        <v>16</v>
      </c>
      <c r="C73" s="13">
        <f>SUM(C69:C72)+C66</f>
        <v>0</v>
      </c>
      <c r="D73" s="13">
        <f>SUM(D69:D72)+D66</f>
        <v>37741</v>
      </c>
      <c r="E73" s="13">
        <f>SUM(E69:E72)+E66</f>
        <v>40892</v>
      </c>
      <c r="G73" s="13">
        <f>SUM(G69:G72)+G66</f>
        <v>0</v>
      </c>
      <c r="H73" s="13">
        <f>SUM(H69:H72)+H66</f>
        <v>0</v>
      </c>
      <c r="I73" s="13">
        <f>SUM(I69:I72)+I66</f>
        <v>0</v>
      </c>
      <c r="J73" s="13">
        <f>SUM(J69:J72)+J66</f>
        <v>37741</v>
      </c>
      <c r="K73" s="13">
        <f>SUM(K69:K72)+K66</f>
        <v>37892</v>
      </c>
      <c r="L73" s="13">
        <f>SUM(L69:L72)+L66</f>
        <v>38003</v>
      </c>
      <c r="M73" s="13">
        <f>SUM(M69:M72)+M66</f>
        <v>40336</v>
      </c>
      <c r="N73" s="13">
        <f>SUM(N69:N72)+N66</f>
        <v>40892</v>
      </c>
      <c r="O73" s="13">
        <f>SUM(O69:O72)+O66</f>
        <v>41887</v>
      </c>
      <c r="P73" s="13">
        <f>SUM(P69:P72)+P66</f>
        <v>43131</v>
      </c>
      <c r="Q73" s="13">
        <f>SUM(Q69:Q72)+Q66</f>
        <v>44670</v>
      </c>
      <c r="S73" s="13">
        <f>SUM(S69:S72)+S66</f>
        <v>37741</v>
      </c>
      <c r="T73" s="13">
        <f>SUM(T69:T72)+T66</f>
        <v>37892</v>
      </c>
      <c r="U73" s="13">
        <f>SUM(U69:U72)+U66</f>
        <v>38003</v>
      </c>
      <c r="V73" s="13">
        <f>SUM(V69:V72)+V66</f>
        <v>40336</v>
      </c>
      <c r="W73" s="13">
        <f>SUM(W69:W72)+W66</f>
        <v>40892</v>
      </c>
      <c r="X73" s="13">
        <f>SUM(X69:X72)+X66</f>
        <v>41887</v>
      </c>
      <c r="Y73" s="13">
        <f>SUM(Y69:Y72)+Y66</f>
        <v>43131</v>
      </c>
      <c r="Z73" s="39"/>
      <c r="AA73" s="69">
        <f>SUM(Y73/U73)-1</f>
        <v>0.13493671552245878</v>
      </c>
    </row>
    <row r="74" spans="2:27" ht="5.0999999999999996" customHeight="1">
      <c r="B74" s="23"/>
      <c r="C74" s="46"/>
      <c r="D74" s="38"/>
      <c r="E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S74" s="39"/>
      <c r="T74" s="39"/>
      <c r="U74" s="39"/>
      <c r="V74" s="39"/>
      <c r="W74" s="39"/>
      <c r="X74" s="39"/>
      <c r="Y74" s="39"/>
      <c r="Z74" s="39"/>
      <c r="AA74" s="36"/>
    </row>
    <row r="75" spans="2:27" ht="12.75" customHeight="1">
      <c r="B75" s="104" t="s">
        <v>112</v>
      </c>
      <c r="C75" s="76"/>
      <c r="D75" s="76">
        <v>8380</v>
      </c>
      <c r="E75" s="76">
        <v>10593</v>
      </c>
      <c r="G75" s="105"/>
      <c r="H75" s="105"/>
      <c r="I75" s="105"/>
      <c r="J75" s="82">
        <v>8380</v>
      </c>
      <c r="K75" s="105">
        <v>9980</v>
      </c>
      <c r="L75" s="105">
        <v>10049</v>
      </c>
      <c r="M75" s="105">
        <v>10517</v>
      </c>
      <c r="N75" s="82">
        <v>10593</v>
      </c>
      <c r="O75" s="105">
        <v>9672</v>
      </c>
      <c r="P75" s="105">
        <v>9947</v>
      </c>
      <c r="Q75" s="105">
        <v>9729</v>
      </c>
      <c r="S75" s="30">
        <f t="shared" ref="S75:X79" si="167">J75</f>
        <v>8380</v>
      </c>
      <c r="T75" s="30">
        <f t="shared" si="167"/>
        <v>9980</v>
      </c>
      <c r="U75" s="30">
        <f t="shared" si="167"/>
        <v>10049</v>
      </c>
      <c r="V75" s="30">
        <f t="shared" si="167"/>
        <v>10517</v>
      </c>
      <c r="W75" s="30">
        <f t="shared" si="167"/>
        <v>10593</v>
      </c>
      <c r="X75" s="30">
        <f t="shared" si="167"/>
        <v>9672</v>
      </c>
      <c r="Y75" s="30">
        <f>P75</f>
        <v>9947</v>
      </c>
      <c r="Z75" s="11"/>
      <c r="AA75" s="68">
        <f>SUM(Y75/U75)-1</f>
        <v>-1.0150263707831675E-2</v>
      </c>
    </row>
    <row r="76" spans="2:27" ht="12.75" customHeight="1">
      <c r="B76" s="104" t="s">
        <v>112</v>
      </c>
      <c r="C76" s="76"/>
      <c r="D76" s="76"/>
      <c r="E76" s="76"/>
      <c r="G76" s="105"/>
      <c r="H76" s="105"/>
      <c r="I76" s="105"/>
      <c r="J76" s="82">
        <f>D76</f>
        <v>0</v>
      </c>
      <c r="K76" s="105"/>
      <c r="L76" s="105"/>
      <c r="M76" s="105"/>
      <c r="N76" s="82">
        <f>E76</f>
        <v>0</v>
      </c>
      <c r="O76" s="105"/>
      <c r="P76" s="105"/>
      <c r="Q76" s="105"/>
      <c r="S76" s="30">
        <f t="shared" si="167"/>
        <v>0</v>
      </c>
      <c r="T76" s="30">
        <f t="shared" si="167"/>
        <v>0</v>
      </c>
      <c r="U76" s="30">
        <f t="shared" si="167"/>
        <v>0</v>
      </c>
      <c r="V76" s="30">
        <f t="shared" si="167"/>
        <v>0</v>
      </c>
      <c r="W76" s="30">
        <f t="shared" si="167"/>
        <v>0</v>
      </c>
      <c r="X76" s="30">
        <f t="shared" si="167"/>
        <v>0</v>
      </c>
      <c r="Y76" s="30">
        <f t="shared" ref="Y76:Y79" si="168">P76</f>
        <v>0</v>
      </c>
      <c r="Z76" s="11"/>
      <c r="AA76" s="68" t="e">
        <f>SUM(Y76/U76)-1</f>
        <v>#DIV/0!</v>
      </c>
    </row>
    <row r="77" spans="2:27" ht="12.75" customHeight="1">
      <c r="B77" s="104" t="s">
        <v>112</v>
      </c>
      <c r="C77" s="76"/>
      <c r="D77" s="76"/>
      <c r="E77" s="76"/>
      <c r="G77" s="105"/>
      <c r="H77" s="105"/>
      <c r="I77" s="105"/>
      <c r="J77" s="82">
        <f>D77</f>
        <v>0</v>
      </c>
      <c r="K77" s="105"/>
      <c r="L77" s="105"/>
      <c r="M77" s="105"/>
      <c r="N77" s="82">
        <f>E77</f>
        <v>0</v>
      </c>
      <c r="O77" s="105"/>
      <c r="P77" s="105"/>
      <c r="Q77" s="105"/>
      <c r="S77" s="30">
        <f t="shared" si="167"/>
        <v>0</v>
      </c>
      <c r="T77" s="30">
        <f t="shared" si="167"/>
        <v>0</v>
      </c>
      <c r="U77" s="30">
        <f t="shared" si="167"/>
        <v>0</v>
      </c>
      <c r="V77" s="30">
        <f t="shared" si="167"/>
        <v>0</v>
      </c>
      <c r="W77" s="30">
        <f t="shared" si="167"/>
        <v>0</v>
      </c>
      <c r="X77" s="30">
        <f t="shared" si="167"/>
        <v>0</v>
      </c>
      <c r="Y77" s="30">
        <f t="shared" si="168"/>
        <v>0</v>
      </c>
      <c r="Z77" s="11"/>
      <c r="AA77" s="68" t="e">
        <f>SUM(Y77/U77)-1</f>
        <v>#DIV/0!</v>
      </c>
    </row>
    <row r="78" spans="2:27" ht="12.75" customHeight="1">
      <c r="B78" s="104" t="s">
        <v>112</v>
      </c>
      <c r="C78" s="76"/>
      <c r="D78" s="76"/>
      <c r="E78" s="76"/>
      <c r="G78" s="105"/>
      <c r="H78" s="105"/>
      <c r="I78" s="105"/>
      <c r="J78" s="82">
        <f>D78</f>
        <v>0</v>
      </c>
      <c r="K78" s="105"/>
      <c r="L78" s="105"/>
      <c r="M78" s="105"/>
      <c r="N78" s="82">
        <f>E78</f>
        <v>0</v>
      </c>
      <c r="O78" s="105"/>
      <c r="P78" s="105"/>
      <c r="Q78" s="105"/>
      <c r="S78" s="30">
        <f t="shared" si="167"/>
        <v>0</v>
      </c>
      <c r="T78" s="30">
        <f t="shared" si="167"/>
        <v>0</v>
      </c>
      <c r="U78" s="30">
        <f t="shared" si="167"/>
        <v>0</v>
      </c>
      <c r="V78" s="30">
        <f t="shared" si="167"/>
        <v>0</v>
      </c>
      <c r="W78" s="30">
        <f t="shared" si="167"/>
        <v>0</v>
      </c>
      <c r="X78" s="30">
        <f t="shared" si="167"/>
        <v>0</v>
      </c>
      <c r="Y78" s="30">
        <f t="shared" si="168"/>
        <v>0</v>
      </c>
      <c r="Z78" s="11"/>
      <c r="AA78" s="68" t="e">
        <f>SUM(Y78/U78)-1</f>
        <v>#DIV/0!</v>
      </c>
    </row>
    <row r="79" spans="2:27" ht="12.75" customHeight="1">
      <c r="B79" s="104" t="s">
        <v>112</v>
      </c>
      <c r="C79" s="76"/>
      <c r="D79" s="76"/>
      <c r="E79" s="76"/>
      <c r="G79" s="105"/>
      <c r="H79" s="105"/>
      <c r="I79" s="105"/>
      <c r="J79" s="82">
        <f>D79</f>
        <v>0</v>
      </c>
      <c r="K79" s="105"/>
      <c r="L79" s="105"/>
      <c r="M79" s="105"/>
      <c r="N79" s="82">
        <f>E79</f>
        <v>0</v>
      </c>
      <c r="O79" s="105"/>
      <c r="P79" s="105"/>
      <c r="Q79" s="105"/>
      <c r="S79" s="30">
        <f t="shared" si="167"/>
        <v>0</v>
      </c>
      <c r="T79" s="30">
        <f t="shared" si="167"/>
        <v>0</v>
      </c>
      <c r="U79" s="30">
        <f t="shared" si="167"/>
        <v>0</v>
      </c>
      <c r="V79" s="30">
        <f t="shared" si="167"/>
        <v>0</v>
      </c>
      <c r="W79" s="30">
        <f t="shared" si="167"/>
        <v>0</v>
      </c>
      <c r="X79" s="30">
        <f t="shared" si="167"/>
        <v>0</v>
      </c>
      <c r="Y79" s="30">
        <f t="shared" si="168"/>
        <v>0</v>
      </c>
      <c r="Z79" s="11"/>
      <c r="AA79" s="68" t="e">
        <f>SUM(Y79/U79)-1</f>
        <v>#DIV/0!</v>
      </c>
    </row>
    <row r="80" spans="2:27" ht="12.75" customHeight="1">
      <c r="B80" s="12" t="s">
        <v>15</v>
      </c>
      <c r="C80" s="13">
        <f t="shared" ref="C80:E80" si="169">SUM(C75:C79)</f>
        <v>0</v>
      </c>
      <c r="D80" s="13">
        <f t="shared" si="169"/>
        <v>8380</v>
      </c>
      <c r="E80" s="13">
        <f t="shared" si="169"/>
        <v>10593</v>
      </c>
      <c r="F80" s="48"/>
      <c r="G80" s="13">
        <f t="shared" ref="G80:P80" si="170">SUM(G75:G79)</f>
        <v>0</v>
      </c>
      <c r="H80" s="13">
        <f t="shared" si="170"/>
        <v>0</v>
      </c>
      <c r="I80" s="13">
        <f t="shared" si="170"/>
        <v>0</v>
      </c>
      <c r="J80" s="13">
        <f t="shared" si="170"/>
        <v>8380</v>
      </c>
      <c r="K80" s="13">
        <f t="shared" si="170"/>
        <v>9980</v>
      </c>
      <c r="L80" s="13">
        <f t="shared" si="170"/>
        <v>10049</v>
      </c>
      <c r="M80" s="13">
        <f t="shared" si="170"/>
        <v>10517</v>
      </c>
      <c r="N80" s="13">
        <f t="shared" si="170"/>
        <v>10593</v>
      </c>
      <c r="O80" s="13">
        <f t="shared" si="170"/>
        <v>9672</v>
      </c>
      <c r="P80" s="13">
        <f t="shared" si="170"/>
        <v>9947</v>
      </c>
      <c r="Q80" s="13">
        <f t="shared" ref="Q80" si="171">SUM(Q75:Q79)</f>
        <v>9729</v>
      </c>
      <c r="S80" s="13">
        <f t="shared" ref="S80:Y80" si="172">SUM(S75:S79)</f>
        <v>8380</v>
      </c>
      <c r="T80" s="13">
        <f t="shared" si="172"/>
        <v>9980</v>
      </c>
      <c r="U80" s="13">
        <f t="shared" si="172"/>
        <v>10049</v>
      </c>
      <c r="V80" s="13">
        <f t="shared" si="172"/>
        <v>10517</v>
      </c>
      <c r="W80" s="13">
        <f t="shared" si="172"/>
        <v>10593</v>
      </c>
      <c r="X80" s="13">
        <f t="shared" si="172"/>
        <v>9672</v>
      </c>
      <c r="Y80" s="13">
        <f t="shared" si="172"/>
        <v>9947</v>
      </c>
      <c r="Z80" s="39"/>
      <c r="AA80" s="69">
        <f>SUM(Y80/U80)-1</f>
        <v>-1.0150263707831675E-2</v>
      </c>
    </row>
    <row r="81" spans="1:27" ht="12.75" customHeight="1">
      <c r="B81" s="23" t="s">
        <v>51</v>
      </c>
      <c r="C81" s="30">
        <f t="shared" ref="C81:E81" si="173">SUM(C80+C73)</f>
        <v>0</v>
      </c>
      <c r="D81" s="30">
        <f t="shared" si="173"/>
        <v>46121</v>
      </c>
      <c r="E81" s="30">
        <f t="shared" si="173"/>
        <v>51485</v>
      </c>
      <c r="F81" s="30"/>
      <c r="G81" s="30">
        <f t="shared" ref="G81:P81" si="174">SUM(G80+G73)</f>
        <v>0</v>
      </c>
      <c r="H81" s="30">
        <f t="shared" si="174"/>
        <v>0</v>
      </c>
      <c r="I81" s="30">
        <f t="shared" si="174"/>
        <v>0</v>
      </c>
      <c r="J81" s="30">
        <f t="shared" si="174"/>
        <v>46121</v>
      </c>
      <c r="K81" s="30">
        <f t="shared" si="174"/>
        <v>47872</v>
      </c>
      <c r="L81" s="30">
        <f t="shared" si="174"/>
        <v>48052</v>
      </c>
      <c r="M81" s="30">
        <f t="shared" si="174"/>
        <v>50853</v>
      </c>
      <c r="N81" s="30">
        <f t="shared" si="174"/>
        <v>51485</v>
      </c>
      <c r="O81" s="30">
        <f t="shared" si="174"/>
        <v>51559</v>
      </c>
      <c r="P81" s="30">
        <f t="shared" si="174"/>
        <v>53078</v>
      </c>
      <c r="Q81" s="30">
        <f t="shared" ref="Q81" si="175">SUM(Q80+Q73)</f>
        <v>54399</v>
      </c>
      <c r="R81" s="30"/>
      <c r="S81" s="30">
        <f t="shared" ref="S81:Y81" si="176">SUM(S80+S73)</f>
        <v>46121</v>
      </c>
      <c r="T81" s="30">
        <f t="shared" si="176"/>
        <v>47872</v>
      </c>
      <c r="U81" s="30">
        <f t="shared" si="176"/>
        <v>48052</v>
      </c>
      <c r="V81" s="30">
        <f t="shared" si="176"/>
        <v>50853</v>
      </c>
      <c r="W81" s="30">
        <f t="shared" si="176"/>
        <v>51485</v>
      </c>
      <c r="X81" s="30">
        <f t="shared" si="176"/>
        <v>51559</v>
      </c>
      <c r="Y81" s="30">
        <f t="shared" si="176"/>
        <v>53078</v>
      </c>
      <c r="Z81" s="11"/>
      <c r="AA81" s="69">
        <f>SUM(Y81/U81)-1</f>
        <v>0.10459502205943561</v>
      </c>
    </row>
    <row r="82" spans="1:27" ht="5.0999999999999996" customHeight="1">
      <c r="B82" s="23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11"/>
    </row>
    <row r="83" spans="1:27" ht="12.75" customHeight="1">
      <c r="B83" s="62" t="s">
        <v>62</v>
      </c>
      <c r="C83" s="63">
        <f>C81-C60</f>
        <v>0</v>
      </c>
      <c r="D83" s="63">
        <f>D81-D60</f>
        <v>0</v>
      </c>
      <c r="E83" s="63">
        <f>E81-E60</f>
        <v>0</v>
      </c>
      <c r="F83" s="64"/>
      <c r="G83" s="63">
        <f>G81-G60</f>
        <v>0</v>
      </c>
      <c r="H83" s="63">
        <f>H81-H60</f>
        <v>0</v>
      </c>
      <c r="I83" s="63">
        <f>I81-I60</f>
        <v>0</v>
      </c>
      <c r="J83" s="63">
        <f>J81-J60</f>
        <v>0</v>
      </c>
      <c r="K83" s="63">
        <f>K81-K60</f>
        <v>0</v>
      </c>
      <c r="L83" s="63">
        <f>L81-L60</f>
        <v>2</v>
      </c>
      <c r="M83" s="63">
        <f>M81-M60</f>
        <v>0</v>
      </c>
      <c r="N83" s="63">
        <f>N81-N60</f>
        <v>0</v>
      </c>
      <c r="O83" s="63">
        <f>O81-O60</f>
        <v>0</v>
      </c>
      <c r="P83" s="63">
        <f>P81-P60</f>
        <v>0</v>
      </c>
      <c r="Q83" s="63">
        <f>Q81-Q60</f>
        <v>0</v>
      </c>
      <c r="R83" s="26"/>
      <c r="S83" s="63">
        <f>S81-S60</f>
        <v>0</v>
      </c>
      <c r="T83" s="63">
        <f>T81-T60</f>
        <v>0</v>
      </c>
      <c r="U83" s="63">
        <f>U81-U60</f>
        <v>2</v>
      </c>
      <c r="V83" s="63">
        <f>V81-V60</f>
        <v>0</v>
      </c>
      <c r="W83" s="63">
        <f>W81-W60</f>
        <v>0</v>
      </c>
      <c r="X83" s="63">
        <f>X81-X60</f>
        <v>0</v>
      </c>
      <c r="Y83" s="63">
        <f>Y81-Y60</f>
        <v>0</v>
      </c>
    </row>
    <row r="84" spans="1:27" ht="5.0999999999999996" customHeight="1" thickBot="1">
      <c r="B84" s="100"/>
      <c r="C84" s="101"/>
      <c r="D84" s="101"/>
      <c r="E84" s="101"/>
      <c r="F84" s="102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3"/>
      <c r="S84" s="101"/>
      <c r="T84" s="101"/>
      <c r="U84" s="101"/>
      <c r="V84" s="101"/>
      <c r="W84" s="101"/>
      <c r="X84" s="101"/>
      <c r="Y84" s="101"/>
      <c r="Z84" s="66"/>
      <c r="AA84" s="66"/>
    </row>
    <row r="85" spans="1:27">
      <c r="B85" s="61"/>
      <c r="C85" s="22"/>
      <c r="D85" s="22"/>
      <c r="E85" s="22"/>
      <c r="F85" s="49"/>
    </row>
    <row r="86" spans="1:27" ht="12.75" customHeight="1">
      <c r="A86" s="5" t="s">
        <v>17</v>
      </c>
      <c r="B86" s="83" t="s">
        <v>14</v>
      </c>
      <c r="C86" s="87" t="s">
        <v>0</v>
      </c>
      <c r="D86" s="87"/>
      <c r="E86" s="87"/>
      <c r="F86" s="88"/>
      <c r="G86" s="87"/>
      <c r="H86" s="87"/>
      <c r="I86" s="87"/>
      <c r="J86" s="87"/>
      <c r="K86" s="87"/>
      <c r="L86" s="87"/>
      <c r="M86" s="87" t="s">
        <v>1</v>
      </c>
      <c r="N86" s="87"/>
      <c r="O86" s="87"/>
      <c r="P86" s="87"/>
      <c r="Q86" s="87"/>
      <c r="R86" s="83"/>
      <c r="S86" s="87"/>
      <c r="T86" s="87"/>
      <c r="U86" s="87" t="s">
        <v>10</v>
      </c>
      <c r="V86" s="87"/>
      <c r="W86" s="87"/>
      <c r="X86" s="87"/>
      <c r="Y86" s="87"/>
      <c r="Z86" s="88"/>
      <c r="AA86" s="153" t="s">
        <v>23</v>
      </c>
    </row>
    <row r="87" spans="1:27" ht="12.75" customHeight="1">
      <c r="B87" s="84" t="str">
        <f>B7</f>
        <v>Fiscal Period</v>
      </c>
      <c r="C87" s="89">
        <f>C7</f>
        <v>2022</v>
      </c>
      <c r="D87" s="89">
        <f>D7</f>
        <v>2023</v>
      </c>
      <c r="E87" s="89">
        <f>E7</f>
        <v>2024</v>
      </c>
      <c r="F87" s="88"/>
      <c r="G87" s="89" t="str">
        <f>G7</f>
        <v>1Q23</v>
      </c>
      <c r="H87" s="89" t="str">
        <f>H7</f>
        <v>2Q23</v>
      </c>
      <c r="I87" s="89" t="str">
        <f>I7</f>
        <v>3Q23</v>
      </c>
      <c r="J87" s="89" t="str">
        <f>J7</f>
        <v>4Q23</v>
      </c>
      <c r="K87" s="89" t="str">
        <f>K7</f>
        <v>1Q24</v>
      </c>
      <c r="L87" s="89" t="str">
        <f>L7</f>
        <v>2Q24</v>
      </c>
      <c r="M87" s="89" t="str">
        <f>M7</f>
        <v>3Q24</v>
      </c>
      <c r="N87" s="89" t="str">
        <f>N7</f>
        <v>4Q24</v>
      </c>
      <c r="O87" s="89" t="str">
        <f>O7</f>
        <v>1Q25</v>
      </c>
      <c r="P87" s="89" t="str">
        <f>P7</f>
        <v>2Q25</v>
      </c>
      <c r="Q87" s="89" t="str">
        <f>Q7</f>
        <v>3Q25</v>
      </c>
      <c r="R87" s="89"/>
      <c r="S87" s="89" t="str">
        <f>S7</f>
        <v>1Q24</v>
      </c>
      <c r="T87" s="89" t="str">
        <f>T7</f>
        <v>2Q24</v>
      </c>
      <c r="U87" s="89" t="str">
        <f>U7</f>
        <v>3Q24</v>
      </c>
      <c r="V87" s="89" t="str">
        <f>V7</f>
        <v>4Q24</v>
      </c>
      <c r="W87" s="89" t="str">
        <f>W7</f>
        <v>1Q25</v>
      </c>
      <c r="X87" s="89" t="str">
        <f>X7</f>
        <v>2Q25</v>
      </c>
      <c r="Y87" s="89" t="str">
        <f>Y7</f>
        <v>3Q25</v>
      </c>
      <c r="Z87" s="88"/>
      <c r="AA87" s="153"/>
    </row>
    <row r="88" spans="1:27" ht="12.75" customHeight="1">
      <c r="B88" s="84" t="str">
        <f>B8</f>
        <v>Fiscal Period End Date</v>
      </c>
      <c r="C88" s="90" t="str">
        <f>C8</f>
        <v>XXX</v>
      </c>
      <c r="D88" s="90" t="str">
        <f>D8</f>
        <v>XXX</v>
      </c>
      <c r="E88" s="90" t="str">
        <f>E8</f>
        <v>XXX</v>
      </c>
      <c r="F88" s="88"/>
      <c r="G88" s="90" t="str">
        <f>G8</f>
        <v>XXX</v>
      </c>
      <c r="H88" s="90" t="str">
        <f>H8</f>
        <v>XXX</v>
      </c>
      <c r="I88" s="90" t="str">
        <f>I8</f>
        <v>XXX</v>
      </c>
      <c r="J88" s="90" t="str">
        <f>J8</f>
        <v>XXX</v>
      </c>
      <c r="K88" s="90" t="str">
        <f>K8</f>
        <v>XXX</v>
      </c>
      <c r="L88" s="90" t="str">
        <f>L8</f>
        <v>XXX</v>
      </c>
      <c r="M88" s="90" t="str">
        <f>M8</f>
        <v>XXX</v>
      </c>
      <c r="N88" s="90" t="str">
        <f>N8</f>
        <v>XXX</v>
      </c>
      <c r="O88" s="90" t="str">
        <f>O8</f>
        <v>XXX</v>
      </c>
      <c r="P88" s="90" t="str">
        <f>P8</f>
        <v>XXX</v>
      </c>
      <c r="Q88" s="90" t="str">
        <f>Q8</f>
        <v>XXX</v>
      </c>
      <c r="R88" s="90"/>
      <c r="S88" s="90" t="str">
        <f>S8</f>
        <v>XXX</v>
      </c>
      <c r="T88" s="90" t="str">
        <f>T8</f>
        <v>XXX</v>
      </c>
      <c r="U88" s="90" t="str">
        <f>U8</f>
        <v>XXX</v>
      </c>
      <c r="V88" s="90" t="str">
        <f>V8</f>
        <v>XXX</v>
      </c>
      <c r="W88" s="90" t="str">
        <f>W8</f>
        <v>XXX</v>
      </c>
      <c r="X88" s="90" t="str">
        <f>X8</f>
        <v>XXX</v>
      </c>
      <c r="Y88" s="90" t="str">
        <f>Y8</f>
        <v>XXX</v>
      </c>
      <c r="Z88" s="88"/>
      <c r="AA88" s="153"/>
    </row>
    <row r="89" spans="1:27" ht="5.0999999999999996" customHeight="1">
      <c r="B89" s="50"/>
      <c r="C89" s="44"/>
      <c r="D89" s="44"/>
      <c r="E89" s="44"/>
    </row>
    <row r="90" spans="1:27" ht="12.75" customHeight="1">
      <c r="B90" s="51" t="s">
        <v>52</v>
      </c>
      <c r="C90" s="52"/>
      <c r="D90" s="52"/>
      <c r="E90" s="52"/>
    </row>
    <row r="91" spans="1:27" ht="12.75" customHeight="1">
      <c r="B91" s="53" t="s">
        <v>53</v>
      </c>
      <c r="C91" s="30">
        <f>C30</f>
        <v>-2722</v>
      </c>
      <c r="D91" s="30">
        <f>D30</f>
        <v>-474</v>
      </c>
      <c r="E91" s="30">
        <f>E30</f>
        <v>1560</v>
      </c>
      <c r="F91" s="30"/>
      <c r="G91" s="30">
        <f>G30</f>
        <v>-346</v>
      </c>
      <c r="H91" s="30">
        <f>H30</f>
        <v>-149</v>
      </c>
      <c r="I91" s="30">
        <f>I30</f>
        <v>-185</v>
      </c>
      <c r="J91" s="30">
        <f>J30</f>
        <v>206</v>
      </c>
      <c r="K91" s="30">
        <f>K30</f>
        <v>-106</v>
      </c>
      <c r="L91" s="30">
        <f>L30</f>
        <v>1280</v>
      </c>
      <c r="M91" s="30">
        <f>M30</f>
        <v>-99</v>
      </c>
      <c r="N91" s="30">
        <f>N30</f>
        <v>485</v>
      </c>
      <c r="O91" s="30">
        <f>O30</f>
        <v>264</v>
      </c>
      <c r="P91" s="30">
        <f>P30</f>
        <v>492</v>
      </c>
      <c r="Q91" s="30">
        <f>Q30</f>
        <v>454</v>
      </c>
      <c r="S91" s="30">
        <f>S30</f>
        <v>-474</v>
      </c>
      <c r="T91" s="30">
        <f>T30</f>
        <v>-234</v>
      </c>
      <c r="U91" s="30">
        <f>U30</f>
        <v>1195</v>
      </c>
      <c r="V91" s="30">
        <f>V30</f>
        <v>1281</v>
      </c>
      <c r="W91" s="30">
        <f>W30</f>
        <v>1560</v>
      </c>
      <c r="X91" s="30">
        <f>X30</f>
        <v>1930</v>
      </c>
      <c r="Y91" s="30">
        <f>Y30</f>
        <v>1142</v>
      </c>
      <c r="Z91" s="11"/>
      <c r="AA91" s="68">
        <f>SUM(Y91/U91)-1</f>
        <v>-4.4351464435146482E-2</v>
      </c>
    </row>
    <row r="92" spans="1:27" ht="5.0999999999999996" customHeight="1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S92" s="30"/>
      <c r="T92" s="30"/>
      <c r="U92" s="30"/>
      <c r="V92" s="30"/>
      <c r="W92" s="30"/>
      <c r="X92" s="30"/>
      <c r="Y92" s="30"/>
      <c r="Z92" s="11"/>
      <c r="AA92" s="68"/>
    </row>
    <row r="93" spans="1:27" ht="12.75" customHeight="1">
      <c r="B93" s="33" t="s">
        <v>61</v>
      </c>
      <c r="C93" s="30"/>
      <c r="D93" s="30"/>
      <c r="E93" s="30"/>
      <c r="F93" s="30"/>
      <c r="G93" s="76"/>
      <c r="H93" s="76"/>
      <c r="I93" s="76"/>
      <c r="J93" s="30"/>
      <c r="K93" s="76"/>
      <c r="L93" s="76"/>
      <c r="M93" s="76"/>
      <c r="N93" s="30"/>
      <c r="O93" s="76"/>
      <c r="P93" s="76"/>
      <c r="Q93" s="76"/>
      <c r="S93" s="30"/>
      <c r="T93" s="30"/>
      <c r="U93" s="30"/>
      <c r="V93" s="30"/>
      <c r="W93" s="30"/>
      <c r="X93" s="30"/>
      <c r="Y93" s="30"/>
      <c r="Z93" s="55"/>
      <c r="AA93" s="68"/>
    </row>
    <row r="94" spans="1:27" ht="12.75" customHeight="1">
      <c r="B94" s="56" t="s">
        <v>54</v>
      </c>
      <c r="C94" s="76"/>
      <c r="D94" s="76"/>
      <c r="E94" s="76"/>
      <c r="F94" s="30"/>
      <c r="G94" s="76"/>
      <c r="H94" s="76"/>
      <c r="I94" s="76"/>
      <c r="J94" s="30">
        <f>SUM(D94-SUM(G94:I94))</f>
        <v>0</v>
      </c>
      <c r="K94" s="76"/>
      <c r="L94" s="76"/>
      <c r="M94" s="76"/>
      <c r="N94" s="30">
        <f>SUM(E94-SUM(K94:M94))</f>
        <v>0</v>
      </c>
      <c r="O94" s="76"/>
      <c r="P94" s="76"/>
      <c r="Q94" s="76"/>
      <c r="S94" s="30">
        <f>SUM(H94:K94)</f>
        <v>0</v>
      </c>
      <c r="T94" s="30">
        <f>SUM(I94:L94)</f>
        <v>0</v>
      </c>
      <c r="U94" s="30">
        <f>SUM(J94:M94)</f>
        <v>0</v>
      </c>
      <c r="V94" s="30">
        <f>SUM(K94:N94)</f>
        <v>0</v>
      </c>
      <c r="W94" s="30">
        <f>SUM(L94:O94)</f>
        <v>0</v>
      </c>
      <c r="X94" s="30">
        <f>SUM(M94:P94)</f>
        <v>0</v>
      </c>
      <c r="Y94" s="30">
        <f>SUM(N94:P94)</f>
        <v>0</v>
      </c>
      <c r="Z94" s="11"/>
      <c r="AA94" s="68" t="e">
        <f>SUM(Y94/U94)-1</f>
        <v>#DIV/0!</v>
      </c>
    </row>
    <row r="95" spans="1:27" ht="12.75" customHeight="1">
      <c r="B95" s="56" t="s">
        <v>112</v>
      </c>
      <c r="C95" s="76"/>
      <c r="D95" s="76"/>
      <c r="E95" s="76"/>
      <c r="F95" s="30"/>
      <c r="G95" s="76"/>
      <c r="H95" s="76"/>
      <c r="I95" s="76"/>
      <c r="J95" s="30">
        <f>SUM(D95-SUM(G95:I95))</f>
        <v>0</v>
      </c>
      <c r="K95" s="76"/>
      <c r="L95" s="76"/>
      <c r="M95" s="76"/>
      <c r="N95" s="30">
        <f>SUM(E95-SUM(K95:M95))</f>
        <v>0</v>
      </c>
      <c r="O95" s="76"/>
      <c r="P95" s="76"/>
      <c r="Q95" s="76"/>
      <c r="S95" s="30">
        <f>SUM(H95:K95)</f>
        <v>0</v>
      </c>
      <c r="T95" s="30">
        <f>SUM(I95:L95)</f>
        <v>0</v>
      </c>
      <c r="U95" s="30">
        <f>SUM(J95:M95)</f>
        <v>0</v>
      </c>
      <c r="V95" s="30">
        <f>SUM(K95:N95)</f>
        <v>0</v>
      </c>
      <c r="W95" s="30">
        <f>SUM(L95:O95)</f>
        <v>0</v>
      </c>
      <c r="X95" s="30">
        <f>SUM(M95:P95)</f>
        <v>0</v>
      </c>
      <c r="Y95" s="30">
        <f>SUM(N95:P95)</f>
        <v>0</v>
      </c>
      <c r="Z95" s="11"/>
      <c r="AA95" s="68" t="e">
        <f>SUM(Y95/U95)-1</f>
        <v>#DIV/0!</v>
      </c>
    </row>
    <row r="96" spans="1:27" ht="12.75" customHeight="1">
      <c r="B96" s="56" t="s">
        <v>112</v>
      </c>
      <c r="C96" s="76"/>
      <c r="D96" s="76"/>
      <c r="E96" s="76"/>
      <c r="F96" s="30"/>
      <c r="G96" s="76"/>
      <c r="H96" s="76"/>
      <c r="I96" s="76"/>
      <c r="J96" s="30">
        <f>SUM(D96-SUM(G96:I96))</f>
        <v>0</v>
      </c>
      <c r="K96" s="76"/>
      <c r="L96" s="76"/>
      <c r="M96" s="76"/>
      <c r="N96" s="30">
        <f>SUM(E96-SUM(K96:M96))</f>
        <v>0</v>
      </c>
      <c r="O96" s="76"/>
      <c r="P96" s="76"/>
      <c r="Q96" s="76"/>
      <c r="S96" s="30">
        <f>SUM(H96:K96)</f>
        <v>0</v>
      </c>
      <c r="T96" s="30">
        <f>SUM(I96:L96)</f>
        <v>0</v>
      </c>
      <c r="U96" s="30">
        <f>SUM(J96:M96)</f>
        <v>0</v>
      </c>
      <c r="V96" s="30">
        <f>SUM(K96:N96)</f>
        <v>0</v>
      </c>
      <c r="W96" s="30">
        <f>SUM(L96:O96)</f>
        <v>0</v>
      </c>
      <c r="X96" s="30">
        <f>SUM(M96:P96)</f>
        <v>0</v>
      </c>
      <c r="Y96" s="30">
        <f>SUM(N96:P96)</f>
        <v>0</v>
      </c>
      <c r="Z96" s="11"/>
      <c r="AA96" s="68" t="e">
        <f>SUM(Y96/U96)-1</f>
        <v>#DIV/0!</v>
      </c>
    </row>
    <row r="97" spans="2:27" ht="12.75" customHeight="1">
      <c r="B97" s="56" t="s">
        <v>112</v>
      </c>
      <c r="C97" s="76"/>
      <c r="D97" s="76"/>
      <c r="E97" s="76"/>
      <c r="F97" s="30"/>
      <c r="G97" s="76"/>
      <c r="H97" s="76"/>
      <c r="I97" s="76"/>
      <c r="J97" s="30">
        <f>SUM(D97-SUM(G97:I97))</f>
        <v>0</v>
      </c>
      <c r="K97" s="76"/>
      <c r="L97" s="76"/>
      <c r="M97" s="76"/>
      <c r="N97" s="30">
        <f>SUM(E97-SUM(K97:M97))</f>
        <v>0</v>
      </c>
      <c r="O97" s="76"/>
      <c r="P97" s="76"/>
      <c r="Q97" s="76"/>
      <c r="S97" s="30">
        <f>SUM(H97:K97)</f>
        <v>0</v>
      </c>
      <c r="T97" s="30">
        <f>SUM(I97:L97)</f>
        <v>0</v>
      </c>
      <c r="U97" s="30">
        <f>SUM(J97:M97)</f>
        <v>0</v>
      </c>
      <c r="V97" s="30">
        <f>SUM(K97:N97)</f>
        <v>0</v>
      </c>
      <c r="W97" s="30">
        <f>SUM(L97:O97)</f>
        <v>0</v>
      </c>
      <c r="X97" s="30">
        <f>SUM(M97:P97)</f>
        <v>0</v>
      </c>
      <c r="Y97" s="30">
        <f>SUM(N97:P97)</f>
        <v>0</v>
      </c>
      <c r="Z97" s="11"/>
      <c r="AA97" s="68" t="e">
        <f>SUM(Y97/U97)-1</f>
        <v>#DIV/0!</v>
      </c>
    </row>
    <row r="98" spans="2:27" ht="12.75" customHeight="1">
      <c r="B98" s="56" t="s">
        <v>112</v>
      </c>
      <c r="C98" s="76"/>
      <c r="D98" s="76"/>
      <c r="E98" s="76"/>
      <c r="F98" s="30"/>
      <c r="G98" s="76"/>
      <c r="H98" s="76"/>
      <c r="I98" s="76"/>
      <c r="J98" s="30">
        <f>SUM(D98-SUM(G98:I98))</f>
        <v>0</v>
      </c>
      <c r="K98" s="76"/>
      <c r="L98" s="76"/>
      <c r="M98" s="76"/>
      <c r="N98" s="30">
        <f>SUM(E98-SUM(K98:M98))</f>
        <v>0</v>
      </c>
      <c r="O98" s="76"/>
      <c r="P98" s="76"/>
      <c r="Q98" s="76"/>
      <c r="S98" s="30">
        <f>SUM(H98:K98)</f>
        <v>0</v>
      </c>
      <c r="T98" s="30">
        <f>SUM(I98:L98)</f>
        <v>0</v>
      </c>
      <c r="U98" s="30">
        <f>SUM(J98:M98)</f>
        <v>0</v>
      </c>
      <c r="V98" s="30">
        <f>SUM(K98:N98)</f>
        <v>0</v>
      </c>
      <c r="W98" s="30">
        <f>SUM(L98:O98)</f>
        <v>0</v>
      </c>
      <c r="X98" s="30">
        <f>SUM(M98:P98)</f>
        <v>0</v>
      </c>
      <c r="Y98" s="30">
        <f>SUM(N98:P98)</f>
        <v>0</v>
      </c>
      <c r="Z98" s="11"/>
      <c r="AA98" s="68" t="e">
        <f>SUM(Y98/U98)-1</f>
        <v>#DIV/0!</v>
      </c>
    </row>
    <row r="99" spans="2:27" ht="12.75" customHeight="1">
      <c r="B99" s="56" t="s">
        <v>112</v>
      </c>
      <c r="C99" s="76"/>
      <c r="D99" s="76"/>
      <c r="E99" s="76"/>
      <c r="F99" s="30"/>
      <c r="G99" s="76"/>
      <c r="H99" s="76"/>
      <c r="I99" s="76"/>
      <c r="J99" s="30">
        <f>SUM(D99-SUM(G99:I99))</f>
        <v>0</v>
      </c>
      <c r="K99" s="76"/>
      <c r="L99" s="76"/>
      <c r="M99" s="76"/>
      <c r="N99" s="30">
        <f>SUM(E99-SUM(K99:M99))</f>
        <v>0</v>
      </c>
      <c r="O99" s="76"/>
      <c r="P99" s="76"/>
      <c r="Q99" s="76"/>
      <c r="S99" s="30">
        <f>SUM(H99:K99)</f>
        <v>0</v>
      </c>
      <c r="T99" s="30">
        <f>SUM(I99:L99)</f>
        <v>0</v>
      </c>
      <c r="U99" s="30">
        <f>SUM(J99:M99)</f>
        <v>0</v>
      </c>
      <c r="V99" s="30">
        <f>SUM(K99:N99)</f>
        <v>0</v>
      </c>
      <c r="W99" s="30">
        <f>SUM(L99:O99)</f>
        <v>0</v>
      </c>
      <c r="X99" s="30">
        <f>SUM(M99:P99)</f>
        <v>0</v>
      </c>
      <c r="Y99" s="30">
        <f>SUM(N99:P99)</f>
        <v>0</v>
      </c>
      <c r="Z99" s="11"/>
      <c r="AA99" s="68" t="e">
        <f>SUM(Y99/U99)-1</f>
        <v>#DIV/0!</v>
      </c>
    </row>
    <row r="100" spans="2:27" ht="12.75" customHeight="1">
      <c r="B100" s="56" t="s">
        <v>112</v>
      </c>
      <c r="C100" s="76"/>
      <c r="D100" s="76"/>
      <c r="E100" s="76"/>
      <c r="F100" s="30"/>
      <c r="G100" s="76"/>
      <c r="H100" s="76"/>
      <c r="I100" s="76"/>
      <c r="J100" s="30">
        <f>SUM(D100-SUM(G100:I100))</f>
        <v>0</v>
      </c>
      <c r="K100" s="76"/>
      <c r="L100" s="76"/>
      <c r="M100" s="76"/>
      <c r="N100" s="30">
        <f>SUM(E100-SUM(K100:M100))</f>
        <v>0</v>
      </c>
      <c r="O100" s="76"/>
      <c r="P100" s="76"/>
      <c r="Q100" s="76"/>
      <c r="S100" s="30">
        <f>SUM(H100:K100)</f>
        <v>0</v>
      </c>
      <c r="T100" s="30">
        <f>SUM(I100:L100)</f>
        <v>0</v>
      </c>
      <c r="U100" s="30">
        <f>SUM(J100:M100)</f>
        <v>0</v>
      </c>
      <c r="V100" s="30">
        <f>SUM(K100:N100)</f>
        <v>0</v>
      </c>
      <c r="W100" s="30">
        <f>SUM(L100:O100)</f>
        <v>0</v>
      </c>
      <c r="X100" s="30">
        <f>SUM(M100:P100)</f>
        <v>0</v>
      </c>
      <c r="Y100" s="30">
        <f>SUM(N100:P100)</f>
        <v>0</v>
      </c>
      <c r="Z100" s="11"/>
      <c r="AA100" s="68" t="e">
        <f>SUM(Y100/U100)-1</f>
        <v>#DIV/0!</v>
      </c>
    </row>
    <row r="101" spans="2:27" ht="12.75" customHeight="1">
      <c r="B101" s="56" t="s">
        <v>112</v>
      </c>
      <c r="C101" s="76"/>
      <c r="D101" s="76"/>
      <c r="E101" s="76"/>
      <c r="F101" s="30"/>
      <c r="G101" s="76"/>
      <c r="H101" s="76"/>
      <c r="I101" s="76"/>
      <c r="J101" s="30">
        <f>SUM(D101-SUM(G101:I101))</f>
        <v>0</v>
      </c>
      <c r="K101" s="76"/>
      <c r="L101" s="76"/>
      <c r="M101" s="76"/>
      <c r="N101" s="30">
        <f>SUM(E101-SUM(K101:M101))</f>
        <v>0</v>
      </c>
      <c r="O101" s="76"/>
      <c r="P101" s="76"/>
      <c r="Q101" s="76"/>
      <c r="S101" s="30">
        <f>SUM(H101:K101)</f>
        <v>0</v>
      </c>
      <c r="T101" s="30">
        <f>SUM(I101:L101)</f>
        <v>0</v>
      </c>
      <c r="U101" s="30">
        <f>SUM(J101:M101)</f>
        <v>0</v>
      </c>
      <c r="V101" s="30">
        <f>SUM(K101:N101)</f>
        <v>0</v>
      </c>
      <c r="W101" s="30">
        <f>SUM(L101:O101)</f>
        <v>0</v>
      </c>
      <c r="X101" s="30">
        <f>SUM(M101:P101)</f>
        <v>0</v>
      </c>
      <c r="Y101" s="30">
        <f>SUM(N101:P101)</f>
        <v>0</v>
      </c>
      <c r="Z101" s="11"/>
      <c r="AA101" s="68" t="e">
        <f>SUM(Y101/U101)-1</f>
        <v>#DIV/0!</v>
      </c>
    </row>
    <row r="102" spans="2:27" ht="12.75" customHeight="1">
      <c r="B102" s="56" t="s">
        <v>112</v>
      </c>
      <c r="C102" s="76"/>
      <c r="D102" s="76"/>
      <c r="E102" s="76"/>
      <c r="F102" s="30"/>
      <c r="G102" s="76"/>
      <c r="H102" s="76"/>
      <c r="I102" s="76"/>
      <c r="J102" s="30">
        <f>SUM(D102-SUM(G102:I102))</f>
        <v>0</v>
      </c>
      <c r="K102" s="76"/>
      <c r="L102" s="76"/>
      <c r="M102" s="76"/>
      <c r="N102" s="30">
        <f>SUM(E102-SUM(K102:M102))</f>
        <v>0</v>
      </c>
      <c r="O102" s="76"/>
      <c r="P102" s="76"/>
      <c r="Q102" s="76"/>
      <c r="S102" s="30">
        <f>SUM(H102:K102)</f>
        <v>0</v>
      </c>
      <c r="T102" s="30">
        <f>SUM(I102:L102)</f>
        <v>0</v>
      </c>
      <c r="U102" s="30">
        <f>SUM(J102:M102)</f>
        <v>0</v>
      </c>
      <c r="V102" s="30">
        <f>SUM(K102:N102)</f>
        <v>0</v>
      </c>
      <c r="W102" s="30">
        <f>SUM(L102:O102)</f>
        <v>0</v>
      </c>
      <c r="X102" s="30">
        <f>SUM(M102:P102)</f>
        <v>0</v>
      </c>
      <c r="Y102" s="30">
        <f>SUM(N102:P102)</f>
        <v>0</v>
      </c>
      <c r="Z102" s="11"/>
      <c r="AA102" s="68" t="e">
        <f>SUM(Y102/U102)-1</f>
        <v>#DIV/0!</v>
      </c>
    </row>
    <row r="103" spans="2:27" ht="5.0999999999999996" customHeight="1">
      <c r="B103" s="8"/>
      <c r="C103" s="76"/>
      <c r="D103" s="76"/>
      <c r="E103" s="76"/>
      <c r="F103" s="30"/>
      <c r="G103" s="76"/>
      <c r="H103" s="76"/>
      <c r="I103" s="76"/>
      <c r="J103" s="30"/>
      <c r="K103" s="76"/>
      <c r="L103" s="76"/>
      <c r="M103" s="76"/>
      <c r="N103" s="30"/>
      <c r="O103" s="76"/>
      <c r="P103" s="76"/>
      <c r="Q103" s="76"/>
      <c r="S103" s="30"/>
      <c r="T103" s="30"/>
      <c r="U103" s="30"/>
      <c r="V103" s="30"/>
      <c r="W103" s="30"/>
      <c r="X103" s="30"/>
      <c r="Y103" s="30"/>
      <c r="Z103" s="11"/>
      <c r="AA103" s="68"/>
    </row>
    <row r="104" spans="2:27" ht="12.75" customHeight="1">
      <c r="B104" s="33" t="s">
        <v>13</v>
      </c>
      <c r="C104" s="76"/>
      <c r="D104" s="76"/>
      <c r="E104" s="76"/>
      <c r="F104" s="30"/>
      <c r="G104" s="76"/>
      <c r="H104" s="76"/>
      <c r="I104" s="76"/>
      <c r="J104" s="30"/>
      <c r="K104" s="76"/>
      <c r="L104" s="76"/>
      <c r="M104" s="76"/>
      <c r="N104" s="30"/>
      <c r="O104" s="76"/>
      <c r="P104" s="76"/>
      <c r="Q104" s="76"/>
      <c r="S104" s="30"/>
      <c r="T104" s="30"/>
      <c r="U104" s="30"/>
      <c r="V104" s="30"/>
      <c r="W104" s="30"/>
      <c r="X104" s="30"/>
      <c r="Y104" s="30"/>
      <c r="Z104" s="55"/>
      <c r="AA104" s="68"/>
    </row>
    <row r="105" spans="2:27" ht="12.75" customHeight="1">
      <c r="B105" s="56" t="s">
        <v>88</v>
      </c>
      <c r="C105" s="76"/>
      <c r="D105" s="76"/>
      <c r="E105" s="76"/>
      <c r="F105" s="30"/>
      <c r="G105" s="76"/>
      <c r="H105" s="76"/>
      <c r="I105" s="76"/>
      <c r="J105" s="30">
        <f>SUM(D105-SUM(G105:I105))</f>
        <v>0</v>
      </c>
      <c r="K105" s="76"/>
      <c r="L105" s="76"/>
      <c r="M105" s="76"/>
      <c r="N105" s="30">
        <f>SUM(E105-SUM(K105:M105))</f>
        <v>0</v>
      </c>
      <c r="O105" s="76"/>
      <c r="P105" s="76"/>
      <c r="Q105" s="76"/>
      <c r="S105" s="30">
        <f>SUM(H105:K105)</f>
        <v>0</v>
      </c>
      <c r="T105" s="30">
        <f>SUM(I105:L105)</f>
        <v>0</v>
      </c>
      <c r="U105" s="30">
        <f>SUM(J105:M105)</f>
        <v>0</v>
      </c>
      <c r="V105" s="30">
        <f>SUM(K105:N105)</f>
        <v>0</v>
      </c>
      <c r="W105" s="30">
        <f>SUM(L105:O105)</f>
        <v>0</v>
      </c>
      <c r="X105" s="30">
        <f>SUM(M105:P105)</f>
        <v>0</v>
      </c>
      <c r="Y105" s="30">
        <f>SUM(N105:P105)</f>
        <v>0</v>
      </c>
      <c r="Z105" s="55"/>
      <c r="AA105" s="68" t="e">
        <f>SUM(Y105/U105)-1</f>
        <v>#DIV/0!</v>
      </c>
    </row>
    <row r="106" spans="2:27" ht="12.75" customHeight="1">
      <c r="B106" s="56" t="s">
        <v>112</v>
      </c>
      <c r="C106" s="76"/>
      <c r="D106" s="76"/>
      <c r="E106" s="76"/>
      <c r="F106" s="30"/>
      <c r="G106" s="76"/>
      <c r="H106" s="76"/>
      <c r="I106" s="76"/>
      <c r="J106" s="30">
        <f>SUM(D106-SUM(G106:I106))</f>
        <v>0</v>
      </c>
      <c r="K106" s="76"/>
      <c r="L106" s="76"/>
      <c r="M106" s="76"/>
      <c r="N106" s="30">
        <f>SUM(E106-SUM(K106:M106))</f>
        <v>0</v>
      </c>
      <c r="O106" s="76"/>
      <c r="P106" s="76"/>
      <c r="Q106" s="76"/>
      <c r="S106" s="30">
        <f>SUM(H106:K106)</f>
        <v>0</v>
      </c>
      <c r="T106" s="30">
        <f>SUM(I106:L106)</f>
        <v>0</v>
      </c>
      <c r="U106" s="30">
        <f>SUM(J106:M106)</f>
        <v>0</v>
      </c>
      <c r="V106" s="30">
        <f>SUM(K106:N106)</f>
        <v>0</v>
      </c>
      <c r="W106" s="30">
        <f>SUM(L106:O106)</f>
        <v>0</v>
      </c>
      <c r="X106" s="30">
        <f>SUM(M106:P106)</f>
        <v>0</v>
      </c>
      <c r="Y106" s="30">
        <f>SUM(N106:P106)</f>
        <v>0</v>
      </c>
      <c r="Z106" s="55"/>
      <c r="AA106" s="68" t="e">
        <f>SUM(Y106/U106)-1</f>
        <v>#DIV/0!</v>
      </c>
    </row>
    <row r="107" spans="2:27" ht="12.75" customHeight="1">
      <c r="B107" s="56" t="s">
        <v>112</v>
      </c>
      <c r="C107" s="76"/>
      <c r="D107" s="76"/>
      <c r="E107" s="76"/>
      <c r="F107" s="30"/>
      <c r="G107" s="76"/>
      <c r="H107" s="76"/>
      <c r="I107" s="76"/>
      <c r="J107" s="30">
        <f>SUM(D107-SUM(G107:I107))</f>
        <v>0</v>
      </c>
      <c r="K107" s="76"/>
      <c r="L107" s="76"/>
      <c r="M107" s="76"/>
      <c r="N107" s="30">
        <f>SUM(E107-SUM(K107:M107))</f>
        <v>0</v>
      </c>
      <c r="O107" s="76"/>
      <c r="P107" s="76"/>
      <c r="Q107" s="76"/>
      <c r="S107" s="30">
        <f>SUM(H107:K107)</f>
        <v>0</v>
      </c>
      <c r="T107" s="30">
        <f>SUM(I107:L107)</f>
        <v>0</v>
      </c>
      <c r="U107" s="30">
        <f>SUM(J107:M107)</f>
        <v>0</v>
      </c>
      <c r="V107" s="30">
        <f>SUM(K107:N107)</f>
        <v>0</v>
      </c>
      <c r="W107" s="30">
        <f>SUM(L107:O107)</f>
        <v>0</v>
      </c>
      <c r="X107" s="30">
        <f>SUM(M107:P107)</f>
        <v>0</v>
      </c>
      <c r="Y107" s="30">
        <f>SUM(N107:P107)</f>
        <v>0</v>
      </c>
      <c r="Z107" s="55"/>
      <c r="AA107" s="68" t="e">
        <f>SUM(Y107/U107)-1</f>
        <v>#DIV/0!</v>
      </c>
    </row>
    <row r="108" spans="2:27" ht="12.75" customHeight="1">
      <c r="B108" s="56" t="s">
        <v>112</v>
      </c>
      <c r="C108" s="76"/>
      <c r="D108" s="76"/>
      <c r="E108" s="76"/>
      <c r="F108" s="30"/>
      <c r="G108" s="76"/>
      <c r="H108" s="76"/>
      <c r="I108" s="76"/>
      <c r="J108" s="30">
        <f>SUM(D108-SUM(G108:I108))</f>
        <v>0</v>
      </c>
      <c r="K108" s="76"/>
      <c r="L108" s="76"/>
      <c r="M108" s="76"/>
      <c r="N108" s="30">
        <f>SUM(E108-SUM(K108:M108))</f>
        <v>0</v>
      </c>
      <c r="O108" s="76"/>
      <c r="P108" s="76"/>
      <c r="Q108" s="76"/>
      <c r="S108" s="30">
        <f>SUM(H108:K108)</f>
        <v>0</v>
      </c>
      <c r="T108" s="30">
        <f>SUM(I108:L108)</f>
        <v>0</v>
      </c>
      <c r="U108" s="30">
        <f>SUM(J108:M108)</f>
        <v>0</v>
      </c>
      <c r="V108" s="30">
        <f>SUM(K108:N108)</f>
        <v>0</v>
      </c>
      <c r="W108" s="30">
        <f>SUM(L108:O108)</f>
        <v>0</v>
      </c>
      <c r="X108" s="30">
        <f>SUM(M108:P108)</f>
        <v>0</v>
      </c>
      <c r="Y108" s="30">
        <f>SUM(N108:P108)</f>
        <v>0</v>
      </c>
      <c r="Z108" s="55"/>
      <c r="AA108" s="68" t="e">
        <f>SUM(Y108/U108)-1</f>
        <v>#DIV/0!</v>
      </c>
    </row>
    <row r="109" spans="2:27" ht="12.75" customHeight="1">
      <c r="B109" s="56" t="s">
        <v>112</v>
      </c>
      <c r="C109" s="76"/>
      <c r="D109" s="76"/>
      <c r="E109" s="76"/>
      <c r="F109" s="30"/>
      <c r="G109" s="76"/>
      <c r="H109" s="76"/>
      <c r="I109" s="76"/>
      <c r="J109" s="30">
        <f>SUM(D109-SUM(G109:I109))</f>
        <v>0</v>
      </c>
      <c r="K109" s="76"/>
      <c r="L109" s="76"/>
      <c r="M109" s="76"/>
      <c r="N109" s="30">
        <f>SUM(E109-SUM(K109:M109))</f>
        <v>0</v>
      </c>
      <c r="O109" s="76"/>
      <c r="P109" s="76"/>
      <c r="Q109" s="76"/>
      <c r="S109" s="30">
        <f>SUM(H109:K109)</f>
        <v>0</v>
      </c>
      <c r="T109" s="30">
        <f>SUM(I109:L109)</f>
        <v>0</v>
      </c>
      <c r="U109" s="30">
        <f>SUM(J109:M109)</f>
        <v>0</v>
      </c>
      <c r="V109" s="30">
        <f>SUM(K109:N109)</f>
        <v>0</v>
      </c>
      <c r="W109" s="30">
        <f>SUM(L109:O109)</f>
        <v>0</v>
      </c>
      <c r="X109" s="30">
        <f>SUM(M109:P109)</f>
        <v>0</v>
      </c>
      <c r="Y109" s="30">
        <f>SUM(N109:P109)</f>
        <v>0</v>
      </c>
      <c r="Z109" s="55"/>
      <c r="AA109" s="68" t="e">
        <f>SUM(Y109/U109)-1</f>
        <v>#DIV/0!</v>
      </c>
    </row>
    <row r="110" spans="2:27" ht="12.75" customHeight="1">
      <c r="B110" s="56" t="s">
        <v>112</v>
      </c>
      <c r="C110" s="76"/>
      <c r="D110" s="76"/>
      <c r="E110" s="76"/>
      <c r="F110" s="30"/>
      <c r="G110" s="76"/>
      <c r="H110" s="76"/>
      <c r="I110" s="76"/>
      <c r="J110" s="30">
        <f>SUM(D110-SUM(G110:I110))</f>
        <v>0</v>
      </c>
      <c r="K110" s="76"/>
      <c r="L110" s="76"/>
      <c r="M110" s="76"/>
      <c r="N110" s="30">
        <f>SUM(E110-SUM(K110:M110))</f>
        <v>0</v>
      </c>
      <c r="O110" s="76"/>
      <c r="P110" s="76"/>
      <c r="Q110" s="76"/>
      <c r="S110" s="30">
        <f>SUM(H110:K110)</f>
        <v>0</v>
      </c>
      <c r="T110" s="30">
        <f>SUM(I110:L110)</f>
        <v>0</v>
      </c>
      <c r="U110" s="30">
        <f>SUM(J110:M110)</f>
        <v>0</v>
      </c>
      <c r="V110" s="30">
        <f>SUM(K110:N110)</f>
        <v>0</v>
      </c>
      <c r="W110" s="30">
        <f>SUM(L110:O110)</f>
        <v>0</v>
      </c>
      <c r="X110" s="30">
        <f>SUM(M110:P110)</f>
        <v>0</v>
      </c>
      <c r="Y110" s="30">
        <f>SUM(N110:P110)</f>
        <v>0</v>
      </c>
      <c r="Z110" s="55"/>
      <c r="AA110" s="68" t="e">
        <f>SUM(Y110/U110)-1</f>
        <v>#DIV/0!</v>
      </c>
    </row>
    <row r="111" spans="2:27" ht="12.75" customHeight="1">
      <c r="B111" s="12" t="s">
        <v>55</v>
      </c>
      <c r="C111" s="13">
        <f>SUM(C91:C110)</f>
        <v>-2722</v>
      </c>
      <c r="D111" s="13">
        <f>SUM(D91:D110)</f>
        <v>-474</v>
      </c>
      <c r="E111" s="13">
        <f>SUM(E91:E110)</f>
        <v>1560</v>
      </c>
      <c r="G111" s="13">
        <f t="shared" ref="G111:Q111" si="177">SUM(G91:G110)</f>
        <v>-346</v>
      </c>
      <c r="H111" s="13">
        <f t="shared" si="177"/>
        <v>-149</v>
      </c>
      <c r="I111" s="13">
        <f t="shared" si="177"/>
        <v>-185</v>
      </c>
      <c r="J111" s="13">
        <f t="shared" si="177"/>
        <v>206</v>
      </c>
      <c r="K111" s="13">
        <f t="shared" si="177"/>
        <v>-106</v>
      </c>
      <c r="L111" s="13">
        <f t="shared" si="177"/>
        <v>1280</v>
      </c>
      <c r="M111" s="13">
        <f t="shared" si="177"/>
        <v>-99</v>
      </c>
      <c r="N111" s="13">
        <f t="shared" si="177"/>
        <v>485</v>
      </c>
      <c r="O111" s="13">
        <f t="shared" si="177"/>
        <v>264</v>
      </c>
      <c r="P111" s="13">
        <f t="shared" si="177"/>
        <v>492</v>
      </c>
      <c r="Q111" s="13">
        <f t="shared" si="177"/>
        <v>454</v>
      </c>
      <c r="S111" s="13">
        <f t="shared" ref="S111:Y111" si="178">SUM(S91:S110)</f>
        <v>-474</v>
      </c>
      <c r="T111" s="13">
        <f t="shared" si="178"/>
        <v>-234</v>
      </c>
      <c r="U111" s="13">
        <f t="shared" si="178"/>
        <v>1195</v>
      </c>
      <c r="V111" s="13">
        <f t="shared" si="178"/>
        <v>1281</v>
      </c>
      <c r="W111" s="13">
        <f t="shared" si="178"/>
        <v>1560</v>
      </c>
      <c r="X111" s="13">
        <f t="shared" si="178"/>
        <v>1930</v>
      </c>
      <c r="Y111" s="13">
        <f t="shared" si="178"/>
        <v>1142</v>
      </c>
      <c r="Z111" s="39"/>
      <c r="AA111" s="69">
        <f>SUM(Y111/U111)-1</f>
        <v>-4.4351464435146482E-2</v>
      </c>
    </row>
    <row r="112" spans="2:27" ht="12.75" customHeight="1">
      <c r="B112" s="49"/>
      <c r="C112" s="57"/>
      <c r="D112" s="57"/>
      <c r="E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S112" s="39"/>
      <c r="T112" s="39"/>
      <c r="U112" s="39"/>
      <c r="V112" s="39"/>
      <c r="W112" s="39"/>
      <c r="X112" s="39"/>
      <c r="Y112" s="39"/>
      <c r="Z112" s="39"/>
      <c r="AA112" s="36"/>
    </row>
    <row r="113" spans="2:27" ht="12.75" customHeight="1">
      <c r="B113" s="112" t="s">
        <v>56</v>
      </c>
      <c r="C113" s="54"/>
      <c r="D113" s="54"/>
      <c r="E113" s="54"/>
      <c r="G113" s="76"/>
      <c r="H113" s="76"/>
      <c r="I113" s="76"/>
      <c r="J113" s="30"/>
      <c r="K113" s="76"/>
      <c r="L113" s="76"/>
      <c r="M113" s="76"/>
      <c r="N113" s="30"/>
      <c r="O113" s="76"/>
      <c r="P113" s="76"/>
      <c r="Q113" s="76"/>
      <c r="S113" s="54"/>
      <c r="T113" s="54"/>
      <c r="U113" s="54"/>
      <c r="V113" s="54"/>
      <c r="W113" s="54"/>
      <c r="X113" s="54"/>
      <c r="Y113" s="54"/>
      <c r="Z113" s="55"/>
      <c r="AA113" s="36"/>
    </row>
    <row r="114" spans="2:27" ht="12.75" customHeight="1">
      <c r="B114" s="56" t="s">
        <v>89</v>
      </c>
      <c r="C114" s="76"/>
      <c r="D114" s="76"/>
      <c r="E114" s="76"/>
      <c r="F114" s="30"/>
      <c r="G114" s="76"/>
      <c r="H114" s="76"/>
      <c r="I114" s="76"/>
      <c r="J114" s="30">
        <f>SUM(D114-SUM(G114:I114))</f>
        <v>0</v>
      </c>
      <c r="K114" s="76"/>
      <c r="L114" s="76"/>
      <c r="M114" s="76"/>
      <c r="N114" s="30">
        <f>SUM(E114-SUM(K114:M114))</f>
        <v>0</v>
      </c>
      <c r="O114" s="76"/>
      <c r="P114" s="76"/>
      <c r="Q114" s="76"/>
      <c r="R114" s="30"/>
      <c r="S114" s="30">
        <f>SUM(H114:K114)</f>
        <v>0</v>
      </c>
      <c r="T114" s="30">
        <f>SUM(I114:L114)</f>
        <v>0</v>
      </c>
      <c r="U114" s="30">
        <f>SUM(J114:M114)</f>
        <v>0</v>
      </c>
      <c r="V114" s="30">
        <f>SUM(K114:N114)</f>
        <v>0</v>
      </c>
      <c r="W114" s="30">
        <f>SUM(L114:O114)</f>
        <v>0</v>
      </c>
      <c r="X114" s="30">
        <f>SUM(M114:P114)</f>
        <v>0</v>
      </c>
      <c r="Y114" s="30">
        <f>SUM(N114:P114)</f>
        <v>0</v>
      </c>
      <c r="Z114" s="55"/>
      <c r="AA114" s="68" t="e">
        <f>SUM(Y114/U114)-1</f>
        <v>#DIV/0!</v>
      </c>
    </row>
    <row r="115" spans="2:27" ht="12.75" customHeight="1">
      <c r="B115" s="56" t="s">
        <v>112</v>
      </c>
      <c r="C115" s="76"/>
      <c r="D115" s="76"/>
      <c r="E115" s="76"/>
      <c r="F115" s="30"/>
      <c r="G115" s="76"/>
      <c r="H115" s="76"/>
      <c r="I115" s="76"/>
      <c r="J115" s="30">
        <f>SUM(D115-SUM(G115:I115))</f>
        <v>0</v>
      </c>
      <c r="K115" s="76"/>
      <c r="L115" s="76"/>
      <c r="M115" s="76"/>
      <c r="N115" s="30">
        <f>SUM(E115-SUM(K115:M115))</f>
        <v>0</v>
      </c>
      <c r="O115" s="76"/>
      <c r="P115" s="76"/>
      <c r="Q115" s="76"/>
      <c r="R115" s="30"/>
      <c r="S115" s="30">
        <f>SUM(H115:K115)</f>
        <v>0</v>
      </c>
      <c r="T115" s="30">
        <f>SUM(I115:L115)</f>
        <v>0</v>
      </c>
      <c r="U115" s="30">
        <f>SUM(J115:M115)</f>
        <v>0</v>
      </c>
      <c r="V115" s="30">
        <f>SUM(K115:N115)</f>
        <v>0</v>
      </c>
      <c r="W115" s="30">
        <f>SUM(L115:O115)</f>
        <v>0</v>
      </c>
      <c r="X115" s="30">
        <f>SUM(M115:P115)</f>
        <v>0</v>
      </c>
      <c r="Y115" s="30">
        <f>SUM(N115:P115)</f>
        <v>0</v>
      </c>
      <c r="Z115" s="55"/>
      <c r="AA115" s="68" t="e">
        <f>SUM(Y115/U115)-1</f>
        <v>#DIV/0!</v>
      </c>
    </row>
    <row r="116" spans="2:27" ht="12.75" customHeight="1">
      <c r="B116" s="56" t="s">
        <v>112</v>
      </c>
      <c r="C116" s="76"/>
      <c r="D116" s="76"/>
      <c r="E116" s="76"/>
      <c r="F116" s="30"/>
      <c r="G116" s="76"/>
      <c r="H116" s="76"/>
      <c r="I116" s="76"/>
      <c r="J116" s="30">
        <f>SUM(D116-SUM(G116:I116))</f>
        <v>0</v>
      </c>
      <c r="K116" s="76"/>
      <c r="L116" s="76"/>
      <c r="M116" s="76"/>
      <c r="N116" s="30">
        <f>SUM(E116-SUM(K116:M116))</f>
        <v>0</v>
      </c>
      <c r="O116" s="76"/>
      <c r="P116" s="76"/>
      <c r="Q116" s="76"/>
      <c r="R116" s="30"/>
      <c r="S116" s="30">
        <f>SUM(H116:K116)</f>
        <v>0</v>
      </c>
      <c r="T116" s="30">
        <f>SUM(I116:L116)</f>
        <v>0</v>
      </c>
      <c r="U116" s="30">
        <f>SUM(J116:M116)</f>
        <v>0</v>
      </c>
      <c r="V116" s="30">
        <f>SUM(K116:N116)</f>
        <v>0</v>
      </c>
      <c r="W116" s="30">
        <f>SUM(L116:O116)</f>
        <v>0</v>
      </c>
      <c r="X116" s="30">
        <f>SUM(M116:P116)</f>
        <v>0</v>
      </c>
      <c r="Y116" s="30">
        <f>SUM(N116:P116)</f>
        <v>0</v>
      </c>
      <c r="Z116" s="55"/>
      <c r="AA116" s="68" t="e">
        <f>SUM(Y116/U116)-1</f>
        <v>#DIV/0!</v>
      </c>
    </row>
    <row r="117" spans="2:27" ht="12.75" customHeight="1">
      <c r="B117" s="56" t="s">
        <v>112</v>
      </c>
      <c r="C117" s="76"/>
      <c r="D117" s="76"/>
      <c r="E117" s="76"/>
      <c r="F117" s="30"/>
      <c r="G117" s="76"/>
      <c r="H117" s="76"/>
      <c r="I117" s="76"/>
      <c r="J117" s="30">
        <f>SUM(D117-SUM(G117:I117))</f>
        <v>0</v>
      </c>
      <c r="K117" s="76"/>
      <c r="L117" s="76"/>
      <c r="M117" s="76"/>
      <c r="N117" s="30">
        <f>SUM(E117-SUM(K117:M117))</f>
        <v>0</v>
      </c>
      <c r="O117" s="76"/>
      <c r="P117" s="76"/>
      <c r="Q117" s="76"/>
      <c r="R117" s="30"/>
      <c r="S117" s="30">
        <f>SUM(H117:K117)</f>
        <v>0</v>
      </c>
      <c r="T117" s="30">
        <f>SUM(I117:L117)</f>
        <v>0</v>
      </c>
      <c r="U117" s="30">
        <f>SUM(J117:M117)</f>
        <v>0</v>
      </c>
      <c r="V117" s="30">
        <f>SUM(K117:N117)</f>
        <v>0</v>
      </c>
      <c r="W117" s="30">
        <f>SUM(L117:O117)</f>
        <v>0</v>
      </c>
      <c r="X117" s="30">
        <f>SUM(M117:P117)</f>
        <v>0</v>
      </c>
      <c r="Y117" s="30">
        <f>SUM(N117:P117)</f>
        <v>0</v>
      </c>
      <c r="Z117" s="55"/>
      <c r="AA117" s="68" t="e">
        <f>SUM(Y117/U117)-1</f>
        <v>#DIV/0!</v>
      </c>
    </row>
    <row r="118" spans="2:27" ht="12.75" customHeight="1">
      <c r="B118" s="56" t="s">
        <v>112</v>
      </c>
      <c r="C118" s="76"/>
      <c r="D118" s="76"/>
      <c r="E118" s="76"/>
      <c r="F118" s="30"/>
      <c r="G118" s="76"/>
      <c r="H118" s="76"/>
      <c r="I118" s="76"/>
      <c r="J118" s="30">
        <f>SUM(D118-SUM(G118:I118))</f>
        <v>0</v>
      </c>
      <c r="K118" s="76"/>
      <c r="L118" s="76"/>
      <c r="M118" s="76"/>
      <c r="N118" s="30">
        <f>SUM(E118-SUM(K118:M118))</f>
        <v>0</v>
      </c>
      <c r="O118" s="76"/>
      <c r="P118" s="76"/>
      <c r="Q118" s="76"/>
      <c r="R118" s="30"/>
      <c r="S118" s="30">
        <f>SUM(H118:K118)</f>
        <v>0</v>
      </c>
      <c r="T118" s="30">
        <f>SUM(I118:L118)</f>
        <v>0</v>
      </c>
      <c r="U118" s="30">
        <f>SUM(J118:M118)</f>
        <v>0</v>
      </c>
      <c r="V118" s="30">
        <f>SUM(K118:N118)</f>
        <v>0</v>
      </c>
      <c r="W118" s="30">
        <f>SUM(L118:O118)</f>
        <v>0</v>
      </c>
      <c r="X118" s="30">
        <f>SUM(M118:P118)</f>
        <v>0</v>
      </c>
      <c r="Y118" s="30">
        <f>SUM(N118:P118)</f>
        <v>0</v>
      </c>
      <c r="Z118" s="55"/>
      <c r="AA118" s="68" t="e">
        <f>SUM(Y118/U118)-1</f>
        <v>#DIV/0!</v>
      </c>
    </row>
    <row r="119" spans="2:27" ht="12.75" customHeight="1">
      <c r="B119" s="12" t="s">
        <v>57</v>
      </c>
      <c r="C119" s="13">
        <f t="shared" ref="C119:E119" si="179">SUM(C114:C118)</f>
        <v>0</v>
      </c>
      <c r="D119" s="13">
        <f t="shared" si="179"/>
        <v>0</v>
      </c>
      <c r="E119" s="13">
        <f t="shared" si="179"/>
        <v>0</v>
      </c>
      <c r="G119" s="13">
        <f t="shared" ref="G119:P119" si="180">SUM(G114:G118)</f>
        <v>0</v>
      </c>
      <c r="H119" s="13">
        <f t="shared" si="180"/>
        <v>0</v>
      </c>
      <c r="I119" s="13">
        <f t="shared" si="180"/>
        <v>0</v>
      </c>
      <c r="J119" s="13">
        <f t="shared" si="180"/>
        <v>0</v>
      </c>
      <c r="K119" s="13">
        <f t="shared" si="180"/>
        <v>0</v>
      </c>
      <c r="L119" s="13">
        <f t="shared" si="180"/>
        <v>0</v>
      </c>
      <c r="M119" s="13">
        <f t="shared" si="180"/>
        <v>0</v>
      </c>
      <c r="N119" s="13">
        <f t="shared" si="180"/>
        <v>0</v>
      </c>
      <c r="O119" s="13">
        <f t="shared" si="180"/>
        <v>0</v>
      </c>
      <c r="P119" s="13">
        <f t="shared" si="180"/>
        <v>0</v>
      </c>
      <c r="Q119" s="13">
        <f t="shared" ref="Q119" si="181">SUM(Q114:Q118)</f>
        <v>0</v>
      </c>
      <c r="S119" s="13">
        <f t="shared" ref="S119:Y119" si="182">SUM(S114:S118)</f>
        <v>0</v>
      </c>
      <c r="T119" s="13">
        <f t="shared" si="182"/>
        <v>0</v>
      </c>
      <c r="U119" s="13">
        <f t="shared" si="182"/>
        <v>0</v>
      </c>
      <c r="V119" s="13">
        <f t="shared" si="182"/>
        <v>0</v>
      </c>
      <c r="W119" s="13">
        <f t="shared" si="182"/>
        <v>0</v>
      </c>
      <c r="X119" s="13">
        <f t="shared" si="182"/>
        <v>0</v>
      </c>
      <c r="Y119" s="13">
        <f t="shared" si="182"/>
        <v>0</v>
      </c>
      <c r="Z119" s="39"/>
      <c r="AA119" s="69" t="e">
        <f>SUM(Y119/U119)-1</f>
        <v>#DIV/0!</v>
      </c>
    </row>
    <row r="120" spans="2:27" ht="5.0999999999999996" customHeight="1">
      <c r="B120" s="48"/>
      <c r="C120" s="57"/>
      <c r="D120" s="57"/>
      <c r="E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S120" s="39"/>
      <c r="T120" s="39"/>
      <c r="U120" s="39"/>
      <c r="V120" s="39"/>
      <c r="W120" s="39"/>
      <c r="X120" s="39"/>
      <c r="Y120" s="39"/>
      <c r="Z120" s="39"/>
      <c r="AA120" s="36"/>
    </row>
    <row r="121" spans="2:27" ht="12.75" customHeight="1">
      <c r="B121" s="112" t="s">
        <v>58</v>
      </c>
      <c r="C121" s="58"/>
      <c r="D121" s="58"/>
      <c r="E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30"/>
      <c r="S121" s="30"/>
      <c r="T121" s="30"/>
      <c r="U121" s="30"/>
      <c r="V121" s="30"/>
      <c r="W121" s="30"/>
      <c r="X121" s="30"/>
      <c r="Y121" s="30"/>
      <c r="Z121" s="59"/>
      <c r="AA121" s="36"/>
    </row>
    <row r="122" spans="2:27" ht="12.75" customHeight="1">
      <c r="B122" s="77" t="s">
        <v>110</v>
      </c>
      <c r="C122" s="76"/>
      <c r="D122" s="76"/>
      <c r="E122" s="76"/>
      <c r="G122" s="76"/>
      <c r="H122" s="76"/>
      <c r="I122" s="76"/>
      <c r="J122" s="30">
        <f>SUM(D122-SUM(G122:I122))</f>
        <v>0</v>
      </c>
      <c r="K122" s="76"/>
      <c r="L122" s="76"/>
      <c r="M122" s="76"/>
      <c r="N122" s="30">
        <f>SUM(E122-SUM(K122:M122))</f>
        <v>0</v>
      </c>
      <c r="O122" s="76"/>
      <c r="P122" s="76"/>
      <c r="Q122" s="76"/>
      <c r="R122" s="30"/>
      <c r="S122" s="30">
        <f>SUM(H122:K122)</f>
        <v>0</v>
      </c>
      <c r="T122" s="30">
        <f>SUM(I122:L122)</f>
        <v>0</v>
      </c>
      <c r="U122" s="30">
        <f>SUM(J122:M122)</f>
        <v>0</v>
      </c>
      <c r="V122" s="30">
        <f>SUM(K122:N122)</f>
        <v>0</v>
      </c>
      <c r="W122" s="30">
        <f>SUM(L122:O122)</f>
        <v>0</v>
      </c>
      <c r="X122" s="30">
        <f>SUM(M122:P122)</f>
        <v>0</v>
      </c>
      <c r="Y122" s="30">
        <f>SUM(N122:P122)</f>
        <v>0</v>
      </c>
      <c r="Z122" s="59"/>
      <c r="AA122" s="68" t="e">
        <f>SUM(Y122/U122)-1</f>
        <v>#DIV/0!</v>
      </c>
    </row>
    <row r="123" spans="2:27" ht="12.75" customHeight="1">
      <c r="B123" s="56" t="s">
        <v>112</v>
      </c>
      <c r="C123" s="76"/>
      <c r="D123" s="76"/>
      <c r="E123" s="76"/>
      <c r="F123" s="30"/>
      <c r="G123" s="76"/>
      <c r="H123" s="76"/>
      <c r="I123" s="76"/>
      <c r="J123" s="30">
        <f>SUM(D123-SUM(G123:I123))</f>
        <v>0</v>
      </c>
      <c r="K123" s="76"/>
      <c r="L123" s="76"/>
      <c r="M123" s="76"/>
      <c r="N123" s="30">
        <f>SUM(E123-SUM(K123:M123))</f>
        <v>0</v>
      </c>
      <c r="O123" s="76"/>
      <c r="P123" s="76"/>
      <c r="Q123" s="76"/>
      <c r="R123" s="30"/>
      <c r="S123" s="30">
        <f>SUM(H123:K123)</f>
        <v>0</v>
      </c>
      <c r="T123" s="30">
        <f>SUM(I123:L123)</f>
        <v>0</v>
      </c>
      <c r="U123" s="30">
        <f>SUM(J123:M123)</f>
        <v>0</v>
      </c>
      <c r="V123" s="30">
        <f>SUM(K123:N123)</f>
        <v>0</v>
      </c>
      <c r="W123" s="30">
        <f>SUM(L123:O123)</f>
        <v>0</v>
      </c>
      <c r="X123" s="30">
        <f>SUM(M123:P123)</f>
        <v>0</v>
      </c>
      <c r="Y123" s="30">
        <f>SUM(N123:P123)</f>
        <v>0</v>
      </c>
      <c r="Z123" s="55"/>
      <c r="AA123" s="68" t="e">
        <f>SUM(Y123/U123)-1</f>
        <v>#DIV/0!</v>
      </c>
    </row>
    <row r="124" spans="2:27" ht="12.75" customHeight="1">
      <c r="B124" s="56" t="s">
        <v>112</v>
      </c>
      <c r="C124" s="76"/>
      <c r="D124" s="76"/>
      <c r="E124" s="76"/>
      <c r="F124" s="30"/>
      <c r="G124" s="76"/>
      <c r="H124" s="76"/>
      <c r="I124" s="76"/>
      <c r="J124" s="30">
        <f>SUM(D124-SUM(G124:I124))</f>
        <v>0</v>
      </c>
      <c r="K124" s="76"/>
      <c r="L124" s="76"/>
      <c r="M124" s="76"/>
      <c r="N124" s="30">
        <f>SUM(E124-SUM(K124:M124))</f>
        <v>0</v>
      </c>
      <c r="O124" s="76"/>
      <c r="P124" s="76"/>
      <c r="Q124" s="76"/>
      <c r="R124" s="30"/>
      <c r="S124" s="30">
        <f>SUM(H124:K124)</f>
        <v>0</v>
      </c>
      <c r="T124" s="30">
        <f>SUM(I124:L124)</f>
        <v>0</v>
      </c>
      <c r="U124" s="30">
        <f>SUM(J124:M124)</f>
        <v>0</v>
      </c>
      <c r="V124" s="30">
        <f>SUM(K124:N124)</f>
        <v>0</v>
      </c>
      <c r="W124" s="30">
        <f>SUM(L124:O124)</f>
        <v>0</v>
      </c>
      <c r="X124" s="30">
        <f>SUM(M124:P124)</f>
        <v>0</v>
      </c>
      <c r="Y124" s="30">
        <f>SUM(N124:P124)</f>
        <v>0</v>
      </c>
      <c r="Z124" s="55"/>
      <c r="AA124" s="68" t="e">
        <f>SUM(Y124/U124)-1</f>
        <v>#DIV/0!</v>
      </c>
    </row>
    <row r="125" spans="2:27" ht="12.75" customHeight="1">
      <c r="B125" s="56" t="s">
        <v>112</v>
      </c>
      <c r="C125" s="76"/>
      <c r="D125" s="76"/>
      <c r="E125" s="76"/>
      <c r="F125" s="30"/>
      <c r="G125" s="76"/>
      <c r="H125" s="76"/>
      <c r="I125" s="76"/>
      <c r="J125" s="30">
        <f>SUM(D125-SUM(G125:I125))</f>
        <v>0</v>
      </c>
      <c r="K125" s="76"/>
      <c r="L125" s="76"/>
      <c r="M125" s="76"/>
      <c r="N125" s="30">
        <f>SUM(E125-SUM(K125:M125))</f>
        <v>0</v>
      </c>
      <c r="O125" s="76"/>
      <c r="P125" s="76"/>
      <c r="Q125" s="76"/>
      <c r="R125" s="30"/>
      <c r="S125" s="30">
        <f>SUM(H125:K125)</f>
        <v>0</v>
      </c>
      <c r="T125" s="30">
        <f>SUM(I125:L125)</f>
        <v>0</v>
      </c>
      <c r="U125" s="30">
        <f>SUM(J125:M125)</f>
        <v>0</v>
      </c>
      <c r="V125" s="30">
        <f>SUM(K125:N125)</f>
        <v>0</v>
      </c>
      <c r="W125" s="30">
        <f>SUM(L125:O125)</f>
        <v>0</v>
      </c>
      <c r="X125" s="30">
        <f>SUM(M125:P125)</f>
        <v>0</v>
      </c>
      <c r="Y125" s="30">
        <f>SUM(N125:P125)</f>
        <v>0</v>
      </c>
      <c r="Z125" s="55"/>
      <c r="AA125" s="68" t="e">
        <f>SUM(Y125/U125)-1</f>
        <v>#DIV/0!</v>
      </c>
    </row>
    <row r="126" spans="2:27" ht="12.75" customHeight="1">
      <c r="B126" s="56" t="s">
        <v>112</v>
      </c>
      <c r="C126" s="76"/>
      <c r="D126" s="76"/>
      <c r="E126" s="76"/>
      <c r="F126" s="30"/>
      <c r="G126" s="76"/>
      <c r="H126" s="76"/>
      <c r="I126" s="76"/>
      <c r="J126" s="30">
        <f>SUM(D126-SUM(G126:I126))</f>
        <v>0</v>
      </c>
      <c r="K126" s="76"/>
      <c r="L126" s="76"/>
      <c r="M126" s="76"/>
      <c r="N126" s="30">
        <f>SUM(E126-SUM(K126:M126))</f>
        <v>0</v>
      </c>
      <c r="O126" s="76"/>
      <c r="P126" s="76"/>
      <c r="Q126" s="76"/>
      <c r="R126" s="30"/>
      <c r="S126" s="30">
        <f>SUM(H126:K126)</f>
        <v>0</v>
      </c>
      <c r="T126" s="30">
        <f>SUM(I126:L126)</f>
        <v>0</v>
      </c>
      <c r="U126" s="30">
        <f>SUM(J126:M126)</f>
        <v>0</v>
      </c>
      <c r="V126" s="30">
        <f>SUM(K126:N126)</f>
        <v>0</v>
      </c>
      <c r="W126" s="30">
        <f>SUM(L126:O126)</f>
        <v>0</v>
      </c>
      <c r="X126" s="30">
        <f>SUM(M126:P126)</f>
        <v>0</v>
      </c>
      <c r="Y126" s="30">
        <f>SUM(N126:P126)</f>
        <v>0</v>
      </c>
      <c r="Z126" s="55"/>
      <c r="AA126" s="68" t="e">
        <f>SUM(Y126/U126)-1</f>
        <v>#DIV/0!</v>
      </c>
    </row>
    <row r="127" spans="2:27" ht="12.75" customHeight="1">
      <c r="B127" s="56" t="s">
        <v>112</v>
      </c>
      <c r="C127" s="76"/>
      <c r="D127" s="76"/>
      <c r="E127" s="76"/>
      <c r="F127" s="30"/>
      <c r="G127" s="76"/>
      <c r="H127" s="76"/>
      <c r="I127" s="76"/>
      <c r="J127" s="30">
        <f>SUM(D127-SUM(G127:I127))</f>
        <v>0</v>
      </c>
      <c r="K127" s="76"/>
      <c r="L127" s="76"/>
      <c r="M127" s="76"/>
      <c r="N127" s="30">
        <f>SUM(E127-SUM(K127:M127))</f>
        <v>0</v>
      </c>
      <c r="O127" s="76"/>
      <c r="P127" s="76"/>
      <c r="Q127" s="76"/>
      <c r="R127" s="30"/>
      <c r="S127" s="30">
        <f>SUM(H127:K127)</f>
        <v>0</v>
      </c>
      <c r="T127" s="30">
        <f>SUM(I127:L127)</f>
        <v>0</v>
      </c>
      <c r="U127" s="30">
        <f>SUM(J127:M127)</f>
        <v>0</v>
      </c>
      <c r="V127" s="30">
        <f>SUM(K127:N127)</f>
        <v>0</v>
      </c>
      <c r="W127" s="30">
        <f>SUM(L127:O127)</f>
        <v>0</v>
      </c>
      <c r="X127" s="30">
        <f>SUM(M127:P127)</f>
        <v>0</v>
      </c>
      <c r="Y127" s="30">
        <f>SUM(N127:P127)</f>
        <v>0</v>
      </c>
      <c r="Z127" s="55"/>
      <c r="AA127" s="68" t="e">
        <f>SUM(Y127/U127)-1</f>
        <v>#DIV/0!</v>
      </c>
    </row>
    <row r="128" spans="2:27" ht="12.75" customHeight="1">
      <c r="B128" s="12" t="s">
        <v>59</v>
      </c>
      <c r="C128" s="13">
        <f t="shared" ref="C128:E128" si="183">SUM(C122:C127)</f>
        <v>0</v>
      </c>
      <c r="D128" s="13">
        <f t="shared" si="183"/>
        <v>0</v>
      </c>
      <c r="E128" s="13">
        <f t="shared" si="183"/>
        <v>0</v>
      </c>
      <c r="G128" s="13">
        <f t="shared" ref="G128:P128" si="184">SUM(G122:G127)</f>
        <v>0</v>
      </c>
      <c r="H128" s="13">
        <f t="shared" si="184"/>
        <v>0</v>
      </c>
      <c r="I128" s="13">
        <f t="shared" si="184"/>
        <v>0</v>
      </c>
      <c r="J128" s="13">
        <f t="shared" si="184"/>
        <v>0</v>
      </c>
      <c r="K128" s="13">
        <f t="shared" si="184"/>
        <v>0</v>
      </c>
      <c r="L128" s="13">
        <f t="shared" si="184"/>
        <v>0</v>
      </c>
      <c r="M128" s="13">
        <f t="shared" si="184"/>
        <v>0</v>
      </c>
      <c r="N128" s="13">
        <f t="shared" si="184"/>
        <v>0</v>
      </c>
      <c r="O128" s="13">
        <f t="shared" si="184"/>
        <v>0</v>
      </c>
      <c r="P128" s="13">
        <f t="shared" si="184"/>
        <v>0</v>
      </c>
      <c r="Q128" s="13">
        <f t="shared" ref="Q128" si="185">SUM(Q122:Q127)</f>
        <v>0</v>
      </c>
      <c r="S128" s="13">
        <f t="shared" ref="S128:Y128" si="186">SUM(S122:S127)</f>
        <v>0</v>
      </c>
      <c r="T128" s="13">
        <f t="shared" si="186"/>
        <v>0</v>
      </c>
      <c r="U128" s="13">
        <f t="shared" si="186"/>
        <v>0</v>
      </c>
      <c r="V128" s="13">
        <f t="shared" si="186"/>
        <v>0</v>
      </c>
      <c r="W128" s="13">
        <f t="shared" si="186"/>
        <v>0</v>
      </c>
      <c r="X128" s="13">
        <f t="shared" si="186"/>
        <v>0</v>
      </c>
      <c r="Y128" s="13">
        <f t="shared" si="186"/>
        <v>0</v>
      </c>
      <c r="Z128" s="39"/>
      <c r="AA128" s="69" t="e">
        <f>SUM(Y128/U128)-1</f>
        <v>#DIV/0!</v>
      </c>
    </row>
    <row r="129" spans="2:27" ht="5.0999999999999996" customHeight="1">
      <c r="B129" s="8"/>
      <c r="C129" s="60"/>
      <c r="D129" s="60"/>
      <c r="E129" s="60"/>
      <c r="F129" s="3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S129" s="11"/>
      <c r="T129" s="11"/>
      <c r="U129" s="11"/>
      <c r="V129" s="11"/>
      <c r="W129" s="11"/>
      <c r="X129" s="11"/>
      <c r="Y129" s="11"/>
      <c r="Z129" s="11"/>
      <c r="AA129" s="42"/>
    </row>
    <row r="130" spans="2:27" ht="5.0999999999999996" customHeight="1">
      <c r="B130" s="65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11"/>
      <c r="AA130" s="42"/>
    </row>
    <row r="131" spans="2:27">
      <c r="B131" s="143" t="s">
        <v>95</v>
      </c>
      <c r="C131" s="149"/>
      <c r="D131" s="149">
        <f>C138</f>
        <v>-2722</v>
      </c>
      <c r="E131" s="149">
        <f t="shared" ref="E131" si="187">D138</f>
        <v>-3196</v>
      </c>
      <c r="F131" s="149"/>
      <c r="G131" s="149">
        <f>D131</f>
        <v>-2722</v>
      </c>
      <c r="H131" s="149">
        <f t="shared" ref="H131:Q131" si="188">G138</f>
        <v>-3068</v>
      </c>
      <c r="I131" s="149">
        <f t="shared" si="188"/>
        <v>-3217</v>
      </c>
      <c r="J131" s="149">
        <f t="shared" si="188"/>
        <v>-3402</v>
      </c>
      <c r="K131" s="149">
        <f t="shared" si="188"/>
        <v>-3196</v>
      </c>
      <c r="L131" s="149">
        <f t="shared" si="188"/>
        <v>-3302</v>
      </c>
      <c r="M131" s="149">
        <f t="shared" si="188"/>
        <v>-2022</v>
      </c>
      <c r="N131" s="149">
        <f t="shared" si="188"/>
        <v>-2121</v>
      </c>
      <c r="O131" s="149">
        <f t="shared" si="188"/>
        <v>-1636</v>
      </c>
      <c r="P131" s="149">
        <f t="shared" si="188"/>
        <v>-1372</v>
      </c>
      <c r="Q131" s="149">
        <f t="shared" si="188"/>
        <v>-880</v>
      </c>
      <c r="R131" s="149"/>
      <c r="S131" s="149"/>
      <c r="T131" s="149">
        <f t="shared" ref="T131:Y131" si="189">S138</f>
        <v>-106</v>
      </c>
      <c r="U131" s="149">
        <f t="shared" si="189"/>
        <v>1174</v>
      </c>
      <c r="V131" s="149">
        <f t="shared" si="189"/>
        <v>1075</v>
      </c>
      <c r="W131" s="149">
        <f t="shared" si="189"/>
        <v>1560</v>
      </c>
      <c r="X131" s="149">
        <f t="shared" si="189"/>
        <v>1824</v>
      </c>
      <c r="Y131" s="150">
        <f t="shared" si="189"/>
        <v>2316</v>
      </c>
      <c r="Z131" s="11"/>
      <c r="AA131" s="42"/>
    </row>
    <row r="132" spans="2:27">
      <c r="B132" s="144" t="s">
        <v>92</v>
      </c>
      <c r="C132" s="30"/>
      <c r="D132" s="30">
        <f>-C136</f>
        <v>0</v>
      </c>
      <c r="E132" s="30">
        <f t="shared" ref="E132" si="190">-D136</f>
        <v>0</v>
      </c>
      <c r="F132" s="30"/>
      <c r="G132" s="30">
        <f>D132</f>
        <v>0</v>
      </c>
      <c r="H132" s="30">
        <f>-G136</f>
        <v>0</v>
      </c>
      <c r="I132" s="30">
        <f t="shared" ref="I132:Q132" si="191">-H136</f>
        <v>0</v>
      </c>
      <c r="J132" s="30">
        <f t="shared" si="191"/>
        <v>0</v>
      </c>
      <c r="K132" s="30">
        <f t="shared" si="191"/>
        <v>0</v>
      </c>
      <c r="L132" s="30">
        <f t="shared" si="191"/>
        <v>0</v>
      </c>
      <c r="M132" s="30">
        <f t="shared" si="191"/>
        <v>0</v>
      </c>
      <c r="N132" s="30">
        <f t="shared" si="191"/>
        <v>0</v>
      </c>
      <c r="O132" s="30">
        <f t="shared" si="191"/>
        <v>0</v>
      </c>
      <c r="P132" s="30">
        <f t="shared" si="191"/>
        <v>0</v>
      </c>
      <c r="Q132" s="30">
        <f t="shared" si="191"/>
        <v>0</v>
      </c>
      <c r="R132" s="30"/>
      <c r="S132" s="30"/>
      <c r="T132" s="30">
        <f t="shared" ref="T132:Y132" si="192">-S136</f>
        <v>0</v>
      </c>
      <c r="U132" s="30">
        <f t="shared" si="192"/>
        <v>0</v>
      </c>
      <c r="V132" s="30">
        <f t="shared" si="192"/>
        <v>0</v>
      </c>
      <c r="W132" s="30">
        <f t="shared" si="192"/>
        <v>0</v>
      </c>
      <c r="X132" s="30">
        <f t="shared" si="192"/>
        <v>0</v>
      </c>
      <c r="Y132" s="139">
        <f t="shared" si="192"/>
        <v>0</v>
      </c>
      <c r="Z132" s="11"/>
      <c r="AA132" s="42"/>
    </row>
    <row r="133" spans="2:27">
      <c r="B133" s="145" t="s">
        <v>73</v>
      </c>
      <c r="C133" s="113">
        <f t="shared" ref="C133:E133" si="193">SUM(C131:C132)</f>
        <v>0</v>
      </c>
      <c r="D133" s="113">
        <f t="shared" si="193"/>
        <v>-2722</v>
      </c>
      <c r="E133" s="113">
        <f t="shared" si="193"/>
        <v>-3196</v>
      </c>
      <c r="F133" s="30"/>
      <c r="G133" s="113">
        <f t="shared" ref="G133:P133" si="194">SUM(G131:G132)</f>
        <v>-2722</v>
      </c>
      <c r="H133" s="113">
        <f t="shared" si="194"/>
        <v>-3068</v>
      </c>
      <c r="I133" s="113">
        <f t="shared" si="194"/>
        <v>-3217</v>
      </c>
      <c r="J133" s="113">
        <f t="shared" si="194"/>
        <v>-3402</v>
      </c>
      <c r="K133" s="113">
        <f t="shared" si="194"/>
        <v>-3196</v>
      </c>
      <c r="L133" s="113">
        <f t="shared" si="194"/>
        <v>-3302</v>
      </c>
      <c r="M133" s="113">
        <f t="shared" si="194"/>
        <v>-2022</v>
      </c>
      <c r="N133" s="113">
        <f t="shared" si="194"/>
        <v>-2121</v>
      </c>
      <c r="O133" s="113">
        <f t="shared" si="194"/>
        <v>-1636</v>
      </c>
      <c r="P133" s="113">
        <f t="shared" si="194"/>
        <v>-1372</v>
      </c>
      <c r="Q133" s="113">
        <f t="shared" ref="Q133" si="195">SUM(Q131:Q132)</f>
        <v>-880</v>
      </c>
      <c r="R133" s="30"/>
      <c r="S133" s="113">
        <f t="shared" ref="S133:T133" si="196">SUM(S131:S132)</f>
        <v>0</v>
      </c>
      <c r="T133" s="113">
        <f t="shared" si="196"/>
        <v>-106</v>
      </c>
      <c r="U133" s="113">
        <f t="shared" ref="U133" si="197">SUM(U131:U132)</f>
        <v>1174</v>
      </c>
      <c r="V133" s="113">
        <f t="shared" ref="V133" si="198">SUM(V131:V132)</f>
        <v>1075</v>
      </c>
      <c r="W133" s="113">
        <f t="shared" ref="W133" si="199">SUM(W131:W132)</f>
        <v>1560</v>
      </c>
      <c r="X133" s="113">
        <f t="shared" ref="X133" si="200">SUM(X131:X132)</f>
        <v>1824</v>
      </c>
      <c r="Y133" s="140">
        <f t="shared" ref="Y133" si="201">SUM(Y131:Y132)</f>
        <v>2316</v>
      </c>
      <c r="Z133" s="11"/>
      <c r="AA133" s="42"/>
    </row>
    <row r="134" spans="2:27" ht="5.0999999999999996" customHeight="1">
      <c r="B134" s="146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139"/>
      <c r="Z134" s="11"/>
      <c r="AA134" s="42"/>
    </row>
    <row r="135" spans="2:27">
      <c r="B135" s="144" t="s">
        <v>93</v>
      </c>
      <c r="C135" s="76"/>
      <c r="D135" s="76"/>
      <c r="E135" s="76"/>
      <c r="F135" s="30"/>
      <c r="G135" s="76"/>
      <c r="H135" s="76"/>
      <c r="I135" s="76"/>
      <c r="J135" s="30">
        <f>SUM(D135-SUM(G135:I135))</f>
        <v>0</v>
      </c>
      <c r="K135" s="76"/>
      <c r="L135" s="76"/>
      <c r="M135" s="76"/>
      <c r="N135" s="30">
        <f>SUM(E135-SUM(K135:M135))</f>
        <v>0</v>
      </c>
      <c r="O135" s="76"/>
      <c r="P135" s="76"/>
      <c r="Q135" s="76"/>
      <c r="R135" s="30"/>
      <c r="S135" s="30">
        <f>K135</f>
        <v>0</v>
      </c>
      <c r="T135" s="30">
        <f>L135</f>
        <v>0</v>
      </c>
      <c r="U135" s="30">
        <f>M135</f>
        <v>0</v>
      </c>
      <c r="V135" s="30">
        <f>N135</f>
        <v>0</v>
      </c>
      <c r="W135" s="30">
        <f>O135</f>
        <v>0</v>
      </c>
      <c r="X135" s="30">
        <f>P135</f>
        <v>0</v>
      </c>
      <c r="Y135" s="139">
        <f>Q135</f>
        <v>0</v>
      </c>
      <c r="Z135" s="11"/>
      <c r="AA135" s="42"/>
    </row>
    <row r="136" spans="2:27">
      <c r="B136" s="144" t="s">
        <v>94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>
        <f>K136</f>
        <v>0</v>
      </c>
      <c r="T136" s="30">
        <f>L136</f>
        <v>0</v>
      </c>
      <c r="U136" s="30">
        <f>M136</f>
        <v>0</v>
      </c>
      <c r="V136" s="30">
        <f>N136</f>
        <v>0</v>
      </c>
      <c r="W136" s="30">
        <f>O136</f>
        <v>0</v>
      </c>
      <c r="X136" s="30">
        <f>P136</f>
        <v>0</v>
      </c>
      <c r="Y136" s="139">
        <f t="shared" ref="Y136:Y137" si="202">Q136</f>
        <v>0</v>
      </c>
      <c r="Z136" s="11"/>
      <c r="AA136" s="42"/>
    </row>
    <row r="137" spans="2:27">
      <c r="B137" s="144" t="s">
        <v>63</v>
      </c>
      <c r="C137" s="30">
        <f t="shared" ref="C137:E137" si="203">+C128+C119+C111</f>
        <v>-2722</v>
      </c>
      <c r="D137" s="30">
        <f t="shared" si="203"/>
        <v>-474</v>
      </c>
      <c r="E137" s="30">
        <f t="shared" si="203"/>
        <v>1560</v>
      </c>
      <c r="F137" s="30"/>
      <c r="G137" s="30">
        <f t="shared" ref="G137:P137" si="204">+G128+G119+G111</f>
        <v>-346</v>
      </c>
      <c r="H137" s="30">
        <f t="shared" si="204"/>
        <v>-149</v>
      </c>
      <c r="I137" s="30">
        <f t="shared" si="204"/>
        <v>-185</v>
      </c>
      <c r="J137" s="30">
        <f t="shared" si="204"/>
        <v>206</v>
      </c>
      <c r="K137" s="30">
        <f t="shared" si="204"/>
        <v>-106</v>
      </c>
      <c r="L137" s="30">
        <f t="shared" si="204"/>
        <v>1280</v>
      </c>
      <c r="M137" s="30">
        <f t="shared" si="204"/>
        <v>-99</v>
      </c>
      <c r="N137" s="30">
        <f t="shared" si="204"/>
        <v>485</v>
      </c>
      <c r="O137" s="30">
        <f t="shared" si="204"/>
        <v>264</v>
      </c>
      <c r="P137" s="30">
        <f t="shared" si="204"/>
        <v>492</v>
      </c>
      <c r="Q137" s="30">
        <f t="shared" ref="Q137" si="205">+Q128+Q119+Q111</f>
        <v>454</v>
      </c>
      <c r="R137" s="30"/>
      <c r="S137" s="30">
        <f>K137</f>
        <v>-106</v>
      </c>
      <c r="T137" s="30">
        <f>L137</f>
        <v>1280</v>
      </c>
      <c r="U137" s="30">
        <f>M137</f>
        <v>-99</v>
      </c>
      <c r="V137" s="30">
        <f>N137</f>
        <v>485</v>
      </c>
      <c r="W137" s="30">
        <f>O137</f>
        <v>264</v>
      </c>
      <c r="X137" s="30">
        <f>P137</f>
        <v>492</v>
      </c>
      <c r="Y137" s="139">
        <f t="shared" si="202"/>
        <v>454</v>
      </c>
      <c r="Z137" s="11"/>
      <c r="AA137" s="42"/>
    </row>
    <row r="138" spans="2:27">
      <c r="B138" s="145" t="s">
        <v>74</v>
      </c>
      <c r="C138" s="113">
        <f t="shared" ref="C138:E138" si="206">SUM(C133:C137)</f>
        <v>-2722</v>
      </c>
      <c r="D138" s="113">
        <f t="shared" si="206"/>
        <v>-3196</v>
      </c>
      <c r="E138" s="113">
        <f t="shared" si="206"/>
        <v>-1636</v>
      </c>
      <c r="F138" s="30"/>
      <c r="G138" s="113">
        <f t="shared" ref="G138:P138" si="207">SUM(G133:G137)</f>
        <v>-3068</v>
      </c>
      <c r="H138" s="113">
        <f t="shared" si="207"/>
        <v>-3217</v>
      </c>
      <c r="I138" s="113">
        <f t="shared" si="207"/>
        <v>-3402</v>
      </c>
      <c r="J138" s="113">
        <f t="shared" si="207"/>
        <v>-3196</v>
      </c>
      <c r="K138" s="113">
        <f t="shared" si="207"/>
        <v>-3302</v>
      </c>
      <c r="L138" s="113">
        <f t="shared" si="207"/>
        <v>-2022</v>
      </c>
      <c r="M138" s="113">
        <f t="shared" si="207"/>
        <v>-2121</v>
      </c>
      <c r="N138" s="113">
        <f t="shared" si="207"/>
        <v>-1636</v>
      </c>
      <c r="O138" s="113">
        <f t="shared" si="207"/>
        <v>-1372</v>
      </c>
      <c r="P138" s="113">
        <f t="shared" si="207"/>
        <v>-880</v>
      </c>
      <c r="Q138" s="113">
        <f t="shared" ref="Q138" si="208">SUM(Q133:Q137)</f>
        <v>-426</v>
      </c>
      <c r="R138" s="30"/>
      <c r="S138" s="113">
        <f t="shared" ref="S138:Y138" si="209">SUM(S133:S137)</f>
        <v>-106</v>
      </c>
      <c r="T138" s="113">
        <f t="shared" si="209"/>
        <v>1174</v>
      </c>
      <c r="U138" s="113">
        <f t="shared" si="209"/>
        <v>1075</v>
      </c>
      <c r="V138" s="113">
        <f t="shared" si="209"/>
        <v>1560</v>
      </c>
      <c r="W138" s="113">
        <f t="shared" si="209"/>
        <v>1824</v>
      </c>
      <c r="X138" s="113">
        <f t="shared" si="209"/>
        <v>2316</v>
      </c>
      <c r="Y138" s="140">
        <f t="shared" si="209"/>
        <v>2770</v>
      </c>
      <c r="Z138" s="11"/>
      <c r="AA138" s="42"/>
    </row>
    <row r="139" spans="2:27" ht="5.0999999999999996" customHeight="1">
      <c r="B139" s="147"/>
      <c r="C139" s="60"/>
      <c r="D139" s="60"/>
      <c r="E139" s="60"/>
      <c r="F139" s="3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S139" s="11"/>
      <c r="T139" s="11"/>
      <c r="U139" s="11"/>
      <c r="V139" s="11"/>
      <c r="W139" s="11"/>
      <c r="X139" s="11"/>
      <c r="Y139" s="141"/>
      <c r="Z139" s="11"/>
      <c r="AA139" s="42"/>
    </row>
    <row r="140" spans="2:27">
      <c r="B140" s="148" t="s">
        <v>62</v>
      </c>
      <c r="C140" s="137">
        <f>C138-C44</f>
        <v>-2722</v>
      </c>
      <c r="D140" s="137">
        <f>D138-D44</f>
        <v>-4747</v>
      </c>
      <c r="E140" s="137">
        <f>E138-E44</f>
        <v>-9841</v>
      </c>
      <c r="F140" s="138"/>
      <c r="G140" s="137">
        <f>G138-G44</f>
        <v>-3068</v>
      </c>
      <c r="H140" s="137">
        <f>H138-H44</f>
        <v>-3217</v>
      </c>
      <c r="I140" s="137">
        <f>I138-I44</f>
        <v>-3402</v>
      </c>
      <c r="J140" s="137">
        <f>J138-J44</f>
        <v>-4747</v>
      </c>
      <c r="K140" s="137">
        <f>K138-K44</f>
        <v>-6557</v>
      </c>
      <c r="L140" s="137">
        <f>L138-L44</f>
        <v>-7801</v>
      </c>
      <c r="M140" s="137">
        <f>M138-M44</f>
        <v>-9516</v>
      </c>
      <c r="N140" s="137">
        <f>N138-N44</f>
        <v>-9841</v>
      </c>
      <c r="O140" s="137">
        <f>O138-O44</f>
        <v>-9479</v>
      </c>
      <c r="P140" s="137">
        <f>P138-P44</f>
        <v>-8772</v>
      </c>
      <c r="Q140" s="137">
        <f>Q138-Q44</f>
        <v>-8371</v>
      </c>
      <c r="R140" s="137"/>
      <c r="S140" s="137">
        <f>S138-S44</f>
        <v>-1657</v>
      </c>
      <c r="T140" s="137">
        <f>T138-T44</f>
        <v>-2081</v>
      </c>
      <c r="U140" s="137">
        <f>U138-U44</f>
        <v>-4704</v>
      </c>
      <c r="V140" s="137">
        <f>V138-V44</f>
        <v>-5835</v>
      </c>
      <c r="W140" s="137">
        <f>W138-W44</f>
        <v>-6381</v>
      </c>
      <c r="X140" s="137">
        <f>X138-X44</f>
        <v>-5791</v>
      </c>
      <c r="Y140" s="142">
        <f>Y138-Y44</f>
        <v>-5122</v>
      </c>
      <c r="Z140" s="11"/>
      <c r="AA140" s="42"/>
    </row>
    <row r="141" spans="2:27" ht="5.0999999999999996" customHeight="1">
      <c r="B141" s="8"/>
      <c r="C141" s="60"/>
      <c r="D141" s="60"/>
      <c r="E141" s="60"/>
      <c r="F141" s="3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S141" s="11"/>
      <c r="T141" s="11"/>
      <c r="U141" s="11"/>
      <c r="V141" s="11"/>
      <c r="W141" s="11"/>
      <c r="X141" s="11"/>
      <c r="Y141" s="11"/>
      <c r="Z141" s="11"/>
      <c r="AA141" s="42"/>
    </row>
    <row r="142" spans="2:27">
      <c r="B142" s="112" t="s">
        <v>86</v>
      </c>
      <c r="C142" s="60"/>
      <c r="D142" s="60"/>
      <c r="E142" s="60"/>
      <c r="F142" s="3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S142" s="11"/>
      <c r="T142" s="11"/>
      <c r="U142" s="11"/>
      <c r="V142" s="11"/>
      <c r="W142" s="11"/>
      <c r="X142" s="11"/>
      <c r="Y142" s="11"/>
      <c r="Z142" s="11"/>
      <c r="AA142" s="42"/>
    </row>
    <row r="143" spans="2:27">
      <c r="B143" s="77" t="s">
        <v>91</v>
      </c>
      <c r="C143" s="60"/>
      <c r="D143" s="60"/>
      <c r="E143" s="60"/>
      <c r="F143" s="30"/>
      <c r="G143" s="76"/>
      <c r="H143" s="30"/>
      <c r="I143" s="30"/>
      <c r="J143" s="30">
        <f>SUM(D143-SUM(G143:I143))</f>
        <v>0</v>
      </c>
      <c r="K143" s="76"/>
      <c r="L143" s="30"/>
      <c r="M143" s="30"/>
      <c r="N143" s="30">
        <f>SUM(E143-SUM(K143:M143))</f>
        <v>0</v>
      </c>
      <c r="O143" s="76"/>
      <c r="P143" s="30"/>
      <c r="Q143" s="30"/>
      <c r="S143" s="30">
        <f>SUM(H143:K143)</f>
        <v>0</v>
      </c>
      <c r="T143" s="30">
        <f>SUM(I143:L143)</f>
        <v>0</v>
      </c>
      <c r="U143" s="30">
        <f>SUM(J143:M143)</f>
        <v>0</v>
      </c>
      <c r="V143" s="30">
        <f>SUM(K143:N143)</f>
        <v>0</v>
      </c>
      <c r="W143" s="30">
        <f>SUM(L143:O143)</f>
        <v>0</v>
      </c>
      <c r="X143" s="30">
        <f>SUM(M143:P143)</f>
        <v>0</v>
      </c>
      <c r="Y143" s="30">
        <f>SUM(N143:P143)</f>
        <v>0</v>
      </c>
      <c r="Z143" s="11"/>
      <c r="AA143" s="42"/>
    </row>
    <row r="144" spans="2:27">
      <c r="B144" s="77" t="s">
        <v>90</v>
      </c>
      <c r="C144" s="60"/>
      <c r="D144" s="60"/>
      <c r="E144" s="60"/>
      <c r="F144" s="30"/>
      <c r="G144" s="76"/>
      <c r="H144" s="30"/>
      <c r="I144" s="30"/>
      <c r="J144" s="30">
        <f>SUM(D144-SUM(G144:I144))</f>
        <v>0</v>
      </c>
      <c r="K144" s="76"/>
      <c r="L144" s="30"/>
      <c r="M144" s="30"/>
      <c r="N144" s="30">
        <f>SUM(E144-SUM(K144:M144))</f>
        <v>0</v>
      </c>
      <c r="O144" s="76"/>
      <c r="P144" s="30"/>
      <c r="Q144" s="30"/>
      <c r="S144" s="30">
        <f>SUM(H144:K144)</f>
        <v>0</v>
      </c>
      <c r="T144" s="30">
        <f>SUM(I144:L144)</f>
        <v>0</v>
      </c>
      <c r="U144" s="30">
        <f>SUM(J144:M144)</f>
        <v>0</v>
      </c>
      <c r="V144" s="30">
        <f>SUM(K144:N144)</f>
        <v>0</v>
      </c>
      <c r="W144" s="30">
        <f>SUM(L144:O144)</f>
        <v>0</v>
      </c>
      <c r="X144" s="30">
        <f>SUM(M144:P144)</f>
        <v>0</v>
      </c>
      <c r="Y144" s="30">
        <f>SUM(N144:P144)</f>
        <v>0</v>
      </c>
      <c r="Z144" s="11"/>
      <c r="AA144" s="42"/>
    </row>
    <row r="145" spans="2:27" ht="5.0999999999999996" customHeight="1" thickBot="1">
      <c r="B145" s="66"/>
      <c r="C145" s="67"/>
      <c r="D145" s="67"/>
      <c r="E145" s="67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AA145" s="42"/>
    </row>
    <row r="146" spans="2:27" ht="12.75" customHeight="1">
      <c r="C146" s="52"/>
      <c r="D146" s="52"/>
      <c r="E146" s="52"/>
    </row>
    <row r="147" spans="2:27" ht="12.75" customHeight="1">
      <c r="C147" s="52"/>
      <c r="D147" s="52"/>
      <c r="E147" s="52"/>
    </row>
    <row r="148" spans="2:27" ht="12.75" customHeight="1">
      <c r="C148" s="52"/>
      <c r="D148" s="52"/>
      <c r="E148" s="52"/>
    </row>
    <row r="149" spans="2:27" ht="12.75" customHeight="1">
      <c r="C149" s="52"/>
      <c r="D149" s="52"/>
      <c r="E149" s="52"/>
    </row>
    <row r="150" spans="2:27" ht="12.75" customHeight="1">
      <c r="C150" s="52"/>
      <c r="D150" s="52"/>
      <c r="E150" s="52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</row>
    <row r="151" spans="2:27" ht="12.75" customHeight="1">
      <c r="C151" s="52"/>
      <c r="D151" s="52"/>
      <c r="E151" s="52"/>
    </row>
    <row r="152" spans="2:27" ht="12.75" customHeight="1">
      <c r="C152" s="52"/>
      <c r="D152" s="52"/>
      <c r="E152" s="52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</row>
    <row r="153" spans="2:27"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</row>
    <row r="154" spans="2:27"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</row>
    <row r="156" spans="2:27"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</row>
    <row r="157" spans="2:27"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</row>
  </sheetData>
  <mergeCells count="3">
    <mergeCell ref="AA6:AA8"/>
    <mergeCell ref="AA39:AA41"/>
    <mergeCell ref="AA86:AA88"/>
  </mergeCells>
  <pageMargins left="0.7" right="0.7" top="0.75" bottom="0.75" header="0.3" footer="0.3"/>
  <ignoredErrors>
    <ignoredError sqref="Y16:Y17 F49 S13:Y13" formulaRange="1"/>
    <ignoredError sqref="AA119:AA121 AA111:AA113" evalError="1"/>
    <ignoredError sqref="K92:O9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Y63"/>
  <sheetViews>
    <sheetView showGridLines="0" zoomScaleNormal="100" workbookViewId="0">
      <selection activeCell="B22" sqref="B2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customWidth="1" outlineLevel="1"/>
    <col min="9" max="10" width="8.75" style="8" customWidth="1" outlineLevel="1"/>
    <col min="11" max="11" width="8.5" style="8" customWidth="1" outlineLevel="1"/>
    <col min="12" max="12" width="8.25" style="8" customWidth="1" outlineLevel="1"/>
    <col min="13" max="13" width="8.5" style="8" bestFit="1" customWidth="1"/>
    <col min="14" max="17" width="9.125" style="8" bestFit="1" customWidth="1"/>
    <col min="18" max="18" width="1.5" style="8" customWidth="1"/>
    <col min="19" max="20" width="8.75" style="8" customWidth="1" outlineLevel="1"/>
    <col min="21" max="21" width="8.75" style="8" customWidth="1"/>
    <col min="22" max="24" width="8.75" style="8" customWidth="1" outlineLevel="1"/>
    <col min="25" max="25" width="8.75" style="8" customWidth="1"/>
    <col min="26" max="16384" width="9" style="8"/>
  </cols>
  <sheetData>
    <row r="2" spans="1:25" s="5" customFormat="1" ht="12.75" customHeight="1">
      <c r="B2" s="1" t="str">
        <f>'Historical Financials'!B2</f>
        <v>GE Vernova Inc (NYSE: GEV)</v>
      </c>
      <c r="C2" s="2" t="s">
        <v>0</v>
      </c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 t="s">
        <v>10</v>
      </c>
      <c r="V2" s="2"/>
      <c r="W2" s="2"/>
      <c r="X2" s="2"/>
      <c r="Y2" s="2"/>
    </row>
    <row r="3" spans="1:25" s="5" customFormat="1" ht="12.75" customHeight="1">
      <c r="B3" s="6" t="s">
        <v>69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4"/>
      <c r="S3" s="4" t="str">
        <f>J3</f>
        <v>4Q23</v>
      </c>
      <c r="T3" s="4" t="str">
        <f>K3</f>
        <v>1Q24</v>
      </c>
      <c r="U3" s="4" t="str">
        <f>L3</f>
        <v>2Q24</v>
      </c>
      <c r="V3" s="4" t="str">
        <f>M3</f>
        <v>3Q24</v>
      </c>
      <c r="W3" s="4" t="str">
        <f>N3</f>
        <v>4Q24</v>
      </c>
      <c r="X3" s="4" t="str">
        <f>O3</f>
        <v>1Q25</v>
      </c>
      <c r="Y3" s="4" t="str">
        <f>P3</f>
        <v>2Q25</v>
      </c>
    </row>
    <row r="4" spans="1:25" s="5" customFormat="1" ht="12.75" customHeight="1">
      <c r="B4" s="6" t="s">
        <v>97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/>
      <c r="G4" s="3" t="str">
        <f>'Historical Financials'!G8</f>
        <v>XXX</v>
      </c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 t="str">
        <f>'Historical Financials'!O8</f>
        <v>XXX</v>
      </c>
      <c r="P4" s="3" t="str">
        <f>'Historical Financials'!P8</f>
        <v>XXX</v>
      </c>
      <c r="Q4" s="3" t="str">
        <f>'Historical Financials'!Q8</f>
        <v>XXX</v>
      </c>
      <c r="R4" s="3"/>
      <c r="S4" s="3" t="str">
        <f>J4</f>
        <v>XXX</v>
      </c>
      <c r="T4" s="3" t="str">
        <f>K4</f>
        <v>XXX</v>
      </c>
      <c r="U4" s="3" t="str">
        <f>L4</f>
        <v>XXX</v>
      </c>
      <c r="V4" s="3" t="str">
        <f>M4</f>
        <v>XXX</v>
      </c>
      <c r="W4" s="3" t="str">
        <f>N4</f>
        <v>XXX</v>
      </c>
      <c r="X4" s="3" t="str">
        <f>O4</f>
        <v>XXX</v>
      </c>
      <c r="Y4" s="3" t="str">
        <f>P4</f>
        <v>XXX</v>
      </c>
    </row>
    <row r="5" spans="1:25" ht="5.0999999999999996" customHeight="1"/>
    <row r="6" spans="1:25">
      <c r="A6" s="33" t="s">
        <v>17</v>
      </c>
      <c r="B6" s="1" t="s">
        <v>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.0999999999999996" customHeight="1"/>
    <row r="8" spans="1:25" ht="12.75" customHeight="1">
      <c r="A8" s="74" t="s">
        <v>17</v>
      </c>
      <c r="B8" s="72" t="s">
        <v>96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30"/>
      <c r="O8" s="81"/>
      <c r="P8" s="81"/>
      <c r="Q8" s="81"/>
      <c r="R8" s="5"/>
      <c r="S8" s="11"/>
      <c r="T8" s="11"/>
      <c r="U8" s="11"/>
      <c r="V8" s="11"/>
      <c r="W8" s="11"/>
      <c r="X8" s="11"/>
      <c r="Y8" s="11"/>
    </row>
    <row r="9" spans="1:25" ht="12.75" customHeight="1">
      <c r="A9" s="74"/>
      <c r="B9" s="9" t="s">
        <v>131</v>
      </c>
      <c r="C9" s="75">
        <v>15819</v>
      </c>
      <c r="D9" s="75">
        <v>18258</v>
      </c>
      <c r="E9" s="75">
        <v>18952</v>
      </c>
      <c r="F9" s="10"/>
      <c r="G9" s="75">
        <v>3489</v>
      </c>
      <c r="H9" s="75">
        <v>4388</v>
      </c>
      <c r="I9" s="75">
        <v>4869</v>
      </c>
      <c r="J9" s="30">
        <f t="shared" ref="J9:J10" si="0">SUM(D9-SUM(G9:I9))</f>
        <v>5512</v>
      </c>
      <c r="K9" s="75">
        <v>3617</v>
      </c>
      <c r="L9" s="75">
        <v>4194</v>
      </c>
      <c r="M9" s="75">
        <v>5290</v>
      </c>
      <c r="N9" s="30">
        <f t="shared" ref="N9:N10" si="1">SUM(E9-SUM(K9:M9))</f>
        <v>5851</v>
      </c>
      <c r="O9" s="75">
        <v>4197</v>
      </c>
      <c r="P9" s="75">
        <v>4894</v>
      </c>
      <c r="Q9" s="75">
        <v>5880</v>
      </c>
      <c r="R9" s="5"/>
      <c r="S9" s="30">
        <f t="shared" ref="S9:X9" si="2">SUM(G9:J9)</f>
        <v>18258</v>
      </c>
      <c r="T9" s="30">
        <f t="shared" si="2"/>
        <v>18386</v>
      </c>
      <c r="U9" s="30">
        <f t="shared" si="2"/>
        <v>18192</v>
      </c>
      <c r="V9" s="30">
        <f t="shared" si="2"/>
        <v>18613</v>
      </c>
      <c r="W9" s="30">
        <f>SUM(K9:N9)</f>
        <v>18952</v>
      </c>
      <c r="X9" s="30">
        <f t="shared" si="2"/>
        <v>19532</v>
      </c>
      <c r="Y9" s="30">
        <f>SUM(M9:P9)</f>
        <v>20232</v>
      </c>
    </row>
    <row r="10" spans="1:25">
      <c r="B10" s="9" t="s">
        <v>132</v>
      </c>
      <c r="C10" s="75">
        <v>13835</v>
      </c>
      <c r="D10" s="75">
        <v>14981</v>
      </c>
      <c r="E10" s="75">
        <v>15983</v>
      </c>
      <c r="F10" s="75"/>
      <c r="G10" s="75">
        <v>3333</v>
      </c>
      <c r="H10" s="75">
        <v>3731</v>
      </c>
      <c r="I10" s="75">
        <v>3383</v>
      </c>
      <c r="J10" s="30">
        <f t="shared" si="0"/>
        <v>4534</v>
      </c>
      <c r="K10" s="75">
        <v>3642</v>
      </c>
      <c r="L10" s="75">
        <v>4010</v>
      </c>
      <c r="M10" s="75">
        <v>3623</v>
      </c>
      <c r="N10" s="30">
        <f t="shared" si="1"/>
        <v>4708</v>
      </c>
      <c r="O10" s="75">
        <v>3835</v>
      </c>
      <c r="P10" s="75">
        <v>4217</v>
      </c>
      <c r="Q10" s="75">
        <v>4089</v>
      </c>
      <c r="R10" s="5"/>
      <c r="S10" s="30">
        <f t="shared" ref="S10" si="3">SUM(G10:J10)</f>
        <v>14981</v>
      </c>
      <c r="T10" s="30">
        <f t="shared" ref="T10" si="4">SUM(H10:K10)</f>
        <v>15290</v>
      </c>
      <c r="U10" s="30">
        <f t="shared" ref="U10" si="5">SUM(I10:L10)</f>
        <v>15569</v>
      </c>
      <c r="V10" s="30">
        <f t="shared" ref="V10" si="6">SUM(J10:M10)</f>
        <v>15809</v>
      </c>
      <c r="W10" s="30">
        <f t="shared" ref="W10" si="7">SUM(K10:N10)</f>
        <v>15983</v>
      </c>
      <c r="X10" s="30">
        <f t="shared" ref="X10:Y10" si="8">SUM(L10:O10)</f>
        <v>16176</v>
      </c>
      <c r="Y10" s="30">
        <f t="shared" si="8"/>
        <v>16383</v>
      </c>
    </row>
    <row r="11" spans="1:25">
      <c r="B11" s="12" t="s">
        <v>70</v>
      </c>
      <c r="C11" s="13">
        <f>SUM(C9:C10)</f>
        <v>29654</v>
      </c>
      <c r="D11" s="13">
        <f>SUM(D9:D10)</f>
        <v>33239</v>
      </c>
      <c r="E11" s="13">
        <f>SUM(E9:E10)</f>
        <v>34935</v>
      </c>
      <c r="F11" s="11"/>
      <c r="G11" s="13">
        <f>SUM(G9:G10)</f>
        <v>6822</v>
      </c>
      <c r="H11" s="13">
        <f>SUM(H9:H10)</f>
        <v>8119</v>
      </c>
      <c r="I11" s="13">
        <f>SUM(I9:I10)</f>
        <v>8252</v>
      </c>
      <c r="J11" s="13">
        <f>SUM(J9:J10)</f>
        <v>10046</v>
      </c>
      <c r="K11" s="13">
        <f>SUM(K9:K10)</f>
        <v>7259</v>
      </c>
      <c r="L11" s="13">
        <f>SUM(L9:L10)</f>
        <v>8204</v>
      </c>
      <c r="M11" s="13">
        <f>SUM(M9:M10)</f>
        <v>8913</v>
      </c>
      <c r="N11" s="13">
        <f>SUM(N9:N10)</f>
        <v>10559</v>
      </c>
      <c r="O11" s="13">
        <f>SUM(O9:O10)</f>
        <v>8032</v>
      </c>
      <c r="P11" s="13">
        <f>SUM(P9:P10)</f>
        <v>9111</v>
      </c>
      <c r="Q11" s="13">
        <f>SUM(Q9:Q10)</f>
        <v>9969</v>
      </c>
      <c r="R11" s="5"/>
      <c r="S11" s="13">
        <f>SUM(S9:S10)</f>
        <v>33239</v>
      </c>
      <c r="T11" s="13">
        <f>SUM(T9:T10)</f>
        <v>33676</v>
      </c>
      <c r="U11" s="13">
        <f>SUM(U9:U10)</f>
        <v>33761</v>
      </c>
      <c r="V11" s="13">
        <f>SUM(V9:V10)</f>
        <v>34422</v>
      </c>
      <c r="W11" s="13">
        <f>SUM(W9:W10)</f>
        <v>34935</v>
      </c>
      <c r="X11" s="13">
        <f>SUM(X9:X10)</f>
        <v>35708</v>
      </c>
      <c r="Y11" s="13">
        <f>SUM(Y9:Y10)</f>
        <v>36615</v>
      </c>
    </row>
    <row r="12" spans="1:25" outlineLevel="1">
      <c r="B12" s="114" t="s">
        <v>62</v>
      </c>
      <c r="C12" s="73">
        <f>+C11-'Historical Financials'!C11</f>
        <v>0</v>
      </c>
      <c r="D12" s="73">
        <f>+D11-'Historical Financials'!D11</f>
        <v>0</v>
      </c>
      <c r="E12" s="73">
        <f>+E11-'Historical Financials'!E11</f>
        <v>0</v>
      </c>
      <c r="F12" s="11"/>
      <c r="G12" s="73">
        <f>+G11-'Historical Financials'!G11</f>
        <v>0</v>
      </c>
      <c r="H12" s="73">
        <f>+H11-'Historical Financials'!H11</f>
        <v>0</v>
      </c>
      <c r="I12" s="73">
        <f>+I11-'Historical Financials'!I11</f>
        <v>0</v>
      </c>
      <c r="J12" s="73">
        <f>+J11-'Historical Financials'!J11</f>
        <v>0</v>
      </c>
      <c r="K12" s="73">
        <f>+K11-'Historical Financials'!K11</f>
        <v>0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0</v>
      </c>
      <c r="O12" s="73">
        <f>+O11-'Historical Financials'!O11</f>
        <v>0</v>
      </c>
      <c r="P12" s="73">
        <f>+P11-'Historical Financials'!P11</f>
        <v>0</v>
      </c>
      <c r="Q12" s="73">
        <f>+Q11-'Historical Financials'!Q11</f>
        <v>0</v>
      </c>
      <c r="R12" s="73"/>
      <c r="S12" s="73">
        <f>+S11-'Historical Financials'!S11</f>
        <v>0</v>
      </c>
      <c r="T12" s="73">
        <f>+T11-'Historical Financials'!T11</f>
        <v>0</v>
      </c>
      <c r="U12" s="73">
        <f>+U11-'Historical Financials'!U11</f>
        <v>0</v>
      </c>
      <c r="V12" s="73">
        <f>+V11-'Historical Financials'!V11</f>
        <v>0</v>
      </c>
      <c r="W12" s="73">
        <f>+W11-'Historical Financials'!W11</f>
        <v>0</v>
      </c>
      <c r="X12" s="73">
        <f>+X11-'Historical Financials'!X11</f>
        <v>0</v>
      </c>
      <c r="Y12" s="73">
        <f>+Y11-'Historical Financials'!Y11</f>
        <v>0</v>
      </c>
    </row>
    <row r="13" spans="1:25">
      <c r="B13" s="16"/>
      <c r="C13" s="17"/>
      <c r="D13" s="17"/>
      <c r="E13" s="17"/>
      <c r="F13" s="18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8"/>
      <c r="S13" s="18"/>
      <c r="T13" s="18"/>
      <c r="U13" s="18"/>
      <c r="V13" s="18"/>
      <c r="W13" s="18"/>
      <c r="X13" s="18"/>
      <c r="Y13" s="18"/>
    </row>
    <row r="14" spans="1:25">
      <c r="B14" s="115" t="str">
        <f>B9&amp;"(%)"</f>
        <v>Equipment(%)</v>
      </c>
      <c r="C14" s="127">
        <f>SUM(C9/C$11)</f>
        <v>0.53345248533081535</v>
      </c>
      <c r="D14" s="127">
        <f>SUM(D9/D$11)</f>
        <v>0.54929450344474862</v>
      </c>
      <c r="E14" s="127">
        <f>SUM(E9/E$11)</f>
        <v>0.54249320166022619</v>
      </c>
      <c r="F14" s="116"/>
      <c r="G14" s="127">
        <f>SUM(G9/G$11)</f>
        <v>0.51143359718557613</v>
      </c>
      <c r="H14" s="127">
        <f>SUM(H9/H$11)</f>
        <v>0.54046064786303727</v>
      </c>
      <c r="I14" s="127">
        <f>SUM(I9/I$11)</f>
        <v>0.59003877847794473</v>
      </c>
      <c r="J14" s="127">
        <f>SUM(J9/J$11)</f>
        <v>0.5486760899860641</v>
      </c>
      <c r="K14" s="127">
        <f>SUM(K9/K$11)</f>
        <v>0.49827799972447995</v>
      </c>
      <c r="L14" s="127">
        <f>SUM(L9/L$11)</f>
        <v>0.51121404193076547</v>
      </c>
      <c r="M14" s="127">
        <f>SUM(M9/M$11)</f>
        <v>0.5935150903175137</v>
      </c>
      <c r="N14" s="127">
        <f>SUM(N9/N$11)</f>
        <v>0.55412444360261393</v>
      </c>
      <c r="O14" s="127">
        <f>SUM(O9/O$11)</f>
        <v>0.52253486055776888</v>
      </c>
      <c r="P14" s="127">
        <f>SUM(P9/P$11)</f>
        <v>0.53715289210844031</v>
      </c>
      <c r="Q14" s="127">
        <f>SUM(Q9/Q$11)</f>
        <v>0.58982846825157986</v>
      </c>
      <c r="R14" s="116"/>
      <c r="S14" s="117">
        <f>K14</f>
        <v>0.49827799972447995</v>
      </c>
      <c r="T14" s="117">
        <f>L14</f>
        <v>0.51121404193076547</v>
      </c>
      <c r="U14" s="117">
        <f>M14</f>
        <v>0.5935150903175137</v>
      </c>
      <c r="V14" s="117">
        <f>N14</f>
        <v>0.55412444360261393</v>
      </c>
      <c r="W14" s="117">
        <f>O14</f>
        <v>0.52253486055776888</v>
      </c>
      <c r="X14" s="117">
        <f>P14</f>
        <v>0.53715289210844031</v>
      </c>
      <c r="Y14" s="118" t="e">
        <f>#REF!</f>
        <v>#REF!</v>
      </c>
    </row>
    <row r="15" spans="1:25" ht="12.75" customHeight="1">
      <c r="B15" s="123" t="str">
        <f>B10&amp;"(%)"</f>
        <v>Sales(%)</v>
      </c>
      <c r="C15" s="128">
        <f>SUM(C10/C$11)</f>
        <v>0.46654751466918459</v>
      </c>
      <c r="D15" s="128">
        <f>SUM(D10/D$11)</f>
        <v>0.45070549655525138</v>
      </c>
      <c r="E15" s="128">
        <f>SUM(E10/E$11)</f>
        <v>0.45750679833977387</v>
      </c>
      <c r="F15" s="124"/>
      <c r="G15" s="128">
        <f>SUM(G10/G$11)</f>
        <v>0.48856640281442393</v>
      </c>
      <c r="H15" s="128">
        <f>SUM(H10/H$11)</f>
        <v>0.45953935213696268</v>
      </c>
      <c r="I15" s="128">
        <f>SUM(I10/I$11)</f>
        <v>0.40996122152205527</v>
      </c>
      <c r="J15" s="128">
        <f>SUM(J10/J$11)</f>
        <v>0.4513239100139359</v>
      </c>
      <c r="K15" s="128">
        <f>SUM(K10/K$11)</f>
        <v>0.50172200027552005</v>
      </c>
      <c r="L15" s="128">
        <f>SUM(L10/L$11)</f>
        <v>0.48878595806923453</v>
      </c>
      <c r="M15" s="128">
        <f>SUM(M10/M$11)</f>
        <v>0.40648490968248624</v>
      </c>
      <c r="N15" s="128">
        <f>SUM(N10/N$11)</f>
        <v>0.44587555639738613</v>
      </c>
      <c r="O15" s="128">
        <f>SUM(O10/O$11)</f>
        <v>0.47746513944223107</v>
      </c>
      <c r="P15" s="128">
        <f>SUM(P10/P$11)</f>
        <v>0.46284710789155964</v>
      </c>
      <c r="Q15" s="128">
        <f>SUM(Q10/Q$11)</f>
        <v>0.41017153174842008</v>
      </c>
      <c r="R15" s="124"/>
      <c r="S15" s="125">
        <f>K15</f>
        <v>0.50172200027552005</v>
      </c>
      <c r="T15" s="125">
        <f>L15</f>
        <v>0.48878595806923453</v>
      </c>
      <c r="U15" s="125">
        <f>M15</f>
        <v>0.40648490968248624</v>
      </c>
      <c r="V15" s="125">
        <f>N15</f>
        <v>0.44587555639738613</v>
      </c>
      <c r="W15" s="125">
        <f>O15</f>
        <v>0.47746513944223107</v>
      </c>
      <c r="X15" s="125">
        <f>P15</f>
        <v>0.46284710789155964</v>
      </c>
      <c r="Y15" s="126" t="e">
        <f>#REF!</f>
        <v>#REF!</v>
      </c>
    </row>
    <row r="16" spans="1:25">
      <c r="B16" s="16"/>
      <c r="C16" s="17"/>
      <c r="D16" s="17"/>
      <c r="E16" s="17"/>
      <c r="F16" s="18"/>
      <c r="G16" s="19"/>
      <c r="H16" s="19"/>
      <c r="I16" s="19"/>
      <c r="J16" s="20"/>
      <c r="K16" s="19"/>
      <c r="L16" s="19"/>
      <c r="M16" s="19"/>
      <c r="N16" s="19"/>
      <c r="O16" s="19"/>
      <c r="P16" s="19"/>
      <c r="Q16" s="19"/>
      <c r="R16" s="18"/>
      <c r="S16" s="18"/>
      <c r="T16" s="18"/>
      <c r="U16" s="18"/>
      <c r="V16" s="18"/>
      <c r="W16" s="18"/>
      <c r="X16" s="18"/>
      <c r="Y16" s="18"/>
    </row>
    <row r="17" spans="1:25" ht="12.75" customHeight="1">
      <c r="A17" s="74" t="s">
        <v>17</v>
      </c>
      <c r="B17" s="72" t="s">
        <v>143</v>
      </c>
      <c r="C17" s="10"/>
      <c r="D17" s="10"/>
      <c r="E17" s="10"/>
      <c r="F17" s="10"/>
      <c r="G17" s="81"/>
      <c r="H17" s="81"/>
      <c r="I17" s="81"/>
      <c r="J17" s="30"/>
      <c r="K17" s="81"/>
      <c r="L17" s="81"/>
      <c r="M17" s="81"/>
      <c r="N17" s="30"/>
      <c r="O17" s="81"/>
      <c r="P17" s="81"/>
      <c r="Q17" s="81"/>
      <c r="R17" s="5"/>
      <c r="S17" s="11"/>
      <c r="T17" s="11"/>
      <c r="U17" s="11"/>
      <c r="V17" s="11"/>
      <c r="W17" s="11"/>
      <c r="X17" s="11"/>
      <c r="Y17" s="11"/>
    </row>
    <row r="18" spans="1:25" ht="12.75" customHeight="1">
      <c r="A18" s="74"/>
      <c r="B18" s="9" t="s">
        <v>133</v>
      </c>
      <c r="C18" s="106">
        <f>C33</f>
        <v>16124</v>
      </c>
      <c r="D18" s="106">
        <f t="shared" ref="D18:Q18" si="9">D33</f>
        <v>17436</v>
      </c>
      <c r="E18" s="106">
        <f t="shared" si="9"/>
        <v>18128</v>
      </c>
      <c r="F18" s="10"/>
      <c r="G18" s="106">
        <f t="shared" si="9"/>
        <v>3821</v>
      </c>
      <c r="H18" s="106">
        <f t="shared" si="9"/>
        <v>4131</v>
      </c>
      <c r="I18" s="106">
        <f t="shared" si="9"/>
        <v>3893</v>
      </c>
      <c r="J18" s="106">
        <f t="shared" si="9"/>
        <v>5591</v>
      </c>
      <c r="K18" s="106">
        <f t="shared" si="9"/>
        <v>4035</v>
      </c>
      <c r="L18" s="106">
        <f t="shared" si="9"/>
        <v>4455</v>
      </c>
      <c r="M18" s="106">
        <f t="shared" si="9"/>
        <v>4207</v>
      </c>
      <c r="N18" s="106">
        <f t="shared" si="9"/>
        <v>5431</v>
      </c>
      <c r="O18" s="106">
        <f t="shared" si="9"/>
        <v>4423</v>
      </c>
      <c r="P18" s="106">
        <f t="shared" si="9"/>
        <v>4758</v>
      </c>
      <c r="Q18" s="106">
        <f t="shared" si="9"/>
        <v>4839</v>
      </c>
      <c r="R18" s="5"/>
      <c r="S18" s="30">
        <f t="shared" ref="S18:S20" si="10">SUM(G18:J18)</f>
        <v>17436</v>
      </c>
      <c r="T18" s="30">
        <f t="shared" ref="T18:T20" si="11">SUM(H18:K18)</f>
        <v>17650</v>
      </c>
      <c r="U18" s="30">
        <f t="shared" ref="U18:U20" si="12">SUM(I18:L18)</f>
        <v>17974</v>
      </c>
      <c r="V18" s="30">
        <f t="shared" ref="V18:V20" si="13">SUM(J18:M18)</f>
        <v>18288</v>
      </c>
      <c r="W18" s="30">
        <f t="shared" ref="W18:W20" si="14">SUM(K18:N18)</f>
        <v>18128</v>
      </c>
      <c r="X18" s="30">
        <f t="shared" ref="X18:X20" si="15">SUM(L18:O18)</f>
        <v>18516</v>
      </c>
      <c r="Y18" s="30">
        <f t="shared" ref="Y18:Y20" si="16">SUM(M18:P18)</f>
        <v>18819</v>
      </c>
    </row>
    <row r="19" spans="1:25" ht="12.75" customHeight="1">
      <c r="A19" s="74"/>
      <c r="B19" s="9" t="s">
        <v>134</v>
      </c>
      <c r="C19" s="106">
        <f>C45</f>
        <v>8905</v>
      </c>
      <c r="D19" s="106">
        <f t="shared" ref="D19:Q19" si="17">D45</f>
        <v>9826</v>
      </c>
      <c r="E19" s="106">
        <f t="shared" si="17"/>
        <v>9700</v>
      </c>
      <c r="F19" s="10"/>
      <c r="G19" s="106">
        <f t="shared" si="17"/>
        <v>1751</v>
      </c>
      <c r="H19" s="106">
        <f t="shared" si="17"/>
        <v>2601</v>
      </c>
      <c r="I19" s="106">
        <f t="shared" si="17"/>
        <v>2887</v>
      </c>
      <c r="J19" s="106">
        <f t="shared" si="17"/>
        <v>2587</v>
      </c>
      <c r="K19" s="106">
        <f t="shared" si="17"/>
        <v>1639</v>
      </c>
      <c r="L19" s="106">
        <f t="shared" si="17"/>
        <v>2062</v>
      </c>
      <c r="M19" s="106">
        <f t="shared" si="17"/>
        <v>2891</v>
      </c>
      <c r="N19" s="106">
        <f t="shared" si="17"/>
        <v>3108</v>
      </c>
      <c r="O19" s="106">
        <f t="shared" si="17"/>
        <v>1850</v>
      </c>
      <c r="P19" s="106">
        <f t="shared" si="17"/>
        <v>2245</v>
      </c>
      <c r="Q19" s="106">
        <f t="shared" si="17"/>
        <v>2648</v>
      </c>
      <c r="R19" s="5"/>
      <c r="S19" s="30">
        <f t="shared" si="10"/>
        <v>9826</v>
      </c>
      <c r="T19" s="30">
        <f t="shared" si="11"/>
        <v>9714</v>
      </c>
      <c r="U19" s="30">
        <f t="shared" si="12"/>
        <v>9175</v>
      </c>
      <c r="V19" s="30">
        <f t="shared" si="13"/>
        <v>9179</v>
      </c>
      <c r="W19" s="30">
        <f t="shared" si="14"/>
        <v>9700</v>
      </c>
      <c r="X19" s="30">
        <f t="shared" si="15"/>
        <v>9911</v>
      </c>
      <c r="Y19" s="30">
        <f t="shared" si="16"/>
        <v>10094</v>
      </c>
    </row>
    <row r="20" spans="1:25">
      <c r="B20" s="9" t="s">
        <v>135</v>
      </c>
      <c r="C20" s="106">
        <f>C56</f>
        <v>5076</v>
      </c>
      <c r="D20" s="106">
        <f t="shared" ref="D20:Q20" si="18">D56</f>
        <v>6338</v>
      </c>
      <c r="E20" s="106">
        <f t="shared" si="18"/>
        <v>7550</v>
      </c>
      <c r="F20" s="75"/>
      <c r="G20" s="106">
        <f t="shared" si="18"/>
        <v>1331</v>
      </c>
      <c r="H20" s="106">
        <f t="shared" si="18"/>
        <v>1505</v>
      </c>
      <c r="I20" s="106">
        <f t="shared" si="18"/>
        <v>1577</v>
      </c>
      <c r="J20" s="106">
        <f t="shared" si="18"/>
        <v>1925</v>
      </c>
      <c r="K20" s="106">
        <f t="shared" si="18"/>
        <v>1651</v>
      </c>
      <c r="L20" s="106">
        <f t="shared" si="18"/>
        <v>1791</v>
      </c>
      <c r="M20" s="106">
        <f t="shared" si="18"/>
        <v>1928</v>
      </c>
      <c r="N20" s="106">
        <f t="shared" si="18"/>
        <v>2180</v>
      </c>
      <c r="O20" s="106">
        <f t="shared" si="18"/>
        <v>1880</v>
      </c>
      <c r="P20" s="106">
        <f t="shared" si="18"/>
        <v>2201</v>
      </c>
      <c r="Q20" s="106">
        <f t="shared" si="18"/>
        <v>2602</v>
      </c>
      <c r="R20" s="5"/>
      <c r="S20" s="30">
        <f t="shared" ref="S18:S20" si="19">SUM(G20:J20)</f>
        <v>6338</v>
      </c>
      <c r="T20" s="30">
        <f t="shared" ref="T18:T20" si="20">SUM(H20:K20)</f>
        <v>6658</v>
      </c>
      <c r="U20" s="30">
        <f t="shared" ref="U18:U20" si="21">SUM(I20:L20)</f>
        <v>6944</v>
      </c>
      <c r="V20" s="30">
        <f t="shared" ref="V18:V20" si="22">SUM(J20:M20)</f>
        <v>7295</v>
      </c>
      <c r="W20" s="30">
        <f t="shared" ref="W20" si="23">SUM(K20:N20)</f>
        <v>7550</v>
      </c>
      <c r="X20" s="30">
        <f t="shared" ref="X18:X20" si="24">SUM(L20:O20)</f>
        <v>7779</v>
      </c>
      <c r="Y20" s="30">
        <f t="shared" ref="Y20" si="25">SUM(M20:P20)</f>
        <v>8189</v>
      </c>
    </row>
    <row r="21" spans="1:25">
      <c r="B21" s="12" t="s">
        <v>70</v>
      </c>
      <c r="C21" s="13">
        <f>SUM(C18:C20)</f>
        <v>30105</v>
      </c>
      <c r="D21" s="13">
        <f>SUM(D18:D20)</f>
        <v>33600</v>
      </c>
      <c r="E21" s="13">
        <f>SUM(E18:E20)</f>
        <v>35378</v>
      </c>
      <c r="F21" s="11"/>
      <c r="G21" s="13">
        <f>SUM(G18:G20)</f>
        <v>6903</v>
      </c>
      <c r="H21" s="13">
        <f>SUM(H18:H20)</f>
        <v>8237</v>
      </c>
      <c r="I21" s="13">
        <f>SUM(I18:I20)</f>
        <v>8357</v>
      </c>
      <c r="J21" s="13">
        <f>SUM(J18:J20)</f>
        <v>10103</v>
      </c>
      <c r="K21" s="13">
        <f>SUM(K18:K20)</f>
        <v>7325</v>
      </c>
      <c r="L21" s="13">
        <f>SUM(L18:L20)</f>
        <v>8308</v>
      </c>
      <c r="M21" s="13">
        <f>SUM(M18:M20)</f>
        <v>9026</v>
      </c>
      <c r="N21" s="13">
        <f>SUM(N18:N20)</f>
        <v>10719</v>
      </c>
      <c r="O21" s="13">
        <f>SUM(O18:O20)</f>
        <v>8153</v>
      </c>
      <c r="P21" s="13">
        <f>SUM(P18:P20)</f>
        <v>9204</v>
      </c>
      <c r="Q21" s="13">
        <f>SUM(Q18:Q20)</f>
        <v>10089</v>
      </c>
      <c r="R21" s="5"/>
      <c r="S21" s="13">
        <f>SUM(S18:S20)</f>
        <v>33600</v>
      </c>
      <c r="T21" s="13">
        <f>SUM(T18:T20)</f>
        <v>34022</v>
      </c>
      <c r="U21" s="13">
        <f>SUM(U18:U20)</f>
        <v>34093</v>
      </c>
      <c r="V21" s="13">
        <f>SUM(V18:V20)</f>
        <v>34762</v>
      </c>
      <c r="W21" s="13">
        <f>SUM(W18:W20)</f>
        <v>35378</v>
      </c>
      <c r="X21" s="13">
        <f>SUM(X18:X20)</f>
        <v>36206</v>
      </c>
      <c r="Y21" s="13">
        <f>SUM(Y18:Y20)</f>
        <v>37102</v>
      </c>
    </row>
    <row r="22" spans="1:25" outlineLevel="1">
      <c r="B22" s="114" t="s">
        <v>62</v>
      </c>
      <c r="C22" s="73">
        <f>C21-C11</f>
        <v>451</v>
      </c>
      <c r="D22" s="73">
        <f t="shared" ref="D22:E22" si="26">D21-D11</f>
        <v>361</v>
      </c>
      <c r="E22" s="73">
        <f t="shared" si="26"/>
        <v>443</v>
      </c>
      <c r="F22" s="11"/>
      <c r="G22" s="73">
        <f t="shared" ref="G22" si="27">G21-G11</f>
        <v>81</v>
      </c>
      <c r="H22" s="73">
        <f t="shared" ref="H22" si="28">H21-H11</f>
        <v>118</v>
      </c>
      <c r="I22" s="73">
        <f t="shared" ref="I22" si="29">I21-I11</f>
        <v>105</v>
      </c>
      <c r="J22" s="73">
        <f t="shared" ref="J22" si="30">J21-J11</f>
        <v>57</v>
      </c>
      <c r="K22" s="73">
        <f t="shared" ref="K22" si="31">K21-K11</f>
        <v>66</v>
      </c>
      <c r="L22" s="73">
        <f t="shared" ref="L22" si="32">L21-L11</f>
        <v>104</v>
      </c>
      <c r="M22" s="73">
        <f t="shared" ref="M22" si="33">M21-M11</f>
        <v>113</v>
      </c>
      <c r="N22" s="73">
        <f t="shared" ref="N22" si="34">N21-N11</f>
        <v>160</v>
      </c>
      <c r="O22" s="73">
        <f t="shared" ref="O22" si="35">O21-O11</f>
        <v>121</v>
      </c>
      <c r="P22" s="73">
        <f t="shared" ref="P22" si="36">P21-P11</f>
        <v>93</v>
      </c>
      <c r="Q22" s="73">
        <f t="shared" ref="Q22" si="37">Q21-Q11</f>
        <v>120</v>
      </c>
      <c r="R22" s="73"/>
      <c r="S22" s="73">
        <f t="shared" ref="S22" si="38">S21-S11</f>
        <v>361</v>
      </c>
      <c r="T22" s="73">
        <f t="shared" ref="T22" si="39">T21-T11</f>
        <v>346</v>
      </c>
      <c r="U22" s="73">
        <f t="shared" ref="U22" si="40">U21-U11</f>
        <v>332</v>
      </c>
      <c r="V22" s="73">
        <f t="shared" ref="V22" si="41">V21-V11</f>
        <v>340</v>
      </c>
      <c r="W22" s="73">
        <f t="shared" ref="W22" si="42">W21-W11</f>
        <v>443</v>
      </c>
      <c r="X22" s="73">
        <f t="shared" ref="X22" si="43">X21-X11</f>
        <v>498</v>
      </c>
      <c r="Y22" s="73">
        <f t="shared" ref="Y22" si="44">Y21-Y11</f>
        <v>487</v>
      </c>
    </row>
    <row r="23" spans="1:25">
      <c r="B23" s="16"/>
      <c r="C23" s="17"/>
      <c r="D23" s="17"/>
      <c r="E23" s="17"/>
      <c r="F23" s="18"/>
      <c r="G23" s="19"/>
      <c r="H23" s="19"/>
      <c r="I23" s="19"/>
      <c r="J23" s="20"/>
      <c r="K23" s="19"/>
      <c r="L23" s="19"/>
      <c r="M23" s="19"/>
      <c r="N23" s="19"/>
      <c r="O23" s="19"/>
      <c r="P23" s="19"/>
      <c r="Q23" s="19"/>
      <c r="R23" s="18"/>
      <c r="S23" s="18"/>
      <c r="T23" s="18"/>
      <c r="U23" s="18"/>
      <c r="V23" s="18"/>
      <c r="W23" s="18"/>
      <c r="X23" s="18"/>
      <c r="Y23" s="18"/>
    </row>
    <row r="24" spans="1:25">
      <c r="B24" s="115" t="str">
        <f>B18&amp;"(%)"</f>
        <v>Power (%)</v>
      </c>
      <c r="C24" s="127">
        <f>SUM(C18/C$11)</f>
        <v>0.54373777567950365</v>
      </c>
      <c r="D24" s="127">
        <f>SUM(D18/D$11)</f>
        <v>0.52456451758476486</v>
      </c>
      <c r="E24" s="127">
        <f>SUM(E18/E$11)</f>
        <v>0.51890654071847719</v>
      </c>
      <c r="F24" s="116"/>
      <c r="G24" s="127">
        <f>SUM(G18/G$11)</f>
        <v>0.56009967751392553</v>
      </c>
      <c r="H24" s="127">
        <f>SUM(H18/H$11)</f>
        <v>0.50880650326394872</v>
      </c>
      <c r="I24" s="127">
        <f>SUM(I18/I$11)</f>
        <v>0.47176442074648572</v>
      </c>
      <c r="J24" s="127">
        <f>SUM(J18/J$11)</f>
        <v>0.55653991638463074</v>
      </c>
      <c r="K24" s="127">
        <f>SUM(K18/K$11)</f>
        <v>0.55586168893787025</v>
      </c>
      <c r="L24" s="127">
        <f>SUM(L18/L$11)</f>
        <v>0.54302779132130663</v>
      </c>
      <c r="M24" s="127">
        <f>SUM(M18/M$11)</f>
        <v>0.4720071805228318</v>
      </c>
      <c r="N24" s="127">
        <f>SUM(N18/N$11)</f>
        <v>0.51434794961644092</v>
      </c>
      <c r="O24" s="127">
        <f>SUM(O18/O$11)</f>
        <v>0.55067231075697209</v>
      </c>
      <c r="P24" s="127">
        <f>SUM(P18/P$11)</f>
        <v>0.52222588080342447</v>
      </c>
      <c r="Q24" s="127">
        <f>SUM(Q18/Q$11)</f>
        <v>0.48540475473969302</v>
      </c>
      <c r="R24" s="116"/>
      <c r="S24" s="117">
        <f>K24</f>
        <v>0.55586168893787025</v>
      </c>
      <c r="T24" s="117">
        <f>L24</f>
        <v>0.54302779132130663</v>
      </c>
      <c r="U24" s="117">
        <f>M24</f>
        <v>0.4720071805228318</v>
      </c>
      <c r="V24" s="117">
        <f>N24</f>
        <v>0.51434794961644092</v>
      </c>
      <c r="W24" s="117">
        <f>O24</f>
        <v>0.55067231075697209</v>
      </c>
      <c r="X24" s="117">
        <f>P24</f>
        <v>0.52222588080342447</v>
      </c>
      <c r="Y24" s="118" t="e">
        <f>#REF!</f>
        <v>#REF!</v>
      </c>
    </row>
    <row r="25" spans="1:25">
      <c r="B25" s="119" t="str">
        <f>B19&amp;"(%)"</f>
        <v>Wind (%)</v>
      </c>
      <c r="C25" s="129">
        <f>SUM(C19/C$11)</f>
        <v>0.30029675591825722</v>
      </c>
      <c r="D25" s="129">
        <f>SUM(D19/D$11)</f>
        <v>0.29561659496374743</v>
      </c>
      <c r="E25" s="129">
        <f>SUM(E19/E$11)</f>
        <v>0.27765850865893804</v>
      </c>
      <c r="F25" s="120"/>
      <c r="G25" s="129">
        <f>SUM(G19/G$11)</f>
        <v>0.2566695983582527</v>
      </c>
      <c r="H25" s="129">
        <f>SUM(H19/H$11)</f>
        <v>0.32035965020322699</v>
      </c>
      <c r="I25" s="129">
        <f>SUM(I19/I$11)</f>
        <v>0.3498545807077072</v>
      </c>
      <c r="J25" s="129">
        <f>SUM(J19/J$11)</f>
        <v>0.25751542902647823</v>
      </c>
      <c r="K25" s="129">
        <f>SUM(K19/K$11)</f>
        <v>0.22578867612618819</v>
      </c>
      <c r="L25" s="129">
        <f>SUM(L19/L$11)</f>
        <v>0.25134080936128717</v>
      </c>
      <c r="M25" s="129">
        <f>SUM(M19/M$11)</f>
        <v>0.32435767979355995</v>
      </c>
      <c r="N25" s="129">
        <f>SUM(N19/N$11)</f>
        <v>0.29434605549767973</v>
      </c>
      <c r="O25" s="129">
        <f>SUM(O19/O$11)</f>
        <v>0.23032868525896413</v>
      </c>
      <c r="P25" s="129">
        <f>SUM(P19/P$11)</f>
        <v>0.24640544396882888</v>
      </c>
      <c r="Q25" s="129">
        <f>SUM(Q19/Q$11)</f>
        <v>0.26562343264118771</v>
      </c>
      <c r="R25" s="120"/>
      <c r="S25" s="121">
        <f>K25</f>
        <v>0.22578867612618819</v>
      </c>
      <c r="T25" s="121">
        <f>L25</f>
        <v>0.25134080936128717</v>
      </c>
      <c r="U25" s="121">
        <f>M25</f>
        <v>0.32435767979355995</v>
      </c>
      <c r="V25" s="121">
        <f>N25</f>
        <v>0.29434605549767973</v>
      </c>
      <c r="W25" s="121">
        <f>O25</f>
        <v>0.23032868525896413</v>
      </c>
      <c r="X25" s="121">
        <f>P25</f>
        <v>0.24640544396882888</v>
      </c>
      <c r="Y25" s="122" t="e">
        <f>#REF!</f>
        <v>#REF!</v>
      </c>
    </row>
    <row r="26" spans="1:25" ht="12.75" customHeight="1">
      <c r="B26" s="123" t="str">
        <f>B20&amp;"(%)"</f>
        <v>Electrification (%)</v>
      </c>
      <c r="C26" s="128">
        <f>SUM(C20/C$11)</f>
        <v>0.17117420921292237</v>
      </c>
      <c r="D26" s="128">
        <f>SUM(D20/D$11)</f>
        <v>0.19067962333403532</v>
      </c>
      <c r="E26" s="128">
        <f>SUM(E20/E$11)</f>
        <v>0.21611564333762703</v>
      </c>
      <c r="F26" s="124"/>
      <c r="G26" s="128">
        <f>SUM(G20/G$11)</f>
        <v>0.19510407505130462</v>
      </c>
      <c r="H26" s="128">
        <f>SUM(H20/H$11)</f>
        <v>0.18536765611528513</v>
      </c>
      <c r="I26" s="128">
        <f>SUM(I20/I$11)</f>
        <v>0.19110518662142512</v>
      </c>
      <c r="J26" s="128">
        <f>SUM(J20/J$11)</f>
        <v>0.19161855464861635</v>
      </c>
      <c r="K26" s="128">
        <f>SUM(K20/K$11)</f>
        <v>0.22744179639068743</v>
      </c>
      <c r="L26" s="128">
        <f>SUM(L20/L$11)</f>
        <v>0.21830814236957582</v>
      </c>
      <c r="M26" s="128">
        <f>SUM(M20/M$11)</f>
        <v>0.2163132503085381</v>
      </c>
      <c r="N26" s="128">
        <f>SUM(N20/N$11)</f>
        <v>0.20645894497584999</v>
      </c>
      <c r="O26" s="128">
        <f>SUM(O20/O$11)</f>
        <v>0.23406374501992031</v>
      </c>
      <c r="P26" s="128">
        <f>SUM(P20/P$11)</f>
        <v>0.24157611678191199</v>
      </c>
      <c r="Q26" s="128">
        <f>SUM(Q20/Q$11)</f>
        <v>0.26100912829772294</v>
      </c>
      <c r="R26" s="124"/>
      <c r="S26" s="125">
        <f>K26</f>
        <v>0.22744179639068743</v>
      </c>
      <c r="T26" s="125">
        <f>L26</f>
        <v>0.21830814236957582</v>
      </c>
      <c r="U26" s="125">
        <f>M26</f>
        <v>0.2163132503085381</v>
      </c>
      <c r="V26" s="125">
        <f>N26</f>
        <v>0.20645894497584999</v>
      </c>
      <c r="W26" s="125">
        <f>O26</f>
        <v>0.23406374501992031</v>
      </c>
      <c r="X26" s="125">
        <f>P26</f>
        <v>0.24157611678191199</v>
      </c>
      <c r="Y26" s="126" t="e">
        <f>#REF!</f>
        <v>#REF!</v>
      </c>
    </row>
    <row r="27" spans="1:25">
      <c r="B27" s="16"/>
      <c r="C27" s="17"/>
      <c r="D27" s="17"/>
      <c r="E27" s="17"/>
      <c r="F27" s="18"/>
      <c r="G27" s="19"/>
      <c r="H27" s="19"/>
      <c r="I27" s="19"/>
      <c r="J27" s="20"/>
      <c r="K27" s="19"/>
      <c r="L27" s="19"/>
      <c r="M27" s="19"/>
      <c r="N27" s="19"/>
      <c r="O27" s="19"/>
      <c r="P27" s="19"/>
      <c r="Q27" s="19"/>
      <c r="R27" s="18"/>
      <c r="S27" s="18"/>
      <c r="T27" s="18"/>
      <c r="U27" s="18"/>
      <c r="V27" s="18"/>
      <c r="W27" s="18"/>
      <c r="X27" s="18"/>
      <c r="Y27" s="18"/>
    </row>
    <row r="28" spans="1:25" ht="12.75" customHeight="1">
      <c r="A28" s="74" t="s">
        <v>17</v>
      </c>
      <c r="B28" s="72" t="s">
        <v>136</v>
      </c>
      <c r="C28" s="10"/>
      <c r="D28" s="10"/>
      <c r="E28" s="10"/>
      <c r="F28" s="10"/>
      <c r="G28" s="81"/>
      <c r="H28" s="81"/>
      <c r="I28" s="81"/>
      <c r="J28" s="30"/>
      <c r="K28" s="81"/>
      <c r="L28" s="81"/>
      <c r="M28" s="81"/>
      <c r="N28" s="30"/>
      <c r="O28" s="81"/>
      <c r="P28" s="81"/>
      <c r="Q28" s="81"/>
      <c r="R28" s="5"/>
      <c r="S28" s="11"/>
      <c r="T28" s="11"/>
      <c r="U28" s="11"/>
      <c r="V28" s="11"/>
      <c r="W28" s="11"/>
      <c r="X28" s="11"/>
      <c r="Y28" s="11"/>
    </row>
    <row r="29" spans="1:25" ht="12.75" customHeight="1">
      <c r="A29" s="74"/>
      <c r="B29" s="9" t="s">
        <v>139</v>
      </c>
      <c r="C29" s="75">
        <v>12079</v>
      </c>
      <c r="D29" s="75">
        <v>13220</v>
      </c>
      <c r="E29" s="75">
        <v>14465</v>
      </c>
      <c r="F29" s="10"/>
      <c r="G29" s="75">
        <v>2882</v>
      </c>
      <c r="H29" s="75">
        <v>3051</v>
      </c>
      <c r="I29" s="75">
        <v>2944</v>
      </c>
      <c r="J29" s="30">
        <f t="shared" ref="J29:J32" si="45">SUM(D29-SUM(G29:I29))</f>
        <v>4343</v>
      </c>
      <c r="K29" s="75">
        <v>3041</v>
      </c>
      <c r="L29" s="75">
        <v>3459</v>
      </c>
      <c r="M29" s="75">
        <v>3466</v>
      </c>
      <c r="N29" s="30">
        <f t="shared" ref="N29:N32" si="46">SUM(E29-SUM(K29:M29))</f>
        <v>4499</v>
      </c>
      <c r="O29" s="75">
        <v>3579</v>
      </c>
      <c r="P29" s="75">
        <v>3884</v>
      </c>
      <c r="Q29" s="75">
        <v>3923</v>
      </c>
      <c r="R29" s="5"/>
      <c r="S29" s="30">
        <f t="shared" ref="S29:S32" si="47">SUM(G29:J29)</f>
        <v>13220</v>
      </c>
      <c r="T29" s="30">
        <f t="shared" ref="T29:T32" si="48">SUM(H29:K29)</f>
        <v>13379</v>
      </c>
      <c r="U29" s="30">
        <f t="shared" ref="U29:U32" si="49">SUM(I29:L29)</f>
        <v>13787</v>
      </c>
      <c r="V29" s="30">
        <f t="shared" ref="V29:V32" si="50">SUM(J29:M29)</f>
        <v>14309</v>
      </c>
      <c r="W29" s="30">
        <f t="shared" ref="W29:W32" si="51">SUM(K29:N29)</f>
        <v>14465</v>
      </c>
      <c r="X29" s="30">
        <f t="shared" ref="X29:X32" si="52">SUM(L29:O29)</f>
        <v>15003</v>
      </c>
      <c r="Y29" s="30">
        <f t="shared" ref="Y29:Y32" si="53">SUM(M29:P29)</f>
        <v>15428</v>
      </c>
    </row>
    <row r="30" spans="1:25" ht="12.75" customHeight="1">
      <c r="A30" s="74"/>
      <c r="B30" s="9" t="s">
        <v>140</v>
      </c>
      <c r="C30" s="75">
        <v>699</v>
      </c>
      <c r="D30" s="75">
        <v>827</v>
      </c>
      <c r="E30" s="75">
        <v>819</v>
      </c>
      <c r="F30" s="10"/>
      <c r="G30" s="75">
        <v>221</v>
      </c>
      <c r="H30" s="75">
        <v>212</v>
      </c>
      <c r="I30" s="75">
        <v>158</v>
      </c>
      <c r="J30" s="30">
        <f t="shared" si="45"/>
        <v>236</v>
      </c>
      <c r="K30" s="75">
        <v>229</v>
      </c>
      <c r="L30" s="75">
        <v>222</v>
      </c>
      <c r="M30" s="75">
        <v>167</v>
      </c>
      <c r="N30" s="30">
        <f t="shared" si="46"/>
        <v>201</v>
      </c>
      <c r="O30" s="75">
        <v>200</v>
      </c>
      <c r="P30" s="75">
        <v>189</v>
      </c>
      <c r="Q30" s="75">
        <v>251</v>
      </c>
      <c r="R30" s="5"/>
      <c r="S30" s="30">
        <f t="shared" si="47"/>
        <v>827</v>
      </c>
      <c r="T30" s="30">
        <f t="shared" si="48"/>
        <v>835</v>
      </c>
      <c r="U30" s="30">
        <f t="shared" si="49"/>
        <v>845</v>
      </c>
      <c r="V30" s="30">
        <f t="shared" si="50"/>
        <v>854</v>
      </c>
      <c r="W30" s="30">
        <f t="shared" si="51"/>
        <v>819</v>
      </c>
      <c r="X30" s="30">
        <f t="shared" si="52"/>
        <v>790</v>
      </c>
      <c r="Y30" s="30">
        <f t="shared" si="53"/>
        <v>757</v>
      </c>
    </row>
    <row r="31" spans="1:25" ht="12.75" customHeight="1">
      <c r="A31" s="74"/>
      <c r="B31" s="9" t="s">
        <v>141</v>
      </c>
      <c r="C31" s="75">
        <v>703</v>
      </c>
      <c r="D31" s="75">
        <v>887</v>
      </c>
      <c r="E31" s="75">
        <v>781</v>
      </c>
      <c r="F31" s="10"/>
      <c r="G31" s="75">
        <v>178</v>
      </c>
      <c r="H31" s="75">
        <v>220</v>
      </c>
      <c r="I31" s="75">
        <v>220</v>
      </c>
      <c r="J31" s="30">
        <f t="shared" si="45"/>
        <v>269</v>
      </c>
      <c r="K31" s="75">
        <v>181</v>
      </c>
      <c r="L31" s="75">
        <v>182</v>
      </c>
      <c r="M31" s="75">
        <v>181</v>
      </c>
      <c r="N31" s="30">
        <f t="shared" si="46"/>
        <v>237</v>
      </c>
      <c r="O31" s="75">
        <v>157</v>
      </c>
      <c r="P31" s="75">
        <v>201</v>
      </c>
      <c r="Q31" s="75">
        <v>223</v>
      </c>
      <c r="R31" s="5"/>
      <c r="S31" s="30">
        <f t="shared" si="47"/>
        <v>887</v>
      </c>
      <c r="T31" s="30">
        <f t="shared" si="48"/>
        <v>890</v>
      </c>
      <c r="U31" s="30">
        <f t="shared" si="49"/>
        <v>852</v>
      </c>
      <c r="V31" s="30">
        <f t="shared" si="50"/>
        <v>813</v>
      </c>
      <c r="W31" s="30">
        <f t="shared" si="51"/>
        <v>781</v>
      </c>
      <c r="X31" s="30">
        <f t="shared" si="52"/>
        <v>757</v>
      </c>
      <c r="Y31" s="30">
        <f t="shared" si="53"/>
        <v>776</v>
      </c>
    </row>
    <row r="32" spans="1:25">
      <c r="B32" s="9" t="s">
        <v>142</v>
      </c>
      <c r="C32" s="75">
        <v>2643</v>
      </c>
      <c r="D32" s="75">
        <v>2502</v>
      </c>
      <c r="E32" s="75">
        <v>2063</v>
      </c>
      <c r="F32" s="75"/>
      <c r="G32" s="75">
        <v>540</v>
      </c>
      <c r="H32" s="75">
        <v>648</v>
      </c>
      <c r="I32" s="75">
        <v>571</v>
      </c>
      <c r="J32" s="30">
        <f t="shared" si="45"/>
        <v>743</v>
      </c>
      <c r="K32" s="75">
        <v>584</v>
      </c>
      <c r="L32" s="75">
        <v>592</v>
      </c>
      <c r="M32" s="75">
        <v>393</v>
      </c>
      <c r="N32" s="30">
        <f t="shared" si="46"/>
        <v>494</v>
      </c>
      <c r="O32" s="75">
        <v>487</v>
      </c>
      <c r="P32" s="75">
        <v>484</v>
      </c>
      <c r="Q32" s="75">
        <v>442</v>
      </c>
      <c r="R32" s="5"/>
      <c r="S32" s="30">
        <f t="shared" ref="S29:S32" si="54">SUM(G32:J32)</f>
        <v>2502</v>
      </c>
      <c r="T32" s="30">
        <f t="shared" ref="T29:T32" si="55">SUM(H32:K32)</f>
        <v>2546</v>
      </c>
      <c r="U32" s="30">
        <f t="shared" ref="U29:U32" si="56">SUM(I32:L32)</f>
        <v>2490</v>
      </c>
      <c r="V32" s="30">
        <f t="shared" ref="V29:V32" si="57">SUM(J32:M32)</f>
        <v>2312</v>
      </c>
      <c r="W32" s="30">
        <f t="shared" ref="W32" si="58">SUM(K32:N32)</f>
        <v>2063</v>
      </c>
      <c r="X32" s="30">
        <f t="shared" ref="X29:X32" si="59">SUM(L32:O32)</f>
        <v>1966</v>
      </c>
      <c r="Y32" s="30">
        <f t="shared" ref="Y32" si="60">SUM(M32:P32)</f>
        <v>1858</v>
      </c>
    </row>
    <row r="33" spans="1:25">
      <c r="B33" s="12" t="s">
        <v>70</v>
      </c>
      <c r="C33" s="13">
        <f>SUM(C29:C32)</f>
        <v>16124</v>
      </c>
      <c r="D33" s="13">
        <f>SUM(D29:D32)</f>
        <v>17436</v>
      </c>
      <c r="E33" s="13">
        <f>SUM(E29:E32)</f>
        <v>18128</v>
      </c>
      <c r="F33" s="11"/>
      <c r="G33" s="13">
        <f>SUM(G29:G32)</f>
        <v>3821</v>
      </c>
      <c r="H33" s="13">
        <f>SUM(H29:H32)</f>
        <v>4131</v>
      </c>
      <c r="I33" s="13">
        <f>SUM(I29:I32)</f>
        <v>3893</v>
      </c>
      <c r="J33" s="13">
        <f>SUM(J29:J32)</f>
        <v>5591</v>
      </c>
      <c r="K33" s="13">
        <f>SUM(K29:K32)</f>
        <v>4035</v>
      </c>
      <c r="L33" s="13">
        <f>SUM(L29:L32)</f>
        <v>4455</v>
      </c>
      <c r="M33" s="13">
        <f>SUM(M29:M32)</f>
        <v>4207</v>
      </c>
      <c r="N33" s="13">
        <f>SUM(N29:N32)</f>
        <v>5431</v>
      </c>
      <c r="O33" s="13">
        <f>SUM(O29:O32)</f>
        <v>4423</v>
      </c>
      <c r="P33" s="13">
        <f>SUM(P29:P32)</f>
        <v>4758</v>
      </c>
      <c r="Q33" s="13">
        <f>SUM(Q29:Q32)</f>
        <v>4839</v>
      </c>
      <c r="R33" s="5"/>
      <c r="S33" s="13">
        <f>SUM(S29:S32)</f>
        <v>17436</v>
      </c>
      <c r="T33" s="13">
        <f>SUM(T29:T32)</f>
        <v>17650</v>
      </c>
      <c r="U33" s="13">
        <f>SUM(U29:U32)</f>
        <v>17974</v>
      </c>
      <c r="V33" s="13">
        <f>SUM(V29:V32)</f>
        <v>18288</v>
      </c>
      <c r="W33" s="13">
        <f>SUM(W29:W32)</f>
        <v>18128</v>
      </c>
      <c r="X33" s="13">
        <f>SUM(X29:X32)</f>
        <v>18516</v>
      </c>
      <c r="Y33" s="13">
        <f>SUM(Y29:Y32)</f>
        <v>18819</v>
      </c>
    </row>
    <row r="34" spans="1:25" outlineLevel="1">
      <c r="B34" s="114" t="s">
        <v>62</v>
      </c>
      <c r="C34" s="73">
        <f>C33-C18</f>
        <v>0</v>
      </c>
      <c r="D34" s="73">
        <f t="shared" ref="D34:E34" si="61">D33-D18</f>
        <v>0</v>
      </c>
      <c r="E34" s="73">
        <f t="shared" si="61"/>
        <v>0</v>
      </c>
      <c r="F34" s="11"/>
      <c r="G34" s="73">
        <f t="shared" ref="G34" si="62">G33-G18</f>
        <v>0</v>
      </c>
      <c r="H34" s="73">
        <f t="shared" ref="H34" si="63">H33-H18</f>
        <v>0</v>
      </c>
      <c r="I34" s="73">
        <f t="shared" ref="I34" si="64">I33-I18</f>
        <v>0</v>
      </c>
      <c r="J34" s="73">
        <f t="shared" ref="J34" si="65">J33-J18</f>
        <v>0</v>
      </c>
      <c r="K34" s="73">
        <f t="shared" ref="K34" si="66">K33-K18</f>
        <v>0</v>
      </c>
      <c r="L34" s="73">
        <f t="shared" ref="L34" si="67">L33-L18</f>
        <v>0</v>
      </c>
      <c r="M34" s="73">
        <f t="shared" ref="M34" si="68">M33-M18</f>
        <v>0</v>
      </c>
      <c r="N34" s="73">
        <f t="shared" ref="N34" si="69">N33-N18</f>
        <v>0</v>
      </c>
      <c r="O34" s="73">
        <f t="shared" ref="O34" si="70">O33-O18</f>
        <v>0</v>
      </c>
      <c r="P34" s="73">
        <f t="shared" ref="P34" si="71">P33-P18</f>
        <v>0</v>
      </c>
      <c r="Q34" s="73">
        <f t="shared" ref="Q34" si="72">Q33-Q18</f>
        <v>0</v>
      </c>
      <c r="R34" s="73"/>
      <c r="S34" s="73">
        <f t="shared" ref="S34" si="73">S33-S18</f>
        <v>0</v>
      </c>
      <c r="T34" s="73">
        <f t="shared" ref="T34" si="74">T33-T18</f>
        <v>0</v>
      </c>
      <c r="U34" s="73">
        <f t="shared" ref="U34" si="75">U33-U18</f>
        <v>0</v>
      </c>
      <c r="V34" s="73">
        <f t="shared" ref="V34" si="76">V33-V18</f>
        <v>0</v>
      </c>
      <c r="W34" s="73">
        <f t="shared" ref="W34" si="77">W33-W18</f>
        <v>0</v>
      </c>
      <c r="X34" s="73">
        <f t="shared" ref="X34" si="78">X33-X18</f>
        <v>0</v>
      </c>
      <c r="Y34" s="73">
        <f t="shared" ref="Y34" si="79">Y33-Y18</f>
        <v>0</v>
      </c>
    </row>
    <row r="35" spans="1:25">
      <c r="B35" s="16"/>
      <c r="C35" s="17"/>
      <c r="D35" s="17"/>
      <c r="E35" s="17"/>
      <c r="F35" s="18"/>
      <c r="G35" s="19"/>
      <c r="H35" s="19"/>
      <c r="I35" s="19"/>
      <c r="J35" s="20"/>
      <c r="K35" s="19"/>
      <c r="L35" s="19"/>
      <c r="M35" s="19"/>
      <c r="N35" s="19"/>
      <c r="O35" s="19"/>
      <c r="P35" s="19"/>
      <c r="Q35" s="19"/>
      <c r="R35" s="18"/>
      <c r="S35" s="18"/>
      <c r="T35" s="18"/>
      <c r="U35" s="18"/>
      <c r="V35" s="18"/>
      <c r="W35" s="18"/>
      <c r="X35" s="18"/>
      <c r="Y35" s="18"/>
    </row>
    <row r="36" spans="1:25">
      <c r="B36" s="115" t="str">
        <f>B29&amp;"(%)"</f>
        <v>Gas Power (%)</v>
      </c>
      <c r="C36" s="127">
        <f>SUM(C29/C$11)</f>
        <v>0.4073312200714912</v>
      </c>
      <c r="D36" s="127">
        <f>SUM(D29/D$11)</f>
        <v>0.39772556334426429</v>
      </c>
      <c r="E36" s="127">
        <f>SUM(E29/E$11)</f>
        <v>0.41405467296407616</v>
      </c>
      <c r="F36" s="116"/>
      <c r="G36" s="127">
        <f>SUM(G29/G$11)</f>
        <v>0.42245675754910583</v>
      </c>
      <c r="H36" s="127">
        <f>SUM(H29/H$11)</f>
        <v>0.37578519522108633</v>
      </c>
      <c r="I36" s="127">
        <f>SUM(I29/I$11)</f>
        <v>0.35676199709161416</v>
      </c>
      <c r="J36" s="127">
        <f>SUM(J29/J$11)</f>
        <v>0.43231136770854073</v>
      </c>
      <c r="K36" s="127">
        <f>SUM(K29/K$11)</f>
        <v>0.41892822702851634</v>
      </c>
      <c r="L36" s="127">
        <f>SUM(L29/L$11)</f>
        <v>0.42162359824475865</v>
      </c>
      <c r="M36" s="127">
        <f>SUM(M29/M$11)</f>
        <v>0.38887018961068104</v>
      </c>
      <c r="N36" s="127">
        <f>SUM(N29/N$11)</f>
        <v>0.42608201534236195</v>
      </c>
      <c r="O36" s="127">
        <f>SUM(O29/O$11)</f>
        <v>0.44559262948207173</v>
      </c>
      <c r="P36" s="127">
        <f>SUM(P29/P$11)</f>
        <v>0.42629788168148391</v>
      </c>
      <c r="Q36" s="127">
        <f>SUM(Q29/Q$11)</f>
        <v>0.3935199117263517</v>
      </c>
      <c r="R36" s="116"/>
      <c r="S36" s="117">
        <f>K36</f>
        <v>0.41892822702851634</v>
      </c>
      <c r="T36" s="117">
        <f>L36</f>
        <v>0.42162359824475865</v>
      </c>
      <c r="U36" s="117">
        <f>M36</f>
        <v>0.38887018961068104</v>
      </c>
      <c r="V36" s="117">
        <f>N36</f>
        <v>0.42608201534236195</v>
      </c>
      <c r="W36" s="117">
        <f>O36</f>
        <v>0.44559262948207173</v>
      </c>
      <c r="X36" s="117">
        <f>P36</f>
        <v>0.42629788168148391</v>
      </c>
      <c r="Y36" s="118" t="e">
        <f>#REF!</f>
        <v>#REF!</v>
      </c>
    </row>
    <row r="37" spans="1:25">
      <c r="B37" s="119" t="str">
        <f t="shared" ref="B37:B38" si="80">B30&amp;"(%)"</f>
        <v>Nuclear Power (%)</v>
      </c>
      <c r="C37" s="129">
        <f t="shared" ref="C37:E37" si="81">SUM(C30/C$11)</f>
        <v>2.3571862143387065E-2</v>
      </c>
      <c r="D37" s="129">
        <f t="shared" si="81"/>
        <v>2.4880411564728182E-2</v>
      </c>
      <c r="E37" s="129">
        <f t="shared" si="81"/>
        <v>2.3443537999141263E-2</v>
      </c>
      <c r="F37" s="120"/>
      <c r="G37" s="129">
        <f t="shared" ref="G37:Q37" si="82">SUM(G30/G$11)</f>
        <v>3.2395192025798887E-2</v>
      </c>
      <c r="H37" s="129">
        <f t="shared" si="82"/>
        <v>2.6111590097302625E-2</v>
      </c>
      <c r="I37" s="129">
        <f t="shared" si="82"/>
        <v>1.9146873485215706E-2</v>
      </c>
      <c r="J37" s="129">
        <f t="shared" si="82"/>
        <v>2.349193708938881E-2</v>
      </c>
      <c r="K37" s="129">
        <f t="shared" si="82"/>
        <v>3.1547045047527207E-2</v>
      </c>
      <c r="L37" s="129">
        <f t="shared" si="82"/>
        <v>2.7059970745977571E-2</v>
      </c>
      <c r="M37" s="129">
        <f t="shared" si="82"/>
        <v>1.8736676764276899E-2</v>
      </c>
      <c r="N37" s="129">
        <f t="shared" si="82"/>
        <v>1.9035893550525616E-2</v>
      </c>
      <c r="O37" s="129">
        <f t="shared" si="82"/>
        <v>2.4900398406374501E-2</v>
      </c>
      <c r="P37" s="129">
        <f t="shared" si="82"/>
        <v>2.0744155416529471E-2</v>
      </c>
      <c r="Q37" s="129">
        <f t="shared" si="82"/>
        <v>2.5178051961079344E-2</v>
      </c>
      <c r="R37" s="120"/>
      <c r="S37" s="121">
        <f t="shared" ref="S37:S38" si="83">K37</f>
        <v>3.1547045047527207E-2</v>
      </c>
      <c r="T37" s="121">
        <f t="shared" ref="T37:T38" si="84">L37</f>
        <v>2.7059970745977571E-2</v>
      </c>
      <c r="U37" s="121">
        <f t="shared" ref="U37:U38" si="85">M37</f>
        <v>1.8736676764276899E-2</v>
      </c>
      <c r="V37" s="121">
        <f t="shared" ref="V37:V38" si="86">N37</f>
        <v>1.9035893550525616E-2</v>
      </c>
      <c r="W37" s="121">
        <f t="shared" ref="W37:W38" si="87">O37</f>
        <v>2.4900398406374501E-2</v>
      </c>
      <c r="X37" s="121">
        <f t="shared" ref="X37:X38" si="88">P37</f>
        <v>2.0744155416529471E-2</v>
      </c>
      <c r="Y37" s="122" t="e">
        <f>#REF!</f>
        <v>#REF!</v>
      </c>
    </row>
    <row r="38" spans="1:25">
      <c r="B38" s="119" t="str">
        <f t="shared" si="80"/>
        <v>Hydro Power (%)</v>
      </c>
      <c r="C38" s="129">
        <f t="shared" ref="C38:E38" si="89">SUM(C31/C$11)</f>
        <v>2.3706751197140351E-2</v>
      </c>
      <c r="D38" s="129">
        <f t="shared" si="89"/>
        <v>2.6685520021661302E-2</v>
      </c>
      <c r="E38" s="129">
        <f t="shared" si="89"/>
        <v>2.2355803635322743E-2</v>
      </c>
      <c r="F38" s="120"/>
      <c r="G38" s="129">
        <f t="shared" ref="G38:Q38" si="90">SUM(G31/G$11)</f>
        <v>2.6092055115801819E-2</v>
      </c>
      <c r="H38" s="129">
        <f t="shared" si="90"/>
        <v>2.7096933119842345E-2</v>
      </c>
      <c r="I38" s="129">
        <f t="shared" si="90"/>
        <v>2.6660203587009209E-2</v>
      </c>
      <c r="J38" s="129">
        <f t="shared" si="90"/>
        <v>2.6776826597650807E-2</v>
      </c>
      <c r="K38" s="129">
        <f t="shared" si="90"/>
        <v>2.4934563989530239E-2</v>
      </c>
      <c r="L38" s="129">
        <f t="shared" si="90"/>
        <v>2.2184300341296929E-2</v>
      </c>
      <c r="M38" s="129">
        <f t="shared" si="90"/>
        <v>2.0307416133737238E-2</v>
      </c>
      <c r="N38" s="129">
        <f t="shared" si="90"/>
        <v>2.2445307320769013E-2</v>
      </c>
      <c r="O38" s="129">
        <f t="shared" si="90"/>
        <v>1.9546812749003984E-2</v>
      </c>
      <c r="P38" s="129">
        <f t="shared" si="90"/>
        <v>2.206124464932499E-2</v>
      </c>
      <c r="Q38" s="129">
        <f t="shared" si="90"/>
        <v>2.2369344969405156E-2</v>
      </c>
      <c r="R38" s="120"/>
      <c r="S38" s="121">
        <f t="shared" si="83"/>
        <v>2.4934563989530239E-2</v>
      </c>
      <c r="T38" s="121">
        <f t="shared" si="84"/>
        <v>2.2184300341296929E-2</v>
      </c>
      <c r="U38" s="121">
        <f t="shared" si="85"/>
        <v>2.0307416133737238E-2</v>
      </c>
      <c r="V38" s="121">
        <f t="shared" si="86"/>
        <v>2.2445307320769013E-2</v>
      </c>
      <c r="W38" s="121">
        <f t="shared" si="87"/>
        <v>1.9546812749003984E-2</v>
      </c>
      <c r="X38" s="121">
        <f t="shared" si="88"/>
        <v>2.206124464932499E-2</v>
      </c>
      <c r="Y38" s="122" t="e">
        <f>#REF!</f>
        <v>#REF!</v>
      </c>
    </row>
    <row r="39" spans="1:25" ht="12.75" customHeight="1">
      <c r="B39" s="123" t="str">
        <f>B32&amp;"(%)"</f>
        <v>Steam Power (%)</v>
      </c>
      <c r="C39" s="128">
        <f>SUM(C32/C$11)</f>
        <v>8.9127942267484994E-2</v>
      </c>
      <c r="D39" s="128">
        <f>SUM(D32/D$11)</f>
        <v>7.5273022654111135E-2</v>
      </c>
      <c r="E39" s="128">
        <f>SUM(E32/E$11)</f>
        <v>5.9052526119937027E-2</v>
      </c>
      <c r="F39" s="124"/>
      <c r="G39" s="128">
        <f>SUM(G32/G$11)</f>
        <v>7.9155672823219003E-2</v>
      </c>
      <c r="H39" s="128">
        <f>SUM(H32/H$11)</f>
        <v>7.981278482571745E-2</v>
      </c>
      <c r="I39" s="128">
        <f>SUM(I32/I$11)</f>
        <v>6.919534658264663E-2</v>
      </c>
      <c r="J39" s="128">
        <f>SUM(J32/J$11)</f>
        <v>7.395978498905037E-2</v>
      </c>
      <c r="K39" s="128">
        <f>SUM(K32/K$11)</f>
        <v>8.0451852872296462E-2</v>
      </c>
      <c r="L39" s="128">
        <f>SUM(L32/L$11)</f>
        <v>7.2159921989273526E-2</v>
      </c>
      <c r="M39" s="128">
        <f>SUM(M32/M$11)</f>
        <v>4.4092898014136656E-2</v>
      </c>
      <c r="N39" s="128">
        <f>SUM(N32/N$11)</f>
        <v>4.6784733402784356E-2</v>
      </c>
      <c r="O39" s="128">
        <f>SUM(O32/O$11)</f>
        <v>6.0632470119521914E-2</v>
      </c>
      <c r="P39" s="128">
        <f>SUM(P32/P$11)</f>
        <v>5.3122599056086052E-2</v>
      </c>
      <c r="Q39" s="128">
        <f>SUM(Q32/Q$11)</f>
        <v>4.4337446082856856E-2</v>
      </c>
      <c r="R39" s="124"/>
      <c r="S39" s="125">
        <f>K39</f>
        <v>8.0451852872296462E-2</v>
      </c>
      <c r="T39" s="125">
        <f>L39</f>
        <v>7.2159921989273526E-2</v>
      </c>
      <c r="U39" s="125">
        <f>M39</f>
        <v>4.4092898014136656E-2</v>
      </c>
      <c r="V39" s="125">
        <f>N39</f>
        <v>4.6784733402784356E-2</v>
      </c>
      <c r="W39" s="125">
        <f>O39</f>
        <v>6.0632470119521914E-2</v>
      </c>
      <c r="X39" s="125">
        <f>P39</f>
        <v>5.3122599056086052E-2</v>
      </c>
      <c r="Y39" s="126" t="e">
        <f>#REF!</f>
        <v>#REF!</v>
      </c>
    </row>
    <row r="40" spans="1:25">
      <c r="B40" s="16"/>
      <c r="C40" s="17"/>
      <c r="D40" s="17"/>
      <c r="E40" s="17"/>
      <c r="F40" s="18"/>
      <c r="G40" s="19"/>
      <c r="H40" s="19"/>
      <c r="I40" s="19"/>
      <c r="J40" s="20"/>
      <c r="K40" s="19"/>
      <c r="L40" s="19"/>
      <c r="M40" s="19"/>
      <c r="N40" s="19"/>
      <c r="O40" s="19"/>
      <c r="P40" s="19"/>
      <c r="Q40" s="19"/>
      <c r="R40" s="18"/>
      <c r="S40" s="18"/>
      <c r="T40" s="18"/>
      <c r="U40" s="18"/>
      <c r="V40" s="18"/>
      <c r="W40" s="18"/>
      <c r="X40" s="18"/>
      <c r="Y40" s="18"/>
    </row>
    <row r="41" spans="1:25" ht="12.75" customHeight="1">
      <c r="A41" s="74" t="s">
        <v>17</v>
      </c>
      <c r="B41" s="72" t="s">
        <v>137</v>
      </c>
      <c r="C41" s="10"/>
      <c r="D41" s="10"/>
      <c r="E41" s="10"/>
      <c r="F41" s="10"/>
      <c r="G41" s="81"/>
      <c r="H41" s="81"/>
      <c r="I41" s="81"/>
      <c r="J41" s="30"/>
      <c r="K41" s="81"/>
      <c r="L41" s="81"/>
      <c r="M41" s="81"/>
      <c r="N41" s="30"/>
      <c r="O41" s="81"/>
      <c r="P41" s="81"/>
      <c r="Q41" s="81"/>
      <c r="R41" s="5"/>
      <c r="S41" s="11"/>
      <c r="T41" s="11"/>
      <c r="U41" s="11"/>
      <c r="V41" s="11"/>
      <c r="W41" s="11"/>
      <c r="X41" s="11"/>
      <c r="Y41" s="11"/>
    </row>
    <row r="42" spans="1:25" ht="12.75" customHeight="1">
      <c r="A42" s="74"/>
      <c r="B42" s="9" t="s">
        <v>144</v>
      </c>
      <c r="C42" s="75">
        <v>7941</v>
      </c>
      <c r="D42" s="75">
        <v>7761</v>
      </c>
      <c r="E42" s="75">
        <v>7781</v>
      </c>
      <c r="F42" s="10"/>
      <c r="G42" s="75">
        <v>1422</v>
      </c>
      <c r="H42" s="75">
        <v>2174</v>
      </c>
      <c r="I42" s="75">
        <v>2281</v>
      </c>
      <c r="J42" s="30">
        <f t="shared" ref="J42:J43" si="91">SUM(D42-SUM(G42:I42))</f>
        <v>1884</v>
      </c>
      <c r="K42" s="75">
        <v>1059</v>
      </c>
      <c r="L42" s="75">
        <v>1560</v>
      </c>
      <c r="M42" s="75">
        <v>2355</v>
      </c>
      <c r="N42" s="30">
        <f t="shared" ref="N42:N44" si="92">SUM(E42-SUM(K42:M42))</f>
        <v>2807</v>
      </c>
      <c r="O42" s="75">
        <v>1583</v>
      </c>
      <c r="P42" s="75">
        <v>1962</v>
      </c>
      <c r="Q42" s="75">
        <v>2402</v>
      </c>
      <c r="R42" s="5"/>
      <c r="S42" s="30">
        <f t="shared" ref="S42:S44" si="93">SUM(G42:J42)</f>
        <v>7761</v>
      </c>
      <c r="T42" s="30">
        <f t="shared" ref="T42:T44" si="94">SUM(H42:K42)</f>
        <v>7398</v>
      </c>
      <c r="U42" s="30">
        <f t="shared" ref="U42:U44" si="95">SUM(I42:L42)</f>
        <v>6784</v>
      </c>
      <c r="V42" s="30">
        <f t="shared" ref="V42:V44" si="96">SUM(J42:M42)</f>
        <v>6858</v>
      </c>
      <c r="W42" s="30">
        <f>SUM(K42:N42)</f>
        <v>7781</v>
      </c>
      <c r="X42" s="30">
        <f t="shared" ref="X42:X44" si="97">SUM(L42:O42)</f>
        <v>8305</v>
      </c>
      <c r="Y42" s="30">
        <f>SUM(M42:P42)</f>
        <v>8707</v>
      </c>
    </row>
    <row r="43" spans="1:25" ht="12.75" customHeight="1">
      <c r="A43" s="74"/>
      <c r="B43" s="9" t="s">
        <v>145</v>
      </c>
      <c r="C43" s="75">
        <v>531</v>
      </c>
      <c r="D43" s="75">
        <v>1455</v>
      </c>
      <c r="E43" s="75">
        <v>1377</v>
      </c>
      <c r="F43" s="10"/>
      <c r="G43" s="75">
        <v>249</v>
      </c>
      <c r="H43" s="75">
        <v>285</v>
      </c>
      <c r="I43" s="75">
        <v>455</v>
      </c>
      <c r="J43" s="30">
        <f t="shared" si="91"/>
        <v>466</v>
      </c>
      <c r="K43" s="75">
        <v>441</v>
      </c>
      <c r="L43" s="75">
        <v>353</v>
      </c>
      <c r="M43" s="75">
        <v>388</v>
      </c>
      <c r="N43" s="30">
        <f t="shared" si="92"/>
        <v>195</v>
      </c>
      <c r="O43" s="75">
        <v>204</v>
      </c>
      <c r="P43" s="75">
        <v>225</v>
      </c>
      <c r="Q43" s="75">
        <v>195</v>
      </c>
      <c r="R43" s="5"/>
      <c r="S43" s="30">
        <f t="shared" ref="S43:S44" si="98">SUM(G43:J43)</f>
        <v>1455</v>
      </c>
      <c r="T43" s="30">
        <f t="shared" ref="T43:T44" si="99">SUM(H43:K43)</f>
        <v>1647</v>
      </c>
      <c r="U43" s="30">
        <f t="shared" ref="U43:U44" si="100">SUM(I43:L43)</f>
        <v>1715</v>
      </c>
      <c r="V43" s="30">
        <f t="shared" ref="V43:V44" si="101">SUM(J43:M43)</f>
        <v>1648</v>
      </c>
      <c r="W43" s="30">
        <f t="shared" ref="W43:W44" si="102">SUM(K43:N43)</f>
        <v>1377</v>
      </c>
      <c r="X43" s="30">
        <f t="shared" ref="X43:X44" si="103">SUM(L43:O43)</f>
        <v>1140</v>
      </c>
      <c r="Y43" s="30">
        <f t="shared" ref="Y43:Y44" si="104">SUM(M43:P43)</f>
        <v>1012</v>
      </c>
    </row>
    <row r="44" spans="1:25">
      <c r="B44" s="9" t="s">
        <v>146</v>
      </c>
      <c r="C44" s="75">
        <v>433</v>
      </c>
      <c r="D44" s="75">
        <v>610</v>
      </c>
      <c r="E44" s="75">
        <v>542</v>
      </c>
      <c r="F44" s="75"/>
      <c r="G44" s="75">
        <v>80</v>
      </c>
      <c r="H44" s="75">
        <v>142</v>
      </c>
      <c r="I44" s="75">
        <v>151</v>
      </c>
      <c r="J44" s="30">
        <v>237</v>
      </c>
      <c r="K44" s="75">
        <v>139</v>
      </c>
      <c r="L44" s="75">
        <v>149</v>
      </c>
      <c r="M44" s="75">
        <v>148</v>
      </c>
      <c r="N44" s="30">
        <f t="shared" si="92"/>
        <v>106</v>
      </c>
      <c r="O44" s="75">
        <v>63</v>
      </c>
      <c r="P44" s="75">
        <v>58</v>
      </c>
      <c r="Q44" s="75">
        <v>51</v>
      </c>
      <c r="R44" s="5"/>
      <c r="S44" s="30">
        <f t="shared" si="98"/>
        <v>610</v>
      </c>
      <c r="T44" s="30">
        <f t="shared" si="99"/>
        <v>669</v>
      </c>
      <c r="U44" s="30">
        <f t="shared" si="100"/>
        <v>676</v>
      </c>
      <c r="V44" s="30">
        <f t="shared" si="101"/>
        <v>673</v>
      </c>
      <c r="W44" s="30">
        <f t="shared" si="102"/>
        <v>542</v>
      </c>
      <c r="X44" s="30">
        <f t="shared" si="103"/>
        <v>466</v>
      </c>
      <c r="Y44" s="30">
        <f t="shared" si="104"/>
        <v>375</v>
      </c>
    </row>
    <row r="45" spans="1:25">
      <c r="B45" s="12" t="s">
        <v>70</v>
      </c>
      <c r="C45" s="13">
        <f>SUM(C42:C44)</f>
        <v>8905</v>
      </c>
      <c r="D45" s="13">
        <f>SUM(D42:D44)</f>
        <v>9826</v>
      </c>
      <c r="E45" s="13">
        <f>SUM(E42:E44)</f>
        <v>9700</v>
      </c>
      <c r="F45" s="11"/>
      <c r="G45" s="13">
        <f>SUM(G42:G44)</f>
        <v>1751</v>
      </c>
      <c r="H45" s="13">
        <f>SUM(H42:H44)</f>
        <v>2601</v>
      </c>
      <c r="I45" s="13">
        <f>SUM(I42:I44)</f>
        <v>2887</v>
      </c>
      <c r="J45" s="13">
        <f>SUM(J42:J44)</f>
        <v>2587</v>
      </c>
      <c r="K45" s="13">
        <f>SUM(K42:K44)</f>
        <v>1639</v>
      </c>
      <c r="L45" s="13">
        <f>SUM(L42:L44)</f>
        <v>2062</v>
      </c>
      <c r="M45" s="13">
        <f>SUM(M42:M44)</f>
        <v>2891</v>
      </c>
      <c r="N45" s="13">
        <f>SUM(N42:N44)</f>
        <v>3108</v>
      </c>
      <c r="O45" s="13">
        <f>SUM(O42:O44)</f>
        <v>1850</v>
      </c>
      <c r="P45" s="13">
        <f>SUM(P42:P44)</f>
        <v>2245</v>
      </c>
      <c r="Q45" s="13">
        <f>SUM(Q42:Q44)</f>
        <v>2648</v>
      </c>
      <c r="R45" s="5"/>
      <c r="S45" s="13">
        <f>SUM(S42:S44)</f>
        <v>9826</v>
      </c>
      <c r="T45" s="13">
        <f>SUM(T42:T44)</f>
        <v>9714</v>
      </c>
      <c r="U45" s="13">
        <f>SUM(U42:U44)</f>
        <v>9175</v>
      </c>
      <c r="V45" s="13">
        <f>SUM(V42:V44)</f>
        <v>9179</v>
      </c>
      <c r="W45" s="13">
        <f>SUM(W42:W44)</f>
        <v>9700</v>
      </c>
      <c r="X45" s="13">
        <f>SUM(X42:X44)</f>
        <v>9911</v>
      </c>
      <c r="Y45" s="13">
        <f>SUM(Y42:Y44)</f>
        <v>10094</v>
      </c>
    </row>
    <row r="46" spans="1:25" outlineLevel="1">
      <c r="B46" s="114" t="s">
        <v>62</v>
      </c>
      <c r="C46" s="73">
        <f>C45-C19</f>
        <v>0</v>
      </c>
      <c r="D46" s="73">
        <f t="shared" ref="D46:E46" si="105">D45-D19</f>
        <v>0</v>
      </c>
      <c r="E46" s="73">
        <f t="shared" si="105"/>
        <v>0</v>
      </c>
      <c r="F46" s="11"/>
      <c r="G46" s="73">
        <f t="shared" ref="G46" si="106">G45-G19</f>
        <v>0</v>
      </c>
      <c r="H46" s="73">
        <f t="shared" ref="H46" si="107">H45-H19</f>
        <v>0</v>
      </c>
      <c r="I46" s="73">
        <f t="shared" ref="I46" si="108">I45-I19</f>
        <v>0</v>
      </c>
      <c r="J46" s="73">
        <f t="shared" ref="J46" si="109">J45-J19</f>
        <v>0</v>
      </c>
      <c r="K46" s="73">
        <f t="shared" ref="K46" si="110">K45-K19</f>
        <v>0</v>
      </c>
      <c r="L46" s="73">
        <f t="shared" ref="L46" si="111">L45-L19</f>
        <v>0</v>
      </c>
      <c r="M46" s="73">
        <f t="shared" ref="M46" si="112">M45-M19</f>
        <v>0</v>
      </c>
      <c r="N46" s="73">
        <f t="shared" ref="N46" si="113">N45-N19</f>
        <v>0</v>
      </c>
      <c r="O46" s="73">
        <f t="shared" ref="O46" si="114">O45-O19</f>
        <v>0</v>
      </c>
      <c r="P46" s="73">
        <f t="shared" ref="P46" si="115">P45-P19</f>
        <v>0</v>
      </c>
      <c r="Q46" s="73">
        <f t="shared" ref="Q46" si="116">Q45-Q19</f>
        <v>0</v>
      </c>
      <c r="R46" s="73"/>
      <c r="S46" s="73">
        <f t="shared" ref="S46" si="117">S45-S19</f>
        <v>0</v>
      </c>
      <c r="T46" s="73">
        <f t="shared" ref="T46" si="118">T45-T19</f>
        <v>0</v>
      </c>
      <c r="U46" s="73">
        <f t="shared" ref="U46" si="119">U45-U19</f>
        <v>0</v>
      </c>
      <c r="V46" s="73">
        <f t="shared" ref="V46" si="120">V45-V19</f>
        <v>0</v>
      </c>
      <c r="W46" s="73">
        <f t="shared" ref="W46" si="121">W45-W19</f>
        <v>0</v>
      </c>
      <c r="X46" s="73">
        <f t="shared" ref="X46" si="122">X45-X19</f>
        <v>0</v>
      </c>
      <c r="Y46" s="73">
        <f t="shared" ref="Y46" si="123">Y45-Y19</f>
        <v>0</v>
      </c>
    </row>
    <row r="47" spans="1:25">
      <c r="B47" s="16"/>
      <c r="C47" s="17"/>
      <c r="D47" s="17"/>
      <c r="E47" s="17"/>
      <c r="F47" s="18"/>
      <c r="G47" s="19"/>
      <c r="H47" s="19"/>
      <c r="I47" s="19"/>
      <c r="J47" s="20"/>
      <c r="K47" s="19"/>
      <c r="L47" s="19"/>
      <c r="M47" s="19"/>
      <c r="N47" s="19"/>
      <c r="O47" s="19"/>
      <c r="P47" s="19"/>
      <c r="Q47" s="19"/>
      <c r="R47" s="18"/>
      <c r="S47" s="18"/>
      <c r="T47" s="18"/>
      <c r="U47" s="18"/>
      <c r="V47" s="18"/>
      <c r="W47" s="18"/>
      <c r="X47" s="18"/>
      <c r="Y47" s="18"/>
    </row>
    <row r="48" spans="1:25">
      <c r="B48" s="115" t="str">
        <f>B42&amp;"(%)"</f>
        <v>Onshore Wind(%)</v>
      </c>
      <c r="C48" s="127">
        <f>SUM(C42/C$11)</f>
        <v>0.26778849396371485</v>
      </c>
      <c r="D48" s="127">
        <f>SUM(D42/D$11)</f>
        <v>0.23349077890429917</v>
      </c>
      <c r="E48" s="127">
        <f>SUM(E42/E$11)</f>
        <v>0.22272792328610277</v>
      </c>
      <c r="F48" s="116"/>
      <c r="G48" s="127">
        <f>SUM(G42/G$11)</f>
        <v>0.20844327176781002</v>
      </c>
      <c r="H48" s="127">
        <f>SUM(H42/H$11)</f>
        <v>0.26776696637516934</v>
      </c>
      <c r="I48" s="127">
        <f>SUM(I42/I$11)</f>
        <v>0.2764178380998546</v>
      </c>
      <c r="J48" s="127">
        <f>SUM(J42/J$11)</f>
        <v>0.18753732828986661</v>
      </c>
      <c r="K48" s="127">
        <f>SUM(K42/K$11)</f>
        <v>0.14588786334205814</v>
      </c>
      <c r="L48" s="127">
        <f>SUM(L42/L$11)</f>
        <v>0.19015114578254511</v>
      </c>
      <c r="M48" s="127">
        <f>SUM(M42/M$11)</f>
        <v>0.2642208010770784</v>
      </c>
      <c r="N48" s="127">
        <f>SUM(N42/N$11)</f>
        <v>0.26583956814092241</v>
      </c>
      <c r="O48" s="127">
        <f>SUM(O42/O$11)</f>
        <v>0.19708665338645417</v>
      </c>
      <c r="P48" s="127">
        <f>SUM(P42/P$11)</f>
        <v>0.21534408956206783</v>
      </c>
      <c r="Q48" s="127">
        <f>SUM(Q42/Q$11)</f>
        <v>0.24094693550005017</v>
      </c>
      <c r="R48" s="116"/>
      <c r="S48" s="117">
        <f>K48</f>
        <v>0.14588786334205814</v>
      </c>
      <c r="T48" s="117">
        <f>L48</f>
        <v>0.19015114578254511</v>
      </c>
      <c r="U48" s="117">
        <f>M48</f>
        <v>0.2642208010770784</v>
      </c>
      <c r="V48" s="117">
        <f>N48</f>
        <v>0.26583956814092241</v>
      </c>
      <c r="W48" s="117">
        <f>O48</f>
        <v>0.19708665338645417</v>
      </c>
      <c r="X48" s="117">
        <f>P48</f>
        <v>0.21534408956206783</v>
      </c>
      <c r="Y48" s="118" t="e">
        <f>#REF!</f>
        <v>#REF!</v>
      </c>
    </row>
    <row r="49" spans="1:25">
      <c r="B49" s="119" t="str">
        <f>B43&amp;"(%)"</f>
        <v>Offshore Wind(%)</v>
      </c>
      <c r="C49" s="129">
        <f>SUM(C43/C$11)</f>
        <v>1.7906521885748972E-2</v>
      </c>
      <c r="D49" s="129">
        <f>SUM(D43/D$11)</f>
        <v>4.3773880080628179E-2</v>
      </c>
      <c r="E49" s="129">
        <f>SUM(E43/E$11)</f>
        <v>3.9416058394160583E-2</v>
      </c>
      <c r="F49" s="120"/>
      <c r="G49" s="129">
        <f>SUM(G43/G$11)</f>
        <v>3.6499560246262094E-2</v>
      </c>
      <c r="H49" s="129">
        <f>SUM(H43/H$11)</f>
        <v>3.5102845177977585E-2</v>
      </c>
      <c r="I49" s="129">
        <f>SUM(I43/I$11)</f>
        <v>5.513814832767814E-2</v>
      </c>
      <c r="J49" s="129">
        <f>SUM(J43/J$11)</f>
        <v>4.6386621540911804E-2</v>
      </c>
      <c r="K49" s="129">
        <f>SUM(K43/K$11)</f>
        <v>6.0752169720347159E-2</v>
      </c>
      <c r="L49" s="129">
        <f>SUM(L43/L$11)</f>
        <v>4.3027791321306678E-2</v>
      </c>
      <c r="M49" s="129">
        <f>SUM(M43/M$11)</f>
        <v>4.353191966790082E-2</v>
      </c>
      <c r="N49" s="129">
        <f>SUM(N43/N$11)</f>
        <v>1.8467657922151718E-2</v>
      </c>
      <c r="O49" s="129">
        <f>SUM(O43/O$11)</f>
        <v>2.5398406374501994E-2</v>
      </c>
      <c r="P49" s="129">
        <f>SUM(P43/P$11)</f>
        <v>2.4695423114916036E-2</v>
      </c>
      <c r="Q49" s="129">
        <f>SUM(Q43/Q$11)</f>
        <v>1.9560637977730964E-2</v>
      </c>
      <c r="R49" s="120"/>
      <c r="S49" s="121">
        <f>K49</f>
        <v>6.0752169720347159E-2</v>
      </c>
      <c r="T49" s="121">
        <f>L49</f>
        <v>4.3027791321306678E-2</v>
      </c>
      <c r="U49" s="121">
        <f>M49</f>
        <v>4.353191966790082E-2</v>
      </c>
      <c r="V49" s="121">
        <f>N49</f>
        <v>1.8467657922151718E-2</v>
      </c>
      <c r="W49" s="121">
        <f>O49</f>
        <v>2.5398406374501994E-2</v>
      </c>
      <c r="X49" s="121">
        <f>P49</f>
        <v>2.4695423114916036E-2</v>
      </c>
      <c r="Y49" s="122" t="e">
        <f>#REF!</f>
        <v>#REF!</v>
      </c>
    </row>
    <row r="50" spans="1:25" ht="12.75" customHeight="1">
      <c r="B50" s="123" t="str">
        <f>B44&amp;"(%)"</f>
        <v>LM Wind(%)</v>
      </c>
      <c r="C50" s="128">
        <f>SUM(C44/C$11)</f>
        <v>1.4601740068793417E-2</v>
      </c>
      <c r="D50" s="128">
        <f>SUM(D44/D$11)</f>
        <v>1.835193597882006E-2</v>
      </c>
      <c r="E50" s="128">
        <f>SUM(E44/E$11)</f>
        <v>1.5514526978674682E-2</v>
      </c>
      <c r="F50" s="124"/>
      <c r="G50" s="128">
        <f>SUM(G44/G$11)</f>
        <v>1.1726766344180592E-2</v>
      </c>
      <c r="H50" s="128">
        <f>SUM(H44/H$11)</f>
        <v>1.748983865008006E-2</v>
      </c>
      <c r="I50" s="128">
        <f>SUM(I44/I$11)</f>
        <v>1.8298594280174503E-2</v>
      </c>
      <c r="J50" s="128">
        <f>SUM(J44/J$11)</f>
        <v>2.3591479195699781E-2</v>
      </c>
      <c r="K50" s="128">
        <f>SUM(K44/K$11)</f>
        <v>1.9148643063782889E-2</v>
      </c>
      <c r="L50" s="128">
        <f>SUM(L44/L$11)</f>
        <v>1.8161872257435398E-2</v>
      </c>
      <c r="M50" s="128">
        <f>SUM(M44/M$11)</f>
        <v>1.6604959048580725E-2</v>
      </c>
      <c r="N50" s="128">
        <f>SUM(N44/N$11)</f>
        <v>1.003882943460555E-2</v>
      </c>
      <c r="O50" s="128">
        <f>SUM(O44/O$11)</f>
        <v>7.8436254980079681E-3</v>
      </c>
      <c r="P50" s="128">
        <f>SUM(P44/P$11)</f>
        <v>6.3659312918450221E-3</v>
      </c>
      <c r="Q50" s="128">
        <f>SUM(Q44/Q$11)</f>
        <v>5.1158591634065604E-3</v>
      </c>
      <c r="R50" s="124"/>
      <c r="S50" s="125">
        <f>K50</f>
        <v>1.9148643063782889E-2</v>
      </c>
      <c r="T50" s="125">
        <f>L50</f>
        <v>1.8161872257435398E-2</v>
      </c>
      <c r="U50" s="125">
        <f>M50</f>
        <v>1.6604959048580725E-2</v>
      </c>
      <c r="V50" s="125">
        <f>N50</f>
        <v>1.003882943460555E-2</v>
      </c>
      <c r="W50" s="125">
        <f>O50</f>
        <v>7.8436254980079681E-3</v>
      </c>
      <c r="X50" s="125">
        <f>P50</f>
        <v>6.3659312918450221E-3</v>
      </c>
      <c r="Y50" s="126" t="e">
        <f>#REF!</f>
        <v>#REF!</v>
      </c>
    </row>
    <row r="51" spans="1:25">
      <c r="B51" s="16"/>
      <c r="C51" s="17"/>
      <c r="D51" s="17"/>
      <c r="E51" s="17"/>
      <c r="F51" s="18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8"/>
      <c r="S51" s="18"/>
      <c r="T51" s="18"/>
      <c r="U51" s="18"/>
      <c r="V51" s="18"/>
      <c r="W51" s="18"/>
      <c r="X51" s="18"/>
      <c r="Y51" s="18"/>
    </row>
    <row r="52" spans="1:25" ht="12.75" customHeight="1">
      <c r="A52" s="74" t="s">
        <v>17</v>
      </c>
      <c r="B52" s="72" t="s">
        <v>138</v>
      </c>
      <c r="C52" s="10"/>
      <c r="D52" s="10"/>
      <c r="E52" s="10"/>
      <c r="F52" s="10"/>
      <c r="G52" s="81"/>
      <c r="H52" s="81"/>
      <c r="I52" s="81"/>
      <c r="J52" s="30"/>
      <c r="K52" s="81"/>
      <c r="L52" s="81"/>
      <c r="M52" s="81"/>
      <c r="N52" s="30"/>
      <c r="O52" s="81"/>
      <c r="P52" s="81"/>
      <c r="Q52" s="81"/>
      <c r="R52" s="5"/>
      <c r="S52" s="11"/>
      <c r="T52" s="11"/>
      <c r="U52" s="11"/>
      <c r="V52" s="11"/>
      <c r="W52" s="11"/>
      <c r="X52" s="11"/>
      <c r="Y52" s="11"/>
    </row>
    <row r="53" spans="1:25" ht="12.75" customHeight="1">
      <c r="A53" s="74"/>
      <c r="B53" s="9" t="s">
        <v>147</v>
      </c>
      <c r="C53" s="75">
        <v>3133</v>
      </c>
      <c r="D53" s="75">
        <v>3955</v>
      </c>
      <c r="E53" s="75">
        <v>4957</v>
      </c>
      <c r="F53" s="10"/>
      <c r="G53" s="75">
        <v>835</v>
      </c>
      <c r="H53" s="75">
        <v>966</v>
      </c>
      <c r="I53" s="75">
        <v>979</v>
      </c>
      <c r="J53" s="30">
        <f t="shared" ref="J53:J55" si="124">SUM(D53-SUM(G53:I53))</f>
        <v>1175</v>
      </c>
      <c r="K53" s="75">
        <v>1109</v>
      </c>
      <c r="L53" s="75">
        <v>1142</v>
      </c>
      <c r="M53" s="75">
        <v>1270</v>
      </c>
      <c r="N53" s="30">
        <f t="shared" ref="N53:N55" si="125">SUM(E53-SUM(K53:M53))</f>
        <v>1436</v>
      </c>
      <c r="O53" s="75">
        <v>1275</v>
      </c>
      <c r="P53" s="75">
        <v>1570</v>
      </c>
      <c r="Q53" s="75">
        <v>1747</v>
      </c>
      <c r="R53" s="5"/>
      <c r="S53" s="30">
        <f t="shared" ref="S53:S55" si="126">SUM(G53:J53)</f>
        <v>3955</v>
      </c>
      <c r="T53" s="30">
        <f t="shared" ref="T53:T55" si="127">SUM(H53:K53)</f>
        <v>4229</v>
      </c>
      <c r="U53" s="30">
        <f t="shared" ref="U53:U55" si="128">SUM(I53:L53)</f>
        <v>4405</v>
      </c>
      <c r="V53" s="30">
        <f t="shared" ref="V53:V55" si="129">SUM(J53:M53)</f>
        <v>4696</v>
      </c>
      <c r="W53" s="30">
        <f t="shared" ref="W53:W55" si="130">SUM(K53:N53)</f>
        <v>4957</v>
      </c>
      <c r="X53" s="30">
        <f t="shared" ref="X53:X55" si="131">SUM(L53:O53)</f>
        <v>5123</v>
      </c>
      <c r="Y53" s="30">
        <f t="shared" ref="Y53:Y55" si="132">SUM(M53:P53)</f>
        <v>5551</v>
      </c>
    </row>
    <row r="54" spans="1:25" ht="12.75" customHeight="1">
      <c r="A54" s="74"/>
      <c r="B54" s="9" t="s">
        <v>148</v>
      </c>
      <c r="C54" s="75">
        <v>1139</v>
      </c>
      <c r="D54" s="75">
        <v>1509</v>
      </c>
      <c r="E54" s="75">
        <v>1676</v>
      </c>
      <c r="F54" s="10"/>
      <c r="G54" s="75">
        <v>278</v>
      </c>
      <c r="H54" s="75">
        <v>326</v>
      </c>
      <c r="I54" s="75">
        <v>394</v>
      </c>
      <c r="J54" s="30">
        <f t="shared" si="124"/>
        <v>511</v>
      </c>
      <c r="K54" s="75">
        <v>336</v>
      </c>
      <c r="L54" s="75">
        <v>426</v>
      </c>
      <c r="M54" s="75">
        <v>440</v>
      </c>
      <c r="N54" s="30">
        <f t="shared" si="125"/>
        <v>474</v>
      </c>
      <c r="O54" s="75">
        <v>381</v>
      </c>
      <c r="P54" s="75">
        <v>411</v>
      </c>
      <c r="Q54" s="75">
        <v>621</v>
      </c>
      <c r="R54" s="5"/>
      <c r="S54" s="30">
        <f t="shared" si="126"/>
        <v>1509</v>
      </c>
      <c r="T54" s="30">
        <f t="shared" si="127"/>
        <v>1567</v>
      </c>
      <c r="U54" s="30">
        <f t="shared" si="128"/>
        <v>1667</v>
      </c>
      <c r="V54" s="30">
        <f t="shared" si="129"/>
        <v>1713</v>
      </c>
      <c r="W54" s="30">
        <f t="shared" si="130"/>
        <v>1676</v>
      </c>
      <c r="X54" s="30">
        <f t="shared" si="131"/>
        <v>1721</v>
      </c>
      <c r="Y54" s="30">
        <f t="shared" si="132"/>
        <v>1706</v>
      </c>
    </row>
    <row r="55" spans="1:25">
      <c r="B55" s="9" t="s">
        <v>149</v>
      </c>
      <c r="C55" s="75">
        <v>804</v>
      </c>
      <c r="D55" s="75">
        <v>874</v>
      </c>
      <c r="E55" s="75">
        <v>917</v>
      </c>
      <c r="F55" s="75"/>
      <c r="G55" s="75">
        <v>218</v>
      </c>
      <c r="H55" s="75">
        <v>213</v>
      </c>
      <c r="I55" s="75">
        <v>204</v>
      </c>
      <c r="J55" s="30">
        <f t="shared" si="124"/>
        <v>239</v>
      </c>
      <c r="K55" s="75">
        <v>206</v>
      </c>
      <c r="L55" s="75">
        <v>223</v>
      </c>
      <c r="M55" s="75">
        <v>218</v>
      </c>
      <c r="N55" s="30">
        <f t="shared" si="125"/>
        <v>270</v>
      </c>
      <c r="O55" s="75">
        <v>224</v>
      </c>
      <c r="P55" s="75">
        <v>220</v>
      </c>
      <c r="Q55" s="75">
        <v>234</v>
      </c>
      <c r="R55" s="5"/>
      <c r="S55" s="30">
        <f t="shared" ref="S55:S57" si="133">SUM(G55:J55)</f>
        <v>874</v>
      </c>
      <c r="T55" s="30">
        <f t="shared" ref="T55:T57" si="134">SUM(H55:K55)</f>
        <v>862</v>
      </c>
      <c r="U55" s="30">
        <f t="shared" ref="U55:U57" si="135">SUM(I55:L55)</f>
        <v>872</v>
      </c>
      <c r="V55" s="30">
        <f t="shared" ref="V55:V57" si="136">SUM(J55:M55)</f>
        <v>886</v>
      </c>
      <c r="W55" s="30">
        <f t="shared" ref="W55" si="137">SUM(K55:N55)</f>
        <v>917</v>
      </c>
      <c r="X55" s="30">
        <f t="shared" ref="X55:X57" si="138">SUM(L55:O55)</f>
        <v>935</v>
      </c>
      <c r="Y55" s="30">
        <f t="shared" ref="Y55" si="139">SUM(M55:P55)</f>
        <v>932</v>
      </c>
    </row>
    <row r="56" spans="1:25">
      <c r="B56" s="12" t="s">
        <v>70</v>
      </c>
      <c r="C56" s="13">
        <f>SUM(C53:C55)</f>
        <v>5076</v>
      </c>
      <c r="D56" s="13">
        <f>SUM(D53:D55)</f>
        <v>6338</v>
      </c>
      <c r="E56" s="13">
        <f>SUM(E53:E55)</f>
        <v>7550</v>
      </c>
      <c r="F56" s="11"/>
      <c r="G56" s="13">
        <f>SUM(G53:G55)</f>
        <v>1331</v>
      </c>
      <c r="H56" s="13">
        <f>SUM(H53:H55)</f>
        <v>1505</v>
      </c>
      <c r="I56" s="13">
        <f>SUM(I53:I55)</f>
        <v>1577</v>
      </c>
      <c r="J56" s="13">
        <f>SUM(J53:J55)</f>
        <v>1925</v>
      </c>
      <c r="K56" s="13">
        <f>SUM(K53:K55)</f>
        <v>1651</v>
      </c>
      <c r="L56" s="13">
        <f>SUM(L53:L55)</f>
        <v>1791</v>
      </c>
      <c r="M56" s="13">
        <f>SUM(M53:M55)</f>
        <v>1928</v>
      </c>
      <c r="N56" s="13">
        <f>SUM(N53:N55)</f>
        <v>2180</v>
      </c>
      <c r="O56" s="13">
        <f>SUM(O53:O55)</f>
        <v>1880</v>
      </c>
      <c r="P56" s="13">
        <f>SUM(P53:P55)</f>
        <v>2201</v>
      </c>
      <c r="Q56" s="13">
        <f>SUM(Q53:Q55)</f>
        <v>2602</v>
      </c>
      <c r="R56" s="5"/>
      <c r="S56" s="13">
        <f>SUM(S53:S55)</f>
        <v>6338</v>
      </c>
      <c r="T56" s="13">
        <f>SUM(T53:T55)</f>
        <v>6658</v>
      </c>
      <c r="U56" s="13">
        <f>SUM(U53:U55)</f>
        <v>6944</v>
      </c>
      <c r="V56" s="13">
        <f>SUM(V53:V55)</f>
        <v>7295</v>
      </c>
      <c r="W56" s="13">
        <f>SUM(W53:W55)</f>
        <v>7550</v>
      </c>
      <c r="X56" s="13">
        <f>SUM(X53:X55)</f>
        <v>7779</v>
      </c>
      <c r="Y56" s="13">
        <f>SUM(Y53:Y55)</f>
        <v>8189</v>
      </c>
    </row>
    <row r="57" spans="1:25" outlineLevel="1">
      <c r="B57" s="114" t="s">
        <v>62</v>
      </c>
      <c r="C57" s="73">
        <f>C56-C20</f>
        <v>0</v>
      </c>
      <c r="D57" s="73">
        <f t="shared" ref="D57:E57" si="140">D56-D20</f>
        <v>0</v>
      </c>
      <c r="E57" s="73">
        <f t="shared" si="140"/>
        <v>0</v>
      </c>
      <c r="F57" s="11"/>
      <c r="G57" s="73">
        <f t="shared" ref="G57" si="141">G56-G20</f>
        <v>0</v>
      </c>
      <c r="H57" s="73">
        <f t="shared" ref="H57" si="142">H56-H20</f>
        <v>0</v>
      </c>
      <c r="I57" s="73">
        <f t="shared" ref="I57" si="143">I56-I20</f>
        <v>0</v>
      </c>
      <c r="J57" s="73">
        <f t="shared" ref="J57" si="144">J56-J20</f>
        <v>0</v>
      </c>
      <c r="K57" s="73">
        <f t="shared" ref="K57" si="145">K56-K20</f>
        <v>0</v>
      </c>
      <c r="L57" s="73">
        <f t="shared" ref="L57" si="146">L56-L20</f>
        <v>0</v>
      </c>
      <c r="M57" s="73">
        <f t="shared" ref="M57" si="147">M56-M20</f>
        <v>0</v>
      </c>
      <c r="N57" s="73">
        <f t="shared" ref="N57" si="148">N56-N20</f>
        <v>0</v>
      </c>
      <c r="O57" s="73">
        <f t="shared" ref="O57" si="149">O56-O20</f>
        <v>0</v>
      </c>
      <c r="P57" s="73">
        <f t="shared" ref="P57" si="150">P56-P20</f>
        <v>0</v>
      </c>
      <c r="Q57" s="73">
        <f t="shared" ref="Q57" si="151">Q56-Q20</f>
        <v>0</v>
      </c>
      <c r="R57" s="73"/>
      <c r="S57" s="73">
        <f t="shared" ref="S57" si="152">S56-S20</f>
        <v>0</v>
      </c>
      <c r="T57" s="73">
        <f t="shared" ref="T57" si="153">T56-T20</f>
        <v>0</v>
      </c>
      <c r="U57" s="73">
        <f t="shared" ref="U57" si="154">U56-U20</f>
        <v>0</v>
      </c>
      <c r="V57" s="73">
        <f t="shared" ref="V57" si="155">V56-V20</f>
        <v>0</v>
      </c>
      <c r="W57" s="73">
        <f t="shared" ref="W57" si="156">W56-W20</f>
        <v>0</v>
      </c>
      <c r="X57" s="73">
        <f t="shared" ref="X57" si="157">X56-X20</f>
        <v>0</v>
      </c>
      <c r="Y57" s="73">
        <f t="shared" ref="Y57" si="158">Y56-Y20</f>
        <v>0</v>
      </c>
    </row>
    <row r="58" spans="1:25">
      <c r="B58" s="16"/>
      <c r="C58" s="17"/>
      <c r="D58" s="17"/>
      <c r="E58" s="17"/>
      <c r="F58" s="18"/>
      <c r="G58" s="19"/>
      <c r="H58" s="19"/>
      <c r="I58" s="19"/>
      <c r="J58" s="20"/>
      <c r="K58" s="19"/>
      <c r="L58" s="19"/>
      <c r="M58" s="19"/>
      <c r="N58" s="19"/>
      <c r="O58" s="19"/>
      <c r="P58" s="19"/>
      <c r="Q58" s="19"/>
      <c r="R58" s="18"/>
      <c r="S58" s="18"/>
      <c r="T58" s="18"/>
      <c r="U58" s="18"/>
      <c r="V58" s="18"/>
      <c r="W58" s="18"/>
      <c r="X58" s="18"/>
      <c r="Y58" s="18"/>
    </row>
    <row r="59" spans="1:25">
      <c r="B59" s="115" t="str">
        <f>B53&amp;"(%)"</f>
        <v>Grid Solutions(%)</v>
      </c>
      <c r="C59" s="127">
        <f>SUM(C53/C$11)</f>
        <v>0.10565185135226277</v>
      </c>
      <c r="D59" s="127">
        <f>SUM(D53/D$11)</f>
        <v>0.11898673245284154</v>
      </c>
      <c r="E59" s="127">
        <f>SUM(E53/E$11)</f>
        <v>0.14189208530127378</v>
      </c>
      <c r="F59" s="116"/>
      <c r="G59" s="127">
        <f>SUM(G53/G$11)</f>
        <v>0.12239812371738493</v>
      </c>
      <c r="H59" s="127">
        <f>SUM(H53/H$11)</f>
        <v>0.11898016997167139</v>
      </c>
      <c r="I59" s="127">
        <f>SUM(I53/I$11)</f>
        <v>0.11863790596219098</v>
      </c>
      <c r="J59" s="127">
        <f>SUM(J53/J$11)</f>
        <v>0.11696197491538921</v>
      </c>
      <c r="K59" s="127">
        <f>SUM(K53/K$11)</f>
        <v>0.15277586444413832</v>
      </c>
      <c r="L59" s="127">
        <f>SUM(L53/L$11)</f>
        <v>0.13920039005363238</v>
      </c>
      <c r="M59" s="127">
        <f>SUM(M53/M$11)</f>
        <v>0.14248849994390217</v>
      </c>
      <c r="N59" s="127">
        <f>SUM(N53/N$11)</f>
        <v>0.1359977270574865</v>
      </c>
      <c r="O59" s="127">
        <f>SUM(O53/O$11)</f>
        <v>0.15874003984063745</v>
      </c>
      <c r="P59" s="127">
        <f>SUM(P53/P$11)</f>
        <v>0.17231917462408078</v>
      </c>
      <c r="Q59" s="127">
        <f>SUM(Q53/Q$11)</f>
        <v>0.17524325408767177</v>
      </c>
      <c r="R59" s="116"/>
      <c r="S59" s="117">
        <f>K59</f>
        <v>0.15277586444413832</v>
      </c>
      <c r="T59" s="117">
        <f>L59</f>
        <v>0.13920039005363238</v>
      </c>
      <c r="U59" s="117">
        <f>M59</f>
        <v>0.14248849994390217</v>
      </c>
      <c r="V59" s="117">
        <f>N59</f>
        <v>0.1359977270574865</v>
      </c>
      <c r="W59" s="117">
        <f>O59</f>
        <v>0.15874003984063745</v>
      </c>
      <c r="X59" s="117">
        <f>P59</f>
        <v>0.17231917462408078</v>
      </c>
      <c r="Y59" s="118" t="e">
        <f>#REF!</f>
        <v>#REF!</v>
      </c>
    </row>
    <row r="60" spans="1:25">
      <c r="B60" s="119" t="str">
        <f>B54&amp;"(%)"</f>
        <v>Power Conversion &amp; Storage(%)</v>
      </c>
      <c r="C60" s="129">
        <f>SUM(C54/C$11)</f>
        <v>3.8409658056248734E-2</v>
      </c>
      <c r="D60" s="129">
        <f>SUM(D54/D$11)</f>
        <v>4.5398477691867986E-2</v>
      </c>
      <c r="E60" s="129">
        <f>SUM(E54/E$11)</f>
        <v>4.7974810362101043E-2</v>
      </c>
      <c r="F60" s="120"/>
      <c r="G60" s="129">
        <f>SUM(G54/G$11)</f>
        <v>4.0750513046027559E-2</v>
      </c>
      <c r="H60" s="129">
        <f>SUM(H54/H$11)</f>
        <v>4.0152728168493655E-2</v>
      </c>
      <c r="I60" s="129">
        <f>SUM(I54/I$11)</f>
        <v>4.7746000969461952E-2</v>
      </c>
      <c r="J60" s="129">
        <f>SUM(J54/J$11)</f>
        <v>5.0866016324905436E-2</v>
      </c>
      <c r="K60" s="129">
        <f>SUM(K54/K$11)</f>
        <v>4.6287367405978788E-2</v>
      </c>
      <c r="L60" s="129">
        <f>SUM(L54/L$11)</f>
        <v>5.1925889809848857E-2</v>
      </c>
      <c r="M60" s="129">
        <f>SUM(M54/M$11)</f>
        <v>4.9366094468753507E-2</v>
      </c>
      <c r="N60" s="129">
        <f>SUM(N54/N$11)</f>
        <v>4.4890614641538026E-2</v>
      </c>
      <c r="O60" s="129">
        <f>SUM(O54/O$11)</f>
        <v>4.7435258964143426E-2</v>
      </c>
      <c r="P60" s="129">
        <f>SUM(P54/P$11)</f>
        <v>4.5110306223246625E-2</v>
      </c>
      <c r="Q60" s="129">
        <f>SUM(Q54/Q$11)</f>
        <v>6.2293108636774001E-2</v>
      </c>
      <c r="R60" s="120"/>
      <c r="S60" s="121">
        <f>K60</f>
        <v>4.6287367405978788E-2</v>
      </c>
      <c r="T60" s="121">
        <f>L60</f>
        <v>5.1925889809848857E-2</v>
      </c>
      <c r="U60" s="121">
        <f>M60</f>
        <v>4.9366094468753507E-2</v>
      </c>
      <c r="V60" s="121">
        <f>N60</f>
        <v>4.4890614641538026E-2</v>
      </c>
      <c r="W60" s="121">
        <f>O60</f>
        <v>4.7435258964143426E-2</v>
      </c>
      <c r="X60" s="121">
        <f>P60</f>
        <v>4.5110306223246625E-2</v>
      </c>
      <c r="Y60" s="122" t="e">
        <f>#REF!</f>
        <v>#REF!</v>
      </c>
    </row>
    <row r="61" spans="1:25" ht="12.75" customHeight="1">
      <c r="B61" s="123" t="str">
        <f>B55&amp;"(%)"</f>
        <v>Electrification Software(%)</v>
      </c>
      <c r="C61" s="128">
        <f>SUM(C55/C$11)</f>
        <v>2.7112699804410872E-2</v>
      </c>
      <c r="D61" s="128">
        <f>SUM(D55/D$11)</f>
        <v>2.629441318932579E-2</v>
      </c>
      <c r="E61" s="128">
        <f>SUM(E55/E$11)</f>
        <v>2.6248747674252181E-2</v>
      </c>
      <c r="F61" s="124"/>
      <c r="G61" s="128">
        <f>SUM(G55/G$11)</f>
        <v>3.1955438287892116E-2</v>
      </c>
      <c r="H61" s="128">
        <f>SUM(H55/H$11)</f>
        <v>2.623475797512009E-2</v>
      </c>
      <c r="I61" s="128">
        <f>SUM(I55/I$11)</f>
        <v>2.4721279689772176E-2</v>
      </c>
      <c r="J61" s="128">
        <f>SUM(J55/J$11)</f>
        <v>2.3790563408321721E-2</v>
      </c>
      <c r="K61" s="128">
        <f>SUM(K55/K$11)</f>
        <v>2.8378564540570327E-2</v>
      </c>
      <c r="L61" s="128">
        <f>SUM(L55/L$11)</f>
        <v>2.7181862506094587E-2</v>
      </c>
      <c r="M61" s="128">
        <f>SUM(M55/M$11)</f>
        <v>2.445865589588242E-2</v>
      </c>
      <c r="N61" s="128">
        <f>SUM(N55/N$11)</f>
        <v>2.5570603276825456E-2</v>
      </c>
      <c r="O61" s="128">
        <f>SUM(O55/O$11)</f>
        <v>2.7888446215139442E-2</v>
      </c>
      <c r="P61" s="128">
        <f>SUM(P55/P$11)</f>
        <v>2.4146635934584569E-2</v>
      </c>
      <c r="Q61" s="128">
        <f>SUM(Q55/Q$11)</f>
        <v>2.3472765573277158E-2</v>
      </c>
      <c r="R61" s="124"/>
      <c r="S61" s="125">
        <f>K61</f>
        <v>2.8378564540570327E-2</v>
      </c>
      <c r="T61" s="125">
        <f>L61</f>
        <v>2.7181862506094587E-2</v>
      </c>
      <c r="U61" s="125">
        <f>M61</f>
        <v>2.445865589588242E-2</v>
      </c>
      <c r="V61" s="125">
        <f>N61</f>
        <v>2.5570603276825456E-2</v>
      </c>
      <c r="W61" s="125">
        <f>O61</f>
        <v>2.7888446215139442E-2</v>
      </c>
      <c r="X61" s="125">
        <f>P61</f>
        <v>2.4146635934584569E-2</v>
      </c>
      <c r="Y61" s="126" t="e">
        <f>#REF!</f>
        <v>#REF!</v>
      </c>
    </row>
    <row r="62" spans="1:25">
      <c r="B62" s="16"/>
      <c r="C62" s="17"/>
      <c r="D62" s="17"/>
      <c r="E62" s="17"/>
      <c r="F62" s="18"/>
      <c r="G62" s="19"/>
      <c r="H62" s="19"/>
      <c r="I62" s="19"/>
      <c r="J62" s="20"/>
      <c r="K62" s="19"/>
      <c r="L62" s="19"/>
      <c r="M62" s="19"/>
      <c r="N62" s="19"/>
      <c r="O62" s="19"/>
      <c r="P62" s="19"/>
      <c r="Q62" s="19"/>
      <c r="R62" s="18"/>
      <c r="S62" s="18"/>
      <c r="T62" s="18"/>
      <c r="U62" s="18"/>
      <c r="V62" s="18"/>
      <c r="W62" s="18"/>
      <c r="X62" s="18"/>
      <c r="Y62" s="18"/>
    </row>
    <row r="63" spans="1:25">
      <c r="B63" s="16"/>
      <c r="C63" s="17"/>
      <c r="D63" s="17"/>
      <c r="E63" s="17"/>
      <c r="F63" s="18"/>
      <c r="G63" s="19"/>
      <c r="H63" s="19"/>
      <c r="I63" s="19"/>
      <c r="J63" s="20"/>
      <c r="K63" s="19"/>
      <c r="L63" s="19"/>
      <c r="M63" s="19"/>
      <c r="N63" s="19"/>
      <c r="O63" s="19"/>
      <c r="P63" s="19"/>
      <c r="Q63" s="19"/>
      <c r="R63" s="18"/>
      <c r="S63" s="18"/>
      <c r="T63" s="18"/>
      <c r="U63" s="18"/>
      <c r="V63" s="18"/>
      <c r="W63" s="18"/>
      <c r="X63" s="18"/>
      <c r="Y63" s="18"/>
    </row>
  </sheetData>
  <pageMargins left="0.7" right="0.7" top="0.75" bottom="0.75" header="0.3" footer="0.3"/>
  <ignoredErrors>
    <ignoredError sqref="G15:P15 C15:E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GE Vernova Inc (NYSE: GEV)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4" t="s">
        <v>23</v>
      </c>
    </row>
    <row r="3" spans="2:33" s="5" customFormat="1" ht="12.75" customHeight="1">
      <c r="B3" s="6" t="s">
        <v>24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e">
        <f>'Historical Financials'!#REF!</f>
        <v>#REF!</v>
      </c>
      <c r="S3" s="7" t="e">
        <f>'Historical Financials'!#REF!</f>
        <v>#REF!</v>
      </c>
      <c r="T3" s="7" t="e">
        <f>'Historical Financials'!#REF!</f>
        <v>#REF!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e">
        <f t="shared" si="0"/>
        <v>#REF!</v>
      </c>
      <c r="AD3" s="4" t="e">
        <f t="shared" si="0"/>
        <v>#REF!</v>
      </c>
      <c r="AE3" s="4" t="e">
        <f t="shared" si="0"/>
        <v>#REF!</v>
      </c>
      <c r="AF3" s="3"/>
      <c r="AG3" s="154"/>
    </row>
    <row r="4" spans="2:33" s="5" customFormat="1" ht="12.75" customHeight="1">
      <c r="B4" s="6" t="s">
        <v>97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e">
        <f>'Historical Financials'!#REF!</f>
        <v>#REF!</v>
      </c>
      <c r="G4" s="3"/>
      <c r="H4" s="3" t="str">
        <f>'Historical Financials'!G8</f>
        <v>XXX</v>
      </c>
      <c r="I4" s="3" t="str">
        <f>'Historical Financials'!H8</f>
        <v>XXX</v>
      </c>
      <c r="J4" s="3" t="str">
        <f>'Historical Financials'!I8</f>
        <v>XXX</v>
      </c>
      <c r="K4" s="3" t="str">
        <f>'Historical Financials'!J8</f>
        <v>XXX</v>
      </c>
      <c r="L4" s="3" t="str">
        <f>'Historical Financials'!K8</f>
        <v>XXX</v>
      </c>
      <c r="M4" s="3" t="str">
        <f>'Historical Financials'!L8</f>
        <v>XXX</v>
      </c>
      <c r="N4" s="3" t="str">
        <f>'Historical Financials'!M8</f>
        <v>XXX</v>
      </c>
      <c r="O4" s="3" t="str">
        <f>'Historical Financials'!N8</f>
        <v>XXX</v>
      </c>
      <c r="P4" s="3" t="str">
        <f>'Historical Financials'!O8</f>
        <v>XXX</v>
      </c>
      <c r="Q4" s="3" t="str">
        <f>'Historical Financials'!P8</f>
        <v>XXX</v>
      </c>
      <c r="R4" s="3" t="e">
        <f>'Historical Financials'!#REF!</f>
        <v>#REF!</v>
      </c>
      <c r="S4" s="3" t="e">
        <f>'Historical Financials'!#REF!</f>
        <v>#REF!</v>
      </c>
      <c r="T4" s="3" t="e">
        <f>'Historical Financials'!#REF!</f>
        <v>#REF!</v>
      </c>
      <c r="U4" s="3"/>
      <c r="V4" s="3" t="str">
        <f t="shared" si="0"/>
        <v>XXX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 t="str">
        <f t="shared" si="0"/>
        <v>XXX</v>
      </c>
      <c r="AA4" s="3" t="str">
        <f t="shared" si="0"/>
        <v>XXX</v>
      </c>
      <c r="AB4" s="3" t="str">
        <f t="shared" si="0"/>
        <v>XXX</v>
      </c>
      <c r="AC4" s="3" t="e">
        <f t="shared" si="0"/>
        <v>#REF!</v>
      </c>
      <c r="AD4" s="3" t="e">
        <f t="shared" si="0"/>
        <v>#REF!</v>
      </c>
      <c r="AE4" s="3" t="e">
        <f t="shared" si="0"/>
        <v>#REF!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112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112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112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112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112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112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27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28</v>
      </c>
      <c r="C14" s="15" t="s">
        <v>29</v>
      </c>
      <c r="D14" s="15" t="s">
        <v>29</v>
      </c>
      <c r="E14" s="15" t="s">
        <v>29</v>
      </c>
      <c r="F14" s="15" t="s">
        <v>29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29</v>
      </c>
      <c r="W14" s="15" t="s">
        <v>29</v>
      </c>
      <c r="X14" s="15" t="s">
        <v>29</v>
      </c>
      <c r="Y14" s="15" t="s">
        <v>29</v>
      </c>
      <c r="Z14" s="15" t="s">
        <v>29</v>
      </c>
      <c r="AA14" s="15" t="s">
        <v>29</v>
      </c>
      <c r="AB14" s="15" t="s">
        <v>29</v>
      </c>
      <c r="AC14" s="15" t="s">
        <v>29</v>
      </c>
      <c r="AD14" s="15" t="s">
        <v>29</v>
      </c>
      <c r="AE14" s="15" t="s">
        <v>29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30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21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31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116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116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116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116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116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32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33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100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34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101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115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35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36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37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38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75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117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39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40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114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114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114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114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114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71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1551</v>
      </c>
      <c r="L49" s="133">
        <f t="shared" ref="L49" si="147">SUM(L54)-SUM(K54)-SUM(L42:L48)</f>
        <v>-1551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8205</v>
      </c>
      <c r="P49" s="133">
        <f t="shared" ref="P49" si="151">SUM(P54)-SUM(O54)-SUM(P42:P48)</f>
        <v>-8205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 t="e">
        <f t="shared" ref="S49" si="154">SUM(S54)-SUM(R54)-SUM(S42:S48)</f>
        <v>#REF!</v>
      </c>
      <c r="T49" s="133" t="e">
        <f t="shared" ref="T49" si="155">SUM(T54)-SUM(S54)-SUM(T42:T48)</f>
        <v>#REF!</v>
      </c>
      <c r="V49" s="131">
        <f t="shared" si="133"/>
        <v>1551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6654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 t="e">
        <f t="shared" si="141"/>
        <v>#REF!</v>
      </c>
      <c r="AE49" s="131" t="e">
        <f t="shared" si="142"/>
        <v>#REF!</v>
      </c>
    </row>
    <row r="50" spans="1:31" ht="12.75" customHeight="1">
      <c r="B50" s="12" t="s">
        <v>41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1551</v>
      </c>
      <c r="L50" s="13">
        <f t="shared" si="157"/>
        <v>-1551</v>
      </c>
      <c r="M50" s="13">
        <f t="shared" si="157"/>
        <v>0</v>
      </c>
      <c r="N50" s="13">
        <f t="shared" si="157"/>
        <v>0</v>
      </c>
      <c r="O50" s="13">
        <f t="shared" si="157"/>
        <v>8205</v>
      </c>
      <c r="P50" s="13">
        <f t="shared" si="157"/>
        <v>-8205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>
        <f t="shared" ref="V50:AE50" si="159">SUM(V42+SUM(V44:V49))</f>
        <v>1551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6654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42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43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Financials'!J44</f>
        <v>1551</v>
      </c>
      <c r="L54" s="80"/>
      <c r="M54" s="80"/>
      <c r="N54" s="80"/>
      <c r="O54" s="80">
        <f>'Historical Financials'!N44</f>
        <v>8205</v>
      </c>
      <c r="P54" s="80"/>
      <c r="Q54" s="80"/>
      <c r="R54" s="80"/>
      <c r="S54" s="80" t="e">
        <f>'Historical Financials'!#REF!</f>
        <v>#REF!</v>
      </c>
      <c r="T54" s="80"/>
      <c r="V54" s="10">
        <f t="shared" ref="V54:AD56" si="160">K54</f>
        <v>1551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8205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112</v>
      </c>
      <c r="C55" s="80"/>
      <c r="D55" s="80"/>
      <c r="E55" s="80"/>
      <c r="F55" s="80"/>
      <c r="G55" s="30"/>
      <c r="H55" s="80"/>
      <c r="I55" s="80"/>
      <c r="J55" s="80"/>
      <c r="K55" s="80" t="e">
        <f>'Historical Financials'!#REF!</f>
        <v>#REF!</v>
      </c>
      <c r="L55" s="80"/>
      <c r="M55" s="80"/>
      <c r="N55" s="80"/>
      <c r="O55" s="80" t="e">
        <f>'Historical Financials'!#REF!</f>
        <v>#REF!</v>
      </c>
      <c r="P55" s="80"/>
      <c r="Q55" s="80"/>
      <c r="R55" s="80"/>
      <c r="S55" s="80" t="e">
        <f>'Historical Financials'!#REF!</f>
        <v>#REF!</v>
      </c>
      <c r="T55" s="80"/>
      <c r="V55" s="10" t="e">
        <f t="shared" si="160"/>
        <v>#REF!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 t="e">
        <f t="shared" si="160"/>
        <v>#REF!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112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44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 t="e">
        <f t="shared" si="163"/>
        <v>#REF!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 t="e">
        <f t="shared" si="163"/>
        <v>#REF!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 t="e">
        <f t="shared" ref="V57" si="165">SUM(V54:V56)</f>
        <v>#REF!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 t="e">
        <f t="shared" si="166"/>
        <v>#REF!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45</v>
      </c>
    </row>
    <row r="60" spans="1:31" ht="12.75" customHeight="1">
      <c r="B60" s="8" t="s">
        <v>112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112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112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112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112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112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112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102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103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104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112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112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112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112</v>
      </c>
      <c r="C75" s="75"/>
      <c r="D75" s="75"/>
      <c r="E75" s="75"/>
      <c r="F75" s="75"/>
      <c r="H75" s="75"/>
      <c r="I75" s="75"/>
      <c r="J75" s="75"/>
      <c r="K75" s="80" t="e">
        <f>'Historical Financials'!#REF!+'Historical Financials'!#REF!</f>
        <v>#REF!</v>
      </c>
      <c r="L75" s="75"/>
      <c r="M75" s="75"/>
      <c r="N75" s="75"/>
      <c r="O75" s="80" t="e">
        <f>'Historical Financials'!#REF!+'Historical Financials'!#REF!</f>
        <v>#REF!</v>
      </c>
      <c r="P75" s="75"/>
      <c r="Q75" s="75"/>
      <c r="R75" s="75"/>
      <c r="S75" s="80" t="e">
        <f>'Historical Financials'!#REF!+'Historical Financials'!#REF!</f>
        <v>#REF!</v>
      </c>
      <c r="T75" s="75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22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47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48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72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105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#REF!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#REF!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#REF!</v>
      </c>
      <c r="T83" s="134" t="e">
        <f t="shared" ref="T83" si="229">SUM(T76/SUM(Q34:T34))</f>
        <v>#DIV/0!</v>
      </c>
      <c r="U83" s="134"/>
      <c r="V83" s="134" t="e">
        <f t="shared" ref="V83:AE83" si="230">V76/V34</f>
        <v>#REF!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#REF!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#REF!</v>
      </c>
      <c r="AE83" s="134" t="e">
        <f t="shared" si="230"/>
        <v>#DIV/0!</v>
      </c>
    </row>
    <row r="84" spans="1:31" ht="12.75" customHeight="1">
      <c r="B84" s="29" t="s">
        <v>106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#REF!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#REF!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#REF!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#REF!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#REF!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#REF!</v>
      </c>
      <c r="AE84" s="134" t="e">
        <f t="shared" si="241"/>
        <v>#DIV/0!</v>
      </c>
    </row>
    <row r="85" spans="1:31" ht="12.75" customHeight="1">
      <c r="B85" s="29" t="s">
        <v>107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108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109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49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 t="e">
        <f t="shared" ref="K88:S88" si="244">K79/K76</f>
        <v>#REF!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 t="e">
        <f t="shared" si="244"/>
        <v>#REF!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 t="e">
        <f t="shared" si="244"/>
        <v>#REF!</v>
      </c>
      <c r="T88" s="134" t="e">
        <f t="shared" ref="T88" si="245">T79/T76</f>
        <v>#DIV/0!</v>
      </c>
      <c r="U88" s="134"/>
      <c r="V88" s="134" t="e">
        <f t="shared" ref="V88" si="246">V79/V76</f>
        <v>#REF!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 t="e">
        <f t="shared" si="247"/>
        <v>#REF!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 t="e">
        <f>AD79/AD76</f>
        <v>#REF!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2025-12-25T22:21:36Z</dcterms:modified>
</cp:coreProperties>
</file>