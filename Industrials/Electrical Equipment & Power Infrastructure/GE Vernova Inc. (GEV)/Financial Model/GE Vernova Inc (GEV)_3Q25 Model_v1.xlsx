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Felix\Downloads\"/>
    </mc:Choice>
  </mc:AlternateContent>
  <xr:revisionPtr revIDLastSave="0" documentId="8_{FE7322BB-3DBB-4B2B-A04A-AFD052F8439C}" xr6:coauthVersionLast="47" xr6:coauthVersionMax="47" xr10:uidLastSave="{00000000-0000-0000-0000-000000000000}"/>
  <bookViews>
    <workbookView xWindow="-120" yWindow="-120" windowWidth="29040" windowHeight="15720" activeTab="1" xr2:uid="{BC9106CE-9107-4097-8948-317996376CB5}"/>
  </bookViews>
  <sheets>
    <sheet name="Historical Financials" sheetId="8" r:id="rId1"/>
    <sheet name="Revenue Drivers" sheetId="10" r:id="rId2"/>
    <sheet name="FCF" sheetId="1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1" i="10" l="1"/>
  <c r="Y12" i="10"/>
  <c r="Y56" i="10"/>
  <c r="X56" i="10"/>
  <c r="W56" i="10"/>
  <c r="V56" i="10"/>
  <c r="U56" i="10"/>
  <c r="T56" i="10"/>
  <c r="S56" i="10"/>
  <c r="Y55" i="10"/>
  <c r="X55" i="10"/>
  <c r="W55" i="10"/>
  <c r="V55" i="10"/>
  <c r="U55" i="10"/>
  <c r="T55" i="10"/>
  <c r="S55" i="10"/>
  <c r="Y54" i="10"/>
  <c r="X54" i="10"/>
  <c r="W54" i="10"/>
  <c r="V54" i="10"/>
  <c r="U54" i="10"/>
  <c r="T54" i="10"/>
  <c r="S54" i="10"/>
  <c r="Y45" i="10"/>
  <c r="X45" i="10"/>
  <c r="W45" i="10"/>
  <c r="V45" i="10"/>
  <c r="U45" i="10"/>
  <c r="T45" i="10"/>
  <c r="S45" i="10"/>
  <c r="Y44" i="10"/>
  <c r="X44" i="10"/>
  <c r="W44" i="10"/>
  <c r="V44" i="10"/>
  <c r="U44" i="10"/>
  <c r="T44" i="10"/>
  <c r="S44" i="10"/>
  <c r="Y43" i="10"/>
  <c r="X43" i="10"/>
  <c r="W43" i="10"/>
  <c r="V43" i="10"/>
  <c r="U43" i="10"/>
  <c r="T43" i="10"/>
  <c r="S43" i="10"/>
  <c r="Y33" i="10"/>
  <c r="X33" i="10"/>
  <c r="W33" i="10"/>
  <c r="V33" i="10"/>
  <c r="U33" i="10"/>
  <c r="T33" i="10"/>
  <c r="S33" i="10"/>
  <c r="Y32" i="10"/>
  <c r="X32" i="10"/>
  <c r="W32" i="10"/>
  <c r="V32" i="10"/>
  <c r="U32" i="10"/>
  <c r="T32" i="10"/>
  <c r="S32" i="10"/>
  <c r="Y31" i="10"/>
  <c r="X31" i="10"/>
  <c r="W31" i="10"/>
  <c r="V31" i="10"/>
  <c r="U31" i="10"/>
  <c r="T31" i="10"/>
  <c r="S31" i="10"/>
  <c r="Y30" i="10"/>
  <c r="X30" i="10"/>
  <c r="W30" i="10"/>
  <c r="V30" i="10"/>
  <c r="U30" i="10"/>
  <c r="T30" i="10"/>
  <c r="S30" i="10"/>
  <c r="Y21" i="10"/>
  <c r="W21" i="10"/>
  <c r="V21" i="10"/>
  <c r="U21" i="10"/>
  <c r="T21" i="10"/>
  <c r="S21" i="10"/>
  <c r="Y20" i="10"/>
  <c r="X20" i="10"/>
  <c r="W20" i="10"/>
  <c r="V20" i="10"/>
  <c r="U20" i="10"/>
  <c r="T20" i="10"/>
  <c r="S20" i="10"/>
  <c r="Y19" i="10"/>
  <c r="X19" i="10"/>
  <c r="W19" i="10"/>
  <c r="V19" i="10"/>
  <c r="U19" i="10"/>
  <c r="T19" i="10"/>
  <c r="S19" i="10"/>
  <c r="Y18" i="10"/>
  <c r="X18" i="10"/>
  <c r="W18" i="10"/>
  <c r="V18" i="10"/>
  <c r="U18" i="10"/>
  <c r="T18" i="10"/>
  <c r="S18" i="10"/>
  <c r="Y10" i="10"/>
  <c r="X10" i="10"/>
  <c r="W10" i="10"/>
  <c r="V10" i="10"/>
  <c r="U10" i="10"/>
  <c r="T10" i="10"/>
  <c r="S10" i="10"/>
  <c r="X9" i="10"/>
  <c r="W9" i="10"/>
  <c r="V9" i="10"/>
  <c r="U9" i="10"/>
  <c r="T9" i="10"/>
  <c r="S9" i="10"/>
  <c r="Y9" i="10"/>
  <c r="X4" i="10"/>
  <c r="W4" i="10"/>
  <c r="V4" i="10"/>
  <c r="U4" i="10"/>
  <c r="T4" i="10"/>
  <c r="S4" i="10"/>
  <c r="X3" i="10"/>
  <c r="W3" i="10"/>
  <c r="V3" i="10"/>
  <c r="U3" i="10"/>
  <c r="T3" i="10"/>
  <c r="S3" i="10"/>
  <c r="Y4" i="10"/>
  <c r="Y3" i="10"/>
  <c r="Q69" i="11"/>
  <c r="Z69" i="11" s="1"/>
  <c r="P69" i="11"/>
  <c r="Y69" i="11" s="1"/>
  <c r="O69" i="11"/>
  <c r="X69" i="11" s="1"/>
  <c r="N69" i="11"/>
  <c r="M69" i="11"/>
  <c r="L69" i="11"/>
  <c r="K69" i="11"/>
  <c r="T69" i="11" s="1"/>
  <c r="J69" i="11"/>
  <c r="S69" i="11" s="1"/>
  <c r="I69" i="11"/>
  <c r="H69" i="11"/>
  <c r="G69" i="11"/>
  <c r="E69" i="11"/>
  <c r="D69" i="11"/>
  <c r="C69" i="11"/>
  <c r="Q66" i="11"/>
  <c r="P66" i="11"/>
  <c r="O66" i="11"/>
  <c r="N66" i="11"/>
  <c r="M66" i="11"/>
  <c r="V66" i="11" s="1"/>
  <c r="L66" i="11"/>
  <c r="K66" i="11"/>
  <c r="T66" i="11" s="1"/>
  <c r="J66" i="11"/>
  <c r="I66" i="11"/>
  <c r="H66" i="11"/>
  <c r="G66" i="11"/>
  <c r="E66" i="11"/>
  <c r="D66" i="11"/>
  <c r="C66" i="11"/>
  <c r="Q60" i="11"/>
  <c r="Z60" i="11" s="1"/>
  <c r="P60" i="11"/>
  <c r="O60" i="11"/>
  <c r="N60" i="11"/>
  <c r="W60" i="11" s="1"/>
  <c r="M60" i="11"/>
  <c r="V60" i="11" s="1"/>
  <c r="L60" i="11"/>
  <c r="K60" i="11"/>
  <c r="T60" i="11" s="1"/>
  <c r="J60" i="11"/>
  <c r="S60" i="11" s="1"/>
  <c r="I60" i="11"/>
  <c r="H60" i="11"/>
  <c r="Q59" i="11"/>
  <c r="P59" i="11"/>
  <c r="Y59" i="11" s="1"/>
  <c r="O59" i="11"/>
  <c r="N59" i="11"/>
  <c r="M59" i="11"/>
  <c r="V59" i="11" s="1"/>
  <c r="L59" i="11"/>
  <c r="U59" i="11" s="1"/>
  <c r="K59" i="11"/>
  <c r="T59" i="11" s="1"/>
  <c r="J59" i="11"/>
  <c r="I59" i="11"/>
  <c r="H59" i="11"/>
  <c r="Q58" i="11"/>
  <c r="Z58" i="11" s="1"/>
  <c r="P58" i="11"/>
  <c r="O58" i="11"/>
  <c r="X58" i="11" s="1"/>
  <c r="N58" i="11"/>
  <c r="W58" i="11" s="1"/>
  <c r="M58" i="11"/>
  <c r="V58" i="11" s="1"/>
  <c r="L58" i="11"/>
  <c r="K58" i="11"/>
  <c r="J58" i="11"/>
  <c r="S58" i="11" s="1"/>
  <c r="I58" i="11"/>
  <c r="H58" i="11"/>
  <c r="Q57" i="11"/>
  <c r="Z57" i="11" s="1"/>
  <c r="P57" i="11"/>
  <c r="Y57" i="11" s="1"/>
  <c r="O57" i="11"/>
  <c r="X57" i="11" s="1"/>
  <c r="N57" i="11"/>
  <c r="M57" i="11"/>
  <c r="L57" i="11"/>
  <c r="U57" i="11" s="1"/>
  <c r="K57" i="11"/>
  <c r="T57" i="11" s="1"/>
  <c r="J57" i="11"/>
  <c r="I57" i="11"/>
  <c r="H57" i="11"/>
  <c r="Q56" i="11"/>
  <c r="Z56" i="11" s="1"/>
  <c r="P56" i="11"/>
  <c r="O56" i="11"/>
  <c r="N56" i="11"/>
  <c r="W56" i="11" s="1"/>
  <c r="M56" i="11"/>
  <c r="L56" i="11"/>
  <c r="K56" i="11"/>
  <c r="T56" i="11" s="1"/>
  <c r="J56" i="11"/>
  <c r="S56" i="11" s="1"/>
  <c r="I56" i="11"/>
  <c r="H56" i="11"/>
  <c r="Q55" i="11"/>
  <c r="P55" i="11"/>
  <c r="Y55" i="11" s="1"/>
  <c r="O55" i="11"/>
  <c r="X55" i="11" s="1"/>
  <c r="N55" i="11"/>
  <c r="M55" i="11"/>
  <c r="V55" i="11" s="1"/>
  <c r="L55" i="11"/>
  <c r="U55" i="11" s="1"/>
  <c r="K55" i="11"/>
  <c r="T55" i="11" s="1"/>
  <c r="J55" i="11"/>
  <c r="I55" i="11"/>
  <c r="H55" i="11"/>
  <c r="Q54" i="11"/>
  <c r="Z54" i="11" s="1"/>
  <c r="P54" i="11"/>
  <c r="O54" i="11"/>
  <c r="X54" i="11" s="1"/>
  <c r="N54" i="11"/>
  <c r="W54" i="11" s="1"/>
  <c r="M54" i="11"/>
  <c r="V54" i="11" s="1"/>
  <c r="L54" i="11"/>
  <c r="K54" i="11"/>
  <c r="J54" i="11"/>
  <c r="S54" i="11" s="1"/>
  <c r="I54" i="11"/>
  <c r="H54" i="11"/>
  <c r="G60" i="11"/>
  <c r="G59" i="11"/>
  <c r="G58" i="11"/>
  <c r="G57" i="11"/>
  <c r="G56" i="11"/>
  <c r="G55" i="11"/>
  <c r="G54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C60" i="11"/>
  <c r="C59" i="11"/>
  <c r="C58" i="11"/>
  <c r="C57" i="11"/>
  <c r="C56" i="11"/>
  <c r="C55" i="11"/>
  <c r="C54" i="11"/>
  <c r="Q50" i="11"/>
  <c r="Z50" i="11" s="1"/>
  <c r="P50" i="11"/>
  <c r="Y50" i="11" s="1"/>
  <c r="O50" i="11"/>
  <c r="N50" i="11"/>
  <c r="M50" i="11"/>
  <c r="V50" i="11" s="1"/>
  <c r="L50" i="11"/>
  <c r="K50" i="11"/>
  <c r="J50" i="11"/>
  <c r="I50" i="11"/>
  <c r="H50" i="11"/>
  <c r="G50" i="11"/>
  <c r="E50" i="11"/>
  <c r="D50" i="11"/>
  <c r="C50" i="11"/>
  <c r="Q49" i="11"/>
  <c r="Z49" i="11" s="1"/>
  <c r="P49" i="11"/>
  <c r="Y49" i="11" s="1"/>
  <c r="O49" i="11"/>
  <c r="N49" i="11"/>
  <c r="M49" i="11"/>
  <c r="V49" i="11" s="1"/>
  <c r="L49" i="11"/>
  <c r="K49" i="11"/>
  <c r="T49" i="11" s="1"/>
  <c r="J49" i="11"/>
  <c r="I49" i="11"/>
  <c r="H49" i="11"/>
  <c r="G49" i="11"/>
  <c r="E49" i="11"/>
  <c r="D49" i="11"/>
  <c r="C49" i="11"/>
  <c r="Q43" i="11"/>
  <c r="Z43" i="11" s="1"/>
  <c r="P43" i="11"/>
  <c r="O43" i="11"/>
  <c r="N43" i="11"/>
  <c r="M43" i="11"/>
  <c r="L43" i="11"/>
  <c r="K43" i="11"/>
  <c r="J43" i="11"/>
  <c r="I43" i="11"/>
  <c r="H43" i="11"/>
  <c r="Q42" i="11"/>
  <c r="P42" i="11"/>
  <c r="O42" i="11"/>
  <c r="N42" i="11"/>
  <c r="M42" i="11"/>
  <c r="L42" i="11"/>
  <c r="K42" i="11"/>
  <c r="T42" i="11" s="1"/>
  <c r="J42" i="11"/>
  <c r="I42" i="11"/>
  <c r="H42" i="11"/>
  <c r="Q41" i="11"/>
  <c r="P41" i="11"/>
  <c r="O41" i="11"/>
  <c r="N41" i="11"/>
  <c r="M41" i="11"/>
  <c r="V41" i="11" s="1"/>
  <c r="L41" i="11"/>
  <c r="K41" i="11"/>
  <c r="J41" i="11"/>
  <c r="I41" i="11"/>
  <c r="H41" i="11"/>
  <c r="S41" i="11" s="1"/>
  <c r="Q40" i="11"/>
  <c r="P40" i="11"/>
  <c r="O40" i="11"/>
  <c r="N40" i="11"/>
  <c r="M40" i="11"/>
  <c r="L40" i="11"/>
  <c r="K40" i="11"/>
  <c r="J40" i="11"/>
  <c r="I40" i="11"/>
  <c r="U40" i="11" s="1"/>
  <c r="H40" i="11"/>
  <c r="Q39" i="11"/>
  <c r="Z39" i="11" s="1"/>
  <c r="P39" i="11"/>
  <c r="O39" i="11"/>
  <c r="N39" i="11"/>
  <c r="M39" i="11"/>
  <c r="Y39" i="11" s="1"/>
  <c r="L39" i="11"/>
  <c r="K39" i="11"/>
  <c r="W39" i="11" s="1"/>
  <c r="J39" i="11"/>
  <c r="I39" i="11"/>
  <c r="H39" i="11"/>
  <c r="G43" i="11"/>
  <c r="G42" i="11"/>
  <c r="G41" i="11"/>
  <c r="G40" i="11"/>
  <c r="G39" i="11"/>
  <c r="E43" i="11"/>
  <c r="D43" i="11"/>
  <c r="E42" i="11"/>
  <c r="D42" i="11"/>
  <c r="E41" i="11"/>
  <c r="D41" i="11"/>
  <c r="E40" i="11"/>
  <c r="D40" i="11"/>
  <c r="E39" i="11"/>
  <c r="D39" i="11"/>
  <c r="C43" i="11"/>
  <c r="C42" i="11"/>
  <c r="C41" i="11"/>
  <c r="C40" i="11"/>
  <c r="C39" i="11"/>
  <c r="Q36" i="11"/>
  <c r="P36" i="11"/>
  <c r="O36" i="11"/>
  <c r="N36" i="11"/>
  <c r="M36" i="11"/>
  <c r="L36" i="11"/>
  <c r="K36" i="11"/>
  <c r="J36" i="11"/>
  <c r="I36" i="11"/>
  <c r="H36" i="11"/>
  <c r="G36" i="11"/>
  <c r="E36" i="11"/>
  <c r="D36" i="11"/>
  <c r="C36" i="11"/>
  <c r="Q35" i="11"/>
  <c r="P35" i="11"/>
  <c r="O35" i="11"/>
  <c r="N35" i="11"/>
  <c r="M35" i="11"/>
  <c r="L35" i="11"/>
  <c r="K35" i="11"/>
  <c r="J35" i="11"/>
  <c r="I35" i="11"/>
  <c r="H35" i="11"/>
  <c r="G35" i="11"/>
  <c r="E35" i="11"/>
  <c r="D35" i="11"/>
  <c r="C35" i="11"/>
  <c r="Q34" i="11"/>
  <c r="P34" i="11"/>
  <c r="O34" i="11"/>
  <c r="N34" i="11"/>
  <c r="M34" i="11"/>
  <c r="L34" i="11"/>
  <c r="K34" i="11"/>
  <c r="J34" i="11"/>
  <c r="I34" i="11"/>
  <c r="H34" i="11"/>
  <c r="G34" i="11"/>
  <c r="E34" i="11"/>
  <c r="D34" i="11"/>
  <c r="C34" i="11"/>
  <c r="Q33" i="11"/>
  <c r="P33" i="11"/>
  <c r="O33" i="11"/>
  <c r="N33" i="11"/>
  <c r="M33" i="11"/>
  <c r="L33" i="11"/>
  <c r="K33" i="11"/>
  <c r="J33" i="11"/>
  <c r="I33" i="11"/>
  <c r="H33" i="11"/>
  <c r="G33" i="11"/>
  <c r="E33" i="11"/>
  <c r="D33" i="11"/>
  <c r="C33" i="11"/>
  <c r="Q32" i="11"/>
  <c r="P32" i="11"/>
  <c r="O32" i="11"/>
  <c r="N32" i="11"/>
  <c r="M32" i="11"/>
  <c r="L32" i="11"/>
  <c r="K32" i="11"/>
  <c r="J32" i="11"/>
  <c r="I32" i="11"/>
  <c r="H32" i="11"/>
  <c r="G32" i="11"/>
  <c r="E32" i="11"/>
  <c r="D32" i="11"/>
  <c r="C32" i="11"/>
  <c r="Q28" i="11"/>
  <c r="P28" i="11"/>
  <c r="O28" i="11"/>
  <c r="N28" i="11"/>
  <c r="M28" i="11"/>
  <c r="L28" i="11"/>
  <c r="K28" i="11"/>
  <c r="J28" i="11"/>
  <c r="I28" i="11"/>
  <c r="H28" i="11"/>
  <c r="G28" i="11"/>
  <c r="E28" i="11"/>
  <c r="D28" i="11"/>
  <c r="C28" i="11"/>
  <c r="Q24" i="11"/>
  <c r="P24" i="11"/>
  <c r="O24" i="11"/>
  <c r="N24" i="11"/>
  <c r="M24" i="11"/>
  <c r="L24" i="11"/>
  <c r="K24" i="11"/>
  <c r="J24" i="11"/>
  <c r="I24" i="11"/>
  <c r="H24" i="11"/>
  <c r="G24" i="11"/>
  <c r="E24" i="11"/>
  <c r="D24" i="11"/>
  <c r="C24" i="11"/>
  <c r="Q20" i="11"/>
  <c r="P20" i="11"/>
  <c r="O20" i="11"/>
  <c r="N20" i="11"/>
  <c r="M20" i="11"/>
  <c r="L20" i="11"/>
  <c r="K20" i="11"/>
  <c r="J20" i="11"/>
  <c r="I20" i="11"/>
  <c r="H20" i="11"/>
  <c r="Q19" i="11"/>
  <c r="P19" i="11"/>
  <c r="O19" i="11"/>
  <c r="N19" i="11"/>
  <c r="M19" i="11"/>
  <c r="L19" i="11"/>
  <c r="K19" i="11"/>
  <c r="J19" i="11"/>
  <c r="I19" i="11"/>
  <c r="H19" i="11"/>
  <c r="G20" i="11"/>
  <c r="G19" i="11"/>
  <c r="E20" i="11"/>
  <c r="D20" i="11"/>
  <c r="E19" i="11"/>
  <c r="D19" i="11"/>
  <c r="C20" i="11"/>
  <c r="C19" i="11"/>
  <c r="Q15" i="11"/>
  <c r="P15" i="11"/>
  <c r="O15" i="11"/>
  <c r="N15" i="11"/>
  <c r="M15" i="11"/>
  <c r="L15" i="11"/>
  <c r="K15" i="11"/>
  <c r="J15" i="11"/>
  <c r="I15" i="11"/>
  <c r="H15" i="11"/>
  <c r="Q14" i="11"/>
  <c r="P14" i="11"/>
  <c r="O14" i="11"/>
  <c r="N14" i="11"/>
  <c r="M14" i="11"/>
  <c r="L14" i="11"/>
  <c r="K14" i="11"/>
  <c r="J14" i="11"/>
  <c r="I14" i="11"/>
  <c r="H14" i="11"/>
  <c r="G15" i="11"/>
  <c r="G14" i="11"/>
  <c r="E15" i="11"/>
  <c r="D15" i="11"/>
  <c r="E14" i="11"/>
  <c r="D14" i="11"/>
  <c r="C15" i="11"/>
  <c r="C14" i="11"/>
  <c r="Q9" i="11"/>
  <c r="P9" i="11"/>
  <c r="O9" i="11"/>
  <c r="N9" i="11"/>
  <c r="M9" i="11"/>
  <c r="L9" i="11"/>
  <c r="K9" i="11"/>
  <c r="J9" i="11"/>
  <c r="I9" i="11"/>
  <c r="H9" i="11"/>
  <c r="Q8" i="11"/>
  <c r="P8" i="11"/>
  <c r="O8" i="11"/>
  <c r="N8" i="11"/>
  <c r="M8" i="11"/>
  <c r="L8" i="11"/>
  <c r="K8" i="11"/>
  <c r="J8" i="11"/>
  <c r="I8" i="11"/>
  <c r="H8" i="11"/>
  <c r="Q7" i="11"/>
  <c r="P7" i="11"/>
  <c r="O7" i="11"/>
  <c r="N7" i="11"/>
  <c r="M7" i="11"/>
  <c r="L7" i="11"/>
  <c r="K7" i="11"/>
  <c r="J7" i="11"/>
  <c r="I7" i="11"/>
  <c r="H7" i="11"/>
  <c r="Q6" i="11"/>
  <c r="P6" i="11"/>
  <c r="O6" i="11"/>
  <c r="N6" i="11"/>
  <c r="M6" i="11"/>
  <c r="L6" i="11"/>
  <c r="K6" i="11"/>
  <c r="J6" i="11"/>
  <c r="I6" i="11"/>
  <c r="H6" i="11"/>
  <c r="G9" i="11"/>
  <c r="G8" i="11"/>
  <c r="G7" i="11"/>
  <c r="G6" i="11"/>
  <c r="E9" i="11"/>
  <c r="D9" i="11"/>
  <c r="E8" i="11"/>
  <c r="D8" i="11"/>
  <c r="E7" i="11"/>
  <c r="D7" i="11"/>
  <c r="E6" i="11"/>
  <c r="D6" i="11"/>
  <c r="C9" i="11"/>
  <c r="C8" i="11"/>
  <c r="C7" i="11"/>
  <c r="C6" i="11"/>
  <c r="W69" i="11"/>
  <c r="V69" i="11"/>
  <c r="U69" i="11"/>
  <c r="Z66" i="11"/>
  <c r="Y66" i="11"/>
  <c r="X66" i="11"/>
  <c r="U66" i="11"/>
  <c r="Z64" i="11"/>
  <c r="Y64" i="11"/>
  <c r="X64" i="11"/>
  <c r="W64" i="11"/>
  <c r="V64" i="11"/>
  <c r="U64" i="11"/>
  <c r="T64" i="11"/>
  <c r="S64" i="11"/>
  <c r="Z63" i="11"/>
  <c r="Y63" i="11"/>
  <c r="X63" i="11"/>
  <c r="W63" i="11"/>
  <c r="V63" i="11"/>
  <c r="U63" i="11"/>
  <c r="T63" i="11"/>
  <c r="S63" i="11"/>
  <c r="Y60" i="11"/>
  <c r="X60" i="11"/>
  <c r="U60" i="11"/>
  <c r="Z59" i="11"/>
  <c r="X59" i="11"/>
  <c r="W59" i="11"/>
  <c r="S59" i="11"/>
  <c r="Y58" i="11"/>
  <c r="U58" i="11"/>
  <c r="T58" i="11"/>
  <c r="W57" i="11"/>
  <c r="V57" i="11"/>
  <c r="S57" i="11"/>
  <c r="Y56" i="11"/>
  <c r="X56" i="11"/>
  <c r="V56" i="11"/>
  <c r="U56" i="11"/>
  <c r="Z55" i="11"/>
  <c r="W55" i="11"/>
  <c r="S55" i="11"/>
  <c r="Y54" i="11"/>
  <c r="U54" i="11"/>
  <c r="T54" i="11"/>
  <c r="X50" i="11"/>
  <c r="U50" i="11"/>
  <c r="T50" i="11"/>
  <c r="X49" i="11"/>
  <c r="U49" i="11"/>
  <c r="Y43" i="11"/>
  <c r="W43" i="11"/>
  <c r="Y42" i="11"/>
  <c r="S42" i="11"/>
  <c r="U41" i="11"/>
  <c r="X36" i="11"/>
  <c r="Z33" i="11"/>
  <c r="X20" i="11"/>
  <c r="S8" i="11"/>
  <c r="Q67" i="11"/>
  <c r="Q4" i="11"/>
  <c r="Z4" i="11" s="1"/>
  <c r="Q3" i="11"/>
  <c r="Z3" i="11" s="1"/>
  <c r="B9" i="11"/>
  <c r="B8" i="11"/>
  <c r="B7" i="11"/>
  <c r="B6" i="11"/>
  <c r="Q136" i="8"/>
  <c r="Q139" i="8"/>
  <c r="P139" i="8"/>
  <c r="Q131" i="8"/>
  <c r="Q129" i="8"/>
  <c r="Q128" i="8"/>
  <c r="Q123" i="8"/>
  <c r="Q122" i="8"/>
  <c r="Q121" i="8"/>
  <c r="Q120" i="8"/>
  <c r="Q119" i="8"/>
  <c r="Q118" i="8"/>
  <c r="Q101" i="8"/>
  <c r="Q102" i="8"/>
  <c r="Q103" i="8"/>
  <c r="Q104" i="8"/>
  <c r="Q105" i="8"/>
  <c r="Q106" i="8"/>
  <c r="Q107" i="8"/>
  <c r="Q108" i="8"/>
  <c r="Q110" i="8"/>
  <c r="Q111" i="8"/>
  <c r="Q112" i="8"/>
  <c r="Q113" i="8"/>
  <c r="Q114" i="8"/>
  <c r="P114" i="8"/>
  <c r="P113" i="8"/>
  <c r="P112" i="8"/>
  <c r="P111" i="8"/>
  <c r="P110" i="8"/>
  <c r="P108" i="8"/>
  <c r="P107" i="8"/>
  <c r="P106" i="8"/>
  <c r="P105" i="8"/>
  <c r="P104" i="8"/>
  <c r="P103" i="8"/>
  <c r="P102" i="8"/>
  <c r="P101" i="8"/>
  <c r="Y129" i="8"/>
  <c r="W129" i="8"/>
  <c r="N129" i="8"/>
  <c r="X129" i="8" s="1"/>
  <c r="J129" i="8"/>
  <c r="T129" i="8" s="1"/>
  <c r="T128" i="8"/>
  <c r="J128" i="8"/>
  <c r="U128" i="8" s="1"/>
  <c r="K113" i="8"/>
  <c r="L113" i="8" s="1"/>
  <c r="M113" i="8" s="1"/>
  <c r="G113" i="8"/>
  <c r="H113" i="8" s="1"/>
  <c r="I113" i="8" s="1"/>
  <c r="E113" i="8"/>
  <c r="D113" i="8"/>
  <c r="C113" i="8"/>
  <c r="K110" i="8"/>
  <c r="L110" i="8" s="1"/>
  <c r="M110" i="8" s="1"/>
  <c r="G110" i="8"/>
  <c r="H110" i="8" s="1"/>
  <c r="I110" i="8" s="1"/>
  <c r="E110" i="8"/>
  <c r="D110" i="8"/>
  <c r="C110" i="8"/>
  <c r="Q69" i="8"/>
  <c r="Q52" i="8"/>
  <c r="Y67" i="8"/>
  <c r="X67" i="8"/>
  <c r="V67" i="8"/>
  <c r="U67" i="8"/>
  <c r="T67" i="8"/>
  <c r="Y49" i="8"/>
  <c r="X49" i="8"/>
  <c r="V49" i="8"/>
  <c r="U49" i="8"/>
  <c r="T49" i="8"/>
  <c r="P136" i="8"/>
  <c r="N140" i="8"/>
  <c r="N136" i="8"/>
  <c r="M136" i="8"/>
  <c r="L136" i="8"/>
  <c r="L139" i="8"/>
  <c r="M139" i="8" s="1"/>
  <c r="L131" i="8"/>
  <c r="M131" i="8" s="1"/>
  <c r="L130" i="8"/>
  <c r="M130" i="8" s="1"/>
  <c r="L127" i="8"/>
  <c r="M127" i="8" s="1"/>
  <c r="L123" i="8"/>
  <c r="M123" i="8" s="1"/>
  <c r="L122" i="8"/>
  <c r="M122" i="8" s="1"/>
  <c r="N122" i="8" s="1"/>
  <c r="Y122" i="8" s="1"/>
  <c r="L121" i="8"/>
  <c r="M121" i="8" s="1"/>
  <c r="N121" i="8" s="1"/>
  <c r="Y121" i="8" s="1"/>
  <c r="L120" i="8"/>
  <c r="M120" i="8" s="1"/>
  <c r="L119" i="8"/>
  <c r="M119" i="8" s="1"/>
  <c r="L118" i="8"/>
  <c r="M118" i="8" s="1"/>
  <c r="L114" i="8"/>
  <c r="M114" i="8" s="1"/>
  <c r="L112" i="8"/>
  <c r="M112" i="8" s="1"/>
  <c r="N112" i="8" s="1"/>
  <c r="Y112" i="8" s="1"/>
  <c r="L111" i="8"/>
  <c r="M111" i="8" s="1"/>
  <c r="L108" i="8"/>
  <c r="M108" i="8" s="1"/>
  <c r="N108" i="8" s="1"/>
  <c r="V108" i="8" s="1"/>
  <c r="L107" i="8"/>
  <c r="M107" i="8" s="1"/>
  <c r="L106" i="8"/>
  <c r="M106" i="8" s="1"/>
  <c r="N106" i="8" s="1"/>
  <c r="L105" i="8"/>
  <c r="M105" i="8" s="1"/>
  <c r="L104" i="8"/>
  <c r="M104" i="8" s="1"/>
  <c r="L103" i="8"/>
  <c r="M103" i="8" s="1"/>
  <c r="L102" i="8"/>
  <c r="M102" i="8" s="1"/>
  <c r="L101" i="8"/>
  <c r="M101" i="8" s="1"/>
  <c r="H140" i="8"/>
  <c r="J140" i="8" s="1"/>
  <c r="H139" i="8"/>
  <c r="I139" i="8" s="1"/>
  <c r="H131" i="8"/>
  <c r="I131" i="8" s="1"/>
  <c r="H130" i="8"/>
  <c r="I130" i="8" s="1"/>
  <c r="H127" i="8"/>
  <c r="I127" i="8" s="1"/>
  <c r="H123" i="8"/>
  <c r="I123" i="8" s="1"/>
  <c r="H121" i="8"/>
  <c r="H120" i="8"/>
  <c r="I120" i="8" s="1"/>
  <c r="H119" i="8"/>
  <c r="I119" i="8" s="1"/>
  <c r="H118" i="8"/>
  <c r="I118" i="8" s="1"/>
  <c r="H114" i="8"/>
  <c r="I114" i="8" s="1"/>
  <c r="H112" i="8"/>
  <c r="I112" i="8" s="1"/>
  <c r="J112" i="8" s="1"/>
  <c r="H111" i="8"/>
  <c r="I111" i="8" s="1"/>
  <c r="H108" i="8"/>
  <c r="I108" i="8" s="1"/>
  <c r="H107" i="8"/>
  <c r="I107" i="8" s="1"/>
  <c r="H106" i="8"/>
  <c r="I106" i="8" s="1"/>
  <c r="J106" i="8" s="1"/>
  <c r="H105" i="8"/>
  <c r="I105" i="8" s="1"/>
  <c r="H104" i="8"/>
  <c r="I104" i="8" s="1"/>
  <c r="H103" i="8"/>
  <c r="I103" i="8" s="1"/>
  <c r="H102" i="8"/>
  <c r="I102" i="8" s="1"/>
  <c r="H101" i="8"/>
  <c r="I101" i="8" s="1"/>
  <c r="N56" i="10"/>
  <c r="J56" i="10"/>
  <c r="M55" i="10"/>
  <c r="L55" i="10"/>
  <c r="K55" i="10"/>
  <c r="I55" i="10"/>
  <c r="H55" i="10"/>
  <c r="G55" i="10"/>
  <c r="E55" i="10"/>
  <c r="D55" i="10"/>
  <c r="C55" i="10"/>
  <c r="N21" i="10"/>
  <c r="J21" i="10"/>
  <c r="K69" i="8"/>
  <c r="K52" i="8"/>
  <c r="N86" i="8"/>
  <c r="W86" i="8" s="1"/>
  <c r="N83" i="8"/>
  <c r="W83" i="8" s="1"/>
  <c r="N82" i="8"/>
  <c r="W82" i="8" s="1"/>
  <c r="N81" i="8"/>
  <c r="N80" i="8"/>
  <c r="N79" i="8"/>
  <c r="N78" i="8"/>
  <c r="N52" i="8"/>
  <c r="N51" i="8"/>
  <c r="N50" i="8"/>
  <c r="N49" i="8"/>
  <c r="W49" i="8" s="1"/>
  <c r="N48" i="8"/>
  <c r="N47" i="8"/>
  <c r="N62" i="8"/>
  <c r="N61" i="8"/>
  <c r="N60" i="8"/>
  <c r="N59" i="8"/>
  <c r="N58" i="8"/>
  <c r="N57" i="8"/>
  <c r="N56" i="8"/>
  <c r="N68" i="8"/>
  <c r="N67" i="8"/>
  <c r="W67" i="8" s="1"/>
  <c r="N66" i="8"/>
  <c r="J83" i="8"/>
  <c r="S83" i="8" s="1"/>
  <c r="J82" i="8"/>
  <c r="S82" i="8" s="1"/>
  <c r="J81" i="8"/>
  <c r="J80" i="8"/>
  <c r="J79" i="8"/>
  <c r="J78" i="8"/>
  <c r="J75" i="8"/>
  <c r="J74" i="8"/>
  <c r="J73" i="8"/>
  <c r="J68" i="8"/>
  <c r="J67" i="8"/>
  <c r="S67" i="8" s="1"/>
  <c r="J66" i="8"/>
  <c r="J62" i="8"/>
  <c r="J61" i="8"/>
  <c r="J60" i="8"/>
  <c r="J59" i="8"/>
  <c r="J58" i="8"/>
  <c r="J57" i="8"/>
  <c r="J56" i="8"/>
  <c r="J51" i="8"/>
  <c r="J50" i="8"/>
  <c r="J49" i="8"/>
  <c r="S49" i="8" s="1"/>
  <c r="J48" i="8"/>
  <c r="J86" i="8"/>
  <c r="S86" i="8" s="1"/>
  <c r="E132" i="8"/>
  <c r="C137" i="8"/>
  <c r="J122" i="8"/>
  <c r="Y86" i="8"/>
  <c r="X86" i="8"/>
  <c r="V86" i="8"/>
  <c r="U86" i="8"/>
  <c r="T86" i="8"/>
  <c r="Y83" i="8"/>
  <c r="X83" i="8"/>
  <c r="V83" i="8"/>
  <c r="U83" i="8"/>
  <c r="T83" i="8"/>
  <c r="Y82" i="8"/>
  <c r="X82" i="8"/>
  <c r="V82" i="8"/>
  <c r="U82" i="8"/>
  <c r="T82" i="8"/>
  <c r="D69" i="8"/>
  <c r="J69" i="8" s="1"/>
  <c r="D52" i="8"/>
  <c r="J52" i="8" s="1"/>
  <c r="N32" i="8"/>
  <c r="J32" i="8"/>
  <c r="U32" i="8" s="1"/>
  <c r="N8" i="8"/>
  <c r="J8" i="8"/>
  <c r="W28" i="11" l="1"/>
  <c r="Y32" i="11"/>
  <c r="S33" i="11"/>
  <c r="Y33" i="11"/>
  <c r="Z34" i="11"/>
  <c r="W35" i="11"/>
  <c r="Q70" i="11"/>
  <c r="Q79" i="11" s="1"/>
  <c r="X24" i="11"/>
  <c r="X28" i="11"/>
  <c r="U32" i="11"/>
  <c r="V33" i="11"/>
  <c r="Y34" i="11"/>
  <c r="X35" i="11"/>
  <c r="Z36" i="11"/>
  <c r="Z41" i="11"/>
  <c r="X42" i="11"/>
  <c r="V43" i="11"/>
  <c r="U39" i="11"/>
  <c r="V34" i="11"/>
  <c r="S28" i="11"/>
  <c r="T36" i="11"/>
  <c r="X34" i="11"/>
  <c r="Z14" i="11"/>
  <c r="X15" i="11"/>
  <c r="Y36" i="11"/>
  <c r="Q51" i="11"/>
  <c r="T19" i="11"/>
  <c r="S20" i="11"/>
  <c r="V24" i="11"/>
  <c r="U36" i="11"/>
  <c r="U33" i="11"/>
  <c r="T34" i="11"/>
  <c r="Z35" i="11"/>
  <c r="Z28" i="11"/>
  <c r="S32" i="11"/>
  <c r="Z32" i="11"/>
  <c r="W33" i="11"/>
  <c r="X32" i="11"/>
  <c r="W14" i="11"/>
  <c r="U15" i="11"/>
  <c r="Z19" i="11"/>
  <c r="Y20" i="11"/>
  <c r="S24" i="11"/>
  <c r="T32" i="11"/>
  <c r="W40" i="11"/>
  <c r="T41" i="11"/>
  <c r="Z42" i="11"/>
  <c r="X43" i="11"/>
  <c r="U28" i="11"/>
  <c r="W32" i="11"/>
  <c r="U35" i="11"/>
  <c r="X33" i="11"/>
  <c r="X14" i="11"/>
  <c r="Z20" i="11"/>
  <c r="S39" i="11"/>
  <c r="Z40" i="11"/>
  <c r="Y41" i="11"/>
  <c r="W42" i="11"/>
  <c r="U43" i="11"/>
  <c r="V40" i="11"/>
  <c r="W41" i="11"/>
  <c r="U42" i="11"/>
  <c r="S43" i="11"/>
  <c r="X40" i="11"/>
  <c r="X41" i="11"/>
  <c r="V42" i="11"/>
  <c r="T43" i="11"/>
  <c r="T39" i="11"/>
  <c r="V39" i="11"/>
  <c r="X39" i="11"/>
  <c r="Y40" i="11"/>
  <c r="T40" i="11"/>
  <c r="S40" i="11"/>
  <c r="V36" i="11"/>
  <c r="W36" i="11"/>
  <c r="S36" i="11"/>
  <c r="Y35" i="11"/>
  <c r="T35" i="11"/>
  <c r="V35" i="11"/>
  <c r="S35" i="11"/>
  <c r="U34" i="11"/>
  <c r="W34" i="11"/>
  <c r="S34" i="11"/>
  <c r="T33" i="11"/>
  <c r="V32" i="11"/>
  <c r="V28" i="11"/>
  <c r="Y28" i="11"/>
  <c r="T28" i="11"/>
  <c r="T20" i="11"/>
  <c r="V14" i="11"/>
  <c r="X19" i="11"/>
  <c r="V20" i="11"/>
  <c r="W6" i="11"/>
  <c r="U14" i="11"/>
  <c r="Z15" i="11"/>
  <c r="Y19" i="11"/>
  <c r="W20" i="11"/>
  <c r="S19" i="11"/>
  <c r="Z24" i="11"/>
  <c r="T24" i="11"/>
  <c r="Y14" i="11"/>
  <c r="T15" i="11"/>
  <c r="W24" i="11"/>
  <c r="Y24" i="11"/>
  <c r="U24" i="11"/>
  <c r="U19" i="11"/>
  <c r="U20" i="11"/>
  <c r="V19" i="11"/>
  <c r="W19" i="11"/>
  <c r="V15" i="11"/>
  <c r="W15" i="11"/>
  <c r="S14" i="11"/>
  <c r="Y15" i="11"/>
  <c r="T14" i="11"/>
  <c r="S15" i="11"/>
  <c r="Z8" i="11"/>
  <c r="X6" i="11"/>
  <c r="V7" i="11"/>
  <c r="T8" i="11"/>
  <c r="Z9" i="11"/>
  <c r="V6" i="11"/>
  <c r="U7" i="11"/>
  <c r="Y9" i="11"/>
  <c r="S7" i="11"/>
  <c r="X9" i="11"/>
  <c r="T7" i="11"/>
  <c r="Y6" i="11"/>
  <c r="W7" i="11"/>
  <c r="U8" i="11"/>
  <c r="S9" i="11"/>
  <c r="U6" i="11"/>
  <c r="Q10" i="11"/>
  <c r="Q16" i="11" s="1"/>
  <c r="Q17" i="11" s="1"/>
  <c r="Y8" i="11"/>
  <c r="W9" i="11"/>
  <c r="Z7" i="11"/>
  <c r="Z6" i="11"/>
  <c r="T6" i="11"/>
  <c r="T9" i="11"/>
  <c r="V8" i="11"/>
  <c r="U9" i="11"/>
  <c r="W8" i="11"/>
  <c r="V9" i="11"/>
  <c r="S6" i="11"/>
  <c r="X7" i="11"/>
  <c r="X8" i="11"/>
  <c r="Y7" i="11"/>
  <c r="S129" i="8"/>
  <c r="U129" i="8"/>
  <c r="AA129" i="8" s="1"/>
  <c r="V129" i="8"/>
  <c r="AA49" i="8"/>
  <c r="N128" i="8"/>
  <c r="Y128" i="8" s="1"/>
  <c r="AA128" i="8" s="1"/>
  <c r="S128" i="8"/>
  <c r="I121" i="8"/>
  <c r="J121" i="8" s="1"/>
  <c r="S121" i="8" s="1"/>
  <c r="J108" i="8"/>
  <c r="T108" i="8" s="1"/>
  <c r="U112" i="8"/>
  <c r="AA112" i="8" s="1"/>
  <c r="N113" i="8"/>
  <c r="X113" i="8" s="1"/>
  <c r="U122" i="8"/>
  <c r="AA122" i="8" s="1"/>
  <c r="J113" i="8"/>
  <c r="T113" i="8" s="1"/>
  <c r="J84" i="8"/>
  <c r="X108" i="8"/>
  <c r="W108" i="8"/>
  <c r="Y108" i="8"/>
  <c r="S108" i="8"/>
  <c r="V121" i="8"/>
  <c r="X121" i="8"/>
  <c r="T122" i="8"/>
  <c r="V122" i="8"/>
  <c r="W121" i="8"/>
  <c r="S122" i="8"/>
  <c r="W122" i="8"/>
  <c r="X122" i="8"/>
  <c r="S112" i="8"/>
  <c r="T112" i="8"/>
  <c r="V112" i="8"/>
  <c r="W112" i="8"/>
  <c r="X112" i="8"/>
  <c r="AA82" i="8"/>
  <c r="AA83" i="8"/>
  <c r="Y32" i="8"/>
  <c r="AA32" i="8" s="1"/>
  <c r="V32" i="8"/>
  <c r="W32" i="8"/>
  <c r="X32" i="8"/>
  <c r="S32" i="8"/>
  <c r="T32" i="8"/>
  <c r="Q21" i="11" l="1"/>
  <c r="Q25" i="11" s="1"/>
  <c r="Q29" i="11" s="1"/>
  <c r="W128" i="8"/>
  <c r="X128" i="8"/>
  <c r="V128" i="8"/>
  <c r="U121" i="8"/>
  <c r="AA121" i="8" s="1"/>
  <c r="T121" i="8"/>
  <c r="U108" i="8"/>
  <c r="AA108" i="8" s="1"/>
  <c r="W113" i="8"/>
  <c r="Y113" i="8"/>
  <c r="V113" i="8"/>
  <c r="U113" i="8"/>
  <c r="S113" i="8"/>
  <c r="Q26" i="11" l="1"/>
  <c r="Q22" i="11"/>
  <c r="Q37" i="11"/>
  <c r="Q30" i="11"/>
  <c r="AA113" i="8"/>
  <c r="Q44" i="11" l="1"/>
  <c r="Q45" i="11" s="1"/>
  <c r="N69" i="8" l="1"/>
  <c r="N75" i="8"/>
  <c r="N74" i="8"/>
  <c r="N73" i="8"/>
  <c r="J47" i="8"/>
  <c r="W56" i="8"/>
  <c r="S56" i="8"/>
  <c r="Y56" i="8"/>
  <c r="X56" i="8"/>
  <c r="V56" i="8"/>
  <c r="U56" i="8"/>
  <c r="T56" i="8"/>
  <c r="N29" i="8"/>
  <c r="N25" i="8"/>
  <c r="N24" i="8"/>
  <c r="N23" i="8"/>
  <c r="J29" i="8"/>
  <c r="J25" i="8"/>
  <c r="J24" i="8"/>
  <c r="J23" i="8"/>
  <c r="N10" i="8"/>
  <c r="N14" i="8"/>
  <c r="X14" i="8" s="1"/>
  <c r="N13" i="8"/>
  <c r="N19" i="8"/>
  <c r="N18" i="8"/>
  <c r="J10" i="8"/>
  <c r="J14" i="8"/>
  <c r="V14" i="8" s="1"/>
  <c r="J13" i="8"/>
  <c r="J19" i="8"/>
  <c r="J18" i="8"/>
  <c r="J55" i="10"/>
  <c r="J54" i="10"/>
  <c r="J44" i="10"/>
  <c r="J43" i="10"/>
  <c r="J33" i="10"/>
  <c r="J32" i="10"/>
  <c r="J31" i="10"/>
  <c r="J30" i="10"/>
  <c r="N55" i="10"/>
  <c r="N54" i="10"/>
  <c r="N45" i="10"/>
  <c r="N44" i="10"/>
  <c r="N43" i="10"/>
  <c r="N33" i="10"/>
  <c r="N32" i="10"/>
  <c r="N31" i="10"/>
  <c r="N30" i="10"/>
  <c r="B39" i="10"/>
  <c r="B38" i="10"/>
  <c r="B62" i="10"/>
  <c r="B61" i="10"/>
  <c r="B60" i="10"/>
  <c r="Q57" i="10"/>
  <c r="Q20" i="10" s="1"/>
  <c r="P57" i="10"/>
  <c r="O57" i="10"/>
  <c r="O20" i="10" s="1"/>
  <c r="M57" i="10"/>
  <c r="M20" i="10" s="1"/>
  <c r="L57" i="10"/>
  <c r="K57" i="10"/>
  <c r="K20" i="10" s="1"/>
  <c r="I57" i="10"/>
  <c r="I20" i="10" s="1"/>
  <c r="H57" i="10"/>
  <c r="H20" i="10" s="1"/>
  <c r="G57" i="10"/>
  <c r="G20" i="10" s="1"/>
  <c r="E57" i="10"/>
  <c r="D57" i="10"/>
  <c r="D20" i="10" s="1"/>
  <c r="C57" i="10"/>
  <c r="C20" i="10" s="1"/>
  <c r="B51" i="10"/>
  <c r="B50" i="10"/>
  <c r="B49" i="10"/>
  <c r="Q46" i="10"/>
  <c r="Q19" i="10" s="1"/>
  <c r="P46" i="10"/>
  <c r="P19" i="10" s="1"/>
  <c r="O46" i="10"/>
  <c r="O19" i="10" s="1"/>
  <c r="M46" i="10"/>
  <c r="M19" i="10" s="1"/>
  <c r="L46" i="10"/>
  <c r="L19" i="10" s="1"/>
  <c r="K46" i="10"/>
  <c r="K19" i="10" s="1"/>
  <c r="I46" i="10"/>
  <c r="I19" i="10" s="1"/>
  <c r="H46" i="10"/>
  <c r="H19" i="10" s="1"/>
  <c r="G46" i="10"/>
  <c r="G19" i="10" s="1"/>
  <c r="E46" i="10"/>
  <c r="E19" i="10" s="1"/>
  <c r="D46" i="10"/>
  <c r="D19" i="10" s="1"/>
  <c r="C46" i="10"/>
  <c r="C19" i="10" s="1"/>
  <c r="B26" i="10"/>
  <c r="N10" i="10"/>
  <c r="N9" i="10"/>
  <c r="J10" i="10"/>
  <c r="J9" i="10"/>
  <c r="Q34" i="10"/>
  <c r="Q11" i="10"/>
  <c r="Q37" i="10" s="1"/>
  <c r="Q4" i="10"/>
  <c r="Q3" i="10"/>
  <c r="B2" i="10"/>
  <c r="Y140" i="8"/>
  <c r="Y139" i="8"/>
  <c r="X8" i="8"/>
  <c r="W8" i="8"/>
  <c r="U8" i="8"/>
  <c r="T8" i="8"/>
  <c r="S8" i="8"/>
  <c r="X7" i="8"/>
  <c r="W7" i="8"/>
  <c r="V7" i="8"/>
  <c r="U7" i="8"/>
  <c r="T7" i="8"/>
  <c r="S7" i="8"/>
  <c r="Y8" i="8"/>
  <c r="Y7" i="8"/>
  <c r="Q132" i="8"/>
  <c r="Q124" i="8"/>
  <c r="Q95" i="8"/>
  <c r="Q94" i="8"/>
  <c r="Q84" i="8"/>
  <c r="Q87" i="8" s="1"/>
  <c r="Q70" i="8"/>
  <c r="Q76" i="8" s="1"/>
  <c r="Q53" i="8"/>
  <c r="Q63" i="8" s="1"/>
  <c r="Q44" i="8"/>
  <c r="Q43" i="8"/>
  <c r="Q11" i="8"/>
  <c r="Q15" i="8" s="1"/>
  <c r="K47" i="10" l="1"/>
  <c r="C58" i="10"/>
  <c r="M58" i="10"/>
  <c r="L47" i="10"/>
  <c r="O58" i="10"/>
  <c r="Q39" i="10"/>
  <c r="C47" i="10"/>
  <c r="M47" i="10"/>
  <c r="Q38" i="10"/>
  <c r="D47" i="10"/>
  <c r="O47" i="10"/>
  <c r="G58" i="10"/>
  <c r="Q58" i="10"/>
  <c r="E47" i="10"/>
  <c r="P47" i="10"/>
  <c r="H58" i="10"/>
  <c r="G47" i="10"/>
  <c r="Q47" i="10"/>
  <c r="I58" i="10"/>
  <c r="H47" i="10"/>
  <c r="K58" i="10"/>
  <c r="I47" i="10"/>
  <c r="Q88" i="8"/>
  <c r="Q90" i="8" s="1"/>
  <c r="AA56" i="8"/>
  <c r="W14" i="8"/>
  <c r="S14" i="8"/>
  <c r="T14" i="8"/>
  <c r="Y14" i="8"/>
  <c r="U14" i="8"/>
  <c r="N57" i="10"/>
  <c r="Q60" i="10"/>
  <c r="Q61" i="10"/>
  <c r="L20" i="10"/>
  <c r="L58" i="10" s="1"/>
  <c r="Q62" i="10"/>
  <c r="Q18" i="10"/>
  <c r="Q22" i="10" s="1"/>
  <c r="Q23" i="10" s="1"/>
  <c r="D58" i="10"/>
  <c r="E20" i="10"/>
  <c r="E58" i="10" s="1"/>
  <c r="P20" i="10"/>
  <c r="P58" i="10" s="1"/>
  <c r="J57" i="10"/>
  <c r="N46" i="10"/>
  <c r="Q49" i="10"/>
  <c r="Q50" i="10"/>
  <c r="Q51" i="10"/>
  <c r="J46" i="10"/>
  <c r="V46" i="10"/>
  <c r="Q26" i="10"/>
  <c r="Q40" i="10"/>
  <c r="Q15" i="10"/>
  <c r="Q27" i="10"/>
  <c r="Q12" i="10"/>
  <c r="Q14" i="10"/>
  <c r="Q16" i="8"/>
  <c r="Q20" i="8"/>
  <c r="B40" i="10"/>
  <c r="B37" i="10"/>
  <c r="P34" i="10"/>
  <c r="O34" i="10"/>
  <c r="M34" i="10"/>
  <c r="L34" i="10"/>
  <c r="K34" i="10"/>
  <c r="I34" i="10"/>
  <c r="H34" i="10"/>
  <c r="G34" i="10"/>
  <c r="E34" i="10"/>
  <c r="D34" i="10"/>
  <c r="C34" i="10"/>
  <c r="B27" i="10"/>
  <c r="B25" i="10"/>
  <c r="Y74" i="8"/>
  <c r="X74" i="8"/>
  <c r="V74" i="8"/>
  <c r="U74" i="8"/>
  <c r="T74" i="8"/>
  <c r="S74" i="8"/>
  <c r="W74" i="8"/>
  <c r="Y73" i="8"/>
  <c r="X73" i="8"/>
  <c r="V73" i="8"/>
  <c r="U73" i="8"/>
  <c r="T73" i="8"/>
  <c r="W73" i="8"/>
  <c r="S73" i="8"/>
  <c r="Y61" i="8"/>
  <c r="X61" i="8"/>
  <c r="V61" i="8"/>
  <c r="U61" i="8"/>
  <c r="T61" i="8"/>
  <c r="Y60" i="8"/>
  <c r="X60" i="8"/>
  <c r="V60" i="8"/>
  <c r="U60" i="8"/>
  <c r="T60" i="8"/>
  <c r="W52" i="8"/>
  <c r="W51" i="8"/>
  <c r="W50" i="8"/>
  <c r="W48" i="8"/>
  <c r="W62" i="8"/>
  <c r="W61" i="8"/>
  <c r="W60" i="8"/>
  <c r="W59" i="8"/>
  <c r="S52" i="8"/>
  <c r="S51" i="8"/>
  <c r="S50" i="8"/>
  <c r="S48" i="8"/>
  <c r="S62" i="8"/>
  <c r="S61" i="8"/>
  <c r="S60" i="8"/>
  <c r="S59" i="8"/>
  <c r="Y48" i="8"/>
  <c r="X48" i="8"/>
  <c r="V48" i="8"/>
  <c r="U48" i="8"/>
  <c r="T48" i="8"/>
  <c r="X25" i="8"/>
  <c r="Y24" i="8"/>
  <c r="U25" i="8"/>
  <c r="V24" i="8"/>
  <c r="W13" i="8"/>
  <c r="X19" i="8"/>
  <c r="X18" i="8"/>
  <c r="T13" i="8"/>
  <c r="V19" i="8"/>
  <c r="V18" i="8"/>
  <c r="W75" i="8"/>
  <c r="S75" i="8"/>
  <c r="W69" i="8"/>
  <c r="S69" i="8"/>
  <c r="Y69" i="8"/>
  <c r="X69" i="8"/>
  <c r="V69" i="8"/>
  <c r="U69" i="8"/>
  <c r="T69" i="8"/>
  <c r="Y62" i="8"/>
  <c r="X62" i="8"/>
  <c r="V62" i="8"/>
  <c r="U62" i="8"/>
  <c r="T62" i="8"/>
  <c r="Y59" i="8"/>
  <c r="X59" i="8"/>
  <c r="V59" i="8"/>
  <c r="U59" i="8"/>
  <c r="T59" i="8"/>
  <c r="Y52" i="8"/>
  <c r="X52" i="8"/>
  <c r="V52" i="8"/>
  <c r="U52" i="8"/>
  <c r="T52" i="8"/>
  <c r="Y51" i="8"/>
  <c r="X51" i="8"/>
  <c r="V51" i="8"/>
  <c r="U51" i="8"/>
  <c r="T51" i="8"/>
  <c r="Y50" i="8"/>
  <c r="X50" i="8"/>
  <c r="V50" i="8"/>
  <c r="U50" i="8"/>
  <c r="T50" i="8"/>
  <c r="X81" i="8"/>
  <c r="V81" i="8"/>
  <c r="U81" i="8"/>
  <c r="T81" i="8"/>
  <c r="X80" i="8"/>
  <c r="V80" i="8"/>
  <c r="U80" i="8"/>
  <c r="T80" i="8"/>
  <c r="X79" i="8"/>
  <c r="V79" i="8"/>
  <c r="U79" i="8"/>
  <c r="T79" i="8"/>
  <c r="X78" i="8"/>
  <c r="V78" i="8"/>
  <c r="U78" i="8"/>
  <c r="T78" i="8"/>
  <c r="Y81" i="8"/>
  <c r="Y80" i="8"/>
  <c r="Y79" i="8"/>
  <c r="Y78" i="8"/>
  <c r="X75" i="8"/>
  <c r="V75" i="8"/>
  <c r="U75" i="8"/>
  <c r="T75" i="8"/>
  <c r="Y75" i="8"/>
  <c r="Y68" i="8"/>
  <c r="X68" i="8"/>
  <c r="V68" i="8"/>
  <c r="U68" i="8"/>
  <c r="T68" i="8"/>
  <c r="X66" i="8"/>
  <c r="V66" i="8"/>
  <c r="U66" i="8"/>
  <c r="T66" i="8"/>
  <c r="Y66" i="8"/>
  <c r="X58" i="8"/>
  <c r="V58" i="8"/>
  <c r="U58" i="8"/>
  <c r="T58" i="8"/>
  <c r="X57" i="8"/>
  <c r="V57" i="8"/>
  <c r="U57" i="8"/>
  <c r="T57" i="8"/>
  <c r="Y58" i="8"/>
  <c r="Y57" i="8"/>
  <c r="X47" i="8"/>
  <c r="V47" i="8"/>
  <c r="U47" i="8"/>
  <c r="T47" i="8"/>
  <c r="Y47" i="8"/>
  <c r="Y39" i="8"/>
  <c r="X39" i="8"/>
  <c r="V39" i="8"/>
  <c r="U39" i="8"/>
  <c r="T39" i="8"/>
  <c r="X36" i="8"/>
  <c r="V36" i="8"/>
  <c r="U36" i="8"/>
  <c r="T36" i="8"/>
  <c r="Y36" i="8"/>
  <c r="Y95" i="8"/>
  <c r="Y43" i="8"/>
  <c r="U46" i="10" l="1"/>
  <c r="S57" i="10"/>
  <c r="Y57" i="10"/>
  <c r="Q35" i="10"/>
  <c r="C18" i="10"/>
  <c r="D18" i="10"/>
  <c r="D22" i="10" s="1"/>
  <c r="O18" i="10"/>
  <c r="O22" i="10" s="1"/>
  <c r="W57" i="10"/>
  <c r="I18" i="10"/>
  <c r="I22" i="10" s="1"/>
  <c r="M18" i="10"/>
  <c r="M22" i="10" s="1"/>
  <c r="M35" i="10"/>
  <c r="E18" i="10"/>
  <c r="E22" i="10" s="1"/>
  <c r="P18" i="10"/>
  <c r="P22" i="10" s="1"/>
  <c r="P35" i="10"/>
  <c r="K18" i="10"/>
  <c r="K22" i="10" s="1"/>
  <c r="G18" i="10"/>
  <c r="G22" i="10" s="1"/>
  <c r="U57" i="10"/>
  <c r="H18" i="10"/>
  <c r="H22" i="10" s="1"/>
  <c r="L18" i="10"/>
  <c r="L22" i="10" s="1"/>
  <c r="Q25" i="10"/>
  <c r="AA14" i="8"/>
  <c r="J19" i="10"/>
  <c r="J47" i="10" s="1"/>
  <c r="N20" i="10"/>
  <c r="N58" i="10" s="1"/>
  <c r="N19" i="10"/>
  <c r="T57" i="10"/>
  <c r="J20" i="10"/>
  <c r="V57" i="10"/>
  <c r="X57" i="10"/>
  <c r="X46" i="10"/>
  <c r="S46" i="10"/>
  <c r="Y46" i="10"/>
  <c r="T46" i="10"/>
  <c r="W46" i="10"/>
  <c r="J34" i="10"/>
  <c r="AA74" i="8"/>
  <c r="T25" i="8"/>
  <c r="Q21" i="8"/>
  <c r="Q26" i="8"/>
  <c r="AA60" i="8"/>
  <c r="Y34" i="10"/>
  <c r="N34" i="10"/>
  <c r="X34" i="10"/>
  <c r="W34" i="10"/>
  <c r="S34" i="10"/>
  <c r="AA73" i="8"/>
  <c r="AA58" i="8"/>
  <c r="AA62" i="8"/>
  <c r="AA57" i="8"/>
  <c r="AA59" i="8"/>
  <c r="AA61" i="8"/>
  <c r="U24" i="8"/>
  <c r="AA24" i="8" s="1"/>
  <c r="S24" i="8"/>
  <c r="T24" i="8"/>
  <c r="AA48" i="8"/>
  <c r="W25" i="8"/>
  <c r="W24" i="8"/>
  <c r="Y25" i="8"/>
  <c r="AA25" i="8" s="1"/>
  <c r="X24" i="8"/>
  <c r="V25" i="8"/>
  <c r="S25" i="8"/>
  <c r="U13" i="8"/>
  <c r="S13" i="8"/>
  <c r="V13" i="8"/>
  <c r="AA50" i="8"/>
  <c r="AA52" i="8"/>
  <c r="AA51" i="8"/>
  <c r="S18" i="8"/>
  <c r="T18" i="8"/>
  <c r="U18" i="8"/>
  <c r="S19" i="8"/>
  <c r="T19" i="8"/>
  <c r="U19" i="8"/>
  <c r="Y53" i="8"/>
  <c r="Y63" i="8" s="1"/>
  <c r="X13" i="8"/>
  <c r="Y13" i="8"/>
  <c r="W19" i="8"/>
  <c r="W18" i="8"/>
  <c r="Y19" i="8"/>
  <c r="Y18" i="8"/>
  <c r="Y84" i="8"/>
  <c r="Y87" i="8" s="1"/>
  <c r="Y70" i="8"/>
  <c r="Y76" i="8" s="1"/>
  <c r="Y44" i="8"/>
  <c r="Y94" i="8"/>
  <c r="O35" i="10" l="1"/>
  <c r="L35" i="10"/>
  <c r="E35" i="10"/>
  <c r="D35" i="10"/>
  <c r="H35" i="10"/>
  <c r="C35" i="10"/>
  <c r="C22" i="10"/>
  <c r="G35" i="10"/>
  <c r="X58" i="10"/>
  <c r="W58" i="10"/>
  <c r="Y58" i="10"/>
  <c r="J58" i="10"/>
  <c r="K35" i="10"/>
  <c r="I35" i="10"/>
  <c r="Y88" i="8"/>
  <c r="Y90" i="8" s="1"/>
  <c r="V58" i="10"/>
  <c r="T58" i="10"/>
  <c r="U47" i="10"/>
  <c r="T47" i="10"/>
  <c r="V47" i="10"/>
  <c r="S47" i="10"/>
  <c r="Y47" i="10"/>
  <c r="W47" i="10"/>
  <c r="X47" i="10"/>
  <c r="N47" i="10"/>
  <c r="U58" i="10"/>
  <c r="S58" i="10"/>
  <c r="J18" i="10"/>
  <c r="N18" i="10"/>
  <c r="Q30" i="8"/>
  <c r="Q27" i="8"/>
  <c r="V34" i="10"/>
  <c r="T34" i="10"/>
  <c r="U34" i="10"/>
  <c r="Q33" i="8" l="1"/>
  <c r="Q98" i="8"/>
  <c r="Y22" i="10"/>
  <c r="J22" i="10"/>
  <c r="N35" i="10"/>
  <c r="N22" i="10"/>
  <c r="Q34" i="8"/>
  <c r="Q37" i="8"/>
  <c r="Q40" i="8"/>
  <c r="T35" i="10"/>
  <c r="S35" i="10"/>
  <c r="V35" i="10"/>
  <c r="J35" i="10"/>
  <c r="Y35" i="10"/>
  <c r="X35" i="10"/>
  <c r="W35" i="10"/>
  <c r="Q115" i="8"/>
  <c r="Q141" i="8" s="1"/>
  <c r="Y141" i="8" s="1"/>
  <c r="U22" i="10" l="1"/>
  <c r="X22" i="10"/>
  <c r="V22" i="10"/>
  <c r="T22" i="10"/>
  <c r="W22" i="10"/>
  <c r="S22" i="10"/>
  <c r="U35" i="10"/>
  <c r="W68" i="8" l="1"/>
  <c r="W66" i="8"/>
  <c r="S68" i="8"/>
  <c r="S66" i="8"/>
  <c r="W58" i="8"/>
  <c r="W57" i="8"/>
  <c r="S58" i="8"/>
  <c r="S57" i="8"/>
  <c r="W47" i="8"/>
  <c r="S47" i="8"/>
  <c r="V23" i="8" l="1"/>
  <c r="U23" i="8"/>
  <c r="T23" i="8"/>
  <c r="S23" i="8"/>
  <c r="W29" i="8"/>
  <c r="X29" i="8"/>
  <c r="Y29" i="8"/>
  <c r="W23" i="8"/>
  <c r="Y23" i="8"/>
  <c r="X23" i="8"/>
  <c r="V29" i="8"/>
  <c r="U29" i="8"/>
  <c r="T29" i="8"/>
  <c r="S29" i="8"/>
  <c r="X140" i="8"/>
  <c r="Y136" i="8" s="1"/>
  <c r="W140" i="8"/>
  <c r="X136" i="8" s="1"/>
  <c r="V140" i="8"/>
  <c r="U140" i="8"/>
  <c r="V136" i="8" s="1"/>
  <c r="T140" i="8"/>
  <c r="U136" i="8" s="1"/>
  <c r="S140" i="8"/>
  <c r="T136" i="8" s="1"/>
  <c r="X139" i="8"/>
  <c r="W139" i="8"/>
  <c r="U139" i="8"/>
  <c r="T139" i="8"/>
  <c r="S139" i="8"/>
  <c r="C11" i="8"/>
  <c r="C15" i="8" s="1"/>
  <c r="C43" i="8"/>
  <c r="C44" i="8"/>
  <c r="C53" i="8"/>
  <c r="C63" i="8" s="1"/>
  <c r="C70" i="8"/>
  <c r="C76" i="8" s="1"/>
  <c r="C84" i="8"/>
  <c r="C87" i="8" s="1"/>
  <c r="C94" i="8"/>
  <c r="C95" i="8"/>
  <c r="C124" i="8"/>
  <c r="C132" i="8"/>
  <c r="N131" i="8"/>
  <c r="J131" i="8"/>
  <c r="U131" i="8" s="1"/>
  <c r="N130" i="8"/>
  <c r="J130" i="8"/>
  <c r="N123" i="8"/>
  <c r="J123" i="8"/>
  <c r="U123" i="8" s="1"/>
  <c r="N120" i="8"/>
  <c r="J120" i="8"/>
  <c r="U120" i="8" s="1"/>
  <c r="N119" i="8"/>
  <c r="J119" i="8"/>
  <c r="N114" i="8"/>
  <c r="J114" i="8"/>
  <c r="U114" i="8" s="1"/>
  <c r="N111" i="8"/>
  <c r="J111" i="8"/>
  <c r="U111" i="8" s="1"/>
  <c r="N107" i="8"/>
  <c r="J107" i="8"/>
  <c r="U107" i="8" s="1"/>
  <c r="Y106" i="8"/>
  <c r="U106" i="8"/>
  <c r="N105" i="8"/>
  <c r="J105" i="8"/>
  <c r="U105" i="8" s="1"/>
  <c r="N104" i="8"/>
  <c r="J104" i="8"/>
  <c r="U104" i="8" s="1"/>
  <c r="N103" i="8"/>
  <c r="J103" i="8"/>
  <c r="U103" i="8" s="1"/>
  <c r="N102" i="8"/>
  <c r="Y102" i="8" s="1"/>
  <c r="J102" i="8"/>
  <c r="U102" i="8" s="1"/>
  <c r="N127" i="8"/>
  <c r="J127" i="8"/>
  <c r="U127" i="8" s="1"/>
  <c r="N118" i="8"/>
  <c r="J118" i="8"/>
  <c r="U118" i="8" s="1"/>
  <c r="W81" i="8"/>
  <c r="S81" i="8"/>
  <c r="W80" i="8"/>
  <c r="S80" i="8"/>
  <c r="W79" i="8"/>
  <c r="S79" i="8"/>
  <c r="W78" i="8"/>
  <c r="S78" i="8"/>
  <c r="V8" i="8"/>
  <c r="I67" i="11"/>
  <c r="N139" i="8"/>
  <c r="V139" i="8" s="1"/>
  <c r="G67" i="11"/>
  <c r="W66" i="11"/>
  <c r="S66" i="11"/>
  <c r="L67" i="11"/>
  <c r="E67" i="11"/>
  <c r="D67" i="11"/>
  <c r="C67" i="11"/>
  <c r="P4" i="11"/>
  <c r="Y4" i="11" s="1"/>
  <c r="O4" i="11"/>
  <c r="X4" i="11" s="1"/>
  <c r="M4" i="11"/>
  <c r="V4" i="11" s="1"/>
  <c r="L4" i="11"/>
  <c r="U4" i="11" s="1"/>
  <c r="K4" i="11"/>
  <c r="T4" i="11" s="1"/>
  <c r="I4" i="11"/>
  <c r="H4" i="11"/>
  <c r="P3" i="11"/>
  <c r="Y3" i="11" s="1"/>
  <c r="O3" i="11"/>
  <c r="X3" i="11" s="1"/>
  <c r="N3" i="11"/>
  <c r="W3" i="11" s="1"/>
  <c r="M3" i="11"/>
  <c r="V3" i="11" s="1"/>
  <c r="L3" i="11"/>
  <c r="U3" i="11" s="1"/>
  <c r="K3" i="11"/>
  <c r="T3" i="11" s="1"/>
  <c r="J3" i="11"/>
  <c r="S3" i="11" s="1"/>
  <c r="I3" i="11"/>
  <c r="H3" i="11"/>
  <c r="G4" i="11"/>
  <c r="G3" i="11"/>
  <c r="E4" i="11"/>
  <c r="D4" i="11"/>
  <c r="C4" i="11"/>
  <c r="E3" i="11"/>
  <c r="D3" i="11"/>
  <c r="C3" i="11"/>
  <c r="B2" i="11"/>
  <c r="P4" i="10"/>
  <c r="O4" i="10"/>
  <c r="M4" i="10"/>
  <c r="L4" i="10"/>
  <c r="K4" i="10"/>
  <c r="I4" i="10"/>
  <c r="H4" i="10"/>
  <c r="P3" i="10"/>
  <c r="O3" i="10"/>
  <c r="N3" i="10"/>
  <c r="M3" i="10"/>
  <c r="L3" i="10"/>
  <c r="K3" i="10"/>
  <c r="J3" i="10"/>
  <c r="I3" i="10"/>
  <c r="H3" i="10"/>
  <c r="G4" i="10"/>
  <c r="G3" i="10"/>
  <c r="D4" i="10"/>
  <c r="C4" i="10"/>
  <c r="D3" i="10"/>
  <c r="C3" i="10"/>
  <c r="E4" i="10"/>
  <c r="E3" i="10"/>
  <c r="AB35" i="11" l="1"/>
  <c r="C88" i="8"/>
  <c r="V10" i="8"/>
  <c r="U10" i="8"/>
  <c r="T10" i="8"/>
  <c r="S10" i="8"/>
  <c r="X10" i="8"/>
  <c r="W10" i="8"/>
  <c r="Y10" i="8"/>
  <c r="Y11" i="8" s="1"/>
  <c r="Y15" i="8" s="1"/>
  <c r="N4" i="11"/>
  <c r="W4" i="11" s="1"/>
  <c r="J4" i="10"/>
  <c r="X105" i="8"/>
  <c r="Y105" i="8"/>
  <c r="AA105" i="8" s="1"/>
  <c r="X123" i="8"/>
  <c r="Y123" i="8"/>
  <c r="AA123" i="8" s="1"/>
  <c r="X127" i="8"/>
  <c r="Y127" i="8"/>
  <c r="X118" i="8"/>
  <c r="Y118" i="8"/>
  <c r="X103" i="8"/>
  <c r="Y103" i="8"/>
  <c r="AA103" i="8" s="1"/>
  <c r="X107" i="8"/>
  <c r="Y107" i="8"/>
  <c r="AA107" i="8" s="1"/>
  <c r="X111" i="8"/>
  <c r="Y111" i="8"/>
  <c r="AA111" i="8" s="1"/>
  <c r="X119" i="8"/>
  <c r="Y119" i="8"/>
  <c r="X130" i="8"/>
  <c r="Y130" i="8"/>
  <c r="X104" i="8"/>
  <c r="Y104" i="8"/>
  <c r="AA104" i="8" s="1"/>
  <c r="X114" i="8"/>
  <c r="Y114" i="8"/>
  <c r="AA114" i="8" s="1"/>
  <c r="X120" i="8"/>
  <c r="Y120" i="8"/>
  <c r="AA120" i="8" s="1"/>
  <c r="X131" i="8"/>
  <c r="Y131" i="8"/>
  <c r="AA131" i="8" s="1"/>
  <c r="AA19" i="8"/>
  <c r="S102" i="8"/>
  <c r="S103" i="8"/>
  <c r="S104" i="8"/>
  <c r="S105" i="8"/>
  <c r="S106" i="8"/>
  <c r="S107" i="8"/>
  <c r="S111" i="8"/>
  <c r="S114" i="8"/>
  <c r="S118" i="8"/>
  <c r="S119" i="8"/>
  <c r="S120" i="8"/>
  <c r="S123" i="8"/>
  <c r="S127" i="8"/>
  <c r="S130" i="8"/>
  <c r="S131" i="8"/>
  <c r="T102" i="8"/>
  <c r="T103" i="8"/>
  <c r="T104" i="8"/>
  <c r="T105" i="8"/>
  <c r="T106" i="8"/>
  <c r="T107" i="8"/>
  <c r="T111" i="8"/>
  <c r="T114" i="8"/>
  <c r="T118" i="8"/>
  <c r="T119" i="8"/>
  <c r="T120" i="8"/>
  <c r="T123" i="8"/>
  <c r="T127" i="8"/>
  <c r="T130" i="8"/>
  <c r="T131" i="8"/>
  <c r="U119" i="8"/>
  <c r="U130" i="8"/>
  <c r="V102" i="8"/>
  <c r="V103" i="8"/>
  <c r="V104" i="8"/>
  <c r="V105" i="8"/>
  <c r="V106" i="8"/>
  <c r="V107" i="8"/>
  <c r="V111" i="8"/>
  <c r="V114" i="8"/>
  <c r="V118" i="8"/>
  <c r="V119" i="8"/>
  <c r="V120" i="8"/>
  <c r="V123" i="8"/>
  <c r="V127" i="8"/>
  <c r="V130" i="8"/>
  <c r="V131" i="8"/>
  <c r="W102" i="8"/>
  <c r="W103" i="8"/>
  <c r="W104" i="8"/>
  <c r="W105" i="8"/>
  <c r="W106" i="8"/>
  <c r="W107" i="8"/>
  <c r="W111" i="8"/>
  <c r="W114" i="8"/>
  <c r="W118" i="8"/>
  <c r="W119" i="8"/>
  <c r="W120" i="8"/>
  <c r="W123" i="8"/>
  <c r="W127" i="8"/>
  <c r="W130" i="8"/>
  <c r="W131" i="8"/>
  <c r="X102" i="8"/>
  <c r="X106" i="8"/>
  <c r="C16" i="8"/>
  <c r="C20" i="8"/>
  <c r="C26" i="8" s="1"/>
  <c r="W50" i="11"/>
  <c r="S50" i="11"/>
  <c r="AB20" i="11"/>
  <c r="AA106" i="8"/>
  <c r="AA75" i="8"/>
  <c r="N4" i="10"/>
  <c r="W136" i="8"/>
  <c r="J4" i="11"/>
  <c r="S4" i="11" s="1"/>
  <c r="Z67" i="11"/>
  <c r="Z70" i="11" s="1"/>
  <c r="H67" i="11"/>
  <c r="J139" i="8"/>
  <c r="G10" i="11"/>
  <c r="E10" i="11"/>
  <c r="E16" i="11" s="1"/>
  <c r="C10" i="11"/>
  <c r="C16" i="11" s="1"/>
  <c r="H51" i="11"/>
  <c r="I51" i="11"/>
  <c r="D51" i="11"/>
  <c r="T67" i="11"/>
  <c r="C51" i="11"/>
  <c r="G51" i="11"/>
  <c r="O67" i="11"/>
  <c r="P67" i="11"/>
  <c r="L51" i="11"/>
  <c r="E51" i="11"/>
  <c r="K51" i="11"/>
  <c r="X51" i="11"/>
  <c r="X67" i="11"/>
  <c r="Z51" i="11"/>
  <c r="T51" i="11"/>
  <c r="P51" i="11"/>
  <c r="Y51" i="11"/>
  <c r="M51" i="11"/>
  <c r="O51" i="11"/>
  <c r="G16" i="11" l="1"/>
  <c r="G21" i="11" s="1"/>
  <c r="U67" i="11"/>
  <c r="W67" i="11"/>
  <c r="S11" i="10"/>
  <c r="S12" i="10" s="1"/>
  <c r="Y16" i="8"/>
  <c r="Y20" i="8"/>
  <c r="Y124" i="8"/>
  <c r="Y132" i="8"/>
  <c r="AA119" i="8"/>
  <c r="X11" i="10"/>
  <c r="X12" i="10" s="1"/>
  <c r="W11" i="10"/>
  <c r="W12" i="10" s="1"/>
  <c r="AA130" i="8"/>
  <c r="C21" i="8"/>
  <c r="Y67" i="11"/>
  <c r="Y70" i="11" s="1"/>
  <c r="Y79" i="11" s="1"/>
  <c r="D10" i="11"/>
  <c r="P10" i="11"/>
  <c r="P16" i="11" s="1"/>
  <c r="I10" i="11"/>
  <c r="O10" i="11"/>
  <c r="O16" i="11" s="1"/>
  <c r="M10" i="11"/>
  <c r="H10" i="11"/>
  <c r="L10" i="11"/>
  <c r="L16" i="11" s="1"/>
  <c r="K10" i="11"/>
  <c r="K16" i="11" s="1"/>
  <c r="T11" i="10"/>
  <c r="T12" i="10" s="1"/>
  <c r="AA102" i="8"/>
  <c r="V67" i="11"/>
  <c r="S67" i="11"/>
  <c r="M67" i="11"/>
  <c r="U11" i="10"/>
  <c r="U12" i="10" s="1"/>
  <c r="V11" i="10"/>
  <c r="V12" i="10" s="1"/>
  <c r="C17" i="11"/>
  <c r="K67" i="11"/>
  <c r="J67" i="11"/>
  <c r="G17" i="11"/>
  <c r="N67" i="11"/>
  <c r="E17" i="11"/>
  <c r="E21" i="11"/>
  <c r="Z79" i="11"/>
  <c r="S23" i="10" l="1"/>
  <c r="S61" i="10"/>
  <c r="S49" i="10"/>
  <c r="S37" i="10"/>
  <c r="S15" i="10"/>
  <c r="S62" i="10"/>
  <c r="S50" i="10"/>
  <c r="S38" i="10"/>
  <c r="S25" i="10"/>
  <c r="S51" i="10"/>
  <c r="S39" i="10"/>
  <c r="S26" i="10"/>
  <c r="S60" i="10"/>
  <c r="S40" i="10"/>
  <c r="S27" i="10"/>
  <c r="S14" i="10"/>
  <c r="T23" i="10"/>
  <c r="T49" i="10"/>
  <c r="T62" i="10"/>
  <c r="T50" i="10"/>
  <c r="T38" i="10"/>
  <c r="T25" i="10"/>
  <c r="T51" i="10"/>
  <c r="T39" i="10"/>
  <c r="T26" i="10"/>
  <c r="T61" i="10"/>
  <c r="T37" i="10"/>
  <c r="T60" i="10"/>
  <c r="T40" i="10"/>
  <c r="T27" i="10"/>
  <c r="T14" i="10"/>
  <c r="T15" i="10"/>
  <c r="U23" i="10"/>
  <c r="U62" i="10"/>
  <c r="U50" i="10"/>
  <c r="U38" i="10"/>
  <c r="U25" i="10"/>
  <c r="U51" i="10"/>
  <c r="U39" i="10"/>
  <c r="U26" i="10"/>
  <c r="U60" i="10"/>
  <c r="U40" i="10"/>
  <c r="U27" i="10"/>
  <c r="U14" i="10"/>
  <c r="U61" i="10"/>
  <c r="U49" i="10"/>
  <c r="U37" i="10"/>
  <c r="U15" i="10"/>
  <c r="W23" i="10"/>
  <c r="W51" i="10"/>
  <c r="W39" i="10"/>
  <c r="W26" i="10"/>
  <c r="W60" i="10"/>
  <c r="W40" i="10"/>
  <c r="W27" i="10"/>
  <c r="W61" i="10"/>
  <c r="W49" i="10"/>
  <c r="W37" i="10"/>
  <c r="W15" i="10"/>
  <c r="W62" i="10"/>
  <c r="W50" i="10"/>
  <c r="W38" i="10"/>
  <c r="W25" i="10"/>
  <c r="W14" i="10"/>
  <c r="V23" i="10"/>
  <c r="V51" i="10"/>
  <c r="V39" i="10"/>
  <c r="V26" i="10"/>
  <c r="V50" i="10"/>
  <c r="V60" i="10"/>
  <c r="V40" i="10"/>
  <c r="V27" i="10"/>
  <c r="V14" i="10"/>
  <c r="V25" i="10"/>
  <c r="V61" i="10"/>
  <c r="V49" i="10"/>
  <c r="V37" i="10"/>
  <c r="V15" i="10"/>
  <c r="V62" i="10"/>
  <c r="V38" i="10"/>
  <c r="X23" i="10"/>
  <c r="X60" i="10"/>
  <c r="X40" i="10"/>
  <c r="X27" i="10"/>
  <c r="X14" i="10"/>
  <c r="X51" i="10"/>
  <c r="X61" i="10"/>
  <c r="X49" i="10"/>
  <c r="X37" i="10"/>
  <c r="X15" i="10"/>
  <c r="X39" i="10"/>
  <c r="X62" i="10"/>
  <c r="X50" i="10"/>
  <c r="X38" i="10"/>
  <c r="X25" i="10"/>
  <c r="X26" i="10"/>
  <c r="G22" i="11"/>
  <c r="G25" i="11"/>
  <c r="G29" i="11" s="1"/>
  <c r="H16" i="11"/>
  <c r="H21" i="11" s="1"/>
  <c r="I16" i="11"/>
  <c r="I17" i="11" s="1"/>
  <c r="D16" i="11"/>
  <c r="D17" i="11" s="1"/>
  <c r="Q11" i="11"/>
  <c r="M16" i="11"/>
  <c r="M17" i="11" s="1"/>
  <c r="P21" i="11"/>
  <c r="P25" i="11" s="1"/>
  <c r="Q12" i="11"/>
  <c r="Y21" i="8"/>
  <c r="Y26" i="8"/>
  <c r="Y30" i="8" s="1"/>
  <c r="Y33" i="8" s="1"/>
  <c r="C30" i="8"/>
  <c r="C27" i="8"/>
  <c r="E11" i="11"/>
  <c r="K11" i="11"/>
  <c r="AB6" i="11"/>
  <c r="D11" i="11"/>
  <c r="P17" i="11"/>
  <c r="L11" i="11"/>
  <c r="O11" i="11"/>
  <c r="H12" i="11"/>
  <c r="L12" i="11"/>
  <c r="I12" i="11"/>
  <c r="I21" i="11"/>
  <c r="I22" i="11" s="1"/>
  <c r="M11" i="11"/>
  <c r="P12" i="11"/>
  <c r="O21" i="11"/>
  <c r="O22" i="11" s="1"/>
  <c r="P11" i="11"/>
  <c r="L17" i="11"/>
  <c r="N10" i="11"/>
  <c r="M12" i="11"/>
  <c r="J10" i="11"/>
  <c r="AA127" i="8"/>
  <c r="C21" i="11"/>
  <c r="C25" i="11" s="1"/>
  <c r="C26" i="11" s="1"/>
  <c r="E25" i="11"/>
  <c r="E22" i="11"/>
  <c r="K21" i="11"/>
  <c r="K17" i="11"/>
  <c r="G26" i="11" l="1"/>
  <c r="D21" i="11"/>
  <c r="D25" i="11" s="1"/>
  <c r="P22" i="11"/>
  <c r="H22" i="11"/>
  <c r="H25" i="11"/>
  <c r="H29" i="11" s="1"/>
  <c r="K12" i="11"/>
  <c r="J16" i="11"/>
  <c r="H17" i="11"/>
  <c r="N12" i="11"/>
  <c r="N16" i="11"/>
  <c r="C33" i="8"/>
  <c r="C40" i="8" s="1"/>
  <c r="C98" i="8"/>
  <c r="C34" i="8"/>
  <c r="C37" i="8"/>
  <c r="Y40" i="8"/>
  <c r="Y37" i="8"/>
  <c r="Y34" i="8"/>
  <c r="Y27" i="8"/>
  <c r="Y98" i="8"/>
  <c r="C115" i="8"/>
  <c r="I25" i="11"/>
  <c r="I29" i="11" s="1"/>
  <c r="L21" i="11"/>
  <c r="L25" i="11" s="1"/>
  <c r="O25" i="11"/>
  <c r="O26" i="11" s="1"/>
  <c r="Y10" i="11"/>
  <c r="Y16" i="11" s="1"/>
  <c r="O17" i="11"/>
  <c r="O12" i="11"/>
  <c r="M21" i="11"/>
  <c r="M22" i="11" s="1"/>
  <c r="W10" i="11"/>
  <c r="W16" i="11" s="1"/>
  <c r="S10" i="11"/>
  <c r="V10" i="11"/>
  <c r="V16" i="11" s="1"/>
  <c r="U10" i="11"/>
  <c r="X10" i="11"/>
  <c r="X16" i="11" s="1"/>
  <c r="T10" i="11"/>
  <c r="J12" i="11"/>
  <c r="AB7" i="11"/>
  <c r="Z10" i="11"/>
  <c r="N11" i="11"/>
  <c r="AB8" i="11"/>
  <c r="AB9" i="11"/>
  <c r="C22" i="11"/>
  <c r="C29" i="11"/>
  <c r="C74" i="11" s="1"/>
  <c r="G30" i="11"/>
  <c r="G37" i="11"/>
  <c r="D26" i="11"/>
  <c r="D29" i="11"/>
  <c r="P26" i="11"/>
  <c r="P29" i="11"/>
  <c r="E26" i="11"/>
  <c r="E29" i="11"/>
  <c r="K25" i="11"/>
  <c r="K22" i="11"/>
  <c r="D22" i="11" l="1"/>
  <c r="H26" i="11"/>
  <c r="Z16" i="11"/>
  <c r="Z17" i="11" s="1"/>
  <c r="I26" i="11"/>
  <c r="C141" i="8"/>
  <c r="C142" i="8" s="1"/>
  <c r="C144" i="8" s="1"/>
  <c r="O29" i="11"/>
  <c r="O30" i="11" s="1"/>
  <c r="L22" i="11"/>
  <c r="G44" i="11"/>
  <c r="Y11" i="11"/>
  <c r="M25" i="11"/>
  <c r="M26" i="11" s="1"/>
  <c r="W11" i="11"/>
  <c r="Z21" i="11"/>
  <c r="Z25" i="11" s="1"/>
  <c r="Z29" i="11" s="1"/>
  <c r="Z11" i="11"/>
  <c r="AB10" i="11"/>
  <c r="X11" i="11"/>
  <c r="C78" i="11" a="1"/>
  <c r="C78" i="11" s="1"/>
  <c r="C75" i="11"/>
  <c r="C77" i="11" a="1"/>
  <c r="C77" i="11" s="1"/>
  <c r="C30" i="11"/>
  <c r="C37" i="11"/>
  <c r="C76" i="11"/>
  <c r="P37" i="11"/>
  <c r="P44" i="11" s="1"/>
  <c r="P30" i="11"/>
  <c r="D78" i="11" a="1"/>
  <c r="D78" i="11" s="1"/>
  <c r="D37" i="11"/>
  <c r="D44" i="11" s="1"/>
  <c r="D74" i="11"/>
  <c r="D77" i="11" a="1"/>
  <c r="D77" i="11" s="1"/>
  <c r="D30" i="11"/>
  <c r="D76" i="11"/>
  <c r="D75" i="11"/>
  <c r="K26" i="11"/>
  <c r="K29" i="11"/>
  <c r="E37" i="11"/>
  <c r="E44" i="11" s="1"/>
  <c r="E30" i="11"/>
  <c r="E78" i="11" a="1"/>
  <c r="E78" i="11" s="1"/>
  <c r="E76" i="11"/>
  <c r="E77" i="11" a="1"/>
  <c r="E77" i="11" s="1"/>
  <c r="E75" i="11"/>
  <c r="E74" i="11"/>
  <c r="L26" i="11"/>
  <c r="L29" i="11"/>
  <c r="H30" i="11"/>
  <c r="H37" i="11"/>
  <c r="H44" i="11" s="1"/>
  <c r="I37" i="11"/>
  <c r="I44" i="11" s="1"/>
  <c r="I30" i="11"/>
  <c r="G45" i="11" l="1"/>
  <c r="O37" i="11"/>
  <c r="D135" i="8"/>
  <c r="M29" i="11"/>
  <c r="M30" i="11" s="1"/>
  <c r="C45" i="11"/>
  <c r="AB11" i="11"/>
  <c r="Z26" i="11"/>
  <c r="Z22" i="11"/>
  <c r="K37" i="11"/>
  <c r="K30" i="11"/>
  <c r="H45" i="11"/>
  <c r="I45" i="11"/>
  <c r="L37" i="11"/>
  <c r="L44" i="11" s="1"/>
  <c r="L30" i="11"/>
  <c r="Z78" i="11" a="1"/>
  <c r="Z78" i="11" s="1"/>
  <c r="Z37" i="11"/>
  <c r="Z77" i="11" a="1"/>
  <c r="Z77" i="11" s="1"/>
  <c r="Z76" i="11"/>
  <c r="Z30" i="11"/>
  <c r="Z74" i="11"/>
  <c r="Z75" i="11"/>
  <c r="P45" i="11"/>
  <c r="E45" i="11"/>
  <c r="D45" i="11"/>
  <c r="M37" i="11" l="1"/>
  <c r="M44" i="11" s="1"/>
  <c r="L45" i="11"/>
  <c r="M45" i="11" l="1"/>
  <c r="B15" i="10" l="1"/>
  <c r="B14" i="10"/>
  <c r="I11" i="10"/>
  <c r="I23" i="10" s="1"/>
  <c r="D11" i="10"/>
  <c r="D23" i="10" s="1"/>
  <c r="O11" i="10"/>
  <c r="O23" i="10" s="1"/>
  <c r="E11" i="10"/>
  <c r="E23" i="10" s="1"/>
  <c r="P11" i="10"/>
  <c r="P23" i="10" s="1"/>
  <c r="N11" i="10"/>
  <c r="N23" i="10" s="1"/>
  <c r="M11" i="10"/>
  <c r="M23" i="10" s="1"/>
  <c r="L11" i="10"/>
  <c r="L23" i="10" s="1"/>
  <c r="H11" i="10"/>
  <c r="H23" i="10" s="1"/>
  <c r="C11" i="10"/>
  <c r="C23" i="10" s="1"/>
  <c r="E39" i="10" l="1"/>
  <c r="E38" i="10"/>
  <c r="D39" i="10"/>
  <c r="D38" i="10"/>
  <c r="N38" i="10"/>
  <c r="N39" i="10"/>
  <c r="P38" i="10"/>
  <c r="P39" i="10"/>
  <c r="O38" i="10"/>
  <c r="O39" i="10"/>
  <c r="C39" i="10"/>
  <c r="C38" i="10"/>
  <c r="H39" i="10"/>
  <c r="H38" i="10"/>
  <c r="I39" i="10"/>
  <c r="I38" i="10"/>
  <c r="L39" i="10"/>
  <c r="L38" i="10"/>
  <c r="M39" i="10"/>
  <c r="M38" i="10"/>
  <c r="E61" i="10"/>
  <c r="E60" i="10"/>
  <c r="E62" i="10"/>
  <c r="O61" i="10"/>
  <c r="O60" i="10"/>
  <c r="O62" i="10"/>
  <c r="C61" i="10"/>
  <c r="C62" i="10"/>
  <c r="C60" i="10"/>
  <c r="D61" i="10"/>
  <c r="D60" i="10"/>
  <c r="D62" i="10"/>
  <c r="N61" i="10"/>
  <c r="N60" i="10"/>
  <c r="N62" i="10"/>
  <c r="H62" i="10"/>
  <c r="H61" i="10"/>
  <c r="H60" i="10"/>
  <c r="I61" i="10"/>
  <c r="I60" i="10"/>
  <c r="I62" i="10"/>
  <c r="P60" i="10"/>
  <c r="P62" i="10"/>
  <c r="P61" i="10"/>
  <c r="L62" i="10"/>
  <c r="L60" i="10"/>
  <c r="L61" i="10"/>
  <c r="M61" i="10"/>
  <c r="M60" i="10"/>
  <c r="M62" i="10"/>
  <c r="E51" i="10"/>
  <c r="E50" i="10"/>
  <c r="E49" i="10"/>
  <c r="C49" i="10"/>
  <c r="C51" i="10"/>
  <c r="C50" i="10"/>
  <c r="I50" i="10"/>
  <c r="I49" i="10"/>
  <c r="I51" i="10"/>
  <c r="P51" i="10"/>
  <c r="P50" i="10"/>
  <c r="P49" i="10"/>
  <c r="M50" i="10"/>
  <c r="M51" i="10"/>
  <c r="M49" i="10"/>
  <c r="O49" i="10"/>
  <c r="O51" i="10"/>
  <c r="O50" i="10"/>
  <c r="D50" i="10"/>
  <c r="D49" i="10"/>
  <c r="D51" i="10"/>
  <c r="H51" i="10"/>
  <c r="H50" i="10"/>
  <c r="H49" i="10"/>
  <c r="L51" i="10"/>
  <c r="L50" i="10"/>
  <c r="L49" i="10"/>
  <c r="N50" i="10"/>
  <c r="N51" i="10"/>
  <c r="N49" i="10"/>
  <c r="O26" i="10"/>
  <c r="D26" i="10"/>
  <c r="L26" i="10"/>
  <c r="P26" i="10"/>
  <c r="I26" i="10"/>
  <c r="E26" i="10"/>
  <c r="C26" i="10"/>
  <c r="H26" i="10"/>
  <c r="M26" i="10"/>
  <c r="N26" i="10"/>
  <c r="E37" i="10"/>
  <c r="E40" i="10"/>
  <c r="H40" i="10"/>
  <c r="H37" i="10"/>
  <c r="M37" i="10"/>
  <c r="M40" i="10"/>
  <c r="O37" i="10"/>
  <c r="O40" i="10"/>
  <c r="C37" i="10"/>
  <c r="C40" i="10"/>
  <c r="D37" i="10"/>
  <c r="D40" i="10"/>
  <c r="I40" i="10"/>
  <c r="I37" i="10"/>
  <c r="L37" i="10"/>
  <c r="L40" i="10"/>
  <c r="N37" i="10"/>
  <c r="N40" i="10"/>
  <c r="P37" i="10"/>
  <c r="P40" i="10"/>
  <c r="E27" i="10"/>
  <c r="E25" i="10"/>
  <c r="C25" i="10"/>
  <c r="H27" i="10"/>
  <c r="H25" i="10"/>
  <c r="I27" i="10"/>
  <c r="I25" i="10"/>
  <c r="L25" i="10"/>
  <c r="L27" i="10"/>
  <c r="M25" i="10"/>
  <c r="M27" i="10"/>
  <c r="D27" i="10"/>
  <c r="D25" i="10"/>
  <c r="N27" i="10"/>
  <c r="N25" i="10"/>
  <c r="O25" i="10"/>
  <c r="O27" i="10"/>
  <c r="P25" i="10"/>
  <c r="P27" i="10"/>
  <c r="AA66" i="8"/>
  <c r="AA68" i="8"/>
  <c r="C14" i="10"/>
  <c r="C15" i="10"/>
  <c r="H14" i="10"/>
  <c r="H15" i="10"/>
  <c r="E15" i="10"/>
  <c r="E14" i="10"/>
  <c r="L15" i="10"/>
  <c r="L14" i="10"/>
  <c r="M15" i="10"/>
  <c r="M14" i="10"/>
  <c r="O14" i="10"/>
  <c r="O15" i="10"/>
  <c r="D14" i="10"/>
  <c r="D15" i="10"/>
  <c r="N14" i="10"/>
  <c r="N15" i="10"/>
  <c r="I15" i="10"/>
  <c r="I14" i="10"/>
  <c r="P14" i="10"/>
  <c r="P15" i="10"/>
  <c r="J11" i="10"/>
  <c r="J23" i="10" s="1"/>
  <c r="Y11" i="10"/>
  <c r="G11" i="10"/>
  <c r="G23" i="10" s="1"/>
  <c r="K11" i="10"/>
  <c r="K23" i="10" s="1"/>
  <c r="Y23" i="10" l="1"/>
  <c r="Y39" i="10"/>
  <c r="Y40" i="10"/>
  <c r="Y14" i="10"/>
  <c r="Y49" i="10"/>
  <c r="Y15" i="10"/>
  <c r="Y50" i="10"/>
  <c r="Y25" i="10"/>
  <c r="Y51" i="10"/>
  <c r="Y26" i="10"/>
  <c r="Y60" i="10"/>
  <c r="Y27" i="10"/>
  <c r="Y62" i="10"/>
  <c r="Y61" i="10"/>
  <c r="Y37" i="10"/>
  <c r="Y38" i="10"/>
  <c r="K39" i="10"/>
  <c r="K38" i="10"/>
  <c r="G39" i="10"/>
  <c r="G38" i="10"/>
  <c r="J39" i="10"/>
  <c r="J38" i="10"/>
  <c r="J61" i="10"/>
  <c r="J62" i="10"/>
  <c r="J60" i="10"/>
  <c r="K62" i="10"/>
  <c r="K61" i="10"/>
  <c r="K60" i="10"/>
  <c r="G62" i="10"/>
  <c r="G61" i="10"/>
  <c r="G60" i="10"/>
  <c r="K49" i="10"/>
  <c r="K51" i="10"/>
  <c r="K50" i="10"/>
  <c r="G51" i="10"/>
  <c r="G50" i="10"/>
  <c r="G49" i="10"/>
  <c r="J50" i="10"/>
  <c r="J51" i="10"/>
  <c r="J49" i="10"/>
  <c r="G26" i="10"/>
  <c r="K26" i="10"/>
  <c r="J26" i="10"/>
  <c r="K37" i="10"/>
  <c r="K40" i="10"/>
  <c r="J37" i="10"/>
  <c r="J40" i="10"/>
  <c r="G40" i="10"/>
  <c r="G37" i="10"/>
  <c r="K27" i="10"/>
  <c r="K25" i="10"/>
  <c r="G27" i="10"/>
  <c r="G25" i="10"/>
  <c r="J25" i="10"/>
  <c r="J27" i="10"/>
  <c r="G15" i="10"/>
  <c r="G14" i="10"/>
  <c r="K15" i="10"/>
  <c r="K14" i="10"/>
  <c r="J15" i="10"/>
  <c r="J14" i="10"/>
  <c r="N147" i="8" l="1"/>
  <c r="Y147" i="8" s="1"/>
  <c r="J147" i="8"/>
  <c r="AA47" i="8"/>
  <c r="O132" i="8"/>
  <c r="U147" i="8" l="1"/>
  <c r="T147" i="8"/>
  <c r="S147" i="8"/>
  <c r="X147" i="8"/>
  <c r="W147" i="8"/>
  <c r="V147" i="8"/>
  <c r="S49" i="11"/>
  <c r="S51" i="11" s="1"/>
  <c r="W49" i="11"/>
  <c r="W51" i="11" s="1"/>
  <c r="T132" i="8"/>
  <c r="S132" i="8"/>
  <c r="AA80" i="8"/>
  <c r="AA79" i="8"/>
  <c r="AA81" i="8"/>
  <c r="AA78" i="8"/>
  <c r="P132" i="8"/>
  <c r="I132" i="8"/>
  <c r="D132" i="8"/>
  <c r="G132" i="8"/>
  <c r="H132" i="8"/>
  <c r="K132" i="8"/>
  <c r="L132" i="8"/>
  <c r="M132" i="8"/>
  <c r="J101" i="8"/>
  <c r="AA23" i="8" l="1"/>
  <c r="U101" i="8"/>
  <c r="T101" i="8"/>
  <c r="S101" i="8"/>
  <c r="U51" i="11"/>
  <c r="O44" i="11"/>
  <c r="K44" i="11"/>
  <c r="AB34" i="11"/>
  <c r="AB32" i="11"/>
  <c r="AB33" i="11"/>
  <c r="AA29" i="8"/>
  <c r="N51" i="11"/>
  <c r="J51" i="11"/>
  <c r="J110" i="8"/>
  <c r="N132" i="8"/>
  <c r="J132" i="8"/>
  <c r="U110" i="8" l="1"/>
  <c r="T110" i="8"/>
  <c r="S110" i="8"/>
  <c r="AB28" i="11"/>
  <c r="O45" i="11"/>
  <c r="K45" i="11"/>
  <c r="V51" i="11"/>
  <c r="U132" i="8"/>
  <c r="W132" i="8"/>
  <c r="X132" i="8"/>
  <c r="V132" i="8"/>
  <c r="P84" i="8" l="1"/>
  <c r="P87" i="8" s="1"/>
  <c r="O84" i="8"/>
  <c r="O87" i="8" s="1"/>
  <c r="M84" i="8"/>
  <c r="M87" i="8" s="1"/>
  <c r="L84" i="8"/>
  <c r="L87" i="8" s="1"/>
  <c r="K84" i="8"/>
  <c r="K87" i="8" s="1"/>
  <c r="I84" i="8"/>
  <c r="H84" i="8"/>
  <c r="G84" i="8"/>
  <c r="E84" i="8"/>
  <c r="E87" i="8" s="1"/>
  <c r="D84" i="8"/>
  <c r="D87" i="8" s="1"/>
  <c r="C70" i="11"/>
  <c r="C79" i="11" s="1"/>
  <c r="N39" i="8"/>
  <c r="W39" i="8" s="1"/>
  <c r="N36" i="8"/>
  <c r="W36" i="8" s="1"/>
  <c r="G70" i="11" l="1"/>
  <c r="G87" i="8"/>
  <c r="H70" i="11"/>
  <c r="H87" i="8"/>
  <c r="I70" i="11"/>
  <c r="I87" i="8"/>
  <c r="D70" i="11"/>
  <c r="D79" i="11" s="1"/>
  <c r="E70" i="11"/>
  <c r="E79" i="11" s="1"/>
  <c r="Y21" i="11"/>
  <c r="T70" i="11"/>
  <c r="T79" i="11" s="1"/>
  <c r="L70" i="11"/>
  <c r="L79" i="11" s="1"/>
  <c r="M70" i="11"/>
  <c r="M79" i="11" s="1"/>
  <c r="U70" i="11"/>
  <c r="U79" i="11" s="1"/>
  <c r="X70" i="11"/>
  <c r="X79" i="11" s="1"/>
  <c r="P70" i="11"/>
  <c r="P79" i="11" s="1"/>
  <c r="W70" i="11"/>
  <c r="W79" i="11" s="1"/>
  <c r="O70" i="11"/>
  <c r="O79" i="11" s="1"/>
  <c r="K70" i="11"/>
  <c r="K79" i="11" s="1"/>
  <c r="AA36" i="8"/>
  <c r="AA39" i="8"/>
  <c r="T84" i="8"/>
  <c r="T87" i="8" s="1"/>
  <c r="U84" i="8"/>
  <c r="V84" i="8"/>
  <c r="V87" i="8" s="1"/>
  <c r="X84" i="8"/>
  <c r="X87" i="8" s="1"/>
  <c r="J87" i="8"/>
  <c r="S84" i="8"/>
  <c r="S87" i="8" s="1"/>
  <c r="W84" i="8"/>
  <c r="W87" i="8" s="1"/>
  <c r="N84" i="8"/>
  <c r="U87" i="8" l="1"/>
  <c r="S70" i="11"/>
  <c r="S79" i="11" s="1"/>
  <c r="N87" i="8"/>
  <c r="N21" i="11"/>
  <c r="U16" i="11"/>
  <c r="U17" i="11" s="1"/>
  <c r="W17" i="11"/>
  <c r="AB19" i="11"/>
  <c r="S16" i="11"/>
  <c r="S17" i="11" s="1"/>
  <c r="T16" i="11"/>
  <c r="T17" i="11" s="1"/>
  <c r="J21" i="11"/>
  <c r="Y17" i="11"/>
  <c r="J70" i="11"/>
  <c r="J79" i="11" s="1"/>
  <c r="V70" i="11"/>
  <c r="V79" i="11" s="1"/>
  <c r="N70" i="11"/>
  <c r="N79" i="11" s="1"/>
  <c r="N110" i="8"/>
  <c r="Y110" i="8" s="1"/>
  <c r="N101" i="8"/>
  <c r="Y101" i="8" s="1"/>
  <c r="X21" i="11" l="1"/>
  <c r="AA87" i="8"/>
  <c r="Y115" i="8"/>
  <c r="X101" i="8"/>
  <c r="W101" i="8"/>
  <c r="V101" i="8"/>
  <c r="AA110" i="8"/>
  <c r="X110" i="8"/>
  <c r="W110" i="8"/>
  <c r="V110" i="8"/>
  <c r="AA101" i="8"/>
  <c r="N17" i="11"/>
  <c r="W21" i="11"/>
  <c r="W22" i="11" s="1"/>
  <c r="X17" i="11"/>
  <c r="S21" i="11"/>
  <c r="S22" i="11" s="1"/>
  <c r="AB14" i="11"/>
  <c r="T21" i="11"/>
  <c r="T22" i="11" s="1"/>
  <c r="J17" i="11"/>
  <c r="U21" i="11"/>
  <c r="U22" i="11" s="1"/>
  <c r="V21" i="11"/>
  <c r="Y25" i="11"/>
  <c r="N22" i="11"/>
  <c r="J22" i="11"/>
  <c r="J25" i="11"/>
  <c r="AB16" i="11"/>
  <c r="V17" i="11"/>
  <c r="AB17" i="11" s="1"/>
  <c r="Y22" i="11"/>
  <c r="X22" i="11"/>
  <c r="AA118" i="8"/>
  <c r="AB36" i="11" l="1"/>
  <c r="W25" i="11"/>
  <c r="X25" i="11"/>
  <c r="X29" i="11" s="1"/>
  <c r="U25" i="11"/>
  <c r="U26" i="11" s="1"/>
  <c r="V25" i="11"/>
  <c r="T25" i="11"/>
  <c r="N25" i="11"/>
  <c r="N26" i="11" s="1"/>
  <c r="S25" i="11"/>
  <c r="S26" i="11" s="1"/>
  <c r="Y26" i="11"/>
  <c r="Y29" i="11"/>
  <c r="J26" i="11"/>
  <c r="J29" i="11"/>
  <c r="V22" i="11"/>
  <c r="AB22" i="11" s="1"/>
  <c r="AB21" i="11"/>
  <c r="AB24" i="11" l="1"/>
  <c r="M74" i="11"/>
  <c r="M77" i="11" a="1"/>
  <c r="M77" i="11" s="1"/>
  <c r="M78" i="11" a="1"/>
  <c r="M78" i="11" s="1"/>
  <c r="M76" i="11" a="1"/>
  <c r="M76" i="11" s="1"/>
  <c r="M75" i="11"/>
  <c r="J78" i="11" a="1"/>
  <c r="J78" i="11" s="1"/>
  <c r="J76" i="11" a="1"/>
  <c r="J76" i="11" s="1"/>
  <c r="L78" i="11" a="1"/>
  <c r="L78" i="11" s="1"/>
  <c r="J75" i="11"/>
  <c r="L75" i="11"/>
  <c r="L74" i="11"/>
  <c r="K76" i="11" a="1"/>
  <c r="K76" i="11" s="1"/>
  <c r="K74" i="11"/>
  <c r="L76" i="11" a="1"/>
  <c r="L76" i="11" s="1"/>
  <c r="K75" i="11"/>
  <c r="K77" i="11" a="1"/>
  <c r="K77" i="11" s="1"/>
  <c r="L77" i="11" a="1"/>
  <c r="L77" i="11" s="1"/>
  <c r="K78" i="11" a="1"/>
  <c r="K78" i="11" s="1"/>
  <c r="J77" i="11" a="1"/>
  <c r="J77" i="11" s="1"/>
  <c r="J74" i="11"/>
  <c r="W29" i="11"/>
  <c r="W30" i="11" s="1"/>
  <c r="W26" i="11"/>
  <c r="X26" i="11"/>
  <c r="T29" i="11"/>
  <c r="T75" i="11" s="1"/>
  <c r="T26" i="11"/>
  <c r="N29" i="11"/>
  <c r="S29" i="11"/>
  <c r="S37" i="11" s="1"/>
  <c r="U29" i="11"/>
  <c r="U74" i="11" s="1"/>
  <c r="Y30" i="11"/>
  <c r="Y76" i="11"/>
  <c r="Y77" i="11" a="1"/>
  <c r="Y77" i="11" s="1"/>
  <c r="Y37" i="11"/>
  <c r="Y78" i="11" a="1"/>
  <c r="Y78" i="11" s="1"/>
  <c r="Y75" i="11"/>
  <c r="Y74" i="11"/>
  <c r="V29" i="11"/>
  <c r="V26" i="11"/>
  <c r="AB26" i="11" s="1"/>
  <c r="AB25" i="11"/>
  <c r="J30" i="11"/>
  <c r="J37" i="11"/>
  <c r="J44" i="11" s="1"/>
  <c r="X78" i="11" a="1"/>
  <c r="X78" i="11" s="1"/>
  <c r="X37" i="11"/>
  <c r="X76" i="11"/>
  <c r="X77" i="11" a="1"/>
  <c r="X77" i="11" s="1"/>
  <c r="X30" i="11"/>
  <c r="X74" i="11"/>
  <c r="X75" i="11"/>
  <c r="O70" i="8"/>
  <c r="M70" i="8"/>
  <c r="O124" i="8"/>
  <c r="K124" i="8"/>
  <c r="G124" i="8"/>
  <c r="N11" i="8"/>
  <c r="J11" i="8"/>
  <c r="J39" i="8"/>
  <c r="S39" i="8" s="1"/>
  <c r="J36" i="8"/>
  <c r="S36" i="8" s="1"/>
  <c r="L53" i="8"/>
  <c r="L63" i="8" s="1"/>
  <c r="K53" i="8"/>
  <c r="K63" i="8" s="1"/>
  <c r="G53" i="8"/>
  <c r="G63" i="8" s="1"/>
  <c r="P95" i="8"/>
  <c r="O95" i="8"/>
  <c r="N95" i="8"/>
  <c r="M95" i="8"/>
  <c r="L95" i="8"/>
  <c r="K95" i="8"/>
  <c r="J95" i="8"/>
  <c r="I95" i="8"/>
  <c r="H95" i="8"/>
  <c r="G95" i="8"/>
  <c r="P94" i="8"/>
  <c r="O94" i="8"/>
  <c r="N94" i="8"/>
  <c r="M94" i="8"/>
  <c r="L94" i="8"/>
  <c r="K94" i="8"/>
  <c r="J94" i="8"/>
  <c r="I94" i="8"/>
  <c r="H94" i="8"/>
  <c r="G94" i="8"/>
  <c r="H53" i="8"/>
  <c r="H63" i="8" s="1"/>
  <c r="I53" i="8"/>
  <c r="I63" i="8" s="1"/>
  <c r="M53" i="8"/>
  <c r="M63" i="8" s="1"/>
  <c r="O53" i="8"/>
  <c r="O63" i="8" s="1"/>
  <c r="P53" i="8"/>
  <c r="P63" i="8" s="1"/>
  <c r="P44" i="8"/>
  <c r="O44" i="8"/>
  <c r="N44" i="8"/>
  <c r="M44" i="8"/>
  <c r="L44" i="8"/>
  <c r="K44" i="8"/>
  <c r="J44" i="8"/>
  <c r="I44" i="8"/>
  <c r="H44" i="8"/>
  <c r="G44" i="8"/>
  <c r="P43" i="8"/>
  <c r="O43" i="8"/>
  <c r="N43" i="8"/>
  <c r="M43" i="8"/>
  <c r="L43" i="8"/>
  <c r="K43" i="8"/>
  <c r="J43" i="8"/>
  <c r="I43" i="8"/>
  <c r="H43" i="8"/>
  <c r="G43" i="8"/>
  <c r="E44" i="8"/>
  <c r="D44" i="8"/>
  <c r="E43" i="8"/>
  <c r="D43" i="8"/>
  <c r="P11" i="8"/>
  <c r="P15" i="8" s="1"/>
  <c r="O11" i="8"/>
  <c r="O15" i="8" s="1"/>
  <c r="M11" i="8"/>
  <c r="M15" i="8" s="1"/>
  <c r="L11" i="8"/>
  <c r="L15" i="8" s="1"/>
  <c r="K11" i="8"/>
  <c r="K15" i="8" s="1"/>
  <c r="I11" i="8"/>
  <c r="H11" i="8"/>
  <c r="G11" i="8"/>
  <c r="V44" i="11" l="1"/>
  <c r="U44" i="11"/>
  <c r="T44" i="11"/>
  <c r="S44" i="11"/>
  <c r="Q74" i="11"/>
  <c r="Q76" i="11" a="1"/>
  <c r="Q76" i="11" s="1"/>
  <c r="Q78" i="11" a="1"/>
  <c r="Q78" i="11" s="1"/>
  <c r="Q77" i="11" a="1"/>
  <c r="Q77" i="11" s="1"/>
  <c r="Q75" i="11"/>
  <c r="H12" i="10"/>
  <c r="H15" i="8"/>
  <c r="H16" i="8" s="1"/>
  <c r="I12" i="10"/>
  <c r="I15" i="8"/>
  <c r="I16" i="8" s="1"/>
  <c r="G12" i="10"/>
  <c r="G15" i="8"/>
  <c r="G20" i="8" s="1"/>
  <c r="G26" i="8" s="1"/>
  <c r="N12" i="10"/>
  <c r="N15" i="8"/>
  <c r="N16" i="8" s="1"/>
  <c r="J12" i="10"/>
  <c r="J15" i="8"/>
  <c r="W77" i="11" a="1"/>
  <c r="W77" i="11" s="1"/>
  <c r="W78" i="11" a="1"/>
  <c r="W78" i="11" s="1"/>
  <c r="W75" i="11"/>
  <c r="W74" i="11"/>
  <c r="W76" i="11"/>
  <c r="W37" i="11"/>
  <c r="P75" i="11"/>
  <c r="O77" i="11" a="1"/>
  <c r="O77" i="11" s="1"/>
  <c r="P77" i="11" a="1"/>
  <c r="P77" i="11" s="1"/>
  <c r="O76" i="11" a="1"/>
  <c r="O76" i="11" s="1"/>
  <c r="N78" i="11" a="1"/>
  <c r="N78" i="11" s="1"/>
  <c r="P78" i="11" a="1"/>
  <c r="P78" i="11" s="1"/>
  <c r="N75" i="11"/>
  <c r="P74" i="11"/>
  <c r="O78" i="11" a="1"/>
  <c r="O78" i="11" s="1"/>
  <c r="O74" i="11"/>
  <c r="P76" i="11" a="1"/>
  <c r="P76" i="11" s="1"/>
  <c r="N77" i="11" a="1"/>
  <c r="N77" i="11" s="1"/>
  <c r="O75" i="11"/>
  <c r="N74" i="11"/>
  <c r="N76" i="11" a="1"/>
  <c r="N76" i="11" s="1"/>
  <c r="T37" i="11"/>
  <c r="T77" i="11" a="1"/>
  <c r="T77" i="11" s="1"/>
  <c r="T76" i="11"/>
  <c r="N37" i="11"/>
  <c r="N44" i="11" s="1"/>
  <c r="N30" i="11"/>
  <c r="T78" i="11" a="1"/>
  <c r="T78" i="11" s="1"/>
  <c r="T74" i="11"/>
  <c r="T30" i="11"/>
  <c r="S78" i="11" a="1"/>
  <c r="S78" i="11" s="1"/>
  <c r="U75" i="11"/>
  <c r="U37" i="11"/>
  <c r="U30" i="11"/>
  <c r="U76" i="11"/>
  <c r="U77" i="11" a="1"/>
  <c r="U77" i="11" s="1"/>
  <c r="U78" i="11" a="1"/>
  <c r="U78" i="11" s="1"/>
  <c r="S77" i="11" a="1"/>
  <c r="S77" i="11" s="1"/>
  <c r="S74" i="11"/>
  <c r="S76" i="11"/>
  <c r="S75" i="11"/>
  <c r="S30" i="11"/>
  <c r="O20" i="8"/>
  <c r="O26" i="8" s="1"/>
  <c r="O12" i="10"/>
  <c r="P16" i="8"/>
  <c r="P12" i="10"/>
  <c r="K20" i="8"/>
  <c r="K26" i="8" s="1"/>
  <c r="K12" i="10"/>
  <c r="M20" i="8"/>
  <c r="M26" i="8" s="1"/>
  <c r="M12" i="10"/>
  <c r="L16" i="8"/>
  <c r="L12" i="10"/>
  <c r="V78" i="11" a="1"/>
  <c r="V78" i="11" s="1"/>
  <c r="V77" i="11" a="1"/>
  <c r="V77" i="11" s="1"/>
  <c r="V30" i="11"/>
  <c r="AB30" i="11" s="1"/>
  <c r="V37" i="11"/>
  <c r="AB37" i="11" s="1"/>
  <c r="AB29" i="11"/>
  <c r="V74" i="11"/>
  <c r="V76" i="11"/>
  <c r="V75" i="11"/>
  <c r="M76" i="8"/>
  <c r="M88" i="8" s="1"/>
  <c r="M90" i="8" s="1"/>
  <c r="K70" i="8"/>
  <c r="P70" i="8"/>
  <c r="H70" i="8"/>
  <c r="G70" i="8"/>
  <c r="L70" i="8"/>
  <c r="E70" i="8"/>
  <c r="I70" i="8"/>
  <c r="P124" i="8"/>
  <c r="N124" i="8"/>
  <c r="H124" i="8"/>
  <c r="L124" i="8"/>
  <c r="M124" i="8"/>
  <c r="J16" i="8"/>
  <c r="N70" i="8"/>
  <c r="N53" i="8"/>
  <c r="N63" i="8" s="1"/>
  <c r="J53" i="8"/>
  <c r="J63" i="8" s="1"/>
  <c r="J70" i="8"/>
  <c r="Z44" i="11" l="1"/>
  <c r="Z45" i="11" s="1"/>
  <c r="X44" i="11"/>
  <c r="X45" i="11" s="1"/>
  <c r="Y44" i="11"/>
  <c r="W44" i="11"/>
  <c r="W45" i="11" s="1"/>
  <c r="T45" i="11"/>
  <c r="S45" i="11"/>
  <c r="V45" i="11"/>
  <c r="U45" i="11"/>
  <c r="P20" i="8"/>
  <c r="O16" i="8"/>
  <c r="O21" i="8"/>
  <c r="L20" i="8"/>
  <c r="K16" i="8"/>
  <c r="J45" i="11"/>
  <c r="N45" i="11"/>
  <c r="M16" i="8"/>
  <c r="O27" i="8"/>
  <c r="O30" i="8"/>
  <c r="O98" i="8" s="1"/>
  <c r="Y45" i="11"/>
  <c r="H20" i="8"/>
  <c r="H26" i="8" s="1"/>
  <c r="G21" i="8"/>
  <c r="G16" i="8"/>
  <c r="I20" i="8"/>
  <c r="I26" i="8" s="1"/>
  <c r="N76" i="8"/>
  <c r="N88" i="8" s="1"/>
  <c r="N90" i="8" s="1"/>
  <c r="K76" i="8"/>
  <c r="K88" i="8" s="1"/>
  <c r="K90" i="8" s="1"/>
  <c r="I76" i="8"/>
  <c r="I88" i="8" s="1"/>
  <c r="E76" i="8"/>
  <c r="E88" i="8" s="1"/>
  <c r="H76" i="8"/>
  <c r="H88" i="8" s="1"/>
  <c r="J76" i="8"/>
  <c r="J88" i="8" s="1"/>
  <c r="J90" i="8" s="1"/>
  <c r="P76" i="8"/>
  <c r="P88" i="8" s="1"/>
  <c r="P90" i="8" s="1"/>
  <c r="G76" i="8"/>
  <c r="G88" i="8" s="1"/>
  <c r="L76" i="8"/>
  <c r="L88" i="8" s="1"/>
  <c r="L90" i="8" s="1"/>
  <c r="O76" i="8"/>
  <c r="O88" i="8" s="1"/>
  <c r="O90" i="8" s="1"/>
  <c r="I124" i="8"/>
  <c r="J124" i="8"/>
  <c r="N20" i="8"/>
  <c r="N26" i="8" s="1"/>
  <c r="J20" i="8"/>
  <c r="J26" i="8" s="1"/>
  <c r="M21" i="8"/>
  <c r="K21" i="8"/>
  <c r="O33" i="8" l="1"/>
  <c r="O115" i="8" s="1"/>
  <c r="L26" i="8"/>
  <c r="L27" i="8" s="1"/>
  <c r="P26" i="8"/>
  <c r="P27" i="8" s="1"/>
  <c r="P21" i="8"/>
  <c r="L21" i="8"/>
  <c r="N27" i="8"/>
  <c r="N30" i="8"/>
  <c r="N98" i="8" s="1"/>
  <c r="M27" i="8"/>
  <c r="M30" i="8"/>
  <c r="M98" i="8" s="1"/>
  <c r="K27" i="8"/>
  <c r="K30" i="8"/>
  <c r="K98" i="8" s="1"/>
  <c r="J27" i="8"/>
  <c r="J30" i="8"/>
  <c r="J98" i="8" s="1"/>
  <c r="G27" i="8"/>
  <c r="G30" i="8"/>
  <c r="G98" i="8" s="1"/>
  <c r="H21" i="8"/>
  <c r="I21" i="8"/>
  <c r="J21" i="8"/>
  <c r="N21" i="8"/>
  <c r="O34" i="8" l="1"/>
  <c r="O37" i="8"/>
  <c r="O40" i="8"/>
  <c r="N33" i="8"/>
  <c r="N115" i="8" s="1"/>
  <c r="K33" i="8"/>
  <c r="K115" i="8" s="1"/>
  <c r="K141" i="8" s="1"/>
  <c r="S141" i="8" s="1"/>
  <c r="G33" i="8"/>
  <c r="G115" i="8" s="1"/>
  <c r="G141" i="8" s="1"/>
  <c r="J33" i="8"/>
  <c r="M33" i="8"/>
  <c r="M115" i="8" s="1"/>
  <c r="M141" i="8" s="1"/>
  <c r="U141" i="8" s="1"/>
  <c r="P30" i="8"/>
  <c r="P98" i="8" s="1"/>
  <c r="L30" i="8"/>
  <c r="L98" i="8" s="1"/>
  <c r="H27" i="8"/>
  <c r="H30" i="8"/>
  <c r="H98" i="8" s="1"/>
  <c r="I27" i="8"/>
  <c r="I30" i="8"/>
  <c r="I98" i="8" s="1"/>
  <c r="O141" i="8"/>
  <c r="W141" i="8" s="1"/>
  <c r="J115" i="8" l="1"/>
  <c r="K37" i="8"/>
  <c r="K34" i="8"/>
  <c r="K40" i="8"/>
  <c r="M34" i="8"/>
  <c r="M37" i="8"/>
  <c r="M40" i="8"/>
  <c r="G34" i="8"/>
  <c r="G37" i="8"/>
  <c r="G40" i="8"/>
  <c r="J40" i="8"/>
  <c r="J34" i="8"/>
  <c r="J37" i="8"/>
  <c r="N34" i="8"/>
  <c r="N40" i="8"/>
  <c r="N37" i="8"/>
  <c r="I115" i="8"/>
  <c r="I33" i="8"/>
  <c r="H33" i="8"/>
  <c r="H115" i="8" s="1"/>
  <c r="P33" i="8"/>
  <c r="P115" i="8" s="1"/>
  <c r="P141" i="8" s="1"/>
  <c r="X141" i="8" s="1"/>
  <c r="L33" i="8"/>
  <c r="L115" i="8" s="1"/>
  <c r="L141" i="8" s="1"/>
  <c r="T141" i="8" s="1"/>
  <c r="P34" i="8" l="1"/>
  <c r="P37" i="8"/>
  <c r="P40" i="8"/>
  <c r="L40" i="8"/>
  <c r="L34" i="8"/>
  <c r="L37" i="8"/>
  <c r="H37" i="8"/>
  <c r="H40" i="8"/>
  <c r="H34" i="8"/>
  <c r="I40" i="8"/>
  <c r="I37" i="8"/>
  <c r="I34" i="8"/>
  <c r="H141" i="8"/>
  <c r="I141" i="8"/>
  <c r="B95" i="8" l="1"/>
  <c r="B94" i="8"/>
  <c r="E95" i="8"/>
  <c r="D95" i="8"/>
  <c r="E94" i="8"/>
  <c r="D94" i="8"/>
  <c r="B44" i="8"/>
  <c r="B43" i="8"/>
  <c r="X44" i="8"/>
  <c r="W44" i="8"/>
  <c r="U44" i="8"/>
  <c r="T44" i="8"/>
  <c r="S44" i="8"/>
  <c r="V44" i="8"/>
  <c r="X43" i="8"/>
  <c r="W43" i="8"/>
  <c r="V43" i="8"/>
  <c r="U43" i="8"/>
  <c r="T43" i="8"/>
  <c r="S43" i="8"/>
  <c r="S94" i="8" l="1"/>
  <c r="S95" i="8"/>
  <c r="V94" i="8"/>
  <c r="W94" i="8"/>
  <c r="W95" i="8"/>
  <c r="X95" i="8"/>
  <c r="U94" i="8"/>
  <c r="X94" i="8"/>
  <c r="U95" i="8"/>
  <c r="T95" i="8"/>
  <c r="V95" i="8"/>
  <c r="T94" i="8"/>
  <c r="T11" i="8" l="1"/>
  <c r="D53" i="8"/>
  <c r="D63" i="8" s="1"/>
  <c r="E53" i="8"/>
  <c r="E63" i="8" s="1"/>
  <c r="E90" i="8" s="1"/>
  <c r="T15" i="8" l="1"/>
  <c r="T20" i="8" s="1"/>
  <c r="T26" i="8" s="1"/>
  <c r="U11" i="8"/>
  <c r="U53" i="8"/>
  <c r="U63" i="8" s="1"/>
  <c r="S53" i="8"/>
  <c r="S63" i="8" s="1"/>
  <c r="U70" i="8"/>
  <c r="U76" i="8" s="1"/>
  <c r="U88" i="8" s="1"/>
  <c r="U90" i="8" s="1"/>
  <c r="T70" i="8"/>
  <c r="T76" i="8" s="1"/>
  <c r="T88" i="8" s="1"/>
  <c r="T53" i="8"/>
  <c r="T63" i="8" s="1"/>
  <c r="S11" i="8"/>
  <c r="S70" i="8"/>
  <c r="S76" i="8" s="1"/>
  <c r="S88" i="8" s="1"/>
  <c r="W53" i="8"/>
  <c r="W63" i="8" s="1"/>
  <c r="W11" i="8"/>
  <c r="W70" i="8"/>
  <c r="W76" i="8" s="1"/>
  <c r="W88" i="8" s="1"/>
  <c r="W90" i="8" s="1"/>
  <c r="X70" i="8"/>
  <c r="X76" i="8" s="1"/>
  <c r="X88" i="8" s="1"/>
  <c r="X90" i="8" s="1"/>
  <c r="V11" i="8"/>
  <c r="X11" i="8"/>
  <c r="X53" i="8"/>
  <c r="X63" i="8" s="1"/>
  <c r="T90" i="8" l="1"/>
  <c r="S90" i="8"/>
  <c r="W15" i="8"/>
  <c r="W20" i="8" s="1"/>
  <c r="W26" i="8" s="1"/>
  <c r="X15" i="8"/>
  <c r="X20" i="8" s="1"/>
  <c r="X26" i="8" s="1"/>
  <c r="U15" i="8"/>
  <c r="U20" i="8" s="1"/>
  <c r="U26" i="8" s="1"/>
  <c r="S15" i="8"/>
  <c r="S20" i="8" s="1"/>
  <c r="S26" i="8" s="1"/>
  <c r="V15" i="8"/>
  <c r="V20" i="8" s="1"/>
  <c r="V26" i="8" s="1"/>
  <c r="T21" i="8"/>
  <c r="AA10" i="8"/>
  <c r="AA18" i="8"/>
  <c r="T16" i="8"/>
  <c r="AA13" i="8"/>
  <c r="T27" i="8" l="1"/>
  <c r="T30" i="8"/>
  <c r="S21" i="8"/>
  <c r="U21" i="8"/>
  <c r="W21" i="8"/>
  <c r="V21" i="8"/>
  <c r="X21" i="8"/>
  <c r="W16" i="8"/>
  <c r="V16" i="8"/>
  <c r="S16" i="8"/>
  <c r="X16" i="8"/>
  <c r="U16" i="8"/>
  <c r="T98" i="8" l="1"/>
  <c r="T33" i="8"/>
  <c r="W27" i="8"/>
  <c r="W30" i="8"/>
  <c r="X27" i="8"/>
  <c r="X30" i="8"/>
  <c r="S27" i="8"/>
  <c r="S30" i="8"/>
  <c r="S33" i="8" s="1"/>
  <c r="U27" i="8"/>
  <c r="U30" i="8"/>
  <c r="V27" i="8"/>
  <c r="V30" i="8"/>
  <c r="S34" i="8" l="1"/>
  <c r="S37" i="8"/>
  <c r="S40" i="8"/>
  <c r="T40" i="8"/>
  <c r="T34" i="8"/>
  <c r="T37" i="8"/>
  <c r="X98" i="8"/>
  <c r="X33" i="8"/>
  <c r="V98" i="8"/>
  <c r="V33" i="8"/>
  <c r="W98" i="8"/>
  <c r="W33" i="8"/>
  <c r="U98" i="8"/>
  <c r="U33" i="8"/>
  <c r="S98" i="8"/>
  <c r="U34" i="8" l="1"/>
  <c r="AA34" i="8" s="1"/>
  <c r="U37" i="8"/>
  <c r="U40" i="8"/>
  <c r="V40" i="8"/>
  <c r="V34" i="8"/>
  <c r="V37" i="8"/>
  <c r="W34" i="8"/>
  <c r="W40" i="8"/>
  <c r="W37" i="8"/>
  <c r="X34" i="8"/>
  <c r="X40" i="8"/>
  <c r="X37" i="8"/>
  <c r="AA33" i="8"/>
  <c r="V70" i="8"/>
  <c r="V76" i="8" s="1"/>
  <c r="V88" i="8" s="1"/>
  <c r="U124" i="8" l="1"/>
  <c r="S124" i="8"/>
  <c r="T124" i="8"/>
  <c r="V124" i="8"/>
  <c r="X124" i="8"/>
  <c r="W124" i="8"/>
  <c r="E11" i="8" l="1"/>
  <c r="D11" i="8"/>
  <c r="C12" i="10"/>
  <c r="E124" i="8"/>
  <c r="D124" i="8"/>
  <c r="D70" i="8"/>
  <c r="D12" i="10" l="1"/>
  <c r="D15" i="8"/>
  <c r="D20" i="8" s="1"/>
  <c r="D26" i="8" s="1"/>
  <c r="E12" i="10"/>
  <c r="E15" i="8"/>
  <c r="E20" i="8" s="1"/>
  <c r="E26" i="8" s="1"/>
  <c r="D76" i="8"/>
  <c r="D88" i="8" s="1"/>
  <c r="D90" i="8" s="1"/>
  <c r="AA11" i="8"/>
  <c r="AA84" i="8"/>
  <c r="D21" i="8" l="1"/>
  <c r="E21" i="8"/>
  <c r="V53" i="8"/>
  <c r="V63" i="8" s="1"/>
  <c r="V90" i="8" s="1"/>
  <c r="AA76" i="8"/>
  <c r="AA70" i="8"/>
  <c r="D16" i="8"/>
  <c r="E16" i="8"/>
  <c r="D27" i="8" l="1"/>
  <c r="D30" i="8"/>
  <c r="D98" i="8" s="1"/>
  <c r="E27" i="8"/>
  <c r="E30" i="8"/>
  <c r="E98" i="8" s="1"/>
  <c r="AA27" i="8"/>
  <c r="AA26" i="8"/>
  <c r="J141" i="8"/>
  <c r="AA20" i="8"/>
  <c r="AA21" i="8"/>
  <c r="AA132" i="8"/>
  <c r="AA88" i="8"/>
  <c r="AA63" i="8"/>
  <c r="AA53" i="8"/>
  <c r="AA15" i="8"/>
  <c r="AA124" i="8"/>
  <c r="AA16" i="8"/>
  <c r="E115" i="8" l="1"/>
  <c r="E141" i="8" s="1"/>
  <c r="E33" i="8"/>
  <c r="D33" i="8"/>
  <c r="D115" i="8" s="1"/>
  <c r="D141" i="8" s="1"/>
  <c r="N141" i="8"/>
  <c r="V141" i="8" s="1"/>
  <c r="D37" i="8" l="1"/>
  <c r="D40" i="8"/>
  <c r="D34" i="8"/>
  <c r="E34" i="8"/>
  <c r="E40" i="8"/>
  <c r="E37" i="8"/>
  <c r="AA30" i="8"/>
  <c r="U115" i="8"/>
  <c r="V115" i="8"/>
  <c r="S115" i="8" l="1"/>
  <c r="T115" i="8"/>
  <c r="AA37" i="8" l="1"/>
  <c r="AA40" i="8"/>
  <c r="G135" i="8" l="1"/>
  <c r="D137" i="8" l="1"/>
  <c r="D142" i="8" s="1"/>
  <c r="D144" i="8" s="1"/>
  <c r="E135" i="8" l="1"/>
  <c r="E137" i="8" s="1"/>
  <c r="E142" i="8" s="1"/>
  <c r="E144" i="8" s="1"/>
  <c r="G137" i="8"/>
  <c r="G142" i="8" l="1"/>
  <c r="G144" i="8" s="1"/>
  <c r="H135" i="8" l="1"/>
  <c r="H137" i="8" s="1"/>
  <c r="H142" i="8" s="1"/>
  <c r="H144" i="8" s="1"/>
  <c r="I135" i="8" l="1"/>
  <c r="I137" i="8" s="1"/>
  <c r="I142" i="8" l="1"/>
  <c r="I144" i="8" s="1"/>
  <c r="J135" i="8" l="1"/>
  <c r="J137" i="8" l="1"/>
  <c r="J142" i="8" s="1"/>
  <c r="J144" i="8" s="1"/>
  <c r="K135" i="8" l="1"/>
  <c r="K137" i="8" s="1"/>
  <c r="K142" i="8" l="1"/>
  <c r="K144" i="8" s="1"/>
  <c r="L135" i="8" l="1"/>
  <c r="L137" i="8" s="1"/>
  <c r="L142" i="8" l="1"/>
  <c r="L144" i="8" s="1"/>
  <c r="M135" i="8" l="1"/>
  <c r="M137" i="8" s="1"/>
  <c r="M142" i="8" l="1"/>
  <c r="M144" i="8" s="1"/>
  <c r="N135" i="8" l="1"/>
  <c r="N137" i="8" s="1"/>
  <c r="N142" i="8" l="1"/>
  <c r="O135" i="8" l="1"/>
  <c r="O137" i="8" s="1"/>
  <c r="O142" i="8" s="1"/>
  <c r="N144" i="8"/>
  <c r="P135" i="8" l="1"/>
  <c r="P137" i="8" s="1"/>
  <c r="P142" i="8" s="1"/>
  <c r="O144" i="8"/>
  <c r="Q135" i="8" l="1"/>
  <c r="Q137" i="8" s="1"/>
  <c r="Q142" i="8" s="1"/>
  <c r="Q144" i="8" s="1"/>
  <c r="P144" i="8"/>
  <c r="W115" i="8"/>
  <c r="X115" i="8"/>
  <c r="AA98" i="8" l="1"/>
  <c r="AA115" i="8" l="1"/>
  <c r="S137" i="8" l="1"/>
  <c r="S142" i="8" s="1"/>
  <c r="T135" i="8" l="1"/>
  <c r="T137" i="8" s="1"/>
  <c r="T142" i="8" s="1"/>
  <c r="S144" i="8" l="1"/>
  <c r="U135" i="8"/>
  <c r="U137" i="8" s="1"/>
  <c r="U142" i="8" s="1"/>
  <c r="T144" i="8" l="1"/>
  <c r="V135" i="8"/>
  <c r="V137" i="8" s="1"/>
  <c r="U144" i="8"/>
  <c r="V142" i="8" l="1"/>
  <c r="W135" i="8" s="1"/>
  <c r="W137" i="8" s="1"/>
  <c r="W142" i="8" s="1"/>
  <c r="X135" i="8" l="1"/>
  <c r="X137" i="8" s="1"/>
  <c r="W144" i="8"/>
  <c r="V144" i="8"/>
  <c r="X142" i="8" l="1"/>
  <c r="Y135" i="8" s="1"/>
  <c r="Y137" i="8" s="1"/>
  <c r="Y142" i="8" s="1"/>
  <c r="Y144" i="8" s="1"/>
  <c r="X144" i="8" l="1"/>
  <c r="C27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<sst xmlns="http://schemas.openxmlformats.org/spreadsheetml/2006/main" count="259" uniqueCount="200">
  <si>
    <t>FYE</t>
  </si>
  <si>
    <t>Quarterly</t>
  </si>
  <si>
    <t>1Q24</t>
  </si>
  <si>
    <t>2Q24</t>
  </si>
  <si>
    <t>3Q24</t>
  </si>
  <si>
    <t>4Q24</t>
  </si>
  <si>
    <t>1Q23</t>
  </si>
  <si>
    <t>2Q23</t>
  </si>
  <si>
    <t>3Q23</t>
  </si>
  <si>
    <t>4Q23</t>
  </si>
  <si>
    <t>LTM</t>
  </si>
  <si>
    <t>EBITDA</t>
  </si>
  <si>
    <t>Total Revenue</t>
  </si>
  <si>
    <t>Changes in assets and liabilities:</t>
  </si>
  <si>
    <t>Cash-Flows Statement</t>
  </si>
  <si>
    <t>Total stockholders' equity</t>
  </si>
  <si>
    <t>Total Liabilities</t>
  </si>
  <si>
    <t>X</t>
  </si>
  <si>
    <t>Total Current Liabilities</t>
  </si>
  <si>
    <t>Total Current Assets</t>
  </si>
  <si>
    <t>Total Assets</t>
  </si>
  <si>
    <t>Gross Profit</t>
  </si>
  <si>
    <t>Total Debt</t>
  </si>
  <si>
    <t>Variance</t>
  </si>
  <si>
    <t>FCF Analysis</t>
  </si>
  <si>
    <t>1Q25</t>
  </si>
  <si>
    <t>2Q25</t>
  </si>
  <si>
    <t>Y/Y Growth (%)</t>
  </si>
  <si>
    <t>Q/Q Growth (%)</t>
  </si>
  <si>
    <t>N/A</t>
  </si>
  <si>
    <t>Gross Margin (%)</t>
  </si>
  <si>
    <t>Earning before Interest &amp; Taxes (EBIT)</t>
  </si>
  <si>
    <t>Operating Margin (%)</t>
  </si>
  <si>
    <t>EBITDA Margin (%)</t>
  </si>
  <si>
    <t>Adj. EBITDA</t>
  </si>
  <si>
    <t>Adj. EBITDA Margin (%)</t>
  </si>
  <si>
    <t>(-) Capital Expenditures</t>
  </si>
  <si>
    <t>(-) Cash Taxes</t>
  </si>
  <si>
    <t>(+/-) Changes in NWC</t>
  </si>
  <si>
    <t>Discretionary Cash-Flows</t>
  </si>
  <si>
    <t>Free-Cash Flows</t>
  </si>
  <si>
    <t>Capitalization</t>
  </si>
  <si>
    <t>Cash &amp; Cash Equivelants</t>
  </si>
  <si>
    <t>Total Liquidity</t>
  </si>
  <si>
    <t>Balance Sheet Metrics:</t>
  </si>
  <si>
    <t>Current Liabilities</t>
  </si>
  <si>
    <t>Total Shareholder Equity</t>
  </si>
  <si>
    <t>Total Book Capitalization</t>
  </si>
  <si>
    <t>Debt-to-Book Capitalization</t>
  </si>
  <si>
    <t>Net loss</t>
  </si>
  <si>
    <t>Total liabilities and stockholders' equity</t>
  </si>
  <si>
    <t>Cash-Flows From Operating Activities</t>
  </si>
  <si>
    <t>Net income (loss)</t>
  </si>
  <si>
    <t>Net cash used in operating activities</t>
  </si>
  <si>
    <t>Cash flows from investing activities:</t>
  </si>
  <si>
    <t>Net cash used in investing activities</t>
  </si>
  <si>
    <t>Cash flows from financing activities:</t>
  </si>
  <si>
    <t>Net cash provided by financing activities</t>
  </si>
  <si>
    <t>Consolidated Revenue</t>
  </si>
  <si>
    <t>Adjustments to reconcile net income:</t>
  </si>
  <si>
    <t>Balance Check</t>
  </si>
  <si>
    <t>Net Change in Cash</t>
  </si>
  <si>
    <t>Net Margin (%)</t>
  </si>
  <si>
    <t>Basic shares</t>
  </si>
  <si>
    <t>Basic EPS</t>
  </si>
  <si>
    <t>Fully Diluted Shares</t>
  </si>
  <si>
    <t>Diluted EPS</t>
  </si>
  <si>
    <t>Segment Anaysis</t>
  </si>
  <si>
    <t>Total Net Revenue</t>
  </si>
  <si>
    <t xml:space="preserve">(+/-) Other </t>
  </si>
  <si>
    <t>Credit Metrics</t>
  </si>
  <si>
    <t>Adjusted Cash Position BOP</t>
  </si>
  <si>
    <t>Adjusted Cash Position EOP</t>
  </si>
  <si>
    <t xml:space="preserve">(-) Cash Interest </t>
  </si>
  <si>
    <t>Income Statement</t>
  </si>
  <si>
    <t xml:space="preserve">Balance Sheet </t>
  </si>
  <si>
    <t>Historical Financials</t>
  </si>
  <si>
    <t>Fiscal Period</t>
  </si>
  <si>
    <t>Fiscal Period End Date</t>
  </si>
  <si>
    <t>Operating Profit</t>
  </si>
  <si>
    <t>EBT Margin (%)</t>
  </si>
  <si>
    <t>Current Assets</t>
  </si>
  <si>
    <t>Non-Current Assets</t>
  </si>
  <si>
    <t>Non-Current Liabilities</t>
  </si>
  <si>
    <t>Supplemental disclosures of other cash flow information:</t>
  </si>
  <si>
    <t>Income tax expense</t>
  </si>
  <si>
    <t>Interest paid</t>
  </si>
  <si>
    <t>BOP Restricted Cash Adjustment</t>
  </si>
  <si>
    <t>EOP FX Adjustment</t>
  </si>
  <si>
    <t>EOP Restricted Cash Adjustment</t>
  </si>
  <si>
    <t>Unrestricted Cash BOP</t>
  </si>
  <si>
    <t>Revenue Segment Anaysis</t>
  </si>
  <si>
    <t>($ In Millions)</t>
  </si>
  <si>
    <t>($ In Millions, except EPS)</t>
  </si>
  <si>
    <t>Revenue by reportable segment</t>
  </si>
  <si>
    <t>(+) Depreciation and Amortization (D&amp;A)</t>
  </si>
  <si>
    <t>Summary Debt:</t>
  </si>
  <si>
    <t>CPLTD</t>
  </si>
  <si>
    <t>LTD</t>
  </si>
  <si>
    <t>LTM Total Leverage</t>
  </si>
  <si>
    <t>LTM Net Leverage</t>
  </si>
  <si>
    <t xml:space="preserve">LTM Interest Coverage </t>
  </si>
  <si>
    <t>LTM Debt Service Coverage</t>
  </si>
  <si>
    <t>LTM Fixed Charge Coverage</t>
  </si>
  <si>
    <t>3Q25</t>
  </si>
  <si>
    <t>Earnings before Taxes</t>
  </si>
  <si>
    <t>Other Income</t>
  </si>
  <si>
    <t>Goodwill</t>
  </si>
  <si>
    <t xml:space="preserve">Selling, General, and Administrative </t>
  </si>
  <si>
    <t>GE Vernova Inc (NYSE: GEV)</t>
  </si>
  <si>
    <t>Equipment</t>
  </si>
  <si>
    <t>Sales</t>
  </si>
  <si>
    <t xml:space="preserve">Power </t>
  </si>
  <si>
    <t xml:space="preserve">Wind </t>
  </si>
  <si>
    <t xml:space="preserve">Electrification </t>
  </si>
  <si>
    <t>Revenue: Power</t>
  </si>
  <si>
    <t>Revenue: Wind</t>
  </si>
  <si>
    <t>Revenue: Electrification</t>
  </si>
  <si>
    <t xml:space="preserve">Gas Power </t>
  </si>
  <si>
    <t xml:space="preserve">Nuclear Power </t>
  </si>
  <si>
    <t xml:space="preserve">Hydro Power </t>
  </si>
  <si>
    <t xml:space="preserve">Steam Power </t>
  </si>
  <si>
    <t>Revenue: End Channels</t>
  </si>
  <si>
    <t>Onshore Wind</t>
  </si>
  <si>
    <t>Offshore Wind</t>
  </si>
  <si>
    <t>LM Wind</t>
  </si>
  <si>
    <t>Grid Solutions</t>
  </si>
  <si>
    <t>Electrification Software</t>
  </si>
  <si>
    <t>Cost of Equipment</t>
  </si>
  <si>
    <t>Cost of Services</t>
  </si>
  <si>
    <t xml:space="preserve"> Research and Development</t>
  </si>
  <si>
    <t>Non-Operating Income</t>
  </si>
  <si>
    <t>Interest Income (Expense)</t>
  </si>
  <si>
    <t>Current Contract Assets</t>
  </si>
  <si>
    <t>Other Current Assets</t>
  </si>
  <si>
    <t>Deferred Income Taxes</t>
  </si>
  <si>
    <t>Net income (loss) attributable to GE Vernova</t>
  </si>
  <si>
    <t>Net loss (income) attributable to noncontrolling interests</t>
  </si>
  <si>
    <t>Cash, cash equivalents, and restricted cash</t>
  </si>
  <si>
    <t>Current receivables</t>
  </si>
  <si>
    <t>Due from related parties</t>
  </si>
  <si>
    <t>Inventories, including deferred inventory costs</t>
  </si>
  <si>
    <t>Property, plant, and equipment</t>
  </si>
  <si>
    <t>Intangible assets</t>
  </si>
  <si>
    <t>Contract and other deferred assets</t>
  </si>
  <si>
    <t>Equity method investments</t>
  </si>
  <si>
    <t>All other assets</t>
  </si>
  <si>
    <t>Accounts payable and equipment project payables</t>
  </si>
  <si>
    <t>Due to related parties</t>
  </si>
  <si>
    <t>Contract liabilities and deferred income</t>
  </si>
  <si>
    <t xml:space="preserve">All other current liabilities </t>
  </si>
  <si>
    <t>Non-current compensation and benefits</t>
  </si>
  <si>
    <t>All other liabilities</t>
  </si>
  <si>
    <t>Common stock</t>
  </si>
  <si>
    <t>Additional paid-in capital</t>
  </si>
  <si>
    <t>Retained earnings</t>
  </si>
  <si>
    <t>Treasury Stock</t>
  </si>
  <si>
    <t>Net parent investment</t>
  </si>
  <si>
    <t>Accumulated OCI</t>
  </si>
  <si>
    <t>Total equity attributable to GE Vernova</t>
  </si>
  <si>
    <t>Noncontrolling interests</t>
  </si>
  <si>
    <t>Depreciation and amortization of property, plant, and equipment</t>
  </si>
  <si>
    <t>Amortization of intangible assets</t>
  </si>
  <si>
    <t>(Gains) losses on purchases and sales of business interests</t>
  </si>
  <si>
    <t xml:space="preserve">Principal pension plans </t>
  </si>
  <si>
    <t xml:space="preserve">Other postretirement benefit plans </t>
  </si>
  <si>
    <t xml:space="preserve">Provision (benefit) for income taxes </t>
  </si>
  <si>
    <t>Cash recovered (paid) during the year for income taxes</t>
  </si>
  <si>
    <t>Decrease (increase) in current receivables</t>
  </si>
  <si>
    <t>Decrease (increase) in inventories, including deferred inventory costs</t>
  </si>
  <si>
    <t>Decrease (increase) in current contract assets</t>
  </si>
  <si>
    <t>Increase (decrease) in accounts payable and equipment project payables</t>
  </si>
  <si>
    <t>Increase (decrease) in contract liabilities and current deferred income</t>
  </si>
  <si>
    <t>Additions to property, plant, and equipment and internal-use software</t>
  </si>
  <si>
    <t>Dispositions of property, plant, and equipment</t>
  </si>
  <si>
    <t>Purchases of and contributions to equity method investments</t>
  </si>
  <si>
    <t>Sales of and distributions from equity method investments</t>
  </si>
  <si>
    <t>Proceeds from principal business dispositions</t>
  </si>
  <si>
    <t>All other investing activities</t>
  </si>
  <si>
    <t>Net increase (decrease) in borrowings of maturities of 90 days or less</t>
  </si>
  <si>
    <t>Transfers from (to) Parent</t>
  </si>
  <si>
    <t>All other financing activities</t>
  </si>
  <si>
    <t>All other operating activities</t>
  </si>
  <si>
    <t>Eliminations and other</t>
  </si>
  <si>
    <t>Variance Check</t>
  </si>
  <si>
    <t>Power Conversion, Solar, and Storage Solutions</t>
  </si>
  <si>
    <t>Dividends paid to stockholders</t>
  </si>
  <si>
    <t>Purchases of common stock for treasury</t>
  </si>
  <si>
    <t>(-) Cost of Equipment</t>
  </si>
  <si>
    <t>(-) Cost of Services</t>
  </si>
  <si>
    <t xml:space="preserve">(-) Selling, General, and Administrative </t>
  </si>
  <si>
    <t>(-) Research and Development</t>
  </si>
  <si>
    <t>(+) (Gains) losses on business interests</t>
  </si>
  <si>
    <t>(-) Preferred Dividends</t>
  </si>
  <si>
    <t>(+/-) Purchases / (Sales) of contributions to Equity investments</t>
  </si>
  <si>
    <t>(+/-) Divestitures / (Acquisitions)</t>
  </si>
  <si>
    <t>(+/-) Transfers from (to) Parent</t>
  </si>
  <si>
    <t>(+/-) Debt Issuances / (Repayment)</t>
  </si>
  <si>
    <t>(+/-) Equity Issuances / (Repurchases)</t>
  </si>
  <si>
    <t>Aggregate Debt Issuances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</si>
</sst>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5" formatCode="&quot;$&quot;#,##0_);\(&quot;$&quot;#,##0\)"/>
    <numFmt numFmtId="7" formatCode="&quot;$&quot;#,##0.00_);\(&quot;$&quot;#,##0.00\)"/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  <numFmt numFmtId="165" formatCode="_(&quot;$ &quot;#,##0_);_(&quot;$ &quot;\(#,##0\)"/>
    <numFmt numFmtId="166" formatCode="#,##0.0%;\(#,##0.0%\)"/>
    <numFmt numFmtId="167" formatCode="#,##0.0&quot;bps&quot;_);\(#,##0.0&quot;bps&quot;\)"/>
    <numFmt numFmtId="168" formatCode="#,##0.00&quot;bps&quot;_);\(#,##0.00&quot;bps&quot;\)"/>
    <numFmt numFmtId="169" formatCode="_(* #,##0.00&quot;x&quot;_);_(* \(#,##0.00&quot;x&quot;\);_(* &quot;-&quot;_);_(@_)"/>
  </numFmts>
  <fonts count="31">
    <font>
      <sz val="11"/>
      <color theme="1"/>
      <name val="Tw Cen MT"/>
      <family val="2"/>
      <scheme val="minor"/>
    </font>
    <font>
      <sz val="11"/>
      <color theme="1"/>
      <name val="Tw Cen MT"/>
      <family val="2"/>
      <scheme val="minor"/>
    </font>
    <font>
      <b/>
      <sz val="9"/>
      <color theme="0"/>
      <name val="Calibri"/>
      <family val="2"/>
    </font>
    <font>
      <i/>
      <sz val="9"/>
      <color theme="0"/>
      <name val="Calibri"/>
      <family val="2"/>
    </font>
    <font>
      <sz val="9"/>
      <color theme="1"/>
      <name val="Calibri"/>
      <family val="2"/>
    </font>
    <font>
      <b/>
      <i/>
      <sz val="9"/>
      <color theme="0"/>
      <name val="Calibri"/>
      <family val="2"/>
    </font>
    <font>
      <sz val="9"/>
      <name val="Calibri"/>
      <family val="2"/>
    </font>
    <font>
      <i/>
      <sz val="9"/>
      <name val="Calibri"/>
      <family val="2"/>
    </font>
    <font>
      <b/>
      <sz val="9"/>
      <name val="Calibri"/>
      <family val="2"/>
    </font>
    <font>
      <b/>
      <i/>
      <sz val="9"/>
      <name val="Calibri"/>
      <family val="2"/>
    </font>
    <font>
      <i/>
      <sz val="8"/>
      <name val="Calibri"/>
      <family val="2"/>
    </font>
    <font>
      <sz val="9"/>
      <color rgb="FF0000CC"/>
      <name val="Calibri"/>
      <family val="2"/>
    </font>
    <font>
      <sz val="9"/>
      <color rgb="FF0000FF"/>
      <name val="Calibri"/>
      <family val="2"/>
    </font>
    <font>
      <sz val="8"/>
      <name val="Calibri"/>
      <family val="2"/>
    </font>
    <font>
      <sz val="8"/>
      <color theme="1"/>
      <name val="Calibri"/>
      <family val="2"/>
    </font>
    <font>
      <b/>
      <sz val="9"/>
      <color theme="1"/>
      <name val="Calibri"/>
      <family val="2"/>
    </font>
    <font>
      <i/>
      <sz val="9"/>
      <color theme="1"/>
      <name val="Calibri"/>
      <family val="2"/>
    </font>
    <font>
      <b/>
      <sz val="9"/>
      <color indexed="8"/>
      <name val="Calibri"/>
      <family val="2"/>
    </font>
    <font>
      <sz val="9"/>
      <color rgb="FF0000E1"/>
      <name val="Calibri"/>
      <family val="2"/>
    </font>
    <font>
      <sz val="10"/>
      <name val="Arial"/>
      <family val="2"/>
    </font>
    <font>
      <sz val="9"/>
      <color rgb="FFFF0000"/>
      <name val="Tw Cen MT"/>
      <family val="2"/>
      <scheme val="minor"/>
    </font>
    <font>
      <sz val="8"/>
      <color rgb="FFFF0000"/>
      <name val="Calibri"/>
      <family val="2"/>
    </font>
    <font>
      <b/>
      <sz val="8"/>
      <color theme="1"/>
      <name val="Calibri"/>
      <family val="2"/>
    </font>
    <font>
      <i/>
      <sz val="8"/>
      <color theme="1"/>
      <name val="Calibri"/>
      <family val="2"/>
    </font>
    <font>
      <sz val="7"/>
      <color rgb="FFFF0000"/>
      <name val="Calibri"/>
      <family val="2"/>
    </font>
    <font>
      <sz val="9"/>
      <color rgb="FF00B050"/>
      <name val="Calibri"/>
      <family val="2"/>
    </font>
    <font>
      <sz val="10"/>
      <name val="Arial Narrow MT"/>
      <family val="2"/>
    </font>
    <font>
      <b/>
      <i/>
      <sz val="8"/>
      <name val="Calibri"/>
      <family val="2"/>
    </font>
    <font>
      <b/>
      <sz val="8"/>
      <color theme="0"/>
      <name val="Calibri"/>
      <family val="2"/>
    </font>
    <font>
      <i/>
      <sz val="7"/>
      <color rgb="FFFF0000"/>
      <name val="Calibri"/>
      <family val="2"/>
    </font>
    <font>
      <i/>
      <sz val="8"/>
      <color rgb="FF0000CC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E5672"/>
        <bgColor indexed="64"/>
      </patternFill>
    </fill>
    <fill>
      <patternFill patternType="gray0625"/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9" fillId="0" borderId="0"/>
    <xf numFmtId="0" fontId="26" fillId="0" borderId="0" applyNumberFormat="0" applyFont="0" applyFill="0" applyBorder="0" applyAlignment="0" applyProtection="0"/>
  </cellStyleXfs>
  <cellXfs count="166">
    <xf numFmtId="0" fontId="0" fillId="0" borderId="0" xfId="0"/>
    <xf numFmtId="0" fontId="2" fillId="2" borderId="0" xfId="0" applyFont="1" applyFill="1" applyAlignment="1">
      <alignment vertical="center" wrapText="1"/>
    </xf>
    <xf numFmtId="0" fontId="2" fillId="2" borderId="3" xfId="0" applyFont="1" applyFill="1" applyBorder="1" applyAlignment="1">
      <alignment horizontal="centerContinuous" vertical="center" wrapText="1"/>
    </xf>
    <xf numFmtId="14" fontId="3" fillId="2" borderId="0" xfId="0" applyNumberFormat="1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4" fillId="0" borderId="0" xfId="0" applyFont="1" applyAlignment="1">
      <alignment wrapText="1"/>
    </xf>
    <xf numFmtId="0" fontId="3" fillId="2" borderId="0" xfId="0" applyFont="1" applyFill="1" applyAlignment="1">
      <alignment vertical="center" wrapText="1"/>
    </xf>
    <xf numFmtId="0" fontId="5" fillId="2" borderId="0" xfId="0" applyFont="1" applyFill="1" applyAlignment="1">
      <alignment horizontal="center" vertical="center" wrapText="1"/>
    </xf>
    <xf numFmtId="0" fontId="4" fillId="0" borderId="0" xfId="0" applyFont="1"/>
    <xf numFmtId="0" fontId="6" fillId="0" borderId="0" xfId="0" applyFont="1" applyAlignment="1">
      <alignment vertical="top" wrapText="1"/>
    </xf>
    <xf numFmtId="41" fontId="4" fillId="0" borderId="0" xfId="0" applyNumberFormat="1" applyFont="1"/>
    <xf numFmtId="37" fontId="4" fillId="0" borderId="0" xfId="0" applyNumberFormat="1" applyFont="1" applyAlignment="1">
      <alignment wrapText="1"/>
    </xf>
    <xf numFmtId="0" fontId="8" fillId="3" borderId="4" xfId="0" applyFont="1" applyFill="1" applyBorder="1" applyAlignment="1">
      <alignment vertical="top" wrapText="1"/>
    </xf>
    <xf numFmtId="5" fontId="8" fillId="3" borderId="2" xfId="0" applyNumberFormat="1" applyFont="1" applyFill="1" applyBorder="1" applyAlignment="1">
      <alignment horizontal="right" vertical="top" wrapText="1"/>
    </xf>
    <xf numFmtId="0" fontId="10" fillId="0" borderId="0" xfId="0" applyFont="1" applyAlignment="1">
      <alignment horizontal="left" vertical="center" wrapText="1" indent="1"/>
    </xf>
    <xf numFmtId="166" fontId="10" fillId="0" borderId="0" xfId="1" applyNumberFormat="1" applyFont="1" applyBorder="1" applyAlignment="1">
      <alignment horizontal="right" vertical="center" wrapText="1"/>
    </xf>
    <xf numFmtId="9" fontId="6" fillId="0" borderId="0" xfId="1" applyFont="1" applyAlignment="1">
      <alignment horizontal="left" vertical="top" wrapText="1" indent="1"/>
    </xf>
    <xf numFmtId="9" fontId="11" fillId="0" borderId="0" xfId="1" applyFont="1" applyAlignment="1">
      <alignment horizontal="right" vertical="top" wrapText="1"/>
    </xf>
    <xf numFmtId="9" fontId="4" fillId="0" borderId="0" xfId="1" applyFont="1" applyAlignment="1">
      <alignment wrapText="1"/>
    </xf>
    <xf numFmtId="9" fontId="12" fillId="0" borderId="0" xfId="1" applyFont="1" applyAlignment="1">
      <alignment horizontal="right" vertical="top" wrapText="1"/>
    </xf>
    <xf numFmtId="9" fontId="4" fillId="0" borderId="0" xfId="1" applyFont="1"/>
    <xf numFmtId="0" fontId="6" fillId="0" borderId="0" xfId="0" quotePrefix="1" applyFont="1" applyAlignment="1">
      <alignment vertical="top" wrapText="1"/>
    </xf>
    <xf numFmtId="37" fontId="6" fillId="0" borderId="0" xfId="0" applyNumberFormat="1" applyFont="1" applyAlignment="1">
      <alignment horizontal="right" vertical="top" wrapText="1"/>
    </xf>
    <xf numFmtId="0" fontId="8" fillId="0" borderId="0" xfId="0" applyFont="1" applyAlignment="1">
      <alignment vertical="top" wrapText="1"/>
    </xf>
    <xf numFmtId="5" fontId="8" fillId="0" borderId="2" xfId="0" applyNumberFormat="1" applyFont="1" applyBorder="1" applyAlignment="1">
      <alignment horizontal="right" vertical="top" wrapText="1"/>
    </xf>
    <xf numFmtId="9" fontId="13" fillId="0" borderId="0" xfId="1" applyFont="1" applyBorder="1" applyAlignment="1">
      <alignment horizontal="right" vertical="center" wrapText="1"/>
    </xf>
    <xf numFmtId="0" fontId="14" fillId="0" borderId="0" xfId="0" applyFont="1" applyAlignment="1">
      <alignment wrapText="1"/>
    </xf>
    <xf numFmtId="0" fontId="7" fillId="0" borderId="0" xfId="0" applyFont="1" applyAlignment="1">
      <alignment horizontal="left" vertical="center" wrapText="1" indent="1"/>
    </xf>
    <xf numFmtId="9" fontId="6" fillId="0" borderId="0" xfId="1" applyFont="1" applyBorder="1" applyAlignment="1">
      <alignment horizontal="right" vertical="center" wrapText="1"/>
    </xf>
    <xf numFmtId="0" fontId="4" fillId="0" borderId="0" xfId="0" quotePrefix="1" applyFont="1"/>
    <xf numFmtId="41" fontId="6" fillId="0" borderId="0" xfId="0" applyNumberFormat="1" applyFont="1" applyAlignment="1">
      <alignment horizontal="right" vertical="top" wrapText="1"/>
    </xf>
    <xf numFmtId="0" fontId="2" fillId="2" borderId="0" xfId="0" applyFont="1" applyFill="1" applyAlignment="1">
      <alignment wrapText="1"/>
    </xf>
    <xf numFmtId="0" fontId="15" fillId="0" borderId="5" xfId="0" applyFont="1" applyBorder="1"/>
    <xf numFmtId="0" fontId="15" fillId="0" borderId="0" xfId="0" applyFont="1"/>
    <xf numFmtId="0" fontId="4" fillId="0" borderId="1" xfId="0" applyFont="1" applyBorder="1"/>
    <xf numFmtId="0" fontId="4" fillId="2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165" fontId="4" fillId="0" borderId="0" xfId="0" applyNumberFormat="1" applyFont="1" applyAlignment="1">
      <alignment wrapText="1"/>
    </xf>
    <xf numFmtId="37" fontId="8" fillId="0" borderId="0" xfId="0" applyNumberFormat="1" applyFont="1" applyAlignment="1">
      <alignment horizontal="right" vertical="top" wrapText="1"/>
    </xf>
    <xf numFmtId="165" fontId="15" fillId="0" borderId="0" xfId="0" applyNumberFormat="1" applyFont="1" applyAlignment="1">
      <alignment wrapText="1"/>
    </xf>
    <xf numFmtId="9" fontId="6" fillId="0" borderId="0" xfId="1" applyFont="1" applyFill="1" applyBorder="1" applyAlignment="1">
      <alignment horizontal="right" vertical="center" wrapText="1"/>
    </xf>
    <xf numFmtId="0" fontId="6" fillId="0" borderId="0" xfId="0" applyFont="1" applyAlignment="1">
      <alignment horizontal="left" vertical="top" wrapText="1"/>
    </xf>
    <xf numFmtId="10" fontId="16" fillId="0" borderId="0" xfId="1" applyNumberFormat="1" applyFont="1" applyFill="1" applyAlignment="1">
      <alignment horizont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5" fontId="8" fillId="0" borderId="0" xfId="0" applyNumberFormat="1" applyFont="1" applyAlignment="1">
      <alignment horizontal="right" vertical="top" wrapText="1"/>
    </xf>
    <xf numFmtId="37" fontId="15" fillId="0" borderId="0" xfId="0" applyNumberFormat="1" applyFont="1" applyAlignment="1">
      <alignment wrapText="1"/>
    </xf>
    <xf numFmtId="37" fontId="8" fillId="0" borderId="0" xfId="0" applyNumberFormat="1" applyFont="1" applyAlignment="1">
      <alignment wrapText="1"/>
    </xf>
    <xf numFmtId="0" fontId="8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17" fillId="0" borderId="0" xfId="0" applyFont="1" applyAlignment="1">
      <alignment wrapText="1"/>
    </xf>
    <xf numFmtId="164" fontId="4" fillId="0" borderId="0" xfId="2" applyNumberFormat="1" applyFont="1" applyBorder="1" applyAlignment="1">
      <alignment wrapText="1"/>
    </xf>
    <xf numFmtId="0" fontId="4" fillId="0" borderId="0" xfId="0" applyFont="1" applyAlignment="1">
      <alignment horizontal="left" wrapText="1" indent="1"/>
    </xf>
    <xf numFmtId="37" fontId="11" fillId="0" borderId="0" xfId="2" applyNumberFormat="1" applyFont="1" applyBorder="1" applyAlignment="1">
      <alignment wrapText="1"/>
    </xf>
    <xf numFmtId="37" fontId="11" fillId="0" borderId="0" xfId="2" applyNumberFormat="1" applyFont="1" applyFill="1" applyBorder="1" applyAlignment="1">
      <alignment wrapText="1"/>
    </xf>
    <xf numFmtId="0" fontId="4" fillId="0" borderId="0" xfId="0" applyFont="1" applyAlignment="1">
      <alignment horizontal="left" indent="1"/>
    </xf>
    <xf numFmtId="37" fontId="8" fillId="0" borderId="0" xfId="2" applyNumberFormat="1" applyFont="1" applyBorder="1" applyAlignment="1">
      <alignment wrapText="1"/>
    </xf>
    <xf numFmtId="37" fontId="15" fillId="0" borderId="0" xfId="2" applyNumberFormat="1" applyFont="1" applyBorder="1" applyAlignment="1">
      <alignment wrapText="1"/>
    </xf>
    <xf numFmtId="37" fontId="15" fillId="0" borderId="0" xfId="2" applyNumberFormat="1" applyFont="1" applyFill="1" applyBorder="1" applyAlignment="1">
      <alignment wrapText="1"/>
    </xf>
    <xf numFmtId="37" fontId="18" fillId="0" borderId="0" xfId="2" applyNumberFormat="1" applyFont="1" applyFill="1" applyBorder="1" applyAlignment="1">
      <alignment wrapText="1"/>
    </xf>
    <xf numFmtId="0" fontId="20" fillId="0" borderId="0" xfId="0" applyFont="1" applyAlignment="1">
      <alignment vertical="top" wrapText="1"/>
    </xf>
    <xf numFmtId="0" fontId="21" fillId="0" borderId="0" xfId="0" applyFont="1" applyAlignment="1">
      <alignment vertical="top" wrapText="1"/>
    </xf>
    <xf numFmtId="43" fontId="21" fillId="0" borderId="0" xfId="0" applyNumberFormat="1" applyFont="1" applyAlignment="1">
      <alignment wrapText="1"/>
    </xf>
    <xf numFmtId="0" fontId="22" fillId="0" borderId="0" xfId="0" applyFont="1" applyAlignment="1">
      <alignment wrapText="1"/>
    </xf>
    <xf numFmtId="41" fontId="8" fillId="0" borderId="0" xfId="0" applyNumberFormat="1" applyFont="1" applyAlignment="1">
      <alignment horizontal="right" vertical="top" wrapText="1"/>
    </xf>
    <xf numFmtId="0" fontId="4" fillId="0" borderId="1" xfId="0" applyFont="1" applyBorder="1" applyAlignment="1">
      <alignment wrapText="1"/>
    </xf>
    <xf numFmtId="164" fontId="4" fillId="0" borderId="1" xfId="2" applyNumberFormat="1" applyFont="1" applyBorder="1" applyAlignment="1">
      <alignment wrapText="1"/>
    </xf>
    <xf numFmtId="166" fontId="7" fillId="4" borderId="0" xfId="1" applyNumberFormat="1" applyFont="1" applyFill="1" applyBorder="1" applyAlignment="1">
      <alignment horizontal="right" vertical="center" wrapText="1"/>
    </xf>
    <xf numFmtId="166" fontId="9" fillId="4" borderId="0" xfId="1" applyNumberFormat="1" applyFont="1" applyFill="1" applyBorder="1" applyAlignment="1">
      <alignment horizontal="right" vertical="center" wrapText="1"/>
    </xf>
    <xf numFmtId="168" fontId="9" fillId="4" borderId="0" xfId="1" applyNumberFormat="1" applyFont="1" applyFill="1" applyBorder="1" applyAlignment="1">
      <alignment horizontal="right" vertical="center" wrapText="1"/>
    </xf>
    <xf numFmtId="7" fontId="8" fillId="3" borderId="2" xfId="0" applyNumberFormat="1" applyFont="1" applyFill="1" applyBorder="1" applyAlignment="1">
      <alignment horizontal="right" vertical="top" wrapText="1"/>
    </xf>
    <xf numFmtId="0" fontId="8" fillId="0" borderId="5" xfId="0" applyFont="1" applyBorder="1" applyAlignment="1">
      <alignment vertical="top" wrapText="1"/>
    </xf>
    <xf numFmtId="41" fontId="24" fillId="0" borderId="0" xfId="0" applyNumberFormat="1" applyFont="1" applyAlignment="1">
      <alignment horizontal="right" vertical="center" wrapText="1"/>
    </xf>
    <xf numFmtId="0" fontId="15" fillId="0" borderId="0" xfId="0" applyFont="1" applyAlignment="1">
      <alignment horizontal="center"/>
    </xf>
    <xf numFmtId="41" fontId="11" fillId="0" borderId="0" xfId="0" applyNumberFormat="1" applyFont="1"/>
    <xf numFmtId="41" fontId="11" fillId="0" borderId="0" xfId="0" applyNumberFormat="1" applyFont="1" applyAlignment="1">
      <alignment horizontal="right" vertical="top" wrapText="1"/>
    </xf>
    <xf numFmtId="0" fontId="4" fillId="0" borderId="0" xfId="0" quotePrefix="1" applyFont="1" applyAlignment="1">
      <alignment horizontal="left" indent="1"/>
    </xf>
    <xf numFmtId="14" fontId="3" fillId="2" borderId="0" xfId="0" quotePrefix="1" applyNumberFormat="1" applyFont="1" applyFill="1" applyAlignment="1">
      <alignment horizontal="center" vertical="center" wrapText="1"/>
    </xf>
    <xf numFmtId="3" fontId="4" fillId="0" borderId="0" xfId="0" applyNumberFormat="1" applyFont="1" applyAlignment="1">
      <alignment wrapText="1"/>
    </xf>
    <xf numFmtId="41" fontId="25" fillId="0" borderId="0" xfId="0" applyNumberFormat="1" applyFont="1"/>
    <xf numFmtId="37" fontId="11" fillId="0" borderId="0" xfId="0" applyNumberFormat="1" applyFont="1" applyAlignment="1">
      <alignment horizontal="right" vertical="top" wrapText="1"/>
    </xf>
    <xf numFmtId="41" fontId="6" fillId="0" borderId="0" xfId="0" applyNumberFormat="1" applyFont="1" applyAlignment="1">
      <alignment horizontal="right" wrapText="1"/>
    </xf>
    <xf numFmtId="0" fontId="2" fillId="6" borderId="0" xfId="0" applyFont="1" applyFill="1" applyAlignment="1">
      <alignment vertical="center" wrapText="1"/>
    </xf>
    <xf numFmtId="0" fontId="3" fillId="6" borderId="0" xfId="0" applyFont="1" applyFill="1" applyAlignment="1">
      <alignment vertical="center" wrapText="1"/>
    </xf>
    <xf numFmtId="166" fontId="7" fillId="0" borderId="0" xfId="1" applyNumberFormat="1" applyFont="1" applyFill="1" applyBorder="1" applyAlignment="1">
      <alignment horizontal="right" vertical="center" wrapText="1"/>
    </xf>
    <xf numFmtId="0" fontId="2" fillId="2" borderId="0" xfId="0" applyFont="1" applyFill="1" applyAlignment="1">
      <alignment horizontal="centerContinuous" vertical="center" wrapText="1"/>
    </xf>
    <xf numFmtId="0" fontId="2" fillId="6" borderId="3" xfId="0" applyFont="1" applyFill="1" applyBorder="1" applyAlignment="1">
      <alignment horizontal="centerContinuous" vertical="center" wrapText="1"/>
    </xf>
    <xf numFmtId="0" fontId="4" fillId="6" borderId="0" xfId="0" applyFont="1" applyFill="1" applyAlignment="1">
      <alignment wrapText="1"/>
    </xf>
    <xf numFmtId="0" fontId="5" fillId="6" borderId="0" xfId="0" applyFont="1" applyFill="1" applyAlignment="1">
      <alignment horizontal="center" vertical="center" wrapText="1"/>
    </xf>
    <xf numFmtId="14" fontId="3" fillId="6" borderId="0" xfId="0" applyNumberFormat="1" applyFont="1" applyFill="1" applyAlignment="1">
      <alignment horizontal="center" vertical="center" wrapText="1"/>
    </xf>
    <xf numFmtId="0" fontId="2" fillId="7" borderId="0" xfId="0" applyFont="1" applyFill="1" applyAlignment="1">
      <alignment vertical="center" wrapText="1"/>
    </xf>
    <xf numFmtId="0" fontId="2" fillId="7" borderId="3" xfId="0" applyFont="1" applyFill="1" applyBorder="1" applyAlignment="1">
      <alignment horizontal="centerContinuous" vertical="center" wrapText="1"/>
    </xf>
    <xf numFmtId="0" fontId="4" fillId="7" borderId="0" xfId="0" applyFont="1" applyFill="1" applyAlignment="1">
      <alignment wrapText="1"/>
    </xf>
    <xf numFmtId="0" fontId="5" fillId="7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vertical="center" wrapText="1"/>
    </xf>
    <xf numFmtId="0" fontId="5" fillId="7" borderId="0" xfId="0" applyFont="1" applyFill="1" applyAlignment="1">
      <alignment vertical="center" wrapText="1"/>
    </xf>
    <xf numFmtId="14" fontId="3" fillId="7" borderId="0" xfId="0" applyNumberFormat="1" applyFont="1" applyFill="1" applyAlignment="1">
      <alignment horizontal="center" vertical="center" wrapText="1"/>
    </xf>
    <xf numFmtId="14" fontId="3" fillId="7" borderId="0" xfId="0" applyNumberFormat="1" applyFont="1" applyFill="1" applyAlignment="1">
      <alignment vertical="center" wrapText="1"/>
    </xf>
    <xf numFmtId="166" fontId="10" fillId="8" borderId="0" xfId="1" applyNumberFormat="1" applyFont="1" applyFill="1" applyBorder="1" applyAlignment="1">
      <alignment horizontal="right" vertical="center" wrapText="1"/>
    </xf>
    <xf numFmtId="0" fontId="21" fillId="0" borderId="1" xfId="0" applyFont="1" applyBorder="1" applyAlignment="1">
      <alignment vertical="top" wrapText="1"/>
    </xf>
    <xf numFmtId="43" fontId="21" fillId="0" borderId="1" xfId="0" applyNumberFormat="1" applyFont="1" applyBorder="1" applyAlignment="1">
      <alignment wrapText="1"/>
    </xf>
    <xf numFmtId="0" fontId="22" fillId="0" borderId="1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6" fillId="0" borderId="0" xfId="0" applyFont="1" applyAlignment="1">
      <alignment wrapText="1"/>
    </xf>
    <xf numFmtId="41" fontId="11" fillId="0" borderId="0" xfId="0" applyNumberFormat="1" applyFont="1" applyAlignment="1">
      <alignment horizontal="right" wrapText="1"/>
    </xf>
    <xf numFmtId="41" fontId="6" fillId="0" borderId="0" xfId="0" applyNumberFormat="1" applyFont="1"/>
    <xf numFmtId="0" fontId="14" fillId="3" borderId="0" xfId="0" applyFont="1" applyFill="1"/>
    <xf numFmtId="166" fontId="10" fillId="3" borderId="0" xfId="1" applyNumberFormat="1" applyFont="1" applyFill="1" applyBorder="1" applyAlignment="1">
      <alignment horizontal="right" vertical="center" wrapText="1"/>
    </xf>
    <xf numFmtId="166" fontId="27" fillId="3" borderId="0" xfId="1" applyNumberFormat="1" applyFont="1" applyFill="1" applyBorder="1" applyAlignment="1">
      <alignment horizontal="right" vertical="center" wrapText="1"/>
    </xf>
    <xf numFmtId="167" fontId="27" fillId="3" borderId="0" xfId="1" applyNumberFormat="1" applyFont="1" applyFill="1" applyBorder="1" applyAlignment="1">
      <alignment horizontal="right" vertical="center" wrapText="1"/>
    </xf>
    <xf numFmtId="0" fontId="14" fillId="0" borderId="0" xfId="0" applyFont="1"/>
    <xf numFmtId="0" fontId="15" fillId="0" borderId="5" xfId="0" applyFont="1" applyBorder="1" applyAlignment="1">
      <alignment wrapText="1"/>
    </xf>
    <xf numFmtId="5" fontId="8" fillId="5" borderId="2" xfId="0" applyNumberFormat="1" applyFont="1" applyFill="1" applyBorder="1" applyAlignment="1">
      <alignment horizontal="right" vertical="top" wrapText="1"/>
    </xf>
    <xf numFmtId="0" fontId="29" fillId="0" borderId="0" xfId="0" applyFont="1" applyAlignment="1">
      <alignment horizontal="right" vertical="center" wrapText="1"/>
    </xf>
    <xf numFmtId="0" fontId="23" fillId="9" borderId="6" xfId="0" applyFont="1" applyFill="1" applyBorder="1"/>
    <xf numFmtId="9" fontId="30" fillId="0" borderId="2" xfId="1" applyFont="1" applyBorder="1"/>
    <xf numFmtId="9" fontId="10" fillId="0" borderId="2" xfId="1" applyFont="1" applyBorder="1"/>
    <xf numFmtId="9" fontId="10" fillId="0" borderId="7" xfId="1" applyFont="1" applyBorder="1"/>
    <xf numFmtId="0" fontId="23" fillId="9" borderId="8" xfId="0" applyFont="1" applyFill="1" applyBorder="1"/>
    <xf numFmtId="9" fontId="30" fillId="0" borderId="0" xfId="1" applyFont="1" applyBorder="1"/>
    <xf numFmtId="9" fontId="10" fillId="0" borderId="0" xfId="1" applyFont="1" applyBorder="1"/>
    <xf numFmtId="9" fontId="10" fillId="0" borderId="9" xfId="1" applyFont="1" applyBorder="1"/>
    <xf numFmtId="0" fontId="23" fillId="9" borderId="10" xfId="0" applyFont="1" applyFill="1" applyBorder="1"/>
    <xf numFmtId="9" fontId="30" fillId="0" borderId="5" xfId="1" applyFont="1" applyBorder="1"/>
    <xf numFmtId="9" fontId="10" fillId="0" borderId="5" xfId="1" applyFont="1" applyBorder="1"/>
    <xf numFmtId="9" fontId="10" fillId="0" borderId="11" xfId="1" applyFont="1" applyBorder="1"/>
    <xf numFmtId="9" fontId="10" fillId="0" borderId="2" xfId="1" applyFont="1" applyBorder="1" applyAlignment="1">
      <alignment horizontal="right"/>
    </xf>
    <xf numFmtId="9" fontId="10" fillId="0" borderId="5" xfId="1" applyFont="1" applyBorder="1" applyAlignment="1">
      <alignment horizontal="right"/>
    </xf>
    <xf numFmtId="9" fontId="10" fillId="0" borderId="0" xfId="1" applyFont="1" applyBorder="1" applyAlignment="1">
      <alignment horizontal="right"/>
    </xf>
    <xf numFmtId="0" fontId="4" fillId="0" borderId="0" xfId="0" quotePrefix="1" applyFont="1" applyAlignment="1">
      <alignment wrapText="1"/>
    </xf>
    <xf numFmtId="41" fontId="4" fillId="0" borderId="0" xfId="0" applyNumberFormat="1" applyFont="1" applyAlignment="1">
      <alignment vertical="center"/>
    </xf>
    <xf numFmtId="41" fontId="25" fillId="0" borderId="0" xfId="0" applyNumberFormat="1" applyFont="1" applyAlignment="1">
      <alignment vertical="center"/>
    </xf>
    <xf numFmtId="41" fontId="6" fillId="0" borderId="0" xfId="0" applyNumberFormat="1" applyFont="1" applyAlignment="1">
      <alignment horizontal="right" vertical="center" wrapText="1"/>
    </xf>
    <xf numFmtId="169" fontId="4" fillId="0" borderId="0" xfId="0" applyNumberFormat="1" applyFont="1"/>
    <xf numFmtId="169" fontId="4" fillId="8" borderId="0" xfId="0" applyNumberFormat="1" applyFont="1" applyFill="1"/>
    <xf numFmtId="43" fontId="21" fillId="0" borderId="12" xfId="0" applyNumberFormat="1" applyFont="1" applyBorder="1" applyAlignment="1">
      <alignment wrapText="1"/>
    </xf>
    <xf numFmtId="41" fontId="6" fillId="0" borderId="12" xfId="0" applyNumberFormat="1" applyFont="1" applyBorder="1" applyAlignment="1">
      <alignment horizontal="right" vertical="top" wrapText="1"/>
    </xf>
    <xf numFmtId="41" fontId="6" fillId="0" borderId="13" xfId="0" applyNumberFormat="1" applyFont="1" applyBorder="1" applyAlignment="1">
      <alignment horizontal="right" vertical="top" wrapText="1"/>
    </xf>
    <xf numFmtId="5" fontId="8" fillId="5" borderId="14" xfId="0" applyNumberFormat="1" applyFont="1" applyFill="1" applyBorder="1" applyAlignment="1">
      <alignment horizontal="right" vertical="top" wrapText="1"/>
    </xf>
    <xf numFmtId="37" fontId="4" fillId="0" borderId="13" xfId="0" applyNumberFormat="1" applyFont="1" applyBorder="1" applyAlignment="1">
      <alignment wrapText="1"/>
    </xf>
    <xf numFmtId="43" fontId="21" fillId="0" borderId="15" xfId="0" applyNumberFormat="1" applyFont="1" applyBorder="1" applyAlignment="1">
      <alignment wrapText="1"/>
    </xf>
    <xf numFmtId="41" fontId="8" fillId="0" borderId="16" xfId="0" applyNumberFormat="1" applyFont="1" applyBorder="1" applyAlignment="1">
      <alignment horizontal="right" vertical="top" wrapText="1"/>
    </xf>
    <xf numFmtId="41" fontId="7" fillId="0" borderId="17" xfId="0" applyNumberFormat="1" applyFont="1" applyBorder="1" applyAlignment="1">
      <alignment horizontal="right" vertical="top" wrapText="1"/>
    </xf>
    <xf numFmtId="0" fontId="8" fillId="5" borderId="17" xfId="0" applyFont="1" applyFill="1" applyBorder="1" applyAlignment="1">
      <alignment horizontal="right" vertical="center" wrapText="1"/>
    </xf>
    <xf numFmtId="41" fontId="8" fillId="0" borderId="17" xfId="0" applyNumberFormat="1" applyFont="1" applyBorder="1" applyAlignment="1">
      <alignment horizontal="right" vertical="top" wrapText="1"/>
    </xf>
    <xf numFmtId="0" fontId="4" fillId="0" borderId="17" xfId="0" applyFont="1" applyBorder="1"/>
    <xf numFmtId="0" fontId="21" fillId="0" borderId="18" xfId="0" applyFont="1" applyBorder="1" applyAlignment="1">
      <alignment horizontal="right" vertical="top" wrapText="1"/>
    </xf>
    <xf numFmtId="41" fontId="6" fillId="0" borderId="19" xfId="0" applyNumberFormat="1" applyFont="1" applyBorder="1" applyAlignment="1">
      <alignment horizontal="right" vertical="top" wrapText="1"/>
    </xf>
    <xf numFmtId="41" fontId="6" fillId="0" borderId="20" xfId="0" applyNumberFormat="1" applyFont="1" applyBorder="1" applyAlignment="1">
      <alignment horizontal="right" vertical="top" wrapText="1"/>
    </xf>
    <xf numFmtId="0" fontId="2" fillId="2" borderId="0" xfId="0" applyFont="1" applyFill="1" applyAlignment="1">
      <alignment horizontal="center" vertical="center" wrapText="1"/>
    </xf>
    <xf numFmtId="0" fontId="5" fillId="7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28" fillId="2" borderId="0" xfId="0" applyFont="1" applyFill="1" applyAlignment="1">
      <alignment horizontal="center" vertical="center" wrapText="1"/>
    </xf>
    <xf numFmtId="0" fontId="4" fillId="0" borderId="0" xfId="0" applyFont="1" applyFill="1" applyAlignment="1">
      <alignment wrapText="1"/>
    </xf>
    <xf numFmtId="0" fontId="8" fillId="0" borderId="0" xfId="0" applyFont="1" applyFill="1" applyBorder="1" applyAlignment="1">
      <alignment vertical="top" wrapText="1"/>
    </xf>
    <xf numFmtId="5" fontId="8" fillId="0" borderId="0" xfId="0" applyNumberFormat="1" applyFont="1" applyFill="1" applyBorder="1" applyAlignment="1">
      <alignment horizontal="right" vertical="top" wrapText="1"/>
    </xf>
    <xf numFmtId="0" fontId="8" fillId="0" borderId="0" xfId="0" applyFont="1" applyFill="1" applyAlignment="1">
      <alignment wrapText="1"/>
    </xf>
    <xf numFmtId="165" fontId="15" fillId="0" borderId="0" xfId="0" applyNumberFormat="1" applyFont="1" applyFill="1" applyAlignment="1">
      <alignment wrapText="1"/>
    </xf>
    <xf numFmtId="166" fontId="9" fillId="0" borderId="0" xfId="1" applyNumberFormat="1" applyFont="1" applyFill="1" applyBorder="1" applyAlignment="1">
      <alignment horizontal="right" vertical="center" wrapText="1"/>
    </xf>
    <xf numFmtId="5" fontId="6" fillId="0" borderId="0" xfId="0" applyNumberFormat="1" applyFont="1" applyAlignment="1">
      <alignment horizontal="right" vertical="top" wrapText="1"/>
    </xf>
    <xf numFmtId="41" fontId="11" fillId="0" borderId="19" xfId="0" applyNumberFormat="1" applyFont="1" applyBorder="1" applyAlignment="1">
      <alignment horizontal="right" vertical="top" wrapText="1"/>
    </xf>
    <xf numFmtId="41" fontId="11" fillId="0" borderId="0" xfId="0" applyNumberFormat="1" applyFont="1" applyBorder="1" applyAlignment="1">
      <alignment horizontal="right" vertical="top" wrapText="1"/>
    </xf>
    <xf numFmtId="41" fontId="11" fillId="8" borderId="0" xfId="0" applyNumberFormat="1" applyFont="1" applyFill="1" applyAlignment="1">
      <alignment horizontal="right" wrapText="1"/>
    </xf>
    <xf numFmtId="41" fontId="8" fillId="3" borderId="2" xfId="0" applyNumberFormat="1" applyFont="1" applyFill="1" applyBorder="1" applyAlignment="1">
      <alignment horizontal="right" vertical="top" wrapText="1"/>
    </xf>
    <xf numFmtId="5" fontId="6" fillId="0" borderId="0" xfId="0" applyNumberFormat="1" applyFont="1"/>
  </cellXfs>
  <cellStyles count="5">
    <cellStyle name="%" xfId="3" xr:uid="{B2D0E839-0EB6-4A26-A036-4291FCE77A81}"/>
    <cellStyle name="******************************************" xfId="4" xr:uid="{7C8B12D3-B631-462E-992D-9CE2477EE747}"/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0000CC"/>
      <color rgb="FF00B03C"/>
      <color rgb="FF487B79"/>
      <color rgb="FF0E567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Integral">
      <a:dk1>
        <a:sysClr val="windowText" lastClr="000000"/>
      </a:dk1>
      <a:lt1>
        <a:sysClr val="window" lastClr="FFFFFF"/>
      </a:lt1>
      <a:dk2>
        <a:srgbClr val="335B74"/>
      </a:dk2>
      <a:lt2>
        <a:srgbClr val="DFE3E5"/>
      </a:lt2>
      <a:accent1>
        <a:srgbClr val="1CADE4"/>
      </a:accent1>
      <a:accent2>
        <a:srgbClr val="2683C6"/>
      </a:accent2>
      <a:accent3>
        <a:srgbClr val="27CED7"/>
      </a:accent3>
      <a:accent4>
        <a:srgbClr val="42BA97"/>
      </a:accent4>
      <a:accent5>
        <a:srgbClr val="3E8853"/>
      </a:accent5>
      <a:accent6>
        <a:srgbClr val="62A39F"/>
      </a:accent6>
      <a:hlink>
        <a:srgbClr val="6B9F25"/>
      </a:hlink>
      <a:folHlink>
        <a:srgbClr val="B26B02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7A1EF-DD86-43F0-AF53-6181CD7220DC}">
  <sheetPr>
    <tabColor rgb="FF002060"/>
  </sheetPr>
  <dimension ref="A2:AA160"/>
  <sheetViews>
    <sheetView showGridLines="0" topLeftCell="E1" zoomScale="130" zoomScaleNormal="130" workbookViewId="0">
      <selection activeCell="B76" sqref="B76"/>
    </sheetView>
  </sheetViews>
  <sheetFormatPr defaultRowHeight="12" outlineLevelCol="1"/>
  <cols>
    <col min="1" max="1" width="1.625" style="5" bestFit="1" customWidth="1"/>
    <col min="2" max="2" width="49.125" style="5" bestFit="1" customWidth="1"/>
    <col min="3" max="3" width="9.125" style="5" customWidth="1" outlineLevel="1"/>
    <col min="4" max="5" width="9.125" style="5" bestFit="1" customWidth="1"/>
    <col min="6" max="6" width="1.5" style="5" customWidth="1"/>
    <col min="7" max="8" width="7.875" style="5" customWidth="1" outlineLevel="1"/>
    <col min="9" max="10" width="8.625" style="5" customWidth="1" outlineLevel="1"/>
    <col min="11" max="12" width="7.875" style="5" customWidth="1" outlineLevel="1"/>
    <col min="13" max="13" width="8.625" style="5" bestFit="1" customWidth="1"/>
    <col min="14" max="14" width="8.625" style="5" customWidth="1"/>
    <col min="15" max="17" width="8" style="5" customWidth="1"/>
    <col min="18" max="18" width="1.5" style="5" customWidth="1"/>
    <col min="19" max="19" width="8.625" style="5" customWidth="1" outlineLevel="1"/>
    <col min="20" max="20" width="8.25" style="5" customWidth="1" outlineLevel="1"/>
    <col min="21" max="21" width="8.25" style="5" bestFit="1" customWidth="1"/>
    <col min="22" max="22" width="8.25" style="5" customWidth="1" outlineLevel="1"/>
    <col min="23" max="23" width="8.625" style="5" customWidth="1" outlineLevel="1"/>
    <col min="24" max="24" width="8.25" style="5" customWidth="1" outlineLevel="1"/>
    <col min="25" max="25" width="8.625" style="5" bestFit="1" customWidth="1"/>
    <col min="26" max="26" width="1.25" style="5" customWidth="1"/>
    <col min="27" max="27" width="10.5" style="5" bestFit="1" customWidth="1"/>
    <col min="28" max="28" width="1.375" style="5" customWidth="1"/>
    <col min="29" max="16384" width="9" style="5"/>
  </cols>
  <sheetData>
    <row r="2" spans="1:27" ht="12.75" customHeight="1">
      <c r="B2" s="1" t="s">
        <v>109</v>
      </c>
      <c r="C2" s="86"/>
      <c r="D2" s="86"/>
      <c r="E2" s="86"/>
      <c r="F2" s="3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3"/>
      <c r="S2" s="86"/>
      <c r="T2" s="86"/>
      <c r="U2" s="86"/>
      <c r="V2" s="86"/>
      <c r="W2" s="86"/>
      <c r="X2" s="86"/>
      <c r="Y2" s="86"/>
      <c r="Z2" s="3"/>
      <c r="AA2" s="1"/>
    </row>
    <row r="3" spans="1:27" ht="12.75" customHeight="1">
      <c r="B3" s="6" t="s">
        <v>76</v>
      </c>
      <c r="C3" s="7"/>
      <c r="D3" s="7"/>
      <c r="E3" s="7"/>
      <c r="F3" s="3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3"/>
      <c r="S3" s="4"/>
      <c r="T3" s="4"/>
      <c r="U3" s="4"/>
      <c r="V3" s="4"/>
      <c r="W3" s="4"/>
      <c r="X3" s="4"/>
      <c r="Y3" s="4"/>
      <c r="Z3" s="3"/>
      <c r="AA3" s="1"/>
    </row>
    <row r="4" spans="1:27" ht="12.75" customHeight="1">
      <c r="B4" s="6" t="s">
        <v>93</v>
      </c>
      <c r="C4" s="3"/>
      <c r="D4" s="78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1"/>
    </row>
    <row r="6" spans="1:27" ht="12.75" customHeight="1">
      <c r="A6" s="5" t="s">
        <v>17</v>
      </c>
      <c r="B6" s="1" t="s">
        <v>74</v>
      </c>
      <c r="C6" s="2"/>
      <c r="D6" s="2" t="s">
        <v>0</v>
      </c>
      <c r="E6" s="2"/>
      <c r="F6" s="3"/>
      <c r="G6" s="2" t="s">
        <v>1</v>
      </c>
      <c r="H6" s="2"/>
      <c r="I6" s="2"/>
      <c r="J6" s="2"/>
      <c r="K6" s="2"/>
      <c r="L6" s="2"/>
      <c r="M6" s="2" t="s">
        <v>1</v>
      </c>
      <c r="N6" s="2"/>
      <c r="O6" s="2"/>
      <c r="P6" s="2"/>
      <c r="Q6" s="2"/>
      <c r="R6" s="3"/>
      <c r="S6" s="2"/>
      <c r="T6" s="2"/>
      <c r="U6" s="2" t="s">
        <v>10</v>
      </c>
      <c r="V6" s="2"/>
      <c r="W6" s="2"/>
      <c r="X6" s="2"/>
      <c r="Y6" s="2"/>
      <c r="Z6" s="35"/>
      <c r="AA6" s="150" t="s">
        <v>23</v>
      </c>
    </row>
    <row r="7" spans="1:27" ht="12.75" customHeight="1">
      <c r="B7" s="6" t="s">
        <v>77</v>
      </c>
      <c r="C7" s="7">
        <v>2022</v>
      </c>
      <c r="D7" s="7">
        <v>2023</v>
      </c>
      <c r="E7" s="7">
        <v>2024</v>
      </c>
      <c r="F7" s="3"/>
      <c r="G7" s="4" t="s">
        <v>6</v>
      </c>
      <c r="H7" s="4" t="s">
        <v>7</v>
      </c>
      <c r="I7" s="4" t="s">
        <v>8</v>
      </c>
      <c r="J7" s="4" t="s">
        <v>9</v>
      </c>
      <c r="K7" s="4" t="s">
        <v>2</v>
      </c>
      <c r="L7" s="4" t="s">
        <v>3</v>
      </c>
      <c r="M7" s="4" t="s">
        <v>4</v>
      </c>
      <c r="N7" s="4" t="s">
        <v>5</v>
      </c>
      <c r="O7" s="4" t="s">
        <v>25</v>
      </c>
      <c r="P7" s="4" t="s">
        <v>26</v>
      </c>
      <c r="Q7" s="4" t="s">
        <v>104</v>
      </c>
      <c r="R7" s="4"/>
      <c r="S7" s="4" t="str">
        <f t="shared" ref="S7:X8" si="0">K7</f>
        <v>1Q24</v>
      </c>
      <c r="T7" s="4" t="str">
        <f t="shared" si="0"/>
        <v>2Q24</v>
      </c>
      <c r="U7" s="4" t="str">
        <f t="shared" si="0"/>
        <v>3Q24</v>
      </c>
      <c r="V7" s="4" t="str">
        <f t="shared" si="0"/>
        <v>4Q24</v>
      </c>
      <c r="W7" s="4" t="str">
        <f t="shared" si="0"/>
        <v>1Q25</v>
      </c>
      <c r="X7" s="4" t="str">
        <f t="shared" si="0"/>
        <v>2Q25</v>
      </c>
      <c r="Y7" s="4" t="str">
        <f>Q7</f>
        <v>3Q25</v>
      </c>
      <c r="Z7" s="35"/>
      <c r="AA7" s="150"/>
    </row>
    <row r="8" spans="1:27" ht="12.75" customHeight="1">
      <c r="B8" s="6" t="s">
        <v>78</v>
      </c>
      <c r="C8" s="3">
        <v>44926</v>
      </c>
      <c r="D8" s="3">
        <v>45291</v>
      </c>
      <c r="E8" s="3">
        <v>45657</v>
      </c>
      <c r="F8" s="3"/>
      <c r="G8" s="3">
        <v>45016</v>
      </c>
      <c r="H8" s="3">
        <v>45107</v>
      </c>
      <c r="I8" s="3">
        <v>45199</v>
      </c>
      <c r="J8" s="3">
        <f>D8</f>
        <v>45291</v>
      </c>
      <c r="K8" s="3">
        <v>45382</v>
      </c>
      <c r="L8" s="3">
        <v>45473</v>
      </c>
      <c r="M8" s="3">
        <v>45565</v>
      </c>
      <c r="N8" s="3">
        <f>E8</f>
        <v>45657</v>
      </c>
      <c r="O8" s="3">
        <v>45747</v>
      </c>
      <c r="P8" s="3">
        <v>45838</v>
      </c>
      <c r="Q8" s="3">
        <v>45930</v>
      </c>
      <c r="R8" s="3"/>
      <c r="S8" s="3">
        <f t="shared" si="0"/>
        <v>45382</v>
      </c>
      <c r="T8" s="3">
        <f t="shared" si="0"/>
        <v>45473</v>
      </c>
      <c r="U8" s="3">
        <f t="shared" si="0"/>
        <v>45565</v>
      </c>
      <c r="V8" s="3">
        <f t="shared" si="0"/>
        <v>45657</v>
      </c>
      <c r="W8" s="3">
        <f t="shared" si="0"/>
        <v>45747</v>
      </c>
      <c r="X8" s="3">
        <f t="shared" si="0"/>
        <v>45838</v>
      </c>
      <c r="Y8" s="3">
        <f>Q8</f>
        <v>45930</v>
      </c>
      <c r="Z8" s="35"/>
      <c r="AA8" s="150"/>
    </row>
    <row r="9" spans="1:27" ht="5.0999999999999996" customHeight="1">
      <c r="AA9" s="85"/>
    </row>
    <row r="10" spans="1:27" ht="12.75" customHeight="1">
      <c r="B10" s="9" t="s">
        <v>58</v>
      </c>
      <c r="C10" s="81">
        <v>29654</v>
      </c>
      <c r="D10" s="81">
        <v>33239</v>
      </c>
      <c r="E10" s="81">
        <v>34935</v>
      </c>
      <c r="F10" s="11"/>
      <c r="G10" s="76">
        <v>6822</v>
      </c>
      <c r="H10" s="76">
        <v>8119</v>
      </c>
      <c r="I10" s="76">
        <v>8252</v>
      </c>
      <c r="J10" s="30">
        <f t="shared" ref="J10" si="1">SUM(D10-SUM(G10:I10))</f>
        <v>10046</v>
      </c>
      <c r="K10" s="76">
        <v>7259</v>
      </c>
      <c r="L10" s="76">
        <v>8204</v>
      </c>
      <c r="M10" s="76">
        <v>8913</v>
      </c>
      <c r="N10" s="30">
        <f t="shared" ref="N10" si="2">SUM(E10-SUM(K10:M10))</f>
        <v>10559</v>
      </c>
      <c r="O10" s="76">
        <v>8032</v>
      </c>
      <c r="P10" s="76">
        <v>9111</v>
      </c>
      <c r="Q10" s="76">
        <v>9969</v>
      </c>
      <c r="R10" s="30"/>
      <c r="S10" s="30">
        <f t="shared" ref="S10:X10" si="3">SUM(G10:J10)</f>
        <v>33239</v>
      </c>
      <c r="T10" s="30">
        <f t="shared" si="3"/>
        <v>33676</v>
      </c>
      <c r="U10" s="30">
        <f t="shared" si="3"/>
        <v>33761</v>
      </c>
      <c r="V10" s="30">
        <f t="shared" si="3"/>
        <v>34422</v>
      </c>
      <c r="W10" s="30">
        <f t="shared" si="3"/>
        <v>34935</v>
      </c>
      <c r="X10" s="30">
        <f t="shared" si="3"/>
        <v>35708</v>
      </c>
      <c r="Y10" s="30">
        <f>SUM(M10:P10)</f>
        <v>36615</v>
      </c>
      <c r="Z10" s="37"/>
      <c r="AA10" s="68">
        <f>SUM(Y10/U10)-1</f>
        <v>8.4535410680963263E-2</v>
      </c>
    </row>
    <row r="11" spans="1:27" ht="12.75" customHeight="1">
      <c r="B11" s="12" t="s">
        <v>12</v>
      </c>
      <c r="C11" s="13">
        <f t="shared" ref="C11:E11" si="4">+SUM(C10:C10)</f>
        <v>29654</v>
      </c>
      <c r="D11" s="13">
        <f t="shared" si="4"/>
        <v>33239</v>
      </c>
      <c r="E11" s="13">
        <f t="shared" si="4"/>
        <v>34935</v>
      </c>
      <c r="F11" s="11"/>
      <c r="G11" s="13">
        <f t="shared" ref="G11:P11" si="5">+SUM(G10:G10)</f>
        <v>6822</v>
      </c>
      <c r="H11" s="13">
        <f t="shared" si="5"/>
        <v>8119</v>
      </c>
      <c r="I11" s="13">
        <f t="shared" si="5"/>
        <v>8252</v>
      </c>
      <c r="J11" s="13">
        <f t="shared" si="5"/>
        <v>10046</v>
      </c>
      <c r="K11" s="13">
        <f t="shared" si="5"/>
        <v>7259</v>
      </c>
      <c r="L11" s="13">
        <f t="shared" si="5"/>
        <v>8204</v>
      </c>
      <c r="M11" s="13">
        <f t="shared" si="5"/>
        <v>8913</v>
      </c>
      <c r="N11" s="13">
        <f t="shared" si="5"/>
        <v>10559</v>
      </c>
      <c r="O11" s="13">
        <f t="shared" si="5"/>
        <v>8032</v>
      </c>
      <c r="P11" s="13">
        <f t="shared" si="5"/>
        <v>9111</v>
      </c>
      <c r="Q11" s="13">
        <f t="shared" ref="Q11" si="6">+SUM(Q10:Q10)</f>
        <v>9969</v>
      </c>
      <c r="S11" s="13">
        <f t="shared" ref="S11:Y11" si="7">+SUM(S10:S10)</f>
        <v>33239</v>
      </c>
      <c r="T11" s="13">
        <f t="shared" si="7"/>
        <v>33676</v>
      </c>
      <c r="U11" s="13">
        <f t="shared" si="7"/>
        <v>33761</v>
      </c>
      <c r="V11" s="13">
        <f t="shared" si="7"/>
        <v>34422</v>
      </c>
      <c r="W11" s="13">
        <f t="shared" si="7"/>
        <v>34935</v>
      </c>
      <c r="X11" s="13">
        <f t="shared" si="7"/>
        <v>35708</v>
      </c>
      <c r="Y11" s="13">
        <f t="shared" si="7"/>
        <v>36615</v>
      </c>
      <c r="Z11" s="37"/>
      <c r="AA11" s="69">
        <f>SUM(Y11/U11)-1</f>
        <v>8.4535410680963263E-2</v>
      </c>
    </row>
    <row r="12" spans="1:27" s="18" customFormat="1" ht="5.0999999999999996" customHeight="1">
      <c r="B12" s="16"/>
      <c r="C12" s="17"/>
      <c r="D12" s="17"/>
      <c r="E12" s="17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AA12" s="68"/>
    </row>
    <row r="13" spans="1:27" ht="12.75" customHeight="1">
      <c r="B13" s="9" t="s">
        <v>128</v>
      </c>
      <c r="C13" s="76">
        <v>-16972</v>
      </c>
      <c r="D13" s="76">
        <v>-18705</v>
      </c>
      <c r="E13" s="76">
        <v>-17989</v>
      </c>
      <c r="F13" s="22"/>
      <c r="G13" s="76">
        <v>-3575</v>
      </c>
      <c r="H13" s="76">
        <v>-4621</v>
      </c>
      <c r="I13" s="76">
        <v>-5005</v>
      </c>
      <c r="J13" s="30">
        <f t="shared" ref="J13:J14" si="8">SUM(D13-SUM(G13:I13))</f>
        <v>-5504</v>
      </c>
      <c r="K13" s="76">
        <v>-3693</v>
      </c>
      <c r="L13" s="76">
        <v>-3853</v>
      </c>
      <c r="M13" s="76">
        <v>-5076</v>
      </c>
      <c r="N13" s="30">
        <f t="shared" ref="N13:N14" si="9">SUM(E13-SUM(K13:M13))</f>
        <v>-5367</v>
      </c>
      <c r="O13" s="76">
        <v>-3915</v>
      </c>
      <c r="P13" s="76">
        <v>-4265</v>
      </c>
      <c r="Q13" s="76">
        <v>-5165</v>
      </c>
      <c r="S13" s="30">
        <f t="shared" ref="S13" si="10">SUM(G13:J13)</f>
        <v>-18705</v>
      </c>
      <c r="T13" s="30">
        <f t="shared" ref="T13" si="11">SUM(H13:K13)</f>
        <v>-18823</v>
      </c>
      <c r="U13" s="30">
        <f t="shared" ref="U13" si="12">SUM(I13:L13)</f>
        <v>-18055</v>
      </c>
      <c r="V13" s="30">
        <f t="shared" ref="V13" si="13">SUM(J13:M13)</f>
        <v>-18126</v>
      </c>
      <c r="W13" s="30">
        <f t="shared" ref="W13" si="14">SUM(K13:N13)</f>
        <v>-17989</v>
      </c>
      <c r="X13" s="30">
        <f t="shared" ref="X13" si="15">SUM(L13:O13)</f>
        <v>-18211</v>
      </c>
      <c r="Y13" s="30">
        <f>SUM(M13:P13)</f>
        <v>-18623</v>
      </c>
      <c r="Z13" s="11"/>
      <c r="AA13" s="68">
        <f>SUM(Y13/U13)-1</f>
        <v>3.14594295209083E-2</v>
      </c>
    </row>
    <row r="14" spans="1:27" ht="12.75" customHeight="1">
      <c r="B14" s="9" t="s">
        <v>129</v>
      </c>
      <c r="C14" s="76">
        <v>-9224</v>
      </c>
      <c r="D14" s="76">
        <v>-9716</v>
      </c>
      <c r="E14" s="76">
        <v>-10861</v>
      </c>
      <c r="F14" s="22"/>
      <c r="G14" s="76">
        <v>-2328</v>
      </c>
      <c r="H14" s="76">
        <v>-2351</v>
      </c>
      <c r="I14" s="76">
        <v>-2196</v>
      </c>
      <c r="J14" s="30">
        <f t="shared" si="8"/>
        <v>-2841</v>
      </c>
      <c r="K14" s="76">
        <v>-2416</v>
      </c>
      <c r="L14" s="76">
        <v>-2649</v>
      </c>
      <c r="M14" s="76">
        <v>-2728</v>
      </c>
      <c r="N14" s="30">
        <f t="shared" si="9"/>
        <v>-3068</v>
      </c>
      <c r="O14" s="76">
        <v>-2647</v>
      </c>
      <c r="P14" s="76">
        <v>-3000</v>
      </c>
      <c r="Q14" s="76">
        <v>-2906</v>
      </c>
      <c r="S14" s="30">
        <f t="shared" ref="S14" si="16">SUM(G14:J14)</f>
        <v>-9716</v>
      </c>
      <c r="T14" s="30">
        <f t="shared" ref="T14" si="17">SUM(H14:K14)</f>
        <v>-9804</v>
      </c>
      <c r="U14" s="30">
        <f t="shared" ref="U14" si="18">SUM(I14:L14)</f>
        <v>-10102</v>
      </c>
      <c r="V14" s="30">
        <f t="shared" ref="V14" si="19">SUM(J14:M14)</f>
        <v>-10634</v>
      </c>
      <c r="W14" s="30">
        <f t="shared" ref="W14" si="20">SUM(K14:N14)</f>
        <v>-10861</v>
      </c>
      <c r="X14" s="30">
        <f t="shared" ref="X14" si="21">SUM(L14:O14)</f>
        <v>-11092</v>
      </c>
      <c r="Y14" s="30">
        <f>SUM(M14:P14)</f>
        <v>-11443</v>
      </c>
      <c r="Z14" s="11"/>
      <c r="AA14" s="68">
        <f>SUM(Y14/U14)-1</f>
        <v>0.13274599089289252</v>
      </c>
    </row>
    <row r="15" spans="1:27" ht="12.75" customHeight="1">
      <c r="B15" s="23" t="s">
        <v>21</v>
      </c>
      <c r="C15" s="24">
        <f>+SUM(C11+SUM(C13:C14))</f>
        <v>3458</v>
      </c>
      <c r="D15" s="24">
        <f t="shared" ref="D15:E15" si="22">+SUM(D11+SUM(D13:D14))</f>
        <v>4818</v>
      </c>
      <c r="E15" s="24">
        <f t="shared" si="22"/>
        <v>6085</v>
      </c>
      <c r="G15" s="24">
        <f t="shared" ref="G15" si="23">+SUM(G11+SUM(G13:G14))</f>
        <v>919</v>
      </c>
      <c r="H15" s="24">
        <f t="shared" ref="H15" si="24">+SUM(H11+SUM(H13:H14))</f>
        <v>1147</v>
      </c>
      <c r="I15" s="24">
        <f t="shared" ref="I15" si="25">+SUM(I11+SUM(I13:I14))</f>
        <v>1051</v>
      </c>
      <c r="J15" s="24">
        <f t="shared" ref="J15" si="26">+SUM(J11+SUM(J13:J14))</f>
        <v>1701</v>
      </c>
      <c r="K15" s="24">
        <f t="shared" ref="K15" si="27">+SUM(K11+SUM(K13:K14))</f>
        <v>1150</v>
      </c>
      <c r="L15" s="24">
        <f t="shared" ref="L15" si="28">+SUM(L11+SUM(L13:L14))</f>
        <v>1702</v>
      </c>
      <c r="M15" s="24">
        <f t="shared" ref="M15" si="29">+SUM(M11+SUM(M13:M14))</f>
        <v>1109</v>
      </c>
      <c r="N15" s="24">
        <f t="shared" ref="N15" si="30">+SUM(N11+SUM(N13:N14))</f>
        <v>2124</v>
      </c>
      <c r="O15" s="24">
        <f t="shared" ref="O15" si="31">+SUM(O11+SUM(O13:O14))</f>
        <v>1470</v>
      </c>
      <c r="P15" s="24">
        <f t="shared" ref="P15" si="32">+SUM(P11+SUM(P13:P14))</f>
        <v>1846</v>
      </c>
      <c r="Q15" s="24">
        <f t="shared" ref="Q15" si="33">+SUM(Q11+SUM(Q13:Q14))</f>
        <v>1898</v>
      </c>
      <c r="S15" s="24">
        <f t="shared" ref="S15" si="34">+SUM(S11+SUM(S13:S14))</f>
        <v>4818</v>
      </c>
      <c r="T15" s="24">
        <f t="shared" ref="T15" si="35">+SUM(T11+SUM(T13:T14))</f>
        <v>5049</v>
      </c>
      <c r="U15" s="24">
        <f t="shared" ref="U15" si="36">+SUM(U11+SUM(U13:U14))</f>
        <v>5604</v>
      </c>
      <c r="V15" s="24">
        <f t="shared" ref="V15" si="37">+SUM(V11+SUM(V13:V14))</f>
        <v>5662</v>
      </c>
      <c r="W15" s="24">
        <f t="shared" ref="W15" si="38">+SUM(W11+SUM(W13:W14))</f>
        <v>6085</v>
      </c>
      <c r="X15" s="24">
        <f t="shared" ref="X15" si="39">+SUM(X11+SUM(X13:X14))</f>
        <v>6405</v>
      </c>
      <c r="Y15" s="24">
        <f t="shared" ref="Y15" si="40">+SUM(Y11+SUM(Y13:Y14))</f>
        <v>6549</v>
      </c>
      <c r="Z15" s="39"/>
      <c r="AA15" s="69">
        <f>SUM(Y15/U15)-1</f>
        <v>0.1686295503211992</v>
      </c>
    </row>
    <row r="16" spans="1:27" ht="12.75" customHeight="1">
      <c r="B16" s="14" t="s">
        <v>30</v>
      </c>
      <c r="C16" s="15">
        <f t="shared" ref="C16:E16" si="41">C15/C11</f>
        <v>0.11661158696971741</v>
      </c>
      <c r="D16" s="15">
        <f t="shared" si="41"/>
        <v>0.14495020909172959</v>
      </c>
      <c r="E16" s="15">
        <f t="shared" si="41"/>
        <v>0.17418062115357091</v>
      </c>
      <c r="F16" s="25"/>
      <c r="G16" s="15">
        <f t="shared" ref="G16:P16" si="42">G15/G11</f>
        <v>0.13471122837877456</v>
      </c>
      <c r="H16" s="15">
        <f t="shared" si="42"/>
        <v>0.14127355585663259</v>
      </c>
      <c r="I16" s="15">
        <f t="shared" si="42"/>
        <v>0.12736306349975762</v>
      </c>
      <c r="J16" s="15">
        <f t="shared" si="42"/>
        <v>0.16932112283495918</v>
      </c>
      <c r="K16" s="15">
        <f t="shared" si="42"/>
        <v>0.15842402534784406</v>
      </c>
      <c r="L16" s="15">
        <f t="shared" si="42"/>
        <v>0.20745977571916138</v>
      </c>
      <c r="M16" s="15">
        <f t="shared" si="42"/>
        <v>0.12442499719510827</v>
      </c>
      <c r="N16" s="15">
        <f t="shared" si="42"/>
        <v>0.20115541244436025</v>
      </c>
      <c r="O16" s="15">
        <f t="shared" si="42"/>
        <v>0.18301792828685259</v>
      </c>
      <c r="P16" s="15">
        <f t="shared" si="42"/>
        <v>0.20261222697837777</v>
      </c>
      <c r="Q16" s="15">
        <f t="shared" ref="Q16" si="43">Q15/Q11</f>
        <v>0.19039020964991474</v>
      </c>
      <c r="R16" s="26"/>
      <c r="S16" s="15">
        <f t="shared" ref="S16:Y16" si="44">S15/S11</f>
        <v>0.14495020909172959</v>
      </c>
      <c r="T16" s="15">
        <f t="shared" si="44"/>
        <v>0.14992873262857823</v>
      </c>
      <c r="U16" s="15">
        <f t="shared" si="44"/>
        <v>0.165990343887918</v>
      </c>
      <c r="V16" s="15">
        <f t="shared" si="44"/>
        <v>0.16448782755214689</v>
      </c>
      <c r="W16" s="15">
        <f t="shared" si="44"/>
        <v>0.17418062115357091</v>
      </c>
      <c r="X16" s="15">
        <f t="shared" si="44"/>
        <v>0.17937156939621374</v>
      </c>
      <c r="Y16" s="15">
        <f t="shared" si="44"/>
        <v>0.17886112249078245</v>
      </c>
      <c r="Z16" s="39"/>
      <c r="AA16" s="70">
        <f>SUM(Y16-U16)*1000</f>
        <v>12.870778602864451</v>
      </c>
    </row>
    <row r="17" spans="2:27" ht="5.0999999999999996" customHeight="1">
      <c r="B17" s="27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S17" s="28"/>
      <c r="T17" s="28"/>
      <c r="U17" s="28"/>
      <c r="V17" s="28"/>
      <c r="W17" s="28"/>
      <c r="X17" s="28"/>
      <c r="Y17" s="28"/>
      <c r="Z17" s="39"/>
      <c r="AA17" s="68"/>
    </row>
    <row r="18" spans="2:27" ht="12.75" customHeight="1">
      <c r="B18" s="9" t="s">
        <v>108</v>
      </c>
      <c r="C18" s="76">
        <v>-5360</v>
      </c>
      <c r="D18" s="76">
        <v>-4845</v>
      </c>
      <c r="E18" s="76">
        <v>-4632</v>
      </c>
      <c r="F18" s="30"/>
      <c r="G18" s="76">
        <v>-1186</v>
      </c>
      <c r="H18" s="76">
        <v>-1272</v>
      </c>
      <c r="I18" s="76">
        <v>-1135</v>
      </c>
      <c r="J18" s="30">
        <f t="shared" ref="J18:J19" si="45">SUM(D18-SUM(G18:I18))</f>
        <v>-1252</v>
      </c>
      <c r="K18" s="76">
        <v>-1202</v>
      </c>
      <c r="L18" s="76">
        <v>-938</v>
      </c>
      <c r="M18" s="76">
        <v>-1226</v>
      </c>
      <c r="N18" s="30">
        <f t="shared" ref="N18:N19" si="46">SUM(E18-SUM(K18:M18))</f>
        <v>-1266</v>
      </c>
      <c r="O18" s="76">
        <v>-1188</v>
      </c>
      <c r="P18" s="76">
        <v>-1185</v>
      </c>
      <c r="Q18" s="76">
        <v>-1221</v>
      </c>
      <c r="S18" s="30">
        <f t="shared" ref="S18:S19" si="47">SUM(G18:J18)</f>
        <v>-4845</v>
      </c>
      <c r="T18" s="30">
        <f t="shared" ref="T18:T19" si="48">SUM(H18:K18)</f>
        <v>-4861</v>
      </c>
      <c r="U18" s="30">
        <f t="shared" ref="U18:U19" si="49">SUM(I18:L18)</f>
        <v>-4527</v>
      </c>
      <c r="V18" s="30">
        <f t="shared" ref="V18:V19" si="50">SUM(J18:M18)</f>
        <v>-4618</v>
      </c>
      <c r="W18" s="30">
        <f t="shared" ref="W18:W19" si="51">SUM(K18:N18)</f>
        <v>-4632</v>
      </c>
      <c r="X18" s="30">
        <f t="shared" ref="X18:X19" si="52">SUM(L18:O18)</f>
        <v>-4618</v>
      </c>
      <c r="Y18" s="30">
        <f t="shared" ref="Y18:Y19" si="53">SUM(M18:P18)</f>
        <v>-4865</v>
      </c>
      <c r="Z18" s="11"/>
      <c r="AA18" s="68">
        <f>SUM(Y18/U18)-1</f>
        <v>7.4663132317207781E-2</v>
      </c>
    </row>
    <row r="19" spans="2:27" ht="12.75" customHeight="1">
      <c r="B19" s="9" t="s">
        <v>130</v>
      </c>
      <c r="C19" s="76">
        <v>-979</v>
      </c>
      <c r="D19" s="76">
        <v>-896</v>
      </c>
      <c r="E19" s="76">
        <v>-982</v>
      </c>
      <c r="F19" s="30"/>
      <c r="G19" s="76">
        <v>-202</v>
      </c>
      <c r="H19" s="76">
        <v>-216</v>
      </c>
      <c r="I19" s="76">
        <v>-223</v>
      </c>
      <c r="J19" s="30">
        <f t="shared" si="45"/>
        <v>-255</v>
      </c>
      <c r="K19" s="76">
        <v>-237</v>
      </c>
      <c r="L19" s="76">
        <v>-237</v>
      </c>
      <c r="M19" s="76">
        <v>-242</v>
      </c>
      <c r="N19" s="30">
        <f t="shared" si="46"/>
        <v>-266</v>
      </c>
      <c r="O19" s="76">
        <v>-239</v>
      </c>
      <c r="P19" s="76">
        <v>-283</v>
      </c>
      <c r="Q19" s="76">
        <v>-310</v>
      </c>
      <c r="S19" s="30">
        <f t="shared" si="47"/>
        <v>-896</v>
      </c>
      <c r="T19" s="30">
        <f t="shared" si="48"/>
        <v>-931</v>
      </c>
      <c r="U19" s="30">
        <f t="shared" si="49"/>
        <v>-952</v>
      </c>
      <c r="V19" s="30">
        <f t="shared" si="50"/>
        <v>-971</v>
      </c>
      <c r="W19" s="30">
        <f t="shared" si="51"/>
        <v>-982</v>
      </c>
      <c r="X19" s="30">
        <f t="shared" si="52"/>
        <v>-984</v>
      </c>
      <c r="Y19" s="30">
        <f t="shared" si="53"/>
        <v>-1030</v>
      </c>
      <c r="Z19" s="11"/>
      <c r="AA19" s="68">
        <f>SUM(Y19/U19)-1</f>
        <v>8.1932773109243628E-2</v>
      </c>
    </row>
    <row r="20" spans="2:27" ht="12.75" customHeight="1">
      <c r="B20" s="23" t="s">
        <v>79</v>
      </c>
      <c r="C20" s="24">
        <f>+SUM(C15+SUM(C18:C19))</f>
        <v>-2881</v>
      </c>
      <c r="D20" s="24">
        <f>+SUM(D15+SUM(D18:D19))</f>
        <v>-923</v>
      </c>
      <c r="E20" s="24">
        <f>+SUM(E15+SUM(E18:E19))</f>
        <v>471</v>
      </c>
      <c r="F20" s="30"/>
      <c r="G20" s="24">
        <f t="shared" ref="G20:Q20" si="54">+SUM(G15+SUM(G18:G19))</f>
        <v>-469</v>
      </c>
      <c r="H20" s="24">
        <f t="shared" si="54"/>
        <v>-341</v>
      </c>
      <c r="I20" s="24">
        <f t="shared" si="54"/>
        <v>-307</v>
      </c>
      <c r="J20" s="24">
        <f t="shared" si="54"/>
        <v>194</v>
      </c>
      <c r="K20" s="24">
        <f t="shared" si="54"/>
        <v>-289</v>
      </c>
      <c r="L20" s="24">
        <f t="shared" si="54"/>
        <v>527</v>
      </c>
      <c r="M20" s="24">
        <f t="shared" si="54"/>
        <v>-359</v>
      </c>
      <c r="N20" s="24">
        <f t="shared" si="54"/>
        <v>592</v>
      </c>
      <c r="O20" s="24">
        <f t="shared" si="54"/>
        <v>43</v>
      </c>
      <c r="P20" s="24">
        <f t="shared" si="54"/>
        <v>378</v>
      </c>
      <c r="Q20" s="24">
        <f t="shared" si="54"/>
        <v>367</v>
      </c>
      <c r="S20" s="24">
        <f t="shared" ref="S20:Y20" si="55">+SUM(S15+SUM(S18:S19))</f>
        <v>-923</v>
      </c>
      <c r="T20" s="24">
        <f t="shared" si="55"/>
        <v>-743</v>
      </c>
      <c r="U20" s="24">
        <f t="shared" si="55"/>
        <v>125</v>
      </c>
      <c r="V20" s="24">
        <f t="shared" si="55"/>
        <v>73</v>
      </c>
      <c r="W20" s="24">
        <f t="shared" si="55"/>
        <v>471</v>
      </c>
      <c r="X20" s="24">
        <f t="shared" si="55"/>
        <v>803</v>
      </c>
      <c r="Y20" s="24">
        <f t="shared" si="55"/>
        <v>654</v>
      </c>
      <c r="Z20" s="11"/>
      <c r="AA20" s="69">
        <f>SUM(Y20/U20)-1</f>
        <v>4.2320000000000002</v>
      </c>
    </row>
    <row r="21" spans="2:27" ht="12.75" customHeight="1">
      <c r="B21" s="14" t="s">
        <v>32</v>
      </c>
      <c r="C21" s="15">
        <f>C20/C11</f>
        <v>-9.7153840965805621E-2</v>
      </c>
      <c r="D21" s="15">
        <f>D20/D11</f>
        <v>-2.7768585095821172E-2</v>
      </c>
      <c r="E21" s="15">
        <f>E20/E11</f>
        <v>1.3482181193645342E-2</v>
      </c>
      <c r="F21" s="30"/>
      <c r="G21" s="15">
        <f t="shared" ref="G21:Q21" si="56">G20/G11</f>
        <v>-6.8748167692758724E-2</v>
      </c>
      <c r="H21" s="15">
        <f t="shared" si="56"/>
        <v>-4.2000246335755637E-2</v>
      </c>
      <c r="I21" s="15">
        <f t="shared" si="56"/>
        <v>-3.7203102278235582E-2</v>
      </c>
      <c r="J21" s="15">
        <f t="shared" si="56"/>
        <v>1.9311168624328089E-2</v>
      </c>
      <c r="K21" s="15">
        <f t="shared" si="56"/>
        <v>-3.9812646370023422E-2</v>
      </c>
      <c r="L21" s="15">
        <f t="shared" si="56"/>
        <v>6.4236957581667475E-2</v>
      </c>
      <c r="M21" s="15">
        <f t="shared" si="56"/>
        <v>-4.0278245259732975E-2</v>
      </c>
      <c r="N21" s="15">
        <f t="shared" si="56"/>
        <v>5.6065915332891375E-2</v>
      </c>
      <c r="O21" s="15">
        <f t="shared" si="56"/>
        <v>5.3535856573705175E-3</v>
      </c>
      <c r="P21" s="15">
        <f t="shared" si="56"/>
        <v>4.1488310833058942E-2</v>
      </c>
      <c r="Q21" s="15">
        <f t="shared" si="56"/>
        <v>3.6814123783729565E-2</v>
      </c>
      <c r="S21" s="15">
        <f t="shared" ref="S21:Y21" si="57">S20/S11</f>
        <v>-2.7768585095821172E-2</v>
      </c>
      <c r="T21" s="15">
        <f t="shared" si="57"/>
        <v>-2.2063190402660648E-2</v>
      </c>
      <c r="U21" s="15">
        <f t="shared" si="57"/>
        <v>3.7024969639524894E-3</v>
      </c>
      <c r="V21" s="15">
        <f t="shared" si="57"/>
        <v>2.1207367381325896E-3</v>
      </c>
      <c r="W21" s="15">
        <f t="shared" si="57"/>
        <v>1.3482181193645342E-2</v>
      </c>
      <c r="X21" s="15">
        <f t="shared" si="57"/>
        <v>2.2487957880586985E-2</v>
      </c>
      <c r="Y21" s="15">
        <f t="shared" si="57"/>
        <v>1.7861532158951251E-2</v>
      </c>
      <c r="Z21" s="11"/>
      <c r="AA21" s="70">
        <f>SUM(Y21-U21)*1000</f>
        <v>14.159035194998761</v>
      </c>
    </row>
    <row r="22" spans="2:27" ht="5.0999999999999996" customHeight="1">
      <c r="B22" s="14"/>
      <c r="C22" s="15"/>
      <c r="D22" s="15"/>
      <c r="E22" s="15"/>
      <c r="F22" s="30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S22" s="30"/>
      <c r="T22" s="30"/>
      <c r="U22" s="30"/>
      <c r="V22" s="30"/>
      <c r="W22" s="30"/>
      <c r="X22" s="30"/>
      <c r="Y22" s="30"/>
      <c r="Z22" s="11"/>
      <c r="AA22" s="68"/>
    </row>
    <row r="23" spans="2:27" ht="12.75" customHeight="1">
      <c r="B23" s="9" t="s">
        <v>132</v>
      </c>
      <c r="C23" s="76">
        <v>-151</v>
      </c>
      <c r="D23" s="76">
        <v>-98</v>
      </c>
      <c r="E23" s="76">
        <v>120</v>
      </c>
      <c r="F23" s="30"/>
      <c r="G23" s="76">
        <v>-21</v>
      </c>
      <c r="H23" s="76">
        <v>-21</v>
      </c>
      <c r="I23" s="76">
        <v>-21</v>
      </c>
      <c r="J23" s="30">
        <f t="shared" ref="J23:J25" si="58">SUM(D23-SUM(G23:I23))</f>
        <v>-35</v>
      </c>
      <c r="K23" s="76">
        <v>-14</v>
      </c>
      <c r="L23" s="76">
        <v>60</v>
      </c>
      <c r="M23" s="76">
        <v>36</v>
      </c>
      <c r="N23" s="30">
        <f t="shared" ref="N23:N25" si="59">SUM(E23-SUM(K23:M23))</f>
        <v>38</v>
      </c>
      <c r="O23" s="76">
        <v>56</v>
      </c>
      <c r="P23" s="76">
        <v>42</v>
      </c>
      <c r="Q23" s="76">
        <v>44</v>
      </c>
      <c r="S23" s="30">
        <f t="shared" ref="S23" si="60">SUM(G23:J23)</f>
        <v>-98</v>
      </c>
      <c r="T23" s="30">
        <f t="shared" ref="T23" si="61">SUM(H23:K23)</f>
        <v>-91</v>
      </c>
      <c r="U23" s="30">
        <f t="shared" ref="U23" si="62">SUM(I23:L23)</f>
        <v>-10</v>
      </c>
      <c r="V23" s="30">
        <f t="shared" ref="V23" si="63">SUM(J23:M23)</f>
        <v>47</v>
      </c>
      <c r="W23" s="30">
        <f t="shared" ref="W23" si="64">SUM(K23:N23)</f>
        <v>120</v>
      </c>
      <c r="X23" s="30">
        <f t="shared" ref="X23" si="65">SUM(L23:O23)</f>
        <v>190</v>
      </c>
      <c r="Y23" s="30">
        <f t="shared" ref="Y23" si="66">SUM(M23:P23)</f>
        <v>172</v>
      </c>
      <c r="Z23" s="11"/>
      <c r="AA23" s="68">
        <f>SUM(Y23/U23)-1</f>
        <v>-18.2</v>
      </c>
    </row>
    <row r="24" spans="2:27" ht="12.75" customHeight="1">
      <c r="B24" s="9" t="s">
        <v>131</v>
      </c>
      <c r="C24" s="76">
        <v>188</v>
      </c>
      <c r="D24" s="76">
        <v>567</v>
      </c>
      <c r="E24" s="76">
        <v>536</v>
      </c>
      <c r="F24" s="30"/>
      <c r="G24" s="76">
        <v>139</v>
      </c>
      <c r="H24" s="76">
        <v>143</v>
      </c>
      <c r="I24" s="76">
        <v>134</v>
      </c>
      <c r="J24" s="30">
        <f t="shared" si="58"/>
        <v>151</v>
      </c>
      <c r="K24" s="76">
        <v>134</v>
      </c>
      <c r="L24" s="76">
        <v>134</v>
      </c>
      <c r="M24" s="76">
        <v>130</v>
      </c>
      <c r="N24" s="30">
        <f t="shared" si="59"/>
        <v>138</v>
      </c>
      <c r="O24" s="76">
        <v>115</v>
      </c>
      <c r="P24" s="76">
        <v>110</v>
      </c>
      <c r="Q24" s="76">
        <v>115</v>
      </c>
      <c r="S24" s="30">
        <f t="shared" ref="S24:S25" si="67">SUM(G24:J24)</f>
        <v>567</v>
      </c>
      <c r="T24" s="30">
        <f t="shared" ref="T24:T25" si="68">SUM(H24:K24)</f>
        <v>562</v>
      </c>
      <c r="U24" s="30">
        <f t="shared" ref="U24:U25" si="69">SUM(I24:L24)</f>
        <v>553</v>
      </c>
      <c r="V24" s="30">
        <f t="shared" ref="V24:V25" si="70">SUM(J24:M24)</f>
        <v>549</v>
      </c>
      <c r="W24" s="30">
        <f t="shared" ref="W24:W25" si="71">SUM(K24:N24)</f>
        <v>536</v>
      </c>
      <c r="X24" s="30">
        <f t="shared" ref="X24:X25" si="72">SUM(L24:O24)</f>
        <v>517</v>
      </c>
      <c r="Y24" s="30">
        <f t="shared" ref="Y24:Y25" si="73">SUM(M24:P24)</f>
        <v>493</v>
      </c>
      <c r="Z24" s="11"/>
      <c r="AA24" s="68">
        <f t="shared" ref="AA24:AA25" si="74">SUM(Y24/U24)-1</f>
        <v>-0.10849909584086803</v>
      </c>
    </row>
    <row r="25" spans="2:27" ht="12.75" customHeight="1">
      <c r="B25" s="9" t="s">
        <v>106</v>
      </c>
      <c r="C25" s="76">
        <v>370</v>
      </c>
      <c r="D25" s="76">
        <v>324</v>
      </c>
      <c r="E25" s="76">
        <v>1372</v>
      </c>
      <c r="F25" s="30"/>
      <c r="G25" s="76">
        <v>-64</v>
      </c>
      <c r="H25" s="76">
        <v>192</v>
      </c>
      <c r="I25" s="76">
        <v>178</v>
      </c>
      <c r="J25" s="30">
        <f t="shared" si="58"/>
        <v>18</v>
      </c>
      <c r="K25" s="76">
        <v>73</v>
      </c>
      <c r="L25" s="76">
        <v>881</v>
      </c>
      <c r="M25" s="76">
        <v>71</v>
      </c>
      <c r="N25" s="30">
        <f t="shared" si="59"/>
        <v>347</v>
      </c>
      <c r="O25" s="76">
        <v>118</v>
      </c>
      <c r="P25" s="76">
        <v>115</v>
      </c>
      <c r="Q25" s="76">
        <v>221</v>
      </c>
      <c r="S25" s="30">
        <f t="shared" si="67"/>
        <v>324</v>
      </c>
      <c r="T25" s="30">
        <f t="shared" si="68"/>
        <v>461</v>
      </c>
      <c r="U25" s="30">
        <f t="shared" si="69"/>
        <v>1150</v>
      </c>
      <c r="V25" s="30">
        <f t="shared" si="70"/>
        <v>1043</v>
      </c>
      <c r="W25" s="30">
        <f t="shared" si="71"/>
        <v>1372</v>
      </c>
      <c r="X25" s="30">
        <f t="shared" si="72"/>
        <v>1417</v>
      </c>
      <c r="Y25" s="30">
        <f t="shared" si="73"/>
        <v>651</v>
      </c>
      <c r="Z25" s="11"/>
      <c r="AA25" s="68">
        <f t="shared" si="74"/>
        <v>-0.43391304347826087</v>
      </c>
    </row>
    <row r="26" spans="2:27" ht="12.75" customHeight="1">
      <c r="B26" s="23" t="s">
        <v>105</v>
      </c>
      <c r="C26" s="24">
        <f>SUM(C23:C25)+C20</f>
        <v>-2474</v>
      </c>
      <c r="D26" s="24">
        <f>SUM(D23:D25)+D20</f>
        <v>-130</v>
      </c>
      <c r="E26" s="24">
        <f>SUM(E23:E25)+E20</f>
        <v>2499</v>
      </c>
      <c r="F26" s="30"/>
      <c r="G26" s="24">
        <f t="shared" ref="G26:Q26" si="75">SUM(G23:G25)+G20</f>
        <v>-415</v>
      </c>
      <c r="H26" s="24">
        <f t="shared" si="75"/>
        <v>-27</v>
      </c>
      <c r="I26" s="24">
        <f t="shared" si="75"/>
        <v>-16</v>
      </c>
      <c r="J26" s="24">
        <f t="shared" si="75"/>
        <v>328</v>
      </c>
      <c r="K26" s="24">
        <f t="shared" si="75"/>
        <v>-96</v>
      </c>
      <c r="L26" s="24">
        <f t="shared" si="75"/>
        <v>1602</v>
      </c>
      <c r="M26" s="24">
        <f t="shared" si="75"/>
        <v>-122</v>
      </c>
      <c r="N26" s="24">
        <f t="shared" si="75"/>
        <v>1115</v>
      </c>
      <c r="O26" s="24">
        <f t="shared" si="75"/>
        <v>332</v>
      </c>
      <c r="P26" s="24">
        <f t="shared" si="75"/>
        <v>645</v>
      </c>
      <c r="Q26" s="24">
        <f t="shared" si="75"/>
        <v>747</v>
      </c>
      <c r="S26" s="24">
        <f t="shared" ref="S26:Y26" si="76">SUM(S23:S25)+S20</f>
        <v>-130</v>
      </c>
      <c r="T26" s="24">
        <f t="shared" si="76"/>
        <v>189</v>
      </c>
      <c r="U26" s="24">
        <f t="shared" si="76"/>
        <v>1818</v>
      </c>
      <c r="V26" s="24">
        <f t="shared" si="76"/>
        <v>1712</v>
      </c>
      <c r="W26" s="24">
        <f t="shared" si="76"/>
        <v>2499</v>
      </c>
      <c r="X26" s="24">
        <f t="shared" si="76"/>
        <v>2927</v>
      </c>
      <c r="Y26" s="24">
        <f t="shared" si="76"/>
        <v>1970</v>
      </c>
      <c r="Z26" s="11"/>
      <c r="AA26" s="68">
        <f>SUM(Y26/U26)-1</f>
        <v>8.3608360836083584E-2</v>
      </c>
    </row>
    <row r="27" spans="2:27" ht="12.75" customHeight="1">
      <c r="B27" s="14" t="s">
        <v>80</v>
      </c>
      <c r="C27" s="15">
        <f>C26/C11</f>
        <v>-8.3428879746408585E-2</v>
      </c>
      <c r="D27" s="15">
        <f>D26/D11</f>
        <v>-3.9110683233550946E-3</v>
      </c>
      <c r="E27" s="15">
        <f>E26/E11</f>
        <v>7.153284671532846E-2</v>
      </c>
      <c r="F27" s="25"/>
      <c r="G27" s="15">
        <f t="shared" ref="G27:Q27" si="77">G26/G11</f>
        <v>-6.0832600410436824E-2</v>
      </c>
      <c r="H27" s="15">
        <f t="shared" si="77"/>
        <v>-3.3255327010715606E-3</v>
      </c>
      <c r="I27" s="15">
        <f t="shared" si="77"/>
        <v>-1.9389238972370335E-3</v>
      </c>
      <c r="J27" s="15">
        <f t="shared" si="77"/>
        <v>3.2649810869998012E-2</v>
      </c>
      <c r="K27" s="15">
        <f t="shared" si="77"/>
        <v>-1.3224962115993938E-2</v>
      </c>
      <c r="L27" s="15">
        <f t="shared" si="77"/>
        <v>0.19527059970745977</v>
      </c>
      <c r="M27" s="15">
        <f t="shared" si="77"/>
        <v>-1.3687871648154382E-2</v>
      </c>
      <c r="N27" s="15">
        <f t="shared" si="77"/>
        <v>0.10559712093948291</v>
      </c>
      <c r="O27" s="15">
        <f t="shared" si="77"/>
        <v>4.1334661354581671E-2</v>
      </c>
      <c r="P27" s="15">
        <f t="shared" si="77"/>
        <v>7.0793546262759299E-2</v>
      </c>
      <c r="Q27" s="15">
        <f t="shared" si="77"/>
        <v>7.4932290099307852E-2</v>
      </c>
      <c r="S27" s="15">
        <f t="shared" ref="S27:Y27" si="78">S26/S11</f>
        <v>-3.9110683233550946E-3</v>
      </c>
      <c r="T27" s="15">
        <f t="shared" si="78"/>
        <v>5.6123054994654947E-3</v>
      </c>
      <c r="U27" s="15">
        <f t="shared" si="78"/>
        <v>5.3849115843725009E-2</v>
      </c>
      <c r="V27" s="15">
        <f t="shared" si="78"/>
        <v>4.9735634187438267E-2</v>
      </c>
      <c r="W27" s="15">
        <f t="shared" si="78"/>
        <v>7.153284671532846E-2</v>
      </c>
      <c r="X27" s="15">
        <f t="shared" si="78"/>
        <v>8.1970426795115944E-2</v>
      </c>
      <c r="Y27" s="15">
        <f t="shared" si="78"/>
        <v>5.3803086166871503E-2</v>
      </c>
      <c r="Z27" s="40"/>
      <c r="AA27" s="70">
        <f>SUM(Y27-U27)*1000</f>
        <v>-4.6029676853506785E-2</v>
      </c>
    </row>
    <row r="28" spans="2:27" ht="5.0999999999999996" customHeight="1">
      <c r="B28" s="9"/>
      <c r="C28" s="76"/>
      <c r="D28" s="76"/>
      <c r="E28" s="76"/>
      <c r="F28" s="30"/>
      <c r="G28" s="76"/>
      <c r="H28" s="76"/>
      <c r="I28" s="76"/>
      <c r="J28" s="30"/>
      <c r="K28" s="76"/>
      <c r="L28" s="76"/>
      <c r="M28" s="76"/>
      <c r="N28" s="30"/>
      <c r="O28" s="76"/>
      <c r="P28" s="76"/>
      <c r="Q28" s="76"/>
      <c r="S28" s="30"/>
      <c r="T28" s="30"/>
      <c r="U28" s="30"/>
      <c r="V28" s="30"/>
      <c r="W28" s="30"/>
      <c r="X28" s="30"/>
      <c r="Y28" s="30"/>
      <c r="Z28" s="11"/>
      <c r="AA28" s="68"/>
    </row>
    <row r="29" spans="2:27" ht="12.75" customHeight="1">
      <c r="B29" s="9" t="s">
        <v>85</v>
      </c>
      <c r="C29" s="76">
        <v>-248</v>
      </c>
      <c r="D29" s="76">
        <v>-344</v>
      </c>
      <c r="E29" s="76">
        <v>-939</v>
      </c>
      <c r="F29" s="30"/>
      <c r="G29" s="76">
        <v>69</v>
      </c>
      <c r="H29" s="76">
        <v>-122</v>
      </c>
      <c r="I29" s="76">
        <v>-169</v>
      </c>
      <c r="J29" s="30">
        <f t="shared" ref="J29" si="79">SUM(D29-SUM(G29:I29))</f>
        <v>-122</v>
      </c>
      <c r="K29" s="76">
        <v>-10</v>
      </c>
      <c r="L29" s="76">
        <v>-322</v>
      </c>
      <c r="M29" s="76">
        <v>23</v>
      </c>
      <c r="N29" s="30">
        <f t="shared" ref="N29" si="80">SUM(E29-SUM(K29:M29))</f>
        <v>-630</v>
      </c>
      <c r="O29" s="76">
        <v>-68</v>
      </c>
      <c r="P29" s="76">
        <v>-153</v>
      </c>
      <c r="Q29" s="76">
        <v>-293</v>
      </c>
      <c r="S29" s="30">
        <f t="shared" ref="S29" si="81">SUM(G29:J29)</f>
        <v>-344</v>
      </c>
      <c r="T29" s="30">
        <f t="shared" ref="T29" si="82">SUM(H29:K29)</f>
        <v>-423</v>
      </c>
      <c r="U29" s="30">
        <f t="shared" ref="U29" si="83">SUM(I29:L29)</f>
        <v>-623</v>
      </c>
      <c r="V29" s="30">
        <f t="shared" ref="V29" si="84">SUM(J29:M29)</f>
        <v>-431</v>
      </c>
      <c r="W29" s="30">
        <f t="shared" ref="W29" si="85">SUM(K29:N29)</f>
        <v>-939</v>
      </c>
      <c r="X29" s="30">
        <f t="shared" ref="X29" si="86">SUM(L29:O29)</f>
        <v>-997</v>
      </c>
      <c r="Y29" s="30">
        <f>SUM(M29:P29)</f>
        <v>-828</v>
      </c>
      <c r="Z29" s="11"/>
      <c r="AA29" s="68">
        <f>SUM(Y29/U29)-1</f>
        <v>0.32905296950240781</v>
      </c>
    </row>
    <row r="30" spans="2:27" ht="12.75" customHeight="1">
      <c r="B30" s="12" t="s">
        <v>49</v>
      </c>
      <c r="C30" s="13">
        <f>SUM(C26+SUM(C29:C29))</f>
        <v>-2722</v>
      </c>
      <c r="D30" s="13">
        <f>SUM(D26+SUM(D29:D29))</f>
        <v>-474</v>
      </c>
      <c r="E30" s="13">
        <f>SUM(E26+SUM(E29:E29))</f>
        <v>1560</v>
      </c>
      <c r="G30" s="13">
        <f t="shared" ref="G30:Q30" si="87">SUM(G26+SUM(G29:G29))</f>
        <v>-346</v>
      </c>
      <c r="H30" s="13">
        <f t="shared" si="87"/>
        <v>-149</v>
      </c>
      <c r="I30" s="13">
        <f t="shared" si="87"/>
        <v>-185</v>
      </c>
      <c r="J30" s="13">
        <f t="shared" si="87"/>
        <v>206</v>
      </c>
      <c r="K30" s="13">
        <f t="shared" si="87"/>
        <v>-106</v>
      </c>
      <c r="L30" s="13">
        <f t="shared" si="87"/>
        <v>1280</v>
      </c>
      <c r="M30" s="13">
        <f t="shared" si="87"/>
        <v>-99</v>
      </c>
      <c r="N30" s="13">
        <f t="shared" si="87"/>
        <v>485</v>
      </c>
      <c r="O30" s="13">
        <f t="shared" si="87"/>
        <v>264</v>
      </c>
      <c r="P30" s="13">
        <f t="shared" si="87"/>
        <v>492</v>
      </c>
      <c r="Q30" s="13">
        <f t="shared" si="87"/>
        <v>454</v>
      </c>
      <c r="S30" s="13">
        <f t="shared" ref="S30:Y30" si="88">SUM(S26+SUM(S29:S29))</f>
        <v>-474</v>
      </c>
      <c r="T30" s="13">
        <f t="shared" si="88"/>
        <v>-234</v>
      </c>
      <c r="U30" s="13">
        <f t="shared" si="88"/>
        <v>1195</v>
      </c>
      <c r="V30" s="13">
        <f t="shared" si="88"/>
        <v>1281</v>
      </c>
      <c r="W30" s="13">
        <f t="shared" si="88"/>
        <v>1560</v>
      </c>
      <c r="X30" s="13">
        <f t="shared" si="88"/>
        <v>1930</v>
      </c>
      <c r="Y30" s="13">
        <f t="shared" si="88"/>
        <v>1142</v>
      </c>
      <c r="Z30" s="39"/>
      <c r="AA30" s="69">
        <f>SUM(Y30/U30)-1</f>
        <v>-4.4351464435146482E-2</v>
      </c>
    </row>
    <row r="31" spans="2:27" ht="5.0999999999999996" customHeight="1">
      <c r="B31" s="14"/>
      <c r="C31" s="15"/>
      <c r="D31" s="15"/>
      <c r="E31" s="15"/>
      <c r="F31" s="2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S31" s="15"/>
      <c r="T31" s="15"/>
      <c r="U31" s="15"/>
      <c r="V31" s="15"/>
      <c r="W31" s="15"/>
      <c r="X31" s="15"/>
      <c r="Y31" s="15"/>
      <c r="Z31" s="40"/>
      <c r="AA31" s="70"/>
    </row>
    <row r="32" spans="2:27" ht="12.75" customHeight="1">
      <c r="B32" s="9" t="s">
        <v>137</v>
      </c>
      <c r="C32" s="76">
        <v>-14</v>
      </c>
      <c r="D32" s="76">
        <v>36</v>
      </c>
      <c r="E32" s="76">
        <v>-7</v>
      </c>
      <c r="F32" s="30"/>
      <c r="G32" s="76">
        <v>32</v>
      </c>
      <c r="H32" s="76">
        <v>-2</v>
      </c>
      <c r="I32" s="76">
        <v>15</v>
      </c>
      <c r="J32" s="30">
        <f t="shared" ref="J32" si="89">SUM(D32-SUM(G32:I32))</f>
        <v>-9</v>
      </c>
      <c r="K32" s="76">
        <v>-24</v>
      </c>
      <c r="L32" s="76">
        <v>14</v>
      </c>
      <c r="M32" s="76">
        <v>3</v>
      </c>
      <c r="N32" s="30">
        <f t="shared" ref="N32" si="90">SUM(E32-SUM(K32:M32))</f>
        <v>0</v>
      </c>
      <c r="O32" s="76">
        <v>-11</v>
      </c>
      <c r="P32" s="76">
        <v>22</v>
      </c>
      <c r="Q32" s="76">
        <v>-1</v>
      </c>
      <c r="S32" s="30">
        <f t="shared" ref="S32" si="91">SUM(G32:J32)</f>
        <v>36</v>
      </c>
      <c r="T32" s="30">
        <f t="shared" ref="T32" si="92">SUM(H32:K32)</f>
        <v>-20</v>
      </c>
      <c r="U32" s="30">
        <f t="shared" ref="U32" si="93">SUM(I32:L32)</f>
        <v>-4</v>
      </c>
      <c r="V32" s="30">
        <f t="shared" ref="V32" si="94">SUM(J32:M32)</f>
        <v>-16</v>
      </c>
      <c r="W32" s="30">
        <f t="shared" ref="W32" si="95">SUM(K32:N32)</f>
        <v>-7</v>
      </c>
      <c r="X32" s="30">
        <f t="shared" ref="X32" si="96">SUM(L32:O32)</f>
        <v>6</v>
      </c>
      <c r="Y32" s="30">
        <f>SUM(M32:P32)</f>
        <v>14</v>
      </c>
      <c r="Z32" s="11"/>
      <c r="AA32" s="68">
        <f>SUM(Y32/U32)-1</f>
        <v>-4.5</v>
      </c>
    </row>
    <row r="33" spans="1:27" ht="12.75" customHeight="1">
      <c r="B33" s="12" t="s">
        <v>136</v>
      </c>
      <c r="C33" s="13">
        <f>SUM(C30+SUM(C32:C32))</f>
        <v>-2736</v>
      </c>
      <c r="D33" s="13">
        <f>SUM(D30+SUM(D32:D32))</f>
        <v>-438</v>
      </c>
      <c r="E33" s="13">
        <f>SUM(E30+SUM(E32:E32))</f>
        <v>1553</v>
      </c>
      <c r="G33" s="13">
        <f>SUM(G30+SUM(G32:G32))</f>
        <v>-314</v>
      </c>
      <c r="H33" s="13">
        <f>SUM(H30+SUM(H32:H32))</f>
        <v>-151</v>
      </c>
      <c r="I33" s="13">
        <f>SUM(I30+SUM(I32:I32))</f>
        <v>-170</v>
      </c>
      <c r="J33" s="13">
        <f>SUM(J30+SUM(J32:J32))</f>
        <v>197</v>
      </c>
      <c r="K33" s="13">
        <f>SUM(K30+SUM(K32:K32))</f>
        <v>-130</v>
      </c>
      <c r="L33" s="13">
        <f>SUM(L30+SUM(L32:L32))</f>
        <v>1294</v>
      </c>
      <c r="M33" s="13">
        <f>SUM(M30+SUM(M32:M32))</f>
        <v>-96</v>
      </c>
      <c r="N33" s="13">
        <f>SUM(N30+SUM(N32:N32))</f>
        <v>485</v>
      </c>
      <c r="O33" s="13">
        <f>SUM(O30+SUM(O32:O32))</f>
        <v>253</v>
      </c>
      <c r="P33" s="13">
        <f>SUM(P30+SUM(P32:P32))</f>
        <v>514</v>
      </c>
      <c r="Q33" s="13">
        <f>SUM(Q30+SUM(Q32:Q32))</f>
        <v>453</v>
      </c>
      <c r="S33" s="13">
        <f>SUM(S30+SUM(S32:S32))</f>
        <v>-438</v>
      </c>
      <c r="T33" s="13">
        <f>SUM(T30+SUM(T32:T32))</f>
        <v>-254</v>
      </c>
      <c r="U33" s="13">
        <f>SUM(U30+SUM(U32:U32))</f>
        <v>1191</v>
      </c>
      <c r="V33" s="13">
        <f>SUM(V30+SUM(V32:V32))</f>
        <v>1265</v>
      </c>
      <c r="W33" s="13">
        <f>SUM(W30+SUM(W32:W32))</f>
        <v>1553</v>
      </c>
      <c r="X33" s="13">
        <f>SUM(X30+SUM(X32:X32))</f>
        <v>1936</v>
      </c>
      <c r="Y33" s="13">
        <f>SUM(Y30+SUM(Y32:Y32))</f>
        <v>1156</v>
      </c>
      <c r="Z33" s="39"/>
      <c r="AA33" s="69">
        <f>SUM(Y33/U33)-1</f>
        <v>-2.9387069689336687E-2</v>
      </c>
    </row>
    <row r="34" spans="1:27" ht="12.75" customHeight="1">
      <c r="B34" s="14" t="s">
        <v>62</v>
      </c>
      <c r="C34" s="15">
        <f>C33/C11</f>
        <v>-9.226411276724894E-2</v>
      </c>
      <c r="D34" s="15">
        <f t="shared" ref="D34:E34" si="97">D33/D11</f>
        <v>-1.3177291735611781E-2</v>
      </c>
      <c r="E34" s="15">
        <f t="shared" si="97"/>
        <v>4.4453985973951622E-2</v>
      </c>
      <c r="F34" s="25"/>
      <c r="G34" s="15">
        <f t="shared" ref="G34" si="98">G33/G11</f>
        <v>-4.6027557900908823E-2</v>
      </c>
      <c r="H34" s="15">
        <f t="shared" ref="H34" si="99">H33/H11</f>
        <v>-1.8598349550437245E-2</v>
      </c>
      <c r="I34" s="15">
        <f t="shared" ref="I34" si="100">I33/I11</f>
        <v>-2.0601066408143482E-2</v>
      </c>
      <c r="J34" s="15">
        <f t="shared" ref="J34" si="101">J33/J11</f>
        <v>1.9609794943261E-2</v>
      </c>
      <c r="K34" s="15">
        <f t="shared" ref="K34" si="102">K33/K11</f>
        <v>-1.7908802865408458E-2</v>
      </c>
      <c r="L34" s="15">
        <f t="shared" ref="L34" si="103">L33/L11</f>
        <v>0.15772793759141882</v>
      </c>
      <c r="M34" s="15">
        <f t="shared" ref="M34" si="104">M33/M11</f>
        <v>-1.0770784247728038E-2</v>
      </c>
      <c r="N34" s="15">
        <f t="shared" ref="N34" si="105">N33/N11</f>
        <v>4.5932379960223507E-2</v>
      </c>
      <c r="O34" s="15">
        <f t="shared" ref="O34" si="106">O33/O11</f>
        <v>3.1499003984063745E-2</v>
      </c>
      <c r="P34" s="15">
        <f t="shared" ref="P34" si="107">P33/P11</f>
        <v>5.6415322138074854E-2</v>
      </c>
      <c r="Q34" s="15">
        <f t="shared" ref="Q34" si="108">Q33/Q11</f>
        <v>4.5440866686728858E-2</v>
      </c>
      <c r="S34" s="15">
        <f t="shared" ref="S34" si="109">S33/S11</f>
        <v>-1.3177291735611781E-2</v>
      </c>
      <c r="T34" s="15">
        <f t="shared" ref="T34" si="110">T33/T11</f>
        <v>-7.5424634754721461E-3</v>
      </c>
      <c r="U34" s="15">
        <f t="shared" ref="U34" si="111">U33/U11</f>
        <v>3.527739107253932E-2</v>
      </c>
      <c r="V34" s="15">
        <f t="shared" ref="V34" si="112">V33/V11</f>
        <v>3.6749753064900352E-2</v>
      </c>
      <c r="W34" s="15">
        <f t="shared" ref="W34" si="113">W33/W11</f>
        <v>4.4453985973951622E-2</v>
      </c>
      <c r="X34" s="15">
        <f t="shared" ref="X34" si="114">X33/X11</f>
        <v>5.4217542287442591E-2</v>
      </c>
      <c r="Y34" s="15">
        <f t="shared" ref="Y34" si="115">Y33/Y11</f>
        <v>3.1571760207565205E-2</v>
      </c>
      <c r="Z34" s="40"/>
      <c r="AA34" s="70">
        <f>SUM(Y34-U34)*1000</f>
        <v>-3.7056308649741148</v>
      </c>
    </row>
    <row r="35" spans="1:27" ht="5.0999999999999996" customHeight="1">
      <c r="B35" s="14"/>
      <c r="C35" s="15"/>
      <c r="D35" s="15"/>
      <c r="E35" s="15"/>
      <c r="F35" s="2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26"/>
      <c r="S35" s="15"/>
      <c r="T35" s="15"/>
      <c r="U35" s="15"/>
      <c r="V35" s="15"/>
      <c r="W35" s="15"/>
      <c r="X35" s="15"/>
      <c r="Y35" s="15"/>
      <c r="Z35" s="40"/>
      <c r="AA35" s="70"/>
    </row>
    <row r="36" spans="1:27" ht="12.75" customHeight="1">
      <c r="B36" s="41" t="s">
        <v>63</v>
      </c>
      <c r="C36" s="76">
        <v>274</v>
      </c>
      <c r="D36" s="76">
        <v>274</v>
      </c>
      <c r="E36" s="76">
        <v>275</v>
      </c>
      <c r="F36" s="25"/>
      <c r="G36" s="76">
        <v>274</v>
      </c>
      <c r="H36" s="76">
        <v>274</v>
      </c>
      <c r="I36" s="76">
        <v>274</v>
      </c>
      <c r="J36" s="30">
        <f>D36</f>
        <v>274</v>
      </c>
      <c r="K36" s="76">
        <v>274</v>
      </c>
      <c r="L36" s="76">
        <v>274</v>
      </c>
      <c r="M36" s="76">
        <v>275</v>
      </c>
      <c r="N36" s="30">
        <f>E36</f>
        <v>275</v>
      </c>
      <c r="O36" s="76">
        <v>275</v>
      </c>
      <c r="P36" s="76">
        <v>272</v>
      </c>
      <c r="Q36" s="76">
        <v>272</v>
      </c>
      <c r="R36" s="30"/>
      <c r="S36" s="30">
        <f t="shared" ref="S36:X36" si="116">J36</f>
        <v>274</v>
      </c>
      <c r="T36" s="30">
        <f t="shared" si="116"/>
        <v>274</v>
      </c>
      <c r="U36" s="30">
        <f t="shared" si="116"/>
        <v>274</v>
      </c>
      <c r="V36" s="30">
        <f t="shared" si="116"/>
        <v>275</v>
      </c>
      <c r="W36" s="30">
        <f t="shared" si="116"/>
        <v>275</v>
      </c>
      <c r="X36" s="30">
        <f t="shared" si="116"/>
        <v>275</v>
      </c>
      <c r="Y36" s="30">
        <f>P36</f>
        <v>272</v>
      </c>
      <c r="Z36" s="40"/>
      <c r="AA36" s="68">
        <f>SUM(Y36/U36)-1</f>
        <v>-7.2992700729926918E-3</v>
      </c>
    </row>
    <row r="37" spans="1:27" ht="12.75" customHeight="1">
      <c r="B37" s="12" t="s">
        <v>64</v>
      </c>
      <c r="C37" s="71">
        <f>C33/C36</f>
        <v>-9.985401459854014</v>
      </c>
      <c r="D37" s="71">
        <f>D33/D36</f>
        <v>-1.5985401459854014</v>
      </c>
      <c r="E37" s="71">
        <f>E33/E36</f>
        <v>5.6472727272727274</v>
      </c>
      <c r="F37" s="11"/>
      <c r="G37" s="71">
        <f>G33/G36</f>
        <v>-1.1459854014598541</v>
      </c>
      <c r="H37" s="71">
        <f>H33/H36</f>
        <v>-0.55109489051094895</v>
      </c>
      <c r="I37" s="71">
        <f>I33/I36</f>
        <v>-0.62043795620437958</v>
      </c>
      <c r="J37" s="71">
        <f>J33/J36</f>
        <v>0.71897810218978098</v>
      </c>
      <c r="K37" s="71">
        <f>K33/K36</f>
        <v>-0.47445255474452552</v>
      </c>
      <c r="L37" s="71">
        <f>L33/L36</f>
        <v>4.7226277372262775</v>
      </c>
      <c r="M37" s="71">
        <f>M33/M36</f>
        <v>-0.34909090909090912</v>
      </c>
      <c r="N37" s="71">
        <f>N33/N36</f>
        <v>1.7636363636363637</v>
      </c>
      <c r="O37" s="71">
        <f>O33/O36</f>
        <v>0.92</v>
      </c>
      <c r="P37" s="71">
        <f>P33/P36</f>
        <v>1.8897058823529411</v>
      </c>
      <c r="Q37" s="71">
        <f>Q33/Q36</f>
        <v>1.6654411764705883</v>
      </c>
      <c r="R37" s="30"/>
      <c r="S37" s="71">
        <f>S33/S36</f>
        <v>-1.5985401459854014</v>
      </c>
      <c r="T37" s="71">
        <f>T33/T36</f>
        <v>-0.92700729927007297</v>
      </c>
      <c r="U37" s="71">
        <f>U33/U36</f>
        <v>4.3467153284671536</v>
      </c>
      <c r="V37" s="71">
        <f>V33/V36</f>
        <v>4.5999999999999996</v>
      </c>
      <c r="W37" s="71">
        <f>W33/W36</f>
        <v>5.6472727272727274</v>
      </c>
      <c r="X37" s="71">
        <f>X33/X36</f>
        <v>7.04</v>
      </c>
      <c r="Y37" s="71">
        <f>Y33/Y36</f>
        <v>4.25</v>
      </c>
      <c r="Z37" s="33"/>
      <c r="AA37" s="69">
        <f>SUM(Y37/U37)-1</f>
        <v>-2.2250209907640706E-2</v>
      </c>
    </row>
    <row r="38" spans="1:27" ht="5.0999999999999996" customHeight="1">
      <c r="B38" s="14"/>
      <c r="C38" s="15"/>
      <c r="D38" s="15"/>
      <c r="E38" s="15"/>
      <c r="F38" s="2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26"/>
      <c r="S38" s="15"/>
      <c r="T38" s="15"/>
      <c r="U38" s="15"/>
      <c r="V38" s="15"/>
      <c r="W38" s="15"/>
      <c r="X38" s="15"/>
      <c r="Y38" s="15"/>
      <c r="Z38" s="40"/>
      <c r="AA38" s="70"/>
    </row>
    <row r="39" spans="1:27" ht="12.75" customHeight="1">
      <c r="B39" s="41" t="s">
        <v>65</v>
      </c>
      <c r="C39" s="76">
        <v>274</v>
      </c>
      <c r="D39" s="76">
        <v>274</v>
      </c>
      <c r="E39" s="76">
        <v>278</v>
      </c>
      <c r="F39" s="25"/>
      <c r="G39" s="76">
        <v>274</v>
      </c>
      <c r="H39" s="76">
        <v>274</v>
      </c>
      <c r="I39" s="76">
        <v>274</v>
      </c>
      <c r="J39" s="30">
        <f>D39</f>
        <v>274</v>
      </c>
      <c r="K39" s="76">
        <v>274</v>
      </c>
      <c r="L39" s="76">
        <v>278</v>
      </c>
      <c r="M39" s="76">
        <v>275</v>
      </c>
      <c r="N39" s="30">
        <f>E39</f>
        <v>278</v>
      </c>
      <c r="O39" s="76">
        <v>279</v>
      </c>
      <c r="P39" s="76">
        <v>276</v>
      </c>
      <c r="Q39" s="76">
        <v>275</v>
      </c>
      <c r="R39" s="30"/>
      <c r="S39" s="30">
        <f t="shared" ref="S39" si="117">J39</f>
        <v>274</v>
      </c>
      <c r="T39" s="30">
        <f t="shared" ref="T39" si="118">K39</f>
        <v>274</v>
      </c>
      <c r="U39" s="30">
        <f t="shared" ref="U39" si="119">L39</f>
        <v>278</v>
      </c>
      <c r="V39" s="30">
        <f t="shared" ref="V39" si="120">M39</f>
        <v>275</v>
      </c>
      <c r="W39" s="30">
        <f t="shared" ref="W39" si="121">N39</f>
        <v>278</v>
      </c>
      <c r="X39" s="30">
        <f t="shared" ref="X39" si="122">O39</f>
        <v>279</v>
      </c>
      <c r="Y39" s="30">
        <f>P39</f>
        <v>276</v>
      </c>
      <c r="Z39" s="40"/>
      <c r="AA39" s="68">
        <f>SUM(Y39/U39)-1</f>
        <v>-7.194244604316502E-3</v>
      </c>
    </row>
    <row r="40" spans="1:27" ht="12.75" customHeight="1">
      <c r="B40" s="12" t="s">
        <v>66</v>
      </c>
      <c r="C40" s="71">
        <f>C33/C39</f>
        <v>-9.985401459854014</v>
      </c>
      <c r="D40" s="71">
        <f>D33/D39</f>
        <v>-1.5985401459854014</v>
      </c>
      <c r="E40" s="71">
        <f>E33/E39</f>
        <v>5.5863309352517989</v>
      </c>
      <c r="F40" s="25"/>
      <c r="G40" s="71">
        <f>G33/G39</f>
        <v>-1.1459854014598541</v>
      </c>
      <c r="H40" s="71">
        <f>H33/H39</f>
        <v>-0.55109489051094895</v>
      </c>
      <c r="I40" s="71">
        <f>I33/I39</f>
        <v>-0.62043795620437958</v>
      </c>
      <c r="J40" s="71">
        <f>J33/J39</f>
        <v>0.71897810218978098</v>
      </c>
      <c r="K40" s="71">
        <f>K33/K39</f>
        <v>-0.47445255474452552</v>
      </c>
      <c r="L40" s="71">
        <f>L33/L39</f>
        <v>4.6546762589928061</v>
      </c>
      <c r="M40" s="71">
        <f>M33/M39</f>
        <v>-0.34909090909090912</v>
      </c>
      <c r="N40" s="71">
        <f>N33/N39</f>
        <v>1.7446043165467626</v>
      </c>
      <c r="O40" s="71">
        <f>O33/O39</f>
        <v>0.90681003584229392</v>
      </c>
      <c r="P40" s="71">
        <f>P33/P39</f>
        <v>1.8623188405797102</v>
      </c>
      <c r="Q40" s="71">
        <f>Q33/Q39</f>
        <v>1.6472727272727272</v>
      </c>
      <c r="R40" s="30"/>
      <c r="S40" s="71">
        <f>S33/S39</f>
        <v>-1.5985401459854014</v>
      </c>
      <c r="T40" s="71">
        <f>T33/T39</f>
        <v>-0.92700729927007297</v>
      </c>
      <c r="U40" s="71">
        <f>U33/U39</f>
        <v>4.2841726618705032</v>
      </c>
      <c r="V40" s="71">
        <f>V33/V39</f>
        <v>4.5999999999999996</v>
      </c>
      <c r="W40" s="71">
        <f>W33/W39</f>
        <v>5.5863309352517989</v>
      </c>
      <c r="X40" s="71">
        <f>X33/X39</f>
        <v>6.9390681003584227</v>
      </c>
      <c r="Y40" s="71">
        <f>Y33/Y39</f>
        <v>4.1884057971014492</v>
      </c>
      <c r="Z40" s="33"/>
      <c r="AA40" s="69">
        <f>SUM(Y40/U40)-1</f>
        <v>-2.2353642658099915E-2</v>
      </c>
    </row>
    <row r="41" spans="1:27">
      <c r="B41" s="14"/>
      <c r="C41" s="15"/>
      <c r="D41" s="15"/>
      <c r="E41" s="76"/>
      <c r="F41" s="2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26"/>
      <c r="S41" s="15"/>
      <c r="T41" s="15"/>
      <c r="U41" s="15"/>
      <c r="V41" s="15"/>
      <c r="W41" s="15"/>
      <c r="X41" s="15"/>
      <c r="Y41" s="15"/>
      <c r="Z41" s="40"/>
    </row>
    <row r="42" spans="1:27" ht="12.75" customHeight="1">
      <c r="A42" s="5" t="s">
        <v>17</v>
      </c>
      <c r="B42" s="91" t="s">
        <v>75</v>
      </c>
      <c r="C42" s="92" t="s">
        <v>0</v>
      </c>
      <c r="D42" s="92"/>
      <c r="E42" s="92"/>
      <c r="F42" s="93"/>
      <c r="G42" s="92"/>
      <c r="H42" s="92"/>
      <c r="I42" s="92"/>
      <c r="J42" s="92"/>
      <c r="K42" s="92"/>
      <c r="L42" s="92"/>
      <c r="M42" s="92" t="s">
        <v>1</v>
      </c>
      <c r="N42" s="92"/>
      <c r="O42" s="92"/>
      <c r="P42" s="92"/>
      <c r="Q42" s="92"/>
      <c r="R42" s="91"/>
      <c r="S42" s="92"/>
      <c r="T42" s="92"/>
      <c r="U42" s="92" t="s">
        <v>10</v>
      </c>
      <c r="V42" s="92"/>
      <c r="W42" s="92"/>
      <c r="X42" s="92"/>
      <c r="Y42" s="92"/>
      <c r="Z42" s="93"/>
      <c r="AA42" s="151" t="s">
        <v>23</v>
      </c>
    </row>
    <row r="43" spans="1:27" ht="12.75" customHeight="1">
      <c r="B43" s="95" t="str">
        <f>B7</f>
        <v>Fiscal Period</v>
      </c>
      <c r="C43" s="94">
        <f>C7</f>
        <v>2022</v>
      </c>
      <c r="D43" s="94">
        <f>D7</f>
        <v>2023</v>
      </c>
      <c r="E43" s="94">
        <f>E7</f>
        <v>2024</v>
      </c>
      <c r="F43" s="93"/>
      <c r="G43" s="94" t="str">
        <f>G7</f>
        <v>1Q23</v>
      </c>
      <c r="H43" s="94" t="str">
        <f>H7</f>
        <v>2Q23</v>
      </c>
      <c r="I43" s="94" t="str">
        <f>I7</f>
        <v>3Q23</v>
      </c>
      <c r="J43" s="94" t="str">
        <f>J7</f>
        <v>4Q23</v>
      </c>
      <c r="K43" s="94" t="str">
        <f>K7</f>
        <v>1Q24</v>
      </c>
      <c r="L43" s="94" t="str">
        <f>L7</f>
        <v>2Q24</v>
      </c>
      <c r="M43" s="94" t="str">
        <f>M7</f>
        <v>3Q24</v>
      </c>
      <c r="N43" s="94" t="str">
        <f>N7</f>
        <v>4Q24</v>
      </c>
      <c r="O43" s="94" t="str">
        <f>O7</f>
        <v>1Q25</v>
      </c>
      <c r="P43" s="94" t="str">
        <f>P7</f>
        <v>2Q25</v>
      </c>
      <c r="Q43" s="94" t="str">
        <f>Q7</f>
        <v>3Q25</v>
      </c>
      <c r="R43" s="96"/>
      <c r="S43" s="94" t="str">
        <f>S7</f>
        <v>1Q24</v>
      </c>
      <c r="T43" s="94" t="str">
        <f>T7</f>
        <v>2Q24</v>
      </c>
      <c r="U43" s="94" t="str">
        <f>U7</f>
        <v>3Q24</v>
      </c>
      <c r="V43" s="94" t="str">
        <f>V7</f>
        <v>4Q24</v>
      </c>
      <c r="W43" s="94" t="str">
        <f>W7</f>
        <v>1Q25</v>
      </c>
      <c r="X43" s="94" t="str">
        <f>X7</f>
        <v>2Q25</v>
      </c>
      <c r="Y43" s="94" t="str">
        <f>Y7</f>
        <v>3Q25</v>
      </c>
      <c r="Z43" s="93"/>
      <c r="AA43" s="151"/>
    </row>
    <row r="44" spans="1:27" ht="12.75" customHeight="1">
      <c r="B44" s="95" t="str">
        <f>B8</f>
        <v>Fiscal Period End Date</v>
      </c>
      <c r="C44" s="97">
        <f>C8</f>
        <v>44926</v>
      </c>
      <c r="D44" s="97">
        <f>D8</f>
        <v>45291</v>
      </c>
      <c r="E44" s="97">
        <f>E8</f>
        <v>45657</v>
      </c>
      <c r="F44" s="93"/>
      <c r="G44" s="97">
        <f>G8</f>
        <v>45016</v>
      </c>
      <c r="H44" s="97">
        <f>H8</f>
        <v>45107</v>
      </c>
      <c r="I44" s="97">
        <f>I8</f>
        <v>45199</v>
      </c>
      <c r="J44" s="97">
        <f>J8</f>
        <v>45291</v>
      </c>
      <c r="K44" s="97">
        <f>K8</f>
        <v>45382</v>
      </c>
      <c r="L44" s="97">
        <f>L8</f>
        <v>45473</v>
      </c>
      <c r="M44" s="97">
        <f>M8</f>
        <v>45565</v>
      </c>
      <c r="N44" s="97">
        <f>N8</f>
        <v>45657</v>
      </c>
      <c r="O44" s="97">
        <f>O8</f>
        <v>45747</v>
      </c>
      <c r="P44" s="97">
        <f>P8</f>
        <v>45838</v>
      </c>
      <c r="Q44" s="97">
        <f>Q8</f>
        <v>45930</v>
      </c>
      <c r="R44" s="98"/>
      <c r="S44" s="97">
        <f>S8</f>
        <v>45382</v>
      </c>
      <c r="T44" s="97">
        <f>T8</f>
        <v>45473</v>
      </c>
      <c r="U44" s="97">
        <f>U8</f>
        <v>45565</v>
      </c>
      <c r="V44" s="97">
        <f>V8</f>
        <v>45657</v>
      </c>
      <c r="W44" s="97">
        <f>W8</f>
        <v>45747</v>
      </c>
      <c r="X44" s="97">
        <f>X8</f>
        <v>45838</v>
      </c>
      <c r="Y44" s="97">
        <f>Y8</f>
        <v>45930</v>
      </c>
      <c r="Z44" s="93"/>
      <c r="AA44" s="151"/>
    </row>
    <row r="45" spans="1:27" ht="5.0999999999999996" customHeight="1">
      <c r="B45" s="43"/>
      <c r="C45" s="44"/>
      <c r="D45" s="44"/>
      <c r="E45" s="44"/>
    </row>
    <row r="46" spans="1:27">
      <c r="B46" s="72" t="s">
        <v>81</v>
      </c>
      <c r="C46" s="44"/>
      <c r="D46" s="44"/>
      <c r="E46" s="44"/>
    </row>
    <row r="47" spans="1:27" ht="12.75" customHeight="1">
      <c r="B47" s="9" t="s">
        <v>138</v>
      </c>
      <c r="C47" s="105">
        <v>2067</v>
      </c>
      <c r="D47" s="105">
        <v>1551</v>
      </c>
      <c r="E47" s="105">
        <v>8205</v>
      </c>
      <c r="G47" s="105">
        <v>2073</v>
      </c>
      <c r="H47" s="105">
        <v>1620</v>
      </c>
      <c r="I47" s="105">
        <v>1486</v>
      </c>
      <c r="J47" s="82">
        <f t="shared" ref="J47:J52" si="123">D47</f>
        <v>1551</v>
      </c>
      <c r="K47" s="105">
        <v>3255</v>
      </c>
      <c r="L47" s="105">
        <v>5779</v>
      </c>
      <c r="M47" s="105">
        <v>7395</v>
      </c>
      <c r="N47" s="82">
        <f t="shared" ref="N47:N52" si="124">E47</f>
        <v>8205</v>
      </c>
      <c r="O47" s="105">
        <v>8107</v>
      </c>
      <c r="P47" s="105">
        <v>7892</v>
      </c>
      <c r="Q47" s="105">
        <v>7945</v>
      </c>
      <c r="R47" s="82"/>
      <c r="S47" s="30">
        <f t="shared" ref="S47:X48" si="125">J47</f>
        <v>1551</v>
      </c>
      <c r="T47" s="30">
        <f t="shared" si="125"/>
        <v>3255</v>
      </c>
      <c r="U47" s="30">
        <f t="shared" si="125"/>
        <v>5779</v>
      </c>
      <c r="V47" s="30">
        <f t="shared" si="125"/>
        <v>7395</v>
      </c>
      <c r="W47" s="30">
        <f t="shared" si="125"/>
        <v>8205</v>
      </c>
      <c r="X47" s="30">
        <f t="shared" si="125"/>
        <v>8107</v>
      </c>
      <c r="Y47" s="30">
        <f>P47</f>
        <v>7892</v>
      </c>
      <c r="Z47" s="11"/>
      <c r="AA47" s="68">
        <f t="shared" ref="AA47:AA53" si="126">SUM(Y47/U47)-1</f>
        <v>0.36563419276691467</v>
      </c>
    </row>
    <row r="48" spans="1:27" ht="12.75" customHeight="1">
      <c r="B48" s="9" t="s">
        <v>139</v>
      </c>
      <c r="C48" s="163"/>
      <c r="D48" s="105">
        <v>7409</v>
      </c>
      <c r="E48" s="105">
        <v>8174</v>
      </c>
      <c r="G48" s="163"/>
      <c r="H48" s="163"/>
      <c r="I48" s="163"/>
      <c r="J48" s="82">
        <f t="shared" si="123"/>
        <v>7409</v>
      </c>
      <c r="K48" s="105">
        <v>6992</v>
      </c>
      <c r="L48" s="105">
        <v>6419</v>
      </c>
      <c r="M48" s="105">
        <v>7221</v>
      </c>
      <c r="N48" s="82">
        <f t="shared" si="124"/>
        <v>8174</v>
      </c>
      <c r="O48" s="105">
        <v>7136</v>
      </c>
      <c r="P48" s="105">
        <v>6948</v>
      </c>
      <c r="Q48" s="105">
        <v>7374</v>
      </c>
      <c r="R48" s="82"/>
      <c r="S48" s="30">
        <f t="shared" si="125"/>
        <v>7409</v>
      </c>
      <c r="T48" s="30">
        <f t="shared" si="125"/>
        <v>6992</v>
      </c>
      <c r="U48" s="30">
        <f t="shared" si="125"/>
        <v>6419</v>
      </c>
      <c r="V48" s="30">
        <f t="shared" si="125"/>
        <v>7221</v>
      </c>
      <c r="W48" s="30">
        <f t="shared" si="125"/>
        <v>8174</v>
      </c>
      <c r="X48" s="30">
        <f t="shared" si="125"/>
        <v>7136</v>
      </c>
      <c r="Y48" s="30">
        <f t="shared" ref="Y48" si="127">P48</f>
        <v>6948</v>
      </c>
      <c r="Z48" s="11"/>
      <c r="AA48" s="68">
        <f t="shared" si="126"/>
        <v>8.2411590590434569E-2</v>
      </c>
    </row>
    <row r="49" spans="2:27" ht="12.75" customHeight="1">
      <c r="B49" s="9" t="s">
        <v>140</v>
      </c>
      <c r="C49" s="163"/>
      <c r="D49" s="105">
        <v>80</v>
      </c>
      <c r="E49" s="105">
        <v>4</v>
      </c>
      <c r="G49" s="163"/>
      <c r="H49" s="163"/>
      <c r="I49" s="163"/>
      <c r="J49" s="82">
        <f t="shared" si="123"/>
        <v>80</v>
      </c>
      <c r="K49" s="105">
        <v>104</v>
      </c>
      <c r="L49" s="105">
        <v>12</v>
      </c>
      <c r="M49" s="105">
        <v>5</v>
      </c>
      <c r="N49" s="82">
        <f t="shared" si="124"/>
        <v>4</v>
      </c>
      <c r="O49" s="105">
        <v>0</v>
      </c>
      <c r="P49" s="105">
        <v>0</v>
      </c>
      <c r="Q49" s="105">
        <v>0</v>
      </c>
      <c r="R49" s="82"/>
      <c r="S49" s="30">
        <f t="shared" ref="S49" si="128">J49</f>
        <v>80</v>
      </c>
      <c r="T49" s="30">
        <f t="shared" ref="T49" si="129">K49</f>
        <v>104</v>
      </c>
      <c r="U49" s="30">
        <f t="shared" ref="U49" si="130">L49</f>
        <v>12</v>
      </c>
      <c r="V49" s="30">
        <f t="shared" ref="V49" si="131">M49</f>
        <v>5</v>
      </c>
      <c r="W49" s="30">
        <f t="shared" ref="W49" si="132">N49</f>
        <v>4</v>
      </c>
      <c r="X49" s="30">
        <f t="shared" ref="X49" si="133">O49</f>
        <v>0</v>
      </c>
      <c r="Y49" s="30">
        <f t="shared" ref="Y49" si="134">P49</f>
        <v>0</v>
      </c>
      <c r="Z49" s="11"/>
      <c r="AA49" s="68">
        <f t="shared" si="126"/>
        <v>-1</v>
      </c>
    </row>
    <row r="50" spans="2:27" ht="12.75" customHeight="1">
      <c r="B50" s="9" t="s">
        <v>141</v>
      </c>
      <c r="C50" s="163"/>
      <c r="D50" s="105">
        <v>8253</v>
      </c>
      <c r="E50" s="105">
        <v>8587</v>
      </c>
      <c r="G50" s="163"/>
      <c r="H50" s="163"/>
      <c r="I50" s="163"/>
      <c r="J50" s="82">
        <f t="shared" si="123"/>
        <v>8253</v>
      </c>
      <c r="K50" s="105">
        <v>8859</v>
      </c>
      <c r="L50" s="105">
        <v>9346</v>
      </c>
      <c r="M50" s="105">
        <v>9377</v>
      </c>
      <c r="N50" s="82">
        <f t="shared" si="124"/>
        <v>8587</v>
      </c>
      <c r="O50" s="105">
        <v>9156</v>
      </c>
      <c r="P50" s="105">
        <v>9825</v>
      </c>
      <c r="Q50" s="105">
        <v>10032</v>
      </c>
      <c r="R50" s="82"/>
      <c r="S50" s="30">
        <f t="shared" ref="S50:S52" si="135">J50</f>
        <v>8253</v>
      </c>
      <c r="T50" s="30">
        <f t="shared" ref="T50:T52" si="136">K50</f>
        <v>8859</v>
      </c>
      <c r="U50" s="30">
        <f t="shared" ref="U50:U52" si="137">L50</f>
        <v>9346</v>
      </c>
      <c r="V50" s="30">
        <f t="shared" ref="V50:V52" si="138">M50</f>
        <v>9377</v>
      </c>
      <c r="W50" s="30">
        <f t="shared" ref="W50:W52" si="139">N50</f>
        <v>8587</v>
      </c>
      <c r="X50" s="30">
        <f t="shared" ref="X50:X52" si="140">O50</f>
        <v>9156</v>
      </c>
      <c r="Y50" s="30">
        <f t="shared" ref="Y50:Y52" si="141">P50</f>
        <v>9825</v>
      </c>
      <c r="Z50" s="11"/>
      <c r="AA50" s="68">
        <f t="shared" si="126"/>
        <v>5.1251872458805803E-2</v>
      </c>
    </row>
    <row r="51" spans="2:27" ht="12.75" customHeight="1">
      <c r="B51" s="9" t="s">
        <v>133</v>
      </c>
      <c r="C51" s="163"/>
      <c r="D51" s="105">
        <v>8339</v>
      </c>
      <c r="E51" s="105">
        <v>8621</v>
      </c>
      <c r="G51" s="163"/>
      <c r="H51" s="163"/>
      <c r="I51" s="163"/>
      <c r="J51" s="82">
        <f t="shared" si="123"/>
        <v>8339</v>
      </c>
      <c r="K51" s="105">
        <v>8579</v>
      </c>
      <c r="L51" s="105">
        <v>8702</v>
      </c>
      <c r="M51" s="105">
        <v>8592</v>
      </c>
      <c r="N51" s="82">
        <f t="shared" si="124"/>
        <v>8621</v>
      </c>
      <c r="O51" s="105">
        <v>9040</v>
      </c>
      <c r="P51" s="105">
        <v>9489</v>
      </c>
      <c r="Q51" s="105">
        <v>9485</v>
      </c>
      <c r="R51" s="82"/>
      <c r="S51" s="30">
        <f t="shared" si="135"/>
        <v>8339</v>
      </c>
      <c r="T51" s="30">
        <f t="shared" si="136"/>
        <v>8579</v>
      </c>
      <c r="U51" s="30">
        <f t="shared" si="137"/>
        <v>8702</v>
      </c>
      <c r="V51" s="30">
        <f t="shared" si="138"/>
        <v>8592</v>
      </c>
      <c r="W51" s="30">
        <f t="shared" si="139"/>
        <v>8621</v>
      </c>
      <c r="X51" s="30">
        <f t="shared" si="140"/>
        <v>9040</v>
      </c>
      <c r="Y51" s="30">
        <f t="shared" si="141"/>
        <v>9489</v>
      </c>
      <c r="Z51" s="11"/>
      <c r="AA51" s="68">
        <f t="shared" si="126"/>
        <v>9.0438979544932296E-2</v>
      </c>
    </row>
    <row r="52" spans="2:27" ht="12.75" customHeight="1">
      <c r="B52" s="9" t="s">
        <v>134</v>
      </c>
      <c r="C52" s="163"/>
      <c r="D52" s="105">
        <f>1444+352</f>
        <v>1796</v>
      </c>
      <c r="E52" s="105">
        <v>562</v>
      </c>
      <c r="G52" s="163"/>
      <c r="H52" s="163"/>
      <c r="I52" s="163"/>
      <c r="J52" s="82">
        <f t="shared" si="123"/>
        <v>1796</v>
      </c>
      <c r="K52" s="105">
        <f>462+993</f>
        <v>1455</v>
      </c>
      <c r="L52" s="105">
        <v>463</v>
      </c>
      <c r="M52" s="105">
        <v>550</v>
      </c>
      <c r="N52" s="82">
        <f t="shared" si="124"/>
        <v>562</v>
      </c>
      <c r="O52" s="105">
        <v>497</v>
      </c>
      <c r="P52" s="105">
        <v>555</v>
      </c>
      <c r="Q52" s="105">
        <f>934+508</f>
        <v>1442</v>
      </c>
      <c r="R52" s="82"/>
      <c r="S52" s="30">
        <f t="shared" si="135"/>
        <v>1796</v>
      </c>
      <c r="T52" s="30">
        <f t="shared" si="136"/>
        <v>1455</v>
      </c>
      <c r="U52" s="30">
        <f t="shared" si="137"/>
        <v>463</v>
      </c>
      <c r="V52" s="30">
        <f t="shared" si="138"/>
        <v>550</v>
      </c>
      <c r="W52" s="30">
        <f t="shared" si="139"/>
        <v>562</v>
      </c>
      <c r="X52" s="30">
        <f t="shared" si="140"/>
        <v>497</v>
      </c>
      <c r="Y52" s="30">
        <f t="shared" si="141"/>
        <v>555</v>
      </c>
      <c r="Z52" s="11"/>
      <c r="AA52" s="68">
        <f t="shared" si="126"/>
        <v>0.19870410367170632</v>
      </c>
    </row>
    <row r="53" spans="2:27" ht="12.75" customHeight="1">
      <c r="B53" s="23" t="s">
        <v>19</v>
      </c>
      <c r="C53" s="24">
        <f>SUM(C47:C52)</f>
        <v>2067</v>
      </c>
      <c r="D53" s="24">
        <f>SUM(D47:D52)</f>
        <v>27428</v>
      </c>
      <c r="E53" s="24">
        <f>SUM(E47:E52)</f>
        <v>34153</v>
      </c>
      <c r="F53" s="45"/>
      <c r="G53" s="24">
        <f t="shared" ref="G53:Q53" si="142">SUM(G47:G52)</f>
        <v>2073</v>
      </c>
      <c r="H53" s="24">
        <f t="shared" si="142"/>
        <v>1620</v>
      </c>
      <c r="I53" s="24">
        <f t="shared" si="142"/>
        <v>1486</v>
      </c>
      <c r="J53" s="24">
        <f t="shared" si="142"/>
        <v>27428</v>
      </c>
      <c r="K53" s="24">
        <f t="shared" si="142"/>
        <v>29244</v>
      </c>
      <c r="L53" s="24">
        <f t="shared" si="142"/>
        <v>30721</v>
      </c>
      <c r="M53" s="24">
        <f t="shared" si="142"/>
        <v>33140</v>
      </c>
      <c r="N53" s="24">
        <f t="shared" si="142"/>
        <v>34153</v>
      </c>
      <c r="O53" s="24">
        <f t="shared" si="142"/>
        <v>33936</v>
      </c>
      <c r="P53" s="24">
        <f t="shared" si="142"/>
        <v>34709</v>
      </c>
      <c r="Q53" s="24">
        <f t="shared" si="142"/>
        <v>36278</v>
      </c>
      <c r="R53" s="45"/>
      <c r="S53" s="24">
        <f t="shared" ref="S53:Y53" si="143">SUM(S47:S52)</f>
        <v>27428</v>
      </c>
      <c r="T53" s="24">
        <f t="shared" si="143"/>
        <v>29244</v>
      </c>
      <c r="U53" s="24">
        <f t="shared" si="143"/>
        <v>30721</v>
      </c>
      <c r="V53" s="24">
        <f t="shared" si="143"/>
        <v>33140</v>
      </c>
      <c r="W53" s="24">
        <f t="shared" si="143"/>
        <v>34153</v>
      </c>
      <c r="X53" s="24">
        <f t="shared" si="143"/>
        <v>33936</v>
      </c>
      <c r="Y53" s="24">
        <f t="shared" si="143"/>
        <v>34709</v>
      </c>
      <c r="Z53" s="39"/>
      <c r="AA53" s="69">
        <f t="shared" si="126"/>
        <v>0.12981348263402892</v>
      </c>
    </row>
    <row r="54" spans="2:27" ht="5.0999999999999996" customHeight="1">
      <c r="B54" s="23"/>
      <c r="C54" s="46"/>
      <c r="D54" s="38"/>
      <c r="E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S54" s="39"/>
      <c r="T54" s="39"/>
      <c r="U54" s="39"/>
      <c r="V54" s="39"/>
      <c r="W54" s="39"/>
      <c r="X54" s="39"/>
      <c r="Y54" s="39"/>
      <c r="Z54" s="39"/>
      <c r="AA54" s="36"/>
    </row>
    <row r="55" spans="2:27" ht="12.75" customHeight="1">
      <c r="B55" s="72" t="s">
        <v>82</v>
      </c>
      <c r="C55" s="76"/>
      <c r="D55" s="76"/>
      <c r="E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S55" s="30"/>
      <c r="T55" s="30"/>
      <c r="U55" s="30"/>
      <c r="V55" s="30"/>
      <c r="W55" s="30"/>
      <c r="X55" s="30"/>
      <c r="Y55" s="30"/>
      <c r="Z55" s="11"/>
      <c r="AA55" s="68"/>
    </row>
    <row r="56" spans="2:27" ht="12.75" customHeight="1">
      <c r="B56" s="9" t="s">
        <v>142</v>
      </c>
      <c r="C56" s="163"/>
      <c r="D56" s="76">
        <v>5228</v>
      </c>
      <c r="E56" s="76">
        <v>5150</v>
      </c>
      <c r="G56" s="163"/>
      <c r="H56" s="163"/>
      <c r="I56" s="163"/>
      <c r="J56" s="82">
        <f t="shared" ref="J56:J62" si="144">D56</f>
        <v>5228</v>
      </c>
      <c r="K56" s="105">
        <v>5224</v>
      </c>
      <c r="L56" s="105">
        <v>5168</v>
      </c>
      <c r="M56" s="105">
        <v>5148</v>
      </c>
      <c r="N56" s="82">
        <f t="shared" ref="N56:N62" si="145">E56</f>
        <v>5150</v>
      </c>
      <c r="O56" s="105">
        <v>5225</v>
      </c>
      <c r="P56" s="105">
        <v>5419</v>
      </c>
      <c r="Q56" s="105">
        <v>5555</v>
      </c>
      <c r="S56" s="30">
        <f t="shared" ref="S56" si="146">J56</f>
        <v>5228</v>
      </c>
      <c r="T56" s="30">
        <f t="shared" ref="T56" si="147">K56</f>
        <v>5224</v>
      </c>
      <c r="U56" s="30">
        <f t="shared" ref="U56" si="148">L56</f>
        <v>5168</v>
      </c>
      <c r="V56" s="30">
        <f t="shared" ref="V56" si="149">M56</f>
        <v>5148</v>
      </c>
      <c r="W56" s="30">
        <f t="shared" ref="W56" si="150">N56</f>
        <v>5150</v>
      </c>
      <c r="X56" s="30">
        <f t="shared" ref="X56" si="151">O56</f>
        <v>5225</v>
      </c>
      <c r="Y56" s="30">
        <f t="shared" ref="Y56" si="152">P56</f>
        <v>5419</v>
      </c>
      <c r="Z56" s="11"/>
      <c r="AA56" s="68">
        <f t="shared" ref="AA56" si="153">SUM(Y56/U56)-1</f>
        <v>4.856811145510842E-2</v>
      </c>
    </row>
    <row r="57" spans="2:27" ht="12.75" customHeight="1">
      <c r="B57" s="9" t="s">
        <v>107</v>
      </c>
      <c r="C57" s="163"/>
      <c r="D57" s="76">
        <v>4437</v>
      </c>
      <c r="E57" s="76">
        <v>4263</v>
      </c>
      <c r="G57" s="163"/>
      <c r="H57" s="163"/>
      <c r="I57" s="163"/>
      <c r="J57" s="82">
        <f t="shared" si="144"/>
        <v>4437</v>
      </c>
      <c r="K57" s="105">
        <v>4403</v>
      </c>
      <c r="L57" s="105">
        <v>4354</v>
      </c>
      <c r="M57" s="105">
        <v>4444</v>
      </c>
      <c r="N57" s="82">
        <f t="shared" si="145"/>
        <v>4263</v>
      </c>
      <c r="O57" s="105">
        <v>4368</v>
      </c>
      <c r="P57" s="105">
        <v>4528</v>
      </c>
      <c r="Q57" s="105">
        <v>4327</v>
      </c>
      <c r="S57" s="30">
        <f t="shared" ref="S57:S58" si="154">J57</f>
        <v>4437</v>
      </c>
      <c r="T57" s="30">
        <f t="shared" ref="T57:T58" si="155">K57</f>
        <v>4403</v>
      </c>
      <c r="U57" s="30">
        <f t="shared" ref="U57:U58" si="156">L57</f>
        <v>4354</v>
      </c>
      <c r="V57" s="30">
        <f t="shared" ref="V57:V58" si="157">M57</f>
        <v>4444</v>
      </c>
      <c r="W57" s="30">
        <f t="shared" ref="W57:W58" si="158">N57</f>
        <v>4263</v>
      </c>
      <c r="X57" s="30">
        <f t="shared" ref="X57:X58" si="159">O57</f>
        <v>4368</v>
      </c>
      <c r="Y57" s="30">
        <f t="shared" ref="Y57:Y58" si="160">P57</f>
        <v>4528</v>
      </c>
      <c r="Z57" s="11"/>
      <c r="AA57" s="68">
        <f t="shared" ref="AA57:AA62" si="161">SUM(Y57/U57)-1</f>
        <v>3.9963252181901776E-2</v>
      </c>
    </row>
    <row r="58" spans="2:27" ht="12.75" customHeight="1">
      <c r="B58" s="9" t="s">
        <v>143</v>
      </c>
      <c r="C58" s="163"/>
      <c r="D58" s="76">
        <v>1042</v>
      </c>
      <c r="E58" s="76">
        <v>813</v>
      </c>
      <c r="G58" s="163"/>
      <c r="H58" s="163"/>
      <c r="I58" s="163"/>
      <c r="J58" s="82">
        <f t="shared" si="144"/>
        <v>1042</v>
      </c>
      <c r="K58" s="105">
        <v>991</v>
      </c>
      <c r="L58" s="105">
        <v>925</v>
      </c>
      <c r="M58" s="105">
        <v>869</v>
      </c>
      <c r="N58" s="82">
        <f t="shared" si="145"/>
        <v>813</v>
      </c>
      <c r="O58" s="105">
        <v>773</v>
      </c>
      <c r="P58" s="105">
        <v>739</v>
      </c>
      <c r="Q58" s="105">
        <v>747</v>
      </c>
      <c r="S58" s="30">
        <f t="shared" si="154"/>
        <v>1042</v>
      </c>
      <c r="T58" s="30">
        <f t="shared" si="155"/>
        <v>991</v>
      </c>
      <c r="U58" s="30">
        <f t="shared" si="156"/>
        <v>925</v>
      </c>
      <c r="V58" s="30">
        <f t="shared" si="157"/>
        <v>869</v>
      </c>
      <c r="W58" s="30">
        <f t="shared" si="158"/>
        <v>813</v>
      </c>
      <c r="X58" s="30">
        <f t="shared" si="159"/>
        <v>773</v>
      </c>
      <c r="Y58" s="30">
        <f t="shared" si="160"/>
        <v>739</v>
      </c>
      <c r="Z58" s="11"/>
      <c r="AA58" s="68">
        <f t="shared" si="161"/>
        <v>-0.20108108108108103</v>
      </c>
    </row>
    <row r="59" spans="2:27" ht="12.75" customHeight="1">
      <c r="B59" s="9" t="s">
        <v>144</v>
      </c>
      <c r="C59" s="163"/>
      <c r="D59" s="76">
        <v>621</v>
      </c>
      <c r="E59" s="76">
        <v>555</v>
      </c>
      <c r="G59" s="163"/>
      <c r="H59" s="163"/>
      <c r="I59" s="163"/>
      <c r="J59" s="82">
        <f t="shared" si="144"/>
        <v>621</v>
      </c>
      <c r="K59" s="105">
        <v>633</v>
      </c>
      <c r="L59" s="105">
        <v>614</v>
      </c>
      <c r="M59" s="105">
        <v>618</v>
      </c>
      <c r="N59" s="82">
        <f t="shared" si="145"/>
        <v>555</v>
      </c>
      <c r="O59" s="105">
        <v>505</v>
      </c>
      <c r="P59" s="105">
        <v>496</v>
      </c>
      <c r="Q59" s="105">
        <v>486</v>
      </c>
      <c r="S59" s="30">
        <f t="shared" ref="S59:S62" si="162">J59</f>
        <v>621</v>
      </c>
      <c r="T59" s="30">
        <f t="shared" ref="T59:T62" si="163">K59</f>
        <v>633</v>
      </c>
      <c r="U59" s="30">
        <f t="shared" ref="U59:U62" si="164">L59</f>
        <v>614</v>
      </c>
      <c r="V59" s="30">
        <f t="shared" ref="V59:V62" si="165">M59</f>
        <v>618</v>
      </c>
      <c r="W59" s="30">
        <f t="shared" ref="W59:W62" si="166">N59</f>
        <v>555</v>
      </c>
      <c r="X59" s="30">
        <f t="shared" ref="X59:X62" si="167">O59</f>
        <v>505</v>
      </c>
      <c r="Y59" s="30">
        <f t="shared" ref="Y59:Y62" si="168">P59</f>
        <v>496</v>
      </c>
      <c r="Z59" s="11"/>
      <c r="AA59" s="68">
        <f t="shared" si="161"/>
        <v>-0.19218241042345274</v>
      </c>
    </row>
    <row r="60" spans="2:27" ht="12.75" customHeight="1">
      <c r="B60" s="9" t="s">
        <v>145</v>
      </c>
      <c r="C60" s="163"/>
      <c r="D60" s="76">
        <v>3555</v>
      </c>
      <c r="E60" s="76">
        <v>2149</v>
      </c>
      <c r="G60" s="163"/>
      <c r="H60" s="163"/>
      <c r="I60" s="163"/>
      <c r="J60" s="82">
        <f t="shared" si="144"/>
        <v>3555</v>
      </c>
      <c r="K60" s="105">
        <v>3647</v>
      </c>
      <c r="L60" s="105">
        <v>2405</v>
      </c>
      <c r="M60" s="105">
        <v>2376</v>
      </c>
      <c r="N60" s="82">
        <f t="shared" si="145"/>
        <v>2149</v>
      </c>
      <c r="O60" s="105">
        <v>2137</v>
      </c>
      <c r="P60" s="105">
        <v>2170</v>
      </c>
      <c r="Q60" s="105">
        <v>1916</v>
      </c>
      <c r="S60" s="30">
        <f t="shared" si="162"/>
        <v>3555</v>
      </c>
      <c r="T60" s="30">
        <f t="shared" si="163"/>
        <v>3647</v>
      </c>
      <c r="U60" s="30">
        <f t="shared" si="164"/>
        <v>2405</v>
      </c>
      <c r="V60" s="30">
        <f t="shared" si="165"/>
        <v>2376</v>
      </c>
      <c r="W60" s="30">
        <f t="shared" si="166"/>
        <v>2149</v>
      </c>
      <c r="X60" s="30">
        <f t="shared" si="167"/>
        <v>2137</v>
      </c>
      <c r="Y60" s="30">
        <f t="shared" si="168"/>
        <v>2170</v>
      </c>
      <c r="Z60" s="11"/>
      <c r="AA60" s="68">
        <f t="shared" si="161"/>
        <v>-9.7713097713097663E-2</v>
      </c>
    </row>
    <row r="61" spans="2:27" ht="12.75" customHeight="1">
      <c r="B61" s="9" t="s">
        <v>135</v>
      </c>
      <c r="C61" s="163"/>
      <c r="D61" s="76">
        <v>1582</v>
      </c>
      <c r="E61" s="76">
        <v>1639</v>
      </c>
      <c r="G61" s="163"/>
      <c r="H61" s="163"/>
      <c r="I61" s="163"/>
      <c r="J61" s="82">
        <f t="shared" si="144"/>
        <v>1582</v>
      </c>
      <c r="K61" s="105">
        <v>1428</v>
      </c>
      <c r="L61" s="105">
        <v>1383</v>
      </c>
      <c r="M61" s="105">
        <v>1499</v>
      </c>
      <c r="N61" s="82">
        <f t="shared" si="145"/>
        <v>1639</v>
      </c>
      <c r="O61" s="105">
        <v>1639</v>
      </c>
      <c r="P61" s="105">
        <v>1733</v>
      </c>
      <c r="Q61" s="105">
        <v>1684</v>
      </c>
      <c r="S61" s="30">
        <f t="shared" si="162"/>
        <v>1582</v>
      </c>
      <c r="T61" s="30">
        <f t="shared" si="163"/>
        <v>1428</v>
      </c>
      <c r="U61" s="30">
        <f t="shared" si="164"/>
        <v>1383</v>
      </c>
      <c r="V61" s="30">
        <f t="shared" si="165"/>
        <v>1499</v>
      </c>
      <c r="W61" s="30">
        <f t="shared" si="166"/>
        <v>1639</v>
      </c>
      <c r="X61" s="30">
        <f t="shared" si="167"/>
        <v>1639</v>
      </c>
      <c r="Y61" s="30">
        <f t="shared" si="168"/>
        <v>1733</v>
      </c>
      <c r="Z61" s="11"/>
      <c r="AA61" s="68">
        <f t="shared" si="161"/>
        <v>0.25307302964569778</v>
      </c>
    </row>
    <row r="62" spans="2:27" ht="12.75" customHeight="1">
      <c r="B62" s="9" t="s">
        <v>146</v>
      </c>
      <c r="C62" s="163"/>
      <c r="D62" s="76">
        <v>2228</v>
      </c>
      <c r="E62" s="76">
        <v>2762</v>
      </c>
      <c r="G62" s="163"/>
      <c r="H62" s="163"/>
      <c r="I62" s="163"/>
      <c r="J62" s="82">
        <f t="shared" si="144"/>
        <v>2228</v>
      </c>
      <c r="K62" s="105">
        <v>2302</v>
      </c>
      <c r="L62" s="105">
        <v>2480</v>
      </c>
      <c r="M62" s="105">
        <v>2759</v>
      </c>
      <c r="N62" s="82">
        <f t="shared" si="145"/>
        <v>2762</v>
      </c>
      <c r="O62" s="105">
        <v>2976</v>
      </c>
      <c r="P62" s="105">
        <v>3284</v>
      </c>
      <c r="Q62" s="105">
        <v>3406</v>
      </c>
      <c r="S62" s="30">
        <f t="shared" si="162"/>
        <v>2228</v>
      </c>
      <c r="T62" s="30">
        <f t="shared" si="163"/>
        <v>2302</v>
      </c>
      <c r="U62" s="30">
        <f t="shared" si="164"/>
        <v>2480</v>
      </c>
      <c r="V62" s="30">
        <f t="shared" si="165"/>
        <v>2759</v>
      </c>
      <c r="W62" s="30">
        <f t="shared" si="166"/>
        <v>2762</v>
      </c>
      <c r="X62" s="30">
        <f t="shared" si="167"/>
        <v>2976</v>
      </c>
      <c r="Y62" s="30">
        <f t="shared" si="168"/>
        <v>3284</v>
      </c>
      <c r="Z62" s="11"/>
      <c r="AA62" s="68">
        <f t="shared" si="161"/>
        <v>0.3241935483870968</v>
      </c>
    </row>
    <row r="63" spans="2:27" ht="12.75" customHeight="1">
      <c r="B63" s="12" t="s">
        <v>20</v>
      </c>
      <c r="C63" s="13">
        <f>SUM(C56:C62)+C53</f>
        <v>2067</v>
      </c>
      <c r="D63" s="13">
        <f>SUM(D56:D62)+D53</f>
        <v>46121</v>
      </c>
      <c r="E63" s="13">
        <f>SUM(E56:E62)+E53</f>
        <v>51484</v>
      </c>
      <c r="G63" s="13">
        <f>SUM(G56:G62)+G53</f>
        <v>2073</v>
      </c>
      <c r="H63" s="13">
        <f>SUM(H56:H62)+H53</f>
        <v>1620</v>
      </c>
      <c r="I63" s="13">
        <f>SUM(I56:I62)+I53</f>
        <v>1486</v>
      </c>
      <c r="J63" s="13">
        <f>SUM(J56:J62)+J53</f>
        <v>46121</v>
      </c>
      <c r="K63" s="13">
        <f>SUM(K56:K62)+K53</f>
        <v>47872</v>
      </c>
      <c r="L63" s="13">
        <f>SUM(L56:L62)+L53</f>
        <v>48050</v>
      </c>
      <c r="M63" s="13">
        <f>SUM(M56:M62)+M53</f>
        <v>50853</v>
      </c>
      <c r="N63" s="13">
        <f>SUM(N56:N62)+N53</f>
        <v>51484</v>
      </c>
      <c r="O63" s="13">
        <f>SUM(O56:O62)+O53</f>
        <v>51559</v>
      </c>
      <c r="P63" s="13">
        <f>SUM(P56:P62)+P53</f>
        <v>53078</v>
      </c>
      <c r="Q63" s="13">
        <f>SUM(Q56:Q62)+Q53</f>
        <v>54399</v>
      </c>
      <c r="S63" s="13">
        <f>SUM(S56:S62)+S53</f>
        <v>46121</v>
      </c>
      <c r="T63" s="13">
        <f>SUM(T56:T62)+T53</f>
        <v>47872</v>
      </c>
      <c r="U63" s="13">
        <f>SUM(U56:U62)+U53</f>
        <v>48050</v>
      </c>
      <c r="V63" s="13">
        <f>SUM(V56:V62)+V53</f>
        <v>50853</v>
      </c>
      <c r="W63" s="13">
        <f>SUM(W56:W62)+W53</f>
        <v>51484</v>
      </c>
      <c r="X63" s="13">
        <f>SUM(X56:X62)+X53</f>
        <v>51559</v>
      </c>
      <c r="Y63" s="13">
        <f>SUM(Y56:Y62)+Y53</f>
        <v>53078</v>
      </c>
      <c r="Z63" s="39"/>
      <c r="AA63" s="69">
        <f>SUM(Y63/U63)-1</f>
        <v>0.10464099895941725</v>
      </c>
    </row>
    <row r="64" spans="2:27" ht="12.75" customHeight="1">
      <c r="B64" s="23"/>
      <c r="C64" s="47"/>
      <c r="D64" s="38"/>
      <c r="E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S64" s="39"/>
      <c r="T64" s="39"/>
      <c r="U64" s="39"/>
      <c r="V64" s="39"/>
      <c r="W64" s="39"/>
      <c r="X64" s="39"/>
      <c r="Y64" s="39"/>
      <c r="Z64" s="39"/>
      <c r="AA64" s="36"/>
    </row>
    <row r="65" spans="2:27" ht="12.75" customHeight="1">
      <c r="B65" s="72" t="s">
        <v>45</v>
      </c>
      <c r="C65" s="47"/>
      <c r="D65" s="38"/>
      <c r="E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S65" s="39"/>
      <c r="T65" s="39"/>
      <c r="U65" s="39"/>
      <c r="V65" s="39"/>
      <c r="W65" s="39"/>
      <c r="X65" s="39"/>
      <c r="Y65" s="39"/>
      <c r="Z65" s="39"/>
      <c r="AA65" s="36"/>
    </row>
    <row r="66" spans="2:27" ht="12.75" customHeight="1">
      <c r="B66" s="9" t="s">
        <v>147</v>
      </c>
      <c r="C66" s="163"/>
      <c r="D66" s="76">
        <v>7900</v>
      </c>
      <c r="E66" s="76">
        <v>8578</v>
      </c>
      <c r="G66" s="163"/>
      <c r="H66" s="163"/>
      <c r="I66" s="163"/>
      <c r="J66" s="82">
        <f t="shared" ref="J66:J69" si="169">D66</f>
        <v>7900</v>
      </c>
      <c r="K66" s="105">
        <v>7509</v>
      </c>
      <c r="L66" s="105">
        <v>7841</v>
      </c>
      <c r="M66" s="105">
        <v>8942</v>
      </c>
      <c r="N66" s="82">
        <f t="shared" ref="N66:N69" si="170">E66</f>
        <v>8578</v>
      </c>
      <c r="O66" s="105">
        <v>8421</v>
      </c>
      <c r="P66" s="105">
        <v>9035</v>
      </c>
      <c r="Q66" s="105">
        <v>9541</v>
      </c>
      <c r="S66" s="30">
        <f t="shared" ref="S66" si="171">J66</f>
        <v>7900</v>
      </c>
      <c r="T66" s="30">
        <f t="shared" ref="T66" si="172">K66</f>
        <v>7509</v>
      </c>
      <c r="U66" s="30">
        <f t="shared" ref="U66" si="173">L66</f>
        <v>7841</v>
      </c>
      <c r="V66" s="30">
        <f t="shared" ref="V66" si="174">M66</f>
        <v>8942</v>
      </c>
      <c r="W66" s="30">
        <f t="shared" ref="W66" si="175">N66</f>
        <v>8578</v>
      </c>
      <c r="X66" s="30">
        <f t="shared" ref="X66" si="176">O66</f>
        <v>8421</v>
      </c>
      <c r="Y66" s="30">
        <f t="shared" ref="Y66" si="177">P66</f>
        <v>9035</v>
      </c>
      <c r="Z66" s="11"/>
      <c r="AA66" s="68">
        <f>SUM(Y66/U66)-1</f>
        <v>0.15227649534498156</v>
      </c>
    </row>
    <row r="67" spans="2:27" ht="12.75" customHeight="1">
      <c r="B67" s="9" t="s">
        <v>148</v>
      </c>
      <c r="C67" s="163"/>
      <c r="D67" s="76">
        <v>532</v>
      </c>
      <c r="E67" s="76">
        <v>24</v>
      </c>
      <c r="G67" s="163"/>
      <c r="H67" s="163"/>
      <c r="I67" s="163"/>
      <c r="J67" s="82">
        <f t="shared" si="169"/>
        <v>532</v>
      </c>
      <c r="K67" s="105">
        <v>217</v>
      </c>
      <c r="L67" s="105">
        <v>44</v>
      </c>
      <c r="M67" s="105">
        <v>58</v>
      </c>
      <c r="N67" s="82">
        <f t="shared" si="170"/>
        <v>24</v>
      </c>
      <c r="O67" s="105">
        <v>0</v>
      </c>
      <c r="P67" s="105">
        <v>0</v>
      </c>
      <c r="Q67" s="105">
        <v>0</v>
      </c>
      <c r="S67" s="30">
        <f t="shared" ref="S67" si="178">J67</f>
        <v>532</v>
      </c>
      <c r="T67" s="30">
        <f t="shared" ref="T67" si="179">K67</f>
        <v>217</v>
      </c>
      <c r="U67" s="30">
        <f t="shared" ref="U67" si="180">L67</f>
        <v>44</v>
      </c>
      <c r="V67" s="30">
        <f t="shared" ref="V67" si="181">M67</f>
        <v>58</v>
      </c>
      <c r="W67" s="30">
        <f t="shared" ref="W67" si="182">N67</f>
        <v>24</v>
      </c>
      <c r="X67" s="30">
        <f t="shared" ref="X67" si="183">O67</f>
        <v>0</v>
      </c>
      <c r="Y67" s="30">
        <f t="shared" ref="Y67" si="184">P67</f>
        <v>0</v>
      </c>
      <c r="Z67" s="11"/>
      <c r="AA67" s="68"/>
    </row>
    <row r="68" spans="2:27" ht="12.75" customHeight="1">
      <c r="B68" s="9" t="s">
        <v>149</v>
      </c>
      <c r="C68" s="163"/>
      <c r="D68" s="76">
        <v>15074</v>
      </c>
      <c r="E68" s="76">
        <v>17587</v>
      </c>
      <c r="G68" s="163"/>
      <c r="H68" s="163"/>
      <c r="I68" s="163"/>
      <c r="J68" s="82">
        <f t="shared" si="169"/>
        <v>15074</v>
      </c>
      <c r="K68" s="105">
        <v>15919</v>
      </c>
      <c r="L68" s="105">
        <v>16536</v>
      </c>
      <c r="M68" s="105">
        <v>16908</v>
      </c>
      <c r="N68" s="82">
        <f t="shared" si="170"/>
        <v>17587</v>
      </c>
      <c r="O68" s="105">
        <v>18708</v>
      </c>
      <c r="P68" s="105">
        <v>19603</v>
      </c>
      <c r="Q68" s="105">
        <v>20151</v>
      </c>
      <c r="S68" s="30">
        <f t="shared" ref="S68" si="185">J68</f>
        <v>15074</v>
      </c>
      <c r="T68" s="30">
        <f t="shared" ref="T68" si="186">K68</f>
        <v>15919</v>
      </c>
      <c r="U68" s="30">
        <f t="shared" ref="U68" si="187">L68</f>
        <v>16536</v>
      </c>
      <c r="V68" s="30">
        <f t="shared" ref="V68" si="188">M68</f>
        <v>16908</v>
      </c>
      <c r="W68" s="30">
        <f t="shared" ref="W68" si="189">N68</f>
        <v>17587</v>
      </c>
      <c r="X68" s="30">
        <f t="shared" ref="X68" si="190">O68</f>
        <v>18708</v>
      </c>
      <c r="Y68" s="30">
        <f t="shared" ref="Y68" si="191">P68</f>
        <v>19603</v>
      </c>
      <c r="Z68" s="11"/>
      <c r="AA68" s="68">
        <f>SUM(Y68/U68)-1</f>
        <v>0.18547411707789063</v>
      </c>
    </row>
    <row r="69" spans="2:27" ht="12.75" customHeight="1">
      <c r="B69" s="9" t="s">
        <v>150</v>
      </c>
      <c r="C69" s="163"/>
      <c r="D69" s="76">
        <f>1448+4352</f>
        <v>5800</v>
      </c>
      <c r="E69" s="76">
        <v>5496</v>
      </c>
      <c r="G69" s="163"/>
      <c r="H69" s="163"/>
      <c r="I69" s="163"/>
      <c r="J69" s="82">
        <f t="shared" si="169"/>
        <v>5800</v>
      </c>
      <c r="K69" s="105">
        <f>4399+1472</f>
        <v>5871</v>
      </c>
      <c r="L69" s="105">
        <v>4644</v>
      </c>
      <c r="M69" s="105">
        <v>5324</v>
      </c>
      <c r="N69" s="82">
        <f t="shared" si="170"/>
        <v>5496</v>
      </c>
      <c r="O69" s="105">
        <v>5547</v>
      </c>
      <c r="P69" s="105">
        <v>5123</v>
      </c>
      <c r="Q69" s="105">
        <f>5499+80</f>
        <v>5579</v>
      </c>
      <c r="S69" s="30">
        <f t="shared" ref="S69" si="192">J69</f>
        <v>5800</v>
      </c>
      <c r="T69" s="30">
        <f t="shared" ref="T69" si="193">K69</f>
        <v>5871</v>
      </c>
      <c r="U69" s="30">
        <f t="shared" ref="U69" si="194">L69</f>
        <v>4644</v>
      </c>
      <c r="V69" s="30">
        <f t="shared" ref="V69" si="195">M69</f>
        <v>5324</v>
      </c>
      <c r="W69" s="30">
        <f t="shared" ref="W69" si="196">N69</f>
        <v>5496</v>
      </c>
      <c r="X69" s="30">
        <f t="shared" ref="X69" si="197">O69</f>
        <v>5547</v>
      </c>
      <c r="Y69" s="30">
        <f t="shared" ref="Y69" si="198">P69</f>
        <v>5123</v>
      </c>
      <c r="Z69" s="11"/>
      <c r="AA69" s="68"/>
    </row>
    <row r="70" spans="2:27" ht="12.75" customHeight="1">
      <c r="B70" s="23" t="s">
        <v>18</v>
      </c>
      <c r="C70" s="24">
        <f>SUM(C66:C69)</f>
        <v>0</v>
      </c>
      <c r="D70" s="24">
        <f>SUM(D66:D69)</f>
        <v>29306</v>
      </c>
      <c r="E70" s="24">
        <f>SUM(E66:E69)</f>
        <v>31685</v>
      </c>
      <c r="G70" s="24">
        <f>SUM(G66:G69)</f>
        <v>0</v>
      </c>
      <c r="H70" s="24">
        <f>SUM(H66:H69)</f>
        <v>0</v>
      </c>
      <c r="I70" s="24">
        <f>SUM(I66:I69)</f>
        <v>0</v>
      </c>
      <c r="J70" s="24">
        <f>SUM(J66:J69)</f>
        <v>29306</v>
      </c>
      <c r="K70" s="24">
        <f>SUM(K66:K69)</f>
        <v>29516</v>
      </c>
      <c r="L70" s="24">
        <f>SUM(L66:L69)</f>
        <v>29065</v>
      </c>
      <c r="M70" s="24">
        <f>SUM(M66:M69)</f>
        <v>31232</v>
      </c>
      <c r="N70" s="24">
        <f>SUM(N66:N69)</f>
        <v>31685</v>
      </c>
      <c r="O70" s="24">
        <f>SUM(O66:O69)</f>
        <v>32676</v>
      </c>
      <c r="P70" s="24">
        <f>SUM(P66:P69)</f>
        <v>33761</v>
      </c>
      <c r="Q70" s="24">
        <f>SUM(Q66:Q69)</f>
        <v>35271</v>
      </c>
      <c r="R70" s="45"/>
      <c r="S70" s="24">
        <f>SUM(S66:S69)</f>
        <v>29306</v>
      </c>
      <c r="T70" s="24">
        <f>SUM(T66:T69)</f>
        <v>29516</v>
      </c>
      <c r="U70" s="24">
        <f>SUM(U66:U69)</f>
        <v>29065</v>
      </c>
      <c r="V70" s="24">
        <f>SUM(V66:V69)</f>
        <v>31232</v>
      </c>
      <c r="W70" s="24">
        <f>SUM(W66:W69)</f>
        <v>31685</v>
      </c>
      <c r="X70" s="24">
        <f>SUM(X66:X69)</f>
        <v>32676</v>
      </c>
      <c r="Y70" s="24">
        <f>SUM(Y66:Y69)</f>
        <v>33761</v>
      </c>
      <c r="Z70" s="39"/>
      <c r="AA70" s="69">
        <f>SUM(Y70/U70)-1</f>
        <v>0.16156889729915713</v>
      </c>
    </row>
    <row r="71" spans="2:27" ht="5.0999999999999996" customHeight="1">
      <c r="B71" s="23"/>
      <c r="C71" s="47"/>
      <c r="D71" s="38"/>
      <c r="E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S71" s="39"/>
      <c r="T71" s="39"/>
      <c r="U71" s="39"/>
      <c r="V71" s="39"/>
      <c r="W71" s="39"/>
      <c r="X71" s="39"/>
      <c r="Y71" s="39"/>
      <c r="Z71" s="39"/>
      <c r="AA71" s="36"/>
    </row>
    <row r="72" spans="2:27">
      <c r="B72" s="72" t="s">
        <v>83</v>
      </c>
      <c r="C72" s="47"/>
      <c r="D72" s="38"/>
      <c r="E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S72" s="39"/>
      <c r="T72" s="39"/>
      <c r="U72" s="39"/>
      <c r="V72" s="39"/>
      <c r="W72" s="39"/>
      <c r="X72" s="39"/>
      <c r="Y72" s="39"/>
      <c r="Z72" s="39"/>
      <c r="AA72" s="36"/>
    </row>
    <row r="73" spans="2:27" ht="12.75" customHeight="1">
      <c r="B73" s="104" t="s">
        <v>135</v>
      </c>
      <c r="C73" s="163"/>
      <c r="D73" s="76">
        <v>382</v>
      </c>
      <c r="E73" s="76">
        <v>827</v>
      </c>
      <c r="G73" s="163"/>
      <c r="H73" s="163"/>
      <c r="I73" s="163"/>
      <c r="J73" s="82">
        <f t="shared" ref="J73:J75" si="199">D73</f>
        <v>382</v>
      </c>
      <c r="K73" s="105">
        <v>423</v>
      </c>
      <c r="L73" s="105">
        <v>674</v>
      </c>
      <c r="M73" s="105">
        <v>823</v>
      </c>
      <c r="N73" s="82">
        <f t="shared" ref="N73:N75" si="200">E73</f>
        <v>827</v>
      </c>
      <c r="O73" s="105">
        <v>782</v>
      </c>
      <c r="P73" s="105">
        <v>818</v>
      </c>
      <c r="Q73" s="105">
        <v>820</v>
      </c>
      <c r="S73" s="30">
        <f t="shared" ref="S73:S74" si="201">J73</f>
        <v>382</v>
      </c>
      <c r="T73" s="30">
        <f t="shared" ref="T73:T74" si="202">K73</f>
        <v>423</v>
      </c>
      <c r="U73" s="30">
        <f t="shared" ref="U73:U74" si="203">L73</f>
        <v>674</v>
      </c>
      <c r="V73" s="30">
        <f t="shared" ref="V73:V74" si="204">M73</f>
        <v>823</v>
      </c>
      <c r="W73" s="30">
        <f t="shared" ref="W73:W74" si="205">N73</f>
        <v>827</v>
      </c>
      <c r="X73" s="30">
        <f t="shared" ref="X73:X74" si="206">O73</f>
        <v>782</v>
      </c>
      <c r="Y73" s="30">
        <f t="shared" ref="Y73:Y74" si="207">P73</f>
        <v>818</v>
      </c>
      <c r="Z73" s="39"/>
      <c r="AA73" s="68">
        <f t="shared" ref="AA73:AA74" si="208">SUM(Y73/U73)-1</f>
        <v>0.21364985163204753</v>
      </c>
    </row>
    <row r="74" spans="2:27" ht="12.75" customHeight="1">
      <c r="B74" s="104" t="s">
        <v>151</v>
      </c>
      <c r="C74" s="163"/>
      <c r="D74" s="76">
        <v>3273</v>
      </c>
      <c r="E74" s="76">
        <v>3264</v>
      </c>
      <c r="G74" s="163"/>
      <c r="H74" s="163"/>
      <c r="I74" s="163"/>
      <c r="J74" s="82">
        <f t="shared" si="199"/>
        <v>3273</v>
      </c>
      <c r="K74" s="105">
        <v>3266</v>
      </c>
      <c r="L74" s="105">
        <v>3224</v>
      </c>
      <c r="M74" s="105">
        <v>3233</v>
      </c>
      <c r="N74" s="82">
        <f t="shared" si="200"/>
        <v>3264</v>
      </c>
      <c r="O74" s="105">
        <v>3252</v>
      </c>
      <c r="P74" s="105">
        <v>3243</v>
      </c>
      <c r="Q74" s="105">
        <v>3195</v>
      </c>
      <c r="S74" s="30">
        <f t="shared" si="201"/>
        <v>3273</v>
      </c>
      <c r="T74" s="30">
        <f t="shared" si="202"/>
        <v>3266</v>
      </c>
      <c r="U74" s="30">
        <f t="shared" si="203"/>
        <v>3224</v>
      </c>
      <c r="V74" s="30">
        <f t="shared" si="204"/>
        <v>3233</v>
      </c>
      <c r="W74" s="30">
        <f t="shared" si="205"/>
        <v>3264</v>
      </c>
      <c r="X74" s="30">
        <f t="shared" si="206"/>
        <v>3252</v>
      </c>
      <c r="Y74" s="30">
        <f t="shared" si="207"/>
        <v>3243</v>
      </c>
      <c r="Z74" s="39"/>
      <c r="AA74" s="68">
        <f t="shared" si="208"/>
        <v>5.893300248138944E-3</v>
      </c>
    </row>
    <row r="75" spans="2:27" ht="12.75" customHeight="1">
      <c r="B75" s="104" t="s">
        <v>152</v>
      </c>
      <c r="C75" s="163"/>
      <c r="D75" s="76">
        <v>4780</v>
      </c>
      <c r="E75" s="76">
        <v>5116</v>
      </c>
      <c r="G75" s="163"/>
      <c r="H75" s="163"/>
      <c r="I75" s="163"/>
      <c r="J75" s="82">
        <f t="shared" si="199"/>
        <v>4780</v>
      </c>
      <c r="K75" s="105">
        <v>4687</v>
      </c>
      <c r="L75" s="105">
        <v>5040</v>
      </c>
      <c r="M75" s="105">
        <v>5048</v>
      </c>
      <c r="N75" s="82">
        <f t="shared" si="200"/>
        <v>5116</v>
      </c>
      <c r="O75" s="105">
        <v>5177</v>
      </c>
      <c r="P75" s="105">
        <v>5309</v>
      </c>
      <c r="Q75" s="105">
        <v>5382</v>
      </c>
      <c r="S75" s="30">
        <f t="shared" ref="S75:X75" si="209">J75</f>
        <v>4780</v>
      </c>
      <c r="T75" s="30">
        <f t="shared" si="209"/>
        <v>4687</v>
      </c>
      <c r="U75" s="30">
        <f t="shared" si="209"/>
        <v>5040</v>
      </c>
      <c r="V75" s="30">
        <f t="shared" si="209"/>
        <v>5048</v>
      </c>
      <c r="W75" s="30">
        <f t="shared" si="209"/>
        <v>5116</v>
      </c>
      <c r="X75" s="30">
        <f t="shared" si="209"/>
        <v>5177</v>
      </c>
      <c r="Y75" s="30">
        <f t="shared" ref="Y75" si="210">P75</f>
        <v>5309</v>
      </c>
      <c r="Z75" s="39"/>
      <c r="AA75" s="68">
        <f>SUM(Y75/U75)-1</f>
        <v>5.3373015873015905E-2</v>
      </c>
    </row>
    <row r="76" spans="2:27" ht="12.75" customHeight="1">
      <c r="B76" s="12" t="s">
        <v>16</v>
      </c>
      <c r="C76" s="13">
        <f>SUM(C73:C75)+C70</f>
        <v>0</v>
      </c>
      <c r="D76" s="13">
        <f>SUM(D73:D75)+D70</f>
        <v>37741</v>
      </c>
      <c r="E76" s="13">
        <f>SUM(E73:E75)+E70</f>
        <v>40892</v>
      </c>
      <c r="G76" s="13">
        <f>SUM(G73:G75)+G70</f>
        <v>0</v>
      </c>
      <c r="H76" s="13">
        <f>SUM(H73:H75)+H70</f>
        <v>0</v>
      </c>
      <c r="I76" s="13">
        <f>SUM(I73:I75)+I70</f>
        <v>0</v>
      </c>
      <c r="J76" s="13">
        <f>SUM(J73:J75)+J70</f>
        <v>37741</v>
      </c>
      <c r="K76" s="13">
        <f>SUM(K73:K75)+K70</f>
        <v>37892</v>
      </c>
      <c r="L76" s="13">
        <f>SUM(L73:L75)+L70</f>
        <v>38003</v>
      </c>
      <c r="M76" s="13">
        <f>SUM(M73:M75)+M70</f>
        <v>40336</v>
      </c>
      <c r="N76" s="13">
        <f>SUM(N73:N75)+N70</f>
        <v>40892</v>
      </c>
      <c r="O76" s="13">
        <f>SUM(O73:O75)+O70</f>
        <v>41887</v>
      </c>
      <c r="P76" s="13">
        <f>SUM(P73:P75)+P70</f>
        <v>43131</v>
      </c>
      <c r="Q76" s="13">
        <f>SUM(Q73:Q75)+Q70</f>
        <v>44668</v>
      </c>
      <c r="S76" s="13">
        <f>SUM(S73:S75)+S70</f>
        <v>37741</v>
      </c>
      <c r="T76" s="13">
        <f>SUM(T73:T75)+T70</f>
        <v>37892</v>
      </c>
      <c r="U76" s="13">
        <f>SUM(U73:U75)+U70</f>
        <v>38003</v>
      </c>
      <c r="V76" s="13">
        <f>SUM(V73:V75)+V70</f>
        <v>40336</v>
      </c>
      <c r="W76" s="13">
        <f>SUM(W73:W75)+W70</f>
        <v>40892</v>
      </c>
      <c r="X76" s="13">
        <f>SUM(X73:X75)+X70</f>
        <v>41887</v>
      </c>
      <c r="Y76" s="13">
        <f>SUM(Y73:Y75)+Y70</f>
        <v>43131</v>
      </c>
      <c r="Z76" s="39"/>
      <c r="AA76" s="69">
        <f>SUM(Y76/U76)-1</f>
        <v>0.13493671552245878</v>
      </c>
    </row>
    <row r="77" spans="2:27" ht="5.0999999999999996" customHeight="1">
      <c r="B77" s="23"/>
      <c r="C77" s="46"/>
      <c r="D77" s="38"/>
      <c r="E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S77" s="39"/>
      <c r="T77" s="39"/>
      <c r="U77" s="39"/>
      <c r="V77" s="39"/>
      <c r="W77" s="39"/>
      <c r="X77" s="39"/>
      <c r="Y77" s="39"/>
      <c r="Z77" s="39"/>
      <c r="AA77" s="36"/>
    </row>
    <row r="78" spans="2:27" ht="12.75" customHeight="1">
      <c r="B78" s="104" t="s">
        <v>153</v>
      </c>
      <c r="C78" s="163"/>
      <c r="D78" s="76">
        <v>0</v>
      </c>
      <c r="E78" s="76">
        <v>3</v>
      </c>
      <c r="G78" s="163"/>
      <c r="H78" s="163"/>
      <c r="I78" s="163"/>
      <c r="J78" s="82">
        <f t="shared" ref="J78:J83" si="211">D78</f>
        <v>0</v>
      </c>
      <c r="K78" s="105">
        <v>0</v>
      </c>
      <c r="L78" s="105">
        <v>3</v>
      </c>
      <c r="M78" s="105">
        <v>3</v>
      </c>
      <c r="N78" s="82">
        <f t="shared" ref="N78:N83" si="212">E78</f>
        <v>3</v>
      </c>
      <c r="O78" s="105">
        <v>3</v>
      </c>
      <c r="P78" s="105">
        <v>3</v>
      </c>
      <c r="Q78" s="105">
        <v>3</v>
      </c>
      <c r="S78" s="30">
        <f t="shared" ref="S78:X81" si="213">J78</f>
        <v>0</v>
      </c>
      <c r="T78" s="30">
        <f t="shared" si="213"/>
        <v>0</v>
      </c>
      <c r="U78" s="30">
        <f t="shared" si="213"/>
        <v>3</v>
      </c>
      <c r="V78" s="30">
        <f t="shared" si="213"/>
        <v>3</v>
      </c>
      <c r="W78" s="30">
        <f t="shared" si="213"/>
        <v>3</v>
      </c>
      <c r="X78" s="30">
        <f t="shared" si="213"/>
        <v>3</v>
      </c>
      <c r="Y78" s="30">
        <f>P78</f>
        <v>3</v>
      </c>
      <c r="Z78" s="11"/>
      <c r="AA78" s="68">
        <f t="shared" ref="AA78:AA88" si="214">SUM(Y78/U78)-1</f>
        <v>0</v>
      </c>
    </row>
    <row r="79" spans="2:27" ht="12.75" customHeight="1">
      <c r="B79" s="104" t="s">
        <v>154</v>
      </c>
      <c r="C79" s="163"/>
      <c r="D79" s="76">
        <v>0</v>
      </c>
      <c r="E79" s="76">
        <v>9733</v>
      </c>
      <c r="G79" s="163"/>
      <c r="H79" s="163"/>
      <c r="I79" s="163"/>
      <c r="J79" s="82">
        <f t="shared" si="211"/>
        <v>0</v>
      </c>
      <c r="K79" s="105">
        <v>0</v>
      </c>
      <c r="L79" s="105">
        <v>8801</v>
      </c>
      <c r="M79" s="105">
        <v>9374</v>
      </c>
      <c r="N79" s="82">
        <f t="shared" si="212"/>
        <v>9733</v>
      </c>
      <c r="O79" s="105">
        <v>9654</v>
      </c>
      <c r="P79" s="105">
        <v>9714</v>
      </c>
      <c r="Q79" s="105">
        <v>9755</v>
      </c>
      <c r="S79" s="30">
        <f t="shared" si="213"/>
        <v>0</v>
      </c>
      <c r="T79" s="30">
        <f t="shared" si="213"/>
        <v>0</v>
      </c>
      <c r="U79" s="30">
        <f t="shared" si="213"/>
        <v>8801</v>
      </c>
      <c r="V79" s="30">
        <f t="shared" si="213"/>
        <v>9374</v>
      </c>
      <c r="W79" s="30">
        <f t="shared" si="213"/>
        <v>9733</v>
      </c>
      <c r="X79" s="30">
        <f t="shared" si="213"/>
        <v>9654</v>
      </c>
      <c r="Y79" s="30">
        <f t="shared" ref="Y79:Y81" si="215">P79</f>
        <v>9714</v>
      </c>
      <c r="Z79" s="11"/>
      <c r="AA79" s="68">
        <f t="shared" si="214"/>
        <v>0.10373821156686747</v>
      </c>
    </row>
    <row r="80" spans="2:27" ht="12.75" customHeight="1">
      <c r="B80" s="104" t="s">
        <v>155</v>
      </c>
      <c r="C80" s="163"/>
      <c r="D80" s="76">
        <v>0</v>
      </c>
      <c r="E80" s="76">
        <v>1611</v>
      </c>
      <c r="G80" s="163"/>
      <c r="H80" s="163"/>
      <c r="I80" s="163"/>
      <c r="J80" s="82">
        <f t="shared" si="211"/>
        <v>0</v>
      </c>
      <c r="K80" s="105">
        <v>0</v>
      </c>
      <c r="L80" s="105">
        <v>1294</v>
      </c>
      <c r="M80" s="105">
        <v>1198</v>
      </c>
      <c r="N80" s="82">
        <f t="shared" si="212"/>
        <v>1611</v>
      </c>
      <c r="O80" s="105">
        <v>1865</v>
      </c>
      <c r="P80" s="105">
        <v>2241</v>
      </c>
      <c r="Q80" s="105">
        <v>2626</v>
      </c>
      <c r="S80" s="30">
        <f t="shared" si="213"/>
        <v>0</v>
      </c>
      <c r="T80" s="30">
        <f t="shared" si="213"/>
        <v>0</v>
      </c>
      <c r="U80" s="30">
        <f t="shared" si="213"/>
        <v>1294</v>
      </c>
      <c r="V80" s="30">
        <f t="shared" si="213"/>
        <v>1198</v>
      </c>
      <c r="W80" s="30">
        <f t="shared" si="213"/>
        <v>1611</v>
      </c>
      <c r="X80" s="30">
        <f t="shared" si="213"/>
        <v>1865</v>
      </c>
      <c r="Y80" s="30">
        <f t="shared" si="215"/>
        <v>2241</v>
      </c>
      <c r="Z80" s="11"/>
      <c r="AA80" s="68">
        <f t="shared" si="214"/>
        <v>0.731839258114374</v>
      </c>
    </row>
    <row r="81" spans="1:27" ht="12.75" customHeight="1">
      <c r="B81" s="104" t="s">
        <v>156</v>
      </c>
      <c r="C81" s="163"/>
      <c r="D81" s="76">
        <v>0</v>
      </c>
      <c r="E81" s="76">
        <v>-43</v>
      </c>
      <c r="G81" s="163"/>
      <c r="H81" s="163"/>
      <c r="I81" s="163"/>
      <c r="J81" s="82">
        <f t="shared" si="211"/>
        <v>0</v>
      </c>
      <c r="K81" s="105">
        <v>0</v>
      </c>
      <c r="L81" s="105">
        <v>0</v>
      </c>
      <c r="M81" s="105">
        <v>-40</v>
      </c>
      <c r="N81" s="82">
        <f t="shared" si="212"/>
        <v>-43</v>
      </c>
      <c r="O81" s="105">
        <v>-1256</v>
      </c>
      <c r="P81" s="105">
        <v>-1636</v>
      </c>
      <c r="Q81" s="105">
        <v>-2300</v>
      </c>
      <c r="S81" s="30">
        <f t="shared" si="213"/>
        <v>0</v>
      </c>
      <c r="T81" s="30">
        <f t="shared" si="213"/>
        <v>0</v>
      </c>
      <c r="U81" s="30">
        <f t="shared" si="213"/>
        <v>0</v>
      </c>
      <c r="V81" s="30">
        <f t="shared" si="213"/>
        <v>-40</v>
      </c>
      <c r="W81" s="30">
        <f t="shared" si="213"/>
        <v>-43</v>
      </c>
      <c r="X81" s="30">
        <f t="shared" si="213"/>
        <v>-1256</v>
      </c>
      <c r="Y81" s="30">
        <f t="shared" si="215"/>
        <v>-1636</v>
      </c>
      <c r="Z81" s="11"/>
      <c r="AA81" s="68" t="e">
        <f t="shared" si="214"/>
        <v>#DIV/0!</v>
      </c>
    </row>
    <row r="82" spans="1:27" ht="12.75" customHeight="1">
      <c r="B82" s="104" t="s">
        <v>157</v>
      </c>
      <c r="C82" s="163"/>
      <c r="D82" s="76">
        <v>8051</v>
      </c>
      <c r="E82" s="76">
        <v>0</v>
      </c>
      <c r="G82" s="163"/>
      <c r="H82" s="163"/>
      <c r="I82" s="163"/>
      <c r="J82" s="82">
        <f t="shared" si="211"/>
        <v>8051</v>
      </c>
      <c r="K82" s="105">
        <v>9659</v>
      </c>
      <c r="L82" s="105">
        <v>0</v>
      </c>
      <c r="M82" s="105">
        <v>0</v>
      </c>
      <c r="N82" s="82">
        <f t="shared" si="212"/>
        <v>0</v>
      </c>
      <c r="O82" s="105">
        <v>0</v>
      </c>
      <c r="P82" s="105">
        <v>0</v>
      </c>
      <c r="Q82" s="105">
        <v>0</v>
      </c>
      <c r="S82" s="30">
        <f t="shared" ref="S82:S83" si="216">J82</f>
        <v>8051</v>
      </c>
      <c r="T82" s="30">
        <f t="shared" ref="T82:T83" si="217">K82</f>
        <v>9659</v>
      </c>
      <c r="U82" s="30">
        <f t="shared" ref="U82:U83" si="218">L82</f>
        <v>0</v>
      </c>
      <c r="V82" s="30">
        <f t="shared" ref="V82:V83" si="219">M82</f>
        <v>0</v>
      </c>
      <c r="W82" s="30">
        <f t="shared" ref="W82:W83" si="220">N82</f>
        <v>0</v>
      </c>
      <c r="X82" s="30">
        <f t="shared" ref="X82:X83" si="221">O82</f>
        <v>0</v>
      </c>
      <c r="Y82" s="30">
        <f t="shared" ref="Y82:Y83" si="222">P82</f>
        <v>0</v>
      </c>
      <c r="Z82" s="11"/>
      <c r="AA82" s="68" t="e">
        <f t="shared" ref="AA82:AA83" si="223">SUM(Y82/U82)-1</f>
        <v>#DIV/0!</v>
      </c>
    </row>
    <row r="83" spans="1:27" ht="12.75" customHeight="1">
      <c r="B83" s="104" t="s">
        <v>158</v>
      </c>
      <c r="C83" s="163"/>
      <c r="D83" s="76">
        <v>-635</v>
      </c>
      <c r="E83" s="76">
        <v>-1759</v>
      </c>
      <c r="G83" s="163"/>
      <c r="H83" s="163"/>
      <c r="I83" s="163"/>
      <c r="J83" s="82">
        <f t="shared" si="211"/>
        <v>-635</v>
      </c>
      <c r="K83" s="105">
        <v>-686</v>
      </c>
      <c r="L83" s="105">
        <v>-1031</v>
      </c>
      <c r="M83" s="105">
        <v>-1031</v>
      </c>
      <c r="N83" s="82">
        <f t="shared" si="212"/>
        <v>-1759</v>
      </c>
      <c r="O83" s="105">
        <v>-1660</v>
      </c>
      <c r="P83" s="105">
        <v>-1445</v>
      </c>
      <c r="Q83" s="105">
        <v>-1438</v>
      </c>
      <c r="S83" s="30">
        <f t="shared" si="216"/>
        <v>-635</v>
      </c>
      <c r="T83" s="30">
        <f t="shared" si="217"/>
        <v>-686</v>
      </c>
      <c r="U83" s="30">
        <f t="shared" si="218"/>
        <v>-1031</v>
      </c>
      <c r="V83" s="30">
        <f t="shared" si="219"/>
        <v>-1031</v>
      </c>
      <c r="W83" s="30">
        <f t="shared" si="220"/>
        <v>-1759</v>
      </c>
      <c r="X83" s="30">
        <f t="shared" si="221"/>
        <v>-1660</v>
      </c>
      <c r="Y83" s="30">
        <f t="shared" si="222"/>
        <v>-1445</v>
      </c>
      <c r="Z83" s="11"/>
      <c r="AA83" s="68">
        <f t="shared" si="223"/>
        <v>0.40155189136760416</v>
      </c>
    </row>
    <row r="84" spans="1:27" ht="12.75" customHeight="1">
      <c r="B84" s="12" t="s">
        <v>159</v>
      </c>
      <c r="C84" s="13">
        <f>SUM(C78:C83)</f>
        <v>0</v>
      </c>
      <c r="D84" s="13">
        <f>SUM(D78:D83)</f>
        <v>7416</v>
      </c>
      <c r="E84" s="13">
        <f>SUM(E78:E83)</f>
        <v>9545</v>
      </c>
      <c r="F84" s="48"/>
      <c r="G84" s="13">
        <f>SUM(G78:G83)</f>
        <v>0</v>
      </c>
      <c r="H84" s="13">
        <f>SUM(H78:H83)</f>
        <v>0</v>
      </c>
      <c r="I84" s="13">
        <f>SUM(I78:I83)</f>
        <v>0</v>
      </c>
      <c r="J84" s="164">
        <f>SUM(J78:J83)</f>
        <v>7416</v>
      </c>
      <c r="K84" s="13">
        <f>SUM(K78:K83)</f>
        <v>8973</v>
      </c>
      <c r="L84" s="13">
        <f>SUM(L78:L83)</f>
        <v>9067</v>
      </c>
      <c r="M84" s="13">
        <f>SUM(M78:M83)</f>
        <v>9504</v>
      </c>
      <c r="N84" s="13">
        <f>SUM(N78:N83)</f>
        <v>9545</v>
      </c>
      <c r="O84" s="13">
        <f>SUM(O78:O83)</f>
        <v>8606</v>
      </c>
      <c r="P84" s="13">
        <f>SUM(P78:P83)</f>
        <v>8877</v>
      </c>
      <c r="Q84" s="13">
        <f>SUM(Q78:Q83)</f>
        <v>8646</v>
      </c>
      <c r="S84" s="13">
        <f>SUM(S78:S83)</f>
        <v>7416</v>
      </c>
      <c r="T84" s="13">
        <f>SUM(T78:T83)</f>
        <v>8973</v>
      </c>
      <c r="U84" s="13">
        <f>SUM(U78:U83)</f>
        <v>9067</v>
      </c>
      <c r="V84" s="13">
        <f>SUM(V78:V83)</f>
        <v>9504</v>
      </c>
      <c r="W84" s="13">
        <f>SUM(W78:W83)</f>
        <v>9545</v>
      </c>
      <c r="X84" s="13">
        <f>SUM(X78:X83)</f>
        <v>8606</v>
      </c>
      <c r="Y84" s="13">
        <f>SUM(Y78:Y83)</f>
        <v>8877</v>
      </c>
      <c r="Z84" s="39"/>
      <c r="AA84" s="69">
        <f t="shared" si="214"/>
        <v>-2.0955111944413796E-2</v>
      </c>
    </row>
    <row r="85" spans="1:27" s="154" customFormat="1" ht="5.0999999999999996" customHeight="1">
      <c r="B85" s="155"/>
      <c r="C85" s="156"/>
      <c r="D85" s="156"/>
      <c r="E85" s="156"/>
      <c r="F85" s="157"/>
      <c r="G85" s="156"/>
      <c r="H85" s="156"/>
      <c r="I85" s="156"/>
      <c r="J85" s="156"/>
      <c r="K85" s="156"/>
      <c r="L85" s="156"/>
      <c r="M85" s="156"/>
      <c r="N85" s="156"/>
      <c r="O85" s="156"/>
      <c r="P85" s="156"/>
      <c r="Q85" s="156"/>
      <c r="S85" s="156"/>
      <c r="T85" s="156"/>
      <c r="U85" s="156"/>
      <c r="V85" s="156"/>
      <c r="W85" s="156"/>
      <c r="X85" s="156"/>
      <c r="Y85" s="156"/>
      <c r="Z85" s="158"/>
      <c r="AA85" s="159"/>
    </row>
    <row r="86" spans="1:27" ht="12.75" customHeight="1">
      <c r="B86" s="104" t="s">
        <v>160</v>
      </c>
      <c r="C86" s="163"/>
      <c r="D86" s="76">
        <v>964</v>
      </c>
      <c r="E86" s="76">
        <v>1047</v>
      </c>
      <c r="G86" s="163"/>
      <c r="H86" s="163"/>
      <c r="I86" s="163"/>
      <c r="J86" s="82">
        <f t="shared" ref="J86" si="224">D86</f>
        <v>964</v>
      </c>
      <c r="K86" s="105">
        <v>1007</v>
      </c>
      <c r="L86" s="105">
        <v>982</v>
      </c>
      <c r="M86" s="105">
        <v>1014</v>
      </c>
      <c r="N86" s="82">
        <f t="shared" ref="N86" si="225">E86</f>
        <v>1047</v>
      </c>
      <c r="O86" s="105">
        <v>1065</v>
      </c>
      <c r="P86" s="105">
        <v>1070</v>
      </c>
      <c r="Q86" s="105">
        <v>1083</v>
      </c>
      <c r="S86" s="30">
        <f t="shared" ref="S86" si="226">J86</f>
        <v>964</v>
      </c>
      <c r="T86" s="30">
        <f t="shared" ref="T86" si="227">K86</f>
        <v>1007</v>
      </c>
      <c r="U86" s="30">
        <f t="shared" ref="U86" si="228">L86</f>
        <v>982</v>
      </c>
      <c r="V86" s="30">
        <f t="shared" ref="V86" si="229">M86</f>
        <v>1014</v>
      </c>
      <c r="W86" s="30">
        <f t="shared" ref="W86" si="230">N86</f>
        <v>1047</v>
      </c>
      <c r="X86" s="30">
        <f t="shared" ref="X86" si="231">O86</f>
        <v>1065</v>
      </c>
      <c r="Y86" s="30">
        <f t="shared" ref="Y86" si="232">P86</f>
        <v>1070</v>
      </c>
      <c r="Z86" s="11"/>
      <c r="AA86" s="68"/>
    </row>
    <row r="87" spans="1:27" ht="12.75" customHeight="1">
      <c r="B87" s="12" t="s">
        <v>15</v>
      </c>
      <c r="C87" s="13">
        <f t="shared" ref="C87:D87" si="233">SUM(C84:C86)</f>
        <v>0</v>
      </c>
      <c r="D87" s="13">
        <f t="shared" si="233"/>
        <v>8380</v>
      </c>
      <c r="E87" s="13">
        <f>SUM(E84:E86)</f>
        <v>10592</v>
      </c>
      <c r="F87" s="48"/>
      <c r="G87" s="13">
        <f t="shared" ref="G87:Q87" si="234">SUM(G84:G86)</f>
        <v>0</v>
      </c>
      <c r="H87" s="13">
        <f t="shared" si="234"/>
        <v>0</v>
      </c>
      <c r="I87" s="13">
        <f t="shared" si="234"/>
        <v>0</v>
      </c>
      <c r="J87" s="13">
        <f t="shared" si="234"/>
        <v>8380</v>
      </c>
      <c r="K87" s="13">
        <f t="shared" si="234"/>
        <v>9980</v>
      </c>
      <c r="L87" s="13">
        <f t="shared" si="234"/>
        <v>10049</v>
      </c>
      <c r="M87" s="13">
        <f t="shared" si="234"/>
        <v>10518</v>
      </c>
      <c r="N87" s="13">
        <f t="shared" si="234"/>
        <v>10592</v>
      </c>
      <c r="O87" s="13">
        <f t="shared" si="234"/>
        <v>9671</v>
      </c>
      <c r="P87" s="13">
        <f t="shared" si="234"/>
        <v>9947</v>
      </c>
      <c r="Q87" s="13">
        <f t="shared" si="234"/>
        <v>9729</v>
      </c>
      <c r="S87" s="13">
        <f t="shared" ref="S87" si="235">SUM(S84:S86)</f>
        <v>8380</v>
      </c>
      <c r="T87" s="13">
        <f t="shared" ref="T87" si="236">SUM(T84:T86)</f>
        <v>9980</v>
      </c>
      <c r="U87" s="13">
        <f t="shared" ref="U87" si="237">SUM(U84:U86)</f>
        <v>10049</v>
      </c>
      <c r="V87" s="13">
        <f t="shared" ref="V87" si="238">SUM(V84:V86)</f>
        <v>10518</v>
      </c>
      <c r="W87" s="13">
        <f t="shared" ref="W87" si="239">SUM(W84:W86)</f>
        <v>10592</v>
      </c>
      <c r="X87" s="13">
        <f t="shared" ref="X87" si="240">SUM(X84:X86)</f>
        <v>9671</v>
      </c>
      <c r="Y87" s="13">
        <f t="shared" ref="Y87" si="241">SUM(Y84:Y86)</f>
        <v>9947</v>
      </c>
      <c r="Z87" s="39"/>
      <c r="AA87" s="69">
        <f t="shared" ref="AA87" si="242">SUM(Y87/U87)-1</f>
        <v>-1.0150263707831675E-2</v>
      </c>
    </row>
    <row r="88" spans="1:27" ht="12.75" customHeight="1">
      <c r="B88" s="23" t="s">
        <v>50</v>
      </c>
      <c r="C88" s="30">
        <f>SUM(C87+C76)</f>
        <v>0</v>
      </c>
      <c r="D88" s="30">
        <f t="shared" ref="D88:E88" si="243">SUM(D87+D76)</f>
        <v>46121</v>
      </c>
      <c r="E88" s="30">
        <f t="shared" si="243"/>
        <v>51484</v>
      </c>
      <c r="F88" s="30"/>
      <c r="G88" s="30">
        <f t="shared" ref="G88" si="244">SUM(G87+G76)</f>
        <v>0</v>
      </c>
      <c r="H88" s="30">
        <f t="shared" ref="H88" si="245">SUM(H87+H76)</f>
        <v>0</v>
      </c>
      <c r="I88" s="30">
        <f t="shared" ref="I88" si="246">SUM(I87+I76)</f>
        <v>0</v>
      </c>
      <c r="J88" s="30">
        <f t="shared" ref="J88" si="247">SUM(J87+J76)</f>
        <v>46121</v>
      </c>
      <c r="K88" s="30">
        <f t="shared" ref="K88" si="248">SUM(K87+K76)</f>
        <v>47872</v>
      </c>
      <c r="L88" s="30">
        <f t="shared" ref="L88" si="249">SUM(L87+L76)</f>
        <v>48052</v>
      </c>
      <c r="M88" s="30">
        <f t="shared" ref="M88" si="250">SUM(M87+M76)</f>
        <v>50854</v>
      </c>
      <c r="N88" s="30">
        <f t="shared" ref="N88" si="251">SUM(N87+N76)</f>
        <v>51484</v>
      </c>
      <c r="O88" s="30">
        <f t="shared" ref="O88" si="252">SUM(O87+O76)</f>
        <v>51558</v>
      </c>
      <c r="P88" s="30">
        <f t="shared" ref="P88" si="253">SUM(P87+P76)</f>
        <v>53078</v>
      </c>
      <c r="Q88" s="30">
        <f t="shared" ref="Q88" si="254">SUM(Q87+Q76)</f>
        <v>54397</v>
      </c>
      <c r="R88" s="30"/>
      <c r="S88" s="30">
        <f t="shared" ref="S88" si="255">SUM(S87+S76)</f>
        <v>46121</v>
      </c>
      <c r="T88" s="30">
        <f t="shared" ref="T88" si="256">SUM(T87+T76)</f>
        <v>47872</v>
      </c>
      <c r="U88" s="30">
        <f t="shared" ref="U88" si="257">SUM(U87+U76)</f>
        <v>48052</v>
      </c>
      <c r="V88" s="30">
        <f t="shared" ref="V88" si="258">SUM(V87+V76)</f>
        <v>50854</v>
      </c>
      <c r="W88" s="30">
        <f t="shared" ref="W88" si="259">SUM(W87+W76)</f>
        <v>51484</v>
      </c>
      <c r="X88" s="30">
        <f t="shared" ref="X88" si="260">SUM(X87+X76)</f>
        <v>51558</v>
      </c>
      <c r="Y88" s="30">
        <f t="shared" ref="Y88" si="261">SUM(Y87+Y76)</f>
        <v>53078</v>
      </c>
      <c r="Z88" s="11"/>
      <c r="AA88" s="69">
        <f t="shared" si="214"/>
        <v>0.10459502205943561</v>
      </c>
    </row>
    <row r="89" spans="1:27" ht="5.0999999999999996" customHeight="1">
      <c r="B89" s="23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11"/>
    </row>
    <row r="90" spans="1:27" ht="12.75" customHeight="1">
      <c r="B90" s="62" t="s">
        <v>60</v>
      </c>
      <c r="C90" s="163"/>
      <c r="D90" s="63">
        <f>ROUND(D88-D63,1)</f>
        <v>0</v>
      </c>
      <c r="E90" s="63">
        <f t="shared" ref="E90" si="262">ROUND(E88-E63,1)</f>
        <v>0</v>
      </c>
      <c r="F90" s="64"/>
      <c r="G90" s="163"/>
      <c r="H90" s="163"/>
      <c r="I90" s="163"/>
      <c r="J90" s="63">
        <f t="shared" ref="J90:Y90" si="263">ROUND(J88-J63,-1)</f>
        <v>0</v>
      </c>
      <c r="K90" s="63">
        <f t="shared" si="263"/>
        <v>0</v>
      </c>
      <c r="L90" s="63">
        <f t="shared" si="263"/>
        <v>0</v>
      </c>
      <c r="M90" s="63">
        <f t="shared" si="263"/>
        <v>0</v>
      </c>
      <c r="N90" s="63">
        <f t="shared" si="263"/>
        <v>0</v>
      </c>
      <c r="O90" s="63">
        <f t="shared" si="263"/>
        <v>0</v>
      </c>
      <c r="P90" s="63">
        <f t="shared" si="263"/>
        <v>0</v>
      </c>
      <c r="Q90" s="63">
        <f t="shared" si="263"/>
        <v>0</v>
      </c>
      <c r="R90" s="26"/>
      <c r="S90" s="63">
        <f t="shared" si="263"/>
        <v>0</v>
      </c>
      <c r="T90" s="63">
        <f t="shared" si="263"/>
        <v>0</v>
      </c>
      <c r="U90" s="63">
        <f t="shared" si="263"/>
        <v>0</v>
      </c>
      <c r="V90" s="63">
        <f t="shared" si="263"/>
        <v>0</v>
      </c>
      <c r="W90" s="63">
        <f t="shared" si="263"/>
        <v>0</v>
      </c>
      <c r="X90" s="63">
        <f t="shared" si="263"/>
        <v>0</v>
      </c>
      <c r="Y90" s="63">
        <f t="shared" si="263"/>
        <v>0</v>
      </c>
    </row>
    <row r="91" spans="1:27" ht="5.0999999999999996" customHeight="1" thickBot="1">
      <c r="B91" s="100"/>
      <c r="C91" s="101"/>
      <c r="D91" s="101"/>
      <c r="E91" s="101"/>
      <c r="F91" s="102"/>
      <c r="G91" s="101"/>
      <c r="H91" s="101"/>
      <c r="I91" s="101"/>
      <c r="J91" s="101"/>
      <c r="K91" s="101"/>
      <c r="L91" s="101"/>
      <c r="M91" s="101"/>
      <c r="N91" s="101"/>
      <c r="O91" s="101"/>
      <c r="P91" s="101"/>
      <c r="Q91" s="101"/>
      <c r="R91" s="103"/>
      <c r="S91" s="101"/>
      <c r="T91" s="101"/>
      <c r="U91" s="101"/>
      <c r="V91" s="101"/>
      <c r="W91" s="101"/>
      <c r="X91" s="101"/>
      <c r="Y91" s="101"/>
      <c r="Z91" s="66"/>
      <c r="AA91" s="66"/>
    </row>
    <row r="92" spans="1:27">
      <c r="B92" s="61"/>
      <c r="C92" s="22"/>
      <c r="D92" s="22"/>
      <c r="E92" s="22"/>
      <c r="F92" s="49"/>
    </row>
    <row r="93" spans="1:27" ht="12.75" customHeight="1">
      <c r="A93" s="5" t="s">
        <v>17</v>
      </c>
      <c r="B93" s="83" t="s">
        <v>14</v>
      </c>
      <c r="C93" s="87" t="s">
        <v>0</v>
      </c>
      <c r="D93" s="87"/>
      <c r="E93" s="87"/>
      <c r="F93" s="88"/>
      <c r="G93" s="87"/>
      <c r="H93" s="87"/>
      <c r="I93" s="87"/>
      <c r="J93" s="87"/>
      <c r="K93" s="87"/>
      <c r="L93" s="87"/>
      <c r="M93" s="87" t="s">
        <v>1</v>
      </c>
      <c r="N93" s="87"/>
      <c r="O93" s="87"/>
      <c r="P93" s="87"/>
      <c r="Q93" s="87"/>
      <c r="R93" s="83"/>
      <c r="S93" s="87"/>
      <c r="T93" s="87"/>
      <c r="U93" s="87" t="s">
        <v>10</v>
      </c>
      <c r="V93" s="87"/>
      <c r="W93" s="87"/>
      <c r="X93" s="87"/>
      <c r="Y93" s="87"/>
      <c r="Z93" s="88"/>
      <c r="AA93" s="152" t="s">
        <v>23</v>
      </c>
    </row>
    <row r="94" spans="1:27" ht="12.75" customHeight="1">
      <c r="B94" s="84" t="str">
        <f>B7</f>
        <v>Fiscal Period</v>
      </c>
      <c r="C94" s="89">
        <f>C7</f>
        <v>2022</v>
      </c>
      <c r="D94" s="89">
        <f>D7</f>
        <v>2023</v>
      </c>
      <c r="E94" s="89">
        <f>E7</f>
        <v>2024</v>
      </c>
      <c r="F94" s="88"/>
      <c r="G94" s="89" t="str">
        <f>G7</f>
        <v>1Q23</v>
      </c>
      <c r="H94" s="89" t="str">
        <f>H7</f>
        <v>2Q23</v>
      </c>
      <c r="I94" s="89" t="str">
        <f>I7</f>
        <v>3Q23</v>
      </c>
      <c r="J94" s="89" t="str">
        <f>J7</f>
        <v>4Q23</v>
      </c>
      <c r="K94" s="89" t="str">
        <f>K7</f>
        <v>1Q24</v>
      </c>
      <c r="L94" s="89" t="str">
        <f>L7</f>
        <v>2Q24</v>
      </c>
      <c r="M94" s="89" t="str">
        <f>M7</f>
        <v>3Q24</v>
      </c>
      <c r="N94" s="89" t="str">
        <f>N7</f>
        <v>4Q24</v>
      </c>
      <c r="O94" s="89" t="str">
        <f>O7</f>
        <v>1Q25</v>
      </c>
      <c r="P94" s="89" t="str">
        <f>P7</f>
        <v>2Q25</v>
      </c>
      <c r="Q94" s="89" t="str">
        <f>Q7</f>
        <v>3Q25</v>
      </c>
      <c r="R94" s="89"/>
      <c r="S94" s="89" t="str">
        <f>S7</f>
        <v>1Q24</v>
      </c>
      <c r="T94" s="89" t="str">
        <f>T7</f>
        <v>2Q24</v>
      </c>
      <c r="U94" s="89" t="str">
        <f>U7</f>
        <v>3Q24</v>
      </c>
      <c r="V94" s="89" t="str">
        <f>V7</f>
        <v>4Q24</v>
      </c>
      <c r="W94" s="89" t="str">
        <f>W7</f>
        <v>1Q25</v>
      </c>
      <c r="X94" s="89" t="str">
        <f>X7</f>
        <v>2Q25</v>
      </c>
      <c r="Y94" s="89" t="str">
        <f>Y7</f>
        <v>3Q25</v>
      </c>
      <c r="Z94" s="88"/>
      <c r="AA94" s="152"/>
    </row>
    <row r="95" spans="1:27" ht="12.75" customHeight="1">
      <c r="B95" s="84" t="str">
        <f>B8</f>
        <v>Fiscal Period End Date</v>
      </c>
      <c r="C95" s="90">
        <f>C8</f>
        <v>44926</v>
      </c>
      <c r="D95" s="90">
        <f>D8</f>
        <v>45291</v>
      </c>
      <c r="E95" s="90">
        <f>E8</f>
        <v>45657</v>
      </c>
      <c r="F95" s="88"/>
      <c r="G95" s="90">
        <f>G8</f>
        <v>45016</v>
      </c>
      <c r="H95" s="90">
        <f>H8</f>
        <v>45107</v>
      </c>
      <c r="I95" s="90">
        <f>I8</f>
        <v>45199</v>
      </c>
      <c r="J95" s="90">
        <f>J8</f>
        <v>45291</v>
      </c>
      <c r="K95" s="90">
        <f>K8</f>
        <v>45382</v>
      </c>
      <c r="L95" s="90">
        <f>L8</f>
        <v>45473</v>
      </c>
      <c r="M95" s="90">
        <f>M8</f>
        <v>45565</v>
      </c>
      <c r="N95" s="90">
        <f>N8</f>
        <v>45657</v>
      </c>
      <c r="O95" s="90">
        <f>O8</f>
        <v>45747</v>
      </c>
      <c r="P95" s="90">
        <f>P8</f>
        <v>45838</v>
      </c>
      <c r="Q95" s="90">
        <f>Q8</f>
        <v>45930</v>
      </c>
      <c r="R95" s="90"/>
      <c r="S95" s="90">
        <f>S8</f>
        <v>45382</v>
      </c>
      <c r="T95" s="90">
        <f>T8</f>
        <v>45473</v>
      </c>
      <c r="U95" s="90">
        <f>U8</f>
        <v>45565</v>
      </c>
      <c r="V95" s="90">
        <f>V8</f>
        <v>45657</v>
      </c>
      <c r="W95" s="90">
        <f>W8</f>
        <v>45747</v>
      </c>
      <c r="X95" s="90">
        <f>X8</f>
        <v>45838</v>
      </c>
      <c r="Y95" s="90">
        <f>Y8</f>
        <v>45930</v>
      </c>
      <c r="Z95" s="88"/>
      <c r="AA95" s="152"/>
    </row>
    <row r="96" spans="1:27" ht="5.0999999999999996" customHeight="1">
      <c r="B96" s="50"/>
      <c r="C96" s="44"/>
      <c r="D96" s="44"/>
      <c r="E96" s="44"/>
    </row>
    <row r="97" spans="2:27" ht="12.75" customHeight="1">
      <c r="B97" s="51" t="s">
        <v>51</v>
      </c>
      <c r="C97" s="52"/>
      <c r="D97" s="52"/>
      <c r="E97" s="52"/>
    </row>
    <row r="98" spans="2:27" ht="12.75" customHeight="1">
      <c r="B98" s="53" t="s">
        <v>52</v>
      </c>
      <c r="C98" s="30">
        <f>C30</f>
        <v>-2722</v>
      </c>
      <c r="D98" s="30">
        <f>D30</f>
        <v>-474</v>
      </c>
      <c r="E98" s="30">
        <f>E30</f>
        <v>1560</v>
      </c>
      <c r="F98" s="30"/>
      <c r="G98" s="30">
        <f>G30</f>
        <v>-346</v>
      </c>
      <c r="H98" s="30">
        <f t="shared" ref="H98:Q98" si="264">H30</f>
        <v>-149</v>
      </c>
      <c r="I98" s="30">
        <f t="shared" si="264"/>
        <v>-185</v>
      </c>
      <c r="J98" s="30">
        <f t="shared" si="264"/>
        <v>206</v>
      </c>
      <c r="K98" s="30">
        <f t="shared" si="264"/>
        <v>-106</v>
      </c>
      <c r="L98" s="30">
        <f t="shared" si="264"/>
        <v>1280</v>
      </c>
      <c r="M98" s="30">
        <f t="shared" si="264"/>
        <v>-99</v>
      </c>
      <c r="N98" s="30">
        <f t="shared" si="264"/>
        <v>485</v>
      </c>
      <c r="O98" s="30">
        <f t="shared" si="264"/>
        <v>264</v>
      </c>
      <c r="P98" s="30">
        <f t="shared" si="264"/>
        <v>492</v>
      </c>
      <c r="Q98" s="30">
        <f t="shared" si="264"/>
        <v>454</v>
      </c>
      <c r="S98" s="30">
        <f>S30</f>
        <v>-474</v>
      </c>
      <c r="T98" s="30">
        <f>T30</f>
        <v>-234</v>
      </c>
      <c r="U98" s="30">
        <f>U30</f>
        <v>1195</v>
      </c>
      <c r="V98" s="30">
        <f>V30</f>
        <v>1281</v>
      </c>
      <c r="W98" s="30">
        <f>W30</f>
        <v>1560</v>
      </c>
      <c r="X98" s="30">
        <f>X30</f>
        <v>1930</v>
      </c>
      <c r="Y98" s="30">
        <f>Y30</f>
        <v>1142</v>
      </c>
      <c r="Z98" s="11"/>
      <c r="AA98" s="68">
        <f>SUM(Y98/U98)-1</f>
        <v>-4.4351464435146482E-2</v>
      </c>
    </row>
    <row r="99" spans="2:27" ht="5.0999999999999996" customHeight="1"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S99" s="30"/>
      <c r="T99" s="30"/>
      <c r="U99" s="30"/>
      <c r="V99" s="30"/>
      <c r="W99" s="30"/>
      <c r="X99" s="30"/>
      <c r="Y99" s="30"/>
      <c r="Z99" s="11"/>
      <c r="AA99" s="68"/>
    </row>
    <row r="100" spans="2:27" ht="12.75" customHeight="1">
      <c r="B100" s="33" t="s">
        <v>59</v>
      </c>
      <c r="C100" s="30"/>
      <c r="D100" s="30"/>
      <c r="E100" s="30"/>
      <c r="F100" s="30"/>
      <c r="G100" s="76"/>
      <c r="H100" s="76"/>
      <c r="I100" s="76"/>
      <c r="J100" s="30"/>
      <c r="K100" s="76"/>
      <c r="L100" s="76"/>
      <c r="M100" s="76"/>
      <c r="N100" s="30"/>
      <c r="O100" s="76"/>
      <c r="P100" s="76"/>
      <c r="Q100" s="76"/>
      <c r="S100" s="30"/>
      <c r="T100" s="30"/>
      <c r="U100" s="30"/>
      <c r="V100" s="30"/>
      <c r="W100" s="30"/>
      <c r="X100" s="30"/>
      <c r="Y100" s="30"/>
      <c r="Z100" s="55"/>
      <c r="AA100" s="68"/>
    </row>
    <row r="101" spans="2:27" ht="12.75" customHeight="1">
      <c r="B101" s="56" t="s">
        <v>161</v>
      </c>
      <c r="C101" s="76">
        <v>779</v>
      </c>
      <c r="D101" s="76">
        <v>724</v>
      </c>
      <c r="E101" s="76">
        <v>895</v>
      </c>
      <c r="F101" s="30"/>
      <c r="G101" s="76">
        <v>176</v>
      </c>
      <c r="H101" s="76">
        <f>347-G101</f>
        <v>171</v>
      </c>
      <c r="I101" s="76">
        <f>531-H101-G101</f>
        <v>184</v>
      </c>
      <c r="J101" s="30">
        <f t="shared" ref="J101:J107" si="265">SUM(D101-SUM(G101:I101))</f>
        <v>193</v>
      </c>
      <c r="K101" s="76">
        <v>188</v>
      </c>
      <c r="L101" s="76">
        <f>379-K101</f>
        <v>191</v>
      </c>
      <c r="M101" s="76">
        <f>715-L101-K101</f>
        <v>336</v>
      </c>
      <c r="N101" s="30">
        <f t="shared" ref="N101:N107" si="266">SUM(E101-SUM(K101:M101))</f>
        <v>180</v>
      </c>
      <c r="O101" s="76">
        <v>149</v>
      </c>
      <c r="P101" s="76">
        <f>294-O101</f>
        <v>145</v>
      </c>
      <c r="Q101" s="76">
        <f>446-P101-O101</f>
        <v>152</v>
      </c>
      <c r="S101" s="30">
        <f t="shared" ref="S101:S107" si="267">SUM(H101:K101)</f>
        <v>736</v>
      </c>
      <c r="T101" s="30">
        <f t="shared" ref="T101:T107" si="268">SUM(I101:L101)</f>
        <v>756</v>
      </c>
      <c r="U101" s="30">
        <f t="shared" ref="U101:U107" si="269">SUM(J101:M101)</f>
        <v>908</v>
      </c>
      <c r="V101" s="30">
        <f t="shared" ref="V101:V107" si="270">SUM(K101:N101)</f>
        <v>895</v>
      </c>
      <c r="W101" s="30">
        <f t="shared" ref="W101:W107" si="271">SUM(L101:O101)</f>
        <v>856</v>
      </c>
      <c r="X101" s="30">
        <f t="shared" ref="X101:X107" si="272">SUM(M101:P101)</f>
        <v>810</v>
      </c>
      <c r="Y101" s="30">
        <f t="shared" ref="Y101:Y107" si="273">SUM(N101:P101)</f>
        <v>474</v>
      </c>
      <c r="Z101" s="11"/>
      <c r="AA101" s="68">
        <f t="shared" ref="AA101:AA107" si="274">SUM(Y101/U101)-1</f>
        <v>-0.47797356828193838</v>
      </c>
    </row>
    <row r="102" spans="2:27" ht="12.75" customHeight="1">
      <c r="B102" s="56" t="s">
        <v>162</v>
      </c>
      <c r="C102" s="76">
        <v>1018</v>
      </c>
      <c r="D102" s="76">
        <v>240</v>
      </c>
      <c r="E102" s="76">
        <v>277</v>
      </c>
      <c r="F102" s="30"/>
      <c r="G102" s="76">
        <v>55</v>
      </c>
      <c r="H102" s="76">
        <f>123-G102</f>
        <v>68</v>
      </c>
      <c r="I102" s="76">
        <f>181-H102-G102</f>
        <v>58</v>
      </c>
      <c r="J102" s="30">
        <f t="shared" si="265"/>
        <v>59</v>
      </c>
      <c r="K102" s="76">
        <v>63</v>
      </c>
      <c r="L102" s="76">
        <f>126-K102</f>
        <v>63</v>
      </c>
      <c r="M102" s="76">
        <f>188-L102-K102</f>
        <v>62</v>
      </c>
      <c r="N102" s="30">
        <f t="shared" si="266"/>
        <v>89</v>
      </c>
      <c r="O102" s="76">
        <v>56</v>
      </c>
      <c r="P102" s="76">
        <f>116-O102</f>
        <v>60</v>
      </c>
      <c r="Q102" s="76">
        <f>177-P102-O102</f>
        <v>61</v>
      </c>
      <c r="S102" s="30">
        <f t="shared" si="267"/>
        <v>248</v>
      </c>
      <c r="T102" s="30">
        <f t="shared" si="268"/>
        <v>243</v>
      </c>
      <c r="U102" s="30">
        <f t="shared" si="269"/>
        <v>247</v>
      </c>
      <c r="V102" s="30">
        <f t="shared" si="270"/>
        <v>277</v>
      </c>
      <c r="W102" s="30">
        <f t="shared" si="271"/>
        <v>270</v>
      </c>
      <c r="X102" s="30">
        <f t="shared" si="272"/>
        <v>267</v>
      </c>
      <c r="Y102" s="30">
        <f t="shared" si="273"/>
        <v>205</v>
      </c>
      <c r="Z102" s="11"/>
      <c r="AA102" s="68">
        <f t="shared" si="274"/>
        <v>-0.17004048582995956</v>
      </c>
    </row>
    <row r="103" spans="2:27" ht="12.75" customHeight="1">
      <c r="B103" s="56" t="s">
        <v>163</v>
      </c>
      <c r="C103" s="76">
        <v>-21</v>
      </c>
      <c r="D103" s="76">
        <v>-209</v>
      </c>
      <c r="E103" s="76">
        <v>-1147</v>
      </c>
      <c r="F103" s="30"/>
      <c r="G103" s="76">
        <v>0</v>
      </c>
      <c r="H103" s="76">
        <f>-95-G103</f>
        <v>-95</v>
      </c>
      <c r="I103" s="76">
        <f>-210-H103-G103</f>
        <v>-115</v>
      </c>
      <c r="J103" s="30">
        <f t="shared" si="265"/>
        <v>1</v>
      </c>
      <c r="K103" s="76">
        <v>0</v>
      </c>
      <c r="L103" s="76">
        <f>-851-K103</f>
        <v>-851</v>
      </c>
      <c r="M103" s="76">
        <f>-859-L103-K103</f>
        <v>-8</v>
      </c>
      <c r="N103" s="30">
        <f t="shared" si="266"/>
        <v>-288</v>
      </c>
      <c r="O103" s="76">
        <v>-21</v>
      </c>
      <c r="P103" s="76">
        <f>-22-O103</f>
        <v>-1</v>
      </c>
      <c r="Q103" s="76">
        <f>-66-P103-O103</f>
        <v>-44</v>
      </c>
      <c r="S103" s="30">
        <f t="shared" si="267"/>
        <v>-209</v>
      </c>
      <c r="T103" s="30">
        <f t="shared" si="268"/>
        <v>-965</v>
      </c>
      <c r="U103" s="30">
        <f t="shared" si="269"/>
        <v>-858</v>
      </c>
      <c r="V103" s="30">
        <f t="shared" si="270"/>
        <v>-1147</v>
      </c>
      <c r="W103" s="30">
        <f t="shared" si="271"/>
        <v>-1168</v>
      </c>
      <c r="X103" s="30">
        <f t="shared" si="272"/>
        <v>-318</v>
      </c>
      <c r="Y103" s="30">
        <f t="shared" si="273"/>
        <v>-310</v>
      </c>
      <c r="Z103" s="11"/>
      <c r="AA103" s="68">
        <f t="shared" si="274"/>
        <v>-0.63869463869463872</v>
      </c>
    </row>
    <row r="104" spans="2:27" ht="12.75" customHeight="1">
      <c r="B104" s="56" t="s">
        <v>164</v>
      </c>
      <c r="C104" s="76">
        <v>0</v>
      </c>
      <c r="D104" s="76">
        <v>-405</v>
      </c>
      <c r="E104" s="76">
        <v>-376</v>
      </c>
      <c r="F104" s="30"/>
      <c r="G104" s="76">
        <v>-99</v>
      </c>
      <c r="H104" s="76">
        <f>-202-G104</f>
        <v>-103</v>
      </c>
      <c r="I104" s="76">
        <f>-304-H104-G104</f>
        <v>-102</v>
      </c>
      <c r="J104" s="30">
        <f t="shared" si="265"/>
        <v>-101</v>
      </c>
      <c r="K104" s="76">
        <v>-95</v>
      </c>
      <c r="L104" s="76">
        <f>-186-K104</f>
        <v>-91</v>
      </c>
      <c r="M104" s="76">
        <f>-280-L104-K104</f>
        <v>-94</v>
      </c>
      <c r="N104" s="30">
        <f t="shared" si="266"/>
        <v>-96</v>
      </c>
      <c r="O104" s="76">
        <v>-89</v>
      </c>
      <c r="P104" s="76">
        <f>-179-O104</f>
        <v>-90</v>
      </c>
      <c r="Q104" s="76">
        <f>-268-P104-O104</f>
        <v>-89</v>
      </c>
      <c r="S104" s="30">
        <f t="shared" si="267"/>
        <v>-401</v>
      </c>
      <c r="T104" s="30">
        <f t="shared" si="268"/>
        <v>-389</v>
      </c>
      <c r="U104" s="30">
        <f t="shared" si="269"/>
        <v>-381</v>
      </c>
      <c r="V104" s="30">
        <f t="shared" si="270"/>
        <v>-376</v>
      </c>
      <c r="W104" s="30">
        <f t="shared" si="271"/>
        <v>-370</v>
      </c>
      <c r="X104" s="30">
        <f t="shared" si="272"/>
        <v>-369</v>
      </c>
      <c r="Y104" s="30">
        <f t="shared" si="273"/>
        <v>-275</v>
      </c>
      <c r="Z104" s="11"/>
      <c r="AA104" s="68">
        <f t="shared" si="274"/>
        <v>-0.27821522309711288</v>
      </c>
    </row>
    <row r="105" spans="2:27" ht="12.75" customHeight="1">
      <c r="B105" s="56" t="s">
        <v>165</v>
      </c>
      <c r="C105" s="76">
        <v>-206</v>
      </c>
      <c r="D105" s="76">
        <v>-313</v>
      </c>
      <c r="E105" s="76">
        <v>-290</v>
      </c>
      <c r="F105" s="30"/>
      <c r="G105" s="76">
        <v>-83</v>
      </c>
      <c r="H105" s="76">
        <f>-163-G105</f>
        <v>-80</v>
      </c>
      <c r="I105" s="76">
        <f>-235-H105-G105</f>
        <v>-72</v>
      </c>
      <c r="J105" s="30">
        <f t="shared" si="265"/>
        <v>-78</v>
      </c>
      <c r="K105" s="76">
        <v>-47</v>
      </c>
      <c r="L105" s="76">
        <f>-121-K105</f>
        <v>-74</v>
      </c>
      <c r="M105" s="76">
        <f>-189-L105-K105</f>
        <v>-68</v>
      </c>
      <c r="N105" s="30">
        <f t="shared" si="266"/>
        <v>-101</v>
      </c>
      <c r="O105" s="76">
        <v>-44</v>
      </c>
      <c r="P105" s="76">
        <f>-110-O105</f>
        <v>-66</v>
      </c>
      <c r="Q105" s="76">
        <f>-167-P105-O105</f>
        <v>-57</v>
      </c>
      <c r="S105" s="30">
        <f t="shared" si="267"/>
        <v>-277</v>
      </c>
      <c r="T105" s="30">
        <f t="shared" si="268"/>
        <v>-271</v>
      </c>
      <c r="U105" s="30">
        <f t="shared" si="269"/>
        <v>-267</v>
      </c>
      <c r="V105" s="30">
        <f t="shared" si="270"/>
        <v>-290</v>
      </c>
      <c r="W105" s="30">
        <f t="shared" si="271"/>
        <v>-287</v>
      </c>
      <c r="X105" s="30">
        <f t="shared" si="272"/>
        <v>-279</v>
      </c>
      <c r="Y105" s="30">
        <f t="shared" si="273"/>
        <v>-211</v>
      </c>
      <c r="Z105" s="11"/>
      <c r="AA105" s="68">
        <f t="shared" si="274"/>
        <v>-0.20973782771535576</v>
      </c>
    </row>
    <row r="106" spans="2:27" ht="12.75" customHeight="1">
      <c r="B106" s="56" t="s">
        <v>166</v>
      </c>
      <c r="C106" s="76">
        <v>248</v>
      </c>
      <c r="D106" s="76">
        <v>344</v>
      </c>
      <c r="E106" s="76">
        <v>939</v>
      </c>
      <c r="F106" s="30"/>
      <c r="G106" s="76">
        <v>-69</v>
      </c>
      <c r="H106" s="76">
        <f>53-G106</f>
        <v>122</v>
      </c>
      <c r="I106" s="76">
        <f>222-H106-G106</f>
        <v>169</v>
      </c>
      <c r="J106" s="30">
        <f t="shared" si="265"/>
        <v>122</v>
      </c>
      <c r="K106" s="76">
        <v>10</v>
      </c>
      <c r="L106" s="76">
        <f>333-K106</f>
        <v>323</v>
      </c>
      <c r="M106" s="76">
        <f>310-L106-K106</f>
        <v>-23</v>
      </c>
      <c r="N106" s="30">
        <f t="shared" si="266"/>
        <v>629</v>
      </c>
      <c r="O106" s="76">
        <v>68</v>
      </c>
      <c r="P106" s="76">
        <f>221-O106</f>
        <v>153</v>
      </c>
      <c r="Q106" s="76">
        <f>514-P106-O106</f>
        <v>293</v>
      </c>
      <c r="S106" s="30">
        <f t="shared" si="267"/>
        <v>423</v>
      </c>
      <c r="T106" s="30">
        <f t="shared" si="268"/>
        <v>624</v>
      </c>
      <c r="U106" s="30">
        <f t="shared" si="269"/>
        <v>432</v>
      </c>
      <c r="V106" s="30">
        <f t="shared" si="270"/>
        <v>939</v>
      </c>
      <c r="W106" s="30">
        <f t="shared" si="271"/>
        <v>997</v>
      </c>
      <c r="X106" s="30">
        <f t="shared" si="272"/>
        <v>827</v>
      </c>
      <c r="Y106" s="30">
        <f t="shared" si="273"/>
        <v>850</v>
      </c>
      <c r="Z106" s="11"/>
      <c r="AA106" s="68">
        <f t="shared" si="274"/>
        <v>0.96759259259259256</v>
      </c>
    </row>
    <row r="107" spans="2:27" ht="12.75" customHeight="1">
      <c r="B107" s="56" t="s">
        <v>167</v>
      </c>
      <c r="C107" s="76">
        <v>-91</v>
      </c>
      <c r="D107" s="76">
        <v>-2</v>
      </c>
      <c r="E107" s="76">
        <v>-623</v>
      </c>
      <c r="F107" s="30"/>
      <c r="G107" s="76">
        <v>-45</v>
      </c>
      <c r="H107" s="76">
        <f>-12-G107</f>
        <v>33</v>
      </c>
      <c r="I107" s="76">
        <f>28-H107-G107</f>
        <v>40</v>
      </c>
      <c r="J107" s="30">
        <f t="shared" si="265"/>
        <v>-30</v>
      </c>
      <c r="K107" s="76">
        <v>-58</v>
      </c>
      <c r="L107" s="76">
        <f>-173-K107</f>
        <v>-115</v>
      </c>
      <c r="M107" s="76">
        <f>-299-L107-K107</f>
        <v>-126</v>
      </c>
      <c r="N107" s="30">
        <f t="shared" si="266"/>
        <v>-324</v>
      </c>
      <c r="O107" s="76">
        <v>-145</v>
      </c>
      <c r="P107" s="76">
        <f>-363-O107</f>
        <v>-218</v>
      </c>
      <c r="Q107" s="76">
        <f>-489-P107-O107</f>
        <v>-126</v>
      </c>
      <c r="S107" s="30">
        <f t="shared" si="267"/>
        <v>-15</v>
      </c>
      <c r="T107" s="30">
        <f t="shared" si="268"/>
        <v>-163</v>
      </c>
      <c r="U107" s="30">
        <f t="shared" si="269"/>
        <v>-329</v>
      </c>
      <c r="V107" s="30">
        <f t="shared" si="270"/>
        <v>-623</v>
      </c>
      <c r="W107" s="30">
        <f t="shared" si="271"/>
        <v>-710</v>
      </c>
      <c r="X107" s="30">
        <f t="shared" si="272"/>
        <v>-813</v>
      </c>
      <c r="Y107" s="30">
        <f t="shared" si="273"/>
        <v>-687</v>
      </c>
      <c r="Z107" s="11"/>
      <c r="AA107" s="68">
        <f t="shared" si="274"/>
        <v>1.0881458966565352</v>
      </c>
    </row>
    <row r="108" spans="2:27" ht="12.75" customHeight="1">
      <c r="B108" s="56" t="s">
        <v>182</v>
      </c>
      <c r="C108" s="76">
        <v>302</v>
      </c>
      <c r="D108" s="76">
        <v>151</v>
      </c>
      <c r="E108" s="76">
        <v>229</v>
      </c>
      <c r="F108" s="30"/>
      <c r="G108" s="76">
        <v>-104</v>
      </c>
      <c r="H108" s="76">
        <f>-401-G108</f>
        <v>-297</v>
      </c>
      <c r="I108" s="76">
        <f>-240-H108-G108</f>
        <v>161</v>
      </c>
      <c r="J108" s="30">
        <f t="shared" ref="J108" si="275">SUM(D108-SUM(G108:I108))</f>
        <v>391</v>
      </c>
      <c r="K108" s="76">
        <v>71</v>
      </c>
      <c r="L108" s="76">
        <f>-430-K108</f>
        <v>-501</v>
      </c>
      <c r="M108" s="76">
        <f>98-L108-K108</f>
        <v>528</v>
      </c>
      <c r="N108" s="30">
        <f t="shared" ref="N108" si="276">SUM(E108-SUM(K108:M108))</f>
        <v>131</v>
      </c>
      <c r="O108" s="76">
        <v>-74</v>
      </c>
      <c r="P108" s="76">
        <f>-754-O108</f>
        <v>-680</v>
      </c>
      <c r="Q108" s="76">
        <f>-693-P108-O108</f>
        <v>61</v>
      </c>
      <c r="S108" s="30">
        <f t="shared" ref="S108" si="277">SUM(H108:K108)</f>
        <v>326</v>
      </c>
      <c r="T108" s="30">
        <f t="shared" ref="T108" si="278">SUM(I108:L108)</f>
        <v>122</v>
      </c>
      <c r="U108" s="30">
        <f t="shared" ref="U108" si="279">SUM(J108:M108)</f>
        <v>489</v>
      </c>
      <c r="V108" s="30">
        <f t="shared" ref="V108" si="280">SUM(K108:N108)</f>
        <v>229</v>
      </c>
      <c r="W108" s="30">
        <f t="shared" ref="W108" si="281">SUM(L108:O108)</f>
        <v>84</v>
      </c>
      <c r="X108" s="30">
        <f t="shared" ref="X108" si="282">SUM(M108:P108)</f>
        <v>-95</v>
      </c>
      <c r="Y108" s="30">
        <f t="shared" ref="Y108" si="283">SUM(N108:P108)</f>
        <v>-623</v>
      </c>
      <c r="Z108" s="11"/>
      <c r="AA108" s="68">
        <f t="shared" ref="AA108" si="284">SUM(Y108/U108)-1</f>
        <v>-2.2740286298568506</v>
      </c>
    </row>
    <row r="109" spans="2:27" ht="12.75" customHeight="1">
      <c r="B109" s="33" t="s">
        <v>13</v>
      </c>
      <c r="C109" s="76"/>
      <c r="D109" s="76"/>
      <c r="E109" s="76"/>
      <c r="F109" s="30"/>
      <c r="G109" s="76"/>
      <c r="H109" s="76"/>
      <c r="I109" s="76"/>
      <c r="J109" s="30"/>
      <c r="K109" s="76"/>
      <c r="L109" s="76"/>
      <c r="M109" s="76"/>
      <c r="N109" s="30"/>
      <c r="O109" s="76"/>
      <c r="P109" s="76"/>
      <c r="Q109" s="76"/>
      <c r="S109" s="30"/>
      <c r="T109" s="30"/>
      <c r="U109" s="30"/>
      <c r="V109" s="30"/>
      <c r="W109" s="30"/>
      <c r="X109" s="30"/>
      <c r="Y109" s="30"/>
      <c r="Z109" s="55"/>
      <c r="AA109" s="68"/>
    </row>
    <row r="110" spans="2:27" ht="12.75" customHeight="1">
      <c r="B110" s="56" t="s">
        <v>168</v>
      </c>
      <c r="C110" s="76">
        <f>-870-4</f>
        <v>-874</v>
      </c>
      <c r="D110" s="76">
        <f>-837-2</f>
        <v>-839</v>
      </c>
      <c r="E110" s="76">
        <f>-1289-8</f>
        <v>-1297</v>
      </c>
      <c r="F110" s="30"/>
      <c r="G110" s="76">
        <f>591-12</f>
        <v>579</v>
      </c>
      <c r="H110" s="76">
        <f>282-1-G110</f>
        <v>-298</v>
      </c>
      <c r="I110" s="76">
        <f>160+12-H110-G110</f>
        <v>-109</v>
      </c>
      <c r="J110" s="30">
        <f t="shared" ref="J110:J114" si="285">SUM(D110-SUM(G110:I110))</f>
        <v>-1011</v>
      </c>
      <c r="K110" s="76">
        <f>359-56</f>
        <v>303</v>
      </c>
      <c r="L110" s="76">
        <f>683-6-K110</f>
        <v>374</v>
      </c>
      <c r="M110" s="76">
        <f>28-5-L110-K110</f>
        <v>-654</v>
      </c>
      <c r="N110" s="30">
        <f t="shared" ref="N110:N114" si="286">SUM(E110-SUM(K110:M110))</f>
        <v>-1320</v>
      </c>
      <c r="O110" s="76">
        <v>918</v>
      </c>
      <c r="P110" s="76">
        <f>1031-O110</f>
        <v>113</v>
      </c>
      <c r="Q110" s="76">
        <f>563-P110-O110</f>
        <v>-468</v>
      </c>
      <c r="S110" s="30">
        <f t="shared" ref="S110:X114" si="287">SUM(H110:K110)</f>
        <v>-1115</v>
      </c>
      <c r="T110" s="30">
        <f t="shared" si="287"/>
        <v>-443</v>
      </c>
      <c r="U110" s="30">
        <f t="shared" si="287"/>
        <v>-988</v>
      </c>
      <c r="V110" s="30">
        <f t="shared" si="287"/>
        <v>-1297</v>
      </c>
      <c r="W110" s="30">
        <f t="shared" si="287"/>
        <v>-682</v>
      </c>
      <c r="X110" s="30">
        <f t="shared" si="287"/>
        <v>-943</v>
      </c>
      <c r="Y110" s="30">
        <f t="shared" ref="Y110:Y114" si="288">SUM(N110:P110)</f>
        <v>-289</v>
      </c>
      <c r="Z110" s="55"/>
      <c r="AA110" s="68">
        <f t="shared" ref="AA110:AA115" si="289">SUM(Y110/U110)-1</f>
        <v>-0.70748987854251011</v>
      </c>
    </row>
    <row r="111" spans="2:27" ht="12.75" customHeight="1">
      <c r="B111" s="56" t="s">
        <v>169</v>
      </c>
      <c r="C111" s="76">
        <v>-949</v>
      </c>
      <c r="D111" s="76">
        <v>-240</v>
      </c>
      <c r="E111" s="76">
        <v>-641</v>
      </c>
      <c r="F111" s="30"/>
      <c r="G111" s="76">
        <v>-739</v>
      </c>
      <c r="H111" s="76">
        <f>-1165-G111</f>
        <v>-426</v>
      </c>
      <c r="I111" s="76">
        <f>-1051-H111-G111</f>
        <v>114</v>
      </c>
      <c r="J111" s="30">
        <f t="shared" si="285"/>
        <v>811</v>
      </c>
      <c r="K111" s="76">
        <v>-717</v>
      </c>
      <c r="L111" s="76">
        <f>-1288-K111</f>
        <v>-571</v>
      </c>
      <c r="M111" s="76">
        <f>-1151-L111-K111</f>
        <v>137</v>
      </c>
      <c r="N111" s="30">
        <f t="shared" si="286"/>
        <v>510</v>
      </c>
      <c r="O111" s="76">
        <v>-432</v>
      </c>
      <c r="P111" s="76">
        <f>883-O111</f>
        <v>1315</v>
      </c>
      <c r="Q111" s="76">
        <f>-1047-P111-O111</f>
        <v>-1930</v>
      </c>
      <c r="S111" s="30">
        <f t="shared" si="287"/>
        <v>-218</v>
      </c>
      <c r="T111" s="30">
        <f t="shared" si="287"/>
        <v>-363</v>
      </c>
      <c r="U111" s="30">
        <f t="shared" si="287"/>
        <v>-340</v>
      </c>
      <c r="V111" s="30">
        <f t="shared" si="287"/>
        <v>-641</v>
      </c>
      <c r="W111" s="30">
        <f t="shared" si="287"/>
        <v>-356</v>
      </c>
      <c r="X111" s="30">
        <f t="shared" si="287"/>
        <v>1530</v>
      </c>
      <c r="Y111" s="30">
        <f t="shared" si="288"/>
        <v>1393</v>
      </c>
      <c r="Z111" s="55"/>
      <c r="AA111" s="68">
        <f t="shared" si="289"/>
        <v>-5.0970588235294114</v>
      </c>
    </row>
    <row r="112" spans="2:27" ht="12.75" customHeight="1">
      <c r="B112" s="56" t="s">
        <v>170</v>
      </c>
      <c r="C112" s="76">
        <v>353</v>
      </c>
      <c r="D112" s="76">
        <v>113</v>
      </c>
      <c r="E112" s="76">
        <v>-409</v>
      </c>
      <c r="F112" s="30"/>
      <c r="G112" s="76">
        <v>-36</v>
      </c>
      <c r="H112" s="76">
        <f>-5-G112</f>
        <v>31</v>
      </c>
      <c r="I112" s="76">
        <f>-68-H112-G112</f>
        <v>-63</v>
      </c>
      <c r="J112" s="30">
        <f t="shared" ref="J112:J113" si="290">SUM(D112-SUM(G112:I112))</f>
        <v>181</v>
      </c>
      <c r="K112" s="76">
        <v>-270</v>
      </c>
      <c r="L112" s="76">
        <f>-408-K112</f>
        <v>-138</v>
      </c>
      <c r="M112" s="76">
        <f>-234-L112-K112</f>
        <v>174</v>
      </c>
      <c r="N112" s="30">
        <f t="shared" ref="N112:N113" si="291">SUM(E112-SUM(K112:M112))</f>
        <v>-175</v>
      </c>
      <c r="O112" s="76">
        <v>-345</v>
      </c>
      <c r="P112" s="76">
        <f>-647-O112</f>
        <v>-302</v>
      </c>
      <c r="Q112" s="76">
        <f>-656-P112-O112</f>
        <v>-9</v>
      </c>
      <c r="S112" s="30">
        <f t="shared" ref="S112:S113" si="292">SUM(H112:K112)</f>
        <v>-121</v>
      </c>
      <c r="T112" s="30">
        <f t="shared" ref="T112:T113" si="293">SUM(I112:L112)</f>
        <v>-290</v>
      </c>
      <c r="U112" s="30">
        <f t="shared" ref="U112:U113" si="294">SUM(J112:M112)</f>
        <v>-53</v>
      </c>
      <c r="V112" s="30">
        <f t="shared" ref="V112:V113" si="295">SUM(K112:N112)</f>
        <v>-409</v>
      </c>
      <c r="W112" s="30">
        <f t="shared" ref="W112:W113" si="296">SUM(L112:O112)</f>
        <v>-484</v>
      </c>
      <c r="X112" s="30">
        <f t="shared" ref="X112:X113" si="297">SUM(M112:P112)</f>
        <v>-648</v>
      </c>
      <c r="Y112" s="30">
        <f t="shared" ref="Y112:Y113" si="298">SUM(N112:P112)</f>
        <v>-822</v>
      </c>
      <c r="Z112" s="55"/>
      <c r="AA112" s="68">
        <f t="shared" ref="AA112:AA113" si="299">SUM(Y112/U112)-1</f>
        <v>14.509433962264151</v>
      </c>
    </row>
    <row r="113" spans="2:27" ht="12.75" customHeight="1">
      <c r="B113" s="56" t="s">
        <v>171</v>
      </c>
      <c r="C113" s="76">
        <f>643+124</f>
        <v>767</v>
      </c>
      <c r="D113" s="76">
        <f>-663-53</f>
        <v>-716</v>
      </c>
      <c r="E113" s="76">
        <f>1066-398</f>
        <v>668</v>
      </c>
      <c r="F113" s="30"/>
      <c r="G113" s="76">
        <f>-306+10</f>
        <v>-296</v>
      </c>
      <c r="H113" s="76">
        <f>-86+54-G113</f>
        <v>264</v>
      </c>
      <c r="I113" s="76">
        <f>-210+110-H113-G113</f>
        <v>-68</v>
      </c>
      <c r="J113" s="30">
        <f t="shared" si="290"/>
        <v>-616</v>
      </c>
      <c r="K113" s="76">
        <f>-306-365</f>
        <v>-671</v>
      </c>
      <c r="L113" s="76">
        <f>94-384-K113</f>
        <v>381</v>
      </c>
      <c r="M113" s="76">
        <f>970-366-L113-K113</f>
        <v>894</v>
      </c>
      <c r="N113" s="30">
        <f t="shared" si="291"/>
        <v>64</v>
      </c>
      <c r="O113" s="76">
        <v>-269</v>
      </c>
      <c r="P113" s="76">
        <f>207-O113</f>
        <v>476</v>
      </c>
      <c r="Q113" s="76">
        <f>566-P113-O113</f>
        <v>359</v>
      </c>
      <c r="S113" s="30">
        <f t="shared" si="292"/>
        <v>-1091</v>
      </c>
      <c r="T113" s="30">
        <f t="shared" si="293"/>
        <v>-974</v>
      </c>
      <c r="U113" s="30">
        <f t="shared" si="294"/>
        <v>-12</v>
      </c>
      <c r="V113" s="30">
        <f t="shared" si="295"/>
        <v>668</v>
      </c>
      <c r="W113" s="30">
        <f t="shared" si="296"/>
        <v>1070</v>
      </c>
      <c r="X113" s="30">
        <f t="shared" si="297"/>
        <v>1165</v>
      </c>
      <c r="Y113" s="30">
        <f t="shared" si="298"/>
        <v>271</v>
      </c>
      <c r="Z113" s="55"/>
      <c r="AA113" s="68">
        <f t="shared" si="299"/>
        <v>-23.583333333333332</v>
      </c>
    </row>
    <row r="114" spans="2:27" ht="12.75" customHeight="1">
      <c r="B114" s="56" t="s">
        <v>172</v>
      </c>
      <c r="C114" s="76">
        <v>1282</v>
      </c>
      <c r="D114" s="76">
        <v>2812</v>
      </c>
      <c r="E114" s="76">
        <v>2799</v>
      </c>
      <c r="F114" s="30"/>
      <c r="G114" s="76">
        <v>317</v>
      </c>
      <c r="H114" s="76">
        <f>788-G114</f>
        <v>471</v>
      </c>
      <c r="I114" s="76">
        <f>1008-H114-G114</f>
        <v>220</v>
      </c>
      <c r="J114" s="30">
        <f t="shared" si="285"/>
        <v>1804</v>
      </c>
      <c r="K114" s="76">
        <v>885</v>
      </c>
      <c r="L114" s="76">
        <f>1596-K114</f>
        <v>711</v>
      </c>
      <c r="M114" s="76">
        <f>1660-L114-K114</f>
        <v>64</v>
      </c>
      <c r="N114" s="30">
        <f t="shared" si="286"/>
        <v>1139</v>
      </c>
      <c r="O114" s="76">
        <v>1124</v>
      </c>
      <c r="P114" s="76">
        <f>1860-O114</f>
        <v>736</v>
      </c>
      <c r="Q114" s="76">
        <f>2419-P114-O114</f>
        <v>559</v>
      </c>
      <c r="S114" s="30">
        <f t="shared" si="287"/>
        <v>3380</v>
      </c>
      <c r="T114" s="30">
        <f t="shared" si="287"/>
        <v>3620</v>
      </c>
      <c r="U114" s="30">
        <f t="shared" si="287"/>
        <v>3464</v>
      </c>
      <c r="V114" s="30">
        <f t="shared" si="287"/>
        <v>2799</v>
      </c>
      <c r="W114" s="30">
        <f t="shared" si="287"/>
        <v>3038</v>
      </c>
      <c r="X114" s="30">
        <f t="shared" si="287"/>
        <v>3063</v>
      </c>
      <c r="Y114" s="30">
        <f t="shared" si="288"/>
        <v>2999</v>
      </c>
      <c r="Z114" s="55"/>
      <c r="AA114" s="68">
        <f t="shared" si="289"/>
        <v>-0.13423787528868358</v>
      </c>
    </row>
    <row r="115" spans="2:27" ht="12.75" customHeight="1">
      <c r="B115" s="12" t="s">
        <v>53</v>
      </c>
      <c r="C115" s="13">
        <f>SUM(C98:C114)</f>
        <v>-114</v>
      </c>
      <c r="D115" s="13">
        <f>SUM(D98:D114)</f>
        <v>1186</v>
      </c>
      <c r="E115" s="13">
        <f>SUM(E98:E114)</f>
        <v>2584</v>
      </c>
      <c r="G115" s="13">
        <f>SUM(G98:G114)</f>
        <v>-690</v>
      </c>
      <c r="H115" s="13">
        <f>SUM(H98:H114)</f>
        <v>-288</v>
      </c>
      <c r="I115" s="13">
        <f>SUM(I98:I114)</f>
        <v>232</v>
      </c>
      <c r="J115" s="13">
        <f>SUM(J98:J114)</f>
        <v>1932</v>
      </c>
      <c r="K115" s="13">
        <f>SUM(K98:K114)</f>
        <v>-444</v>
      </c>
      <c r="L115" s="13">
        <f>SUM(L98:L114)</f>
        <v>982</v>
      </c>
      <c r="M115" s="13">
        <f>SUM(M98:M114)</f>
        <v>1123</v>
      </c>
      <c r="N115" s="13">
        <f>SUM(N98:N114)</f>
        <v>923</v>
      </c>
      <c r="O115" s="13">
        <f>SUM(O98:O114)</f>
        <v>1160</v>
      </c>
      <c r="P115" s="13">
        <f>SUM(P98:P114)</f>
        <v>2133</v>
      </c>
      <c r="Q115" s="13">
        <f>SUM(Q98:Q114)</f>
        <v>-784</v>
      </c>
      <c r="S115" s="13">
        <f>SUM(S98:S114)</f>
        <v>1192</v>
      </c>
      <c r="T115" s="13">
        <f>SUM(T98:T114)</f>
        <v>1273</v>
      </c>
      <c r="U115" s="13">
        <f>SUM(U98:U114)</f>
        <v>3507</v>
      </c>
      <c r="V115" s="13">
        <f>SUM(V98:V114)</f>
        <v>2305</v>
      </c>
      <c r="W115" s="13">
        <f>SUM(W98:W114)</f>
        <v>3818</v>
      </c>
      <c r="X115" s="13">
        <f>SUM(X98:X114)</f>
        <v>6127</v>
      </c>
      <c r="Y115" s="13">
        <f>SUM(Y98:Y114)</f>
        <v>4117</v>
      </c>
      <c r="Z115" s="39"/>
      <c r="AA115" s="69">
        <f t="shared" si="289"/>
        <v>0.17393783860849732</v>
      </c>
    </row>
    <row r="116" spans="2:27" ht="12.75" customHeight="1">
      <c r="B116" s="49"/>
      <c r="C116" s="57"/>
      <c r="D116" s="57"/>
      <c r="E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S116" s="39"/>
      <c r="T116" s="39"/>
      <c r="U116" s="39"/>
      <c r="V116" s="39"/>
      <c r="W116" s="39"/>
      <c r="X116" s="39"/>
      <c r="Y116" s="39"/>
      <c r="Z116" s="39"/>
      <c r="AA116" s="36"/>
    </row>
    <row r="117" spans="2:27" ht="12.75" customHeight="1">
      <c r="B117" s="112" t="s">
        <v>54</v>
      </c>
      <c r="C117" s="54"/>
      <c r="D117" s="54"/>
      <c r="E117" s="54"/>
      <c r="G117" s="76"/>
      <c r="H117" s="76"/>
      <c r="I117" s="76"/>
      <c r="J117" s="30"/>
      <c r="K117" s="76"/>
      <c r="L117" s="76"/>
      <c r="M117" s="76"/>
      <c r="N117" s="30"/>
      <c r="O117" s="76"/>
      <c r="P117" s="76"/>
      <c r="Q117" s="76"/>
      <c r="S117" s="54"/>
      <c r="T117" s="54"/>
      <c r="U117" s="54"/>
      <c r="V117" s="54"/>
      <c r="W117" s="54"/>
      <c r="X117" s="54"/>
      <c r="Y117" s="54"/>
      <c r="Z117" s="55"/>
      <c r="AA117" s="36"/>
    </row>
    <row r="118" spans="2:27" ht="12.75" customHeight="1">
      <c r="B118" s="56" t="s">
        <v>173</v>
      </c>
      <c r="C118" s="76">
        <v>-513</v>
      </c>
      <c r="D118" s="76">
        <v>-744</v>
      </c>
      <c r="E118" s="76">
        <v>-883</v>
      </c>
      <c r="F118" s="30"/>
      <c r="G118" s="76">
        <v>-124</v>
      </c>
      <c r="H118" s="76">
        <f>-283-G118</f>
        <v>-159</v>
      </c>
      <c r="I118" s="76">
        <f>-464-H118-G118</f>
        <v>-181</v>
      </c>
      <c r="J118" s="30">
        <f>SUM(D118-SUM(G118:I118))</f>
        <v>-280</v>
      </c>
      <c r="K118" s="76">
        <v>-217</v>
      </c>
      <c r="L118" s="76">
        <f>-374-K118</f>
        <v>-157</v>
      </c>
      <c r="M118" s="76">
        <f>-533-L118-K118</f>
        <v>-159</v>
      </c>
      <c r="N118" s="30">
        <f>SUM(E118-SUM(K118:M118))</f>
        <v>-350</v>
      </c>
      <c r="O118" s="76">
        <v>-186</v>
      </c>
      <c r="P118" s="76">
        <v>-359</v>
      </c>
      <c r="Q118" s="76">
        <f>-600-P118-O118</f>
        <v>-55</v>
      </c>
      <c r="R118" s="30"/>
      <c r="S118" s="30">
        <f t="shared" ref="S118:X123" si="300">SUM(H118:K118)</f>
        <v>-837</v>
      </c>
      <c r="T118" s="30">
        <f t="shared" si="300"/>
        <v>-835</v>
      </c>
      <c r="U118" s="30">
        <f t="shared" si="300"/>
        <v>-813</v>
      </c>
      <c r="V118" s="30">
        <f t="shared" si="300"/>
        <v>-883</v>
      </c>
      <c r="W118" s="30">
        <f t="shared" si="300"/>
        <v>-852</v>
      </c>
      <c r="X118" s="30">
        <f t="shared" si="300"/>
        <v>-1054</v>
      </c>
      <c r="Y118" s="30">
        <f>SUM(N118:P118)</f>
        <v>-895</v>
      </c>
      <c r="Z118" s="55"/>
      <c r="AA118" s="68">
        <f t="shared" ref="AA118:AA124" si="301">SUM(Y118/U118)-1</f>
        <v>0.10086100861008607</v>
      </c>
    </row>
    <row r="119" spans="2:27" ht="12.75" customHeight="1">
      <c r="B119" s="56" t="s">
        <v>174</v>
      </c>
      <c r="C119" s="76">
        <v>53</v>
      </c>
      <c r="D119" s="76">
        <v>60</v>
      </c>
      <c r="E119" s="76">
        <v>25</v>
      </c>
      <c r="F119" s="30"/>
      <c r="G119" s="76">
        <v>2</v>
      </c>
      <c r="H119" s="76">
        <f>44-G119</f>
        <v>42</v>
      </c>
      <c r="I119" s="76">
        <f>54-H119-G119</f>
        <v>10</v>
      </c>
      <c r="J119" s="30">
        <f>SUM(D119-SUM(G119:I119))</f>
        <v>6</v>
      </c>
      <c r="K119" s="76">
        <v>4</v>
      </c>
      <c r="L119" s="76">
        <f>13-K119</f>
        <v>9</v>
      </c>
      <c r="M119" s="76">
        <f>16-L119-K119</f>
        <v>3</v>
      </c>
      <c r="N119" s="30">
        <f>SUM(E119-SUM(K119:M119))</f>
        <v>9</v>
      </c>
      <c r="O119" s="76">
        <v>34</v>
      </c>
      <c r="P119" s="76">
        <v>34</v>
      </c>
      <c r="Q119" s="76">
        <f>33-P119-O119</f>
        <v>-35</v>
      </c>
      <c r="R119" s="30"/>
      <c r="S119" s="30">
        <f t="shared" si="300"/>
        <v>62</v>
      </c>
      <c r="T119" s="30">
        <f t="shared" si="300"/>
        <v>29</v>
      </c>
      <c r="U119" s="30">
        <f t="shared" si="300"/>
        <v>22</v>
      </c>
      <c r="V119" s="30">
        <f t="shared" si="300"/>
        <v>25</v>
      </c>
      <c r="W119" s="30">
        <f t="shared" si="300"/>
        <v>55</v>
      </c>
      <c r="X119" s="30">
        <f t="shared" si="300"/>
        <v>80</v>
      </c>
      <c r="Y119" s="30">
        <f>SUM(N119:P119)</f>
        <v>77</v>
      </c>
      <c r="Z119" s="55"/>
      <c r="AA119" s="68">
        <f t="shared" si="301"/>
        <v>2.5</v>
      </c>
    </row>
    <row r="120" spans="2:27" ht="12.75" customHeight="1">
      <c r="B120" s="56" t="s">
        <v>175</v>
      </c>
      <c r="C120" s="76">
        <v>-393</v>
      </c>
      <c r="D120" s="76">
        <v>-83</v>
      </c>
      <c r="E120" s="76">
        <v>-114</v>
      </c>
      <c r="F120" s="30"/>
      <c r="G120" s="76">
        <v>-18</v>
      </c>
      <c r="H120" s="76">
        <f>-40-G120</f>
        <v>-22</v>
      </c>
      <c r="I120" s="76">
        <f>-77-H120-G120</f>
        <v>-37</v>
      </c>
      <c r="J120" s="30">
        <f>SUM(D120-SUM(G120:I120))</f>
        <v>-6</v>
      </c>
      <c r="K120" s="76">
        <v>-91</v>
      </c>
      <c r="L120" s="76">
        <f>-108-K120</f>
        <v>-17</v>
      </c>
      <c r="M120" s="76">
        <f>-110-L120-K120</f>
        <v>-2</v>
      </c>
      <c r="N120" s="30">
        <f>SUM(E120-SUM(K120:M120))</f>
        <v>-4</v>
      </c>
      <c r="O120" s="76">
        <v>-6</v>
      </c>
      <c r="P120" s="76">
        <v>-30</v>
      </c>
      <c r="Q120" s="76">
        <f>-57-P120-O120</f>
        <v>-21</v>
      </c>
      <c r="R120" s="30"/>
      <c r="S120" s="30">
        <f t="shared" si="300"/>
        <v>-156</v>
      </c>
      <c r="T120" s="30">
        <f t="shared" si="300"/>
        <v>-151</v>
      </c>
      <c r="U120" s="30">
        <f t="shared" si="300"/>
        <v>-116</v>
      </c>
      <c r="V120" s="30">
        <f t="shared" si="300"/>
        <v>-114</v>
      </c>
      <c r="W120" s="30">
        <f t="shared" si="300"/>
        <v>-29</v>
      </c>
      <c r="X120" s="30">
        <f t="shared" si="300"/>
        <v>-42</v>
      </c>
      <c r="Y120" s="30">
        <f>SUM(N120:P120)</f>
        <v>-40</v>
      </c>
      <c r="Z120" s="55"/>
      <c r="AA120" s="68">
        <f t="shared" si="301"/>
        <v>-0.65517241379310343</v>
      </c>
    </row>
    <row r="121" spans="2:27" ht="12.75" customHeight="1">
      <c r="B121" s="56" t="s">
        <v>176</v>
      </c>
      <c r="C121" s="76">
        <v>340</v>
      </c>
      <c r="D121" s="76">
        <v>232</v>
      </c>
      <c r="E121" s="76">
        <v>244</v>
      </c>
      <c r="F121" s="30"/>
      <c r="G121" s="76">
        <v>13</v>
      </c>
      <c r="H121" s="76">
        <f>33-G121</f>
        <v>20</v>
      </c>
      <c r="I121" s="76">
        <f>220-H121-G121</f>
        <v>187</v>
      </c>
      <c r="J121" s="30">
        <f t="shared" ref="J121:J122" si="302">SUM(D121-SUM(G121:I121))</f>
        <v>12</v>
      </c>
      <c r="K121" s="76">
        <v>29</v>
      </c>
      <c r="L121" s="76">
        <f>31-K121</f>
        <v>2</v>
      </c>
      <c r="M121" s="76">
        <f>32-L121-K121</f>
        <v>1</v>
      </c>
      <c r="N121" s="30">
        <f t="shared" ref="N121:N122" si="303">SUM(E121-SUM(K121:M121))</f>
        <v>212</v>
      </c>
      <c r="O121" s="76">
        <v>90</v>
      </c>
      <c r="P121" s="76">
        <v>91</v>
      </c>
      <c r="Q121" s="76">
        <f>248-P121-O121</f>
        <v>67</v>
      </c>
      <c r="R121" s="30"/>
      <c r="S121" s="30">
        <f t="shared" ref="S121:S122" si="304">SUM(H121:K121)</f>
        <v>248</v>
      </c>
      <c r="T121" s="30">
        <f t="shared" ref="T121:T122" si="305">SUM(I121:L121)</f>
        <v>230</v>
      </c>
      <c r="U121" s="30">
        <f t="shared" ref="U121:U122" si="306">SUM(J121:M121)</f>
        <v>44</v>
      </c>
      <c r="V121" s="30">
        <f t="shared" ref="V121:V122" si="307">SUM(K121:N121)</f>
        <v>244</v>
      </c>
      <c r="W121" s="30">
        <f t="shared" ref="W121:W122" si="308">SUM(L121:O121)</f>
        <v>305</v>
      </c>
      <c r="X121" s="30">
        <f t="shared" ref="X121:X122" si="309">SUM(M121:P121)</f>
        <v>394</v>
      </c>
      <c r="Y121" s="30">
        <f t="shared" ref="Y121:Y122" si="310">SUM(N121:P121)</f>
        <v>393</v>
      </c>
      <c r="Z121" s="55"/>
      <c r="AA121" s="68">
        <f t="shared" ref="AA121:AA122" si="311">SUM(Y121/U121)-1</f>
        <v>7.9318181818181817</v>
      </c>
    </row>
    <row r="122" spans="2:27" ht="12.75" customHeight="1">
      <c r="B122" s="56" t="s">
        <v>177</v>
      </c>
      <c r="C122" s="76">
        <v>0</v>
      </c>
      <c r="D122" s="76">
        <v>0</v>
      </c>
      <c r="E122" s="76">
        <v>813</v>
      </c>
      <c r="F122" s="30"/>
      <c r="G122" s="76">
        <v>0</v>
      </c>
      <c r="H122" s="76">
        <v>0</v>
      </c>
      <c r="I122" s="76">
        <v>0</v>
      </c>
      <c r="J122" s="30">
        <f t="shared" si="302"/>
        <v>0</v>
      </c>
      <c r="K122" s="76">
        <v>0</v>
      </c>
      <c r="L122" s="76">
        <f>639-K122</f>
        <v>639</v>
      </c>
      <c r="M122" s="76">
        <f>639-L122-K122</f>
        <v>0</v>
      </c>
      <c r="N122" s="30">
        <f t="shared" si="303"/>
        <v>174</v>
      </c>
      <c r="O122" s="76">
        <v>-25</v>
      </c>
      <c r="P122" s="76">
        <v>1</v>
      </c>
      <c r="Q122" s="76">
        <f>60-P122-O122</f>
        <v>84</v>
      </c>
      <c r="R122" s="30"/>
      <c r="S122" s="30">
        <f t="shared" si="304"/>
        <v>0</v>
      </c>
      <c r="T122" s="30">
        <f t="shared" si="305"/>
        <v>639</v>
      </c>
      <c r="U122" s="30">
        <f t="shared" si="306"/>
        <v>639</v>
      </c>
      <c r="V122" s="30">
        <f t="shared" si="307"/>
        <v>813</v>
      </c>
      <c r="W122" s="30">
        <f t="shared" si="308"/>
        <v>788</v>
      </c>
      <c r="X122" s="30">
        <f t="shared" si="309"/>
        <v>150</v>
      </c>
      <c r="Y122" s="30">
        <f t="shared" si="310"/>
        <v>150</v>
      </c>
      <c r="Z122" s="55"/>
      <c r="AA122" s="68">
        <f t="shared" si="311"/>
        <v>-0.76525821596244126</v>
      </c>
    </row>
    <row r="123" spans="2:27" ht="12.75" customHeight="1">
      <c r="B123" s="56" t="s">
        <v>178</v>
      </c>
      <c r="C123" s="76">
        <v>191</v>
      </c>
      <c r="D123" s="76">
        <v>-199</v>
      </c>
      <c r="E123" s="76">
        <v>-122</v>
      </c>
      <c r="F123" s="30"/>
      <c r="G123" s="76">
        <v>86</v>
      </c>
      <c r="H123" s="76">
        <f>-196-G123</f>
        <v>-282</v>
      </c>
      <c r="I123" s="76">
        <f>-209-H123-G123</f>
        <v>-13</v>
      </c>
      <c r="J123" s="30">
        <f>SUM(D123-SUM(G123:I123))</f>
        <v>10</v>
      </c>
      <c r="K123" s="76">
        <v>-9</v>
      </c>
      <c r="L123" s="76">
        <f>51-K123</f>
        <v>60</v>
      </c>
      <c r="M123" s="76">
        <f>94-L123-K123</f>
        <v>43</v>
      </c>
      <c r="N123" s="30">
        <f>SUM(E123-SUM(K123:M123))</f>
        <v>-216</v>
      </c>
      <c r="O123" s="76">
        <v>-93</v>
      </c>
      <c r="P123" s="76">
        <v>49</v>
      </c>
      <c r="Q123" s="76">
        <f>-58-P123-O123</f>
        <v>-14</v>
      </c>
      <c r="R123" s="30"/>
      <c r="S123" s="30">
        <f t="shared" si="300"/>
        <v>-294</v>
      </c>
      <c r="T123" s="30">
        <f t="shared" si="300"/>
        <v>48</v>
      </c>
      <c r="U123" s="30">
        <f t="shared" si="300"/>
        <v>104</v>
      </c>
      <c r="V123" s="30">
        <f t="shared" si="300"/>
        <v>-122</v>
      </c>
      <c r="W123" s="30">
        <f t="shared" si="300"/>
        <v>-206</v>
      </c>
      <c r="X123" s="30">
        <f t="shared" si="300"/>
        <v>-217</v>
      </c>
      <c r="Y123" s="30">
        <f>SUM(N123:P123)</f>
        <v>-260</v>
      </c>
      <c r="Z123" s="55"/>
      <c r="AA123" s="68">
        <f t="shared" si="301"/>
        <v>-3.5</v>
      </c>
    </row>
    <row r="124" spans="2:27" ht="12.75" customHeight="1">
      <c r="B124" s="12" t="s">
        <v>55</v>
      </c>
      <c r="C124" s="13">
        <f>SUM(C118:C123)</f>
        <v>-322</v>
      </c>
      <c r="D124" s="13">
        <f>SUM(D118:D123)</f>
        <v>-734</v>
      </c>
      <c r="E124" s="13">
        <f>SUM(E118:E123)</f>
        <v>-37</v>
      </c>
      <c r="G124" s="13">
        <f>SUM(G118:G123)</f>
        <v>-41</v>
      </c>
      <c r="H124" s="13">
        <f>SUM(H118:H123)</f>
        <v>-401</v>
      </c>
      <c r="I124" s="13">
        <f>SUM(I118:I123)</f>
        <v>-34</v>
      </c>
      <c r="J124" s="13">
        <f>SUM(J118:J123)</f>
        <v>-258</v>
      </c>
      <c r="K124" s="13">
        <f>SUM(K118:K123)</f>
        <v>-284</v>
      </c>
      <c r="L124" s="13">
        <f>SUM(L118:L123)</f>
        <v>536</v>
      </c>
      <c r="M124" s="13">
        <f>SUM(M118:M123)</f>
        <v>-114</v>
      </c>
      <c r="N124" s="13">
        <f>SUM(N118:N123)</f>
        <v>-175</v>
      </c>
      <c r="O124" s="13">
        <f>SUM(O118:O123)</f>
        <v>-186</v>
      </c>
      <c r="P124" s="13">
        <f>SUM(P118:P123)</f>
        <v>-214</v>
      </c>
      <c r="Q124" s="13">
        <f>SUM(Q118:Q123)</f>
        <v>26</v>
      </c>
      <c r="S124" s="13">
        <f>SUM(S118:S123)</f>
        <v>-977</v>
      </c>
      <c r="T124" s="13">
        <f>SUM(T118:T123)</f>
        <v>-40</v>
      </c>
      <c r="U124" s="13">
        <f>SUM(U118:U123)</f>
        <v>-120</v>
      </c>
      <c r="V124" s="13">
        <f>SUM(V118:V123)</f>
        <v>-37</v>
      </c>
      <c r="W124" s="13">
        <f>SUM(W118:W123)</f>
        <v>61</v>
      </c>
      <c r="X124" s="13">
        <f>SUM(X118:X123)</f>
        <v>-689</v>
      </c>
      <c r="Y124" s="13">
        <f>SUM(Y118:Y123)</f>
        <v>-575</v>
      </c>
      <c r="Z124" s="39"/>
      <c r="AA124" s="69">
        <f t="shared" si="301"/>
        <v>3.791666666666667</v>
      </c>
    </row>
    <row r="125" spans="2:27" ht="5.0999999999999996" customHeight="1">
      <c r="B125" s="48"/>
      <c r="C125" s="57"/>
      <c r="D125" s="57"/>
      <c r="E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S125" s="39"/>
      <c r="T125" s="39"/>
      <c r="U125" s="39"/>
      <c r="V125" s="39"/>
      <c r="W125" s="39"/>
      <c r="X125" s="39"/>
      <c r="Y125" s="39"/>
      <c r="Z125" s="39"/>
      <c r="AA125" s="36"/>
    </row>
    <row r="126" spans="2:27" ht="12.75" customHeight="1">
      <c r="B126" s="112" t="s">
        <v>56</v>
      </c>
      <c r="C126" s="58"/>
      <c r="D126" s="58"/>
      <c r="E126" s="58"/>
      <c r="G126" s="58"/>
      <c r="H126" s="58"/>
      <c r="I126" s="58"/>
      <c r="J126" s="58"/>
      <c r="K126" s="58"/>
      <c r="L126" s="58"/>
      <c r="M126" s="58"/>
      <c r="N126" s="58"/>
      <c r="O126" s="58"/>
      <c r="P126" s="58"/>
      <c r="Q126" s="58"/>
      <c r="R126" s="30"/>
      <c r="S126" s="30"/>
      <c r="T126" s="30"/>
      <c r="U126" s="30"/>
      <c r="V126" s="30"/>
      <c r="W126" s="30"/>
      <c r="X126" s="30"/>
      <c r="Y126" s="30"/>
      <c r="Z126" s="59"/>
      <c r="AA126" s="36"/>
    </row>
    <row r="127" spans="2:27" ht="12.75" customHeight="1">
      <c r="B127" s="77" t="s">
        <v>179</v>
      </c>
      <c r="C127" s="76">
        <v>15</v>
      </c>
      <c r="D127" s="76">
        <v>16</v>
      </c>
      <c r="E127" s="76">
        <v>-23</v>
      </c>
      <c r="G127" s="76">
        <v>18</v>
      </c>
      <c r="H127" s="76">
        <f>29-G127</f>
        <v>11</v>
      </c>
      <c r="I127" s="76">
        <f>30-H127-G127</f>
        <v>1</v>
      </c>
      <c r="J127" s="30">
        <f t="shared" ref="J127:J131" si="312">SUM(D127-SUM(G127:I127))</f>
        <v>-14</v>
      </c>
      <c r="K127" s="76">
        <v>-23</v>
      </c>
      <c r="L127" s="76">
        <f>-23-K127</f>
        <v>0</v>
      </c>
      <c r="M127" s="76">
        <f>-23-L127-K127</f>
        <v>0</v>
      </c>
      <c r="N127" s="30">
        <f t="shared" ref="N127:N131" si="313">SUM(E127-SUM(K127:M127))</f>
        <v>0</v>
      </c>
      <c r="O127" s="76">
        <v>0</v>
      </c>
      <c r="P127" s="76">
        <v>0</v>
      </c>
      <c r="Q127" s="76">
        <v>0</v>
      </c>
      <c r="R127" s="30"/>
      <c r="S127" s="30">
        <f t="shared" ref="S127:X131" si="314">SUM(H127:K127)</f>
        <v>-25</v>
      </c>
      <c r="T127" s="30">
        <f t="shared" si="314"/>
        <v>-36</v>
      </c>
      <c r="U127" s="30">
        <f t="shared" si="314"/>
        <v>-37</v>
      </c>
      <c r="V127" s="30">
        <f t="shared" si="314"/>
        <v>-23</v>
      </c>
      <c r="W127" s="30">
        <f t="shared" si="314"/>
        <v>0</v>
      </c>
      <c r="X127" s="30">
        <f t="shared" si="314"/>
        <v>0</v>
      </c>
      <c r="Y127" s="30">
        <f t="shared" ref="Y127:Y131" si="315">SUM(N127:P127)</f>
        <v>0</v>
      </c>
      <c r="Z127" s="59"/>
      <c r="AA127" s="68">
        <f t="shared" ref="AA127:AA132" si="316">SUM(Y127/U127)-1</f>
        <v>-1</v>
      </c>
    </row>
    <row r="128" spans="2:27" ht="12.75" customHeight="1">
      <c r="B128" s="56" t="s">
        <v>186</v>
      </c>
      <c r="C128" s="76">
        <v>0</v>
      </c>
      <c r="D128" s="76">
        <v>0</v>
      </c>
      <c r="E128" s="76">
        <v>0</v>
      </c>
      <c r="F128" s="30"/>
      <c r="G128" s="76">
        <v>0</v>
      </c>
      <c r="H128" s="76">
        <v>0</v>
      </c>
      <c r="I128" s="76">
        <v>0</v>
      </c>
      <c r="J128" s="30">
        <f t="shared" ref="J128" si="317">SUM(D128-SUM(G128:I128))</f>
        <v>0</v>
      </c>
      <c r="K128" s="76">
        <v>0</v>
      </c>
      <c r="L128" s="76">
        <v>0</v>
      </c>
      <c r="M128" s="76">
        <v>0</v>
      </c>
      <c r="N128" s="30">
        <f t="shared" ref="N128" si="318">SUM(E128-SUM(K128:M128))</f>
        <v>0</v>
      </c>
      <c r="O128" s="76">
        <v>-69</v>
      </c>
      <c r="P128" s="76">
        <v>-139</v>
      </c>
      <c r="Q128" s="76">
        <f>-207-P128-O128</f>
        <v>1</v>
      </c>
      <c r="R128" s="30"/>
      <c r="S128" s="30">
        <f t="shared" ref="S128" si="319">SUM(H128:K128)</f>
        <v>0</v>
      </c>
      <c r="T128" s="30">
        <f t="shared" ref="T128" si="320">SUM(I128:L128)</f>
        <v>0</v>
      </c>
      <c r="U128" s="30">
        <f t="shared" ref="U128" si="321">SUM(J128:M128)</f>
        <v>0</v>
      </c>
      <c r="V128" s="30">
        <f t="shared" ref="V128" si="322">SUM(K128:N128)</f>
        <v>0</v>
      </c>
      <c r="W128" s="30">
        <f t="shared" ref="W128" si="323">SUM(L128:O128)</f>
        <v>-69</v>
      </c>
      <c r="X128" s="30">
        <f t="shared" ref="X128" si="324">SUM(M128:P128)</f>
        <v>-208</v>
      </c>
      <c r="Y128" s="30">
        <f t="shared" ref="Y128" si="325">SUM(N128:P128)</f>
        <v>-208</v>
      </c>
      <c r="Z128" s="55"/>
      <c r="AA128" s="68" t="e">
        <f t="shared" ref="AA128" si="326">SUM(Y128/U128)-1</f>
        <v>#DIV/0!</v>
      </c>
    </row>
    <row r="129" spans="2:27" ht="12.75" customHeight="1">
      <c r="B129" s="56" t="s">
        <v>187</v>
      </c>
      <c r="C129" s="76">
        <v>0</v>
      </c>
      <c r="D129" s="76">
        <v>0</v>
      </c>
      <c r="E129" s="76">
        <v>0</v>
      </c>
      <c r="F129" s="30"/>
      <c r="G129" s="76">
        <v>0</v>
      </c>
      <c r="H129" s="76">
        <v>0</v>
      </c>
      <c r="I129" s="76">
        <v>0</v>
      </c>
      <c r="J129" s="30">
        <f t="shared" ref="J129" si="327">SUM(D129-SUM(G129:I129))</f>
        <v>0</v>
      </c>
      <c r="K129" s="76">
        <v>0</v>
      </c>
      <c r="L129" s="76">
        <v>0</v>
      </c>
      <c r="M129" s="76">
        <v>0</v>
      </c>
      <c r="N129" s="30">
        <f t="shared" ref="N129" si="328">SUM(E129-SUM(K129:M129))</f>
        <v>0</v>
      </c>
      <c r="O129" s="76">
        <v>-1101</v>
      </c>
      <c r="P129" s="76">
        <v>-1581</v>
      </c>
      <c r="Q129" s="76">
        <f>-2241-P129-O129</f>
        <v>441</v>
      </c>
      <c r="R129" s="30"/>
      <c r="S129" s="30">
        <f t="shared" ref="S129" si="329">SUM(H129:K129)</f>
        <v>0</v>
      </c>
      <c r="T129" s="30">
        <f t="shared" ref="T129" si="330">SUM(I129:L129)</f>
        <v>0</v>
      </c>
      <c r="U129" s="30">
        <f t="shared" ref="U129" si="331">SUM(J129:M129)</f>
        <v>0</v>
      </c>
      <c r="V129" s="30">
        <f t="shared" ref="V129" si="332">SUM(K129:N129)</f>
        <v>0</v>
      </c>
      <c r="W129" s="30">
        <f t="shared" ref="W129" si="333">SUM(L129:O129)</f>
        <v>-1101</v>
      </c>
      <c r="X129" s="30">
        <f t="shared" ref="X129" si="334">SUM(M129:P129)</f>
        <v>-2682</v>
      </c>
      <c r="Y129" s="30">
        <f t="shared" ref="Y129" si="335">SUM(N129:P129)</f>
        <v>-2682</v>
      </c>
      <c r="Z129" s="55"/>
      <c r="AA129" s="68" t="e">
        <f t="shared" ref="AA129" si="336">SUM(Y129/U129)-1</f>
        <v>#DIV/0!</v>
      </c>
    </row>
    <row r="130" spans="2:27" ht="12.75" customHeight="1">
      <c r="B130" s="56" t="s">
        <v>180</v>
      </c>
      <c r="C130" s="76">
        <v>947</v>
      </c>
      <c r="D130" s="76">
        <v>-361</v>
      </c>
      <c r="E130" s="76">
        <v>2933</v>
      </c>
      <c r="F130" s="30"/>
      <c r="G130" s="76">
        <v>708</v>
      </c>
      <c r="H130" s="76">
        <f>959-G130</f>
        <v>251</v>
      </c>
      <c r="I130" s="76">
        <f>681-H130-G130</f>
        <v>-278</v>
      </c>
      <c r="J130" s="30">
        <f t="shared" si="312"/>
        <v>-1042</v>
      </c>
      <c r="K130" s="76">
        <v>2023</v>
      </c>
      <c r="L130" s="76">
        <f>2964-K130</f>
        <v>941</v>
      </c>
      <c r="M130" s="76">
        <f>2933-L130-K130</f>
        <v>-31</v>
      </c>
      <c r="N130" s="30">
        <f t="shared" si="313"/>
        <v>0</v>
      </c>
      <c r="O130" s="76">
        <v>0</v>
      </c>
      <c r="P130" s="76">
        <v>0</v>
      </c>
      <c r="Q130" s="76">
        <v>0</v>
      </c>
      <c r="R130" s="30"/>
      <c r="S130" s="30">
        <f t="shared" si="314"/>
        <v>954</v>
      </c>
      <c r="T130" s="30">
        <f t="shared" si="314"/>
        <v>1644</v>
      </c>
      <c r="U130" s="30">
        <f t="shared" si="314"/>
        <v>1891</v>
      </c>
      <c r="V130" s="30">
        <f t="shared" si="314"/>
        <v>2933</v>
      </c>
      <c r="W130" s="30">
        <f t="shared" si="314"/>
        <v>910</v>
      </c>
      <c r="X130" s="30">
        <f t="shared" si="314"/>
        <v>-31</v>
      </c>
      <c r="Y130" s="30">
        <f t="shared" si="315"/>
        <v>0</v>
      </c>
      <c r="Z130" s="55"/>
      <c r="AA130" s="68">
        <f t="shared" si="316"/>
        <v>-1</v>
      </c>
    </row>
    <row r="131" spans="2:27" ht="12.75" customHeight="1">
      <c r="B131" s="56" t="s">
        <v>181</v>
      </c>
      <c r="C131" s="76">
        <v>-151</v>
      </c>
      <c r="D131" s="76">
        <v>-63</v>
      </c>
      <c r="E131" s="76">
        <v>742</v>
      </c>
      <c r="F131" s="30"/>
      <c r="G131" s="76">
        <v>-22</v>
      </c>
      <c r="H131" s="76">
        <f>-46-G131</f>
        <v>-24</v>
      </c>
      <c r="I131" s="76">
        <f>-54-H131-G131</f>
        <v>-8</v>
      </c>
      <c r="J131" s="30">
        <f t="shared" si="312"/>
        <v>-9</v>
      </c>
      <c r="K131" s="76">
        <v>-66</v>
      </c>
      <c r="L131" s="76">
        <f>-36-K131</f>
        <v>30</v>
      </c>
      <c r="M131" s="76">
        <f>579-L131-K131</f>
        <v>615</v>
      </c>
      <c r="N131" s="30">
        <f t="shared" si="313"/>
        <v>163</v>
      </c>
      <c r="O131" s="76">
        <v>-86</v>
      </c>
      <c r="P131" s="76">
        <v>-142</v>
      </c>
      <c r="Q131" s="76">
        <f>-187-P131-O131</f>
        <v>41</v>
      </c>
      <c r="R131" s="30"/>
      <c r="S131" s="30">
        <f t="shared" si="314"/>
        <v>-107</v>
      </c>
      <c r="T131" s="30">
        <f t="shared" si="314"/>
        <v>-53</v>
      </c>
      <c r="U131" s="30">
        <f t="shared" si="314"/>
        <v>570</v>
      </c>
      <c r="V131" s="30">
        <f t="shared" si="314"/>
        <v>742</v>
      </c>
      <c r="W131" s="30">
        <f t="shared" si="314"/>
        <v>722</v>
      </c>
      <c r="X131" s="30">
        <f t="shared" si="314"/>
        <v>550</v>
      </c>
      <c r="Y131" s="30">
        <f t="shared" si="315"/>
        <v>-65</v>
      </c>
      <c r="Z131" s="55"/>
      <c r="AA131" s="68">
        <f t="shared" si="316"/>
        <v>-1.1140350877192982</v>
      </c>
    </row>
    <row r="132" spans="2:27" ht="12.75" customHeight="1">
      <c r="B132" s="12" t="s">
        <v>57</v>
      </c>
      <c r="C132" s="13">
        <f>SUM(C127:C131)</f>
        <v>811</v>
      </c>
      <c r="D132" s="13">
        <f>SUM(D127:D131)</f>
        <v>-408</v>
      </c>
      <c r="E132" s="164">
        <f>SUM(E127:E131)</f>
        <v>3652</v>
      </c>
      <c r="G132" s="13">
        <f>SUM(G127:G131)</f>
        <v>704</v>
      </c>
      <c r="H132" s="13">
        <f>SUM(H127:H131)</f>
        <v>238</v>
      </c>
      <c r="I132" s="13">
        <f>SUM(I127:I131)</f>
        <v>-285</v>
      </c>
      <c r="J132" s="13">
        <f>SUM(J127:J131)</f>
        <v>-1065</v>
      </c>
      <c r="K132" s="13">
        <f>SUM(K127:K131)</f>
        <v>1934</v>
      </c>
      <c r="L132" s="13">
        <f>SUM(L127:L131)</f>
        <v>971</v>
      </c>
      <c r="M132" s="13">
        <f>SUM(M127:M131)</f>
        <v>584</v>
      </c>
      <c r="N132" s="13">
        <f>SUM(N127:N131)</f>
        <v>163</v>
      </c>
      <c r="O132" s="13">
        <f>SUM(O127:O131)</f>
        <v>-1256</v>
      </c>
      <c r="P132" s="13">
        <f>SUM(P127:P131)</f>
        <v>-1862</v>
      </c>
      <c r="Q132" s="13">
        <f>SUM(Q127:Q131)</f>
        <v>483</v>
      </c>
      <c r="S132" s="13">
        <f>SUM(S127:S131)</f>
        <v>822</v>
      </c>
      <c r="T132" s="13">
        <f>SUM(T127:T131)</f>
        <v>1555</v>
      </c>
      <c r="U132" s="13">
        <f>SUM(U127:U131)</f>
        <v>2424</v>
      </c>
      <c r="V132" s="13">
        <f>SUM(V127:V131)</f>
        <v>3652</v>
      </c>
      <c r="W132" s="13">
        <f>SUM(W127:W131)</f>
        <v>462</v>
      </c>
      <c r="X132" s="13">
        <f>SUM(X127:X131)</f>
        <v>-2371</v>
      </c>
      <c r="Y132" s="13">
        <f>SUM(Y127:Y131)</f>
        <v>-2955</v>
      </c>
      <c r="Z132" s="39"/>
      <c r="AA132" s="69">
        <f t="shared" si="316"/>
        <v>-2.2190594059405941</v>
      </c>
    </row>
    <row r="133" spans="2:27" ht="5.0999999999999996" customHeight="1">
      <c r="B133" s="8"/>
      <c r="C133" s="60"/>
      <c r="D133" s="60"/>
      <c r="E133" s="60"/>
      <c r="F133" s="3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S133" s="11"/>
      <c r="T133" s="11"/>
      <c r="U133" s="11"/>
      <c r="V133" s="11"/>
      <c r="W133" s="11"/>
      <c r="X133" s="11"/>
      <c r="Y133" s="11"/>
      <c r="Z133" s="11"/>
      <c r="AA133" s="42"/>
    </row>
    <row r="134" spans="2:27" ht="5.0999999999999996" customHeight="1">
      <c r="B134" s="65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11"/>
      <c r="AA134" s="42"/>
    </row>
    <row r="135" spans="2:27">
      <c r="B135" s="142" t="s">
        <v>90</v>
      </c>
      <c r="C135" s="161">
        <v>1800</v>
      </c>
      <c r="D135" s="148">
        <f>C142</f>
        <v>2067</v>
      </c>
      <c r="E135" s="148">
        <f t="shared" ref="E135" si="337">D142</f>
        <v>1551</v>
      </c>
      <c r="F135" s="148"/>
      <c r="G135" s="148">
        <f>D135</f>
        <v>2067</v>
      </c>
      <c r="H135" s="148">
        <f t="shared" ref="H135:Q135" si="338">G142</f>
        <v>2074</v>
      </c>
      <c r="I135" s="148">
        <f t="shared" si="338"/>
        <v>1619</v>
      </c>
      <c r="J135" s="148">
        <f t="shared" si="338"/>
        <v>1501</v>
      </c>
      <c r="K135" s="148">
        <f t="shared" si="338"/>
        <v>1551</v>
      </c>
      <c r="L135" s="148">
        <f t="shared" si="338"/>
        <v>3256</v>
      </c>
      <c r="M135" s="148">
        <f t="shared" si="338"/>
        <v>5783</v>
      </c>
      <c r="N135" s="148">
        <f t="shared" si="338"/>
        <v>7394</v>
      </c>
      <c r="O135" s="148">
        <f t="shared" si="338"/>
        <v>8206</v>
      </c>
      <c r="P135" s="148">
        <f t="shared" si="338"/>
        <v>8112</v>
      </c>
      <c r="Q135" s="148">
        <f t="shared" si="338"/>
        <v>7904</v>
      </c>
      <c r="R135" s="148"/>
      <c r="S135" s="148"/>
      <c r="T135" s="148">
        <f t="shared" ref="T135:Y135" si="339">S142</f>
        <v>1705</v>
      </c>
      <c r="U135" s="148">
        <f t="shared" si="339"/>
        <v>4232</v>
      </c>
      <c r="V135" s="148">
        <f t="shared" si="339"/>
        <v>5843</v>
      </c>
      <c r="W135" s="148">
        <f t="shared" si="339"/>
        <v>6655</v>
      </c>
      <c r="X135" s="148">
        <f t="shared" si="339"/>
        <v>5958</v>
      </c>
      <c r="Y135" s="149">
        <f t="shared" si="339"/>
        <v>5750</v>
      </c>
      <c r="Z135" s="11"/>
      <c r="AA135" s="42"/>
    </row>
    <row r="136" spans="2:27">
      <c r="B136" s="143" t="s">
        <v>87</v>
      </c>
      <c r="C136" s="162">
        <v>0</v>
      </c>
      <c r="D136" s="162">
        <v>0</v>
      </c>
      <c r="E136" s="162">
        <v>0</v>
      </c>
      <c r="F136" s="30"/>
      <c r="G136" s="76">
        <v>0</v>
      </c>
      <c r="H136" s="76">
        <v>0</v>
      </c>
      <c r="I136" s="76">
        <v>0</v>
      </c>
      <c r="J136" s="76">
        <v>0</v>
      </c>
      <c r="K136" s="76">
        <v>0</v>
      </c>
      <c r="L136" s="30">
        <f>-K140</f>
        <v>-531</v>
      </c>
      <c r="M136" s="30">
        <f>-L140</f>
        <v>-603</v>
      </c>
      <c r="N136" s="30">
        <f>-M140</f>
        <v>-603</v>
      </c>
      <c r="O136" s="30">
        <v>0</v>
      </c>
      <c r="P136" s="30">
        <f t="shared" ref="P136:Q136" si="340">-O140</f>
        <v>-98</v>
      </c>
      <c r="Q136" s="30">
        <f t="shared" si="340"/>
        <v>312</v>
      </c>
      <c r="R136" s="30"/>
      <c r="S136" s="30"/>
      <c r="T136" s="30">
        <f t="shared" ref="T136:Y136" si="341">-S140</f>
        <v>-531</v>
      </c>
      <c r="U136" s="30">
        <f t="shared" si="341"/>
        <v>-603</v>
      </c>
      <c r="V136" s="30">
        <f t="shared" si="341"/>
        <v>-603</v>
      </c>
      <c r="W136" s="30">
        <f t="shared" si="341"/>
        <v>-603</v>
      </c>
      <c r="X136" s="30">
        <f t="shared" si="341"/>
        <v>-98</v>
      </c>
      <c r="Y136" s="138">
        <f t="shared" si="341"/>
        <v>312</v>
      </c>
      <c r="Z136" s="11"/>
      <c r="AA136" s="42"/>
    </row>
    <row r="137" spans="2:27">
      <c r="B137" s="144" t="s">
        <v>71</v>
      </c>
      <c r="C137" s="113">
        <f t="shared" ref="C137:E137" si="342">SUM(C135:C136)</f>
        <v>1800</v>
      </c>
      <c r="D137" s="113">
        <f t="shared" si="342"/>
        <v>2067</v>
      </c>
      <c r="E137" s="113">
        <f t="shared" si="342"/>
        <v>1551</v>
      </c>
      <c r="F137" s="30"/>
      <c r="G137" s="113">
        <f t="shared" ref="G137:P137" si="343">SUM(G135:G136)</f>
        <v>2067</v>
      </c>
      <c r="H137" s="113">
        <f t="shared" si="343"/>
        <v>2074</v>
      </c>
      <c r="I137" s="113">
        <f t="shared" si="343"/>
        <v>1619</v>
      </c>
      <c r="J137" s="113">
        <f t="shared" si="343"/>
        <v>1501</v>
      </c>
      <c r="K137" s="113">
        <f t="shared" si="343"/>
        <v>1551</v>
      </c>
      <c r="L137" s="113">
        <f t="shared" si="343"/>
        <v>2725</v>
      </c>
      <c r="M137" s="113">
        <f t="shared" si="343"/>
        <v>5180</v>
      </c>
      <c r="N137" s="113">
        <f t="shared" si="343"/>
        <v>6791</v>
      </c>
      <c r="O137" s="113">
        <f t="shared" si="343"/>
        <v>8206</v>
      </c>
      <c r="P137" s="113">
        <f t="shared" si="343"/>
        <v>8014</v>
      </c>
      <c r="Q137" s="113">
        <f t="shared" ref="Q137" si="344">SUM(Q135:Q136)</f>
        <v>8216</v>
      </c>
      <c r="R137" s="30"/>
      <c r="S137" s="113">
        <f t="shared" ref="S137:T137" si="345">SUM(S135:S136)</f>
        <v>0</v>
      </c>
      <c r="T137" s="113">
        <f t="shared" si="345"/>
        <v>1174</v>
      </c>
      <c r="U137" s="113">
        <f t="shared" ref="U137" si="346">SUM(U135:U136)</f>
        <v>3629</v>
      </c>
      <c r="V137" s="113">
        <f t="shared" ref="V137" si="347">SUM(V135:V136)</f>
        <v>5240</v>
      </c>
      <c r="W137" s="113">
        <f t="shared" ref="W137" si="348">SUM(W135:W136)</f>
        <v>6052</v>
      </c>
      <c r="X137" s="113">
        <f t="shared" ref="X137" si="349">SUM(X135:X136)</f>
        <v>5860</v>
      </c>
      <c r="Y137" s="139">
        <f t="shared" ref="Y137" si="350">SUM(Y135:Y136)</f>
        <v>6062</v>
      </c>
      <c r="Z137" s="11"/>
      <c r="AA137" s="42"/>
    </row>
    <row r="138" spans="2:27" ht="5.0999999999999996" customHeight="1">
      <c r="B138" s="145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138"/>
      <c r="Z138" s="11"/>
      <c r="AA138" s="42"/>
    </row>
    <row r="139" spans="2:27">
      <c r="B139" s="143" t="s">
        <v>88</v>
      </c>
      <c r="C139" s="76">
        <v>-87</v>
      </c>
      <c r="D139" s="76">
        <v>22</v>
      </c>
      <c r="E139" s="76">
        <v>-147</v>
      </c>
      <c r="F139" s="30"/>
      <c r="G139" s="76">
        <v>13</v>
      </c>
      <c r="H139" s="76">
        <f>9-G139</f>
        <v>-4</v>
      </c>
      <c r="I139" s="76">
        <f>-22-H139-G139</f>
        <v>-31</v>
      </c>
      <c r="J139" s="30">
        <f>SUM(D139-SUM(G139:I139))</f>
        <v>44</v>
      </c>
      <c r="K139" s="76">
        <v>-32</v>
      </c>
      <c r="L139" s="76">
        <f>-66-K139</f>
        <v>-34</v>
      </c>
      <c r="M139" s="76">
        <f>-48-L139-K139</f>
        <v>18</v>
      </c>
      <c r="N139" s="30">
        <f>SUM(E139-SUM(K139:M139))</f>
        <v>-99</v>
      </c>
      <c r="O139" s="76">
        <v>90</v>
      </c>
      <c r="P139" s="76">
        <f>235-O139</f>
        <v>145</v>
      </c>
      <c r="Q139" s="76">
        <f>250-P139-O139</f>
        <v>15</v>
      </c>
      <c r="R139" s="30"/>
      <c r="S139" s="30">
        <f t="shared" ref="S139:Y139" si="351">K139</f>
        <v>-32</v>
      </c>
      <c r="T139" s="30">
        <f t="shared" si="351"/>
        <v>-34</v>
      </c>
      <c r="U139" s="30">
        <f t="shared" si="351"/>
        <v>18</v>
      </c>
      <c r="V139" s="30">
        <f t="shared" si="351"/>
        <v>-99</v>
      </c>
      <c r="W139" s="30">
        <f t="shared" si="351"/>
        <v>90</v>
      </c>
      <c r="X139" s="30">
        <f t="shared" si="351"/>
        <v>145</v>
      </c>
      <c r="Y139" s="138">
        <f t="shared" si="351"/>
        <v>15</v>
      </c>
      <c r="Z139" s="11"/>
      <c r="AA139" s="42"/>
    </row>
    <row r="140" spans="2:27">
      <c r="B140" s="143" t="s">
        <v>89</v>
      </c>
      <c r="C140" s="76">
        <v>-21</v>
      </c>
      <c r="D140" s="76">
        <v>-582</v>
      </c>
      <c r="E140" s="76">
        <v>603</v>
      </c>
      <c r="F140" s="30"/>
      <c r="G140" s="76">
        <v>21</v>
      </c>
      <c r="H140" s="76">
        <f>-21+G140</f>
        <v>0</v>
      </c>
      <c r="I140" s="76">
        <v>0</v>
      </c>
      <c r="J140" s="30">
        <f>SUM(D140-SUM(G140:I140))</f>
        <v>-603</v>
      </c>
      <c r="K140" s="76">
        <v>531</v>
      </c>
      <c r="L140" s="76">
        <v>603</v>
      </c>
      <c r="M140" s="76">
        <v>603</v>
      </c>
      <c r="N140" s="30">
        <f>E140</f>
        <v>603</v>
      </c>
      <c r="O140" s="76">
        <v>98</v>
      </c>
      <c r="P140" s="76">
        <v>-312</v>
      </c>
      <c r="Q140" s="76">
        <v>0</v>
      </c>
      <c r="R140" s="30"/>
      <c r="S140" s="30">
        <f t="shared" ref="S140:X141" si="352">K140</f>
        <v>531</v>
      </c>
      <c r="T140" s="30">
        <f t="shared" si="352"/>
        <v>603</v>
      </c>
      <c r="U140" s="30">
        <f t="shared" si="352"/>
        <v>603</v>
      </c>
      <c r="V140" s="30">
        <f t="shared" si="352"/>
        <v>603</v>
      </c>
      <c r="W140" s="30">
        <f t="shared" si="352"/>
        <v>98</v>
      </c>
      <c r="X140" s="30">
        <f t="shared" si="352"/>
        <v>-312</v>
      </c>
      <c r="Y140" s="138">
        <f t="shared" ref="Y140:Y141" si="353">Q140</f>
        <v>0</v>
      </c>
      <c r="Z140" s="11"/>
      <c r="AA140" s="42"/>
    </row>
    <row r="141" spans="2:27">
      <c r="B141" s="143" t="s">
        <v>61</v>
      </c>
      <c r="C141" s="160">
        <f>+C132+C124+C115</f>
        <v>375</v>
      </c>
      <c r="D141" s="30">
        <f>+D132+D124+D115</f>
        <v>44</v>
      </c>
      <c r="E141" s="30">
        <f>+E132+E124+E115</f>
        <v>6199</v>
      </c>
      <c r="F141" s="30"/>
      <c r="G141" s="30">
        <f>+G132+G124+G115</f>
        <v>-27</v>
      </c>
      <c r="H141" s="30">
        <f>+H132+H124+H115</f>
        <v>-451</v>
      </c>
      <c r="I141" s="30">
        <f>+I132+I124+I115</f>
        <v>-87</v>
      </c>
      <c r="J141" s="30">
        <f>+J132+J124+J115</f>
        <v>609</v>
      </c>
      <c r="K141" s="30">
        <f>+K132+K124+K115</f>
        <v>1206</v>
      </c>
      <c r="L141" s="30">
        <f>+L132+L124+L115</f>
        <v>2489</v>
      </c>
      <c r="M141" s="30">
        <f>+M132+M124+M115</f>
        <v>1593</v>
      </c>
      <c r="N141" s="30">
        <f>+N132+N124+N115</f>
        <v>911</v>
      </c>
      <c r="O141" s="30">
        <f>+O132+O124+O115</f>
        <v>-282</v>
      </c>
      <c r="P141" s="30">
        <f>+P132+P124+P115</f>
        <v>57</v>
      </c>
      <c r="Q141" s="30">
        <f>+Q132+Q124+Q115</f>
        <v>-275</v>
      </c>
      <c r="R141" s="30"/>
      <c r="S141" s="30">
        <f t="shared" si="352"/>
        <v>1206</v>
      </c>
      <c r="T141" s="30">
        <f t="shared" si="352"/>
        <v>2489</v>
      </c>
      <c r="U141" s="30">
        <f t="shared" si="352"/>
        <v>1593</v>
      </c>
      <c r="V141" s="30">
        <f t="shared" si="352"/>
        <v>911</v>
      </c>
      <c r="W141" s="30">
        <f t="shared" si="352"/>
        <v>-282</v>
      </c>
      <c r="X141" s="30">
        <f t="shared" si="352"/>
        <v>57</v>
      </c>
      <c r="Y141" s="138">
        <f t="shared" si="353"/>
        <v>-275</v>
      </c>
      <c r="Z141" s="11"/>
      <c r="AA141" s="42"/>
    </row>
    <row r="142" spans="2:27">
      <c r="B142" s="144" t="s">
        <v>72</v>
      </c>
      <c r="C142" s="113">
        <f t="shared" ref="C142:E142" si="354">SUM(C137:C141)</f>
        <v>2067</v>
      </c>
      <c r="D142" s="113">
        <f t="shared" si="354"/>
        <v>1551</v>
      </c>
      <c r="E142" s="113">
        <f t="shared" si="354"/>
        <v>8206</v>
      </c>
      <c r="F142" s="30"/>
      <c r="G142" s="113">
        <f t="shared" ref="G142:P142" si="355">SUM(G137:G141)</f>
        <v>2074</v>
      </c>
      <c r="H142" s="113">
        <f t="shared" si="355"/>
        <v>1619</v>
      </c>
      <c r="I142" s="113">
        <f t="shared" si="355"/>
        <v>1501</v>
      </c>
      <c r="J142" s="113">
        <f t="shared" si="355"/>
        <v>1551</v>
      </c>
      <c r="K142" s="113">
        <f t="shared" si="355"/>
        <v>3256</v>
      </c>
      <c r="L142" s="113">
        <f t="shared" si="355"/>
        <v>5783</v>
      </c>
      <c r="M142" s="113">
        <f t="shared" si="355"/>
        <v>7394</v>
      </c>
      <c r="N142" s="113">
        <f t="shared" si="355"/>
        <v>8206</v>
      </c>
      <c r="O142" s="113">
        <f t="shared" si="355"/>
        <v>8112</v>
      </c>
      <c r="P142" s="113">
        <f t="shared" si="355"/>
        <v>7904</v>
      </c>
      <c r="Q142" s="113">
        <f t="shared" ref="Q142" si="356">SUM(Q137:Q141)</f>
        <v>7956</v>
      </c>
      <c r="R142" s="30"/>
      <c r="S142" s="113">
        <f t="shared" ref="S142:Y142" si="357">SUM(S137:S141)</f>
        <v>1705</v>
      </c>
      <c r="T142" s="113">
        <f t="shared" si="357"/>
        <v>4232</v>
      </c>
      <c r="U142" s="113">
        <f t="shared" si="357"/>
        <v>5843</v>
      </c>
      <c r="V142" s="113">
        <f t="shared" si="357"/>
        <v>6655</v>
      </c>
      <c r="W142" s="113">
        <f t="shared" si="357"/>
        <v>5958</v>
      </c>
      <c r="X142" s="113">
        <f t="shared" si="357"/>
        <v>5750</v>
      </c>
      <c r="Y142" s="139">
        <f t="shared" si="357"/>
        <v>5802</v>
      </c>
      <c r="Z142" s="11"/>
      <c r="AA142" s="42"/>
    </row>
    <row r="143" spans="2:27" ht="5.0999999999999996" customHeight="1">
      <c r="B143" s="146"/>
      <c r="C143" s="60"/>
      <c r="D143" s="60"/>
      <c r="E143" s="60"/>
      <c r="F143" s="3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S143" s="11"/>
      <c r="T143" s="11"/>
      <c r="U143" s="11"/>
      <c r="V143" s="11"/>
      <c r="W143" s="11"/>
      <c r="X143" s="11"/>
      <c r="Y143" s="140"/>
      <c r="Z143" s="11"/>
      <c r="AA143" s="42"/>
    </row>
    <row r="144" spans="2:27">
      <c r="B144" s="147" t="s">
        <v>60</v>
      </c>
      <c r="C144" s="136">
        <f>ROUND(C142-C47,-1)</f>
        <v>0</v>
      </c>
      <c r="D144" s="136">
        <f>ROUND(D142-D47,-1)</f>
        <v>0</v>
      </c>
      <c r="E144" s="136">
        <f>ROUND(E142-E47,-1)</f>
        <v>0</v>
      </c>
      <c r="F144" s="137"/>
      <c r="G144" s="136">
        <f>ROUND(G142-G47,-1)</f>
        <v>0</v>
      </c>
      <c r="H144" s="136">
        <f>ROUND(H142-H47,-1)</f>
        <v>0</v>
      </c>
      <c r="I144" s="136">
        <f>ROUND(I142-I47,-1)</f>
        <v>20</v>
      </c>
      <c r="J144" s="136">
        <f>ROUND(J142-J47,-1)</f>
        <v>0</v>
      </c>
      <c r="K144" s="136">
        <f>ROUND(K142-K47,-1)</f>
        <v>0</v>
      </c>
      <c r="L144" s="136">
        <f>ROUND(L142-L47,-1)</f>
        <v>0</v>
      </c>
      <c r="M144" s="136">
        <f>ROUND(M142-M47,-1)</f>
        <v>0</v>
      </c>
      <c r="N144" s="136">
        <f>ROUND(N142-N47,-1)</f>
        <v>0</v>
      </c>
      <c r="O144" s="136">
        <f>ROUND(O142-O47,-1)</f>
        <v>10</v>
      </c>
      <c r="P144" s="136">
        <f>ROUND(P142-P47,-1)</f>
        <v>10</v>
      </c>
      <c r="Q144" s="136">
        <f>ROUND(Q142-Q47,-1)</f>
        <v>10</v>
      </c>
      <c r="R144" s="136"/>
      <c r="S144" s="136">
        <f>S142-S47</f>
        <v>154</v>
      </c>
      <c r="T144" s="136">
        <f>T142-T47</f>
        <v>977</v>
      </c>
      <c r="U144" s="136">
        <f>U142-U47</f>
        <v>64</v>
      </c>
      <c r="V144" s="136">
        <f>V142-V47</f>
        <v>-740</v>
      </c>
      <c r="W144" s="136">
        <f>W142-W47</f>
        <v>-2247</v>
      </c>
      <c r="X144" s="136">
        <f>X142-X47</f>
        <v>-2357</v>
      </c>
      <c r="Y144" s="141">
        <f>Y142-Y47</f>
        <v>-2090</v>
      </c>
      <c r="Z144" s="11"/>
      <c r="AA144" s="42"/>
    </row>
    <row r="145" spans="2:27" ht="5.0999999999999996" customHeight="1">
      <c r="B145" s="8"/>
      <c r="C145" s="60"/>
      <c r="D145" s="60"/>
      <c r="E145" s="60"/>
      <c r="F145" s="3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S145" s="11"/>
      <c r="T145" s="11"/>
      <c r="U145" s="11"/>
      <c r="V145" s="11"/>
      <c r="W145" s="11"/>
      <c r="X145" s="11"/>
      <c r="Y145" s="11"/>
      <c r="Z145" s="11"/>
      <c r="AA145" s="42"/>
    </row>
    <row r="146" spans="2:27">
      <c r="B146" s="112" t="s">
        <v>84</v>
      </c>
      <c r="C146" s="60"/>
      <c r="D146" s="60"/>
      <c r="E146" s="60"/>
      <c r="F146" s="3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S146" s="11"/>
      <c r="T146" s="11"/>
      <c r="U146" s="11"/>
      <c r="V146" s="11"/>
      <c r="W146" s="11"/>
      <c r="X146" s="11"/>
      <c r="Y146" s="11"/>
      <c r="Z146" s="11"/>
      <c r="AA146" s="42"/>
    </row>
    <row r="147" spans="2:27">
      <c r="B147" s="77" t="s">
        <v>86</v>
      </c>
      <c r="C147" s="60">
        <v>-77</v>
      </c>
      <c r="D147" s="60">
        <v>-83</v>
      </c>
      <c r="E147" s="60">
        <v>-74</v>
      </c>
      <c r="F147" s="30"/>
      <c r="G147" s="76">
        <v>0</v>
      </c>
      <c r="H147" s="76">
        <v>0</v>
      </c>
      <c r="I147" s="76">
        <v>0</v>
      </c>
      <c r="J147" s="30">
        <f>SUM(D147-SUM(G147:I147))</f>
        <v>-83</v>
      </c>
      <c r="K147" s="76">
        <v>0</v>
      </c>
      <c r="L147" s="76">
        <v>0</v>
      </c>
      <c r="M147" s="76">
        <v>0</v>
      </c>
      <c r="N147" s="30">
        <f>SUM(E147-SUM(K147:M147))</f>
        <v>-74</v>
      </c>
      <c r="O147" s="76">
        <v>0</v>
      </c>
      <c r="P147" s="76">
        <v>0</v>
      </c>
      <c r="Q147" s="76">
        <v>0</v>
      </c>
      <c r="S147" s="30">
        <f t="shared" ref="S147:X147" si="358">SUM(H147:K147)</f>
        <v>-83</v>
      </c>
      <c r="T147" s="30">
        <f t="shared" si="358"/>
        <v>-83</v>
      </c>
      <c r="U147" s="30">
        <f t="shared" si="358"/>
        <v>-83</v>
      </c>
      <c r="V147" s="30">
        <f t="shared" si="358"/>
        <v>-74</v>
      </c>
      <c r="W147" s="30">
        <f t="shared" si="358"/>
        <v>-74</v>
      </c>
      <c r="X147" s="30">
        <f t="shared" si="358"/>
        <v>-74</v>
      </c>
      <c r="Y147" s="30">
        <f>SUM(N147:P147)</f>
        <v>-74</v>
      </c>
      <c r="Z147" s="11"/>
      <c r="AA147" s="42"/>
    </row>
    <row r="148" spans="2:27" ht="5.0999999999999996" customHeight="1" thickBot="1">
      <c r="B148" s="66"/>
      <c r="C148" s="67"/>
      <c r="D148" s="67"/>
      <c r="E148" s="67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  <c r="R148" s="66"/>
      <c r="S148" s="66"/>
      <c r="T148" s="66"/>
      <c r="U148" s="66"/>
      <c r="V148" s="66"/>
      <c r="W148" s="66"/>
      <c r="X148" s="66"/>
      <c r="Y148" s="66"/>
      <c r="AA148" s="42"/>
    </row>
    <row r="149" spans="2:27" ht="12.75" customHeight="1">
      <c r="C149" s="52"/>
      <c r="D149" s="52"/>
      <c r="E149" s="52"/>
    </row>
    <row r="150" spans="2:27" ht="12.75" customHeight="1">
      <c r="C150" s="52"/>
      <c r="D150" s="52"/>
      <c r="E150" s="52"/>
    </row>
    <row r="151" spans="2:27" ht="12.75" customHeight="1">
      <c r="C151" s="52"/>
      <c r="D151" s="52"/>
      <c r="E151" s="52"/>
    </row>
    <row r="152" spans="2:27" ht="12.75" customHeight="1">
      <c r="C152" s="52"/>
      <c r="D152" s="52"/>
      <c r="E152" s="52"/>
    </row>
    <row r="153" spans="2:27" ht="12.75" customHeight="1">
      <c r="C153" s="52"/>
      <c r="D153" s="52"/>
      <c r="E153" s="52"/>
      <c r="G153" s="79"/>
      <c r="H153" s="79"/>
      <c r="I153" s="79"/>
      <c r="J153" s="79"/>
      <c r="K153" s="79"/>
      <c r="L153" s="79"/>
      <c r="M153" s="79"/>
      <c r="N153" s="79"/>
      <c r="O153" s="79"/>
      <c r="P153" s="79"/>
      <c r="Q153" s="79"/>
    </row>
    <row r="154" spans="2:27" ht="12.75" customHeight="1">
      <c r="C154" s="52"/>
      <c r="D154" s="52"/>
      <c r="E154" s="52"/>
    </row>
    <row r="155" spans="2:27" ht="12.75" customHeight="1">
      <c r="C155" s="52"/>
      <c r="D155" s="52"/>
      <c r="E155" s="52"/>
      <c r="G155" s="79"/>
      <c r="H155" s="79"/>
      <c r="I155" s="79"/>
      <c r="J155" s="79"/>
      <c r="K155" s="79"/>
      <c r="L155" s="79"/>
      <c r="M155" s="79"/>
      <c r="N155" s="79"/>
      <c r="O155" s="79"/>
      <c r="P155" s="79"/>
      <c r="Q155" s="79"/>
    </row>
    <row r="156" spans="2:27">
      <c r="G156" s="79"/>
      <c r="H156" s="79"/>
      <c r="I156" s="79"/>
      <c r="J156" s="79"/>
      <c r="K156" s="79"/>
      <c r="L156" s="79"/>
      <c r="M156" s="79"/>
      <c r="N156" s="79"/>
      <c r="O156" s="79"/>
      <c r="P156" s="79"/>
      <c r="Q156" s="79"/>
    </row>
    <row r="157" spans="2:27">
      <c r="G157" s="79"/>
      <c r="H157" s="79"/>
      <c r="I157" s="79"/>
      <c r="J157" s="79"/>
      <c r="K157" s="79"/>
      <c r="L157" s="79"/>
      <c r="M157" s="79"/>
      <c r="N157" s="79"/>
      <c r="O157" s="79"/>
      <c r="P157" s="79"/>
      <c r="Q157" s="79"/>
    </row>
    <row r="159" spans="2:27">
      <c r="G159" s="79"/>
      <c r="H159" s="79"/>
      <c r="I159" s="79"/>
      <c r="J159" s="79"/>
      <c r="K159" s="79"/>
      <c r="L159" s="79"/>
      <c r="M159" s="79"/>
      <c r="N159" s="79"/>
      <c r="O159" s="79"/>
      <c r="P159" s="79"/>
      <c r="Q159" s="79"/>
    </row>
    <row r="160" spans="2:27">
      <c r="G160" s="79"/>
      <c r="H160" s="79"/>
      <c r="I160" s="79"/>
      <c r="J160" s="79"/>
      <c r="K160" s="79"/>
      <c r="L160" s="79"/>
      <c r="M160" s="79"/>
      <c r="N160" s="79"/>
      <c r="O160" s="79"/>
      <c r="P160" s="79"/>
      <c r="Q160" s="79"/>
    </row>
  </sheetData>
  <mergeCells count="3">
    <mergeCell ref="AA6:AA8"/>
    <mergeCell ref="AA42:AA44"/>
    <mergeCell ref="AA93:AA95"/>
  </mergeCells>
  <pageMargins left="0.7" right="0.7" top="0.75" bottom="0.75" header="0.3" footer="0.3"/>
  <ignoredErrors>
    <ignoredError sqref="Y16:Y17 F53 S13:Y13" formulaRange="1"/>
    <ignoredError sqref="AA124:AA126 AA115:AA117" evalError="1"/>
    <ignoredError sqref="K99:O10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177D2-8829-42BE-A7B1-460B1A987ED3}">
  <sheetPr>
    <tabColor rgb="FFC00000"/>
  </sheetPr>
  <dimension ref="A2:Y64"/>
  <sheetViews>
    <sheetView showGridLines="0" tabSelected="1" zoomScale="115" zoomScaleNormal="115" workbookViewId="0">
      <selection activeCell="Y9" sqref="Y9"/>
    </sheetView>
  </sheetViews>
  <sheetFormatPr defaultRowHeight="12" outlineLevelRow="1" outlineLevelCol="1"/>
  <cols>
    <col min="1" max="1" width="1.5" style="8" customWidth="1"/>
    <col min="2" max="2" width="46.5" style="8" bestFit="1" customWidth="1"/>
    <col min="3" max="5" width="8.625" style="8" bestFit="1" customWidth="1"/>
    <col min="6" max="6" width="1.5" style="8" customWidth="1"/>
    <col min="7" max="8" width="8" style="8" hidden="1" customWidth="1" outlineLevel="1"/>
    <col min="9" max="10" width="8.75" style="8" hidden="1" customWidth="1" outlineLevel="1"/>
    <col min="11" max="11" width="8.5" style="8" hidden="1" customWidth="1" outlineLevel="1"/>
    <col min="12" max="12" width="8.25" style="8" hidden="1" customWidth="1" outlineLevel="1"/>
    <col min="13" max="13" width="8.5" style="8" bestFit="1" customWidth="1" collapsed="1"/>
    <col min="14" max="17" width="9.125" style="8" bestFit="1" customWidth="1"/>
    <col min="18" max="18" width="1.5" style="8" customWidth="1"/>
    <col min="19" max="20" width="8.75" style="8" hidden="1" customWidth="1" outlineLevel="1"/>
    <col min="21" max="21" width="8.75" style="8" customWidth="1" collapsed="1"/>
    <col min="22" max="24" width="8.75" style="8" hidden="1" customWidth="1" outlineLevel="1"/>
    <col min="25" max="25" width="8.75" style="8" customWidth="1" collapsed="1"/>
    <col min="26" max="16384" width="9" style="8"/>
  </cols>
  <sheetData>
    <row r="2" spans="1:25" s="5" customFormat="1" ht="12.75" customHeight="1">
      <c r="B2" s="1" t="str">
        <f>'Historical Financials'!B2</f>
        <v>GE Vernova Inc (NYSE: GEV)</v>
      </c>
      <c r="C2" s="2" t="s">
        <v>0</v>
      </c>
      <c r="D2" s="2"/>
      <c r="E2" s="2"/>
      <c r="F2" s="3"/>
      <c r="G2" s="2"/>
      <c r="H2" s="2"/>
      <c r="I2" s="2"/>
      <c r="J2" s="2"/>
      <c r="K2" s="2"/>
      <c r="L2" s="2"/>
      <c r="M2" s="2" t="s">
        <v>1</v>
      </c>
      <c r="N2" s="2"/>
      <c r="O2" s="2"/>
      <c r="P2" s="2"/>
      <c r="Q2" s="2"/>
      <c r="R2" s="3"/>
      <c r="S2" s="2"/>
      <c r="T2" s="2"/>
      <c r="U2" s="2" t="s">
        <v>10</v>
      </c>
      <c r="V2" s="2"/>
      <c r="W2" s="2"/>
      <c r="X2" s="2"/>
      <c r="Y2" s="2"/>
    </row>
    <row r="3" spans="1:25" s="5" customFormat="1" ht="12.75" customHeight="1">
      <c r="B3" s="6" t="s">
        <v>67</v>
      </c>
      <c r="C3" s="7">
        <f>'Historical Financials'!C7</f>
        <v>2022</v>
      </c>
      <c r="D3" s="7">
        <f>'Historical Financials'!D7</f>
        <v>2023</v>
      </c>
      <c r="E3" s="7">
        <f>'Historical Financials'!E7</f>
        <v>2024</v>
      </c>
      <c r="F3" s="3"/>
      <c r="G3" s="7" t="str">
        <f>'Historical Financials'!G7</f>
        <v>1Q23</v>
      </c>
      <c r="H3" s="7" t="str">
        <f>'Historical Financials'!H7</f>
        <v>2Q23</v>
      </c>
      <c r="I3" s="7" t="str">
        <f>'Historical Financials'!I7</f>
        <v>3Q23</v>
      </c>
      <c r="J3" s="7" t="str">
        <f>'Historical Financials'!J7</f>
        <v>4Q23</v>
      </c>
      <c r="K3" s="7" t="str">
        <f>'Historical Financials'!K7</f>
        <v>1Q24</v>
      </c>
      <c r="L3" s="7" t="str">
        <f>'Historical Financials'!L7</f>
        <v>2Q24</v>
      </c>
      <c r="M3" s="7" t="str">
        <f>'Historical Financials'!M7</f>
        <v>3Q24</v>
      </c>
      <c r="N3" s="7" t="str">
        <f>'Historical Financials'!N7</f>
        <v>4Q24</v>
      </c>
      <c r="O3" s="7" t="str">
        <f>'Historical Financials'!O7</f>
        <v>1Q25</v>
      </c>
      <c r="P3" s="7" t="str">
        <f>'Historical Financials'!P7</f>
        <v>2Q25</v>
      </c>
      <c r="Q3" s="7" t="str">
        <f>'Historical Financials'!Q7</f>
        <v>3Q25</v>
      </c>
      <c r="R3" s="4"/>
      <c r="S3" s="4" t="str">
        <f t="shared" ref="S3:X4" si="0">K3</f>
        <v>1Q24</v>
      </c>
      <c r="T3" s="4" t="str">
        <f t="shared" si="0"/>
        <v>2Q24</v>
      </c>
      <c r="U3" s="4" t="str">
        <f t="shared" si="0"/>
        <v>3Q24</v>
      </c>
      <c r="V3" s="4" t="str">
        <f t="shared" si="0"/>
        <v>4Q24</v>
      </c>
      <c r="W3" s="4" t="str">
        <f t="shared" si="0"/>
        <v>1Q25</v>
      </c>
      <c r="X3" s="4" t="str">
        <f t="shared" si="0"/>
        <v>2Q25</v>
      </c>
      <c r="Y3" s="4" t="str">
        <f>Q3</f>
        <v>3Q25</v>
      </c>
    </row>
    <row r="4" spans="1:25" s="5" customFormat="1" ht="12.75" customHeight="1">
      <c r="B4" s="6" t="s">
        <v>92</v>
      </c>
      <c r="C4" s="3">
        <f>'Historical Financials'!C8</f>
        <v>44926</v>
      </c>
      <c r="D4" s="3">
        <f>'Historical Financials'!D8</f>
        <v>45291</v>
      </c>
      <c r="E4" s="3">
        <f>'Historical Financials'!E8</f>
        <v>45657</v>
      </c>
      <c r="F4" s="3"/>
      <c r="G4" s="3">
        <f>'Historical Financials'!G8</f>
        <v>45016</v>
      </c>
      <c r="H4" s="3">
        <f>'Historical Financials'!H8</f>
        <v>45107</v>
      </c>
      <c r="I4" s="3">
        <f>'Historical Financials'!I8</f>
        <v>45199</v>
      </c>
      <c r="J4" s="3">
        <f>'Historical Financials'!J8</f>
        <v>45291</v>
      </c>
      <c r="K4" s="3">
        <f>'Historical Financials'!K8</f>
        <v>45382</v>
      </c>
      <c r="L4" s="3">
        <f>'Historical Financials'!L8</f>
        <v>45473</v>
      </c>
      <c r="M4" s="3">
        <f>'Historical Financials'!M8</f>
        <v>45565</v>
      </c>
      <c r="N4" s="3">
        <f>'Historical Financials'!N8</f>
        <v>45657</v>
      </c>
      <c r="O4" s="3">
        <f>'Historical Financials'!O8</f>
        <v>45747</v>
      </c>
      <c r="P4" s="3">
        <f>'Historical Financials'!P8</f>
        <v>45838</v>
      </c>
      <c r="Q4" s="3">
        <f>'Historical Financials'!Q8</f>
        <v>45930</v>
      </c>
      <c r="R4" s="3"/>
      <c r="S4" s="3">
        <f t="shared" si="0"/>
        <v>45382</v>
      </c>
      <c r="T4" s="3">
        <f t="shared" si="0"/>
        <v>45473</v>
      </c>
      <c r="U4" s="3">
        <f t="shared" si="0"/>
        <v>45565</v>
      </c>
      <c r="V4" s="3">
        <f t="shared" si="0"/>
        <v>45657</v>
      </c>
      <c r="W4" s="3">
        <f t="shared" si="0"/>
        <v>45747</v>
      </c>
      <c r="X4" s="3">
        <f t="shared" si="0"/>
        <v>45838</v>
      </c>
      <c r="Y4" s="3">
        <f>Q4</f>
        <v>45930</v>
      </c>
    </row>
    <row r="5" spans="1:25" ht="5.0999999999999996" customHeight="1"/>
    <row r="6" spans="1:25">
      <c r="A6" s="33" t="s">
        <v>17</v>
      </c>
      <c r="B6" s="1" t="s">
        <v>94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5.0999999999999996" customHeight="1"/>
    <row r="8" spans="1:25" ht="12.75" customHeight="1">
      <c r="A8" s="74" t="s">
        <v>17</v>
      </c>
      <c r="B8" s="72" t="s">
        <v>91</v>
      </c>
      <c r="C8" s="10"/>
      <c r="D8" s="10"/>
      <c r="E8" s="10"/>
      <c r="F8" s="10"/>
      <c r="G8" s="81"/>
      <c r="H8" s="81"/>
      <c r="I8" s="81"/>
      <c r="J8" s="30"/>
      <c r="K8" s="81"/>
      <c r="L8" s="81"/>
      <c r="M8" s="81"/>
      <c r="N8" s="30"/>
      <c r="O8" s="81"/>
      <c r="P8" s="81"/>
      <c r="Q8" s="81"/>
      <c r="R8" s="5"/>
      <c r="S8" s="11"/>
      <c r="T8" s="11"/>
      <c r="U8" s="11"/>
      <c r="V8" s="11"/>
      <c r="W8" s="11"/>
      <c r="X8" s="11"/>
      <c r="Y8" s="11"/>
    </row>
    <row r="9" spans="1:25" ht="12.75" customHeight="1">
      <c r="A9" s="74"/>
      <c r="B9" s="9" t="s">
        <v>110</v>
      </c>
      <c r="C9" s="75">
        <v>15819</v>
      </c>
      <c r="D9" s="75">
        <v>18258</v>
      </c>
      <c r="E9" s="75">
        <v>18952</v>
      </c>
      <c r="F9" s="10"/>
      <c r="G9" s="75">
        <v>3489</v>
      </c>
      <c r="H9" s="75">
        <v>4388</v>
      </c>
      <c r="I9" s="75">
        <v>4869</v>
      </c>
      <c r="J9" s="30">
        <f t="shared" ref="J9:J10" si="1">SUM(D9-SUM(G9:I9))</f>
        <v>5512</v>
      </c>
      <c r="K9" s="75">
        <v>3617</v>
      </c>
      <c r="L9" s="75">
        <v>4194</v>
      </c>
      <c r="M9" s="75">
        <v>5290</v>
      </c>
      <c r="N9" s="30">
        <f t="shared" ref="N9:N10" si="2">SUM(E9-SUM(K9:M9))</f>
        <v>5851</v>
      </c>
      <c r="O9" s="75">
        <v>4197</v>
      </c>
      <c r="P9" s="75">
        <v>4894</v>
      </c>
      <c r="Q9" s="75">
        <v>5880</v>
      </c>
      <c r="R9" s="5"/>
      <c r="S9" s="30">
        <f t="shared" ref="S9:X9" si="3">SUM(H9:K9)</f>
        <v>18386</v>
      </c>
      <c r="T9" s="30">
        <f t="shared" si="3"/>
        <v>18192</v>
      </c>
      <c r="U9" s="30">
        <f t="shared" si="3"/>
        <v>18613</v>
      </c>
      <c r="V9" s="30">
        <f t="shared" si="3"/>
        <v>18952</v>
      </c>
      <c r="W9" s="30">
        <f t="shared" si="3"/>
        <v>19532</v>
      </c>
      <c r="X9" s="30">
        <f t="shared" si="3"/>
        <v>20232</v>
      </c>
      <c r="Y9" s="30">
        <f>SUM(N9:Q9)</f>
        <v>20822</v>
      </c>
    </row>
    <row r="10" spans="1:25">
      <c r="B10" s="9" t="s">
        <v>111</v>
      </c>
      <c r="C10" s="75">
        <v>13835</v>
      </c>
      <c r="D10" s="75">
        <v>14981</v>
      </c>
      <c r="E10" s="75">
        <v>15983</v>
      </c>
      <c r="F10" s="75"/>
      <c r="G10" s="75">
        <v>3333</v>
      </c>
      <c r="H10" s="75">
        <v>3731</v>
      </c>
      <c r="I10" s="75">
        <v>3383</v>
      </c>
      <c r="J10" s="30">
        <f t="shared" si="1"/>
        <v>4534</v>
      </c>
      <c r="K10" s="75">
        <v>3642</v>
      </c>
      <c r="L10" s="75">
        <v>4010</v>
      </c>
      <c r="M10" s="75">
        <v>3623</v>
      </c>
      <c r="N10" s="30">
        <f t="shared" si="2"/>
        <v>4708</v>
      </c>
      <c r="O10" s="75">
        <v>3835</v>
      </c>
      <c r="P10" s="75">
        <v>4217</v>
      </c>
      <c r="Q10" s="75">
        <v>4089</v>
      </c>
      <c r="R10" s="5"/>
      <c r="S10" s="30">
        <f t="shared" ref="S10" si="4">SUM(H10:K10)</f>
        <v>15290</v>
      </c>
      <c r="T10" s="30">
        <f t="shared" ref="T10" si="5">SUM(I10:L10)</f>
        <v>15569</v>
      </c>
      <c r="U10" s="30">
        <f t="shared" ref="U10" si="6">SUM(J10:M10)</f>
        <v>15809</v>
      </c>
      <c r="V10" s="30">
        <f t="shared" ref="V10" si="7">SUM(K10:N10)</f>
        <v>15983</v>
      </c>
      <c r="W10" s="30">
        <f t="shared" ref="W10" si="8">SUM(L10:O10)</f>
        <v>16176</v>
      </c>
      <c r="X10" s="30">
        <f t="shared" ref="X10" si="9">SUM(M10:P10)</f>
        <v>16383</v>
      </c>
      <c r="Y10" s="30">
        <f>SUM(N10:Q10)</f>
        <v>16849</v>
      </c>
    </row>
    <row r="11" spans="1:25">
      <c r="B11" s="12" t="s">
        <v>68</v>
      </c>
      <c r="C11" s="13">
        <f>SUM(C9:C10)</f>
        <v>29654</v>
      </c>
      <c r="D11" s="13">
        <f>SUM(D9:D10)</f>
        <v>33239</v>
      </c>
      <c r="E11" s="13">
        <f>SUM(E9:E10)</f>
        <v>34935</v>
      </c>
      <c r="F11" s="11"/>
      <c r="G11" s="13">
        <f t="shared" ref="G11:Q11" si="10">SUM(G9:G10)</f>
        <v>6822</v>
      </c>
      <c r="H11" s="13">
        <f t="shared" si="10"/>
        <v>8119</v>
      </c>
      <c r="I11" s="13">
        <f t="shared" si="10"/>
        <v>8252</v>
      </c>
      <c r="J11" s="13">
        <f t="shared" si="10"/>
        <v>10046</v>
      </c>
      <c r="K11" s="13">
        <f t="shared" si="10"/>
        <v>7259</v>
      </c>
      <c r="L11" s="13">
        <f t="shared" si="10"/>
        <v>8204</v>
      </c>
      <c r="M11" s="13">
        <f t="shared" si="10"/>
        <v>8913</v>
      </c>
      <c r="N11" s="13">
        <f t="shared" si="10"/>
        <v>10559</v>
      </c>
      <c r="O11" s="13">
        <f t="shared" si="10"/>
        <v>8032</v>
      </c>
      <c r="P11" s="13">
        <f t="shared" si="10"/>
        <v>9111</v>
      </c>
      <c r="Q11" s="13">
        <f t="shared" si="10"/>
        <v>9969</v>
      </c>
      <c r="R11" s="5"/>
      <c r="S11" s="13">
        <f t="shared" ref="S11:Y11" si="11">SUM(S9:S10)</f>
        <v>33676</v>
      </c>
      <c r="T11" s="13">
        <f t="shared" si="11"/>
        <v>33761</v>
      </c>
      <c r="U11" s="13">
        <f t="shared" si="11"/>
        <v>34422</v>
      </c>
      <c r="V11" s="13">
        <f t="shared" si="11"/>
        <v>34935</v>
      </c>
      <c r="W11" s="13">
        <f t="shared" si="11"/>
        <v>35708</v>
      </c>
      <c r="X11" s="13">
        <f t="shared" si="11"/>
        <v>36615</v>
      </c>
      <c r="Y11" s="13">
        <f t="shared" si="11"/>
        <v>37671</v>
      </c>
    </row>
    <row r="12" spans="1:25" outlineLevel="1">
      <c r="B12" s="114" t="s">
        <v>184</v>
      </c>
      <c r="C12" s="73">
        <f>+C11-'Historical Financials'!C11</f>
        <v>0</v>
      </c>
      <c r="D12" s="73">
        <f>+D11-'Historical Financials'!D11</f>
        <v>0</v>
      </c>
      <c r="E12" s="73">
        <f>+E11-'Historical Financials'!E11</f>
        <v>0</v>
      </c>
      <c r="F12" s="11"/>
      <c r="G12" s="73">
        <f>+G11-'Historical Financials'!G11</f>
        <v>0</v>
      </c>
      <c r="H12" s="73">
        <f>+H11-'Historical Financials'!H11</f>
        <v>0</v>
      </c>
      <c r="I12" s="73">
        <f>+I11-'Historical Financials'!I11</f>
        <v>0</v>
      </c>
      <c r="J12" s="73">
        <f>+J11-'Historical Financials'!J11</f>
        <v>0</v>
      </c>
      <c r="K12" s="73">
        <f>+K11-'Historical Financials'!K11</f>
        <v>0</v>
      </c>
      <c r="L12" s="73">
        <f>+L11-'Historical Financials'!L11</f>
        <v>0</v>
      </c>
      <c r="M12" s="73">
        <f>+M11-'Historical Financials'!M11</f>
        <v>0</v>
      </c>
      <c r="N12" s="73">
        <f>+N11-'Historical Financials'!N11</f>
        <v>0</v>
      </c>
      <c r="O12" s="73">
        <f>+O11-'Historical Financials'!O11</f>
        <v>0</v>
      </c>
      <c r="P12" s="73">
        <f>+P11-'Historical Financials'!P11</f>
        <v>0</v>
      </c>
      <c r="Q12" s="73">
        <f>+Q11-'Historical Financials'!Q11</f>
        <v>0</v>
      </c>
      <c r="R12" s="73"/>
      <c r="S12" s="73">
        <f>+S11-'Historical Financials'!S11</f>
        <v>437</v>
      </c>
      <c r="T12" s="73">
        <f>+T11-'Historical Financials'!T11</f>
        <v>85</v>
      </c>
      <c r="U12" s="73">
        <f>+U11-'Historical Financials'!U11</f>
        <v>661</v>
      </c>
      <c r="V12" s="73">
        <f>+V11-'Historical Financials'!V11</f>
        <v>513</v>
      </c>
      <c r="W12" s="73">
        <f>+W11-'Historical Financials'!W11</f>
        <v>773</v>
      </c>
      <c r="X12" s="73">
        <f>+X11-'Historical Financials'!X11</f>
        <v>907</v>
      </c>
      <c r="Y12" s="73">
        <f>Y11-'Historical Financials'!Y11</f>
        <v>1056</v>
      </c>
    </row>
    <row r="13" spans="1:25">
      <c r="B13" s="16"/>
      <c r="C13" s="17"/>
      <c r="D13" s="17"/>
      <c r="E13" s="17"/>
      <c r="F13" s="18"/>
      <c r="G13" s="19"/>
      <c r="H13" s="19"/>
      <c r="I13" s="19"/>
      <c r="J13" s="20"/>
      <c r="K13" s="19"/>
      <c r="L13" s="19"/>
      <c r="M13" s="19"/>
      <c r="N13" s="19"/>
      <c r="O13" s="19"/>
      <c r="P13" s="19"/>
      <c r="Q13" s="19"/>
      <c r="R13" s="18"/>
      <c r="S13" s="18"/>
      <c r="T13" s="18"/>
      <c r="U13" s="18"/>
      <c r="V13" s="18"/>
      <c r="W13" s="18"/>
      <c r="X13" s="18"/>
      <c r="Y13" s="18"/>
    </row>
    <row r="14" spans="1:25">
      <c r="B14" s="115" t="str">
        <f>B9&amp;"(%)"</f>
        <v>Equipment(%)</v>
      </c>
      <c r="C14" s="127">
        <f t="shared" ref="C14:E15" si="12">SUM(C9/C$11)</f>
        <v>0.53345248533081535</v>
      </c>
      <c r="D14" s="127">
        <f t="shared" si="12"/>
        <v>0.54929450344474862</v>
      </c>
      <c r="E14" s="127">
        <f t="shared" si="12"/>
        <v>0.54249320166022619</v>
      </c>
      <c r="F14" s="116"/>
      <c r="G14" s="127">
        <f t="shared" ref="G14:Q14" si="13">SUM(G9/G$11)</f>
        <v>0.51143359718557613</v>
      </c>
      <c r="H14" s="127">
        <f t="shared" si="13"/>
        <v>0.54046064786303727</v>
      </c>
      <c r="I14" s="127">
        <f t="shared" si="13"/>
        <v>0.59003877847794473</v>
      </c>
      <c r="J14" s="127">
        <f t="shared" si="13"/>
        <v>0.5486760899860641</v>
      </c>
      <c r="K14" s="127">
        <f t="shared" si="13"/>
        <v>0.49827799972447995</v>
      </c>
      <c r="L14" s="127">
        <f t="shared" si="13"/>
        <v>0.51121404193076547</v>
      </c>
      <c r="M14" s="127">
        <f t="shared" si="13"/>
        <v>0.5935150903175137</v>
      </c>
      <c r="N14" s="127">
        <f t="shared" si="13"/>
        <v>0.55412444360261393</v>
      </c>
      <c r="O14" s="127">
        <f t="shared" si="13"/>
        <v>0.52253486055776888</v>
      </c>
      <c r="P14" s="127">
        <f t="shared" si="13"/>
        <v>0.53715289210844031</v>
      </c>
      <c r="Q14" s="127">
        <f t="shared" si="13"/>
        <v>0.58982846825157986</v>
      </c>
      <c r="R14" s="116"/>
      <c r="S14" s="117">
        <f t="shared" ref="S14:Y14" si="14">SUM(S9/S$11)</f>
        <v>0.54596745456705076</v>
      </c>
      <c r="T14" s="117">
        <f t="shared" si="14"/>
        <v>0.5388465981457895</v>
      </c>
      <c r="U14" s="117">
        <f t="shared" si="14"/>
        <v>0.54072976584742316</v>
      </c>
      <c r="V14" s="117">
        <f t="shared" si="14"/>
        <v>0.54249320166022619</v>
      </c>
      <c r="W14" s="117">
        <f t="shared" si="14"/>
        <v>0.54699227063963263</v>
      </c>
      <c r="X14" s="117">
        <f t="shared" si="14"/>
        <v>0.55256042605489553</v>
      </c>
      <c r="Y14" s="118">
        <f t="shared" si="14"/>
        <v>0.55273287143956895</v>
      </c>
    </row>
    <row r="15" spans="1:25" ht="12.75" customHeight="1">
      <c r="B15" s="123" t="str">
        <f>B10&amp;"(%)"</f>
        <v>Sales(%)</v>
      </c>
      <c r="C15" s="128">
        <f t="shared" si="12"/>
        <v>0.46654751466918459</v>
      </c>
      <c r="D15" s="128">
        <f t="shared" si="12"/>
        <v>0.45070549655525138</v>
      </c>
      <c r="E15" s="128">
        <f t="shared" si="12"/>
        <v>0.45750679833977387</v>
      </c>
      <c r="F15" s="124"/>
      <c r="G15" s="128">
        <f t="shared" ref="G15:Q15" si="15">SUM(G10/G$11)</f>
        <v>0.48856640281442393</v>
      </c>
      <c r="H15" s="128">
        <f t="shared" si="15"/>
        <v>0.45953935213696268</v>
      </c>
      <c r="I15" s="128">
        <f t="shared" si="15"/>
        <v>0.40996122152205527</v>
      </c>
      <c r="J15" s="128">
        <f t="shared" si="15"/>
        <v>0.4513239100139359</v>
      </c>
      <c r="K15" s="128">
        <f t="shared" si="15"/>
        <v>0.50172200027552005</v>
      </c>
      <c r="L15" s="128">
        <f t="shared" si="15"/>
        <v>0.48878595806923453</v>
      </c>
      <c r="M15" s="128">
        <f t="shared" si="15"/>
        <v>0.40648490968248624</v>
      </c>
      <c r="N15" s="128">
        <f t="shared" si="15"/>
        <v>0.44587555639738613</v>
      </c>
      <c r="O15" s="128">
        <f t="shared" si="15"/>
        <v>0.47746513944223107</v>
      </c>
      <c r="P15" s="128">
        <f t="shared" si="15"/>
        <v>0.46284710789155964</v>
      </c>
      <c r="Q15" s="128">
        <f t="shared" si="15"/>
        <v>0.41017153174842008</v>
      </c>
      <c r="R15" s="124"/>
      <c r="S15" s="125">
        <f t="shared" ref="S15:Y15" si="16">SUM(S10/S$11)</f>
        <v>0.4540325454329493</v>
      </c>
      <c r="T15" s="125">
        <f t="shared" si="16"/>
        <v>0.4611534018542105</v>
      </c>
      <c r="U15" s="125">
        <f t="shared" si="16"/>
        <v>0.45927023415257684</v>
      </c>
      <c r="V15" s="125">
        <f t="shared" si="16"/>
        <v>0.45750679833977387</v>
      </c>
      <c r="W15" s="125">
        <f t="shared" si="16"/>
        <v>0.45300772936036743</v>
      </c>
      <c r="X15" s="125">
        <f t="shared" si="16"/>
        <v>0.44743957394510447</v>
      </c>
      <c r="Y15" s="126">
        <f t="shared" si="16"/>
        <v>0.4472671285604311</v>
      </c>
    </row>
    <row r="16" spans="1:25">
      <c r="B16" s="16"/>
      <c r="C16" s="17"/>
      <c r="D16" s="17"/>
      <c r="E16" s="17"/>
      <c r="F16" s="18"/>
      <c r="G16" s="19"/>
      <c r="H16" s="19"/>
      <c r="I16" s="19"/>
      <c r="J16" s="20"/>
      <c r="K16" s="19"/>
      <c r="L16" s="19"/>
      <c r="M16" s="19"/>
      <c r="N16" s="19"/>
      <c r="O16" s="19"/>
      <c r="P16" s="19"/>
      <c r="Q16" s="19"/>
      <c r="R16" s="18"/>
      <c r="S16" s="18"/>
      <c r="T16" s="18"/>
      <c r="U16" s="18"/>
      <c r="V16" s="18"/>
      <c r="W16" s="18"/>
      <c r="X16" s="18"/>
      <c r="Y16" s="18"/>
    </row>
    <row r="17" spans="1:25" ht="12.75" customHeight="1">
      <c r="A17" s="74" t="s">
        <v>17</v>
      </c>
      <c r="B17" s="72" t="s">
        <v>122</v>
      </c>
      <c r="C17" s="10"/>
      <c r="D17" s="10"/>
      <c r="E17" s="10"/>
      <c r="F17" s="10"/>
      <c r="G17" s="81"/>
      <c r="H17" s="81"/>
      <c r="I17" s="81"/>
      <c r="J17" s="30"/>
      <c r="K17" s="81"/>
      <c r="L17" s="81"/>
      <c r="M17" s="81"/>
      <c r="N17" s="30"/>
      <c r="O17" s="81"/>
      <c r="P17" s="81"/>
      <c r="Q17" s="81"/>
      <c r="R17" s="5"/>
      <c r="S17" s="11"/>
      <c r="T17" s="11"/>
      <c r="U17" s="11"/>
      <c r="V17" s="11"/>
      <c r="W17" s="11"/>
      <c r="X17" s="11"/>
      <c r="Y17" s="11"/>
    </row>
    <row r="18" spans="1:25" ht="12.75" customHeight="1">
      <c r="A18" s="74"/>
      <c r="B18" s="9" t="s">
        <v>112</v>
      </c>
      <c r="C18" s="106">
        <f>C34</f>
        <v>16124</v>
      </c>
      <c r="D18" s="106">
        <f t="shared" ref="D18:Q18" si="17">D34</f>
        <v>17436</v>
      </c>
      <c r="E18" s="106">
        <f t="shared" si="17"/>
        <v>18128</v>
      </c>
      <c r="F18" s="10"/>
      <c r="G18" s="106">
        <f t="shared" si="17"/>
        <v>3821</v>
      </c>
      <c r="H18" s="106">
        <f t="shared" si="17"/>
        <v>4131</v>
      </c>
      <c r="I18" s="106">
        <f t="shared" si="17"/>
        <v>3893</v>
      </c>
      <c r="J18" s="106">
        <f t="shared" si="17"/>
        <v>5591</v>
      </c>
      <c r="K18" s="106">
        <f t="shared" si="17"/>
        <v>4035</v>
      </c>
      <c r="L18" s="106">
        <f t="shared" si="17"/>
        <v>4455</v>
      </c>
      <c r="M18" s="106">
        <f t="shared" si="17"/>
        <v>4207</v>
      </c>
      <c r="N18" s="106">
        <f t="shared" si="17"/>
        <v>5431</v>
      </c>
      <c r="O18" s="106">
        <f t="shared" si="17"/>
        <v>4423</v>
      </c>
      <c r="P18" s="106">
        <f t="shared" si="17"/>
        <v>4758</v>
      </c>
      <c r="Q18" s="106">
        <f t="shared" si="17"/>
        <v>4839</v>
      </c>
      <c r="R18" s="5"/>
      <c r="S18" s="30">
        <f t="shared" ref="S18:S21" si="18">SUM(H18:K18)</f>
        <v>17650</v>
      </c>
      <c r="T18" s="30">
        <f t="shared" ref="T18:T21" si="19">SUM(I18:L18)</f>
        <v>17974</v>
      </c>
      <c r="U18" s="30">
        <f t="shared" ref="U18:U21" si="20">SUM(J18:M18)</f>
        <v>18288</v>
      </c>
      <c r="V18" s="30">
        <f t="shared" ref="V18:V21" si="21">SUM(K18:N18)</f>
        <v>18128</v>
      </c>
      <c r="W18" s="30">
        <f t="shared" ref="W18:W21" si="22">SUM(L18:O18)</f>
        <v>18516</v>
      </c>
      <c r="X18" s="30">
        <f t="shared" ref="X18:X21" si="23">SUM(M18:P18)</f>
        <v>18819</v>
      </c>
      <c r="Y18" s="30">
        <f t="shared" ref="Y18:Y21" si="24">SUM(N18:Q18)</f>
        <v>19451</v>
      </c>
    </row>
    <row r="19" spans="1:25" ht="12.75" customHeight="1">
      <c r="A19" s="74"/>
      <c r="B19" s="9" t="s">
        <v>113</v>
      </c>
      <c r="C19" s="106">
        <f>C46</f>
        <v>8905</v>
      </c>
      <c r="D19" s="106">
        <f t="shared" ref="D19:Q19" si="25">D46</f>
        <v>9826</v>
      </c>
      <c r="E19" s="106">
        <f t="shared" si="25"/>
        <v>9700</v>
      </c>
      <c r="F19" s="10"/>
      <c r="G19" s="106">
        <f t="shared" si="25"/>
        <v>1751</v>
      </c>
      <c r="H19" s="106">
        <f t="shared" si="25"/>
        <v>2601</v>
      </c>
      <c r="I19" s="106">
        <f t="shared" si="25"/>
        <v>2887</v>
      </c>
      <c r="J19" s="106">
        <f t="shared" si="25"/>
        <v>2587</v>
      </c>
      <c r="K19" s="106">
        <f t="shared" si="25"/>
        <v>1639</v>
      </c>
      <c r="L19" s="106">
        <f t="shared" si="25"/>
        <v>2062</v>
      </c>
      <c r="M19" s="106">
        <f t="shared" si="25"/>
        <v>2891</v>
      </c>
      <c r="N19" s="106">
        <f t="shared" si="25"/>
        <v>3108</v>
      </c>
      <c r="O19" s="106">
        <f t="shared" si="25"/>
        <v>1850</v>
      </c>
      <c r="P19" s="106">
        <f t="shared" si="25"/>
        <v>2245</v>
      </c>
      <c r="Q19" s="106">
        <f t="shared" si="25"/>
        <v>2648</v>
      </c>
      <c r="R19" s="5"/>
      <c r="S19" s="30">
        <f t="shared" si="18"/>
        <v>9714</v>
      </c>
      <c r="T19" s="30">
        <f t="shared" si="19"/>
        <v>9175</v>
      </c>
      <c r="U19" s="30">
        <f t="shared" si="20"/>
        <v>9179</v>
      </c>
      <c r="V19" s="30">
        <f t="shared" si="21"/>
        <v>9700</v>
      </c>
      <c r="W19" s="30">
        <f t="shared" si="22"/>
        <v>9911</v>
      </c>
      <c r="X19" s="30">
        <f t="shared" si="23"/>
        <v>10094</v>
      </c>
      <c r="Y19" s="30">
        <f t="shared" si="24"/>
        <v>9851</v>
      </c>
    </row>
    <row r="20" spans="1:25">
      <c r="B20" s="9" t="s">
        <v>114</v>
      </c>
      <c r="C20" s="106">
        <f>C57</f>
        <v>5076</v>
      </c>
      <c r="D20" s="165">
        <f>D57</f>
        <v>6378</v>
      </c>
      <c r="E20" s="106">
        <f>E57</f>
        <v>7550</v>
      </c>
      <c r="F20" s="75"/>
      <c r="G20" s="106">
        <f>G57</f>
        <v>1331</v>
      </c>
      <c r="H20" s="106">
        <f>H57</f>
        <v>1505</v>
      </c>
      <c r="I20" s="106">
        <f>I57</f>
        <v>1577</v>
      </c>
      <c r="J20" s="106">
        <f>J57</f>
        <v>1965</v>
      </c>
      <c r="K20" s="106">
        <f>K57</f>
        <v>1651</v>
      </c>
      <c r="L20" s="106">
        <f>L57</f>
        <v>1791</v>
      </c>
      <c r="M20" s="106">
        <f>M57</f>
        <v>1928</v>
      </c>
      <c r="N20" s="106">
        <f>N57</f>
        <v>2180</v>
      </c>
      <c r="O20" s="106">
        <f>O57</f>
        <v>1880</v>
      </c>
      <c r="P20" s="106">
        <f>P57</f>
        <v>2201</v>
      </c>
      <c r="Q20" s="106">
        <f>Q57</f>
        <v>2602</v>
      </c>
      <c r="R20" s="5"/>
      <c r="S20" s="30">
        <f t="shared" si="18"/>
        <v>6698</v>
      </c>
      <c r="T20" s="30">
        <f t="shared" si="19"/>
        <v>6984</v>
      </c>
      <c r="U20" s="30">
        <f t="shared" si="20"/>
        <v>7335</v>
      </c>
      <c r="V20" s="30">
        <f t="shared" si="21"/>
        <v>7550</v>
      </c>
      <c r="W20" s="30">
        <f t="shared" si="22"/>
        <v>7779</v>
      </c>
      <c r="X20" s="30">
        <f t="shared" si="23"/>
        <v>8189</v>
      </c>
      <c r="Y20" s="30">
        <f t="shared" si="24"/>
        <v>8863</v>
      </c>
    </row>
    <row r="21" spans="1:25">
      <c r="B21" s="9" t="s">
        <v>183</v>
      </c>
      <c r="C21" s="75">
        <v>-451</v>
      </c>
      <c r="D21" s="75">
        <v>-401</v>
      </c>
      <c r="E21" s="75">
        <v>-442</v>
      </c>
      <c r="F21" s="75"/>
      <c r="G21" s="75">
        <v>-81</v>
      </c>
      <c r="H21" s="75">
        <v>-118</v>
      </c>
      <c r="I21" s="75">
        <v>-103</v>
      </c>
      <c r="J21" s="30">
        <f t="shared" ref="J21" si="26">SUM(D21-SUM(G21:I21))</f>
        <v>-99</v>
      </c>
      <c r="K21" s="75">
        <v>-65</v>
      </c>
      <c r="L21" s="75">
        <v>-103</v>
      </c>
      <c r="M21" s="75">
        <v>-112</v>
      </c>
      <c r="N21" s="30">
        <f t="shared" ref="N21" si="27">SUM(E21-SUM(K21:M21))</f>
        <v>-162</v>
      </c>
      <c r="O21" s="75">
        <v>-119</v>
      </c>
      <c r="P21" s="75">
        <v>-92</v>
      </c>
      <c r="Q21" s="75">
        <v>-119</v>
      </c>
      <c r="R21" s="5"/>
      <c r="S21" s="30">
        <f t="shared" si="18"/>
        <v>-385</v>
      </c>
      <c r="T21" s="30">
        <f t="shared" si="19"/>
        <v>-370</v>
      </c>
      <c r="U21" s="30">
        <f t="shared" si="20"/>
        <v>-379</v>
      </c>
      <c r="V21" s="30">
        <f t="shared" si="21"/>
        <v>-442</v>
      </c>
      <c r="W21" s="30">
        <f t="shared" si="22"/>
        <v>-496</v>
      </c>
      <c r="X21" s="30">
        <f>SUM(M21:P21)</f>
        <v>-485</v>
      </c>
      <c r="Y21" s="30">
        <f t="shared" si="24"/>
        <v>-492</v>
      </c>
    </row>
    <row r="22" spans="1:25">
      <c r="B22" s="12" t="s">
        <v>68</v>
      </c>
      <c r="C22" s="13">
        <f>SUM(C18:C21)</f>
        <v>29654</v>
      </c>
      <c r="D22" s="13">
        <f t="shared" ref="D22:E22" si="28">SUM(D18:D21)</f>
        <v>33239</v>
      </c>
      <c r="E22" s="13">
        <f t="shared" si="28"/>
        <v>34936</v>
      </c>
      <c r="F22" s="11"/>
      <c r="G22" s="13">
        <f t="shared" ref="G22" si="29">SUM(G18:G21)</f>
        <v>6822</v>
      </c>
      <c r="H22" s="13">
        <f t="shared" ref="H22" si="30">SUM(H18:H21)</f>
        <v>8119</v>
      </c>
      <c r="I22" s="13">
        <f t="shared" ref="I22" si="31">SUM(I18:I21)</f>
        <v>8254</v>
      </c>
      <c r="J22" s="13">
        <f t="shared" ref="J22" si="32">SUM(J18:J21)</f>
        <v>10044</v>
      </c>
      <c r="K22" s="13">
        <f t="shared" ref="K22" si="33">SUM(K18:K21)</f>
        <v>7260</v>
      </c>
      <c r="L22" s="13">
        <f t="shared" ref="L22" si="34">SUM(L18:L21)</f>
        <v>8205</v>
      </c>
      <c r="M22" s="13">
        <f t="shared" ref="M22" si="35">SUM(M18:M21)</f>
        <v>8914</v>
      </c>
      <c r="N22" s="13">
        <f t="shared" ref="N22" si="36">SUM(N18:N21)</f>
        <v>10557</v>
      </c>
      <c r="O22" s="13">
        <f t="shared" ref="O22" si="37">SUM(O18:O21)</f>
        <v>8034</v>
      </c>
      <c r="P22" s="13">
        <f t="shared" ref="P22" si="38">SUM(P18:P21)</f>
        <v>9112</v>
      </c>
      <c r="Q22" s="13">
        <f t="shared" ref="Q22" si="39">SUM(Q18:Q21)</f>
        <v>9970</v>
      </c>
      <c r="R22" s="5"/>
      <c r="S22" s="13">
        <f t="shared" ref="S22" si="40">SUM(S18:S21)</f>
        <v>33677</v>
      </c>
      <c r="T22" s="13">
        <f t="shared" ref="T22" si="41">SUM(T18:T21)</f>
        <v>33763</v>
      </c>
      <c r="U22" s="13">
        <f t="shared" ref="U22" si="42">SUM(U18:U21)</f>
        <v>34423</v>
      </c>
      <c r="V22" s="13">
        <f t="shared" ref="V22" si="43">SUM(V18:V21)</f>
        <v>34936</v>
      </c>
      <c r="W22" s="13">
        <f t="shared" ref="W22" si="44">SUM(W18:W21)</f>
        <v>35710</v>
      </c>
      <c r="X22" s="13">
        <f t="shared" ref="X22" si="45">SUM(X18:X21)</f>
        <v>36617</v>
      </c>
      <c r="Y22" s="13">
        <f t="shared" ref="Y22" si="46">SUM(Y18:Y21)</f>
        <v>37673</v>
      </c>
    </row>
    <row r="23" spans="1:25" outlineLevel="1">
      <c r="B23" s="114" t="s">
        <v>184</v>
      </c>
      <c r="C23" s="73">
        <f t="shared" ref="C23:D23" si="47">ROUND(C22-C11,-1)</f>
        <v>0</v>
      </c>
      <c r="D23" s="73">
        <f t="shared" si="47"/>
        <v>0</v>
      </c>
      <c r="E23" s="73">
        <f>ROUND(E22-E11,-1)</f>
        <v>0</v>
      </c>
      <c r="F23" s="11"/>
      <c r="G23" s="73">
        <f t="shared" ref="G23:Q23" si="48">ROUND(G22-G11,-1)</f>
        <v>0</v>
      </c>
      <c r="H23" s="73">
        <f t="shared" si="48"/>
        <v>0</v>
      </c>
      <c r="I23" s="73">
        <f t="shared" si="48"/>
        <v>0</v>
      </c>
      <c r="J23" s="73">
        <f t="shared" si="48"/>
        <v>0</v>
      </c>
      <c r="K23" s="73">
        <f t="shared" si="48"/>
        <v>0</v>
      </c>
      <c r="L23" s="73">
        <f t="shared" si="48"/>
        <v>0</v>
      </c>
      <c r="M23" s="73">
        <f t="shared" si="48"/>
        <v>0</v>
      </c>
      <c r="N23" s="73">
        <f t="shared" si="48"/>
        <v>0</v>
      </c>
      <c r="O23" s="73">
        <f t="shared" si="48"/>
        <v>0</v>
      </c>
      <c r="P23" s="73">
        <f t="shared" si="48"/>
        <v>0</v>
      </c>
      <c r="Q23" s="73">
        <f t="shared" si="48"/>
        <v>0</v>
      </c>
      <c r="R23" s="73"/>
      <c r="S23" s="73">
        <f t="shared" ref="S23" si="49">ROUND(S22-S11,-1)</f>
        <v>0</v>
      </c>
      <c r="T23" s="73">
        <f t="shared" ref="T23" si="50">ROUND(T22-T11,-1)</f>
        <v>0</v>
      </c>
      <c r="U23" s="73">
        <f t="shared" ref="U23" si="51">ROUND(U22-U11,-1)</f>
        <v>0</v>
      </c>
      <c r="V23" s="73">
        <f t="shared" ref="V23" si="52">ROUND(V22-V11,-1)</f>
        <v>0</v>
      </c>
      <c r="W23" s="73">
        <f t="shared" ref="W23" si="53">ROUND(W22-W11,-1)</f>
        <v>0</v>
      </c>
      <c r="X23" s="73">
        <f t="shared" ref="X23" si="54">ROUND(X22-X11,-1)</f>
        <v>0</v>
      </c>
      <c r="Y23" s="73">
        <f t="shared" ref="Y23" si="55">ROUND(Y22-Y11,-1)</f>
        <v>0</v>
      </c>
    </row>
    <row r="24" spans="1:25">
      <c r="B24" s="16"/>
      <c r="C24" s="17"/>
      <c r="D24" s="17"/>
      <c r="E24" s="17"/>
      <c r="F24" s="18"/>
      <c r="G24" s="19"/>
      <c r="H24" s="19"/>
      <c r="I24" s="19"/>
      <c r="J24" s="20"/>
      <c r="K24" s="19"/>
      <c r="L24" s="19"/>
      <c r="M24" s="19"/>
      <c r="N24" s="19"/>
      <c r="O24" s="19"/>
      <c r="P24" s="19"/>
      <c r="Q24" s="19"/>
      <c r="R24" s="18"/>
      <c r="S24" s="18"/>
      <c r="T24" s="18"/>
      <c r="U24" s="18"/>
      <c r="V24" s="18"/>
      <c r="W24" s="18"/>
      <c r="X24" s="18"/>
      <c r="Y24" s="18"/>
    </row>
    <row r="25" spans="1:25">
      <c r="B25" s="115" t="str">
        <f>B18&amp;"(%)"</f>
        <v>Power (%)</v>
      </c>
      <c r="C25" s="127">
        <f>SUM(C18/C$11)</f>
        <v>0.54373777567950365</v>
      </c>
      <c r="D25" s="127">
        <f>SUM(D18/D$11)</f>
        <v>0.52456451758476486</v>
      </c>
      <c r="E25" s="127">
        <f>SUM(E18/E$11)</f>
        <v>0.51890654071847719</v>
      </c>
      <c r="F25" s="116"/>
      <c r="G25" s="127">
        <f t="shared" ref="G25:Q25" si="56">SUM(G18/G$11)</f>
        <v>0.56009967751392553</v>
      </c>
      <c r="H25" s="127">
        <f t="shared" si="56"/>
        <v>0.50880650326394872</v>
      </c>
      <c r="I25" s="127">
        <f t="shared" si="56"/>
        <v>0.47176442074648572</v>
      </c>
      <c r="J25" s="127">
        <f t="shared" si="56"/>
        <v>0.55653991638463074</v>
      </c>
      <c r="K25" s="127">
        <f t="shared" si="56"/>
        <v>0.55586168893787025</v>
      </c>
      <c r="L25" s="127">
        <f t="shared" si="56"/>
        <v>0.54302779132130663</v>
      </c>
      <c r="M25" s="127">
        <f t="shared" si="56"/>
        <v>0.4720071805228318</v>
      </c>
      <c r="N25" s="127">
        <f t="shared" si="56"/>
        <v>0.51434794961644092</v>
      </c>
      <c r="O25" s="127">
        <f t="shared" si="56"/>
        <v>0.55067231075697209</v>
      </c>
      <c r="P25" s="127">
        <f t="shared" si="56"/>
        <v>0.52222588080342447</v>
      </c>
      <c r="Q25" s="127">
        <f t="shared" si="56"/>
        <v>0.48540475473969302</v>
      </c>
      <c r="R25" s="116"/>
      <c r="S25" s="117">
        <f t="shared" ref="S25:Y25" si="57">SUM(S18/S$11)</f>
        <v>0.52411212733103696</v>
      </c>
      <c r="T25" s="117">
        <f t="shared" si="57"/>
        <v>0.53238944344065642</v>
      </c>
      <c r="U25" s="117">
        <f t="shared" si="57"/>
        <v>0.53128812968450412</v>
      </c>
      <c r="V25" s="117">
        <f t="shared" si="57"/>
        <v>0.51890654071847719</v>
      </c>
      <c r="W25" s="117">
        <f t="shared" si="57"/>
        <v>0.51853926291027219</v>
      </c>
      <c r="X25" s="117">
        <f t="shared" si="57"/>
        <v>0.51396968455551006</v>
      </c>
      <c r="Y25" s="118">
        <f t="shared" si="57"/>
        <v>0.51633882827639299</v>
      </c>
    </row>
    <row r="26" spans="1:25">
      <c r="B26" s="119" t="str">
        <f>B19&amp;"(%)"</f>
        <v>Wind (%)</v>
      </c>
      <c r="C26" s="129">
        <f>SUM(C19/C$11)</f>
        <v>0.30029675591825722</v>
      </c>
      <c r="D26" s="129">
        <f>SUM(D19/D$11)</f>
        <v>0.29561659496374743</v>
      </c>
      <c r="E26" s="129">
        <f>SUM(E19/E$11)</f>
        <v>0.27765850865893804</v>
      </c>
      <c r="F26" s="120"/>
      <c r="G26" s="129">
        <f t="shared" ref="G26:Q26" si="58">SUM(G19/G$11)</f>
        <v>0.2566695983582527</v>
      </c>
      <c r="H26" s="129">
        <f t="shared" si="58"/>
        <v>0.32035965020322699</v>
      </c>
      <c r="I26" s="129">
        <f t="shared" si="58"/>
        <v>0.3498545807077072</v>
      </c>
      <c r="J26" s="129">
        <f t="shared" si="58"/>
        <v>0.25751542902647823</v>
      </c>
      <c r="K26" s="129">
        <f t="shared" si="58"/>
        <v>0.22578867612618819</v>
      </c>
      <c r="L26" s="129">
        <f t="shared" si="58"/>
        <v>0.25134080936128717</v>
      </c>
      <c r="M26" s="129">
        <f t="shared" si="58"/>
        <v>0.32435767979355995</v>
      </c>
      <c r="N26" s="129">
        <f t="shared" si="58"/>
        <v>0.29434605549767973</v>
      </c>
      <c r="O26" s="129">
        <f t="shared" si="58"/>
        <v>0.23032868525896413</v>
      </c>
      <c r="P26" s="129">
        <f t="shared" si="58"/>
        <v>0.24640544396882888</v>
      </c>
      <c r="Q26" s="129">
        <f t="shared" si="58"/>
        <v>0.26562343264118771</v>
      </c>
      <c r="R26" s="120"/>
      <c r="S26" s="121">
        <f t="shared" ref="S26:Y26" si="59">SUM(S19/S$11)</f>
        <v>0.28845468582967099</v>
      </c>
      <c r="T26" s="121">
        <f t="shared" si="59"/>
        <v>0.27176327715411275</v>
      </c>
      <c r="U26" s="121">
        <f t="shared" si="59"/>
        <v>0.26666085642902793</v>
      </c>
      <c r="V26" s="121">
        <f t="shared" si="59"/>
        <v>0.27765850865893804</v>
      </c>
      <c r="W26" s="121">
        <f t="shared" si="59"/>
        <v>0.27755685000560099</v>
      </c>
      <c r="X26" s="121">
        <f t="shared" si="59"/>
        <v>0.27567936637989893</v>
      </c>
      <c r="Y26" s="122">
        <f t="shared" si="59"/>
        <v>0.26150088927822462</v>
      </c>
    </row>
    <row r="27" spans="1:25" ht="12.75" customHeight="1">
      <c r="B27" s="123" t="str">
        <f>B20&amp;"(%)"</f>
        <v>Electrification (%)</v>
      </c>
      <c r="C27" s="128">
        <f>SUM(C20/C$11)</f>
        <v>0.17117420921292237</v>
      </c>
      <c r="D27" s="128">
        <f>SUM(D20/D$11)</f>
        <v>0.19188302897199072</v>
      </c>
      <c r="E27" s="128">
        <f>SUM(E20/E$11)</f>
        <v>0.21611564333762703</v>
      </c>
      <c r="F27" s="124"/>
      <c r="G27" s="128">
        <f t="shared" ref="G27:Q27" si="60">SUM(G20/G$11)</f>
        <v>0.19510407505130462</v>
      </c>
      <c r="H27" s="128">
        <f t="shared" si="60"/>
        <v>0.18536765611528513</v>
      </c>
      <c r="I27" s="128">
        <f t="shared" si="60"/>
        <v>0.19110518662142512</v>
      </c>
      <c r="J27" s="128">
        <f t="shared" si="60"/>
        <v>0.19560023890105516</v>
      </c>
      <c r="K27" s="128">
        <f t="shared" si="60"/>
        <v>0.22744179639068743</v>
      </c>
      <c r="L27" s="128">
        <f t="shared" si="60"/>
        <v>0.21830814236957582</v>
      </c>
      <c r="M27" s="128">
        <f t="shared" si="60"/>
        <v>0.2163132503085381</v>
      </c>
      <c r="N27" s="128">
        <f t="shared" si="60"/>
        <v>0.20645894497584999</v>
      </c>
      <c r="O27" s="128">
        <f t="shared" si="60"/>
        <v>0.23406374501992031</v>
      </c>
      <c r="P27" s="128">
        <f t="shared" si="60"/>
        <v>0.24157611678191199</v>
      </c>
      <c r="Q27" s="128">
        <f t="shared" si="60"/>
        <v>0.26100912829772294</v>
      </c>
      <c r="R27" s="124"/>
      <c r="S27" s="125">
        <f t="shared" ref="S27:Y27" si="61">SUM(S20/S$11)</f>
        <v>0.19889535574296235</v>
      </c>
      <c r="T27" s="125">
        <f t="shared" si="61"/>
        <v>0.2068659103699535</v>
      </c>
      <c r="U27" s="125">
        <f t="shared" si="61"/>
        <v>0.21309046540003487</v>
      </c>
      <c r="V27" s="125">
        <f t="shared" si="61"/>
        <v>0.21611564333762703</v>
      </c>
      <c r="W27" s="125">
        <f t="shared" si="61"/>
        <v>0.21785034166013217</v>
      </c>
      <c r="X27" s="125">
        <f t="shared" si="61"/>
        <v>0.22365150894442168</v>
      </c>
      <c r="Y27" s="126">
        <f t="shared" si="61"/>
        <v>0.2352738180563298</v>
      </c>
    </row>
    <row r="28" spans="1:25">
      <c r="B28" s="16"/>
      <c r="C28" s="17"/>
      <c r="D28" s="17"/>
      <c r="E28" s="17"/>
      <c r="F28" s="18"/>
      <c r="G28" s="19"/>
      <c r="H28" s="19"/>
      <c r="I28" s="19"/>
      <c r="J28" s="20"/>
      <c r="K28" s="19"/>
      <c r="L28" s="19"/>
      <c r="M28" s="19"/>
      <c r="N28" s="19"/>
      <c r="O28" s="19"/>
      <c r="P28" s="19"/>
      <c r="Q28" s="19"/>
      <c r="R28" s="18"/>
      <c r="S28" s="18"/>
      <c r="T28" s="18"/>
      <c r="U28" s="18"/>
      <c r="V28" s="18"/>
      <c r="W28" s="18"/>
      <c r="X28" s="18"/>
      <c r="Y28" s="18"/>
    </row>
    <row r="29" spans="1:25" ht="12.75" customHeight="1">
      <c r="A29" s="74" t="s">
        <v>17</v>
      </c>
      <c r="B29" s="72" t="s">
        <v>115</v>
      </c>
      <c r="C29" s="10"/>
      <c r="D29" s="10"/>
      <c r="E29" s="10"/>
      <c r="F29" s="10"/>
      <c r="G29" s="81"/>
      <c r="H29" s="81"/>
      <c r="I29" s="81"/>
      <c r="J29" s="30"/>
      <c r="K29" s="81"/>
      <c r="L29" s="81"/>
      <c r="M29" s="81"/>
      <c r="N29" s="30"/>
      <c r="O29" s="81"/>
      <c r="P29" s="81"/>
      <c r="Q29" s="81"/>
      <c r="R29" s="5"/>
      <c r="S29" s="11"/>
      <c r="T29" s="11"/>
      <c r="U29" s="11"/>
      <c r="V29" s="11"/>
      <c r="W29" s="11"/>
      <c r="X29" s="11"/>
      <c r="Y29" s="11"/>
    </row>
    <row r="30" spans="1:25" ht="12.75" customHeight="1">
      <c r="A30" s="74"/>
      <c r="B30" s="9" t="s">
        <v>118</v>
      </c>
      <c r="C30" s="75">
        <v>12079</v>
      </c>
      <c r="D30" s="75">
        <v>13220</v>
      </c>
      <c r="E30" s="75">
        <v>14465</v>
      </c>
      <c r="F30" s="10"/>
      <c r="G30" s="75">
        <v>2882</v>
      </c>
      <c r="H30" s="75">
        <v>3051</v>
      </c>
      <c r="I30" s="75">
        <v>2944</v>
      </c>
      <c r="J30" s="30">
        <f t="shared" ref="J30:J33" si="62">SUM(D30-SUM(G30:I30))</f>
        <v>4343</v>
      </c>
      <c r="K30" s="75">
        <v>3041</v>
      </c>
      <c r="L30" s="75">
        <v>3459</v>
      </c>
      <c r="M30" s="75">
        <v>3466</v>
      </c>
      <c r="N30" s="30">
        <f t="shared" ref="N30:N33" si="63">SUM(E30-SUM(K30:M30))</f>
        <v>4499</v>
      </c>
      <c r="O30" s="75">
        <v>3579</v>
      </c>
      <c r="P30" s="75">
        <v>3884</v>
      </c>
      <c r="Q30" s="75">
        <v>3923</v>
      </c>
      <c r="R30" s="5"/>
      <c r="S30" s="30">
        <f t="shared" ref="S30:S33" si="64">SUM(H30:K30)</f>
        <v>13379</v>
      </c>
      <c r="T30" s="30">
        <f t="shared" ref="T30:T33" si="65">SUM(I30:L30)</f>
        <v>13787</v>
      </c>
      <c r="U30" s="30">
        <f t="shared" ref="U30:U33" si="66">SUM(J30:M30)</f>
        <v>14309</v>
      </c>
      <c r="V30" s="30">
        <f t="shared" ref="V30:V33" si="67">SUM(K30:N30)</f>
        <v>14465</v>
      </c>
      <c r="W30" s="30">
        <f t="shared" ref="W30:W33" si="68">SUM(L30:O30)</f>
        <v>15003</v>
      </c>
      <c r="X30" s="30">
        <f t="shared" ref="X30:X33" si="69">SUM(M30:P30)</f>
        <v>15428</v>
      </c>
      <c r="Y30" s="30">
        <f t="shared" ref="Y30:Y33" si="70">SUM(N30:Q30)</f>
        <v>15885</v>
      </c>
    </row>
    <row r="31" spans="1:25" ht="12.75" customHeight="1">
      <c r="A31" s="74"/>
      <c r="B31" s="9" t="s">
        <v>119</v>
      </c>
      <c r="C31" s="75">
        <v>699</v>
      </c>
      <c r="D31" s="75">
        <v>827</v>
      </c>
      <c r="E31" s="75">
        <v>819</v>
      </c>
      <c r="F31" s="10"/>
      <c r="G31" s="75">
        <v>221</v>
      </c>
      <c r="H31" s="75">
        <v>212</v>
      </c>
      <c r="I31" s="75">
        <v>158</v>
      </c>
      <c r="J31" s="30">
        <f t="shared" si="62"/>
        <v>236</v>
      </c>
      <c r="K31" s="75">
        <v>229</v>
      </c>
      <c r="L31" s="75">
        <v>222</v>
      </c>
      <c r="M31" s="75">
        <v>167</v>
      </c>
      <c r="N31" s="30">
        <f t="shared" si="63"/>
        <v>201</v>
      </c>
      <c r="O31" s="75">
        <v>200</v>
      </c>
      <c r="P31" s="75">
        <v>189</v>
      </c>
      <c r="Q31" s="75">
        <v>251</v>
      </c>
      <c r="R31" s="5"/>
      <c r="S31" s="30">
        <f t="shared" si="64"/>
        <v>835</v>
      </c>
      <c r="T31" s="30">
        <f t="shared" si="65"/>
        <v>845</v>
      </c>
      <c r="U31" s="30">
        <f t="shared" si="66"/>
        <v>854</v>
      </c>
      <c r="V31" s="30">
        <f t="shared" si="67"/>
        <v>819</v>
      </c>
      <c r="W31" s="30">
        <f t="shared" si="68"/>
        <v>790</v>
      </c>
      <c r="X31" s="30">
        <f t="shared" si="69"/>
        <v>757</v>
      </c>
      <c r="Y31" s="30">
        <f t="shared" si="70"/>
        <v>841</v>
      </c>
    </row>
    <row r="32" spans="1:25" ht="12.75" customHeight="1">
      <c r="A32" s="74"/>
      <c r="B32" s="9" t="s">
        <v>120</v>
      </c>
      <c r="C32" s="75">
        <v>703</v>
      </c>
      <c r="D32" s="75">
        <v>887</v>
      </c>
      <c r="E32" s="75">
        <v>781</v>
      </c>
      <c r="F32" s="10"/>
      <c r="G32" s="75">
        <v>178</v>
      </c>
      <c r="H32" s="75">
        <v>220</v>
      </c>
      <c r="I32" s="75">
        <v>220</v>
      </c>
      <c r="J32" s="30">
        <f t="shared" si="62"/>
        <v>269</v>
      </c>
      <c r="K32" s="75">
        <v>181</v>
      </c>
      <c r="L32" s="75">
        <v>182</v>
      </c>
      <c r="M32" s="75">
        <v>181</v>
      </c>
      <c r="N32" s="30">
        <f t="shared" si="63"/>
        <v>237</v>
      </c>
      <c r="O32" s="75">
        <v>157</v>
      </c>
      <c r="P32" s="75">
        <v>201</v>
      </c>
      <c r="Q32" s="75">
        <v>223</v>
      </c>
      <c r="R32" s="5"/>
      <c r="S32" s="30">
        <f t="shared" si="64"/>
        <v>890</v>
      </c>
      <c r="T32" s="30">
        <f t="shared" si="65"/>
        <v>852</v>
      </c>
      <c r="U32" s="30">
        <f t="shared" si="66"/>
        <v>813</v>
      </c>
      <c r="V32" s="30">
        <f t="shared" si="67"/>
        <v>781</v>
      </c>
      <c r="W32" s="30">
        <f t="shared" si="68"/>
        <v>757</v>
      </c>
      <c r="X32" s="30">
        <f t="shared" si="69"/>
        <v>776</v>
      </c>
      <c r="Y32" s="30">
        <f t="shared" si="70"/>
        <v>818</v>
      </c>
    </row>
    <row r="33" spans="1:25">
      <c r="B33" s="9" t="s">
        <v>121</v>
      </c>
      <c r="C33" s="75">
        <v>2643</v>
      </c>
      <c r="D33" s="75">
        <v>2502</v>
      </c>
      <c r="E33" s="75">
        <v>2063</v>
      </c>
      <c r="F33" s="75"/>
      <c r="G33" s="75">
        <v>540</v>
      </c>
      <c r="H33" s="75">
        <v>648</v>
      </c>
      <c r="I33" s="75">
        <v>571</v>
      </c>
      <c r="J33" s="30">
        <f t="shared" si="62"/>
        <v>743</v>
      </c>
      <c r="K33" s="75">
        <v>584</v>
      </c>
      <c r="L33" s="75">
        <v>592</v>
      </c>
      <c r="M33" s="75">
        <v>393</v>
      </c>
      <c r="N33" s="30">
        <f t="shared" si="63"/>
        <v>494</v>
      </c>
      <c r="O33" s="75">
        <v>487</v>
      </c>
      <c r="P33" s="75">
        <v>484</v>
      </c>
      <c r="Q33" s="75">
        <v>442</v>
      </c>
      <c r="R33" s="5"/>
      <c r="S33" s="30">
        <f t="shared" si="64"/>
        <v>2546</v>
      </c>
      <c r="T33" s="30">
        <f t="shared" si="65"/>
        <v>2490</v>
      </c>
      <c r="U33" s="30">
        <f t="shared" si="66"/>
        <v>2312</v>
      </c>
      <c r="V33" s="30">
        <f t="shared" si="67"/>
        <v>2063</v>
      </c>
      <c r="W33" s="30">
        <f t="shared" si="68"/>
        <v>1966</v>
      </c>
      <c r="X33" s="30">
        <f t="shared" si="69"/>
        <v>1858</v>
      </c>
      <c r="Y33" s="30">
        <f t="shared" si="70"/>
        <v>1907</v>
      </c>
    </row>
    <row r="34" spans="1:25">
      <c r="B34" s="12" t="s">
        <v>68</v>
      </c>
      <c r="C34" s="13">
        <f>SUM(C30:C33)</f>
        <v>16124</v>
      </c>
      <c r="D34" s="13">
        <f>SUM(D30:D33)</f>
        <v>17436</v>
      </c>
      <c r="E34" s="13">
        <f>SUM(E30:E33)</f>
        <v>18128</v>
      </c>
      <c r="F34" s="11"/>
      <c r="G34" s="13">
        <f t="shared" ref="G34:Q34" si="71">SUM(G30:G33)</f>
        <v>3821</v>
      </c>
      <c r="H34" s="13">
        <f t="shared" si="71"/>
        <v>4131</v>
      </c>
      <c r="I34" s="13">
        <f t="shared" si="71"/>
        <v>3893</v>
      </c>
      <c r="J34" s="13">
        <f t="shared" si="71"/>
        <v>5591</v>
      </c>
      <c r="K34" s="13">
        <f t="shared" si="71"/>
        <v>4035</v>
      </c>
      <c r="L34" s="13">
        <f t="shared" si="71"/>
        <v>4455</v>
      </c>
      <c r="M34" s="13">
        <f t="shared" si="71"/>
        <v>4207</v>
      </c>
      <c r="N34" s="13">
        <f t="shared" si="71"/>
        <v>5431</v>
      </c>
      <c r="O34" s="13">
        <f t="shared" si="71"/>
        <v>4423</v>
      </c>
      <c r="P34" s="13">
        <f t="shared" si="71"/>
        <v>4758</v>
      </c>
      <c r="Q34" s="13">
        <f t="shared" si="71"/>
        <v>4839</v>
      </c>
      <c r="R34" s="5"/>
      <c r="S34" s="13">
        <f t="shared" ref="S34:Y34" si="72">SUM(S30:S33)</f>
        <v>17650</v>
      </c>
      <c r="T34" s="13">
        <f t="shared" si="72"/>
        <v>17974</v>
      </c>
      <c r="U34" s="13">
        <f t="shared" si="72"/>
        <v>18288</v>
      </c>
      <c r="V34" s="13">
        <f t="shared" si="72"/>
        <v>18128</v>
      </c>
      <c r="W34" s="13">
        <f t="shared" si="72"/>
        <v>18516</v>
      </c>
      <c r="X34" s="13">
        <f t="shared" si="72"/>
        <v>18819</v>
      </c>
      <c r="Y34" s="13">
        <f t="shared" si="72"/>
        <v>19451</v>
      </c>
    </row>
    <row r="35" spans="1:25" outlineLevel="1">
      <c r="B35" s="114" t="s">
        <v>184</v>
      </c>
      <c r="C35" s="73">
        <f>C34-C18</f>
        <v>0</v>
      </c>
      <c r="D35" s="73">
        <f t="shared" ref="D35:E35" si="73">D34-D18</f>
        <v>0</v>
      </c>
      <c r="E35" s="73">
        <f t="shared" si="73"/>
        <v>0</v>
      </c>
      <c r="F35" s="11"/>
      <c r="G35" s="73">
        <f t="shared" ref="G35" si="74">G34-G18</f>
        <v>0</v>
      </c>
      <c r="H35" s="73">
        <f t="shared" ref="H35" si="75">H34-H18</f>
        <v>0</v>
      </c>
      <c r="I35" s="73">
        <f t="shared" ref="I35" si="76">I34-I18</f>
        <v>0</v>
      </c>
      <c r="J35" s="73">
        <f t="shared" ref="J35" si="77">J34-J18</f>
        <v>0</v>
      </c>
      <c r="K35" s="73">
        <f t="shared" ref="K35" si="78">K34-K18</f>
        <v>0</v>
      </c>
      <c r="L35" s="73">
        <f t="shared" ref="L35" si="79">L34-L18</f>
        <v>0</v>
      </c>
      <c r="M35" s="73">
        <f t="shared" ref="M35" si="80">M34-M18</f>
        <v>0</v>
      </c>
      <c r="N35" s="73">
        <f t="shared" ref="N35" si="81">N34-N18</f>
        <v>0</v>
      </c>
      <c r="O35" s="73">
        <f t="shared" ref="O35" si="82">O34-O18</f>
        <v>0</v>
      </c>
      <c r="P35" s="73">
        <f t="shared" ref="P35" si="83">P34-P18</f>
        <v>0</v>
      </c>
      <c r="Q35" s="73">
        <f t="shared" ref="Q35" si="84">Q34-Q18</f>
        <v>0</v>
      </c>
      <c r="R35" s="73"/>
      <c r="S35" s="73">
        <f t="shared" ref="S35" si="85">S34-S18</f>
        <v>0</v>
      </c>
      <c r="T35" s="73">
        <f t="shared" ref="T35" si="86">T34-T18</f>
        <v>0</v>
      </c>
      <c r="U35" s="73">
        <f t="shared" ref="U35" si="87">U34-U18</f>
        <v>0</v>
      </c>
      <c r="V35" s="73">
        <f t="shared" ref="V35" si="88">V34-V18</f>
        <v>0</v>
      </c>
      <c r="W35" s="73">
        <f t="shared" ref="W35" si="89">W34-W18</f>
        <v>0</v>
      </c>
      <c r="X35" s="73">
        <f t="shared" ref="X35" si="90">X34-X18</f>
        <v>0</v>
      </c>
      <c r="Y35" s="73">
        <f t="shared" ref="Y35" si="91">Y34-Y18</f>
        <v>0</v>
      </c>
    </row>
    <row r="36" spans="1:25">
      <c r="B36" s="16"/>
      <c r="C36" s="17"/>
      <c r="D36" s="17"/>
      <c r="E36" s="17"/>
      <c r="F36" s="18"/>
      <c r="G36" s="19"/>
      <c r="H36" s="19"/>
      <c r="I36" s="19"/>
      <c r="J36" s="20"/>
      <c r="K36" s="19"/>
      <c r="L36" s="19"/>
      <c r="M36" s="19"/>
      <c r="N36" s="19"/>
      <c r="O36" s="19"/>
      <c r="P36" s="19"/>
      <c r="Q36" s="19"/>
      <c r="R36" s="18"/>
      <c r="S36" s="18"/>
      <c r="T36" s="18"/>
      <c r="U36" s="18"/>
      <c r="V36" s="18"/>
      <c r="W36" s="18"/>
      <c r="X36" s="18"/>
      <c r="Y36" s="18"/>
    </row>
    <row r="37" spans="1:25">
      <c r="B37" s="115" t="str">
        <f>B30&amp;"(%)"</f>
        <v>Gas Power (%)</v>
      </c>
      <c r="C37" s="127">
        <f>SUM(C30/C$11)</f>
        <v>0.4073312200714912</v>
      </c>
      <c r="D37" s="127">
        <f>SUM(D30/D$11)</f>
        <v>0.39772556334426429</v>
      </c>
      <c r="E37" s="127">
        <f>SUM(E30/E$11)</f>
        <v>0.41405467296407616</v>
      </c>
      <c r="F37" s="116"/>
      <c r="G37" s="127">
        <f t="shared" ref="G37:Q37" si="92">SUM(G30/G$11)</f>
        <v>0.42245675754910583</v>
      </c>
      <c r="H37" s="127">
        <f t="shared" si="92"/>
        <v>0.37578519522108633</v>
      </c>
      <c r="I37" s="127">
        <f t="shared" si="92"/>
        <v>0.35676199709161416</v>
      </c>
      <c r="J37" s="127">
        <f t="shared" si="92"/>
        <v>0.43231136770854073</v>
      </c>
      <c r="K37" s="127">
        <f t="shared" si="92"/>
        <v>0.41892822702851634</v>
      </c>
      <c r="L37" s="127">
        <f t="shared" si="92"/>
        <v>0.42162359824475865</v>
      </c>
      <c r="M37" s="127">
        <f t="shared" si="92"/>
        <v>0.38887018961068104</v>
      </c>
      <c r="N37" s="127">
        <f t="shared" si="92"/>
        <v>0.42608201534236195</v>
      </c>
      <c r="O37" s="127">
        <f t="shared" si="92"/>
        <v>0.44559262948207173</v>
      </c>
      <c r="P37" s="127">
        <f t="shared" si="92"/>
        <v>0.42629788168148391</v>
      </c>
      <c r="Q37" s="127">
        <f t="shared" si="92"/>
        <v>0.3935199117263517</v>
      </c>
      <c r="R37" s="116"/>
      <c r="S37" s="117">
        <f t="shared" ref="S37:Y37" si="93">SUM(S30/S$11)</f>
        <v>0.3972859009383537</v>
      </c>
      <c r="T37" s="117">
        <f t="shared" si="93"/>
        <v>0.40837060513610379</v>
      </c>
      <c r="U37" s="117">
        <f t="shared" si="93"/>
        <v>0.41569345186218115</v>
      </c>
      <c r="V37" s="117">
        <f t="shared" si="93"/>
        <v>0.41405467296407616</v>
      </c>
      <c r="W37" s="117">
        <f t="shared" si="93"/>
        <v>0.4201579477988126</v>
      </c>
      <c r="X37" s="117">
        <f t="shared" si="93"/>
        <v>0.42135736719923528</v>
      </c>
      <c r="Y37" s="118">
        <f t="shared" si="93"/>
        <v>0.42167715218603169</v>
      </c>
    </row>
    <row r="38" spans="1:25">
      <c r="B38" s="119" t="str">
        <f t="shared" ref="B38:B39" si="94">B31&amp;"(%)"</f>
        <v>Nuclear Power (%)</v>
      </c>
      <c r="C38" s="129">
        <f t="shared" ref="C38:E38" si="95">SUM(C31/C$11)</f>
        <v>2.3571862143387065E-2</v>
      </c>
      <c r="D38" s="129">
        <f t="shared" si="95"/>
        <v>2.4880411564728182E-2</v>
      </c>
      <c r="E38" s="129">
        <f t="shared" si="95"/>
        <v>2.3443537999141263E-2</v>
      </c>
      <c r="F38" s="120"/>
      <c r="G38" s="129">
        <f t="shared" ref="G38:Q38" si="96">SUM(G31/G$11)</f>
        <v>3.2395192025798887E-2</v>
      </c>
      <c r="H38" s="129">
        <f t="shared" si="96"/>
        <v>2.6111590097302625E-2</v>
      </c>
      <c r="I38" s="129">
        <f t="shared" si="96"/>
        <v>1.9146873485215706E-2</v>
      </c>
      <c r="J38" s="129">
        <f t="shared" si="96"/>
        <v>2.349193708938881E-2</v>
      </c>
      <c r="K38" s="129">
        <f t="shared" si="96"/>
        <v>3.1547045047527207E-2</v>
      </c>
      <c r="L38" s="129">
        <f t="shared" si="96"/>
        <v>2.7059970745977571E-2</v>
      </c>
      <c r="M38" s="129">
        <f t="shared" si="96"/>
        <v>1.8736676764276899E-2</v>
      </c>
      <c r="N38" s="129">
        <f t="shared" si="96"/>
        <v>1.9035893550525616E-2</v>
      </c>
      <c r="O38" s="129">
        <f t="shared" si="96"/>
        <v>2.4900398406374501E-2</v>
      </c>
      <c r="P38" s="129">
        <f t="shared" si="96"/>
        <v>2.0744155416529471E-2</v>
      </c>
      <c r="Q38" s="129">
        <f t="shared" si="96"/>
        <v>2.5178051961079344E-2</v>
      </c>
      <c r="R38" s="120"/>
      <c r="S38" s="121">
        <f t="shared" ref="S38:Y38" si="97">SUM(S31/S$11)</f>
        <v>2.4795106307162369E-2</v>
      </c>
      <c r="T38" s="121">
        <f t="shared" si="97"/>
        <v>2.5028879476318829E-2</v>
      </c>
      <c r="U38" s="121">
        <f t="shared" si="97"/>
        <v>2.480971471733194E-2</v>
      </c>
      <c r="V38" s="121">
        <f t="shared" si="97"/>
        <v>2.3443537999141263E-2</v>
      </c>
      <c r="W38" s="121">
        <f t="shared" si="97"/>
        <v>2.2123893805309734E-2</v>
      </c>
      <c r="X38" s="121">
        <f t="shared" si="97"/>
        <v>2.067458691792981E-2</v>
      </c>
      <c r="Y38" s="122">
        <f t="shared" si="97"/>
        <v>2.2324865280985373E-2</v>
      </c>
    </row>
    <row r="39" spans="1:25">
      <c r="B39" s="119" t="str">
        <f t="shared" si="94"/>
        <v>Hydro Power (%)</v>
      </c>
      <c r="C39" s="129">
        <f t="shared" ref="C39:E39" si="98">SUM(C32/C$11)</f>
        <v>2.3706751197140351E-2</v>
      </c>
      <c r="D39" s="129">
        <f t="shared" si="98"/>
        <v>2.6685520021661302E-2</v>
      </c>
      <c r="E39" s="129">
        <f t="shared" si="98"/>
        <v>2.2355803635322743E-2</v>
      </c>
      <c r="F39" s="120"/>
      <c r="G39" s="129">
        <f t="shared" ref="G39:Q39" si="99">SUM(G32/G$11)</f>
        <v>2.6092055115801819E-2</v>
      </c>
      <c r="H39" s="129">
        <f t="shared" si="99"/>
        <v>2.7096933119842345E-2</v>
      </c>
      <c r="I39" s="129">
        <f t="shared" si="99"/>
        <v>2.6660203587009209E-2</v>
      </c>
      <c r="J39" s="129">
        <f t="shared" si="99"/>
        <v>2.6776826597650807E-2</v>
      </c>
      <c r="K39" s="129">
        <f t="shared" si="99"/>
        <v>2.4934563989530239E-2</v>
      </c>
      <c r="L39" s="129">
        <f t="shared" si="99"/>
        <v>2.2184300341296929E-2</v>
      </c>
      <c r="M39" s="129">
        <f t="shared" si="99"/>
        <v>2.0307416133737238E-2</v>
      </c>
      <c r="N39" s="129">
        <f t="shared" si="99"/>
        <v>2.2445307320769013E-2</v>
      </c>
      <c r="O39" s="129">
        <f t="shared" si="99"/>
        <v>1.9546812749003984E-2</v>
      </c>
      <c r="P39" s="129">
        <f t="shared" si="99"/>
        <v>2.206124464932499E-2</v>
      </c>
      <c r="Q39" s="129">
        <f t="shared" si="99"/>
        <v>2.2369344969405156E-2</v>
      </c>
      <c r="R39" s="120"/>
      <c r="S39" s="121">
        <f t="shared" ref="S39:Y39" si="100">SUM(S32/S$11)</f>
        <v>2.6428316902244921E-2</v>
      </c>
      <c r="T39" s="121">
        <f t="shared" si="100"/>
        <v>2.523621930630017E-2</v>
      </c>
      <c r="U39" s="121">
        <f t="shared" si="100"/>
        <v>2.3618616001394456E-2</v>
      </c>
      <c r="V39" s="121">
        <f t="shared" si="100"/>
        <v>2.2355803635322743E-2</v>
      </c>
      <c r="W39" s="121">
        <f t="shared" si="100"/>
        <v>2.1199731152682873E-2</v>
      </c>
      <c r="X39" s="121">
        <f t="shared" si="100"/>
        <v>2.1193499931721971E-2</v>
      </c>
      <c r="Y39" s="122">
        <f t="shared" si="100"/>
        <v>2.1714316052135595E-2</v>
      </c>
    </row>
    <row r="40" spans="1:25" ht="12.75" customHeight="1">
      <c r="B40" s="123" t="str">
        <f>B33&amp;"(%)"</f>
        <v>Steam Power (%)</v>
      </c>
      <c r="C40" s="128">
        <f>SUM(C33/C$11)</f>
        <v>8.9127942267484994E-2</v>
      </c>
      <c r="D40" s="128">
        <f>SUM(D33/D$11)</f>
        <v>7.5273022654111135E-2</v>
      </c>
      <c r="E40" s="128">
        <f>SUM(E33/E$11)</f>
        <v>5.9052526119937027E-2</v>
      </c>
      <c r="F40" s="124"/>
      <c r="G40" s="128">
        <f t="shared" ref="G40:Q40" si="101">SUM(G33/G$11)</f>
        <v>7.9155672823219003E-2</v>
      </c>
      <c r="H40" s="128">
        <f t="shared" si="101"/>
        <v>7.981278482571745E-2</v>
      </c>
      <c r="I40" s="128">
        <f t="shared" si="101"/>
        <v>6.919534658264663E-2</v>
      </c>
      <c r="J40" s="128">
        <f t="shared" si="101"/>
        <v>7.395978498905037E-2</v>
      </c>
      <c r="K40" s="128">
        <f t="shared" si="101"/>
        <v>8.0451852872296462E-2</v>
      </c>
      <c r="L40" s="128">
        <f t="shared" si="101"/>
        <v>7.2159921989273526E-2</v>
      </c>
      <c r="M40" s="128">
        <f t="shared" si="101"/>
        <v>4.4092898014136656E-2</v>
      </c>
      <c r="N40" s="128">
        <f t="shared" si="101"/>
        <v>4.6784733402784356E-2</v>
      </c>
      <c r="O40" s="128">
        <f t="shared" si="101"/>
        <v>6.0632470119521914E-2</v>
      </c>
      <c r="P40" s="128">
        <f t="shared" si="101"/>
        <v>5.3122599056086052E-2</v>
      </c>
      <c r="Q40" s="128">
        <f t="shared" si="101"/>
        <v>4.4337446082856856E-2</v>
      </c>
      <c r="R40" s="124"/>
      <c r="S40" s="125">
        <f t="shared" ref="S40:Y40" si="102">SUM(S33/S$11)</f>
        <v>7.5602803183275918E-2</v>
      </c>
      <c r="T40" s="125">
        <f t="shared" si="102"/>
        <v>7.3753739521933592E-2</v>
      </c>
      <c r="U40" s="125">
        <f t="shared" si="102"/>
        <v>6.7166347103596535E-2</v>
      </c>
      <c r="V40" s="125">
        <f t="shared" si="102"/>
        <v>5.9052526119937027E-2</v>
      </c>
      <c r="W40" s="125">
        <f t="shared" si="102"/>
        <v>5.5057690153467009E-2</v>
      </c>
      <c r="X40" s="125">
        <f t="shared" si="102"/>
        <v>5.0744230506622967E-2</v>
      </c>
      <c r="Y40" s="126">
        <f t="shared" si="102"/>
        <v>5.0622494757240316E-2</v>
      </c>
    </row>
    <row r="41" spans="1:25">
      <c r="B41" s="16"/>
      <c r="C41" s="17"/>
      <c r="D41" s="17"/>
      <c r="E41" s="17"/>
      <c r="F41" s="18"/>
      <c r="G41" s="19"/>
      <c r="H41" s="19"/>
      <c r="I41" s="19"/>
      <c r="J41" s="20"/>
      <c r="K41" s="19"/>
      <c r="L41" s="19"/>
      <c r="M41" s="19"/>
      <c r="N41" s="19"/>
      <c r="O41" s="19"/>
      <c r="P41" s="19"/>
      <c r="Q41" s="19"/>
      <c r="R41" s="18"/>
      <c r="S41" s="18"/>
      <c r="T41" s="18"/>
      <c r="U41" s="18"/>
      <c r="V41" s="18"/>
      <c r="W41" s="18"/>
      <c r="X41" s="18"/>
      <c r="Y41" s="18"/>
    </row>
    <row r="42" spans="1:25" ht="12.75" customHeight="1">
      <c r="A42" s="74" t="s">
        <v>17</v>
      </c>
      <c r="B42" s="72" t="s">
        <v>116</v>
      </c>
      <c r="C42" s="10"/>
      <c r="D42" s="10"/>
      <c r="E42" s="10"/>
      <c r="F42" s="10"/>
      <c r="G42" s="81"/>
      <c r="H42" s="81"/>
      <c r="I42" s="81"/>
      <c r="J42" s="30"/>
      <c r="K42" s="81"/>
      <c r="L42" s="81"/>
      <c r="M42" s="81"/>
      <c r="N42" s="30"/>
      <c r="O42" s="81"/>
      <c r="P42" s="81"/>
      <c r="Q42" s="81"/>
      <c r="R42" s="5"/>
      <c r="S42" s="11"/>
      <c r="T42" s="11"/>
      <c r="U42" s="11"/>
      <c r="V42" s="11"/>
      <c r="W42" s="11"/>
      <c r="X42" s="11"/>
      <c r="Y42" s="11"/>
    </row>
    <row r="43" spans="1:25" ht="12.75" customHeight="1">
      <c r="A43" s="74"/>
      <c r="B43" s="9" t="s">
        <v>123</v>
      </c>
      <c r="C43" s="75">
        <v>7941</v>
      </c>
      <c r="D43" s="75">
        <v>7761</v>
      </c>
      <c r="E43" s="75">
        <v>7781</v>
      </c>
      <c r="F43" s="10"/>
      <c r="G43" s="75">
        <v>1422</v>
      </c>
      <c r="H43" s="75">
        <v>2174</v>
      </c>
      <c r="I43" s="75">
        <v>2281</v>
      </c>
      <c r="J43" s="30">
        <f t="shared" ref="J43:J44" si="103">SUM(D43-SUM(G43:I43))</f>
        <v>1884</v>
      </c>
      <c r="K43" s="75">
        <v>1059</v>
      </c>
      <c r="L43" s="75">
        <v>1560</v>
      </c>
      <c r="M43" s="75">
        <v>2355</v>
      </c>
      <c r="N43" s="30">
        <f t="shared" ref="N43:N45" si="104">SUM(E43-SUM(K43:M43))</f>
        <v>2807</v>
      </c>
      <c r="O43" s="75">
        <v>1583</v>
      </c>
      <c r="P43" s="75">
        <v>1962</v>
      </c>
      <c r="Q43" s="75">
        <v>2402</v>
      </c>
      <c r="R43" s="5"/>
      <c r="S43" s="30">
        <f t="shared" ref="S43:S45" si="105">SUM(H43:K43)</f>
        <v>7398</v>
      </c>
      <c r="T43" s="30">
        <f t="shared" ref="T43:T45" si="106">SUM(I43:L43)</f>
        <v>6784</v>
      </c>
      <c r="U43" s="30">
        <f t="shared" ref="U43:U45" si="107">SUM(J43:M43)</f>
        <v>6858</v>
      </c>
      <c r="V43" s="30">
        <f t="shared" ref="V43:V45" si="108">SUM(K43:N43)</f>
        <v>7781</v>
      </c>
      <c r="W43" s="30">
        <f t="shared" ref="W43:W45" si="109">SUM(L43:O43)</f>
        <v>8305</v>
      </c>
      <c r="X43" s="30">
        <f t="shared" ref="X43:X45" si="110">SUM(M43:P43)</f>
        <v>8707</v>
      </c>
      <c r="Y43" s="30">
        <f t="shared" ref="Y43:Y45" si="111">SUM(N43:Q43)</f>
        <v>8754</v>
      </c>
    </row>
    <row r="44" spans="1:25" ht="12.75" customHeight="1">
      <c r="A44" s="74"/>
      <c r="B44" s="9" t="s">
        <v>124</v>
      </c>
      <c r="C44" s="75">
        <v>531</v>
      </c>
      <c r="D44" s="75">
        <v>1455</v>
      </c>
      <c r="E44" s="75">
        <v>1377</v>
      </c>
      <c r="F44" s="10"/>
      <c r="G44" s="75">
        <v>249</v>
      </c>
      <c r="H44" s="75">
        <v>285</v>
      </c>
      <c r="I44" s="75">
        <v>455</v>
      </c>
      <c r="J44" s="30">
        <f t="shared" si="103"/>
        <v>466</v>
      </c>
      <c r="K44" s="75">
        <v>441</v>
      </c>
      <c r="L44" s="75">
        <v>353</v>
      </c>
      <c r="M44" s="75">
        <v>388</v>
      </c>
      <c r="N44" s="30">
        <f t="shared" si="104"/>
        <v>195</v>
      </c>
      <c r="O44" s="75">
        <v>204</v>
      </c>
      <c r="P44" s="75">
        <v>225</v>
      </c>
      <c r="Q44" s="75">
        <v>195</v>
      </c>
      <c r="R44" s="5"/>
      <c r="S44" s="30">
        <f t="shared" si="105"/>
        <v>1647</v>
      </c>
      <c r="T44" s="30">
        <f t="shared" si="106"/>
        <v>1715</v>
      </c>
      <c r="U44" s="30">
        <f t="shared" si="107"/>
        <v>1648</v>
      </c>
      <c r="V44" s="30">
        <f t="shared" si="108"/>
        <v>1377</v>
      </c>
      <c r="W44" s="30">
        <f t="shared" si="109"/>
        <v>1140</v>
      </c>
      <c r="X44" s="30">
        <f t="shared" si="110"/>
        <v>1012</v>
      </c>
      <c r="Y44" s="30">
        <f t="shared" si="111"/>
        <v>819</v>
      </c>
    </row>
    <row r="45" spans="1:25">
      <c r="B45" s="9" t="s">
        <v>125</v>
      </c>
      <c r="C45" s="75">
        <v>433</v>
      </c>
      <c r="D45" s="75">
        <v>610</v>
      </c>
      <c r="E45" s="75">
        <v>542</v>
      </c>
      <c r="F45" s="75"/>
      <c r="G45" s="75">
        <v>80</v>
      </c>
      <c r="H45" s="75">
        <v>142</v>
      </c>
      <c r="I45" s="75">
        <v>151</v>
      </c>
      <c r="J45" s="30">
        <v>237</v>
      </c>
      <c r="K45" s="75">
        <v>139</v>
      </c>
      <c r="L45" s="75">
        <v>149</v>
      </c>
      <c r="M45" s="75">
        <v>148</v>
      </c>
      <c r="N45" s="30">
        <f t="shared" si="104"/>
        <v>106</v>
      </c>
      <c r="O45" s="75">
        <v>63</v>
      </c>
      <c r="P45" s="75">
        <v>58</v>
      </c>
      <c r="Q45" s="75">
        <v>51</v>
      </c>
      <c r="R45" s="5"/>
      <c r="S45" s="30">
        <f t="shared" si="105"/>
        <v>669</v>
      </c>
      <c r="T45" s="30">
        <f t="shared" si="106"/>
        <v>676</v>
      </c>
      <c r="U45" s="30">
        <f t="shared" si="107"/>
        <v>673</v>
      </c>
      <c r="V45" s="30">
        <f t="shared" si="108"/>
        <v>542</v>
      </c>
      <c r="W45" s="30">
        <f t="shared" si="109"/>
        <v>466</v>
      </c>
      <c r="X45" s="30">
        <f t="shared" si="110"/>
        <v>375</v>
      </c>
      <c r="Y45" s="30">
        <f t="shared" si="111"/>
        <v>278</v>
      </c>
    </row>
    <row r="46" spans="1:25">
      <c r="B46" s="12" t="s">
        <v>68</v>
      </c>
      <c r="C46" s="13">
        <f>SUM(C43:C45)</f>
        <v>8905</v>
      </c>
      <c r="D46" s="13">
        <f>SUM(D43:D45)</f>
        <v>9826</v>
      </c>
      <c r="E46" s="13">
        <f>SUM(E43:E45)</f>
        <v>9700</v>
      </c>
      <c r="F46" s="11"/>
      <c r="G46" s="13">
        <f t="shared" ref="G46:Q46" si="112">SUM(G43:G45)</f>
        <v>1751</v>
      </c>
      <c r="H46" s="13">
        <f t="shared" si="112"/>
        <v>2601</v>
      </c>
      <c r="I46" s="13">
        <f t="shared" si="112"/>
        <v>2887</v>
      </c>
      <c r="J46" s="13">
        <f t="shared" si="112"/>
        <v>2587</v>
      </c>
      <c r="K46" s="13">
        <f t="shared" si="112"/>
        <v>1639</v>
      </c>
      <c r="L46" s="13">
        <f t="shared" si="112"/>
        <v>2062</v>
      </c>
      <c r="M46" s="13">
        <f t="shared" si="112"/>
        <v>2891</v>
      </c>
      <c r="N46" s="13">
        <f t="shared" si="112"/>
        <v>3108</v>
      </c>
      <c r="O46" s="13">
        <f t="shared" si="112"/>
        <v>1850</v>
      </c>
      <c r="P46" s="13">
        <f t="shared" si="112"/>
        <v>2245</v>
      </c>
      <c r="Q46" s="13">
        <f t="shared" si="112"/>
        <v>2648</v>
      </c>
      <c r="R46" s="5"/>
      <c r="S46" s="13">
        <f t="shared" ref="S46:Y46" si="113">SUM(S43:S45)</f>
        <v>9714</v>
      </c>
      <c r="T46" s="13">
        <f t="shared" si="113"/>
        <v>9175</v>
      </c>
      <c r="U46" s="13">
        <f t="shared" si="113"/>
        <v>9179</v>
      </c>
      <c r="V46" s="13">
        <f t="shared" si="113"/>
        <v>9700</v>
      </c>
      <c r="W46" s="13">
        <f t="shared" si="113"/>
        <v>9911</v>
      </c>
      <c r="X46" s="13">
        <f t="shared" si="113"/>
        <v>10094</v>
      </c>
      <c r="Y46" s="13">
        <f t="shared" si="113"/>
        <v>9851</v>
      </c>
    </row>
    <row r="47" spans="1:25" outlineLevel="1">
      <c r="B47" s="114" t="s">
        <v>184</v>
      </c>
      <c r="C47" s="73">
        <f>C46-C19</f>
        <v>0</v>
      </c>
      <c r="D47" s="73">
        <f t="shared" ref="D47:E47" si="114">D46-D19</f>
        <v>0</v>
      </c>
      <c r="E47" s="73">
        <f t="shared" si="114"/>
        <v>0</v>
      </c>
      <c r="F47" s="11"/>
      <c r="G47" s="73">
        <f t="shared" ref="G47" si="115">G46-G19</f>
        <v>0</v>
      </c>
      <c r="H47" s="73">
        <f t="shared" ref="H47" si="116">H46-H19</f>
        <v>0</v>
      </c>
      <c r="I47" s="73">
        <f t="shared" ref="I47" si="117">I46-I19</f>
        <v>0</v>
      </c>
      <c r="J47" s="73">
        <f t="shared" ref="J47" si="118">J46-J19</f>
        <v>0</v>
      </c>
      <c r="K47" s="73">
        <f t="shared" ref="K47" si="119">K46-K19</f>
        <v>0</v>
      </c>
      <c r="L47" s="73">
        <f t="shared" ref="L47" si="120">L46-L19</f>
        <v>0</v>
      </c>
      <c r="M47" s="73">
        <f t="shared" ref="M47" si="121">M46-M19</f>
        <v>0</v>
      </c>
      <c r="N47" s="73">
        <f t="shared" ref="N47" si="122">N46-N19</f>
        <v>0</v>
      </c>
      <c r="O47" s="73">
        <f t="shared" ref="O47" si="123">O46-O19</f>
        <v>0</v>
      </c>
      <c r="P47" s="73">
        <f t="shared" ref="P47" si="124">P46-P19</f>
        <v>0</v>
      </c>
      <c r="Q47" s="73">
        <f t="shared" ref="Q47" si="125">Q46-Q19</f>
        <v>0</v>
      </c>
      <c r="R47" s="73"/>
      <c r="S47" s="73">
        <f t="shared" ref="S47" si="126">S46-S19</f>
        <v>0</v>
      </c>
      <c r="T47" s="73">
        <f t="shared" ref="T47" si="127">T46-T19</f>
        <v>0</v>
      </c>
      <c r="U47" s="73">
        <f t="shared" ref="U47" si="128">U46-U19</f>
        <v>0</v>
      </c>
      <c r="V47" s="73">
        <f t="shared" ref="V47" si="129">V46-V19</f>
        <v>0</v>
      </c>
      <c r="W47" s="73">
        <f t="shared" ref="W47" si="130">W46-W19</f>
        <v>0</v>
      </c>
      <c r="X47" s="73">
        <f t="shared" ref="X47" si="131">X46-X19</f>
        <v>0</v>
      </c>
      <c r="Y47" s="73">
        <f t="shared" ref="Y47" si="132">Y46-Y19</f>
        <v>0</v>
      </c>
    </row>
    <row r="48" spans="1:25">
      <c r="B48" s="16"/>
      <c r="C48" s="17"/>
      <c r="D48" s="17"/>
      <c r="E48" s="17"/>
      <c r="F48" s="18"/>
      <c r="G48" s="19"/>
      <c r="H48" s="19"/>
      <c r="I48" s="19"/>
      <c r="J48" s="20"/>
      <c r="K48" s="19"/>
      <c r="L48" s="19"/>
      <c r="M48" s="19"/>
      <c r="N48" s="19"/>
      <c r="O48" s="19"/>
      <c r="P48" s="19"/>
      <c r="Q48" s="19"/>
      <c r="R48" s="18"/>
      <c r="S48" s="18"/>
      <c r="T48" s="18"/>
      <c r="U48" s="18"/>
      <c r="V48" s="18"/>
      <c r="W48" s="18"/>
      <c r="X48" s="18"/>
      <c r="Y48" s="18"/>
    </row>
    <row r="49" spans="1:25">
      <c r="B49" s="115" t="str">
        <f>B43&amp;"(%)"</f>
        <v>Onshore Wind(%)</v>
      </c>
      <c r="C49" s="127">
        <f t="shared" ref="C49:E51" si="133">SUM(C43/C$11)</f>
        <v>0.26778849396371485</v>
      </c>
      <c r="D49" s="127">
        <f t="shared" si="133"/>
        <v>0.23349077890429917</v>
      </c>
      <c r="E49" s="127">
        <f t="shared" si="133"/>
        <v>0.22272792328610277</v>
      </c>
      <c r="F49" s="116"/>
      <c r="G49" s="127">
        <f t="shared" ref="G49:Q49" si="134">SUM(G43/G$11)</f>
        <v>0.20844327176781002</v>
      </c>
      <c r="H49" s="127">
        <f t="shared" si="134"/>
        <v>0.26776696637516934</v>
      </c>
      <c r="I49" s="127">
        <f t="shared" si="134"/>
        <v>0.2764178380998546</v>
      </c>
      <c r="J49" s="127">
        <f t="shared" si="134"/>
        <v>0.18753732828986661</v>
      </c>
      <c r="K49" s="127">
        <f t="shared" si="134"/>
        <v>0.14588786334205814</v>
      </c>
      <c r="L49" s="127">
        <f t="shared" si="134"/>
        <v>0.19015114578254511</v>
      </c>
      <c r="M49" s="127">
        <f t="shared" si="134"/>
        <v>0.2642208010770784</v>
      </c>
      <c r="N49" s="127">
        <f t="shared" si="134"/>
        <v>0.26583956814092241</v>
      </c>
      <c r="O49" s="127">
        <f t="shared" si="134"/>
        <v>0.19708665338645417</v>
      </c>
      <c r="P49" s="127">
        <f t="shared" si="134"/>
        <v>0.21534408956206783</v>
      </c>
      <c r="Q49" s="127">
        <f t="shared" si="134"/>
        <v>0.24094693550005017</v>
      </c>
      <c r="R49" s="116"/>
      <c r="S49" s="117">
        <f t="shared" ref="S49:Y49" si="135">SUM(S43/S$11)</f>
        <v>0.21968167240764935</v>
      </c>
      <c r="T49" s="117">
        <f t="shared" si="135"/>
        <v>0.20094191522762953</v>
      </c>
      <c r="U49" s="117">
        <f t="shared" si="135"/>
        <v>0.19923304863168903</v>
      </c>
      <c r="V49" s="117">
        <f t="shared" si="135"/>
        <v>0.22272792328610277</v>
      </c>
      <c r="W49" s="117">
        <f t="shared" si="135"/>
        <v>0.23258093424442702</v>
      </c>
      <c r="X49" s="117">
        <f t="shared" si="135"/>
        <v>0.23779871637307115</v>
      </c>
      <c r="Y49" s="118">
        <f t="shared" si="135"/>
        <v>0.23238034562395476</v>
      </c>
    </row>
    <row r="50" spans="1:25">
      <c r="B50" s="119" t="str">
        <f>B44&amp;"(%)"</f>
        <v>Offshore Wind(%)</v>
      </c>
      <c r="C50" s="129">
        <f t="shared" si="133"/>
        <v>1.7906521885748972E-2</v>
      </c>
      <c r="D50" s="129">
        <f t="shared" si="133"/>
        <v>4.3773880080628179E-2</v>
      </c>
      <c r="E50" s="129">
        <f t="shared" si="133"/>
        <v>3.9416058394160583E-2</v>
      </c>
      <c r="F50" s="120"/>
      <c r="G50" s="129">
        <f t="shared" ref="G50:Q50" si="136">SUM(G44/G$11)</f>
        <v>3.6499560246262094E-2</v>
      </c>
      <c r="H50" s="129">
        <f t="shared" si="136"/>
        <v>3.5102845177977585E-2</v>
      </c>
      <c r="I50" s="129">
        <f t="shared" si="136"/>
        <v>5.513814832767814E-2</v>
      </c>
      <c r="J50" s="129">
        <f t="shared" si="136"/>
        <v>4.6386621540911804E-2</v>
      </c>
      <c r="K50" s="129">
        <f t="shared" si="136"/>
        <v>6.0752169720347159E-2</v>
      </c>
      <c r="L50" s="129">
        <f t="shared" si="136"/>
        <v>4.3027791321306678E-2</v>
      </c>
      <c r="M50" s="129">
        <f t="shared" si="136"/>
        <v>4.353191966790082E-2</v>
      </c>
      <c r="N50" s="129">
        <f t="shared" si="136"/>
        <v>1.8467657922151718E-2</v>
      </c>
      <c r="O50" s="129">
        <f t="shared" si="136"/>
        <v>2.5398406374501994E-2</v>
      </c>
      <c r="P50" s="129">
        <f t="shared" si="136"/>
        <v>2.4695423114916036E-2</v>
      </c>
      <c r="Q50" s="129">
        <f t="shared" si="136"/>
        <v>1.9560637977730964E-2</v>
      </c>
      <c r="R50" s="120"/>
      <c r="S50" s="121">
        <f t="shared" ref="S50:Y50" si="137">SUM(S44/S$11)</f>
        <v>4.8907233638199314E-2</v>
      </c>
      <c r="T50" s="121">
        <f t="shared" si="137"/>
        <v>5.0798258345428157E-2</v>
      </c>
      <c r="U50" s="121">
        <f t="shared" si="137"/>
        <v>4.7876358143048053E-2</v>
      </c>
      <c r="V50" s="121">
        <f t="shared" si="137"/>
        <v>3.9416058394160583E-2</v>
      </c>
      <c r="W50" s="121">
        <f t="shared" si="137"/>
        <v>3.192561890892797E-2</v>
      </c>
      <c r="X50" s="121">
        <f t="shared" si="137"/>
        <v>2.7638945787245666E-2</v>
      </c>
      <c r="Y50" s="122">
        <f t="shared" si="137"/>
        <v>2.1740861670781236E-2</v>
      </c>
    </row>
    <row r="51" spans="1:25" ht="12.75" customHeight="1">
      <c r="B51" s="123" t="str">
        <f>B45&amp;"(%)"</f>
        <v>LM Wind(%)</v>
      </c>
      <c r="C51" s="128">
        <f t="shared" si="133"/>
        <v>1.4601740068793417E-2</v>
      </c>
      <c r="D51" s="128">
        <f t="shared" si="133"/>
        <v>1.835193597882006E-2</v>
      </c>
      <c r="E51" s="128">
        <f t="shared" si="133"/>
        <v>1.5514526978674682E-2</v>
      </c>
      <c r="F51" s="124"/>
      <c r="G51" s="128">
        <f t="shared" ref="G51:Q51" si="138">SUM(G45/G$11)</f>
        <v>1.1726766344180592E-2</v>
      </c>
      <c r="H51" s="128">
        <f t="shared" si="138"/>
        <v>1.748983865008006E-2</v>
      </c>
      <c r="I51" s="128">
        <f t="shared" si="138"/>
        <v>1.8298594280174503E-2</v>
      </c>
      <c r="J51" s="128">
        <f t="shared" si="138"/>
        <v>2.3591479195699781E-2</v>
      </c>
      <c r="K51" s="128">
        <f t="shared" si="138"/>
        <v>1.9148643063782889E-2</v>
      </c>
      <c r="L51" s="128">
        <f t="shared" si="138"/>
        <v>1.8161872257435398E-2</v>
      </c>
      <c r="M51" s="128">
        <f t="shared" si="138"/>
        <v>1.6604959048580725E-2</v>
      </c>
      <c r="N51" s="128">
        <f t="shared" si="138"/>
        <v>1.003882943460555E-2</v>
      </c>
      <c r="O51" s="128">
        <f t="shared" si="138"/>
        <v>7.8436254980079681E-3</v>
      </c>
      <c r="P51" s="128">
        <f t="shared" si="138"/>
        <v>6.3659312918450221E-3</v>
      </c>
      <c r="Q51" s="128">
        <f t="shared" si="138"/>
        <v>5.1158591634065604E-3</v>
      </c>
      <c r="R51" s="124"/>
      <c r="S51" s="125">
        <f t="shared" ref="S51:Y51" si="139">SUM(S45/S$11)</f>
        <v>1.9865779783822306E-2</v>
      </c>
      <c r="T51" s="125">
        <f t="shared" si="139"/>
        <v>2.0023103581055062E-2</v>
      </c>
      <c r="U51" s="125">
        <f t="shared" si="139"/>
        <v>1.955144965429086E-2</v>
      </c>
      <c r="V51" s="125">
        <f t="shared" si="139"/>
        <v>1.5514526978674682E-2</v>
      </c>
      <c r="W51" s="125">
        <f t="shared" si="139"/>
        <v>1.3050296852245995E-2</v>
      </c>
      <c r="X51" s="125">
        <f t="shared" si="139"/>
        <v>1.0241704219582138E-2</v>
      </c>
      <c r="Y51" s="126">
        <f t="shared" si="139"/>
        <v>7.3796819834886255E-3</v>
      </c>
    </row>
    <row r="52" spans="1:25">
      <c r="B52" s="16"/>
      <c r="C52" s="17"/>
      <c r="D52" s="17"/>
      <c r="E52" s="17"/>
      <c r="F52" s="18"/>
      <c r="G52" s="19"/>
      <c r="H52" s="19"/>
      <c r="I52" s="19"/>
      <c r="J52" s="20"/>
      <c r="K52" s="19"/>
      <c r="L52" s="19"/>
      <c r="M52" s="19"/>
      <c r="N52" s="19"/>
      <c r="O52" s="19"/>
      <c r="P52" s="19"/>
      <c r="Q52" s="19"/>
      <c r="R52" s="18"/>
      <c r="S52" s="18"/>
      <c r="T52" s="18"/>
      <c r="U52" s="18"/>
      <c r="V52" s="18"/>
      <c r="W52" s="18"/>
      <c r="X52" s="18"/>
      <c r="Y52" s="18"/>
    </row>
    <row r="53" spans="1:25" ht="12.75" customHeight="1">
      <c r="A53" s="74" t="s">
        <v>17</v>
      </c>
      <c r="B53" s="72" t="s">
        <v>117</v>
      </c>
      <c r="C53" s="10"/>
      <c r="D53" s="10"/>
      <c r="E53" s="10"/>
      <c r="F53" s="10"/>
      <c r="G53" s="81"/>
      <c r="H53" s="81"/>
      <c r="I53" s="81"/>
      <c r="J53" s="30"/>
      <c r="K53" s="81"/>
      <c r="L53" s="81"/>
      <c r="M53" s="81"/>
      <c r="N53" s="30"/>
      <c r="O53" s="81"/>
      <c r="P53" s="81"/>
      <c r="Q53" s="81"/>
      <c r="R53" s="5"/>
      <c r="S53" s="11"/>
      <c r="T53" s="11"/>
      <c r="U53" s="11"/>
      <c r="V53" s="11"/>
      <c r="W53" s="11"/>
      <c r="X53" s="11"/>
      <c r="Y53" s="11"/>
    </row>
    <row r="54" spans="1:25" ht="12.75" customHeight="1">
      <c r="A54" s="74"/>
      <c r="B54" s="9" t="s">
        <v>126</v>
      </c>
      <c r="C54" s="75">
        <v>3133</v>
      </c>
      <c r="D54" s="75">
        <v>3955</v>
      </c>
      <c r="E54" s="75">
        <v>4957</v>
      </c>
      <c r="F54" s="10"/>
      <c r="G54" s="75">
        <v>835</v>
      </c>
      <c r="H54" s="75">
        <v>966</v>
      </c>
      <c r="I54" s="75">
        <v>979</v>
      </c>
      <c r="J54" s="30">
        <f t="shared" ref="J54:J55" si="140">SUM(D54-SUM(G54:I54))</f>
        <v>1175</v>
      </c>
      <c r="K54" s="75">
        <v>1109</v>
      </c>
      <c r="L54" s="75">
        <v>1142</v>
      </c>
      <c r="M54" s="75">
        <v>1270</v>
      </c>
      <c r="N54" s="30">
        <f t="shared" ref="N54:N55" si="141">SUM(E54-SUM(K54:M54))</f>
        <v>1436</v>
      </c>
      <c r="O54" s="75">
        <v>1275</v>
      </c>
      <c r="P54" s="75">
        <v>1570</v>
      </c>
      <c r="Q54" s="75">
        <v>1747</v>
      </c>
      <c r="R54" s="5"/>
      <c r="S54" s="30">
        <f t="shared" ref="S54:S56" si="142">SUM(H54:K54)</f>
        <v>4229</v>
      </c>
      <c r="T54" s="30">
        <f t="shared" ref="T54:T56" si="143">SUM(I54:L54)</f>
        <v>4405</v>
      </c>
      <c r="U54" s="30">
        <f t="shared" ref="U54:U56" si="144">SUM(J54:M54)</f>
        <v>4696</v>
      </c>
      <c r="V54" s="30">
        <f t="shared" ref="V54:V56" si="145">SUM(K54:N54)</f>
        <v>4957</v>
      </c>
      <c r="W54" s="30">
        <f t="shared" ref="W54:W56" si="146">SUM(L54:O54)</f>
        <v>5123</v>
      </c>
      <c r="X54" s="30">
        <f t="shared" ref="X54:X56" si="147">SUM(M54:P54)</f>
        <v>5551</v>
      </c>
      <c r="Y54" s="30">
        <f t="shared" ref="Y54:Y56" si="148">SUM(N54:Q54)</f>
        <v>6028</v>
      </c>
    </row>
    <row r="55" spans="1:25" ht="12.75" customHeight="1">
      <c r="A55" s="74"/>
      <c r="B55" s="9" t="s">
        <v>185</v>
      </c>
      <c r="C55" s="75">
        <f>843+296</f>
        <v>1139</v>
      </c>
      <c r="D55" s="75">
        <f>1027+522</f>
        <v>1549</v>
      </c>
      <c r="E55" s="75">
        <f>1194+482</f>
        <v>1676</v>
      </c>
      <c r="F55" s="10"/>
      <c r="G55" s="75">
        <f>183+95</f>
        <v>278</v>
      </c>
      <c r="H55" s="75">
        <f>217+109</f>
        <v>326</v>
      </c>
      <c r="I55" s="75">
        <f>286+108</f>
        <v>394</v>
      </c>
      <c r="J55" s="30">
        <f t="shared" si="140"/>
        <v>551</v>
      </c>
      <c r="K55" s="75">
        <f>235+101</f>
        <v>336</v>
      </c>
      <c r="L55" s="75">
        <f>313+113</f>
        <v>426</v>
      </c>
      <c r="M55" s="75">
        <f>310+130</f>
        <v>440</v>
      </c>
      <c r="N55" s="30">
        <f t="shared" si="141"/>
        <v>474</v>
      </c>
      <c r="O55" s="75">
        <v>381</v>
      </c>
      <c r="P55" s="75">
        <v>411</v>
      </c>
      <c r="Q55" s="75">
        <v>621</v>
      </c>
      <c r="R55" s="5"/>
      <c r="S55" s="30">
        <f t="shared" si="142"/>
        <v>1607</v>
      </c>
      <c r="T55" s="30">
        <f t="shared" si="143"/>
        <v>1707</v>
      </c>
      <c r="U55" s="30">
        <f t="shared" si="144"/>
        <v>1753</v>
      </c>
      <c r="V55" s="30">
        <f t="shared" si="145"/>
        <v>1676</v>
      </c>
      <c r="W55" s="30">
        <f t="shared" si="146"/>
        <v>1721</v>
      </c>
      <c r="X55" s="30">
        <f t="shared" si="147"/>
        <v>1706</v>
      </c>
      <c r="Y55" s="30">
        <f t="shared" si="148"/>
        <v>1887</v>
      </c>
    </row>
    <row r="56" spans="1:25">
      <c r="B56" s="9" t="s">
        <v>127</v>
      </c>
      <c r="C56" s="75">
        <v>804</v>
      </c>
      <c r="D56" s="75">
        <v>874</v>
      </c>
      <c r="E56" s="75">
        <v>917</v>
      </c>
      <c r="F56" s="75"/>
      <c r="G56" s="75">
        <v>218</v>
      </c>
      <c r="H56" s="75">
        <v>213</v>
      </c>
      <c r="I56" s="75">
        <v>204</v>
      </c>
      <c r="J56" s="30">
        <f t="shared" ref="J56" si="149">SUM(D56-SUM(G56:I56))</f>
        <v>239</v>
      </c>
      <c r="K56" s="75">
        <v>206</v>
      </c>
      <c r="L56" s="75">
        <v>223</v>
      </c>
      <c r="M56" s="75">
        <v>218</v>
      </c>
      <c r="N56" s="30">
        <f t="shared" ref="N56" si="150">SUM(E56-SUM(K56:M56))</f>
        <v>270</v>
      </c>
      <c r="O56" s="75">
        <v>224</v>
      </c>
      <c r="P56" s="75">
        <v>220</v>
      </c>
      <c r="Q56" s="75">
        <v>234</v>
      </c>
      <c r="R56" s="5"/>
      <c r="S56" s="30">
        <f t="shared" si="142"/>
        <v>862</v>
      </c>
      <c r="T56" s="30">
        <f t="shared" si="143"/>
        <v>872</v>
      </c>
      <c r="U56" s="30">
        <f t="shared" si="144"/>
        <v>886</v>
      </c>
      <c r="V56" s="30">
        <f t="shared" si="145"/>
        <v>917</v>
      </c>
      <c r="W56" s="30">
        <f t="shared" si="146"/>
        <v>935</v>
      </c>
      <c r="X56" s="30">
        <f t="shared" si="147"/>
        <v>932</v>
      </c>
      <c r="Y56" s="30">
        <f t="shared" si="148"/>
        <v>948</v>
      </c>
    </row>
    <row r="57" spans="1:25">
      <c r="B57" s="12" t="s">
        <v>68</v>
      </c>
      <c r="C57" s="13">
        <f>SUM(C54:C56)</f>
        <v>5076</v>
      </c>
      <c r="D57" s="13">
        <f>SUM(D54:D56)</f>
        <v>6378</v>
      </c>
      <c r="E57" s="13">
        <f>SUM(E54:E56)</f>
        <v>7550</v>
      </c>
      <c r="F57" s="11"/>
      <c r="G57" s="13">
        <f>SUM(G54:G56)</f>
        <v>1331</v>
      </c>
      <c r="H57" s="13">
        <f>SUM(H54:H56)</f>
        <v>1505</v>
      </c>
      <c r="I57" s="13">
        <f>SUM(I54:I56)</f>
        <v>1577</v>
      </c>
      <c r="J57" s="13">
        <f>SUM(J54:J56)</f>
        <v>1965</v>
      </c>
      <c r="K57" s="13">
        <f>SUM(K54:K56)</f>
        <v>1651</v>
      </c>
      <c r="L57" s="13">
        <f>SUM(L54:L56)</f>
        <v>1791</v>
      </c>
      <c r="M57" s="13">
        <f>SUM(M54:M56)</f>
        <v>1928</v>
      </c>
      <c r="N57" s="13">
        <f>SUM(N54:N56)</f>
        <v>2180</v>
      </c>
      <c r="O57" s="13">
        <f>SUM(O54:O56)</f>
        <v>1880</v>
      </c>
      <c r="P57" s="13">
        <f>SUM(P54:P56)</f>
        <v>2201</v>
      </c>
      <c r="Q57" s="13">
        <f>SUM(Q54:Q56)</f>
        <v>2602</v>
      </c>
      <c r="R57" s="5"/>
      <c r="S57" s="13">
        <f>SUM(S54:S56)</f>
        <v>6698</v>
      </c>
      <c r="T57" s="13">
        <f>SUM(T54:T56)</f>
        <v>6984</v>
      </c>
      <c r="U57" s="13">
        <f>SUM(U54:U56)</f>
        <v>7335</v>
      </c>
      <c r="V57" s="13">
        <f>SUM(V54:V56)</f>
        <v>7550</v>
      </c>
      <c r="W57" s="13">
        <f>SUM(W54:W56)</f>
        <v>7779</v>
      </c>
      <c r="X57" s="13">
        <f>SUM(X54:X56)</f>
        <v>8189</v>
      </c>
      <c r="Y57" s="13">
        <f>SUM(Y54:Y56)</f>
        <v>8863</v>
      </c>
    </row>
    <row r="58" spans="1:25" outlineLevel="1">
      <c r="B58" s="114" t="s">
        <v>184</v>
      </c>
      <c r="C58" s="73">
        <f>C57-C20</f>
        <v>0</v>
      </c>
      <c r="D58" s="73">
        <f>D57-D20</f>
        <v>0</v>
      </c>
      <c r="E58" s="73">
        <f>E57-E20</f>
        <v>0</v>
      </c>
      <c r="F58" s="11"/>
      <c r="G58" s="73">
        <f>G57-G20</f>
        <v>0</v>
      </c>
      <c r="H58" s="73">
        <f>H57-H20</f>
        <v>0</v>
      </c>
      <c r="I58" s="73">
        <f>I57-I20</f>
        <v>0</v>
      </c>
      <c r="J58" s="73">
        <f>J57-J20</f>
        <v>0</v>
      </c>
      <c r="K58" s="73">
        <f>K57-K20</f>
        <v>0</v>
      </c>
      <c r="L58" s="73">
        <f>L57-L20</f>
        <v>0</v>
      </c>
      <c r="M58" s="73">
        <f>M57-M20</f>
        <v>0</v>
      </c>
      <c r="N58" s="73">
        <f>N57-N20</f>
        <v>0</v>
      </c>
      <c r="O58" s="73">
        <f>O57-O20</f>
        <v>0</v>
      </c>
      <c r="P58" s="73">
        <f>P57-P20</f>
        <v>0</v>
      </c>
      <c r="Q58" s="73">
        <f>Q57-Q20</f>
        <v>0</v>
      </c>
      <c r="R58" s="73"/>
      <c r="S58" s="73">
        <f>S57-S20</f>
        <v>0</v>
      </c>
      <c r="T58" s="73">
        <f>T57-T20</f>
        <v>0</v>
      </c>
      <c r="U58" s="73">
        <f>U57-U20</f>
        <v>0</v>
      </c>
      <c r="V58" s="73">
        <f>V57-V20</f>
        <v>0</v>
      </c>
      <c r="W58" s="73">
        <f>W57-W20</f>
        <v>0</v>
      </c>
      <c r="X58" s="73">
        <f>X57-X20</f>
        <v>0</v>
      </c>
      <c r="Y58" s="73">
        <f>Y57-Y20</f>
        <v>0</v>
      </c>
    </row>
    <row r="59" spans="1:25">
      <c r="B59" s="16"/>
      <c r="C59" s="17"/>
      <c r="D59" s="17"/>
      <c r="E59" s="17"/>
      <c r="F59" s="18"/>
      <c r="G59" s="19"/>
      <c r="H59" s="19"/>
      <c r="I59" s="19"/>
      <c r="J59" s="20"/>
      <c r="K59" s="19"/>
      <c r="L59" s="19"/>
      <c r="M59" s="19"/>
      <c r="N59" s="19"/>
      <c r="O59" s="19"/>
      <c r="P59" s="19"/>
      <c r="Q59" s="19"/>
      <c r="R59" s="18"/>
      <c r="S59" s="18"/>
      <c r="T59" s="18"/>
      <c r="U59" s="18"/>
      <c r="V59" s="18"/>
      <c r="W59" s="18"/>
      <c r="X59" s="18"/>
      <c r="Y59" s="18"/>
    </row>
    <row r="60" spans="1:25">
      <c r="B60" s="115" t="str">
        <f>B54&amp;"(%)"</f>
        <v>Grid Solutions(%)</v>
      </c>
      <c r="C60" s="127">
        <f>SUM(C54/C$11)</f>
        <v>0.10565185135226277</v>
      </c>
      <c r="D60" s="127">
        <f>SUM(D54/D$11)</f>
        <v>0.11898673245284154</v>
      </c>
      <c r="E60" s="127">
        <f>SUM(E54/E$11)</f>
        <v>0.14189208530127378</v>
      </c>
      <c r="F60" s="116"/>
      <c r="G60" s="127">
        <f>SUM(G54/G$11)</f>
        <v>0.12239812371738493</v>
      </c>
      <c r="H60" s="127">
        <f>SUM(H54/H$11)</f>
        <v>0.11898016997167139</v>
      </c>
      <c r="I60" s="127">
        <f>SUM(I54/I$11)</f>
        <v>0.11863790596219098</v>
      </c>
      <c r="J60" s="127">
        <f>SUM(J54/J$11)</f>
        <v>0.11696197491538921</v>
      </c>
      <c r="K60" s="127">
        <f>SUM(K54/K$11)</f>
        <v>0.15277586444413832</v>
      </c>
      <c r="L60" s="127">
        <f>SUM(L54/L$11)</f>
        <v>0.13920039005363238</v>
      </c>
      <c r="M60" s="127">
        <f>SUM(M54/M$11)</f>
        <v>0.14248849994390217</v>
      </c>
      <c r="N60" s="127">
        <f>SUM(N54/N$11)</f>
        <v>0.1359977270574865</v>
      </c>
      <c r="O60" s="127">
        <f>SUM(O54/O$11)</f>
        <v>0.15874003984063745</v>
      </c>
      <c r="P60" s="127">
        <f>SUM(P54/P$11)</f>
        <v>0.17231917462408078</v>
      </c>
      <c r="Q60" s="127">
        <f>SUM(Q54/Q$11)</f>
        <v>0.17524325408767177</v>
      </c>
      <c r="R60" s="116"/>
      <c r="S60" s="117">
        <f t="shared" ref="S60:Y60" si="151">SUM(S54/S$11)</f>
        <v>0.12557904739280198</v>
      </c>
      <c r="T60" s="117">
        <f t="shared" si="151"/>
        <v>0.13047599300968574</v>
      </c>
      <c r="U60" s="117">
        <f t="shared" si="151"/>
        <v>0.13642437975713206</v>
      </c>
      <c r="V60" s="117">
        <f t="shared" si="151"/>
        <v>0.14189208530127378</v>
      </c>
      <c r="W60" s="117">
        <f t="shared" si="151"/>
        <v>0.1434692505881035</v>
      </c>
      <c r="X60" s="117">
        <f t="shared" si="151"/>
        <v>0.15160453366106788</v>
      </c>
      <c r="Y60" s="118">
        <f t="shared" si="151"/>
        <v>0.16001698919593321</v>
      </c>
    </row>
    <row r="61" spans="1:25">
      <c r="B61" s="119" t="str">
        <f>B55&amp;"(%)"</f>
        <v>Power Conversion, Solar, and Storage Solutions(%)</v>
      </c>
      <c r="C61" s="129">
        <f>SUM(C55/C$11)</f>
        <v>3.8409658056248734E-2</v>
      </c>
      <c r="D61" s="129">
        <f>SUM(D55/D$11)</f>
        <v>4.6601883329823401E-2</v>
      </c>
      <c r="E61" s="129">
        <f>SUM(E55/E$11)</f>
        <v>4.7974810362101043E-2</v>
      </c>
      <c r="F61" s="120"/>
      <c r="G61" s="129">
        <f>SUM(G55/G$11)</f>
        <v>4.0750513046027559E-2</v>
      </c>
      <c r="H61" s="129">
        <f>SUM(H55/H$11)</f>
        <v>4.0152728168493655E-2</v>
      </c>
      <c r="I61" s="129">
        <f>SUM(I55/I$11)</f>
        <v>4.7746000969461952E-2</v>
      </c>
      <c r="J61" s="129">
        <f>SUM(J55/J$11)</f>
        <v>5.4847700577344213E-2</v>
      </c>
      <c r="K61" s="129">
        <f>SUM(K55/K$11)</f>
        <v>4.6287367405978788E-2</v>
      </c>
      <c r="L61" s="129">
        <f>SUM(L55/L$11)</f>
        <v>5.1925889809848857E-2</v>
      </c>
      <c r="M61" s="129">
        <f>SUM(M55/M$11)</f>
        <v>4.9366094468753507E-2</v>
      </c>
      <c r="N61" s="129">
        <f>SUM(N55/N$11)</f>
        <v>4.4890614641538026E-2</v>
      </c>
      <c r="O61" s="129">
        <f>SUM(O55/O$11)</f>
        <v>4.7435258964143426E-2</v>
      </c>
      <c r="P61" s="129">
        <f>SUM(P55/P$11)</f>
        <v>4.5110306223246625E-2</v>
      </c>
      <c r="Q61" s="129">
        <f>SUM(Q55/Q$11)</f>
        <v>6.2293108636774001E-2</v>
      </c>
      <c r="R61" s="120"/>
      <c r="S61" s="121">
        <f t="shared" ref="S61:Y61" si="152">SUM(S55/S$11)</f>
        <v>4.7719444114502907E-2</v>
      </c>
      <c r="T61" s="121">
        <f t="shared" si="152"/>
        <v>5.0561298539735199E-2</v>
      </c>
      <c r="U61" s="121">
        <f t="shared" si="152"/>
        <v>5.0926732903375752E-2</v>
      </c>
      <c r="V61" s="121">
        <f t="shared" si="152"/>
        <v>4.7974810362101043E-2</v>
      </c>
      <c r="W61" s="121">
        <f t="shared" si="152"/>
        <v>4.8196482580934244E-2</v>
      </c>
      <c r="X61" s="121">
        <f t="shared" si="152"/>
        <v>4.6592926396285678E-2</v>
      </c>
      <c r="Y61" s="122">
        <f t="shared" si="152"/>
        <v>5.0091582384327468E-2</v>
      </c>
    </row>
    <row r="62" spans="1:25" ht="12.75" customHeight="1">
      <c r="B62" s="123" t="str">
        <f>B56&amp;"(%)"</f>
        <v>Electrification Software(%)</v>
      </c>
      <c r="C62" s="128">
        <f>SUM(C56/C$11)</f>
        <v>2.7112699804410872E-2</v>
      </c>
      <c r="D62" s="128">
        <f>SUM(D56/D$11)</f>
        <v>2.629441318932579E-2</v>
      </c>
      <c r="E62" s="128">
        <f>SUM(E56/E$11)</f>
        <v>2.6248747674252181E-2</v>
      </c>
      <c r="F62" s="124"/>
      <c r="G62" s="128">
        <f>SUM(G56/G$11)</f>
        <v>3.1955438287892116E-2</v>
      </c>
      <c r="H62" s="128">
        <f>SUM(H56/H$11)</f>
        <v>2.623475797512009E-2</v>
      </c>
      <c r="I62" s="128">
        <f>SUM(I56/I$11)</f>
        <v>2.4721279689772176E-2</v>
      </c>
      <c r="J62" s="128">
        <f>SUM(J56/J$11)</f>
        <v>2.3790563408321721E-2</v>
      </c>
      <c r="K62" s="128">
        <f>SUM(K56/K$11)</f>
        <v>2.8378564540570327E-2</v>
      </c>
      <c r="L62" s="128">
        <f>SUM(L56/L$11)</f>
        <v>2.7181862506094587E-2</v>
      </c>
      <c r="M62" s="128">
        <f>SUM(M56/M$11)</f>
        <v>2.445865589588242E-2</v>
      </c>
      <c r="N62" s="128">
        <f>SUM(N56/N$11)</f>
        <v>2.5570603276825456E-2</v>
      </c>
      <c r="O62" s="128">
        <f>SUM(O56/O$11)</f>
        <v>2.7888446215139442E-2</v>
      </c>
      <c r="P62" s="128">
        <f>SUM(P56/P$11)</f>
        <v>2.4146635934584569E-2</v>
      </c>
      <c r="Q62" s="128">
        <f>SUM(Q56/Q$11)</f>
        <v>2.3472765573277158E-2</v>
      </c>
      <c r="R62" s="124"/>
      <c r="S62" s="125">
        <f t="shared" ref="S62:Y62" si="153">SUM(S56/S$11)</f>
        <v>2.5596864235657442E-2</v>
      </c>
      <c r="T62" s="125">
        <f t="shared" si="153"/>
        <v>2.5828618820532567E-2</v>
      </c>
      <c r="U62" s="125">
        <f t="shared" si="153"/>
        <v>2.5739352739527047E-2</v>
      </c>
      <c r="V62" s="125">
        <f t="shared" si="153"/>
        <v>2.6248747674252181E-2</v>
      </c>
      <c r="W62" s="125">
        <f t="shared" si="153"/>
        <v>2.6184608491094434E-2</v>
      </c>
      <c r="X62" s="125">
        <f t="shared" si="153"/>
        <v>2.5454048887068141E-2</v>
      </c>
      <c r="Y62" s="126">
        <f t="shared" si="153"/>
        <v>2.5165246476069124E-2</v>
      </c>
    </row>
    <row r="63" spans="1:25">
      <c r="B63" s="16"/>
      <c r="C63" s="17"/>
      <c r="D63" s="17"/>
      <c r="E63" s="17"/>
      <c r="F63" s="18"/>
      <c r="G63" s="19"/>
      <c r="H63" s="19"/>
      <c r="I63" s="19"/>
      <c r="J63" s="20"/>
      <c r="K63" s="19"/>
      <c r="L63" s="19"/>
      <c r="M63" s="19"/>
      <c r="N63" s="19"/>
      <c r="O63" s="19"/>
      <c r="P63" s="19"/>
      <c r="Q63" s="19"/>
      <c r="R63" s="18"/>
      <c r="S63" s="18"/>
      <c r="T63" s="18"/>
      <c r="U63" s="18"/>
      <c r="V63" s="18"/>
      <c r="W63" s="18"/>
      <c r="X63" s="18"/>
      <c r="Y63" s="18"/>
    </row>
    <row r="64" spans="1:25">
      <c r="B64" s="16"/>
      <c r="C64" s="17"/>
      <c r="D64" s="17"/>
      <c r="E64" s="17"/>
      <c r="F64" s="18"/>
      <c r="G64" s="19"/>
      <c r="H64" s="19"/>
      <c r="I64" s="19"/>
      <c r="J64" s="20"/>
      <c r="K64" s="19"/>
      <c r="L64" s="19"/>
      <c r="M64" s="19"/>
      <c r="N64" s="19"/>
      <c r="O64" s="19"/>
      <c r="P64" s="19"/>
      <c r="Q64" s="19"/>
      <c r="R64" s="18"/>
      <c r="S64" s="18"/>
      <c r="T64" s="18"/>
      <c r="U64" s="18"/>
      <c r="V64" s="18"/>
      <c r="W64" s="18"/>
      <c r="X64" s="18"/>
      <c r="Y64" s="18"/>
    </row>
  </sheetData>
  <pageMargins left="0.7" right="0.7" top="0.75" bottom="0.75" header="0.3" footer="0.3"/>
  <ignoredErrors>
    <ignoredError sqref="G15:P15 C15:E15" evalError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627CF-47F2-43ED-8CCB-3D99E5377DA5}">
  <sheetPr>
    <tabColor theme="6" tint="-0.249977111117893"/>
  </sheetPr>
  <dimension ref="A2:AB80"/>
  <sheetViews>
    <sheetView showGridLines="0" topLeftCell="A50" zoomScaleNormal="100" workbookViewId="0">
      <selection activeCell="L2" sqref="G1:L1048576"/>
    </sheetView>
  </sheetViews>
  <sheetFormatPr defaultRowHeight="12" outlineLevelCol="1"/>
  <cols>
    <col min="1" max="1" width="1.5" style="8" customWidth="1"/>
    <col min="2" max="2" width="44.375" style="8" bestFit="1" customWidth="1"/>
    <col min="3" max="3" width="8.625" style="8" customWidth="1"/>
    <col min="4" max="4" width="9" style="8" bestFit="1"/>
    <col min="5" max="5" width="9.25" style="8" bestFit="1" customWidth="1"/>
    <col min="6" max="6" width="1.5" style="8" customWidth="1"/>
    <col min="7" max="9" width="8" style="8" hidden="1" customWidth="1" outlineLevel="1"/>
    <col min="10" max="10" width="8.75" style="8" hidden="1" customWidth="1" outlineLevel="1"/>
    <col min="11" max="12" width="8" style="8" hidden="1" customWidth="1" outlineLevel="1"/>
    <col min="13" max="13" width="8.875" style="8" customWidth="1" collapsed="1"/>
    <col min="14" max="17" width="8.875" style="8" customWidth="1"/>
    <col min="18" max="18" width="1.625" style="8" customWidth="1"/>
    <col min="19" max="19" width="9.25" style="8" hidden="1" customWidth="1" outlineLevel="1"/>
    <col min="20" max="20" width="9.75" style="8" hidden="1" customWidth="1" outlineLevel="1"/>
    <col min="21" max="21" width="9" style="8" hidden="1" customWidth="1" outlineLevel="1"/>
    <col min="22" max="22" width="9" style="8" collapsed="1"/>
    <col min="23" max="24" width="9" style="8" hidden="1" customWidth="1" outlineLevel="1"/>
    <col min="25" max="25" width="8.5" style="8" hidden="1" customWidth="1" outlineLevel="1"/>
    <col min="26" max="26" width="8.5" style="8" bestFit="1" customWidth="1" collapsed="1"/>
    <col min="27" max="27" width="1.5" style="8" customWidth="1"/>
    <col min="28" max="28" width="8.625" style="111" bestFit="1" customWidth="1"/>
    <col min="29" max="16384" width="9" style="8"/>
  </cols>
  <sheetData>
    <row r="2" spans="2:28" s="5" customFormat="1" ht="12.75" customHeight="1">
      <c r="B2" s="1" t="str">
        <f>'Historical Financials'!B2</f>
        <v>GE Vernova Inc (NYSE: GEV)</v>
      </c>
      <c r="C2" s="2" t="s">
        <v>0</v>
      </c>
      <c r="D2" s="2"/>
      <c r="E2" s="2"/>
      <c r="F2" s="3"/>
      <c r="G2" s="2" t="s">
        <v>1</v>
      </c>
      <c r="H2" s="2"/>
      <c r="I2" s="2"/>
      <c r="J2" s="2"/>
      <c r="K2" s="2"/>
      <c r="L2" s="2"/>
      <c r="M2" s="2" t="s">
        <v>1</v>
      </c>
      <c r="N2" s="2"/>
      <c r="O2" s="2"/>
      <c r="P2" s="2"/>
      <c r="Q2" s="2"/>
      <c r="R2" s="3"/>
      <c r="S2" s="2"/>
      <c r="T2" s="2"/>
      <c r="U2" s="2" t="s">
        <v>10</v>
      </c>
      <c r="V2" s="2" t="s">
        <v>10</v>
      </c>
      <c r="W2" s="2"/>
      <c r="X2" s="2"/>
      <c r="Y2" s="2"/>
      <c r="Z2" s="2"/>
      <c r="AA2" s="3"/>
      <c r="AB2" s="153" t="s">
        <v>23</v>
      </c>
    </row>
    <row r="3" spans="2:28" s="5" customFormat="1" ht="12.75" customHeight="1">
      <c r="B3" s="6" t="s">
        <v>24</v>
      </c>
      <c r="C3" s="7">
        <f>'Historical Financials'!C7</f>
        <v>2022</v>
      </c>
      <c r="D3" s="7">
        <f>'Historical Financials'!D7</f>
        <v>2023</v>
      </c>
      <c r="E3" s="7">
        <f>'Historical Financials'!E7</f>
        <v>2024</v>
      </c>
      <c r="F3" s="3"/>
      <c r="G3" s="7" t="str">
        <f>'Historical Financials'!G7</f>
        <v>1Q23</v>
      </c>
      <c r="H3" s="7" t="str">
        <f>'Historical Financials'!H7</f>
        <v>2Q23</v>
      </c>
      <c r="I3" s="7" t="str">
        <f>'Historical Financials'!I7</f>
        <v>3Q23</v>
      </c>
      <c r="J3" s="7" t="str">
        <f>'Historical Financials'!J7</f>
        <v>4Q23</v>
      </c>
      <c r="K3" s="7" t="str">
        <f>'Historical Financials'!K7</f>
        <v>1Q24</v>
      </c>
      <c r="L3" s="7" t="str">
        <f>'Historical Financials'!L7</f>
        <v>2Q24</v>
      </c>
      <c r="M3" s="7" t="str">
        <f>'Historical Financials'!M7</f>
        <v>3Q24</v>
      </c>
      <c r="N3" s="7" t="str">
        <f>'Historical Financials'!N7</f>
        <v>4Q24</v>
      </c>
      <c r="O3" s="7" t="str">
        <f>'Historical Financials'!O7</f>
        <v>1Q25</v>
      </c>
      <c r="P3" s="7" t="str">
        <f>'Historical Financials'!P7</f>
        <v>2Q25</v>
      </c>
      <c r="Q3" s="7" t="str">
        <f>'Historical Financials'!Q7</f>
        <v>3Q25</v>
      </c>
      <c r="R3" s="4"/>
      <c r="S3" s="4" t="str">
        <f>J3</f>
        <v>4Q23</v>
      </c>
      <c r="T3" s="4" t="str">
        <f>K3</f>
        <v>1Q24</v>
      </c>
      <c r="U3" s="4" t="str">
        <f>L3</f>
        <v>2Q24</v>
      </c>
      <c r="V3" s="4" t="str">
        <f>M3</f>
        <v>3Q24</v>
      </c>
      <c r="W3" s="4" t="str">
        <f>N3</f>
        <v>4Q24</v>
      </c>
      <c r="X3" s="4" t="str">
        <f>O3</f>
        <v>1Q25</v>
      </c>
      <c r="Y3" s="4" t="str">
        <f>P3</f>
        <v>2Q25</v>
      </c>
      <c r="Z3" s="4" t="str">
        <f>Q3</f>
        <v>3Q25</v>
      </c>
      <c r="AA3" s="3"/>
      <c r="AB3" s="153"/>
    </row>
    <row r="4" spans="2:28" s="5" customFormat="1" ht="12.75" customHeight="1">
      <c r="B4" s="6" t="s">
        <v>92</v>
      </c>
      <c r="C4" s="3">
        <f>'Historical Financials'!C8</f>
        <v>44926</v>
      </c>
      <c r="D4" s="3">
        <f>'Historical Financials'!D8</f>
        <v>45291</v>
      </c>
      <c r="E4" s="3">
        <f>'Historical Financials'!E8</f>
        <v>45657</v>
      </c>
      <c r="F4" s="3"/>
      <c r="G4" s="3">
        <f>'Historical Financials'!G8</f>
        <v>45016</v>
      </c>
      <c r="H4" s="3">
        <f>'Historical Financials'!H8</f>
        <v>45107</v>
      </c>
      <c r="I4" s="3">
        <f>'Historical Financials'!I8</f>
        <v>45199</v>
      </c>
      <c r="J4" s="3">
        <f>'Historical Financials'!J8</f>
        <v>45291</v>
      </c>
      <c r="K4" s="3">
        <f>'Historical Financials'!K8</f>
        <v>45382</v>
      </c>
      <c r="L4" s="3">
        <f>'Historical Financials'!L8</f>
        <v>45473</v>
      </c>
      <c r="M4" s="3">
        <f>'Historical Financials'!M8</f>
        <v>45565</v>
      </c>
      <c r="N4" s="3">
        <f>'Historical Financials'!N8</f>
        <v>45657</v>
      </c>
      <c r="O4" s="3">
        <f>'Historical Financials'!O8</f>
        <v>45747</v>
      </c>
      <c r="P4" s="3">
        <f>'Historical Financials'!P8</f>
        <v>45838</v>
      </c>
      <c r="Q4" s="3">
        <f>'Historical Financials'!Q8</f>
        <v>45930</v>
      </c>
      <c r="R4" s="3"/>
      <c r="S4" s="3">
        <f>J4</f>
        <v>45291</v>
      </c>
      <c r="T4" s="3">
        <f>K4</f>
        <v>45382</v>
      </c>
      <c r="U4" s="3">
        <f>L4</f>
        <v>45473</v>
      </c>
      <c r="V4" s="3">
        <f>M4</f>
        <v>45565</v>
      </c>
      <c r="W4" s="3">
        <f>N4</f>
        <v>45657</v>
      </c>
      <c r="X4" s="3">
        <f>O4</f>
        <v>45747</v>
      </c>
      <c r="Y4" s="3">
        <f>P4</f>
        <v>45838</v>
      </c>
      <c r="Z4" s="3">
        <f>Q4</f>
        <v>45930</v>
      </c>
      <c r="AA4" s="3"/>
      <c r="AB4" s="153"/>
    </row>
    <row r="5" spans="2:28" ht="5.0999999999999996" customHeight="1">
      <c r="AB5" s="107"/>
    </row>
    <row r="6" spans="2:28" ht="12.75" customHeight="1">
      <c r="B6" s="9" t="str">
        <f>'Revenue Drivers'!B18</f>
        <v xml:space="preserve">Power </v>
      </c>
      <c r="C6" s="80">
        <f>'Revenue Drivers'!C18</f>
        <v>16124</v>
      </c>
      <c r="D6" s="80">
        <f>'Revenue Drivers'!D18</f>
        <v>17436</v>
      </c>
      <c r="E6" s="80">
        <f>'Revenue Drivers'!E18</f>
        <v>18128</v>
      </c>
      <c r="F6" s="10"/>
      <c r="G6" s="80">
        <f>'Revenue Drivers'!G18</f>
        <v>3821</v>
      </c>
      <c r="H6" s="80">
        <f>'Revenue Drivers'!H18</f>
        <v>4131</v>
      </c>
      <c r="I6" s="80">
        <f>'Revenue Drivers'!I18</f>
        <v>3893</v>
      </c>
      <c r="J6" s="80">
        <f>'Revenue Drivers'!J18</f>
        <v>5591</v>
      </c>
      <c r="K6" s="80">
        <f>'Revenue Drivers'!K18</f>
        <v>4035</v>
      </c>
      <c r="L6" s="80">
        <f>'Revenue Drivers'!L18</f>
        <v>4455</v>
      </c>
      <c r="M6" s="80">
        <f>'Revenue Drivers'!M18</f>
        <v>4207</v>
      </c>
      <c r="N6" s="80">
        <f>'Revenue Drivers'!N18</f>
        <v>5431</v>
      </c>
      <c r="O6" s="80">
        <f>'Revenue Drivers'!O18</f>
        <v>4423</v>
      </c>
      <c r="P6" s="80">
        <f>'Revenue Drivers'!P18</f>
        <v>4758</v>
      </c>
      <c r="Q6" s="80">
        <f>'Revenue Drivers'!Q18</f>
        <v>4839</v>
      </c>
      <c r="R6" s="131"/>
      <c r="S6" s="131">
        <f>SUM(G6:J6)</f>
        <v>17436</v>
      </c>
      <c r="T6" s="131">
        <f>SUM(H6:K6)</f>
        <v>17650</v>
      </c>
      <c r="U6" s="131">
        <f>SUM(I6:L6)</f>
        <v>17974</v>
      </c>
      <c r="V6" s="131">
        <f>SUM(J6:M6)</f>
        <v>18288</v>
      </c>
      <c r="W6" s="131">
        <f>SUM(K6:N6)</f>
        <v>18128</v>
      </c>
      <c r="X6" s="131">
        <f>SUM(L6:O6)</f>
        <v>18516</v>
      </c>
      <c r="Y6" s="131">
        <f>SUM(M6:P6)</f>
        <v>18819</v>
      </c>
      <c r="Z6" s="131">
        <f>SUM(N6:Q6)</f>
        <v>19451</v>
      </c>
      <c r="AB6" s="108">
        <f t="shared" ref="AB6:AB9" si="0">SUM(Z6/V6)-1</f>
        <v>6.3593613298337681E-2</v>
      </c>
    </row>
    <row r="7" spans="2:28" ht="12.75" customHeight="1">
      <c r="B7" s="9" t="str">
        <f>'Revenue Drivers'!B19</f>
        <v xml:space="preserve">Wind </v>
      </c>
      <c r="C7" s="80">
        <f>'Revenue Drivers'!C19</f>
        <v>8905</v>
      </c>
      <c r="D7" s="80">
        <f>'Revenue Drivers'!D19</f>
        <v>9826</v>
      </c>
      <c r="E7" s="80">
        <f>'Revenue Drivers'!E19</f>
        <v>9700</v>
      </c>
      <c r="F7" s="10"/>
      <c r="G7" s="80">
        <f>'Revenue Drivers'!G19</f>
        <v>1751</v>
      </c>
      <c r="H7" s="80">
        <f>'Revenue Drivers'!H19</f>
        <v>2601</v>
      </c>
      <c r="I7" s="80">
        <f>'Revenue Drivers'!I19</f>
        <v>2887</v>
      </c>
      <c r="J7" s="80">
        <f>'Revenue Drivers'!J19</f>
        <v>2587</v>
      </c>
      <c r="K7" s="80">
        <f>'Revenue Drivers'!K19</f>
        <v>1639</v>
      </c>
      <c r="L7" s="80">
        <f>'Revenue Drivers'!L19</f>
        <v>2062</v>
      </c>
      <c r="M7" s="80">
        <f>'Revenue Drivers'!M19</f>
        <v>2891</v>
      </c>
      <c r="N7" s="80">
        <f>'Revenue Drivers'!N19</f>
        <v>3108</v>
      </c>
      <c r="O7" s="80">
        <f>'Revenue Drivers'!O19</f>
        <v>1850</v>
      </c>
      <c r="P7" s="80">
        <f>'Revenue Drivers'!P19</f>
        <v>2245</v>
      </c>
      <c r="Q7" s="80">
        <f>'Revenue Drivers'!Q19</f>
        <v>2648</v>
      </c>
      <c r="R7" s="131"/>
      <c r="S7" s="131">
        <f>SUM(G7:J7)</f>
        <v>9826</v>
      </c>
      <c r="T7" s="131">
        <f>SUM(H7:K7)</f>
        <v>9714</v>
      </c>
      <c r="U7" s="131">
        <f>SUM(I7:L7)</f>
        <v>9175</v>
      </c>
      <c r="V7" s="131">
        <f>SUM(J7:M7)</f>
        <v>9179</v>
      </c>
      <c r="W7" s="131">
        <f>SUM(K7:N7)</f>
        <v>9700</v>
      </c>
      <c r="X7" s="131">
        <f>SUM(L7:O7)</f>
        <v>9911</v>
      </c>
      <c r="Y7" s="131">
        <f>SUM(M7:P7)</f>
        <v>10094</v>
      </c>
      <c r="Z7" s="131">
        <f>SUM(N7:Q7)</f>
        <v>9851</v>
      </c>
      <c r="AB7" s="108">
        <f t="shared" si="0"/>
        <v>7.3210589388822411E-2</v>
      </c>
    </row>
    <row r="8" spans="2:28" ht="12.75" customHeight="1">
      <c r="B8" s="9" t="str">
        <f>'Revenue Drivers'!B20</f>
        <v xml:space="preserve">Electrification </v>
      </c>
      <c r="C8" s="80">
        <f>'Revenue Drivers'!C20</f>
        <v>5076</v>
      </c>
      <c r="D8" s="80">
        <f>'Revenue Drivers'!D20</f>
        <v>6378</v>
      </c>
      <c r="E8" s="80">
        <f>'Revenue Drivers'!E20</f>
        <v>7550</v>
      </c>
      <c r="F8" s="10"/>
      <c r="G8" s="80">
        <f>'Revenue Drivers'!G20</f>
        <v>1331</v>
      </c>
      <c r="H8" s="80">
        <f>'Revenue Drivers'!H20</f>
        <v>1505</v>
      </c>
      <c r="I8" s="80">
        <f>'Revenue Drivers'!I20</f>
        <v>1577</v>
      </c>
      <c r="J8" s="80">
        <f>'Revenue Drivers'!J20</f>
        <v>1965</v>
      </c>
      <c r="K8" s="80">
        <f>'Revenue Drivers'!K20</f>
        <v>1651</v>
      </c>
      <c r="L8" s="80">
        <f>'Revenue Drivers'!L20</f>
        <v>1791</v>
      </c>
      <c r="M8" s="80">
        <f>'Revenue Drivers'!M20</f>
        <v>1928</v>
      </c>
      <c r="N8" s="80">
        <f>'Revenue Drivers'!N20</f>
        <v>2180</v>
      </c>
      <c r="O8" s="80">
        <f>'Revenue Drivers'!O20</f>
        <v>1880</v>
      </c>
      <c r="P8" s="80">
        <f>'Revenue Drivers'!P20</f>
        <v>2201</v>
      </c>
      <c r="Q8" s="80">
        <f>'Revenue Drivers'!Q20</f>
        <v>2602</v>
      </c>
      <c r="R8" s="131"/>
      <c r="S8" s="131">
        <f>SUM(G8:J8)</f>
        <v>6378</v>
      </c>
      <c r="T8" s="131">
        <f>SUM(H8:K8)</f>
        <v>6698</v>
      </c>
      <c r="U8" s="131">
        <f>SUM(I8:L8)</f>
        <v>6984</v>
      </c>
      <c r="V8" s="131">
        <f>SUM(J8:M8)</f>
        <v>7335</v>
      </c>
      <c r="W8" s="131">
        <f>SUM(K8:N8)</f>
        <v>7550</v>
      </c>
      <c r="X8" s="131">
        <f>SUM(L8:O8)</f>
        <v>7779</v>
      </c>
      <c r="Y8" s="131">
        <f>SUM(M8:P8)</f>
        <v>8189</v>
      </c>
      <c r="Z8" s="131">
        <f>SUM(N8:Q8)</f>
        <v>8863</v>
      </c>
      <c r="AB8" s="108">
        <f t="shared" si="0"/>
        <v>0.2083162917518746</v>
      </c>
    </row>
    <row r="9" spans="2:28" ht="12.75" customHeight="1">
      <c r="B9" s="9" t="str">
        <f>'Revenue Drivers'!B21</f>
        <v>Eliminations and other</v>
      </c>
      <c r="C9" s="80">
        <f>'Revenue Drivers'!C21</f>
        <v>-451</v>
      </c>
      <c r="D9" s="80">
        <f>'Revenue Drivers'!D21</f>
        <v>-401</v>
      </c>
      <c r="E9" s="80">
        <f>'Revenue Drivers'!E21</f>
        <v>-442</v>
      </c>
      <c r="F9" s="10"/>
      <c r="G9" s="80">
        <f>'Revenue Drivers'!G21</f>
        <v>-81</v>
      </c>
      <c r="H9" s="80">
        <f>'Revenue Drivers'!H21</f>
        <v>-118</v>
      </c>
      <c r="I9" s="80">
        <f>'Revenue Drivers'!I21</f>
        <v>-103</v>
      </c>
      <c r="J9" s="80">
        <f>'Revenue Drivers'!J21</f>
        <v>-99</v>
      </c>
      <c r="K9" s="80">
        <f>'Revenue Drivers'!K21</f>
        <v>-65</v>
      </c>
      <c r="L9" s="80">
        <f>'Revenue Drivers'!L21</f>
        <v>-103</v>
      </c>
      <c r="M9" s="80">
        <f>'Revenue Drivers'!M21</f>
        <v>-112</v>
      </c>
      <c r="N9" s="80">
        <f>'Revenue Drivers'!N21</f>
        <v>-162</v>
      </c>
      <c r="O9" s="80">
        <f>'Revenue Drivers'!O21</f>
        <v>-119</v>
      </c>
      <c r="P9" s="80">
        <f>'Revenue Drivers'!P21</f>
        <v>-92</v>
      </c>
      <c r="Q9" s="80">
        <f>'Revenue Drivers'!Q21</f>
        <v>-119</v>
      </c>
      <c r="R9" s="131"/>
      <c r="S9" s="131">
        <f>SUM(G9:J9)</f>
        <v>-401</v>
      </c>
      <c r="T9" s="131">
        <f>SUM(H9:K9)</f>
        <v>-385</v>
      </c>
      <c r="U9" s="131">
        <f>SUM(I9:L9)</f>
        <v>-370</v>
      </c>
      <c r="V9" s="131">
        <f>SUM(J9:M9)</f>
        <v>-379</v>
      </c>
      <c r="W9" s="131">
        <f>SUM(K9:N9)</f>
        <v>-442</v>
      </c>
      <c r="X9" s="131">
        <f>SUM(L9:O9)</f>
        <v>-496</v>
      </c>
      <c r="Y9" s="131">
        <f>SUM(M9:P9)</f>
        <v>-485</v>
      </c>
      <c r="Z9" s="131">
        <f>SUM(N9:Q9)</f>
        <v>-492</v>
      </c>
      <c r="AB9" s="108">
        <f t="shared" si="0"/>
        <v>0.29815303430079165</v>
      </c>
    </row>
    <row r="10" spans="2:28" ht="12.75" customHeight="1">
      <c r="B10" s="12" t="s">
        <v>12</v>
      </c>
      <c r="C10" s="13">
        <f>SUM(C6:C9)</f>
        <v>29654</v>
      </c>
      <c r="D10" s="13">
        <f>SUM(D6:D9)</f>
        <v>33239</v>
      </c>
      <c r="E10" s="13">
        <f>SUM(E6:E9)</f>
        <v>34936</v>
      </c>
      <c r="F10" s="10"/>
      <c r="G10" s="13">
        <f>SUM(G6:G9)</f>
        <v>6822</v>
      </c>
      <c r="H10" s="13">
        <f>SUM(H6:H9)</f>
        <v>8119</v>
      </c>
      <c r="I10" s="13">
        <f>SUM(I6:I9)</f>
        <v>8254</v>
      </c>
      <c r="J10" s="13">
        <f>SUM(J6:J9)</f>
        <v>10044</v>
      </c>
      <c r="K10" s="13">
        <f>SUM(K6:K9)</f>
        <v>7260</v>
      </c>
      <c r="L10" s="13">
        <f>SUM(L6:L9)</f>
        <v>8205</v>
      </c>
      <c r="M10" s="13">
        <f>SUM(M6:M9)</f>
        <v>8914</v>
      </c>
      <c r="N10" s="13">
        <f>SUM(N6:N9)</f>
        <v>10557</v>
      </c>
      <c r="O10" s="13">
        <f>SUM(O6:O9)</f>
        <v>8034</v>
      </c>
      <c r="P10" s="13">
        <f>SUM(P6:P9)</f>
        <v>9112</v>
      </c>
      <c r="Q10" s="13">
        <f>SUM(Q6:Q9)</f>
        <v>9970</v>
      </c>
      <c r="R10" s="5"/>
      <c r="S10" s="13">
        <f>SUM(S6:S9)</f>
        <v>33239</v>
      </c>
      <c r="T10" s="13">
        <f>SUM(T6:T9)</f>
        <v>33677</v>
      </c>
      <c r="U10" s="13">
        <f>SUM(U6:U9)</f>
        <v>33763</v>
      </c>
      <c r="V10" s="13">
        <f>SUM(V6:V9)</f>
        <v>34423</v>
      </c>
      <c r="W10" s="13">
        <f>SUM(W6:W9)</f>
        <v>34936</v>
      </c>
      <c r="X10" s="13">
        <f>SUM(X6:X9)</f>
        <v>35710</v>
      </c>
      <c r="Y10" s="13">
        <f>SUM(Y6:Y9)</f>
        <v>36617</v>
      </c>
      <c r="Z10" s="13">
        <f>SUM(Z6:Z9)</f>
        <v>37673</v>
      </c>
      <c r="AB10" s="109">
        <f>SUM(Z10/V10)-1</f>
        <v>9.4413618801382881E-2</v>
      </c>
    </row>
    <row r="11" spans="2:28" ht="12.75" customHeight="1">
      <c r="B11" s="14" t="s">
        <v>27</v>
      </c>
      <c r="C11" s="99"/>
      <c r="D11" s="15">
        <f>SUM(D10/C10)-1</f>
        <v>0.12089431442638432</v>
      </c>
      <c r="E11" s="15">
        <f>SUM(E10/D10)-1</f>
        <v>5.1054484190258487E-2</v>
      </c>
      <c r="F11" s="11"/>
      <c r="G11" s="99"/>
      <c r="H11" s="99"/>
      <c r="I11" s="99"/>
      <c r="J11" s="99"/>
      <c r="K11" s="15">
        <f t="shared" ref="K11:Q11" si="1">SUM(K10/G10)-1</f>
        <v>6.4204045734388648E-2</v>
      </c>
      <c r="L11" s="15">
        <f t="shared" si="1"/>
        <v>1.0592437492302098E-2</v>
      </c>
      <c r="M11" s="15">
        <f t="shared" si="1"/>
        <v>7.9961230918342618E-2</v>
      </c>
      <c r="N11" s="15">
        <f t="shared" si="1"/>
        <v>5.1075268817204256E-2</v>
      </c>
      <c r="O11" s="15">
        <f t="shared" si="1"/>
        <v>0.10661157024793377</v>
      </c>
      <c r="P11" s="15">
        <f t="shared" si="1"/>
        <v>0.11054235222425346</v>
      </c>
      <c r="Q11" s="15">
        <f t="shared" si="1"/>
        <v>0.11846533542741744</v>
      </c>
      <c r="R11" s="5"/>
      <c r="S11" s="99"/>
      <c r="T11" s="99"/>
      <c r="U11" s="99"/>
      <c r="V11" s="99"/>
      <c r="W11" s="15">
        <f t="shared" ref="W11:Z11" si="2">SUM(W10/S10)-1</f>
        <v>5.1054484190258487E-2</v>
      </c>
      <c r="X11" s="15">
        <f t="shared" si="2"/>
        <v>6.0367609941503142E-2</v>
      </c>
      <c r="Y11" s="15">
        <f t="shared" si="2"/>
        <v>8.4530403103989515E-2</v>
      </c>
      <c r="Z11" s="15">
        <f t="shared" si="2"/>
        <v>9.4413618801382881E-2</v>
      </c>
      <c r="AB11" s="110">
        <f>SUM(Z11-V11)*10000</f>
        <v>944.13618801382881</v>
      </c>
    </row>
    <row r="12" spans="2:28" ht="12.75" customHeight="1">
      <c r="B12" s="14" t="s">
        <v>28</v>
      </c>
      <c r="C12" s="15" t="s">
        <v>29</v>
      </c>
      <c r="D12" s="15" t="s">
        <v>29</v>
      </c>
      <c r="E12" s="15" t="s">
        <v>29</v>
      </c>
      <c r="F12" s="11"/>
      <c r="G12" s="99"/>
      <c r="H12" s="15">
        <f>SUM(H10/G10)-1</f>
        <v>0.19012019935502789</v>
      </c>
      <c r="I12" s="15">
        <f>SUM(I10/H10)-1</f>
        <v>1.6627663505357715E-2</v>
      </c>
      <c r="J12" s="15">
        <f>SUM(J10/I10)-1</f>
        <v>0.21686455052095943</v>
      </c>
      <c r="K12" s="15">
        <f>SUM(K10/J10)-1</f>
        <v>-0.27718040621266427</v>
      </c>
      <c r="L12" s="15">
        <f t="shared" ref="L12:Q12" si="3">SUM(L10/K10)-1</f>
        <v>0.13016528925619841</v>
      </c>
      <c r="M12" s="15">
        <f t="shared" si="3"/>
        <v>8.6410725167580749E-2</v>
      </c>
      <c r="N12" s="15">
        <f t="shared" si="3"/>
        <v>0.18431680502580217</v>
      </c>
      <c r="O12" s="15">
        <f t="shared" si="3"/>
        <v>-0.23898834896277354</v>
      </c>
      <c r="P12" s="15">
        <f t="shared" si="3"/>
        <v>0.13417973612148359</v>
      </c>
      <c r="Q12" s="15">
        <f t="shared" si="3"/>
        <v>9.4161545215101006E-2</v>
      </c>
      <c r="R12" s="5"/>
      <c r="S12" s="15" t="s">
        <v>29</v>
      </c>
      <c r="T12" s="15" t="s">
        <v>29</v>
      </c>
      <c r="U12" s="15" t="s">
        <v>29</v>
      </c>
      <c r="V12" s="15" t="s">
        <v>29</v>
      </c>
      <c r="W12" s="15" t="s">
        <v>29</v>
      </c>
      <c r="X12" s="15" t="s">
        <v>29</v>
      </c>
      <c r="Y12" s="15" t="s">
        <v>29</v>
      </c>
      <c r="Z12" s="15" t="s">
        <v>29</v>
      </c>
      <c r="AB12" s="107"/>
    </row>
    <row r="13" spans="2:28" ht="5.0999999999999996" customHeight="1">
      <c r="B13" s="16"/>
      <c r="C13" s="17"/>
      <c r="D13" s="17"/>
      <c r="E13" s="17"/>
      <c r="F13" s="18"/>
      <c r="G13" s="19"/>
      <c r="H13" s="19"/>
      <c r="I13" s="19"/>
      <c r="J13" s="19"/>
      <c r="K13" s="19"/>
      <c r="L13" s="19"/>
      <c r="M13" s="19"/>
      <c r="N13" s="20"/>
      <c r="O13" s="19"/>
      <c r="P13" s="19"/>
      <c r="Q13" s="19"/>
      <c r="R13" s="18"/>
      <c r="S13" s="18"/>
      <c r="T13" s="18"/>
      <c r="U13" s="18"/>
      <c r="V13" s="18"/>
      <c r="W13" s="18"/>
      <c r="X13" s="18"/>
      <c r="Y13" s="18"/>
      <c r="Z13" s="18"/>
      <c r="AB13" s="107"/>
    </row>
    <row r="14" spans="2:28" ht="12.75" customHeight="1">
      <c r="B14" s="21" t="s">
        <v>188</v>
      </c>
      <c r="C14" s="80">
        <f>'Historical Financials'!C13</f>
        <v>-16972</v>
      </c>
      <c r="D14" s="80">
        <f>'Historical Financials'!D13</f>
        <v>-18705</v>
      </c>
      <c r="E14" s="80">
        <f>'Historical Financials'!E13</f>
        <v>-17989</v>
      </c>
      <c r="F14" s="10"/>
      <c r="G14" s="80">
        <f>'Historical Financials'!G13</f>
        <v>-3575</v>
      </c>
      <c r="H14" s="80">
        <f>'Historical Financials'!H13</f>
        <v>-4621</v>
      </c>
      <c r="I14" s="80">
        <f>'Historical Financials'!I13</f>
        <v>-5005</v>
      </c>
      <c r="J14" s="80">
        <f>'Historical Financials'!J13</f>
        <v>-5504</v>
      </c>
      <c r="K14" s="80">
        <f>'Historical Financials'!K13</f>
        <v>-3693</v>
      </c>
      <c r="L14" s="80">
        <f>'Historical Financials'!L13</f>
        <v>-3853</v>
      </c>
      <c r="M14" s="80">
        <f>'Historical Financials'!M13</f>
        <v>-5076</v>
      </c>
      <c r="N14" s="80">
        <f>'Historical Financials'!N13</f>
        <v>-5367</v>
      </c>
      <c r="O14" s="80">
        <f>'Historical Financials'!O13</f>
        <v>-3915</v>
      </c>
      <c r="P14" s="80">
        <f>'Historical Financials'!P13</f>
        <v>-4265</v>
      </c>
      <c r="Q14" s="80">
        <f>'Historical Financials'!Q13</f>
        <v>-5165</v>
      </c>
      <c r="R14" s="131"/>
      <c r="S14" s="131">
        <f>SUM(G14:J14)</f>
        <v>-18705</v>
      </c>
      <c r="T14" s="131">
        <f>SUM(H14:K14)</f>
        <v>-18823</v>
      </c>
      <c r="U14" s="131">
        <f>SUM(I14:L14)</f>
        <v>-18055</v>
      </c>
      <c r="V14" s="131">
        <f>SUM(J14:M14)</f>
        <v>-18126</v>
      </c>
      <c r="W14" s="131">
        <f>SUM(K14:N14)</f>
        <v>-17989</v>
      </c>
      <c r="X14" s="131">
        <f>SUM(L14:O14)</f>
        <v>-18211</v>
      </c>
      <c r="Y14" s="131">
        <f>SUM(M14:P14)</f>
        <v>-18623</v>
      </c>
      <c r="Z14" s="131">
        <f>SUM(N14:Q14)</f>
        <v>-18712</v>
      </c>
      <c r="AB14" s="108">
        <f>SUM(Z14/V14)-1</f>
        <v>3.2329250799955966E-2</v>
      </c>
    </row>
    <row r="15" spans="2:28" ht="12.75" customHeight="1">
      <c r="B15" s="21" t="s">
        <v>189</v>
      </c>
      <c r="C15" s="80">
        <f>'Historical Financials'!C14</f>
        <v>-9224</v>
      </c>
      <c r="D15" s="80">
        <f>'Historical Financials'!D14</f>
        <v>-9716</v>
      </c>
      <c r="E15" s="80">
        <f>'Historical Financials'!E14</f>
        <v>-10861</v>
      </c>
      <c r="F15" s="10"/>
      <c r="G15" s="80">
        <f>'Historical Financials'!G14</f>
        <v>-2328</v>
      </c>
      <c r="H15" s="80">
        <f>'Historical Financials'!H14</f>
        <v>-2351</v>
      </c>
      <c r="I15" s="80">
        <f>'Historical Financials'!I14</f>
        <v>-2196</v>
      </c>
      <c r="J15" s="80">
        <f>'Historical Financials'!J14</f>
        <v>-2841</v>
      </c>
      <c r="K15" s="80">
        <f>'Historical Financials'!K14</f>
        <v>-2416</v>
      </c>
      <c r="L15" s="80">
        <f>'Historical Financials'!L14</f>
        <v>-2649</v>
      </c>
      <c r="M15" s="80">
        <f>'Historical Financials'!M14</f>
        <v>-2728</v>
      </c>
      <c r="N15" s="80">
        <f>'Historical Financials'!N14</f>
        <v>-3068</v>
      </c>
      <c r="O15" s="80">
        <f>'Historical Financials'!O14</f>
        <v>-2647</v>
      </c>
      <c r="P15" s="80">
        <f>'Historical Financials'!P14</f>
        <v>-3000</v>
      </c>
      <c r="Q15" s="80">
        <f>'Historical Financials'!Q14</f>
        <v>-2906</v>
      </c>
      <c r="R15" s="131"/>
      <c r="S15" s="131">
        <f>SUM(G15:J15)</f>
        <v>-9716</v>
      </c>
      <c r="T15" s="131">
        <f>SUM(H15:K15)</f>
        <v>-9804</v>
      </c>
      <c r="U15" s="131">
        <f>SUM(I15:L15)</f>
        <v>-10102</v>
      </c>
      <c r="V15" s="131">
        <f>SUM(J15:M15)</f>
        <v>-10634</v>
      </c>
      <c r="W15" s="131">
        <f>SUM(K15:N15)</f>
        <v>-10861</v>
      </c>
      <c r="X15" s="131">
        <f>SUM(L15:O15)</f>
        <v>-11092</v>
      </c>
      <c r="Y15" s="131">
        <f>SUM(M15:P15)</f>
        <v>-11443</v>
      </c>
      <c r="Z15" s="131">
        <f>SUM(N15:Q15)</f>
        <v>-11621</v>
      </c>
      <c r="AB15" s="108"/>
    </row>
    <row r="16" spans="2:28" ht="12.75" customHeight="1">
      <c r="B16" s="23" t="s">
        <v>21</v>
      </c>
      <c r="C16" s="24">
        <f>SUM(C10+SUM(C14:C15))</f>
        <v>3458</v>
      </c>
      <c r="D16" s="24">
        <f t="shared" ref="D16:E16" si="4">SUM(D10+SUM(D14:D15))</f>
        <v>4818</v>
      </c>
      <c r="E16" s="24">
        <f t="shared" si="4"/>
        <v>6086</v>
      </c>
      <c r="F16" s="5"/>
      <c r="G16" s="24">
        <f t="shared" ref="G16" si="5">SUM(G10+SUM(G14:G15))</f>
        <v>919</v>
      </c>
      <c r="H16" s="24">
        <f t="shared" ref="H16" si="6">SUM(H10+SUM(H14:H15))</f>
        <v>1147</v>
      </c>
      <c r="I16" s="24">
        <f t="shared" ref="I16" si="7">SUM(I10+SUM(I14:I15))</f>
        <v>1053</v>
      </c>
      <c r="J16" s="24">
        <f t="shared" ref="J16" si="8">SUM(J10+SUM(J14:J15))</f>
        <v>1699</v>
      </c>
      <c r="K16" s="24">
        <f t="shared" ref="K16" si="9">SUM(K10+SUM(K14:K15))</f>
        <v>1151</v>
      </c>
      <c r="L16" s="24">
        <f t="shared" ref="L16" si="10">SUM(L10+SUM(L14:L15))</f>
        <v>1703</v>
      </c>
      <c r="M16" s="24">
        <f t="shared" ref="M16" si="11">SUM(M10+SUM(M14:M15))</f>
        <v>1110</v>
      </c>
      <c r="N16" s="24">
        <f t="shared" ref="N16" si="12">SUM(N10+SUM(N14:N15))</f>
        <v>2122</v>
      </c>
      <c r="O16" s="24">
        <f t="shared" ref="O16" si="13">SUM(O10+SUM(O14:O15))</f>
        <v>1472</v>
      </c>
      <c r="P16" s="24">
        <f t="shared" ref="P16" si="14">SUM(P10+SUM(P14:P15))</f>
        <v>1847</v>
      </c>
      <c r="Q16" s="24">
        <f t="shared" ref="Q16" si="15">SUM(Q10+SUM(Q14:Q15))</f>
        <v>1899</v>
      </c>
      <c r="R16" s="5"/>
      <c r="S16" s="24">
        <f>SUM(S10+SUM(S14:S14))</f>
        <v>14534</v>
      </c>
      <c r="T16" s="24">
        <f>SUM(T10+SUM(T14:T14))</f>
        <v>14854</v>
      </c>
      <c r="U16" s="24">
        <f>SUM(U10+SUM(U14:U14))</f>
        <v>15708</v>
      </c>
      <c r="V16" s="24">
        <f t="shared" ref="V16" si="16">SUM(V10+SUM(V14:V15))</f>
        <v>5663</v>
      </c>
      <c r="W16" s="24">
        <f t="shared" ref="W16" si="17">SUM(W10+SUM(W14:W15))</f>
        <v>6086</v>
      </c>
      <c r="X16" s="24">
        <f t="shared" ref="X16" si="18">SUM(X10+SUM(X14:X15))</f>
        <v>6407</v>
      </c>
      <c r="Y16" s="24">
        <f t="shared" ref="Y16" si="19">SUM(Y10+SUM(Y14:Y15))</f>
        <v>6551</v>
      </c>
      <c r="Z16" s="24">
        <f t="shared" ref="Z16" si="20">SUM(Z10+SUM(Z14:Z15))</f>
        <v>7340</v>
      </c>
      <c r="AB16" s="109">
        <f>SUM(Z16/V16)-1</f>
        <v>0.2961327918064629</v>
      </c>
    </row>
    <row r="17" spans="2:28" ht="12.75" customHeight="1">
      <c r="B17" s="14" t="s">
        <v>30</v>
      </c>
      <c r="C17" s="15">
        <f>C16/C10</f>
        <v>0.11661158696971741</v>
      </c>
      <c r="D17" s="15">
        <f>D16/D10</f>
        <v>0.14495020909172959</v>
      </c>
      <c r="E17" s="15">
        <f>E16/E10</f>
        <v>0.17420425921685367</v>
      </c>
      <c r="F17" s="25"/>
      <c r="G17" s="15">
        <f>G16/G10</f>
        <v>0.13471122837877456</v>
      </c>
      <c r="H17" s="15">
        <f>H16/H10</f>
        <v>0.14127355585663259</v>
      </c>
      <c r="I17" s="15">
        <f>I16/I10</f>
        <v>0.12757450932881029</v>
      </c>
      <c r="J17" s="15">
        <f>J16/J10</f>
        <v>0.16915571485463959</v>
      </c>
      <c r="K17" s="15">
        <f>K16/K10</f>
        <v>0.15853994490358125</v>
      </c>
      <c r="L17" s="15">
        <f>L16/L10</f>
        <v>0.20755636806825106</v>
      </c>
      <c r="M17" s="15">
        <f>M16/M10</f>
        <v>0.12452322189813776</v>
      </c>
      <c r="N17" s="15">
        <f>N16/N10</f>
        <v>0.20100407312683527</v>
      </c>
      <c r="O17" s="15">
        <f>O16/O10</f>
        <v>0.18322130943490167</v>
      </c>
      <c r="P17" s="15">
        <f>P16/P10</f>
        <v>0.20269973661106233</v>
      </c>
      <c r="Q17" s="15">
        <f>Q16/Q10</f>
        <v>0.19047141424272818</v>
      </c>
      <c r="R17" s="26"/>
      <c r="S17" s="15">
        <f>S16/S10</f>
        <v>0.43725743855109961</v>
      </c>
      <c r="T17" s="15">
        <f>T16/T10</f>
        <v>0.44107254209104135</v>
      </c>
      <c r="U17" s="15">
        <f>U16/U10</f>
        <v>0.46524301750436869</v>
      </c>
      <c r="V17" s="15">
        <f>V16/V10</f>
        <v>0.16451209946837869</v>
      </c>
      <c r="W17" s="15">
        <f>W16/W10</f>
        <v>0.17420425921685367</v>
      </c>
      <c r="X17" s="15">
        <f>X16/X10</f>
        <v>0.17941753010361244</v>
      </c>
      <c r="Y17" s="15">
        <f>Y16/Y10</f>
        <v>0.17890597263566102</v>
      </c>
      <c r="Z17" s="15">
        <f>Z16/Z10</f>
        <v>0.19483449685451118</v>
      </c>
      <c r="AB17" s="110">
        <f>SUM(Z17-V17)*10000</f>
        <v>303.22397386132491</v>
      </c>
    </row>
    <row r="18" spans="2:28" ht="5.0999999999999996" customHeight="1">
      <c r="B18" s="27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5"/>
      <c r="S18" s="28"/>
      <c r="T18" s="28"/>
      <c r="U18" s="28"/>
      <c r="V18" s="28"/>
      <c r="W18" s="28"/>
      <c r="X18" s="28"/>
      <c r="Y18" s="28"/>
      <c r="Z18" s="28"/>
      <c r="AB18" s="107"/>
    </row>
    <row r="19" spans="2:28" ht="12.75" customHeight="1">
      <c r="B19" s="21" t="s">
        <v>190</v>
      </c>
      <c r="C19" s="132">
        <f>'Historical Financials'!C18</f>
        <v>-5360</v>
      </c>
      <c r="D19" s="132">
        <f>'Historical Financials'!D18</f>
        <v>-4845</v>
      </c>
      <c r="E19" s="132">
        <f>'Historical Financials'!E18</f>
        <v>-4632</v>
      </c>
      <c r="F19" s="80"/>
      <c r="G19" s="132">
        <f>'Historical Financials'!G18</f>
        <v>-1186</v>
      </c>
      <c r="H19" s="132">
        <f>'Historical Financials'!H18</f>
        <v>-1272</v>
      </c>
      <c r="I19" s="132">
        <f>'Historical Financials'!I18</f>
        <v>-1135</v>
      </c>
      <c r="J19" s="132">
        <f>'Historical Financials'!J18</f>
        <v>-1252</v>
      </c>
      <c r="K19" s="132">
        <f>'Historical Financials'!K18</f>
        <v>-1202</v>
      </c>
      <c r="L19" s="132">
        <f>'Historical Financials'!L18</f>
        <v>-938</v>
      </c>
      <c r="M19" s="132">
        <f>'Historical Financials'!M18</f>
        <v>-1226</v>
      </c>
      <c r="N19" s="132">
        <f>'Historical Financials'!N18</f>
        <v>-1266</v>
      </c>
      <c r="O19" s="132">
        <f>'Historical Financials'!O18</f>
        <v>-1188</v>
      </c>
      <c r="P19" s="132">
        <f>'Historical Financials'!P18</f>
        <v>-1185</v>
      </c>
      <c r="Q19" s="132">
        <f>'Historical Financials'!Q18</f>
        <v>-1221</v>
      </c>
      <c r="R19" s="131"/>
      <c r="S19" s="131">
        <f>SUM(G19:J19)</f>
        <v>-4845</v>
      </c>
      <c r="T19" s="131">
        <f>SUM(H19:K19)</f>
        <v>-4861</v>
      </c>
      <c r="U19" s="131">
        <f>SUM(I19:L19)</f>
        <v>-4527</v>
      </c>
      <c r="V19" s="131">
        <f>SUM(J19:M19)</f>
        <v>-4618</v>
      </c>
      <c r="W19" s="131">
        <f>SUM(K19:N19)</f>
        <v>-4632</v>
      </c>
      <c r="X19" s="131">
        <f>SUM(L19:O19)</f>
        <v>-4618</v>
      </c>
      <c r="Y19" s="131">
        <f>SUM(M19:P19)</f>
        <v>-4865</v>
      </c>
      <c r="Z19" s="131">
        <f>SUM(N19:Q19)</f>
        <v>-4860</v>
      </c>
      <c r="AB19" s="108">
        <f>SUM(Z19/V19)-1</f>
        <v>5.2403637938501557E-2</v>
      </c>
    </row>
    <row r="20" spans="2:28" ht="12.75" customHeight="1">
      <c r="B20" s="21" t="s">
        <v>191</v>
      </c>
      <c r="C20" s="132">
        <f>'Historical Financials'!C19</f>
        <v>-979</v>
      </c>
      <c r="D20" s="132">
        <f>'Historical Financials'!D19</f>
        <v>-896</v>
      </c>
      <c r="E20" s="132">
        <f>'Historical Financials'!E19</f>
        <v>-982</v>
      </c>
      <c r="F20" s="80"/>
      <c r="G20" s="132">
        <f>'Historical Financials'!G19</f>
        <v>-202</v>
      </c>
      <c r="H20" s="132">
        <f>'Historical Financials'!H19</f>
        <v>-216</v>
      </c>
      <c r="I20" s="132">
        <f>'Historical Financials'!I19</f>
        <v>-223</v>
      </c>
      <c r="J20" s="132">
        <f>'Historical Financials'!J19</f>
        <v>-255</v>
      </c>
      <c r="K20" s="132">
        <f>'Historical Financials'!K19</f>
        <v>-237</v>
      </c>
      <c r="L20" s="132">
        <f>'Historical Financials'!L19</f>
        <v>-237</v>
      </c>
      <c r="M20" s="132">
        <f>'Historical Financials'!M19</f>
        <v>-242</v>
      </c>
      <c r="N20" s="132">
        <f>'Historical Financials'!N19</f>
        <v>-266</v>
      </c>
      <c r="O20" s="132">
        <f>'Historical Financials'!O19</f>
        <v>-239</v>
      </c>
      <c r="P20" s="132">
        <f>'Historical Financials'!P19</f>
        <v>-283</v>
      </c>
      <c r="Q20" s="132">
        <f>'Historical Financials'!Q19</f>
        <v>-310</v>
      </c>
      <c r="R20" s="131"/>
      <c r="S20" s="131">
        <f>SUM(G20:J20)</f>
        <v>-896</v>
      </c>
      <c r="T20" s="131">
        <f>SUM(H20:K20)</f>
        <v>-931</v>
      </c>
      <c r="U20" s="131">
        <f>SUM(I20:L20)</f>
        <v>-952</v>
      </c>
      <c r="V20" s="131">
        <f>SUM(J20:M20)</f>
        <v>-971</v>
      </c>
      <c r="W20" s="131">
        <f>SUM(K20:N20)</f>
        <v>-982</v>
      </c>
      <c r="X20" s="131">
        <f>SUM(L20:O20)</f>
        <v>-984</v>
      </c>
      <c r="Y20" s="131">
        <f>SUM(M20:P20)</f>
        <v>-1030</v>
      </c>
      <c r="Z20" s="131">
        <f>SUM(N20:Q20)</f>
        <v>-1098</v>
      </c>
      <c r="AB20" s="108">
        <f t="shared" ref="AB20" si="21">SUM(Z20/V20)-1</f>
        <v>0.13079299691040158</v>
      </c>
    </row>
    <row r="21" spans="2:28" ht="12.75" customHeight="1">
      <c r="B21" s="12" t="s">
        <v>31</v>
      </c>
      <c r="C21" s="13">
        <f>SUM(C16+SUM(C19:C20))</f>
        <v>-2881</v>
      </c>
      <c r="D21" s="13">
        <f>SUM(D16+SUM(D19:D20))</f>
        <v>-923</v>
      </c>
      <c r="E21" s="13">
        <f>SUM(E16+SUM(E19:E20))</f>
        <v>472</v>
      </c>
      <c r="F21" s="11"/>
      <c r="G21" s="13">
        <f>SUM(G16+SUM(G19:G20))</f>
        <v>-469</v>
      </c>
      <c r="H21" s="13">
        <f>SUM(H16+SUM(H19:H20))</f>
        <v>-341</v>
      </c>
      <c r="I21" s="13">
        <f>SUM(I16+SUM(I19:I20))</f>
        <v>-305</v>
      </c>
      <c r="J21" s="13">
        <f>SUM(J16+SUM(J19:J20))</f>
        <v>192</v>
      </c>
      <c r="K21" s="13">
        <f>SUM(K16+SUM(K19:K20))</f>
        <v>-288</v>
      </c>
      <c r="L21" s="13">
        <f>SUM(L16+SUM(L19:L20))</f>
        <v>528</v>
      </c>
      <c r="M21" s="13">
        <f>SUM(M16+SUM(M19:M20))</f>
        <v>-358</v>
      </c>
      <c r="N21" s="13">
        <f>SUM(N16+SUM(N19:N20))</f>
        <v>590</v>
      </c>
      <c r="O21" s="13">
        <f>SUM(O16+SUM(O19:O20))</f>
        <v>45</v>
      </c>
      <c r="P21" s="13">
        <f>SUM(P16+SUM(P19:P20))</f>
        <v>379</v>
      </c>
      <c r="Q21" s="13">
        <f>SUM(Q16+SUM(Q19:Q20))</f>
        <v>368</v>
      </c>
      <c r="R21" s="5"/>
      <c r="S21" s="13">
        <f>SUM(S16+SUM(S19:S20))</f>
        <v>8793</v>
      </c>
      <c r="T21" s="13">
        <f>SUM(T16+SUM(T19:T20))</f>
        <v>9062</v>
      </c>
      <c r="U21" s="13">
        <f>SUM(U16+SUM(U19:U20))</f>
        <v>10229</v>
      </c>
      <c r="V21" s="13">
        <f>SUM(V16+SUM(V19:V20))</f>
        <v>74</v>
      </c>
      <c r="W21" s="13">
        <f>SUM(W16+SUM(W19:W20))</f>
        <v>472</v>
      </c>
      <c r="X21" s="13">
        <f>SUM(X16+SUM(X19:X20))</f>
        <v>805</v>
      </c>
      <c r="Y21" s="13">
        <f>SUM(Y16+SUM(Y19:Y20))</f>
        <v>656</v>
      </c>
      <c r="Z21" s="13">
        <f>SUM(Z16+SUM(Z19:Z20))</f>
        <v>1382</v>
      </c>
      <c r="AB21" s="109">
        <f>SUM(Z21/V21)-1</f>
        <v>17.675675675675677</v>
      </c>
    </row>
    <row r="22" spans="2:28" ht="12.75" customHeight="1">
      <c r="B22" s="14" t="s">
        <v>32</v>
      </c>
      <c r="C22" s="15">
        <f>C21/C10</f>
        <v>-9.7153840965805621E-2</v>
      </c>
      <c r="D22" s="15">
        <f>D21/D10</f>
        <v>-2.7768585095821172E-2</v>
      </c>
      <c r="E22" s="15">
        <f>E21/E10</f>
        <v>1.3510419051980764E-2</v>
      </c>
      <c r="F22" s="25"/>
      <c r="G22" s="15">
        <f>G21/G10</f>
        <v>-6.8748167692758724E-2</v>
      </c>
      <c r="H22" s="15">
        <f>H21/H10</f>
        <v>-4.2000246335755637E-2</v>
      </c>
      <c r="I22" s="15">
        <f>I21/I10</f>
        <v>-3.6951780954688637E-2</v>
      </c>
      <c r="J22" s="15">
        <f>J21/J10</f>
        <v>1.9115890083632018E-2</v>
      </c>
      <c r="K22" s="15">
        <f>K21/K10</f>
        <v>-3.9669421487603308E-2</v>
      </c>
      <c r="L22" s="15">
        <f>L21/L10</f>
        <v>6.4351005484460697E-2</v>
      </c>
      <c r="M22" s="15">
        <f>M21/M10</f>
        <v>-4.0161543639219206E-2</v>
      </c>
      <c r="N22" s="15">
        <f>N21/N10</f>
        <v>5.5887089135170979E-2</v>
      </c>
      <c r="O22" s="15">
        <f>O21/O10</f>
        <v>5.6011949215832709E-3</v>
      </c>
      <c r="P22" s="15">
        <f>P21/P10</f>
        <v>4.1593503072870942E-2</v>
      </c>
      <c r="Q22" s="15">
        <f>Q21/Q10</f>
        <v>3.6910732196589767E-2</v>
      </c>
      <c r="R22" s="26"/>
      <c r="S22" s="15">
        <f>S21/S10</f>
        <v>0.26453864436354885</v>
      </c>
      <c r="T22" s="15">
        <f>T21/T10</f>
        <v>0.26908572616325682</v>
      </c>
      <c r="U22" s="15">
        <f>U21/U10</f>
        <v>0.30296478393507686</v>
      </c>
      <c r="V22" s="15">
        <f>V21/V10</f>
        <v>2.14972547424687E-3</v>
      </c>
      <c r="W22" s="15">
        <f>W21/W10</f>
        <v>1.3510419051980764E-2</v>
      </c>
      <c r="X22" s="15">
        <f>X21/X10</f>
        <v>2.2542705124614953E-2</v>
      </c>
      <c r="Y22" s="15">
        <f>Y21/Y10</f>
        <v>1.7915176011142366E-2</v>
      </c>
      <c r="Z22" s="15">
        <f>Z21/Z10</f>
        <v>3.6684097364160007E-2</v>
      </c>
      <c r="AB22" s="110">
        <f>SUM(Z22-V22)*10000</f>
        <v>345.34371889913137</v>
      </c>
    </row>
    <row r="23" spans="2:28" ht="5.0999999999999996" customHeight="1">
      <c r="AB23" s="107"/>
    </row>
    <row r="24" spans="2:28" ht="12.75" customHeight="1">
      <c r="B24" s="29" t="s">
        <v>95</v>
      </c>
      <c r="C24" s="132">
        <f>-SUM('Historical Financials'!C101:C102)</f>
        <v>-1797</v>
      </c>
      <c r="D24" s="132">
        <f>-SUM('Historical Financials'!D101:D102)</f>
        <v>-964</v>
      </c>
      <c r="E24" s="132">
        <f>-SUM('Historical Financials'!E101:E102)</f>
        <v>-1172</v>
      </c>
      <c r="G24" s="132">
        <f>-SUM('Historical Financials'!G101:G102)</f>
        <v>-231</v>
      </c>
      <c r="H24" s="132">
        <f>-SUM('Historical Financials'!H101:H102)</f>
        <v>-239</v>
      </c>
      <c r="I24" s="132">
        <f>-SUM('Historical Financials'!I101:I102)</f>
        <v>-242</v>
      </c>
      <c r="J24" s="132">
        <f>-SUM('Historical Financials'!J101:J102)</f>
        <v>-252</v>
      </c>
      <c r="K24" s="132">
        <f>-SUM('Historical Financials'!K101:K102)</f>
        <v>-251</v>
      </c>
      <c r="L24" s="132">
        <f>-SUM('Historical Financials'!L101:L102)</f>
        <v>-254</v>
      </c>
      <c r="M24" s="132">
        <f>-SUM('Historical Financials'!M101:M102)</f>
        <v>-398</v>
      </c>
      <c r="N24" s="132">
        <f>-SUM('Historical Financials'!N101:N102)</f>
        <v>-269</v>
      </c>
      <c r="O24" s="132">
        <f>-SUM('Historical Financials'!O101:O102)</f>
        <v>-205</v>
      </c>
      <c r="P24" s="132">
        <f>-SUM('Historical Financials'!P101:P102)</f>
        <v>-205</v>
      </c>
      <c r="Q24" s="132">
        <f>-SUM('Historical Financials'!Q101:Q102)</f>
        <v>-213</v>
      </c>
      <c r="R24" s="131"/>
      <c r="S24" s="131">
        <f>SUM(G24:J24)</f>
        <v>-964</v>
      </c>
      <c r="T24" s="131">
        <f>SUM(H24:K24)</f>
        <v>-984</v>
      </c>
      <c r="U24" s="131">
        <f>SUM(I24:L24)</f>
        <v>-999</v>
      </c>
      <c r="V24" s="131">
        <f>SUM(J24:M24)</f>
        <v>-1155</v>
      </c>
      <c r="W24" s="131">
        <f>SUM(K24:N24)</f>
        <v>-1172</v>
      </c>
      <c r="X24" s="131">
        <f>SUM(L24:O24)</f>
        <v>-1126</v>
      </c>
      <c r="Y24" s="131">
        <f>SUM(M24:P24)</f>
        <v>-1077</v>
      </c>
      <c r="Z24" s="131">
        <f>SUM(N24:Q24)</f>
        <v>-892</v>
      </c>
      <c r="AB24" s="108">
        <f>SUM(Z24/V24)-1</f>
        <v>-0.22770562770562774</v>
      </c>
    </row>
    <row r="25" spans="2:28" ht="12.75" customHeight="1">
      <c r="B25" s="23" t="s">
        <v>11</v>
      </c>
      <c r="C25" s="24">
        <f t="shared" ref="C25:E25" si="22">SUM(C21+SUM(C24:C24))</f>
        <v>-4678</v>
      </c>
      <c r="D25" s="24">
        <f t="shared" si="22"/>
        <v>-1887</v>
      </c>
      <c r="E25" s="24">
        <f t="shared" si="22"/>
        <v>-700</v>
      </c>
      <c r="G25" s="24">
        <f t="shared" ref="G25:P25" si="23">SUM(G21+SUM(G24:G24))</f>
        <v>-700</v>
      </c>
      <c r="H25" s="24">
        <f t="shared" si="23"/>
        <v>-580</v>
      </c>
      <c r="I25" s="24">
        <f t="shared" si="23"/>
        <v>-547</v>
      </c>
      <c r="J25" s="24">
        <f t="shared" si="23"/>
        <v>-60</v>
      </c>
      <c r="K25" s="24">
        <f t="shared" si="23"/>
        <v>-539</v>
      </c>
      <c r="L25" s="24">
        <f t="shared" si="23"/>
        <v>274</v>
      </c>
      <c r="M25" s="24">
        <f t="shared" si="23"/>
        <v>-756</v>
      </c>
      <c r="N25" s="24">
        <f t="shared" si="23"/>
        <v>321</v>
      </c>
      <c r="O25" s="24">
        <f t="shared" si="23"/>
        <v>-160</v>
      </c>
      <c r="P25" s="24">
        <f t="shared" si="23"/>
        <v>174</v>
      </c>
      <c r="Q25" s="24">
        <f t="shared" ref="Q25" si="24">SUM(Q21+SUM(Q24:Q24))</f>
        <v>155</v>
      </c>
      <c r="S25" s="24">
        <f t="shared" ref="S25:Z25" si="25">SUM(S21+SUM(S24:S24))</f>
        <v>7829</v>
      </c>
      <c r="T25" s="24">
        <f t="shared" si="25"/>
        <v>8078</v>
      </c>
      <c r="U25" s="24">
        <f t="shared" si="25"/>
        <v>9230</v>
      </c>
      <c r="V25" s="24">
        <f t="shared" si="25"/>
        <v>-1081</v>
      </c>
      <c r="W25" s="24">
        <f t="shared" si="25"/>
        <v>-700</v>
      </c>
      <c r="X25" s="24">
        <f t="shared" si="25"/>
        <v>-321</v>
      </c>
      <c r="Y25" s="24">
        <f t="shared" si="25"/>
        <v>-421</v>
      </c>
      <c r="Z25" s="24">
        <f t="shared" si="25"/>
        <v>490</v>
      </c>
      <c r="AB25" s="109">
        <f>SUM(Z25/V25)-1</f>
        <v>-1.4532839962997226</v>
      </c>
    </row>
    <row r="26" spans="2:28" ht="12.75" customHeight="1">
      <c r="B26" s="14" t="s">
        <v>33</v>
      </c>
      <c r="C26" s="15">
        <f>C25/C10</f>
        <v>-0.15775274836447023</v>
      </c>
      <c r="D26" s="15">
        <f>D25/D10</f>
        <v>-5.6770660970546644E-2</v>
      </c>
      <c r="E26" s="15">
        <f>E25/E10</f>
        <v>-2.0036638424547743E-2</v>
      </c>
      <c r="G26" s="15">
        <f>G25/G10</f>
        <v>-0.10260920551158018</v>
      </c>
      <c r="H26" s="15">
        <f>H25/H10</f>
        <v>-7.1437369134129819E-2</v>
      </c>
      <c r="I26" s="15">
        <f>I25/I10</f>
        <v>-6.6270898958080929E-2</v>
      </c>
      <c r="J26" s="15">
        <f>J25/J10</f>
        <v>-5.9737156511350063E-3</v>
      </c>
      <c r="K26" s="15">
        <f>K25/K10</f>
        <v>-7.4242424242424249E-2</v>
      </c>
      <c r="L26" s="15">
        <f>L25/L10</f>
        <v>3.339427178549665E-2</v>
      </c>
      <c r="M26" s="15">
        <f>M25/M10</f>
        <v>-8.4810410590083013E-2</v>
      </c>
      <c r="N26" s="15">
        <f>N25/N10</f>
        <v>3.0406365444728616E-2</v>
      </c>
      <c r="O26" s="15">
        <f>O25/O10</f>
        <v>-1.9915359721184963E-2</v>
      </c>
      <c r="P26" s="15">
        <f>P25/P10</f>
        <v>1.9095697980684813E-2</v>
      </c>
      <c r="Q26" s="15">
        <f>Q25/Q10</f>
        <v>1.5546639919759278E-2</v>
      </c>
      <c r="S26" s="15">
        <f>S25/S10</f>
        <v>0.23553656848882337</v>
      </c>
      <c r="T26" s="15">
        <f>T25/T10</f>
        <v>0.23986697152359177</v>
      </c>
      <c r="U26" s="15">
        <f>U25/U10</f>
        <v>0.27337618102656752</v>
      </c>
      <c r="V26" s="15">
        <f>V25/V10</f>
        <v>-3.140342213055225E-2</v>
      </c>
      <c r="W26" s="15">
        <f>W25/W10</f>
        <v>-2.0036638424547743E-2</v>
      </c>
      <c r="X26" s="15">
        <f>X25/X10</f>
        <v>-8.9890786894427331E-3</v>
      </c>
      <c r="Y26" s="15">
        <f>Y25/Y10</f>
        <v>-1.1497391921784963E-2</v>
      </c>
      <c r="Z26" s="15">
        <f>Z25/Z10</f>
        <v>1.3006662596554561E-2</v>
      </c>
      <c r="AB26" s="110">
        <f>SUM(Z26-V26)*10000</f>
        <v>444.10084727106806</v>
      </c>
    </row>
    <row r="27" spans="2:28" ht="5.0999999999999996" customHeight="1">
      <c r="AB27" s="107"/>
    </row>
    <row r="28" spans="2:28" ht="12.75" customHeight="1">
      <c r="B28" s="29" t="s">
        <v>192</v>
      </c>
      <c r="C28" s="132">
        <f>'Historical Financials'!C103</f>
        <v>-21</v>
      </c>
      <c r="D28" s="132">
        <f>'Historical Financials'!D103</f>
        <v>-209</v>
      </c>
      <c r="E28" s="132">
        <f>'Historical Financials'!E103</f>
        <v>-1147</v>
      </c>
      <c r="G28" s="132">
        <f>'Historical Financials'!G103</f>
        <v>0</v>
      </c>
      <c r="H28" s="132">
        <f>'Historical Financials'!H103</f>
        <v>-95</v>
      </c>
      <c r="I28" s="132">
        <f>'Historical Financials'!I103</f>
        <v>-115</v>
      </c>
      <c r="J28" s="132">
        <f>'Historical Financials'!J103</f>
        <v>1</v>
      </c>
      <c r="K28" s="132">
        <f>'Historical Financials'!K103</f>
        <v>0</v>
      </c>
      <c r="L28" s="132">
        <f>'Historical Financials'!L103</f>
        <v>-851</v>
      </c>
      <c r="M28" s="132">
        <f>'Historical Financials'!M103</f>
        <v>-8</v>
      </c>
      <c r="N28" s="132">
        <f>'Historical Financials'!N103</f>
        <v>-288</v>
      </c>
      <c r="O28" s="132">
        <f>'Historical Financials'!O103</f>
        <v>-21</v>
      </c>
      <c r="P28" s="132">
        <f>'Historical Financials'!P103</f>
        <v>-1</v>
      </c>
      <c r="Q28" s="132">
        <f>'Historical Financials'!Q103</f>
        <v>-44</v>
      </c>
      <c r="R28" s="131"/>
      <c r="S28" s="131">
        <f>SUM(G28:J28)</f>
        <v>-209</v>
      </c>
      <c r="T28" s="131">
        <f>SUM(H28:K28)</f>
        <v>-209</v>
      </c>
      <c r="U28" s="131">
        <f>SUM(I28:L28)</f>
        <v>-965</v>
      </c>
      <c r="V28" s="131">
        <f>SUM(J28:M28)</f>
        <v>-858</v>
      </c>
      <c r="W28" s="131">
        <f>SUM(K28:N28)</f>
        <v>-1147</v>
      </c>
      <c r="X28" s="131">
        <f>SUM(L28:O28)</f>
        <v>-1168</v>
      </c>
      <c r="Y28" s="131">
        <f>SUM(M28:P28)</f>
        <v>-318</v>
      </c>
      <c r="Z28" s="131">
        <f>SUM(N28:Q28)</f>
        <v>-354</v>
      </c>
      <c r="AB28" s="108">
        <f>SUM(Z28/V28)-1</f>
        <v>-0.58741258741258739</v>
      </c>
    </row>
    <row r="29" spans="2:28" ht="12.75" customHeight="1">
      <c r="B29" s="12" t="s">
        <v>34</v>
      </c>
      <c r="C29" s="13">
        <f>+SUM(C25+SUM(C28:C28))</f>
        <v>-4699</v>
      </c>
      <c r="D29" s="13">
        <f>+SUM(D25+SUM(D28:D28))</f>
        <v>-2096</v>
      </c>
      <c r="E29" s="13">
        <f>+SUM(E25+SUM(E28:E28))</f>
        <v>-1847</v>
      </c>
      <c r="F29" s="11"/>
      <c r="G29" s="13">
        <f>+SUM(G25+SUM(G28:G28))</f>
        <v>-700</v>
      </c>
      <c r="H29" s="13">
        <f>+SUM(H25+SUM(H28:H28))</f>
        <v>-675</v>
      </c>
      <c r="I29" s="13">
        <f>+SUM(I25+SUM(I28:I28))</f>
        <v>-662</v>
      </c>
      <c r="J29" s="13">
        <f>+SUM(J25+SUM(J28:J28))</f>
        <v>-59</v>
      </c>
      <c r="K29" s="13">
        <f>+SUM(K25+SUM(K28:K28))</f>
        <v>-539</v>
      </c>
      <c r="L29" s="13">
        <f>+SUM(L25+SUM(L28:L28))</f>
        <v>-577</v>
      </c>
      <c r="M29" s="13">
        <f>+SUM(M25+SUM(M28:M28))</f>
        <v>-764</v>
      </c>
      <c r="N29" s="13">
        <f>+SUM(N25+SUM(N28:N28))</f>
        <v>33</v>
      </c>
      <c r="O29" s="13">
        <f>+SUM(O25+SUM(O28:O28))</f>
        <v>-181</v>
      </c>
      <c r="P29" s="13">
        <f>+SUM(P25+SUM(P28:P28))</f>
        <v>173</v>
      </c>
      <c r="Q29" s="13">
        <f>+SUM(Q25+SUM(Q28:Q28))</f>
        <v>111</v>
      </c>
      <c r="S29" s="13">
        <f>+SUM(S25+SUM(S28:S28))</f>
        <v>7620</v>
      </c>
      <c r="T29" s="13">
        <f>+SUM(T25+SUM(T28:T28))</f>
        <v>7869</v>
      </c>
      <c r="U29" s="13">
        <f>+SUM(U25+SUM(U28:U28))</f>
        <v>8265</v>
      </c>
      <c r="V29" s="13">
        <f>+SUM(V25+SUM(V28:V28))</f>
        <v>-1939</v>
      </c>
      <c r="W29" s="13">
        <f>+SUM(W25+SUM(W28:W28))</f>
        <v>-1847</v>
      </c>
      <c r="X29" s="13">
        <f>+SUM(X25+SUM(X28:X28))</f>
        <v>-1489</v>
      </c>
      <c r="Y29" s="13">
        <f>+SUM(Y25+SUM(Y28:Y28))</f>
        <v>-739</v>
      </c>
      <c r="Z29" s="13">
        <f>+SUM(Z25+SUM(Z28:Z28))</f>
        <v>136</v>
      </c>
      <c r="AB29" s="109">
        <f>SUM(Z29/V29)-1</f>
        <v>-1.0701392470345539</v>
      </c>
    </row>
    <row r="30" spans="2:28" ht="12.75" customHeight="1">
      <c r="B30" s="14" t="s">
        <v>35</v>
      </c>
      <c r="C30" s="15">
        <f>C29/C10</f>
        <v>-0.15846091589667499</v>
      </c>
      <c r="D30" s="15">
        <f>D29/D10</f>
        <v>-6.305845542886368E-2</v>
      </c>
      <c r="E30" s="15">
        <f>E29/E10</f>
        <v>-5.2868101671628122E-2</v>
      </c>
      <c r="G30" s="15">
        <f>G29/G10</f>
        <v>-0.10260920551158018</v>
      </c>
      <c r="H30" s="15">
        <f>H29/H10</f>
        <v>-8.3138317526789018E-2</v>
      </c>
      <c r="I30" s="15">
        <f>I29/I10</f>
        <v>-8.0203537678701239E-2</v>
      </c>
      <c r="J30" s="15">
        <f>J29/J10</f>
        <v>-5.8741537236160889E-3</v>
      </c>
      <c r="K30" s="15">
        <f>K29/K10</f>
        <v>-7.4242424242424249E-2</v>
      </c>
      <c r="L30" s="15">
        <f>L29/L10</f>
        <v>-7.0322973796465571E-2</v>
      </c>
      <c r="M30" s="15">
        <f>M29/M10</f>
        <v>-8.5707875252411941E-2</v>
      </c>
      <c r="N30" s="15">
        <f>N29/N10</f>
        <v>3.1258880363739701E-3</v>
      </c>
      <c r="O30" s="15">
        <f>O29/O10</f>
        <v>-2.2529250684590489E-2</v>
      </c>
      <c r="P30" s="15">
        <f>P29/P10</f>
        <v>1.8985952589991219E-2</v>
      </c>
      <c r="Q30" s="15">
        <f>Q29/Q10</f>
        <v>1.1133400200601806E-2</v>
      </c>
      <c r="S30" s="15">
        <f>S29/S10</f>
        <v>0.22924877403050634</v>
      </c>
      <c r="T30" s="15">
        <f>T29/T10</f>
        <v>0.23366095554829705</v>
      </c>
      <c r="U30" s="15">
        <f>U29/U10</f>
        <v>0.24479459763646597</v>
      </c>
      <c r="V30" s="15">
        <f>V29/V10</f>
        <v>-5.6328617494117307E-2</v>
      </c>
      <c r="W30" s="15">
        <f>W29/W10</f>
        <v>-5.2868101671628122E-2</v>
      </c>
      <c r="X30" s="15">
        <f>X29/X10</f>
        <v>-4.1697003640436853E-2</v>
      </c>
      <c r="Y30" s="15">
        <f>Y29/Y10</f>
        <v>-2.0181882732064341E-2</v>
      </c>
      <c r="Z30" s="15">
        <f>Z29/Z10</f>
        <v>3.610012475778409E-3</v>
      </c>
      <c r="AB30" s="110">
        <f>SUM(Z30-V30)*10000</f>
        <v>599.38629969895715</v>
      </c>
    </row>
    <row r="31" spans="2:28" ht="5.0999999999999996" customHeight="1">
      <c r="AB31" s="107"/>
    </row>
    <row r="32" spans="2:28" ht="12.75" customHeight="1">
      <c r="B32" s="21" t="s">
        <v>36</v>
      </c>
      <c r="C32" s="132">
        <f>'Historical Financials'!C118</f>
        <v>-513</v>
      </c>
      <c r="D32" s="132">
        <f>'Historical Financials'!D118</f>
        <v>-744</v>
      </c>
      <c r="E32" s="132">
        <f>'Historical Financials'!E118</f>
        <v>-883</v>
      </c>
      <c r="G32" s="132">
        <f>'Historical Financials'!G118</f>
        <v>-124</v>
      </c>
      <c r="H32" s="132">
        <f>'Historical Financials'!H118</f>
        <v>-159</v>
      </c>
      <c r="I32" s="132">
        <f>'Historical Financials'!I118</f>
        <v>-181</v>
      </c>
      <c r="J32" s="132">
        <f>'Historical Financials'!J118</f>
        <v>-280</v>
      </c>
      <c r="K32" s="132">
        <f>'Historical Financials'!K118</f>
        <v>-217</v>
      </c>
      <c r="L32" s="132">
        <f>'Historical Financials'!L118</f>
        <v>-157</v>
      </c>
      <c r="M32" s="132">
        <f>'Historical Financials'!M118</f>
        <v>-159</v>
      </c>
      <c r="N32" s="132">
        <f>'Historical Financials'!N118</f>
        <v>-350</v>
      </c>
      <c r="O32" s="132">
        <f>'Historical Financials'!O118</f>
        <v>-186</v>
      </c>
      <c r="P32" s="132">
        <f>'Historical Financials'!P118</f>
        <v>-359</v>
      </c>
      <c r="Q32" s="132">
        <f>'Historical Financials'!Q118</f>
        <v>-55</v>
      </c>
      <c r="R32" s="131"/>
      <c r="S32" s="131">
        <f>SUM(G32:J32)</f>
        <v>-744</v>
      </c>
      <c r="T32" s="131">
        <f>SUM(H32:K32)</f>
        <v>-837</v>
      </c>
      <c r="U32" s="131">
        <f>SUM(I32:L32)</f>
        <v>-835</v>
      </c>
      <c r="V32" s="131">
        <f>SUM(J32:M32)</f>
        <v>-813</v>
      </c>
      <c r="W32" s="131">
        <f>SUM(K32:N32)</f>
        <v>-883</v>
      </c>
      <c r="X32" s="131">
        <f>SUM(L32:O32)</f>
        <v>-852</v>
      </c>
      <c r="Y32" s="131">
        <f>SUM(M32:P32)</f>
        <v>-1054</v>
      </c>
      <c r="Z32" s="131">
        <f>SUM(N32:Q32)</f>
        <v>-950</v>
      </c>
      <c r="AB32" s="108">
        <f t="shared" ref="AB32:AB37" si="26">SUM(Z32/V32)-1</f>
        <v>0.16851168511685111</v>
      </c>
    </row>
    <row r="33" spans="1:28" ht="12.75" customHeight="1">
      <c r="B33" s="21" t="s">
        <v>37</v>
      </c>
      <c r="C33" s="132">
        <f>'Historical Financials'!C107</f>
        <v>-91</v>
      </c>
      <c r="D33" s="132">
        <f>'Historical Financials'!D107</f>
        <v>-2</v>
      </c>
      <c r="E33" s="132">
        <f>'Historical Financials'!E107</f>
        <v>-623</v>
      </c>
      <c r="G33" s="132">
        <f>'Historical Financials'!G107</f>
        <v>-45</v>
      </c>
      <c r="H33" s="132">
        <f>'Historical Financials'!H107</f>
        <v>33</v>
      </c>
      <c r="I33" s="132">
        <f>'Historical Financials'!I107</f>
        <v>40</v>
      </c>
      <c r="J33" s="132">
        <f>'Historical Financials'!J107</f>
        <v>-30</v>
      </c>
      <c r="K33" s="132">
        <f>'Historical Financials'!K107</f>
        <v>-58</v>
      </c>
      <c r="L33" s="132">
        <f>'Historical Financials'!L107</f>
        <v>-115</v>
      </c>
      <c r="M33" s="132">
        <f>'Historical Financials'!M107</f>
        <v>-126</v>
      </c>
      <c r="N33" s="132">
        <f>'Historical Financials'!N107</f>
        <v>-324</v>
      </c>
      <c r="O33" s="132">
        <f>'Historical Financials'!O107</f>
        <v>-145</v>
      </c>
      <c r="P33" s="132">
        <f>'Historical Financials'!P107</f>
        <v>-218</v>
      </c>
      <c r="Q33" s="132">
        <f>'Historical Financials'!Q107</f>
        <v>-126</v>
      </c>
      <c r="R33" s="131"/>
      <c r="S33" s="131">
        <f>SUM(G33:J33)</f>
        <v>-2</v>
      </c>
      <c r="T33" s="131">
        <f>SUM(H33:K33)</f>
        <v>-15</v>
      </c>
      <c r="U33" s="131">
        <f>SUM(I33:L33)</f>
        <v>-163</v>
      </c>
      <c r="V33" s="131">
        <f>SUM(J33:M33)</f>
        <v>-329</v>
      </c>
      <c r="W33" s="131">
        <f>SUM(K33:N33)</f>
        <v>-623</v>
      </c>
      <c r="X33" s="131">
        <f>SUM(L33:O33)</f>
        <v>-710</v>
      </c>
      <c r="Y33" s="131">
        <f>SUM(M33:P33)</f>
        <v>-813</v>
      </c>
      <c r="Z33" s="131">
        <f>SUM(N33:Q33)</f>
        <v>-813</v>
      </c>
      <c r="AB33" s="108">
        <f t="shared" si="26"/>
        <v>1.4711246200607904</v>
      </c>
    </row>
    <row r="34" spans="1:28" ht="12.75" customHeight="1">
      <c r="B34" s="21" t="s">
        <v>73</v>
      </c>
      <c r="C34" s="132">
        <f>'Historical Financials'!C147</f>
        <v>-77</v>
      </c>
      <c r="D34" s="132">
        <f>'Historical Financials'!D147</f>
        <v>-83</v>
      </c>
      <c r="E34" s="132">
        <f>'Historical Financials'!E147</f>
        <v>-74</v>
      </c>
      <c r="G34" s="132">
        <f>'Historical Financials'!G23</f>
        <v>-21</v>
      </c>
      <c r="H34" s="132">
        <f>'Historical Financials'!H23</f>
        <v>-21</v>
      </c>
      <c r="I34" s="132">
        <f>'Historical Financials'!I23</f>
        <v>-21</v>
      </c>
      <c r="J34" s="132">
        <f>'Historical Financials'!J23</f>
        <v>-35</v>
      </c>
      <c r="K34" s="132">
        <f>'Historical Financials'!K23</f>
        <v>-14</v>
      </c>
      <c r="L34" s="132">
        <f>'Historical Financials'!L23</f>
        <v>60</v>
      </c>
      <c r="M34" s="132">
        <f>'Historical Financials'!M23</f>
        <v>36</v>
      </c>
      <c r="N34" s="132">
        <f>'Historical Financials'!N23</f>
        <v>38</v>
      </c>
      <c r="O34" s="132">
        <f>'Historical Financials'!O23</f>
        <v>56</v>
      </c>
      <c r="P34" s="132">
        <f>'Historical Financials'!P23</f>
        <v>42</v>
      </c>
      <c r="Q34" s="132">
        <f>'Historical Financials'!Q23</f>
        <v>44</v>
      </c>
      <c r="R34" s="131"/>
      <c r="S34" s="131">
        <f>SUM(G34:J34)</f>
        <v>-98</v>
      </c>
      <c r="T34" s="131">
        <f>SUM(H34:K34)</f>
        <v>-91</v>
      </c>
      <c r="U34" s="131">
        <f>SUM(I34:L34)</f>
        <v>-10</v>
      </c>
      <c r="V34" s="131">
        <f>SUM(J34:M34)</f>
        <v>47</v>
      </c>
      <c r="W34" s="131">
        <f>SUM(K34:N34)</f>
        <v>120</v>
      </c>
      <c r="X34" s="131">
        <f>SUM(L34:O34)</f>
        <v>190</v>
      </c>
      <c r="Y34" s="131">
        <f>SUM(M34:P34)</f>
        <v>172</v>
      </c>
      <c r="Z34" s="131">
        <f>SUM(N34:Q34)</f>
        <v>180</v>
      </c>
      <c r="AB34" s="108">
        <f t="shared" si="26"/>
        <v>2.8297872340425534</v>
      </c>
    </row>
    <row r="35" spans="1:28" ht="12.75" customHeight="1">
      <c r="B35" s="21" t="s">
        <v>193</v>
      </c>
      <c r="C35" s="132">
        <f>'Historical Financials'!C128</f>
        <v>0</v>
      </c>
      <c r="D35" s="132">
        <f>'Historical Financials'!D128</f>
        <v>0</v>
      </c>
      <c r="E35" s="132">
        <f>'Historical Financials'!E128</f>
        <v>0</v>
      </c>
      <c r="G35" s="132">
        <f>'Historical Financials'!G128</f>
        <v>0</v>
      </c>
      <c r="H35" s="132">
        <f>'Historical Financials'!H128</f>
        <v>0</v>
      </c>
      <c r="I35" s="132">
        <f>'Historical Financials'!I128</f>
        <v>0</v>
      </c>
      <c r="J35" s="132">
        <f>'Historical Financials'!J128</f>
        <v>0</v>
      </c>
      <c r="K35" s="132">
        <f>'Historical Financials'!K128</f>
        <v>0</v>
      </c>
      <c r="L35" s="132">
        <f>'Historical Financials'!L128</f>
        <v>0</v>
      </c>
      <c r="M35" s="132">
        <f>'Historical Financials'!M128</f>
        <v>0</v>
      </c>
      <c r="N35" s="132">
        <f>'Historical Financials'!N128</f>
        <v>0</v>
      </c>
      <c r="O35" s="132">
        <f>'Historical Financials'!O128</f>
        <v>-69</v>
      </c>
      <c r="P35" s="132">
        <f>'Historical Financials'!P128</f>
        <v>-139</v>
      </c>
      <c r="Q35" s="132">
        <f>'Historical Financials'!Q128</f>
        <v>1</v>
      </c>
      <c r="R35" s="131"/>
      <c r="S35" s="131">
        <f>SUM(G35:J35)</f>
        <v>0</v>
      </c>
      <c r="T35" s="131">
        <f>SUM(H35:K35)</f>
        <v>0</v>
      </c>
      <c r="U35" s="131">
        <f>SUM(I35:L35)</f>
        <v>0</v>
      </c>
      <c r="V35" s="131">
        <f>SUM(J35:M35)</f>
        <v>0</v>
      </c>
      <c r="W35" s="131">
        <f>SUM(K35:N35)</f>
        <v>0</v>
      </c>
      <c r="X35" s="131">
        <f>SUM(L35:O35)</f>
        <v>-69</v>
      </c>
      <c r="Y35" s="131">
        <f>SUM(M35:P35)</f>
        <v>-208</v>
      </c>
      <c r="Z35" s="131">
        <f>SUM(N35:Q35)</f>
        <v>-207</v>
      </c>
      <c r="AB35" s="108" t="e">
        <f t="shared" si="26"/>
        <v>#DIV/0!</v>
      </c>
    </row>
    <row r="36" spans="1:28" ht="12.75" customHeight="1">
      <c r="B36" s="21" t="s">
        <v>38</v>
      </c>
      <c r="C36" s="132">
        <f>SUM('Historical Financials'!C110:C114)</f>
        <v>579</v>
      </c>
      <c r="D36" s="132">
        <f>SUM('Historical Financials'!D110:D114)</f>
        <v>1130</v>
      </c>
      <c r="E36" s="132">
        <f>SUM('Historical Financials'!E110:E114)</f>
        <v>1120</v>
      </c>
      <c r="G36" s="132">
        <f>SUM('Historical Financials'!G110:G114)</f>
        <v>-175</v>
      </c>
      <c r="H36" s="132">
        <f>SUM('Historical Financials'!H110:H114)</f>
        <v>42</v>
      </c>
      <c r="I36" s="132">
        <f>SUM('Historical Financials'!I110:I114)</f>
        <v>94</v>
      </c>
      <c r="J36" s="132">
        <f>SUM('Historical Financials'!J110:J114)</f>
        <v>1169</v>
      </c>
      <c r="K36" s="132">
        <f>SUM('Historical Financials'!K110:K114)</f>
        <v>-470</v>
      </c>
      <c r="L36" s="132">
        <f>SUM('Historical Financials'!L110:L114)</f>
        <v>757</v>
      </c>
      <c r="M36" s="132">
        <f>SUM('Historical Financials'!M110:M114)</f>
        <v>615</v>
      </c>
      <c r="N36" s="132">
        <f>SUM('Historical Financials'!N110:N114)</f>
        <v>218</v>
      </c>
      <c r="O36" s="132">
        <f>SUM('Historical Financials'!O110:O114)</f>
        <v>996</v>
      </c>
      <c r="P36" s="132">
        <f>SUM('Historical Financials'!P110:P114)</f>
        <v>2338</v>
      </c>
      <c r="Q36" s="132">
        <f>SUM('Historical Financials'!Q110:Q114)</f>
        <v>-1489</v>
      </c>
      <c r="R36" s="131"/>
      <c r="S36" s="131">
        <f>SUM(G36:J36)</f>
        <v>1130</v>
      </c>
      <c r="T36" s="131">
        <f>SUM(H36:K36)</f>
        <v>835</v>
      </c>
      <c r="U36" s="131">
        <f>SUM(I36:L36)</f>
        <v>1550</v>
      </c>
      <c r="V36" s="131">
        <f>SUM(J36:M36)</f>
        <v>2071</v>
      </c>
      <c r="W36" s="131">
        <f>SUM(K36:N36)</f>
        <v>1120</v>
      </c>
      <c r="X36" s="131">
        <f>SUM(L36:O36)</f>
        <v>2586</v>
      </c>
      <c r="Y36" s="131">
        <f>SUM(M36:P36)</f>
        <v>4167</v>
      </c>
      <c r="Z36" s="131">
        <f>SUM(N36:Q36)</f>
        <v>2063</v>
      </c>
      <c r="AB36" s="108">
        <f t="shared" si="26"/>
        <v>-3.8628681796233355E-3</v>
      </c>
    </row>
    <row r="37" spans="1:28" ht="12.75" customHeight="1">
      <c r="B37" s="12" t="s">
        <v>39</v>
      </c>
      <c r="C37" s="13">
        <f>SUM(C29+SUM(C32:C36))</f>
        <v>-4801</v>
      </c>
      <c r="D37" s="13">
        <f>SUM(D29+SUM(D32:D36))</f>
        <v>-1795</v>
      </c>
      <c r="E37" s="13">
        <f>SUM(E29+SUM(E32:E36))</f>
        <v>-2307</v>
      </c>
      <c r="G37" s="13">
        <f>SUM(G29+SUM(G32:G36))</f>
        <v>-1065</v>
      </c>
      <c r="H37" s="13">
        <f>SUM(H29+SUM(H32:H36))</f>
        <v>-780</v>
      </c>
      <c r="I37" s="13">
        <f>SUM(I29+SUM(I32:I36))</f>
        <v>-730</v>
      </c>
      <c r="J37" s="13">
        <f>SUM(J29+SUM(J32:J36))</f>
        <v>765</v>
      </c>
      <c r="K37" s="13">
        <f t="shared" ref="K37:P37" si="27">SUM(K29+SUM(K32:K36))</f>
        <v>-1298</v>
      </c>
      <c r="L37" s="13">
        <f t="shared" si="27"/>
        <v>-32</v>
      </c>
      <c r="M37" s="13">
        <f t="shared" si="27"/>
        <v>-398</v>
      </c>
      <c r="N37" s="13">
        <f t="shared" si="27"/>
        <v>-385</v>
      </c>
      <c r="O37" s="13">
        <f t="shared" si="27"/>
        <v>471</v>
      </c>
      <c r="P37" s="13">
        <f t="shared" si="27"/>
        <v>1837</v>
      </c>
      <c r="Q37" s="13">
        <f t="shared" ref="Q37" si="28">SUM(Q29+SUM(Q32:Q36))</f>
        <v>-1514</v>
      </c>
      <c r="S37" s="13">
        <f t="shared" ref="S37:X37" si="29">SUM(S29+SUM(S32:S36))</f>
        <v>7906</v>
      </c>
      <c r="T37" s="13">
        <f t="shared" si="29"/>
        <v>7761</v>
      </c>
      <c r="U37" s="13">
        <f t="shared" si="29"/>
        <v>8807</v>
      </c>
      <c r="V37" s="13">
        <f t="shared" si="29"/>
        <v>-963</v>
      </c>
      <c r="W37" s="13">
        <f t="shared" si="29"/>
        <v>-2113</v>
      </c>
      <c r="X37" s="13">
        <f t="shared" si="29"/>
        <v>-344</v>
      </c>
      <c r="Y37" s="13">
        <f>SUM(Y29+SUM(Y32:Y36))</f>
        <v>1525</v>
      </c>
      <c r="Z37" s="13">
        <f>SUM(Z29+SUM(Z32:Z36))</f>
        <v>409</v>
      </c>
      <c r="AB37" s="109">
        <f t="shared" si="26"/>
        <v>-1.4247144340602285</v>
      </c>
    </row>
    <row r="38" spans="1:28" ht="5.0999999999999996" customHeight="1"/>
    <row r="39" spans="1:28" ht="12.75" customHeight="1">
      <c r="B39" s="29" t="s">
        <v>194</v>
      </c>
      <c r="C39" s="132">
        <f>SUM('Historical Financials'!C120:C121)</f>
        <v>-53</v>
      </c>
      <c r="D39" s="132">
        <f>SUM('Historical Financials'!D120:D121)</f>
        <v>149</v>
      </c>
      <c r="E39" s="132">
        <f>SUM('Historical Financials'!E120:E121)</f>
        <v>130</v>
      </c>
      <c r="F39" s="30"/>
      <c r="G39" s="132">
        <f>SUM('Historical Financials'!G120:G121)</f>
        <v>-5</v>
      </c>
      <c r="H39" s="132">
        <f>SUM('Historical Financials'!H120:H121)</f>
        <v>-2</v>
      </c>
      <c r="I39" s="132">
        <f>SUM('Historical Financials'!I120:I121)</f>
        <v>150</v>
      </c>
      <c r="J39" s="132">
        <f>SUM('Historical Financials'!J120:J121)</f>
        <v>6</v>
      </c>
      <c r="K39" s="132">
        <f>SUM('Historical Financials'!K120:K121)</f>
        <v>-62</v>
      </c>
      <c r="L39" s="132">
        <f>SUM('Historical Financials'!L120:L121)</f>
        <v>-15</v>
      </c>
      <c r="M39" s="132">
        <f>SUM('Historical Financials'!M120:M121)</f>
        <v>-1</v>
      </c>
      <c r="N39" s="132">
        <f>SUM('Historical Financials'!N120:N121)</f>
        <v>208</v>
      </c>
      <c r="O39" s="132">
        <f>SUM('Historical Financials'!O120:O121)</f>
        <v>84</v>
      </c>
      <c r="P39" s="132">
        <f>SUM('Historical Financials'!P120:P121)</f>
        <v>61</v>
      </c>
      <c r="Q39" s="132">
        <f>SUM('Historical Financials'!Q120:Q121)</f>
        <v>46</v>
      </c>
      <c r="R39" s="131"/>
      <c r="S39" s="131">
        <f>SUM(G39:J39)</f>
        <v>149</v>
      </c>
      <c r="T39" s="131">
        <f>SUM(H39:K39)</f>
        <v>92</v>
      </c>
      <c r="U39" s="131">
        <f>SUM(I39:L39)</f>
        <v>79</v>
      </c>
      <c r="V39" s="131">
        <f>SUM(J39:M39)</f>
        <v>-72</v>
      </c>
      <c r="W39" s="131">
        <f>SUM(K39:N39)</f>
        <v>130</v>
      </c>
      <c r="X39" s="131">
        <f>SUM(L39:O39)</f>
        <v>276</v>
      </c>
      <c r="Y39" s="131">
        <f>SUM(M39:P39)</f>
        <v>352</v>
      </c>
      <c r="Z39" s="131">
        <f>SUM(N39:Q39)</f>
        <v>399</v>
      </c>
    </row>
    <row r="40" spans="1:28" ht="12.75" customHeight="1">
      <c r="B40" s="29" t="s">
        <v>195</v>
      </c>
      <c r="C40" s="132">
        <f>'Historical Financials'!C122</f>
        <v>0</v>
      </c>
      <c r="D40" s="132">
        <f>'Historical Financials'!D122</f>
        <v>0</v>
      </c>
      <c r="E40" s="132">
        <f>'Historical Financials'!E122</f>
        <v>813</v>
      </c>
      <c r="F40" s="30"/>
      <c r="G40" s="132">
        <f>'Historical Financials'!G122</f>
        <v>0</v>
      </c>
      <c r="H40" s="132">
        <f>'Historical Financials'!H122</f>
        <v>0</v>
      </c>
      <c r="I40" s="132">
        <f>'Historical Financials'!I122</f>
        <v>0</v>
      </c>
      <c r="J40" s="132">
        <f>'Historical Financials'!J122</f>
        <v>0</v>
      </c>
      <c r="K40" s="132">
        <f>'Historical Financials'!K122</f>
        <v>0</v>
      </c>
      <c r="L40" s="132">
        <f>'Historical Financials'!L122</f>
        <v>639</v>
      </c>
      <c r="M40" s="132">
        <f>'Historical Financials'!M122</f>
        <v>0</v>
      </c>
      <c r="N40" s="132">
        <f>'Historical Financials'!N122</f>
        <v>174</v>
      </c>
      <c r="O40" s="132">
        <f>'Historical Financials'!O122</f>
        <v>-25</v>
      </c>
      <c r="P40" s="132">
        <f>'Historical Financials'!P122</f>
        <v>1</v>
      </c>
      <c r="Q40" s="132">
        <f>'Historical Financials'!Q122</f>
        <v>84</v>
      </c>
      <c r="R40" s="131"/>
      <c r="S40" s="131">
        <f>SUM(G40:J40)</f>
        <v>0</v>
      </c>
      <c r="T40" s="131">
        <f>SUM(H40:K40)</f>
        <v>0</v>
      </c>
      <c r="U40" s="131">
        <f>SUM(I40:L40)</f>
        <v>639</v>
      </c>
      <c r="V40" s="131">
        <f>SUM(J40:M40)</f>
        <v>639</v>
      </c>
      <c r="W40" s="131">
        <f>SUM(K40:N40)</f>
        <v>813</v>
      </c>
      <c r="X40" s="131">
        <f>SUM(L40:O40)</f>
        <v>788</v>
      </c>
      <c r="Y40" s="131">
        <f>SUM(M40:P40)</f>
        <v>150</v>
      </c>
      <c r="Z40" s="131">
        <f>SUM(N40:Q40)</f>
        <v>234</v>
      </c>
    </row>
    <row r="41" spans="1:28" ht="12.75" customHeight="1">
      <c r="B41" s="29" t="s">
        <v>196</v>
      </c>
      <c r="C41" s="132">
        <f>'Historical Financials'!C130</f>
        <v>947</v>
      </c>
      <c r="D41" s="132">
        <f>'Historical Financials'!D130</f>
        <v>-361</v>
      </c>
      <c r="E41" s="132">
        <f>'Historical Financials'!E130</f>
        <v>2933</v>
      </c>
      <c r="F41" s="30"/>
      <c r="G41" s="132">
        <f>'Historical Financials'!G130</f>
        <v>708</v>
      </c>
      <c r="H41" s="132">
        <f>'Historical Financials'!H130</f>
        <v>251</v>
      </c>
      <c r="I41" s="132">
        <f>'Historical Financials'!I130</f>
        <v>-278</v>
      </c>
      <c r="J41" s="132">
        <f>'Historical Financials'!J130</f>
        <v>-1042</v>
      </c>
      <c r="K41" s="132">
        <f>'Historical Financials'!K130</f>
        <v>2023</v>
      </c>
      <c r="L41" s="132">
        <f>'Historical Financials'!L130</f>
        <v>941</v>
      </c>
      <c r="M41" s="132">
        <f>'Historical Financials'!M130</f>
        <v>-31</v>
      </c>
      <c r="N41" s="132">
        <f>'Historical Financials'!N130</f>
        <v>0</v>
      </c>
      <c r="O41" s="132">
        <f>'Historical Financials'!O130</f>
        <v>0</v>
      </c>
      <c r="P41" s="132">
        <f>'Historical Financials'!P130</f>
        <v>0</v>
      </c>
      <c r="Q41" s="132">
        <f>'Historical Financials'!Q130</f>
        <v>0</v>
      </c>
      <c r="R41" s="131"/>
      <c r="S41" s="131">
        <f>SUM(G41:J41)</f>
        <v>-361</v>
      </c>
      <c r="T41" s="131">
        <f>SUM(H41:K41)</f>
        <v>954</v>
      </c>
      <c r="U41" s="131">
        <f>SUM(I41:L41)</f>
        <v>1644</v>
      </c>
      <c r="V41" s="131">
        <f>SUM(J41:M41)</f>
        <v>1891</v>
      </c>
      <c r="W41" s="131">
        <f>SUM(K41:N41)</f>
        <v>2933</v>
      </c>
      <c r="X41" s="131">
        <f>SUM(L41:O41)</f>
        <v>910</v>
      </c>
      <c r="Y41" s="131">
        <f>SUM(M41:P41)</f>
        <v>-31</v>
      </c>
      <c r="Z41" s="131">
        <f>SUM(N41:Q41)</f>
        <v>0</v>
      </c>
    </row>
    <row r="42" spans="1:28" ht="12.75" customHeight="1">
      <c r="B42" s="29" t="s">
        <v>197</v>
      </c>
      <c r="C42" s="132">
        <f>'Historical Financials'!C127</f>
        <v>15</v>
      </c>
      <c r="D42" s="132">
        <f>'Historical Financials'!D127</f>
        <v>16</v>
      </c>
      <c r="E42" s="132">
        <f>'Historical Financials'!E127</f>
        <v>-23</v>
      </c>
      <c r="F42" s="30"/>
      <c r="G42" s="132">
        <f>'Historical Financials'!G127</f>
        <v>18</v>
      </c>
      <c r="H42" s="132">
        <f>'Historical Financials'!H127</f>
        <v>11</v>
      </c>
      <c r="I42" s="132">
        <f>'Historical Financials'!I127</f>
        <v>1</v>
      </c>
      <c r="J42" s="132">
        <f>'Historical Financials'!J127</f>
        <v>-14</v>
      </c>
      <c r="K42" s="132">
        <f>'Historical Financials'!K127</f>
        <v>-23</v>
      </c>
      <c r="L42" s="132">
        <f>'Historical Financials'!L127</f>
        <v>0</v>
      </c>
      <c r="M42" s="132">
        <f>'Historical Financials'!M127</f>
        <v>0</v>
      </c>
      <c r="N42" s="132">
        <f>'Historical Financials'!N127</f>
        <v>0</v>
      </c>
      <c r="O42" s="132">
        <f>'Historical Financials'!O127</f>
        <v>0</v>
      </c>
      <c r="P42" s="132">
        <f>'Historical Financials'!P127</f>
        <v>0</v>
      </c>
      <c r="Q42" s="132">
        <f>'Historical Financials'!Q127</f>
        <v>0</v>
      </c>
      <c r="R42" s="131"/>
      <c r="S42" s="131">
        <f>SUM(G42:J42)</f>
        <v>16</v>
      </c>
      <c r="T42" s="131">
        <f>SUM(H42:K42)</f>
        <v>-25</v>
      </c>
      <c r="U42" s="131">
        <f>SUM(I42:L42)</f>
        <v>-36</v>
      </c>
      <c r="V42" s="131">
        <f>SUM(J42:M42)</f>
        <v>-37</v>
      </c>
      <c r="W42" s="131">
        <f>SUM(K42:N42)</f>
        <v>-23</v>
      </c>
      <c r="X42" s="131">
        <f>SUM(L42:O42)</f>
        <v>0</v>
      </c>
      <c r="Y42" s="131">
        <f>SUM(M42:P42)</f>
        <v>0</v>
      </c>
      <c r="Z42" s="131">
        <f>SUM(N42:Q42)</f>
        <v>0</v>
      </c>
    </row>
    <row r="43" spans="1:28" ht="12.75" customHeight="1">
      <c r="B43" s="29" t="s">
        <v>198</v>
      </c>
      <c r="C43" s="132">
        <f>'Historical Financials'!C129</f>
        <v>0</v>
      </c>
      <c r="D43" s="132">
        <f>'Historical Financials'!D129</f>
        <v>0</v>
      </c>
      <c r="E43" s="132">
        <f>'Historical Financials'!E129</f>
        <v>0</v>
      </c>
      <c r="F43" s="30"/>
      <c r="G43" s="132">
        <f>'Historical Financials'!G129</f>
        <v>0</v>
      </c>
      <c r="H43" s="132">
        <f>'Historical Financials'!H129</f>
        <v>0</v>
      </c>
      <c r="I43" s="132">
        <f>'Historical Financials'!I129</f>
        <v>0</v>
      </c>
      <c r="J43" s="132">
        <f>'Historical Financials'!J129</f>
        <v>0</v>
      </c>
      <c r="K43" s="132">
        <f>'Historical Financials'!K129</f>
        <v>0</v>
      </c>
      <c r="L43" s="132">
        <f>'Historical Financials'!L129</f>
        <v>0</v>
      </c>
      <c r="M43" s="132">
        <f>'Historical Financials'!M129</f>
        <v>0</v>
      </c>
      <c r="N43" s="132">
        <f>'Historical Financials'!N129</f>
        <v>0</v>
      </c>
      <c r="O43" s="132">
        <f>'Historical Financials'!O129</f>
        <v>-1101</v>
      </c>
      <c r="P43" s="132">
        <f>'Historical Financials'!P129</f>
        <v>-1581</v>
      </c>
      <c r="Q43" s="132">
        <f>'Historical Financials'!Q129</f>
        <v>441</v>
      </c>
      <c r="R43" s="131"/>
      <c r="S43" s="131">
        <f>SUM(G43:J43)</f>
        <v>0</v>
      </c>
      <c r="T43" s="131">
        <f>SUM(H43:K43)</f>
        <v>0</v>
      </c>
      <c r="U43" s="131">
        <f>SUM(I43:L43)</f>
        <v>0</v>
      </c>
      <c r="V43" s="131">
        <f>SUM(J43:M43)</f>
        <v>0</v>
      </c>
      <c r="W43" s="131">
        <f>SUM(K43:N43)</f>
        <v>0</v>
      </c>
      <c r="X43" s="131">
        <f>SUM(L43:O43)</f>
        <v>-1101</v>
      </c>
      <c r="Y43" s="131">
        <f>SUM(M43:P43)</f>
        <v>-2682</v>
      </c>
      <c r="Z43" s="131">
        <f>SUM(N43:Q43)</f>
        <v>-2241</v>
      </c>
    </row>
    <row r="44" spans="1:28" ht="12.75" customHeight="1">
      <c r="B44" s="29" t="s">
        <v>69</v>
      </c>
      <c r="C44" s="133"/>
      <c r="D44" s="133">
        <f t="shared" ref="D44:E44" si="30">SUM(D49)-SUM(C49)-SUM(D37:D43)</f>
        <v>1475</v>
      </c>
      <c r="E44" s="133">
        <f t="shared" si="30"/>
        <v>5108</v>
      </c>
      <c r="F44" s="30"/>
      <c r="G44" s="133">
        <f>SUM(G49)-SUM(C49)-SUM(G37:G43)</f>
        <v>350</v>
      </c>
      <c r="H44" s="133">
        <f t="shared" ref="H44" si="31">SUM(H49)-SUM(G49)-SUM(H37:H43)</f>
        <v>67</v>
      </c>
      <c r="I44" s="133">
        <f t="shared" ref="I44" si="32">SUM(I49)-SUM(H49)-SUM(I37:I43)</f>
        <v>723</v>
      </c>
      <c r="J44" s="133">
        <f t="shared" ref="J44" si="33">SUM(J49)-SUM(I49)-SUM(J37:J43)</f>
        <v>350</v>
      </c>
      <c r="K44" s="133">
        <f t="shared" ref="K44" si="34">SUM(K49)-SUM(J49)-SUM(K37:K43)</f>
        <v>1064</v>
      </c>
      <c r="L44" s="133">
        <f t="shared" ref="L44" si="35">SUM(L49)-SUM(K49)-SUM(L37:L43)</f>
        <v>991</v>
      </c>
      <c r="M44" s="133">
        <f t="shared" ref="M44" si="36">SUM(M49)-SUM(L49)-SUM(M37:M43)</f>
        <v>2046</v>
      </c>
      <c r="N44" s="133">
        <f t="shared" ref="N44" si="37">SUM(N49)-SUM(M49)-SUM(N37:N43)</f>
        <v>813</v>
      </c>
      <c r="O44" s="133">
        <f t="shared" ref="O44" si="38">SUM(O49)-SUM(N49)-SUM(O37:O43)</f>
        <v>473</v>
      </c>
      <c r="P44" s="133">
        <f t="shared" ref="P44:Q44" si="39">SUM(P49)-SUM(O49)-SUM(P37:P43)</f>
        <v>-533</v>
      </c>
      <c r="Q44" s="133">
        <f t="shared" si="39"/>
        <v>996</v>
      </c>
      <c r="R44" s="131"/>
      <c r="S44" s="131">
        <f>SUM(G44:J44)</f>
        <v>1490</v>
      </c>
      <c r="T44" s="131">
        <f>SUM(H44:K44)</f>
        <v>2204</v>
      </c>
      <c r="U44" s="131">
        <f>SUM(I44:L44)</f>
        <v>3128</v>
      </c>
      <c r="V44" s="131">
        <f>SUM(J44:M44)</f>
        <v>4451</v>
      </c>
      <c r="W44" s="131">
        <f>SUM(K44:N44)</f>
        <v>4914</v>
      </c>
      <c r="X44" s="131">
        <f>SUM(L44:O44)</f>
        <v>4323</v>
      </c>
      <c r="Y44" s="131">
        <f>SUM(M44:P44)</f>
        <v>2799</v>
      </c>
      <c r="Z44" s="131">
        <f>SUM(N44:Q44)</f>
        <v>1749</v>
      </c>
    </row>
    <row r="45" spans="1:28" ht="12.75" customHeight="1">
      <c r="B45" s="12" t="s">
        <v>40</v>
      </c>
      <c r="C45" s="13">
        <f t="shared" ref="C45:E45" si="40">SUM(C37+SUM(C39:C44))</f>
        <v>-3892</v>
      </c>
      <c r="D45" s="13">
        <f t="shared" si="40"/>
        <v>-516</v>
      </c>
      <c r="E45" s="13">
        <f t="shared" si="40"/>
        <v>6654</v>
      </c>
      <c r="G45" s="13">
        <f t="shared" ref="G45:P45" si="41">SUM(G37+SUM(G39:G44))</f>
        <v>6</v>
      </c>
      <c r="H45" s="13">
        <f t="shared" si="41"/>
        <v>-453</v>
      </c>
      <c r="I45" s="13">
        <f t="shared" si="41"/>
        <v>-134</v>
      </c>
      <c r="J45" s="13">
        <f t="shared" si="41"/>
        <v>65</v>
      </c>
      <c r="K45" s="13">
        <f t="shared" si="41"/>
        <v>1704</v>
      </c>
      <c r="L45" s="13">
        <f t="shared" si="41"/>
        <v>2524</v>
      </c>
      <c r="M45" s="13">
        <f t="shared" si="41"/>
        <v>1616</v>
      </c>
      <c r="N45" s="13">
        <f t="shared" si="41"/>
        <v>810</v>
      </c>
      <c r="O45" s="13">
        <f t="shared" si="41"/>
        <v>-98</v>
      </c>
      <c r="P45" s="13">
        <f t="shared" si="41"/>
        <v>-215</v>
      </c>
      <c r="Q45" s="13">
        <f t="shared" ref="Q45" si="42">SUM(Q37+SUM(Q39:Q44))</f>
        <v>53</v>
      </c>
      <c r="S45" s="13">
        <f t="shared" ref="S45:Z45" si="43">SUM(S37+SUM(S39:S44))</f>
        <v>9200</v>
      </c>
      <c r="T45" s="13">
        <f t="shared" si="43"/>
        <v>10986</v>
      </c>
      <c r="U45" s="13">
        <f t="shared" si="43"/>
        <v>14261</v>
      </c>
      <c r="V45" s="13">
        <f t="shared" si="43"/>
        <v>5909</v>
      </c>
      <c r="W45" s="13">
        <f t="shared" si="43"/>
        <v>6654</v>
      </c>
      <c r="X45" s="13">
        <f t="shared" si="43"/>
        <v>4852</v>
      </c>
      <c r="Y45" s="13">
        <f t="shared" si="43"/>
        <v>2113</v>
      </c>
      <c r="Z45" s="13">
        <f t="shared" si="43"/>
        <v>550</v>
      </c>
    </row>
    <row r="46" spans="1:28" ht="5.0999999999999996" customHeight="1"/>
    <row r="47" spans="1:28" ht="12.75" customHeight="1">
      <c r="A47" s="5"/>
      <c r="B47" s="31" t="s">
        <v>41</v>
      </c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8" ht="5.0999999999999996" customHeight="1"/>
    <row r="49" spans="2:26" ht="12.75" customHeight="1">
      <c r="B49" s="8" t="s">
        <v>42</v>
      </c>
      <c r="C49" s="80">
        <f>'Historical Financials'!C47</f>
        <v>2067</v>
      </c>
      <c r="D49" s="80">
        <f>'Historical Financials'!D47</f>
        <v>1551</v>
      </c>
      <c r="E49" s="80">
        <f>'Historical Financials'!E47</f>
        <v>8205</v>
      </c>
      <c r="F49" s="30"/>
      <c r="G49" s="80">
        <f>'Historical Financials'!G47</f>
        <v>2073</v>
      </c>
      <c r="H49" s="80">
        <f>'Historical Financials'!H47</f>
        <v>1620</v>
      </c>
      <c r="I49" s="80">
        <f>'Historical Financials'!I47</f>
        <v>1486</v>
      </c>
      <c r="J49" s="80">
        <f>'Historical Financials'!J47</f>
        <v>1551</v>
      </c>
      <c r="K49" s="80">
        <f>'Historical Financials'!K47</f>
        <v>3255</v>
      </c>
      <c r="L49" s="80">
        <f>'Historical Financials'!L47</f>
        <v>5779</v>
      </c>
      <c r="M49" s="80">
        <f>'Historical Financials'!M47</f>
        <v>7395</v>
      </c>
      <c r="N49" s="80">
        <f>'Historical Financials'!N47</f>
        <v>8205</v>
      </c>
      <c r="O49" s="80">
        <f>'Historical Financials'!O47</f>
        <v>8107</v>
      </c>
      <c r="P49" s="80">
        <f>'Historical Financials'!P47</f>
        <v>7892</v>
      </c>
      <c r="Q49" s="80">
        <f>'Historical Financials'!Q47</f>
        <v>7945</v>
      </c>
      <c r="R49" s="10"/>
      <c r="S49" s="10">
        <f>J49</f>
        <v>1551</v>
      </c>
      <c r="T49" s="10">
        <f>K49</f>
        <v>3255</v>
      </c>
      <c r="U49" s="10">
        <f>L49</f>
        <v>5779</v>
      </c>
      <c r="V49" s="10">
        <f>M49</f>
        <v>7395</v>
      </c>
      <c r="W49" s="10">
        <f>N49</f>
        <v>8205</v>
      </c>
      <c r="X49" s="10">
        <f>O49</f>
        <v>8107</v>
      </c>
      <c r="Y49" s="10">
        <f>P49</f>
        <v>7892</v>
      </c>
      <c r="Z49" s="10">
        <f>Q49</f>
        <v>7945</v>
      </c>
    </row>
    <row r="50" spans="2:26" ht="12.75" customHeight="1">
      <c r="B50" s="8" t="s">
        <v>145</v>
      </c>
      <c r="C50" s="80">
        <f>'Historical Financials'!C60</f>
        <v>0</v>
      </c>
      <c r="D50" s="80">
        <f>'Historical Financials'!D60</f>
        <v>3555</v>
      </c>
      <c r="E50" s="80">
        <f>'Historical Financials'!E60</f>
        <v>2149</v>
      </c>
      <c r="F50" s="30"/>
      <c r="G50" s="80">
        <f>'Historical Financials'!G60</f>
        <v>0</v>
      </c>
      <c r="H50" s="80">
        <f>'Historical Financials'!H60</f>
        <v>0</v>
      </c>
      <c r="I50" s="80">
        <f>'Historical Financials'!I60</f>
        <v>0</v>
      </c>
      <c r="J50" s="80">
        <f>'Historical Financials'!J60</f>
        <v>3555</v>
      </c>
      <c r="K50" s="80">
        <f>'Historical Financials'!K60</f>
        <v>3647</v>
      </c>
      <c r="L50" s="80">
        <f>'Historical Financials'!L60</f>
        <v>2405</v>
      </c>
      <c r="M50" s="80">
        <f>'Historical Financials'!M60</f>
        <v>2376</v>
      </c>
      <c r="N50" s="80">
        <f>'Historical Financials'!N60</f>
        <v>2149</v>
      </c>
      <c r="O50" s="80">
        <f>'Historical Financials'!O60</f>
        <v>2137</v>
      </c>
      <c r="P50" s="80">
        <f>'Historical Financials'!P60</f>
        <v>2170</v>
      </c>
      <c r="Q50" s="80">
        <f>'Historical Financials'!Q60</f>
        <v>1916</v>
      </c>
      <c r="R50" s="10"/>
      <c r="S50" s="10">
        <f>J50</f>
        <v>3555</v>
      </c>
      <c r="T50" s="10">
        <f>K50</f>
        <v>3647</v>
      </c>
      <c r="U50" s="10">
        <f>L50</f>
        <v>2405</v>
      </c>
      <c r="V50" s="10">
        <f>M50</f>
        <v>2376</v>
      </c>
      <c r="W50" s="10">
        <f>N50</f>
        <v>2149</v>
      </c>
      <c r="X50" s="10">
        <f>O50</f>
        <v>2137</v>
      </c>
      <c r="Y50" s="10">
        <f>P50</f>
        <v>2170</v>
      </c>
      <c r="Z50" s="10">
        <f>Q50</f>
        <v>1916</v>
      </c>
    </row>
    <row r="51" spans="2:26" ht="12.75" customHeight="1">
      <c r="B51" s="12" t="s">
        <v>43</v>
      </c>
      <c r="C51" s="13">
        <f>SUM(C49:C50)</f>
        <v>2067</v>
      </c>
      <c r="D51" s="13">
        <f>SUM(D49:D50)</f>
        <v>5106</v>
      </c>
      <c r="E51" s="13">
        <f>SUM(E49:E50)</f>
        <v>10354</v>
      </c>
      <c r="F51" s="30"/>
      <c r="G51" s="13">
        <f>SUM(G49:G50)</f>
        <v>2073</v>
      </c>
      <c r="H51" s="13">
        <f>SUM(H49:H50)</f>
        <v>1620</v>
      </c>
      <c r="I51" s="13">
        <f>SUM(I49:I50)</f>
        <v>1486</v>
      </c>
      <c r="J51" s="13">
        <f>SUM(J49:J50)</f>
        <v>5106</v>
      </c>
      <c r="K51" s="13">
        <f>SUM(K49:K50)</f>
        <v>6902</v>
      </c>
      <c r="L51" s="13">
        <f>SUM(L49:L50)</f>
        <v>8184</v>
      </c>
      <c r="M51" s="13">
        <f>SUM(M49:M50)</f>
        <v>9771</v>
      </c>
      <c r="N51" s="13">
        <f>SUM(N49:N50)</f>
        <v>10354</v>
      </c>
      <c r="O51" s="13">
        <f>SUM(O49:O50)</f>
        <v>10244</v>
      </c>
      <c r="P51" s="13">
        <f>SUM(P49:P50)</f>
        <v>10062</v>
      </c>
      <c r="Q51" s="13">
        <f>SUM(Q49:Q50)</f>
        <v>9861</v>
      </c>
      <c r="S51" s="13">
        <f>SUM(S49:S50)</f>
        <v>5106</v>
      </c>
      <c r="T51" s="13">
        <f>SUM(T49:T50)</f>
        <v>6902</v>
      </c>
      <c r="U51" s="13">
        <f>SUM(U49:U50)</f>
        <v>8184</v>
      </c>
      <c r="V51" s="13">
        <f>SUM(V49:V50)</f>
        <v>9771</v>
      </c>
      <c r="W51" s="13">
        <f>SUM(W49:W50)</f>
        <v>10354</v>
      </c>
      <c r="X51" s="13">
        <f>SUM(X49:X50)</f>
        <v>10244</v>
      </c>
      <c r="Y51" s="13">
        <f>SUM(Y49:Y50)</f>
        <v>10062</v>
      </c>
      <c r="Z51" s="13">
        <f>SUM(Z49:Z50)</f>
        <v>9861</v>
      </c>
    </row>
    <row r="52" spans="2:26" ht="5.0999999999999996" customHeight="1"/>
    <row r="53" spans="2:26" ht="12.75" customHeight="1">
      <c r="B53" s="32" t="s">
        <v>44</v>
      </c>
    </row>
    <row r="54" spans="2:26" ht="12.75" customHeight="1">
      <c r="B54" s="8" t="s">
        <v>139</v>
      </c>
      <c r="C54" s="80">
        <f>'Historical Financials'!C48</f>
        <v>0</v>
      </c>
      <c r="D54" s="80">
        <f>'Historical Financials'!D48</f>
        <v>7409</v>
      </c>
      <c r="E54" s="80">
        <f>'Historical Financials'!E48</f>
        <v>8174</v>
      </c>
      <c r="G54" s="80">
        <f>'Historical Financials'!G48</f>
        <v>0</v>
      </c>
      <c r="H54" s="80">
        <f>'Historical Financials'!H48</f>
        <v>0</v>
      </c>
      <c r="I54" s="80">
        <f>'Historical Financials'!I48</f>
        <v>0</v>
      </c>
      <c r="J54" s="80">
        <f>'Historical Financials'!J48</f>
        <v>7409</v>
      </c>
      <c r="K54" s="80">
        <f>'Historical Financials'!K48</f>
        <v>6992</v>
      </c>
      <c r="L54" s="80">
        <f>'Historical Financials'!L48</f>
        <v>6419</v>
      </c>
      <c r="M54" s="80">
        <f>'Historical Financials'!M48</f>
        <v>7221</v>
      </c>
      <c r="N54" s="80">
        <f>'Historical Financials'!N48</f>
        <v>8174</v>
      </c>
      <c r="O54" s="80">
        <f>'Historical Financials'!O48</f>
        <v>7136</v>
      </c>
      <c r="P54" s="80">
        <f>'Historical Financials'!P48</f>
        <v>6948</v>
      </c>
      <c r="Q54" s="80">
        <f>'Historical Financials'!Q48</f>
        <v>7374</v>
      </c>
      <c r="R54" s="10"/>
      <c r="S54" s="10">
        <f t="shared" ref="S54:S60" si="44">J54</f>
        <v>7409</v>
      </c>
      <c r="T54" s="10">
        <f t="shared" ref="T54:T60" si="45">K54</f>
        <v>6992</v>
      </c>
      <c r="U54" s="10">
        <f t="shared" ref="U54:U60" si="46">L54</f>
        <v>6419</v>
      </c>
      <c r="V54" s="10">
        <f t="shared" ref="V54:V60" si="47">M54</f>
        <v>7221</v>
      </c>
      <c r="W54" s="10">
        <f t="shared" ref="W54:W60" si="48">N54</f>
        <v>8174</v>
      </c>
      <c r="X54" s="10">
        <f t="shared" ref="X54:X60" si="49">O54</f>
        <v>7136</v>
      </c>
      <c r="Y54" s="10">
        <f t="shared" ref="Y54:Y60" si="50">P54</f>
        <v>6948</v>
      </c>
      <c r="Z54" s="10">
        <f t="shared" ref="Z54:Z60" si="51">Q54</f>
        <v>7374</v>
      </c>
    </row>
    <row r="55" spans="2:26" ht="12.75" customHeight="1">
      <c r="B55" s="8" t="s">
        <v>141</v>
      </c>
      <c r="C55" s="80">
        <f>'Historical Financials'!C50</f>
        <v>0</v>
      </c>
      <c r="D55" s="80">
        <f>'Historical Financials'!D50</f>
        <v>8253</v>
      </c>
      <c r="E55" s="80">
        <f>'Historical Financials'!E50</f>
        <v>8587</v>
      </c>
      <c r="G55" s="80">
        <f>'Historical Financials'!G50</f>
        <v>0</v>
      </c>
      <c r="H55" s="80">
        <f>'Historical Financials'!H50</f>
        <v>0</v>
      </c>
      <c r="I55" s="80">
        <f>'Historical Financials'!I50</f>
        <v>0</v>
      </c>
      <c r="J55" s="80">
        <f>'Historical Financials'!J50</f>
        <v>8253</v>
      </c>
      <c r="K55" s="80">
        <f>'Historical Financials'!K50</f>
        <v>8859</v>
      </c>
      <c r="L55" s="80">
        <f>'Historical Financials'!L50</f>
        <v>9346</v>
      </c>
      <c r="M55" s="80">
        <f>'Historical Financials'!M50</f>
        <v>9377</v>
      </c>
      <c r="N55" s="80">
        <f>'Historical Financials'!N50</f>
        <v>8587</v>
      </c>
      <c r="O55" s="80">
        <f>'Historical Financials'!O50</f>
        <v>9156</v>
      </c>
      <c r="P55" s="80">
        <f>'Historical Financials'!P50</f>
        <v>9825</v>
      </c>
      <c r="Q55" s="80">
        <f>'Historical Financials'!Q50</f>
        <v>10032</v>
      </c>
      <c r="R55" s="10"/>
      <c r="S55" s="10">
        <f t="shared" si="44"/>
        <v>8253</v>
      </c>
      <c r="T55" s="10">
        <f t="shared" si="45"/>
        <v>8859</v>
      </c>
      <c r="U55" s="10">
        <f t="shared" si="46"/>
        <v>9346</v>
      </c>
      <c r="V55" s="10">
        <f t="shared" si="47"/>
        <v>9377</v>
      </c>
      <c r="W55" s="10">
        <f t="shared" si="48"/>
        <v>8587</v>
      </c>
      <c r="X55" s="10">
        <f t="shared" si="49"/>
        <v>9156</v>
      </c>
      <c r="Y55" s="10">
        <f t="shared" si="50"/>
        <v>9825</v>
      </c>
      <c r="Z55" s="10">
        <f t="shared" si="51"/>
        <v>10032</v>
      </c>
    </row>
    <row r="56" spans="2:26" ht="12.75" customHeight="1">
      <c r="B56" s="8" t="s">
        <v>142</v>
      </c>
      <c r="C56" s="80">
        <f>'Historical Financials'!C56</f>
        <v>0</v>
      </c>
      <c r="D56" s="80">
        <f>'Historical Financials'!D56</f>
        <v>5228</v>
      </c>
      <c r="E56" s="80">
        <f>'Historical Financials'!E56</f>
        <v>5150</v>
      </c>
      <c r="G56" s="80">
        <f>'Historical Financials'!G56</f>
        <v>0</v>
      </c>
      <c r="H56" s="80">
        <f>'Historical Financials'!H56</f>
        <v>0</v>
      </c>
      <c r="I56" s="80">
        <f>'Historical Financials'!I56</f>
        <v>0</v>
      </c>
      <c r="J56" s="80">
        <f>'Historical Financials'!J56</f>
        <v>5228</v>
      </c>
      <c r="K56" s="80">
        <f>'Historical Financials'!K56</f>
        <v>5224</v>
      </c>
      <c r="L56" s="80">
        <f>'Historical Financials'!L56</f>
        <v>5168</v>
      </c>
      <c r="M56" s="80">
        <f>'Historical Financials'!M56</f>
        <v>5148</v>
      </c>
      <c r="N56" s="80">
        <f>'Historical Financials'!N56</f>
        <v>5150</v>
      </c>
      <c r="O56" s="80">
        <f>'Historical Financials'!O56</f>
        <v>5225</v>
      </c>
      <c r="P56" s="80">
        <f>'Historical Financials'!P56</f>
        <v>5419</v>
      </c>
      <c r="Q56" s="80">
        <f>'Historical Financials'!Q56</f>
        <v>5555</v>
      </c>
      <c r="R56" s="10"/>
      <c r="S56" s="10">
        <f t="shared" si="44"/>
        <v>5228</v>
      </c>
      <c r="T56" s="10">
        <f t="shared" si="45"/>
        <v>5224</v>
      </c>
      <c r="U56" s="10">
        <f t="shared" si="46"/>
        <v>5168</v>
      </c>
      <c r="V56" s="10">
        <f t="shared" si="47"/>
        <v>5148</v>
      </c>
      <c r="W56" s="10">
        <f t="shared" si="48"/>
        <v>5150</v>
      </c>
      <c r="X56" s="10">
        <f t="shared" si="49"/>
        <v>5225</v>
      </c>
      <c r="Y56" s="10">
        <f t="shared" si="50"/>
        <v>5419</v>
      </c>
      <c r="Z56" s="10">
        <f t="shared" si="51"/>
        <v>5555</v>
      </c>
    </row>
    <row r="57" spans="2:26" ht="12.75" customHeight="1">
      <c r="B57" s="8" t="s">
        <v>147</v>
      </c>
      <c r="C57" s="80">
        <f>'Historical Financials'!C66</f>
        <v>0</v>
      </c>
      <c r="D57" s="80">
        <f>'Historical Financials'!D66</f>
        <v>7900</v>
      </c>
      <c r="E57" s="80">
        <f>'Historical Financials'!E66</f>
        <v>8578</v>
      </c>
      <c r="G57" s="80">
        <f>'Historical Financials'!G66</f>
        <v>0</v>
      </c>
      <c r="H57" s="80">
        <f>'Historical Financials'!H66</f>
        <v>0</v>
      </c>
      <c r="I57" s="80">
        <f>'Historical Financials'!I66</f>
        <v>0</v>
      </c>
      <c r="J57" s="80">
        <f>'Historical Financials'!J66</f>
        <v>7900</v>
      </c>
      <c r="K57" s="80">
        <f>'Historical Financials'!K66</f>
        <v>7509</v>
      </c>
      <c r="L57" s="80">
        <f>'Historical Financials'!L66</f>
        <v>7841</v>
      </c>
      <c r="M57" s="80">
        <f>'Historical Financials'!M66</f>
        <v>8942</v>
      </c>
      <c r="N57" s="80">
        <f>'Historical Financials'!N66</f>
        <v>8578</v>
      </c>
      <c r="O57" s="80">
        <f>'Historical Financials'!O66</f>
        <v>8421</v>
      </c>
      <c r="P57" s="80">
        <f>'Historical Financials'!P66</f>
        <v>9035</v>
      </c>
      <c r="Q57" s="80">
        <f>'Historical Financials'!Q66</f>
        <v>9541</v>
      </c>
      <c r="R57" s="10"/>
      <c r="S57" s="10">
        <f t="shared" si="44"/>
        <v>7900</v>
      </c>
      <c r="T57" s="10">
        <f t="shared" si="45"/>
        <v>7509</v>
      </c>
      <c r="U57" s="10">
        <f t="shared" si="46"/>
        <v>7841</v>
      </c>
      <c r="V57" s="10">
        <f t="shared" si="47"/>
        <v>8942</v>
      </c>
      <c r="W57" s="10">
        <f t="shared" si="48"/>
        <v>8578</v>
      </c>
      <c r="X57" s="10">
        <f t="shared" si="49"/>
        <v>8421</v>
      </c>
      <c r="Y57" s="10">
        <f t="shared" si="50"/>
        <v>9035</v>
      </c>
      <c r="Z57" s="10">
        <f t="shared" si="51"/>
        <v>9541</v>
      </c>
    </row>
    <row r="58" spans="2:26" ht="12.75" customHeight="1">
      <c r="B58" s="8" t="s">
        <v>149</v>
      </c>
      <c r="C58" s="80">
        <f>'Historical Financials'!C68</f>
        <v>0</v>
      </c>
      <c r="D58" s="80">
        <f>'Historical Financials'!D68</f>
        <v>15074</v>
      </c>
      <c r="E58" s="80">
        <f>'Historical Financials'!E68</f>
        <v>17587</v>
      </c>
      <c r="F58" s="80"/>
      <c r="G58" s="80">
        <f>'Historical Financials'!G68</f>
        <v>0</v>
      </c>
      <c r="H58" s="80">
        <f>'Historical Financials'!H68</f>
        <v>0</v>
      </c>
      <c r="I58" s="80">
        <f>'Historical Financials'!I68</f>
        <v>0</v>
      </c>
      <c r="J58" s="80">
        <f>'Historical Financials'!J68</f>
        <v>15074</v>
      </c>
      <c r="K58" s="80">
        <f>'Historical Financials'!K68</f>
        <v>15919</v>
      </c>
      <c r="L58" s="80">
        <f>'Historical Financials'!L68</f>
        <v>16536</v>
      </c>
      <c r="M58" s="80">
        <f>'Historical Financials'!M68</f>
        <v>16908</v>
      </c>
      <c r="N58" s="80">
        <f>'Historical Financials'!N68</f>
        <v>17587</v>
      </c>
      <c r="O58" s="80">
        <f>'Historical Financials'!O68</f>
        <v>18708</v>
      </c>
      <c r="P58" s="80">
        <f>'Historical Financials'!P68</f>
        <v>19603</v>
      </c>
      <c r="Q58" s="80">
        <f>'Historical Financials'!Q68</f>
        <v>20151</v>
      </c>
      <c r="R58" s="10"/>
      <c r="S58" s="10">
        <f t="shared" si="44"/>
        <v>15074</v>
      </c>
      <c r="T58" s="10">
        <f t="shared" si="45"/>
        <v>15919</v>
      </c>
      <c r="U58" s="10">
        <f t="shared" si="46"/>
        <v>16536</v>
      </c>
      <c r="V58" s="10">
        <f t="shared" si="47"/>
        <v>16908</v>
      </c>
      <c r="W58" s="10">
        <f t="shared" si="48"/>
        <v>17587</v>
      </c>
      <c r="X58" s="10">
        <f t="shared" si="49"/>
        <v>18708</v>
      </c>
      <c r="Y58" s="10">
        <f t="shared" si="50"/>
        <v>19603</v>
      </c>
      <c r="Z58" s="10">
        <f t="shared" si="51"/>
        <v>20151</v>
      </c>
    </row>
    <row r="59" spans="2:26" ht="12.75" customHeight="1">
      <c r="B59" s="8" t="s">
        <v>45</v>
      </c>
      <c r="C59" s="80">
        <f>'Historical Financials'!C70</f>
        <v>0</v>
      </c>
      <c r="D59" s="80">
        <f>'Historical Financials'!D70</f>
        <v>29306</v>
      </c>
      <c r="E59" s="80">
        <f>'Historical Financials'!E70</f>
        <v>31685</v>
      </c>
      <c r="F59" s="80"/>
      <c r="G59" s="80">
        <f>'Historical Financials'!G70</f>
        <v>0</v>
      </c>
      <c r="H59" s="80">
        <f>'Historical Financials'!H70</f>
        <v>0</v>
      </c>
      <c r="I59" s="80">
        <f>'Historical Financials'!I70</f>
        <v>0</v>
      </c>
      <c r="J59" s="80">
        <f>'Historical Financials'!J70</f>
        <v>29306</v>
      </c>
      <c r="K59" s="80">
        <f>'Historical Financials'!K70</f>
        <v>29516</v>
      </c>
      <c r="L59" s="80">
        <f>'Historical Financials'!L70</f>
        <v>29065</v>
      </c>
      <c r="M59" s="80">
        <f>'Historical Financials'!M70</f>
        <v>31232</v>
      </c>
      <c r="N59" s="80">
        <f>'Historical Financials'!N70</f>
        <v>31685</v>
      </c>
      <c r="O59" s="80">
        <f>'Historical Financials'!O70</f>
        <v>32676</v>
      </c>
      <c r="P59" s="80">
        <f>'Historical Financials'!P70</f>
        <v>33761</v>
      </c>
      <c r="Q59" s="80">
        <f>'Historical Financials'!Q70</f>
        <v>35271</v>
      </c>
      <c r="R59" s="10"/>
      <c r="S59" s="10">
        <f t="shared" si="44"/>
        <v>29306</v>
      </c>
      <c r="T59" s="10">
        <f t="shared" si="45"/>
        <v>29516</v>
      </c>
      <c r="U59" s="10">
        <f t="shared" si="46"/>
        <v>29065</v>
      </c>
      <c r="V59" s="10">
        <f t="shared" si="47"/>
        <v>31232</v>
      </c>
      <c r="W59" s="10">
        <f t="shared" si="48"/>
        <v>31685</v>
      </c>
      <c r="X59" s="10">
        <f t="shared" si="49"/>
        <v>32676</v>
      </c>
      <c r="Y59" s="10">
        <f t="shared" si="50"/>
        <v>33761</v>
      </c>
      <c r="Z59" s="10">
        <f t="shared" si="51"/>
        <v>35271</v>
      </c>
    </row>
    <row r="60" spans="2:26" ht="12.75" customHeight="1">
      <c r="B60" s="8" t="s">
        <v>16</v>
      </c>
      <c r="C60" s="80">
        <f>'Historical Financials'!C76</f>
        <v>0</v>
      </c>
      <c r="D60" s="80">
        <f>'Historical Financials'!D76</f>
        <v>37741</v>
      </c>
      <c r="E60" s="80">
        <f>'Historical Financials'!E76</f>
        <v>40892</v>
      </c>
      <c r="F60" s="80"/>
      <c r="G60" s="80">
        <f>'Historical Financials'!G76</f>
        <v>0</v>
      </c>
      <c r="H60" s="80">
        <f>'Historical Financials'!H76</f>
        <v>0</v>
      </c>
      <c r="I60" s="80">
        <f>'Historical Financials'!I76</f>
        <v>0</v>
      </c>
      <c r="J60" s="80">
        <f>'Historical Financials'!J76</f>
        <v>37741</v>
      </c>
      <c r="K60" s="80">
        <f>'Historical Financials'!K76</f>
        <v>37892</v>
      </c>
      <c r="L60" s="80">
        <f>'Historical Financials'!L76</f>
        <v>38003</v>
      </c>
      <c r="M60" s="80">
        <f>'Historical Financials'!M76</f>
        <v>40336</v>
      </c>
      <c r="N60" s="80">
        <f>'Historical Financials'!N76</f>
        <v>40892</v>
      </c>
      <c r="O60" s="80">
        <f>'Historical Financials'!O76</f>
        <v>41887</v>
      </c>
      <c r="P60" s="80">
        <f>'Historical Financials'!P76</f>
        <v>43131</v>
      </c>
      <c r="Q60" s="80">
        <f>'Historical Financials'!Q76</f>
        <v>44668</v>
      </c>
      <c r="R60" s="10"/>
      <c r="S60" s="10">
        <f t="shared" si="44"/>
        <v>37741</v>
      </c>
      <c r="T60" s="10">
        <f t="shared" si="45"/>
        <v>37892</v>
      </c>
      <c r="U60" s="10">
        <f t="shared" si="46"/>
        <v>38003</v>
      </c>
      <c r="V60" s="10">
        <f t="shared" si="47"/>
        <v>40336</v>
      </c>
      <c r="W60" s="10">
        <f t="shared" si="48"/>
        <v>40892</v>
      </c>
      <c r="X60" s="10">
        <f t="shared" si="49"/>
        <v>41887</v>
      </c>
      <c r="Y60" s="10">
        <f t="shared" si="50"/>
        <v>43131</v>
      </c>
      <c r="Z60" s="10">
        <f t="shared" si="51"/>
        <v>44668</v>
      </c>
    </row>
    <row r="61" spans="2:26" ht="5.0999999999999996" customHeight="1"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</row>
    <row r="62" spans="2:26">
      <c r="B62" s="32" t="s">
        <v>96</v>
      </c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</row>
    <row r="63" spans="2:26">
      <c r="B63" s="8" t="s">
        <v>97</v>
      </c>
      <c r="C63" s="75">
        <v>0</v>
      </c>
      <c r="D63" s="75">
        <v>0</v>
      </c>
      <c r="E63" s="75">
        <v>0</v>
      </c>
      <c r="G63" s="75">
        <v>0</v>
      </c>
      <c r="H63" s="75">
        <v>0</v>
      </c>
      <c r="I63" s="75">
        <v>0</v>
      </c>
      <c r="J63" s="75">
        <v>0</v>
      </c>
      <c r="K63" s="75">
        <v>0</v>
      </c>
      <c r="L63" s="75">
        <v>0</v>
      </c>
      <c r="M63" s="75">
        <v>0</v>
      </c>
      <c r="N63" s="75">
        <v>0</v>
      </c>
      <c r="O63" s="75">
        <v>0</v>
      </c>
      <c r="P63" s="75">
        <v>0</v>
      </c>
      <c r="Q63" s="75">
        <v>0</v>
      </c>
      <c r="R63" s="10"/>
      <c r="S63" s="10">
        <f t="shared" ref="S63:S64" si="52">J63</f>
        <v>0</v>
      </c>
      <c r="T63" s="10">
        <f t="shared" ref="T63:T64" si="53">K63</f>
        <v>0</v>
      </c>
      <c r="U63" s="10">
        <f t="shared" ref="U63:U64" si="54">L63</f>
        <v>0</v>
      </c>
      <c r="V63" s="10">
        <f t="shared" ref="V63:V64" si="55">M63</f>
        <v>0</v>
      </c>
      <c r="W63" s="10">
        <f t="shared" ref="W63:W64" si="56">N63</f>
        <v>0</v>
      </c>
      <c r="X63" s="10">
        <f t="shared" ref="X63:X64" si="57">O63</f>
        <v>0</v>
      </c>
      <c r="Y63" s="10">
        <f t="shared" ref="Y63:Y64" si="58">P63</f>
        <v>0</v>
      </c>
      <c r="Z63" s="10">
        <f t="shared" ref="Z63:Z64" si="59">Q63</f>
        <v>0</v>
      </c>
    </row>
    <row r="64" spans="2:26">
      <c r="B64" s="8" t="s">
        <v>98</v>
      </c>
      <c r="C64" s="75">
        <v>0</v>
      </c>
      <c r="D64" s="75">
        <v>0</v>
      </c>
      <c r="E64" s="75">
        <v>0</v>
      </c>
      <c r="G64" s="75">
        <v>0</v>
      </c>
      <c r="H64" s="75">
        <v>0</v>
      </c>
      <c r="I64" s="75">
        <v>0</v>
      </c>
      <c r="J64" s="75">
        <v>0</v>
      </c>
      <c r="K64" s="75">
        <v>0</v>
      </c>
      <c r="L64" s="75">
        <v>0</v>
      </c>
      <c r="M64" s="75">
        <v>0</v>
      </c>
      <c r="N64" s="75">
        <v>0</v>
      </c>
      <c r="O64" s="75">
        <v>0</v>
      </c>
      <c r="P64" s="75">
        <v>0</v>
      </c>
      <c r="Q64" s="75">
        <v>0</v>
      </c>
      <c r="R64" s="10"/>
      <c r="S64" s="10">
        <f t="shared" si="52"/>
        <v>0</v>
      </c>
      <c r="T64" s="10">
        <f t="shared" si="53"/>
        <v>0</v>
      </c>
      <c r="U64" s="10">
        <f t="shared" si="54"/>
        <v>0</v>
      </c>
      <c r="V64" s="10">
        <f t="shared" si="55"/>
        <v>0</v>
      </c>
      <c r="W64" s="10">
        <f t="shared" si="56"/>
        <v>0</v>
      </c>
      <c r="X64" s="10">
        <f t="shared" si="57"/>
        <v>0</v>
      </c>
      <c r="Y64" s="10">
        <f t="shared" si="58"/>
        <v>0</v>
      </c>
      <c r="Z64" s="10">
        <f t="shared" si="59"/>
        <v>0</v>
      </c>
    </row>
    <row r="66" spans="1:26">
      <c r="B66" s="130" t="s">
        <v>199</v>
      </c>
      <c r="C66" s="106">
        <f>SUM(C63:C64)</f>
        <v>0</v>
      </c>
      <c r="D66" s="106">
        <f t="shared" ref="D66:Q66" si="60">SUM(D63:D64)</f>
        <v>0</v>
      </c>
      <c r="E66" s="106">
        <f t="shared" si="60"/>
        <v>0</v>
      </c>
      <c r="G66" s="106">
        <f t="shared" si="60"/>
        <v>0</v>
      </c>
      <c r="H66" s="106">
        <f t="shared" si="60"/>
        <v>0</v>
      </c>
      <c r="I66" s="106">
        <f t="shared" si="60"/>
        <v>0</v>
      </c>
      <c r="J66" s="106">
        <f t="shared" si="60"/>
        <v>0</v>
      </c>
      <c r="K66" s="106">
        <f t="shared" si="60"/>
        <v>0</v>
      </c>
      <c r="L66" s="106">
        <f t="shared" si="60"/>
        <v>0</v>
      </c>
      <c r="M66" s="106">
        <f t="shared" si="60"/>
        <v>0</v>
      </c>
      <c r="N66" s="106">
        <f t="shared" si="60"/>
        <v>0</v>
      </c>
      <c r="O66" s="106">
        <f t="shared" si="60"/>
        <v>0</v>
      </c>
      <c r="P66" s="106">
        <f t="shared" si="60"/>
        <v>0</v>
      </c>
      <c r="Q66" s="106">
        <f t="shared" si="60"/>
        <v>0</v>
      </c>
      <c r="R66" s="10"/>
      <c r="S66" s="10">
        <f t="shared" ref="S66" si="61">J66</f>
        <v>0</v>
      </c>
      <c r="T66" s="10">
        <f t="shared" ref="T66" si="62">K66</f>
        <v>0</v>
      </c>
      <c r="U66" s="10">
        <f t="shared" ref="U66" si="63">L66</f>
        <v>0</v>
      </c>
      <c r="V66" s="10">
        <f t="shared" ref="V66" si="64">M66</f>
        <v>0</v>
      </c>
      <c r="W66" s="10">
        <f t="shared" ref="W66" si="65">N66</f>
        <v>0</v>
      </c>
      <c r="X66" s="10">
        <f t="shared" ref="X66" si="66">O66</f>
        <v>0</v>
      </c>
      <c r="Y66" s="10">
        <f t="shared" ref="Y66" si="67">P66</f>
        <v>0</v>
      </c>
      <c r="Z66" s="10">
        <f>Q66</f>
        <v>0</v>
      </c>
    </row>
    <row r="67" spans="1:26" ht="12.75" customHeight="1">
      <c r="B67" s="12" t="s">
        <v>22</v>
      </c>
      <c r="C67" s="13">
        <f>SUM(C66:C66)</f>
        <v>0</v>
      </c>
      <c r="D67" s="13">
        <f>SUM(D66:D66)</f>
        <v>0</v>
      </c>
      <c r="E67" s="13">
        <f>SUM(E66:E66)</f>
        <v>0</v>
      </c>
      <c r="G67" s="13">
        <f>SUM(G66:G66)</f>
        <v>0</v>
      </c>
      <c r="H67" s="13">
        <f>SUM(H66:H66)</f>
        <v>0</v>
      </c>
      <c r="I67" s="13">
        <f>SUM(I66:I66)</f>
        <v>0</v>
      </c>
      <c r="J67" s="13">
        <f>SUM(J66:J66)</f>
        <v>0</v>
      </c>
      <c r="K67" s="13">
        <f>SUM(K66:K66)</f>
        <v>0</v>
      </c>
      <c r="L67" s="13">
        <f>SUM(L66:L66)</f>
        <v>0</v>
      </c>
      <c r="M67" s="13">
        <f>SUM(M66:M66)</f>
        <v>0</v>
      </c>
      <c r="N67" s="13">
        <f>SUM(N66:N66)</f>
        <v>0</v>
      </c>
      <c r="O67" s="13">
        <f>SUM(O66:O66)</f>
        <v>0</v>
      </c>
      <c r="P67" s="13">
        <f>SUM(P66:P66)</f>
        <v>0</v>
      </c>
      <c r="Q67" s="13">
        <f>SUM(Q66:Q66)</f>
        <v>0</v>
      </c>
      <c r="S67" s="13">
        <f>SUM(S66:S66)</f>
        <v>0</v>
      </c>
      <c r="T67" s="13">
        <f>SUM(T66:T66)</f>
        <v>0</v>
      </c>
      <c r="U67" s="13">
        <f>SUM(U66:U66)</f>
        <v>0</v>
      </c>
      <c r="V67" s="13">
        <f>SUM(V66:V66)</f>
        <v>0</v>
      </c>
      <c r="W67" s="13">
        <f>SUM(W66:W66)</f>
        <v>0</v>
      </c>
      <c r="X67" s="13">
        <f>SUM(X66:X66)</f>
        <v>0</v>
      </c>
      <c r="Y67" s="13">
        <f>SUM(Y66:Y66)</f>
        <v>0</v>
      </c>
      <c r="Z67" s="13">
        <f>SUM(Z66:Z66)</f>
        <v>0</v>
      </c>
    </row>
    <row r="68" spans="1:26" ht="5.0999999999999996" customHeight="1"/>
    <row r="69" spans="1:26" ht="12.75" customHeight="1">
      <c r="B69" s="8" t="s">
        <v>46</v>
      </c>
      <c r="C69" s="80">
        <f>'Historical Financials'!C87</f>
        <v>0</v>
      </c>
      <c r="D69" s="80">
        <f>'Historical Financials'!D87</f>
        <v>8380</v>
      </c>
      <c r="E69" s="80">
        <f>'Historical Financials'!E87</f>
        <v>10592</v>
      </c>
      <c r="G69" s="80">
        <f>'Historical Financials'!G87</f>
        <v>0</v>
      </c>
      <c r="H69" s="80">
        <f>'Historical Financials'!H87</f>
        <v>0</v>
      </c>
      <c r="I69" s="80">
        <f>'Historical Financials'!I87</f>
        <v>0</v>
      </c>
      <c r="J69" s="80">
        <f>'Historical Financials'!J87</f>
        <v>8380</v>
      </c>
      <c r="K69" s="80">
        <f>'Historical Financials'!K87</f>
        <v>9980</v>
      </c>
      <c r="L69" s="80">
        <f>'Historical Financials'!L87</f>
        <v>10049</v>
      </c>
      <c r="M69" s="80">
        <f>'Historical Financials'!M87</f>
        <v>10518</v>
      </c>
      <c r="N69" s="80">
        <f>'Historical Financials'!N87</f>
        <v>10592</v>
      </c>
      <c r="O69" s="80">
        <f>'Historical Financials'!O87</f>
        <v>9671</v>
      </c>
      <c r="P69" s="80">
        <f>'Historical Financials'!P87</f>
        <v>9947</v>
      </c>
      <c r="Q69" s="80">
        <f>'Historical Financials'!Q87</f>
        <v>9729</v>
      </c>
      <c r="R69" s="10"/>
      <c r="S69" s="10">
        <f t="shared" ref="S69" si="68">J69</f>
        <v>8380</v>
      </c>
      <c r="T69" s="10">
        <f t="shared" ref="T69" si="69">K69</f>
        <v>9980</v>
      </c>
      <c r="U69" s="10">
        <f t="shared" ref="U69" si="70">L69</f>
        <v>10049</v>
      </c>
      <c r="V69" s="10">
        <f t="shared" ref="V69" si="71">M69</f>
        <v>10518</v>
      </c>
      <c r="W69" s="10">
        <f t="shared" ref="W69" si="72">N69</f>
        <v>10592</v>
      </c>
      <c r="X69" s="10">
        <f t="shared" ref="X69" si="73">O69</f>
        <v>9671</v>
      </c>
      <c r="Y69" s="10">
        <f t="shared" ref="Y69" si="74">P69</f>
        <v>9947</v>
      </c>
      <c r="Z69" s="10">
        <f>Q69</f>
        <v>9729</v>
      </c>
    </row>
    <row r="70" spans="1:26" ht="12.75" customHeight="1">
      <c r="B70" s="12" t="s">
        <v>47</v>
      </c>
      <c r="C70" s="13">
        <f t="shared" ref="C70:E70" si="75">SUM(C67:C69)</f>
        <v>0</v>
      </c>
      <c r="D70" s="13">
        <f t="shared" si="75"/>
        <v>8380</v>
      </c>
      <c r="E70" s="13">
        <f t="shared" si="75"/>
        <v>10592</v>
      </c>
      <c r="G70" s="13">
        <f>SUM(G67:G69)</f>
        <v>0</v>
      </c>
      <c r="H70" s="13">
        <f>SUM(H67:H69)</f>
        <v>0</v>
      </c>
      <c r="I70" s="13">
        <f>SUM(I67:I69)</f>
        <v>0</v>
      </c>
      <c r="J70" s="13">
        <f>SUM(J67:J69)</f>
        <v>8380</v>
      </c>
      <c r="K70" s="13">
        <f t="shared" ref="K70:P70" si="76">SUM(K67:K69)</f>
        <v>9980</v>
      </c>
      <c r="L70" s="13">
        <f t="shared" si="76"/>
        <v>10049</v>
      </c>
      <c r="M70" s="13">
        <f t="shared" si="76"/>
        <v>10518</v>
      </c>
      <c r="N70" s="13">
        <f t="shared" si="76"/>
        <v>10592</v>
      </c>
      <c r="O70" s="13">
        <f t="shared" si="76"/>
        <v>9671</v>
      </c>
      <c r="P70" s="13">
        <f t="shared" si="76"/>
        <v>9947</v>
      </c>
      <c r="Q70" s="13">
        <f t="shared" ref="Q70" si="77">SUM(Q67:Q69)</f>
        <v>9729</v>
      </c>
      <c r="S70" s="13">
        <f t="shared" ref="S70:X70" si="78">SUM(S67:S69)</f>
        <v>8380</v>
      </c>
      <c r="T70" s="13">
        <f t="shared" si="78"/>
        <v>9980</v>
      </c>
      <c r="U70" s="13">
        <f t="shared" si="78"/>
        <v>10049</v>
      </c>
      <c r="V70" s="13">
        <f t="shared" si="78"/>
        <v>10518</v>
      </c>
      <c r="W70" s="13">
        <f t="shared" si="78"/>
        <v>10592</v>
      </c>
      <c r="X70" s="13">
        <f t="shared" si="78"/>
        <v>9671</v>
      </c>
      <c r="Y70" s="13">
        <f>SUM(Y67:Y69)</f>
        <v>9947</v>
      </c>
      <c r="Z70" s="13">
        <f>SUM(Z67:Z69)</f>
        <v>9729</v>
      </c>
    </row>
    <row r="71" spans="1:26" ht="5.0999999999999996" customHeight="1"/>
    <row r="72" spans="1:26" ht="12.75" customHeight="1">
      <c r="A72" s="5"/>
      <c r="B72" s="31" t="s">
        <v>70</v>
      </c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5.0999999999999996" customHeight="1"/>
    <row r="74" spans="1:26" ht="12.75" customHeight="1">
      <c r="B74" s="29" t="s">
        <v>99</v>
      </c>
      <c r="C74" s="134">
        <f>C67/C29</f>
        <v>0</v>
      </c>
      <c r="D74" s="134">
        <f>D67/D29</f>
        <v>0</v>
      </c>
      <c r="E74" s="134">
        <f>E67/E29</f>
        <v>0</v>
      </c>
      <c r="G74" s="135"/>
      <c r="H74" s="135"/>
      <c r="I74" s="135"/>
      <c r="J74" s="134">
        <f>SUM(J67/SUM(G29:J29))</f>
        <v>0</v>
      </c>
      <c r="K74" s="134">
        <f>SUM(K67/SUM(H29:K29))</f>
        <v>0</v>
      </c>
      <c r="L74" s="134">
        <f>SUM(L67/SUM(I29:L29))</f>
        <v>0</v>
      </c>
      <c r="M74" s="134">
        <f>SUM(M67/SUM(J29:M29))</f>
        <v>0</v>
      </c>
      <c r="N74" s="134">
        <f>SUM(N67/SUM(K29:N29))</f>
        <v>0</v>
      </c>
      <c r="O74" s="134">
        <f>SUM(O67/SUM(L29:O29))</f>
        <v>0</v>
      </c>
      <c r="P74" s="134">
        <f>SUM(P67/SUM(M29:P29))</f>
        <v>0</v>
      </c>
      <c r="Q74" s="134">
        <f>SUM(Q67/SUM(N29:Q29))</f>
        <v>0</v>
      </c>
      <c r="R74" s="134"/>
      <c r="S74" s="134">
        <f>S67/S29</f>
        <v>0</v>
      </c>
      <c r="T74" s="134">
        <f>T67/T29</f>
        <v>0</v>
      </c>
      <c r="U74" s="134">
        <f>U67/U29</f>
        <v>0</v>
      </c>
      <c r="V74" s="134">
        <f>V67/V29</f>
        <v>0</v>
      </c>
      <c r="W74" s="134">
        <f>W67/W29</f>
        <v>0</v>
      </c>
      <c r="X74" s="134">
        <f>X67/X29</f>
        <v>0</v>
      </c>
      <c r="Y74" s="134">
        <f>Y67/Y29</f>
        <v>0</v>
      </c>
      <c r="Z74" s="134">
        <f>Z67/Z29</f>
        <v>0</v>
      </c>
    </row>
    <row r="75" spans="1:26" ht="12.75" customHeight="1">
      <c r="B75" s="29" t="s">
        <v>100</v>
      </c>
      <c r="C75" s="134">
        <f>SUM(C67-C49)/C29</f>
        <v>0.43988082570759734</v>
      </c>
      <c r="D75" s="134">
        <f>SUM(D67-D49)/D29</f>
        <v>0.7399809160305344</v>
      </c>
      <c r="E75" s="134">
        <f>SUM(E67-E49)/E29</f>
        <v>4.4423389279913374</v>
      </c>
      <c r="G75" s="135"/>
      <c r="H75" s="135"/>
      <c r="I75" s="135"/>
      <c r="J75" s="134">
        <f>SUM(J67-J49)/SUM(G29:J29)</f>
        <v>0.7399809160305344</v>
      </c>
      <c r="K75" s="134">
        <f>SUM(K67-K49)/SUM(H29:K29)</f>
        <v>1.682170542635659</v>
      </c>
      <c r="L75" s="134">
        <f>SUM(L67-L49)/SUM(I29:L29)</f>
        <v>3.1458900381056072</v>
      </c>
      <c r="M75" s="134">
        <f>SUM(M67-M49)/SUM(J29:M29)</f>
        <v>3.8138215575038679</v>
      </c>
      <c r="N75" s="134">
        <f>SUM(N67-N49)/SUM(K29:N29)</f>
        <v>4.4423389279913374</v>
      </c>
      <c r="O75" s="134">
        <f>SUM(O67-O49)/SUM(L29:O29)</f>
        <v>5.4445936870382807</v>
      </c>
      <c r="P75" s="134">
        <f>SUM(P67-P49)/SUM(M29:P29)</f>
        <v>10.679296346414073</v>
      </c>
      <c r="Q75" s="134">
        <f>SUM(Q67-Q49)/SUM(N29:Q29)</f>
        <v>-58.419117647058826</v>
      </c>
      <c r="R75" s="134"/>
      <c r="S75" s="134">
        <f>SUM(S67-S49)/S29</f>
        <v>-0.20354330708661417</v>
      </c>
      <c r="T75" s="134">
        <f>SUM(T67-T49)/T29</f>
        <v>-0.41364849409073579</v>
      </c>
      <c r="U75" s="134">
        <f>SUM(U67-U49)/U29</f>
        <v>-0.69921355111917727</v>
      </c>
      <c r="V75" s="134">
        <f>SUM(V67-V49)/V29</f>
        <v>3.8138215575038679</v>
      </c>
      <c r="W75" s="134">
        <f>SUM(W67-W49)/W29</f>
        <v>4.4423389279913374</v>
      </c>
      <c r="X75" s="134">
        <f>SUM(X67-X49)/X29</f>
        <v>5.4445936870382807</v>
      </c>
      <c r="Y75" s="134">
        <f>SUM(Y67-Y49)/Y29</f>
        <v>10.679296346414073</v>
      </c>
      <c r="Z75" s="134">
        <f>SUM(Z67-Z49)/Z29</f>
        <v>-58.419117647058826</v>
      </c>
    </row>
    <row r="76" spans="1:26" ht="12.75" customHeight="1">
      <c r="B76" s="29" t="s">
        <v>101</v>
      </c>
      <c r="C76" s="134">
        <f>C29/-C34</f>
        <v>-61.025974025974023</v>
      </c>
      <c r="D76" s="134">
        <f>D29/-D34</f>
        <v>-25.253012048192772</v>
      </c>
      <c r="E76" s="134">
        <f>E29/-E34</f>
        <v>-24.95945945945946</v>
      </c>
      <c r="G76" s="135"/>
      <c r="H76" s="135"/>
      <c r="I76" s="135"/>
      <c r="J76" s="134" cm="1">
        <f t="array" ref="J76">SUM(G29:J29)/SUM(-G34:J34)</f>
        <v>-21.387755102040817</v>
      </c>
      <c r="K76" s="134" cm="1">
        <f t="array" ref="K76">SUM(H29:K29)/SUM(-H34:K34)</f>
        <v>-21.263736263736263</v>
      </c>
      <c r="L76" s="134" cm="1">
        <f t="array" ref="L76">SUM(I29:L29)/SUM(-I34:L34)</f>
        <v>-183.7</v>
      </c>
      <c r="M76" s="134" cm="1">
        <f t="array" ref="M76">SUM(J29:M29)/SUM(-J34:M34)</f>
        <v>41.255319148936174</v>
      </c>
      <c r="N76" s="134" cm="1">
        <f t="array" ref="N76">SUM(K29:N29)/SUM(-K34:N34)</f>
        <v>15.391666666666667</v>
      </c>
      <c r="O76" s="134" cm="1">
        <f t="array" ref="O76">SUM(L29:O29)/SUM(-L34:O34)</f>
        <v>7.8368421052631581</v>
      </c>
      <c r="P76" s="134" cm="1">
        <f t="array" ref="P76">SUM(M29:P29)/SUM(-M34:P34)</f>
        <v>4.2965116279069768</v>
      </c>
      <c r="Q76" s="134" cm="1">
        <f t="array" ref="Q76">SUM(N29:Q29)/SUM(-N34:Q34)</f>
        <v>-0.75555555555555554</v>
      </c>
      <c r="R76" s="134"/>
      <c r="S76" s="134">
        <f>S29/-S34</f>
        <v>77.755102040816325</v>
      </c>
      <c r="T76" s="134">
        <f>T29/-T34</f>
        <v>86.472527472527474</v>
      </c>
      <c r="U76" s="134">
        <f>U29/-U34</f>
        <v>826.5</v>
      </c>
      <c r="V76" s="134">
        <f>V29/-V34</f>
        <v>41.255319148936174</v>
      </c>
      <c r="W76" s="134">
        <f>W29/-W34</f>
        <v>15.391666666666667</v>
      </c>
      <c r="X76" s="134">
        <f>X29/-X34</f>
        <v>7.8368421052631581</v>
      </c>
      <c r="Y76" s="134">
        <f>Y29/-Y34</f>
        <v>4.2965116279069768</v>
      </c>
      <c r="Z76" s="134">
        <f>Z29/-Z34</f>
        <v>-0.75555555555555554</v>
      </c>
    </row>
    <row r="77" spans="1:26" ht="12.75" customHeight="1">
      <c r="B77" s="29" t="s">
        <v>102</v>
      </c>
      <c r="C77" s="134" cm="1">
        <f t="array" ref="C77">SUM(C29+C32)/SUM(-C33:C34)</f>
        <v>-31.023809523809526</v>
      </c>
      <c r="D77" s="134" cm="1">
        <f t="array" ref="D77">SUM(D29+D32)/SUM(-D33:D34)</f>
        <v>-33.411764705882355</v>
      </c>
      <c r="E77" s="134" cm="1">
        <f t="array" ref="E77">SUM(E29+E32)/SUM(-E33:E34)</f>
        <v>-3.9167862266857965</v>
      </c>
      <c r="G77" s="135"/>
      <c r="H77" s="135"/>
      <c r="I77" s="135"/>
      <c r="J77" s="134" cm="1">
        <f t="array" ref="J77">SUM(G29:J29+G32:J32)/SUM(-G33:J34)</f>
        <v>-28.4</v>
      </c>
      <c r="K77" s="134" cm="1">
        <f t="array" ref="K77">SUM(H29:K29+H32:K32)/SUM(-H33:K34)</f>
        <v>-26.150943396226417</v>
      </c>
      <c r="L77" s="134" cm="1">
        <f t="array" ref="L77">SUM(I29:L29+I32:L32)/SUM(-I33:L34)</f>
        <v>-15.445086705202312</v>
      </c>
      <c r="M77" s="134" cm="1">
        <f t="array" ref="M77">SUM(J29:M29+J32:M32)/SUM(-J33:M34)</f>
        <v>-9.7588652482269502</v>
      </c>
      <c r="N77" s="134" cm="1">
        <f t="array" ref="N77">SUM(K29:N29+K32:N32)/SUM(-K33:N34)</f>
        <v>-5.4274353876739561</v>
      </c>
      <c r="O77" s="134" cm="1">
        <f t="array" ref="O77">SUM(L29:O29+L32:O32)/SUM(-L33:O34)</f>
        <v>-4.5019230769230774</v>
      </c>
      <c r="P77" s="134" cm="1">
        <f t="array" ref="P77">SUM(M29:P29+M32:P32)/SUM(-M33:P34)</f>
        <v>-2.7971918876755071</v>
      </c>
      <c r="Q77" s="134" cm="1">
        <f t="array" ref="Q77">SUM(N29:Q29+N32:Q32)/SUM(-N33:Q34)</f>
        <v>-1.2859399684044235</v>
      </c>
      <c r="R77" s="134"/>
      <c r="S77" s="134" cm="1">
        <f t="array" ref="S77">SUM(S29+S32)/SUM(-S33:S34)</f>
        <v>68.760000000000005</v>
      </c>
      <c r="T77" s="134" cm="1">
        <f t="array" ref="T77">SUM(T29+T32)/SUM(-T33:T34)</f>
        <v>66.339622641509436</v>
      </c>
      <c r="U77" s="134" cm="1">
        <f t="array" ref="U77">SUM(U29+U32)/SUM(-U33:U34)</f>
        <v>42.947976878612714</v>
      </c>
      <c r="V77" s="134" cm="1">
        <f t="array" ref="V77">SUM(V29+V32)/SUM(-V33:V34)</f>
        <v>-9.7588652482269502</v>
      </c>
      <c r="W77" s="134" cm="1">
        <f t="array" ref="W77">SUM(W29+W32)/SUM(-W33:W34)</f>
        <v>-5.4274353876739561</v>
      </c>
      <c r="X77" s="134" cm="1">
        <f t="array" ref="X77">SUM(X29+X32)/SUM(-X33:X34)</f>
        <v>-4.5019230769230774</v>
      </c>
      <c r="Y77" s="134" cm="1">
        <f t="array" ref="Y77">SUM(Y29+Y32)/SUM(-Y33:Y34)</f>
        <v>-2.7971918876755071</v>
      </c>
      <c r="Z77" s="134" cm="1">
        <f t="array" ref="Z77">SUM(Z29+Z32)/SUM(-Z33:Z34)</f>
        <v>-1.2859399684044235</v>
      </c>
    </row>
    <row r="78" spans="1:26" ht="12.75" customHeight="1">
      <c r="B78" s="29" t="s">
        <v>103</v>
      </c>
      <c r="C78" s="134" cm="1">
        <f t="array" ref="C78">SUM(C29)/SUM(-C32:C34)</f>
        <v>-6.9001468428781205</v>
      </c>
      <c r="D78" s="134" cm="1">
        <f t="array" ref="D78">SUM(D29)/SUM(-D32:D34)</f>
        <v>-2.528347406513872</v>
      </c>
      <c r="E78" s="134" cm="1">
        <f t="array" ref="E78">SUM(E29)/SUM(-E32:E34)</f>
        <v>-1.1689873417721519</v>
      </c>
      <c r="G78" s="135"/>
      <c r="H78" s="135"/>
      <c r="I78" s="135"/>
      <c r="J78" s="134" cm="1">
        <f t="array" ref="J78">SUM(G29:J29)/SUM(-G32:J34)</f>
        <v>-2.4834123222748814</v>
      </c>
      <c r="K78" s="134" cm="1">
        <f t="array" ref="K78">SUM(H29:K29)/SUM(-H32:K34)</f>
        <v>-2.051961823966066</v>
      </c>
      <c r="L78" s="134" cm="1">
        <f t="array" ref="L78">SUM(I29:L29)/SUM(-I32:L34)</f>
        <v>-1.8224206349206349</v>
      </c>
      <c r="M78" s="134" cm="1">
        <f t="array" ref="M78">SUM(J29:M29)/SUM(-J32:M34)</f>
        <v>-1.7707762557077626</v>
      </c>
      <c r="N78" s="134" cm="1">
        <f t="array" ref="N78">SUM(K29:N29)/SUM(-K32:N34)</f>
        <v>-1.3326118326118326</v>
      </c>
      <c r="O78" s="134" cm="1">
        <f t="array" ref="O78">SUM(L29:O29)/SUM(-L32:O34)</f>
        <v>-1.0852769679300291</v>
      </c>
      <c r="P78" s="134" cm="1">
        <f t="array" ref="P78">SUM(M29:P29)/SUM(-M32:P34)</f>
        <v>-0.43598820058997051</v>
      </c>
      <c r="Q78" s="134" cm="1">
        <f t="array" ref="Q78">SUM(N29:Q29)/SUM(-N32:Q34)</f>
        <v>8.5912823752368916E-2</v>
      </c>
      <c r="R78" s="134"/>
      <c r="S78" s="134" cm="1">
        <f t="array" ref="S78">SUM(S29)/SUM(-S32:S34)</f>
        <v>9.0284360189573452</v>
      </c>
      <c r="T78" s="134" cm="1">
        <f t="array" ref="T78">SUM(T29)/SUM(-T32:T34)</f>
        <v>8.3446447507953341</v>
      </c>
      <c r="U78" s="134" cm="1">
        <f t="array" ref="U78">SUM(U29)/SUM(-U32:U34)</f>
        <v>8.1994047619047628</v>
      </c>
      <c r="V78" s="134" cm="1">
        <f t="array" ref="V78">SUM(V29)/SUM(-V32:V34)</f>
        <v>-1.7707762557077626</v>
      </c>
      <c r="W78" s="134" cm="1">
        <f t="array" ref="W78">SUM(W29)/SUM(-W32:W34)</f>
        <v>-1.3326118326118326</v>
      </c>
      <c r="X78" s="134" cm="1">
        <f t="array" ref="X78">SUM(X29)/SUM(-X32:X34)</f>
        <v>-1.0852769679300291</v>
      </c>
      <c r="Y78" s="134" cm="1">
        <f t="array" ref="Y78">SUM(Y29)/SUM(-Y32:Y34)</f>
        <v>-0.43598820058997051</v>
      </c>
      <c r="Z78" s="134" cm="1">
        <f t="array" ref="Z78">SUM(Z29)/SUM(-Z32:Z34)</f>
        <v>8.5912823752368916E-2</v>
      </c>
    </row>
    <row r="79" spans="1:26" ht="12.75" customHeight="1">
      <c r="B79" s="8" t="s">
        <v>48</v>
      </c>
      <c r="C79" s="134" t="e">
        <f t="shared" ref="C79:E79" si="79">C70/C67</f>
        <v>#DIV/0!</v>
      </c>
      <c r="D79" s="134" t="e">
        <f t="shared" si="79"/>
        <v>#DIV/0!</v>
      </c>
      <c r="E79" s="134" t="e">
        <f t="shared" si="79"/>
        <v>#DIV/0!</v>
      </c>
      <c r="G79" s="135"/>
      <c r="H79" s="135"/>
      <c r="I79" s="135"/>
      <c r="J79" s="134" t="e">
        <f t="shared" ref="J79:P79" si="80">J70/J67</f>
        <v>#DIV/0!</v>
      </c>
      <c r="K79" s="134" t="e">
        <f t="shared" si="80"/>
        <v>#DIV/0!</v>
      </c>
      <c r="L79" s="134" t="e">
        <f t="shared" si="80"/>
        <v>#DIV/0!</v>
      </c>
      <c r="M79" s="134" t="e">
        <f t="shared" si="80"/>
        <v>#DIV/0!</v>
      </c>
      <c r="N79" s="134" t="e">
        <f t="shared" si="80"/>
        <v>#DIV/0!</v>
      </c>
      <c r="O79" s="134" t="e">
        <f t="shared" si="80"/>
        <v>#DIV/0!</v>
      </c>
      <c r="P79" s="134" t="e">
        <f t="shared" si="80"/>
        <v>#DIV/0!</v>
      </c>
      <c r="Q79" s="134" t="e">
        <f t="shared" ref="Q79" si="81">Q70/Q67</f>
        <v>#DIV/0!</v>
      </c>
      <c r="R79" s="134"/>
      <c r="S79" s="134" t="e">
        <f t="shared" ref="S79:X79" si="82">S70/S67</f>
        <v>#DIV/0!</v>
      </c>
      <c r="T79" s="134" t="e">
        <f t="shared" si="82"/>
        <v>#DIV/0!</v>
      </c>
      <c r="U79" s="134" t="e">
        <f t="shared" si="82"/>
        <v>#DIV/0!</v>
      </c>
      <c r="V79" s="134" t="e">
        <f t="shared" si="82"/>
        <v>#DIV/0!</v>
      </c>
      <c r="W79" s="134" t="e">
        <f t="shared" si="82"/>
        <v>#DIV/0!</v>
      </c>
      <c r="X79" s="134" t="e">
        <f t="shared" si="82"/>
        <v>#DIV/0!</v>
      </c>
      <c r="Y79" s="134" t="e">
        <f>Y70/Y67</f>
        <v>#DIV/0!</v>
      </c>
      <c r="Z79" s="134" t="e">
        <f>Z70/Z67</f>
        <v>#DIV/0!</v>
      </c>
    </row>
    <row r="80" spans="1:26" ht="5.0999999999999996" customHeight="1" thickBot="1"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</row>
  </sheetData>
  <mergeCells count="1">
    <mergeCell ref="AB2:AB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Historical Financials</vt:lpstr>
      <vt:lpstr>Revenue Drivers</vt:lpstr>
      <vt:lpstr>FCF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Garcia</dc:creator>
  <cp:lastModifiedBy>Felix Garcia</cp:lastModifiedBy>
  <dcterms:created xsi:type="dcterms:W3CDTF">2024-08-10T06:01:52Z</dcterms:created>
  <dcterms:modified xsi:type="dcterms:W3CDTF">2025-12-31T08:02:34Z</dcterms:modified>
</cp:coreProperties>
</file>