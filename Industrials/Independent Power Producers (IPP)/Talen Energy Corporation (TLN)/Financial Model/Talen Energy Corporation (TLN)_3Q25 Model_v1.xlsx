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BFDB0C3B-BC35-480D-A877-DBF26EAB7D24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3" i="8" l="1"/>
  <c r="J80" i="8"/>
  <c r="J79" i="8"/>
  <c r="J78" i="8"/>
  <c r="J77" i="8"/>
  <c r="J76" i="8"/>
  <c r="R76" i="8" s="1"/>
  <c r="J75" i="8"/>
  <c r="J71" i="8"/>
  <c r="J70" i="8"/>
  <c r="J69" i="8"/>
  <c r="J68" i="8"/>
  <c r="J67" i="8"/>
  <c r="J66" i="8"/>
  <c r="T77" i="8"/>
  <c r="V77" i="8" s="1"/>
  <c r="S77" i="8"/>
  <c r="Q77" i="8"/>
  <c r="P77" i="8"/>
  <c r="O77" i="8"/>
  <c r="R77" i="8"/>
  <c r="T76" i="8"/>
  <c r="S76" i="8"/>
  <c r="Q76" i="8"/>
  <c r="P76" i="8"/>
  <c r="V76" i="8" s="1"/>
  <c r="O76" i="8"/>
  <c r="T67" i="8"/>
  <c r="S67" i="8"/>
  <c r="Q67" i="8"/>
  <c r="P67" i="8"/>
  <c r="O67" i="8"/>
  <c r="R67" i="8"/>
  <c r="T69" i="8"/>
  <c r="S69" i="8"/>
  <c r="Q69" i="8"/>
  <c r="P69" i="8"/>
  <c r="O69" i="8"/>
  <c r="R69" i="8"/>
  <c r="T68" i="8"/>
  <c r="S68" i="8"/>
  <c r="Q68" i="8"/>
  <c r="P68" i="8"/>
  <c r="O68" i="8"/>
  <c r="R68" i="8"/>
  <c r="J62" i="8"/>
  <c r="J61" i="8"/>
  <c r="J60" i="8"/>
  <c r="R60" i="8" s="1"/>
  <c r="J59" i="8"/>
  <c r="J55" i="8"/>
  <c r="J54" i="8"/>
  <c r="J53" i="8"/>
  <c r="J52" i="8"/>
  <c r="J51" i="8"/>
  <c r="R51" i="8" s="1"/>
  <c r="J50" i="8"/>
  <c r="T51" i="8"/>
  <c r="S51" i="8"/>
  <c r="Q51" i="8"/>
  <c r="P51" i="8"/>
  <c r="O51" i="8"/>
  <c r="Q29" i="8"/>
  <c r="P29" i="8"/>
  <c r="O29" i="8"/>
  <c r="T29" i="8"/>
  <c r="Q28" i="8"/>
  <c r="P28" i="8"/>
  <c r="O28" i="8"/>
  <c r="T28" i="8"/>
  <c r="J23" i="8"/>
  <c r="J22" i="8"/>
  <c r="T22" i="8" s="1"/>
  <c r="J21" i="8"/>
  <c r="T21" i="8" s="1"/>
  <c r="J20" i="8"/>
  <c r="T20" i="8" s="1"/>
  <c r="J19" i="8"/>
  <c r="Q22" i="8"/>
  <c r="P22" i="8"/>
  <c r="O22" i="8"/>
  <c r="Q21" i="8"/>
  <c r="P21" i="8"/>
  <c r="O21" i="8"/>
  <c r="Q20" i="8"/>
  <c r="P20" i="8"/>
  <c r="O20" i="8"/>
  <c r="J10" i="8"/>
  <c r="J15" i="8"/>
  <c r="S15" i="8" s="1"/>
  <c r="J14" i="8"/>
  <c r="T14" i="8" s="1"/>
  <c r="J13" i="8"/>
  <c r="Q14" i="8"/>
  <c r="P14" i="8"/>
  <c r="O14" i="8"/>
  <c r="J11" i="10"/>
  <c r="J10" i="10"/>
  <c r="T10" i="10" s="1"/>
  <c r="J23" i="10"/>
  <c r="J22" i="10"/>
  <c r="S22" i="10" s="1"/>
  <c r="J21" i="10"/>
  <c r="J20" i="10"/>
  <c r="T20" i="10" s="1"/>
  <c r="T16" i="10"/>
  <c r="B16" i="10"/>
  <c r="Q10" i="10"/>
  <c r="P10" i="10"/>
  <c r="O10" i="10"/>
  <c r="T60" i="8"/>
  <c r="S60" i="8"/>
  <c r="Q60" i="8"/>
  <c r="P60" i="8"/>
  <c r="O60" i="8"/>
  <c r="Q15" i="8"/>
  <c r="S21" i="10"/>
  <c r="Q22" i="10"/>
  <c r="P22" i="10"/>
  <c r="O22" i="10"/>
  <c r="Q21" i="10"/>
  <c r="P21" i="10"/>
  <c r="O21" i="10"/>
  <c r="Q20" i="10"/>
  <c r="P20" i="10"/>
  <c r="O20" i="10"/>
  <c r="T29" i="10"/>
  <c r="B29" i="10"/>
  <c r="T28" i="10"/>
  <c r="B28" i="10"/>
  <c r="M24" i="10"/>
  <c r="M9" i="10" s="1"/>
  <c r="M12" i="10" s="1"/>
  <c r="M27" i="10" s="1"/>
  <c r="M4" i="10"/>
  <c r="M3" i="10"/>
  <c r="B2" i="10"/>
  <c r="T144" i="8"/>
  <c r="T143" i="8"/>
  <c r="S8" i="8"/>
  <c r="R8" i="8"/>
  <c r="P8" i="8"/>
  <c r="O8" i="8"/>
  <c r="S7" i="8"/>
  <c r="R7" i="8"/>
  <c r="Q7" i="8"/>
  <c r="P7" i="8"/>
  <c r="O7" i="8"/>
  <c r="T8" i="8"/>
  <c r="T7" i="8"/>
  <c r="M140" i="8"/>
  <c r="M136" i="8"/>
  <c r="M127" i="8"/>
  <c r="M96" i="8"/>
  <c r="M95" i="8"/>
  <c r="M88" i="8"/>
  <c r="M72" i="8"/>
  <c r="M81" i="8" s="1"/>
  <c r="M56" i="8"/>
  <c r="M63" i="8" s="1"/>
  <c r="M47" i="8"/>
  <c r="M46" i="8"/>
  <c r="M11" i="8"/>
  <c r="M16" i="8" s="1"/>
  <c r="V67" i="8" l="1"/>
  <c r="V68" i="8"/>
  <c r="V69" i="8"/>
  <c r="V51" i="8"/>
  <c r="V29" i="8"/>
  <c r="V21" i="8"/>
  <c r="V28" i="8"/>
  <c r="R28" i="8"/>
  <c r="R29" i="8"/>
  <c r="S28" i="8"/>
  <c r="S29" i="8"/>
  <c r="V20" i="8"/>
  <c r="V22" i="8"/>
  <c r="R20" i="8"/>
  <c r="R21" i="8"/>
  <c r="R22" i="8"/>
  <c r="S20" i="8"/>
  <c r="S21" i="8"/>
  <c r="S22" i="8"/>
  <c r="V14" i="8"/>
  <c r="S14" i="8"/>
  <c r="R14" i="8"/>
  <c r="M25" i="10"/>
  <c r="M16" i="10"/>
  <c r="R10" i="10"/>
  <c r="S10" i="10"/>
  <c r="R21" i="10"/>
  <c r="R20" i="10"/>
  <c r="T21" i="10"/>
  <c r="S20" i="10"/>
  <c r="T22" i="10"/>
  <c r="M28" i="10"/>
  <c r="M29" i="10"/>
  <c r="V60" i="8"/>
  <c r="R15" i="8"/>
  <c r="O15" i="8"/>
  <c r="T15" i="8"/>
  <c r="P15" i="8"/>
  <c r="R22" i="10"/>
  <c r="M30" i="10"/>
  <c r="M17" i="10"/>
  <c r="M13" i="10"/>
  <c r="M15" i="10"/>
  <c r="M89" i="8"/>
  <c r="M91" i="8" s="1"/>
  <c r="M17" i="8"/>
  <c r="M24" i="8"/>
  <c r="S23" i="10"/>
  <c r="T30" i="10"/>
  <c r="B30" i="10"/>
  <c r="T27" i="10"/>
  <c r="B27" i="10"/>
  <c r="L24" i="10"/>
  <c r="K24" i="10"/>
  <c r="I24" i="10"/>
  <c r="H24" i="10"/>
  <c r="G24" i="10"/>
  <c r="E24" i="10"/>
  <c r="D24" i="10"/>
  <c r="C24" i="10"/>
  <c r="T23" i="10"/>
  <c r="T79" i="8"/>
  <c r="S79" i="8"/>
  <c r="Q79" i="8"/>
  <c r="P79" i="8"/>
  <c r="O79" i="8"/>
  <c r="R79" i="8"/>
  <c r="T78" i="8"/>
  <c r="S78" i="8"/>
  <c r="Q78" i="8"/>
  <c r="P78" i="8"/>
  <c r="O78" i="8"/>
  <c r="R78" i="8"/>
  <c r="R55" i="8"/>
  <c r="R54" i="8"/>
  <c r="R53" i="8"/>
  <c r="R52" i="8"/>
  <c r="T52" i="8"/>
  <c r="S52" i="8"/>
  <c r="Q52" i="8"/>
  <c r="P52" i="8"/>
  <c r="O52" i="8"/>
  <c r="S31" i="8"/>
  <c r="T30" i="8"/>
  <c r="P31" i="8"/>
  <c r="Q30" i="8"/>
  <c r="R13" i="8"/>
  <c r="S23" i="8"/>
  <c r="S19" i="8"/>
  <c r="O13" i="8"/>
  <c r="Q23" i="8"/>
  <c r="Q19" i="8"/>
  <c r="R80" i="8"/>
  <c r="R75" i="8"/>
  <c r="R71" i="8"/>
  <c r="T71" i="8"/>
  <c r="S71" i="8"/>
  <c r="Q71" i="8"/>
  <c r="P71" i="8"/>
  <c r="O71" i="8"/>
  <c r="T55" i="8"/>
  <c r="S55" i="8"/>
  <c r="Q55" i="8"/>
  <c r="P55" i="8"/>
  <c r="O55" i="8"/>
  <c r="T54" i="8"/>
  <c r="S54" i="8"/>
  <c r="Q54" i="8"/>
  <c r="P54" i="8"/>
  <c r="O54" i="8"/>
  <c r="T53" i="8"/>
  <c r="S53" i="8"/>
  <c r="Q53" i="8"/>
  <c r="P53" i="8"/>
  <c r="O53" i="8"/>
  <c r="S87" i="8"/>
  <c r="Q87" i="8"/>
  <c r="P87" i="8"/>
  <c r="O87" i="8"/>
  <c r="S86" i="8"/>
  <c r="Q86" i="8"/>
  <c r="P86" i="8"/>
  <c r="O86" i="8"/>
  <c r="S85" i="8"/>
  <c r="Q85" i="8"/>
  <c r="P85" i="8"/>
  <c r="O85" i="8"/>
  <c r="S84" i="8"/>
  <c r="Q84" i="8"/>
  <c r="P84" i="8"/>
  <c r="O84" i="8"/>
  <c r="S83" i="8"/>
  <c r="Q83" i="8"/>
  <c r="P83" i="8"/>
  <c r="O83" i="8"/>
  <c r="T87" i="8"/>
  <c r="T86" i="8"/>
  <c r="T85" i="8"/>
  <c r="T84" i="8"/>
  <c r="T83" i="8"/>
  <c r="S80" i="8"/>
  <c r="Q80" i="8"/>
  <c r="P80" i="8"/>
  <c r="O80" i="8"/>
  <c r="S75" i="8"/>
  <c r="Q75" i="8"/>
  <c r="P75" i="8"/>
  <c r="O75" i="8"/>
  <c r="T80" i="8"/>
  <c r="T75" i="8"/>
  <c r="T70" i="8"/>
  <c r="S70" i="8"/>
  <c r="Q70" i="8"/>
  <c r="P70" i="8"/>
  <c r="O70" i="8"/>
  <c r="S66" i="8"/>
  <c r="Q66" i="8"/>
  <c r="P66" i="8"/>
  <c r="O66" i="8"/>
  <c r="T66" i="8"/>
  <c r="S62" i="8"/>
  <c r="Q62" i="8"/>
  <c r="P62" i="8"/>
  <c r="O62" i="8"/>
  <c r="S61" i="8"/>
  <c r="Q61" i="8"/>
  <c r="P61" i="8"/>
  <c r="O61" i="8"/>
  <c r="S59" i="8"/>
  <c r="Q59" i="8"/>
  <c r="P59" i="8"/>
  <c r="O59" i="8"/>
  <c r="T62" i="8"/>
  <c r="T61" i="8"/>
  <c r="T59" i="8"/>
  <c r="S50" i="8"/>
  <c r="Q50" i="8"/>
  <c r="P50" i="8"/>
  <c r="O50" i="8"/>
  <c r="T50" i="8"/>
  <c r="T42" i="8"/>
  <c r="S42" i="8"/>
  <c r="Q42" i="8"/>
  <c r="P42" i="8"/>
  <c r="O42" i="8"/>
  <c r="S39" i="8"/>
  <c r="Q39" i="8"/>
  <c r="P39" i="8"/>
  <c r="O39" i="8"/>
  <c r="T39" i="8"/>
  <c r="T96" i="8"/>
  <c r="T46" i="8"/>
  <c r="C9" i="10" l="1"/>
  <c r="C25" i="10" s="1"/>
  <c r="D9" i="10"/>
  <c r="D25" i="10"/>
  <c r="E9" i="10"/>
  <c r="E25" i="10"/>
  <c r="G9" i="10"/>
  <c r="G25" i="10"/>
  <c r="H9" i="10"/>
  <c r="H25" i="10"/>
  <c r="I9" i="10"/>
  <c r="I25" i="10"/>
  <c r="K9" i="10"/>
  <c r="K25" i="10"/>
  <c r="L9" i="10"/>
  <c r="L25" i="10"/>
  <c r="V15" i="8"/>
  <c r="V79" i="8"/>
  <c r="O31" i="8"/>
  <c r="M25" i="8"/>
  <c r="M32" i="8"/>
  <c r="T24" i="10"/>
  <c r="J24" i="10"/>
  <c r="S24" i="10"/>
  <c r="R23" i="10"/>
  <c r="R24" i="10" s="1"/>
  <c r="P23" i="10"/>
  <c r="Q23" i="10"/>
  <c r="O23" i="10"/>
  <c r="V78" i="8"/>
  <c r="V62" i="8"/>
  <c r="V61" i="8"/>
  <c r="P30" i="8"/>
  <c r="V30" i="8" s="1"/>
  <c r="O30" i="8"/>
  <c r="V52" i="8"/>
  <c r="R31" i="8"/>
  <c r="R30" i="8"/>
  <c r="T31" i="8"/>
  <c r="V31" i="8" s="1"/>
  <c r="S30" i="8"/>
  <c r="Q31" i="8"/>
  <c r="P13" i="8"/>
  <c r="Q13" i="8"/>
  <c r="V53" i="8"/>
  <c r="V55" i="8"/>
  <c r="V54" i="8"/>
  <c r="O19" i="8"/>
  <c r="P19" i="8"/>
  <c r="O23" i="8"/>
  <c r="P23" i="8"/>
  <c r="T56" i="8"/>
  <c r="T63" i="8" s="1"/>
  <c r="S13" i="8"/>
  <c r="T13" i="8"/>
  <c r="R23" i="8"/>
  <c r="R19" i="8"/>
  <c r="T23" i="8"/>
  <c r="T19" i="8"/>
  <c r="T88" i="8"/>
  <c r="T72" i="8"/>
  <c r="T81" i="8" s="1"/>
  <c r="T47" i="8"/>
  <c r="T95" i="8"/>
  <c r="J9" i="10" l="1"/>
  <c r="J25" i="10" s="1"/>
  <c r="M36" i="8"/>
  <c r="M33" i="8"/>
  <c r="Q24" i="10"/>
  <c r="O24" i="10"/>
  <c r="P24" i="10"/>
  <c r="T89" i="8"/>
  <c r="T91" i="8" s="1"/>
  <c r="O25" i="10" l="1"/>
  <c r="Q25" i="10"/>
  <c r="T25" i="10"/>
  <c r="S25" i="10"/>
  <c r="R25" i="10"/>
  <c r="M43" i="8"/>
  <c r="M40" i="8"/>
  <c r="M37" i="8"/>
  <c r="M99" i="8"/>
  <c r="M119" i="8" s="1"/>
  <c r="M145" i="8" s="1"/>
  <c r="T145" i="8" s="1"/>
  <c r="P25" i="10" l="1"/>
  <c r="R70" i="8" l="1"/>
  <c r="R66" i="8"/>
  <c r="R62" i="8"/>
  <c r="R61" i="8"/>
  <c r="R59" i="8"/>
  <c r="R50" i="8"/>
  <c r="Q27" i="8" l="1"/>
  <c r="P27" i="8"/>
  <c r="O27" i="8"/>
  <c r="R35" i="8"/>
  <c r="S35" i="8"/>
  <c r="T35" i="8"/>
  <c r="R27" i="8"/>
  <c r="T27" i="8"/>
  <c r="S27" i="8"/>
  <c r="Q35" i="8"/>
  <c r="P35" i="8"/>
  <c r="O35" i="8"/>
  <c r="S144" i="8"/>
  <c r="T140" i="8" s="1"/>
  <c r="R144" i="8"/>
  <c r="S140" i="8" s="1"/>
  <c r="Q144" i="8"/>
  <c r="P144" i="8"/>
  <c r="Q140" i="8" s="1"/>
  <c r="O144" i="8"/>
  <c r="P140" i="8" s="1"/>
  <c r="O140" i="8"/>
  <c r="S143" i="8"/>
  <c r="R143" i="8"/>
  <c r="P143" i="8"/>
  <c r="O143" i="8"/>
  <c r="C11" i="8"/>
  <c r="C16" i="8" s="1"/>
  <c r="C46" i="8"/>
  <c r="C47" i="8"/>
  <c r="C56" i="8"/>
  <c r="C63" i="8" s="1"/>
  <c r="C72" i="8"/>
  <c r="C81" i="8" s="1"/>
  <c r="C88" i="8"/>
  <c r="C95" i="8"/>
  <c r="C96" i="8"/>
  <c r="C127" i="8"/>
  <c r="C136" i="8"/>
  <c r="C141" i="8"/>
  <c r="AE40" i="11"/>
  <c r="AG40" i="11" s="1"/>
  <c r="AD40" i="11"/>
  <c r="AC40" i="11"/>
  <c r="AB40" i="11"/>
  <c r="AA40" i="11"/>
  <c r="Z40" i="11"/>
  <c r="Y40" i="11"/>
  <c r="X40" i="11"/>
  <c r="W40" i="11"/>
  <c r="V40" i="11"/>
  <c r="AE23" i="11"/>
  <c r="AD23" i="11"/>
  <c r="AC23" i="11"/>
  <c r="AB23" i="11"/>
  <c r="AA23" i="11"/>
  <c r="Z23" i="11"/>
  <c r="Y23" i="11"/>
  <c r="X23" i="11"/>
  <c r="W23" i="11"/>
  <c r="V23" i="11"/>
  <c r="AE22" i="11"/>
  <c r="AD22" i="11"/>
  <c r="AC22" i="11"/>
  <c r="AB22" i="11"/>
  <c r="AA22" i="11"/>
  <c r="Z22" i="11"/>
  <c r="Y22" i="11"/>
  <c r="X22" i="11"/>
  <c r="W22" i="11"/>
  <c r="V22" i="11"/>
  <c r="AE21" i="11"/>
  <c r="AD21" i="11"/>
  <c r="AC21" i="11"/>
  <c r="AB21" i="11"/>
  <c r="AA21" i="11"/>
  <c r="Z21" i="11"/>
  <c r="Y21" i="11"/>
  <c r="X21" i="11"/>
  <c r="W21" i="11"/>
  <c r="V21" i="11"/>
  <c r="W54" i="11"/>
  <c r="AC54" i="11"/>
  <c r="W55" i="11"/>
  <c r="AA55" i="11"/>
  <c r="AB55" i="11"/>
  <c r="K56" i="11"/>
  <c r="O56" i="11"/>
  <c r="Z56" i="11" s="1"/>
  <c r="S56" i="11"/>
  <c r="AD56" i="11" s="1"/>
  <c r="X54" i="11"/>
  <c r="Y54" i="11"/>
  <c r="AC55" i="11"/>
  <c r="AD78" i="11"/>
  <c r="AC78" i="11"/>
  <c r="AB78" i="11"/>
  <c r="AA78" i="11"/>
  <c r="Z78" i="11"/>
  <c r="Y78" i="11"/>
  <c r="X78" i="11"/>
  <c r="W78" i="11"/>
  <c r="V78" i="11"/>
  <c r="AE78" i="11"/>
  <c r="AC75" i="11"/>
  <c r="AB75" i="11"/>
  <c r="AA75" i="11"/>
  <c r="Y75" i="11"/>
  <c r="X75" i="11"/>
  <c r="W75" i="11"/>
  <c r="AC74" i="11"/>
  <c r="AB74" i="11"/>
  <c r="AA74" i="11"/>
  <c r="Y74" i="11"/>
  <c r="X74" i="11"/>
  <c r="W74" i="11"/>
  <c r="AC73" i="11"/>
  <c r="AB73" i="11"/>
  <c r="AA73" i="11"/>
  <c r="Y73" i="11"/>
  <c r="X73" i="11"/>
  <c r="W73" i="11"/>
  <c r="AC72" i="11"/>
  <c r="AB72" i="11"/>
  <c r="AA72" i="11"/>
  <c r="Y72" i="11"/>
  <c r="X72" i="11"/>
  <c r="W72" i="11"/>
  <c r="AE75" i="11"/>
  <c r="AE74" i="11"/>
  <c r="AE73" i="11"/>
  <c r="AE72" i="11"/>
  <c r="AD70" i="11"/>
  <c r="AC70" i="11"/>
  <c r="AB70" i="11"/>
  <c r="AA70" i="11"/>
  <c r="Z70" i="11"/>
  <c r="Y70" i="11"/>
  <c r="X70" i="11"/>
  <c r="W70" i="11"/>
  <c r="V70" i="11"/>
  <c r="AD69" i="11"/>
  <c r="AC69" i="11"/>
  <c r="AB69" i="11"/>
  <c r="AA69" i="11"/>
  <c r="Z69" i="11"/>
  <c r="Y69" i="11"/>
  <c r="X69" i="11"/>
  <c r="W69" i="11"/>
  <c r="V69" i="11"/>
  <c r="AE70" i="11"/>
  <c r="AE69" i="11"/>
  <c r="AD66" i="11"/>
  <c r="AC66" i="11"/>
  <c r="AB66" i="11"/>
  <c r="AA66" i="11"/>
  <c r="Z66" i="11"/>
  <c r="Y66" i="11"/>
  <c r="X66" i="11"/>
  <c r="W66" i="11"/>
  <c r="V66" i="11"/>
  <c r="AD65" i="11"/>
  <c r="AC65" i="11"/>
  <c r="AB65" i="11"/>
  <c r="AA65" i="11"/>
  <c r="Z65" i="11"/>
  <c r="Y65" i="11"/>
  <c r="X65" i="11"/>
  <c r="W65" i="11"/>
  <c r="V65" i="11"/>
  <c r="AD64" i="11"/>
  <c r="AC64" i="11"/>
  <c r="AB64" i="11"/>
  <c r="AA64" i="11"/>
  <c r="Z64" i="11"/>
  <c r="Y64" i="11"/>
  <c r="X64" i="11"/>
  <c r="W64" i="11"/>
  <c r="V64" i="11"/>
  <c r="AD63" i="11"/>
  <c r="AC63" i="11"/>
  <c r="AB63" i="11"/>
  <c r="AA63" i="11"/>
  <c r="Z63" i="11"/>
  <c r="Y63" i="11"/>
  <c r="X63" i="11"/>
  <c r="W63" i="11"/>
  <c r="V63" i="11"/>
  <c r="AD62" i="11"/>
  <c r="AC62" i="11"/>
  <c r="AB62" i="11"/>
  <c r="AA62" i="11"/>
  <c r="Z62" i="11"/>
  <c r="Y62" i="11"/>
  <c r="X62" i="11"/>
  <c r="W62" i="11"/>
  <c r="V62" i="11"/>
  <c r="AD61" i="11"/>
  <c r="AC61" i="11"/>
  <c r="AB61" i="11"/>
  <c r="AA61" i="11"/>
  <c r="Z61" i="11"/>
  <c r="Y61" i="11"/>
  <c r="X61" i="11"/>
  <c r="W61" i="11"/>
  <c r="V61" i="11"/>
  <c r="AD60" i="11"/>
  <c r="AC60" i="11"/>
  <c r="AB60" i="11"/>
  <c r="AA60" i="11"/>
  <c r="Z60" i="11"/>
  <c r="Y60" i="11"/>
  <c r="X60" i="11"/>
  <c r="W60" i="11"/>
  <c r="V60" i="11"/>
  <c r="AE66" i="11"/>
  <c r="AE65" i="11"/>
  <c r="AE64" i="11"/>
  <c r="AE63" i="11"/>
  <c r="AE62" i="11"/>
  <c r="AE61" i="11"/>
  <c r="AE60" i="11"/>
  <c r="AC56" i="11"/>
  <c r="AB56" i="11"/>
  <c r="AA56" i="11"/>
  <c r="Y56" i="11"/>
  <c r="X56" i="11"/>
  <c r="W56" i="11"/>
  <c r="V56" i="11"/>
  <c r="Y55" i="11"/>
  <c r="X55" i="11"/>
  <c r="AB54" i="11"/>
  <c r="AA54" i="11"/>
  <c r="AE56" i="11"/>
  <c r="AE55" i="11"/>
  <c r="AE54" i="11"/>
  <c r="J135" i="8"/>
  <c r="P135" i="8"/>
  <c r="J134" i="8"/>
  <c r="T134" i="8" s="1"/>
  <c r="P134" i="8"/>
  <c r="J133" i="8"/>
  <c r="P133" i="8"/>
  <c r="J132" i="8"/>
  <c r="P132" i="8"/>
  <c r="J131" i="8"/>
  <c r="J126" i="8"/>
  <c r="T126" i="8" s="1"/>
  <c r="P126" i="8"/>
  <c r="J125" i="8"/>
  <c r="P125" i="8"/>
  <c r="J124" i="8"/>
  <c r="P124" i="8"/>
  <c r="J123" i="8"/>
  <c r="J118" i="8"/>
  <c r="T118" i="8" s="1"/>
  <c r="P118" i="8"/>
  <c r="J117" i="8"/>
  <c r="P117" i="8"/>
  <c r="J116" i="8"/>
  <c r="P116" i="8"/>
  <c r="J115" i="8"/>
  <c r="P115" i="8"/>
  <c r="J114" i="8"/>
  <c r="T114" i="8" s="1"/>
  <c r="P114" i="8"/>
  <c r="J110" i="8"/>
  <c r="P110" i="8"/>
  <c r="J109" i="8"/>
  <c r="P109" i="8"/>
  <c r="J108" i="8"/>
  <c r="P108" i="8"/>
  <c r="J107" i="8"/>
  <c r="T107" i="8" s="1"/>
  <c r="P107" i="8"/>
  <c r="J106" i="8"/>
  <c r="P106" i="8"/>
  <c r="J105" i="8"/>
  <c r="P105" i="8"/>
  <c r="J104" i="8"/>
  <c r="P104" i="8"/>
  <c r="J103" i="8"/>
  <c r="T103" i="8" s="1"/>
  <c r="P103" i="8"/>
  <c r="V48" i="11"/>
  <c r="J130" i="8"/>
  <c r="P130" i="8"/>
  <c r="J122" i="8"/>
  <c r="P122" i="8"/>
  <c r="J87" i="8"/>
  <c r="R87" i="8" s="1"/>
  <c r="J86" i="8"/>
  <c r="R86" i="8" s="1"/>
  <c r="J85" i="8"/>
  <c r="R85" i="8" s="1"/>
  <c r="J84" i="8"/>
  <c r="R84" i="8" s="1"/>
  <c r="R83" i="8"/>
  <c r="T4" i="11"/>
  <c r="AE4" i="11" s="1"/>
  <c r="T3" i="11"/>
  <c r="AE3" i="11" s="1"/>
  <c r="S74" i="11"/>
  <c r="AD74" i="11" s="1"/>
  <c r="S73" i="11"/>
  <c r="AD73" i="11" s="1"/>
  <c r="S72" i="11"/>
  <c r="AD72" i="11" s="1"/>
  <c r="S3" i="11"/>
  <c r="AD3" i="11" s="1"/>
  <c r="R4" i="11"/>
  <c r="AC4" i="11" s="1"/>
  <c r="R3" i="11"/>
  <c r="AC3" i="11" s="1"/>
  <c r="S54" i="11"/>
  <c r="AD54" i="11" s="1"/>
  <c r="J8" i="8"/>
  <c r="Q8" i="8" s="1"/>
  <c r="J76" i="11"/>
  <c r="J143" i="8"/>
  <c r="Q143" i="8" s="1"/>
  <c r="H76" i="11"/>
  <c r="X48" i="11"/>
  <c r="W48" i="11"/>
  <c r="W44" i="11"/>
  <c r="O74" i="11"/>
  <c r="Z74" i="11" s="1"/>
  <c r="O73" i="11"/>
  <c r="Z73" i="11" s="1"/>
  <c r="O72" i="11"/>
  <c r="Z72" i="11" s="1"/>
  <c r="K74" i="11"/>
  <c r="V74" i="11" s="1"/>
  <c r="K73" i="11"/>
  <c r="V73" i="11" s="1"/>
  <c r="K72" i="11"/>
  <c r="V72" i="11" s="1"/>
  <c r="AE20" i="11"/>
  <c r="AD20" i="11"/>
  <c r="AE16" i="11"/>
  <c r="AD16" i="11"/>
  <c r="M76" i="11"/>
  <c r="E76" i="11"/>
  <c r="D76" i="11"/>
  <c r="C76" i="11"/>
  <c r="F76" i="11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L140" i="8"/>
  <c r="J140" i="8"/>
  <c r="I140" i="8"/>
  <c r="H140" i="8"/>
  <c r="L4" i="10"/>
  <c r="T4" i="10" s="1"/>
  <c r="K4" i="10"/>
  <c r="S4" i="10" s="1"/>
  <c r="I4" i="10"/>
  <c r="Q4" i="10" s="1"/>
  <c r="H4" i="10"/>
  <c r="P4" i="10" s="1"/>
  <c r="G4" i="10"/>
  <c r="O4" i="10" s="1"/>
  <c r="L3" i="10"/>
  <c r="T3" i="10" s="1"/>
  <c r="K3" i="10"/>
  <c r="S3" i="10" s="1"/>
  <c r="J3" i="10"/>
  <c r="R3" i="10" s="1"/>
  <c r="I3" i="10"/>
  <c r="Q3" i="10" s="1"/>
  <c r="H3" i="10"/>
  <c r="P3" i="10" s="1"/>
  <c r="G3" i="10"/>
  <c r="O3" i="10" s="1"/>
  <c r="D4" i="10"/>
  <c r="C4" i="10"/>
  <c r="D3" i="10"/>
  <c r="C3" i="10"/>
  <c r="E4" i="10"/>
  <c r="E3" i="10"/>
  <c r="Q10" i="8" l="1"/>
  <c r="P10" i="8"/>
  <c r="O10" i="8"/>
  <c r="S10" i="8"/>
  <c r="R10" i="8"/>
  <c r="T10" i="8"/>
  <c r="T11" i="8" s="1"/>
  <c r="T16" i="8" s="1"/>
  <c r="O4" i="11"/>
  <c r="Z4" i="11" s="1"/>
  <c r="S106" i="8"/>
  <c r="T106" i="8"/>
  <c r="V106" i="8" s="1"/>
  <c r="S110" i="8"/>
  <c r="T110" i="8"/>
  <c r="V110" i="8" s="1"/>
  <c r="S117" i="8"/>
  <c r="T117" i="8"/>
  <c r="V117" i="8" s="1"/>
  <c r="S125" i="8"/>
  <c r="T125" i="8"/>
  <c r="V125" i="8" s="1"/>
  <c r="S133" i="8"/>
  <c r="T133" i="8"/>
  <c r="V133" i="8" s="1"/>
  <c r="S130" i="8"/>
  <c r="T130" i="8"/>
  <c r="S122" i="8"/>
  <c r="T122" i="8"/>
  <c r="S104" i="8"/>
  <c r="T104" i="8"/>
  <c r="V104" i="8" s="1"/>
  <c r="S108" i="8"/>
  <c r="T108" i="8"/>
  <c r="V108" i="8" s="1"/>
  <c r="S115" i="8"/>
  <c r="T115" i="8"/>
  <c r="V115" i="8" s="1"/>
  <c r="S123" i="8"/>
  <c r="T123" i="8"/>
  <c r="S131" i="8"/>
  <c r="T131" i="8"/>
  <c r="S135" i="8"/>
  <c r="T135" i="8"/>
  <c r="V135" i="8" s="1"/>
  <c r="S105" i="8"/>
  <c r="T105" i="8"/>
  <c r="V105" i="8" s="1"/>
  <c r="S109" i="8"/>
  <c r="T109" i="8"/>
  <c r="V109" i="8" s="1"/>
  <c r="S116" i="8"/>
  <c r="T116" i="8"/>
  <c r="V116" i="8" s="1"/>
  <c r="S124" i="8"/>
  <c r="T124" i="8"/>
  <c r="V124" i="8" s="1"/>
  <c r="S132" i="8"/>
  <c r="T132" i="8"/>
  <c r="V132" i="8" s="1"/>
  <c r="Q9" i="10"/>
  <c r="P9" i="10"/>
  <c r="O9" i="10"/>
  <c r="S11" i="10"/>
  <c r="R11" i="10"/>
  <c r="T11" i="10"/>
  <c r="R9" i="10"/>
  <c r="T9" i="10"/>
  <c r="S9" i="10"/>
  <c r="Q11" i="10"/>
  <c r="P11" i="10"/>
  <c r="O11" i="10"/>
  <c r="V23" i="8"/>
  <c r="O103" i="8"/>
  <c r="O104" i="8"/>
  <c r="O105" i="8"/>
  <c r="O106" i="8"/>
  <c r="O107" i="8"/>
  <c r="O108" i="8"/>
  <c r="O109" i="8"/>
  <c r="O110" i="8"/>
  <c r="O114" i="8"/>
  <c r="O115" i="8"/>
  <c r="O116" i="8"/>
  <c r="O117" i="8"/>
  <c r="O118" i="8"/>
  <c r="O122" i="8"/>
  <c r="O123" i="8"/>
  <c r="O124" i="8"/>
  <c r="O125" i="8"/>
  <c r="O126" i="8"/>
  <c r="O130" i="8"/>
  <c r="O131" i="8"/>
  <c r="O132" i="8"/>
  <c r="O133" i="8"/>
  <c r="O134" i="8"/>
  <c r="O135" i="8"/>
  <c r="P123" i="8"/>
  <c r="P131" i="8"/>
  <c r="Q103" i="8"/>
  <c r="Q104" i="8"/>
  <c r="Q105" i="8"/>
  <c r="Q106" i="8"/>
  <c r="Q107" i="8"/>
  <c r="Q108" i="8"/>
  <c r="Q109" i="8"/>
  <c r="Q110" i="8"/>
  <c r="Q114" i="8"/>
  <c r="Q115" i="8"/>
  <c r="Q116" i="8"/>
  <c r="Q117" i="8"/>
  <c r="Q118" i="8"/>
  <c r="Q122" i="8"/>
  <c r="Q123" i="8"/>
  <c r="Q124" i="8"/>
  <c r="Q125" i="8"/>
  <c r="Q126" i="8"/>
  <c r="Q130" i="8"/>
  <c r="Q131" i="8"/>
  <c r="Q132" i="8"/>
  <c r="Q133" i="8"/>
  <c r="Q134" i="8"/>
  <c r="Q135" i="8"/>
  <c r="R103" i="8"/>
  <c r="R104" i="8"/>
  <c r="R105" i="8"/>
  <c r="R106" i="8"/>
  <c r="R107" i="8"/>
  <c r="R108" i="8"/>
  <c r="R109" i="8"/>
  <c r="R110" i="8"/>
  <c r="R114" i="8"/>
  <c r="R115" i="8"/>
  <c r="R116" i="8"/>
  <c r="R117" i="8"/>
  <c r="R118" i="8"/>
  <c r="R122" i="8"/>
  <c r="R123" i="8"/>
  <c r="R124" i="8"/>
  <c r="R125" i="8"/>
  <c r="R126" i="8"/>
  <c r="R130" i="8"/>
  <c r="R131" i="8"/>
  <c r="R132" i="8"/>
  <c r="R133" i="8"/>
  <c r="R134" i="8"/>
  <c r="R135" i="8"/>
  <c r="S103" i="8"/>
  <c r="S107" i="8"/>
  <c r="S114" i="8"/>
  <c r="S118" i="8"/>
  <c r="S126" i="8"/>
  <c r="S134" i="8"/>
  <c r="C89" i="8"/>
  <c r="C91" i="8" s="1"/>
  <c r="C17" i="8"/>
  <c r="C24" i="8"/>
  <c r="C32" i="8" s="1"/>
  <c r="O55" i="11"/>
  <c r="Z55" i="11" s="1"/>
  <c r="V114" i="8"/>
  <c r="G140" i="8"/>
  <c r="K55" i="11"/>
  <c r="V55" i="11" s="1"/>
  <c r="V134" i="8"/>
  <c r="S55" i="11"/>
  <c r="AD55" i="11" s="1"/>
  <c r="AG21" i="11"/>
  <c r="AG22" i="11"/>
  <c r="AG23" i="11"/>
  <c r="AE48" i="11"/>
  <c r="AD38" i="11"/>
  <c r="X44" i="11"/>
  <c r="V44" i="11"/>
  <c r="Y48" i="11"/>
  <c r="AD48" i="11"/>
  <c r="AC48" i="11"/>
  <c r="AD44" i="11"/>
  <c r="V107" i="8"/>
  <c r="V80" i="8"/>
  <c r="J4" i="10"/>
  <c r="R4" i="10" s="1"/>
  <c r="R140" i="8"/>
  <c r="AE28" i="11"/>
  <c r="R76" i="11"/>
  <c r="R79" i="11" s="1"/>
  <c r="R88" i="11" s="1"/>
  <c r="AE37" i="11"/>
  <c r="K4" i="11"/>
  <c r="V4" i="11" s="1"/>
  <c r="AE38" i="11"/>
  <c r="AE39" i="11"/>
  <c r="AE76" i="11"/>
  <c r="AE79" i="11" s="1"/>
  <c r="T57" i="11"/>
  <c r="T76" i="11"/>
  <c r="T79" i="11" s="1"/>
  <c r="T88" i="11" s="1"/>
  <c r="T12" i="11"/>
  <c r="T17" i="11" s="1"/>
  <c r="AD32" i="11"/>
  <c r="AB57" i="11"/>
  <c r="S75" i="11"/>
  <c r="S4" i="11"/>
  <c r="AD4" i="11" s="1"/>
  <c r="R57" i="11"/>
  <c r="I76" i="11"/>
  <c r="H12" i="11"/>
  <c r="H17" i="11" s="1"/>
  <c r="H25" i="11" s="1"/>
  <c r="E12" i="11"/>
  <c r="E17" i="11" s="1"/>
  <c r="F12" i="11"/>
  <c r="F17" i="11" s="1"/>
  <c r="K75" i="11"/>
  <c r="V75" i="11" s="1"/>
  <c r="V76" i="11" s="1"/>
  <c r="O75" i="11"/>
  <c r="Z75" i="11" s="1"/>
  <c r="Z76" i="11" s="1"/>
  <c r="C12" i="11"/>
  <c r="I57" i="11"/>
  <c r="J57" i="11"/>
  <c r="D57" i="11"/>
  <c r="Y76" i="11"/>
  <c r="C57" i="11"/>
  <c r="H57" i="11"/>
  <c r="P76" i="11"/>
  <c r="Q76" i="11"/>
  <c r="M57" i="11"/>
  <c r="E57" i="11"/>
  <c r="L57" i="11"/>
  <c r="AC57" i="11"/>
  <c r="AC76" i="11"/>
  <c r="AE57" i="11"/>
  <c r="Y57" i="11"/>
  <c r="F79" i="11"/>
  <c r="F88" i="11" s="1"/>
  <c r="F57" i="11"/>
  <c r="Q57" i="11"/>
  <c r="AD57" i="11"/>
  <c r="N57" i="11"/>
  <c r="P57" i="11"/>
  <c r="K140" i="8"/>
  <c r="T17" i="8" l="1"/>
  <c r="T24" i="8"/>
  <c r="T127" i="8"/>
  <c r="T136" i="8"/>
  <c r="V123" i="8"/>
  <c r="S12" i="10"/>
  <c r="R12" i="10"/>
  <c r="V131" i="8"/>
  <c r="C25" i="8"/>
  <c r="V11" i="11"/>
  <c r="AA48" i="11"/>
  <c r="AB8" i="11"/>
  <c r="AB48" i="11"/>
  <c r="Z48" i="11"/>
  <c r="AD39" i="11"/>
  <c r="AE7" i="11"/>
  <c r="AD37" i="11"/>
  <c r="X11" i="11"/>
  <c r="W45" i="11"/>
  <c r="AB76" i="11"/>
  <c r="AD75" i="11"/>
  <c r="AD76" i="11" s="1"/>
  <c r="AD79" i="11" s="1"/>
  <c r="AD88" i="11" s="1"/>
  <c r="X10" i="11"/>
  <c r="AE32" i="11"/>
  <c r="AD28" i="11"/>
  <c r="Y44" i="11"/>
  <c r="AE44" i="11"/>
  <c r="Z11" i="11"/>
  <c r="D12" i="11"/>
  <c r="D17" i="11" s="1"/>
  <c r="D18" i="11" s="1"/>
  <c r="Q12" i="11"/>
  <c r="Q17" i="11" s="1"/>
  <c r="Q25" i="11" s="1"/>
  <c r="J12" i="11"/>
  <c r="J17" i="11" s="1"/>
  <c r="J18" i="11" s="1"/>
  <c r="P12" i="11"/>
  <c r="N12" i="11"/>
  <c r="I12" i="11"/>
  <c r="I17" i="11" s="1"/>
  <c r="I25" i="11" s="1"/>
  <c r="M12" i="11"/>
  <c r="L12" i="11"/>
  <c r="L17" i="11" s="1"/>
  <c r="O12" i="10"/>
  <c r="AD9" i="11"/>
  <c r="AD7" i="11"/>
  <c r="AD11" i="11"/>
  <c r="Y11" i="11"/>
  <c r="AC8" i="11"/>
  <c r="AC7" i="11"/>
  <c r="R12" i="11"/>
  <c r="R17" i="11" s="1"/>
  <c r="R18" i="11" s="1"/>
  <c r="W7" i="11"/>
  <c r="AA9" i="11"/>
  <c r="AE6" i="11"/>
  <c r="AE10" i="11"/>
  <c r="V126" i="8"/>
  <c r="V118" i="8"/>
  <c r="V103" i="8"/>
  <c r="AA76" i="11"/>
  <c r="AD41" i="11"/>
  <c r="X76" i="11"/>
  <c r="N76" i="11"/>
  <c r="W76" i="11"/>
  <c r="S76" i="11"/>
  <c r="S79" i="11" s="1"/>
  <c r="S88" i="11" s="1"/>
  <c r="S57" i="11"/>
  <c r="P12" i="10"/>
  <c r="Q12" i="10"/>
  <c r="T25" i="11"/>
  <c r="T18" i="11"/>
  <c r="Y46" i="11"/>
  <c r="V45" i="11"/>
  <c r="C17" i="11"/>
  <c r="C18" i="11" s="1"/>
  <c r="C13" i="11"/>
  <c r="L76" i="11"/>
  <c r="F13" i="11"/>
  <c r="K76" i="11"/>
  <c r="H18" i="11"/>
  <c r="O76" i="11"/>
  <c r="E18" i="11"/>
  <c r="E25" i="11"/>
  <c r="F18" i="11"/>
  <c r="F25" i="11"/>
  <c r="AE88" i="11"/>
  <c r="I18" i="11"/>
  <c r="H29" i="11"/>
  <c r="H26" i="11"/>
  <c r="T25" i="8" l="1"/>
  <c r="T32" i="8"/>
  <c r="T36" i="8" s="1"/>
  <c r="C36" i="8"/>
  <c r="C33" i="8"/>
  <c r="E13" i="11"/>
  <c r="L13" i="11"/>
  <c r="AE45" i="11"/>
  <c r="AD45" i="11"/>
  <c r="AB9" i="11"/>
  <c r="Z8" i="11"/>
  <c r="AC6" i="11"/>
  <c r="AA6" i="11"/>
  <c r="AB6" i="11"/>
  <c r="AB11" i="11"/>
  <c r="AC11" i="11"/>
  <c r="AC46" i="11"/>
  <c r="AB46" i="11"/>
  <c r="Y9" i="11"/>
  <c r="V9" i="11"/>
  <c r="Y6" i="11"/>
  <c r="X6" i="11"/>
  <c r="V6" i="11"/>
  <c r="W6" i="11"/>
  <c r="AA46" i="11"/>
  <c r="AE11" i="11"/>
  <c r="AA7" i="11"/>
  <c r="Z46" i="11"/>
  <c r="AD10" i="11"/>
  <c r="W9" i="11"/>
  <c r="AE9" i="11"/>
  <c r="Z6" i="11"/>
  <c r="AB7" i="11"/>
  <c r="AE24" i="11"/>
  <c r="AD24" i="11"/>
  <c r="AC10" i="11"/>
  <c r="Z10" i="11"/>
  <c r="AB10" i="11"/>
  <c r="AA10" i="11"/>
  <c r="AC44" i="11"/>
  <c r="AB44" i="11"/>
  <c r="AE8" i="11"/>
  <c r="AD8" i="11"/>
  <c r="Y10" i="11"/>
  <c r="W10" i="11"/>
  <c r="V10" i="11"/>
  <c r="AA11" i="11"/>
  <c r="Y45" i="11"/>
  <c r="X45" i="11"/>
  <c r="AC9" i="11"/>
  <c r="Z9" i="11"/>
  <c r="AE46" i="11"/>
  <c r="AD46" i="11"/>
  <c r="AA8" i="11"/>
  <c r="Z44" i="11"/>
  <c r="AE41" i="11"/>
  <c r="AD6" i="11"/>
  <c r="Y7" i="11"/>
  <c r="X7" i="11"/>
  <c r="V7" i="11"/>
  <c r="X46" i="11"/>
  <c r="V46" i="11"/>
  <c r="W46" i="11"/>
  <c r="Y8" i="11"/>
  <c r="X8" i="11"/>
  <c r="V8" i="11"/>
  <c r="W8" i="11"/>
  <c r="W11" i="11"/>
  <c r="X9" i="11"/>
  <c r="AA44" i="11"/>
  <c r="Z7" i="11"/>
  <c r="D13" i="11"/>
  <c r="Q18" i="11"/>
  <c r="M13" i="11"/>
  <c r="P13" i="11"/>
  <c r="I14" i="11"/>
  <c r="M14" i="11"/>
  <c r="J14" i="11"/>
  <c r="J25" i="11"/>
  <c r="J26" i="11" s="1"/>
  <c r="N13" i="11"/>
  <c r="Q14" i="11"/>
  <c r="T13" i="11"/>
  <c r="P17" i="11"/>
  <c r="P25" i="11" s="1"/>
  <c r="P26" i="11" s="1"/>
  <c r="R14" i="11"/>
  <c r="Q13" i="11"/>
  <c r="N17" i="11"/>
  <c r="N18" i="11" s="1"/>
  <c r="M17" i="11"/>
  <c r="M18" i="11" s="1"/>
  <c r="O12" i="11"/>
  <c r="O14" i="11" s="1"/>
  <c r="N14" i="11"/>
  <c r="R13" i="11"/>
  <c r="R25" i="11"/>
  <c r="R26" i="11" s="1"/>
  <c r="AG6" i="11"/>
  <c r="K12" i="11"/>
  <c r="L14" i="11" s="1"/>
  <c r="S12" i="11"/>
  <c r="T14" i="11" s="1"/>
  <c r="V130" i="8"/>
  <c r="T26" i="11"/>
  <c r="T29" i="11"/>
  <c r="AC45" i="11"/>
  <c r="C25" i="11"/>
  <c r="C29" i="11" s="1"/>
  <c r="C30" i="11" s="1"/>
  <c r="D25" i="11"/>
  <c r="D29" i="11" s="1"/>
  <c r="E29" i="11"/>
  <c r="E26" i="11"/>
  <c r="H34" i="11"/>
  <c r="H30" i="11"/>
  <c r="F29" i="11"/>
  <c r="F26" i="11"/>
  <c r="Q29" i="11"/>
  <c r="Q26" i="11"/>
  <c r="L25" i="11"/>
  <c r="L18" i="11"/>
  <c r="I29" i="11"/>
  <c r="I26" i="11"/>
  <c r="T33" i="8" l="1"/>
  <c r="T37" i="8"/>
  <c r="T99" i="8"/>
  <c r="T40" i="8"/>
  <c r="T43" i="8"/>
  <c r="C37" i="8"/>
  <c r="C40" i="8"/>
  <c r="C43" i="8"/>
  <c r="C99" i="8"/>
  <c r="C119" i="8" s="1"/>
  <c r="C145" i="8" s="1"/>
  <c r="C146" i="8" s="1"/>
  <c r="C148" i="8" s="1"/>
  <c r="J29" i="11"/>
  <c r="AD33" i="11"/>
  <c r="AE33" i="11"/>
  <c r="AA45" i="11"/>
  <c r="Z45" i="11"/>
  <c r="M25" i="11"/>
  <c r="M29" i="11" s="1"/>
  <c r="AE47" i="11"/>
  <c r="AD47" i="11"/>
  <c r="AB45" i="11"/>
  <c r="P29" i="11"/>
  <c r="P30" i="11" s="1"/>
  <c r="AD12" i="11"/>
  <c r="P18" i="11"/>
  <c r="P14" i="11"/>
  <c r="N25" i="11"/>
  <c r="N26" i="11" s="1"/>
  <c r="S14" i="11"/>
  <c r="AB12" i="11"/>
  <c r="S13" i="11"/>
  <c r="X12" i="11"/>
  <c r="S17" i="11"/>
  <c r="S18" i="11" s="1"/>
  <c r="AA12" i="11"/>
  <c r="R29" i="11"/>
  <c r="R30" i="11" s="1"/>
  <c r="Z12" i="11"/>
  <c r="V12" i="11"/>
  <c r="AC12" i="11"/>
  <c r="AG11" i="11"/>
  <c r="Y12" i="11"/>
  <c r="K14" i="11"/>
  <c r="AG7" i="11"/>
  <c r="AE12" i="11"/>
  <c r="AE17" i="11" s="1"/>
  <c r="AE18" i="11" s="1"/>
  <c r="W12" i="11"/>
  <c r="O13" i="11"/>
  <c r="AG8" i="11"/>
  <c r="AG9" i="11"/>
  <c r="AG10" i="11"/>
  <c r="T34" i="11"/>
  <c r="T30" i="11"/>
  <c r="C26" i="11"/>
  <c r="C34" i="11"/>
  <c r="C83" i="11" s="1"/>
  <c r="D26" i="11"/>
  <c r="H35" i="11"/>
  <c r="H42" i="11"/>
  <c r="J34" i="11"/>
  <c r="J30" i="11"/>
  <c r="D30" i="11"/>
  <c r="D34" i="11"/>
  <c r="Q30" i="11"/>
  <c r="Q34" i="11"/>
  <c r="I34" i="11"/>
  <c r="I30" i="11"/>
  <c r="E30" i="11"/>
  <c r="E34" i="11"/>
  <c r="L29" i="11"/>
  <c r="L26" i="11"/>
  <c r="F30" i="11"/>
  <c r="F34" i="11"/>
  <c r="P34" i="11" l="1"/>
  <c r="P35" i="11" s="1"/>
  <c r="M26" i="11"/>
  <c r="H49" i="11"/>
  <c r="H50" i="11" s="1"/>
  <c r="AD13" i="11"/>
  <c r="N29" i="11"/>
  <c r="N30" i="11" s="1"/>
  <c r="AB13" i="11"/>
  <c r="Z13" i="11"/>
  <c r="AA13" i="11"/>
  <c r="R34" i="11"/>
  <c r="R35" i="11" s="1"/>
  <c r="S25" i="11"/>
  <c r="S29" i="11" s="1"/>
  <c r="S30" i="11" s="1"/>
  <c r="AE25" i="11"/>
  <c r="AE29" i="11" s="1"/>
  <c r="AE34" i="11" s="1"/>
  <c r="AE13" i="11"/>
  <c r="AG12" i="11"/>
  <c r="AC13" i="11"/>
  <c r="T35" i="11"/>
  <c r="T42" i="11"/>
  <c r="T49" i="11" s="1"/>
  <c r="C87" i="11" a="1"/>
  <c r="C87" i="11" s="1"/>
  <c r="C84" i="11"/>
  <c r="C86" i="11" a="1"/>
  <c r="C86" i="11" s="1"/>
  <c r="C35" i="11"/>
  <c r="C42" i="11"/>
  <c r="C85" i="11"/>
  <c r="F87" i="11" a="1"/>
  <c r="F87" i="11" s="1"/>
  <c r="F86" i="11" a="1"/>
  <c r="F86" i="11" s="1"/>
  <c r="F42" i="11"/>
  <c r="F49" i="11" s="1"/>
  <c r="F35" i="11"/>
  <c r="F85" i="11"/>
  <c r="F83" i="11"/>
  <c r="F84" i="11"/>
  <c r="Q42" i="11"/>
  <c r="Q49" i="11" s="1"/>
  <c r="Q35" i="11"/>
  <c r="D87" i="11" a="1"/>
  <c r="D87" i="11" s="1"/>
  <c r="D42" i="11"/>
  <c r="D49" i="11" s="1"/>
  <c r="D83" i="11"/>
  <c r="D86" i="11" a="1"/>
  <c r="D86" i="11" s="1"/>
  <c r="D35" i="11"/>
  <c r="D85" i="11"/>
  <c r="D84" i="11"/>
  <c r="L30" i="11"/>
  <c r="L34" i="11"/>
  <c r="E42" i="11"/>
  <c r="E49" i="11" s="1"/>
  <c r="E35" i="11"/>
  <c r="E87" i="11" a="1"/>
  <c r="E87" i="11" s="1"/>
  <c r="E85" i="11"/>
  <c r="E86" i="11" a="1"/>
  <c r="E86" i="11" s="1"/>
  <c r="E84" i="11"/>
  <c r="E83" i="11"/>
  <c r="M30" i="11"/>
  <c r="M34" i="11"/>
  <c r="P42" i="11"/>
  <c r="I35" i="11"/>
  <c r="I42" i="11"/>
  <c r="I49" i="11" s="1"/>
  <c r="J42" i="11"/>
  <c r="J49" i="11" s="1"/>
  <c r="J35" i="11"/>
  <c r="N34" i="11" l="1"/>
  <c r="N35" i="11" s="1"/>
  <c r="C50" i="11"/>
  <c r="R42" i="11"/>
  <c r="R49" i="11" s="1"/>
  <c r="AG13" i="11"/>
  <c r="AE30" i="11"/>
  <c r="S26" i="11"/>
  <c r="S34" i="11"/>
  <c r="S85" i="11" s="1" a="1"/>
  <c r="S85" i="11" s="1"/>
  <c r="AE26" i="11"/>
  <c r="T50" i="11"/>
  <c r="L42" i="11"/>
  <c r="L35" i="11"/>
  <c r="I50" i="11"/>
  <c r="F50" i="11"/>
  <c r="J50" i="11"/>
  <c r="M42" i="11"/>
  <c r="M49" i="11" s="1"/>
  <c r="M35" i="11"/>
  <c r="AE87" i="11" a="1"/>
  <c r="AE87" i="11" s="1"/>
  <c r="AE42" i="11"/>
  <c r="AE86" i="11" a="1"/>
  <c r="AE86" i="11" s="1"/>
  <c r="AE85" i="11"/>
  <c r="AE35" i="11"/>
  <c r="AE83" i="11"/>
  <c r="AE84" i="11"/>
  <c r="Q50" i="11"/>
  <c r="N42" i="11"/>
  <c r="N49" i="11" s="1"/>
  <c r="E50" i="11"/>
  <c r="D50" i="11"/>
  <c r="S35" i="11" l="1"/>
  <c r="T84" i="11"/>
  <c r="S86" i="11" a="1"/>
  <c r="S86" i="11" s="1"/>
  <c r="S87" i="11" a="1"/>
  <c r="S87" i="11" s="1"/>
  <c r="S83" i="11"/>
  <c r="S84" i="11"/>
  <c r="T86" i="11" a="1"/>
  <c r="T86" i="11" s="1"/>
  <c r="T83" i="11"/>
  <c r="T85" i="11" a="1"/>
  <c r="T85" i="11" s="1"/>
  <c r="S42" i="11"/>
  <c r="T87" i="11" a="1"/>
  <c r="T87" i="11" s="1"/>
  <c r="R50" i="11"/>
  <c r="M50" i="11"/>
  <c r="S49" i="11" l="1"/>
  <c r="AE49" i="11" s="1"/>
  <c r="N50" i="11"/>
  <c r="S50" i="11" l="1"/>
  <c r="B17" i="10"/>
  <c r="B15" i="10"/>
  <c r="D12" i="10"/>
  <c r="D16" i="10" s="1"/>
  <c r="K12" i="10"/>
  <c r="K16" i="10" s="1"/>
  <c r="R16" i="10" s="1"/>
  <c r="E12" i="10"/>
  <c r="E16" i="10" s="1"/>
  <c r="L12" i="10"/>
  <c r="L16" i="10" s="1"/>
  <c r="S16" i="10" s="1"/>
  <c r="J12" i="10"/>
  <c r="J16" i="10" s="1"/>
  <c r="Q16" i="10" s="1"/>
  <c r="I12" i="10"/>
  <c r="I16" i="10" s="1"/>
  <c r="P16" i="10" s="1"/>
  <c r="H12" i="10"/>
  <c r="H16" i="10" s="1"/>
  <c r="O16" i="10" s="1"/>
  <c r="C12" i="10"/>
  <c r="C16" i="10" s="1"/>
  <c r="J152" i="8"/>
  <c r="T152" i="8" s="1"/>
  <c r="E140" i="8"/>
  <c r="D140" i="8"/>
  <c r="L28" i="10" l="1"/>
  <c r="S28" i="10" s="1"/>
  <c r="L29" i="10"/>
  <c r="S29" i="10" s="1"/>
  <c r="E29" i="10"/>
  <c r="E28" i="10"/>
  <c r="K28" i="10"/>
  <c r="R28" i="10" s="1"/>
  <c r="K29" i="10"/>
  <c r="R29" i="10" s="1"/>
  <c r="D29" i="10"/>
  <c r="D28" i="10"/>
  <c r="C28" i="10"/>
  <c r="C29" i="10"/>
  <c r="H28" i="10"/>
  <c r="O28" i="10" s="1"/>
  <c r="H29" i="10"/>
  <c r="O29" i="10" s="1"/>
  <c r="J28" i="10"/>
  <c r="Q28" i="10" s="1"/>
  <c r="J29" i="10"/>
  <c r="Q29" i="10" s="1"/>
  <c r="I28" i="10"/>
  <c r="P28" i="10" s="1"/>
  <c r="I29" i="10"/>
  <c r="P29" i="10" s="1"/>
  <c r="E27" i="10"/>
  <c r="E30" i="10"/>
  <c r="I27" i="10"/>
  <c r="P27" i="10" s="1"/>
  <c r="I30" i="10"/>
  <c r="P30" i="10" s="1"/>
  <c r="K27" i="10"/>
  <c r="R27" i="10" s="1"/>
  <c r="K30" i="10"/>
  <c r="R30" i="10" s="1"/>
  <c r="C27" i="10"/>
  <c r="C30" i="10"/>
  <c r="D27" i="10"/>
  <c r="D30" i="10"/>
  <c r="H27" i="10"/>
  <c r="O27" i="10" s="1"/>
  <c r="H30" i="10"/>
  <c r="O30" i="10" s="1"/>
  <c r="J27" i="10"/>
  <c r="Q27" i="10" s="1"/>
  <c r="J30" i="10"/>
  <c r="Q30" i="10" s="1"/>
  <c r="L27" i="10"/>
  <c r="S27" i="10" s="1"/>
  <c r="L30" i="10"/>
  <c r="S30" i="10" s="1"/>
  <c r="S152" i="8"/>
  <c r="R152" i="8"/>
  <c r="Q152" i="8"/>
  <c r="P152" i="8"/>
  <c r="O152" i="8"/>
  <c r="V59" i="8"/>
  <c r="V66" i="8"/>
  <c r="V70" i="8"/>
  <c r="C15" i="10"/>
  <c r="C17" i="10"/>
  <c r="E17" i="10"/>
  <c r="E15" i="10"/>
  <c r="H17" i="10"/>
  <c r="O17" i="10" s="1"/>
  <c r="H15" i="10"/>
  <c r="O15" i="10" s="1"/>
  <c r="I17" i="10"/>
  <c r="P17" i="10" s="1"/>
  <c r="I15" i="10"/>
  <c r="P15" i="10" s="1"/>
  <c r="K15" i="10"/>
  <c r="R15" i="10" s="1"/>
  <c r="K17" i="10"/>
  <c r="R17" i="10" s="1"/>
  <c r="D15" i="10"/>
  <c r="D17" i="10"/>
  <c r="J15" i="10"/>
  <c r="Q15" i="10" s="1"/>
  <c r="J17" i="10"/>
  <c r="Q17" i="10" s="1"/>
  <c r="L15" i="10"/>
  <c r="S15" i="10" s="1"/>
  <c r="L17" i="10"/>
  <c r="S17" i="10" s="1"/>
  <c r="T17" i="10"/>
  <c r="T15" i="10"/>
  <c r="T12" i="10"/>
  <c r="G12" i="10"/>
  <c r="G16" i="10" s="1"/>
  <c r="G29" i="10" l="1"/>
  <c r="G28" i="10"/>
  <c r="G27" i="10"/>
  <c r="G30" i="10"/>
  <c r="AC47" i="11"/>
  <c r="AB47" i="11"/>
  <c r="AA47" i="11"/>
  <c r="Z47" i="11"/>
  <c r="X47" i="11"/>
  <c r="Y47" i="11"/>
  <c r="W47" i="11"/>
  <c r="V47" i="11"/>
  <c r="G17" i="10"/>
  <c r="G15" i="10"/>
  <c r="J151" i="8" l="1"/>
  <c r="T151" i="8" s="1"/>
  <c r="V50" i="8"/>
  <c r="E136" i="8"/>
  <c r="K136" i="8"/>
  <c r="P151" i="8" l="1"/>
  <c r="O151" i="8"/>
  <c r="S151" i="8"/>
  <c r="R151" i="8"/>
  <c r="Q151" i="8"/>
  <c r="K54" i="11"/>
  <c r="O54" i="11"/>
  <c r="O136" i="8"/>
  <c r="X57" i="11"/>
  <c r="V85" i="8"/>
  <c r="V87" i="8"/>
  <c r="V84" i="8"/>
  <c r="V75" i="8"/>
  <c r="V86" i="8"/>
  <c r="V83" i="8"/>
  <c r="L136" i="8"/>
  <c r="D136" i="8"/>
  <c r="G136" i="8"/>
  <c r="H136" i="8"/>
  <c r="I136" i="8"/>
  <c r="V27" i="8" l="1"/>
  <c r="P102" i="8"/>
  <c r="O102" i="8"/>
  <c r="Z54" i="11"/>
  <c r="Z57" i="11" s="1"/>
  <c r="P49" i="11"/>
  <c r="AD49" i="11" s="1"/>
  <c r="V54" i="11"/>
  <c r="V57" i="11" s="1"/>
  <c r="L49" i="11"/>
  <c r="Z39" i="11"/>
  <c r="AC39" i="11"/>
  <c r="AA39" i="11"/>
  <c r="AG39" i="11" s="1"/>
  <c r="AB39" i="11"/>
  <c r="AC37" i="11"/>
  <c r="AA37" i="11"/>
  <c r="AG37" i="11" s="1"/>
  <c r="Z37" i="11"/>
  <c r="AB37" i="11"/>
  <c r="Y39" i="11"/>
  <c r="W39" i="11"/>
  <c r="V39" i="11"/>
  <c r="X39" i="11"/>
  <c r="AB38" i="11"/>
  <c r="AC38" i="11"/>
  <c r="Z38" i="11"/>
  <c r="AA38" i="11"/>
  <c r="AG38" i="11" s="1"/>
  <c r="Y37" i="11"/>
  <c r="V37" i="11"/>
  <c r="X37" i="11"/>
  <c r="W37" i="11"/>
  <c r="Y38" i="11"/>
  <c r="W38" i="11"/>
  <c r="V38" i="11"/>
  <c r="X38" i="11"/>
  <c r="V35" i="8"/>
  <c r="O57" i="11"/>
  <c r="W57" i="11"/>
  <c r="K57" i="11"/>
  <c r="J136" i="8"/>
  <c r="P113" i="8" l="1"/>
  <c r="O113" i="8"/>
  <c r="Y28" i="1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50" i="11"/>
  <c r="P50" i="11"/>
  <c r="L50" i="11"/>
  <c r="AA57" i="11"/>
  <c r="P136" i="8"/>
  <c r="R136" i="8"/>
  <c r="S136" i="8"/>
  <c r="Q136" i="8"/>
  <c r="Y41" i="11" l="1"/>
  <c r="W41" i="11"/>
  <c r="X41" i="11"/>
  <c r="V41" i="11"/>
  <c r="L88" i="8"/>
  <c r="K88" i="8"/>
  <c r="I88" i="8"/>
  <c r="H88" i="8"/>
  <c r="V79" i="11" s="1"/>
  <c r="V88" i="11" s="1"/>
  <c r="G88" i="8"/>
  <c r="J79" i="11"/>
  <c r="I79" i="11"/>
  <c r="H79" i="11"/>
  <c r="E88" i="8"/>
  <c r="E79" i="11" s="1"/>
  <c r="E88" i="11" s="1"/>
  <c r="D88" i="8"/>
  <c r="D79" i="11" s="1"/>
  <c r="D88" i="11" s="1"/>
  <c r="C79" i="11"/>
  <c r="C88" i="11" s="1"/>
  <c r="J42" i="8"/>
  <c r="R42" i="8" s="1"/>
  <c r="J39" i="8"/>
  <c r="R39" i="8" s="1"/>
  <c r="AD17" i="11" l="1"/>
  <c r="AD25" i="11" s="1"/>
  <c r="Y79" i="11"/>
  <c r="Y88" i="11" s="1"/>
  <c r="M79" i="11"/>
  <c r="M88" i="11" s="1"/>
  <c r="N79" i="11"/>
  <c r="N88" i="11" s="1"/>
  <c r="Z79" i="11"/>
  <c r="Z88" i="11" s="1"/>
  <c r="AC79" i="11"/>
  <c r="AC88" i="11" s="1"/>
  <c r="Q79" i="11"/>
  <c r="Q88" i="11" s="1"/>
  <c r="AB79" i="11"/>
  <c r="AB88" i="11" s="1"/>
  <c r="P79" i="11"/>
  <c r="P88" i="11" s="1"/>
  <c r="L79" i="11"/>
  <c r="L88" i="11" s="1"/>
  <c r="V39" i="8"/>
  <c r="V42" i="8"/>
  <c r="O88" i="8"/>
  <c r="P88" i="8"/>
  <c r="Q88" i="8"/>
  <c r="S88" i="8"/>
  <c r="R88" i="8"/>
  <c r="J88" i="8"/>
  <c r="X79" i="11" s="1"/>
  <c r="X88" i="11" s="1"/>
  <c r="Y16" i="11" l="1"/>
  <c r="X16" i="11"/>
  <c r="W16" i="11"/>
  <c r="W17" i="11" s="1"/>
  <c r="W18" i="11" s="1"/>
  <c r="V16" i="11"/>
  <c r="V17" i="11" s="1"/>
  <c r="X20" i="11"/>
  <c r="Y20" i="11"/>
  <c r="V20" i="11"/>
  <c r="W20" i="11"/>
  <c r="AC24" i="11"/>
  <c r="AA24" i="11"/>
  <c r="AG24" i="11" s="1"/>
  <c r="AB24" i="11"/>
  <c r="Z24" i="11"/>
  <c r="O17" i="11"/>
  <c r="O25" i="11" s="1"/>
  <c r="Z16" i="11"/>
  <c r="Z17" i="11" s="1"/>
  <c r="Z18" i="11" s="1"/>
  <c r="AC16" i="11"/>
  <c r="AC17" i="11" s="1"/>
  <c r="AC25" i="11" s="1"/>
  <c r="AA16" i="11"/>
  <c r="AA17" i="11" s="1"/>
  <c r="AB16" i="11"/>
  <c r="AB17" i="11" s="1"/>
  <c r="AC20" i="11"/>
  <c r="Z20" i="11"/>
  <c r="AB20" i="11"/>
  <c r="AA20" i="11"/>
  <c r="AG20" i="11" s="1"/>
  <c r="V24" i="11"/>
  <c r="Y24" i="11"/>
  <c r="W24" i="11"/>
  <c r="X24" i="11"/>
  <c r="X17" i="11"/>
  <c r="X18" i="11" s="1"/>
  <c r="Y17" i="11"/>
  <c r="Y18" i="11" s="1"/>
  <c r="K17" i="11"/>
  <c r="K25" i="11" s="1"/>
  <c r="AD18" i="11"/>
  <c r="W79" i="11"/>
  <c r="W88" i="11" s="1"/>
  <c r="K79" i="11"/>
  <c r="K88" i="11" s="1"/>
  <c r="AA79" i="11"/>
  <c r="AA88" i="11" s="1"/>
  <c r="O79" i="11"/>
  <c r="O88" i="11" s="1"/>
  <c r="AB18" i="11"/>
  <c r="J113" i="8"/>
  <c r="T113" i="8" s="1"/>
  <c r="J102" i="8"/>
  <c r="T102" i="8" s="1"/>
  <c r="T119" i="8" l="1"/>
  <c r="S102" i="8"/>
  <c r="R102" i="8"/>
  <c r="Q102" i="8"/>
  <c r="V113" i="8"/>
  <c r="S113" i="8"/>
  <c r="R113" i="8"/>
  <c r="Q113" i="8"/>
  <c r="V102" i="8"/>
  <c r="O18" i="11"/>
  <c r="AC33" i="11"/>
  <c r="AB33" i="11"/>
  <c r="AA33" i="11"/>
  <c r="AG33" i="11" s="1"/>
  <c r="Z33" i="11"/>
  <c r="AB25" i="11"/>
  <c r="AB26" i="11" s="1"/>
  <c r="X33" i="11"/>
  <c r="Y33" i="11"/>
  <c r="V33" i="11"/>
  <c r="W33" i="11"/>
  <c r="AC18" i="11"/>
  <c r="X25" i="11"/>
  <c r="X26" i="11" s="1"/>
  <c r="AG16" i="11"/>
  <c r="Y25" i="11"/>
  <c r="Y26" i="11" s="1"/>
  <c r="K18" i="11"/>
  <c r="Z25" i="11"/>
  <c r="Z26" i="11" s="1"/>
  <c r="AA25" i="11"/>
  <c r="W25" i="11"/>
  <c r="W26" i="11" s="1"/>
  <c r="V25" i="11"/>
  <c r="V18" i="11"/>
  <c r="AD29" i="11"/>
  <c r="O26" i="11"/>
  <c r="K26" i="11"/>
  <c r="K29" i="11"/>
  <c r="AG17" i="11"/>
  <c r="AA18" i="11"/>
  <c r="AG18" i="11" s="1"/>
  <c r="AD26" i="11"/>
  <c r="AC26" i="11"/>
  <c r="V122" i="8"/>
  <c r="AC41" i="11" l="1"/>
  <c r="AA41" i="11"/>
  <c r="AG41" i="11" s="1"/>
  <c r="Z41" i="11"/>
  <c r="AB41" i="11"/>
  <c r="AB28" i="11"/>
  <c r="AB29" i="11" s="1"/>
  <c r="AC28" i="11"/>
  <c r="AC29" i="11" s="1"/>
  <c r="AC34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4" i="11"/>
  <c r="K30" i="11"/>
  <c r="K34" i="11"/>
  <c r="AA26" i="11"/>
  <c r="AG26" i="11" s="1"/>
  <c r="AG25" i="11"/>
  <c r="AG28" i="11" l="1"/>
  <c r="N83" i="11"/>
  <c r="N86" i="11" a="1"/>
  <c r="N86" i="11" s="1"/>
  <c r="N87" i="11" a="1"/>
  <c r="N87" i="11" s="1"/>
  <c r="N85" i="11" a="1"/>
  <c r="N85" i="11" s="1"/>
  <c r="N84" i="11"/>
  <c r="K87" i="11" a="1"/>
  <c r="K87" i="11" s="1"/>
  <c r="K85" i="11" a="1"/>
  <c r="K85" i="11" s="1"/>
  <c r="M87" i="11" a="1"/>
  <c r="M87" i="11" s="1"/>
  <c r="K84" i="11"/>
  <c r="M84" i="11"/>
  <c r="M83" i="11"/>
  <c r="L85" i="11" a="1"/>
  <c r="L85" i="11" s="1"/>
  <c r="L83" i="11"/>
  <c r="M85" i="11" a="1"/>
  <c r="M85" i="11" s="1"/>
  <c r="L84" i="11"/>
  <c r="L86" i="11" a="1"/>
  <c r="L86" i="11" s="1"/>
  <c r="M86" i="11" a="1"/>
  <c r="M86" i="11" s="1"/>
  <c r="L87" i="11" a="1"/>
  <c r="L87" i="11" s="1"/>
  <c r="K86" i="11" a="1"/>
  <c r="K86" i="11" s="1"/>
  <c r="K83" i="11"/>
  <c r="AB34" i="11"/>
  <c r="AB35" i="11" s="1"/>
  <c r="AB30" i="11"/>
  <c r="AC30" i="11"/>
  <c r="Y34" i="11"/>
  <c r="Y84" i="11" s="1"/>
  <c r="Y30" i="11"/>
  <c r="O34" i="11"/>
  <c r="X34" i="11"/>
  <c r="X42" i="11" s="1"/>
  <c r="W34" i="11"/>
  <c r="W84" i="11" s="1"/>
  <c r="Z34" i="11"/>
  <c r="Z83" i="11" s="1"/>
  <c r="V30" i="11"/>
  <c r="V34" i="11"/>
  <c r="AD35" i="11"/>
  <c r="AD85" i="11"/>
  <c r="AD86" i="11" a="1"/>
  <c r="AD86" i="11" s="1"/>
  <c r="AD42" i="11"/>
  <c r="AD87" i="11" a="1"/>
  <c r="AD87" i="11" s="1"/>
  <c r="AD84" i="11"/>
  <c r="AD83" i="11"/>
  <c r="AA34" i="11"/>
  <c r="AA30" i="11"/>
  <c r="AG30" i="11" s="1"/>
  <c r="AG29" i="11"/>
  <c r="K35" i="11"/>
  <c r="K42" i="11"/>
  <c r="K49" i="11" s="1"/>
  <c r="AC87" i="11" a="1"/>
  <c r="AC87" i="11" s="1"/>
  <c r="AC42" i="11"/>
  <c r="AC85" i="11"/>
  <c r="AC86" i="11" a="1"/>
  <c r="AC86" i="11" s="1"/>
  <c r="AC35" i="11"/>
  <c r="AC83" i="11"/>
  <c r="AC84" i="11"/>
  <c r="K72" i="8"/>
  <c r="I72" i="8"/>
  <c r="K127" i="8"/>
  <c r="G127" i="8"/>
  <c r="J11" i="8"/>
  <c r="H56" i="8"/>
  <c r="H63" i="8" s="1"/>
  <c r="G56" i="8"/>
  <c r="G63" i="8" s="1"/>
  <c r="L96" i="8"/>
  <c r="K96" i="8"/>
  <c r="J96" i="8"/>
  <c r="I96" i="8"/>
  <c r="H96" i="8"/>
  <c r="G96" i="8"/>
  <c r="L95" i="8"/>
  <c r="K95" i="8"/>
  <c r="J95" i="8"/>
  <c r="I95" i="8"/>
  <c r="H95" i="8"/>
  <c r="G95" i="8"/>
  <c r="I56" i="8"/>
  <c r="I63" i="8" s="1"/>
  <c r="K56" i="8"/>
  <c r="K63" i="8" s="1"/>
  <c r="L56" i="8"/>
  <c r="L63" i="8" s="1"/>
  <c r="L47" i="8"/>
  <c r="K47" i="8"/>
  <c r="J47" i="8"/>
  <c r="I47" i="8"/>
  <c r="H47" i="8"/>
  <c r="G47" i="8"/>
  <c r="L46" i="8"/>
  <c r="K46" i="8"/>
  <c r="J46" i="8"/>
  <c r="I46" i="8"/>
  <c r="H46" i="8"/>
  <c r="G46" i="8"/>
  <c r="E47" i="8"/>
  <c r="D47" i="8"/>
  <c r="E46" i="8"/>
  <c r="D46" i="8"/>
  <c r="L11" i="8"/>
  <c r="L16" i="8" s="1"/>
  <c r="K11" i="8"/>
  <c r="K16" i="8" s="1"/>
  <c r="I11" i="8"/>
  <c r="I16" i="8" s="1"/>
  <c r="H11" i="8"/>
  <c r="H16" i="8" s="1"/>
  <c r="G11" i="8"/>
  <c r="G16" i="8" s="1"/>
  <c r="J13" i="10" l="1"/>
  <c r="J16" i="8"/>
  <c r="J17" i="8" s="1"/>
  <c r="AB86" i="11" a="1"/>
  <c r="AB86" i="11" s="1"/>
  <c r="AB87" i="11" a="1"/>
  <c r="AB87" i="11" s="1"/>
  <c r="AB84" i="11"/>
  <c r="AB83" i="11"/>
  <c r="AB85" i="11"/>
  <c r="AB42" i="11"/>
  <c r="R85" i="11" a="1"/>
  <c r="R85" i="11" s="1"/>
  <c r="R87" i="11" a="1"/>
  <c r="R87" i="11" s="1"/>
  <c r="R84" i="11"/>
  <c r="R83" i="11"/>
  <c r="R86" i="11" a="1"/>
  <c r="R86" i="11" s="1"/>
  <c r="Q84" i="11"/>
  <c r="P86" i="11" a="1"/>
  <c r="P86" i="11" s="1"/>
  <c r="Q86" i="11" a="1"/>
  <c r="Q86" i="11" s="1"/>
  <c r="P85" i="11" a="1"/>
  <c r="P85" i="11" s="1"/>
  <c r="O87" i="11" a="1"/>
  <c r="O87" i="11" s="1"/>
  <c r="Q87" i="11" a="1"/>
  <c r="Q87" i="11" s="1"/>
  <c r="O84" i="11"/>
  <c r="Q83" i="11"/>
  <c r="P87" i="11" a="1"/>
  <c r="P87" i="11" s="1"/>
  <c r="P83" i="11"/>
  <c r="Q85" i="11" a="1"/>
  <c r="Q85" i="11" s="1"/>
  <c r="O86" i="11" a="1"/>
  <c r="O86" i="11" s="1"/>
  <c r="P84" i="11"/>
  <c r="O83" i="11"/>
  <c r="O85" i="11" a="1"/>
  <c r="O85" i="11" s="1"/>
  <c r="W83" i="11"/>
  <c r="W87" i="11" a="1"/>
  <c r="W87" i="11" s="1"/>
  <c r="Y42" i="11"/>
  <c r="Y86" i="11" a="1"/>
  <c r="Y86" i="11" s="1"/>
  <c r="Y85" i="11"/>
  <c r="O42" i="11"/>
  <c r="O49" i="11" s="1"/>
  <c r="W86" i="11" a="1"/>
  <c r="W86" i="11" s="1"/>
  <c r="W85" i="11"/>
  <c r="W35" i="11"/>
  <c r="O35" i="11"/>
  <c r="Y87" i="11" a="1"/>
  <c r="Y87" i="11" s="1"/>
  <c r="Y83" i="11"/>
  <c r="Y35" i="11"/>
  <c r="W42" i="11"/>
  <c r="X87" i="11" a="1"/>
  <c r="X87" i="11" s="1"/>
  <c r="Z84" i="11"/>
  <c r="Z42" i="11"/>
  <c r="Z35" i="11"/>
  <c r="Z85" i="11"/>
  <c r="Z86" i="11" a="1"/>
  <c r="Z86" i="11" s="1"/>
  <c r="Z87" i="11" a="1"/>
  <c r="Z87" i="11" s="1"/>
  <c r="X86" i="11" a="1"/>
  <c r="X86" i="11" s="1"/>
  <c r="X83" i="11"/>
  <c r="X85" i="11"/>
  <c r="X84" i="11"/>
  <c r="X35" i="11"/>
  <c r="V86" i="11" a="1"/>
  <c r="V86" i="11" s="1"/>
  <c r="V84" i="11"/>
  <c r="V85" i="11"/>
  <c r="V83" i="11"/>
  <c r="V35" i="11"/>
  <c r="V87" i="11" a="1"/>
  <c r="V87" i="11" s="1"/>
  <c r="V42" i="11"/>
  <c r="K24" i="8"/>
  <c r="K32" i="8" s="1"/>
  <c r="K13" i="10"/>
  <c r="L17" i="8"/>
  <c r="L13" i="10"/>
  <c r="G24" i="8"/>
  <c r="G32" i="8" s="1"/>
  <c r="G13" i="10"/>
  <c r="I24" i="8"/>
  <c r="I32" i="8" s="1"/>
  <c r="I13" i="10"/>
  <c r="H17" i="8"/>
  <c r="H13" i="10"/>
  <c r="AA87" i="11" a="1"/>
  <c r="AA87" i="11" s="1"/>
  <c r="AA86" i="11" a="1"/>
  <c r="AA86" i="11" s="1"/>
  <c r="AA35" i="11"/>
  <c r="AG35" i="11" s="1"/>
  <c r="AA42" i="11"/>
  <c r="AG42" i="11" s="1"/>
  <c r="AG34" i="11"/>
  <c r="AA83" i="11"/>
  <c r="AA85" i="11"/>
  <c r="AA84" i="11"/>
  <c r="I81" i="8"/>
  <c r="G72" i="8"/>
  <c r="L72" i="8"/>
  <c r="H72" i="8"/>
  <c r="E72" i="8"/>
  <c r="L127" i="8"/>
  <c r="J127" i="8"/>
  <c r="H127" i="8"/>
  <c r="I127" i="8"/>
  <c r="J72" i="8"/>
  <c r="J56" i="8"/>
  <c r="J63" i="8" s="1"/>
  <c r="Y49" i="11" l="1"/>
  <c r="Y50" i="11" s="1"/>
  <c r="W49" i="11"/>
  <c r="W50" i="11" s="1"/>
  <c r="V49" i="11"/>
  <c r="V50" i="11" s="1"/>
  <c r="X49" i="11"/>
  <c r="X50" i="11" s="1"/>
  <c r="AC49" i="11"/>
  <c r="AC50" i="11" s="1"/>
  <c r="AB49" i="11"/>
  <c r="AB50" i="11" s="1"/>
  <c r="AA49" i="11"/>
  <c r="AA50" i="11" s="1"/>
  <c r="Z49" i="11"/>
  <c r="Z50" i="11" s="1"/>
  <c r="L24" i="8"/>
  <c r="K17" i="8"/>
  <c r="K25" i="8"/>
  <c r="H24" i="8"/>
  <c r="G17" i="8"/>
  <c r="K50" i="11"/>
  <c r="O50" i="11"/>
  <c r="I17" i="8"/>
  <c r="K33" i="8"/>
  <c r="K36" i="8"/>
  <c r="K99" i="8" s="1"/>
  <c r="K119" i="8" s="1"/>
  <c r="AD50" i="11"/>
  <c r="I89" i="8"/>
  <c r="I91" i="8" s="1"/>
  <c r="J81" i="8"/>
  <c r="G81" i="8"/>
  <c r="E81" i="8"/>
  <c r="L81" i="8"/>
  <c r="H81" i="8"/>
  <c r="K81" i="8"/>
  <c r="J24" i="8"/>
  <c r="J32" i="8" s="1"/>
  <c r="I25" i="8"/>
  <c r="G25" i="8"/>
  <c r="H32" i="8" l="1"/>
  <c r="H33" i="8" s="1"/>
  <c r="L32" i="8"/>
  <c r="L33" i="8" s="1"/>
  <c r="L25" i="8"/>
  <c r="H25" i="8"/>
  <c r="J33" i="8"/>
  <c r="J36" i="8"/>
  <c r="J99" i="8" s="1"/>
  <c r="J119" i="8" s="1"/>
  <c r="I33" i="8"/>
  <c r="I36" i="8"/>
  <c r="I99" i="8" s="1"/>
  <c r="I119" i="8" s="1"/>
  <c r="G33" i="8"/>
  <c r="G36" i="8"/>
  <c r="G99" i="8" s="1"/>
  <c r="G119" i="8" s="1"/>
  <c r="K43" i="8"/>
  <c r="K37" i="8"/>
  <c r="K40" i="8"/>
  <c r="G89" i="8"/>
  <c r="G91" i="8" s="1"/>
  <c r="J89" i="8"/>
  <c r="J91" i="8" s="1"/>
  <c r="L89" i="8"/>
  <c r="L91" i="8" s="1"/>
  <c r="K89" i="8"/>
  <c r="K91" i="8" s="1"/>
  <c r="H89" i="8"/>
  <c r="H91" i="8" s="1"/>
  <c r="J25" i="8"/>
  <c r="L36" i="8" l="1"/>
  <c r="L99" i="8" s="1"/>
  <c r="L119" i="8" s="1"/>
  <c r="L145" i="8" s="1"/>
  <c r="S145" i="8" s="1"/>
  <c r="H36" i="8"/>
  <c r="H99" i="8" s="1"/>
  <c r="H119" i="8" s="1"/>
  <c r="H145" i="8" s="1"/>
  <c r="O145" i="8" s="1"/>
  <c r="G40" i="8"/>
  <c r="G43" i="8"/>
  <c r="G37" i="8"/>
  <c r="I43" i="8"/>
  <c r="I37" i="8"/>
  <c r="I40" i="8"/>
  <c r="J43" i="8"/>
  <c r="J37" i="8"/>
  <c r="J40" i="8"/>
  <c r="K145" i="8"/>
  <c r="R145" i="8" s="1"/>
  <c r="G145" i="8"/>
  <c r="I145" i="8"/>
  <c r="P145" i="8" s="1"/>
  <c r="L40" i="8" l="1"/>
  <c r="L37" i="8"/>
  <c r="L43" i="8"/>
  <c r="H37" i="8"/>
  <c r="H40" i="8"/>
  <c r="H43" i="8"/>
  <c r="B96" i="8" l="1"/>
  <c r="B95" i="8"/>
  <c r="E96" i="8"/>
  <c r="D96" i="8"/>
  <c r="E95" i="8"/>
  <c r="D95" i="8"/>
  <c r="B47" i="8"/>
  <c r="B46" i="8"/>
  <c r="S47" i="8"/>
  <c r="R47" i="8"/>
  <c r="P47" i="8"/>
  <c r="O47" i="8"/>
  <c r="Q47" i="8"/>
  <c r="S46" i="8"/>
  <c r="R46" i="8"/>
  <c r="Q46" i="8"/>
  <c r="P46" i="8"/>
  <c r="O46" i="8"/>
  <c r="Q95" i="8" l="1"/>
  <c r="R95" i="8"/>
  <c r="R96" i="8"/>
  <c r="S96" i="8"/>
  <c r="P95" i="8"/>
  <c r="S95" i="8"/>
  <c r="P96" i="8"/>
  <c r="O96" i="8"/>
  <c r="Q96" i="8"/>
  <c r="O95" i="8"/>
  <c r="O11" i="8" l="1"/>
  <c r="D56" i="8"/>
  <c r="D63" i="8" s="1"/>
  <c r="E56" i="8"/>
  <c r="E63" i="8" s="1"/>
  <c r="O13" i="10" l="1"/>
  <c r="O16" i="8"/>
  <c r="O24" i="8" s="1"/>
  <c r="O32" i="8" s="1"/>
  <c r="P11" i="8"/>
  <c r="P56" i="8"/>
  <c r="P63" i="8" s="1"/>
  <c r="P72" i="8"/>
  <c r="P81" i="8" s="1"/>
  <c r="O72" i="8"/>
  <c r="O81" i="8" s="1"/>
  <c r="O56" i="8"/>
  <c r="O63" i="8" s="1"/>
  <c r="R56" i="8"/>
  <c r="R63" i="8" s="1"/>
  <c r="R11" i="8"/>
  <c r="R72" i="8"/>
  <c r="R81" i="8" s="1"/>
  <c r="S72" i="8"/>
  <c r="S81" i="8" s="1"/>
  <c r="Q11" i="8"/>
  <c r="S11" i="8"/>
  <c r="S56" i="8"/>
  <c r="S63" i="8" s="1"/>
  <c r="R13" i="10" l="1"/>
  <c r="R16" i="8"/>
  <c r="R24" i="8" s="1"/>
  <c r="R32" i="8" s="1"/>
  <c r="S13" i="10"/>
  <c r="S16" i="8"/>
  <c r="S24" i="8" s="1"/>
  <c r="S32" i="8" s="1"/>
  <c r="P13" i="10"/>
  <c r="P16" i="8"/>
  <c r="P24" i="8" s="1"/>
  <c r="P32" i="8" s="1"/>
  <c r="Q13" i="10"/>
  <c r="Q16" i="8"/>
  <c r="Q24" i="8" s="1"/>
  <c r="Q32" i="8" s="1"/>
  <c r="O25" i="8"/>
  <c r="V10" i="8"/>
  <c r="P89" i="8"/>
  <c r="P91" i="8" s="1"/>
  <c r="V19" i="8"/>
  <c r="O89" i="8"/>
  <c r="O91" i="8" s="1"/>
  <c r="O17" i="8"/>
  <c r="V13" i="8"/>
  <c r="R89" i="8"/>
  <c r="R91" i="8" s="1"/>
  <c r="S89" i="8"/>
  <c r="S91" i="8" s="1"/>
  <c r="O33" i="8" l="1"/>
  <c r="O36" i="8"/>
  <c r="O99" i="8" s="1"/>
  <c r="P25" i="8"/>
  <c r="R25" i="8"/>
  <c r="Q25" i="8"/>
  <c r="S25" i="8"/>
  <c r="R17" i="8"/>
  <c r="Q17" i="8"/>
  <c r="S17" i="8"/>
  <c r="P17" i="8"/>
  <c r="R33" i="8" l="1"/>
  <c r="R36" i="8"/>
  <c r="R99" i="8" s="1"/>
  <c r="S33" i="8"/>
  <c r="S36" i="8"/>
  <c r="S99" i="8" s="1"/>
  <c r="P33" i="8"/>
  <c r="P36" i="8"/>
  <c r="P99" i="8" s="1"/>
  <c r="Q33" i="8"/>
  <c r="Q36" i="8"/>
  <c r="Q99" i="8" s="1"/>
  <c r="O37" i="8"/>
  <c r="O40" i="8"/>
  <c r="O43" i="8"/>
  <c r="R40" i="8" l="1"/>
  <c r="R37" i="8"/>
  <c r="R43" i="8"/>
  <c r="P37" i="8"/>
  <c r="P40" i="8"/>
  <c r="P43" i="8"/>
  <c r="S37" i="8"/>
  <c r="S40" i="8"/>
  <c r="S43" i="8"/>
  <c r="Q43" i="8"/>
  <c r="Q37" i="8"/>
  <c r="Q40" i="8"/>
  <c r="Q72" i="8" l="1"/>
  <c r="Q81" i="8" s="1"/>
  <c r="P127" i="8" l="1"/>
  <c r="O127" i="8"/>
  <c r="Q127" i="8"/>
  <c r="S127" i="8"/>
  <c r="R127" i="8"/>
  <c r="E11" i="8" l="1"/>
  <c r="D11" i="8"/>
  <c r="C13" i="10"/>
  <c r="E127" i="8"/>
  <c r="D127" i="8"/>
  <c r="D72" i="8"/>
  <c r="T13" i="10"/>
  <c r="D13" i="10" l="1"/>
  <c r="D16" i="8"/>
  <c r="D24" i="8" s="1"/>
  <c r="D32" i="8" s="1"/>
  <c r="E13" i="10"/>
  <c r="E16" i="8"/>
  <c r="E24" i="8" s="1"/>
  <c r="E32" i="8" s="1"/>
  <c r="D81" i="8"/>
  <c r="V11" i="8"/>
  <c r="Q89" i="8"/>
  <c r="V88" i="8"/>
  <c r="D25" i="8" l="1"/>
  <c r="E25" i="8"/>
  <c r="Q56" i="8"/>
  <c r="Q63" i="8" s="1"/>
  <c r="D89" i="8"/>
  <c r="D91" i="8" s="1"/>
  <c r="E89" i="8"/>
  <c r="E91" i="8" s="1"/>
  <c r="V81" i="8"/>
  <c r="V72" i="8"/>
  <c r="D17" i="8"/>
  <c r="E17" i="8"/>
  <c r="D33" i="8" l="1"/>
  <c r="D36" i="8"/>
  <c r="D99" i="8" s="1"/>
  <c r="D119" i="8" s="1"/>
  <c r="D145" i="8" s="1"/>
  <c r="E33" i="8"/>
  <c r="E36" i="8"/>
  <c r="E99" i="8" s="1"/>
  <c r="E119" i="8" s="1"/>
  <c r="E145" i="8" s="1"/>
  <c r="V33" i="8"/>
  <c r="V32" i="8"/>
  <c r="Q91" i="8"/>
  <c r="V24" i="8"/>
  <c r="V25" i="8"/>
  <c r="V136" i="8"/>
  <c r="V89" i="8"/>
  <c r="V63" i="8"/>
  <c r="V56" i="8"/>
  <c r="V16" i="8"/>
  <c r="V127" i="8"/>
  <c r="V17" i="8"/>
  <c r="D37" i="8" l="1"/>
  <c r="E40" i="8"/>
  <c r="E43" i="8"/>
  <c r="D43" i="8"/>
  <c r="D40" i="8"/>
  <c r="E37" i="8"/>
  <c r="J145" i="8"/>
  <c r="Q145" i="8" s="1"/>
  <c r="V36" i="8" l="1"/>
  <c r="V37" i="8"/>
  <c r="P119" i="8"/>
  <c r="Q119" i="8"/>
  <c r="O119" i="8" l="1"/>
  <c r="V40" i="8" l="1"/>
  <c r="V43" i="8"/>
  <c r="D139" i="8" l="1"/>
  <c r="D141" i="8" l="1"/>
  <c r="D146" i="8" s="1"/>
  <c r="D148" i="8" s="1"/>
  <c r="E139" i="8" l="1"/>
  <c r="E141" i="8" s="1"/>
  <c r="E146" i="8" s="1"/>
  <c r="E148" i="8" l="1"/>
  <c r="G139" i="8" l="1"/>
  <c r="G141" i="8" s="1"/>
  <c r="G146" i="8" l="1"/>
  <c r="H139" i="8" l="1"/>
  <c r="H141" i="8" s="1"/>
  <c r="G148" i="8"/>
  <c r="H146" i="8" l="1"/>
  <c r="I139" i="8" l="1"/>
  <c r="I141" i="8" s="1"/>
  <c r="H148" i="8"/>
  <c r="I146" i="8" l="1"/>
  <c r="J139" i="8" l="1"/>
  <c r="J141" i="8" s="1"/>
  <c r="I148" i="8"/>
  <c r="J146" i="8" l="1"/>
  <c r="K139" i="8" s="1"/>
  <c r="K141" i="8" s="1"/>
  <c r="K146" i="8" l="1"/>
  <c r="L139" i="8" s="1"/>
  <c r="L141" i="8" s="1"/>
  <c r="J148" i="8"/>
  <c r="L146" i="8" l="1"/>
  <c r="M139" i="8" s="1"/>
  <c r="M141" i="8" s="1"/>
  <c r="M146" i="8" s="1"/>
  <c r="M148" i="8" s="1"/>
  <c r="K148" i="8"/>
  <c r="L148" i="8" l="1"/>
  <c r="R119" i="8" l="1"/>
  <c r="S119" i="8"/>
  <c r="V99" i="8" l="1"/>
  <c r="V119" i="8" l="1"/>
  <c r="O139" i="8" l="1"/>
  <c r="O141" i="8" s="1"/>
  <c r="O146" i="8" s="1"/>
  <c r="P139" i="8" l="1"/>
  <c r="P141" i="8" s="1"/>
  <c r="P146" i="8" s="1"/>
  <c r="O148" i="8" l="1"/>
  <c r="Q139" i="8"/>
  <c r="Q141" i="8" s="1"/>
  <c r="P148" i="8"/>
  <c r="Q146" i="8" l="1"/>
  <c r="R139" i="8" s="1"/>
  <c r="R141" i="8" s="1"/>
  <c r="R146" i="8" s="1"/>
  <c r="S139" i="8" l="1"/>
  <c r="S141" i="8" s="1"/>
  <c r="R148" i="8"/>
  <c r="Q148" i="8"/>
  <c r="S146" i="8" l="1"/>
  <c r="T139" i="8" s="1"/>
  <c r="T141" i="8" s="1"/>
  <c r="T146" i="8" s="1"/>
  <c r="T148" i="8" s="1"/>
  <c r="S148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<sst xmlns="http://schemas.openxmlformats.org/spreadsheetml/2006/main" count="264" uniqueCount="158">
  <si>
    <t>FYE</t>
  </si>
  <si>
    <t>Quarterly</t>
  </si>
  <si>
    <t>1Q24</t>
  </si>
  <si>
    <t>2Q24</t>
  </si>
  <si>
    <t>3Q24</t>
  </si>
  <si>
    <t>4Q24</t>
  </si>
  <si>
    <t>LTM</t>
  </si>
  <si>
    <t>EBITDA</t>
  </si>
  <si>
    <t>Total Revenue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</si>
  <si>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</si>
  <si>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</si>
  <si>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</si>
  <si>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</si>
  <si>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</si>
  <si>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</si>
  <si>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</si>
  <si>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</si>
  <si>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</si>
  <si>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</si>
  <si>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</si>
  <si>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</si>
  <si>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</si>
  <si>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</si>
  <si>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</si>
  <si>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</si>
  <si>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</si>
  <si>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</si>
  <si>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</si>
  <si>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</si>
  <si>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</si>
  <si>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</si>
  <si>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</si>
  <si>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</si>
  <si>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</si>
  <si>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</si>
  <si>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</si>
  <si>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</si>
  <si>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</si>
  <si>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</si>
  <si>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</si>
  <si>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</si>
  <si>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</si>
  <si>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</si>
  <si>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</si>
  <si>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</si>
  <si>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</si>
  <si>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</si>
  <si>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</si>
  <si>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</si>
  <si>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</si>
  <si>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</si>
  <si>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</si>
  <si>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</si>
  <si>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</si>
  <si>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</si>
  <si>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</si>
  <si>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</si>
  <si>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</si>
  <si>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</si>
  <si>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</si>
  <si>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</si>
  <si>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</si>
  <si>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</si>
  <si>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</si>
  <si>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</si>
  <si>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</si>
  <si>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</si>
  <si>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</si>
  <si>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</si>
  <si>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</si>
  <si>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</si>
  <si>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</si>
  <si>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</si>
  <si>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</si>
  <si>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</si>
  <si>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</si>
  <si>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</si>
  <si>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</si>
  <si>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</si>
  <si>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</si>
  <si>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</si>
  <si>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</si>
  <si>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</si>
  <si>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</si>
  <si>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Receivables</t>
  </si>
  <si>
    <t>Additions to property and equipment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</si>
  <si>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</si>
  <si>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</si>
  <si>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</si>
  <si>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</si>
  <si>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</si>
  <si>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</si>
  <si>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</si>
  <si>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</si>
  <si>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</si>
  <si>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</si>
  <si>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</si>
  <si>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</si>
  <si>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</si>
  <si>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</si>
  <si>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</si>
  <si>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</si>
  <si>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</si>
  <si>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</si>
  <si>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</si>
  <si>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</si>
  <si>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Proceeds from Equity Issuances / (Repurchases)</t>
  </si>
  <si>
    <t>3Q25</t>
  </si>
  <si>
    <t>XXX</t>
  </si>
  <si>
    <t>Earnings before Taxes</t>
  </si>
  <si>
    <t>(+/-) XXX</t>
  </si>
  <si>
    <t>(+) XXX</t>
  </si>
  <si>
    <t>(-) XXX</t>
  </si>
  <si>
    <t>(-) Mandatory Outflows</t>
  </si>
  <si>
    <t>Interest Expenses</t>
  </si>
  <si>
    <t>Other Income</t>
  </si>
  <si>
    <t>Inventories</t>
  </si>
  <si>
    <t>Other LT Assets</t>
  </si>
  <si>
    <t>A/P</t>
  </si>
  <si>
    <t>Other ST Liabilities</t>
  </si>
  <si>
    <t>Other LT Liabilities</t>
  </si>
  <si>
    <t xml:space="preserve">Cash &amp; CEs </t>
  </si>
  <si>
    <t>A/R</t>
  </si>
  <si>
    <t>PP&amp;E</t>
  </si>
  <si>
    <t>Restricted Cash</t>
  </si>
  <si>
    <t>ST Debt</t>
  </si>
  <si>
    <t>LT Debt</t>
  </si>
  <si>
    <t>Realized / Unrealized on Derivatives</t>
  </si>
  <si>
    <t>Nuclear PTC and Other Revenues</t>
  </si>
  <si>
    <t>Capacity Revenues</t>
  </si>
  <si>
    <t>Electricity Sales &amp; Ancillary Service Revenues     
ISO/RTO</t>
  </si>
  <si>
    <t>Physical Electricity Sales, Bilateral Contracts, other</t>
  </si>
  <si>
    <t>Other Customer Revenues</t>
  </si>
  <si>
    <t xml:space="preserve">Customer Contract Revenues </t>
  </si>
  <si>
    <t xml:space="preserve">Revenue: Customer Contract Revenues  </t>
  </si>
  <si>
    <t>Fuel &amp; Energy Purchases</t>
  </si>
  <si>
    <t>Nuclear Fuel Amortization</t>
  </si>
  <si>
    <t>G/L on Derivatives</t>
  </si>
  <si>
    <t>Operations Maintenance &amp; Development</t>
  </si>
  <si>
    <t>G&amp;A</t>
  </si>
  <si>
    <t>Depreciation, Ammortization &amp; Accretion</t>
  </si>
  <si>
    <t>Impairment</t>
  </si>
  <si>
    <t>Operational Restructuring</t>
  </si>
  <si>
    <t>Nuclear Decommissioning Fund Income</t>
  </si>
  <si>
    <t>Reorganization Income</t>
  </si>
  <si>
    <t>G/L on Sale of Income</t>
  </si>
  <si>
    <t>ST Derivative Instruments</t>
  </si>
  <si>
    <t>Other ST Assets</t>
  </si>
  <si>
    <t>Nuclear Decommision Trust Funds</t>
  </si>
  <si>
    <t>LT Derivative Instruments</t>
  </si>
  <si>
    <t>Portion of LT Debt</t>
  </si>
  <si>
    <t>Interest</t>
  </si>
  <si>
    <t>ST Derivative Instrument Liabilities</t>
  </si>
  <si>
    <t>LT Derivative Instrument Liabilities</t>
  </si>
  <si>
    <t>LT Retirement Benefit Obligations</t>
  </si>
  <si>
    <t>LT Environmental Liabilities</t>
  </si>
  <si>
    <t>Deffered Income Taxes</t>
  </si>
  <si>
    <t>Talen Energy Corporation (NASDAQ: TLN)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</si>
</sst>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5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V165"/>
  <sheetViews>
    <sheetView showGridLines="0" tabSelected="1" zoomScale="115" zoomScaleNormal="115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5" width="9.125" style="5" bestFit="1" customWidth="1"/>
    <col min="6" max="6" width="1.5" style="5" customWidth="1"/>
    <col min="7" max="8" width="7.875" style="5" customWidth="1" outlineLevel="1"/>
    <col min="9" max="9" width="8.625" style="5" bestFit="1" customWidth="1"/>
    <col min="10" max="10" width="8.625" style="5" customWidth="1"/>
    <col min="11" max="13" width="8" style="5" customWidth="1"/>
    <col min="14" max="14" width="1.5" style="5" customWidth="1"/>
    <col min="15" max="15" width="8.25" style="5" customWidth="1" outlineLevel="1"/>
    <col min="16" max="16" width="8.25" style="5" bestFit="1" customWidth="1"/>
    <col min="17" max="17" width="8.25" style="5" customWidth="1" outlineLevel="1"/>
    <col min="18" max="18" width="8.625" style="5" customWidth="1" outlineLevel="1"/>
    <col min="19" max="19" width="8.25" style="5" customWidth="1" outlineLevel="1"/>
    <col min="20" max="20" width="8.625" style="5" bestFit="1" customWidth="1"/>
    <col min="21" max="21" width="1.25" style="5" customWidth="1"/>
    <col min="22" max="22" width="10.5" style="5" bestFit="1" customWidth="1"/>
    <col min="23" max="23" width="1.375" style="5" customWidth="1"/>
    <col min="24" max="16384" width="9" style="5"/>
  </cols>
  <sheetData>
    <row r="2" spans="1:22" ht="12.75" customHeight="1">
      <c r="B2" s="1" t="s">
        <v>157</v>
      </c>
      <c r="C2" s="86"/>
      <c r="D2" s="86"/>
      <c r="E2" s="86"/>
      <c r="F2" s="3"/>
      <c r="G2" s="86"/>
      <c r="H2" s="86"/>
      <c r="I2" s="86"/>
      <c r="J2" s="86"/>
      <c r="K2" s="86"/>
      <c r="L2" s="86"/>
      <c r="M2" s="86"/>
      <c r="N2" s="3"/>
      <c r="O2" s="86"/>
      <c r="P2" s="86"/>
      <c r="Q2" s="86"/>
      <c r="R2" s="86"/>
      <c r="S2" s="86"/>
      <c r="T2" s="86"/>
      <c r="U2" s="3"/>
      <c r="V2" s="1"/>
    </row>
    <row r="3" spans="1:22" ht="12.75" customHeight="1">
      <c r="B3" s="6" t="s">
        <v>74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3"/>
      <c r="O3" s="4"/>
      <c r="P3" s="4"/>
      <c r="Q3" s="4"/>
      <c r="R3" s="4"/>
      <c r="S3" s="4"/>
      <c r="T3" s="4"/>
      <c r="U3" s="3"/>
      <c r="V3" s="1"/>
    </row>
    <row r="4" spans="1:22" ht="12.75" customHeight="1">
      <c r="B4" s="6" t="s">
        <v>94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</row>
    <row r="6" spans="1:22" ht="12.75" customHeight="1">
      <c r="A6" s="5" t="s">
        <v>13</v>
      </c>
      <c r="B6" s="1" t="s">
        <v>72</v>
      </c>
      <c r="C6" s="2"/>
      <c r="D6" s="2" t="s">
        <v>0</v>
      </c>
      <c r="E6" s="2"/>
      <c r="F6" s="3"/>
      <c r="G6" s="2"/>
      <c r="H6" s="2"/>
      <c r="I6" s="2" t="s">
        <v>1</v>
      </c>
      <c r="J6" s="2"/>
      <c r="K6" s="2"/>
      <c r="L6" s="2"/>
      <c r="M6" s="2"/>
      <c r="N6" s="3"/>
      <c r="O6" s="2"/>
      <c r="P6" s="2" t="s">
        <v>6</v>
      </c>
      <c r="Q6" s="2"/>
      <c r="R6" s="2"/>
      <c r="S6" s="2"/>
      <c r="T6" s="2"/>
      <c r="U6" s="35"/>
      <c r="V6" s="151" t="s">
        <v>19</v>
      </c>
    </row>
    <row r="7" spans="1:22" ht="12.75" customHeight="1">
      <c r="B7" s="6" t="s">
        <v>75</v>
      </c>
      <c r="C7" s="7">
        <v>2022</v>
      </c>
      <c r="D7" s="7">
        <v>2023</v>
      </c>
      <c r="E7" s="7">
        <v>2024</v>
      </c>
      <c r="F7" s="3"/>
      <c r="G7" s="4" t="s">
        <v>2</v>
      </c>
      <c r="H7" s="4" t="s">
        <v>3</v>
      </c>
      <c r="I7" s="4" t="s">
        <v>4</v>
      </c>
      <c r="J7" s="4" t="s">
        <v>5</v>
      </c>
      <c r="K7" s="4" t="s">
        <v>21</v>
      </c>
      <c r="L7" s="4" t="s">
        <v>22</v>
      </c>
      <c r="M7" s="4" t="s">
        <v>107</v>
      </c>
      <c r="N7" s="4"/>
      <c r="O7" s="4" t="str">
        <f>H7</f>
        <v>2Q24</v>
      </c>
      <c r="P7" s="4" t="str">
        <f>I7</f>
        <v>3Q24</v>
      </c>
      <c r="Q7" s="4" t="str">
        <f>J7</f>
        <v>4Q24</v>
      </c>
      <c r="R7" s="4" t="str">
        <f>K7</f>
        <v>1Q25</v>
      </c>
      <c r="S7" s="4" t="str">
        <f>L7</f>
        <v>2Q25</v>
      </c>
      <c r="T7" s="4" t="str">
        <f>M7</f>
        <v>3Q25</v>
      </c>
      <c r="U7" s="35"/>
      <c r="V7" s="151"/>
    </row>
    <row r="8" spans="1:22" ht="12.75" customHeight="1">
      <c r="B8" s="6" t="s">
        <v>76</v>
      </c>
      <c r="C8" s="3" t="s">
        <v>108</v>
      </c>
      <c r="D8" s="3" t="s">
        <v>108</v>
      </c>
      <c r="E8" s="3" t="s">
        <v>108</v>
      </c>
      <c r="F8" s="3"/>
      <c r="G8" s="3" t="s">
        <v>108</v>
      </c>
      <c r="H8" s="3" t="s">
        <v>108</v>
      </c>
      <c r="I8" s="3" t="s">
        <v>108</v>
      </c>
      <c r="J8" s="3" t="str">
        <f>E8</f>
        <v>XXX</v>
      </c>
      <c r="K8" s="3" t="s">
        <v>108</v>
      </c>
      <c r="L8" s="3" t="s">
        <v>108</v>
      </c>
      <c r="M8" s="3" t="s">
        <v>108</v>
      </c>
      <c r="N8" s="3"/>
      <c r="O8" s="3" t="str">
        <f>H8</f>
        <v>XXX</v>
      </c>
      <c r="P8" s="3" t="str">
        <f>I8</f>
        <v>XXX</v>
      </c>
      <c r="Q8" s="3" t="str">
        <f>J8</f>
        <v>XXX</v>
      </c>
      <c r="R8" s="3" t="str">
        <f>K8</f>
        <v>XXX</v>
      </c>
      <c r="S8" s="3" t="str">
        <f>L8</f>
        <v>XXX</v>
      </c>
      <c r="T8" s="3" t="str">
        <f>M8</f>
        <v>XXX</v>
      </c>
      <c r="U8" s="35"/>
      <c r="V8" s="151"/>
    </row>
    <row r="9" spans="1:22" ht="5.0999999999999996" customHeight="1">
      <c r="V9" s="85"/>
    </row>
    <row r="10" spans="1:22" ht="12.75" customHeight="1">
      <c r="B10" s="9" t="s">
        <v>56</v>
      </c>
      <c r="C10" s="81"/>
      <c r="D10" s="81"/>
      <c r="E10" s="81">
        <v>2115</v>
      </c>
      <c r="F10" s="11"/>
      <c r="G10" s="76">
        <v>509</v>
      </c>
      <c r="H10" s="76">
        <v>489</v>
      </c>
      <c r="I10" s="76">
        <v>650</v>
      </c>
      <c r="J10" s="30">
        <f>SUM(E10-SUM(G10:I10))</f>
        <v>467</v>
      </c>
      <c r="K10" s="76">
        <v>390</v>
      </c>
      <c r="L10" s="76">
        <v>630</v>
      </c>
      <c r="M10" s="76">
        <v>812</v>
      </c>
      <c r="N10" s="30"/>
      <c r="O10" s="30">
        <f>SUM(G10:G10)</f>
        <v>509</v>
      </c>
      <c r="P10" s="30">
        <f>SUM(G10:H10)</f>
        <v>998</v>
      </c>
      <c r="Q10" s="30">
        <f>SUM(G10:I10)</f>
        <v>1648</v>
      </c>
      <c r="R10" s="30">
        <f t="shared" ref="R10:S10" si="0">SUM(G10:J10)</f>
        <v>2115</v>
      </c>
      <c r="S10" s="30">
        <f t="shared" si="0"/>
        <v>1996</v>
      </c>
      <c r="T10" s="30">
        <f>SUM(I10:L10)</f>
        <v>2137</v>
      </c>
      <c r="U10" s="37"/>
      <c r="V10" s="68">
        <f>SUM(T10/P10)-1</f>
        <v>1.1412825651302607</v>
      </c>
    </row>
    <row r="11" spans="1:22" ht="12.75" customHeight="1">
      <c r="B11" s="12" t="s">
        <v>8</v>
      </c>
      <c r="C11" s="13">
        <f t="shared" ref="C11:E11" si="1">+SUM(C10:C10)</f>
        <v>0</v>
      </c>
      <c r="D11" s="13">
        <f t="shared" si="1"/>
        <v>0</v>
      </c>
      <c r="E11" s="13">
        <f t="shared" si="1"/>
        <v>2115</v>
      </c>
      <c r="F11" s="11"/>
      <c r="G11" s="13">
        <f t="shared" ref="G11:L11" si="2">+SUM(G10:G10)</f>
        <v>509</v>
      </c>
      <c r="H11" s="13">
        <f t="shared" si="2"/>
        <v>489</v>
      </c>
      <c r="I11" s="13">
        <f t="shared" si="2"/>
        <v>650</v>
      </c>
      <c r="J11" s="13">
        <f t="shared" si="2"/>
        <v>467</v>
      </c>
      <c r="K11" s="13">
        <f t="shared" si="2"/>
        <v>390</v>
      </c>
      <c r="L11" s="13">
        <f t="shared" si="2"/>
        <v>630</v>
      </c>
      <c r="M11" s="13">
        <f t="shared" ref="M11" si="3">+SUM(M10:M10)</f>
        <v>812</v>
      </c>
      <c r="O11" s="13">
        <f t="shared" ref="O11:T11" si="4">+SUM(O10:O10)</f>
        <v>509</v>
      </c>
      <c r="P11" s="13">
        <f t="shared" si="4"/>
        <v>998</v>
      </c>
      <c r="Q11" s="13">
        <f t="shared" si="4"/>
        <v>1648</v>
      </c>
      <c r="R11" s="13">
        <f t="shared" si="4"/>
        <v>2115</v>
      </c>
      <c r="S11" s="13">
        <f t="shared" si="4"/>
        <v>1996</v>
      </c>
      <c r="T11" s="13">
        <f t="shared" si="4"/>
        <v>2137</v>
      </c>
      <c r="U11" s="37"/>
      <c r="V11" s="69">
        <f>SUM(T11/P11)-1</f>
        <v>1.1412825651302607</v>
      </c>
    </row>
    <row r="12" spans="1:22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V12" s="68"/>
    </row>
    <row r="13" spans="1:22" ht="12.75" customHeight="1">
      <c r="B13" s="9" t="s">
        <v>135</v>
      </c>
      <c r="C13" s="76"/>
      <c r="D13" s="76"/>
      <c r="E13" s="76">
        <v>-694</v>
      </c>
      <c r="F13" s="22"/>
      <c r="G13" s="76">
        <v>-150</v>
      </c>
      <c r="H13" s="76">
        <v>-163</v>
      </c>
      <c r="I13" s="76">
        <v>-222</v>
      </c>
      <c r="J13" s="30">
        <f t="shared" ref="J13:J15" si="5">SUM(E13-SUM(G13:I13))</f>
        <v>-159</v>
      </c>
      <c r="K13" s="76">
        <v>-268</v>
      </c>
      <c r="L13" s="76">
        <v>-150</v>
      </c>
      <c r="M13" s="76">
        <v>-259</v>
      </c>
      <c r="O13" s="30">
        <f>SUM(G13:G13)</f>
        <v>-150</v>
      </c>
      <c r="P13" s="30">
        <f>SUM(G13:H13)</f>
        <v>-313</v>
      </c>
      <c r="Q13" s="30">
        <f>SUM(G13:I13)</f>
        <v>-535</v>
      </c>
      <c r="R13" s="30">
        <f t="shared" ref="R13" si="6">SUM(G13:J13)</f>
        <v>-694</v>
      </c>
      <c r="S13" s="30">
        <f t="shared" ref="S13" si="7">SUM(H13:K13)</f>
        <v>-812</v>
      </c>
      <c r="T13" s="30">
        <f>SUM(I13:L13)</f>
        <v>-799</v>
      </c>
      <c r="U13" s="11"/>
      <c r="V13" s="68">
        <f>SUM(T13/P13)-1</f>
        <v>1.5527156549520766</v>
      </c>
    </row>
    <row r="14" spans="1:22" ht="12.75" customHeight="1">
      <c r="B14" s="9" t="s">
        <v>136</v>
      </c>
      <c r="C14" s="76"/>
      <c r="D14" s="76"/>
      <c r="E14" s="76">
        <v>-123</v>
      </c>
      <c r="F14" s="22"/>
      <c r="G14" s="76">
        <v>-35</v>
      </c>
      <c r="H14" s="76">
        <v>-28</v>
      </c>
      <c r="I14" s="76">
        <v>-30</v>
      </c>
      <c r="J14" s="30">
        <f t="shared" si="5"/>
        <v>-30</v>
      </c>
      <c r="K14" s="76">
        <v>-26</v>
      </c>
      <c r="L14" s="76">
        <v>-18</v>
      </c>
      <c r="M14" s="76">
        <v>-27</v>
      </c>
      <c r="O14" s="30">
        <f>SUM(G14:G14)</f>
        <v>-35</v>
      </c>
      <c r="P14" s="30">
        <f>SUM(G14:H14)</f>
        <v>-63</v>
      </c>
      <c r="Q14" s="30">
        <f>SUM(G14:I14)</f>
        <v>-93</v>
      </c>
      <c r="R14" s="30">
        <f t="shared" ref="R14" si="8">SUM(G14:J14)</f>
        <v>-123</v>
      </c>
      <c r="S14" s="30">
        <f t="shared" ref="S14" si="9">SUM(H14:K14)</f>
        <v>-114</v>
      </c>
      <c r="T14" s="30">
        <f>SUM(I14:L14)</f>
        <v>-104</v>
      </c>
      <c r="U14" s="11"/>
      <c r="V14" s="68">
        <f>SUM(T14/P14)-1</f>
        <v>0.6507936507936507</v>
      </c>
    </row>
    <row r="15" spans="1:22" ht="12.75" customHeight="1">
      <c r="B15" s="9" t="s">
        <v>137</v>
      </c>
      <c r="C15" s="76"/>
      <c r="D15" s="76"/>
      <c r="E15" s="76">
        <v>20</v>
      </c>
      <c r="F15" s="22"/>
      <c r="G15" s="76">
        <v>-27</v>
      </c>
      <c r="H15" s="76">
        <v>15</v>
      </c>
      <c r="I15" s="76">
        <v>7</v>
      </c>
      <c r="J15" s="30">
        <f t="shared" si="5"/>
        <v>25</v>
      </c>
      <c r="K15" s="76">
        <v>59</v>
      </c>
      <c r="L15" s="76">
        <v>-84</v>
      </c>
      <c r="M15" s="76">
        <v>-6</v>
      </c>
      <c r="O15" s="30">
        <f>SUM(G15:G15)</f>
        <v>-27</v>
      </c>
      <c r="P15" s="30">
        <f>SUM(G15:H15)</f>
        <v>-12</v>
      </c>
      <c r="Q15" s="30">
        <f>SUM(G15:I15)</f>
        <v>-5</v>
      </c>
      <c r="R15" s="30">
        <f t="shared" ref="R15" si="10">SUM(G15:J15)</f>
        <v>20</v>
      </c>
      <c r="S15" s="30">
        <f t="shared" ref="S15" si="11">SUM(H15:K15)</f>
        <v>106</v>
      </c>
      <c r="T15" s="30">
        <f>SUM(I15:L15)</f>
        <v>7</v>
      </c>
      <c r="U15" s="11"/>
      <c r="V15" s="68">
        <f>SUM(T15/P15)-1</f>
        <v>-1.5833333333333335</v>
      </c>
    </row>
    <row r="16" spans="1:22" ht="12.75" customHeight="1">
      <c r="B16" s="23" t="s">
        <v>17</v>
      </c>
      <c r="C16" s="24">
        <f>+SUM(C11+SUM(C13:C15))</f>
        <v>0</v>
      </c>
      <c r="D16" s="24">
        <f t="shared" ref="D16:E16" si="12">+SUM(D11+SUM(D13:D15))</f>
        <v>0</v>
      </c>
      <c r="E16" s="24">
        <f t="shared" si="12"/>
        <v>1318</v>
      </c>
      <c r="G16" s="24">
        <f t="shared" ref="G16" si="13">+SUM(G11+SUM(G13:G15))</f>
        <v>297</v>
      </c>
      <c r="H16" s="24">
        <f t="shared" ref="H16" si="14">+SUM(H11+SUM(H13:H15))</f>
        <v>313</v>
      </c>
      <c r="I16" s="24">
        <f t="shared" ref="I16" si="15">+SUM(I11+SUM(I13:I15))</f>
        <v>405</v>
      </c>
      <c r="J16" s="24">
        <f t="shared" ref="J16" si="16">+SUM(J11+SUM(J13:J15))</f>
        <v>303</v>
      </c>
      <c r="K16" s="24">
        <f t="shared" ref="K16" si="17">+SUM(K11+SUM(K13:K15))</f>
        <v>155</v>
      </c>
      <c r="L16" s="24">
        <f t="shared" ref="L16" si="18">+SUM(L11+SUM(L13:L15))</f>
        <v>378</v>
      </c>
      <c r="M16" s="24">
        <f t="shared" ref="M16" si="19">+SUM(M11+SUM(M13:M15))</f>
        <v>520</v>
      </c>
      <c r="O16" s="24">
        <f t="shared" ref="O16" si="20">+SUM(O11+SUM(O13:O15))</f>
        <v>297</v>
      </c>
      <c r="P16" s="24">
        <f t="shared" ref="P16" si="21">+SUM(P11+SUM(P13:P15))</f>
        <v>610</v>
      </c>
      <c r="Q16" s="24">
        <f t="shared" ref="Q16" si="22">+SUM(Q11+SUM(Q13:Q15))</f>
        <v>1015</v>
      </c>
      <c r="R16" s="24">
        <f t="shared" ref="R16" si="23">+SUM(R11+SUM(R13:R15))</f>
        <v>1318</v>
      </c>
      <c r="S16" s="24">
        <f t="shared" ref="S16" si="24">+SUM(S11+SUM(S13:S15))</f>
        <v>1176</v>
      </c>
      <c r="T16" s="24">
        <f t="shared" ref="T16" si="25">+SUM(T11+SUM(T13:T15))</f>
        <v>1241</v>
      </c>
      <c r="U16" s="39"/>
      <c r="V16" s="69">
        <f>SUM(T16/P16)-1</f>
        <v>1.0344262295081967</v>
      </c>
    </row>
    <row r="17" spans="2:22" ht="12.75" customHeight="1">
      <c r="B17" s="14" t="s">
        <v>27</v>
      </c>
      <c r="C17" s="15" t="e">
        <f t="shared" ref="C17:E17" si="26">C16/C11</f>
        <v>#DIV/0!</v>
      </c>
      <c r="D17" s="15" t="e">
        <f t="shared" si="26"/>
        <v>#DIV/0!</v>
      </c>
      <c r="E17" s="15">
        <f t="shared" si="26"/>
        <v>0.6231678486997636</v>
      </c>
      <c r="F17" s="25"/>
      <c r="G17" s="15">
        <f>G16/G11</f>
        <v>0.58349705304518662</v>
      </c>
      <c r="H17" s="15">
        <f>H16/H11</f>
        <v>0.64008179959100209</v>
      </c>
      <c r="I17" s="15">
        <f>I16/I11</f>
        <v>0.62307692307692308</v>
      </c>
      <c r="J17" s="15">
        <f>J16/J11</f>
        <v>0.64882226980728053</v>
      </c>
      <c r="K17" s="15">
        <f>K16/K11</f>
        <v>0.39743589743589741</v>
      </c>
      <c r="L17" s="15">
        <f>L16/L11</f>
        <v>0.6</v>
      </c>
      <c r="M17" s="15">
        <f t="shared" ref="M17" si="27">M16/M11</f>
        <v>0.64039408866995073</v>
      </c>
      <c r="N17" s="26"/>
      <c r="O17" s="15">
        <f>O16/O11</f>
        <v>0.58349705304518662</v>
      </c>
      <c r="P17" s="15">
        <f>P16/P11</f>
        <v>0.6112224448897795</v>
      </c>
      <c r="Q17" s="15">
        <f>Q16/Q11</f>
        <v>0.61589805825242716</v>
      </c>
      <c r="R17" s="15">
        <f>R16/R11</f>
        <v>0.6231678486997636</v>
      </c>
      <c r="S17" s="15">
        <f>S16/S11</f>
        <v>0.58917835671342689</v>
      </c>
      <c r="T17" s="15">
        <f>T16/T11</f>
        <v>0.58072063640617688</v>
      </c>
      <c r="U17" s="39"/>
      <c r="V17" s="70">
        <f>SUM(T17-P17)*1000</f>
        <v>-30.501808483602623</v>
      </c>
    </row>
    <row r="18" spans="2:22" ht="5.0999999999999996" customHeight="1"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O18" s="28"/>
      <c r="P18" s="28"/>
      <c r="Q18" s="28"/>
      <c r="R18" s="28"/>
      <c r="S18" s="28"/>
      <c r="T18" s="28"/>
      <c r="U18" s="39"/>
      <c r="V18" s="68"/>
    </row>
    <row r="19" spans="2:22" ht="12.75" customHeight="1">
      <c r="B19" s="9" t="s">
        <v>138</v>
      </c>
      <c r="C19" s="76"/>
      <c r="D19" s="76"/>
      <c r="E19" s="76">
        <v>-592</v>
      </c>
      <c r="F19" s="30"/>
      <c r="G19" s="76">
        <v>-154</v>
      </c>
      <c r="H19" s="76">
        <v>-164</v>
      </c>
      <c r="I19" s="76">
        <v>-127</v>
      </c>
      <c r="J19" s="30">
        <f t="shared" ref="J19:J23" si="28">SUM(E19-SUM(G19:I19))</f>
        <v>-147</v>
      </c>
      <c r="K19" s="76">
        <v>-146</v>
      </c>
      <c r="L19" s="76">
        <v>-192</v>
      </c>
      <c r="M19" s="76">
        <v>-131</v>
      </c>
      <c r="O19" s="30">
        <f>SUM(G19:G19)</f>
        <v>-154</v>
      </c>
      <c r="P19" s="30">
        <f>SUM(G19:H19)</f>
        <v>-318</v>
      </c>
      <c r="Q19" s="30">
        <f>SUM(G19:I19)</f>
        <v>-445</v>
      </c>
      <c r="R19" s="30">
        <f t="shared" ref="R19:R23" si="29">SUM(G19:J19)</f>
        <v>-592</v>
      </c>
      <c r="S19" s="30">
        <f t="shared" ref="S19:S23" si="30">SUM(H19:K19)</f>
        <v>-584</v>
      </c>
      <c r="T19" s="30">
        <f t="shared" ref="T19:T23" si="31">SUM(I19:L19)</f>
        <v>-612</v>
      </c>
      <c r="U19" s="11"/>
      <c r="V19" s="68">
        <f>SUM(T19/P19)-1</f>
        <v>0.92452830188679247</v>
      </c>
    </row>
    <row r="20" spans="2:22" ht="12.75" customHeight="1">
      <c r="B20" s="9" t="s">
        <v>139</v>
      </c>
      <c r="C20" s="76"/>
      <c r="D20" s="76"/>
      <c r="E20" s="76">
        <v>-163</v>
      </c>
      <c r="F20" s="30"/>
      <c r="G20" s="76">
        <v>-43</v>
      </c>
      <c r="H20" s="76">
        <v>-40</v>
      </c>
      <c r="I20" s="76">
        <v>-38</v>
      </c>
      <c r="J20" s="30">
        <f t="shared" si="28"/>
        <v>-42</v>
      </c>
      <c r="K20" s="76">
        <v>-34</v>
      </c>
      <c r="L20" s="76">
        <v>-41</v>
      </c>
      <c r="M20" s="76">
        <v>-38</v>
      </c>
      <c r="O20" s="30">
        <f t="shared" ref="O20:O22" si="32">SUM(G20:G20)</f>
        <v>-43</v>
      </c>
      <c r="P20" s="30">
        <f t="shared" ref="P20:P22" si="33">SUM(G20:H20)</f>
        <v>-83</v>
      </c>
      <c r="Q20" s="30">
        <f t="shared" ref="Q20:Q22" si="34">SUM(G20:I20)</f>
        <v>-121</v>
      </c>
      <c r="R20" s="30">
        <f t="shared" ref="R20:R22" si="35">SUM(G20:J20)</f>
        <v>-163</v>
      </c>
      <c r="S20" s="30">
        <f t="shared" ref="S20:S22" si="36">SUM(H20:K20)</f>
        <v>-154</v>
      </c>
      <c r="T20" s="30">
        <f t="shared" ref="T20:T22" si="37">SUM(I20:L20)</f>
        <v>-155</v>
      </c>
      <c r="U20" s="11"/>
      <c r="V20" s="68">
        <f t="shared" ref="V20:V22" si="38">SUM(T20/P20)-1</f>
        <v>0.8674698795180722</v>
      </c>
    </row>
    <row r="21" spans="2:22" ht="12.75" customHeight="1">
      <c r="B21" s="9" t="s">
        <v>140</v>
      </c>
      <c r="C21" s="76"/>
      <c r="D21" s="76"/>
      <c r="E21" s="76">
        <v>-298</v>
      </c>
      <c r="F21" s="30"/>
      <c r="G21" s="76">
        <v>-75</v>
      </c>
      <c r="H21" s="76">
        <v>-75</v>
      </c>
      <c r="I21" s="76">
        <v>-75</v>
      </c>
      <c r="J21" s="30">
        <f t="shared" si="28"/>
        <v>-73</v>
      </c>
      <c r="K21" s="76">
        <v>-74</v>
      </c>
      <c r="L21" s="76">
        <v>-70</v>
      </c>
      <c r="M21" s="76">
        <v>-61</v>
      </c>
      <c r="O21" s="30">
        <f t="shared" si="32"/>
        <v>-75</v>
      </c>
      <c r="P21" s="30">
        <f t="shared" si="33"/>
        <v>-150</v>
      </c>
      <c r="Q21" s="30">
        <f t="shared" si="34"/>
        <v>-225</v>
      </c>
      <c r="R21" s="30">
        <f t="shared" si="35"/>
        <v>-298</v>
      </c>
      <c r="S21" s="30">
        <f t="shared" si="36"/>
        <v>-297</v>
      </c>
      <c r="T21" s="30">
        <f t="shared" si="37"/>
        <v>-292</v>
      </c>
      <c r="U21" s="11"/>
      <c r="V21" s="68">
        <f t="shared" si="38"/>
        <v>0.94666666666666677</v>
      </c>
    </row>
    <row r="22" spans="2:22" ht="12.75" customHeight="1">
      <c r="B22" s="9" t="s">
        <v>141</v>
      </c>
      <c r="C22" s="76"/>
      <c r="D22" s="76"/>
      <c r="E22" s="76">
        <v>-1</v>
      </c>
      <c r="F22" s="30"/>
      <c r="G22" s="76">
        <v>0</v>
      </c>
      <c r="H22" s="76">
        <v>0</v>
      </c>
      <c r="I22" s="76">
        <v>0</v>
      </c>
      <c r="J22" s="30">
        <f t="shared" si="28"/>
        <v>-1</v>
      </c>
      <c r="K22" s="76">
        <v>0</v>
      </c>
      <c r="L22" s="76">
        <v>0</v>
      </c>
      <c r="M22" s="76">
        <v>0</v>
      </c>
      <c r="O22" s="30">
        <f t="shared" si="32"/>
        <v>0</v>
      </c>
      <c r="P22" s="30">
        <f t="shared" si="33"/>
        <v>0</v>
      </c>
      <c r="Q22" s="30">
        <f t="shared" si="34"/>
        <v>0</v>
      </c>
      <c r="R22" s="30">
        <f t="shared" si="35"/>
        <v>-1</v>
      </c>
      <c r="S22" s="30">
        <f t="shared" si="36"/>
        <v>-1</v>
      </c>
      <c r="T22" s="30">
        <f t="shared" si="37"/>
        <v>-1</v>
      </c>
      <c r="U22" s="11"/>
      <c r="V22" s="68" t="e">
        <f t="shared" si="38"/>
        <v>#DIV/0!</v>
      </c>
    </row>
    <row r="23" spans="2:22" ht="12.75" customHeight="1">
      <c r="B23" s="9" t="s">
        <v>142</v>
      </c>
      <c r="C23" s="76"/>
      <c r="D23" s="76"/>
      <c r="E23" s="76">
        <v>0</v>
      </c>
      <c r="F23" s="30"/>
      <c r="G23" s="76">
        <v>0</v>
      </c>
      <c r="H23" s="76">
        <v>0</v>
      </c>
      <c r="I23" s="76">
        <v>0</v>
      </c>
      <c r="J23" s="30">
        <f t="shared" si="28"/>
        <v>0</v>
      </c>
      <c r="K23" s="76">
        <v>0</v>
      </c>
      <c r="L23" s="76">
        <v>0</v>
      </c>
      <c r="M23" s="76">
        <v>0</v>
      </c>
      <c r="O23" s="30">
        <f>SUM(G23:G23)</f>
        <v>0</v>
      </c>
      <c r="P23" s="30">
        <f>SUM(G23:H23)</f>
        <v>0</v>
      </c>
      <c r="Q23" s="30">
        <f>SUM(G23:I23)</f>
        <v>0</v>
      </c>
      <c r="R23" s="30">
        <f t="shared" si="29"/>
        <v>0</v>
      </c>
      <c r="S23" s="30">
        <f t="shared" si="30"/>
        <v>0</v>
      </c>
      <c r="T23" s="30">
        <f t="shared" si="31"/>
        <v>0</v>
      </c>
      <c r="U23" s="11"/>
      <c r="V23" s="68" t="e">
        <f>SUM(T23/P23)-1</f>
        <v>#DIV/0!</v>
      </c>
    </row>
    <row r="24" spans="2:22" ht="12.75" customHeight="1">
      <c r="B24" s="23" t="s">
        <v>77</v>
      </c>
      <c r="C24" s="24">
        <f>+SUM(C16+SUM(C19:C23))</f>
        <v>0</v>
      </c>
      <c r="D24" s="24">
        <f>+SUM(D16+SUM(D19:D23))</f>
        <v>0</v>
      </c>
      <c r="E24" s="24">
        <f>+SUM(E16+SUM(E19:E23))</f>
        <v>264</v>
      </c>
      <c r="F24" s="30"/>
      <c r="G24" s="24">
        <f>+SUM(G16+SUM(G19:G23))</f>
        <v>25</v>
      </c>
      <c r="H24" s="24">
        <f>+SUM(H16+SUM(H19:H23))</f>
        <v>34</v>
      </c>
      <c r="I24" s="24">
        <f>+SUM(I16+SUM(I19:I23))</f>
        <v>165</v>
      </c>
      <c r="J24" s="24">
        <f>+SUM(J16+SUM(J19:J23))</f>
        <v>40</v>
      </c>
      <c r="K24" s="24">
        <f>+SUM(K16+SUM(K19:K23))</f>
        <v>-99</v>
      </c>
      <c r="L24" s="24">
        <f>+SUM(L16+SUM(L19:L23))</f>
        <v>75</v>
      </c>
      <c r="M24" s="24">
        <f>+SUM(M16+SUM(M19:M23))</f>
        <v>290</v>
      </c>
      <c r="O24" s="24">
        <f>+SUM(O16+SUM(O19:O23))</f>
        <v>25</v>
      </c>
      <c r="P24" s="24">
        <f>+SUM(P16+SUM(P19:P23))</f>
        <v>59</v>
      </c>
      <c r="Q24" s="24">
        <f>+SUM(Q16+SUM(Q19:Q23))</f>
        <v>224</v>
      </c>
      <c r="R24" s="24">
        <f>+SUM(R16+SUM(R19:R23))</f>
        <v>264</v>
      </c>
      <c r="S24" s="24">
        <f>+SUM(S16+SUM(S19:S23))</f>
        <v>140</v>
      </c>
      <c r="T24" s="24">
        <f>+SUM(T16+SUM(T19:T23))</f>
        <v>181</v>
      </c>
      <c r="U24" s="11"/>
      <c r="V24" s="69">
        <f>SUM(T24/P24)-1</f>
        <v>2.0677966101694913</v>
      </c>
    </row>
    <row r="25" spans="2:22" ht="12.75" customHeight="1">
      <c r="B25" s="14" t="s">
        <v>29</v>
      </c>
      <c r="C25" s="15" t="e">
        <f>C24/C11</f>
        <v>#DIV/0!</v>
      </c>
      <c r="D25" s="15" t="e">
        <f>D24/D11</f>
        <v>#DIV/0!</v>
      </c>
      <c r="E25" s="15">
        <f>E24/E11</f>
        <v>0.12482269503546099</v>
      </c>
      <c r="F25" s="30"/>
      <c r="G25" s="15">
        <f>G24/G11</f>
        <v>4.9115913555992138E-2</v>
      </c>
      <c r="H25" s="15">
        <f>H24/H11</f>
        <v>6.9529652351738247E-2</v>
      </c>
      <c r="I25" s="15">
        <f>I24/I11</f>
        <v>0.25384615384615383</v>
      </c>
      <c r="J25" s="15">
        <f>J24/J11</f>
        <v>8.5653104925053528E-2</v>
      </c>
      <c r="K25" s="15">
        <f>K24/K11</f>
        <v>-0.25384615384615383</v>
      </c>
      <c r="L25" s="15">
        <f>L24/L11</f>
        <v>0.11904761904761904</v>
      </c>
      <c r="M25" s="15">
        <f>M24/M11</f>
        <v>0.35714285714285715</v>
      </c>
      <c r="O25" s="15">
        <f>O24/O11</f>
        <v>4.9115913555992138E-2</v>
      </c>
      <c r="P25" s="15">
        <f>P24/P11</f>
        <v>5.9118236472945888E-2</v>
      </c>
      <c r="Q25" s="15">
        <f>Q24/Q11</f>
        <v>0.13592233009708737</v>
      </c>
      <c r="R25" s="15">
        <f>R24/R11</f>
        <v>0.12482269503546099</v>
      </c>
      <c r="S25" s="15">
        <f>S24/S11</f>
        <v>7.0140280561122245E-2</v>
      </c>
      <c r="T25" s="15">
        <f>T24/T11</f>
        <v>8.4698175011698643E-2</v>
      </c>
      <c r="U25" s="11"/>
      <c r="V25" s="70">
        <f>SUM(T25-P25)*1000</f>
        <v>25.579938538752753</v>
      </c>
    </row>
    <row r="26" spans="2:22" ht="5.0999999999999996" customHeight="1">
      <c r="B26" s="14"/>
      <c r="C26" s="15"/>
      <c r="D26" s="15"/>
      <c r="E26" s="15"/>
      <c r="F26" s="30"/>
      <c r="G26" s="76"/>
      <c r="H26" s="76"/>
      <c r="I26" s="76"/>
      <c r="J26" s="76"/>
      <c r="K26" s="76"/>
      <c r="L26" s="76"/>
      <c r="M26" s="76"/>
      <c r="O26" s="30"/>
      <c r="P26" s="30"/>
      <c r="Q26" s="30"/>
      <c r="R26" s="30"/>
      <c r="S26" s="30"/>
      <c r="T26" s="30"/>
      <c r="U26" s="11"/>
      <c r="V26" s="68"/>
    </row>
    <row r="27" spans="2:22" ht="12.75" customHeight="1">
      <c r="B27" s="9" t="s">
        <v>143</v>
      </c>
      <c r="C27" s="76"/>
      <c r="D27" s="76"/>
      <c r="E27" s="76">
        <v>178</v>
      </c>
      <c r="F27" s="30"/>
      <c r="G27" s="76">
        <v>75</v>
      </c>
      <c r="H27" s="76">
        <v>27</v>
      </c>
      <c r="I27" s="76">
        <v>67</v>
      </c>
      <c r="J27" s="30">
        <v>9</v>
      </c>
      <c r="K27" s="76">
        <v>-12</v>
      </c>
      <c r="L27" s="76">
        <v>80</v>
      </c>
      <c r="M27" s="76">
        <v>81</v>
      </c>
      <c r="O27" s="30">
        <f>SUM(G27:G27)</f>
        <v>75</v>
      </c>
      <c r="P27" s="30">
        <f>SUM(G27:H27)</f>
        <v>102</v>
      </c>
      <c r="Q27" s="30">
        <f>SUM(G27:I27)</f>
        <v>169</v>
      </c>
      <c r="R27" s="30">
        <f t="shared" ref="R27:R29" si="39">SUM(G27:J27)</f>
        <v>178</v>
      </c>
      <c r="S27" s="30">
        <f t="shared" ref="S27:S29" si="40">SUM(H27:K27)</f>
        <v>91</v>
      </c>
      <c r="T27" s="30">
        <f t="shared" ref="T27:T29" si="41">SUM(I27:L27)</f>
        <v>144</v>
      </c>
      <c r="U27" s="11"/>
      <c r="V27" s="68">
        <f>SUM(T27/P27)-1</f>
        <v>0.41176470588235303</v>
      </c>
    </row>
    <row r="28" spans="2:22" ht="12.75" customHeight="1">
      <c r="B28" s="9" t="s">
        <v>114</v>
      </c>
      <c r="C28" s="76"/>
      <c r="D28" s="76"/>
      <c r="E28" s="76">
        <v>-238</v>
      </c>
      <c r="F28" s="30"/>
      <c r="G28" s="76">
        <v>-59</v>
      </c>
      <c r="H28" s="76">
        <v>-62</v>
      </c>
      <c r="I28" s="76">
        <v>-66</v>
      </c>
      <c r="J28" s="30">
        <v>-51</v>
      </c>
      <c r="K28" s="76">
        <v>-74</v>
      </c>
      <c r="L28" s="76">
        <v>-62</v>
      </c>
      <c r="M28" s="76">
        <v>-67</v>
      </c>
      <c r="O28" s="30">
        <f t="shared" ref="O28:O29" si="42">SUM(G28:G28)</f>
        <v>-59</v>
      </c>
      <c r="P28" s="30">
        <f t="shared" ref="P28:P29" si="43">SUM(G28:H28)</f>
        <v>-121</v>
      </c>
      <c r="Q28" s="30">
        <f t="shared" ref="Q28:Q29" si="44">SUM(G28:I28)</f>
        <v>-187</v>
      </c>
      <c r="R28" s="30">
        <f t="shared" si="39"/>
        <v>-238</v>
      </c>
      <c r="S28" s="30">
        <f t="shared" si="40"/>
        <v>-253</v>
      </c>
      <c r="T28" s="30">
        <f t="shared" si="41"/>
        <v>-253</v>
      </c>
      <c r="U28" s="11"/>
      <c r="V28" s="68">
        <f t="shared" ref="V28:V29" si="45">SUM(T28/P28)-1</f>
        <v>1.0909090909090908</v>
      </c>
    </row>
    <row r="29" spans="2:22" ht="12.75" customHeight="1">
      <c r="B29" s="9" t="s">
        <v>144</v>
      </c>
      <c r="C29" s="76"/>
      <c r="D29" s="76"/>
      <c r="E29" s="76">
        <v>0</v>
      </c>
      <c r="F29" s="30"/>
      <c r="G29" s="76">
        <v>324</v>
      </c>
      <c r="H29" s="76">
        <v>561</v>
      </c>
      <c r="I29" s="76">
        <v>0</v>
      </c>
      <c r="J29" s="30">
        <v>-885</v>
      </c>
      <c r="K29" s="76">
        <v>2</v>
      </c>
      <c r="L29" s="76">
        <v>9</v>
      </c>
      <c r="M29" s="76">
        <v>25</v>
      </c>
      <c r="O29" s="30">
        <f t="shared" si="42"/>
        <v>324</v>
      </c>
      <c r="P29" s="30">
        <f t="shared" si="43"/>
        <v>885</v>
      </c>
      <c r="Q29" s="30">
        <f t="shared" si="44"/>
        <v>885</v>
      </c>
      <c r="R29" s="30">
        <f t="shared" si="39"/>
        <v>0</v>
      </c>
      <c r="S29" s="30">
        <f t="shared" si="40"/>
        <v>-322</v>
      </c>
      <c r="T29" s="30">
        <f t="shared" si="41"/>
        <v>-874</v>
      </c>
      <c r="U29" s="11"/>
      <c r="V29" s="68">
        <f t="shared" si="45"/>
        <v>-1.9875706214689266</v>
      </c>
    </row>
    <row r="30" spans="2:22" ht="12.75" customHeight="1">
      <c r="B30" s="9" t="s">
        <v>145</v>
      </c>
      <c r="C30" s="76"/>
      <c r="D30" s="76"/>
      <c r="E30" s="76">
        <v>884</v>
      </c>
      <c r="F30" s="30"/>
      <c r="G30" s="76">
        <v>0</v>
      </c>
      <c r="H30" s="76">
        <v>0</v>
      </c>
      <c r="I30" s="76">
        <v>0</v>
      </c>
      <c r="J30" s="30">
        <v>884</v>
      </c>
      <c r="K30" s="76">
        <v>0</v>
      </c>
      <c r="L30" s="76">
        <v>0</v>
      </c>
      <c r="M30" s="76">
        <v>0</v>
      </c>
      <c r="O30" s="30">
        <f>SUM(G30:G30)</f>
        <v>0</v>
      </c>
      <c r="P30" s="30">
        <f>SUM(G30:H30)</f>
        <v>0</v>
      </c>
      <c r="Q30" s="30">
        <f>SUM(G30:I30)</f>
        <v>0</v>
      </c>
      <c r="R30" s="30">
        <f>SUM(G30:J30)</f>
        <v>884</v>
      </c>
      <c r="S30" s="30">
        <f>SUM(H30:K30)</f>
        <v>884</v>
      </c>
      <c r="T30" s="30">
        <f>SUM(I30:L30)</f>
        <v>884</v>
      </c>
      <c r="U30" s="11"/>
      <c r="V30" s="68" t="e">
        <f t="shared" ref="V30:V31" si="46">SUM(T30/P30)-1</f>
        <v>#DIV/0!</v>
      </c>
    </row>
    <row r="31" spans="2:22" ht="12.75" customHeight="1">
      <c r="B31" s="9" t="s">
        <v>115</v>
      </c>
      <c r="C31" s="76"/>
      <c r="D31" s="76"/>
      <c r="E31" s="76">
        <v>61</v>
      </c>
      <c r="F31" s="30"/>
      <c r="G31" s="76">
        <v>23</v>
      </c>
      <c r="H31" s="76">
        <v>17</v>
      </c>
      <c r="I31" s="76">
        <v>20</v>
      </c>
      <c r="J31" s="30">
        <v>1</v>
      </c>
      <c r="K31" s="76">
        <v>3</v>
      </c>
      <c r="L31" s="76">
        <v>4</v>
      </c>
      <c r="M31" s="76">
        <v>2</v>
      </c>
      <c r="O31" s="30">
        <f>SUM(G31:G31)</f>
        <v>23</v>
      </c>
      <c r="P31" s="30">
        <f>SUM(G31:H31)</f>
        <v>40</v>
      </c>
      <c r="Q31" s="30">
        <f>SUM(G31:I31)</f>
        <v>60</v>
      </c>
      <c r="R31" s="30">
        <f>SUM(G31:J31)</f>
        <v>61</v>
      </c>
      <c r="S31" s="30">
        <f>SUM(H31:K31)</f>
        <v>41</v>
      </c>
      <c r="T31" s="30">
        <f>SUM(I31:L31)</f>
        <v>28</v>
      </c>
      <c r="U31" s="11"/>
      <c r="V31" s="68">
        <f t="shared" si="46"/>
        <v>-0.30000000000000004</v>
      </c>
    </row>
    <row r="32" spans="2:22" ht="12.75" customHeight="1">
      <c r="B32" s="23" t="s">
        <v>109</v>
      </c>
      <c r="C32" s="24">
        <f>SUM(C27:C31)+C24</f>
        <v>0</v>
      </c>
      <c r="D32" s="24">
        <f>SUM(D27:D31)+D24</f>
        <v>0</v>
      </c>
      <c r="E32" s="24">
        <f>SUM(E27:E31)+E24</f>
        <v>1149</v>
      </c>
      <c r="F32" s="30"/>
      <c r="G32" s="24">
        <f>SUM(G27:G31)+G24</f>
        <v>388</v>
      </c>
      <c r="H32" s="24">
        <f>SUM(H27:H31)+H24</f>
        <v>577</v>
      </c>
      <c r="I32" s="24">
        <f>SUM(I27:I31)+I24</f>
        <v>186</v>
      </c>
      <c r="J32" s="24">
        <f>SUM(J27:J31)+J24</f>
        <v>-2</v>
      </c>
      <c r="K32" s="24">
        <f>SUM(K27:K31)+K24</f>
        <v>-180</v>
      </c>
      <c r="L32" s="24">
        <f>SUM(L27:L31)+L24</f>
        <v>106</v>
      </c>
      <c r="M32" s="24">
        <f>SUM(M27:M31)+M24</f>
        <v>331</v>
      </c>
      <c r="O32" s="24">
        <f>SUM(O27:O31)+O24</f>
        <v>388</v>
      </c>
      <c r="P32" s="24">
        <f>SUM(P27:P31)+P24</f>
        <v>965</v>
      </c>
      <c r="Q32" s="24">
        <f>SUM(Q27:Q31)+Q24</f>
        <v>1151</v>
      </c>
      <c r="R32" s="24">
        <f>SUM(R27:R31)+R24</f>
        <v>1149</v>
      </c>
      <c r="S32" s="24">
        <f>SUM(S27:S31)+S24</f>
        <v>581</v>
      </c>
      <c r="T32" s="24">
        <f>SUM(T27:T31)+T24</f>
        <v>110</v>
      </c>
      <c r="U32" s="11"/>
      <c r="V32" s="68">
        <f>SUM(T32/P32)-1</f>
        <v>-0.88601036269430056</v>
      </c>
    </row>
    <row r="33" spans="1:22" ht="12.75" customHeight="1">
      <c r="B33" s="14" t="s">
        <v>78</v>
      </c>
      <c r="C33" s="15" t="e">
        <f>C32/C11</f>
        <v>#DIV/0!</v>
      </c>
      <c r="D33" s="15" t="e">
        <f>D32/D11</f>
        <v>#DIV/0!</v>
      </c>
      <c r="E33" s="15">
        <f>E32/E11</f>
        <v>0.54326241134751774</v>
      </c>
      <c r="F33" s="25"/>
      <c r="G33" s="15">
        <f>G32/G11</f>
        <v>0.76227897838899805</v>
      </c>
      <c r="H33" s="15">
        <f>H32/H11</f>
        <v>1.1799591002044989</v>
      </c>
      <c r="I33" s="15">
        <f>I32/I11</f>
        <v>0.28615384615384615</v>
      </c>
      <c r="J33" s="15">
        <f>J32/J11</f>
        <v>-4.2826552462526769E-3</v>
      </c>
      <c r="K33" s="15">
        <f>K32/K11</f>
        <v>-0.46153846153846156</v>
      </c>
      <c r="L33" s="15">
        <f>L32/L11</f>
        <v>0.16825396825396827</v>
      </c>
      <c r="M33" s="15">
        <f>M32/M11</f>
        <v>0.40763546798029554</v>
      </c>
      <c r="O33" s="15">
        <f>O32/O11</f>
        <v>0.76227897838899805</v>
      </c>
      <c r="P33" s="15">
        <f>P32/P11</f>
        <v>0.96693386773547096</v>
      </c>
      <c r="Q33" s="15">
        <f>Q32/Q11</f>
        <v>0.69842233009708743</v>
      </c>
      <c r="R33" s="15">
        <f>R32/R11</f>
        <v>0.54326241134751774</v>
      </c>
      <c r="S33" s="15">
        <f>S32/S11</f>
        <v>0.2910821643286573</v>
      </c>
      <c r="T33" s="15">
        <f>T32/T11</f>
        <v>5.1474029012634537E-2</v>
      </c>
      <c r="U33" s="40"/>
      <c r="V33" s="70">
        <f>SUM(T33-P33)*1000</f>
        <v>-915.45983872283648</v>
      </c>
    </row>
    <row r="34" spans="1:22" ht="5.0999999999999996" customHeight="1">
      <c r="B34" s="9"/>
      <c r="C34" s="76"/>
      <c r="D34" s="76"/>
      <c r="E34" s="76"/>
      <c r="F34" s="30"/>
      <c r="G34" s="76"/>
      <c r="H34" s="76"/>
      <c r="I34" s="76"/>
      <c r="J34" s="30"/>
      <c r="K34" s="76"/>
      <c r="L34" s="76"/>
      <c r="M34" s="76"/>
      <c r="O34" s="30"/>
      <c r="P34" s="30"/>
      <c r="Q34" s="30"/>
      <c r="R34" s="30"/>
      <c r="S34" s="30"/>
      <c r="T34" s="30"/>
      <c r="U34" s="11"/>
      <c r="V34" s="68"/>
    </row>
    <row r="35" spans="1:22" ht="12.75" customHeight="1">
      <c r="B35" s="9" t="s">
        <v>83</v>
      </c>
      <c r="C35" s="76"/>
      <c r="D35" s="76"/>
      <c r="E35" s="76">
        <v>-98</v>
      </c>
      <c r="F35" s="30"/>
      <c r="G35" s="76">
        <v>-69</v>
      </c>
      <c r="H35" s="76">
        <v>-112</v>
      </c>
      <c r="I35" s="76">
        <v>-10</v>
      </c>
      <c r="J35" s="76">
        <v>93</v>
      </c>
      <c r="K35" s="76">
        <v>52</v>
      </c>
      <c r="L35" s="76">
        <v>-25</v>
      </c>
      <c r="M35" s="76">
        <v>-97</v>
      </c>
      <c r="O35" s="30">
        <f>SUM(G35:G35)</f>
        <v>-69</v>
      </c>
      <c r="P35" s="30">
        <f>SUM(G35:H35)</f>
        <v>-181</v>
      </c>
      <c r="Q35" s="30">
        <f>SUM(G35:I35)</f>
        <v>-191</v>
      </c>
      <c r="R35" s="30">
        <f t="shared" ref="R35" si="47">SUM(G35:J35)</f>
        <v>-98</v>
      </c>
      <c r="S35" s="30">
        <f t="shared" ref="S35" si="48">SUM(H35:K35)</f>
        <v>23</v>
      </c>
      <c r="T35" s="30">
        <f>SUM(I35:L35)</f>
        <v>110</v>
      </c>
      <c r="U35" s="11"/>
      <c r="V35" s="68">
        <f>SUM(T35/P35)-1</f>
        <v>-1.6077348066298343</v>
      </c>
    </row>
    <row r="36" spans="1:22" ht="12.75" customHeight="1">
      <c r="B36" s="12" t="s">
        <v>46</v>
      </c>
      <c r="C36" s="13">
        <f>SUM(C32+SUM(C35:C35))</f>
        <v>0</v>
      </c>
      <c r="D36" s="13">
        <f>SUM(D32+SUM(D35:D35))</f>
        <v>0</v>
      </c>
      <c r="E36" s="13">
        <f>SUM(E32+SUM(E35:E35))</f>
        <v>1051</v>
      </c>
      <c r="G36" s="13">
        <f t="shared" ref="G36:M36" si="49">SUM(G32+SUM(G35:G35))</f>
        <v>319</v>
      </c>
      <c r="H36" s="13">
        <f t="shared" si="49"/>
        <v>465</v>
      </c>
      <c r="I36" s="13">
        <f t="shared" si="49"/>
        <v>176</v>
      </c>
      <c r="J36" s="13">
        <f t="shared" si="49"/>
        <v>91</v>
      </c>
      <c r="K36" s="13">
        <f t="shared" si="49"/>
        <v>-128</v>
      </c>
      <c r="L36" s="13">
        <f t="shared" si="49"/>
        <v>81</v>
      </c>
      <c r="M36" s="13">
        <f t="shared" si="49"/>
        <v>234</v>
      </c>
      <c r="O36" s="13">
        <f t="shared" ref="O36:T36" si="50">SUM(O32+SUM(O35:O35))</f>
        <v>319</v>
      </c>
      <c r="P36" s="13">
        <f t="shared" si="50"/>
        <v>784</v>
      </c>
      <c r="Q36" s="13">
        <f t="shared" si="50"/>
        <v>960</v>
      </c>
      <c r="R36" s="13">
        <f t="shared" si="50"/>
        <v>1051</v>
      </c>
      <c r="S36" s="13">
        <f t="shared" si="50"/>
        <v>604</v>
      </c>
      <c r="T36" s="13">
        <f t="shared" si="50"/>
        <v>220</v>
      </c>
      <c r="U36" s="39"/>
      <c r="V36" s="69">
        <f>SUM(T36/P36)-1</f>
        <v>-0.71938775510204089</v>
      </c>
    </row>
    <row r="37" spans="1:22" ht="12.75" customHeight="1">
      <c r="B37" s="14" t="s">
        <v>60</v>
      </c>
      <c r="C37" s="15" t="e">
        <f>C36/C11</f>
        <v>#DIV/0!</v>
      </c>
      <c r="D37" s="15" t="e">
        <f>D36/D11</f>
        <v>#DIV/0!</v>
      </c>
      <c r="E37" s="15">
        <f>E36/E11</f>
        <v>0.49692671394799054</v>
      </c>
      <c r="F37" s="25"/>
      <c r="G37" s="15">
        <f>G36/G11</f>
        <v>0.62671905697445973</v>
      </c>
      <c r="H37" s="15">
        <f>H36/H11</f>
        <v>0.95092024539877296</v>
      </c>
      <c r="I37" s="15">
        <f>I36/I11</f>
        <v>0.27076923076923076</v>
      </c>
      <c r="J37" s="15">
        <f>J36/J11</f>
        <v>0.19486081370449679</v>
      </c>
      <c r="K37" s="15">
        <f>K36/K11</f>
        <v>-0.3282051282051282</v>
      </c>
      <c r="L37" s="15">
        <f>L36/L11</f>
        <v>0.12857142857142856</v>
      </c>
      <c r="M37" s="15">
        <f>M36/M11</f>
        <v>0.28817733990147781</v>
      </c>
      <c r="O37" s="15">
        <f>O36/O11</f>
        <v>0.62671905697445973</v>
      </c>
      <c r="P37" s="15">
        <f>P36/P11</f>
        <v>0.78557114228456915</v>
      </c>
      <c r="Q37" s="15">
        <f>Q36/Q11</f>
        <v>0.58252427184466016</v>
      </c>
      <c r="R37" s="15">
        <f>R36/R11</f>
        <v>0.49692671394799054</v>
      </c>
      <c r="S37" s="15">
        <f>S36/S11</f>
        <v>0.30260521042084171</v>
      </c>
      <c r="T37" s="15">
        <f>T36/T11</f>
        <v>0.10294805802526907</v>
      </c>
      <c r="U37" s="40"/>
      <c r="V37" s="70">
        <f>SUM(T37-P37)*1000</f>
        <v>-682.62308425930007</v>
      </c>
    </row>
    <row r="38" spans="1:22" ht="5.0999999999999996" customHeight="1">
      <c r="B38" s="14"/>
      <c r="C38" s="15"/>
      <c r="D38" s="15"/>
      <c r="E38" s="15"/>
      <c r="F38" s="25"/>
      <c r="G38" s="15"/>
      <c r="H38" s="15"/>
      <c r="I38" s="15"/>
      <c r="J38" s="15"/>
      <c r="K38" s="15"/>
      <c r="L38" s="15"/>
      <c r="M38" s="15"/>
      <c r="N38" s="26"/>
      <c r="O38" s="15"/>
      <c r="P38" s="15"/>
      <c r="Q38" s="15"/>
      <c r="R38" s="15"/>
      <c r="S38" s="15"/>
      <c r="T38" s="15"/>
      <c r="U38" s="40"/>
      <c r="V38" s="70"/>
    </row>
    <row r="39" spans="1:22" ht="12.75" customHeight="1">
      <c r="B39" s="41" t="s">
        <v>61</v>
      </c>
      <c r="C39" s="76"/>
      <c r="D39" s="76"/>
      <c r="E39" s="76"/>
      <c r="F39" s="25"/>
      <c r="G39" s="76"/>
      <c r="H39" s="76"/>
      <c r="I39" s="76"/>
      <c r="J39" s="30">
        <f>E39</f>
        <v>0</v>
      </c>
      <c r="K39" s="76"/>
      <c r="L39" s="76"/>
      <c r="M39" s="76"/>
      <c r="N39" s="30"/>
      <c r="O39" s="30">
        <f t="shared" ref="O39:S39" si="51">G39</f>
        <v>0</v>
      </c>
      <c r="P39" s="30">
        <f t="shared" si="51"/>
        <v>0</v>
      </c>
      <c r="Q39" s="30">
        <f t="shared" si="51"/>
        <v>0</v>
      </c>
      <c r="R39" s="30">
        <f t="shared" si="51"/>
        <v>0</v>
      </c>
      <c r="S39" s="30">
        <f t="shared" si="51"/>
        <v>0</v>
      </c>
      <c r="T39" s="30">
        <f>L39</f>
        <v>0</v>
      </c>
      <c r="U39" s="40"/>
      <c r="V39" s="68" t="e">
        <f>SUM(T39/P39)-1</f>
        <v>#DIV/0!</v>
      </c>
    </row>
    <row r="40" spans="1:22" ht="12.75" customHeight="1">
      <c r="B40" s="12" t="s">
        <v>62</v>
      </c>
      <c r="C40" s="71" t="e">
        <f t="shared" ref="C40:E40" si="52">C36/C39</f>
        <v>#DIV/0!</v>
      </c>
      <c r="D40" s="71" t="e">
        <f t="shared" si="52"/>
        <v>#DIV/0!</v>
      </c>
      <c r="E40" s="71" t="e">
        <f t="shared" si="52"/>
        <v>#DIV/0!</v>
      </c>
      <c r="F40" s="11"/>
      <c r="G40" s="71" t="e">
        <f t="shared" ref="G40:L40" si="53">G36/G39</f>
        <v>#DIV/0!</v>
      </c>
      <c r="H40" s="71" t="e">
        <f t="shared" si="53"/>
        <v>#DIV/0!</v>
      </c>
      <c r="I40" s="71" t="e">
        <f t="shared" si="53"/>
        <v>#DIV/0!</v>
      </c>
      <c r="J40" s="71" t="e">
        <f t="shared" si="53"/>
        <v>#DIV/0!</v>
      </c>
      <c r="K40" s="71" t="e">
        <f t="shared" si="53"/>
        <v>#DIV/0!</v>
      </c>
      <c r="L40" s="71" t="e">
        <f t="shared" si="53"/>
        <v>#DIV/0!</v>
      </c>
      <c r="M40" s="71" t="e">
        <f t="shared" ref="M40" si="54">M36/M39</f>
        <v>#DIV/0!</v>
      </c>
      <c r="N40" s="30"/>
      <c r="O40" s="71" t="e">
        <f t="shared" ref="O40:T40" si="55">O36/O39</f>
        <v>#DIV/0!</v>
      </c>
      <c r="P40" s="71" t="e">
        <f t="shared" si="55"/>
        <v>#DIV/0!</v>
      </c>
      <c r="Q40" s="71" t="e">
        <f t="shared" si="55"/>
        <v>#DIV/0!</v>
      </c>
      <c r="R40" s="71" t="e">
        <f t="shared" si="55"/>
        <v>#DIV/0!</v>
      </c>
      <c r="S40" s="71" t="e">
        <f t="shared" si="55"/>
        <v>#DIV/0!</v>
      </c>
      <c r="T40" s="71" t="e">
        <f t="shared" si="55"/>
        <v>#DIV/0!</v>
      </c>
      <c r="U40" s="33"/>
      <c r="V40" s="69" t="e">
        <f>SUM(T40/P40)-1</f>
        <v>#DIV/0!</v>
      </c>
    </row>
    <row r="41" spans="1:22" ht="5.0999999999999996" customHeight="1">
      <c r="B41" s="14"/>
      <c r="C41" s="15"/>
      <c r="D41" s="15"/>
      <c r="E41" s="15"/>
      <c r="F41" s="25"/>
      <c r="G41" s="15"/>
      <c r="H41" s="15"/>
      <c r="I41" s="15"/>
      <c r="J41" s="15"/>
      <c r="K41" s="15"/>
      <c r="L41" s="15"/>
      <c r="M41" s="15"/>
      <c r="N41" s="26"/>
      <c r="O41" s="15"/>
      <c r="P41" s="15"/>
      <c r="Q41" s="15"/>
      <c r="R41" s="15"/>
      <c r="S41" s="15"/>
      <c r="T41" s="15"/>
      <c r="U41" s="40"/>
      <c r="V41" s="70"/>
    </row>
    <row r="42" spans="1:22" ht="12.75" customHeight="1">
      <c r="B42" s="41" t="s">
        <v>63</v>
      </c>
      <c r="C42" s="76"/>
      <c r="D42" s="76"/>
      <c r="E42" s="76"/>
      <c r="F42" s="25"/>
      <c r="G42" s="76"/>
      <c r="H42" s="76"/>
      <c r="I42" s="76"/>
      <c r="J42" s="30">
        <f>E42</f>
        <v>0</v>
      </c>
      <c r="K42" s="76"/>
      <c r="L42" s="76"/>
      <c r="M42" s="76"/>
      <c r="N42" s="30"/>
      <c r="O42" s="30">
        <f t="shared" ref="O42" si="56">G42</f>
        <v>0</v>
      </c>
      <c r="P42" s="30">
        <f t="shared" ref="P42" si="57">H42</f>
        <v>0</v>
      </c>
      <c r="Q42" s="30">
        <f t="shared" ref="Q42" si="58">I42</f>
        <v>0</v>
      </c>
      <c r="R42" s="30">
        <f t="shared" ref="R42" si="59">J42</f>
        <v>0</v>
      </c>
      <c r="S42" s="30">
        <f t="shared" ref="S42" si="60">K42</f>
        <v>0</v>
      </c>
      <c r="T42" s="30">
        <f>L42</f>
        <v>0</v>
      </c>
      <c r="U42" s="40"/>
      <c r="V42" s="68" t="e">
        <f>SUM(T42/P42)-1</f>
        <v>#DIV/0!</v>
      </c>
    </row>
    <row r="43" spans="1:22" ht="12.75" customHeight="1">
      <c r="B43" s="12" t="s">
        <v>64</v>
      </c>
      <c r="C43" s="71" t="e">
        <f t="shared" ref="C43:E43" si="61">C36/C42</f>
        <v>#DIV/0!</v>
      </c>
      <c r="D43" s="71" t="e">
        <f t="shared" si="61"/>
        <v>#DIV/0!</v>
      </c>
      <c r="E43" s="71" t="e">
        <f t="shared" si="61"/>
        <v>#DIV/0!</v>
      </c>
      <c r="F43" s="25"/>
      <c r="G43" s="71" t="e">
        <f t="shared" ref="G43:L43" si="62">G36/G42</f>
        <v>#DIV/0!</v>
      </c>
      <c r="H43" s="71" t="e">
        <f t="shared" si="62"/>
        <v>#DIV/0!</v>
      </c>
      <c r="I43" s="71" t="e">
        <f t="shared" si="62"/>
        <v>#DIV/0!</v>
      </c>
      <c r="J43" s="71" t="e">
        <f t="shared" si="62"/>
        <v>#DIV/0!</v>
      </c>
      <c r="K43" s="71" t="e">
        <f t="shared" si="62"/>
        <v>#DIV/0!</v>
      </c>
      <c r="L43" s="71" t="e">
        <f t="shared" si="62"/>
        <v>#DIV/0!</v>
      </c>
      <c r="M43" s="71" t="e">
        <f t="shared" ref="M43" si="63">M36/M42</f>
        <v>#DIV/0!</v>
      </c>
      <c r="N43" s="30"/>
      <c r="O43" s="71" t="e">
        <f t="shared" ref="O43:T43" si="64">O36/O42</f>
        <v>#DIV/0!</v>
      </c>
      <c r="P43" s="71" t="e">
        <f t="shared" si="64"/>
        <v>#DIV/0!</v>
      </c>
      <c r="Q43" s="71" t="e">
        <f t="shared" si="64"/>
        <v>#DIV/0!</v>
      </c>
      <c r="R43" s="71" t="e">
        <f t="shared" si="64"/>
        <v>#DIV/0!</v>
      </c>
      <c r="S43" s="71" t="e">
        <f t="shared" si="64"/>
        <v>#DIV/0!</v>
      </c>
      <c r="T43" s="71" t="e">
        <f t="shared" si="64"/>
        <v>#DIV/0!</v>
      </c>
      <c r="U43" s="33"/>
      <c r="V43" s="69" t="e">
        <f>SUM(T43/P43)-1</f>
        <v>#DIV/0!</v>
      </c>
    </row>
    <row r="44" spans="1:22">
      <c r="B44" s="14"/>
      <c r="C44" s="15"/>
      <c r="D44" s="15"/>
      <c r="E44" s="76"/>
      <c r="F44" s="25"/>
      <c r="G44" s="15"/>
      <c r="H44" s="15"/>
      <c r="I44" s="15"/>
      <c r="J44" s="15"/>
      <c r="K44" s="15"/>
      <c r="L44" s="15"/>
      <c r="M44" s="15"/>
      <c r="N44" s="26"/>
      <c r="O44" s="15"/>
      <c r="P44" s="15"/>
      <c r="Q44" s="15"/>
      <c r="R44" s="15"/>
      <c r="S44" s="15"/>
      <c r="T44" s="15"/>
      <c r="U44" s="40"/>
    </row>
    <row r="45" spans="1:22" ht="12.75" customHeight="1">
      <c r="A45" s="5" t="s">
        <v>13</v>
      </c>
      <c r="B45" s="91" t="s">
        <v>73</v>
      </c>
      <c r="C45" s="92" t="s">
        <v>0</v>
      </c>
      <c r="D45" s="92"/>
      <c r="E45" s="92"/>
      <c r="F45" s="93"/>
      <c r="G45" s="92"/>
      <c r="H45" s="92"/>
      <c r="I45" s="92" t="s">
        <v>1</v>
      </c>
      <c r="J45" s="92"/>
      <c r="K45" s="92"/>
      <c r="L45" s="92"/>
      <c r="M45" s="92"/>
      <c r="N45" s="91"/>
      <c r="O45" s="92"/>
      <c r="P45" s="92" t="s">
        <v>6</v>
      </c>
      <c r="Q45" s="92"/>
      <c r="R45" s="92"/>
      <c r="S45" s="92"/>
      <c r="T45" s="92"/>
      <c r="U45" s="93"/>
      <c r="V45" s="152" t="s">
        <v>19</v>
      </c>
    </row>
    <row r="46" spans="1:22" ht="12.75" customHeight="1">
      <c r="B46" s="95" t="str">
        <f>B7</f>
        <v>Fiscal Period</v>
      </c>
      <c r="C46" s="94">
        <f>C7</f>
        <v>2022</v>
      </c>
      <c r="D46" s="94">
        <f>D7</f>
        <v>2023</v>
      </c>
      <c r="E46" s="94">
        <f>E7</f>
        <v>2024</v>
      </c>
      <c r="F46" s="93"/>
      <c r="G46" s="94" t="str">
        <f>G7</f>
        <v>1Q24</v>
      </c>
      <c r="H46" s="94" t="str">
        <f>H7</f>
        <v>2Q24</v>
      </c>
      <c r="I46" s="94" t="str">
        <f>I7</f>
        <v>3Q24</v>
      </c>
      <c r="J46" s="94" t="str">
        <f>J7</f>
        <v>4Q24</v>
      </c>
      <c r="K46" s="94" t="str">
        <f>K7</f>
        <v>1Q25</v>
      </c>
      <c r="L46" s="94" t="str">
        <f>L7</f>
        <v>2Q25</v>
      </c>
      <c r="M46" s="94" t="str">
        <f>M7</f>
        <v>3Q25</v>
      </c>
      <c r="N46" s="96"/>
      <c r="O46" s="94" t="str">
        <f>O7</f>
        <v>2Q24</v>
      </c>
      <c r="P46" s="94" t="str">
        <f>P7</f>
        <v>3Q24</v>
      </c>
      <c r="Q46" s="94" t="str">
        <f>Q7</f>
        <v>4Q24</v>
      </c>
      <c r="R46" s="94" t="str">
        <f>R7</f>
        <v>1Q25</v>
      </c>
      <c r="S46" s="94" t="str">
        <f>S7</f>
        <v>2Q25</v>
      </c>
      <c r="T46" s="94" t="str">
        <f>T7</f>
        <v>3Q25</v>
      </c>
      <c r="U46" s="93"/>
      <c r="V46" s="152"/>
    </row>
    <row r="47" spans="1:22" ht="12.75" customHeight="1">
      <c r="B47" s="95" t="str">
        <f>B8</f>
        <v>Fiscal Period End Date</v>
      </c>
      <c r="C47" s="97" t="str">
        <f>C8</f>
        <v>XXX</v>
      </c>
      <c r="D47" s="97" t="str">
        <f>D8</f>
        <v>XXX</v>
      </c>
      <c r="E47" s="97" t="str">
        <f>E8</f>
        <v>XXX</v>
      </c>
      <c r="F47" s="93"/>
      <c r="G47" s="97" t="str">
        <f>G8</f>
        <v>XXX</v>
      </c>
      <c r="H47" s="97" t="str">
        <f>H8</f>
        <v>XXX</v>
      </c>
      <c r="I47" s="97" t="str">
        <f>I8</f>
        <v>XXX</v>
      </c>
      <c r="J47" s="97" t="str">
        <f>J8</f>
        <v>XXX</v>
      </c>
      <c r="K47" s="97" t="str">
        <f>K8</f>
        <v>XXX</v>
      </c>
      <c r="L47" s="97" t="str">
        <f>L8</f>
        <v>XXX</v>
      </c>
      <c r="M47" s="97" t="str">
        <f>M8</f>
        <v>XXX</v>
      </c>
      <c r="N47" s="98"/>
      <c r="O47" s="97" t="str">
        <f>O8</f>
        <v>XXX</v>
      </c>
      <c r="P47" s="97" t="str">
        <f>P8</f>
        <v>XXX</v>
      </c>
      <c r="Q47" s="97" t="str">
        <f>Q8</f>
        <v>XXX</v>
      </c>
      <c r="R47" s="97" t="str">
        <f>R8</f>
        <v>XXX</v>
      </c>
      <c r="S47" s="97" t="str">
        <f>S8</f>
        <v>XXX</v>
      </c>
      <c r="T47" s="97" t="str">
        <f>T8</f>
        <v>XXX</v>
      </c>
      <c r="U47" s="93"/>
      <c r="V47" s="152"/>
    </row>
    <row r="48" spans="1:22" ht="5.0999999999999996" customHeight="1">
      <c r="B48" s="43"/>
      <c r="C48" s="44"/>
      <c r="D48" s="44"/>
      <c r="E48" s="44"/>
    </row>
    <row r="49" spans="2:22">
      <c r="B49" s="72" t="s">
        <v>79</v>
      </c>
      <c r="C49" s="44"/>
      <c r="D49" s="44"/>
      <c r="E49" s="44"/>
    </row>
    <row r="50" spans="2:22" ht="12.75" customHeight="1">
      <c r="B50" s="9" t="s">
        <v>121</v>
      </c>
      <c r="C50" s="105"/>
      <c r="D50" s="105"/>
      <c r="E50" s="105">
        <v>328</v>
      </c>
      <c r="G50" s="105"/>
      <c r="H50" s="105"/>
      <c r="I50" s="105"/>
      <c r="J50" s="82">
        <f t="shared" ref="J50:J55" si="65">E50</f>
        <v>328</v>
      </c>
      <c r="K50" s="105">
        <v>295</v>
      </c>
      <c r="L50" s="105">
        <v>122</v>
      </c>
      <c r="M50" s="105">
        <v>497</v>
      </c>
      <c r="N50" s="82"/>
      <c r="O50" s="30">
        <f>G50</f>
        <v>0</v>
      </c>
      <c r="P50" s="30">
        <f>H50</f>
        <v>0</v>
      </c>
      <c r="Q50" s="30">
        <f>I50</f>
        <v>0</v>
      </c>
      <c r="R50" s="30">
        <f>J50</f>
        <v>328</v>
      </c>
      <c r="S50" s="30">
        <f>K50</f>
        <v>295</v>
      </c>
      <c r="T50" s="30">
        <f>L50</f>
        <v>122</v>
      </c>
      <c r="U50" s="11"/>
      <c r="V50" s="68" t="e">
        <f>SUM(T50/P50)-1</f>
        <v>#DIV/0!</v>
      </c>
    </row>
    <row r="51" spans="2:22" ht="12.75" customHeight="1">
      <c r="B51" s="9" t="s">
        <v>124</v>
      </c>
      <c r="C51" s="105"/>
      <c r="D51" s="105"/>
      <c r="E51" s="105">
        <v>37</v>
      </c>
      <c r="G51" s="105"/>
      <c r="H51" s="105"/>
      <c r="I51" s="105"/>
      <c r="J51" s="82">
        <f t="shared" si="65"/>
        <v>37</v>
      </c>
      <c r="K51" s="105">
        <v>25</v>
      </c>
      <c r="L51" s="105">
        <v>13</v>
      </c>
      <c r="M51" s="105">
        <v>0</v>
      </c>
      <c r="N51" s="82"/>
      <c r="O51" s="30">
        <f>G51</f>
        <v>0</v>
      </c>
      <c r="P51" s="30">
        <f>H51</f>
        <v>0</v>
      </c>
      <c r="Q51" s="30">
        <f>I51</f>
        <v>0</v>
      </c>
      <c r="R51" s="30">
        <f>J51</f>
        <v>37</v>
      </c>
      <c r="S51" s="30">
        <f>K51</f>
        <v>25</v>
      </c>
      <c r="T51" s="30">
        <f t="shared" ref="T51" si="66">L51</f>
        <v>13</v>
      </c>
      <c r="U51" s="11"/>
      <c r="V51" s="68" t="e">
        <f>SUM(T51/P51)-1</f>
        <v>#DIV/0!</v>
      </c>
    </row>
    <row r="52" spans="2:22" ht="12.75" customHeight="1">
      <c r="B52" s="9" t="s">
        <v>122</v>
      </c>
      <c r="C52" s="105"/>
      <c r="D52" s="105"/>
      <c r="E52" s="105">
        <v>123</v>
      </c>
      <c r="G52" s="105"/>
      <c r="H52" s="105"/>
      <c r="I52" s="105"/>
      <c r="J52" s="82">
        <f t="shared" si="65"/>
        <v>123</v>
      </c>
      <c r="K52" s="105">
        <v>100</v>
      </c>
      <c r="L52" s="105">
        <v>226</v>
      </c>
      <c r="M52" s="105">
        <v>180</v>
      </c>
      <c r="N52" s="82"/>
      <c r="O52" s="30">
        <f>G52</f>
        <v>0</v>
      </c>
      <c r="P52" s="30">
        <f>H52</f>
        <v>0</v>
      </c>
      <c r="Q52" s="30">
        <f>I52</f>
        <v>0</v>
      </c>
      <c r="R52" s="30">
        <f>J52</f>
        <v>123</v>
      </c>
      <c r="S52" s="30">
        <f>K52</f>
        <v>100</v>
      </c>
      <c r="T52" s="30">
        <f t="shared" ref="T52" si="67">L52</f>
        <v>226</v>
      </c>
      <c r="U52" s="11"/>
      <c r="V52" s="68" t="e">
        <f>SUM(T52/P52)-1</f>
        <v>#DIV/0!</v>
      </c>
    </row>
    <row r="53" spans="2:22" ht="12.75" customHeight="1">
      <c r="B53" s="9" t="s">
        <v>116</v>
      </c>
      <c r="C53" s="105"/>
      <c r="D53" s="105"/>
      <c r="E53" s="105">
        <v>302</v>
      </c>
      <c r="G53" s="105"/>
      <c r="H53" s="105"/>
      <c r="I53" s="105"/>
      <c r="J53" s="82">
        <f t="shared" si="65"/>
        <v>302</v>
      </c>
      <c r="K53" s="105">
        <v>219</v>
      </c>
      <c r="L53" s="105">
        <v>224</v>
      </c>
      <c r="M53" s="105">
        <v>263</v>
      </c>
      <c r="N53" s="82"/>
      <c r="O53" s="30">
        <f t="shared" ref="O53:O55" si="68">G53</f>
        <v>0</v>
      </c>
      <c r="P53" s="30">
        <f t="shared" ref="P53:P55" si="69">H53</f>
        <v>0</v>
      </c>
      <c r="Q53" s="30">
        <f t="shared" ref="Q53:Q55" si="70">I53</f>
        <v>0</v>
      </c>
      <c r="R53" s="30">
        <f t="shared" ref="R53:R55" si="71">J53</f>
        <v>302</v>
      </c>
      <c r="S53" s="30">
        <f t="shared" ref="S53:S55" si="72">K53</f>
        <v>219</v>
      </c>
      <c r="T53" s="30">
        <f t="shared" ref="T53:T55" si="73">L53</f>
        <v>224</v>
      </c>
      <c r="U53" s="11"/>
      <c r="V53" s="68" t="e">
        <f>SUM(T53/P53)-1</f>
        <v>#DIV/0!</v>
      </c>
    </row>
    <row r="54" spans="2:22" ht="12.75" customHeight="1">
      <c r="B54" s="9" t="s">
        <v>146</v>
      </c>
      <c r="C54" s="105"/>
      <c r="D54" s="105"/>
      <c r="E54" s="105">
        <v>66</v>
      </c>
      <c r="G54" s="105"/>
      <c r="H54" s="105"/>
      <c r="I54" s="105"/>
      <c r="J54" s="82">
        <f t="shared" si="65"/>
        <v>66</v>
      </c>
      <c r="K54" s="105">
        <v>33</v>
      </c>
      <c r="L54" s="105">
        <v>80</v>
      </c>
      <c r="M54" s="105">
        <v>45</v>
      </c>
      <c r="N54" s="82"/>
      <c r="O54" s="30">
        <f t="shared" si="68"/>
        <v>0</v>
      </c>
      <c r="P54" s="30">
        <f t="shared" si="69"/>
        <v>0</v>
      </c>
      <c r="Q54" s="30">
        <f t="shared" si="70"/>
        <v>0</v>
      </c>
      <c r="R54" s="30">
        <f t="shared" si="71"/>
        <v>66</v>
      </c>
      <c r="S54" s="30">
        <f t="shared" si="72"/>
        <v>33</v>
      </c>
      <c r="T54" s="30">
        <f t="shared" si="73"/>
        <v>80</v>
      </c>
      <c r="U54" s="11"/>
      <c r="V54" s="68" t="e">
        <f>SUM(T54/P54)-1</f>
        <v>#DIV/0!</v>
      </c>
    </row>
    <row r="55" spans="2:22" ht="12.75" customHeight="1">
      <c r="B55" s="9" t="s">
        <v>147</v>
      </c>
      <c r="C55" s="105"/>
      <c r="D55" s="105"/>
      <c r="E55" s="105">
        <v>184</v>
      </c>
      <c r="G55" s="105"/>
      <c r="H55" s="105"/>
      <c r="I55" s="105"/>
      <c r="J55" s="82">
        <f t="shared" si="65"/>
        <v>184</v>
      </c>
      <c r="K55" s="105">
        <v>174</v>
      </c>
      <c r="L55" s="105">
        <v>165</v>
      </c>
      <c r="M55" s="105">
        <v>63</v>
      </c>
      <c r="N55" s="82"/>
      <c r="O55" s="30">
        <f t="shared" si="68"/>
        <v>0</v>
      </c>
      <c r="P55" s="30">
        <f t="shared" si="69"/>
        <v>0</v>
      </c>
      <c r="Q55" s="30">
        <f t="shared" si="70"/>
        <v>0</v>
      </c>
      <c r="R55" s="30">
        <f t="shared" si="71"/>
        <v>184</v>
      </c>
      <c r="S55" s="30">
        <f t="shared" si="72"/>
        <v>174</v>
      </c>
      <c r="T55" s="30">
        <f t="shared" si="73"/>
        <v>165</v>
      </c>
      <c r="U55" s="11"/>
      <c r="V55" s="68" t="e">
        <f>SUM(T55/P55)-1</f>
        <v>#DIV/0!</v>
      </c>
    </row>
    <row r="56" spans="2:22" ht="12.75" customHeight="1">
      <c r="B56" s="23" t="s">
        <v>15</v>
      </c>
      <c r="C56" s="24">
        <f>SUM(C50:C55)</f>
        <v>0</v>
      </c>
      <c r="D56" s="24">
        <f>SUM(D50:D55)</f>
        <v>0</v>
      </c>
      <c r="E56" s="24">
        <f>SUM(E50:E55)</f>
        <v>1040</v>
      </c>
      <c r="F56" s="45"/>
      <c r="G56" s="24">
        <f>SUM(G50:G55)</f>
        <v>0</v>
      </c>
      <c r="H56" s="24">
        <f>SUM(H50:H55)</f>
        <v>0</v>
      </c>
      <c r="I56" s="24">
        <f>SUM(I50:I55)</f>
        <v>0</v>
      </c>
      <c r="J56" s="24">
        <f>SUM(J50:J55)</f>
        <v>1040</v>
      </c>
      <c r="K56" s="24">
        <f>SUM(K50:K55)</f>
        <v>846</v>
      </c>
      <c r="L56" s="24">
        <f>SUM(L50:L55)</f>
        <v>830</v>
      </c>
      <c r="M56" s="24">
        <f>SUM(M50:M55)</f>
        <v>1048</v>
      </c>
      <c r="N56" s="45"/>
      <c r="O56" s="24">
        <f>SUM(O50:O55)</f>
        <v>0</v>
      </c>
      <c r="P56" s="24">
        <f>SUM(P50:P55)</f>
        <v>0</v>
      </c>
      <c r="Q56" s="24">
        <f>SUM(Q50:Q55)</f>
        <v>0</v>
      </c>
      <c r="R56" s="24">
        <f>SUM(R50:R55)</f>
        <v>1040</v>
      </c>
      <c r="S56" s="24">
        <f>SUM(S50:S55)</f>
        <v>846</v>
      </c>
      <c r="T56" s="24">
        <f>SUM(T50:T55)</f>
        <v>830</v>
      </c>
      <c r="U56" s="39"/>
      <c r="V56" s="69" t="e">
        <f>SUM(T56/P56)-1</f>
        <v>#DIV/0!</v>
      </c>
    </row>
    <row r="57" spans="2:22" ht="5.0999999999999996" customHeight="1">
      <c r="B57" s="23"/>
      <c r="C57" s="46"/>
      <c r="D57" s="38"/>
      <c r="E57" s="38"/>
      <c r="G57" s="38"/>
      <c r="H57" s="38"/>
      <c r="I57" s="38"/>
      <c r="J57" s="38"/>
      <c r="K57" s="38"/>
      <c r="L57" s="38"/>
      <c r="M57" s="38"/>
      <c r="O57" s="39"/>
      <c r="P57" s="39"/>
      <c r="Q57" s="39"/>
      <c r="R57" s="39"/>
      <c r="S57" s="39"/>
      <c r="T57" s="39"/>
      <c r="U57" s="39"/>
      <c r="V57" s="36"/>
    </row>
    <row r="58" spans="2:22" ht="12.75" customHeight="1">
      <c r="B58" s="72" t="s">
        <v>80</v>
      </c>
      <c r="C58" s="76"/>
      <c r="D58" s="76"/>
      <c r="E58" s="76"/>
      <c r="G58" s="76"/>
      <c r="H58" s="76"/>
      <c r="I58" s="76"/>
      <c r="J58" s="76"/>
      <c r="K58" s="76"/>
      <c r="L58" s="76"/>
      <c r="M58" s="76"/>
      <c r="O58" s="30"/>
      <c r="P58" s="30"/>
      <c r="Q58" s="30"/>
      <c r="R58" s="30"/>
      <c r="S58" s="30"/>
      <c r="T58" s="30"/>
      <c r="U58" s="11"/>
      <c r="V58" s="68"/>
    </row>
    <row r="59" spans="2:22" ht="12.75" customHeight="1">
      <c r="B59" s="9" t="s">
        <v>123</v>
      </c>
      <c r="C59" s="76"/>
      <c r="D59" s="76"/>
      <c r="E59" s="76">
        <v>3154</v>
      </c>
      <c r="G59" s="105"/>
      <c r="H59" s="105"/>
      <c r="I59" s="105"/>
      <c r="J59" s="82">
        <f t="shared" ref="J59:J62" si="74">E59</f>
        <v>3154</v>
      </c>
      <c r="K59" s="105">
        <v>3138</v>
      </c>
      <c r="L59" s="105">
        <v>3089</v>
      </c>
      <c r="M59" s="105">
        <v>3075</v>
      </c>
      <c r="O59" s="30">
        <f t="shared" ref="O59:O62" si="75">G59</f>
        <v>0</v>
      </c>
      <c r="P59" s="30">
        <f t="shared" ref="P59:P62" si="76">H59</f>
        <v>0</v>
      </c>
      <c r="Q59" s="30">
        <f t="shared" ref="Q59:Q62" si="77">I59</f>
        <v>0</v>
      </c>
      <c r="R59" s="30">
        <f t="shared" ref="R59:R62" si="78">J59</f>
        <v>3154</v>
      </c>
      <c r="S59" s="30">
        <f t="shared" ref="S59:S62" si="79">K59</f>
        <v>3138</v>
      </c>
      <c r="T59" s="30">
        <f t="shared" ref="T59:T62" si="80">L59</f>
        <v>3089</v>
      </c>
      <c r="U59" s="11"/>
      <c r="V59" s="68" t="e">
        <f>SUM(T59/P59)-1</f>
        <v>#DIV/0!</v>
      </c>
    </row>
    <row r="60" spans="2:22" ht="12.75" customHeight="1">
      <c r="B60" s="9" t="s">
        <v>148</v>
      </c>
      <c r="C60" s="76"/>
      <c r="D60" s="76"/>
      <c r="E60" s="76">
        <v>1724</v>
      </c>
      <c r="G60" s="105"/>
      <c r="H60" s="105"/>
      <c r="I60" s="105"/>
      <c r="J60" s="82">
        <f t="shared" si="74"/>
        <v>1724</v>
      </c>
      <c r="K60" s="105">
        <v>1717</v>
      </c>
      <c r="L60" s="105">
        <v>1790</v>
      </c>
      <c r="M60" s="105">
        <v>1870</v>
      </c>
      <c r="O60" s="30">
        <f t="shared" ref="O60" si="81">G60</f>
        <v>0</v>
      </c>
      <c r="P60" s="30">
        <f t="shared" ref="P60" si="82">H60</f>
        <v>0</v>
      </c>
      <c r="Q60" s="30">
        <f t="shared" ref="Q60" si="83">I60</f>
        <v>0</v>
      </c>
      <c r="R60" s="30">
        <f t="shared" ref="R60" si="84">J60</f>
        <v>1724</v>
      </c>
      <c r="S60" s="30">
        <f t="shared" ref="S60" si="85">K60</f>
        <v>1717</v>
      </c>
      <c r="T60" s="30">
        <f t="shared" ref="T60" si="86">L60</f>
        <v>1790</v>
      </c>
      <c r="U60" s="11"/>
      <c r="V60" s="68" t="e">
        <f t="shared" ref="V60" si="87">SUM(T60/P60)-1</f>
        <v>#DIV/0!</v>
      </c>
    </row>
    <row r="61" spans="2:22" ht="12.75" customHeight="1">
      <c r="B61" s="9" t="s">
        <v>149</v>
      </c>
      <c r="C61" s="76"/>
      <c r="D61" s="76"/>
      <c r="E61" s="76">
        <v>5</v>
      </c>
      <c r="G61" s="105"/>
      <c r="H61" s="105"/>
      <c r="I61" s="105"/>
      <c r="J61" s="82">
        <f t="shared" si="74"/>
        <v>5</v>
      </c>
      <c r="K61" s="105">
        <v>5</v>
      </c>
      <c r="L61" s="105">
        <v>0</v>
      </c>
      <c r="M61" s="105">
        <v>1</v>
      </c>
      <c r="O61" s="30">
        <f t="shared" si="75"/>
        <v>0</v>
      </c>
      <c r="P61" s="30">
        <f t="shared" si="76"/>
        <v>0</v>
      </c>
      <c r="Q61" s="30">
        <f t="shared" si="77"/>
        <v>0</v>
      </c>
      <c r="R61" s="30">
        <f t="shared" si="78"/>
        <v>5</v>
      </c>
      <c r="S61" s="30">
        <f t="shared" si="79"/>
        <v>5</v>
      </c>
      <c r="T61" s="30">
        <f t="shared" si="80"/>
        <v>0</v>
      </c>
      <c r="U61" s="11"/>
      <c r="V61" s="68" t="e">
        <f t="shared" ref="V61:V62" si="88">SUM(T61/P61)-1</f>
        <v>#DIV/0!</v>
      </c>
    </row>
    <row r="62" spans="2:22" ht="12.75" customHeight="1">
      <c r="B62" s="9" t="s">
        <v>117</v>
      </c>
      <c r="C62" s="76"/>
      <c r="D62" s="76"/>
      <c r="E62" s="76">
        <v>183</v>
      </c>
      <c r="G62" s="105"/>
      <c r="H62" s="105"/>
      <c r="I62" s="105"/>
      <c r="J62" s="82">
        <f t="shared" si="74"/>
        <v>183</v>
      </c>
      <c r="K62" s="105">
        <v>159</v>
      </c>
      <c r="L62" s="105">
        <v>118</v>
      </c>
      <c r="M62" s="105">
        <v>103</v>
      </c>
      <c r="O62" s="30">
        <f t="shared" si="75"/>
        <v>0</v>
      </c>
      <c r="P62" s="30">
        <f t="shared" si="76"/>
        <v>0</v>
      </c>
      <c r="Q62" s="30">
        <f t="shared" si="77"/>
        <v>0</v>
      </c>
      <c r="R62" s="30">
        <f t="shared" si="78"/>
        <v>183</v>
      </c>
      <c r="S62" s="30">
        <f t="shared" si="79"/>
        <v>159</v>
      </c>
      <c r="T62" s="30">
        <f t="shared" si="80"/>
        <v>118</v>
      </c>
      <c r="U62" s="11"/>
      <c r="V62" s="68" t="e">
        <f t="shared" si="88"/>
        <v>#DIV/0!</v>
      </c>
    </row>
    <row r="63" spans="2:22" ht="12.75" customHeight="1">
      <c r="B63" s="12" t="s">
        <v>16</v>
      </c>
      <c r="C63" s="13">
        <f>SUM(C59:C62)+C56</f>
        <v>0</v>
      </c>
      <c r="D63" s="13">
        <f>SUM(D59:D62)+D56</f>
        <v>0</v>
      </c>
      <c r="E63" s="13">
        <f>SUM(E59:E62)+E56</f>
        <v>6106</v>
      </c>
      <c r="G63" s="13">
        <f>SUM(G59:G62)+G56</f>
        <v>0</v>
      </c>
      <c r="H63" s="13">
        <f>SUM(H59:H62)+H56</f>
        <v>0</v>
      </c>
      <c r="I63" s="13">
        <f>SUM(I59:I62)+I56</f>
        <v>0</v>
      </c>
      <c r="J63" s="13">
        <f>SUM(J59:J62)+J56</f>
        <v>6106</v>
      </c>
      <c r="K63" s="13">
        <f>SUM(K59:K62)+K56</f>
        <v>5865</v>
      </c>
      <c r="L63" s="13">
        <f>SUM(L59:L62)+L56</f>
        <v>5827</v>
      </c>
      <c r="M63" s="13">
        <f>SUM(M59:M62)+M56</f>
        <v>6097</v>
      </c>
      <c r="O63" s="13">
        <f>SUM(O59:O62)+O56</f>
        <v>0</v>
      </c>
      <c r="P63" s="13">
        <f>SUM(P59:P62)+P56</f>
        <v>0</v>
      </c>
      <c r="Q63" s="13">
        <f>SUM(Q59:Q62)+Q56</f>
        <v>0</v>
      </c>
      <c r="R63" s="13">
        <f>SUM(R59:R62)+R56</f>
        <v>6106</v>
      </c>
      <c r="S63" s="13">
        <f>SUM(S59:S62)+S56</f>
        <v>5865</v>
      </c>
      <c r="T63" s="13">
        <f>SUM(T59:T62)+T56</f>
        <v>5827</v>
      </c>
      <c r="U63" s="39"/>
      <c r="V63" s="69" t="e">
        <f>SUM(T63/P63)-1</f>
        <v>#DIV/0!</v>
      </c>
    </row>
    <row r="64" spans="2:22" ht="12.75" customHeight="1">
      <c r="B64" s="23"/>
      <c r="C64" s="47"/>
      <c r="D64" s="38"/>
      <c r="E64" s="38"/>
      <c r="G64" s="38"/>
      <c r="H64" s="38"/>
      <c r="I64" s="38"/>
      <c r="J64" s="38"/>
      <c r="K64" s="38"/>
      <c r="L64" s="38"/>
      <c r="M64" s="38"/>
      <c r="O64" s="39"/>
      <c r="P64" s="39"/>
      <c r="Q64" s="39"/>
      <c r="R64" s="39"/>
      <c r="S64" s="39"/>
      <c r="T64" s="39"/>
      <c r="U64" s="39"/>
      <c r="V64" s="36"/>
    </row>
    <row r="65" spans="2:22" ht="12.75" customHeight="1">
      <c r="B65" s="72" t="s">
        <v>42</v>
      </c>
      <c r="C65" s="47"/>
      <c r="D65" s="38"/>
      <c r="E65" s="38"/>
      <c r="G65" s="38"/>
      <c r="H65" s="38"/>
      <c r="I65" s="38"/>
      <c r="J65" s="38"/>
      <c r="K65" s="38"/>
      <c r="L65" s="38"/>
      <c r="M65" s="38"/>
      <c r="O65" s="39"/>
      <c r="P65" s="39"/>
      <c r="Q65" s="39"/>
      <c r="R65" s="39"/>
      <c r="S65" s="39"/>
      <c r="T65" s="39"/>
      <c r="U65" s="39"/>
      <c r="V65" s="36"/>
    </row>
    <row r="66" spans="2:22" ht="12.75" customHeight="1">
      <c r="B66" s="9" t="s">
        <v>125</v>
      </c>
      <c r="C66" s="76"/>
      <c r="D66" s="76"/>
      <c r="E66" s="76">
        <v>0</v>
      </c>
      <c r="G66" s="105"/>
      <c r="H66" s="105"/>
      <c r="I66" s="105"/>
      <c r="J66" s="82">
        <f t="shared" ref="J66:J71" si="89">E66</f>
        <v>0</v>
      </c>
      <c r="K66" s="105">
        <v>0</v>
      </c>
      <c r="L66" s="105">
        <v>70</v>
      </c>
      <c r="M66" s="105">
        <v>0</v>
      </c>
      <c r="O66" s="30">
        <f t="shared" ref="O66:O69" si="90">G66</f>
        <v>0</v>
      </c>
      <c r="P66" s="30">
        <f t="shared" ref="P66:P69" si="91">H66</f>
        <v>0</v>
      </c>
      <c r="Q66" s="30">
        <f t="shared" ref="Q66:Q69" si="92">I66</f>
        <v>0</v>
      </c>
      <c r="R66" s="30">
        <f t="shared" ref="R66:R69" si="93">J66</f>
        <v>0</v>
      </c>
      <c r="S66" s="30">
        <f t="shared" ref="S66:S69" si="94">K66</f>
        <v>0</v>
      </c>
      <c r="T66" s="30">
        <f t="shared" ref="T66:T69" si="95">L66</f>
        <v>70</v>
      </c>
      <c r="U66" s="11"/>
      <c r="V66" s="68" t="e">
        <f>SUM(T66/P66)-1</f>
        <v>#DIV/0!</v>
      </c>
    </row>
    <row r="67" spans="2:22" ht="12.75" customHeight="1">
      <c r="B67" s="9" t="s">
        <v>150</v>
      </c>
      <c r="C67" s="76"/>
      <c r="D67" s="76"/>
      <c r="E67" s="76">
        <v>17</v>
      </c>
      <c r="G67" s="105"/>
      <c r="H67" s="105"/>
      <c r="I67" s="105"/>
      <c r="J67" s="82">
        <f t="shared" si="89"/>
        <v>17</v>
      </c>
      <c r="K67" s="105">
        <v>17</v>
      </c>
      <c r="L67" s="105">
        <v>17</v>
      </c>
      <c r="M67" s="105">
        <v>17</v>
      </c>
      <c r="O67" s="30">
        <f t="shared" ref="O67" si="96">G67</f>
        <v>0</v>
      </c>
      <c r="P67" s="30">
        <f t="shared" ref="P67" si="97">H67</f>
        <v>0</v>
      </c>
      <c r="Q67" s="30">
        <f t="shared" ref="Q67" si="98">I67</f>
        <v>0</v>
      </c>
      <c r="R67" s="30">
        <f t="shared" ref="R67" si="99">J67</f>
        <v>17</v>
      </c>
      <c r="S67" s="30">
        <f t="shared" ref="S67" si="100">K67</f>
        <v>17</v>
      </c>
      <c r="T67" s="30">
        <f t="shared" ref="T67" si="101">L67</f>
        <v>17</v>
      </c>
      <c r="U67" s="11"/>
      <c r="V67" s="68" t="e">
        <f t="shared" ref="V67" si="102">SUM(T67/P67)-1</f>
        <v>#DIV/0!</v>
      </c>
    </row>
    <row r="68" spans="2:22" ht="12.75" customHeight="1">
      <c r="B68" s="9" t="s">
        <v>151</v>
      </c>
      <c r="C68" s="76"/>
      <c r="D68" s="76"/>
      <c r="E68" s="76">
        <v>18</v>
      </c>
      <c r="G68" s="105"/>
      <c r="H68" s="105"/>
      <c r="I68" s="105"/>
      <c r="J68" s="82">
        <f t="shared" si="89"/>
        <v>18</v>
      </c>
      <c r="K68" s="105">
        <v>54</v>
      </c>
      <c r="L68" s="105">
        <v>30</v>
      </c>
      <c r="M68" s="105">
        <v>53</v>
      </c>
      <c r="O68" s="30">
        <f t="shared" si="90"/>
        <v>0</v>
      </c>
      <c r="P68" s="30">
        <f t="shared" si="91"/>
        <v>0</v>
      </c>
      <c r="Q68" s="30">
        <f t="shared" si="92"/>
        <v>0</v>
      </c>
      <c r="R68" s="30">
        <f t="shared" si="93"/>
        <v>18</v>
      </c>
      <c r="S68" s="30">
        <f t="shared" si="94"/>
        <v>54</v>
      </c>
      <c r="T68" s="30">
        <f t="shared" si="95"/>
        <v>30</v>
      </c>
      <c r="U68" s="11"/>
      <c r="V68" s="68" t="e">
        <f t="shared" ref="V68:V69" si="103">SUM(T68/P68)-1</f>
        <v>#DIV/0!</v>
      </c>
    </row>
    <row r="69" spans="2:22" ht="12.75" customHeight="1">
      <c r="B69" s="9" t="s">
        <v>118</v>
      </c>
      <c r="C69" s="76"/>
      <c r="D69" s="76"/>
      <c r="E69" s="76">
        <v>266</v>
      </c>
      <c r="G69" s="105"/>
      <c r="H69" s="105"/>
      <c r="I69" s="105"/>
      <c r="J69" s="82">
        <f t="shared" si="89"/>
        <v>266</v>
      </c>
      <c r="K69" s="105">
        <v>203</v>
      </c>
      <c r="L69" s="105">
        <v>226</v>
      </c>
      <c r="M69" s="105">
        <v>192</v>
      </c>
      <c r="O69" s="30">
        <f t="shared" si="90"/>
        <v>0</v>
      </c>
      <c r="P69" s="30">
        <f t="shared" si="91"/>
        <v>0</v>
      </c>
      <c r="Q69" s="30">
        <f t="shared" si="92"/>
        <v>0</v>
      </c>
      <c r="R69" s="30">
        <f t="shared" si="93"/>
        <v>266</v>
      </c>
      <c r="S69" s="30">
        <f t="shared" si="94"/>
        <v>203</v>
      </c>
      <c r="T69" s="30">
        <f t="shared" si="95"/>
        <v>226</v>
      </c>
      <c r="U69" s="11"/>
      <c r="V69" s="68" t="e">
        <f t="shared" si="103"/>
        <v>#DIV/0!</v>
      </c>
    </row>
    <row r="70" spans="2:22" ht="12.75" customHeight="1">
      <c r="B70" s="9" t="s">
        <v>152</v>
      </c>
      <c r="C70" s="76"/>
      <c r="D70" s="76"/>
      <c r="E70" s="76">
        <v>0</v>
      </c>
      <c r="G70" s="105"/>
      <c r="H70" s="105"/>
      <c r="I70" s="105"/>
      <c r="J70" s="82">
        <f t="shared" si="89"/>
        <v>0</v>
      </c>
      <c r="K70" s="105">
        <v>92</v>
      </c>
      <c r="L70" s="105">
        <v>32</v>
      </c>
      <c r="M70" s="105">
        <v>44</v>
      </c>
      <c r="O70" s="30">
        <f t="shared" ref="O70" si="104">G70</f>
        <v>0</v>
      </c>
      <c r="P70" s="30">
        <f t="shared" ref="P70" si="105">H70</f>
        <v>0</v>
      </c>
      <c r="Q70" s="30">
        <f t="shared" ref="Q70" si="106">I70</f>
        <v>0</v>
      </c>
      <c r="R70" s="30">
        <f t="shared" ref="R70" si="107">J70</f>
        <v>0</v>
      </c>
      <c r="S70" s="30">
        <f t="shared" ref="S70" si="108">K70</f>
        <v>92</v>
      </c>
      <c r="T70" s="30">
        <f t="shared" ref="T70" si="109">L70</f>
        <v>32</v>
      </c>
      <c r="U70" s="11"/>
      <c r="V70" s="68" t="e">
        <f>SUM(T70/P70)-1</f>
        <v>#DIV/0!</v>
      </c>
    </row>
    <row r="71" spans="2:22" ht="12.75" customHeight="1">
      <c r="B71" s="9" t="s">
        <v>119</v>
      </c>
      <c r="C71" s="76"/>
      <c r="D71" s="76"/>
      <c r="E71" s="76">
        <v>154</v>
      </c>
      <c r="G71" s="105"/>
      <c r="H71" s="105"/>
      <c r="I71" s="105"/>
      <c r="J71" s="82">
        <f t="shared" si="89"/>
        <v>154</v>
      </c>
      <c r="K71" s="105">
        <v>156</v>
      </c>
      <c r="L71" s="105">
        <v>77</v>
      </c>
      <c r="M71" s="105">
        <v>151</v>
      </c>
      <c r="O71" s="30">
        <f>G71</f>
        <v>0</v>
      </c>
      <c r="P71" s="30">
        <f>H71</f>
        <v>0</v>
      </c>
      <c r="Q71" s="30">
        <f>I71</f>
        <v>0</v>
      </c>
      <c r="R71" s="30">
        <f>J71</f>
        <v>154</v>
      </c>
      <c r="S71" s="30">
        <f>K71</f>
        <v>156</v>
      </c>
      <c r="T71" s="30">
        <f>L71</f>
        <v>77</v>
      </c>
      <c r="U71" s="11"/>
      <c r="V71" s="68"/>
    </row>
    <row r="72" spans="2:22" ht="12.75" customHeight="1">
      <c r="B72" s="23" t="s">
        <v>14</v>
      </c>
      <c r="C72" s="24">
        <f>SUM(C66:C71)</f>
        <v>0</v>
      </c>
      <c r="D72" s="24">
        <f>SUM(D66:D71)</f>
        <v>0</v>
      </c>
      <c r="E72" s="24">
        <f>SUM(E66:E71)</f>
        <v>455</v>
      </c>
      <c r="G72" s="24">
        <f>SUM(G66:G71)</f>
        <v>0</v>
      </c>
      <c r="H72" s="24">
        <f>SUM(H66:H71)</f>
        <v>0</v>
      </c>
      <c r="I72" s="24">
        <f>SUM(I66:I71)</f>
        <v>0</v>
      </c>
      <c r="J72" s="24">
        <f>SUM(J66:J71)</f>
        <v>455</v>
      </c>
      <c r="K72" s="24">
        <f>SUM(K66:K71)</f>
        <v>522</v>
      </c>
      <c r="L72" s="24">
        <f>SUM(L66:L71)</f>
        <v>452</v>
      </c>
      <c r="M72" s="24">
        <f>SUM(M66:M71)</f>
        <v>457</v>
      </c>
      <c r="N72" s="45"/>
      <c r="O72" s="24">
        <f>SUM(O66:O71)</f>
        <v>0</v>
      </c>
      <c r="P72" s="24">
        <f>SUM(P66:P71)</f>
        <v>0</v>
      </c>
      <c r="Q72" s="24">
        <f>SUM(Q66:Q71)</f>
        <v>0</v>
      </c>
      <c r="R72" s="24">
        <f>SUM(R66:R71)</f>
        <v>455</v>
      </c>
      <c r="S72" s="24">
        <f>SUM(S66:S71)</f>
        <v>522</v>
      </c>
      <c r="T72" s="24">
        <f>SUM(T66:T71)</f>
        <v>452</v>
      </c>
      <c r="U72" s="39"/>
      <c r="V72" s="69" t="e">
        <f>SUM(T72/P72)-1</f>
        <v>#DIV/0!</v>
      </c>
    </row>
    <row r="73" spans="2:22" ht="5.0999999999999996" customHeight="1">
      <c r="B73" s="23"/>
      <c r="C73" s="47"/>
      <c r="D73" s="38"/>
      <c r="E73" s="38"/>
      <c r="G73" s="38"/>
      <c r="H73" s="38"/>
      <c r="I73" s="38"/>
      <c r="J73" s="38"/>
      <c r="K73" s="38"/>
      <c r="L73" s="38"/>
      <c r="M73" s="38"/>
      <c r="O73" s="39"/>
      <c r="P73" s="39"/>
      <c r="Q73" s="39"/>
      <c r="R73" s="39"/>
      <c r="S73" s="39"/>
      <c r="T73" s="39"/>
      <c r="U73" s="39"/>
      <c r="V73" s="36"/>
    </row>
    <row r="74" spans="2:22">
      <c r="B74" s="72" t="s">
        <v>81</v>
      </c>
      <c r="C74" s="47"/>
      <c r="D74" s="38"/>
      <c r="E74" s="38"/>
      <c r="G74" s="38"/>
      <c r="H74" s="38"/>
      <c r="I74" s="38"/>
      <c r="J74" s="38"/>
      <c r="K74" s="38"/>
      <c r="L74" s="38"/>
      <c r="M74" s="38"/>
      <c r="O74" s="39"/>
      <c r="P74" s="39"/>
      <c r="Q74" s="39"/>
      <c r="R74" s="39"/>
      <c r="S74" s="39"/>
      <c r="T74" s="39"/>
      <c r="U74" s="39"/>
      <c r="V74" s="36"/>
    </row>
    <row r="75" spans="2:22" ht="12.75" customHeight="1">
      <c r="B75" s="104" t="s">
        <v>126</v>
      </c>
      <c r="C75" s="76"/>
      <c r="D75" s="76"/>
      <c r="E75" s="76">
        <v>2987</v>
      </c>
      <c r="G75" s="105"/>
      <c r="H75" s="105"/>
      <c r="I75" s="105"/>
      <c r="J75" s="82">
        <f t="shared" ref="J75:J80" si="110">E75</f>
        <v>2987</v>
      </c>
      <c r="K75" s="105">
        <v>2975</v>
      </c>
      <c r="L75" s="105">
        <v>2972</v>
      </c>
      <c r="M75" s="105">
        <v>2969</v>
      </c>
      <c r="O75" s="30">
        <f>G75</f>
        <v>0</v>
      </c>
      <c r="P75" s="30">
        <f>H75</f>
        <v>0</v>
      </c>
      <c r="Q75" s="30">
        <f>I75</f>
        <v>0</v>
      </c>
      <c r="R75" s="30">
        <f>J75</f>
        <v>2987</v>
      </c>
      <c r="S75" s="30">
        <f>K75</f>
        <v>2975</v>
      </c>
      <c r="T75" s="30">
        <f>L75</f>
        <v>2972</v>
      </c>
      <c r="U75" s="39"/>
      <c r="V75" s="68" t="e">
        <f>SUM(T75/P75)-1</f>
        <v>#DIV/0!</v>
      </c>
    </row>
    <row r="76" spans="2:22" ht="12.75" customHeight="1">
      <c r="B76" s="104" t="s">
        <v>153</v>
      </c>
      <c r="C76" s="76"/>
      <c r="D76" s="76"/>
      <c r="E76" s="76">
        <v>7</v>
      </c>
      <c r="G76" s="105"/>
      <c r="H76" s="105"/>
      <c r="I76" s="105"/>
      <c r="J76" s="82">
        <f t="shared" si="110"/>
        <v>7</v>
      </c>
      <c r="K76" s="105">
        <v>42</v>
      </c>
      <c r="L76" s="105">
        <v>62</v>
      </c>
      <c r="M76" s="105">
        <v>37</v>
      </c>
      <c r="O76" s="30">
        <f t="shared" ref="O76:O78" si="111">G76</f>
        <v>0</v>
      </c>
      <c r="P76" s="30">
        <f t="shared" ref="P76:P78" si="112">H76</f>
        <v>0</v>
      </c>
      <c r="Q76" s="30">
        <f t="shared" ref="Q76:Q78" si="113">I76</f>
        <v>0</v>
      </c>
      <c r="R76" s="30">
        <f t="shared" ref="R76:R78" si="114">J76</f>
        <v>7</v>
      </c>
      <c r="S76" s="30">
        <f t="shared" ref="S76:S78" si="115">K76</f>
        <v>42</v>
      </c>
      <c r="T76" s="30">
        <f t="shared" ref="T76:T78" si="116">L76</f>
        <v>62</v>
      </c>
      <c r="U76" s="39"/>
      <c r="V76" s="68" t="e">
        <f t="shared" ref="V76:V78" si="117">SUM(T76/P76)-1</f>
        <v>#DIV/0!</v>
      </c>
    </row>
    <row r="77" spans="2:22" ht="12.75" customHeight="1">
      <c r="B77" s="104" t="s">
        <v>154</v>
      </c>
      <c r="C77" s="76"/>
      <c r="D77" s="76"/>
      <c r="E77" s="76">
        <v>305</v>
      </c>
      <c r="G77" s="105"/>
      <c r="H77" s="105"/>
      <c r="I77" s="105"/>
      <c r="J77" s="82">
        <f t="shared" si="110"/>
        <v>305</v>
      </c>
      <c r="K77" s="105">
        <v>289</v>
      </c>
      <c r="L77" s="105">
        <v>282</v>
      </c>
      <c r="M77" s="105">
        <v>243</v>
      </c>
      <c r="O77" s="30">
        <f t="shared" si="111"/>
        <v>0</v>
      </c>
      <c r="P77" s="30">
        <f t="shared" si="112"/>
        <v>0</v>
      </c>
      <c r="Q77" s="30">
        <f t="shared" si="113"/>
        <v>0</v>
      </c>
      <c r="R77" s="30">
        <f t="shared" si="114"/>
        <v>305</v>
      </c>
      <c r="S77" s="30">
        <f t="shared" si="115"/>
        <v>289</v>
      </c>
      <c r="T77" s="30">
        <f t="shared" si="116"/>
        <v>282</v>
      </c>
      <c r="U77" s="39"/>
      <c r="V77" s="68" t="e">
        <f t="shared" si="117"/>
        <v>#DIV/0!</v>
      </c>
    </row>
    <row r="78" spans="2:22" ht="12.75" customHeight="1">
      <c r="B78" s="104" t="s">
        <v>155</v>
      </c>
      <c r="C78" s="76"/>
      <c r="D78" s="76"/>
      <c r="E78" s="76">
        <v>468</v>
      </c>
      <c r="G78" s="105"/>
      <c r="H78" s="105"/>
      <c r="I78" s="105"/>
      <c r="J78" s="82">
        <f t="shared" si="110"/>
        <v>468</v>
      </c>
      <c r="K78" s="105">
        <v>468</v>
      </c>
      <c r="L78" s="105">
        <v>478</v>
      </c>
      <c r="M78" s="105">
        <v>477</v>
      </c>
      <c r="O78" s="30">
        <f t="shared" ref="O78:O79" si="118">G78</f>
        <v>0</v>
      </c>
      <c r="P78" s="30">
        <f t="shared" ref="P78:P79" si="119">H78</f>
        <v>0</v>
      </c>
      <c r="Q78" s="30">
        <f t="shared" ref="Q78:Q79" si="120">I78</f>
        <v>0</v>
      </c>
      <c r="R78" s="30">
        <f t="shared" ref="R78:R79" si="121">J78</f>
        <v>468</v>
      </c>
      <c r="S78" s="30">
        <f t="shared" ref="S78:S79" si="122">K78</f>
        <v>468</v>
      </c>
      <c r="T78" s="30">
        <f t="shared" ref="T78:T79" si="123">L78</f>
        <v>478</v>
      </c>
      <c r="U78" s="39"/>
      <c r="V78" s="68" t="e">
        <f t="shared" ref="V78:V79" si="124">SUM(T78/P78)-1</f>
        <v>#DIV/0!</v>
      </c>
    </row>
    <row r="79" spans="2:22" ht="12.75" customHeight="1">
      <c r="B79" s="104" t="s">
        <v>156</v>
      </c>
      <c r="C79" s="76"/>
      <c r="D79" s="76"/>
      <c r="E79" s="76">
        <v>362</v>
      </c>
      <c r="G79" s="105"/>
      <c r="H79" s="105"/>
      <c r="I79" s="105"/>
      <c r="J79" s="82">
        <f t="shared" si="110"/>
        <v>362</v>
      </c>
      <c r="K79" s="105">
        <v>294</v>
      </c>
      <c r="L79" s="105">
        <v>297</v>
      </c>
      <c r="M79" s="105">
        <v>409</v>
      </c>
      <c r="O79" s="30">
        <f t="shared" si="118"/>
        <v>0</v>
      </c>
      <c r="P79" s="30">
        <f t="shared" si="119"/>
        <v>0</v>
      </c>
      <c r="Q79" s="30">
        <f t="shared" si="120"/>
        <v>0</v>
      </c>
      <c r="R79" s="30">
        <f t="shared" si="121"/>
        <v>362</v>
      </c>
      <c r="S79" s="30">
        <f t="shared" si="122"/>
        <v>294</v>
      </c>
      <c r="T79" s="30">
        <f t="shared" si="123"/>
        <v>297</v>
      </c>
      <c r="U79" s="39"/>
      <c r="V79" s="68" t="e">
        <f t="shared" si="124"/>
        <v>#DIV/0!</v>
      </c>
    </row>
    <row r="80" spans="2:22" ht="12.75" customHeight="1">
      <c r="B80" s="104" t="s">
        <v>120</v>
      </c>
      <c r="C80" s="76"/>
      <c r="D80" s="76"/>
      <c r="E80" s="76">
        <v>135</v>
      </c>
      <c r="G80" s="105"/>
      <c r="H80" s="105"/>
      <c r="I80" s="105"/>
      <c r="J80" s="82">
        <f t="shared" si="110"/>
        <v>135</v>
      </c>
      <c r="K80" s="105">
        <v>95</v>
      </c>
      <c r="L80" s="105">
        <v>38</v>
      </c>
      <c r="M80" s="105">
        <v>36</v>
      </c>
      <c r="O80" s="30">
        <f>G80</f>
        <v>0</v>
      </c>
      <c r="P80" s="30">
        <f>H80</f>
        <v>0</v>
      </c>
      <c r="Q80" s="30">
        <f>I80</f>
        <v>0</v>
      </c>
      <c r="R80" s="30">
        <f>J80</f>
        <v>135</v>
      </c>
      <c r="S80" s="30">
        <f>K80</f>
        <v>95</v>
      </c>
      <c r="T80" s="30">
        <f>L80</f>
        <v>38</v>
      </c>
      <c r="U80" s="39"/>
      <c r="V80" s="68" t="e">
        <f>SUM(T80/P80)-1</f>
        <v>#DIV/0!</v>
      </c>
    </row>
    <row r="81" spans="1:22" ht="12.75" customHeight="1">
      <c r="B81" s="12" t="s">
        <v>12</v>
      </c>
      <c r="C81" s="13">
        <f>SUM(C75:C80)+C72</f>
        <v>0</v>
      </c>
      <c r="D81" s="13">
        <f>SUM(D75:D80)+D72</f>
        <v>0</v>
      </c>
      <c r="E81" s="13">
        <f>SUM(E75:E80)+E72</f>
        <v>4719</v>
      </c>
      <c r="G81" s="13">
        <f>SUM(G75:G80)+G72</f>
        <v>0</v>
      </c>
      <c r="H81" s="13">
        <f>SUM(H75:H80)+H72</f>
        <v>0</v>
      </c>
      <c r="I81" s="13">
        <f>SUM(I75:I80)+I72</f>
        <v>0</v>
      </c>
      <c r="J81" s="13">
        <f>SUM(J75:J80)+J72</f>
        <v>4719</v>
      </c>
      <c r="K81" s="13">
        <f>SUM(K75:K80)+K72</f>
        <v>4685</v>
      </c>
      <c r="L81" s="13">
        <f>SUM(L75:L80)+L72</f>
        <v>4581</v>
      </c>
      <c r="M81" s="13">
        <f>SUM(M75:M80)+M72</f>
        <v>4628</v>
      </c>
      <c r="O81" s="13">
        <f>SUM(O75:O80)+O72</f>
        <v>0</v>
      </c>
      <c r="P81" s="13">
        <f>SUM(P75:P80)+P72</f>
        <v>0</v>
      </c>
      <c r="Q81" s="13">
        <f>SUM(Q75:Q80)+Q72</f>
        <v>0</v>
      </c>
      <c r="R81" s="13">
        <f>SUM(R75:R80)+R72</f>
        <v>4719</v>
      </c>
      <c r="S81" s="13">
        <f>SUM(S75:S80)+S72</f>
        <v>4685</v>
      </c>
      <c r="T81" s="13">
        <f>SUM(T75:T80)+T72</f>
        <v>4581</v>
      </c>
      <c r="U81" s="39"/>
      <c r="V81" s="69" t="e">
        <f>SUM(T81/P81)-1</f>
        <v>#DIV/0!</v>
      </c>
    </row>
    <row r="82" spans="1:22" ht="5.0999999999999996" customHeight="1">
      <c r="B82" s="23"/>
      <c r="C82" s="46"/>
      <c r="D82" s="38"/>
      <c r="E82" s="38"/>
      <c r="G82" s="38"/>
      <c r="H82" s="38"/>
      <c r="I82" s="38"/>
      <c r="J82" s="38"/>
      <c r="K82" s="38"/>
      <c r="L82" s="38"/>
      <c r="M82" s="38"/>
      <c r="O82" s="39"/>
      <c r="P82" s="39"/>
      <c r="Q82" s="39"/>
      <c r="R82" s="39"/>
      <c r="S82" s="39"/>
      <c r="T82" s="39"/>
      <c r="U82" s="39"/>
      <c r="V82" s="36"/>
    </row>
    <row r="83" spans="1:22" ht="12.75" customHeight="1">
      <c r="B83" s="104" t="s">
        <v>108</v>
      </c>
      <c r="C83" s="76"/>
      <c r="D83" s="76"/>
      <c r="E83" s="76">
        <v>1387</v>
      </c>
      <c r="G83" s="105"/>
      <c r="H83" s="105"/>
      <c r="I83" s="105"/>
      <c r="J83" s="82">
        <f>E83</f>
        <v>1387</v>
      </c>
      <c r="K83" s="105">
        <v>1180</v>
      </c>
      <c r="L83" s="105">
        <v>1246</v>
      </c>
      <c r="M83" s="105">
        <v>1469</v>
      </c>
      <c r="O83" s="30">
        <f t="shared" ref="O83:S87" si="125">G83</f>
        <v>0</v>
      </c>
      <c r="P83" s="30">
        <f t="shared" si="125"/>
        <v>0</v>
      </c>
      <c r="Q83" s="30">
        <f t="shared" si="125"/>
        <v>0</v>
      </c>
      <c r="R83" s="30">
        <f t="shared" si="125"/>
        <v>1387</v>
      </c>
      <c r="S83" s="30">
        <f t="shared" si="125"/>
        <v>1180</v>
      </c>
      <c r="T83" s="30">
        <f>L83</f>
        <v>1246</v>
      </c>
      <c r="U83" s="11"/>
      <c r="V83" s="68" t="e">
        <f>SUM(T83/P83)-1</f>
        <v>#DIV/0!</v>
      </c>
    </row>
    <row r="84" spans="1:22" ht="12.75" customHeight="1">
      <c r="B84" s="104" t="s">
        <v>108</v>
      </c>
      <c r="C84" s="76"/>
      <c r="D84" s="76"/>
      <c r="E84" s="76"/>
      <c r="G84" s="105"/>
      <c r="H84" s="105"/>
      <c r="I84" s="105"/>
      <c r="J84" s="82">
        <f>E84</f>
        <v>0</v>
      </c>
      <c r="K84" s="105"/>
      <c r="L84" s="105"/>
      <c r="M84" s="105"/>
      <c r="O84" s="30">
        <f t="shared" si="125"/>
        <v>0</v>
      </c>
      <c r="P84" s="30">
        <f t="shared" si="125"/>
        <v>0</v>
      </c>
      <c r="Q84" s="30">
        <f t="shared" si="125"/>
        <v>0</v>
      </c>
      <c r="R84" s="30">
        <f t="shared" si="125"/>
        <v>0</v>
      </c>
      <c r="S84" s="30">
        <f t="shared" si="125"/>
        <v>0</v>
      </c>
      <c r="T84" s="30">
        <f t="shared" ref="T84:T87" si="126">L84</f>
        <v>0</v>
      </c>
      <c r="U84" s="11"/>
      <c r="V84" s="68" t="e">
        <f>SUM(T84/P84)-1</f>
        <v>#DIV/0!</v>
      </c>
    </row>
    <row r="85" spans="1:22" ht="12.75" customHeight="1">
      <c r="B85" s="104" t="s">
        <v>108</v>
      </c>
      <c r="C85" s="76"/>
      <c r="D85" s="76"/>
      <c r="E85" s="76"/>
      <c r="G85" s="105"/>
      <c r="H85" s="105"/>
      <c r="I85" s="105"/>
      <c r="J85" s="82">
        <f>E85</f>
        <v>0</v>
      </c>
      <c r="K85" s="105"/>
      <c r="L85" s="105"/>
      <c r="M85" s="105"/>
      <c r="O85" s="30">
        <f t="shared" si="125"/>
        <v>0</v>
      </c>
      <c r="P85" s="30">
        <f t="shared" si="125"/>
        <v>0</v>
      </c>
      <c r="Q85" s="30">
        <f t="shared" si="125"/>
        <v>0</v>
      </c>
      <c r="R85" s="30">
        <f t="shared" si="125"/>
        <v>0</v>
      </c>
      <c r="S85" s="30">
        <f t="shared" si="125"/>
        <v>0</v>
      </c>
      <c r="T85" s="30">
        <f t="shared" si="126"/>
        <v>0</v>
      </c>
      <c r="U85" s="11"/>
      <c r="V85" s="68" t="e">
        <f>SUM(T85/P85)-1</f>
        <v>#DIV/0!</v>
      </c>
    </row>
    <row r="86" spans="1:22" ht="12.75" customHeight="1">
      <c r="B86" s="104" t="s">
        <v>108</v>
      </c>
      <c r="C86" s="76"/>
      <c r="D86" s="76"/>
      <c r="E86" s="76"/>
      <c r="G86" s="105"/>
      <c r="H86" s="105"/>
      <c r="I86" s="105"/>
      <c r="J86" s="82">
        <f>E86</f>
        <v>0</v>
      </c>
      <c r="K86" s="105"/>
      <c r="L86" s="105"/>
      <c r="M86" s="105"/>
      <c r="O86" s="30">
        <f t="shared" si="125"/>
        <v>0</v>
      </c>
      <c r="P86" s="30">
        <f t="shared" si="125"/>
        <v>0</v>
      </c>
      <c r="Q86" s="30">
        <f t="shared" si="125"/>
        <v>0</v>
      </c>
      <c r="R86" s="30">
        <f t="shared" si="125"/>
        <v>0</v>
      </c>
      <c r="S86" s="30">
        <f t="shared" si="125"/>
        <v>0</v>
      </c>
      <c r="T86" s="30">
        <f t="shared" si="126"/>
        <v>0</v>
      </c>
      <c r="U86" s="11"/>
      <c r="V86" s="68" t="e">
        <f>SUM(T86/P86)-1</f>
        <v>#DIV/0!</v>
      </c>
    </row>
    <row r="87" spans="1:22" ht="12.75" customHeight="1">
      <c r="B87" s="104" t="s">
        <v>108</v>
      </c>
      <c r="C87" s="76"/>
      <c r="D87" s="76"/>
      <c r="E87" s="76"/>
      <c r="G87" s="105"/>
      <c r="H87" s="105"/>
      <c r="I87" s="105"/>
      <c r="J87" s="82">
        <f>E87</f>
        <v>0</v>
      </c>
      <c r="K87" s="105"/>
      <c r="L87" s="105"/>
      <c r="M87" s="105"/>
      <c r="O87" s="30">
        <f t="shared" si="125"/>
        <v>0</v>
      </c>
      <c r="P87" s="30">
        <f t="shared" si="125"/>
        <v>0</v>
      </c>
      <c r="Q87" s="30">
        <f t="shared" si="125"/>
        <v>0</v>
      </c>
      <c r="R87" s="30">
        <f t="shared" si="125"/>
        <v>0</v>
      </c>
      <c r="S87" s="30">
        <f t="shared" si="125"/>
        <v>0</v>
      </c>
      <c r="T87" s="30">
        <f t="shared" si="126"/>
        <v>0</v>
      </c>
      <c r="U87" s="11"/>
      <c r="V87" s="68" t="e">
        <f>SUM(T87/P87)-1</f>
        <v>#DIV/0!</v>
      </c>
    </row>
    <row r="88" spans="1:22" ht="12.75" customHeight="1">
      <c r="B88" s="12" t="s">
        <v>11</v>
      </c>
      <c r="C88" s="13">
        <f t="shared" ref="C88:E88" si="127">SUM(C83:C87)</f>
        <v>0</v>
      </c>
      <c r="D88" s="13">
        <f t="shared" si="127"/>
        <v>0</v>
      </c>
      <c r="E88" s="13">
        <f t="shared" si="127"/>
        <v>1387</v>
      </c>
      <c r="F88" s="48"/>
      <c r="G88" s="13">
        <f t="shared" ref="G88:L88" si="128">SUM(G83:G87)</f>
        <v>0</v>
      </c>
      <c r="H88" s="13">
        <f t="shared" si="128"/>
        <v>0</v>
      </c>
      <c r="I88" s="13">
        <f t="shared" si="128"/>
        <v>0</v>
      </c>
      <c r="J88" s="13">
        <f t="shared" si="128"/>
        <v>1387</v>
      </c>
      <c r="K88" s="13">
        <f t="shared" si="128"/>
        <v>1180</v>
      </c>
      <c r="L88" s="13">
        <f t="shared" si="128"/>
        <v>1246</v>
      </c>
      <c r="M88" s="13">
        <f t="shared" ref="M88" si="129">SUM(M83:M87)</f>
        <v>1469</v>
      </c>
      <c r="O88" s="13">
        <f t="shared" ref="O88:T88" si="130">SUM(O83:O87)</f>
        <v>0</v>
      </c>
      <c r="P88" s="13">
        <f t="shared" si="130"/>
        <v>0</v>
      </c>
      <c r="Q88" s="13">
        <f t="shared" si="130"/>
        <v>0</v>
      </c>
      <c r="R88" s="13">
        <f t="shared" si="130"/>
        <v>1387</v>
      </c>
      <c r="S88" s="13">
        <f t="shared" si="130"/>
        <v>1180</v>
      </c>
      <c r="T88" s="13">
        <f t="shared" si="130"/>
        <v>1246</v>
      </c>
      <c r="U88" s="39"/>
      <c r="V88" s="69" t="e">
        <f>SUM(T88/P88)-1</f>
        <v>#DIV/0!</v>
      </c>
    </row>
    <row r="89" spans="1:22" ht="12.75" customHeight="1">
      <c r="B89" s="23" t="s">
        <v>47</v>
      </c>
      <c r="C89" s="30">
        <f t="shared" ref="C89:E89" si="131">SUM(C88+C81)</f>
        <v>0</v>
      </c>
      <c r="D89" s="30">
        <f t="shared" si="131"/>
        <v>0</v>
      </c>
      <c r="E89" s="30">
        <f t="shared" si="131"/>
        <v>6106</v>
      </c>
      <c r="F89" s="30"/>
      <c r="G89" s="30">
        <f t="shared" ref="G89:L89" si="132">SUM(G88+G81)</f>
        <v>0</v>
      </c>
      <c r="H89" s="30">
        <f t="shared" si="132"/>
        <v>0</v>
      </c>
      <c r="I89" s="30">
        <f t="shared" si="132"/>
        <v>0</v>
      </c>
      <c r="J89" s="30">
        <f t="shared" si="132"/>
        <v>6106</v>
      </c>
      <c r="K89" s="30">
        <f t="shared" si="132"/>
        <v>5865</v>
      </c>
      <c r="L89" s="30">
        <f t="shared" si="132"/>
        <v>5827</v>
      </c>
      <c r="M89" s="30">
        <f t="shared" ref="M89" si="133">SUM(M88+M81)</f>
        <v>6097</v>
      </c>
      <c r="N89" s="30"/>
      <c r="O89" s="30">
        <f t="shared" ref="O89:T89" si="134">SUM(O88+O81)</f>
        <v>0</v>
      </c>
      <c r="P89" s="30">
        <f t="shared" si="134"/>
        <v>0</v>
      </c>
      <c r="Q89" s="30">
        <f t="shared" si="134"/>
        <v>0</v>
      </c>
      <c r="R89" s="30">
        <f t="shared" si="134"/>
        <v>6106</v>
      </c>
      <c r="S89" s="30">
        <f t="shared" si="134"/>
        <v>5865</v>
      </c>
      <c r="T89" s="30">
        <f t="shared" si="134"/>
        <v>5827</v>
      </c>
      <c r="U89" s="11"/>
      <c r="V89" s="69" t="e">
        <f>SUM(T89/P89)-1</f>
        <v>#DIV/0!</v>
      </c>
    </row>
    <row r="90" spans="1:22" ht="5.0999999999999996" customHeight="1">
      <c r="B90" s="23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11"/>
    </row>
    <row r="91" spans="1:22" ht="12.75" customHeight="1">
      <c r="B91" s="62" t="s">
        <v>58</v>
      </c>
      <c r="C91" s="63">
        <f>C89-C63</f>
        <v>0</v>
      </c>
      <c r="D91" s="63">
        <f>D89-D63</f>
        <v>0</v>
      </c>
      <c r="E91" s="63">
        <f>E89-E63</f>
        <v>0</v>
      </c>
      <c r="F91" s="64"/>
      <c r="G91" s="63">
        <f>G89-G63</f>
        <v>0</v>
      </c>
      <c r="H91" s="63">
        <f>H89-H63</f>
        <v>0</v>
      </c>
      <c r="I91" s="63">
        <f>I89-I63</f>
        <v>0</v>
      </c>
      <c r="J91" s="63">
        <f>J89-J63</f>
        <v>0</v>
      </c>
      <c r="K91" s="63">
        <f>K89-K63</f>
        <v>0</v>
      </c>
      <c r="L91" s="63">
        <f>L89-L63</f>
        <v>0</v>
      </c>
      <c r="M91" s="63">
        <f>M89-M63</f>
        <v>0</v>
      </c>
      <c r="N91" s="26"/>
      <c r="O91" s="63">
        <f>O89-O63</f>
        <v>0</v>
      </c>
      <c r="P91" s="63">
        <f>P89-P63</f>
        <v>0</v>
      </c>
      <c r="Q91" s="63">
        <f>Q89-Q63</f>
        <v>0</v>
      </c>
      <c r="R91" s="63">
        <f>R89-R63</f>
        <v>0</v>
      </c>
      <c r="S91" s="63">
        <f>S89-S63</f>
        <v>0</v>
      </c>
      <c r="T91" s="63">
        <f>T89-T63</f>
        <v>0</v>
      </c>
    </row>
    <row r="92" spans="1:22" ht="5.0999999999999996" customHeight="1" thickBot="1">
      <c r="B92" s="100"/>
      <c r="C92" s="101"/>
      <c r="D92" s="101"/>
      <c r="E92" s="101"/>
      <c r="F92" s="102"/>
      <c r="G92" s="101"/>
      <c r="H92" s="101"/>
      <c r="I92" s="101"/>
      <c r="J92" s="101"/>
      <c r="K92" s="101"/>
      <c r="L92" s="101"/>
      <c r="M92" s="101"/>
      <c r="N92" s="103"/>
      <c r="O92" s="101"/>
      <c r="P92" s="101"/>
      <c r="Q92" s="101"/>
      <c r="R92" s="101"/>
      <c r="S92" s="101"/>
      <c r="T92" s="101"/>
      <c r="U92" s="66"/>
      <c r="V92" s="66"/>
    </row>
    <row r="93" spans="1:22">
      <c r="B93" s="61"/>
      <c r="C93" s="22"/>
      <c r="D93" s="22"/>
      <c r="E93" s="22"/>
      <c r="F93" s="49"/>
    </row>
    <row r="94" spans="1:22" ht="12.75" customHeight="1">
      <c r="A94" s="5" t="s">
        <v>13</v>
      </c>
      <c r="B94" s="83" t="s">
        <v>10</v>
      </c>
      <c r="C94" s="87" t="s">
        <v>0</v>
      </c>
      <c r="D94" s="87"/>
      <c r="E94" s="87"/>
      <c r="F94" s="88"/>
      <c r="G94" s="87"/>
      <c r="H94" s="87"/>
      <c r="I94" s="87" t="s">
        <v>1</v>
      </c>
      <c r="J94" s="87"/>
      <c r="K94" s="87"/>
      <c r="L94" s="87"/>
      <c r="M94" s="87"/>
      <c r="N94" s="83"/>
      <c r="O94" s="87"/>
      <c r="P94" s="87" t="s">
        <v>6</v>
      </c>
      <c r="Q94" s="87"/>
      <c r="R94" s="87"/>
      <c r="S94" s="87"/>
      <c r="T94" s="87"/>
      <c r="U94" s="88"/>
      <c r="V94" s="153" t="s">
        <v>19</v>
      </c>
    </row>
    <row r="95" spans="1:22" ht="12.75" customHeight="1">
      <c r="B95" s="84" t="str">
        <f>B7</f>
        <v>Fiscal Period</v>
      </c>
      <c r="C95" s="89">
        <f>C7</f>
        <v>2022</v>
      </c>
      <c r="D95" s="89">
        <f>D7</f>
        <v>2023</v>
      </c>
      <c r="E95" s="89">
        <f>E7</f>
        <v>2024</v>
      </c>
      <c r="F95" s="88"/>
      <c r="G95" s="89" t="str">
        <f>G7</f>
        <v>1Q24</v>
      </c>
      <c r="H95" s="89" t="str">
        <f>H7</f>
        <v>2Q24</v>
      </c>
      <c r="I95" s="89" t="str">
        <f>I7</f>
        <v>3Q24</v>
      </c>
      <c r="J95" s="89" t="str">
        <f>J7</f>
        <v>4Q24</v>
      </c>
      <c r="K95" s="89" t="str">
        <f>K7</f>
        <v>1Q25</v>
      </c>
      <c r="L95" s="89" t="str">
        <f>L7</f>
        <v>2Q25</v>
      </c>
      <c r="M95" s="89" t="str">
        <f>M7</f>
        <v>3Q25</v>
      </c>
      <c r="N95" s="89"/>
      <c r="O95" s="89" t="str">
        <f>O7</f>
        <v>2Q24</v>
      </c>
      <c r="P95" s="89" t="str">
        <f>P7</f>
        <v>3Q24</v>
      </c>
      <c r="Q95" s="89" t="str">
        <f>Q7</f>
        <v>4Q24</v>
      </c>
      <c r="R95" s="89" t="str">
        <f>R7</f>
        <v>1Q25</v>
      </c>
      <c r="S95" s="89" t="str">
        <f>S7</f>
        <v>2Q25</v>
      </c>
      <c r="T95" s="89" t="str">
        <f>T7</f>
        <v>3Q25</v>
      </c>
      <c r="U95" s="88"/>
      <c r="V95" s="153"/>
    </row>
    <row r="96" spans="1:22" ht="12.75" customHeight="1">
      <c r="B96" s="84" t="str">
        <f>B8</f>
        <v>Fiscal Period End Date</v>
      </c>
      <c r="C96" s="90" t="str">
        <f>C8</f>
        <v>XXX</v>
      </c>
      <c r="D96" s="90" t="str">
        <f>D8</f>
        <v>XXX</v>
      </c>
      <c r="E96" s="90" t="str">
        <f>E8</f>
        <v>XXX</v>
      </c>
      <c r="F96" s="88"/>
      <c r="G96" s="90" t="str">
        <f>G8</f>
        <v>XXX</v>
      </c>
      <c r="H96" s="90" t="str">
        <f>H8</f>
        <v>XXX</v>
      </c>
      <c r="I96" s="90" t="str">
        <f>I8</f>
        <v>XXX</v>
      </c>
      <c r="J96" s="90" t="str">
        <f>J8</f>
        <v>XXX</v>
      </c>
      <c r="K96" s="90" t="str">
        <f>K8</f>
        <v>XXX</v>
      </c>
      <c r="L96" s="90" t="str">
        <f>L8</f>
        <v>XXX</v>
      </c>
      <c r="M96" s="90" t="str">
        <f>M8</f>
        <v>XXX</v>
      </c>
      <c r="N96" s="90"/>
      <c r="O96" s="90" t="str">
        <f>O8</f>
        <v>XXX</v>
      </c>
      <c r="P96" s="90" t="str">
        <f>P8</f>
        <v>XXX</v>
      </c>
      <c r="Q96" s="90" t="str">
        <f>Q8</f>
        <v>XXX</v>
      </c>
      <c r="R96" s="90" t="str">
        <f>R8</f>
        <v>XXX</v>
      </c>
      <c r="S96" s="90" t="str">
        <f>S8</f>
        <v>XXX</v>
      </c>
      <c r="T96" s="90" t="str">
        <f>T8</f>
        <v>XXX</v>
      </c>
      <c r="U96" s="88"/>
      <c r="V96" s="153"/>
    </row>
    <row r="97" spans="2:22" ht="5.0999999999999996" customHeight="1">
      <c r="B97" s="50"/>
      <c r="C97" s="44"/>
      <c r="D97" s="44"/>
      <c r="E97" s="44"/>
    </row>
    <row r="98" spans="2:22" ht="12.75" customHeight="1">
      <c r="B98" s="51" t="s">
        <v>48</v>
      </c>
      <c r="C98" s="52"/>
      <c r="D98" s="52"/>
      <c r="E98" s="52"/>
    </row>
    <row r="99" spans="2:22" ht="12.75" customHeight="1">
      <c r="B99" s="53" t="s">
        <v>49</v>
      </c>
      <c r="C99" s="30">
        <f>C36</f>
        <v>0</v>
      </c>
      <c r="D99" s="30">
        <f>D36</f>
        <v>0</v>
      </c>
      <c r="E99" s="30">
        <f>E36</f>
        <v>1051</v>
      </c>
      <c r="F99" s="30"/>
      <c r="G99" s="30">
        <f>G36</f>
        <v>319</v>
      </c>
      <c r="H99" s="30">
        <f>H36</f>
        <v>465</v>
      </c>
      <c r="I99" s="30">
        <f>I36</f>
        <v>176</v>
      </c>
      <c r="J99" s="30">
        <f>J36</f>
        <v>91</v>
      </c>
      <c r="K99" s="30">
        <f>K36</f>
        <v>-128</v>
      </c>
      <c r="L99" s="30">
        <f>L36</f>
        <v>81</v>
      </c>
      <c r="M99" s="30">
        <f>M36</f>
        <v>234</v>
      </c>
      <c r="O99" s="30">
        <f>O36</f>
        <v>319</v>
      </c>
      <c r="P99" s="30">
        <f>P36</f>
        <v>784</v>
      </c>
      <c r="Q99" s="30">
        <f>Q36</f>
        <v>960</v>
      </c>
      <c r="R99" s="30">
        <f>R36</f>
        <v>1051</v>
      </c>
      <c r="S99" s="30">
        <f>S36</f>
        <v>604</v>
      </c>
      <c r="T99" s="30">
        <f>T36</f>
        <v>220</v>
      </c>
      <c r="U99" s="11"/>
      <c r="V99" s="68">
        <f>SUM(T99/P99)-1</f>
        <v>-0.71938775510204089</v>
      </c>
    </row>
    <row r="100" spans="2:22" ht="5.0999999999999996" customHeight="1"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O100" s="30"/>
      <c r="P100" s="30"/>
      <c r="Q100" s="30"/>
      <c r="R100" s="30"/>
      <c r="S100" s="30"/>
      <c r="T100" s="30"/>
      <c r="U100" s="11"/>
      <c r="V100" s="68"/>
    </row>
    <row r="101" spans="2:22" ht="12.75" customHeight="1">
      <c r="B101" s="33" t="s">
        <v>57</v>
      </c>
      <c r="C101" s="30"/>
      <c r="D101" s="30"/>
      <c r="E101" s="30"/>
      <c r="F101" s="30"/>
      <c r="G101" s="76"/>
      <c r="H101" s="76"/>
      <c r="I101" s="76"/>
      <c r="J101" s="30"/>
      <c r="K101" s="76"/>
      <c r="L101" s="76"/>
      <c r="M101" s="76"/>
      <c r="O101" s="30"/>
      <c r="P101" s="30"/>
      <c r="Q101" s="30"/>
      <c r="R101" s="30"/>
      <c r="S101" s="30"/>
      <c r="T101" s="30"/>
      <c r="U101" s="55"/>
      <c r="V101" s="68"/>
    </row>
    <row r="102" spans="2:22" ht="12.75" customHeight="1">
      <c r="B102" s="56" t="s">
        <v>50</v>
      </c>
      <c r="C102" s="76"/>
      <c r="D102" s="76"/>
      <c r="E102" s="76"/>
      <c r="F102" s="30"/>
      <c r="G102" s="76"/>
      <c r="H102" s="76"/>
      <c r="I102" s="76"/>
      <c r="J102" s="30">
        <f>SUM(E102-SUM(G102:I102))</f>
        <v>0</v>
      </c>
      <c r="K102" s="76"/>
      <c r="L102" s="76"/>
      <c r="M102" s="76"/>
      <c r="O102" s="30">
        <f>SUM(G102:H102)</f>
        <v>0</v>
      </c>
      <c r="P102" s="30">
        <f>SUM(G102:I102)</f>
        <v>0</v>
      </c>
      <c r="Q102" s="30">
        <f>SUM(G102:J102)</f>
        <v>0</v>
      </c>
      <c r="R102" s="30">
        <f>SUM(H102:K102)</f>
        <v>0</v>
      </c>
      <c r="S102" s="30">
        <f>SUM(I102:L102)</f>
        <v>0</v>
      </c>
      <c r="T102" s="30">
        <f>SUM(J102:L102)</f>
        <v>0</v>
      </c>
      <c r="U102" s="11"/>
      <c r="V102" s="68" t="e">
        <f>SUM(T102/P102)-1</f>
        <v>#DIV/0!</v>
      </c>
    </row>
    <row r="103" spans="2:22" ht="12.75" customHeight="1">
      <c r="B103" s="56" t="s">
        <v>108</v>
      </c>
      <c r="C103" s="76"/>
      <c r="D103" s="76"/>
      <c r="E103" s="76"/>
      <c r="F103" s="30"/>
      <c r="G103" s="76"/>
      <c r="H103" s="76"/>
      <c r="I103" s="76"/>
      <c r="J103" s="30">
        <f>SUM(E103-SUM(G103:I103))</f>
        <v>0</v>
      </c>
      <c r="K103" s="76"/>
      <c r="L103" s="76"/>
      <c r="M103" s="76"/>
      <c r="O103" s="30">
        <f>SUM(G103:H103)</f>
        <v>0</v>
      </c>
      <c r="P103" s="30">
        <f>SUM(G103:I103)</f>
        <v>0</v>
      </c>
      <c r="Q103" s="30">
        <f>SUM(G103:J103)</f>
        <v>0</v>
      </c>
      <c r="R103" s="30">
        <f>SUM(H103:K103)</f>
        <v>0</v>
      </c>
      <c r="S103" s="30">
        <f>SUM(I103:L103)</f>
        <v>0</v>
      </c>
      <c r="T103" s="30">
        <f>SUM(J103:L103)</f>
        <v>0</v>
      </c>
      <c r="U103" s="11"/>
      <c r="V103" s="68" t="e">
        <f>SUM(T103/P103)-1</f>
        <v>#DIV/0!</v>
      </c>
    </row>
    <row r="104" spans="2:22" ht="12.75" customHeight="1">
      <c r="B104" s="56" t="s">
        <v>108</v>
      </c>
      <c r="C104" s="76"/>
      <c r="D104" s="76"/>
      <c r="E104" s="76"/>
      <c r="F104" s="30"/>
      <c r="G104" s="76"/>
      <c r="H104" s="76"/>
      <c r="I104" s="76"/>
      <c r="J104" s="30">
        <f>SUM(E104-SUM(G104:I104))</f>
        <v>0</v>
      </c>
      <c r="K104" s="76"/>
      <c r="L104" s="76"/>
      <c r="M104" s="76"/>
      <c r="O104" s="30">
        <f>SUM(G104:H104)</f>
        <v>0</v>
      </c>
      <c r="P104" s="30">
        <f>SUM(G104:I104)</f>
        <v>0</v>
      </c>
      <c r="Q104" s="30">
        <f>SUM(G104:J104)</f>
        <v>0</v>
      </c>
      <c r="R104" s="30">
        <f>SUM(H104:K104)</f>
        <v>0</v>
      </c>
      <c r="S104" s="30">
        <f>SUM(I104:L104)</f>
        <v>0</v>
      </c>
      <c r="T104" s="30">
        <f>SUM(J104:L104)</f>
        <v>0</v>
      </c>
      <c r="U104" s="11"/>
      <c r="V104" s="68" t="e">
        <f>SUM(T104/P104)-1</f>
        <v>#DIV/0!</v>
      </c>
    </row>
    <row r="105" spans="2:22" ht="12.75" customHeight="1">
      <c r="B105" s="56" t="s">
        <v>108</v>
      </c>
      <c r="C105" s="76"/>
      <c r="D105" s="76"/>
      <c r="E105" s="76"/>
      <c r="F105" s="30"/>
      <c r="G105" s="76"/>
      <c r="H105" s="76"/>
      <c r="I105" s="76"/>
      <c r="J105" s="30">
        <f>SUM(E105-SUM(G105:I105))</f>
        <v>0</v>
      </c>
      <c r="K105" s="76"/>
      <c r="L105" s="76"/>
      <c r="M105" s="76"/>
      <c r="O105" s="30">
        <f>SUM(G105:H105)</f>
        <v>0</v>
      </c>
      <c r="P105" s="30">
        <f>SUM(G105:I105)</f>
        <v>0</v>
      </c>
      <c r="Q105" s="30">
        <f>SUM(G105:J105)</f>
        <v>0</v>
      </c>
      <c r="R105" s="30">
        <f>SUM(H105:K105)</f>
        <v>0</v>
      </c>
      <c r="S105" s="30">
        <f>SUM(I105:L105)</f>
        <v>0</v>
      </c>
      <c r="T105" s="30">
        <f>SUM(J105:L105)</f>
        <v>0</v>
      </c>
      <c r="U105" s="11"/>
      <c r="V105" s="68" t="e">
        <f>SUM(T105/P105)-1</f>
        <v>#DIV/0!</v>
      </c>
    </row>
    <row r="106" spans="2:22" ht="12.75" customHeight="1">
      <c r="B106" s="56" t="s">
        <v>108</v>
      </c>
      <c r="C106" s="76"/>
      <c r="D106" s="76"/>
      <c r="E106" s="76"/>
      <c r="F106" s="30"/>
      <c r="G106" s="76"/>
      <c r="H106" s="76"/>
      <c r="I106" s="76"/>
      <c r="J106" s="30">
        <f>SUM(E106-SUM(G106:I106))</f>
        <v>0</v>
      </c>
      <c r="K106" s="76"/>
      <c r="L106" s="76"/>
      <c r="M106" s="76"/>
      <c r="O106" s="30">
        <f>SUM(G106:H106)</f>
        <v>0</v>
      </c>
      <c r="P106" s="30">
        <f>SUM(G106:I106)</f>
        <v>0</v>
      </c>
      <c r="Q106" s="30">
        <f>SUM(G106:J106)</f>
        <v>0</v>
      </c>
      <c r="R106" s="30">
        <f>SUM(H106:K106)</f>
        <v>0</v>
      </c>
      <c r="S106" s="30">
        <f>SUM(I106:L106)</f>
        <v>0</v>
      </c>
      <c r="T106" s="30">
        <f>SUM(J106:L106)</f>
        <v>0</v>
      </c>
      <c r="U106" s="11"/>
      <c r="V106" s="68" t="e">
        <f>SUM(T106/P106)-1</f>
        <v>#DIV/0!</v>
      </c>
    </row>
    <row r="107" spans="2:22" ht="12.75" customHeight="1">
      <c r="B107" s="56" t="s">
        <v>108</v>
      </c>
      <c r="C107" s="76"/>
      <c r="D107" s="76"/>
      <c r="E107" s="76"/>
      <c r="F107" s="30"/>
      <c r="G107" s="76"/>
      <c r="H107" s="76"/>
      <c r="I107" s="76"/>
      <c r="J107" s="30">
        <f>SUM(E107-SUM(G107:I107))</f>
        <v>0</v>
      </c>
      <c r="K107" s="76"/>
      <c r="L107" s="76"/>
      <c r="M107" s="76"/>
      <c r="O107" s="30">
        <f>SUM(G107:H107)</f>
        <v>0</v>
      </c>
      <c r="P107" s="30">
        <f>SUM(G107:I107)</f>
        <v>0</v>
      </c>
      <c r="Q107" s="30">
        <f>SUM(G107:J107)</f>
        <v>0</v>
      </c>
      <c r="R107" s="30">
        <f>SUM(H107:K107)</f>
        <v>0</v>
      </c>
      <c r="S107" s="30">
        <f>SUM(I107:L107)</f>
        <v>0</v>
      </c>
      <c r="T107" s="30">
        <f>SUM(J107:L107)</f>
        <v>0</v>
      </c>
      <c r="U107" s="11"/>
      <c r="V107" s="68" t="e">
        <f>SUM(T107/P107)-1</f>
        <v>#DIV/0!</v>
      </c>
    </row>
    <row r="108" spans="2:22" ht="12.75" customHeight="1">
      <c r="B108" s="56" t="s">
        <v>108</v>
      </c>
      <c r="C108" s="76"/>
      <c r="D108" s="76"/>
      <c r="E108" s="76"/>
      <c r="F108" s="30"/>
      <c r="G108" s="76"/>
      <c r="H108" s="76"/>
      <c r="I108" s="76"/>
      <c r="J108" s="30">
        <f>SUM(E108-SUM(G108:I108))</f>
        <v>0</v>
      </c>
      <c r="K108" s="76"/>
      <c r="L108" s="76"/>
      <c r="M108" s="76"/>
      <c r="O108" s="30">
        <f>SUM(G108:H108)</f>
        <v>0</v>
      </c>
      <c r="P108" s="30">
        <f>SUM(G108:I108)</f>
        <v>0</v>
      </c>
      <c r="Q108" s="30">
        <f>SUM(G108:J108)</f>
        <v>0</v>
      </c>
      <c r="R108" s="30">
        <f>SUM(H108:K108)</f>
        <v>0</v>
      </c>
      <c r="S108" s="30">
        <f>SUM(I108:L108)</f>
        <v>0</v>
      </c>
      <c r="T108" s="30">
        <f>SUM(J108:L108)</f>
        <v>0</v>
      </c>
      <c r="U108" s="11"/>
      <c r="V108" s="68" t="e">
        <f>SUM(T108/P108)-1</f>
        <v>#DIV/0!</v>
      </c>
    </row>
    <row r="109" spans="2:22" ht="12.75" customHeight="1">
      <c r="B109" s="56" t="s">
        <v>108</v>
      </c>
      <c r="C109" s="76"/>
      <c r="D109" s="76"/>
      <c r="E109" s="76"/>
      <c r="F109" s="30"/>
      <c r="G109" s="76"/>
      <c r="H109" s="76"/>
      <c r="I109" s="76"/>
      <c r="J109" s="30">
        <f>SUM(E109-SUM(G109:I109))</f>
        <v>0</v>
      </c>
      <c r="K109" s="76"/>
      <c r="L109" s="76"/>
      <c r="M109" s="76"/>
      <c r="O109" s="30">
        <f>SUM(G109:H109)</f>
        <v>0</v>
      </c>
      <c r="P109" s="30">
        <f>SUM(G109:I109)</f>
        <v>0</v>
      </c>
      <c r="Q109" s="30">
        <f>SUM(G109:J109)</f>
        <v>0</v>
      </c>
      <c r="R109" s="30">
        <f>SUM(H109:K109)</f>
        <v>0</v>
      </c>
      <c r="S109" s="30">
        <f>SUM(I109:L109)</f>
        <v>0</v>
      </c>
      <c r="T109" s="30">
        <f>SUM(J109:L109)</f>
        <v>0</v>
      </c>
      <c r="U109" s="11"/>
      <c r="V109" s="68" t="e">
        <f>SUM(T109/P109)-1</f>
        <v>#DIV/0!</v>
      </c>
    </row>
    <row r="110" spans="2:22" ht="12.75" customHeight="1">
      <c r="B110" s="56" t="s">
        <v>108</v>
      </c>
      <c r="C110" s="76"/>
      <c r="D110" s="76"/>
      <c r="E110" s="76"/>
      <c r="F110" s="30"/>
      <c r="G110" s="76"/>
      <c r="H110" s="76"/>
      <c r="I110" s="76"/>
      <c r="J110" s="30">
        <f>SUM(E110-SUM(G110:I110))</f>
        <v>0</v>
      </c>
      <c r="K110" s="76"/>
      <c r="L110" s="76"/>
      <c r="M110" s="76"/>
      <c r="O110" s="30">
        <f>SUM(G110:H110)</f>
        <v>0</v>
      </c>
      <c r="P110" s="30">
        <f>SUM(G110:I110)</f>
        <v>0</v>
      </c>
      <c r="Q110" s="30">
        <f>SUM(G110:J110)</f>
        <v>0</v>
      </c>
      <c r="R110" s="30">
        <f>SUM(H110:K110)</f>
        <v>0</v>
      </c>
      <c r="S110" s="30">
        <f>SUM(I110:L110)</f>
        <v>0</v>
      </c>
      <c r="T110" s="30">
        <f>SUM(J110:L110)</f>
        <v>0</v>
      </c>
      <c r="U110" s="11"/>
      <c r="V110" s="68" t="e">
        <f>SUM(T110/P110)-1</f>
        <v>#DIV/0!</v>
      </c>
    </row>
    <row r="111" spans="2:22" ht="5.0999999999999996" customHeight="1">
      <c r="B111" s="8"/>
      <c r="C111" s="76"/>
      <c r="D111" s="76"/>
      <c r="E111" s="76"/>
      <c r="F111" s="30"/>
      <c r="G111" s="76"/>
      <c r="H111" s="76"/>
      <c r="I111" s="76"/>
      <c r="J111" s="30"/>
      <c r="K111" s="76"/>
      <c r="L111" s="76"/>
      <c r="M111" s="76"/>
      <c r="O111" s="30"/>
      <c r="P111" s="30"/>
      <c r="Q111" s="30"/>
      <c r="R111" s="30"/>
      <c r="S111" s="30"/>
      <c r="T111" s="30"/>
      <c r="U111" s="11"/>
      <c r="V111" s="68"/>
    </row>
    <row r="112" spans="2:22" ht="12.75" customHeight="1">
      <c r="B112" s="33" t="s">
        <v>9</v>
      </c>
      <c r="C112" s="76"/>
      <c r="D112" s="76"/>
      <c r="E112" s="76"/>
      <c r="F112" s="30"/>
      <c r="G112" s="76"/>
      <c r="H112" s="76"/>
      <c r="I112" s="76"/>
      <c r="J112" s="30"/>
      <c r="K112" s="76"/>
      <c r="L112" s="76"/>
      <c r="M112" s="76"/>
      <c r="O112" s="30"/>
      <c r="P112" s="30"/>
      <c r="Q112" s="30"/>
      <c r="R112" s="30"/>
      <c r="S112" s="30"/>
      <c r="T112" s="30"/>
      <c r="U112" s="55"/>
      <c r="V112" s="68"/>
    </row>
    <row r="113" spans="2:22" ht="12.75" customHeight="1">
      <c r="B113" s="56" t="s">
        <v>84</v>
      </c>
      <c r="C113" s="76"/>
      <c r="D113" s="76"/>
      <c r="E113" s="76"/>
      <c r="F113" s="30"/>
      <c r="G113" s="76"/>
      <c r="H113" s="76"/>
      <c r="I113" s="76"/>
      <c r="J113" s="30">
        <f>SUM(E113-SUM(G113:I113))</f>
        <v>0</v>
      </c>
      <c r="K113" s="76"/>
      <c r="L113" s="76"/>
      <c r="M113" s="76"/>
      <c r="O113" s="30">
        <f>SUM(G113:H113)</f>
        <v>0</v>
      </c>
      <c r="P113" s="30">
        <f>SUM(G113:I113)</f>
        <v>0</v>
      </c>
      <c r="Q113" s="30">
        <f>SUM(G113:J113)</f>
        <v>0</v>
      </c>
      <c r="R113" s="30">
        <f>SUM(H113:K113)</f>
        <v>0</v>
      </c>
      <c r="S113" s="30">
        <f>SUM(I113:L113)</f>
        <v>0</v>
      </c>
      <c r="T113" s="30">
        <f>SUM(J113:L113)</f>
        <v>0</v>
      </c>
      <c r="U113" s="55"/>
      <c r="V113" s="68" t="e">
        <f>SUM(T113/P113)-1</f>
        <v>#DIV/0!</v>
      </c>
    </row>
    <row r="114" spans="2:22" ht="12.75" customHeight="1">
      <c r="B114" s="56" t="s">
        <v>108</v>
      </c>
      <c r="C114" s="76"/>
      <c r="D114" s="76"/>
      <c r="E114" s="76"/>
      <c r="F114" s="30"/>
      <c r="G114" s="76"/>
      <c r="H114" s="76"/>
      <c r="I114" s="76"/>
      <c r="J114" s="30">
        <f>SUM(E114-SUM(G114:I114))</f>
        <v>0</v>
      </c>
      <c r="K114" s="76"/>
      <c r="L114" s="76"/>
      <c r="M114" s="76"/>
      <c r="O114" s="30">
        <f>SUM(G114:H114)</f>
        <v>0</v>
      </c>
      <c r="P114" s="30">
        <f>SUM(G114:I114)</f>
        <v>0</v>
      </c>
      <c r="Q114" s="30">
        <f>SUM(G114:J114)</f>
        <v>0</v>
      </c>
      <c r="R114" s="30">
        <f>SUM(H114:K114)</f>
        <v>0</v>
      </c>
      <c r="S114" s="30">
        <f>SUM(I114:L114)</f>
        <v>0</v>
      </c>
      <c r="T114" s="30">
        <f>SUM(J114:L114)</f>
        <v>0</v>
      </c>
      <c r="U114" s="55"/>
      <c r="V114" s="68" t="e">
        <f>SUM(T114/P114)-1</f>
        <v>#DIV/0!</v>
      </c>
    </row>
    <row r="115" spans="2:22" ht="12.75" customHeight="1">
      <c r="B115" s="56" t="s">
        <v>108</v>
      </c>
      <c r="C115" s="76"/>
      <c r="D115" s="76"/>
      <c r="E115" s="76"/>
      <c r="F115" s="30"/>
      <c r="G115" s="76"/>
      <c r="H115" s="76"/>
      <c r="I115" s="76"/>
      <c r="J115" s="30">
        <f>SUM(E115-SUM(G115:I115))</f>
        <v>0</v>
      </c>
      <c r="K115" s="76"/>
      <c r="L115" s="76"/>
      <c r="M115" s="76"/>
      <c r="O115" s="30">
        <f>SUM(G115:H115)</f>
        <v>0</v>
      </c>
      <c r="P115" s="30">
        <f>SUM(G115:I115)</f>
        <v>0</v>
      </c>
      <c r="Q115" s="30">
        <f>SUM(G115:J115)</f>
        <v>0</v>
      </c>
      <c r="R115" s="30">
        <f>SUM(H115:K115)</f>
        <v>0</v>
      </c>
      <c r="S115" s="30">
        <f>SUM(I115:L115)</f>
        <v>0</v>
      </c>
      <c r="T115" s="30">
        <f>SUM(J115:L115)</f>
        <v>0</v>
      </c>
      <c r="U115" s="55"/>
      <c r="V115" s="68" t="e">
        <f>SUM(T115/P115)-1</f>
        <v>#DIV/0!</v>
      </c>
    </row>
    <row r="116" spans="2:22" ht="12.75" customHeight="1">
      <c r="B116" s="56" t="s">
        <v>108</v>
      </c>
      <c r="C116" s="76"/>
      <c r="D116" s="76"/>
      <c r="E116" s="76"/>
      <c r="F116" s="30"/>
      <c r="G116" s="76"/>
      <c r="H116" s="76"/>
      <c r="I116" s="76"/>
      <c r="J116" s="30">
        <f>SUM(E116-SUM(G116:I116))</f>
        <v>0</v>
      </c>
      <c r="K116" s="76"/>
      <c r="L116" s="76"/>
      <c r="M116" s="76"/>
      <c r="O116" s="30">
        <f>SUM(G116:H116)</f>
        <v>0</v>
      </c>
      <c r="P116" s="30">
        <f>SUM(G116:I116)</f>
        <v>0</v>
      </c>
      <c r="Q116" s="30">
        <f>SUM(G116:J116)</f>
        <v>0</v>
      </c>
      <c r="R116" s="30">
        <f>SUM(H116:K116)</f>
        <v>0</v>
      </c>
      <c r="S116" s="30">
        <f>SUM(I116:L116)</f>
        <v>0</v>
      </c>
      <c r="T116" s="30">
        <f>SUM(J116:L116)</f>
        <v>0</v>
      </c>
      <c r="U116" s="55"/>
      <c r="V116" s="68" t="e">
        <f>SUM(T116/P116)-1</f>
        <v>#DIV/0!</v>
      </c>
    </row>
    <row r="117" spans="2:22" ht="12.75" customHeight="1">
      <c r="B117" s="56" t="s">
        <v>108</v>
      </c>
      <c r="C117" s="76"/>
      <c r="D117" s="76"/>
      <c r="E117" s="76"/>
      <c r="F117" s="30"/>
      <c r="G117" s="76"/>
      <c r="H117" s="76"/>
      <c r="I117" s="76"/>
      <c r="J117" s="30">
        <f>SUM(E117-SUM(G117:I117))</f>
        <v>0</v>
      </c>
      <c r="K117" s="76"/>
      <c r="L117" s="76"/>
      <c r="M117" s="76"/>
      <c r="O117" s="30">
        <f>SUM(G117:H117)</f>
        <v>0</v>
      </c>
      <c r="P117" s="30">
        <f>SUM(G117:I117)</f>
        <v>0</v>
      </c>
      <c r="Q117" s="30">
        <f>SUM(G117:J117)</f>
        <v>0</v>
      </c>
      <c r="R117" s="30">
        <f>SUM(H117:K117)</f>
        <v>0</v>
      </c>
      <c r="S117" s="30">
        <f>SUM(I117:L117)</f>
        <v>0</v>
      </c>
      <c r="T117" s="30">
        <f>SUM(J117:L117)</f>
        <v>0</v>
      </c>
      <c r="U117" s="55"/>
      <c r="V117" s="68" t="e">
        <f>SUM(T117/P117)-1</f>
        <v>#DIV/0!</v>
      </c>
    </row>
    <row r="118" spans="2:22" ht="12.75" customHeight="1">
      <c r="B118" s="56" t="s">
        <v>108</v>
      </c>
      <c r="C118" s="76"/>
      <c r="D118" s="76"/>
      <c r="E118" s="76"/>
      <c r="F118" s="30"/>
      <c r="G118" s="76"/>
      <c r="H118" s="76"/>
      <c r="I118" s="76"/>
      <c r="J118" s="30">
        <f>SUM(E118-SUM(G118:I118))</f>
        <v>0</v>
      </c>
      <c r="K118" s="76"/>
      <c r="L118" s="76"/>
      <c r="M118" s="76"/>
      <c r="O118" s="30">
        <f>SUM(G118:H118)</f>
        <v>0</v>
      </c>
      <c r="P118" s="30">
        <f>SUM(G118:I118)</f>
        <v>0</v>
      </c>
      <c r="Q118" s="30">
        <f>SUM(G118:J118)</f>
        <v>0</v>
      </c>
      <c r="R118" s="30">
        <f>SUM(H118:K118)</f>
        <v>0</v>
      </c>
      <c r="S118" s="30">
        <f>SUM(I118:L118)</f>
        <v>0</v>
      </c>
      <c r="T118" s="30">
        <f>SUM(J118:L118)</f>
        <v>0</v>
      </c>
      <c r="U118" s="55"/>
      <c r="V118" s="68" t="e">
        <f>SUM(T118/P118)-1</f>
        <v>#DIV/0!</v>
      </c>
    </row>
    <row r="119" spans="2:22" ht="12.75" customHeight="1">
      <c r="B119" s="12" t="s">
        <v>51</v>
      </c>
      <c r="C119" s="13">
        <f>SUM(C99:C118)</f>
        <v>0</v>
      </c>
      <c r="D119" s="13">
        <f>SUM(D99:D118)</f>
        <v>0</v>
      </c>
      <c r="E119" s="13">
        <f>SUM(E99:E118)</f>
        <v>1051</v>
      </c>
      <c r="G119" s="13">
        <f t="shared" ref="G119:M119" si="135">SUM(G99:G118)</f>
        <v>319</v>
      </c>
      <c r="H119" s="13">
        <f t="shared" si="135"/>
        <v>465</v>
      </c>
      <c r="I119" s="13">
        <f t="shared" si="135"/>
        <v>176</v>
      </c>
      <c r="J119" s="13">
        <f t="shared" si="135"/>
        <v>91</v>
      </c>
      <c r="K119" s="13">
        <f t="shared" si="135"/>
        <v>-128</v>
      </c>
      <c r="L119" s="13">
        <f t="shared" si="135"/>
        <v>81</v>
      </c>
      <c r="M119" s="13">
        <f t="shared" si="135"/>
        <v>234</v>
      </c>
      <c r="O119" s="13">
        <f t="shared" ref="O119:T119" si="136">SUM(O99:O118)</f>
        <v>319</v>
      </c>
      <c r="P119" s="13">
        <f t="shared" si="136"/>
        <v>784</v>
      </c>
      <c r="Q119" s="13">
        <f t="shared" si="136"/>
        <v>960</v>
      </c>
      <c r="R119" s="13">
        <f t="shared" si="136"/>
        <v>1051</v>
      </c>
      <c r="S119" s="13">
        <f t="shared" si="136"/>
        <v>604</v>
      </c>
      <c r="T119" s="13">
        <f t="shared" si="136"/>
        <v>220</v>
      </c>
      <c r="U119" s="39"/>
      <c r="V119" s="69">
        <f>SUM(T119/P119)-1</f>
        <v>-0.71938775510204089</v>
      </c>
    </row>
    <row r="120" spans="2:22" ht="12.75" customHeight="1">
      <c r="B120" s="49"/>
      <c r="C120" s="57"/>
      <c r="D120" s="57"/>
      <c r="E120" s="57"/>
      <c r="G120" s="57"/>
      <c r="H120" s="57"/>
      <c r="I120" s="57"/>
      <c r="J120" s="57"/>
      <c r="K120" s="57"/>
      <c r="L120" s="57"/>
      <c r="M120" s="57"/>
      <c r="O120" s="39"/>
      <c r="P120" s="39"/>
      <c r="Q120" s="39"/>
      <c r="R120" s="39"/>
      <c r="S120" s="39"/>
      <c r="T120" s="39"/>
      <c r="U120" s="39"/>
      <c r="V120" s="36"/>
    </row>
    <row r="121" spans="2:22" ht="12.75" customHeight="1">
      <c r="B121" s="112" t="s">
        <v>52</v>
      </c>
      <c r="C121" s="54"/>
      <c r="D121" s="54"/>
      <c r="E121" s="54"/>
      <c r="G121" s="76"/>
      <c r="H121" s="76"/>
      <c r="I121" s="76"/>
      <c r="J121" s="30"/>
      <c r="K121" s="76"/>
      <c r="L121" s="76"/>
      <c r="M121" s="76"/>
      <c r="O121" s="54"/>
      <c r="P121" s="54"/>
      <c r="Q121" s="54"/>
      <c r="R121" s="54"/>
      <c r="S121" s="54"/>
      <c r="T121" s="54"/>
      <c r="U121" s="55"/>
      <c r="V121" s="36"/>
    </row>
    <row r="122" spans="2:22" ht="12.75" customHeight="1">
      <c r="B122" s="56" t="s">
        <v>85</v>
      </c>
      <c r="C122" s="76"/>
      <c r="D122" s="76"/>
      <c r="E122" s="76"/>
      <c r="F122" s="30"/>
      <c r="G122" s="76"/>
      <c r="H122" s="76"/>
      <c r="I122" s="76"/>
      <c r="J122" s="30">
        <f>SUM(E122-SUM(G122:I122))</f>
        <v>0</v>
      </c>
      <c r="K122" s="76"/>
      <c r="L122" s="76"/>
      <c r="M122" s="76"/>
      <c r="N122" s="30"/>
      <c r="O122" s="30">
        <f>SUM(G122:H122)</f>
        <v>0</v>
      </c>
      <c r="P122" s="30">
        <f>SUM(G122:I122)</f>
        <v>0</v>
      </c>
      <c r="Q122" s="30">
        <f>SUM(G122:J122)</f>
        <v>0</v>
      </c>
      <c r="R122" s="30">
        <f>SUM(H122:K122)</f>
        <v>0</v>
      </c>
      <c r="S122" s="30">
        <f>SUM(I122:L122)</f>
        <v>0</v>
      </c>
      <c r="T122" s="30">
        <f>SUM(J122:L122)</f>
        <v>0</v>
      </c>
      <c r="U122" s="55"/>
      <c r="V122" s="68" t="e">
        <f>SUM(T122/P122)-1</f>
        <v>#DIV/0!</v>
      </c>
    </row>
    <row r="123" spans="2:22" ht="12.75" customHeight="1">
      <c r="B123" s="56" t="s">
        <v>108</v>
      </c>
      <c r="C123" s="76"/>
      <c r="D123" s="76"/>
      <c r="E123" s="76"/>
      <c r="F123" s="30"/>
      <c r="G123" s="76"/>
      <c r="H123" s="76"/>
      <c r="I123" s="76"/>
      <c r="J123" s="30">
        <f>SUM(E123-SUM(G123:I123))</f>
        <v>0</v>
      </c>
      <c r="K123" s="76"/>
      <c r="L123" s="76"/>
      <c r="M123" s="76"/>
      <c r="N123" s="30"/>
      <c r="O123" s="30">
        <f>SUM(G123:H123)</f>
        <v>0</v>
      </c>
      <c r="P123" s="30">
        <f>SUM(G123:I123)</f>
        <v>0</v>
      </c>
      <c r="Q123" s="30">
        <f>SUM(G123:J123)</f>
        <v>0</v>
      </c>
      <c r="R123" s="30">
        <f>SUM(H123:K123)</f>
        <v>0</v>
      </c>
      <c r="S123" s="30">
        <f>SUM(I123:L123)</f>
        <v>0</v>
      </c>
      <c r="T123" s="30">
        <f>SUM(J123:L123)</f>
        <v>0</v>
      </c>
      <c r="U123" s="55"/>
      <c r="V123" s="68" t="e">
        <f>SUM(T123/P123)-1</f>
        <v>#DIV/0!</v>
      </c>
    </row>
    <row r="124" spans="2:22" ht="12.75" customHeight="1">
      <c r="B124" s="56" t="s">
        <v>108</v>
      </c>
      <c r="C124" s="76"/>
      <c r="D124" s="76"/>
      <c r="E124" s="76"/>
      <c r="F124" s="30"/>
      <c r="G124" s="76"/>
      <c r="H124" s="76"/>
      <c r="I124" s="76"/>
      <c r="J124" s="30">
        <f>SUM(E124-SUM(G124:I124))</f>
        <v>0</v>
      </c>
      <c r="K124" s="76"/>
      <c r="L124" s="76"/>
      <c r="M124" s="76"/>
      <c r="N124" s="30"/>
      <c r="O124" s="30">
        <f>SUM(G124:H124)</f>
        <v>0</v>
      </c>
      <c r="P124" s="30">
        <f>SUM(G124:I124)</f>
        <v>0</v>
      </c>
      <c r="Q124" s="30">
        <f>SUM(G124:J124)</f>
        <v>0</v>
      </c>
      <c r="R124" s="30">
        <f>SUM(H124:K124)</f>
        <v>0</v>
      </c>
      <c r="S124" s="30">
        <f>SUM(I124:L124)</f>
        <v>0</v>
      </c>
      <c r="T124" s="30">
        <f>SUM(J124:L124)</f>
        <v>0</v>
      </c>
      <c r="U124" s="55"/>
      <c r="V124" s="68" t="e">
        <f>SUM(T124/P124)-1</f>
        <v>#DIV/0!</v>
      </c>
    </row>
    <row r="125" spans="2:22" ht="12.75" customHeight="1">
      <c r="B125" s="56" t="s">
        <v>108</v>
      </c>
      <c r="C125" s="76"/>
      <c r="D125" s="76"/>
      <c r="E125" s="76"/>
      <c r="F125" s="30"/>
      <c r="G125" s="76"/>
      <c r="H125" s="76"/>
      <c r="I125" s="76"/>
      <c r="J125" s="30">
        <f>SUM(E125-SUM(G125:I125))</f>
        <v>0</v>
      </c>
      <c r="K125" s="76"/>
      <c r="L125" s="76"/>
      <c r="M125" s="76"/>
      <c r="N125" s="30"/>
      <c r="O125" s="30">
        <f>SUM(G125:H125)</f>
        <v>0</v>
      </c>
      <c r="P125" s="30">
        <f>SUM(G125:I125)</f>
        <v>0</v>
      </c>
      <c r="Q125" s="30">
        <f>SUM(G125:J125)</f>
        <v>0</v>
      </c>
      <c r="R125" s="30">
        <f>SUM(H125:K125)</f>
        <v>0</v>
      </c>
      <c r="S125" s="30">
        <f>SUM(I125:L125)</f>
        <v>0</v>
      </c>
      <c r="T125" s="30">
        <f>SUM(J125:L125)</f>
        <v>0</v>
      </c>
      <c r="U125" s="55"/>
      <c r="V125" s="68" t="e">
        <f>SUM(T125/P125)-1</f>
        <v>#DIV/0!</v>
      </c>
    </row>
    <row r="126" spans="2:22" ht="12.75" customHeight="1">
      <c r="B126" s="56" t="s">
        <v>108</v>
      </c>
      <c r="C126" s="76"/>
      <c r="D126" s="76"/>
      <c r="E126" s="76"/>
      <c r="F126" s="30"/>
      <c r="G126" s="76"/>
      <c r="H126" s="76"/>
      <c r="I126" s="76"/>
      <c r="J126" s="30">
        <f>SUM(E126-SUM(G126:I126))</f>
        <v>0</v>
      </c>
      <c r="K126" s="76"/>
      <c r="L126" s="76"/>
      <c r="M126" s="76"/>
      <c r="N126" s="30"/>
      <c r="O126" s="30">
        <f>SUM(G126:H126)</f>
        <v>0</v>
      </c>
      <c r="P126" s="30">
        <f>SUM(G126:I126)</f>
        <v>0</v>
      </c>
      <c r="Q126" s="30">
        <f>SUM(G126:J126)</f>
        <v>0</v>
      </c>
      <c r="R126" s="30">
        <f>SUM(H126:K126)</f>
        <v>0</v>
      </c>
      <c r="S126" s="30">
        <f>SUM(I126:L126)</f>
        <v>0</v>
      </c>
      <c r="T126" s="30">
        <f>SUM(J126:L126)</f>
        <v>0</v>
      </c>
      <c r="U126" s="55"/>
      <c r="V126" s="68" t="e">
        <f>SUM(T126/P126)-1</f>
        <v>#DIV/0!</v>
      </c>
    </row>
    <row r="127" spans="2:22" ht="12.75" customHeight="1">
      <c r="B127" s="12" t="s">
        <v>53</v>
      </c>
      <c r="C127" s="13">
        <f t="shared" ref="C127:E127" si="137">SUM(C122:C126)</f>
        <v>0</v>
      </c>
      <c r="D127" s="13">
        <f t="shared" si="137"/>
        <v>0</v>
      </c>
      <c r="E127" s="13">
        <f t="shared" si="137"/>
        <v>0</v>
      </c>
      <c r="G127" s="13">
        <f t="shared" ref="G127:L127" si="138">SUM(G122:G126)</f>
        <v>0</v>
      </c>
      <c r="H127" s="13">
        <f t="shared" si="138"/>
        <v>0</v>
      </c>
      <c r="I127" s="13">
        <f t="shared" si="138"/>
        <v>0</v>
      </c>
      <c r="J127" s="13">
        <f t="shared" si="138"/>
        <v>0</v>
      </c>
      <c r="K127" s="13">
        <f t="shared" si="138"/>
        <v>0</v>
      </c>
      <c r="L127" s="13">
        <f t="shared" si="138"/>
        <v>0</v>
      </c>
      <c r="M127" s="13">
        <f t="shared" ref="M127" si="139">SUM(M122:M126)</f>
        <v>0</v>
      </c>
      <c r="O127" s="13">
        <f t="shared" ref="O127:T127" si="140">SUM(O122:O126)</f>
        <v>0</v>
      </c>
      <c r="P127" s="13">
        <f t="shared" si="140"/>
        <v>0</v>
      </c>
      <c r="Q127" s="13">
        <f t="shared" si="140"/>
        <v>0</v>
      </c>
      <c r="R127" s="13">
        <f t="shared" si="140"/>
        <v>0</v>
      </c>
      <c r="S127" s="13">
        <f t="shared" si="140"/>
        <v>0</v>
      </c>
      <c r="T127" s="13">
        <f t="shared" si="140"/>
        <v>0</v>
      </c>
      <c r="U127" s="39"/>
      <c r="V127" s="69" t="e">
        <f>SUM(T127/P127)-1</f>
        <v>#DIV/0!</v>
      </c>
    </row>
    <row r="128" spans="2:22" ht="5.0999999999999996" customHeight="1">
      <c r="B128" s="48"/>
      <c r="C128" s="57"/>
      <c r="D128" s="57"/>
      <c r="E128" s="57"/>
      <c r="G128" s="57"/>
      <c r="H128" s="57"/>
      <c r="I128" s="57"/>
      <c r="J128" s="57"/>
      <c r="K128" s="57"/>
      <c r="L128" s="57"/>
      <c r="M128" s="57"/>
      <c r="O128" s="39"/>
      <c r="P128" s="39"/>
      <c r="Q128" s="39"/>
      <c r="R128" s="39"/>
      <c r="S128" s="39"/>
      <c r="T128" s="39"/>
      <c r="U128" s="39"/>
      <c r="V128" s="36"/>
    </row>
    <row r="129" spans="2:22" ht="12.75" customHeight="1">
      <c r="B129" s="112" t="s">
        <v>54</v>
      </c>
      <c r="C129" s="58"/>
      <c r="D129" s="58"/>
      <c r="E129" s="58"/>
      <c r="G129" s="58"/>
      <c r="H129" s="58"/>
      <c r="I129" s="58"/>
      <c r="J129" s="58"/>
      <c r="K129" s="58"/>
      <c r="L129" s="58"/>
      <c r="M129" s="58"/>
      <c r="N129" s="30"/>
      <c r="O129" s="30"/>
      <c r="P129" s="30"/>
      <c r="Q129" s="30"/>
      <c r="R129" s="30"/>
      <c r="S129" s="30"/>
      <c r="T129" s="30"/>
      <c r="U129" s="59"/>
      <c r="V129" s="36"/>
    </row>
    <row r="130" spans="2:22" ht="12.75" customHeight="1">
      <c r="B130" s="77" t="s">
        <v>106</v>
      </c>
      <c r="C130" s="76"/>
      <c r="D130" s="76"/>
      <c r="E130" s="76"/>
      <c r="G130" s="76"/>
      <c r="H130" s="76"/>
      <c r="I130" s="76"/>
      <c r="J130" s="30">
        <f>SUM(E130-SUM(G130:I130))</f>
        <v>0</v>
      </c>
      <c r="K130" s="76"/>
      <c r="L130" s="76"/>
      <c r="M130" s="76"/>
      <c r="N130" s="30"/>
      <c r="O130" s="30">
        <f>SUM(G130:H130)</f>
        <v>0</v>
      </c>
      <c r="P130" s="30">
        <f>SUM(G130:I130)</f>
        <v>0</v>
      </c>
      <c r="Q130" s="30">
        <f>SUM(G130:J130)</f>
        <v>0</v>
      </c>
      <c r="R130" s="30">
        <f>SUM(H130:K130)</f>
        <v>0</v>
      </c>
      <c r="S130" s="30">
        <f>SUM(I130:L130)</f>
        <v>0</v>
      </c>
      <c r="T130" s="30">
        <f>SUM(J130:L130)</f>
        <v>0</v>
      </c>
      <c r="U130" s="59"/>
      <c r="V130" s="68" t="e">
        <f>SUM(T130/P130)-1</f>
        <v>#DIV/0!</v>
      </c>
    </row>
    <row r="131" spans="2:22" ht="12.75" customHeight="1">
      <c r="B131" s="56" t="s">
        <v>108</v>
      </c>
      <c r="C131" s="76"/>
      <c r="D131" s="76"/>
      <c r="E131" s="76"/>
      <c r="F131" s="30"/>
      <c r="G131" s="76"/>
      <c r="H131" s="76"/>
      <c r="I131" s="76"/>
      <c r="J131" s="30">
        <f>SUM(E131-SUM(G131:I131))</f>
        <v>0</v>
      </c>
      <c r="K131" s="76"/>
      <c r="L131" s="76"/>
      <c r="M131" s="76"/>
      <c r="N131" s="30"/>
      <c r="O131" s="30">
        <f>SUM(G131:H131)</f>
        <v>0</v>
      </c>
      <c r="P131" s="30">
        <f>SUM(G131:I131)</f>
        <v>0</v>
      </c>
      <c r="Q131" s="30">
        <f>SUM(G131:J131)</f>
        <v>0</v>
      </c>
      <c r="R131" s="30">
        <f>SUM(H131:K131)</f>
        <v>0</v>
      </c>
      <c r="S131" s="30">
        <f>SUM(I131:L131)</f>
        <v>0</v>
      </c>
      <c r="T131" s="30">
        <f>SUM(J131:L131)</f>
        <v>0</v>
      </c>
      <c r="U131" s="55"/>
      <c r="V131" s="68" t="e">
        <f>SUM(T131/P131)-1</f>
        <v>#DIV/0!</v>
      </c>
    </row>
    <row r="132" spans="2:22" ht="12.75" customHeight="1">
      <c r="B132" s="56" t="s">
        <v>108</v>
      </c>
      <c r="C132" s="76"/>
      <c r="D132" s="76"/>
      <c r="E132" s="76"/>
      <c r="F132" s="30"/>
      <c r="G132" s="76"/>
      <c r="H132" s="76"/>
      <c r="I132" s="76"/>
      <c r="J132" s="30">
        <f>SUM(E132-SUM(G132:I132))</f>
        <v>0</v>
      </c>
      <c r="K132" s="76"/>
      <c r="L132" s="76"/>
      <c r="M132" s="76"/>
      <c r="N132" s="30"/>
      <c r="O132" s="30">
        <f>SUM(G132:H132)</f>
        <v>0</v>
      </c>
      <c r="P132" s="30">
        <f>SUM(G132:I132)</f>
        <v>0</v>
      </c>
      <c r="Q132" s="30">
        <f>SUM(G132:J132)</f>
        <v>0</v>
      </c>
      <c r="R132" s="30">
        <f>SUM(H132:K132)</f>
        <v>0</v>
      </c>
      <c r="S132" s="30">
        <f>SUM(I132:L132)</f>
        <v>0</v>
      </c>
      <c r="T132" s="30">
        <f>SUM(J132:L132)</f>
        <v>0</v>
      </c>
      <c r="U132" s="55"/>
      <c r="V132" s="68" t="e">
        <f>SUM(T132/P132)-1</f>
        <v>#DIV/0!</v>
      </c>
    </row>
    <row r="133" spans="2:22" ht="12.75" customHeight="1">
      <c r="B133" s="56" t="s">
        <v>108</v>
      </c>
      <c r="C133" s="76"/>
      <c r="D133" s="76"/>
      <c r="E133" s="76"/>
      <c r="F133" s="30"/>
      <c r="G133" s="76"/>
      <c r="H133" s="76"/>
      <c r="I133" s="76"/>
      <c r="J133" s="30">
        <f>SUM(E133-SUM(G133:I133))</f>
        <v>0</v>
      </c>
      <c r="K133" s="76"/>
      <c r="L133" s="76"/>
      <c r="M133" s="76"/>
      <c r="N133" s="30"/>
      <c r="O133" s="30">
        <f>SUM(G133:H133)</f>
        <v>0</v>
      </c>
      <c r="P133" s="30">
        <f>SUM(G133:I133)</f>
        <v>0</v>
      </c>
      <c r="Q133" s="30">
        <f>SUM(G133:J133)</f>
        <v>0</v>
      </c>
      <c r="R133" s="30">
        <f>SUM(H133:K133)</f>
        <v>0</v>
      </c>
      <c r="S133" s="30">
        <f>SUM(I133:L133)</f>
        <v>0</v>
      </c>
      <c r="T133" s="30">
        <f>SUM(J133:L133)</f>
        <v>0</v>
      </c>
      <c r="U133" s="55"/>
      <c r="V133" s="68" t="e">
        <f>SUM(T133/P133)-1</f>
        <v>#DIV/0!</v>
      </c>
    </row>
    <row r="134" spans="2:22" ht="12.75" customHeight="1">
      <c r="B134" s="56" t="s">
        <v>108</v>
      </c>
      <c r="C134" s="76"/>
      <c r="D134" s="76"/>
      <c r="E134" s="76"/>
      <c r="F134" s="30"/>
      <c r="G134" s="76"/>
      <c r="H134" s="76"/>
      <c r="I134" s="76"/>
      <c r="J134" s="30">
        <f>SUM(E134-SUM(G134:I134))</f>
        <v>0</v>
      </c>
      <c r="K134" s="76"/>
      <c r="L134" s="76"/>
      <c r="M134" s="76"/>
      <c r="N134" s="30"/>
      <c r="O134" s="30">
        <f>SUM(G134:H134)</f>
        <v>0</v>
      </c>
      <c r="P134" s="30">
        <f>SUM(G134:I134)</f>
        <v>0</v>
      </c>
      <c r="Q134" s="30">
        <f>SUM(G134:J134)</f>
        <v>0</v>
      </c>
      <c r="R134" s="30">
        <f>SUM(H134:K134)</f>
        <v>0</v>
      </c>
      <c r="S134" s="30">
        <f>SUM(I134:L134)</f>
        <v>0</v>
      </c>
      <c r="T134" s="30">
        <f>SUM(J134:L134)</f>
        <v>0</v>
      </c>
      <c r="U134" s="55"/>
      <c r="V134" s="68" t="e">
        <f>SUM(T134/P134)-1</f>
        <v>#DIV/0!</v>
      </c>
    </row>
    <row r="135" spans="2:22" ht="12.75" customHeight="1">
      <c r="B135" s="56" t="s">
        <v>108</v>
      </c>
      <c r="C135" s="76"/>
      <c r="D135" s="76"/>
      <c r="E135" s="76"/>
      <c r="F135" s="30"/>
      <c r="G135" s="76"/>
      <c r="H135" s="76"/>
      <c r="I135" s="76"/>
      <c r="J135" s="30">
        <f>SUM(E135-SUM(G135:I135))</f>
        <v>0</v>
      </c>
      <c r="K135" s="76"/>
      <c r="L135" s="76"/>
      <c r="M135" s="76"/>
      <c r="N135" s="30"/>
      <c r="O135" s="30">
        <f>SUM(G135:H135)</f>
        <v>0</v>
      </c>
      <c r="P135" s="30">
        <f>SUM(G135:I135)</f>
        <v>0</v>
      </c>
      <c r="Q135" s="30">
        <f>SUM(G135:J135)</f>
        <v>0</v>
      </c>
      <c r="R135" s="30">
        <f>SUM(H135:K135)</f>
        <v>0</v>
      </c>
      <c r="S135" s="30">
        <f>SUM(I135:L135)</f>
        <v>0</v>
      </c>
      <c r="T135" s="30">
        <f>SUM(J135:L135)</f>
        <v>0</v>
      </c>
      <c r="U135" s="55"/>
      <c r="V135" s="68" t="e">
        <f>SUM(T135/P135)-1</f>
        <v>#DIV/0!</v>
      </c>
    </row>
    <row r="136" spans="2:22" ht="12.75" customHeight="1">
      <c r="B136" s="12" t="s">
        <v>55</v>
      </c>
      <c r="C136" s="13">
        <f t="shared" ref="C136:E136" si="141">SUM(C130:C135)</f>
        <v>0</v>
      </c>
      <c r="D136" s="13">
        <f t="shared" si="141"/>
        <v>0</v>
      </c>
      <c r="E136" s="13">
        <f t="shared" si="141"/>
        <v>0</v>
      </c>
      <c r="G136" s="13">
        <f t="shared" ref="G136:L136" si="142">SUM(G130:G135)</f>
        <v>0</v>
      </c>
      <c r="H136" s="13">
        <f t="shared" si="142"/>
        <v>0</v>
      </c>
      <c r="I136" s="13">
        <f t="shared" si="142"/>
        <v>0</v>
      </c>
      <c r="J136" s="13">
        <f t="shared" si="142"/>
        <v>0</v>
      </c>
      <c r="K136" s="13">
        <f t="shared" si="142"/>
        <v>0</v>
      </c>
      <c r="L136" s="13">
        <f t="shared" si="142"/>
        <v>0</v>
      </c>
      <c r="M136" s="13">
        <f t="shared" ref="M136" si="143">SUM(M130:M135)</f>
        <v>0</v>
      </c>
      <c r="O136" s="13">
        <f t="shared" ref="O136:T136" si="144">SUM(O130:O135)</f>
        <v>0</v>
      </c>
      <c r="P136" s="13">
        <f t="shared" si="144"/>
        <v>0</v>
      </c>
      <c r="Q136" s="13">
        <f t="shared" si="144"/>
        <v>0</v>
      </c>
      <c r="R136" s="13">
        <f t="shared" si="144"/>
        <v>0</v>
      </c>
      <c r="S136" s="13">
        <f t="shared" si="144"/>
        <v>0</v>
      </c>
      <c r="T136" s="13">
        <f t="shared" si="144"/>
        <v>0</v>
      </c>
      <c r="U136" s="39"/>
      <c r="V136" s="69" t="e">
        <f>SUM(T136/P136)-1</f>
        <v>#DIV/0!</v>
      </c>
    </row>
    <row r="137" spans="2:22" ht="5.0999999999999996" customHeight="1">
      <c r="B137" s="8"/>
      <c r="C137" s="60"/>
      <c r="D137" s="60"/>
      <c r="E137" s="60"/>
      <c r="F137" s="30"/>
      <c r="G137" s="60"/>
      <c r="H137" s="60"/>
      <c r="I137" s="60"/>
      <c r="J137" s="60"/>
      <c r="K137" s="60"/>
      <c r="L137" s="60"/>
      <c r="M137" s="60"/>
      <c r="O137" s="11"/>
      <c r="P137" s="11"/>
      <c r="Q137" s="11"/>
      <c r="R137" s="11"/>
      <c r="S137" s="11"/>
      <c r="T137" s="11"/>
      <c r="U137" s="11"/>
      <c r="V137" s="42"/>
    </row>
    <row r="138" spans="2:22" ht="5.0999999999999996" customHeight="1">
      <c r="B138" s="65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11"/>
      <c r="V138" s="42"/>
    </row>
    <row r="139" spans="2:22">
      <c r="B139" s="143" t="s">
        <v>91</v>
      </c>
      <c r="C139" s="149"/>
      <c r="D139" s="149">
        <f>C146</f>
        <v>0</v>
      </c>
      <c r="E139" s="149">
        <f t="shared" ref="E139" si="145">D146</f>
        <v>0</v>
      </c>
      <c r="F139" s="149"/>
      <c r="G139" s="149" t="e">
        <f>#REF!</f>
        <v>#REF!</v>
      </c>
      <c r="H139" s="149" t="e">
        <f t="shared" ref="H139:M139" si="146">G146</f>
        <v>#REF!</v>
      </c>
      <c r="I139" s="149" t="e">
        <f t="shared" si="146"/>
        <v>#REF!</v>
      </c>
      <c r="J139" s="149" t="e">
        <f t="shared" si="146"/>
        <v>#REF!</v>
      </c>
      <c r="K139" s="149" t="e">
        <f t="shared" si="146"/>
        <v>#REF!</v>
      </c>
      <c r="L139" s="149" t="e">
        <f t="shared" si="146"/>
        <v>#REF!</v>
      </c>
      <c r="M139" s="149" t="e">
        <f t="shared" si="146"/>
        <v>#REF!</v>
      </c>
      <c r="N139" s="149"/>
      <c r="O139" s="149" t="e">
        <f>#REF!</f>
        <v>#REF!</v>
      </c>
      <c r="P139" s="149" t="e">
        <f t="shared" ref="P139:T139" si="147">O146</f>
        <v>#REF!</v>
      </c>
      <c r="Q139" s="149" t="e">
        <f t="shared" si="147"/>
        <v>#REF!</v>
      </c>
      <c r="R139" s="149" t="e">
        <f t="shared" si="147"/>
        <v>#REF!</v>
      </c>
      <c r="S139" s="149" t="e">
        <f t="shared" si="147"/>
        <v>#REF!</v>
      </c>
      <c r="T139" s="150" t="e">
        <f t="shared" si="147"/>
        <v>#REF!</v>
      </c>
      <c r="U139" s="11"/>
      <c r="V139" s="42"/>
    </row>
    <row r="140" spans="2:22">
      <c r="B140" s="144" t="s">
        <v>88</v>
      </c>
      <c r="C140" s="30"/>
      <c r="D140" s="30">
        <f>-C144</f>
        <v>0</v>
      </c>
      <c r="E140" s="30">
        <f t="shared" ref="E140" si="148">-D144</f>
        <v>0</v>
      </c>
      <c r="F140" s="30"/>
      <c r="G140" s="30" t="e">
        <f>-#REF!</f>
        <v>#REF!</v>
      </c>
      <c r="H140" s="30">
        <f t="shared" ref="H140:M140" si="149">-G144</f>
        <v>0</v>
      </c>
      <c r="I140" s="30">
        <f t="shared" si="149"/>
        <v>0</v>
      </c>
      <c r="J140" s="30">
        <f t="shared" si="149"/>
        <v>0</v>
      </c>
      <c r="K140" s="30">
        <f t="shared" si="149"/>
        <v>0</v>
      </c>
      <c r="L140" s="30">
        <f t="shared" si="149"/>
        <v>0</v>
      </c>
      <c r="M140" s="30">
        <f t="shared" si="149"/>
        <v>0</v>
      </c>
      <c r="N140" s="30"/>
      <c r="O140" s="30" t="e">
        <f>-#REF!</f>
        <v>#REF!</v>
      </c>
      <c r="P140" s="30">
        <f t="shared" ref="P140:T140" si="150">-O144</f>
        <v>0</v>
      </c>
      <c r="Q140" s="30">
        <f t="shared" si="150"/>
        <v>0</v>
      </c>
      <c r="R140" s="30">
        <f t="shared" si="150"/>
        <v>0</v>
      </c>
      <c r="S140" s="30">
        <f t="shared" si="150"/>
        <v>0</v>
      </c>
      <c r="T140" s="139">
        <f t="shared" si="150"/>
        <v>0</v>
      </c>
      <c r="U140" s="11"/>
      <c r="V140" s="42"/>
    </row>
    <row r="141" spans="2:22">
      <c r="B141" s="145" t="s">
        <v>69</v>
      </c>
      <c r="C141" s="113">
        <f t="shared" ref="C141:E141" si="151">SUM(C139:C140)</f>
        <v>0</v>
      </c>
      <c r="D141" s="113">
        <f t="shared" si="151"/>
        <v>0</v>
      </c>
      <c r="E141" s="113">
        <f t="shared" si="151"/>
        <v>0</v>
      </c>
      <c r="F141" s="30"/>
      <c r="G141" s="113" t="e">
        <f t="shared" ref="G141:L141" si="152">SUM(G139:G140)</f>
        <v>#REF!</v>
      </c>
      <c r="H141" s="113" t="e">
        <f t="shared" si="152"/>
        <v>#REF!</v>
      </c>
      <c r="I141" s="113" t="e">
        <f t="shared" si="152"/>
        <v>#REF!</v>
      </c>
      <c r="J141" s="113" t="e">
        <f t="shared" si="152"/>
        <v>#REF!</v>
      </c>
      <c r="K141" s="113" t="e">
        <f t="shared" si="152"/>
        <v>#REF!</v>
      </c>
      <c r="L141" s="113" t="e">
        <f t="shared" si="152"/>
        <v>#REF!</v>
      </c>
      <c r="M141" s="113" t="e">
        <f t="shared" ref="M141" si="153">SUM(M139:M140)</f>
        <v>#REF!</v>
      </c>
      <c r="N141" s="30"/>
      <c r="O141" s="113" t="e">
        <f t="shared" ref="O141" si="154">SUM(O139:O140)</f>
        <v>#REF!</v>
      </c>
      <c r="P141" s="113" t="e">
        <f t="shared" ref="P141" si="155">SUM(P139:P140)</f>
        <v>#REF!</v>
      </c>
      <c r="Q141" s="113" t="e">
        <f t="shared" ref="Q141" si="156">SUM(Q139:Q140)</f>
        <v>#REF!</v>
      </c>
      <c r="R141" s="113" t="e">
        <f t="shared" ref="R141" si="157">SUM(R139:R140)</f>
        <v>#REF!</v>
      </c>
      <c r="S141" s="113" t="e">
        <f t="shared" ref="S141" si="158">SUM(S139:S140)</f>
        <v>#REF!</v>
      </c>
      <c r="T141" s="140" t="e">
        <f t="shared" ref="T141" si="159">SUM(T139:T140)</f>
        <v>#REF!</v>
      </c>
      <c r="U141" s="11"/>
      <c r="V141" s="42"/>
    </row>
    <row r="142" spans="2:22" ht="5.0999999999999996" customHeight="1">
      <c r="B142" s="146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139"/>
      <c r="U142" s="11"/>
      <c r="V142" s="42"/>
    </row>
    <row r="143" spans="2:22">
      <c r="B143" s="144" t="s">
        <v>89</v>
      </c>
      <c r="C143" s="76"/>
      <c r="D143" s="76"/>
      <c r="E143" s="76"/>
      <c r="F143" s="30"/>
      <c r="G143" s="76"/>
      <c r="H143" s="76"/>
      <c r="I143" s="76"/>
      <c r="J143" s="30">
        <f>SUM(E143-SUM(G143:I143))</f>
        <v>0</v>
      </c>
      <c r="K143" s="76"/>
      <c r="L143" s="76"/>
      <c r="M143" s="76"/>
      <c r="N143" s="30"/>
      <c r="O143" s="30">
        <f>H143</f>
        <v>0</v>
      </c>
      <c r="P143" s="30">
        <f>I143</f>
        <v>0</v>
      </c>
      <c r="Q143" s="30">
        <f>J143</f>
        <v>0</v>
      </c>
      <c r="R143" s="30">
        <f>K143</f>
        <v>0</v>
      </c>
      <c r="S143" s="30">
        <f>L143</f>
        <v>0</v>
      </c>
      <c r="T143" s="139">
        <f>M143</f>
        <v>0</v>
      </c>
      <c r="U143" s="11"/>
      <c r="V143" s="42"/>
    </row>
    <row r="144" spans="2:22">
      <c r="B144" s="144" t="s">
        <v>90</v>
      </c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>
        <f>H144</f>
        <v>0</v>
      </c>
      <c r="P144" s="30">
        <f>I144</f>
        <v>0</v>
      </c>
      <c r="Q144" s="30">
        <f>J144</f>
        <v>0</v>
      </c>
      <c r="R144" s="30">
        <f>K144</f>
        <v>0</v>
      </c>
      <c r="S144" s="30">
        <f>L144</f>
        <v>0</v>
      </c>
      <c r="T144" s="139">
        <f t="shared" ref="T144:T145" si="160">M144</f>
        <v>0</v>
      </c>
      <c r="U144" s="11"/>
      <c r="V144" s="42"/>
    </row>
    <row r="145" spans="2:22">
      <c r="B145" s="144" t="s">
        <v>59</v>
      </c>
      <c r="C145" s="30">
        <f t="shared" ref="C145:E145" si="161">+C136+C127+C119</f>
        <v>0</v>
      </c>
      <c r="D145" s="30">
        <f t="shared" si="161"/>
        <v>0</v>
      </c>
      <c r="E145" s="30">
        <f t="shared" si="161"/>
        <v>1051</v>
      </c>
      <c r="F145" s="30"/>
      <c r="G145" s="30">
        <f t="shared" ref="G145:L145" si="162">+G136+G127+G119</f>
        <v>319</v>
      </c>
      <c r="H145" s="30">
        <f t="shared" si="162"/>
        <v>465</v>
      </c>
      <c r="I145" s="30">
        <f t="shared" si="162"/>
        <v>176</v>
      </c>
      <c r="J145" s="30">
        <f t="shared" si="162"/>
        <v>91</v>
      </c>
      <c r="K145" s="30">
        <f t="shared" si="162"/>
        <v>-128</v>
      </c>
      <c r="L145" s="30">
        <f t="shared" si="162"/>
        <v>81</v>
      </c>
      <c r="M145" s="30">
        <f t="shared" ref="M145" si="163">+M136+M127+M119</f>
        <v>234</v>
      </c>
      <c r="N145" s="30"/>
      <c r="O145" s="30">
        <f>H145</f>
        <v>465</v>
      </c>
      <c r="P145" s="30">
        <f>I145</f>
        <v>176</v>
      </c>
      <c r="Q145" s="30">
        <f>J145</f>
        <v>91</v>
      </c>
      <c r="R145" s="30">
        <f>K145</f>
        <v>-128</v>
      </c>
      <c r="S145" s="30">
        <f>L145</f>
        <v>81</v>
      </c>
      <c r="T145" s="139">
        <f t="shared" si="160"/>
        <v>234</v>
      </c>
      <c r="U145" s="11"/>
      <c r="V145" s="42"/>
    </row>
    <row r="146" spans="2:22">
      <c r="B146" s="145" t="s">
        <v>70</v>
      </c>
      <c r="C146" s="113">
        <f t="shared" ref="C146:E146" si="164">SUM(C141:C145)</f>
        <v>0</v>
      </c>
      <c r="D146" s="113">
        <f t="shared" si="164"/>
        <v>0</v>
      </c>
      <c r="E146" s="113">
        <f t="shared" si="164"/>
        <v>1051</v>
      </c>
      <c r="F146" s="30"/>
      <c r="G146" s="113" t="e">
        <f t="shared" ref="G146:L146" si="165">SUM(G141:G145)</f>
        <v>#REF!</v>
      </c>
      <c r="H146" s="113" t="e">
        <f t="shared" si="165"/>
        <v>#REF!</v>
      </c>
      <c r="I146" s="113" t="e">
        <f t="shared" si="165"/>
        <v>#REF!</v>
      </c>
      <c r="J146" s="113" t="e">
        <f t="shared" si="165"/>
        <v>#REF!</v>
      </c>
      <c r="K146" s="113" t="e">
        <f t="shared" si="165"/>
        <v>#REF!</v>
      </c>
      <c r="L146" s="113" t="e">
        <f t="shared" si="165"/>
        <v>#REF!</v>
      </c>
      <c r="M146" s="113" t="e">
        <f t="shared" ref="M146" si="166">SUM(M141:M145)</f>
        <v>#REF!</v>
      </c>
      <c r="N146" s="30"/>
      <c r="O146" s="113" t="e">
        <f t="shared" ref="O146:T146" si="167">SUM(O141:O145)</f>
        <v>#REF!</v>
      </c>
      <c r="P146" s="113" t="e">
        <f t="shared" si="167"/>
        <v>#REF!</v>
      </c>
      <c r="Q146" s="113" t="e">
        <f t="shared" si="167"/>
        <v>#REF!</v>
      </c>
      <c r="R146" s="113" t="e">
        <f t="shared" si="167"/>
        <v>#REF!</v>
      </c>
      <c r="S146" s="113" t="e">
        <f t="shared" si="167"/>
        <v>#REF!</v>
      </c>
      <c r="T146" s="140" t="e">
        <f t="shared" si="167"/>
        <v>#REF!</v>
      </c>
      <c r="U146" s="11"/>
      <c r="V146" s="42"/>
    </row>
    <row r="147" spans="2:22" ht="5.0999999999999996" customHeight="1">
      <c r="B147" s="147"/>
      <c r="C147" s="60"/>
      <c r="D147" s="60"/>
      <c r="E147" s="60"/>
      <c r="F147" s="30"/>
      <c r="G147" s="60"/>
      <c r="H147" s="60"/>
      <c r="I147" s="60"/>
      <c r="J147" s="60"/>
      <c r="K147" s="60"/>
      <c r="L147" s="60"/>
      <c r="M147" s="60"/>
      <c r="O147" s="11"/>
      <c r="P147" s="11"/>
      <c r="Q147" s="11"/>
      <c r="R147" s="11"/>
      <c r="S147" s="11"/>
      <c r="T147" s="141"/>
      <c r="U147" s="11"/>
      <c r="V147" s="42"/>
    </row>
    <row r="148" spans="2:22">
      <c r="B148" s="148" t="s">
        <v>58</v>
      </c>
      <c r="C148" s="137">
        <f>C146-C50</f>
        <v>0</v>
      </c>
      <c r="D148" s="137">
        <f>D146-D50</f>
        <v>0</v>
      </c>
      <c r="E148" s="137">
        <f>E146-E50</f>
        <v>723</v>
      </c>
      <c r="F148" s="138"/>
      <c r="G148" s="137" t="e">
        <f>G146-G50</f>
        <v>#REF!</v>
      </c>
      <c r="H148" s="137" t="e">
        <f>H146-H50</f>
        <v>#REF!</v>
      </c>
      <c r="I148" s="137" t="e">
        <f>I146-I50</f>
        <v>#REF!</v>
      </c>
      <c r="J148" s="137" t="e">
        <f>J146-J50</f>
        <v>#REF!</v>
      </c>
      <c r="K148" s="137" t="e">
        <f>K146-K50</f>
        <v>#REF!</v>
      </c>
      <c r="L148" s="137" t="e">
        <f>L146-L50</f>
        <v>#REF!</v>
      </c>
      <c r="M148" s="137" t="e">
        <f>M146-M50</f>
        <v>#REF!</v>
      </c>
      <c r="N148" s="137"/>
      <c r="O148" s="137" t="e">
        <f>O146-O50</f>
        <v>#REF!</v>
      </c>
      <c r="P148" s="137" t="e">
        <f>P146-P50</f>
        <v>#REF!</v>
      </c>
      <c r="Q148" s="137" t="e">
        <f>Q146-Q50</f>
        <v>#REF!</v>
      </c>
      <c r="R148" s="137" t="e">
        <f>R146-R50</f>
        <v>#REF!</v>
      </c>
      <c r="S148" s="137" t="e">
        <f>S146-S50</f>
        <v>#REF!</v>
      </c>
      <c r="T148" s="142" t="e">
        <f>T146-T50</f>
        <v>#REF!</v>
      </c>
      <c r="U148" s="11"/>
      <c r="V148" s="42"/>
    </row>
    <row r="149" spans="2:22" ht="5.0999999999999996" customHeight="1">
      <c r="B149" s="8"/>
      <c r="C149" s="60"/>
      <c r="D149" s="60"/>
      <c r="E149" s="60"/>
      <c r="F149" s="30"/>
      <c r="G149" s="60"/>
      <c r="H149" s="60"/>
      <c r="I149" s="60"/>
      <c r="J149" s="60"/>
      <c r="K149" s="60"/>
      <c r="L149" s="60"/>
      <c r="M149" s="60"/>
      <c r="O149" s="11"/>
      <c r="P149" s="11"/>
      <c r="Q149" s="11"/>
      <c r="R149" s="11"/>
      <c r="S149" s="11"/>
      <c r="T149" s="11"/>
      <c r="U149" s="11"/>
      <c r="V149" s="42"/>
    </row>
    <row r="150" spans="2:22">
      <c r="B150" s="112" t="s">
        <v>82</v>
      </c>
      <c r="C150" s="60"/>
      <c r="D150" s="60"/>
      <c r="E150" s="60"/>
      <c r="F150" s="30"/>
      <c r="G150" s="60"/>
      <c r="H150" s="60"/>
      <c r="I150" s="60"/>
      <c r="J150" s="60"/>
      <c r="K150" s="60"/>
      <c r="L150" s="60"/>
      <c r="M150" s="60"/>
      <c r="O150" s="11"/>
      <c r="P150" s="11"/>
      <c r="Q150" s="11"/>
      <c r="R150" s="11"/>
      <c r="S150" s="11"/>
      <c r="T150" s="11"/>
      <c r="U150" s="11"/>
      <c r="V150" s="42"/>
    </row>
    <row r="151" spans="2:22">
      <c r="B151" s="77" t="s">
        <v>87</v>
      </c>
      <c r="C151" s="60"/>
      <c r="D151" s="60"/>
      <c r="E151" s="60"/>
      <c r="F151" s="30"/>
      <c r="G151" s="76"/>
      <c r="H151" s="30"/>
      <c r="I151" s="30"/>
      <c r="J151" s="30">
        <f>SUM(E151-SUM(G151:I151))</f>
        <v>0</v>
      </c>
      <c r="K151" s="76"/>
      <c r="L151" s="30"/>
      <c r="M151" s="30"/>
      <c r="O151" s="30">
        <f>SUM(G151:H151)</f>
        <v>0</v>
      </c>
      <c r="P151" s="30">
        <f>SUM(G151:I151)</f>
        <v>0</v>
      </c>
      <c r="Q151" s="30">
        <f>SUM(G151:J151)</f>
        <v>0</v>
      </c>
      <c r="R151" s="30">
        <f>SUM(H151:K151)</f>
        <v>0</v>
      </c>
      <c r="S151" s="30">
        <f>SUM(I151:L151)</f>
        <v>0</v>
      </c>
      <c r="T151" s="30">
        <f>SUM(J151:L151)</f>
        <v>0</v>
      </c>
      <c r="U151" s="11"/>
      <c r="V151" s="42"/>
    </row>
    <row r="152" spans="2:22">
      <c r="B152" s="77" t="s">
        <v>86</v>
      </c>
      <c r="C152" s="60"/>
      <c r="D152" s="60"/>
      <c r="E152" s="60"/>
      <c r="F152" s="30"/>
      <c r="G152" s="76"/>
      <c r="H152" s="30"/>
      <c r="I152" s="30"/>
      <c r="J152" s="30">
        <f>SUM(E152-SUM(G152:I152))</f>
        <v>0</v>
      </c>
      <c r="K152" s="76"/>
      <c r="L152" s="30"/>
      <c r="M152" s="30"/>
      <c r="O152" s="30">
        <f>SUM(G152:H152)</f>
        <v>0</v>
      </c>
      <c r="P152" s="30">
        <f>SUM(G152:I152)</f>
        <v>0</v>
      </c>
      <c r="Q152" s="30">
        <f>SUM(G152:J152)</f>
        <v>0</v>
      </c>
      <c r="R152" s="30">
        <f>SUM(H152:K152)</f>
        <v>0</v>
      </c>
      <c r="S152" s="30">
        <f>SUM(I152:L152)</f>
        <v>0</v>
      </c>
      <c r="T152" s="30">
        <f>SUM(J152:L152)</f>
        <v>0</v>
      </c>
      <c r="U152" s="11"/>
      <c r="V152" s="42"/>
    </row>
    <row r="153" spans="2:22" ht="5.0999999999999996" customHeight="1" thickBot="1">
      <c r="B153" s="66"/>
      <c r="C153" s="67"/>
      <c r="D153" s="67"/>
      <c r="E153" s="67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V153" s="42"/>
    </row>
    <row r="154" spans="2:22" ht="12.75" customHeight="1">
      <c r="C154" s="52"/>
      <c r="D154" s="52"/>
      <c r="E154" s="52"/>
    </row>
    <row r="155" spans="2:22" ht="12.75" customHeight="1">
      <c r="C155" s="52"/>
      <c r="D155" s="52"/>
      <c r="E155" s="52"/>
    </row>
    <row r="156" spans="2:22" ht="12.75" customHeight="1">
      <c r="C156" s="52"/>
      <c r="D156" s="52"/>
      <c r="E156" s="52"/>
    </row>
    <row r="157" spans="2:22" ht="12.75" customHeight="1">
      <c r="C157" s="52"/>
      <c r="D157" s="52"/>
      <c r="E157" s="52"/>
    </row>
    <row r="158" spans="2:22" ht="12.75" customHeight="1">
      <c r="C158" s="52"/>
      <c r="D158" s="52"/>
      <c r="E158" s="52"/>
      <c r="G158" s="79"/>
      <c r="H158" s="79"/>
      <c r="I158" s="79"/>
      <c r="J158" s="79"/>
      <c r="K158" s="79"/>
      <c r="L158" s="79"/>
      <c r="M158" s="79"/>
    </row>
    <row r="159" spans="2:22" ht="12.75" customHeight="1">
      <c r="C159" s="52"/>
      <c r="D159" s="52"/>
      <c r="E159" s="52"/>
    </row>
    <row r="160" spans="2:22" ht="12.75" customHeight="1">
      <c r="C160" s="52"/>
      <c r="D160" s="52"/>
      <c r="E160" s="52"/>
      <c r="G160" s="79"/>
      <c r="H160" s="79"/>
      <c r="I160" s="79"/>
      <c r="J160" s="79"/>
      <c r="K160" s="79"/>
      <c r="L160" s="79"/>
      <c r="M160" s="79"/>
    </row>
    <row r="161" spans="7:13">
      <c r="G161" s="79"/>
      <c r="H161" s="79"/>
      <c r="I161" s="79"/>
      <c r="J161" s="79"/>
      <c r="K161" s="79"/>
      <c r="L161" s="79"/>
      <c r="M161" s="79"/>
    </row>
    <row r="162" spans="7:13">
      <c r="G162" s="79"/>
      <c r="H162" s="79"/>
      <c r="I162" s="79"/>
      <c r="J162" s="79"/>
      <c r="K162" s="79"/>
      <c r="L162" s="79"/>
      <c r="M162" s="79"/>
    </row>
    <row r="164" spans="7:13">
      <c r="G164" s="79"/>
      <c r="H164" s="79"/>
      <c r="I164" s="79"/>
      <c r="J164" s="79"/>
      <c r="K164" s="79"/>
      <c r="L164" s="79"/>
      <c r="M164" s="79"/>
    </row>
    <row r="165" spans="7:13">
      <c r="G165" s="79"/>
      <c r="H165" s="79"/>
      <c r="I165" s="79"/>
      <c r="J165" s="79"/>
      <c r="K165" s="79"/>
      <c r="L165" s="79"/>
      <c r="M165" s="79"/>
    </row>
  </sheetData>
  <mergeCells count="3">
    <mergeCell ref="V6:V8"/>
    <mergeCell ref="V45:V47"/>
    <mergeCell ref="V94:V96"/>
  </mergeCells>
  <pageMargins left="0.7" right="0.7" top="0.75" bottom="0.75" header="0.3" footer="0.3"/>
  <ignoredErrors>
    <ignoredError sqref="T17:T18 F56 O13:T13" formulaRange="1"/>
    <ignoredError sqref="V127:V129 V119:V121" evalError="1"/>
    <ignoredError sqref="G100:K10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T31"/>
  <sheetViews>
    <sheetView showGridLines="0" zoomScaleNormal="100" workbookViewId="0">
      <selection activeCell="B13" sqref="B13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5" width="8.625" style="8" bestFit="1" customWidth="1"/>
    <col min="6" max="6" width="1.5" style="8" customWidth="1"/>
    <col min="7" max="7" width="8.5" style="8" customWidth="1" outlineLevel="1"/>
    <col min="8" max="8" width="8.25" style="8" customWidth="1" outlineLevel="1"/>
    <col min="9" max="9" width="8.5" style="8" bestFit="1" customWidth="1"/>
    <col min="10" max="13" width="9.125" style="8" bestFit="1" customWidth="1"/>
    <col min="14" max="14" width="1.5" style="8" customWidth="1"/>
    <col min="15" max="15" width="8.75" style="8" customWidth="1" outlineLevel="1"/>
    <col min="16" max="16" width="8.75" style="8" customWidth="1"/>
    <col min="17" max="19" width="8.75" style="8" customWidth="1" outlineLevel="1"/>
    <col min="20" max="20" width="8.75" style="8" customWidth="1"/>
    <col min="21" max="16384" width="9" style="8"/>
  </cols>
  <sheetData>
    <row r="2" spans="1:20" s="5" customFormat="1" ht="12.75" customHeight="1">
      <c r="B2" s="1" t="str">
        <f>'Historical Financials'!B2</f>
        <v>Talen Energy Corporation (NASDAQ: TLN)</v>
      </c>
      <c r="C2" s="2" t="s">
        <v>0</v>
      </c>
      <c r="D2" s="2"/>
      <c r="E2" s="2"/>
      <c r="F2" s="3"/>
      <c r="G2" s="2"/>
      <c r="H2" s="2"/>
      <c r="I2" s="2" t="s">
        <v>1</v>
      </c>
      <c r="J2" s="2"/>
      <c r="K2" s="2"/>
      <c r="L2" s="2"/>
      <c r="M2" s="2"/>
      <c r="N2" s="3"/>
      <c r="O2" s="2"/>
      <c r="P2" s="2" t="s">
        <v>6</v>
      </c>
      <c r="Q2" s="2"/>
      <c r="R2" s="2"/>
      <c r="S2" s="2"/>
      <c r="T2" s="2"/>
    </row>
    <row r="3" spans="1:20" s="5" customFormat="1" ht="12.75" customHeight="1">
      <c r="B3" s="6" t="s">
        <v>65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1Q24</v>
      </c>
      <c r="H3" s="7" t="str">
        <f>'Historical Financials'!H7</f>
        <v>2Q24</v>
      </c>
      <c r="I3" s="7" t="str">
        <f>'Historical Financials'!I7</f>
        <v>3Q24</v>
      </c>
      <c r="J3" s="7" t="str">
        <f>'Historical Financials'!J7</f>
        <v>4Q24</v>
      </c>
      <c r="K3" s="7" t="str">
        <f>'Historical Financials'!K7</f>
        <v>1Q25</v>
      </c>
      <c r="L3" s="7" t="str">
        <f>'Historical Financials'!L7</f>
        <v>2Q25</v>
      </c>
      <c r="M3" s="7" t="str">
        <f>'Historical Financials'!M7</f>
        <v>3Q25</v>
      </c>
      <c r="N3" s="4"/>
      <c r="O3" s="4" t="str">
        <f>G3</f>
        <v>1Q24</v>
      </c>
      <c r="P3" s="4" t="str">
        <f>H3</f>
        <v>2Q24</v>
      </c>
      <c r="Q3" s="4" t="str">
        <f>I3</f>
        <v>3Q24</v>
      </c>
      <c r="R3" s="4" t="str">
        <f>J3</f>
        <v>4Q24</v>
      </c>
      <c r="S3" s="4" t="str">
        <f>K3</f>
        <v>1Q25</v>
      </c>
      <c r="T3" s="4" t="str">
        <f>L3</f>
        <v>2Q25</v>
      </c>
    </row>
    <row r="4" spans="1:20" s="5" customFormat="1" ht="12.75" customHeight="1">
      <c r="B4" s="6" t="s">
        <v>93</v>
      </c>
      <c r="C4" s="3" t="str">
        <f>'Historical Financials'!C8</f>
        <v>XXX</v>
      </c>
      <c r="D4" s="3" t="str">
        <f>'Historical Financials'!D8</f>
        <v>XXX</v>
      </c>
      <c r="E4" s="3" t="str">
        <f>'Historical Financials'!E8</f>
        <v>XXX</v>
      </c>
      <c r="F4" s="3"/>
      <c r="G4" s="3" t="str">
        <f>'Historical Financials'!G8</f>
        <v>XXX</v>
      </c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 t="str">
        <f>'Historical Financials'!K8</f>
        <v>XXX</v>
      </c>
      <c r="L4" s="3" t="str">
        <f>'Historical Financials'!L8</f>
        <v>XXX</v>
      </c>
      <c r="M4" s="3" t="str">
        <f>'Historical Financials'!M8</f>
        <v>XXX</v>
      </c>
      <c r="N4" s="3"/>
      <c r="O4" s="3" t="str">
        <f>G4</f>
        <v>XXX</v>
      </c>
      <c r="P4" s="3" t="str">
        <f>H4</f>
        <v>XXX</v>
      </c>
      <c r="Q4" s="3" t="str">
        <f>I4</f>
        <v>XXX</v>
      </c>
      <c r="R4" s="3" t="str">
        <f>J4</f>
        <v>XXX</v>
      </c>
      <c r="S4" s="3" t="str">
        <f>K4</f>
        <v>XXX</v>
      </c>
      <c r="T4" s="3" t="str">
        <f>L4</f>
        <v>XXX</v>
      </c>
    </row>
    <row r="5" spans="1:20" ht="5.0999999999999996" customHeight="1"/>
    <row r="6" spans="1:20">
      <c r="A6" s="33" t="s">
        <v>13</v>
      </c>
      <c r="B6" s="1" t="s">
        <v>95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5.0999999999999996" customHeight="1"/>
    <row r="8" spans="1:20" ht="12.75" customHeight="1">
      <c r="A8" s="74" t="s">
        <v>13</v>
      </c>
      <c r="B8" s="72" t="s">
        <v>92</v>
      </c>
      <c r="C8" s="10"/>
      <c r="D8" s="10"/>
      <c r="E8" s="10"/>
      <c r="F8" s="10"/>
      <c r="G8" s="81"/>
      <c r="H8" s="81"/>
      <c r="I8" s="81"/>
      <c r="J8" s="30"/>
      <c r="K8" s="81"/>
      <c r="L8" s="81"/>
      <c r="M8" s="81"/>
      <c r="N8" s="5"/>
      <c r="O8" s="11"/>
      <c r="P8" s="11"/>
      <c r="Q8" s="11"/>
      <c r="R8" s="11"/>
      <c r="S8" s="11"/>
      <c r="T8" s="11"/>
    </row>
    <row r="9" spans="1:20" ht="12.75" customHeight="1">
      <c r="A9" s="74"/>
      <c r="B9" s="9" t="s">
        <v>133</v>
      </c>
      <c r="C9" s="106">
        <f>C24</f>
        <v>0</v>
      </c>
      <c r="D9" s="106">
        <f t="shared" ref="D9:M9" si="0">D24</f>
        <v>0</v>
      </c>
      <c r="E9" s="106">
        <f t="shared" si="0"/>
        <v>1574</v>
      </c>
      <c r="F9" s="10"/>
      <c r="G9" s="106">
        <f t="shared" si="0"/>
        <v>416</v>
      </c>
      <c r="H9" s="106">
        <f t="shared" si="0"/>
        <v>346</v>
      </c>
      <c r="I9" s="106">
        <f t="shared" si="0"/>
        <v>459</v>
      </c>
      <c r="J9" s="106">
        <f t="shared" si="0"/>
        <v>353</v>
      </c>
      <c r="K9" s="106">
        <f t="shared" si="0"/>
        <v>654</v>
      </c>
      <c r="L9" s="106">
        <f t="shared" si="0"/>
        <v>409</v>
      </c>
      <c r="M9" s="106">
        <f t="shared" si="0"/>
        <v>697</v>
      </c>
      <c r="N9" s="5"/>
      <c r="O9" s="30">
        <f>SUM(G9:G9)</f>
        <v>416</v>
      </c>
      <c r="P9" s="30">
        <f>SUM(G9:H9)</f>
        <v>762</v>
      </c>
      <c r="Q9" s="30">
        <f>SUM(G9:I9)</f>
        <v>1221</v>
      </c>
      <c r="R9" s="30">
        <f>SUM(G9:J9)</f>
        <v>1574</v>
      </c>
      <c r="S9" s="30">
        <f>SUM(H9:K9)</f>
        <v>1812</v>
      </c>
      <c r="T9" s="30">
        <f>SUM(I9:L9)</f>
        <v>1875</v>
      </c>
    </row>
    <row r="10" spans="1:20">
      <c r="B10" s="9" t="s">
        <v>127</v>
      </c>
      <c r="C10" s="75"/>
      <c r="D10" s="75"/>
      <c r="E10" s="75">
        <v>307</v>
      </c>
      <c r="F10" s="75"/>
      <c r="G10" s="75">
        <v>57</v>
      </c>
      <c r="H10" s="75">
        <v>100</v>
      </c>
      <c r="I10" s="75">
        <v>119</v>
      </c>
      <c r="J10" s="30">
        <f>SUM(E10-SUM(G10:I10))</f>
        <v>31</v>
      </c>
      <c r="K10" s="75">
        <v>-268</v>
      </c>
      <c r="L10" s="75">
        <v>218</v>
      </c>
      <c r="M10" s="75">
        <v>115</v>
      </c>
      <c r="N10" s="5"/>
      <c r="O10" s="30">
        <f>SUM(G10:G10)</f>
        <v>57</v>
      </c>
      <c r="P10" s="30">
        <f>SUM(G10:H10)</f>
        <v>157</v>
      </c>
      <c r="Q10" s="30">
        <f>SUM(G10:I10)</f>
        <v>276</v>
      </c>
      <c r="R10" s="30">
        <f>SUM(G10:J10)</f>
        <v>307</v>
      </c>
      <c r="S10" s="30">
        <f>SUM(H10:K10)</f>
        <v>-18</v>
      </c>
      <c r="T10" s="30">
        <f>SUM(I10:L10)</f>
        <v>100</v>
      </c>
    </row>
    <row r="11" spans="1:20">
      <c r="B11" s="9" t="s">
        <v>128</v>
      </c>
      <c r="C11" s="75"/>
      <c r="D11" s="75"/>
      <c r="E11" s="75">
        <v>234</v>
      </c>
      <c r="F11" s="75"/>
      <c r="G11" s="75">
        <v>36</v>
      </c>
      <c r="H11" s="75">
        <v>43</v>
      </c>
      <c r="I11" s="75">
        <v>72</v>
      </c>
      <c r="J11" s="30">
        <f>SUM(E11-SUM(G11:I11))</f>
        <v>83</v>
      </c>
      <c r="K11" s="75">
        <v>4</v>
      </c>
      <c r="L11" s="75">
        <v>3</v>
      </c>
      <c r="M11" s="75">
        <v>0</v>
      </c>
      <c r="N11" s="5"/>
      <c r="O11" s="30">
        <f>SUM(G11:G11)</f>
        <v>36</v>
      </c>
      <c r="P11" s="30">
        <f>SUM(G11:H11)</f>
        <v>79</v>
      </c>
      <c r="Q11" s="30">
        <f>SUM(G11:I11)</f>
        <v>151</v>
      </c>
      <c r="R11" s="30">
        <f>SUM(G11:J11)</f>
        <v>234</v>
      </c>
      <c r="S11" s="30">
        <f>SUM(H11:K11)</f>
        <v>202</v>
      </c>
      <c r="T11" s="30">
        <f>SUM(I11:L11)</f>
        <v>162</v>
      </c>
    </row>
    <row r="12" spans="1:20">
      <c r="B12" s="12" t="s">
        <v>66</v>
      </c>
      <c r="C12" s="13">
        <f>SUM(C9:C11)</f>
        <v>0</v>
      </c>
      <c r="D12" s="13">
        <f>SUM(D9:D11)</f>
        <v>0</v>
      </c>
      <c r="E12" s="13">
        <f>SUM(E9:E11)</f>
        <v>2115</v>
      </c>
      <c r="F12" s="11"/>
      <c r="G12" s="13">
        <f>SUM(G9:G11)</f>
        <v>509</v>
      </c>
      <c r="H12" s="13">
        <f>SUM(H9:H11)</f>
        <v>489</v>
      </c>
      <c r="I12" s="13">
        <f>SUM(I9:I11)</f>
        <v>650</v>
      </c>
      <c r="J12" s="13">
        <f>SUM(J9:J11)</f>
        <v>467</v>
      </c>
      <c r="K12" s="13">
        <f>SUM(K9:K11)</f>
        <v>390</v>
      </c>
      <c r="L12" s="13">
        <f>SUM(L9:L11)</f>
        <v>630</v>
      </c>
      <c r="M12" s="13">
        <f>SUM(M9:M11)</f>
        <v>812</v>
      </c>
      <c r="N12" s="5"/>
      <c r="O12" s="13">
        <f>SUM(O9:O11)</f>
        <v>509</v>
      </c>
      <c r="P12" s="13">
        <f>SUM(P9:P11)</f>
        <v>998</v>
      </c>
      <c r="Q12" s="13">
        <f>SUM(Q9:Q11)</f>
        <v>1648</v>
      </c>
      <c r="R12" s="13">
        <f>SUM(R9:R11)</f>
        <v>2115</v>
      </c>
      <c r="S12" s="13">
        <f>SUM(S9:S11)</f>
        <v>1996</v>
      </c>
      <c r="T12" s="13">
        <f>SUM(T9:T11)</f>
        <v>2137</v>
      </c>
    </row>
    <row r="13" spans="1:20" outlineLevel="1">
      <c r="B13" s="114" t="s">
        <v>58</v>
      </c>
      <c r="C13" s="73">
        <f>+C12-'Historical Financials'!C11</f>
        <v>0</v>
      </c>
      <c r="D13" s="73">
        <f>+D12-'Historical Financials'!D11</f>
        <v>0</v>
      </c>
      <c r="E13" s="73">
        <f>+E12-'Historical Financials'!E11</f>
        <v>0</v>
      </c>
      <c r="F13" s="11"/>
      <c r="G13" s="73">
        <f>+G12-'Historical Financials'!G11</f>
        <v>0</v>
      </c>
      <c r="H13" s="73">
        <f>+H12-'Historical Financials'!H11</f>
        <v>0</v>
      </c>
      <c r="I13" s="73">
        <f>+I12-'Historical Financials'!I11</f>
        <v>0</v>
      </c>
      <c r="J13" s="73">
        <f>+J12-'Historical Financials'!J11</f>
        <v>0</v>
      </c>
      <c r="K13" s="73">
        <f>+K12-'Historical Financials'!K11</f>
        <v>0</v>
      </c>
      <c r="L13" s="73">
        <f>+L12-'Historical Financials'!L11</f>
        <v>0</v>
      </c>
      <c r="M13" s="73">
        <f>+M12-'Historical Financials'!M11</f>
        <v>0</v>
      </c>
      <c r="N13" s="73"/>
      <c r="O13" s="73">
        <f>+O12-'Historical Financials'!O11</f>
        <v>0</v>
      </c>
      <c r="P13" s="73">
        <f>+P12-'Historical Financials'!P11</f>
        <v>0</v>
      </c>
      <c r="Q13" s="73">
        <f>+Q12-'Historical Financials'!Q11</f>
        <v>0</v>
      </c>
      <c r="R13" s="73">
        <f>+R12-'Historical Financials'!R11</f>
        <v>0</v>
      </c>
      <c r="S13" s="73">
        <f>+S12-'Historical Financials'!S11</f>
        <v>0</v>
      </c>
      <c r="T13" s="73">
        <f>+T12-'Historical Financials'!T11</f>
        <v>0</v>
      </c>
    </row>
    <row r="14" spans="1:20">
      <c r="B14" s="16"/>
      <c r="C14" s="17"/>
      <c r="D14" s="17"/>
      <c r="E14" s="17"/>
      <c r="F14" s="18"/>
      <c r="G14" s="19"/>
      <c r="H14" s="19"/>
      <c r="I14" s="19"/>
      <c r="J14" s="19"/>
      <c r="K14" s="19"/>
      <c r="L14" s="19"/>
      <c r="M14" s="19"/>
      <c r="N14" s="18"/>
      <c r="O14" s="18"/>
      <c r="P14" s="18"/>
      <c r="Q14" s="18"/>
      <c r="R14" s="18"/>
      <c r="S14" s="18"/>
      <c r="T14" s="18"/>
    </row>
    <row r="15" spans="1:20">
      <c r="B15" s="115" t="str">
        <f>B9&amp;"(%)"</f>
        <v>Customer Contract Revenues (%)</v>
      </c>
      <c r="C15" s="127" t="e">
        <f>SUM(C9/C$12)</f>
        <v>#DIV/0!</v>
      </c>
      <c r="D15" s="127" t="e">
        <f>SUM(D9/D$12)</f>
        <v>#DIV/0!</v>
      </c>
      <c r="E15" s="127">
        <f>SUM(E9/E$12)</f>
        <v>0.74420803782505907</v>
      </c>
      <c r="F15" s="116"/>
      <c r="G15" s="127">
        <f>SUM(G9/G$12)</f>
        <v>0.81728880157170924</v>
      </c>
      <c r="H15" s="127">
        <f>SUM(H9/H$12)</f>
        <v>0.70756646216768915</v>
      </c>
      <c r="I15" s="127">
        <f>SUM(I9/I$12)</f>
        <v>0.70615384615384613</v>
      </c>
      <c r="J15" s="127">
        <f>SUM(J9/J$12)</f>
        <v>0.75588865096359747</v>
      </c>
      <c r="K15" s="127">
        <f>SUM(K9/K$12)</f>
        <v>1.676923076923077</v>
      </c>
      <c r="L15" s="127">
        <f>SUM(L9/L$12)</f>
        <v>0.64920634920634923</v>
      </c>
      <c r="M15" s="127">
        <f>SUM(M9/M$12)</f>
        <v>0.85837438423645318</v>
      </c>
      <c r="N15" s="116"/>
      <c r="O15" s="117">
        <f>H15</f>
        <v>0.70756646216768915</v>
      </c>
      <c r="P15" s="117">
        <f>I15</f>
        <v>0.70615384615384613</v>
      </c>
      <c r="Q15" s="117">
        <f>J15</f>
        <v>0.75588865096359747</v>
      </c>
      <c r="R15" s="117">
        <f>K15</f>
        <v>1.676923076923077</v>
      </c>
      <c r="S15" s="117">
        <f>L15</f>
        <v>0.64920634920634923</v>
      </c>
      <c r="T15" s="118" t="e">
        <f>#REF!</f>
        <v>#REF!</v>
      </c>
    </row>
    <row r="16" spans="1:20">
      <c r="B16" s="119" t="str">
        <f>B10&amp;"(%)"</f>
        <v>Realized / Unrealized on Derivatives(%)</v>
      </c>
      <c r="C16" s="129" t="e">
        <f>SUM(C10/C$12)</f>
        <v>#DIV/0!</v>
      </c>
      <c r="D16" s="129" t="e">
        <f>SUM(D10/D$12)</f>
        <v>#DIV/0!</v>
      </c>
      <c r="E16" s="129">
        <f>SUM(E10/E$12)</f>
        <v>0.14515366430260046</v>
      </c>
      <c r="F16" s="120"/>
      <c r="G16" s="129">
        <f>SUM(G10/G$12)</f>
        <v>0.11198428290766209</v>
      </c>
      <c r="H16" s="129">
        <f>SUM(H10/H$12)</f>
        <v>0.20449897750511248</v>
      </c>
      <c r="I16" s="129">
        <f>SUM(I10/I$12)</f>
        <v>0.18307692307692308</v>
      </c>
      <c r="J16" s="129">
        <f>SUM(J10/J$12)</f>
        <v>6.638115631691649E-2</v>
      </c>
      <c r="K16" s="129">
        <f>SUM(K10/K$12)</f>
        <v>-0.68717948717948718</v>
      </c>
      <c r="L16" s="129">
        <f>SUM(L10/L$12)</f>
        <v>0.34603174603174602</v>
      </c>
      <c r="M16" s="129">
        <f>SUM(M10/M$12)</f>
        <v>0.14162561576354679</v>
      </c>
      <c r="N16" s="120"/>
      <c r="O16" s="121">
        <f>H16</f>
        <v>0.20449897750511248</v>
      </c>
      <c r="P16" s="121">
        <f>I16</f>
        <v>0.18307692307692308</v>
      </c>
      <c r="Q16" s="121">
        <f>J16</f>
        <v>6.638115631691649E-2</v>
      </c>
      <c r="R16" s="121">
        <f>K16</f>
        <v>-0.68717948717948718</v>
      </c>
      <c r="S16" s="121">
        <f>L16</f>
        <v>0.34603174603174602</v>
      </c>
      <c r="T16" s="122" t="e">
        <f>#REF!</f>
        <v>#REF!</v>
      </c>
    </row>
    <row r="17" spans="1:20" ht="12.75" customHeight="1">
      <c r="B17" s="123" t="str">
        <f>B11&amp;"(%)"</f>
        <v>Nuclear PTC and Other Revenues(%)</v>
      </c>
      <c r="C17" s="128" t="e">
        <f>SUM(C11/C$12)</f>
        <v>#DIV/0!</v>
      </c>
      <c r="D17" s="128" t="e">
        <f>SUM(D11/D$12)</f>
        <v>#DIV/0!</v>
      </c>
      <c r="E17" s="128">
        <f>SUM(E11/E$12)</f>
        <v>0.11063829787234042</v>
      </c>
      <c r="F17" s="124"/>
      <c r="G17" s="128">
        <f>SUM(G11/G$12)</f>
        <v>7.072691552062868E-2</v>
      </c>
      <c r="H17" s="128">
        <f>SUM(H11/H$12)</f>
        <v>8.7934560327198361E-2</v>
      </c>
      <c r="I17" s="128">
        <f>SUM(I11/I$12)</f>
        <v>0.11076923076923077</v>
      </c>
      <c r="J17" s="128">
        <f>SUM(J11/J$12)</f>
        <v>0.17773019271948609</v>
      </c>
      <c r="K17" s="128">
        <f>SUM(K11/K$12)</f>
        <v>1.0256410256410256E-2</v>
      </c>
      <c r="L17" s="128">
        <f>SUM(L11/L$12)</f>
        <v>4.7619047619047623E-3</v>
      </c>
      <c r="M17" s="128">
        <f>SUM(M11/M$12)</f>
        <v>0</v>
      </c>
      <c r="N17" s="124"/>
      <c r="O17" s="125">
        <f>H17</f>
        <v>8.7934560327198361E-2</v>
      </c>
      <c r="P17" s="125">
        <f>I17</f>
        <v>0.11076923076923077</v>
      </c>
      <c r="Q17" s="125">
        <f>J17</f>
        <v>0.17773019271948609</v>
      </c>
      <c r="R17" s="125">
        <f>K17</f>
        <v>1.0256410256410256E-2</v>
      </c>
      <c r="S17" s="125">
        <f>L17</f>
        <v>4.7619047619047623E-3</v>
      </c>
      <c r="T17" s="126" t="e">
        <f>#REF!</f>
        <v>#REF!</v>
      </c>
    </row>
    <row r="18" spans="1:20">
      <c r="B18" s="16"/>
      <c r="C18" s="17"/>
      <c r="D18" s="17"/>
      <c r="E18" s="17"/>
      <c r="F18" s="18"/>
      <c r="G18" s="19"/>
      <c r="H18" s="19"/>
      <c r="I18" s="19"/>
      <c r="J18" s="19"/>
      <c r="K18" s="19"/>
      <c r="L18" s="19"/>
      <c r="M18" s="19"/>
      <c r="N18" s="18"/>
      <c r="O18" s="18"/>
      <c r="P18" s="18"/>
      <c r="Q18" s="18"/>
      <c r="R18" s="18"/>
      <c r="S18" s="18"/>
      <c r="T18" s="18"/>
    </row>
    <row r="19" spans="1:20" ht="12.75" customHeight="1">
      <c r="A19" s="74" t="s">
        <v>13</v>
      </c>
      <c r="B19" s="72" t="s">
        <v>134</v>
      </c>
      <c r="C19" s="10"/>
      <c r="D19" s="10"/>
      <c r="E19" s="10"/>
      <c r="F19" s="10"/>
      <c r="G19" s="81"/>
      <c r="H19" s="81"/>
      <c r="I19" s="81"/>
      <c r="J19" s="30"/>
      <c r="K19" s="81"/>
      <c r="L19" s="81"/>
      <c r="M19" s="81"/>
      <c r="N19" s="5"/>
      <c r="O19" s="11"/>
      <c r="P19" s="11"/>
      <c r="Q19" s="11"/>
      <c r="R19" s="11"/>
      <c r="S19" s="11"/>
      <c r="T19" s="11"/>
    </row>
    <row r="20" spans="1:20" ht="12.75" customHeight="1">
      <c r="A20" s="74"/>
      <c r="B20" s="9" t="s">
        <v>129</v>
      </c>
      <c r="C20" s="75"/>
      <c r="D20" s="75"/>
      <c r="E20" s="75">
        <v>192</v>
      </c>
      <c r="F20" s="10"/>
      <c r="G20" s="75">
        <v>45</v>
      </c>
      <c r="H20" s="75">
        <v>46</v>
      </c>
      <c r="I20" s="75">
        <v>50</v>
      </c>
      <c r="J20" s="30">
        <f>SUM(E20-SUM(G20:I20))</f>
        <v>51</v>
      </c>
      <c r="K20" s="75">
        <v>49</v>
      </c>
      <c r="L20" s="75">
        <v>88</v>
      </c>
      <c r="M20" s="75">
        <v>166</v>
      </c>
      <c r="N20" s="5"/>
      <c r="O20" s="30">
        <f>SUM(G20:G20)</f>
        <v>45</v>
      </c>
      <c r="P20" s="30">
        <f>SUM(G20:H20)</f>
        <v>91</v>
      </c>
      <c r="Q20" s="30">
        <f>SUM(G20:I20)</f>
        <v>141</v>
      </c>
      <c r="R20" s="30">
        <f>SUM(G20:J20)</f>
        <v>192</v>
      </c>
      <c r="S20" s="30">
        <f>SUM(H20:K20)</f>
        <v>196</v>
      </c>
      <c r="T20" s="30">
        <f>SUM(I20:L20)</f>
        <v>238</v>
      </c>
    </row>
    <row r="21" spans="1:20" ht="12.75" customHeight="1">
      <c r="A21" s="74"/>
      <c r="B21" s="9" t="s">
        <v>130</v>
      </c>
      <c r="C21" s="75"/>
      <c r="D21" s="75"/>
      <c r="E21" s="75">
        <v>1144</v>
      </c>
      <c r="F21" s="10"/>
      <c r="G21" s="75">
        <v>265</v>
      </c>
      <c r="H21" s="75">
        <v>249</v>
      </c>
      <c r="I21" s="75">
        <v>351</v>
      </c>
      <c r="J21" s="30">
        <f t="shared" ref="J21:J23" si="1">SUM(E21-SUM(G21:I21))</f>
        <v>279</v>
      </c>
      <c r="K21" s="75">
        <v>582</v>
      </c>
      <c r="L21" s="75">
        <v>307</v>
      </c>
      <c r="M21" s="75">
        <v>496</v>
      </c>
      <c r="N21" s="5"/>
      <c r="O21" s="30">
        <f>SUM(G21:G21)</f>
        <v>265</v>
      </c>
      <c r="P21" s="30">
        <f>SUM(G21:H21)</f>
        <v>514</v>
      </c>
      <c r="Q21" s="30">
        <f>SUM(G21:I21)</f>
        <v>865</v>
      </c>
      <c r="R21" s="30">
        <f>SUM(G21:J21)</f>
        <v>1144</v>
      </c>
      <c r="S21" s="30">
        <f>SUM(H21:K21)</f>
        <v>1461</v>
      </c>
      <c r="T21" s="30">
        <f>SUM(I21:L21)</f>
        <v>1519</v>
      </c>
    </row>
    <row r="22" spans="1:20" ht="12.75" customHeight="1">
      <c r="A22" s="74"/>
      <c r="B22" s="9" t="s">
        <v>131</v>
      </c>
      <c r="C22" s="75"/>
      <c r="D22" s="75"/>
      <c r="E22" s="75">
        <v>147</v>
      </c>
      <c r="F22" s="10"/>
      <c r="G22" s="75">
        <v>64</v>
      </c>
      <c r="H22" s="75">
        <v>22</v>
      </c>
      <c r="I22" s="75">
        <v>38</v>
      </c>
      <c r="J22" s="30">
        <f t="shared" si="1"/>
        <v>23</v>
      </c>
      <c r="K22" s="75">
        <v>23</v>
      </c>
      <c r="L22" s="75">
        <v>14</v>
      </c>
      <c r="M22" s="75">
        <v>35</v>
      </c>
      <c r="N22" s="5"/>
      <c r="O22" s="30">
        <f>SUM(G22:G22)</f>
        <v>64</v>
      </c>
      <c r="P22" s="30">
        <f>SUM(G22:H22)</f>
        <v>86</v>
      </c>
      <c r="Q22" s="30">
        <f>SUM(G22:I22)</f>
        <v>124</v>
      </c>
      <c r="R22" s="30">
        <f>SUM(G22:J22)</f>
        <v>147</v>
      </c>
      <c r="S22" s="30">
        <f>SUM(H22:K22)</f>
        <v>106</v>
      </c>
      <c r="T22" s="30">
        <f>SUM(I22:L22)</f>
        <v>98</v>
      </c>
    </row>
    <row r="23" spans="1:20">
      <c r="B23" s="9" t="s">
        <v>132</v>
      </c>
      <c r="C23" s="75"/>
      <c r="D23" s="75"/>
      <c r="E23" s="75">
        <v>91</v>
      </c>
      <c r="F23" s="75"/>
      <c r="G23" s="75">
        <v>42</v>
      </c>
      <c r="H23" s="75">
        <v>29</v>
      </c>
      <c r="I23" s="75">
        <v>20</v>
      </c>
      <c r="J23" s="30">
        <f t="shared" si="1"/>
        <v>0</v>
      </c>
      <c r="K23" s="75">
        <v>0</v>
      </c>
      <c r="L23" s="75">
        <v>0</v>
      </c>
      <c r="M23" s="75">
        <v>0</v>
      </c>
      <c r="N23" s="5"/>
      <c r="O23" s="30">
        <f>SUM(G23:G23)</f>
        <v>42</v>
      </c>
      <c r="P23" s="30">
        <f>SUM(G23:H23)</f>
        <v>71</v>
      </c>
      <c r="Q23" s="30">
        <f>SUM(G23:I23)</f>
        <v>91</v>
      </c>
      <c r="R23" s="30">
        <f>SUM(G23:J23)</f>
        <v>91</v>
      </c>
      <c r="S23" s="30">
        <f>SUM(H23:K23)</f>
        <v>49</v>
      </c>
      <c r="T23" s="30">
        <f>SUM(I23:L23)</f>
        <v>20</v>
      </c>
    </row>
    <row r="24" spans="1:20">
      <c r="B24" s="12" t="s">
        <v>66</v>
      </c>
      <c r="C24" s="13">
        <f>SUM(C20:C23)</f>
        <v>0</v>
      </c>
      <c r="D24" s="13">
        <f>SUM(D20:D23)</f>
        <v>0</v>
      </c>
      <c r="E24" s="13">
        <f>SUM(E20:E23)</f>
        <v>1574</v>
      </c>
      <c r="F24" s="11"/>
      <c r="G24" s="13">
        <f>SUM(G20:G23)</f>
        <v>416</v>
      </c>
      <c r="H24" s="13">
        <f>SUM(H20:H23)</f>
        <v>346</v>
      </c>
      <c r="I24" s="13">
        <f>SUM(I20:I23)</f>
        <v>459</v>
      </c>
      <c r="J24" s="13">
        <f>SUM(J20:J23)</f>
        <v>353</v>
      </c>
      <c r="K24" s="13">
        <f>SUM(K20:K23)</f>
        <v>654</v>
      </c>
      <c r="L24" s="13">
        <f>SUM(L20:L23)</f>
        <v>409</v>
      </c>
      <c r="M24" s="13">
        <f>SUM(M20:M23)</f>
        <v>697</v>
      </c>
      <c r="N24" s="5"/>
      <c r="O24" s="13">
        <f>SUM(O20:O23)</f>
        <v>416</v>
      </c>
      <c r="P24" s="13">
        <f>SUM(P20:P23)</f>
        <v>762</v>
      </c>
      <c r="Q24" s="13">
        <f>SUM(Q20:Q23)</f>
        <v>1221</v>
      </c>
      <c r="R24" s="13">
        <f>SUM(R20:R23)</f>
        <v>1574</v>
      </c>
      <c r="S24" s="13">
        <f>SUM(S20:S23)</f>
        <v>1812</v>
      </c>
      <c r="T24" s="13">
        <f>SUM(T20:T23)</f>
        <v>1875</v>
      </c>
    </row>
    <row r="25" spans="1:20" outlineLevel="1">
      <c r="B25" s="114" t="s">
        <v>58</v>
      </c>
      <c r="C25" s="73">
        <f>C24-C9</f>
        <v>0</v>
      </c>
      <c r="D25" s="73">
        <f t="shared" ref="D25:E25" si="2">D24-D9</f>
        <v>0</v>
      </c>
      <c r="E25" s="73">
        <f t="shared" si="2"/>
        <v>0</v>
      </c>
      <c r="F25" s="11"/>
      <c r="G25" s="73">
        <f t="shared" ref="G25" si="3">G24-G9</f>
        <v>0</v>
      </c>
      <c r="H25" s="73">
        <f t="shared" ref="H25" si="4">H24-H9</f>
        <v>0</v>
      </c>
      <c r="I25" s="73">
        <f t="shared" ref="I25" si="5">I24-I9</f>
        <v>0</v>
      </c>
      <c r="J25" s="73">
        <f t="shared" ref="J25" si="6">J24-J9</f>
        <v>0</v>
      </c>
      <c r="K25" s="73">
        <f t="shared" ref="K25" si="7">K24-K9</f>
        <v>0</v>
      </c>
      <c r="L25" s="73">
        <f t="shared" ref="L25" si="8">L24-L9</f>
        <v>0</v>
      </c>
      <c r="M25" s="73">
        <f t="shared" ref="M25" si="9">M24-M9</f>
        <v>0</v>
      </c>
      <c r="N25" s="73"/>
      <c r="O25" s="73" t="e">
        <f>O24-#REF!</f>
        <v>#REF!</v>
      </c>
      <c r="P25" s="73" t="e">
        <f>P24-#REF!</f>
        <v>#REF!</v>
      </c>
      <c r="Q25" s="73" t="e">
        <f>Q24-#REF!</f>
        <v>#REF!</v>
      </c>
      <c r="R25" s="73" t="e">
        <f>R24-#REF!</f>
        <v>#REF!</v>
      </c>
      <c r="S25" s="73" t="e">
        <f>S24-#REF!</f>
        <v>#REF!</v>
      </c>
      <c r="T25" s="73" t="e">
        <f>T24-#REF!</f>
        <v>#REF!</v>
      </c>
    </row>
    <row r="26" spans="1:20">
      <c r="B26" s="16"/>
      <c r="C26" s="17"/>
      <c r="D26" s="17"/>
      <c r="E26" s="17"/>
      <c r="F26" s="18"/>
      <c r="G26" s="19"/>
      <c r="H26" s="19"/>
      <c r="I26" s="19"/>
      <c r="J26" s="19"/>
      <c r="K26" s="19"/>
      <c r="L26" s="19"/>
      <c r="M26" s="19"/>
      <c r="N26" s="18"/>
      <c r="O26" s="18"/>
      <c r="P26" s="18"/>
      <c r="Q26" s="18"/>
      <c r="R26" s="18"/>
      <c r="S26" s="18"/>
      <c r="T26" s="18"/>
    </row>
    <row r="27" spans="1:20">
      <c r="B27" s="115" t="str">
        <f>B20&amp;"(%)"</f>
        <v>Capacity Revenues(%)</v>
      </c>
      <c r="C27" s="127" t="e">
        <f>SUM(C20/C$12)</f>
        <v>#DIV/0!</v>
      </c>
      <c r="D27" s="127" t="e">
        <f>SUM(D20/D$12)</f>
        <v>#DIV/0!</v>
      </c>
      <c r="E27" s="127">
        <f>SUM(E20/E$12)</f>
        <v>9.0780141843971637E-2</v>
      </c>
      <c r="F27" s="116"/>
      <c r="G27" s="127">
        <f>SUM(G20/G$12)</f>
        <v>8.8408644400785857E-2</v>
      </c>
      <c r="H27" s="127">
        <f>SUM(H20/H$12)</f>
        <v>9.4069529652351741E-2</v>
      </c>
      <c r="I27" s="127">
        <f>SUM(I20/I$12)</f>
        <v>7.6923076923076927E-2</v>
      </c>
      <c r="J27" s="127">
        <f>SUM(J20/J$12)</f>
        <v>0.10920770877944326</v>
      </c>
      <c r="K27" s="127">
        <f>SUM(K20/K$12)</f>
        <v>0.12564102564102564</v>
      </c>
      <c r="L27" s="127">
        <f>SUM(L20/L$12)</f>
        <v>0.13968253968253969</v>
      </c>
      <c r="M27" s="127">
        <f>SUM(M20/M$12)</f>
        <v>0.20443349753694581</v>
      </c>
      <c r="N27" s="116"/>
      <c r="O27" s="117">
        <f>H27</f>
        <v>9.4069529652351741E-2</v>
      </c>
      <c r="P27" s="117">
        <f>I27</f>
        <v>7.6923076923076927E-2</v>
      </c>
      <c r="Q27" s="117">
        <f>J27</f>
        <v>0.10920770877944326</v>
      </c>
      <c r="R27" s="117">
        <f>K27</f>
        <v>0.12564102564102564</v>
      </c>
      <c r="S27" s="117">
        <f>L27</f>
        <v>0.13968253968253969</v>
      </c>
      <c r="T27" s="118" t="e">
        <f>#REF!</f>
        <v>#REF!</v>
      </c>
    </row>
    <row r="28" spans="1:20">
      <c r="B28" s="119" t="str">
        <f t="shared" ref="B28:B29" si="10">B21&amp;"(%)"</f>
        <v>Electricity Sales &amp; Ancillary Service Revenues     
ISO/RTO(%)</v>
      </c>
      <c r="C28" s="129" t="e">
        <f t="shared" ref="C28:E28" si="11">SUM(C21/C$12)</f>
        <v>#DIV/0!</v>
      </c>
      <c r="D28" s="129" t="e">
        <f t="shared" si="11"/>
        <v>#DIV/0!</v>
      </c>
      <c r="E28" s="129">
        <f t="shared" si="11"/>
        <v>0.54089834515366431</v>
      </c>
      <c r="F28" s="120"/>
      <c r="G28" s="129">
        <f>SUM(G21/G$12)</f>
        <v>0.52062868369351667</v>
      </c>
      <c r="H28" s="129">
        <f>SUM(H21/H$12)</f>
        <v>0.50920245398773001</v>
      </c>
      <c r="I28" s="129">
        <f>SUM(I21/I$12)</f>
        <v>0.54</v>
      </c>
      <c r="J28" s="129">
        <f>SUM(J21/J$12)</f>
        <v>0.59743040685224835</v>
      </c>
      <c r="K28" s="129">
        <f>SUM(K21/K$12)</f>
        <v>1.4923076923076923</v>
      </c>
      <c r="L28" s="129">
        <f>SUM(L21/L$12)</f>
        <v>0.48730158730158729</v>
      </c>
      <c r="M28" s="129">
        <f>SUM(M21/M$12)</f>
        <v>0.61083743842364535</v>
      </c>
      <c r="N28" s="120"/>
      <c r="O28" s="121">
        <f t="shared" ref="O28:O29" si="12">H28</f>
        <v>0.50920245398773001</v>
      </c>
      <c r="P28" s="121">
        <f t="shared" ref="P28:P29" si="13">I28</f>
        <v>0.54</v>
      </c>
      <c r="Q28" s="121">
        <f t="shared" ref="Q28:Q29" si="14">J28</f>
        <v>0.59743040685224835</v>
      </c>
      <c r="R28" s="121">
        <f t="shared" ref="R28:R29" si="15">K28</f>
        <v>1.4923076923076923</v>
      </c>
      <c r="S28" s="121">
        <f t="shared" ref="S28:S29" si="16">L28</f>
        <v>0.48730158730158729</v>
      </c>
      <c r="T28" s="122" t="e">
        <f>#REF!</f>
        <v>#REF!</v>
      </c>
    </row>
    <row r="29" spans="1:20">
      <c r="B29" s="119" t="str">
        <f t="shared" si="10"/>
        <v>Physical Electricity Sales, Bilateral Contracts, other(%)</v>
      </c>
      <c r="C29" s="129" t="e">
        <f t="shared" ref="C29:E29" si="17">SUM(C22/C$12)</f>
        <v>#DIV/0!</v>
      </c>
      <c r="D29" s="129" t="e">
        <f t="shared" si="17"/>
        <v>#DIV/0!</v>
      </c>
      <c r="E29" s="129">
        <f t="shared" si="17"/>
        <v>6.9503546099290783E-2</v>
      </c>
      <c r="F29" s="120"/>
      <c r="G29" s="129">
        <f>SUM(G22/G$12)</f>
        <v>0.12573673870333987</v>
      </c>
      <c r="H29" s="129">
        <f>SUM(H22/H$12)</f>
        <v>4.4989775051124746E-2</v>
      </c>
      <c r="I29" s="129">
        <f>SUM(I22/I$12)</f>
        <v>5.8461538461538461E-2</v>
      </c>
      <c r="J29" s="129">
        <f>SUM(J22/J$12)</f>
        <v>4.9250535331905779E-2</v>
      </c>
      <c r="K29" s="129">
        <f>SUM(K22/K$12)</f>
        <v>5.8974358974358973E-2</v>
      </c>
      <c r="L29" s="129">
        <f>SUM(L22/L$12)</f>
        <v>2.2222222222222223E-2</v>
      </c>
      <c r="M29" s="129">
        <f>SUM(M22/M$12)</f>
        <v>4.3103448275862072E-2</v>
      </c>
      <c r="N29" s="120"/>
      <c r="O29" s="121">
        <f t="shared" si="12"/>
        <v>4.4989775051124746E-2</v>
      </c>
      <c r="P29" s="121">
        <f t="shared" si="13"/>
        <v>5.8461538461538461E-2</v>
      </c>
      <c r="Q29" s="121">
        <f t="shared" si="14"/>
        <v>4.9250535331905779E-2</v>
      </c>
      <c r="R29" s="121">
        <f t="shared" si="15"/>
        <v>5.8974358974358973E-2</v>
      </c>
      <c r="S29" s="121">
        <f t="shared" si="16"/>
        <v>2.2222222222222223E-2</v>
      </c>
      <c r="T29" s="122" t="e">
        <f>#REF!</f>
        <v>#REF!</v>
      </c>
    </row>
    <row r="30" spans="1:20" ht="12.75" customHeight="1">
      <c r="B30" s="123" t="str">
        <f>B23&amp;"(%)"</f>
        <v>Other Customer Revenues(%)</v>
      </c>
      <c r="C30" s="128" t="e">
        <f>SUM(C23/C$12)</f>
        <v>#DIV/0!</v>
      </c>
      <c r="D30" s="128" t="e">
        <f>SUM(D23/D$12)</f>
        <v>#DIV/0!</v>
      </c>
      <c r="E30" s="128">
        <f>SUM(E23/E$12)</f>
        <v>4.3026004728132387E-2</v>
      </c>
      <c r="F30" s="124"/>
      <c r="G30" s="128">
        <f>SUM(G23/G$12)</f>
        <v>8.2514734774066803E-2</v>
      </c>
      <c r="H30" s="128">
        <f>SUM(H23/H$12)</f>
        <v>5.9304703476482618E-2</v>
      </c>
      <c r="I30" s="128">
        <f>SUM(I23/I$12)</f>
        <v>3.0769230769230771E-2</v>
      </c>
      <c r="J30" s="128">
        <f>SUM(J23/J$12)</f>
        <v>0</v>
      </c>
      <c r="K30" s="128">
        <f>SUM(K23/K$12)</f>
        <v>0</v>
      </c>
      <c r="L30" s="128">
        <f>SUM(L23/L$12)</f>
        <v>0</v>
      </c>
      <c r="M30" s="128">
        <f>SUM(M23/M$12)</f>
        <v>0</v>
      </c>
      <c r="N30" s="124"/>
      <c r="O30" s="125">
        <f>H30</f>
        <v>5.9304703476482618E-2</v>
      </c>
      <c r="P30" s="125">
        <f>I30</f>
        <v>3.0769230769230771E-2</v>
      </c>
      <c r="Q30" s="125">
        <f>J30</f>
        <v>0</v>
      </c>
      <c r="R30" s="125">
        <f>K30</f>
        <v>0</v>
      </c>
      <c r="S30" s="125">
        <f>L30</f>
        <v>0</v>
      </c>
      <c r="T30" s="126" t="e">
        <f>#REF!</f>
        <v>#REF!</v>
      </c>
    </row>
    <row r="31" spans="1:20">
      <c r="B31" s="16"/>
      <c r="C31" s="17"/>
      <c r="D31" s="17"/>
      <c r="E31" s="17"/>
      <c r="F31" s="18"/>
      <c r="G31" s="19"/>
      <c r="H31" s="19"/>
      <c r="I31" s="19"/>
      <c r="J31" s="19"/>
      <c r="K31" s="19"/>
      <c r="L31" s="19"/>
      <c r="M31" s="19"/>
      <c r="N31" s="18"/>
      <c r="O31" s="18"/>
      <c r="P31" s="18"/>
      <c r="Q31" s="18"/>
      <c r="R31" s="18"/>
      <c r="S31" s="18"/>
      <c r="T31" s="18"/>
    </row>
  </sheetData>
  <pageMargins left="0.7" right="0.7" top="0.75" bottom="0.75" header="0.3" footer="0.3"/>
  <ignoredErrors>
    <ignoredError sqref="G17:L17 C17:E17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9"/>
  <sheetViews>
    <sheetView showGridLines="0" zoomScaleNormal="100" workbookViewId="0">
      <selection activeCell="B2" sqref="B2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11" bestFit="1" customWidth="1"/>
    <col min="34" max="16384" width="9" style="8"/>
  </cols>
  <sheetData>
    <row r="2" spans="2:33" s="5" customFormat="1" ht="12.75" customHeight="1">
      <c r="B2" s="1" t="str">
        <f>'Historical Financials'!B2</f>
        <v>Talen Energy Corporation (NASDAQ: TLN)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6</v>
      </c>
      <c r="AA2" s="2" t="s">
        <v>6</v>
      </c>
      <c r="AB2" s="2"/>
      <c r="AC2" s="2"/>
      <c r="AD2" s="2"/>
      <c r="AE2" s="2"/>
      <c r="AF2" s="3"/>
      <c r="AG2" s="154" t="s">
        <v>19</v>
      </c>
    </row>
    <row r="3" spans="2:33" s="5" customFormat="1" ht="12.75" customHeight="1">
      <c r="B3" s="6" t="s">
        <v>20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 t="e">
        <f>'Historical Financials'!#REF!</f>
        <v>#REF!</v>
      </c>
      <c r="G3" s="3"/>
      <c r="H3" s="7" t="e">
        <f>'Historical Financials'!#REF!</f>
        <v>#REF!</v>
      </c>
      <c r="I3" s="7" t="e">
        <f>'Historical Financials'!#REF!</f>
        <v>#REF!</v>
      </c>
      <c r="J3" s="7" t="e">
        <f>'Historical Financials'!#REF!</f>
        <v>#REF!</v>
      </c>
      <c r="K3" s="7" t="e">
        <f>'Historical Financials'!#REF!</f>
        <v>#REF!</v>
      </c>
      <c r="L3" s="7" t="str">
        <f>'Historical Financials'!G7</f>
        <v>1Q24</v>
      </c>
      <c r="M3" s="7" t="str">
        <f>'Historical Financials'!H7</f>
        <v>2Q24</v>
      </c>
      <c r="N3" s="7" t="str">
        <f>'Historical Financials'!I7</f>
        <v>3Q24</v>
      </c>
      <c r="O3" s="7" t="str">
        <f>'Historical Financials'!J7</f>
        <v>4Q24</v>
      </c>
      <c r="P3" s="7" t="str">
        <f>'Historical Financials'!K7</f>
        <v>1Q25</v>
      </c>
      <c r="Q3" s="7" t="str">
        <f>'Historical Financials'!L7</f>
        <v>2Q25</v>
      </c>
      <c r="R3" s="7" t="e">
        <f>'Historical Financials'!#REF!</f>
        <v>#REF!</v>
      </c>
      <c r="S3" s="7" t="e">
        <f>'Historical Financials'!#REF!</f>
        <v>#REF!</v>
      </c>
      <c r="T3" s="7" t="e">
        <f>'Historical Financials'!#REF!</f>
        <v>#REF!</v>
      </c>
      <c r="U3" s="3"/>
      <c r="V3" s="4" t="e">
        <f t="shared" ref="V3:AE4" si="0">K3</f>
        <v>#REF!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e">
        <f t="shared" si="0"/>
        <v>#REF!</v>
      </c>
      <c r="AD3" s="4" t="e">
        <f t="shared" si="0"/>
        <v>#REF!</v>
      </c>
      <c r="AE3" s="4" t="e">
        <f t="shared" si="0"/>
        <v>#REF!</v>
      </c>
      <c r="AF3" s="3"/>
      <c r="AG3" s="154"/>
    </row>
    <row r="4" spans="2:33" s="5" customFormat="1" ht="12.75" customHeight="1">
      <c r="B4" s="6" t="s">
        <v>93</v>
      </c>
      <c r="C4" s="3" t="str">
        <f>'Historical Financials'!C8</f>
        <v>XXX</v>
      </c>
      <c r="D4" s="3" t="str">
        <f>'Historical Financials'!D8</f>
        <v>XXX</v>
      </c>
      <c r="E4" s="3" t="str">
        <f>'Historical Financials'!E8</f>
        <v>XXX</v>
      </c>
      <c r="F4" s="3" t="e">
        <f>'Historical Financials'!#REF!</f>
        <v>#REF!</v>
      </c>
      <c r="G4" s="3"/>
      <c r="H4" s="3" t="e">
        <f>'Historical Financials'!#REF!</f>
        <v>#REF!</v>
      </c>
      <c r="I4" s="3" t="e">
        <f>'Historical Financials'!#REF!</f>
        <v>#REF!</v>
      </c>
      <c r="J4" s="3" t="e">
        <f>'Historical Financials'!#REF!</f>
        <v>#REF!</v>
      </c>
      <c r="K4" s="3" t="e">
        <f>'Historical Financials'!#REF!</f>
        <v>#REF!</v>
      </c>
      <c r="L4" s="3" t="str">
        <f>'Historical Financials'!G8</f>
        <v>XXX</v>
      </c>
      <c r="M4" s="3" t="str">
        <f>'Historical Financials'!H8</f>
        <v>XXX</v>
      </c>
      <c r="N4" s="3" t="str">
        <f>'Historical Financials'!I8</f>
        <v>XXX</v>
      </c>
      <c r="O4" s="3" t="str">
        <f>'Historical Financials'!J8</f>
        <v>XXX</v>
      </c>
      <c r="P4" s="3" t="str">
        <f>'Historical Financials'!K8</f>
        <v>XXX</v>
      </c>
      <c r="Q4" s="3" t="str">
        <f>'Historical Financials'!L8</f>
        <v>XXX</v>
      </c>
      <c r="R4" s="3" t="e">
        <f>'Historical Financials'!#REF!</f>
        <v>#REF!</v>
      </c>
      <c r="S4" s="3" t="e">
        <f>'Historical Financials'!#REF!</f>
        <v>#REF!</v>
      </c>
      <c r="T4" s="3" t="e">
        <f>'Historical Financials'!#REF!</f>
        <v>#REF!</v>
      </c>
      <c r="U4" s="3"/>
      <c r="V4" s="3" t="e">
        <f t="shared" si="0"/>
        <v>#REF!</v>
      </c>
      <c r="W4" s="3" t="str">
        <f t="shared" si="0"/>
        <v>XXX</v>
      </c>
      <c r="X4" s="3" t="str">
        <f t="shared" si="0"/>
        <v>XXX</v>
      </c>
      <c r="Y4" s="3" t="str">
        <f t="shared" si="0"/>
        <v>XXX</v>
      </c>
      <c r="Z4" s="3" t="str">
        <f t="shared" si="0"/>
        <v>XXX</v>
      </c>
      <c r="AA4" s="3" t="str">
        <f t="shared" si="0"/>
        <v>XXX</v>
      </c>
      <c r="AB4" s="3" t="str">
        <f t="shared" si="0"/>
        <v>XXX</v>
      </c>
      <c r="AC4" s="3" t="e">
        <f t="shared" si="0"/>
        <v>#REF!</v>
      </c>
      <c r="AD4" s="3" t="e">
        <f t="shared" si="0"/>
        <v>#REF!</v>
      </c>
      <c r="AE4" s="3" t="e">
        <f t="shared" si="0"/>
        <v>#REF!</v>
      </c>
      <c r="AF4" s="3"/>
      <c r="AG4" s="154"/>
    </row>
    <row r="5" spans="2:33" ht="5.0999999999999996" customHeight="1">
      <c r="AG5" s="107"/>
    </row>
    <row r="6" spans="2:33" ht="12.75" customHeight="1">
      <c r="B6" s="9" t="s">
        <v>108</v>
      </c>
      <c r="C6" s="80"/>
      <c r="D6" s="80"/>
      <c r="E6" s="80"/>
      <c r="F6" s="80"/>
      <c r="G6" s="1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5"/>
      <c r="V6" s="131">
        <f t="shared" ref="V6:AD6" si="1">SUM(H6:K6)</f>
        <v>0</v>
      </c>
      <c r="W6" s="131">
        <f t="shared" si="1"/>
        <v>0</v>
      </c>
      <c r="X6" s="131">
        <f t="shared" si="1"/>
        <v>0</v>
      </c>
      <c r="Y6" s="131">
        <f t="shared" si="1"/>
        <v>0</v>
      </c>
      <c r="Z6" s="131">
        <f t="shared" si="1"/>
        <v>0</v>
      </c>
      <c r="AA6" s="131">
        <f t="shared" si="1"/>
        <v>0</v>
      </c>
      <c r="AB6" s="131">
        <f t="shared" si="1"/>
        <v>0</v>
      </c>
      <c r="AC6" s="131">
        <f t="shared" si="1"/>
        <v>0</v>
      </c>
      <c r="AD6" s="131">
        <f t="shared" si="1"/>
        <v>0</v>
      </c>
      <c r="AE6" s="131">
        <f>SUM(Q6:T6)</f>
        <v>0</v>
      </c>
      <c r="AG6" s="108" t="e">
        <f t="shared" ref="AG6:AG11" si="2">SUM(AE6/AA6)-1</f>
        <v>#DIV/0!</v>
      </c>
    </row>
    <row r="7" spans="2:33" ht="12.75" customHeight="1">
      <c r="B7" s="9" t="s">
        <v>108</v>
      </c>
      <c r="C7" s="80"/>
      <c r="D7" s="80"/>
      <c r="E7" s="80"/>
      <c r="F7" s="80"/>
      <c r="G7" s="1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5"/>
      <c r="V7" s="131">
        <f t="shared" ref="V7:V11" si="3">SUM(H7:K7)</f>
        <v>0</v>
      </c>
      <c r="W7" s="131">
        <f t="shared" ref="W7:W11" si="4">SUM(I7:L7)</f>
        <v>0</v>
      </c>
      <c r="X7" s="131">
        <f t="shared" ref="X7:X11" si="5">SUM(J7:M7)</f>
        <v>0</v>
      </c>
      <c r="Y7" s="131">
        <f t="shared" ref="Y7:Y11" si="6">SUM(K7:N7)</f>
        <v>0</v>
      </c>
      <c r="Z7" s="131">
        <f t="shared" ref="Z7:Z11" si="7">SUM(L7:O7)</f>
        <v>0</v>
      </c>
      <c r="AA7" s="131">
        <f t="shared" ref="AA7:AA11" si="8">SUM(M7:P7)</f>
        <v>0</v>
      </c>
      <c r="AB7" s="131">
        <f t="shared" ref="AB7:AB11" si="9">SUM(N7:Q7)</f>
        <v>0</v>
      </c>
      <c r="AC7" s="131">
        <f t="shared" ref="AC7:AC11" si="10">SUM(O7:R7)</f>
        <v>0</v>
      </c>
      <c r="AD7" s="131">
        <f t="shared" ref="AD7:AD11" si="11">SUM(P7:S7)</f>
        <v>0</v>
      </c>
      <c r="AE7" s="131">
        <f t="shared" ref="AE7:AE11" si="12">SUM(Q7:T7)</f>
        <v>0</v>
      </c>
      <c r="AG7" s="108" t="e">
        <f t="shared" si="2"/>
        <v>#DIV/0!</v>
      </c>
    </row>
    <row r="8" spans="2:33" ht="12.75" customHeight="1">
      <c r="B8" s="9" t="s">
        <v>108</v>
      </c>
      <c r="C8" s="80"/>
      <c r="D8" s="80"/>
      <c r="E8" s="80"/>
      <c r="F8" s="80"/>
      <c r="G8" s="1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5"/>
      <c r="V8" s="131">
        <f t="shared" si="3"/>
        <v>0</v>
      </c>
      <c r="W8" s="131">
        <f t="shared" si="4"/>
        <v>0</v>
      </c>
      <c r="X8" s="131">
        <f t="shared" si="5"/>
        <v>0</v>
      </c>
      <c r="Y8" s="131">
        <f t="shared" si="6"/>
        <v>0</v>
      </c>
      <c r="Z8" s="131">
        <f t="shared" si="7"/>
        <v>0</v>
      </c>
      <c r="AA8" s="131">
        <f t="shared" si="8"/>
        <v>0</v>
      </c>
      <c r="AB8" s="131">
        <f t="shared" si="9"/>
        <v>0</v>
      </c>
      <c r="AC8" s="131">
        <f t="shared" si="10"/>
        <v>0</v>
      </c>
      <c r="AD8" s="131">
        <f t="shared" si="11"/>
        <v>0</v>
      </c>
      <c r="AE8" s="131">
        <f t="shared" si="12"/>
        <v>0</v>
      </c>
      <c r="AG8" s="108" t="e">
        <f t="shared" si="2"/>
        <v>#DIV/0!</v>
      </c>
    </row>
    <row r="9" spans="2:33" ht="12.75" customHeight="1">
      <c r="B9" s="9" t="s">
        <v>108</v>
      </c>
      <c r="C9" s="80"/>
      <c r="D9" s="80"/>
      <c r="E9" s="80"/>
      <c r="F9" s="80"/>
      <c r="G9" s="1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5"/>
      <c r="V9" s="131">
        <f t="shared" si="3"/>
        <v>0</v>
      </c>
      <c r="W9" s="131">
        <f t="shared" si="4"/>
        <v>0</v>
      </c>
      <c r="X9" s="131">
        <f t="shared" si="5"/>
        <v>0</v>
      </c>
      <c r="Y9" s="131">
        <f t="shared" si="6"/>
        <v>0</v>
      </c>
      <c r="Z9" s="131">
        <f t="shared" si="7"/>
        <v>0</v>
      </c>
      <c r="AA9" s="131">
        <f t="shared" si="8"/>
        <v>0</v>
      </c>
      <c r="AB9" s="131">
        <f t="shared" si="9"/>
        <v>0</v>
      </c>
      <c r="AC9" s="131">
        <f t="shared" si="10"/>
        <v>0</v>
      </c>
      <c r="AD9" s="131">
        <f t="shared" si="11"/>
        <v>0</v>
      </c>
      <c r="AE9" s="131">
        <f t="shared" si="12"/>
        <v>0</v>
      </c>
      <c r="AG9" s="108" t="e">
        <f t="shared" si="2"/>
        <v>#DIV/0!</v>
      </c>
    </row>
    <row r="10" spans="2:33" ht="12.75" customHeight="1">
      <c r="B10" s="9" t="s">
        <v>108</v>
      </c>
      <c r="C10" s="80"/>
      <c r="D10" s="80"/>
      <c r="E10" s="80"/>
      <c r="F10" s="80"/>
      <c r="G10" s="1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5"/>
      <c r="V10" s="131">
        <f t="shared" si="3"/>
        <v>0</v>
      </c>
      <c r="W10" s="131">
        <f t="shared" si="4"/>
        <v>0</v>
      </c>
      <c r="X10" s="131">
        <f t="shared" si="5"/>
        <v>0</v>
      </c>
      <c r="Y10" s="131">
        <f t="shared" si="6"/>
        <v>0</v>
      </c>
      <c r="Z10" s="131">
        <f t="shared" si="7"/>
        <v>0</v>
      </c>
      <c r="AA10" s="131">
        <f t="shared" si="8"/>
        <v>0</v>
      </c>
      <c r="AB10" s="131">
        <f t="shared" si="9"/>
        <v>0</v>
      </c>
      <c r="AC10" s="131">
        <f t="shared" si="10"/>
        <v>0</v>
      </c>
      <c r="AD10" s="131">
        <f t="shared" si="11"/>
        <v>0</v>
      </c>
      <c r="AE10" s="131">
        <f t="shared" si="12"/>
        <v>0</v>
      </c>
      <c r="AG10" s="108" t="e">
        <f t="shared" si="2"/>
        <v>#DIV/0!</v>
      </c>
    </row>
    <row r="11" spans="2:33" ht="12.75" customHeight="1">
      <c r="B11" s="9" t="s">
        <v>108</v>
      </c>
      <c r="C11" s="80"/>
      <c r="D11" s="80"/>
      <c r="E11" s="80"/>
      <c r="F11" s="80"/>
      <c r="G11" s="1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5"/>
      <c r="V11" s="131">
        <f t="shared" si="3"/>
        <v>0</v>
      </c>
      <c r="W11" s="131">
        <f t="shared" si="4"/>
        <v>0</v>
      </c>
      <c r="X11" s="131">
        <f t="shared" si="5"/>
        <v>0</v>
      </c>
      <c r="Y11" s="131">
        <f t="shared" si="6"/>
        <v>0</v>
      </c>
      <c r="Z11" s="131">
        <f t="shared" si="7"/>
        <v>0</v>
      </c>
      <c r="AA11" s="131">
        <f t="shared" si="8"/>
        <v>0</v>
      </c>
      <c r="AB11" s="131">
        <f t="shared" si="9"/>
        <v>0</v>
      </c>
      <c r="AC11" s="131">
        <f t="shared" si="10"/>
        <v>0</v>
      </c>
      <c r="AD11" s="131">
        <f t="shared" si="11"/>
        <v>0</v>
      </c>
      <c r="AE11" s="131">
        <f t="shared" si="12"/>
        <v>0</v>
      </c>
      <c r="AG11" s="108" t="e">
        <f t="shared" si="2"/>
        <v>#DIV/0!</v>
      </c>
    </row>
    <row r="12" spans="2:33" ht="12.75" customHeight="1">
      <c r="B12" s="12" t="s">
        <v>8</v>
      </c>
      <c r="C12" s="13">
        <f t="shared" ref="C12:F12" si="13">SUM(C6:C11)</f>
        <v>0</v>
      </c>
      <c r="D12" s="13">
        <f t="shared" si="13"/>
        <v>0</v>
      </c>
      <c r="E12" s="13">
        <f t="shared" si="13"/>
        <v>0</v>
      </c>
      <c r="F12" s="13">
        <f t="shared" si="13"/>
        <v>0</v>
      </c>
      <c r="G12" s="10"/>
      <c r="H12" s="13">
        <f t="shared" ref="H12:S12" si="14">SUM(H6:H11)</f>
        <v>0</v>
      </c>
      <c r="I12" s="13">
        <f t="shared" si="14"/>
        <v>0</v>
      </c>
      <c r="J12" s="13">
        <f t="shared" si="14"/>
        <v>0</v>
      </c>
      <c r="K12" s="13">
        <f t="shared" si="14"/>
        <v>0</v>
      </c>
      <c r="L12" s="13">
        <f t="shared" si="14"/>
        <v>0</v>
      </c>
      <c r="M12" s="13">
        <f t="shared" si="14"/>
        <v>0</v>
      </c>
      <c r="N12" s="13">
        <f t="shared" si="14"/>
        <v>0</v>
      </c>
      <c r="O12" s="13">
        <f t="shared" si="14"/>
        <v>0</v>
      </c>
      <c r="P12" s="13">
        <f t="shared" si="14"/>
        <v>0</v>
      </c>
      <c r="Q12" s="13">
        <f t="shared" si="14"/>
        <v>0</v>
      </c>
      <c r="R12" s="13">
        <f t="shared" si="14"/>
        <v>0</v>
      </c>
      <c r="S12" s="13">
        <f t="shared" si="14"/>
        <v>0</v>
      </c>
      <c r="T12" s="13">
        <f t="shared" ref="T12" si="15">SUM(T6:T11)</f>
        <v>0</v>
      </c>
      <c r="U12" s="5"/>
      <c r="V12" s="13">
        <f t="shared" ref="V12:AE12" si="16">SUM(V6:V11)</f>
        <v>0</v>
      </c>
      <c r="W12" s="13">
        <f t="shared" si="16"/>
        <v>0</v>
      </c>
      <c r="X12" s="13">
        <f t="shared" si="16"/>
        <v>0</v>
      </c>
      <c r="Y12" s="13">
        <f t="shared" si="16"/>
        <v>0</v>
      </c>
      <c r="Z12" s="13">
        <f t="shared" si="16"/>
        <v>0</v>
      </c>
      <c r="AA12" s="13">
        <f t="shared" si="16"/>
        <v>0</v>
      </c>
      <c r="AB12" s="13">
        <f t="shared" si="16"/>
        <v>0</v>
      </c>
      <c r="AC12" s="13">
        <f t="shared" si="16"/>
        <v>0</v>
      </c>
      <c r="AD12" s="13">
        <f t="shared" si="16"/>
        <v>0</v>
      </c>
      <c r="AE12" s="13">
        <f t="shared" si="16"/>
        <v>0</v>
      </c>
      <c r="AG12" s="109" t="e">
        <f>SUM(AE12/AA12)-1</f>
        <v>#DIV/0!</v>
      </c>
    </row>
    <row r="13" spans="2:33" ht="12.75" customHeight="1">
      <c r="B13" s="14" t="s">
        <v>23</v>
      </c>
      <c r="C13" s="15" t="e">
        <f>SUM(C12/#REF!)-1</f>
        <v>#REF!</v>
      </c>
      <c r="D13" s="15" t="e">
        <f>SUM(D12/C12)-1</f>
        <v>#DIV/0!</v>
      </c>
      <c r="E13" s="15" t="e">
        <f>SUM(E12/D12)-1</f>
        <v>#DIV/0!</v>
      </c>
      <c r="F13" s="15" t="e">
        <f>SUM(F12/E12)-1</f>
        <v>#DIV/0!</v>
      </c>
      <c r="G13" s="11"/>
      <c r="H13" s="99"/>
      <c r="I13" s="99"/>
      <c r="J13" s="99"/>
      <c r="K13" s="99"/>
      <c r="L13" s="15" t="e">
        <f t="shared" ref="L13:S13" si="17">SUM(L12/H12)-1</f>
        <v>#DIV/0!</v>
      </c>
      <c r="M13" s="15" t="e">
        <f t="shared" si="17"/>
        <v>#DIV/0!</v>
      </c>
      <c r="N13" s="15" t="e">
        <f t="shared" si="17"/>
        <v>#DIV/0!</v>
      </c>
      <c r="O13" s="15" t="e">
        <f t="shared" si="17"/>
        <v>#DIV/0!</v>
      </c>
      <c r="P13" s="15" t="e">
        <f t="shared" si="17"/>
        <v>#DIV/0!</v>
      </c>
      <c r="Q13" s="15" t="e">
        <f t="shared" si="17"/>
        <v>#DIV/0!</v>
      </c>
      <c r="R13" s="15" t="e">
        <f t="shared" si="17"/>
        <v>#DIV/0!</v>
      </c>
      <c r="S13" s="15" t="e">
        <f t="shared" si="17"/>
        <v>#DIV/0!</v>
      </c>
      <c r="T13" s="15" t="e">
        <f t="shared" ref="T13" si="18">SUM(T12/P12)-1</f>
        <v>#DIV/0!</v>
      </c>
      <c r="U13" s="5"/>
      <c r="V13" s="99"/>
      <c r="W13" s="99"/>
      <c r="X13" s="99"/>
      <c r="Y13" s="99"/>
      <c r="Z13" s="15" t="e">
        <f t="shared" ref="Z13:AE13" si="19">SUM(Z12/V12)-1</f>
        <v>#DIV/0!</v>
      </c>
      <c r="AA13" s="15" t="e">
        <f t="shared" si="19"/>
        <v>#DIV/0!</v>
      </c>
      <c r="AB13" s="15" t="e">
        <f t="shared" si="19"/>
        <v>#DIV/0!</v>
      </c>
      <c r="AC13" s="15" t="e">
        <f t="shared" si="19"/>
        <v>#DIV/0!</v>
      </c>
      <c r="AD13" s="15" t="e">
        <f t="shared" si="19"/>
        <v>#DIV/0!</v>
      </c>
      <c r="AE13" s="15" t="e">
        <f t="shared" si="19"/>
        <v>#DIV/0!</v>
      </c>
      <c r="AG13" s="110" t="e">
        <f>SUM(AE13-AA13)*10000</f>
        <v>#DIV/0!</v>
      </c>
    </row>
    <row r="14" spans="2:33" ht="12.75" customHeight="1">
      <c r="B14" s="14" t="s">
        <v>24</v>
      </c>
      <c r="C14" s="15" t="s">
        <v>25</v>
      </c>
      <c r="D14" s="15" t="s">
        <v>25</v>
      </c>
      <c r="E14" s="15" t="s">
        <v>25</v>
      </c>
      <c r="F14" s="15" t="s">
        <v>25</v>
      </c>
      <c r="G14" s="11"/>
      <c r="H14" s="99"/>
      <c r="I14" s="15" t="e">
        <f>SUM(I12/H12)-1</f>
        <v>#DIV/0!</v>
      </c>
      <c r="J14" s="15" t="e">
        <f>SUM(J12/I12)-1</f>
        <v>#DIV/0!</v>
      </c>
      <c r="K14" s="15" t="e">
        <f>SUM(K12/J12)-1</f>
        <v>#DIV/0!</v>
      </c>
      <c r="L14" s="15" t="e">
        <f>SUM(L12/K12)-1</f>
        <v>#DIV/0!</v>
      </c>
      <c r="M14" s="15" t="e">
        <f t="shared" ref="M14:S14" si="20">SUM(M12/L12)-1</f>
        <v>#DIV/0!</v>
      </c>
      <c r="N14" s="15" t="e">
        <f t="shared" si="20"/>
        <v>#DIV/0!</v>
      </c>
      <c r="O14" s="15" t="e">
        <f t="shared" si="20"/>
        <v>#DIV/0!</v>
      </c>
      <c r="P14" s="15" t="e">
        <f t="shared" si="20"/>
        <v>#DIV/0!</v>
      </c>
      <c r="Q14" s="15" t="e">
        <f t="shared" si="20"/>
        <v>#DIV/0!</v>
      </c>
      <c r="R14" s="15" t="e">
        <f t="shared" si="20"/>
        <v>#DIV/0!</v>
      </c>
      <c r="S14" s="15" t="e">
        <f t="shared" si="20"/>
        <v>#DIV/0!</v>
      </c>
      <c r="T14" s="15" t="e">
        <f t="shared" ref="T14" si="21">SUM(T12/S12)-1</f>
        <v>#DIV/0!</v>
      </c>
      <c r="U14" s="5"/>
      <c r="V14" s="15" t="s">
        <v>25</v>
      </c>
      <c r="W14" s="15" t="s">
        <v>25</v>
      </c>
      <c r="X14" s="15" t="s">
        <v>25</v>
      </c>
      <c r="Y14" s="15" t="s">
        <v>25</v>
      </c>
      <c r="Z14" s="15" t="s">
        <v>25</v>
      </c>
      <c r="AA14" s="15" t="s">
        <v>25</v>
      </c>
      <c r="AB14" s="15" t="s">
        <v>25</v>
      </c>
      <c r="AC14" s="15" t="s">
        <v>25</v>
      </c>
      <c r="AD14" s="15" t="s">
        <v>25</v>
      </c>
      <c r="AE14" s="15" t="s">
        <v>25</v>
      </c>
      <c r="AG14" s="107"/>
    </row>
    <row r="15" spans="2:33" ht="5.0999999999999996" customHeight="1">
      <c r="B15" s="16"/>
      <c r="C15" s="17"/>
      <c r="D15" s="17"/>
      <c r="E15" s="17"/>
      <c r="F15" s="17"/>
      <c r="G15" s="18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07"/>
    </row>
    <row r="16" spans="2:33" ht="12.75" customHeight="1">
      <c r="B16" s="21" t="s">
        <v>26</v>
      </c>
      <c r="C16" s="80"/>
      <c r="D16" s="80"/>
      <c r="E16" s="80"/>
      <c r="F16" s="80"/>
      <c r="G16" s="1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5"/>
      <c r="V16" s="131">
        <f t="shared" ref="V16" si="22">SUM(H16:K16)</f>
        <v>0</v>
      </c>
      <c r="W16" s="131">
        <f t="shared" ref="W16" si="23">SUM(I16:L16)</f>
        <v>0</v>
      </c>
      <c r="X16" s="131">
        <f t="shared" ref="X16" si="24">SUM(J16:M16)</f>
        <v>0</v>
      </c>
      <c r="Y16" s="131">
        <f t="shared" ref="Y16" si="25">SUM(K16:N16)</f>
        <v>0</v>
      </c>
      <c r="Z16" s="131">
        <f t="shared" ref="Z16" si="26">SUM(L16:O16)</f>
        <v>0</v>
      </c>
      <c r="AA16" s="131">
        <f t="shared" ref="AA16" si="27">SUM(M16:P16)</f>
        <v>0</v>
      </c>
      <c r="AB16" s="131">
        <f t="shared" ref="AB16" si="28">SUM(N16:Q16)</f>
        <v>0</v>
      </c>
      <c r="AC16" s="131">
        <f t="shared" ref="AC16" si="29">SUM(O16:R16)</f>
        <v>0</v>
      </c>
      <c r="AD16" s="131">
        <f t="shared" ref="AD16" si="30">SUM(P16:S16)</f>
        <v>0</v>
      </c>
      <c r="AE16" s="131">
        <f>SUM(Q16:T16)</f>
        <v>0</v>
      </c>
      <c r="AG16" s="108" t="e">
        <f>SUM(AE16/AA16)-1</f>
        <v>#DIV/0!</v>
      </c>
    </row>
    <row r="17" spans="2:33" ht="12.75" customHeight="1">
      <c r="B17" s="23" t="s">
        <v>17</v>
      </c>
      <c r="C17" s="24">
        <f t="shared" ref="C17:F17" si="31">SUM(C12+SUM(C16:C16))</f>
        <v>0</v>
      </c>
      <c r="D17" s="24">
        <f t="shared" si="31"/>
        <v>0</v>
      </c>
      <c r="E17" s="24">
        <f t="shared" si="31"/>
        <v>0</v>
      </c>
      <c r="F17" s="24">
        <f t="shared" si="31"/>
        <v>0</v>
      </c>
      <c r="G17" s="5"/>
      <c r="H17" s="24">
        <f>SUM(H12+SUM(H16:H16))</f>
        <v>0</v>
      </c>
      <c r="I17" s="24">
        <f>SUM(I12+SUM(I16:I16))</f>
        <v>0</v>
      </c>
      <c r="J17" s="24">
        <f>SUM(J12+SUM(J16:J16))</f>
        <v>0</v>
      </c>
      <c r="K17" s="24">
        <f>SUM(K12+SUM(K16:K16))</f>
        <v>0</v>
      </c>
      <c r="L17" s="24">
        <f t="shared" ref="L17:Q17" si="32">SUM(L12+SUM(L16:L16))</f>
        <v>0</v>
      </c>
      <c r="M17" s="24">
        <f t="shared" si="32"/>
        <v>0</v>
      </c>
      <c r="N17" s="24">
        <f t="shared" si="32"/>
        <v>0</v>
      </c>
      <c r="O17" s="24">
        <f t="shared" si="32"/>
        <v>0</v>
      </c>
      <c r="P17" s="24">
        <f t="shared" si="32"/>
        <v>0</v>
      </c>
      <c r="Q17" s="24">
        <f t="shared" si="32"/>
        <v>0</v>
      </c>
      <c r="R17" s="24">
        <f t="shared" ref="R17:S17" si="33">SUM(R12+SUM(R16:R16))</f>
        <v>0</v>
      </c>
      <c r="S17" s="24">
        <f t="shared" si="33"/>
        <v>0</v>
      </c>
      <c r="T17" s="24">
        <f t="shared" ref="T17" si="34">SUM(T12+SUM(T16:T16))</f>
        <v>0</v>
      </c>
      <c r="U17" s="5"/>
      <c r="V17" s="24">
        <f t="shared" ref="V17" si="35">SUM(V12+SUM(V16:V16))</f>
        <v>0</v>
      </c>
      <c r="W17" s="24">
        <f t="shared" ref="W17:AE17" si="36">SUM(W12+SUM(W16:W16))</f>
        <v>0</v>
      </c>
      <c r="X17" s="24">
        <f t="shared" si="36"/>
        <v>0</v>
      </c>
      <c r="Y17" s="24">
        <f t="shared" si="36"/>
        <v>0</v>
      </c>
      <c r="Z17" s="24">
        <f t="shared" si="36"/>
        <v>0</v>
      </c>
      <c r="AA17" s="24">
        <f t="shared" si="36"/>
        <v>0</v>
      </c>
      <c r="AB17" s="24">
        <f t="shared" si="36"/>
        <v>0</v>
      </c>
      <c r="AC17" s="24">
        <f t="shared" si="36"/>
        <v>0</v>
      </c>
      <c r="AD17" s="24">
        <f t="shared" si="36"/>
        <v>0</v>
      </c>
      <c r="AE17" s="24">
        <f t="shared" si="36"/>
        <v>0</v>
      </c>
      <c r="AG17" s="109" t="e">
        <f>SUM(AE17/AA17)-1</f>
        <v>#DIV/0!</v>
      </c>
    </row>
    <row r="18" spans="2:33" ht="12.75" customHeight="1">
      <c r="B18" s="14" t="s">
        <v>27</v>
      </c>
      <c r="C18" s="15" t="e">
        <f t="shared" ref="C18:F18" si="37">C17/C12</f>
        <v>#DIV/0!</v>
      </c>
      <c r="D18" s="15" t="e">
        <f t="shared" si="37"/>
        <v>#DIV/0!</v>
      </c>
      <c r="E18" s="15" t="e">
        <f t="shared" si="37"/>
        <v>#DIV/0!</v>
      </c>
      <c r="F18" s="15" t="e">
        <f t="shared" si="37"/>
        <v>#DIV/0!</v>
      </c>
      <c r="G18" s="25"/>
      <c r="H18" s="15" t="e">
        <f>H17/H12</f>
        <v>#DIV/0!</v>
      </c>
      <c r="I18" s="15" t="e">
        <f>I17/I12</f>
        <v>#DIV/0!</v>
      </c>
      <c r="J18" s="15" t="e">
        <f>J17/J12</f>
        <v>#DIV/0!</v>
      </c>
      <c r="K18" s="15" t="e">
        <f>K17/K12</f>
        <v>#DIV/0!</v>
      </c>
      <c r="L18" s="15" t="e">
        <f t="shared" ref="L18:Q18" si="38">L17/L12</f>
        <v>#DIV/0!</v>
      </c>
      <c r="M18" s="15" t="e">
        <f t="shared" si="38"/>
        <v>#DIV/0!</v>
      </c>
      <c r="N18" s="15" t="e">
        <f t="shared" si="38"/>
        <v>#DIV/0!</v>
      </c>
      <c r="O18" s="15" t="e">
        <f t="shared" si="38"/>
        <v>#DIV/0!</v>
      </c>
      <c r="P18" s="15" t="e">
        <f t="shared" si="38"/>
        <v>#DIV/0!</v>
      </c>
      <c r="Q18" s="15" t="e">
        <f t="shared" si="38"/>
        <v>#DIV/0!</v>
      </c>
      <c r="R18" s="15" t="e">
        <f t="shared" ref="R18:S18" si="39">R17/R12</f>
        <v>#DIV/0!</v>
      </c>
      <c r="S18" s="15" t="e">
        <f t="shared" si="39"/>
        <v>#DIV/0!</v>
      </c>
      <c r="T18" s="15" t="e">
        <f t="shared" ref="T18" si="40">T17/T12</f>
        <v>#DIV/0!</v>
      </c>
      <c r="U18" s="26"/>
      <c r="V18" s="15" t="e">
        <f t="shared" ref="V18" si="41">V17/V12</f>
        <v>#DIV/0!</v>
      </c>
      <c r="W18" s="15" t="e">
        <f t="shared" ref="W18:AE18" si="42">W17/W12</f>
        <v>#DIV/0!</v>
      </c>
      <c r="X18" s="15" t="e">
        <f t="shared" si="42"/>
        <v>#DIV/0!</v>
      </c>
      <c r="Y18" s="15" t="e">
        <f t="shared" si="42"/>
        <v>#DIV/0!</v>
      </c>
      <c r="Z18" s="15" t="e">
        <f t="shared" si="42"/>
        <v>#DIV/0!</v>
      </c>
      <c r="AA18" s="15" t="e">
        <f t="shared" si="42"/>
        <v>#DIV/0!</v>
      </c>
      <c r="AB18" s="15" t="e">
        <f t="shared" si="42"/>
        <v>#DIV/0!</v>
      </c>
      <c r="AC18" s="15" t="e">
        <f t="shared" si="42"/>
        <v>#DIV/0!</v>
      </c>
      <c r="AD18" s="15" t="e">
        <f t="shared" si="42"/>
        <v>#DIV/0!</v>
      </c>
      <c r="AE18" s="15" t="e">
        <f t="shared" si="42"/>
        <v>#DIV/0!</v>
      </c>
      <c r="AG18" s="110" t="e">
        <f>SUM(AE18-AA18)*10000</f>
        <v>#DIV/0!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 s="107"/>
    </row>
    <row r="20" spans="2:33" ht="12.75" customHeight="1">
      <c r="B20" s="21" t="s">
        <v>112</v>
      </c>
      <c r="C20" s="132"/>
      <c r="D20" s="132"/>
      <c r="E20" s="132"/>
      <c r="F20" s="132"/>
      <c r="G20" s="80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5"/>
      <c r="V20" s="131">
        <f t="shared" ref="V20:V24" si="43">SUM(H20:K20)</f>
        <v>0</v>
      </c>
      <c r="W20" s="131">
        <f t="shared" ref="W20:W24" si="44">SUM(I20:L20)</f>
        <v>0</v>
      </c>
      <c r="X20" s="131">
        <f t="shared" ref="X20:X24" si="45">SUM(J20:M20)</f>
        <v>0</v>
      </c>
      <c r="Y20" s="131">
        <f t="shared" ref="Y20:Y24" si="46">SUM(K20:N20)</f>
        <v>0</v>
      </c>
      <c r="Z20" s="131">
        <f t="shared" ref="Z20:Z24" si="47">SUM(L20:O20)</f>
        <v>0</v>
      </c>
      <c r="AA20" s="131">
        <f t="shared" ref="AA20:AA24" si="48">SUM(M20:P20)</f>
        <v>0</v>
      </c>
      <c r="AB20" s="131">
        <f t="shared" ref="AB20:AB24" si="49">SUM(N20:Q20)</f>
        <v>0</v>
      </c>
      <c r="AC20" s="131">
        <f t="shared" ref="AC20:AC24" si="50">SUM(O20:R20)</f>
        <v>0</v>
      </c>
      <c r="AD20" s="131">
        <f t="shared" ref="AD20:AD24" si="51">SUM(P20:S20)</f>
        <v>0</v>
      </c>
      <c r="AE20" s="131">
        <f t="shared" ref="AE20:AE24" si="52">SUM(Q20:T20)</f>
        <v>0</v>
      </c>
      <c r="AG20" s="108" t="e">
        <f>SUM(AE20/AA20)-1</f>
        <v>#DIV/0!</v>
      </c>
    </row>
    <row r="21" spans="2:33" ht="12.75" customHeight="1">
      <c r="B21" s="21" t="s">
        <v>112</v>
      </c>
      <c r="C21" s="132"/>
      <c r="D21" s="132"/>
      <c r="E21" s="132"/>
      <c r="F21" s="132"/>
      <c r="G21" s="80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5"/>
      <c r="V21" s="131">
        <f t="shared" ref="V21:V23" si="53">SUM(H21:K21)</f>
        <v>0</v>
      </c>
      <c r="W21" s="131">
        <f t="shared" ref="W21:W23" si="54">SUM(I21:L21)</f>
        <v>0</v>
      </c>
      <c r="X21" s="131">
        <f t="shared" ref="X21:X23" si="55">SUM(J21:M21)</f>
        <v>0</v>
      </c>
      <c r="Y21" s="131">
        <f t="shared" ref="Y21:Y23" si="56">SUM(K21:N21)</f>
        <v>0</v>
      </c>
      <c r="Z21" s="131">
        <f t="shared" ref="Z21:Z23" si="57">SUM(L21:O21)</f>
        <v>0</v>
      </c>
      <c r="AA21" s="131">
        <f t="shared" ref="AA21:AA23" si="58">SUM(M21:P21)</f>
        <v>0</v>
      </c>
      <c r="AB21" s="131">
        <f t="shared" ref="AB21:AB23" si="59">SUM(N21:Q21)</f>
        <v>0</v>
      </c>
      <c r="AC21" s="131">
        <f t="shared" ref="AC21:AC23" si="60">SUM(O21:R21)</f>
        <v>0</v>
      </c>
      <c r="AD21" s="131">
        <f t="shared" ref="AD21:AD23" si="61">SUM(P21:S21)</f>
        <v>0</v>
      </c>
      <c r="AE21" s="131">
        <f t="shared" ref="AE21:AE23" si="62">SUM(Q21:T21)</f>
        <v>0</v>
      </c>
      <c r="AG21" s="108" t="e">
        <f t="shared" ref="AG21:AG23" si="63">SUM(AE21/AA21)-1</f>
        <v>#DIV/0!</v>
      </c>
    </row>
    <row r="22" spans="2:33" ht="12.75" customHeight="1">
      <c r="B22" s="21" t="s">
        <v>112</v>
      </c>
      <c r="C22" s="132"/>
      <c r="D22" s="132"/>
      <c r="E22" s="132"/>
      <c r="F22" s="132"/>
      <c r="G22" s="80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5"/>
      <c r="V22" s="131">
        <f t="shared" si="53"/>
        <v>0</v>
      </c>
      <c r="W22" s="131">
        <f t="shared" si="54"/>
        <v>0</v>
      </c>
      <c r="X22" s="131">
        <f t="shared" si="55"/>
        <v>0</v>
      </c>
      <c r="Y22" s="131">
        <f t="shared" si="56"/>
        <v>0</v>
      </c>
      <c r="Z22" s="131">
        <f t="shared" si="57"/>
        <v>0</v>
      </c>
      <c r="AA22" s="131">
        <f t="shared" si="58"/>
        <v>0</v>
      </c>
      <c r="AB22" s="131">
        <f t="shared" si="59"/>
        <v>0</v>
      </c>
      <c r="AC22" s="131">
        <f t="shared" si="60"/>
        <v>0</v>
      </c>
      <c r="AD22" s="131">
        <f t="shared" si="61"/>
        <v>0</v>
      </c>
      <c r="AE22" s="131">
        <f t="shared" si="62"/>
        <v>0</v>
      </c>
      <c r="AG22" s="108" t="e">
        <f t="shared" si="63"/>
        <v>#DIV/0!</v>
      </c>
    </row>
    <row r="23" spans="2:33" ht="12.75" customHeight="1">
      <c r="B23" s="21" t="s">
        <v>112</v>
      </c>
      <c r="C23" s="132"/>
      <c r="D23" s="132"/>
      <c r="E23" s="132"/>
      <c r="F23" s="132"/>
      <c r="G23" s="80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5"/>
      <c r="V23" s="131">
        <f t="shared" si="53"/>
        <v>0</v>
      </c>
      <c r="W23" s="131">
        <f t="shared" si="54"/>
        <v>0</v>
      </c>
      <c r="X23" s="131">
        <f t="shared" si="55"/>
        <v>0</v>
      </c>
      <c r="Y23" s="131">
        <f t="shared" si="56"/>
        <v>0</v>
      </c>
      <c r="Z23" s="131">
        <f t="shared" si="57"/>
        <v>0</v>
      </c>
      <c r="AA23" s="131">
        <f t="shared" si="58"/>
        <v>0</v>
      </c>
      <c r="AB23" s="131">
        <f t="shared" si="59"/>
        <v>0</v>
      </c>
      <c r="AC23" s="131">
        <f t="shared" si="60"/>
        <v>0</v>
      </c>
      <c r="AD23" s="131">
        <f t="shared" si="61"/>
        <v>0</v>
      </c>
      <c r="AE23" s="131">
        <f t="shared" si="62"/>
        <v>0</v>
      </c>
      <c r="AG23" s="108" t="e">
        <f t="shared" si="63"/>
        <v>#DIV/0!</v>
      </c>
    </row>
    <row r="24" spans="2:33" ht="12.75" customHeight="1">
      <c r="B24" s="21" t="s">
        <v>112</v>
      </c>
      <c r="C24" s="132"/>
      <c r="D24" s="132"/>
      <c r="E24" s="132"/>
      <c r="F24" s="132"/>
      <c r="G24" s="8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5"/>
      <c r="V24" s="131">
        <f t="shared" si="43"/>
        <v>0</v>
      </c>
      <c r="W24" s="131">
        <f t="shared" si="44"/>
        <v>0</v>
      </c>
      <c r="X24" s="131">
        <f t="shared" si="45"/>
        <v>0</v>
      </c>
      <c r="Y24" s="131">
        <f t="shared" si="46"/>
        <v>0</v>
      </c>
      <c r="Z24" s="131">
        <f t="shared" si="47"/>
        <v>0</v>
      </c>
      <c r="AA24" s="131">
        <f t="shared" si="48"/>
        <v>0</v>
      </c>
      <c r="AB24" s="131">
        <f t="shared" si="49"/>
        <v>0</v>
      </c>
      <c r="AC24" s="131">
        <f t="shared" si="50"/>
        <v>0</v>
      </c>
      <c r="AD24" s="131">
        <f t="shared" si="51"/>
        <v>0</v>
      </c>
      <c r="AE24" s="131">
        <f t="shared" si="52"/>
        <v>0</v>
      </c>
      <c r="AG24" s="108" t="e">
        <f>SUM(AE24/AA24)-1</f>
        <v>#DIV/0!</v>
      </c>
    </row>
    <row r="25" spans="2:33" ht="12.75" customHeight="1">
      <c r="B25" s="12" t="s">
        <v>28</v>
      </c>
      <c r="C25" s="13">
        <f>SUM(C17+SUM(C20:C24))</f>
        <v>0</v>
      </c>
      <c r="D25" s="13">
        <f>SUM(D17+SUM(D20:D24))</f>
        <v>0</v>
      </c>
      <c r="E25" s="13">
        <f>SUM(E17+SUM(E20:E24))</f>
        <v>0</v>
      </c>
      <c r="F25" s="13">
        <f>SUM(F17+SUM(F20:F24))</f>
        <v>0</v>
      </c>
      <c r="G25" s="11"/>
      <c r="H25" s="13">
        <f t="shared" ref="H25:S25" si="64">SUM(H17+SUM(H20:H24))</f>
        <v>0</v>
      </c>
      <c r="I25" s="13">
        <f t="shared" si="64"/>
        <v>0</v>
      </c>
      <c r="J25" s="13">
        <f t="shared" si="64"/>
        <v>0</v>
      </c>
      <c r="K25" s="13">
        <f t="shared" si="64"/>
        <v>0</v>
      </c>
      <c r="L25" s="13">
        <f t="shared" si="64"/>
        <v>0</v>
      </c>
      <c r="M25" s="13">
        <f t="shared" si="64"/>
        <v>0</v>
      </c>
      <c r="N25" s="13">
        <f t="shared" si="64"/>
        <v>0</v>
      </c>
      <c r="O25" s="13">
        <f t="shared" si="64"/>
        <v>0</v>
      </c>
      <c r="P25" s="13">
        <f t="shared" si="64"/>
        <v>0</v>
      </c>
      <c r="Q25" s="13">
        <f t="shared" si="64"/>
        <v>0</v>
      </c>
      <c r="R25" s="13">
        <f t="shared" si="64"/>
        <v>0</v>
      </c>
      <c r="S25" s="13">
        <f t="shared" si="64"/>
        <v>0</v>
      </c>
      <c r="T25" s="13">
        <f t="shared" ref="T25" si="65">SUM(T17+SUM(T20:T24))</f>
        <v>0</v>
      </c>
      <c r="U25" s="5"/>
      <c r="V25" s="13">
        <f t="shared" ref="V25:AE25" si="66">SUM(V17+SUM(V20:V24))</f>
        <v>0</v>
      </c>
      <c r="W25" s="13">
        <f t="shared" si="66"/>
        <v>0</v>
      </c>
      <c r="X25" s="13">
        <f t="shared" si="66"/>
        <v>0</v>
      </c>
      <c r="Y25" s="13">
        <f t="shared" si="66"/>
        <v>0</v>
      </c>
      <c r="Z25" s="13">
        <f t="shared" si="66"/>
        <v>0</v>
      </c>
      <c r="AA25" s="13">
        <f t="shared" si="66"/>
        <v>0</v>
      </c>
      <c r="AB25" s="13">
        <f t="shared" si="66"/>
        <v>0</v>
      </c>
      <c r="AC25" s="13">
        <f t="shared" si="66"/>
        <v>0</v>
      </c>
      <c r="AD25" s="13">
        <f t="shared" si="66"/>
        <v>0</v>
      </c>
      <c r="AE25" s="13">
        <f t="shared" si="66"/>
        <v>0</v>
      </c>
      <c r="AG25" s="109" t="e">
        <f>SUM(AE25/AA25)-1</f>
        <v>#DIV/0!</v>
      </c>
    </row>
    <row r="26" spans="2:33" ht="12.75" customHeight="1">
      <c r="B26" s="14" t="s">
        <v>29</v>
      </c>
      <c r="C26" s="15" t="e">
        <f>C25/C12</f>
        <v>#DIV/0!</v>
      </c>
      <c r="D26" s="15" t="e">
        <f>D25/D12</f>
        <v>#DIV/0!</v>
      </c>
      <c r="E26" s="15" t="e">
        <f>E25/E12</f>
        <v>#DIV/0!</v>
      </c>
      <c r="F26" s="15" t="e">
        <f>F25/F12</f>
        <v>#DIV/0!</v>
      </c>
      <c r="G26" s="25"/>
      <c r="H26" s="15" t="e">
        <f t="shared" ref="H26:S26" si="67">H25/H12</f>
        <v>#DIV/0!</v>
      </c>
      <c r="I26" s="15" t="e">
        <f t="shared" si="67"/>
        <v>#DIV/0!</v>
      </c>
      <c r="J26" s="15" t="e">
        <f t="shared" si="67"/>
        <v>#DIV/0!</v>
      </c>
      <c r="K26" s="15" t="e">
        <f t="shared" si="67"/>
        <v>#DIV/0!</v>
      </c>
      <c r="L26" s="15" t="e">
        <f t="shared" si="67"/>
        <v>#DIV/0!</v>
      </c>
      <c r="M26" s="15" t="e">
        <f t="shared" si="67"/>
        <v>#DIV/0!</v>
      </c>
      <c r="N26" s="15" t="e">
        <f t="shared" si="67"/>
        <v>#DIV/0!</v>
      </c>
      <c r="O26" s="15" t="e">
        <f t="shared" si="67"/>
        <v>#DIV/0!</v>
      </c>
      <c r="P26" s="15" t="e">
        <f t="shared" si="67"/>
        <v>#DIV/0!</v>
      </c>
      <c r="Q26" s="15" t="e">
        <f t="shared" si="67"/>
        <v>#DIV/0!</v>
      </c>
      <c r="R26" s="15" t="e">
        <f t="shared" si="67"/>
        <v>#DIV/0!</v>
      </c>
      <c r="S26" s="15" t="e">
        <f t="shared" si="67"/>
        <v>#DIV/0!</v>
      </c>
      <c r="T26" s="15" t="e">
        <f t="shared" ref="T26" si="68">T25/T12</f>
        <v>#DIV/0!</v>
      </c>
      <c r="U26" s="26"/>
      <c r="V26" s="15" t="e">
        <f t="shared" ref="V26:AE26" si="69">V25/V12</f>
        <v>#DIV/0!</v>
      </c>
      <c r="W26" s="15" t="e">
        <f t="shared" si="69"/>
        <v>#DIV/0!</v>
      </c>
      <c r="X26" s="15" t="e">
        <f t="shared" si="69"/>
        <v>#DIV/0!</v>
      </c>
      <c r="Y26" s="15" t="e">
        <f t="shared" si="69"/>
        <v>#DIV/0!</v>
      </c>
      <c r="Z26" s="15" t="e">
        <f t="shared" si="69"/>
        <v>#DIV/0!</v>
      </c>
      <c r="AA26" s="15" t="e">
        <f t="shared" si="69"/>
        <v>#DIV/0!</v>
      </c>
      <c r="AB26" s="15" t="e">
        <f t="shared" si="69"/>
        <v>#DIV/0!</v>
      </c>
      <c r="AC26" s="15" t="e">
        <f t="shared" si="69"/>
        <v>#DIV/0!</v>
      </c>
      <c r="AD26" s="15" t="e">
        <f t="shared" si="69"/>
        <v>#DIV/0!</v>
      </c>
      <c r="AE26" s="15" t="e">
        <f t="shared" si="69"/>
        <v>#DIV/0!</v>
      </c>
      <c r="AG26" s="110" t="e">
        <f>SUM(AE26-AA26)*10000</f>
        <v>#DIV/0!</v>
      </c>
    </row>
    <row r="27" spans="2:33" ht="5.0999999999999996" customHeight="1">
      <c r="AG27" s="107"/>
    </row>
    <row r="28" spans="2:33" ht="12.75" customHeight="1">
      <c r="B28" s="29" t="s">
        <v>96</v>
      </c>
      <c r="C28" s="132"/>
      <c r="D28" s="132"/>
      <c r="E28" s="132"/>
      <c r="F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V28" s="131">
        <f t="shared" ref="V28" si="70">SUM(H28:K28)</f>
        <v>0</v>
      </c>
      <c r="W28" s="131">
        <f t="shared" ref="W28" si="71">SUM(I28:L28)</f>
        <v>0</v>
      </c>
      <c r="X28" s="131">
        <f t="shared" ref="X28" si="72">SUM(J28:M28)</f>
        <v>0</v>
      </c>
      <c r="Y28" s="131">
        <f t="shared" ref="Y28" si="73">SUM(K28:N28)</f>
        <v>0</v>
      </c>
      <c r="Z28" s="131">
        <f t="shared" ref="Z28" si="74">SUM(L28:O28)</f>
        <v>0</v>
      </c>
      <c r="AA28" s="131">
        <f t="shared" ref="AA28" si="75">SUM(M28:P28)</f>
        <v>0</v>
      </c>
      <c r="AB28" s="131">
        <f t="shared" ref="AB28" si="76">SUM(N28:Q28)</f>
        <v>0</v>
      </c>
      <c r="AC28" s="131">
        <f t="shared" ref="AC28" si="77">SUM(O28:R28)</f>
        <v>0</v>
      </c>
      <c r="AD28" s="131">
        <f t="shared" ref="AD28" si="78">SUM(P28:S28)</f>
        <v>0</v>
      </c>
      <c r="AE28" s="131">
        <f>SUM(Q28:T28)</f>
        <v>0</v>
      </c>
      <c r="AG28" s="108" t="e">
        <f>SUM(AE28/AA28)-1</f>
        <v>#DIV/0!</v>
      </c>
    </row>
    <row r="29" spans="2:33" ht="12.75" customHeight="1">
      <c r="B29" s="23" t="s">
        <v>7</v>
      </c>
      <c r="C29" s="24">
        <f t="shared" ref="C29:F29" si="79">SUM(C25+SUM(C28:C28))</f>
        <v>0</v>
      </c>
      <c r="D29" s="24">
        <f t="shared" si="79"/>
        <v>0</v>
      </c>
      <c r="E29" s="24">
        <f t="shared" si="79"/>
        <v>0</v>
      </c>
      <c r="F29" s="24">
        <f t="shared" si="79"/>
        <v>0</v>
      </c>
      <c r="H29" s="24">
        <f t="shared" ref="H29:Q29" si="80">SUM(H25+SUM(H28:H28))</f>
        <v>0</v>
      </c>
      <c r="I29" s="24">
        <f t="shared" si="80"/>
        <v>0</v>
      </c>
      <c r="J29" s="24">
        <f t="shared" si="80"/>
        <v>0</v>
      </c>
      <c r="K29" s="24">
        <f t="shared" si="80"/>
        <v>0</v>
      </c>
      <c r="L29" s="24">
        <f t="shared" si="80"/>
        <v>0</v>
      </c>
      <c r="M29" s="24">
        <f t="shared" si="80"/>
        <v>0</v>
      </c>
      <c r="N29" s="24">
        <f t="shared" si="80"/>
        <v>0</v>
      </c>
      <c r="O29" s="24">
        <f t="shared" si="80"/>
        <v>0</v>
      </c>
      <c r="P29" s="24">
        <f t="shared" si="80"/>
        <v>0</v>
      </c>
      <c r="Q29" s="24">
        <f t="shared" si="80"/>
        <v>0</v>
      </c>
      <c r="R29" s="24">
        <f t="shared" ref="R29:S29" si="81">SUM(R25+SUM(R28:R28))</f>
        <v>0</v>
      </c>
      <c r="S29" s="24">
        <f t="shared" si="81"/>
        <v>0</v>
      </c>
      <c r="T29" s="24">
        <f t="shared" ref="T29" si="82">SUM(T25+SUM(T28:T28))</f>
        <v>0</v>
      </c>
      <c r="V29" s="24">
        <f t="shared" ref="V29" si="83">SUM(V25+SUM(V28:V28))</f>
        <v>0</v>
      </c>
      <c r="W29" s="24">
        <f t="shared" ref="W29:AE29" si="84">SUM(W25+SUM(W28:W28))</f>
        <v>0</v>
      </c>
      <c r="X29" s="24">
        <f t="shared" si="84"/>
        <v>0</v>
      </c>
      <c r="Y29" s="24">
        <f t="shared" si="84"/>
        <v>0</v>
      </c>
      <c r="Z29" s="24">
        <f t="shared" si="84"/>
        <v>0</v>
      </c>
      <c r="AA29" s="24">
        <f t="shared" si="84"/>
        <v>0</v>
      </c>
      <c r="AB29" s="24">
        <f t="shared" si="84"/>
        <v>0</v>
      </c>
      <c r="AC29" s="24">
        <f t="shared" si="84"/>
        <v>0</v>
      </c>
      <c r="AD29" s="24">
        <f t="shared" si="84"/>
        <v>0</v>
      </c>
      <c r="AE29" s="24">
        <f t="shared" si="84"/>
        <v>0</v>
      </c>
      <c r="AG29" s="109" t="e">
        <f>SUM(AE29/AA29)-1</f>
        <v>#DIV/0!</v>
      </c>
    </row>
    <row r="30" spans="2:33" ht="12.75" customHeight="1">
      <c r="B30" s="14" t="s">
        <v>30</v>
      </c>
      <c r="C30" s="15" t="e">
        <f>C29/C12</f>
        <v>#DIV/0!</v>
      </c>
      <c r="D30" s="15" t="e">
        <f>D29/D12</f>
        <v>#DIV/0!</v>
      </c>
      <c r="E30" s="15" t="e">
        <f>E29/E12</f>
        <v>#DIV/0!</v>
      </c>
      <c r="F30" s="15" t="e">
        <f>F29/F12</f>
        <v>#DIV/0!</v>
      </c>
      <c r="H30" s="15" t="e">
        <f t="shared" ref="H30:S30" si="85">H29/H12</f>
        <v>#DIV/0!</v>
      </c>
      <c r="I30" s="15" t="e">
        <f t="shared" si="85"/>
        <v>#DIV/0!</v>
      </c>
      <c r="J30" s="15" t="e">
        <f t="shared" si="85"/>
        <v>#DIV/0!</v>
      </c>
      <c r="K30" s="15" t="e">
        <f t="shared" si="85"/>
        <v>#DIV/0!</v>
      </c>
      <c r="L30" s="15" t="e">
        <f t="shared" si="85"/>
        <v>#DIV/0!</v>
      </c>
      <c r="M30" s="15" t="e">
        <f t="shared" si="85"/>
        <v>#DIV/0!</v>
      </c>
      <c r="N30" s="15" t="e">
        <f t="shared" si="85"/>
        <v>#DIV/0!</v>
      </c>
      <c r="O30" s="15" t="e">
        <f t="shared" si="85"/>
        <v>#DIV/0!</v>
      </c>
      <c r="P30" s="15" t="e">
        <f t="shared" si="85"/>
        <v>#DIV/0!</v>
      </c>
      <c r="Q30" s="15" t="e">
        <f t="shared" si="85"/>
        <v>#DIV/0!</v>
      </c>
      <c r="R30" s="15" t="e">
        <f t="shared" si="85"/>
        <v>#DIV/0!</v>
      </c>
      <c r="S30" s="15" t="e">
        <f t="shared" si="85"/>
        <v>#DIV/0!</v>
      </c>
      <c r="T30" s="15" t="e">
        <f t="shared" ref="T30" si="86">T29/T12</f>
        <v>#DIV/0!</v>
      </c>
      <c r="V30" s="15" t="e">
        <f t="shared" ref="V30:AE30" si="87">V29/V12</f>
        <v>#DIV/0!</v>
      </c>
      <c r="W30" s="15" t="e">
        <f t="shared" si="87"/>
        <v>#DIV/0!</v>
      </c>
      <c r="X30" s="15" t="e">
        <f t="shared" si="87"/>
        <v>#DIV/0!</v>
      </c>
      <c r="Y30" s="15" t="e">
        <f t="shared" si="87"/>
        <v>#DIV/0!</v>
      </c>
      <c r="Z30" s="15" t="e">
        <f t="shared" si="87"/>
        <v>#DIV/0!</v>
      </c>
      <c r="AA30" s="15" t="e">
        <f t="shared" si="87"/>
        <v>#DIV/0!</v>
      </c>
      <c r="AB30" s="15" t="e">
        <f t="shared" si="87"/>
        <v>#DIV/0!</v>
      </c>
      <c r="AC30" s="15" t="e">
        <f t="shared" si="87"/>
        <v>#DIV/0!</v>
      </c>
      <c r="AD30" s="15" t="e">
        <f t="shared" si="87"/>
        <v>#DIV/0!</v>
      </c>
      <c r="AE30" s="15" t="e">
        <f t="shared" si="87"/>
        <v>#DIV/0!</v>
      </c>
      <c r="AG30" s="110" t="e">
        <f>SUM(AE30-AA30)*10000</f>
        <v>#DIV/0!</v>
      </c>
    </row>
    <row r="31" spans="2:33" ht="5.0999999999999996" customHeight="1">
      <c r="AG31" s="107"/>
    </row>
    <row r="32" spans="2:33" ht="12.75" customHeight="1">
      <c r="B32" s="29" t="s">
        <v>97</v>
      </c>
      <c r="C32" s="132"/>
      <c r="D32" s="132"/>
      <c r="E32" s="132"/>
      <c r="F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V32" s="131">
        <f t="shared" ref="V32:V33" si="88">SUM(H32:K32)</f>
        <v>0</v>
      </c>
      <c r="W32" s="131">
        <f t="shared" ref="W32:W33" si="89">SUM(I32:L32)</f>
        <v>0</v>
      </c>
      <c r="X32" s="131">
        <f t="shared" ref="X32:X33" si="90">SUM(J32:M32)</f>
        <v>0</v>
      </c>
      <c r="Y32" s="131">
        <f t="shared" ref="Y32:Y33" si="91">SUM(K32:N32)</f>
        <v>0</v>
      </c>
      <c r="Z32" s="131">
        <f t="shared" ref="Z32:Z33" si="92">SUM(L32:O32)</f>
        <v>0</v>
      </c>
      <c r="AA32" s="131">
        <f t="shared" ref="AA32:AA33" si="93">SUM(M32:P32)</f>
        <v>0</v>
      </c>
      <c r="AB32" s="131">
        <f t="shared" ref="AB32:AB33" si="94">SUM(N32:Q32)</f>
        <v>0</v>
      </c>
      <c r="AC32" s="131">
        <f t="shared" ref="AC32:AC33" si="95">SUM(O32:R32)</f>
        <v>0</v>
      </c>
      <c r="AD32" s="131">
        <f t="shared" ref="AD32:AD33" si="96">SUM(P32:S32)</f>
        <v>0</v>
      </c>
      <c r="AE32" s="131">
        <f t="shared" ref="AE32:AE33" si="97">SUM(Q32:T32)</f>
        <v>0</v>
      </c>
      <c r="AG32" s="108" t="e">
        <f>SUM(AE32/AA32)-1</f>
        <v>#DIV/0!</v>
      </c>
    </row>
    <row r="33" spans="2:33" ht="12.75" customHeight="1">
      <c r="B33" s="29" t="s">
        <v>111</v>
      </c>
      <c r="C33" s="135"/>
      <c r="D33" s="135"/>
      <c r="E33" s="135"/>
      <c r="F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V33" s="131">
        <f t="shared" si="88"/>
        <v>0</v>
      </c>
      <c r="W33" s="131">
        <f t="shared" si="89"/>
        <v>0</v>
      </c>
      <c r="X33" s="131">
        <f t="shared" si="90"/>
        <v>0</v>
      </c>
      <c r="Y33" s="131">
        <f t="shared" si="91"/>
        <v>0</v>
      </c>
      <c r="Z33" s="131">
        <f t="shared" si="92"/>
        <v>0</v>
      </c>
      <c r="AA33" s="131">
        <f t="shared" si="93"/>
        <v>0</v>
      </c>
      <c r="AB33" s="131">
        <f t="shared" si="94"/>
        <v>0</v>
      </c>
      <c r="AC33" s="131">
        <f t="shared" si="95"/>
        <v>0</v>
      </c>
      <c r="AD33" s="131">
        <f t="shared" si="96"/>
        <v>0</v>
      </c>
      <c r="AE33" s="131">
        <f t="shared" si="97"/>
        <v>0</v>
      </c>
      <c r="AG33" s="108" t="e">
        <f>SUM(AE33/AA33)-1</f>
        <v>#DIV/0!</v>
      </c>
    </row>
    <row r="34" spans="2:33" ht="12.75" customHeight="1">
      <c r="B34" s="12" t="s">
        <v>31</v>
      </c>
      <c r="C34" s="13">
        <f t="shared" ref="C34:F34" si="98">+SUM(C29+SUM(C32:C32))</f>
        <v>0</v>
      </c>
      <c r="D34" s="13">
        <f t="shared" si="98"/>
        <v>0</v>
      </c>
      <c r="E34" s="13">
        <f t="shared" si="98"/>
        <v>0</v>
      </c>
      <c r="F34" s="13">
        <f t="shared" si="98"/>
        <v>0</v>
      </c>
      <c r="G34" s="11"/>
      <c r="H34" s="13">
        <f>+SUM(H29+SUM(H32:H32))</f>
        <v>0</v>
      </c>
      <c r="I34" s="13">
        <f>+SUM(I29+SUM(I32:I32))</f>
        <v>0</v>
      </c>
      <c r="J34" s="13">
        <f>+SUM(J29+SUM(J32:J32))</f>
        <v>0</v>
      </c>
      <c r="K34" s="13">
        <f>+SUM(K29+SUM(K32:K32))</f>
        <v>0</v>
      </c>
      <c r="L34" s="13">
        <f t="shared" ref="L34:Q34" si="99">+SUM(L29+SUM(L32:L32))</f>
        <v>0</v>
      </c>
      <c r="M34" s="13">
        <f t="shared" si="99"/>
        <v>0</v>
      </c>
      <c r="N34" s="13">
        <f t="shared" si="99"/>
        <v>0</v>
      </c>
      <c r="O34" s="13">
        <f t="shared" si="99"/>
        <v>0</v>
      </c>
      <c r="P34" s="13">
        <f t="shared" si="99"/>
        <v>0</v>
      </c>
      <c r="Q34" s="13">
        <f t="shared" si="99"/>
        <v>0</v>
      </c>
      <c r="R34" s="13">
        <f t="shared" ref="R34:S34" si="100">+SUM(R29+SUM(R32:R32))</f>
        <v>0</v>
      </c>
      <c r="S34" s="13">
        <f t="shared" si="100"/>
        <v>0</v>
      </c>
      <c r="T34" s="13">
        <f t="shared" ref="T34" si="101">+SUM(T29+SUM(T32:T32))</f>
        <v>0</v>
      </c>
      <c r="V34" s="13">
        <f t="shared" ref="V34" si="102">+SUM(V29+SUM(V32:V32))</f>
        <v>0</v>
      </c>
      <c r="W34" s="13">
        <f t="shared" ref="W34:AE34" si="103">+SUM(W29+SUM(W32:W32))</f>
        <v>0</v>
      </c>
      <c r="X34" s="13">
        <f t="shared" si="103"/>
        <v>0</v>
      </c>
      <c r="Y34" s="13">
        <f t="shared" si="103"/>
        <v>0</v>
      </c>
      <c r="Z34" s="13">
        <f t="shared" si="103"/>
        <v>0</v>
      </c>
      <c r="AA34" s="13">
        <f t="shared" si="103"/>
        <v>0</v>
      </c>
      <c r="AB34" s="13">
        <f t="shared" si="103"/>
        <v>0</v>
      </c>
      <c r="AC34" s="13">
        <f t="shared" si="103"/>
        <v>0</v>
      </c>
      <c r="AD34" s="13">
        <f t="shared" si="103"/>
        <v>0</v>
      </c>
      <c r="AE34" s="13">
        <f t="shared" si="103"/>
        <v>0</v>
      </c>
      <c r="AG34" s="109" t="e">
        <f>SUM(AE34/AA34)-1</f>
        <v>#DIV/0!</v>
      </c>
    </row>
    <row r="35" spans="2:33" ht="12.75" customHeight="1">
      <c r="B35" s="14" t="s">
        <v>32</v>
      </c>
      <c r="C35" s="15" t="e">
        <f>C34/C12</f>
        <v>#DIV/0!</v>
      </c>
      <c r="D35" s="15" t="e">
        <f>D34/D12</f>
        <v>#DIV/0!</v>
      </c>
      <c r="E35" s="15" t="e">
        <f>E34/E12</f>
        <v>#DIV/0!</v>
      </c>
      <c r="F35" s="15" t="e">
        <f>F34/F12</f>
        <v>#DIV/0!</v>
      </c>
      <c r="H35" s="15" t="e">
        <f t="shared" ref="H35:S35" si="104">H34/H12</f>
        <v>#DIV/0!</v>
      </c>
      <c r="I35" s="15" t="e">
        <f t="shared" si="104"/>
        <v>#DIV/0!</v>
      </c>
      <c r="J35" s="15" t="e">
        <f t="shared" si="104"/>
        <v>#DIV/0!</v>
      </c>
      <c r="K35" s="15" t="e">
        <f t="shared" si="104"/>
        <v>#DIV/0!</v>
      </c>
      <c r="L35" s="15" t="e">
        <f t="shared" si="104"/>
        <v>#DIV/0!</v>
      </c>
      <c r="M35" s="15" t="e">
        <f t="shared" si="104"/>
        <v>#DIV/0!</v>
      </c>
      <c r="N35" s="15" t="e">
        <f t="shared" si="104"/>
        <v>#DIV/0!</v>
      </c>
      <c r="O35" s="15" t="e">
        <f t="shared" si="104"/>
        <v>#DIV/0!</v>
      </c>
      <c r="P35" s="15" t="e">
        <f t="shared" si="104"/>
        <v>#DIV/0!</v>
      </c>
      <c r="Q35" s="15" t="e">
        <f t="shared" si="104"/>
        <v>#DIV/0!</v>
      </c>
      <c r="R35" s="15" t="e">
        <f t="shared" si="104"/>
        <v>#DIV/0!</v>
      </c>
      <c r="S35" s="15" t="e">
        <f t="shared" si="104"/>
        <v>#DIV/0!</v>
      </c>
      <c r="T35" s="15" t="e">
        <f t="shared" ref="T35" si="105">T34/T12</f>
        <v>#DIV/0!</v>
      </c>
      <c r="V35" s="15" t="e">
        <f t="shared" ref="V35:AE35" si="106">V34/V12</f>
        <v>#DIV/0!</v>
      </c>
      <c r="W35" s="15" t="e">
        <f t="shared" si="106"/>
        <v>#DIV/0!</v>
      </c>
      <c r="X35" s="15" t="e">
        <f t="shared" si="106"/>
        <v>#DIV/0!</v>
      </c>
      <c r="Y35" s="15" t="e">
        <f t="shared" si="106"/>
        <v>#DIV/0!</v>
      </c>
      <c r="Z35" s="15" t="e">
        <f t="shared" si="106"/>
        <v>#DIV/0!</v>
      </c>
      <c r="AA35" s="15" t="e">
        <f t="shared" si="106"/>
        <v>#DIV/0!</v>
      </c>
      <c r="AB35" s="15" t="e">
        <f t="shared" si="106"/>
        <v>#DIV/0!</v>
      </c>
      <c r="AC35" s="15" t="e">
        <f t="shared" si="106"/>
        <v>#DIV/0!</v>
      </c>
      <c r="AD35" s="15" t="e">
        <f t="shared" si="106"/>
        <v>#DIV/0!</v>
      </c>
      <c r="AE35" s="15" t="e">
        <f t="shared" si="106"/>
        <v>#DIV/0!</v>
      </c>
      <c r="AG35" s="110" t="e">
        <f>SUM(AE35-AA35)*10000</f>
        <v>#DIV/0!</v>
      </c>
    </row>
    <row r="36" spans="2:33" ht="5.0999999999999996" customHeight="1">
      <c r="AG36" s="107"/>
    </row>
    <row r="37" spans="2:33" ht="12.75" customHeight="1">
      <c r="B37" s="21" t="s">
        <v>33</v>
      </c>
      <c r="C37" s="132"/>
      <c r="D37" s="132"/>
      <c r="E37" s="132"/>
      <c r="F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V37" s="131">
        <f t="shared" ref="V37:V41" si="107">SUM(H37:K37)</f>
        <v>0</v>
      </c>
      <c r="W37" s="131">
        <f t="shared" ref="W37:W41" si="108">SUM(I37:L37)</f>
        <v>0</v>
      </c>
      <c r="X37" s="131">
        <f t="shared" ref="X37:X41" si="109">SUM(J37:M37)</f>
        <v>0</v>
      </c>
      <c r="Y37" s="131">
        <f t="shared" ref="Y37:Y41" si="110">SUM(K37:N37)</f>
        <v>0</v>
      </c>
      <c r="Z37" s="131">
        <f t="shared" ref="Z37:Z41" si="111">SUM(L37:O37)</f>
        <v>0</v>
      </c>
      <c r="AA37" s="131">
        <f t="shared" ref="AA37:AA41" si="112">SUM(M37:P37)</f>
        <v>0</v>
      </c>
      <c r="AB37" s="131">
        <f t="shared" ref="AB37:AB41" si="113">SUM(N37:Q37)</f>
        <v>0</v>
      </c>
      <c r="AC37" s="131">
        <f t="shared" ref="AC37:AC41" si="114">SUM(O37:R37)</f>
        <v>0</v>
      </c>
      <c r="AD37" s="131">
        <f t="shared" ref="AD37:AD41" si="115">SUM(P37:S37)</f>
        <v>0</v>
      </c>
      <c r="AE37" s="131">
        <f t="shared" ref="AE37:AE41" si="116">SUM(Q37:T37)</f>
        <v>0</v>
      </c>
      <c r="AG37" s="108" t="e">
        <f t="shared" ref="AG37:AG42" si="117">SUM(AE37/AA37)-1</f>
        <v>#DIV/0!</v>
      </c>
    </row>
    <row r="38" spans="2:33" ht="12.75" customHeight="1">
      <c r="B38" s="21" t="s">
        <v>34</v>
      </c>
      <c r="C38" s="132"/>
      <c r="D38" s="132"/>
      <c r="E38" s="132"/>
      <c r="F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V38" s="131">
        <f t="shared" si="107"/>
        <v>0</v>
      </c>
      <c r="W38" s="131">
        <f t="shared" si="108"/>
        <v>0</v>
      </c>
      <c r="X38" s="131">
        <f t="shared" si="109"/>
        <v>0</v>
      </c>
      <c r="Y38" s="131">
        <f t="shared" si="110"/>
        <v>0</v>
      </c>
      <c r="Z38" s="131">
        <f t="shared" si="111"/>
        <v>0</v>
      </c>
      <c r="AA38" s="131">
        <f t="shared" si="112"/>
        <v>0</v>
      </c>
      <c r="AB38" s="131">
        <f t="shared" si="113"/>
        <v>0</v>
      </c>
      <c r="AC38" s="131">
        <f t="shared" si="114"/>
        <v>0</v>
      </c>
      <c r="AD38" s="131">
        <f t="shared" si="115"/>
        <v>0</v>
      </c>
      <c r="AE38" s="131">
        <f t="shared" si="116"/>
        <v>0</v>
      </c>
      <c r="AG38" s="108" t="e">
        <f t="shared" si="117"/>
        <v>#DIV/0!</v>
      </c>
    </row>
    <row r="39" spans="2:33" ht="12.75" customHeight="1">
      <c r="B39" s="21" t="s">
        <v>71</v>
      </c>
      <c r="C39" s="132"/>
      <c r="D39" s="132"/>
      <c r="E39" s="132"/>
      <c r="F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V39" s="131">
        <f t="shared" si="107"/>
        <v>0</v>
      </c>
      <c r="W39" s="131">
        <f t="shared" si="108"/>
        <v>0</v>
      </c>
      <c r="X39" s="131">
        <f t="shared" si="109"/>
        <v>0</v>
      </c>
      <c r="Y39" s="131">
        <f t="shared" si="110"/>
        <v>0</v>
      </c>
      <c r="Z39" s="131">
        <f t="shared" si="111"/>
        <v>0</v>
      </c>
      <c r="AA39" s="131">
        <f t="shared" si="112"/>
        <v>0</v>
      </c>
      <c r="AB39" s="131">
        <f t="shared" si="113"/>
        <v>0</v>
      </c>
      <c r="AC39" s="131">
        <f t="shared" si="114"/>
        <v>0</v>
      </c>
      <c r="AD39" s="131">
        <f t="shared" si="115"/>
        <v>0</v>
      </c>
      <c r="AE39" s="131">
        <f t="shared" si="116"/>
        <v>0</v>
      </c>
      <c r="AG39" s="108" t="e">
        <f t="shared" si="117"/>
        <v>#DIV/0!</v>
      </c>
    </row>
    <row r="40" spans="2:33" ht="12.75" customHeight="1">
      <c r="B40" s="21" t="s">
        <v>113</v>
      </c>
      <c r="C40" s="132"/>
      <c r="D40" s="132"/>
      <c r="E40" s="132"/>
      <c r="F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V40" s="131">
        <f t="shared" ref="V40" si="118">SUM(H40:K40)</f>
        <v>0</v>
      </c>
      <c r="W40" s="131">
        <f t="shared" ref="W40" si="119">SUM(I40:L40)</f>
        <v>0</v>
      </c>
      <c r="X40" s="131">
        <f t="shared" ref="X40" si="120">SUM(J40:M40)</f>
        <v>0</v>
      </c>
      <c r="Y40" s="131">
        <f t="shared" ref="Y40" si="121">SUM(K40:N40)</f>
        <v>0</v>
      </c>
      <c r="Z40" s="131">
        <f t="shared" ref="Z40" si="122">SUM(L40:O40)</f>
        <v>0</v>
      </c>
      <c r="AA40" s="131">
        <f t="shared" ref="AA40" si="123">SUM(M40:P40)</f>
        <v>0</v>
      </c>
      <c r="AB40" s="131">
        <f t="shared" ref="AB40" si="124">SUM(N40:Q40)</f>
        <v>0</v>
      </c>
      <c r="AC40" s="131">
        <f t="shared" ref="AC40" si="125">SUM(O40:R40)</f>
        <v>0</v>
      </c>
      <c r="AD40" s="131">
        <f t="shared" ref="AD40" si="126">SUM(P40:S40)</f>
        <v>0</v>
      </c>
      <c r="AE40" s="131">
        <f t="shared" ref="AE40" si="127">SUM(Q40:T40)</f>
        <v>0</v>
      </c>
      <c r="AG40" s="108" t="e">
        <f t="shared" si="117"/>
        <v>#DIV/0!</v>
      </c>
    </row>
    <row r="41" spans="2:33" ht="12.75" customHeight="1">
      <c r="B41" s="21" t="s">
        <v>35</v>
      </c>
      <c r="C41" s="132"/>
      <c r="D41" s="132"/>
      <c r="E41" s="132"/>
      <c r="F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V41" s="131">
        <f t="shared" si="107"/>
        <v>0</v>
      </c>
      <c r="W41" s="131">
        <f t="shared" si="108"/>
        <v>0</v>
      </c>
      <c r="X41" s="131">
        <f t="shared" si="109"/>
        <v>0</v>
      </c>
      <c r="Y41" s="131">
        <f t="shared" si="110"/>
        <v>0</v>
      </c>
      <c r="Z41" s="131">
        <f t="shared" si="111"/>
        <v>0</v>
      </c>
      <c r="AA41" s="131">
        <f t="shared" si="112"/>
        <v>0</v>
      </c>
      <c r="AB41" s="131">
        <f t="shared" si="113"/>
        <v>0</v>
      </c>
      <c r="AC41" s="131">
        <f t="shared" si="114"/>
        <v>0</v>
      </c>
      <c r="AD41" s="131">
        <f t="shared" si="115"/>
        <v>0</v>
      </c>
      <c r="AE41" s="131">
        <f t="shared" si="116"/>
        <v>0</v>
      </c>
      <c r="AG41" s="108" t="e">
        <f t="shared" si="117"/>
        <v>#DIV/0!</v>
      </c>
    </row>
    <row r="42" spans="2:33" ht="12.75" customHeight="1">
      <c r="B42" s="12" t="s">
        <v>36</v>
      </c>
      <c r="C42" s="13">
        <f>SUM(C34+SUM(C37:C41))</f>
        <v>0</v>
      </c>
      <c r="D42" s="13">
        <f>SUM(D34+SUM(D37:D41))</f>
        <v>0</v>
      </c>
      <c r="E42" s="13">
        <f>SUM(E34+SUM(E37:E41))</f>
        <v>0</v>
      </c>
      <c r="F42" s="13">
        <f>SUM(F34+SUM(F37:F41))</f>
        <v>0</v>
      </c>
      <c r="H42" s="13">
        <f>SUM(H34+SUM(H37:H41))</f>
        <v>0</v>
      </c>
      <c r="I42" s="13">
        <f>SUM(I34+SUM(I37:I41))</f>
        <v>0</v>
      </c>
      <c r="J42" s="13">
        <f>SUM(J34+SUM(J37:J41))</f>
        <v>0</v>
      </c>
      <c r="K42" s="13">
        <f>SUM(K34+SUM(K37:K41))</f>
        <v>0</v>
      </c>
      <c r="L42" s="13">
        <f t="shared" ref="L42:Q42" si="128">SUM(L34+SUM(L37:L41))</f>
        <v>0</v>
      </c>
      <c r="M42" s="13">
        <f t="shared" si="128"/>
        <v>0</v>
      </c>
      <c r="N42" s="13">
        <f t="shared" si="128"/>
        <v>0</v>
      </c>
      <c r="O42" s="13">
        <f t="shared" si="128"/>
        <v>0</v>
      </c>
      <c r="P42" s="13">
        <f t="shared" si="128"/>
        <v>0</v>
      </c>
      <c r="Q42" s="13">
        <f t="shared" si="128"/>
        <v>0</v>
      </c>
      <c r="R42" s="13">
        <f t="shared" ref="R42:S42" si="129">SUM(R34+SUM(R37:R41))</f>
        <v>0</v>
      </c>
      <c r="S42" s="13">
        <f t="shared" si="129"/>
        <v>0</v>
      </c>
      <c r="T42" s="13">
        <f t="shared" ref="T42" si="130">SUM(T34+SUM(T37:T41))</f>
        <v>0</v>
      </c>
      <c r="V42" s="13">
        <f t="shared" ref="V42" si="131">SUM(V34+SUM(V37:V41))</f>
        <v>0</v>
      </c>
      <c r="W42" s="13">
        <f t="shared" ref="W42:AC42" si="132">SUM(W34+SUM(W37:W41))</f>
        <v>0</v>
      </c>
      <c r="X42" s="13">
        <f t="shared" si="132"/>
        <v>0</v>
      </c>
      <c r="Y42" s="13">
        <f t="shared" si="132"/>
        <v>0</v>
      </c>
      <c r="Z42" s="13">
        <f t="shared" si="132"/>
        <v>0</v>
      </c>
      <c r="AA42" s="13">
        <f t="shared" si="132"/>
        <v>0</v>
      </c>
      <c r="AB42" s="13">
        <f t="shared" si="132"/>
        <v>0</v>
      </c>
      <c r="AC42" s="13">
        <f t="shared" si="132"/>
        <v>0</v>
      </c>
      <c r="AD42" s="13">
        <f>SUM(AD34+SUM(AD37:AD41))</f>
        <v>0</v>
      </c>
      <c r="AE42" s="13">
        <f>SUM(AE34+SUM(AE37:AE41))</f>
        <v>0</v>
      </c>
      <c r="AG42" s="109" t="e">
        <f t="shared" si="117"/>
        <v>#DIV/0!</v>
      </c>
    </row>
    <row r="43" spans="2:33" ht="5.0999999999999996" customHeight="1"/>
    <row r="44" spans="2:33" ht="12.75" customHeight="1">
      <c r="B44" s="29" t="s">
        <v>110</v>
      </c>
      <c r="C44" s="132"/>
      <c r="D44" s="132"/>
      <c r="E44" s="132"/>
      <c r="F44" s="132"/>
      <c r="G44" s="30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V44" s="131">
        <f t="shared" ref="V44:V49" si="133">SUM(H44:K44)</f>
        <v>0</v>
      </c>
      <c r="W44" s="131">
        <f t="shared" ref="W44:W49" si="134">SUM(I44:L44)</f>
        <v>0</v>
      </c>
      <c r="X44" s="131">
        <f t="shared" ref="X44:X49" si="135">SUM(J44:M44)</f>
        <v>0</v>
      </c>
      <c r="Y44" s="131">
        <f t="shared" ref="Y44:Y49" si="136">SUM(K44:N44)</f>
        <v>0</v>
      </c>
      <c r="Z44" s="131">
        <f t="shared" ref="Z44:Z49" si="137">SUM(L44:O44)</f>
        <v>0</v>
      </c>
      <c r="AA44" s="131">
        <f t="shared" ref="AA44:AA49" si="138">SUM(M44:P44)</f>
        <v>0</v>
      </c>
      <c r="AB44" s="131">
        <f t="shared" ref="AB44:AB49" si="139">SUM(N44:Q44)</f>
        <v>0</v>
      </c>
      <c r="AC44" s="131">
        <f t="shared" ref="AC44:AC49" si="140">SUM(O44:R44)</f>
        <v>0</v>
      </c>
      <c r="AD44" s="131">
        <f t="shared" ref="AD44:AD49" si="141">SUM(P44:S44)</f>
        <v>0</v>
      </c>
      <c r="AE44" s="131">
        <f t="shared" ref="AE44:AE49" si="142">SUM(Q44:T44)</f>
        <v>0</v>
      </c>
    </row>
    <row r="45" spans="2:33" ht="12.75" customHeight="1">
      <c r="B45" s="29" t="s">
        <v>110</v>
      </c>
      <c r="C45" s="132"/>
      <c r="D45" s="132"/>
      <c r="E45" s="132"/>
      <c r="F45" s="132"/>
      <c r="G45" s="30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V45" s="131">
        <f t="shared" si="133"/>
        <v>0</v>
      </c>
      <c r="W45" s="131">
        <f t="shared" si="134"/>
        <v>0</v>
      </c>
      <c r="X45" s="131">
        <f t="shared" si="135"/>
        <v>0</v>
      </c>
      <c r="Y45" s="131">
        <f t="shared" si="136"/>
        <v>0</v>
      </c>
      <c r="Z45" s="131">
        <f t="shared" si="137"/>
        <v>0</v>
      </c>
      <c r="AA45" s="131">
        <f t="shared" si="138"/>
        <v>0</v>
      </c>
      <c r="AB45" s="131">
        <f t="shared" si="139"/>
        <v>0</v>
      </c>
      <c r="AC45" s="131">
        <f t="shared" si="140"/>
        <v>0</v>
      </c>
      <c r="AD45" s="131">
        <f t="shared" si="141"/>
        <v>0</v>
      </c>
      <c r="AE45" s="131">
        <f t="shared" si="142"/>
        <v>0</v>
      </c>
    </row>
    <row r="46" spans="2:33" ht="12.75" customHeight="1">
      <c r="B46" s="29" t="s">
        <v>110</v>
      </c>
      <c r="C46" s="132"/>
      <c r="D46" s="132"/>
      <c r="E46" s="132"/>
      <c r="F46" s="132"/>
      <c r="G46" s="30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V46" s="131">
        <f t="shared" si="133"/>
        <v>0</v>
      </c>
      <c r="W46" s="131">
        <f t="shared" si="134"/>
        <v>0</v>
      </c>
      <c r="X46" s="131">
        <f t="shared" si="135"/>
        <v>0</v>
      </c>
      <c r="Y46" s="131">
        <f t="shared" si="136"/>
        <v>0</v>
      </c>
      <c r="Z46" s="131">
        <f t="shared" si="137"/>
        <v>0</v>
      </c>
      <c r="AA46" s="131">
        <f t="shared" si="138"/>
        <v>0</v>
      </c>
      <c r="AB46" s="131">
        <f t="shared" si="139"/>
        <v>0</v>
      </c>
      <c r="AC46" s="131">
        <f t="shared" si="140"/>
        <v>0</v>
      </c>
      <c r="AD46" s="131">
        <f t="shared" si="141"/>
        <v>0</v>
      </c>
      <c r="AE46" s="131">
        <f t="shared" si="142"/>
        <v>0</v>
      </c>
    </row>
    <row r="47" spans="2:33" ht="12.75" customHeight="1">
      <c r="B47" s="29" t="s">
        <v>110</v>
      </c>
      <c r="C47" s="132"/>
      <c r="D47" s="132"/>
      <c r="E47" s="132"/>
      <c r="F47" s="132"/>
      <c r="G47" s="30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V47" s="131">
        <f t="shared" si="133"/>
        <v>0</v>
      </c>
      <c r="W47" s="131">
        <f t="shared" si="134"/>
        <v>0</v>
      </c>
      <c r="X47" s="131">
        <f t="shared" si="135"/>
        <v>0</v>
      </c>
      <c r="Y47" s="131">
        <f t="shared" si="136"/>
        <v>0</v>
      </c>
      <c r="Z47" s="131">
        <f t="shared" si="137"/>
        <v>0</v>
      </c>
      <c r="AA47" s="131">
        <f t="shared" si="138"/>
        <v>0</v>
      </c>
      <c r="AB47" s="131">
        <f t="shared" si="139"/>
        <v>0</v>
      </c>
      <c r="AC47" s="131">
        <f t="shared" si="140"/>
        <v>0</v>
      </c>
      <c r="AD47" s="131">
        <f t="shared" si="141"/>
        <v>0</v>
      </c>
      <c r="AE47" s="131">
        <f t="shared" si="142"/>
        <v>0</v>
      </c>
    </row>
    <row r="48" spans="2:33" ht="12.75" customHeight="1">
      <c r="B48" s="29" t="s">
        <v>110</v>
      </c>
      <c r="C48" s="132"/>
      <c r="D48" s="132"/>
      <c r="E48" s="132"/>
      <c r="F48" s="132"/>
      <c r="G48" s="30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V48" s="131">
        <f t="shared" si="133"/>
        <v>0</v>
      </c>
      <c r="W48" s="131">
        <f t="shared" si="134"/>
        <v>0</v>
      </c>
      <c r="X48" s="131">
        <f t="shared" si="135"/>
        <v>0</v>
      </c>
      <c r="Y48" s="131">
        <f t="shared" si="136"/>
        <v>0</v>
      </c>
      <c r="Z48" s="131">
        <f t="shared" si="137"/>
        <v>0</v>
      </c>
      <c r="AA48" s="131">
        <f t="shared" si="138"/>
        <v>0</v>
      </c>
      <c r="AB48" s="131">
        <f t="shared" si="139"/>
        <v>0</v>
      </c>
      <c r="AC48" s="131">
        <f t="shared" si="140"/>
        <v>0</v>
      </c>
      <c r="AD48" s="131">
        <f t="shared" si="141"/>
        <v>0</v>
      </c>
      <c r="AE48" s="131">
        <f t="shared" si="142"/>
        <v>0</v>
      </c>
    </row>
    <row r="49" spans="1:31" ht="12.75" customHeight="1">
      <c r="B49" s="29" t="s">
        <v>67</v>
      </c>
      <c r="C49" s="133"/>
      <c r="D49" s="133">
        <f t="shared" ref="D49:F49" si="143">SUM(D54)-SUM(C54)-SUM(D42:D48)</f>
        <v>0</v>
      </c>
      <c r="E49" s="133">
        <f t="shared" si="143"/>
        <v>0</v>
      </c>
      <c r="F49" s="133">
        <f t="shared" si="143"/>
        <v>0</v>
      </c>
      <c r="G49" s="30"/>
      <c r="H49" s="133">
        <f>SUM(H54)-SUM(C54)-SUM(H42:H48)</f>
        <v>0</v>
      </c>
      <c r="I49" s="133">
        <f t="shared" ref="I49" si="144">SUM(I54)-SUM(H54)-SUM(I42:I48)</f>
        <v>0</v>
      </c>
      <c r="J49" s="133">
        <f t="shared" ref="J49" si="145">SUM(J54)-SUM(I54)-SUM(J42:J48)</f>
        <v>0</v>
      </c>
      <c r="K49" s="133" t="e">
        <f t="shared" ref="K49" si="146">SUM(K54)-SUM(J54)-SUM(K42:K48)</f>
        <v>#REF!</v>
      </c>
      <c r="L49" s="133" t="e">
        <f t="shared" ref="L49" si="147">SUM(L54)-SUM(K54)-SUM(L42:L48)</f>
        <v>#REF!</v>
      </c>
      <c r="M49" s="133">
        <f t="shared" ref="M49" si="148">SUM(M54)-SUM(L54)-SUM(M42:M48)</f>
        <v>0</v>
      </c>
      <c r="N49" s="133">
        <f t="shared" ref="N49" si="149">SUM(N54)-SUM(M54)-SUM(N42:N48)</f>
        <v>0</v>
      </c>
      <c r="O49" s="133">
        <f t="shared" ref="O49" si="150">SUM(O54)-SUM(N54)-SUM(O42:O48)</f>
        <v>328</v>
      </c>
      <c r="P49" s="133">
        <f t="shared" ref="P49" si="151">SUM(P54)-SUM(O54)-SUM(P42:P48)</f>
        <v>-328</v>
      </c>
      <c r="Q49" s="133">
        <f t="shared" ref="Q49" si="152">SUM(Q54)-SUM(P54)-SUM(Q42:Q48)</f>
        <v>0</v>
      </c>
      <c r="R49" s="133">
        <f t="shared" ref="R49" si="153">SUM(R54)-SUM(Q54)-SUM(R42:R48)</f>
        <v>0</v>
      </c>
      <c r="S49" s="133" t="e">
        <f t="shared" ref="S49" si="154">SUM(S54)-SUM(R54)-SUM(S42:S48)</f>
        <v>#REF!</v>
      </c>
      <c r="T49" s="133" t="e">
        <f t="shared" ref="T49" si="155">SUM(T54)-SUM(S54)-SUM(T42:T48)</f>
        <v>#REF!</v>
      </c>
      <c r="V49" s="131" t="e">
        <f t="shared" si="133"/>
        <v>#REF!</v>
      </c>
      <c r="W49" s="131" t="e">
        <f t="shared" si="134"/>
        <v>#REF!</v>
      </c>
      <c r="X49" s="131" t="e">
        <f t="shared" si="135"/>
        <v>#REF!</v>
      </c>
      <c r="Y49" s="131" t="e">
        <f t="shared" si="136"/>
        <v>#REF!</v>
      </c>
      <c r="Z49" s="131" t="e">
        <f t="shared" si="137"/>
        <v>#REF!</v>
      </c>
      <c r="AA49" s="131">
        <f t="shared" si="138"/>
        <v>0</v>
      </c>
      <c r="AB49" s="131">
        <f t="shared" si="139"/>
        <v>0</v>
      </c>
      <c r="AC49" s="131">
        <f t="shared" si="140"/>
        <v>0</v>
      </c>
      <c r="AD49" s="131" t="e">
        <f t="shared" si="141"/>
        <v>#REF!</v>
      </c>
      <c r="AE49" s="131" t="e">
        <f t="shared" si="142"/>
        <v>#REF!</v>
      </c>
    </row>
    <row r="50" spans="1:31" ht="12.75" customHeight="1">
      <c r="B50" s="12" t="s">
        <v>37</v>
      </c>
      <c r="C50" s="13">
        <f t="shared" ref="C50:F50" si="156">SUM(C42+SUM(C44:C49))</f>
        <v>0</v>
      </c>
      <c r="D50" s="13">
        <f t="shared" si="156"/>
        <v>0</v>
      </c>
      <c r="E50" s="13">
        <f t="shared" si="156"/>
        <v>0</v>
      </c>
      <c r="F50" s="13">
        <f t="shared" si="156"/>
        <v>0</v>
      </c>
      <c r="H50" s="13">
        <f t="shared" ref="H50:S50" si="157">SUM(H42+SUM(H44:H49))</f>
        <v>0</v>
      </c>
      <c r="I50" s="13">
        <f t="shared" si="157"/>
        <v>0</v>
      </c>
      <c r="J50" s="13">
        <f t="shared" si="157"/>
        <v>0</v>
      </c>
      <c r="K50" s="13" t="e">
        <f t="shared" si="157"/>
        <v>#REF!</v>
      </c>
      <c r="L50" s="13" t="e">
        <f t="shared" si="157"/>
        <v>#REF!</v>
      </c>
      <c r="M50" s="13">
        <f t="shared" si="157"/>
        <v>0</v>
      </c>
      <c r="N50" s="13">
        <f t="shared" si="157"/>
        <v>0</v>
      </c>
      <c r="O50" s="13">
        <f t="shared" si="157"/>
        <v>328</v>
      </c>
      <c r="P50" s="13">
        <f t="shared" si="157"/>
        <v>-328</v>
      </c>
      <c r="Q50" s="13">
        <f t="shared" si="157"/>
        <v>0</v>
      </c>
      <c r="R50" s="13">
        <f t="shared" si="157"/>
        <v>0</v>
      </c>
      <c r="S50" s="13" t="e">
        <f t="shared" si="157"/>
        <v>#REF!</v>
      </c>
      <c r="T50" s="13" t="e">
        <f t="shared" ref="T50" si="158">SUM(T42+SUM(T44:T49))</f>
        <v>#REF!</v>
      </c>
      <c r="V50" s="13" t="e">
        <f t="shared" ref="V50:AE50" si="159">SUM(V42+SUM(V44:V49))</f>
        <v>#REF!</v>
      </c>
      <c r="W50" s="13" t="e">
        <f t="shared" si="159"/>
        <v>#REF!</v>
      </c>
      <c r="X50" s="13" t="e">
        <f t="shared" si="159"/>
        <v>#REF!</v>
      </c>
      <c r="Y50" s="13" t="e">
        <f t="shared" si="159"/>
        <v>#REF!</v>
      </c>
      <c r="Z50" s="13" t="e">
        <f t="shared" si="159"/>
        <v>#REF!</v>
      </c>
      <c r="AA50" s="13">
        <f t="shared" si="159"/>
        <v>0</v>
      </c>
      <c r="AB50" s="13">
        <f t="shared" si="159"/>
        <v>0</v>
      </c>
      <c r="AC50" s="13">
        <f t="shared" si="159"/>
        <v>0</v>
      </c>
      <c r="AD50" s="13" t="e">
        <f t="shared" si="159"/>
        <v>#REF!</v>
      </c>
      <c r="AE50" s="13" t="e">
        <f t="shared" si="159"/>
        <v>#REF!</v>
      </c>
    </row>
    <row r="51" spans="1:31" ht="5.0999999999999996" customHeight="1"/>
    <row r="52" spans="1:31" ht="12.75" customHeight="1">
      <c r="A52" s="5"/>
      <c r="B52" s="31" t="s">
        <v>38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5.0999999999999996" customHeight="1"/>
    <row r="54" spans="1:31" ht="12.75" customHeight="1">
      <c r="B54" s="8" t="s">
        <v>39</v>
      </c>
      <c r="C54" s="80"/>
      <c r="D54" s="80"/>
      <c r="E54" s="80"/>
      <c r="F54" s="80"/>
      <c r="G54" s="30"/>
      <c r="H54" s="80"/>
      <c r="I54" s="80"/>
      <c r="J54" s="80"/>
      <c r="K54" s="80" t="e">
        <f>'Historical Financials'!#REF!</f>
        <v>#REF!</v>
      </c>
      <c r="L54" s="80"/>
      <c r="M54" s="80"/>
      <c r="N54" s="80"/>
      <c r="O54" s="80">
        <f>'Historical Financials'!J50</f>
        <v>328</v>
      </c>
      <c r="P54" s="80"/>
      <c r="Q54" s="80"/>
      <c r="R54" s="80"/>
      <c r="S54" s="80" t="e">
        <f>'Historical Financials'!#REF!</f>
        <v>#REF!</v>
      </c>
      <c r="T54" s="80"/>
      <c r="V54" s="10" t="e">
        <f t="shared" ref="V54:AD56" si="160">K54</f>
        <v>#REF!</v>
      </c>
      <c r="W54" s="10">
        <f t="shared" si="160"/>
        <v>0</v>
      </c>
      <c r="X54" s="10">
        <f t="shared" si="160"/>
        <v>0</v>
      </c>
      <c r="Y54" s="10">
        <f t="shared" si="160"/>
        <v>0</v>
      </c>
      <c r="Z54" s="10">
        <f t="shared" si="160"/>
        <v>328</v>
      </c>
      <c r="AA54" s="10">
        <f t="shared" si="160"/>
        <v>0</v>
      </c>
      <c r="AB54" s="10">
        <f t="shared" si="160"/>
        <v>0</v>
      </c>
      <c r="AC54" s="10">
        <f t="shared" si="160"/>
        <v>0</v>
      </c>
      <c r="AD54" s="10" t="e">
        <f t="shared" si="160"/>
        <v>#REF!</v>
      </c>
      <c r="AE54" s="10">
        <f>T54</f>
        <v>0</v>
      </c>
    </row>
    <row r="55" spans="1:31" ht="12.75" customHeight="1">
      <c r="B55" s="8" t="s">
        <v>108</v>
      </c>
      <c r="C55" s="80"/>
      <c r="D55" s="80"/>
      <c r="E55" s="80"/>
      <c r="F55" s="80"/>
      <c r="G55" s="30"/>
      <c r="H55" s="80"/>
      <c r="I55" s="80"/>
      <c r="J55" s="80"/>
      <c r="K55" s="80" t="e">
        <f>'Historical Financials'!#REF!</f>
        <v>#REF!</v>
      </c>
      <c r="L55" s="80"/>
      <c r="M55" s="80"/>
      <c r="N55" s="80"/>
      <c r="O55" s="80" t="e">
        <f>'Historical Financials'!#REF!</f>
        <v>#REF!</v>
      </c>
      <c r="P55" s="80"/>
      <c r="Q55" s="80"/>
      <c r="R55" s="80"/>
      <c r="S55" s="80" t="e">
        <f>'Historical Financials'!#REF!</f>
        <v>#REF!</v>
      </c>
      <c r="T55" s="80"/>
      <c r="V55" s="10" t="e">
        <f t="shared" si="160"/>
        <v>#REF!</v>
      </c>
      <c r="W55" s="10">
        <f t="shared" si="160"/>
        <v>0</v>
      </c>
      <c r="X55" s="10">
        <f t="shared" si="160"/>
        <v>0</v>
      </c>
      <c r="Y55" s="10">
        <f t="shared" si="160"/>
        <v>0</v>
      </c>
      <c r="Z55" s="10" t="e">
        <f t="shared" si="160"/>
        <v>#REF!</v>
      </c>
      <c r="AA55" s="10">
        <f t="shared" si="160"/>
        <v>0</v>
      </c>
      <c r="AB55" s="10">
        <f t="shared" si="160"/>
        <v>0</v>
      </c>
      <c r="AC55" s="10">
        <f t="shared" si="160"/>
        <v>0</v>
      </c>
      <c r="AD55" s="10" t="e">
        <f t="shared" si="160"/>
        <v>#REF!</v>
      </c>
      <c r="AE55" s="10">
        <f t="shared" ref="AE55:AE56" si="161">T55</f>
        <v>0</v>
      </c>
    </row>
    <row r="56" spans="1:31" ht="12.75" customHeight="1">
      <c r="B56" s="8" t="s">
        <v>108</v>
      </c>
      <c r="C56" s="75"/>
      <c r="D56" s="75"/>
      <c r="E56" s="75"/>
      <c r="F56" s="75"/>
      <c r="G56" s="30"/>
      <c r="H56" s="75"/>
      <c r="I56" s="75"/>
      <c r="J56" s="75"/>
      <c r="K56" s="106">
        <f>D56</f>
        <v>0</v>
      </c>
      <c r="L56" s="75"/>
      <c r="M56" s="75"/>
      <c r="N56" s="75"/>
      <c r="O56" s="106">
        <f>E56</f>
        <v>0</v>
      </c>
      <c r="P56" s="75"/>
      <c r="Q56" s="75"/>
      <c r="R56" s="75"/>
      <c r="S56" s="106">
        <f>F56</f>
        <v>0</v>
      </c>
      <c r="T56" s="75"/>
      <c r="V56" s="10">
        <f t="shared" si="160"/>
        <v>0</v>
      </c>
      <c r="W56" s="10">
        <f t="shared" si="160"/>
        <v>0</v>
      </c>
      <c r="X56" s="10">
        <f t="shared" si="160"/>
        <v>0</v>
      </c>
      <c r="Y56" s="10">
        <f t="shared" si="160"/>
        <v>0</v>
      </c>
      <c r="Z56" s="10">
        <f t="shared" si="160"/>
        <v>0</v>
      </c>
      <c r="AA56" s="10">
        <f t="shared" si="160"/>
        <v>0</v>
      </c>
      <c r="AB56" s="10">
        <f t="shared" si="160"/>
        <v>0</v>
      </c>
      <c r="AC56" s="10">
        <f t="shared" si="160"/>
        <v>0</v>
      </c>
      <c r="AD56" s="10">
        <f t="shared" si="160"/>
        <v>0</v>
      </c>
      <c r="AE56" s="10">
        <f t="shared" si="161"/>
        <v>0</v>
      </c>
    </row>
    <row r="57" spans="1:31" ht="12.75" customHeight="1">
      <c r="B57" s="12" t="s">
        <v>40</v>
      </c>
      <c r="C57" s="13">
        <f>SUM(C54:C56)</f>
        <v>0</v>
      </c>
      <c r="D57" s="13">
        <f t="shared" ref="D57:F57" si="162">SUM(D54:D56)</f>
        <v>0</v>
      </c>
      <c r="E57" s="13">
        <f t="shared" si="162"/>
        <v>0</v>
      </c>
      <c r="F57" s="13">
        <f t="shared" si="162"/>
        <v>0</v>
      </c>
      <c r="G57" s="30"/>
      <c r="H57" s="13">
        <f t="shared" ref="H57:S57" si="163">SUM(H54:H56)</f>
        <v>0</v>
      </c>
      <c r="I57" s="13">
        <f t="shared" si="163"/>
        <v>0</v>
      </c>
      <c r="J57" s="13">
        <f t="shared" si="163"/>
        <v>0</v>
      </c>
      <c r="K57" s="13" t="e">
        <f t="shared" si="163"/>
        <v>#REF!</v>
      </c>
      <c r="L57" s="13">
        <f t="shared" si="163"/>
        <v>0</v>
      </c>
      <c r="M57" s="13">
        <f t="shared" si="163"/>
        <v>0</v>
      </c>
      <c r="N57" s="13">
        <f t="shared" si="163"/>
        <v>0</v>
      </c>
      <c r="O57" s="13" t="e">
        <f t="shared" si="163"/>
        <v>#REF!</v>
      </c>
      <c r="P57" s="13">
        <f t="shared" si="163"/>
        <v>0</v>
      </c>
      <c r="Q57" s="13">
        <f t="shared" si="163"/>
        <v>0</v>
      </c>
      <c r="R57" s="13">
        <f t="shared" si="163"/>
        <v>0</v>
      </c>
      <c r="S57" s="13" t="e">
        <f t="shared" si="163"/>
        <v>#REF!</v>
      </c>
      <c r="T57" s="13">
        <f t="shared" ref="T57" si="164">SUM(T54:T56)</f>
        <v>0</v>
      </c>
      <c r="V57" s="13" t="e">
        <f t="shared" ref="V57" si="165">SUM(V54:V56)</f>
        <v>#REF!</v>
      </c>
      <c r="W57" s="13">
        <f t="shared" ref="W57:AE57" si="166">SUM(W54:W56)</f>
        <v>0</v>
      </c>
      <c r="X57" s="13">
        <f t="shared" si="166"/>
        <v>0</v>
      </c>
      <c r="Y57" s="13">
        <f t="shared" si="166"/>
        <v>0</v>
      </c>
      <c r="Z57" s="13" t="e">
        <f t="shared" si="166"/>
        <v>#REF!</v>
      </c>
      <c r="AA57" s="13">
        <f t="shared" si="166"/>
        <v>0</v>
      </c>
      <c r="AB57" s="13">
        <f t="shared" si="166"/>
        <v>0</v>
      </c>
      <c r="AC57" s="13">
        <f t="shared" si="166"/>
        <v>0</v>
      </c>
      <c r="AD57" s="13" t="e">
        <f t="shared" si="166"/>
        <v>#REF!</v>
      </c>
      <c r="AE57" s="13">
        <f t="shared" si="166"/>
        <v>0</v>
      </c>
    </row>
    <row r="58" spans="1:31" ht="5.0999999999999996" customHeight="1"/>
    <row r="59" spans="1:31" ht="12.75" customHeight="1">
      <c r="B59" s="32" t="s">
        <v>41</v>
      </c>
    </row>
    <row r="60" spans="1:31" ht="12.75" customHeight="1">
      <c r="B60" s="8" t="s">
        <v>108</v>
      </c>
      <c r="C60" s="80"/>
      <c r="D60" s="80"/>
      <c r="E60" s="80"/>
      <c r="F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10"/>
      <c r="V60" s="10">
        <f t="shared" ref="V60:V66" si="167">K60</f>
        <v>0</v>
      </c>
      <c r="W60" s="10">
        <f t="shared" ref="W60:W66" si="168">L60</f>
        <v>0</v>
      </c>
      <c r="X60" s="10">
        <f t="shared" ref="X60:X66" si="169">M60</f>
        <v>0</v>
      </c>
      <c r="Y60" s="10">
        <f t="shared" ref="Y60:Y66" si="170">N60</f>
        <v>0</v>
      </c>
      <c r="Z60" s="10">
        <f t="shared" ref="Z60:Z66" si="171">O60</f>
        <v>0</v>
      </c>
      <c r="AA60" s="10">
        <f t="shared" ref="AA60:AA66" si="172">P60</f>
        <v>0</v>
      </c>
      <c r="AB60" s="10">
        <f t="shared" ref="AB60:AB66" si="173">Q60</f>
        <v>0</v>
      </c>
      <c r="AC60" s="10">
        <f t="shared" ref="AC60:AC66" si="174">R60</f>
        <v>0</v>
      </c>
      <c r="AD60" s="10">
        <f t="shared" ref="AD60:AD66" si="175">S60</f>
        <v>0</v>
      </c>
      <c r="AE60" s="10">
        <f t="shared" ref="AE60:AE66" si="176">T60</f>
        <v>0</v>
      </c>
    </row>
    <row r="61" spans="1:31" ht="12.75" customHeight="1">
      <c r="B61" s="8" t="s">
        <v>108</v>
      </c>
      <c r="C61" s="80"/>
      <c r="D61" s="80"/>
      <c r="E61" s="80"/>
      <c r="F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10"/>
      <c r="V61" s="10">
        <f t="shared" si="167"/>
        <v>0</v>
      </c>
      <c r="W61" s="10">
        <f t="shared" si="168"/>
        <v>0</v>
      </c>
      <c r="X61" s="10">
        <f t="shared" si="169"/>
        <v>0</v>
      </c>
      <c r="Y61" s="10">
        <f t="shared" si="170"/>
        <v>0</v>
      </c>
      <c r="Z61" s="10">
        <f t="shared" si="171"/>
        <v>0</v>
      </c>
      <c r="AA61" s="10">
        <f t="shared" si="172"/>
        <v>0</v>
      </c>
      <c r="AB61" s="10">
        <f t="shared" si="173"/>
        <v>0</v>
      </c>
      <c r="AC61" s="10">
        <f t="shared" si="174"/>
        <v>0</v>
      </c>
      <c r="AD61" s="10">
        <f t="shared" si="175"/>
        <v>0</v>
      </c>
      <c r="AE61" s="10">
        <f t="shared" si="176"/>
        <v>0</v>
      </c>
    </row>
    <row r="62" spans="1:31" ht="12.75" customHeight="1">
      <c r="B62" s="8" t="s">
        <v>108</v>
      </c>
      <c r="C62" s="80"/>
      <c r="D62" s="80"/>
      <c r="E62" s="80"/>
      <c r="F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10"/>
      <c r="V62" s="10">
        <f t="shared" si="167"/>
        <v>0</v>
      </c>
      <c r="W62" s="10">
        <f t="shared" si="168"/>
        <v>0</v>
      </c>
      <c r="X62" s="10">
        <f t="shared" si="169"/>
        <v>0</v>
      </c>
      <c r="Y62" s="10">
        <f t="shared" si="170"/>
        <v>0</v>
      </c>
      <c r="Z62" s="10">
        <f t="shared" si="171"/>
        <v>0</v>
      </c>
      <c r="AA62" s="10">
        <f t="shared" si="172"/>
        <v>0</v>
      </c>
      <c r="AB62" s="10">
        <f t="shared" si="173"/>
        <v>0</v>
      </c>
      <c r="AC62" s="10">
        <f t="shared" si="174"/>
        <v>0</v>
      </c>
      <c r="AD62" s="10">
        <f t="shared" si="175"/>
        <v>0</v>
      </c>
      <c r="AE62" s="10">
        <f t="shared" si="176"/>
        <v>0</v>
      </c>
    </row>
    <row r="63" spans="1:31" ht="12.75" customHeight="1">
      <c r="B63" s="8" t="s">
        <v>108</v>
      </c>
      <c r="C63" s="80"/>
      <c r="D63" s="80"/>
      <c r="E63" s="80"/>
      <c r="F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10"/>
      <c r="V63" s="10">
        <f t="shared" si="167"/>
        <v>0</v>
      </c>
      <c r="W63" s="10">
        <f t="shared" si="168"/>
        <v>0</v>
      </c>
      <c r="X63" s="10">
        <f t="shared" si="169"/>
        <v>0</v>
      </c>
      <c r="Y63" s="10">
        <f t="shared" si="170"/>
        <v>0</v>
      </c>
      <c r="Z63" s="10">
        <f t="shared" si="171"/>
        <v>0</v>
      </c>
      <c r="AA63" s="10">
        <f t="shared" si="172"/>
        <v>0</v>
      </c>
      <c r="AB63" s="10">
        <f t="shared" si="173"/>
        <v>0</v>
      </c>
      <c r="AC63" s="10">
        <f t="shared" si="174"/>
        <v>0</v>
      </c>
      <c r="AD63" s="10">
        <f t="shared" si="175"/>
        <v>0</v>
      </c>
      <c r="AE63" s="10">
        <f t="shared" si="176"/>
        <v>0</v>
      </c>
    </row>
    <row r="64" spans="1:31" ht="12.75" customHeight="1">
      <c r="B64" s="8" t="s">
        <v>108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V64" s="10">
        <f t="shared" si="167"/>
        <v>0</v>
      </c>
      <c r="W64" s="10">
        <f t="shared" si="168"/>
        <v>0</v>
      </c>
      <c r="X64" s="10">
        <f t="shared" si="169"/>
        <v>0</v>
      </c>
      <c r="Y64" s="10">
        <f t="shared" si="170"/>
        <v>0</v>
      </c>
      <c r="Z64" s="10">
        <f t="shared" si="171"/>
        <v>0</v>
      </c>
      <c r="AA64" s="10">
        <f t="shared" si="172"/>
        <v>0</v>
      </c>
      <c r="AB64" s="10">
        <f t="shared" si="173"/>
        <v>0</v>
      </c>
      <c r="AC64" s="10">
        <f t="shared" si="174"/>
        <v>0</v>
      </c>
      <c r="AD64" s="10">
        <f t="shared" si="175"/>
        <v>0</v>
      </c>
      <c r="AE64" s="10">
        <f t="shared" si="176"/>
        <v>0</v>
      </c>
    </row>
    <row r="65" spans="2:31" ht="12.75" customHeight="1">
      <c r="B65" s="8" t="s">
        <v>108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V65" s="10">
        <f t="shared" si="167"/>
        <v>0</v>
      </c>
      <c r="W65" s="10">
        <f t="shared" si="168"/>
        <v>0</v>
      </c>
      <c r="X65" s="10">
        <f t="shared" si="169"/>
        <v>0</v>
      </c>
      <c r="Y65" s="10">
        <f t="shared" si="170"/>
        <v>0</v>
      </c>
      <c r="Z65" s="10">
        <f t="shared" si="171"/>
        <v>0</v>
      </c>
      <c r="AA65" s="10">
        <f t="shared" si="172"/>
        <v>0</v>
      </c>
      <c r="AB65" s="10">
        <f t="shared" si="173"/>
        <v>0</v>
      </c>
      <c r="AC65" s="10">
        <f t="shared" si="174"/>
        <v>0</v>
      </c>
      <c r="AD65" s="10">
        <f t="shared" si="175"/>
        <v>0</v>
      </c>
      <c r="AE65" s="10">
        <f t="shared" si="176"/>
        <v>0</v>
      </c>
    </row>
    <row r="66" spans="2:31" ht="12.75" customHeight="1">
      <c r="B66" s="8" t="s">
        <v>108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V66" s="10">
        <f t="shared" si="167"/>
        <v>0</v>
      </c>
      <c r="W66" s="10">
        <f t="shared" si="168"/>
        <v>0</v>
      </c>
      <c r="X66" s="10">
        <f t="shared" si="169"/>
        <v>0</v>
      </c>
      <c r="Y66" s="10">
        <f t="shared" si="170"/>
        <v>0</v>
      </c>
      <c r="Z66" s="10">
        <f t="shared" si="171"/>
        <v>0</v>
      </c>
      <c r="AA66" s="10">
        <f t="shared" si="172"/>
        <v>0</v>
      </c>
      <c r="AB66" s="10">
        <f t="shared" si="173"/>
        <v>0</v>
      </c>
      <c r="AC66" s="10">
        <f t="shared" si="174"/>
        <v>0</v>
      </c>
      <c r="AD66" s="10">
        <f t="shared" si="175"/>
        <v>0</v>
      </c>
      <c r="AE66" s="10">
        <f t="shared" si="176"/>
        <v>0</v>
      </c>
    </row>
    <row r="67" spans="2:31" ht="5.0999999999999996" customHeight="1"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2:31">
      <c r="B68" s="32" t="s">
        <v>98</v>
      </c>
      <c r="F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2:31">
      <c r="B69" s="8" t="s">
        <v>99</v>
      </c>
      <c r="C69" s="80"/>
      <c r="D69" s="80"/>
      <c r="E69" s="80"/>
      <c r="F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V69" s="10">
        <f t="shared" ref="V69:V70" si="177">K69</f>
        <v>0</v>
      </c>
      <c r="W69" s="10">
        <f t="shared" ref="W69:W70" si="178">L69</f>
        <v>0</v>
      </c>
      <c r="X69" s="10">
        <f t="shared" ref="X69:X70" si="179">M69</f>
        <v>0</v>
      </c>
      <c r="Y69" s="10">
        <f t="shared" ref="Y69:Y70" si="180">N69</f>
        <v>0</v>
      </c>
      <c r="Z69" s="10">
        <f t="shared" ref="Z69:Z70" si="181">O69</f>
        <v>0</v>
      </c>
      <c r="AA69" s="10">
        <f t="shared" ref="AA69:AA70" si="182">P69</f>
        <v>0</v>
      </c>
      <c r="AB69" s="10">
        <f t="shared" ref="AB69:AB70" si="183">Q69</f>
        <v>0</v>
      </c>
      <c r="AC69" s="10">
        <f t="shared" ref="AC69:AC70" si="184">R69</f>
        <v>0</v>
      </c>
      <c r="AD69" s="10">
        <f t="shared" ref="AD69:AD70" si="185">S69</f>
        <v>0</v>
      </c>
      <c r="AE69" s="10">
        <f t="shared" ref="AE69:AE70" si="186">T69</f>
        <v>0</v>
      </c>
    </row>
    <row r="70" spans="2:31">
      <c r="B70" s="8" t="s">
        <v>100</v>
      </c>
      <c r="C70" s="80"/>
      <c r="D70" s="80"/>
      <c r="E70" s="80"/>
      <c r="F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V70" s="10">
        <f t="shared" si="177"/>
        <v>0</v>
      </c>
      <c r="W70" s="10">
        <f t="shared" si="178"/>
        <v>0</v>
      </c>
      <c r="X70" s="10">
        <f t="shared" si="179"/>
        <v>0</v>
      </c>
      <c r="Y70" s="10">
        <f t="shared" si="180"/>
        <v>0</v>
      </c>
      <c r="Z70" s="10">
        <f t="shared" si="181"/>
        <v>0</v>
      </c>
      <c r="AA70" s="10">
        <f t="shared" si="182"/>
        <v>0</v>
      </c>
      <c r="AB70" s="10">
        <f t="shared" si="183"/>
        <v>0</v>
      </c>
      <c r="AC70" s="10">
        <f t="shared" si="184"/>
        <v>0</v>
      </c>
      <c r="AD70" s="10">
        <f t="shared" si="185"/>
        <v>0</v>
      </c>
      <c r="AE70" s="10">
        <f t="shared" si="186"/>
        <v>0</v>
      </c>
    </row>
    <row r="71" spans="2:31">
      <c r="F71" s="10"/>
    </row>
    <row r="72" spans="2:31">
      <c r="B72" s="130" t="s">
        <v>108</v>
      </c>
      <c r="C72" s="75"/>
      <c r="D72" s="75"/>
      <c r="E72" s="75"/>
      <c r="F72" s="75"/>
      <c r="H72" s="75"/>
      <c r="I72" s="75"/>
      <c r="J72" s="75"/>
      <c r="K72" s="106">
        <f t="shared" ref="K72:K74" si="187">D72</f>
        <v>0</v>
      </c>
      <c r="L72" s="75"/>
      <c r="M72" s="75"/>
      <c r="N72" s="75"/>
      <c r="O72" s="106">
        <f t="shared" ref="O72:O74" si="188">E72</f>
        <v>0</v>
      </c>
      <c r="P72" s="75"/>
      <c r="Q72" s="75"/>
      <c r="R72" s="75"/>
      <c r="S72" s="106">
        <f>F72</f>
        <v>0</v>
      </c>
      <c r="T72" s="75"/>
      <c r="V72" s="10">
        <f t="shared" ref="V72:V75" si="189">K72</f>
        <v>0</v>
      </c>
      <c r="W72" s="10">
        <f t="shared" ref="W72:W75" si="190">L72</f>
        <v>0</v>
      </c>
      <c r="X72" s="10">
        <f t="shared" ref="X72:X75" si="191">M72</f>
        <v>0</v>
      </c>
      <c r="Y72" s="10">
        <f t="shared" ref="Y72:Y75" si="192">N72</f>
        <v>0</v>
      </c>
      <c r="Z72" s="10">
        <f t="shared" ref="Z72:Z75" si="193">O72</f>
        <v>0</v>
      </c>
      <c r="AA72" s="10">
        <f t="shared" ref="AA72:AA75" si="194">P72</f>
        <v>0</v>
      </c>
      <c r="AB72" s="10">
        <f t="shared" ref="AB72:AB75" si="195">Q72</f>
        <v>0</v>
      </c>
      <c r="AC72" s="10">
        <f t="shared" ref="AC72:AC75" si="196">R72</f>
        <v>0</v>
      </c>
      <c r="AD72" s="10">
        <f t="shared" ref="AD72:AD75" si="197">S72</f>
        <v>0</v>
      </c>
      <c r="AE72" s="10">
        <f t="shared" ref="AE72:AE75" si="198">T72</f>
        <v>0</v>
      </c>
    </row>
    <row r="73" spans="2:31">
      <c r="B73" s="130" t="s">
        <v>108</v>
      </c>
      <c r="C73" s="75"/>
      <c r="D73" s="75"/>
      <c r="E73" s="75"/>
      <c r="F73" s="75"/>
      <c r="H73" s="75"/>
      <c r="I73" s="75"/>
      <c r="J73" s="75"/>
      <c r="K73" s="106">
        <f t="shared" si="187"/>
        <v>0</v>
      </c>
      <c r="L73" s="75"/>
      <c r="M73" s="75"/>
      <c r="N73" s="75"/>
      <c r="O73" s="106">
        <f t="shared" si="188"/>
        <v>0</v>
      </c>
      <c r="P73" s="75"/>
      <c r="Q73" s="75"/>
      <c r="R73" s="75"/>
      <c r="S73" s="106">
        <f t="shared" ref="S73:S74" si="199">F73</f>
        <v>0</v>
      </c>
      <c r="T73" s="75"/>
      <c r="V73" s="10">
        <f t="shared" si="189"/>
        <v>0</v>
      </c>
      <c r="W73" s="10">
        <f t="shared" si="190"/>
        <v>0</v>
      </c>
      <c r="X73" s="10">
        <f t="shared" si="191"/>
        <v>0</v>
      </c>
      <c r="Y73" s="10">
        <f t="shared" si="192"/>
        <v>0</v>
      </c>
      <c r="Z73" s="10">
        <f t="shared" si="193"/>
        <v>0</v>
      </c>
      <c r="AA73" s="10">
        <f t="shared" si="194"/>
        <v>0</v>
      </c>
      <c r="AB73" s="10">
        <f t="shared" si="195"/>
        <v>0</v>
      </c>
      <c r="AC73" s="10">
        <f t="shared" si="196"/>
        <v>0</v>
      </c>
      <c r="AD73" s="10">
        <f t="shared" si="197"/>
        <v>0</v>
      </c>
      <c r="AE73" s="10">
        <f t="shared" si="198"/>
        <v>0</v>
      </c>
    </row>
    <row r="74" spans="2:31">
      <c r="B74" s="130" t="s">
        <v>108</v>
      </c>
      <c r="C74" s="75"/>
      <c r="D74" s="75"/>
      <c r="E74" s="75"/>
      <c r="F74" s="75"/>
      <c r="H74" s="75"/>
      <c r="I74" s="75"/>
      <c r="J74" s="75"/>
      <c r="K74" s="106">
        <f t="shared" si="187"/>
        <v>0</v>
      </c>
      <c r="L74" s="75"/>
      <c r="M74" s="75"/>
      <c r="N74" s="75"/>
      <c r="O74" s="106">
        <f t="shared" si="188"/>
        <v>0</v>
      </c>
      <c r="P74" s="75"/>
      <c r="Q74" s="75"/>
      <c r="R74" s="75"/>
      <c r="S74" s="106">
        <f t="shared" si="199"/>
        <v>0</v>
      </c>
      <c r="T74" s="75"/>
      <c r="V74" s="10">
        <f t="shared" si="189"/>
        <v>0</v>
      </c>
      <c r="W74" s="10">
        <f t="shared" si="190"/>
        <v>0</v>
      </c>
      <c r="X74" s="10">
        <f t="shared" si="191"/>
        <v>0</v>
      </c>
      <c r="Y74" s="10">
        <f t="shared" si="192"/>
        <v>0</v>
      </c>
      <c r="Z74" s="10">
        <f t="shared" si="193"/>
        <v>0</v>
      </c>
      <c r="AA74" s="10">
        <f t="shared" si="194"/>
        <v>0</v>
      </c>
      <c r="AB74" s="10">
        <f t="shared" si="195"/>
        <v>0</v>
      </c>
      <c r="AC74" s="10">
        <f t="shared" si="196"/>
        <v>0</v>
      </c>
      <c r="AD74" s="10">
        <f t="shared" si="197"/>
        <v>0</v>
      </c>
      <c r="AE74" s="10">
        <f t="shared" si="198"/>
        <v>0</v>
      </c>
    </row>
    <row r="75" spans="2:31">
      <c r="B75" s="130" t="s">
        <v>108</v>
      </c>
      <c r="C75" s="75"/>
      <c r="D75" s="75"/>
      <c r="E75" s="75"/>
      <c r="F75" s="75"/>
      <c r="H75" s="75"/>
      <c r="I75" s="75"/>
      <c r="J75" s="75"/>
      <c r="K75" s="80" t="e">
        <f>'Historical Financials'!#REF!+'Historical Financials'!#REF!</f>
        <v>#REF!</v>
      </c>
      <c r="L75" s="75"/>
      <c r="M75" s="75"/>
      <c r="N75" s="75"/>
      <c r="O75" s="80" t="e">
        <f>'Historical Financials'!#REF!+'Historical Financials'!#REF!</f>
        <v>#REF!</v>
      </c>
      <c r="P75" s="75"/>
      <c r="Q75" s="75"/>
      <c r="R75" s="75"/>
      <c r="S75" s="80" t="e">
        <f>'Historical Financials'!#REF!+'Historical Financials'!#REF!</f>
        <v>#REF!</v>
      </c>
      <c r="T75" s="75"/>
      <c r="V75" s="10" t="e">
        <f t="shared" si="189"/>
        <v>#REF!</v>
      </c>
      <c r="W75" s="10">
        <f t="shared" si="190"/>
        <v>0</v>
      </c>
      <c r="X75" s="10">
        <f t="shared" si="191"/>
        <v>0</v>
      </c>
      <c r="Y75" s="10">
        <f t="shared" si="192"/>
        <v>0</v>
      </c>
      <c r="Z75" s="10" t="e">
        <f t="shared" si="193"/>
        <v>#REF!</v>
      </c>
      <c r="AA75" s="10">
        <f t="shared" si="194"/>
        <v>0</v>
      </c>
      <c r="AB75" s="10">
        <f t="shared" si="195"/>
        <v>0</v>
      </c>
      <c r="AC75" s="10">
        <f t="shared" si="196"/>
        <v>0</v>
      </c>
      <c r="AD75" s="10" t="e">
        <f t="shared" si="197"/>
        <v>#REF!</v>
      </c>
      <c r="AE75" s="10">
        <f t="shared" si="198"/>
        <v>0</v>
      </c>
    </row>
    <row r="76" spans="2:31" ht="12.75" customHeight="1">
      <c r="B76" s="12" t="s">
        <v>18</v>
      </c>
      <c r="C76" s="13">
        <f t="shared" ref="C76:F76" si="200">SUM(C72:C75)</f>
        <v>0</v>
      </c>
      <c r="D76" s="13">
        <f t="shared" si="200"/>
        <v>0</v>
      </c>
      <c r="E76" s="13">
        <f t="shared" si="200"/>
        <v>0</v>
      </c>
      <c r="F76" s="13">
        <f t="shared" si="200"/>
        <v>0</v>
      </c>
      <c r="H76" s="13">
        <f t="shared" ref="H76:S76" si="201">SUM(H72:H75)</f>
        <v>0</v>
      </c>
      <c r="I76" s="13">
        <f t="shared" si="201"/>
        <v>0</v>
      </c>
      <c r="J76" s="13">
        <f t="shared" si="201"/>
        <v>0</v>
      </c>
      <c r="K76" s="13" t="e">
        <f t="shared" si="201"/>
        <v>#REF!</v>
      </c>
      <c r="L76" s="13">
        <f t="shared" si="201"/>
        <v>0</v>
      </c>
      <c r="M76" s="13">
        <f t="shared" si="201"/>
        <v>0</v>
      </c>
      <c r="N76" s="13">
        <f t="shared" si="201"/>
        <v>0</v>
      </c>
      <c r="O76" s="13" t="e">
        <f t="shared" si="201"/>
        <v>#REF!</v>
      </c>
      <c r="P76" s="13">
        <f t="shared" si="201"/>
        <v>0</v>
      </c>
      <c r="Q76" s="13">
        <f t="shared" si="201"/>
        <v>0</v>
      </c>
      <c r="R76" s="13">
        <f t="shared" si="201"/>
        <v>0</v>
      </c>
      <c r="S76" s="13" t="e">
        <f t="shared" si="201"/>
        <v>#REF!</v>
      </c>
      <c r="T76" s="13">
        <f t="shared" ref="T76" si="202">SUM(T72:T75)</f>
        <v>0</v>
      </c>
      <c r="V76" s="13" t="e">
        <f t="shared" ref="V76:AE76" si="203">SUM(V72:V75)</f>
        <v>#REF!</v>
      </c>
      <c r="W76" s="13">
        <f t="shared" si="203"/>
        <v>0</v>
      </c>
      <c r="X76" s="13">
        <f t="shared" si="203"/>
        <v>0</v>
      </c>
      <c r="Y76" s="13">
        <f t="shared" si="203"/>
        <v>0</v>
      </c>
      <c r="Z76" s="13" t="e">
        <f t="shared" si="203"/>
        <v>#REF!</v>
      </c>
      <c r="AA76" s="13">
        <f t="shared" si="203"/>
        <v>0</v>
      </c>
      <c r="AB76" s="13">
        <f t="shared" si="203"/>
        <v>0</v>
      </c>
      <c r="AC76" s="13">
        <f t="shared" si="203"/>
        <v>0</v>
      </c>
      <c r="AD76" s="13" t="e">
        <f t="shared" si="203"/>
        <v>#REF!</v>
      </c>
      <c r="AE76" s="13">
        <f t="shared" si="203"/>
        <v>0</v>
      </c>
    </row>
    <row r="77" spans="2:31" ht="5.0999999999999996" customHeight="1"/>
    <row r="78" spans="2:31" ht="12.75" customHeight="1">
      <c r="B78" s="8" t="s">
        <v>43</v>
      </c>
      <c r="C78" s="80"/>
      <c r="D78" s="80"/>
      <c r="E78" s="80"/>
      <c r="F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V78" s="10">
        <f t="shared" ref="V78" si="204">K78</f>
        <v>0</v>
      </c>
      <c r="W78" s="10">
        <f t="shared" ref="W78" si="205">L78</f>
        <v>0</v>
      </c>
      <c r="X78" s="10">
        <f t="shared" ref="X78" si="206">M78</f>
        <v>0</v>
      </c>
      <c r="Y78" s="10">
        <f t="shared" ref="Y78" si="207">N78</f>
        <v>0</v>
      </c>
      <c r="Z78" s="10">
        <f t="shared" ref="Z78" si="208">O78</f>
        <v>0</v>
      </c>
      <c r="AA78" s="10">
        <f t="shared" ref="AA78" si="209">P78</f>
        <v>0</v>
      </c>
      <c r="AB78" s="10">
        <f t="shared" ref="AB78" si="210">Q78</f>
        <v>0</v>
      </c>
      <c r="AC78" s="10">
        <f t="shared" ref="AC78" si="211">R78</f>
        <v>0</v>
      </c>
      <c r="AD78" s="10">
        <f t="shared" ref="AD78" si="212">S78</f>
        <v>0</v>
      </c>
      <c r="AE78" s="10">
        <f t="shared" ref="AE78" si="213">T78</f>
        <v>0</v>
      </c>
    </row>
    <row r="79" spans="2:31" ht="12.75" customHeight="1">
      <c r="B79" s="12" t="s">
        <v>44</v>
      </c>
      <c r="C79" s="13">
        <f t="shared" ref="C79:F79" si="214">SUM(C76:C78)</f>
        <v>0</v>
      </c>
      <c r="D79" s="13">
        <f t="shared" si="214"/>
        <v>0</v>
      </c>
      <c r="E79" s="13">
        <f t="shared" si="214"/>
        <v>0</v>
      </c>
      <c r="F79" s="13">
        <f t="shared" si="214"/>
        <v>0</v>
      </c>
      <c r="H79" s="13">
        <f>SUM(H76:H78)</f>
        <v>0</v>
      </c>
      <c r="I79" s="13">
        <f>SUM(I76:I78)</f>
        <v>0</v>
      </c>
      <c r="J79" s="13">
        <f>SUM(J76:J78)</f>
        <v>0</v>
      </c>
      <c r="K79" s="13" t="e">
        <f>SUM(K76:K78)</f>
        <v>#REF!</v>
      </c>
      <c r="L79" s="13">
        <f t="shared" ref="L79:Q79" si="215">SUM(L76:L78)</f>
        <v>0</v>
      </c>
      <c r="M79" s="13">
        <f t="shared" si="215"/>
        <v>0</v>
      </c>
      <c r="N79" s="13">
        <f t="shared" si="215"/>
        <v>0</v>
      </c>
      <c r="O79" s="13" t="e">
        <f t="shared" si="215"/>
        <v>#REF!</v>
      </c>
      <c r="P79" s="13">
        <f t="shared" si="215"/>
        <v>0</v>
      </c>
      <c r="Q79" s="13">
        <f t="shared" si="215"/>
        <v>0</v>
      </c>
      <c r="R79" s="13">
        <f t="shared" ref="R79:S79" si="216">SUM(R76:R78)</f>
        <v>0</v>
      </c>
      <c r="S79" s="13" t="e">
        <f t="shared" si="216"/>
        <v>#REF!</v>
      </c>
      <c r="T79" s="13">
        <f t="shared" ref="T79" si="217">SUM(T76:T78)</f>
        <v>0</v>
      </c>
      <c r="V79" s="13" t="e">
        <f t="shared" ref="V79" si="218">SUM(V76:V78)</f>
        <v>#REF!</v>
      </c>
      <c r="W79" s="13">
        <f t="shared" ref="W79:AC79" si="219">SUM(W76:W78)</f>
        <v>0</v>
      </c>
      <c r="X79" s="13">
        <f t="shared" si="219"/>
        <v>0</v>
      </c>
      <c r="Y79" s="13">
        <f t="shared" si="219"/>
        <v>0</v>
      </c>
      <c r="Z79" s="13" t="e">
        <f t="shared" si="219"/>
        <v>#REF!</v>
      </c>
      <c r="AA79" s="13">
        <f t="shared" si="219"/>
        <v>0</v>
      </c>
      <c r="AB79" s="13">
        <f t="shared" si="219"/>
        <v>0</v>
      </c>
      <c r="AC79" s="13">
        <f t="shared" si="219"/>
        <v>0</v>
      </c>
      <c r="AD79" s="13" t="e">
        <f>SUM(AD76:AD78)</f>
        <v>#REF!</v>
      </c>
      <c r="AE79" s="13">
        <f>SUM(AE76:AE78)</f>
        <v>0</v>
      </c>
    </row>
    <row r="80" spans="2:31" ht="5.0999999999999996" customHeight="1"/>
    <row r="81" spans="1:31" ht="12.75" customHeight="1">
      <c r="A81" s="5"/>
      <c r="B81" s="31" t="s">
        <v>68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5.0999999999999996" customHeight="1"/>
    <row r="83" spans="1:31" ht="12.75" customHeight="1">
      <c r="B83" s="29" t="s">
        <v>101</v>
      </c>
      <c r="C83" s="134" t="e">
        <f>C76/C34</f>
        <v>#DIV/0!</v>
      </c>
      <c r="D83" s="134" t="e">
        <f>D76/D34</f>
        <v>#DIV/0!</v>
      </c>
      <c r="E83" s="134" t="e">
        <f>E76/E34</f>
        <v>#DIV/0!</v>
      </c>
      <c r="F83" s="134" t="e">
        <f>F76/F34</f>
        <v>#DIV/0!</v>
      </c>
      <c r="H83" s="136"/>
      <c r="I83" s="136"/>
      <c r="J83" s="136"/>
      <c r="K83" s="134" t="e">
        <f t="shared" ref="K83" si="220">SUM(K76/SUM(H34:K34))</f>
        <v>#REF!</v>
      </c>
      <c r="L83" s="134" t="e">
        <f t="shared" ref="L83" si="221">SUM(L76/SUM(I34:L34))</f>
        <v>#DIV/0!</v>
      </c>
      <c r="M83" s="134" t="e">
        <f t="shared" ref="M83" si="222">SUM(M76/SUM(J34:M34))</f>
        <v>#DIV/0!</v>
      </c>
      <c r="N83" s="134" t="e">
        <f t="shared" ref="N83" si="223">SUM(N76/SUM(K34:N34))</f>
        <v>#DIV/0!</v>
      </c>
      <c r="O83" s="134" t="e">
        <f t="shared" ref="O83" si="224">SUM(O76/SUM(L34:O34))</f>
        <v>#REF!</v>
      </c>
      <c r="P83" s="134" t="e">
        <f t="shared" ref="P83" si="225">SUM(P76/SUM(M34:P34))</f>
        <v>#DIV/0!</v>
      </c>
      <c r="Q83" s="134" t="e">
        <f t="shared" ref="Q83" si="226">SUM(Q76/SUM(N34:Q34))</f>
        <v>#DIV/0!</v>
      </c>
      <c r="R83" s="134" t="e">
        <f t="shared" ref="R83" si="227">SUM(R76/SUM(O34:R34))</f>
        <v>#DIV/0!</v>
      </c>
      <c r="S83" s="134" t="e">
        <f t="shared" ref="S83" si="228">SUM(S76/SUM(P34:S34))</f>
        <v>#REF!</v>
      </c>
      <c r="T83" s="134" t="e">
        <f t="shared" ref="T83" si="229">SUM(T76/SUM(Q34:T34))</f>
        <v>#DIV/0!</v>
      </c>
      <c r="U83" s="134"/>
      <c r="V83" s="134" t="e">
        <f t="shared" ref="V83:AE83" si="230">V76/V34</f>
        <v>#REF!</v>
      </c>
      <c r="W83" s="134" t="e">
        <f t="shared" si="230"/>
        <v>#DIV/0!</v>
      </c>
      <c r="X83" s="134" t="e">
        <f t="shared" si="230"/>
        <v>#DIV/0!</v>
      </c>
      <c r="Y83" s="134" t="e">
        <f t="shared" si="230"/>
        <v>#DIV/0!</v>
      </c>
      <c r="Z83" s="134" t="e">
        <f t="shared" si="230"/>
        <v>#REF!</v>
      </c>
      <c r="AA83" s="134" t="e">
        <f t="shared" si="230"/>
        <v>#DIV/0!</v>
      </c>
      <c r="AB83" s="134" t="e">
        <f t="shared" si="230"/>
        <v>#DIV/0!</v>
      </c>
      <c r="AC83" s="134" t="e">
        <f t="shared" si="230"/>
        <v>#DIV/0!</v>
      </c>
      <c r="AD83" s="134" t="e">
        <f t="shared" si="230"/>
        <v>#REF!</v>
      </c>
      <c r="AE83" s="134" t="e">
        <f t="shared" si="230"/>
        <v>#DIV/0!</v>
      </c>
    </row>
    <row r="84" spans="1:31" ht="12.75" customHeight="1">
      <c r="B84" s="29" t="s">
        <v>102</v>
      </c>
      <c r="C84" s="134" t="e">
        <f>SUM(C76-C54)/C34</f>
        <v>#DIV/0!</v>
      </c>
      <c r="D84" s="134" t="e">
        <f>SUM(D76-D54)/D34</f>
        <v>#DIV/0!</v>
      </c>
      <c r="E84" s="134" t="e">
        <f>SUM(E76-E54)/E34</f>
        <v>#DIV/0!</v>
      </c>
      <c r="F84" s="134" t="e">
        <f>SUM(F76-F54)/F34</f>
        <v>#DIV/0!</v>
      </c>
      <c r="H84" s="136"/>
      <c r="I84" s="136"/>
      <c r="J84" s="136"/>
      <c r="K84" s="134" t="e">
        <f t="shared" ref="K84" si="231">SUM(K76-K54)/SUM(H34:K34)</f>
        <v>#REF!</v>
      </c>
      <c r="L84" s="134" t="e">
        <f t="shared" ref="L84" si="232">SUM(L76-L54)/SUM(I34:L34)</f>
        <v>#DIV/0!</v>
      </c>
      <c r="M84" s="134" t="e">
        <f t="shared" ref="M84" si="233">SUM(M76-M54)/SUM(J34:M34)</f>
        <v>#DIV/0!</v>
      </c>
      <c r="N84" s="134" t="e">
        <f t="shared" ref="N84" si="234">SUM(N76-N54)/SUM(K34:N34)</f>
        <v>#DIV/0!</v>
      </c>
      <c r="O84" s="134" t="e">
        <f t="shared" ref="O84" si="235">SUM(O76-O54)/SUM(L34:O34)</f>
        <v>#REF!</v>
      </c>
      <c r="P84" s="134" t="e">
        <f t="shared" ref="P84" si="236">SUM(P76-P54)/SUM(M34:P34)</f>
        <v>#DIV/0!</v>
      </c>
      <c r="Q84" s="134" t="e">
        <f t="shared" ref="Q84" si="237">SUM(Q76-Q54)/SUM(N34:Q34)</f>
        <v>#DIV/0!</v>
      </c>
      <c r="R84" s="134" t="e">
        <f t="shared" ref="R84" si="238">SUM(R76-R54)/SUM(O34:R34)</f>
        <v>#DIV/0!</v>
      </c>
      <c r="S84" s="134" t="e">
        <f t="shared" ref="S84" si="239">SUM(S76-S54)/SUM(P34:S34)</f>
        <v>#REF!</v>
      </c>
      <c r="T84" s="134" t="e">
        <f t="shared" ref="T84" si="240">SUM(T76-T54)/SUM(Q34:T34)</f>
        <v>#DIV/0!</v>
      </c>
      <c r="U84" s="134"/>
      <c r="V84" s="134" t="e">
        <f t="shared" ref="V84:AE84" si="241">SUM(V76-V54)/V34</f>
        <v>#REF!</v>
      </c>
      <c r="W84" s="134" t="e">
        <f t="shared" si="241"/>
        <v>#DIV/0!</v>
      </c>
      <c r="X84" s="134" t="e">
        <f t="shared" si="241"/>
        <v>#DIV/0!</v>
      </c>
      <c r="Y84" s="134" t="e">
        <f t="shared" si="241"/>
        <v>#DIV/0!</v>
      </c>
      <c r="Z84" s="134" t="e">
        <f t="shared" si="241"/>
        <v>#REF!</v>
      </c>
      <c r="AA84" s="134" t="e">
        <f t="shared" si="241"/>
        <v>#DIV/0!</v>
      </c>
      <c r="AB84" s="134" t="e">
        <f t="shared" si="241"/>
        <v>#DIV/0!</v>
      </c>
      <c r="AC84" s="134" t="e">
        <f t="shared" si="241"/>
        <v>#DIV/0!</v>
      </c>
      <c r="AD84" s="134" t="e">
        <f t="shared" si="241"/>
        <v>#REF!</v>
      </c>
      <c r="AE84" s="134" t="e">
        <f t="shared" si="241"/>
        <v>#DIV/0!</v>
      </c>
    </row>
    <row r="85" spans="1:31" ht="12.75" customHeight="1">
      <c r="B85" s="29" t="s">
        <v>103</v>
      </c>
      <c r="C85" s="134" t="e">
        <f>C34/-C39</f>
        <v>#DIV/0!</v>
      </c>
      <c r="D85" s="134" t="e">
        <f>D34/-D39</f>
        <v>#DIV/0!</v>
      </c>
      <c r="E85" s="134" t="e">
        <f>E34/-E39</f>
        <v>#DIV/0!</v>
      </c>
      <c r="F85" s="134" t="e">
        <f>F34/-F39</f>
        <v>#DIV/0!</v>
      </c>
      <c r="H85" s="136"/>
      <c r="I85" s="136"/>
      <c r="J85" s="136"/>
      <c r="K85" s="134" t="e" cm="1">
        <f t="array" ref="K85">SUM(H34:K34)/SUM(-H39:K39)</f>
        <v>#DIV/0!</v>
      </c>
      <c r="L85" s="134" t="e" cm="1">
        <f t="array" ref="L85">SUM(I34:L34)/SUM(-I39:L39)</f>
        <v>#DIV/0!</v>
      </c>
      <c r="M85" s="134" t="e" cm="1">
        <f t="array" ref="M85">SUM(J34:M34)/SUM(-J39:M39)</f>
        <v>#DIV/0!</v>
      </c>
      <c r="N85" s="134" t="e" cm="1">
        <f t="array" ref="N85">SUM(K34:N34)/SUM(-K39:N39)</f>
        <v>#DIV/0!</v>
      </c>
      <c r="O85" s="134" t="e" cm="1">
        <f t="array" ref="O85">SUM(L34:O34)/SUM(-L39:O39)</f>
        <v>#DIV/0!</v>
      </c>
      <c r="P85" s="134" t="e" cm="1">
        <f t="array" ref="P85">SUM(M34:P34)/SUM(-M39:P39)</f>
        <v>#DIV/0!</v>
      </c>
      <c r="Q85" s="134" t="e" cm="1">
        <f t="array" ref="Q85">SUM(N34:Q34)/SUM(-N39:Q39)</f>
        <v>#DIV/0!</v>
      </c>
      <c r="R85" s="134" t="e" cm="1">
        <f t="array" ref="R85">SUM(O34:R34)/SUM(-O39:R39)</f>
        <v>#DIV/0!</v>
      </c>
      <c r="S85" s="134" t="e" cm="1">
        <f t="array" ref="S85">SUM(P34:S34)/SUM(-P39:S39)</f>
        <v>#DIV/0!</v>
      </c>
      <c r="T85" s="134" t="e" cm="1">
        <f t="array" ref="T85">SUM(Q34:T34)/SUM(-Q39:T39)</f>
        <v>#DIV/0!</v>
      </c>
      <c r="U85" s="134"/>
      <c r="V85" s="134" t="e">
        <f t="shared" ref="V85:AE85" si="242">V34/-V39</f>
        <v>#DIV/0!</v>
      </c>
      <c r="W85" s="134" t="e">
        <f t="shared" si="242"/>
        <v>#DIV/0!</v>
      </c>
      <c r="X85" s="134" t="e">
        <f t="shared" si="242"/>
        <v>#DIV/0!</v>
      </c>
      <c r="Y85" s="134" t="e">
        <f t="shared" si="242"/>
        <v>#DIV/0!</v>
      </c>
      <c r="Z85" s="134" t="e">
        <f t="shared" si="242"/>
        <v>#DIV/0!</v>
      </c>
      <c r="AA85" s="134" t="e">
        <f t="shared" si="242"/>
        <v>#DIV/0!</v>
      </c>
      <c r="AB85" s="134" t="e">
        <f t="shared" si="242"/>
        <v>#DIV/0!</v>
      </c>
      <c r="AC85" s="134" t="e">
        <f t="shared" si="242"/>
        <v>#DIV/0!</v>
      </c>
      <c r="AD85" s="134" t="e">
        <f t="shared" si="242"/>
        <v>#DIV/0!</v>
      </c>
      <c r="AE85" s="134" t="e">
        <f t="shared" si="242"/>
        <v>#DIV/0!</v>
      </c>
    </row>
    <row r="86" spans="1:31" ht="12.75" customHeight="1">
      <c r="B86" s="29" t="s">
        <v>104</v>
      </c>
      <c r="C86" s="134" t="e" cm="1">
        <f t="array" ref="C86">SUM(C34+C37)/SUM(-C38:C39)</f>
        <v>#DIV/0!</v>
      </c>
      <c r="D86" s="134" t="e" cm="1">
        <f t="array" ref="D86">SUM(D34+D37)/SUM(-D38:D39)</f>
        <v>#DIV/0!</v>
      </c>
      <c r="E86" s="134" t="e" cm="1">
        <f t="array" ref="E86">SUM(E34+E37)/SUM(-E38:E39)</f>
        <v>#DIV/0!</v>
      </c>
      <c r="F86" s="134" t="e" cm="1">
        <f t="array" ref="F86">SUM(F34+F37)/SUM(-F38:F39)</f>
        <v>#DIV/0!</v>
      </c>
      <c r="H86" s="136"/>
      <c r="I86" s="136"/>
      <c r="J86" s="136"/>
      <c r="K86" s="134" t="e" cm="1">
        <f t="array" ref="K86">SUM(H34:K34+H37:K37)/SUM(-H38:K39)</f>
        <v>#DIV/0!</v>
      </c>
      <c r="L86" s="134" t="e" cm="1">
        <f t="array" ref="L86">SUM(I34:L34+I37:L37)/SUM(-I38:L39)</f>
        <v>#DIV/0!</v>
      </c>
      <c r="M86" s="134" t="e" cm="1">
        <f t="array" ref="M86">SUM(J34:M34+J37:M37)/SUM(-J38:M39)</f>
        <v>#DIV/0!</v>
      </c>
      <c r="N86" s="134" t="e" cm="1">
        <f t="array" ref="N86">SUM(K34:N34+K37:N37)/SUM(-K38:N39)</f>
        <v>#DIV/0!</v>
      </c>
      <c r="O86" s="134" t="e" cm="1">
        <f t="array" ref="O86">SUM(L34:O34+L37:O37)/SUM(-L38:O39)</f>
        <v>#DIV/0!</v>
      </c>
      <c r="P86" s="134" t="e" cm="1">
        <f t="array" ref="P86">SUM(M34:P34+M37:P37)/SUM(-M38:P39)</f>
        <v>#DIV/0!</v>
      </c>
      <c r="Q86" s="134" t="e" cm="1">
        <f t="array" ref="Q86">SUM(N34:Q34+N37:Q37)/SUM(-N38:Q39)</f>
        <v>#DIV/0!</v>
      </c>
      <c r="R86" s="134" t="e" cm="1">
        <f t="array" ref="R86">SUM(O34:R34+O37:R37)/SUM(-O38:R39)</f>
        <v>#DIV/0!</v>
      </c>
      <c r="S86" s="134" t="e" cm="1">
        <f t="array" ref="S86">SUM(P34:S34+P37:S37)/SUM(-P38:S39)</f>
        <v>#DIV/0!</v>
      </c>
      <c r="T86" s="134" t="e" cm="1">
        <f t="array" ref="T86">SUM(Q34:T34+Q37:T37)/SUM(-Q38:T39)</f>
        <v>#DIV/0!</v>
      </c>
      <c r="U86" s="134"/>
      <c r="V86" s="134" t="e" cm="1">
        <f t="array" ref="V86">SUM(V34+V37)/SUM(-V38:V39)</f>
        <v>#DIV/0!</v>
      </c>
      <c r="W86" s="134" t="e" cm="1">
        <f t="array" ref="W86">SUM(W34+W37)/SUM(-W38:W39)</f>
        <v>#DIV/0!</v>
      </c>
      <c r="X86" s="134" t="e" cm="1">
        <f t="array" ref="X86">SUM(X34+X37)/SUM(-X38:X39)</f>
        <v>#DIV/0!</v>
      </c>
      <c r="Y86" s="134" t="e" cm="1">
        <f t="array" ref="Y86">SUM(Y34+Y37)/SUM(-Y38:Y39)</f>
        <v>#DIV/0!</v>
      </c>
      <c r="Z86" s="134" t="e" cm="1">
        <f t="array" ref="Z86">SUM(Z34+Z37)/SUM(-Z38:Z39)</f>
        <v>#DIV/0!</v>
      </c>
      <c r="AA86" s="134" t="e" cm="1">
        <f t="array" ref="AA86">SUM(AA34+AA37)/SUM(-AA38:AA39)</f>
        <v>#DIV/0!</v>
      </c>
      <c r="AB86" s="134" t="e" cm="1">
        <f t="array" ref="AB86">SUM(AB34+AB37)/SUM(-AB38:AB39)</f>
        <v>#DIV/0!</v>
      </c>
      <c r="AC86" s="134" t="e" cm="1">
        <f t="array" ref="AC86">SUM(AC34+AC37)/SUM(-AC38:AC39)</f>
        <v>#DIV/0!</v>
      </c>
      <c r="AD86" s="134" t="e" cm="1">
        <f t="array" ref="AD86">SUM(AD34+AD37)/SUM(-AD38:AD39)</f>
        <v>#DIV/0!</v>
      </c>
      <c r="AE86" s="134" t="e" cm="1">
        <f t="array" ref="AE86">SUM(AE34+AE37)/SUM(-AE38:AE39)</f>
        <v>#DIV/0!</v>
      </c>
    </row>
    <row r="87" spans="1:31" ht="12.75" customHeight="1">
      <c r="B87" s="29" t="s">
        <v>105</v>
      </c>
      <c r="C87" s="134" t="e" cm="1">
        <f t="array" ref="C87">SUM(C34)/SUM(-C37:C39)</f>
        <v>#DIV/0!</v>
      </c>
      <c r="D87" s="134" t="e" cm="1">
        <f t="array" ref="D87">SUM(D34)/SUM(-D37:D39)</f>
        <v>#DIV/0!</v>
      </c>
      <c r="E87" s="134" t="e" cm="1">
        <f t="array" ref="E87">SUM(E34)/SUM(-E37:E39)</f>
        <v>#DIV/0!</v>
      </c>
      <c r="F87" s="134" t="e" cm="1">
        <f t="array" ref="F87">SUM(F34)/SUM(-F37:F39)</f>
        <v>#DIV/0!</v>
      </c>
      <c r="H87" s="136"/>
      <c r="I87" s="136"/>
      <c r="J87" s="136"/>
      <c r="K87" s="134" t="e" cm="1">
        <f t="array" ref="K87">SUM(H34:K34)/SUM(-H37:K39)</f>
        <v>#DIV/0!</v>
      </c>
      <c r="L87" s="134" t="e" cm="1">
        <f t="array" ref="L87">SUM(I34:L34)/SUM(-I37:L39)</f>
        <v>#DIV/0!</v>
      </c>
      <c r="M87" s="134" t="e" cm="1">
        <f t="array" ref="M87">SUM(J34:M34)/SUM(-J37:M39)</f>
        <v>#DIV/0!</v>
      </c>
      <c r="N87" s="134" t="e" cm="1">
        <f t="array" ref="N87">SUM(K34:N34)/SUM(-K37:N39)</f>
        <v>#DIV/0!</v>
      </c>
      <c r="O87" s="134" t="e" cm="1">
        <f t="array" ref="O87">SUM(L34:O34)/SUM(-L37:O39)</f>
        <v>#DIV/0!</v>
      </c>
      <c r="P87" s="134" t="e" cm="1">
        <f t="array" ref="P87">SUM(M34:P34)/SUM(-M37:P39)</f>
        <v>#DIV/0!</v>
      </c>
      <c r="Q87" s="134" t="e" cm="1">
        <f t="array" ref="Q87">SUM(N34:Q34)/SUM(-N37:Q39)</f>
        <v>#DIV/0!</v>
      </c>
      <c r="R87" s="134" t="e" cm="1">
        <f t="array" ref="R87">SUM(O34:R34)/SUM(-O37:R39)</f>
        <v>#DIV/0!</v>
      </c>
      <c r="S87" s="134" t="e" cm="1">
        <f t="array" ref="S87">SUM(P34:S34)/SUM(-P37:S39)</f>
        <v>#DIV/0!</v>
      </c>
      <c r="T87" s="134" t="e" cm="1">
        <f t="array" ref="T87">SUM(Q34:T34)/SUM(-Q37:T39)</f>
        <v>#DIV/0!</v>
      </c>
      <c r="U87" s="134"/>
      <c r="V87" s="134" t="e" cm="1">
        <f t="array" ref="V87">SUM(V34)/SUM(-V37:V39)</f>
        <v>#DIV/0!</v>
      </c>
      <c r="W87" s="134" t="e" cm="1">
        <f t="array" ref="W87">SUM(W34)/SUM(-W37:W39)</f>
        <v>#DIV/0!</v>
      </c>
      <c r="X87" s="134" t="e" cm="1">
        <f t="array" ref="X87">SUM(X34)/SUM(-X37:X39)</f>
        <v>#DIV/0!</v>
      </c>
      <c r="Y87" s="134" t="e" cm="1">
        <f t="array" ref="Y87">SUM(Y34)/SUM(-Y37:Y39)</f>
        <v>#DIV/0!</v>
      </c>
      <c r="Z87" s="134" t="e" cm="1">
        <f t="array" ref="Z87">SUM(Z34)/SUM(-Z37:Z39)</f>
        <v>#DIV/0!</v>
      </c>
      <c r="AA87" s="134" t="e" cm="1">
        <f t="array" ref="AA87">SUM(AA34)/SUM(-AA37:AA39)</f>
        <v>#DIV/0!</v>
      </c>
      <c r="AB87" s="134" t="e" cm="1">
        <f t="array" ref="AB87">SUM(AB34)/SUM(-AB37:AB39)</f>
        <v>#DIV/0!</v>
      </c>
      <c r="AC87" s="134" t="e" cm="1">
        <f t="array" ref="AC87">SUM(AC34)/SUM(-AC37:AC39)</f>
        <v>#DIV/0!</v>
      </c>
      <c r="AD87" s="134" t="e" cm="1">
        <f t="array" ref="AD87">SUM(AD34)/SUM(-AD37:AD39)</f>
        <v>#DIV/0!</v>
      </c>
      <c r="AE87" s="134" t="e" cm="1">
        <f t="array" ref="AE87">SUM(AE34)/SUM(-AE37:AE39)</f>
        <v>#DIV/0!</v>
      </c>
    </row>
    <row r="88" spans="1:31" ht="12.75" customHeight="1">
      <c r="B88" s="8" t="s">
        <v>45</v>
      </c>
      <c r="C88" s="134" t="e">
        <f t="shared" ref="C88:F88" si="243">C79/C76</f>
        <v>#DIV/0!</v>
      </c>
      <c r="D88" s="134" t="e">
        <f t="shared" si="243"/>
        <v>#DIV/0!</v>
      </c>
      <c r="E88" s="134" t="e">
        <f t="shared" si="243"/>
        <v>#DIV/0!</v>
      </c>
      <c r="F88" s="134" t="e">
        <f t="shared" si="243"/>
        <v>#DIV/0!</v>
      </c>
      <c r="H88" s="136"/>
      <c r="I88" s="136"/>
      <c r="J88" s="136"/>
      <c r="K88" s="134" t="e">
        <f t="shared" ref="K88:S88" si="244">K79/K76</f>
        <v>#REF!</v>
      </c>
      <c r="L88" s="134" t="e">
        <f t="shared" si="244"/>
        <v>#DIV/0!</v>
      </c>
      <c r="M88" s="134" t="e">
        <f t="shared" si="244"/>
        <v>#DIV/0!</v>
      </c>
      <c r="N88" s="134" t="e">
        <f t="shared" si="244"/>
        <v>#DIV/0!</v>
      </c>
      <c r="O88" s="134" t="e">
        <f t="shared" si="244"/>
        <v>#REF!</v>
      </c>
      <c r="P88" s="134" t="e">
        <f t="shared" si="244"/>
        <v>#DIV/0!</v>
      </c>
      <c r="Q88" s="134" t="e">
        <f t="shared" si="244"/>
        <v>#DIV/0!</v>
      </c>
      <c r="R88" s="134" t="e">
        <f t="shared" si="244"/>
        <v>#DIV/0!</v>
      </c>
      <c r="S88" s="134" t="e">
        <f t="shared" si="244"/>
        <v>#REF!</v>
      </c>
      <c r="T88" s="134" t="e">
        <f t="shared" ref="T88" si="245">T79/T76</f>
        <v>#DIV/0!</v>
      </c>
      <c r="U88" s="134"/>
      <c r="V88" s="134" t="e">
        <f t="shared" ref="V88" si="246">V79/V76</f>
        <v>#REF!</v>
      </c>
      <c r="W88" s="134" t="e">
        <f t="shared" ref="W88:AC88" si="247">W79/W76</f>
        <v>#DIV/0!</v>
      </c>
      <c r="X88" s="134" t="e">
        <f t="shared" si="247"/>
        <v>#DIV/0!</v>
      </c>
      <c r="Y88" s="134" t="e">
        <f t="shared" si="247"/>
        <v>#DIV/0!</v>
      </c>
      <c r="Z88" s="134" t="e">
        <f t="shared" si="247"/>
        <v>#REF!</v>
      </c>
      <c r="AA88" s="134" t="e">
        <f t="shared" si="247"/>
        <v>#DIV/0!</v>
      </c>
      <c r="AB88" s="134" t="e">
        <f t="shared" si="247"/>
        <v>#DIV/0!</v>
      </c>
      <c r="AC88" s="134" t="e">
        <f t="shared" si="247"/>
        <v>#DIV/0!</v>
      </c>
      <c r="AD88" s="134" t="e">
        <f>AD79/AD76</f>
        <v>#REF!</v>
      </c>
      <c r="AE88" s="134" t="e">
        <f>AE79/AE76</f>
        <v>#DIV/0!</v>
      </c>
    </row>
    <row r="89" spans="1:31" ht="5.0999999999999996" customHeight="1" thickBo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</sheetData>
  <mergeCells count="1">
    <mergeCell ref="AG2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2025-12-25T22:42:54Z</dcterms:modified>
</cp:coreProperties>
</file>