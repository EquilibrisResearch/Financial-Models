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8EEEAB05-81AE-499A-9E49-F4470F3340BE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FCF" sheetId="9" r:id="rId2"/>
    <sheet name="Cash Burn Analysis" sheetId="12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8" l="1"/>
  <c r="I32" i="8"/>
  <c r="J32" i="8"/>
  <c r="L32" i="8"/>
  <c r="P32" i="8"/>
  <c r="M32" i="8"/>
  <c r="Q32" i="8"/>
  <c r="N32" i="8"/>
  <c r="R32" i="8"/>
  <c r="F32" i="8"/>
  <c r="C32" i="8"/>
  <c r="E32" i="8"/>
  <c r="D32" i="8"/>
  <c r="F11" i="12"/>
  <c r="E11" i="12"/>
  <c r="D11" i="12"/>
  <c r="C11" i="12"/>
  <c r="F7" i="12"/>
  <c r="E7" i="12"/>
  <c r="D7" i="12"/>
  <c r="C7" i="12"/>
  <c r="AC37" i="9"/>
  <c r="AB37" i="9"/>
  <c r="AA37" i="9"/>
  <c r="Z37" i="9"/>
  <c r="Y37" i="9"/>
  <c r="AC36" i="9"/>
  <c r="AB36" i="9"/>
  <c r="AA36" i="9"/>
  <c r="Z36" i="9"/>
  <c r="Y36" i="9"/>
  <c r="AC35" i="9"/>
  <c r="AB35" i="9"/>
  <c r="AA35" i="9"/>
  <c r="Z35" i="9"/>
  <c r="Y35" i="9"/>
  <c r="AC34" i="9"/>
  <c r="AB34" i="9"/>
  <c r="AA34" i="9"/>
  <c r="Z34" i="9"/>
  <c r="Y34" i="9"/>
  <c r="S37" i="9"/>
  <c r="R37" i="9"/>
  <c r="Q37" i="9"/>
  <c r="P37" i="9"/>
  <c r="O37" i="9"/>
  <c r="N37" i="9"/>
  <c r="M37" i="9"/>
  <c r="L37" i="9"/>
  <c r="K37" i="9"/>
  <c r="J37" i="9"/>
  <c r="I37" i="9"/>
  <c r="S36" i="9"/>
  <c r="R36" i="9"/>
  <c r="Q36" i="9"/>
  <c r="P36" i="9"/>
  <c r="O36" i="9"/>
  <c r="N36" i="9"/>
  <c r="M36" i="9"/>
  <c r="L36" i="9"/>
  <c r="K36" i="9"/>
  <c r="J36" i="9"/>
  <c r="I36" i="9"/>
  <c r="S35" i="9"/>
  <c r="R35" i="9"/>
  <c r="Q35" i="9"/>
  <c r="P35" i="9"/>
  <c r="O35" i="9"/>
  <c r="N35" i="9"/>
  <c r="M35" i="9"/>
  <c r="L35" i="9"/>
  <c r="K35" i="9"/>
  <c r="J35" i="9"/>
  <c r="I35" i="9"/>
  <c r="S34" i="9"/>
  <c r="R34" i="9"/>
  <c r="Q34" i="9"/>
  <c r="P34" i="9"/>
  <c r="O34" i="9"/>
  <c r="N34" i="9"/>
  <c r="M34" i="9"/>
  <c r="L34" i="9"/>
  <c r="K34" i="9"/>
  <c r="J34" i="9"/>
  <c r="I34" i="9"/>
  <c r="H37" i="9"/>
  <c r="H36" i="9"/>
  <c r="H35" i="9"/>
  <c r="H34" i="9"/>
  <c r="F37" i="9"/>
  <c r="E37" i="9"/>
  <c r="D37" i="9"/>
  <c r="F36" i="9"/>
  <c r="E36" i="9"/>
  <c r="D36" i="9"/>
  <c r="F35" i="9"/>
  <c r="E35" i="9"/>
  <c r="D35" i="9"/>
  <c r="F34" i="9"/>
  <c r="E34" i="9"/>
  <c r="D34" i="9"/>
  <c r="C37" i="9"/>
  <c r="C36" i="9"/>
  <c r="C35" i="9"/>
  <c r="C34" i="9"/>
  <c r="S60" i="9"/>
  <c r="R60" i="9"/>
  <c r="Q60" i="9"/>
  <c r="P60" i="9"/>
  <c r="O60" i="9"/>
  <c r="N60" i="9"/>
  <c r="M60" i="9"/>
  <c r="L60" i="9"/>
  <c r="K60" i="9"/>
  <c r="J60" i="9"/>
  <c r="I60" i="9"/>
  <c r="H60" i="9"/>
  <c r="F60" i="9"/>
  <c r="E60" i="9"/>
  <c r="D60" i="9"/>
  <c r="C60" i="9"/>
  <c r="U57" i="9"/>
  <c r="V57" i="9"/>
  <c r="W57" i="9"/>
  <c r="X57" i="9"/>
  <c r="Y57" i="9"/>
  <c r="Z57" i="9"/>
  <c r="AA57" i="9"/>
  <c r="AB57" i="9"/>
  <c r="AC57" i="9"/>
  <c r="S51" i="9"/>
  <c r="AC51" i="9" s="1"/>
  <c r="R51" i="9"/>
  <c r="AB51" i="9" s="1"/>
  <c r="Q51" i="9"/>
  <c r="AA51" i="9" s="1"/>
  <c r="P51" i="9"/>
  <c r="Z51" i="9" s="1"/>
  <c r="O51" i="9"/>
  <c r="Y51" i="9" s="1"/>
  <c r="N51" i="9"/>
  <c r="X51" i="9" s="1"/>
  <c r="M51" i="9"/>
  <c r="W51" i="9" s="1"/>
  <c r="L51" i="9"/>
  <c r="V51" i="9" s="1"/>
  <c r="K51" i="9"/>
  <c r="U51" i="9" s="1"/>
  <c r="J51" i="9"/>
  <c r="I51" i="9"/>
  <c r="S50" i="9"/>
  <c r="AC50" i="9" s="1"/>
  <c r="R50" i="9"/>
  <c r="AB50" i="9" s="1"/>
  <c r="Q50" i="9"/>
  <c r="AA50" i="9" s="1"/>
  <c r="P50" i="9"/>
  <c r="Z50" i="9" s="1"/>
  <c r="O50" i="9"/>
  <c r="Y50" i="9" s="1"/>
  <c r="N50" i="9"/>
  <c r="X50" i="9" s="1"/>
  <c r="M50" i="9"/>
  <c r="W50" i="9" s="1"/>
  <c r="L50" i="9"/>
  <c r="V50" i="9" s="1"/>
  <c r="K50" i="9"/>
  <c r="U50" i="9" s="1"/>
  <c r="J50" i="9"/>
  <c r="I50" i="9"/>
  <c r="S49" i="9"/>
  <c r="AC49" i="9" s="1"/>
  <c r="R49" i="9"/>
  <c r="AB49" i="9" s="1"/>
  <c r="Q49" i="9"/>
  <c r="AA49" i="9" s="1"/>
  <c r="P49" i="9"/>
  <c r="Z49" i="9" s="1"/>
  <c r="O49" i="9"/>
  <c r="Y49" i="9" s="1"/>
  <c r="N49" i="9"/>
  <c r="X49" i="9" s="1"/>
  <c r="M49" i="9"/>
  <c r="W49" i="9" s="1"/>
  <c r="L49" i="9"/>
  <c r="V49" i="9" s="1"/>
  <c r="K49" i="9"/>
  <c r="U49" i="9" s="1"/>
  <c r="J49" i="9"/>
  <c r="I49" i="9"/>
  <c r="S48" i="9"/>
  <c r="AC48" i="9" s="1"/>
  <c r="R48" i="9"/>
  <c r="AB48" i="9" s="1"/>
  <c r="Q48" i="9"/>
  <c r="AA48" i="9" s="1"/>
  <c r="P48" i="9"/>
  <c r="Z48" i="9" s="1"/>
  <c r="O48" i="9"/>
  <c r="Y48" i="9" s="1"/>
  <c r="N48" i="9"/>
  <c r="X48" i="9" s="1"/>
  <c r="M48" i="9"/>
  <c r="W48" i="9" s="1"/>
  <c r="L48" i="9"/>
  <c r="V48" i="9" s="1"/>
  <c r="K48" i="9"/>
  <c r="U48" i="9" s="1"/>
  <c r="J48" i="9"/>
  <c r="I48" i="9"/>
  <c r="S47" i="9"/>
  <c r="R47" i="9"/>
  <c r="Q47" i="9"/>
  <c r="P47" i="9"/>
  <c r="O47" i="9"/>
  <c r="N47" i="9"/>
  <c r="M47" i="9"/>
  <c r="L47" i="9"/>
  <c r="K47" i="9"/>
  <c r="J47" i="9"/>
  <c r="I47" i="9"/>
  <c r="H51" i="9"/>
  <c r="H50" i="9"/>
  <c r="H49" i="9"/>
  <c r="H48" i="9"/>
  <c r="H47" i="9"/>
  <c r="F51" i="9"/>
  <c r="E51" i="9"/>
  <c r="D51" i="9"/>
  <c r="F50" i="9"/>
  <c r="E50" i="9"/>
  <c r="D50" i="9"/>
  <c r="F49" i="9"/>
  <c r="E49" i="9"/>
  <c r="D49" i="9"/>
  <c r="F48" i="9"/>
  <c r="E48" i="9"/>
  <c r="D48" i="9"/>
  <c r="F47" i="9"/>
  <c r="E47" i="9"/>
  <c r="D47" i="9"/>
  <c r="C47" i="9"/>
  <c r="C48" i="9"/>
  <c r="C49" i="9"/>
  <c r="C50" i="9"/>
  <c r="C51" i="9"/>
  <c r="S43" i="9"/>
  <c r="R43" i="9"/>
  <c r="Q43" i="9"/>
  <c r="P43" i="9"/>
  <c r="O43" i="9"/>
  <c r="N43" i="9"/>
  <c r="M43" i="9"/>
  <c r="L43" i="9"/>
  <c r="K43" i="9"/>
  <c r="J43" i="9"/>
  <c r="I43" i="9"/>
  <c r="H43" i="9"/>
  <c r="F43" i="9"/>
  <c r="E43" i="9"/>
  <c r="D43" i="9"/>
  <c r="C43" i="9"/>
  <c r="S31" i="9"/>
  <c r="R31" i="9"/>
  <c r="Q31" i="9"/>
  <c r="P31" i="9"/>
  <c r="O31" i="9"/>
  <c r="N31" i="9"/>
  <c r="M31" i="9"/>
  <c r="L31" i="9"/>
  <c r="K31" i="9"/>
  <c r="J31" i="9"/>
  <c r="I31" i="9"/>
  <c r="H31" i="9"/>
  <c r="F31" i="9"/>
  <c r="E31" i="9"/>
  <c r="D31" i="9"/>
  <c r="C31" i="9"/>
  <c r="S29" i="9"/>
  <c r="R29" i="9"/>
  <c r="Q29" i="9"/>
  <c r="P29" i="9"/>
  <c r="O29" i="9"/>
  <c r="N29" i="9"/>
  <c r="M29" i="9"/>
  <c r="L29" i="9"/>
  <c r="K29" i="9"/>
  <c r="J29" i="9"/>
  <c r="I29" i="9"/>
  <c r="H29" i="9"/>
  <c r="F29" i="9"/>
  <c r="E29" i="9"/>
  <c r="D29" i="9"/>
  <c r="C29" i="9"/>
  <c r="S28" i="9"/>
  <c r="R28" i="9"/>
  <c r="Q28" i="9"/>
  <c r="P28" i="9"/>
  <c r="O28" i="9"/>
  <c r="N28" i="9"/>
  <c r="M28" i="9"/>
  <c r="L28" i="9"/>
  <c r="K28" i="9"/>
  <c r="J28" i="9"/>
  <c r="I28" i="9"/>
  <c r="H28" i="9"/>
  <c r="F28" i="9"/>
  <c r="E28" i="9"/>
  <c r="D28" i="9"/>
  <c r="C28" i="9"/>
  <c r="S24" i="9"/>
  <c r="R24" i="9"/>
  <c r="Q24" i="9"/>
  <c r="P24" i="9"/>
  <c r="O24" i="9"/>
  <c r="N24" i="9"/>
  <c r="M24" i="9"/>
  <c r="L24" i="9"/>
  <c r="K24" i="9"/>
  <c r="J24" i="9"/>
  <c r="I24" i="9"/>
  <c r="H24" i="9"/>
  <c r="F24" i="9"/>
  <c r="E24" i="9"/>
  <c r="D24" i="9"/>
  <c r="C24" i="9"/>
  <c r="S16" i="9"/>
  <c r="R16" i="9"/>
  <c r="Q16" i="9"/>
  <c r="P16" i="9"/>
  <c r="O16" i="9"/>
  <c r="N16" i="9"/>
  <c r="M16" i="9"/>
  <c r="L16" i="9"/>
  <c r="K16" i="9"/>
  <c r="J16" i="9"/>
  <c r="I16" i="9"/>
  <c r="S15" i="9"/>
  <c r="R15" i="9"/>
  <c r="Q15" i="9"/>
  <c r="P15" i="9"/>
  <c r="O15" i="9"/>
  <c r="N15" i="9"/>
  <c r="M15" i="9"/>
  <c r="L15" i="9"/>
  <c r="K15" i="9"/>
  <c r="J15" i="9"/>
  <c r="I15" i="9"/>
  <c r="H16" i="9"/>
  <c r="H15" i="9"/>
  <c r="F16" i="9"/>
  <c r="E16" i="9"/>
  <c r="D16" i="9"/>
  <c r="C16" i="9"/>
  <c r="F15" i="9"/>
  <c r="E15" i="9"/>
  <c r="D15" i="9"/>
  <c r="C15" i="9"/>
  <c r="R76" i="8"/>
  <c r="R94" i="8"/>
  <c r="R91" i="8"/>
  <c r="N107" i="8"/>
  <c r="O107" i="8"/>
  <c r="M107" i="8"/>
  <c r="L107" i="8"/>
  <c r="K107" i="8"/>
  <c r="J107" i="8"/>
  <c r="I107" i="8"/>
  <c r="H107" i="8"/>
  <c r="F107" i="8"/>
  <c r="E107" i="8"/>
  <c r="D107" i="8"/>
  <c r="C107" i="8"/>
  <c r="N83" i="8"/>
  <c r="N82" i="8"/>
  <c r="AA82" i="8" s="1"/>
  <c r="N81" i="8"/>
  <c r="N80" i="8"/>
  <c r="N79" i="8"/>
  <c r="M72" i="8"/>
  <c r="L72" i="8"/>
  <c r="N91" i="8"/>
  <c r="R77" i="8"/>
  <c r="AC82" i="8"/>
  <c r="AC81" i="8"/>
  <c r="AA81" i="8"/>
  <c r="AC80" i="8"/>
  <c r="AC79" i="8"/>
  <c r="AC92" i="8"/>
  <c r="AB92" i="8"/>
  <c r="AA92" i="8"/>
  <c r="Z92" i="8"/>
  <c r="Y92" i="8"/>
  <c r="Q94" i="8"/>
  <c r="N94" i="8"/>
  <c r="M94" i="8"/>
  <c r="I94" i="8"/>
  <c r="J94" i="8" s="1"/>
  <c r="K94" i="8" s="1"/>
  <c r="S93" i="8"/>
  <c r="O93" i="8"/>
  <c r="K93" i="8"/>
  <c r="S92" i="8"/>
  <c r="O92" i="8"/>
  <c r="J92" i="8"/>
  <c r="K92" i="8" s="1"/>
  <c r="I92" i="8"/>
  <c r="Q91" i="8"/>
  <c r="O91" i="8"/>
  <c r="I91" i="8"/>
  <c r="J91" i="8" s="1"/>
  <c r="K91" i="8" s="1"/>
  <c r="S83" i="8"/>
  <c r="M83" i="8"/>
  <c r="O83" i="8" s="1"/>
  <c r="K83" i="8"/>
  <c r="Q82" i="8"/>
  <c r="R82" i="8" s="1"/>
  <c r="S82" i="8" s="1"/>
  <c r="M82" i="8"/>
  <c r="O82" i="8" s="1"/>
  <c r="AB82" i="8" s="1"/>
  <c r="I82" i="8"/>
  <c r="Q81" i="8"/>
  <c r="M81" i="8"/>
  <c r="O81" i="8" s="1"/>
  <c r="Y81" i="8" s="1"/>
  <c r="I81" i="8"/>
  <c r="J81" i="8" s="1"/>
  <c r="K81" i="8" s="1"/>
  <c r="Q80" i="8"/>
  <c r="M80" i="8"/>
  <c r="I80" i="8"/>
  <c r="J80" i="8" s="1"/>
  <c r="K80" i="8" s="1"/>
  <c r="R79" i="8"/>
  <c r="S79" i="8" s="1"/>
  <c r="Q79" i="8"/>
  <c r="M79" i="8"/>
  <c r="I79" i="8"/>
  <c r="Q77" i="8"/>
  <c r="M77" i="8"/>
  <c r="I77" i="8"/>
  <c r="O76" i="8"/>
  <c r="K76" i="8"/>
  <c r="M75" i="8"/>
  <c r="N75" i="8" s="1"/>
  <c r="O75" i="8" s="1"/>
  <c r="K75" i="8"/>
  <c r="AB57" i="8"/>
  <c r="AA57" i="8"/>
  <c r="Z57" i="8"/>
  <c r="S60" i="8"/>
  <c r="O60" i="8"/>
  <c r="K60" i="8"/>
  <c r="S59" i="8"/>
  <c r="O59" i="8"/>
  <c r="K59" i="8"/>
  <c r="S58" i="8"/>
  <c r="O58" i="8"/>
  <c r="K58" i="8"/>
  <c r="S57" i="8"/>
  <c r="AC57" i="8" s="1"/>
  <c r="O57" i="8"/>
  <c r="Y57" i="8" s="1"/>
  <c r="K57" i="8"/>
  <c r="S56" i="8"/>
  <c r="O56" i="8"/>
  <c r="K56" i="8"/>
  <c r="S53" i="8"/>
  <c r="O53" i="8"/>
  <c r="K53" i="8"/>
  <c r="S52" i="8"/>
  <c r="O52" i="8"/>
  <c r="K52" i="8"/>
  <c r="S51" i="8"/>
  <c r="O51" i="8"/>
  <c r="K51" i="8"/>
  <c r="R54" i="8"/>
  <c r="Q54" i="8"/>
  <c r="P54" i="8"/>
  <c r="N54" i="8"/>
  <c r="M54" i="8"/>
  <c r="L54" i="8"/>
  <c r="J54" i="8"/>
  <c r="I54" i="8"/>
  <c r="H54" i="8"/>
  <c r="F54" i="8"/>
  <c r="E54" i="8"/>
  <c r="D54" i="8"/>
  <c r="C54" i="8"/>
  <c r="AB45" i="8"/>
  <c r="AA45" i="8"/>
  <c r="Z45" i="8"/>
  <c r="S46" i="8"/>
  <c r="O46" i="8"/>
  <c r="K46" i="8"/>
  <c r="S45" i="8"/>
  <c r="AC45" i="8" s="1"/>
  <c r="O45" i="8"/>
  <c r="Y45" i="8" s="1"/>
  <c r="K45" i="8"/>
  <c r="S44" i="8"/>
  <c r="O44" i="8"/>
  <c r="K44" i="8"/>
  <c r="S28" i="8"/>
  <c r="O28" i="8"/>
  <c r="K28" i="8"/>
  <c r="R24" i="8"/>
  <c r="L24" i="8"/>
  <c r="M24" i="8"/>
  <c r="F24" i="8"/>
  <c r="E24" i="8"/>
  <c r="C24" i="8"/>
  <c r="S22" i="8"/>
  <c r="AC22" i="8" s="1"/>
  <c r="O22" i="8"/>
  <c r="AA22" i="8" s="1"/>
  <c r="K22" i="8"/>
  <c r="S23" i="8"/>
  <c r="AC23" i="8" s="1"/>
  <c r="O23" i="8"/>
  <c r="AB23" i="8" s="1"/>
  <c r="K23" i="8"/>
  <c r="S18" i="8"/>
  <c r="O18" i="8"/>
  <c r="K18" i="8"/>
  <c r="S17" i="8"/>
  <c r="O17" i="8"/>
  <c r="K17" i="8"/>
  <c r="S87" i="8"/>
  <c r="O87" i="8"/>
  <c r="K87" i="8"/>
  <c r="S91" i="8" l="1"/>
  <c r="Y82" i="8"/>
  <c r="Z82" i="8"/>
  <c r="Z81" i="8"/>
  <c r="AB81" i="8"/>
  <c r="O94" i="8"/>
  <c r="S94" i="8"/>
  <c r="R80" i="8"/>
  <c r="S80" i="8" s="1"/>
  <c r="J79" i="8"/>
  <c r="K79" i="8" s="1"/>
  <c r="R81" i="8"/>
  <c r="S81" i="8" s="1"/>
  <c r="J82" i="8"/>
  <c r="K82" i="8" s="1"/>
  <c r="O79" i="8"/>
  <c r="O80" i="8"/>
  <c r="AB80" i="8" s="1"/>
  <c r="K54" i="8"/>
  <c r="J77" i="8"/>
  <c r="K77" i="8" s="1"/>
  <c r="N77" i="8"/>
  <c r="O77" i="8" s="1"/>
  <c r="O54" i="8"/>
  <c r="S54" i="8"/>
  <c r="AB22" i="8"/>
  <c r="Y22" i="8"/>
  <c r="Z22" i="8"/>
  <c r="Y23" i="8"/>
  <c r="Z23" i="8"/>
  <c r="AA23" i="8"/>
  <c r="Z80" i="8" l="1"/>
  <c r="Y80" i="8"/>
  <c r="AA80" i="8"/>
  <c r="AB79" i="8"/>
  <c r="AA79" i="8"/>
  <c r="Z79" i="8"/>
  <c r="Y79" i="8"/>
  <c r="L21" i="12" l="1"/>
  <c r="V21" i="12" s="1"/>
  <c r="Z32" i="8"/>
  <c r="M21" i="12"/>
  <c r="W21" i="12" s="1"/>
  <c r="Q21" i="12"/>
  <c r="AA21" i="12" s="1"/>
  <c r="N21" i="12"/>
  <c r="X21" i="12" s="1"/>
  <c r="AB32" i="8"/>
  <c r="D21" i="12"/>
  <c r="E21" i="12"/>
  <c r="S32" i="8"/>
  <c r="R25" i="12"/>
  <c r="AB25" i="12" s="1"/>
  <c r="Q25" i="12"/>
  <c r="AA25" i="12" s="1"/>
  <c r="P25" i="12"/>
  <c r="Z25" i="12" s="1"/>
  <c r="N25" i="12"/>
  <c r="X25" i="12" s="1"/>
  <c r="M25" i="12"/>
  <c r="W25" i="12" s="1"/>
  <c r="L25" i="12"/>
  <c r="V25" i="12" s="1"/>
  <c r="J25" i="12"/>
  <c r="I25" i="12"/>
  <c r="H25" i="12"/>
  <c r="F25" i="12"/>
  <c r="E25" i="12"/>
  <c r="D25" i="12"/>
  <c r="C25" i="12"/>
  <c r="J21" i="12"/>
  <c r="I21" i="12"/>
  <c r="H21" i="12"/>
  <c r="C21" i="12"/>
  <c r="R12" i="12"/>
  <c r="Q12" i="12"/>
  <c r="P12" i="12"/>
  <c r="N12" i="12"/>
  <c r="M12" i="12"/>
  <c r="L12" i="12"/>
  <c r="J12" i="12"/>
  <c r="I12" i="12"/>
  <c r="H12" i="12"/>
  <c r="F12" i="12"/>
  <c r="E12" i="12"/>
  <c r="D12" i="12"/>
  <c r="C12" i="12"/>
  <c r="R7" i="12"/>
  <c r="AB7" i="12" s="1"/>
  <c r="Q7" i="12"/>
  <c r="P7" i="12"/>
  <c r="Z7" i="12" s="1"/>
  <c r="N7" i="12"/>
  <c r="X7" i="12" s="1"/>
  <c r="M7" i="12"/>
  <c r="W7" i="12" s="1"/>
  <c r="L7" i="12"/>
  <c r="V7" i="12" s="1"/>
  <c r="J7" i="12"/>
  <c r="I7" i="12"/>
  <c r="H7" i="12"/>
  <c r="C8" i="12"/>
  <c r="C4" i="12"/>
  <c r="C3" i="12"/>
  <c r="AB55" i="9"/>
  <c r="AA55" i="9"/>
  <c r="Z55" i="9"/>
  <c r="X55" i="9"/>
  <c r="W55" i="9"/>
  <c r="V55" i="9"/>
  <c r="AA54" i="9"/>
  <c r="Z54" i="9"/>
  <c r="X54" i="9"/>
  <c r="W54" i="9"/>
  <c r="V54" i="9"/>
  <c r="AB47" i="9"/>
  <c r="AA47" i="9"/>
  <c r="Z47" i="9"/>
  <c r="X47" i="9"/>
  <c r="W47" i="9"/>
  <c r="V47" i="9"/>
  <c r="AB54" i="9"/>
  <c r="AB43" i="9"/>
  <c r="AB44" i="9" s="1"/>
  <c r="AA43" i="9"/>
  <c r="AA44" i="9" s="1"/>
  <c r="Z43" i="9"/>
  <c r="X43" i="9"/>
  <c r="W43" i="9"/>
  <c r="V43" i="9"/>
  <c r="R6" i="9"/>
  <c r="Q6" i="9"/>
  <c r="P6" i="9"/>
  <c r="N6" i="9"/>
  <c r="M6" i="9"/>
  <c r="L6" i="9"/>
  <c r="J6" i="9"/>
  <c r="I6" i="9"/>
  <c r="H6" i="9"/>
  <c r="R11" i="9"/>
  <c r="Q11" i="9"/>
  <c r="P11" i="9"/>
  <c r="N11" i="9"/>
  <c r="M11" i="9"/>
  <c r="L11" i="9"/>
  <c r="J11" i="9"/>
  <c r="I11" i="9"/>
  <c r="H11" i="9"/>
  <c r="F11" i="9"/>
  <c r="E11" i="9"/>
  <c r="D11" i="9"/>
  <c r="C11" i="9"/>
  <c r="E6" i="9"/>
  <c r="D6" i="9"/>
  <c r="C6" i="9"/>
  <c r="F6" i="9"/>
  <c r="B6" i="9"/>
  <c r="AA103" i="8"/>
  <c r="AB60" i="8"/>
  <c r="AA60" i="8"/>
  <c r="Z60" i="8"/>
  <c r="X60" i="8"/>
  <c r="W60" i="8"/>
  <c r="V60" i="8"/>
  <c r="AB59" i="8"/>
  <c r="AA59" i="8"/>
  <c r="Z59" i="8"/>
  <c r="X59" i="8"/>
  <c r="W59" i="8"/>
  <c r="V59" i="8"/>
  <c r="AB58" i="8"/>
  <c r="AA58" i="8"/>
  <c r="Z58" i="8"/>
  <c r="X58" i="8"/>
  <c r="W58" i="8"/>
  <c r="V58" i="8"/>
  <c r="AB56" i="8"/>
  <c r="AB53" i="8"/>
  <c r="AA53" i="8"/>
  <c r="Z53" i="8"/>
  <c r="X53" i="8"/>
  <c r="W53" i="8"/>
  <c r="V53" i="8"/>
  <c r="AB52" i="8"/>
  <c r="AA52" i="8"/>
  <c r="Z52" i="8"/>
  <c r="X52" i="8"/>
  <c r="W52" i="8"/>
  <c r="V52" i="8"/>
  <c r="AB51" i="8"/>
  <c r="AA51" i="8"/>
  <c r="Z51" i="8"/>
  <c r="X51" i="8"/>
  <c r="W51" i="8"/>
  <c r="W54" i="8" s="1"/>
  <c r="V51" i="8"/>
  <c r="AB46" i="8"/>
  <c r="AA46" i="8"/>
  <c r="Z46" i="8"/>
  <c r="X46" i="8"/>
  <c r="W46" i="8"/>
  <c r="V46" i="8"/>
  <c r="AB44" i="8"/>
  <c r="AA44" i="8"/>
  <c r="Z44" i="8"/>
  <c r="X44" i="8"/>
  <c r="W44" i="8"/>
  <c r="V44" i="8"/>
  <c r="AB35" i="8"/>
  <c r="AA35" i="8"/>
  <c r="Z35" i="8"/>
  <c r="X35" i="8"/>
  <c r="W35" i="8"/>
  <c r="V35" i="8"/>
  <c r="AA32" i="8"/>
  <c r="X32" i="8"/>
  <c r="W32" i="8"/>
  <c r="AB10" i="8"/>
  <c r="AA10" i="8"/>
  <c r="Z10" i="8"/>
  <c r="X10" i="8"/>
  <c r="W10" i="8"/>
  <c r="V10" i="8"/>
  <c r="AB8" i="8"/>
  <c r="AA8" i="8"/>
  <c r="Z8" i="8"/>
  <c r="X8" i="8"/>
  <c r="W8" i="8"/>
  <c r="V8" i="8"/>
  <c r="AB7" i="8"/>
  <c r="AA7" i="8"/>
  <c r="Z7" i="8"/>
  <c r="Y7" i="8"/>
  <c r="X7" i="8"/>
  <c r="W7" i="8"/>
  <c r="V7" i="8"/>
  <c r="U7" i="8"/>
  <c r="AC7" i="8"/>
  <c r="AC58" i="8"/>
  <c r="AC56" i="8"/>
  <c r="C4" i="9"/>
  <c r="C3" i="9"/>
  <c r="B2" i="12"/>
  <c r="S76" i="8"/>
  <c r="S103" i="8"/>
  <c r="Z103" i="8" s="1"/>
  <c r="O103" i="8"/>
  <c r="V103" i="8" s="1"/>
  <c r="AC103" i="8" s="1"/>
  <c r="K103" i="8"/>
  <c r="V99" i="8" s="1"/>
  <c r="AB87" i="8"/>
  <c r="AB93" i="8"/>
  <c r="AA56" i="8"/>
  <c r="Z56" i="8"/>
  <c r="X56" i="8"/>
  <c r="W56" i="8"/>
  <c r="V56" i="8"/>
  <c r="J61" i="8"/>
  <c r="I61" i="8"/>
  <c r="Y60" i="8"/>
  <c r="Y59" i="8"/>
  <c r="Y58" i="8"/>
  <c r="U60" i="8"/>
  <c r="U59" i="8"/>
  <c r="U58" i="8"/>
  <c r="Y53" i="8"/>
  <c r="Y52" i="8"/>
  <c r="Y51" i="8"/>
  <c r="U53" i="8"/>
  <c r="U52" i="8"/>
  <c r="U51" i="8"/>
  <c r="Y47" i="9"/>
  <c r="U47" i="9"/>
  <c r="Y46" i="8"/>
  <c r="O7" i="12"/>
  <c r="U46" i="8"/>
  <c r="U43" i="9"/>
  <c r="Y56" i="8"/>
  <c r="U56" i="8"/>
  <c r="C61" i="8"/>
  <c r="AC60" i="8"/>
  <c r="AC59" i="8"/>
  <c r="AC53" i="8"/>
  <c r="AC52" i="8"/>
  <c r="AC55" i="9"/>
  <c r="K32" i="8"/>
  <c r="K21" i="12" s="1"/>
  <c r="U21" i="12" s="1"/>
  <c r="O32" i="8"/>
  <c r="Y32" i="8" s="1"/>
  <c r="C100" i="8"/>
  <c r="C95" i="8"/>
  <c r="C88" i="8"/>
  <c r="C69" i="8"/>
  <c r="C68" i="8"/>
  <c r="C47" i="8"/>
  <c r="C41" i="8"/>
  <c r="C40" i="8"/>
  <c r="C11" i="8"/>
  <c r="C14" i="8" s="1"/>
  <c r="C19" i="8" s="1"/>
  <c r="O10" i="8"/>
  <c r="Y10" i="8" s="1"/>
  <c r="K10" i="8"/>
  <c r="K11" i="8" s="1"/>
  <c r="X99" i="8"/>
  <c r="W99" i="8"/>
  <c r="U99" i="8"/>
  <c r="AA7" i="12"/>
  <c r="R4" i="12"/>
  <c r="AB4" i="12" s="1"/>
  <c r="Q4" i="12"/>
  <c r="AA4" i="12" s="1"/>
  <c r="P4" i="12"/>
  <c r="Z4" i="12" s="1"/>
  <c r="N4" i="12"/>
  <c r="X4" i="12" s="1"/>
  <c r="M4" i="12"/>
  <c r="W4" i="12" s="1"/>
  <c r="L4" i="12"/>
  <c r="V4" i="12" s="1"/>
  <c r="J4" i="12"/>
  <c r="I4" i="12"/>
  <c r="S3" i="12"/>
  <c r="AC3" i="12" s="1"/>
  <c r="R3" i="12"/>
  <c r="AB3" i="12" s="1"/>
  <c r="Q3" i="12"/>
  <c r="AA3" i="12" s="1"/>
  <c r="P3" i="12"/>
  <c r="Z3" i="12" s="1"/>
  <c r="O3" i="12"/>
  <c r="Y3" i="12" s="1"/>
  <c r="N3" i="12"/>
  <c r="X3" i="12" s="1"/>
  <c r="M3" i="12"/>
  <c r="W3" i="12" s="1"/>
  <c r="L3" i="12"/>
  <c r="V3" i="12" s="1"/>
  <c r="K3" i="12"/>
  <c r="U3" i="12" s="1"/>
  <c r="J3" i="12"/>
  <c r="I3" i="12"/>
  <c r="H4" i="12"/>
  <c r="H3" i="12"/>
  <c r="F4" i="12"/>
  <c r="E4" i="12"/>
  <c r="D4" i="12"/>
  <c r="F3" i="12"/>
  <c r="E3" i="12"/>
  <c r="D3" i="12"/>
  <c r="AC46" i="8"/>
  <c r="J4" i="9"/>
  <c r="I4" i="9"/>
  <c r="H4" i="9"/>
  <c r="K3" i="9"/>
  <c r="U3" i="9" s="1"/>
  <c r="J3" i="9"/>
  <c r="I3" i="9"/>
  <c r="H3" i="9"/>
  <c r="W103" i="8"/>
  <c r="X103" i="8"/>
  <c r="S102" i="8"/>
  <c r="Y103" i="8"/>
  <c r="O102" i="8"/>
  <c r="Y102" i="8" s="1"/>
  <c r="O99" i="8"/>
  <c r="K102" i="8"/>
  <c r="U102" i="8" s="1"/>
  <c r="AC28" i="8"/>
  <c r="AB28" i="8"/>
  <c r="V28" i="8"/>
  <c r="K35" i="8"/>
  <c r="K25" i="12" s="1"/>
  <c r="U25" i="12" s="1"/>
  <c r="AC17" i="8"/>
  <c r="U17" i="8"/>
  <c r="S13" i="8"/>
  <c r="S11" i="9" s="1"/>
  <c r="O13" i="8"/>
  <c r="O11" i="9" s="1"/>
  <c r="K13" i="8"/>
  <c r="K11" i="9" s="1"/>
  <c r="S10" i="8"/>
  <c r="S6" i="9" s="1"/>
  <c r="K8" i="8"/>
  <c r="K41" i="8" s="1"/>
  <c r="H95" i="8"/>
  <c r="H88" i="8"/>
  <c r="J69" i="8"/>
  <c r="I69" i="8"/>
  <c r="H69" i="8"/>
  <c r="K68" i="8"/>
  <c r="J68" i="8"/>
  <c r="I68" i="8"/>
  <c r="H68" i="8"/>
  <c r="H61" i="8"/>
  <c r="J47" i="8"/>
  <c r="I47" i="8"/>
  <c r="H47" i="8"/>
  <c r="J41" i="8"/>
  <c r="I41" i="8"/>
  <c r="H41" i="8"/>
  <c r="K40" i="8"/>
  <c r="J40" i="8"/>
  <c r="I40" i="8"/>
  <c r="H40" i="8"/>
  <c r="J11" i="8"/>
  <c r="J14" i="8" s="1"/>
  <c r="J19" i="8" s="1"/>
  <c r="I11" i="8"/>
  <c r="I14" i="8" s="1"/>
  <c r="I19" i="8" s="1"/>
  <c r="H11" i="8"/>
  <c r="H14" i="8" s="1"/>
  <c r="S35" i="8"/>
  <c r="AC35" i="8" s="1"/>
  <c r="O35" i="8"/>
  <c r="Y35" i="8" s="1"/>
  <c r="AC44" i="8"/>
  <c r="X54" i="8" l="1"/>
  <c r="U54" i="8"/>
  <c r="Z54" i="8"/>
  <c r="AA54" i="8"/>
  <c r="AB54" i="8"/>
  <c r="Y54" i="8"/>
  <c r="V54" i="8"/>
  <c r="X11" i="9"/>
  <c r="AB102" i="8"/>
  <c r="K6" i="9"/>
  <c r="AB16" i="9"/>
  <c r="AA102" i="8"/>
  <c r="W11" i="9"/>
  <c r="O6" i="9"/>
  <c r="AB6" i="9" s="1"/>
  <c r="AB7" i="9" s="1"/>
  <c r="AA58" i="9"/>
  <c r="U10" i="8"/>
  <c r="Y93" i="8"/>
  <c r="AA87" i="8"/>
  <c r="S12" i="12"/>
  <c r="AC12" i="12" s="1"/>
  <c r="O12" i="12"/>
  <c r="Z87" i="8"/>
  <c r="AB28" i="9"/>
  <c r="AC51" i="8"/>
  <c r="AC54" i="8" s="1"/>
  <c r="Y55" i="9"/>
  <c r="U55" i="9"/>
  <c r="U54" i="9"/>
  <c r="AC54" i="9"/>
  <c r="AC47" i="9"/>
  <c r="Y54" i="9"/>
  <c r="Y43" i="9"/>
  <c r="Y44" i="8"/>
  <c r="K7" i="12"/>
  <c r="U7" i="12" s="1"/>
  <c r="U8" i="12" s="1"/>
  <c r="S7" i="12"/>
  <c r="AC7" i="12" s="1"/>
  <c r="AC8" i="12" s="1"/>
  <c r="AC43" i="9"/>
  <c r="AC44" i="9" s="1"/>
  <c r="O25" i="12"/>
  <c r="Y25" i="12" s="1"/>
  <c r="X29" i="9"/>
  <c r="AC29" i="9"/>
  <c r="AB29" i="9"/>
  <c r="AB30" i="9"/>
  <c r="AC30" i="9"/>
  <c r="AA16" i="9"/>
  <c r="V15" i="9"/>
  <c r="AC15" i="9"/>
  <c r="V32" i="8"/>
  <c r="P21" i="12"/>
  <c r="Z21" i="12" s="1"/>
  <c r="R21" i="12"/>
  <c r="AB21" i="12" s="1"/>
  <c r="O21" i="12"/>
  <c r="Y21" i="12" s="1"/>
  <c r="AC32" i="8"/>
  <c r="S21" i="12"/>
  <c r="AC21" i="12" s="1"/>
  <c r="F21" i="12"/>
  <c r="S25" i="12"/>
  <c r="AC25" i="12" s="1"/>
  <c r="AE25" i="12" s="1"/>
  <c r="C22" i="12"/>
  <c r="C26" i="12"/>
  <c r="C16" i="12"/>
  <c r="AA11" i="9"/>
  <c r="Z15" i="9"/>
  <c r="W16" i="9"/>
  <c r="U16" i="9"/>
  <c r="AA30" i="9"/>
  <c r="Y11" i="9"/>
  <c r="U6" i="9"/>
  <c r="AC16" i="9"/>
  <c r="AC28" i="9"/>
  <c r="U30" i="9"/>
  <c r="Z11" i="9"/>
  <c r="V6" i="9"/>
  <c r="Y15" i="9"/>
  <c r="V16" i="9"/>
  <c r="V30" i="9"/>
  <c r="V11" i="9"/>
  <c r="AB11" i="9"/>
  <c r="AA15" i="9"/>
  <c r="Z16" i="9"/>
  <c r="Z30" i="9"/>
  <c r="W30" i="9"/>
  <c r="X6" i="9"/>
  <c r="X16" i="9"/>
  <c r="Y16" i="9"/>
  <c r="Y30" i="9"/>
  <c r="U11" i="9"/>
  <c r="AC11" i="9"/>
  <c r="AB15" i="9"/>
  <c r="AC20" i="9"/>
  <c r="X30" i="9"/>
  <c r="W6" i="9"/>
  <c r="AB58" i="9"/>
  <c r="AC6" i="9"/>
  <c r="AC7" i="9" s="1"/>
  <c r="D58" i="9"/>
  <c r="AE59" i="8"/>
  <c r="AE58" i="8"/>
  <c r="U8" i="8"/>
  <c r="AC13" i="8"/>
  <c r="AB13" i="8"/>
  <c r="AB17" i="8"/>
  <c r="AA18" i="8"/>
  <c r="W28" i="8"/>
  <c r="U32" i="8"/>
  <c r="U35" i="8"/>
  <c r="Y87" i="8"/>
  <c r="X28" i="8"/>
  <c r="U13" i="8"/>
  <c r="AB18" i="8"/>
  <c r="V13" i="8"/>
  <c r="V17" i="8"/>
  <c r="U18" i="8"/>
  <c r="AC18" i="8"/>
  <c r="Y28" i="8"/>
  <c r="W13" i="8"/>
  <c r="W17" i="8"/>
  <c r="V18" i="8"/>
  <c r="Z28" i="8"/>
  <c r="U44" i="8"/>
  <c r="Z93" i="8"/>
  <c r="Y94" i="8"/>
  <c r="X13" i="8"/>
  <c r="X17" i="8"/>
  <c r="W18" i="8"/>
  <c r="AA28" i="8"/>
  <c r="AC87" i="8"/>
  <c r="AA93" i="8"/>
  <c r="Z94" i="8"/>
  <c r="Y13" i="8"/>
  <c r="Y17" i="8"/>
  <c r="X18" i="8"/>
  <c r="AA94" i="8"/>
  <c r="Z13" i="8"/>
  <c r="Z17" i="8"/>
  <c r="Y18" i="8"/>
  <c r="U28" i="8"/>
  <c r="AC76" i="8"/>
  <c r="AC93" i="8"/>
  <c r="AB94" i="8"/>
  <c r="AA13" i="8"/>
  <c r="AA17" i="8"/>
  <c r="Z18" i="8"/>
  <c r="AC94" i="8"/>
  <c r="AB83" i="8"/>
  <c r="AA20" i="9"/>
  <c r="AB77" i="8"/>
  <c r="S75" i="8"/>
  <c r="S77" i="8"/>
  <c r="AC77" i="8" s="1"/>
  <c r="AC83" i="8"/>
  <c r="AE44" i="8"/>
  <c r="P8" i="12"/>
  <c r="P26" i="12" s="1"/>
  <c r="AE53" i="8"/>
  <c r="C62" i="8"/>
  <c r="C64" i="8" s="1"/>
  <c r="AE51" i="8"/>
  <c r="C25" i="8"/>
  <c r="C20" i="8"/>
  <c r="C15" i="8"/>
  <c r="AE46" i="8"/>
  <c r="V102" i="8"/>
  <c r="AC102" i="8" s="1"/>
  <c r="Y99" i="8"/>
  <c r="W102" i="8"/>
  <c r="U103" i="8"/>
  <c r="AB103" i="8" s="1"/>
  <c r="K4" i="12"/>
  <c r="U4" i="12" s="1"/>
  <c r="Z99" i="8"/>
  <c r="X102" i="8"/>
  <c r="AA99" i="8"/>
  <c r="AB99" i="8"/>
  <c r="Z102" i="8"/>
  <c r="K44" i="9"/>
  <c r="AE52" i="8"/>
  <c r="E58" i="9"/>
  <c r="N58" i="9"/>
  <c r="Y7" i="12"/>
  <c r="Y8" i="12" s="1"/>
  <c r="C58" i="9"/>
  <c r="L58" i="9"/>
  <c r="M8" i="12"/>
  <c r="F58" i="9"/>
  <c r="H58" i="9"/>
  <c r="H61" i="9" s="1"/>
  <c r="H70" i="9" s="1"/>
  <c r="P58" i="9"/>
  <c r="I58" i="9"/>
  <c r="I61" i="9" s="1"/>
  <c r="I70" i="9" s="1"/>
  <c r="Q58" i="9"/>
  <c r="J58" i="9"/>
  <c r="J61" i="9" s="1"/>
  <c r="J70" i="9" s="1"/>
  <c r="R58" i="9"/>
  <c r="M58" i="9"/>
  <c r="J44" i="9"/>
  <c r="I8" i="12"/>
  <c r="Q8" i="12"/>
  <c r="J8" i="12"/>
  <c r="R8" i="12"/>
  <c r="X8" i="12"/>
  <c r="X22" i="12" s="1"/>
  <c r="D8" i="12"/>
  <c r="AA8" i="12"/>
  <c r="L8" i="12"/>
  <c r="L26" i="12" s="1"/>
  <c r="N8" i="12"/>
  <c r="AB8" i="12"/>
  <c r="H8" i="12"/>
  <c r="W8" i="12"/>
  <c r="W16" i="12" s="1"/>
  <c r="F8" i="12"/>
  <c r="E8" i="12"/>
  <c r="K7" i="9"/>
  <c r="K12" i="9" s="1"/>
  <c r="H44" i="9"/>
  <c r="I44" i="9"/>
  <c r="K4" i="9"/>
  <c r="U4" i="9" s="1"/>
  <c r="H7" i="9"/>
  <c r="H12" i="9" s="1"/>
  <c r="H17" i="9" s="1"/>
  <c r="H21" i="9" s="1"/>
  <c r="J7" i="9"/>
  <c r="I7" i="9"/>
  <c r="O24" i="8"/>
  <c r="I88" i="8"/>
  <c r="K24" i="8"/>
  <c r="S24" i="8"/>
  <c r="AC24" i="8" s="1"/>
  <c r="I95" i="8"/>
  <c r="K61" i="8"/>
  <c r="U60" i="9" s="1"/>
  <c r="K47" i="8"/>
  <c r="K14" i="8"/>
  <c r="K19" i="8" s="1"/>
  <c r="K69" i="8"/>
  <c r="I25" i="8"/>
  <c r="I20" i="8"/>
  <c r="H19" i="8"/>
  <c r="H15" i="8"/>
  <c r="J25" i="8"/>
  <c r="J20" i="8"/>
  <c r="I15" i="8"/>
  <c r="J15" i="8"/>
  <c r="AE35" i="8"/>
  <c r="AA29" i="9" l="1"/>
  <c r="Y29" i="9"/>
  <c r="AC58" i="9"/>
  <c r="AA6" i="9"/>
  <c r="AA7" i="9" s="1"/>
  <c r="AA12" i="9" s="1"/>
  <c r="AA17" i="9" s="1"/>
  <c r="Z6" i="9"/>
  <c r="AA24" i="8"/>
  <c r="Z24" i="8"/>
  <c r="Y24" i="8"/>
  <c r="AB24" i="8"/>
  <c r="U29" i="9"/>
  <c r="W15" i="9"/>
  <c r="AB12" i="9"/>
  <c r="AB17" i="9" s="1"/>
  <c r="AC12" i="9"/>
  <c r="AC17" i="9" s="1"/>
  <c r="U15" i="9"/>
  <c r="Y6" i="9"/>
  <c r="W29" i="9"/>
  <c r="V29" i="9"/>
  <c r="X15" i="9"/>
  <c r="Z28" i="9"/>
  <c r="AC91" i="8"/>
  <c r="X93" i="8"/>
  <c r="V94" i="8"/>
  <c r="U94" i="8"/>
  <c r="U93" i="8"/>
  <c r="V93" i="8"/>
  <c r="AA28" i="9"/>
  <c r="AB12" i="12"/>
  <c r="Y12" i="12"/>
  <c r="Y28" i="9"/>
  <c r="Z12" i="12"/>
  <c r="AA12" i="12"/>
  <c r="Z83" i="8"/>
  <c r="AA75" i="8"/>
  <c r="Y20" i="9"/>
  <c r="Y77" i="8"/>
  <c r="AC75" i="8"/>
  <c r="AC24" i="9"/>
  <c r="AA77" i="8"/>
  <c r="AB20" i="9"/>
  <c r="Z20" i="9"/>
  <c r="Z29" i="9"/>
  <c r="I9" i="9"/>
  <c r="X94" i="8"/>
  <c r="W94" i="8"/>
  <c r="W93" i="8"/>
  <c r="AB76" i="8"/>
  <c r="Y76" i="8"/>
  <c r="V79" i="8"/>
  <c r="AA83" i="8"/>
  <c r="Y83" i="8"/>
  <c r="Z76" i="8"/>
  <c r="U87" i="8"/>
  <c r="W24" i="8"/>
  <c r="V24" i="8"/>
  <c r="U24" i="8"/>
  <c r="X24" i="8"/>
  <c r="AA76" i="8"/>
  <c r="AB75" i="8"/>
  <c r="Z75" i="8"/>
  <c r="Y75" i="8"/>
  <c r="U91" i="8"/>
  <c r="Z77" i="8"/>
  <c r="V75" i="8"/>
  <c r="X83" i="8"/>
  <c r="U77" i="8"/>
  <c r="P22" i="12"/>
  <c r="P16" i="12"/>
  <c r="K58" i="9"/>
  <c r="C26" i="8"/>
  <c r="C29" i="8"/>
  <c r="S58" i="9"/>
  <c r="V8" i="12"/>
  <c r="V16" i="12" s="1"/>
  <c r="K8" i="12"/>
  <c r="K16" i="12" s="1"/>
  <c r="O58" i="9"/>
  <c r="AE16" i="9"/>
  <c r="Z8" i="12"/>
  <c r="Z16" i="12" s="1"/>
  <c r="F26" i="12"/>
  <c r="F16" i="12"/>
  <c r="AE7" i="12"/>
  <c r="AC22" i="12"/>
  <c r="AE8" i="12"/>
  <c r="AC26" i="12"/>
  <c r="AC16" i="12"/>
  <c r="N16" i="12"/>
  <c r="N22" i="12"/>
  <c r="O8" i="12"/>
  <c r="O16" i="12" s="1"/>
  <c r="J16" i="12"/>
  <c r="J26" i="12"/>
  <c r="W26" i="12"/>
  <c r="U22" i="12"/>
  <c r="U26" i="12"/>
  <c r="U16" i="12"/>
  <c r="L16" i="12"/>
  <c r="L22" i="12"/>
  <c r="R16" i="12"/>
  <c r="R26" i="12"/>
  <c r="W22" i="12"/>
  <c r="H62" i="8"/>
  <c r="H64" i="8" s="1"/>
  <c r="Y16" i="12"/>
  <c r="Y26" i="12"/>
  <c r="D22" i="12"/>
  <c r="F22" i="12"/>
  <c r="J62" i="8"/>
  <c r="J64" i="8" s="1"/>
  <c r="E16" i="12"/>
  <c r="E22" i="12"/>
  <c r="E26" i="12"/>
  <c r="I62" i="8"/>
  <c r="I64" i="8" s="1"/>
  <c r="H26" i="12"/>
  <c r="H22" i="12"/>
  <c r="H16" i="12"/>
  <c r="D16" i="12"/>
  <c r="D26" i="12"/>
  <c r="Q26" i="12"/>
  <c r="Q16" i="12"/>
  <c r="Q22" i="12"/>
  <c r="S8" i="12"/>
  <c r="S16" i="12" s="1"/>
  <c r="X26" i="12"/>
  <c r="X16" i="12"/>
  <c r="I16" i="12"/>
  <c r="I26" i="12"/>
  <c r="I22" i="12"/>
  <c r="N26" i="12"/>
  <c r="R22" i="12"/>
  <c r="AE21" i="12"/>
  <c r="AA16" i="12"/>
  <c r="AA26" i="12"/>
  <c r="AA22" i="12"/>
  <c r="AB16" i="12"/>
  <c r="AB22" i="12"/>
  <c r="AB26" i="12"/>
  <c r="M22" i="12"/>
  <c r="M16" i="12"/>
  <c r="M26" i="12"/>
  <c r="J22" i="12"/>
  <c r="K9" i="9"/>
  <c r="J95" i="8"/>
  <c r="J88" i="8"/>
  <c r="I12" i="9"/>
  <c r="I17" i="9" s="1"/>
  <c r="I21" i="9" s="1"/>
  <c r="J12" i="9"/>
  <c r="J13" i="9" s="1"/>
  <c r="J9" i="9"/>
  <c r="H13" i="9"/>
  <c r="K13" i="9"/>
  <c r="K17" i="9"/>
  <c r="H18" i="9"/>
  <c r="AC31" i="9"/>
  <c r="K15" i="8"/>
  <c r="K25" i="8"/>
  <c r="K20" i="8"/>
  <c r="J29" i="8"/>
  <c r="J26" i="8"/>
  <c r="H25" i="8"/>
  <c r="H20" i="8"/>
  <c r="I29" i="8"/>
  <c r="I26" i="8"/>
  <c r="AC99" i="8"/>
  <c r="R99" i="8"/>
  <c r="Q99" i="8"/>
  <c r="N99" i="8"/>
  <c r="L95" i="8"/>
  <c r="M95" i="8"/>
  <c r="N95" i="8"/>
  <c r="M99" i="8"/>
  <c r="P99" i="8"/>
  <c r="AB13" i="9" l="1"/>
  <c r="AC13" i="9"/>
  <c r="V76" i="8"/>
  <c r="W76" i="8"/>
  <c r="X91" i="8"/>
  <c r="AB91" i="8"/>
  <c r="K12" i="12"/>
  <c r="W87" i="8"/>
  <c r="AB31" i="9"/>
  <c r="AA31" i="9"/>
  <c r="Z31" i="9"/>
  <c r="Y31" i="9"/>
  <c r="W83" i="8"/>
  <c r="V83" i="8"/>
  <c r="X79" i="8"/>
  <c r="X75" i="8"/>
  <c r="U20" i="9"/>
  <c r="V20" i="9"/>
  <c r="W20" i="9"/>
  <c r="X20" i="9"/>
  <c r="AB24" i="9"/>
  <c r="AA24" i="9"/>
  <c r="Z24" i="9"/>
  <c r="Y24" i="9"/>
  <c r="AA13" i="9"/>
  <c r="AB21" i="9"/>
  <c r="AB18" i="9"/>
  <c r="AC21" i="9"/>
  <c r="AC18" i="9"/>
  <c r="AA18" i="9"/>
  <c r="AA21" i="9"/>
  <c r="U79" i="8"/>
  <c r="X77" i="8"/>
  <c r="W91" i="8"/>
  <c r="V77" i="8"/>
  <c r="W79" i="8"/>
  <c r="U83" i="8"/>
  <c r="Y91" i="8"/>
  <c r="X76" i="8"/>
  <c r="U76" i="8"/>
  <c r="Z91" i="8"/>
  <c r="W75" i="8"/>
  <c r="V91" i="8"/>
  <c r="W77" i="8"/>
  <c r="AA91" i="8"/>
  <c r="U75" i="8"/>
  <c r="X87" i="8"/>
  <c r="V87" i="8"/>
  <c r="K61" i="9"/>
  <c r="K70" i="9" s="1"/>
  <c r="K62" i="8"/>
  <c r="K64" i="8" s="1"/>
  <c r="V22" i="12"/>
  <c r="K22" i="12"/>
  <c r="K26" i="12"/>
  <c r="C36" i="8"/>
  <c r="C33" i="8"/>
  <c r="C72" i="8"/>
  <c r="C84" i="8" s="1"/>
  <c r="C30" i="8"/>
  <c r="V26" i="12"/>
  <c r="Z26" i="12"/>
  <c r="Z22" i="12"/>
  <c r="S22" i="12"/>
  <c r="S26" i="12"/>
  <c r="O22" i="12"/>
  <c r="O26" i="12"/>
  <c r="AE76" i="8"/>
  <c r="Y22" i="12"/>
  <c r="AE22" i="12" s="1"/>
  <c r="AE16" i="12"/>
  <c r="AE26" i="12"/>
  <c r="K95" i="8"/>
  <c r="J17" i="9"/>
  <c r="J21" i="9" s="1"/>
  <c r="J25" i="9" s="1"/>
  <c r="K88" i="8"/>
  <c r="I13" i="9"/>
  <c r="I18" i="9"/>
  <c r="H25" i="9"/>
  <c r="H22" i="9"/>
  <c r="K18" i="9"/>
  <c r="I33" i="8"/>
  <c r="I72" i="8"/>
  <c r="I36" i="8"/>
  <c r="I30" i="8"/>
  <c r="H29" i="8"/>
  <c r="H26" i="8"/>
  <c r="J33" i="8"/>
  <c r="J72" i="8"/>
  <c r="J36" i="8"/>
  <c r="J30" i="8"/>
  <c r="K29" i="8"/>
  <c r="K26" i="8"/>
  <c r="AE94" i="8"/>
  <c r="AE77" i="8"/>
  <c r="F7" i="9"/>
  <c r="C7" i="9"/>
  <c r="D7" i="9"/>
  <c r="E7" i="9"/>
  <c r="O7" i="9"/>
  <c r="O8" i="9" s="1"/>
  <c r="M7" i="9"/>
  <c r="M8" i="9" s="1"/>
  <c r="N7" i="9"/>
  <c r="N8" i="9" s="1"/>
  <c r="L7" i="9"/>
  <c r="R7" i="9"/>
  <c r="Q7" i="9"/>
  <c r="S7" i="9"/>
  <c r="P7" i="9"/>
  <c r="K99" i="8"/>
  <c r="S99" i="8"/>
  <c r="V12" i="12" l="1"/>
  <c r="U12" i="12"/>
  <c r="X12" i="12"/>
  <c r="W12" i="12"/>
  <c r="X28" i="9"/>
  <c r="W28" i="9"/>
  <c r="U28" i="9"/>
  <c r="V28" i="9"/>
  <c r="U31" i="9"/>
  <c r="X31" i="9"/>
  <c r="W31" i="9"/>
  <c r="V31" i="9"/>
  <c r="X24" i="9"/>
  <c r="U24" i="9"/>
  <c r="V24" i="9"/>
  <c r="W24" i="9"/>
  <c r="C104" i="8"/>
  <c r="C105" i="8" s="1"/>
  <c r="C13" i="12"/>
  <c r="C17" i="12" s="1"/>
  <c r="C18" i="12" s="1"/>
  <c r="AB25" i="9"/>
  <c r="AB22" i="9"/>
  <c r="AA25" i="9"/>
  <c r="AA22" i="9"/>
  <c r="AC25" i="9"/>
  <c r="AC22" i="9"/>
  <c r="K21" i="9"/>
  <c r="K22" i="9" s="1"/>
  <c r="J84" i="8"/>
  <c r="I84" i="8"/>
  <c r="I11" i="12" s="1"/>
  <c r="J18" i="9"/>
  <c r="AE12" i="12"/>
  <c r="J22" i="9"/>
  <c r="I25" i="9"/>
  <c r="I22" i="9"/>
  <c r="L9" i="9"/>
  <c r="L8" i="9"/>
  <c r="J26" i="9"/>
  <c r="J69" i="9" a="1"/>
  <c r="J69" i="9" s="1"/>
  <c r="J68" i="9" a="1"/>
  <c r="J68" i="9" s="1"/>
  <c r="J67" i="9" a="1"/>
  <c r="J67" i="9" s="1"/>
  <c r="J65" i="9"/>
  <c r="J32" i="9"/>
  <c r="J38" i="9" s="1" a="1"/>
  <c r="J38" i="9" s="1"/>
  <c r="J66" i="9"/>
  <c r="H69" i="9" a="1"/>
  <c r="H69" i="9" s="1"/>
  <c r="H68" i="9" a="1"/>
  <c r="H68" i="9" s="1"/>
  <c r="H67" i="9" a="1"/>
  <c r="H67" i="9" s="1"/>
  <c r="H32" i="9"/>
  <c r="H39" i="9" s="1"/>
  <c r="H26" i="9"/>
  <c r="H65" i="9"/>
  <c r="H66" i="9"/>
  <c r="H33" i="8"/>
  <c r="H30" i="8"/>
  <c r="H36" i="8"/>
  <c r="H72" i="8"/>
  <c r="K33" i="8"/>
  <c r="K72" i="8"/>
  <c r="K30" i="8"/>
  <c r="K36" i="8"/>
  <c r="AE93" i="8"/>
  <c r="AE11" i="9"/>
  <c r="H98" i="8" l="1"/>
  <c r="D98" i="8"/>
  <c r="J104" i="8"/>
  <c r="J11" i="12"/>
  <c r="J13" i="12" s="1"/>
  <c r="J17" i="12" s="1"/>
  <c r="J18" i="12" s="1"/>
  <c r="AB32" i="9"/>
  <c r="AB67" i="9"/>
  <c r="AB69" i="9" a="1"/>
  <c r="AB69" i="9" s="1"/>
  <c r="AB26" i="9"/>
  <c r="AB68" i="9" a="1"/>
  <c r="AB68" i="9" s="1"/>
  <c r="AB66" i="9"/>
  <c r="AB65" i="9"/>
  <c r="AC68" i="9" a="1"/>
  <c r="AC68" i="9" s="1"/>
  <c r="AC32" i="9"/>
  <c r="AC67" i="9"/>
  <c r="AC65" i="9"/>
  <c r="AC26" i="9"/>
  <c r="AC69" i="9" a="1"/>
  <c r="AC69" i="9" s="1"/>
  <c r="AC66" i="9"/>
  <c r="AA32" i="9"/>
  <c r="AA67" i="9"/>
  <c r="AA68" i="9" a="1"/>
  <c r="AA68" i="9" s="1"/>
  <c r="AA26" i="9"/>
  <c r="AA69" i="9" a="1"/>
  <c r="AA69" i="9" s="1"/>
  <c r="AA65" i="9"/>
  <c r="AA66" i="9"/>
  <c r="K25" i="9"/>
  <c r="K66" i="9" s="1"/>
  <c r="H84" i="8"/>
  <c r="U72" i="8"/>
  <c r="I104" i="8"/>
  <c r="K84" i="8"/>
  <c r="K11" i="12" s="1"/>
  <c r="I13" i="12"/>
  <c r="I17" i="12" s="1"/>
  <c r="I18" i="12" s="1"/>
  <c r="J39" i="9"/>
  <c r="I65" i="9"/>
  <c r="I26" i="9"/>
  <c r="I32" i="9"/>
  <c r="I38" i="9" s="1" a="1"/>
  <c r="I38" i="9" s="1"/>
  <c r="I66" i="9"/>
  <c r="I68" i="9" a="1"/>
  <c r="I68" i="9" s="1"/>
  <c r="I69" i="9" a="1"/>
  <c r="I69" i="9" s="1"/>
  <c r="I67" i="9" a="1"/>
  <c r="I67" i="9" s="1"/>
  <c r="AE13" i="8"/>
  <c r="H104" i="8" l="1"/>
  <c r="H11" i="12"/>
  <c r="H13" i="12" s="1"/>
  <c r="H17" i="12" s="1"/>
  <c r="H18" i="12" s="1"/>
  <c r="K26" i="9"/>
  <c r="K32" i="9"/>
  <c r="K38" i="9" s="1" a="1"/>
  <c r="K38" i="9" s="1"/>
  <c r="U38" i="9" s="1"/>
  <c r="K67" i="9" a="1"/>
  <c r="K67" i="9" s="1"/>
  <c r="K68" i="9" a="1"/>
  <c r="K68" i="9" s="1"/>
  <c r="K65" i="9"/>
  <c r="K69" i="9" a="1"/>
  <c r="K69" i="9" s="1"/>
  <c r="K104" i="8"/>
  <c r="U104" i="8" s="1"/>
  <c r="K13" i="12"/>
  <c r="K17" i="12" s="1"/>
  <c r="K18" i="12" s="1"/>
  <c r="I39" i="9"/>
  <c r="S8" i="8"/>
  <c r="O8" i="8"/>
  <c r="U11" i="12" l="1"/>
  <c r="K39" i="9"/>
  <c r="O4" i="12"/>
  <c r="Y4" i="12" s="1"/>
  <c r="Y8" i="8"/>
  <c r="S4" i="12"/>
  <c r="AC4" i="12" s="1"/>
  <c r="AC8" i="8"/>
  <c r="L88" i="8"/>
  <c r="E44" i="9"/>
  <c r="D44" i="9"/>
  <c r="N44" i="9"/>
  <c r="F44" i="9"/>
  <c r="R44" i="9"/>
  <c r="C44" i="9"/>
  <c r="M44" i="9"/>
  <c r="L44" i="9"/>
  <c r="P44" i="9"/>
  <c r="Q44" i="9"/>
  <c r="P88" i="8"/>
  <c r="Q88" i="8"/>
  <c r="M88" i="8"/>
  <c r="N88" i="8"/>
  <c r="R88" i="8" l="1"/>
  <c r="N47" i="8" l="1"/>
  <c r="B2" i="9"/>
  <c r="F88" i="8"/>
  <c r="E88" i="8"/>
  <c r="D88" i="8"/>
  <c r="AC69" i="8"/>
  <c r="AC68" i="8"/>
  <c r="F95" i="8"/>
  <c r="E95" i="8"/>
  <c r="D95" i="8"/>
  <c r="Y44" i="9"/>
  <c r="Y58" i="9"/>
  <c r="S4" i="9"/>
  <c r="AC4" i="9" s="1"/>
  <c r="R4" i="9"/>
  <c r="AB4" i="9" s="1"/>
  <c r="Q4" i="9"/>
  <c r="AA4" i="9" s="1"/>
  <c r="P4" i="9"/>
  <c r="Z4" i="9" s="1"/>
  <c r="O4" i="9"/>
  <c r="Y4" i="9" s="1"/>
  <c r="N4" i="9"/>
  <c r="X4" i="9" s="1"/>
  <c r="M4" i="9"/>
  <c r="W4" i="9" s="1"/>
  <c r="L4" i="9"/>
  <c r="V4" i="9" s="1"/>
  <c r="S3" i="9"/>
  <c r="AC3" i="9" s="1"/>
  <c r="R3" i="9"/>
  <c r="AB3" i="9" s="1"/>
  <c r="Q3" i="9"/>
  <c r="AA3" i="9" s="1"/>
  <c r="P3" i="9"/>
  <c r="Z3" i="9" s="1"/>
  <c r="O3" i="9"/>
  <c r="Y3" i="9" s="1"/>
  <c r="N3" i="9"/>
  <c r="X3" i="9" s="1"/>
  <c r="M3" i="9"/>
  <c r="W3" i="9" s="1"/>
  <c r="L3" i="9"/>
  <c r="V3" i="9" s="1"/>
  <c r="F4" i="9"/>
  <c r="E4" i="9"/>
  <c r="D4" i="9"/>
  <c r="F3" i="9"/>
  <c r="E3" i="9"/>
  <c r="D3" i="9"/>
  <c r="Y47" i="8"/>
  <c r="N61" i="8"/>
  <c r="X60" i="9" s="1"/>
  <c r="S69" i="8"/>
  <c r="R69" i="8"/>
  <c r="Q69" i="8"/>
  <c r="P69" i="8"/>
  <c r="O69" i="8"/>
  <c r="N69" i="8"/>
  <c r="M69" i="8"/>
  <c r="L69" i="8"/>
  <c r="S68" i="8"/>
  <c r="R68" i="8"/>
  <c r="Q68" i="8"/>
  <c r="P68" i="8"/>
  <c r="O68" i="8"/>
  <c r="N68" i="8"/>
  <c r="M68" i="8"/>
  <c r="L68" i="8"/>
  <c r="R61" i="8"/>
  <c r="AB60" i="9" s="1"/>
  <c r="AB61" i="9" s="1"/>
  <c r="AB70" i="9" s="1"/>
  <c r="Q61" i="8"/>
  <c r="AA60" i="9" s="1"/>
  <c r="AA61" i="9" s="1"/>
  <c r="AA70" i="9" s="1"/>
  <c r="P61" i="8"/>
  <c r="Z60" i="9" s="1"/>
  <c r="M61" i="8"/>
  <c r="W60" i="9" s="1"/>
  <c r="L61" i="8"/>
  <c r="V60" i="9" s="1"/>
  <c r="S41" i="8"/>
  <c r="R41" i="8"/>
  <c r="Q41" i="8"/>
  <c r="P41" i="8"/>
  <c r="O41" i="8"/>
  <c r="N41" i="8"/>
  <c r="M41" i="8"/>
  <c r="L41" i="8"/>
  <c r="S40" i="8"/>
  <c r="R40" i="8"/>
  <c r="Q40" i="8"/>
  <c r="P40" i="8"/>
  <c r="O40" i="8"/>
  <c r="N40" i="8"/>
  <c r="M40" i="8"/>
  <c r="L40" i="8"/>
  <c r="F41" i="8"/>
  <c r="E41" i="8"/>
  <c r="D41" i="8"/>
  <c r="F40" i="8"/>
  <c r="E40" i="8"/>
  <c r="D40" i="8"/>
  <c r="Q11" i="8"/>
  <c r="P11" i="8"/>
  <c r="N11" i="8"/>
  <c r="M11" i="8"/>
  <c r="L11" i="8"/>
  <c r="AB47" i="8" l="1"/>
  <c r="AA47" i="8"/>
  <c r="AC47" i="8"/>
  <c r="N14" i="8"/>
  <c r="N15" i="8" s="1"/>
  <c r="P14" i="8"/>
  <c r="P19" i="8" s="1"/>
  <c r="P25" i="8" s="1"/>
  <c r="P29" i="8" s="1"/>
  <c r="M14" i="8"/>
  <c r="M15" i="8" s="1"/>
  <c r="L14" i="8"/>
  <c r="L15" i="8" s="1"/>
  <c r="Q14" i="8"/>
  <c r="Q19" i="8" s="1"/>
  <c r="AE56" i="8"/>
  <c r="AE60" i="8"/>
  <c r="O44" i="9"/>
  <c r="S88" i="8"/>
  <c r="O88" i="8"/>
  <c r="AC61" i="8"/>
  <c r="AC10" i="8"/>
  <c r="AC40" i="8"/>
  <c r="AC41" i="8"/>
  <c r="V58" i="9"/>
  <c r="X58" i="9"/>
  <c r="U58" i="9"/>
  <c r="W58" i="9"/>
  <c r="Z58" i="9"/>
  <c r="M47" i="8"/>
  <c r="P95" i="8"/>
  <c r="Q95" i="8"/>
  <c r="R47" i="8"/>
  <c r="L47" i="8"/>
  <c r="Q47" i="8"/>
  <c r="P47" i="8"/>
  <c r="X44" i="9"/>
  <c r="W44" i="9"/>
  <c r="U44" i="9"/>
  <c r="O11" i="8"/>
  <c r="O14" i="8" s="1"/>
  <c r="O61" i="8"/>
  <c r="Y60" i="9" s="1"/>
  <c r="O47" i="8"/>
  <c r="S47" i="8"/>
  <c r="Z47" i="8" l="1"/>
  <c r="N19" i="8"/>
  <c r="N25" i="8" s="1"/>
  <c r="N29" i="8" s="1"/>
  <c r="N72" i="8" s="1"/>
  <c r="P72" i="8"/>
  <c r="P33" i="8"/>
  <c r="P36" i="8"/>
  <c r="M19" i="8"/>
  <c r="M25" i="8" s="1"/>
  <c r="Q15" i="8"/>
  <c r="P15" i="8"/>
  <c r="L19" i="8"/>
  <c r="AE87" i="8"/>
  <c r="AE17" i="8"/>
  <c r="AE91" i="8"/>
  <c r="AE83" i="8"/>
  <c r="AC62" i="8"/>
  <c r="AC64" i="8" s="1"/>
  <c r="AE79" i="8"/>
  <c r="AE28" i="8"/>
  <c r="AE18" i="8"/>
  <c r="AC11" i="8"/>
  <c r="AC14" i="8" s="1"/>
  <c r="AE10" i="8"/>
  <c r="S44" i="9"/>
  <c r="Z44" i="9"/>
  <c r="X61" i="9"/>
  <c r="X70" i="9" s="1"/>
  <c r="W61" i="9"/>
  <c r="W70" i="9" s="1"/>
  <c r="U61" i="9"/>
  <c r="U70" i="9" s="1"/>
  <c r="Y61" i="9"/>
  <c r="Y70" i="9" s="1"/>
  <c r="M62" i="8"/>
  <c r="M64" i="8" s="1"/>
  <c r="V61" i="9"/>
  <c r="V70" i="9" s="1"/>
  <c r="O19" i="8"/>
  <c r="N62" i="8"/>
  <c r="N64" i="8" s="1"/>
  <c r="L62" i="8"/>
  <c r="L64" i="8" s="1"/>
  <c r="R95" i="8"/>
  <c r="V44" i="9"/>
  <c r="Q20" i="8"/>
  <c r="Q25" i="8"/>
  <c r="P20" i="8"/>
  <c r="N20" i="8" l="1"/>
  <c r="N36" i="8"/>
  <c r="N33" i="8"/>
  <c r="M20" i="8"/>
  <c r="L25" i="8"/>
  <c r="L20" i="8"/>
  <c r="AE24" i="8"/>
  <c r="AC19" i="8"/>
  <c r="AC20" i="8" s="1"/>
  <c r="AE30" i="9"/>
  <c r="P62" i="8"/>
  <c r="P64" i="8" s="1"/>
  <c r="Q62" i="8"/>
  <c r="Q64" i="8" s="1"/>
  <c r="O15" i="8"/>
  <c r="Z88" i="8"/>
  <c r="AB88" i="8"/>
  <c r="AA88" i="8"/>
  <c r="AC88" i="8"/>
  <c r="AE15" i="9"/>
  <c r="Q26" i="8"/>
  <c r="Q29" i="8"/>
  <c r="M29" i="8"/>
  <c r="AC15" i="8"/>
  <c r="AB95" i="8"/>
  <c r="AC95" i="8"/>
  <c r="X88" i="8"/>
  <c r="Z95" i="8"/>
  <c r="X95" i="8"/>
  <c r="AA95" i="8"/>
  <c r="S95" i="8"/>
  <c r="R62" i="8"/>
  <c r="R64" i="8" s="1"/>
  <c r="O62" i="8"/>
  <c r="O64" i="8" s="1"/>
  <c r="AE75" i="8"/>
  <c r="Y88" i="8"/>
  <c r="W88" i="8"/>
  <c r="V88" i="8"/>
  <c r="AE28" i="9"/>
  <c r="AE31" i="9"/>
  <c r="U88" i="8"/>
  <c r="O20" i="8"/>
  <c r="O25" i="8"/>
  <c r="M26" i="8"/>
  <c r="N84" i="8"/>
  <c r="N11" i="12" s="1"/>
  <c r="N26" i="8"/>
  <c r="P84" i="8"/>
  <c r="P11" i="12" s="1"/>
  <c r="P26" i="8"/>
  <c r="P104" i="8" l="1"/>
  <c r="Z104" i="8" s="1"/>
  <c r="N13" i="12"/>
  <c r="N17" i="12" s="1"/>
  <c r="N18" i="12" s="1"/>
  <c r="M36" i="8"/>
  <c r="M33" i="8"/>
  <c r="Q72" i="8"/>
  <c r="Q36" i="8"/>
  <c r="Q33" i="8"/>
  <c r="X7" i="9"/>
  <c r="V7" i="9"/>
  <c r="L29" i="8"/>
  <c r="L26" i="8"/>
  <c r="AC25" i="8"/>
  <c r="AC29" i="8" s="1"/>
  <c r="AE32" i="8"/>
  <c r="AE88" i="8"/>
  <c r="AE29" i="9"/>
  <c r="AE24" i="9"/>
  <c r="U95" i="8"/>
  <c r="M30" i="8"/>
  <c r="O26" i="8"/>
  <c r="O29" i="8"/>
  <c r="V95" i="8"/>
  <c r="N104" i="8"/>
  <c r="X104" i="8" s="1"/>
  <c r="O95" i="8"/>
  <c r="Y95" i="8"/>
  <c r="AE95" i="8" s="1"/>
  <c r="W95" i="8"/>
  <c r="Q30" i="8"/>
  <c r="N30" i="8"/>
  <c r="P30" i="8"/>
  <c r="X12" i="9" l="1"/>
  <c r="X17" i="9" s="1"/>
  <c r="X21" i="9" s="1"/>
  <c r="AB8" i="9"/>
  <c r="Q84" i="8"/>
  <c r="Q11" i="12" s="1"/>
  <c r="M84" i="8"/>
  <c r="P13" i="12"/>
  <c r="P17" i="12" s="1"/>
  <c r="P18" i="12" s="1"/>
  <c r="AC30" i="8"/>
  <c r="AC33" i="8"/>
  <c r="AC36" i="8"/>
  <c r="O72" i="8"/>
  <c r="O33" i="8"/>
  <c r="O36" i="8"/>
  <c r="L36" i="8"/>
  <c r="L33" i="8"/>
  <c r="AC26" i="8"/>
  <c r="Y7" i="9"/>
  <c r="U7" i="9"/>
  <c r="W7" i="9"/>
  <c r="AE20" i="9"/>
  <c r="V12" i="9"/>
  <c r="V17" i="9" s="1"/>
  <c r="V21" i="9" s="1"/>
  <c r="L30" i="8"/>
  <c r="O30" i="8"/>
  <c r="M104" i="8" l="1"/>
  <c r="W104" i="8" s="1"/>
  <c r="M11" i="12"/>
  <c r="M13" i="12" s="1"/>
  <c r="M17" i="12" s="1"/>
  <c r="M18" i="12" s="1"/>
  <c r="U12" i="9"/>
  <c r="U13" i="9" s="1"/>
  <c r="X13" i="9"/>
  <c r="Y12" i="9"/>
  <c r="Y17" i="9" s="1"/>
  <c r="AC8" i="9"/>
  <c r="W12" i="9"/>
  <c r="W17" i="9" s="1"/>
  <c r="AA8" i="9"/>
  <c r="Y72" i="8"/>
  <c r="W72" i="8"/>
  <c r="X72" i="8"/>
  <c r="V72" i="8"/>
  <c r="AA72" i="8"/>
  <c r="Z72" i="8"/>
  <c r="Q104" i="8"/>
  <c r="AA104" i="8" s="1"/>
  <c r="L84" i="8"/>
  <c r="L11" i="12" s="1"/>
  <c r="Q13" i="12"/>
  <c r="Q17" i="12" s="1"/>
  <c r="Q18" i="12" s="1"/>
  <c r="Y8" i="9"/>
  <c r="Z7" i="9"/>
  <c r="Z12" i="9" s="1"/>
  <c r="V13" i="9"/>
  <c r="X18" i="9"/>
  <c r="X25" i="9"/>
  <c r="X67" i="9" s="1"/>
  <c r="V18" i="9"/>
  <c r="AE6" i="9"/>
  <c r="V22" i="9"/>
  <c r="V25" i="9"/>
  <c r="O84" i="8"/>
  <c r="O11" i="12" s="1"/>
  <c r="V11" i="12" l="1"/>
  <c r="X11" i="12"/>
  <c r="W11" i="12"/>
  <c r="AA11" i="12"/>
  <c r="Z11" i="12"/>
  <c r="Y11" i="12"/>
  <c r="U17" i="9"/>
  <c r="U18" i="9" s="1"/>
  <c r="Y13" i="9"/>
  <c r="W13" i="9"/>
  <c r="L104" i="8"/>
  <c r="V104" i="8" s="1"/>
  <c r="L13" i="12"/>
  <c r="L17" i="12" s="1"/>
  <c r="L18" i="12" s="1"/>
  <c r="U13" i="12"/>
  <c r="U17" i="12" s="1"/>
  <c r="U18" i="12" s="1"/>
  <c r="O104" i="8"/>
  <c r="Y104" i="8" s="1"/>
  <c r="W21" i="9"/>
  <c r="W22" i="9" s="1"/>
  <c r="Y18" i="9"/>
  <c r="Y21" i="9"/>
  <c r="Y25" i="9" s="1"/>
  <c r="Y67" i="9" s="1"/>
  <c r="W18" i="9"/>
  <c r="Z8" i="9"/>
  <c r="Z17" i="9"/>
  <c r="Z21" i="9" s="1"/>
  <c r="Z13" i="9"/>
  <c r="AE7" i="9"/>
  <c r="AE8" i="9"/>
  <c r="X69" i="9" a="1"/>
  <c r="X69" i="9" s="1"/>
  <c r="X22" i="9"/>
  <c r="V69" i="9" a="1"/>
  <c r="V69" i="9" s="1"/>
  <c r="V67" i="9"/>
  <c r="V68" i="9" a="1"/>
  <c r="V68" i="9" s="1"/>
  <c r="V66" i="9"/>
  <c r="X66" i="9"/>
  <c r="X65" i="9"/>
  <c r="X68" i="9" a="1"/>
  <c r="X68" i="9" s="1"/>
  <c r="V26" i="9"/>
  <c r="X32" i="9"/>
  <c r="V32" i="9"/>
  <c r="X26" i="9"/>
  <c r="V65" i="9"/>
  <c r="B69" i="8"/>
  <c r="B68" i="8"/>
  <c r="F69" i="8"/>
  <c r="E69" i="8"/>
  <c r="D69" i="8"/>
  <c r="F68" i="8"/>
  <c r="E68" i="8"/>
  <c r="D68" i="8"/>
  <c r="B41" i="8"/>
  <c r="B40" i="8"/>
  <c r="AB41" i="8"/>
  <c r="AA41" i="8"/>
  <c r="Z41" i="8"/>
  <c r="X41" i="8"/>
  <c r="W41" i="8"/>
  <c r="V41" i="8"/>
  <c r="Y41" i="8"/>
  <c r="U41" i="8"/>
  <c r="AB40" i="8"/>
  <c r="AA40" i="8"/>
  <c r="Z40" i="8"/>
  <c r="Y40" i="8"/>
  <c r="X40" i="8"/>
  <c r="W40" i="8"/>
  <c r="V40" i="8"/>
  <c r="U40" i="8"/>
  <c r="U21" i="9" l="1"/>
  <c r="U25" i="9" s="1"/>
  <c r="U32" i="9" s="1"/>
  <c r="O13" i="12"/>
  <c r="O17" i="12" s="1"/>
  <c r="O18" i="12" s="1"/>
  <c r="X13" i="12"/>
  <c r="X17" i="12" s="1"/>
  <c r="X18" i="12" s="1"/>
  <c r="W13" i="12"/>
  <c r="W17" i="12" s="1"/>
  <c r="W18" i="12" s="1"/>
  <c r="V13" i="12"/>
  <c r="V17" i="12" s="1"/>
  <c r="V18" i="12" s="1"/>
  <c r="W25" i="9"/>
  <c r="Y32" i="9"/>
  <c r="Y26" i="9"/>
  <c r="Y68" i="9" a="1"/>
  <c r="Y68" i="9" s="1"/>
  <c r="Y65" i="9"/>
  <c r="Y66" i="9"/>
  <c r="Y69" i="9" a="1"/>
  <c r="Y69" i="9" s="1"/>
  <c r="Y22" i="9"/>
  <c r="AE13" i="9"/>
  <c r="AE12" i="9"/>
  <c r="Z18" i="9"/>
  <c r="U68" i="8"/>
  <c r="V68" i="8"/>
  <c r="V69" i="8"/>
  <c r="Y68" i="8"/>
  <c r="Z68" i="8"/>
  <c r="U69" i="8"/>
  <c r="Z69" i="8"/>
  <c r="AA69" i="8"/>
  <c r="X68" i="8"/>
  <c r="AA68" i="8"/>
  <c r="X69" i="8"/>
  <c r="W69" i="8"/>
  <c r="AB68" i="8"/>
  <c r="Y69" i="8"/>
  <c r="W68" i="8"/>
  <c r="AB69" i="8"/>
  <c r="U67" i="9" l="1"/>
  <c r="U66" i="9"/>
  <c r="U69" i="9" a="1"/>
  <c r="U69" i="9" s="1"/>
  <c r="U22" i="9"/>
  <c r="U68" i="9" a="1"/>
  <c r="U68" i="9" s="1"/>
  <c r="U65" i="9"/>
  <c r="U26" i="9"/>
  <c r="W68" i="9" a="1"/>
  <c r="W68" i="9" s="1"/>
  <c r="W67" i="9"/>
  <c r="W32" i="9"/>
  <c r="W26" i="9"/>
  <c r="W65" i="9"/>
  <c r="W66" i="9"/>
  <c r="W69" i="9" a="1"/>
  <c r="W69" i="9" s="1"/>
  <c r="Z25" i="9"/>
  <c r="Z22" i="9"/>
  <c r="AE18" i="9"/>
  <c r="AE17" i="9"/>
  <c r="AE21" i="9" l="1"/>
  <c r="AE22" i="9"/>
  <c r="Z67" i="9"/>
  <c r="Z66" i="9"/>
  <c r="Z32" i="9"/>
  <c r="Z68" i="9" a="1"/>
  <c r="Z68" i="9" s="1"/>
  <c r="Z26" i="9"/>
  <c r="Z69" i="9" a="1"/>
  <c r="Z69" i="9" s="1"/>
  <c r="Z65" i="9"/>
  <c r="AE25" i="9" l="1"/>
  <c r="AE26" i="9"/>
  <c r="AE32" i="9"/>
  <c r="S61" i="8" l="1"/>
  <c r="AC60" i="9" s="1"/>
  <c r="AC61" i="9" s="1"/>
  <c r="AC70" i="9" s="1"/>
  <c r="Z61" i="9" l="1"/>
  <c r="Z70" i="9" s="1"/>
  <c r="E12" i="9"/>
  <c r="P12" i="9"/>
  <c r="N12" i="9"/>
  <c r="Q12" i="9"/>
  <c r="C12" i="9"/>
  <c r="L12" i="9"/>
  <c r="F12" i="9"/>
  <c r="D12" i="9"/>
  <c r="S12" i="9"/>
  <c r="O12" i="9"/>
  <c r="M12" i="9"/>
  <c r="R12" i="9" l="1"/>
  <c r="W11" i="8" l="1"/>
  <c r="E47" i="8"/>
  <c r="D47" i="8"/>
  <c r="F47" i="8"/>
  <c r="W14" i="8" l="1"/>
  <c r="X11" i="8"/>
  <c r="X47" i="8"/>
  <c r="X61" i="8"/>
  <c r="U61" i="8"/>
  <c r="V47" i="8"/>
  <c r="U11" i="8"/>
  <c r="W47" i="8"/>
  <c r="V61" i="8"/>
  <c r="V11" i="8"/>
  <c r="W61" i="8"/>
  <c r="Z61" i="8"/>
  <c r="AA61" i="8"/>
  <c r="Z11" i="8"/>
  <c r="Z14" i="8" s="1"/>
  <c r="Y11" i="8"/>
  <c r="Y14" i="8" s="1"/>
  <c r="AA11" i="8"/>
  <c r="AA14" i="8" s="1"/>
  <c r="V14" i="8" l="1"/>
  <c r="U14" i="8"/>
  <c r="X14" i="8"/>
  <c r="AE11" i="8"/>
  <c r="W19" i="8"/>
  <c r="W25" i="8" s="1"/>
  <c r="W29" i="8" s="1"/>
  <c r="X62" i="8"/>
  <c r="X64" i="8" s="1"/>
  <c r="V62" i="8"/>
  <c r="V64" i="8" s="1"/>
  <c r="W62" i="8"/>
  <c r="W64" i="8" s="1"/>
  <c r="W15" i="8"/>
  <c r="Z62" i="8"/>
  <c r="Z64" i="8" s="1"/>
  <c r="AE14" i="8"/>
  <c r="AA62" i="8"/>
  <c r="AA64" i="8" s="1"/>
  <c r="W36" i="8" l="1"/>
  <c r="W33" i="8"/>
  <c r="Y19" i="8"/>
  <c r="U19" i="8"/>
  <c r="U25" i="8" s="1"/>
  <c r="U29" i="8" s="1"/>
  <c r="Z19" i="8"/>
  <c r="Z25" i="8" s="1"/>
  <c r="Z29" i="8" s="1"/>
  <c r="V19" i="8"/>
  <c r="V20" i="8" s="1"/>
  <c r="X19" i="8"/>
  <c r="X25" i="8" s="1"/>
  <c r="X29" i="8" s="1"/>
  <c r="W20" i="8"/>
  <c r="AA19" i="8"/>
  <c r="AA20" i="8" s="1"/>
  <c r="Z15" i="8"/>
  <c r="Y15" i="8"/>
  <c r="AE15" i="8" s="1"/>
  <c r="V15" i="8"/>
  <c r="AA15" i="8"/>
  <c r="X15" i="8"/>
  <c r="W26" i="8"/>
  <c r="U15" i="8"/>
  <c r="X36" i="8" l="1"/>
  <c r="X33" i="8"/>
  <c r="Z36" i="8"/>
  <c r="Z33" i="8"/>
  <c r="U33" i="8"/>
  <c r="U36" i="8"/>
  <c r="Y25" i="8"/>
  <c r="Y26" i="8" s="1"/>
  <c r="AE26" i="8" s="1"/>
  <c r="AE19" i="8"/>
  <c r="U20" i="8"/>
  <c r="Z20" i="8"/>
  <c r="Y20" i="8"/>
  <c r="AE20" i="8" s="1"/>
  <c r="X20" i="8"/>
  <c r="V25" i="8"/>
  <c r="V29" i="8" s="1"/>
  <c r="AA25" i="8"/>
  <c r="AA29" i="8" s="1"/>
  <c r="U26" i="8"/>
  <c r="Z26" i="8"/>
  <c r="W30" i="8"/>
  <c r="U30" i="8"/>
  <c r="X26" i="8"/>
  <c r="V30" i="8" l="1"/>
  <c r="V36" i="8"/>
  <c r="V33" i="8"/>
  <c r="AA33" i="8"/>
  <c r="AA36" i="8"/>
  <c r="Y29" i="8"/>
  <c r="AE25" i="8"/>
  <c r="V26" i="8"/>
  <c r="AA26" i="8"/>
  <c r="X30" i="8"/>
  <c r="Z30" i="8"/>
  <c r="AA30" i="8"/>
  <c r="AE29" i="8" l="1"/>
  <c r="Y33" i="8"/>
  <c r="AE33" i="8" s="1"/>
  <c r="Y36" i="8"/>
  <c r="AE36" i="8" s="1"/>
  <c r="Y30" i="8"/>
  <c r="AE30" i="8" s="1"/>
  <c r="AE54" i="8" l="1"/>
  <c r="U62" i="8" l="1"/>
  <c r="R11" i="8" l="1"/>
  <c r="F11" i="8"/>
  <c r="F14" i="8" s="1"/>
  <c r="E11" i="8"/>
  <c r="E14" i="8" s="1"/>
  <c r="D11" i="8"/>
  <c r="D14" i="8" s="1"/>
  <c r="F61" i="8"/>
  <c r="E61" i="8"/>
  <c r="D61" i="8"/>
  <c r="AB11" i="8"/>
  <c r="AB14" i="8" s="1"/>
  <c r="L61" i="9"/>
  <c r="L70" i="9" s="1"/>
  <c r="R14" i="8" l="1"/>
  <c r="R19" i="8" s="1"/>
  <c r="M61" i="9"/>
  <c r="M70" i="9" s="1"/>
  <c r="D61" i="9"/>
  <c r="D70" i="9" s="1"/>
  <c r="N61" i="9"/>
  <c r="N70" i="9" s="1"/>
  <c r="F61" i="9"/>
  <c r="F70" i="9" s="1"/>
  <c r="N17" i="9"/>
  <c r="N21" i="9" s="1"/>
  <c r="E61" i="9"/>
  <c r="E70" i="9" s="1"/>
  <c r="Y61" i="8"/>
  <c r="E19" i="8"/>
  <c r="D19" i="8"/>
  <c r="F19" i="8"/>
  <c r="AB61" i="8"/>
  <c r="F17" i="9"/>
  <c r="F21" i="9" s="1"/>
  <c r="F8" i="9"/>
  <c r="D17" i="9"/>
  <c r="D21" i="9" s="1"/>
  <c r="D8" i="9"/>
  <c r="E17" i="9"/>
  <c r="E21" i="9" s="1"/>
  <c r="E8" i="9"/>
  <c r="P61" i="9"/>
  <c r="P70" i="9" s="1"/>
  <c r="C17" i="9"/>
  <c r="C21" i="9" s="1"/>
  <c r="Q61" i="9"/>
  <c r="Q70" i="9" s="1"/>
  <c r="R61" i="9"/>
  <c r="R70" i="9" s="1"/>
  <c r="C61" i="9"/>
  <c r="C70" i="9" s="1"/>
  <c r="Y62" i="8" l="1"/>
  <c r="Y64" i="8" s="1"/>
  <c r="AE61" i="8"/>
  <c r="D62" i="8"/>
  <c r="D64" i="8" s="1"/>
  <c r="F25" i="8"/>
  <c r="F29" i="8" s="1"/>
  <c r="R20" i="8"/>
  <c r="D25" i="8"/>
  <c r="D29" i="8" s="1"/>
  <c r="E20" i="8"/>
  <c r="R15" i="8"/>
  <c r="S61" i="9"/>
  <c r="S70" i="9" s="1"/>
  <c r="S62" i="8"/>
  <c r="S64" i="8" s="1"/>
  <c r="AE47" i="8"/>
  <c r="U47" i="8"/>
  <c r="U64" i="8" s="1"/>
  <c r="E62" i="8"/>
  <c r="E64" i="8" s="1"/>
  <c r="F62" i="8"/>
  <c r="F64" i="8" s="1"/>
  <c r="O61" i="9"/>
  <c r="O70" i="9" s="1"/>
  <c r="O9" i="9"/>
  <c r="S8" i="9"/>
  <c r="P8" i="9"/>
  <c r="Q9" i="9"/>
  <c r="S17" i="9"/>
  <c r="S21" i="9" s="1"/>
  <c r="N9" i="9"/>
  <c r="P9" i="9"/>
  <c r="M9" i="9"/>
  <c r="Q17" i="9"/>
  <c r="Q21" i="9" s="1"/>
  <c r="O17" i="9"/>
  <c r="O21" i="9" s="1"/>
  <c r="Q8" i="9"/>
  <c r="E15" i="8"/>
  <c r="F15" i="8"/>
  <c r="D15" i="8"/>
  <c r="AB19" i="8"/>
  <c r="N13" i="9"/>
  <c r="E13" i="9"/>
  <c r="R8" i="9"/>
  <c r="R17" i="9"/>
  <c r="R21" i="9" s="1"/>
  <c r="R9" i="9"/>
  <c r="M17" i="9"/>
  <c r="M21" i="9" s="1"/>
  <c r="S9" i="9"/>
  <c r="C13" i="9"/>
  <c r="L17" i="9"/>
  <c r="L21" i="9" s="1"/>
  <c r="F13" i="9"/>
  <c r="P17" i="9"/>
  <c r="P21" i="9" s="1"/>
  <c r="D13" i="9"/>
  <c r="AE62" i="8" l="1"/>
  <c r="F72" i="8"/>
  <c r="F33" i="8"/>
  <c r="F36" i="8"/>
  <c r="D33" i="8"/>
  <c r="D36" i="8"/>
  <c r="Q13" i="9"/>
  <c r="Q18" i="9"/>
  <c r="F20" i="8"/>
  <c r="E25" i="8"/>
  <c r="E29" i="8" s="1"/>
  <c r="R25" i="8"/>
  <c r="R29" i="8" s="1"/>
  <c r="D20" i="8"/>
  <c r="AB25" i="8"/>
  <c r="AB29" i="8" s="1"/>
  <c r="D26" i="8"/>
  <c r="AB20" i="8"/>
  <c r="F26" i="8"/>
  <c r="AB62" i="8"/>
  <c r="AB64" i="8" s="1"/>
  <c r="S13" i="9"/>
  <c r="O13" i="9"/>
  <c r="F30" i="8"/>
  <c r="AB15" i="8"/>
  <c r="D25" i="9"/>
  <c r="D67" i="9" s="1"/>
  <c r="D18" i="9"/>
  <c r="C25" i="9"/>
  <c r="C67" i="9" s="1"/>
  <c r="C18" i="9"/>
  <c r="P13" i="9"/>
  <c r="E25" i="9"/>
  <c r="E67" i="9" s="1"/>
  <c r="E18" i="9"/>
  <c r="N25" i="9"/>
  <c r="N18" i="9"/>
  <c r="R13" i="9"/>
  <c r="S25" i="9"/>
  <c r="S18" i="9"/>
  <c r="O18" i="9"/>
  <c r="O25" i="9"/>
  <c r="F18" i="9"/>
  <c r="F25" i="9"/>
  <c r="F67" i="9" s="1"/>
  <c r="L13" i="9"/>
  <c r="M13" i="9"/>
  <c r="F84" i="8" l="1"/>
  <c r="AB36" i="8"/>
  <c r="AB33" i="8"/>
  <c r="E72" i="8"/>
  <c r="E36" i="8"/>
  <c r="E33" i="8"/>
  <c r="R36" i="8"/>
  <c r="R33" i="8"/>
  <c r="R72" i="8"/>
  <c r="E26" i="8"/>
  <c r="E30" i="8"/>
  <c r="R26" i="8"/>
  <c r="D30" i="8"/>
  <c r="D72" i="8"/>
  <c r="D84" i="8" s="1"/>
  <c r="Q25" i="9"/>
  <c r="AB26" i="8"/>
  <c r="R30" i="8"/>
  <c r="F22" i="9"/>
  <c r="M25" i="9"/>
  <c r="M18" i="9"/>
  <c r="S22" i="9"/>
  <c r="E22" i="9"/>
  <c r="C22" i="9"/>
  <c r="N22" i="9"/>
  <c r="R18" i="9"/>
  <c r="R25" i="9"/>
  <c r="D22" i="9"/>
  <c r="P18" i="9"/>
  <c r="P25" i="9"/>
  <c r="L25" i="9"/>
  <c r="L18" i="9"/>
  <c r="O22" i="9"/>
  <c r="D13" i="12" l="1"/>
  <c r="D17" i="12" s="1"/>
  <c r="D18" i="12" s="1"/>
  <c r="AB72" i="8"/>
  <c r="R84" i="8"/>
  <c r="R11" i="12" s="1"/>
  <c r="AB11" i="12" s="1"/>
  <c r="Y84" i="8"/>
  <c r="F104" i="8"/>
  <c r="F13" i="12"/>
  <c r="F17" i="12" s="1"/>
  <c r="F18" i="12" s="1"/>
  <c r="E84" i="8"/>
  <c r="P67" i="9" a="1"/>
  <c r="P67" i="9" s="1"/>
  <c r="O67" i="9" a="1"/>
  <c r="O67" i="9" s="1"/>
  <c r="M67" i="9" a="1"/>
  <c r="M67" i="9" s="1"/>
  <c r="S67" i="9" a="1"/>
  <c r="S67" i="9" s="1"/>
  <c r="L67" i="9" a="1"/>
  <c r="L67" i="9" s="1"/>
  <c r="Q67" i="9" a="1"/>
  <c r="Q67" i="9" s="1"/>
  <c r="N67" i="9" a="1"/>
  <c r="N67" i="9" s="1"/>
  <c r="R67" i="9" a="1"/>
  <c r="R67" i="9" s="1"/>
  <c r="D104" i="8"/>
  <c r="X84" i="8"/>
  <c r="Q22" i="9"/>
  <c r="L22" i="9"/>
  <c r="P22" i="9"/>
  <c r="Q69" i="9" a="1"/>
  <c r="Q69" i="9" s="1"/>
  <c r="M22" i="9"/>
  <c r="C68" i="9" a="1"/>
  <c r="C68" i="9" s="1"/>
  <c r="C69" i="9" a="1"/>
  <c r="C69" i="9" s="1"/>
  <c r="C32" i="9"/>
  <c r="C26" i="9"/>
  <c r="C66" i="9"/>
  <c r="C65" i="9"/>
  <c r="E69" i="9" a="1"/>
  <c r="E69" i="9" s="1"/>
  <c r="E68" i="9" a="1"/>
  <c r="E68" i="9" s="1"/>
  <c r="E26" i="9"/>
  <c r="E32" i="9"/>
  <c r="E38" i="9" s="1" a="1"/>
  <c r="E38" i="9" s="1"/>
  <c r="E65" i="9"/>
  <c r="E66" i="9"/>
  <c r="F68" i="9" a="1"/>
  <c r="F68" i="9" s="1"/>
  <c r="F69" i="9" a="1"/>
  <c r="F69" i="9" s="1"/>
  <c r="F26" i="9"/>
  <c r="F66" i="9"/>
  <c r="F32" i="9"/>
  <c r="F38" i="9" s="1" a="1"/>
  <c r="F38" i="9" s="1"/>
  <c r="F65" i="9"/>
  <c r="Q26" i="9"/>
  <c r="Q32" i="9"/>
  <c r="Q38" i="9" s="1" a="1"/>
  <c r="Q38" i="9" s="1"/>
  <c r="O32" i="9"/>
  <c r="O38" i="9" s="1" a="1"/>
  <c r="O38" i="9" s="1"/>
  <c r="O26" i="9"/>
  <c r="N32" i="9"/>
  <c r="N38" i="9" s="1" a="1"/>
  <c r="N38" i="9" s="1"/>
  <c r="N26" i="9"/>
  <c r="R22" i="9"/>
  <c r="D69" i="9" a="1"/>
  <c r="D69" i="9" s="1"/>
  <c r="D32" i="9"/>
  <c r="D38" i="9" s="1" a="1"/>
  <c r="D38" i="9" s="1"/>
  <c r="D26" i="9"/>
  <c r="D68" i="9" a="1"/>
  <c r="D68" i="9" s="1"/>
  <c r="D66" i="9"/>
  <c r="D65" i="9"/>
  <c r="S26" i="9"/>
  <c r="S32" i="9"/>
  <c r="S38" i="9" s="1" a="1"/>
  <c r="S38" i="9" s="1"/>
  <c r="R104" i="8" l="1"/>
  <c r="AB104" i="8" s="1"/>
  <c r="E104" i="8"/>
  <c r="E13" i="12"/>
  <c r="E17" i="12" s="1"/>
  <c r="E18" i="12" s="1"/>
  <c r="R13" i="12"/>
  <c r="R17" i="12" s="1"/>
  <c r="R18" i="12" s="1"/>
  <c r="Y13" i="12"/>
  <c r="Y17" i="12" s="1"/>
  <c r="Y18" i="12" s="1"/>
  <c r="U84" i="8"/>
  <c r="V84" i="8"/>
  <c r="W84" i="8"/>
  <c r="AB30" i="8"/>
  <c r="Q68" i="9" a="1"/>
  <c r="Q68" i="9" s="1"/>
  <c r="C39" i="9"/>
  <c r="R68" i="9" a="1"/>
  <c r="R68" i="9" s="1"/>
  <c r="M69" i="9" a="1"/>
  <c r="M69" i="9" s="1"/>
  <c r="M68" i="9" a="1"/>
  <c r="M68" i="9" s="1"/>
  <c r="M65" i="9"/>
  <c r="M66" i="9"/>
  <c r="L68" i="9" a="1"/>
  <c r="L68" i="9" s="1"/>
  <c r="P32" i="9"/>
  <c r="P38" i="9" s="1" a="1"/>
  <c r="P38" i="9" s="1"/>
  <c r="S68" i="9" a="1"/>
  <c r="S68" i="9" s="1"/>
  <c r="S69" i="9" a="1"/>
  <c r="S69" i="9" s="1"/>
  <c r="P26" i="9"/>
  <c r="S65" i="9"/>
  <c r="S66" i="9"/>
  <c r="Q66" i="9"/>
  <c r="R65" i="9"/>
  <c r="F39" i="9"/>
  <c r="Q65" i="9"/>
  <c r="N68" i="9" a="1"/>
  <c r="N68" i="9" s="1"/>
  <c r="N69" i="9" a="1"/>
  <c r="N69" i="9" s="1"/>
  <c r="N65" i="9"/>
  <c r="N66" i="9"/>
  <c r="E39" i="9"/>
  <c r="L65" i="9"/>
  <c r="P69" i="9" a="1"/>
  <c r="P69" i="9" s="1"/>
  <c r="M32" i="9"/>
  <c r="M38" i="9" s="1" a="1"/>
  <c r="M38" i="9" s="1"/>
  <c r="M26" i="9"/>
  <c r="P68" i="9" a="1"/>
  <c r="P68" i="9" s="1"/>
  <c r="P65" i="9"/>
  <c r="P66" i="9"/>
  <c r="R69" i="9" a="1"/>
  <c r="R69" i="9" s="1"/>
  <c r="L69" i="9" a="1"/>
  <c r="L69" i="9" s="1"/>
  <c r="D39" i="9"/>
  <c r="R26" i="9"/>
  <c r="R32" i="9"/>
  <c r="R38" i="9" s="1" a="1"/>
  <c r="R38" i="9" s="1"/>
  <c r="S39" i="9"/>
  <c r="O68" i="9" a="1"/>
  <c r="O68" i="9" s="1"/>
  <c r="O69" i="9" a="1"/>
  <c r="O69" i="9" s="1"/>
  <c r="L32" i="9"/>
  <c r="L38" i="9" s="1" a="1"/>
  <c r="L38" i="9" s="1"/>
  <c r="L26" i="9"/>
  <c r="O65" i="9"/>
  <c r="O66" i="9"/>
  <c r="R66" i="9"/>
  <c r="L66" i="9"/>
  <c r="Z38" i="9" l="1"/>
  <c r="AB38" i="9"/>
  <c r="AB39" i="9" s="1"/>
  <c r="Y38" i="9"/>
  <c r="Y39" i="9" s="1"/>
  <c r="V38" i="9"/>
  <c r="V39" i="9" s="1"/>
  <c r="X38" i="9"/>
  <c r="X39" i="9" s="1"/>
  <c r="W38" i="9"/>
  <c r="W39" i="9" s="1"/>
  <c r="AC38" i="9"/>
  <c r="AC39" i="9" s="1"/>
  <c r="AA38" i="9"/>
  <c r="AA39" i="9" s="1"/>
  <c r="Z39" i="9"/>
  <c r="U39" i="9"/>
  <c r="R39" i="9"/>
  <c r="Q39" i="9"/>
  <c r="L39" i="9"/>
  <c r="N39" i="9"/>
  <c r="O39" i="9"/>
  <c r="M39" i="9" l="1"/>
  <c r="P39" i="9"/>
  <c r="H100" i="8" l="1"/>
  <c r="H105" i="8" s="1"/>
  <c r="D100" i="8"/>
  <c r="D105" i="8" s="1"/>
  <c r="E98" i="8" l="1"/>
  <c r="E100" i="8" s="1"/>
  <c r="E105" i="8" s="1"/>
  <c r="I98" i="8"/>
  <c r="I100" i="8" s="1"/>
  <c r="I105" i="8" s="1"/>
  <c r="F98" i="8" l="1"/>
  <c r="F100" i="8" s="1"/>
  <c r="F105" i="8" s="1"/>
  <c r="J98" i="8"/>
  <c r="J100" i="8" s="1"/>
  <c r="J105" i="8" s="1"/>
  <c r="K98" i="8" l="1"/>
  <c r="K100" i="8" s="1"/>
  <c r="K105" i="8" l="1"/>
  <c r="U98" i="8"/>
  <c r="U100" i="8" s="1"/>
  <c r="L98" i="8" l="1"/>
  <c r="V98" i="8"/>
  <c r="V100" i="8" s="1"/>
  <c r="L100" i="8"/>
  <c r="L105" i="8" s="1"/>
  <c r="W98" i="8" l="1"/>
  <c r="W100" i="8" s="1"/>
  <c r="M98" i="8"/>
  <c r="M100" i="8" s="1"/>
  <c r="M105" i="8" s="1"/>
  <c r="X98" i="8" l="1"/>
  <c r="X100" i="8" s="1"/>
  <c r="N98" i="8"/>
  <c r="N100" i="8" s="1"/>
  <c r="N105" i="8" s="1"/>
  <c r="Y98" i="8" l="1"/>
  <c r="Y100" i="8" s="1"/>
  <c r="O98" i="8"/>
  <c r="O100" i="8" s="1"/>
  <c r="O105" i="8" s="1"/>
  <c r="Z98" i="8" l="1"/>
  <c r="Z100" i="8" s="1"/>
  <c r="P98" i="8"/>
  <c r="P100" i="8" s="1"/>
  <c r="P105" i="8" s="1"/>
  <c r="P107" i="8" s="1"/>
  <c r="AA98" i="8" l="1"/>
  <c r="AA100" i="8" s="1"/>
  <c r="W105" i="8"/>
  <c r="W107" i="8" s="1"/>
  <c r="Q98" i="8"/>
  <c r="Q100" i="8" s="1"/>
  <c r="Q105" i="8" s="1"/>
  <c r="Q107" i="8" s="1"/>
  <c r="AB98" i="8" l="1"/>
  <c r="AB100" i="8" s="1"/>
  <c r="X105" i="8"/>
  <c r="X107" i="8" s="1"/>
  <c r="R98" i="8"/>
  <c r="R100" i="8" s="1"/>
  <c r="R105" i="8" s="1"/>
  <c r="R107" i="8" s="1"/>
  <c r="AC98" i="8" l="1"/>
  <c r="AC100" i="8" s="1"/>
  <c r="Y105" i="8"/>
  <c r="Y107" i="8" s="1"/>
  <c r="S98" i="8"/>
  <c r="S100" i="8" s="1"/>
  <c r="S11" i="8" l="1"/>
  <c r="S14" i="8" l="1"/>
  <c r="S19" i="8" s="1"/>
  <c r="S15" i="8" l="1"/>
  <c r="S25" i="8"/>
  <c r="S29" i="8" s="1"/>
  <c r="S72" i="8" l="1"/>
  <c r="AC72" i="8" s="1"/>
  <c r="S36" i="8"/>
  <c r="S33" i="8"/>
  <c r="S20" i="8"/>
  <c r="S26" i="8"/>
  <c r="S30" i="8" l="1"/>
  <c r="AC84" i="8" l="1"/>
  <c r="AE84" i="8" s="1"/>
  <c r="AE72" i="8"/>
  <c r="Z84" i="8"/>
  <c r="AA84" i="8"/>
  <c r="S84" i="8"/>
  <c r="S11" i="12" s="1"/>
  <c r="AC11" i="12" s="1"/>
  <c r="S104" i="8" l="1"/>
  <c r="AC104" i="8" s="1"/>
  <c r="AB84" i="8"/>
  <c r="S105" i="8" l="1"/>
  <c r="S107" i="8" s="1"/>
  <c r="Z105" i="8"/>
  <c r="Z107" i="8" s="1"/>
  <c r="AA105" i="8"/>
  <c r="AA107" i="8" s="1"/>
  <c r="U105" i="8"/>
  <c r="U107" i="8" s="1"/>
  <c r="S13" i="12"/>
  <c r="S17" i="12" s="1"/>
  <c r="S18" i="12" s="1"/>
  <c r="AA13" i="12"/>
  <c r="AA17" i="12" s="1"/>
  <c r="AA18" i="12" s="1"/>
  <c r="AB13" i="12"/>
  <c r="AB17" i="12" s="1"/>
  <c r="AB18" i="12" s="1"/>
  <c r="Z13" i="12"/>
  <c r="Z17" i="12" s="1"/>
  <c r="Z18" i="12" s="1"/>
  <c r="AE11" i="12" l="1"/>
  <c r="AC13" i="12"/>
  <c r="AB105" i="8"/>
  <c r="AB107" i="8" s="1"/>
  <c r="V105" i="8"/>
  <c r="V107" i="8" s="1"/>
  <c r="AE13" i="12" l="1"/>
  <c r="AC17" i="12"/>
  <c r="AC105" i="8"/>
  <c r="AC107" i="8" s="1"/>
  <c r="AE17" i="12" l="1"/>
  <c r="AC18" i="12"/>
  <c r="AE18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<sst xmlns="http://schemas.openxmlformats.org/spreadsheetml/2006/main" count="215" uniqueCount="148">
  <si>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</si>
  <si>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</si>
  <si>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</si>
  <si>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</si>
  <si>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</si>
  <si>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</si>
  <si>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</si>
  <si>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</si>
  <si>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</si>
  <si>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</si>
  <si>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</si>
  <si>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</si>
  <si>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</si>
  <si>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Accounts payable</t>
  </si>
  <si>
    <t>Changes in assets and liabilities:</t>
  </si>
  <si>
    <t>Cash-Flows Statement</t>
  </si>
  <si>
    <t>Total stockholders' equity</t>
  </si>
  <si>
    <t>Total Liabilities</t>
  </si>
  <si>
    <t>X</t>
  </si>
  <si>
    <t>Common stock</t>
  </si>
  <si>
    <t>Total Assets</t>
  </si>
  <si>
    <t>Gross Profit</t>
  </si>
  <si>
    <t>Total Debt</t>
  </si>
  <si>
    <t>Variance</t>
  </si>
  <si>
    <t>FCF Analysis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</si>
  <si>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</si>
  <si>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</si>
  <si>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</si>
  <si>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</si>
  <si>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</si>
  <si>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</si>
  <si>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</si>
  <si>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</si>
  <si>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</si>
  <si>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</si>
  <si>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</si>
  <si>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</si>
  <si>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</si>
  <si>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</si>
  <si>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</si>
  <si>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</si>
  <si>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</si>
  <si>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</si>
  <si>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Total Shareholder Equity</t>
  </si>
  <si>
    <t>Total Book Capitalization</t>
  </si>
  <si>
    <t>Debt-to-Book Capitalization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</si>
  <si>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</si>
  <si>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</si>
  <si>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</si>
  <si>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</si>
  <si>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</si>
  <si>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</si>
  <si>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</si>
  <si>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</si>
  <si>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</si>
  <si>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</si>
  <si>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</si>
  <si>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</si>
  <si>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</si>
  <si>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 xml:space="preserve">Provision for taxes </t>
  </si>
  <si>
    <t>Net Margin (%)</t>
  </si>
  <si>
    <t>Basic EPS</t>
  </si>
  <si>
    <t>Fully Diluted Shares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</si>
  <si>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</si>
  <si>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</si>
  <si>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</si>
  <si>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</si>
  <si>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</si>
  <si>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</si>
  <si>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</si>
  <si>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</si>
  <si>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</si>
  <si>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</si>
  <si>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</si>
  <si>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Earning Before Taxes</t>
  </si>
  <si>
    <t>EBT Margin (%)</t>
  </si>
  <si>
    <t>Unrestricted Cash BOP</t>
  </si>
  <si>
    <t>EOP FX Adjustment</t>
  </si>
  <si>
    <t>General and Administrative (G&amp;A)</t>
  </si>
  <si>
    <t>Purchases of property and equipment</t>
  </si>
  <si>
    <t>Fully Diluted EPS</t>
  </si>
  <si>
    <t>Basic Shares</t>
  </si>
  <si>
    <t>Cash Position Variance Check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</si>
  <si>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</si>
  <si>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</si>
  <si>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</si>
  <si>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</si>
  <si>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</si>
  <si>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</si>
  <si>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EOP Restricted Cash Adjustment</t>
  </si>
  <si>
    <t>BOP Restricted Cash Adjustment</t>
  </si>
  <si>
    <t>$ in thousands except per share</t>
  </si>
  <si>
    <t>Summary Debt:</t>
  </si>
  <si>
    <t>CPLTD</t>
  </si>
  <si>
    <t>LTD</t>
  </si>
  <si>
    <t>(-) Cost of Revenues</t>
  </si>
  <si>
    <t>4Q22</t>
  </si>
  <si>
    <t>3Q22</t>
  </si>
  <si>
    <t>2Q22</t>
  </si>
  <si>
    <t>1Q22</t>
  </si>
  <si>
    <t>Research and Development (R&amp;D)</t>
  </si>
  <si>
    <t>Prepaid expenses and other current assets</t>
  </si>
  <si>
    <t>Additional paid-in capital</t>
  </si>
  <si>
    <t>Accumulated deficit</t>
  </si>
  <si>
    <t>(-) Research and Development (R&amp;D)</t>
  </si>
  <si>
    <t>(-) General and Administrative (G&amp;A)</t>
  </si>
  <si>
    <t>(+) Stock-Based Compensation (SBC)</t>
  </si>
  <si>
    <t>Cash Analysis</t>
  </si>
  <si>
    <t>($ In Thousands)</t>
  </si>
  <si>
    <t>Cash Burn Rate</t>
  </si>
  <si>
    <t>CFO</t>
  </si>
  <si>
    <t>Capex</t>
  </si>
  <si>
    <t>Total Cash Burn Rate</t>
  </si>
  <si>
    <t>Cash Runway</t>
  </si>
  <si>
    <t>Monthly Cash Burn Rate</t>
  </si>
  <si>
    <t>Total Cash Liquidity</t>
  </si>
  <si>
    <t>Cash Liquidity</t>
  </si>
  <si>
    <t xml:space="preserve">Basic Cash Per Share </t>
  </si>
  <si>
    <t>Cash Per Basic Share</t>
  </si>
  <si>
    <t xml:space="preserve">Fully Diluted Cash Per Share </t>
  </si>
  <si>
    <t>Cash Per Fully Diluted Shares</t>
  </si>
  <si>
    <t>Proceeds from exercise of warrants</t>
  </si>
  <si>
    <t>Cost of Revenues</t>
  </si>
  <si>
    <t>(+/-) Proceeds from exercise of warrants</t>
  </si>
  <si>
    <t>Anavex Life Sciences Corp. (NASDAQ: AVXL)</t>
  </si>
  <si>
    <t>Research and development incentive income</t>
  </si>
  <si>
    <t>Interest income (expense), net</t>
  </si>
  <si>
    <t>Gain on settlement of accounts payable</t>
  </si>
  <si>
    <t>Other Income (Expenses)</t>
  </si>
  <si>
    <t xml:space="preserve"> </t>
  </si>
  <si>
    <t>Incentive and tax receivables</t>
  </si>
  <si>
    <t xml:space="preserve">Accrued liabilities </t>
  </si>
  <si>
    <t xml:space="preserve">Deferred grant income </t>
  </si>
  <si>
    <t>Preferred stock</t>
  </si>
  <si>
    <t>Share proceeds receivable</t>
  </si>
  <si>
    <t>Non-cash financing related charges</t>
  </si>
  <si>
    <t>Share-based compensation</t>
  </si>
  <si>
    <t>Prepaid expenses and deposits</t>
  </si>
  <si>
    <t>Accrued liabilities</t>
  </si>
  <si>
    <t>Deferred grant income</t>
  </si>
  <si>
    <t>Issuance of common shares</t>
  </si>
  <si>
    <t>Share issue costs</t>
  </si>
  <si>
    <t>Proceeds from exercise of stock options</t>
  </si>
  <si>
    <t>(+) Depreciation &amp; Amortization (D&amp;A)</t>
  </si>
  <si>
    <t>(+/-) Issuance of common shares</t>
  </si>
  <si>
    <t>(+/-) Share issue costs</t>
  </si>
  <si>
    <t>(+/-) Proceeds from exercise of stock options</t>
  </si>
  <si>
    <t>Aggregate Debt Issaunces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</si>
</sst>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  <numFmt numFmtId="171" formatCode="#,##0\ &quot;Months&quot;"/>
  </numFmts>
  <fonts count="29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5" fillId="0" borderId="0" applyNumberFormat="0" applyFont="0" applyFill="0" applyBorder="0" applyAlignment="0" applyProtection="0"/>
  </cellStyleXfs>
  <cellXfs count="168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41" fontId="8" fillId="5" borderId="2" xfId="0" applyNumberFormat="1" applyFont="1" applyFill="1" applyBorder="1" applyAlignment="1">
      <alignment horizontal="right" vertical="top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5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4" fillId="0" borderId="0" xfId="0" applyNumberFormat="1" applyFont="1"/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7" fillId="3" borderId="0" xfId="1" applyNumberFormat="1" applyFont="1" applyFill="1" applyBorder="1" applyAlignment="1">
      <alignment horizontal="right" vertical="center" wrapText="1"/>
    </xf>
    <xf numFmtId="167" fontId="27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7" fontId="24" fillId="0" borderId="0" xfId="0" applyNumberFormat="1" applyFont="1" applyAlignment="1">
      <alignment horizontal="right"/>
    </xf>
    <xf numFmtId="41" fontId="6" fillId="0" borderId="10" xfId="0" applyNumberFormat="1" applyFont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6" fillId="0" borderId="8" xfId="0" applyFont="1" applyBorder="1" applyAlignment="1">
      <alignment horizontal="right" vertical="top" wrapText="1"/>
    </xf>
    <xf numFmtId="0" fontId="26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4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wrapText="1"/>
    </xf>
    <xf numFmtId="0" fontId="8" fillId="0" borderId="1" xfId="0" applyFont="1" applyFill="1" applyBorder="1" applyAlignment="1">
      <alignment vertical="top" wrapText="1"/>
    </xf>
    <xf numFmtId="7" fontId="8" fillId="0" borderId="1" xfId="0" applyNumberFormat="1" applyFont="1" applyFill="1" applyBorder="1" applyAlignment="1">
      <alignment horizontal="right" vertical="top" wrapText="1"/>
    </xf>
    <xf numFmtId="9" fontId="13" fillId="0" borderId="1" xfId="1" applyFont="1" applyFill="1" applyBorder="1" applyAlignment="1">
      <alignment horizontal="right" vertical="center" wrapText="1"/>
    </xf>
    <xf numFmtId="7" fontId="24" fillId="0" borderId="1" xfId="0" applyNumberFormat="1" applyFont="1" applyFill="1" applyBorder="1" applyAlignment="1">
      <alignment horizontal="right"/>
    </xf>
    <xf numFmtId="9" fontId="6" fillId="0" borderId="1" xfId="1" applyFont="1" applyFill="1" applyBorder="1" applyAlignment="1">
      <alignment horizontal="right" vertical="center" wrapText="1"/>
    </xf>
    <xf numFmtId="166" fontId="9" fillId="0" borderId="1" xfId="1" applyNumberFormat="1" applyFont="1" applyFill="1" applyBorder="1" applyAlignment="1">
      <alignment horizontal="right" vertical="center" wrapText="1"/>
    </xf>
    <xf numFmtId="0" fontId="4" fillId="0" borderId="0" xfId="0" applyFont="1" applyBorder="1" applyAlignment="1">
      <alignment wrapText="1"/>
    </xf>
    <xf numFmtId="0" fontId="6" fillId="0" borderId="0" xfId="0" applyFont="1" applyFill="1" applyAlignment="1">
      <alignment vertical="top" wrapText="1"/>
    </xf>
    <xf numFmtId="171" fontId="8" fillId="0" borderId="2" xfId="0" applyNumberFormat="1" applyFont="1" applyBorder="1" applyAlignment="1">
      <alignment horizontal="right" vertical="top" wrapText="1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5" fontId="8" fillId="0" borderId="2" xfId="0" applyNumberFormat="1" applyFont="1" applyFill="1" applyBorder="1" applyAlignment="1">
      <alignment horizontal="right" vertical="top" wrapText="1"/>
    </xf>
    <xf numFmtId="0" fontId="0" fillId="0" borderId="0" xfId="0" applyFill="1"/>
    <xf numFmtId="0" fontId="8" fillId="0" borderId="5" xfId="0" applyFont="1" applyFill="1" applyBorder="1" applyAlignment="1">
      <alignment horizontal="left" vertical="top" indent="1"/>
    </xf>
    <xf numFmtId="0" fontId="8" fillId="0" borderId="0" xfId="0" applyFont="1" applyAlignment="1">
      <alignment horizontal="left" vertical="top" wrapText="1" indent="1"/>
    </xf>
    <xf numFmtId="41" fontId="6" fillId="0" borderId="0" xfId="0" applyNumberFormat="1" applyFont="1" applyAlignment="1">
      <alignment vertical="center"/>
    </xf>
    <xf numFmtId="0" fontId="8" fillId="0" borderId="6" xfId="0" applyFont="1" applyBorder="1" applyAlignment="1">
      <alignment vertical="top"/>
    </xf>
    <xf numFmtId="41" fontId="6" fillId="0" borderId="0" xfId="0" applyNumberFormat="1" applyFont="1" applyBorder="1" applyAlignment="1">
      <alignment horizontal="right" vertical="top" wrapText="1"/>
    </xf>
    <xf numFmtId="5" fontId="8" fillId="5" borderId="10" xfId="0" applyNumberFormat="1" applyFont="1" applyFill="1" applyBorder="1" applyAlignment="1">
      <alignment horizontal="right" vertical="top" wrapText="1"/>
    </xf>
    <xf numFmtId="41" fontId="11" fillId="0" borderId="0" xfId="0" applyNumberFormat="1" applyFont="1" applyBorder="1" applyAlignment="1">
      <alignment horizontal="right" vertical="top" wrapText="1"/>
    </xf>
    <xf numFmtId="5" fontId="8" fillId="5" borderId="0" xfId="0" applyNumberFormat="1" applyFont="1" applyFill="1" applyBorder="1" applyAlignment="1">
      <alignment horizontal="right" vertical="top" wrapText="1"/>
    </xf>
    <xf numFmtId="41" fontId="8" fillId="0" borderId="0" xfId="0" applyNumberFormat="1" applyFont="1" applyBorder="1" applyAlignment="1">
      <alignment horizontal="right" vertical="top" wrapText="1"/>
    </xf>
    <xf numFmtId="37" fontId="4" fillId="0" borderId="0" xfId="0" applyNumberFormat="1" applyFont="1" applyBorder="1" applyAlignment="1">
      <alignment wrapText="1"/>
    </xf>
    <xf numFmtId="41" fontId="11" fillId="0" borderId="0" xfId="0" applyNumberFormat="1" applyFont="1" applyAlignment="1">
      <alignment vertical="center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L122"/>
  <sheetViews>
    <sheetView showGridLines="0" tabSelected="1" zoomScale="115" zoomScaleNormal="115" workbookViewId="0">
      <selection activeCell="B2" sqref="B2"/>
    </sheetView>
  </sheetViews>
  <sheetFormatPr defaultRowHeight="12" outlineLevelCol="1"/>
  <cols>
    <col min="1" max="1" width="1.625" style="5" bestFit="1" customWidth="1"/>
    <col min="2" max="2" width="36.25" style="5" customWidth="1"/>
    <col min="3" max="3" width="9" style="5" customWidth="1" outlineLevel="1"/>
    <col min="4" max="6" width="9" style="5" bestFit="1" customWidth="1"/>
    <col min="7" max="7" width="1.5" style="5" customWidth="1"/>
    <col min="8" max="14" width="8.875" style="5" customWidth="1" outlineLevel="1"/>
    <col min="15" max="17" width="8.875" style="5" customWidth="1"/>
    <col min="18" max="19" width="8.875" style="5" bestFit="1" customWidth="1"/>
    <col min="20" max="20" width="1.5" style="5" customWidth="1"/>
    <col min="21" max="24" width="8.75" style="5" hidden="1" customWidth="1" outlineLevel="1"/>
    <col min="25" max="25" width="9" style="5" bestFit="1" customWidth="1" collapsed="1"/>
    <col min="26" max="28" width="9" style="5" hidden="1" customWidth="1" outlineLevel="1"/>
    <col min="29" max="29" width="9" style="5" bestFit="1" customWidth="1" collapsed="1"/>
    <col min="30" max="30" width="1.25" style="5" customWidth="1"/>
    <col min="31" max="31" width="8" style="5" bestFit="1" customWidth="1"/>
    <col min="32" max="32" width="1.375" style="5" customWidth="1"/>
    <col min="33" max="16384" width="9" style="5"/>
  </cols>
  <sheetData>
    <row r="2" spans="1:31" ht="12.75" customHeight="1">
      <c r="B2" s="1" t="s">
        <v>124</v>
      </c>
      <c r="C2" s="95"/>
      <c r="D2" s="95"/>
      <c r="E2" s="95"/>
      <c r="F2" s="95"/>
      <c r="G2" s="3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3"/>
      <c r="U2" s="95"/>
      <c r="V2" s="95"/>
      <c r="W2" s="95"/>
      <c r="X2" s="95"/>
      <c r="Y2" s="95"/>
      <c r="Z2" s="95"/>
      <c r="AA2" s="95"/>
      <c r="AB2" s="95"/>
      <c r="AC2" s="95"/>
      <c r="AD2" s="3"/>
      <c r="AE2" s="1"/>
    </row>
    <row r="3" spans="1:31" ht="12.75" customHeight="1">
      <c r="B3" s="6" t="s">
        <v>70</v>
      </c>
      <c r="C3" s="7"/>
      <c r="D3" s="7"/>
      <c r="E3" s="7"/>
      <c r="F3" s="7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3"/>
      <c r="U3" s="4"/>
      <c r="V3" s="4"/>
      <c r="W3" s="4"/>
      <c r="X3" s="4"/>
      <c r="Y3" s="4"/>
      <c r="Z3" s="4"/>
      <c r="AA3" s="4"/>
      <c r="AB3" s="4"/>
      <c r="AC3" s="4"/>
      <c r="AD3" s="3"/>
      <c r="AE3" s="1"/>
    </row>
    <row r="4" spans="1:31" ht="12.75" customHeight="1">
      <c r="B4" s="6" t="s">
        <v>91</v>
      </c>
      <c r="C4" s="3"/>
      <c r="D4" s="3"/>
      <c r="E4" s="79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1"/>
    </row>
    <row r="6" spans="1:31" ht="12.75" customHeight="1">
      <c r="A6" s="5" t="s">
        <v>18</v>
      </c>
      <c r="B6" s="1" t="s">
        <v>68</v>
      </c>
      <c r="C6" s="2" t="s">
        <v>0</v>
      </c>
      <c r="D6" s="2" t="s">
        <v>0</v>
      </c>
      <c r="E6" s="2"/>
      <c r="F6" s="2"/>
      <c r="G6" s="3"/>
      <c r="H6" s="2" t="s">
        <v>1</v>
      </c>
      <c r="I6" s="2"/>
      <c r="J6" s="2"/>
      <c r="K6" s="2"/>
      <c r="L6" s="2" t="s">
        <v>1</v>
      </c>
      <c r="M6" s="2"/>
      <c r="N6" s="2"/>
      <c r="O6" s="2" t="s">
        <v>1</v>
      </c>
      <c r="P6" s="2"/>
      <c r="Q6" s="2"/>
      <c r="R6" s="2"/>
      <c r="S6" s="2"/>
      <c r="T6" s="3"/>
      <c r="U6" s="2"/>
      <c r="V6" s="2"/>
      <c r="W6" s="2"/>
      <c r="X6" s="2" t="s">
        <v>10</v>
      </c>
      <c r="Y6" s="2" t="s">
        <v>10</v>
      </c>
      <c r="Z6" s="2"/>
      <c r="AA6" s="2"/>
      <c r="AB6" s="2"/>
      <c r="AC6" s="2"/>
      <c r="AD6" s="38"/>
      <c r="AE6" s="139" t="s">
        <v>23</v>
      </c>
    </row>
    <row r="7" spans="1:31" ht="12.75" customHeight="1">
      <c r="B7" s="6" t="s">
        <v>71</v>
      </c>
      <c r="C7" s="7">
        <v>2021</v>
      </c>
      <c r="D7" s="7">
        <v>2022</v>
      </c>
      <c r="E7" s="7">
        <v>2023</v>
      </c>
      <c r="F7" s="7">
        <v>2024</v>
      </c>
      <c r="G7" s="3"/>
      <c r="H7" s="4" t="s">
        <v>99</v>
      </c>
      <c r="I7" s="4" t="s">
        <v>98</v>
      </c>
      <c r="J7" s="4" t="s">
        <v>97</v>
      </c>
      <c r="K7" s="4" t="s">
        <v>96</v>
      </c>
      <c r="L7" s="4" t="s">
        <v>6</v>
      </c>
      <c r="M7" s="4" t="s">
        <v>7</v>
      </c>
      <c r="N7" s="4" t="s">
        <v>8</v>
      </c>
      <c r="O7" s="4" t="s">
        <v>9</v>
      </c>
      <c r="P7" s="4" t="s">
        <v>2</v>
      </c>
      <c r="Q7" s="4" t="s">
        <v>3</v>
      </c>
      <c r="R7" s="4" t="s">
        <v>4</v>
      </c>
      <c r="S7" s="4" t="s">
        <v>5</v>
      </c>
      <c r="T7" s="4"/>
      <c r="U7" s="4" t="str">
        <f>K7</f>
        <v>4Q22</v>
      </c>
      <c r="V7" s="4" t="str">
        <f>L7</f>
        <v>1Q23</v>
      </c>
      <c r="W7" s="4" t="str">
        <f>M7</f>
        <v>2Q23</v>
      </c>
      <c r="X7" s="4" t="str">
        <f>N7</f>
        <v>3Q23</v>
      </c>
      <c r="Y7" s="4" t="str">
        <f>O7</f>
        <v>4Q23</v>
      </c>
      <c r="Z7" s="4" t="str">
        <f>P7</f>
        <v>1Q24</v>
      </c>
      <c r="AA7" s="4" t="str">
        <f>Q7</f>
        <v>2Q24</v>
      </c>
      <c r="AB7" s="4" t="str">
        <f>R7</f>
        <v>3Q24</v>
      </c>
      <c r="AC7" s="4" t="str">
        <f>S7</f>
        <v>4Q24</v>
      </c>
      <c r="AD7" s="38"/>
      <c r="AE7" s="139"/>
    </row>
    <row r="8" spans="1:31" ht="12.75" customHeight="1">
      <c r="B8" s="6" t="s">
        <v>72</v>
      </c>
      <c r="C8" s="3">
        <v>44561</v>
      </c>
      <c r="D8" s="3">
        <v>44926</v>
      </c>
      <c r="E8" s="79">
        <v>45291</v>
      </c>
      <c r="F8" s="3">
        <v>45657</v>
      </c>
      <c r="G8" s="3"/>
      <c r="H8" s="3">
        <v>44651</v>
      </c>
      <c r="I8" s="3">
        <v>44742</v>
      </c>
      <c r="J8" s="3">
        <v>44834</v>
      </c>
      <c r="K8" s="3">
        <f>D8</f>
        <v>44926</v>
      </c>
      <c r="L8" s="3">
        <v>45016</v>
      </c>
      <c r="M8" s="3">
        <v>45107</v>
      </c>
      <c r="N8" s="3">
        <v>45199</v>
      </c>
      <c r="O8" s="3">
        <f>E8</f>
        <v>45291</v>
      </c>
      <c r="P8" s="3">
        <v>45382</v>
      </c>
      <c r="Q8" s="3">
        <v>45473</v>
      </c>
      <c r="R8" s="3">
        <v>45565</v>
      </c>
      <c r="S8" s="3">
        <f>F8</f>
        <v>45657</v>
      </c>
      <c r="T8" s="3"/>
      <c r="U8" s="3">
        <f>K8</f>
        <v>44926</v>
      </c>
      <c r="V8" s="3">
        <f>L8</f>
        <v>45016</v>
      </c>
      <c r="W8" s="3">
        <f>M8</f>
        <v>45107</v>
      </c>
      <c r="X8" s="3">
        <f>N8</f>
        <v>45199</v>
      </c>
      <c r="Y8" s="3">
        <f>O8</f>
        <v>45291</v>
      </c>
      <c r="Z8" s="3">
        <f>P8</f>
        <v>45382</v>
      </c>
      <c r="AA8" s="3">
        <f>Q8</f>
        <v>45473</v>
      </c>
      <c r="AB8" s="3">
        <f>R8</f>
        <v>45565</v>
      </c>
      <c r="AC8" s="3">
        <f>S8</f>
        <v>45657</v>
      </c>
      <c r="AD8" s="38"/>
      <c r="AE8" s="139"/>
    </row>
    <row r="9" spans="1:31" ht="5.0999999999999996" customHeight="1">
      <c r="AE9" s="94"/>
    </row>
    <row r="10" spans="1:31" ht="12.75" customHeight="1">
      <c r="B10" s="9" t="s">
        <v>55</v>
      </c>
      <c r="C10" s="115">
        <v>0</v>
      </c>
      <c r="D10" s="115">
        <v>0</v>
      </c>
      <c r="E10" s="115">
        <v>0</v>
      </c>
      <c r="F10" s="115">
        <v>0</v>
      </c>
      <c r="G10" s="11"/>
      <c r="H10" s="76">
        <v>0</v>
      </c>
      <c r="I10" s="76">
        <v>0</v>
      </c>
      <c r="J10" s="76">
        <v>0</v>
      </c>
      <c r="K10" s="32">
        <f>SUM(D10-SUM(H10:J10))</f>
        <v>0</v>
      </c>
      <c r="L10" s="76">
        <v>0</v>
      </c>
      <c r="M10" s="76">
        <v>0</v>
      </c>
      <c r="N10" s="76">
        <v>0</v>
      </c>
      <c r="O10" s="32">
        <f>SUM(E10-SUM(L10:N10))</f>
        <v>0</v>
      </c>
      <c r="P10" s="76">
        <v>0</v>
      </c>
      <c r="Q10" s="76">
        <v>0</v>
      </c>
      <c r="R10" s="76">
        <v>0</v>
      </c>
      <c r="S10" s="32">
        <f>SUM(F10-SUM(P10:R10))</f>
        <v>0</v>
      </c>
      <c r="U10" s="32">
        <f>SUM(K10:K10)</f>
        <v>0</v>
      </c>
      <c r="V10" s="32">
        <f>SUM(L10:L10)</f>
        <v>0</v>
      </c>
      <c r="W10" s="32">
        <f>SUM(M10:M10)</f>
        <v>0</v>
      </c>
      <c r="X10" s="32">
        <f>SUM(N10:N10)</f>
        <v>0</v>
      </c>
      <c r="Y10" s="32">
        <f>SUM(O10:O10)</f>
        <v>0</v>
      </c>
      <c r="Z10" s="32">
        <f>SUM(P10:P10)</f>
        <v>0</v>
      </c>
      <c r="AA10" s="32">
        <f>SUM(Q10:Q10)</f>
        <v>0</v>
      </c>
      <c r="AB10" s="32">
        <f>SUM(R10:R10)</f>
        <v>0</v>
      </c>
      <c r="AC10" s="32">
        <f>SUM(S10:S10)</f>
        <v>0</v>
      </c>
      <c r="AD10" s="40"/>
      <c r="AE10" s="12" t="e">
        <f>SUM(AC10/Y10)-1</f>
        <v>#DIV/0!</v>
      </c>
    </row>
    <row r="11" spans="1:31" ht="12.75" customHeight="1">
      <c r="B11" s="13" t="s">
        <v>12</v>
      </c>
      <c r="C11" s="14">
        <f t="shared" ref="C11" si="0">+SUM(C10:C10)</f>
        <v>0</v>
      </c>
      <c r="D11" s="14">
        <f t="shared" ref="D11:F11" si="1">+SUM(D10:D10)</f>
        <v>0</v>
      </c>
      <c r="E11" s="14">
        <f t="shared" si="1"/>
        <v>0</v>
      </c>
      <c r="F11" s="14">
        <f t="shared" si="1"/>
        <v>0</v>
      </c>
      <c r="G11" s="11"/>
      <c r="H11" s="14">
        <f t="shared" ref="H11:K11" si="2">+SUM(H10:H10)</f>
        <v>0</v>
      </c>
      <c r="I11" s="14">
        <f t="shared" si="2"/>
        <v>0</v>
      </c>
      <c r="J11" s="14">
        <f t="shared" si="2"/>
        <v>0</v>
      </c>
      <c r="K11" s="14">
        <f t="shared" si="2"/>
        <v>0</v>
      </c>
      <c r="L11" s="14">
        <f t="shared" ref="L11:S11" si="3">+SUM(L10:L10)</f>
        <v>0</v>
      </c>
      <c r="M11" s="14">
        <f t="shared" si="3"/>
        <v>0</v>
      </c>
      <c r="N11" s="14">
        <f t="shared" si="3"/>
        <v>0</v>
      </c>
      <c r="O11" s="14">
        <f t="shared" si="3"/>
        <v>0</v>
      </c>
      <c r="P11" s="14">
        <f t="shared" si="3"/>
        <v>0</v>
      </c>
      <c r="Q11" s="14">
        <f t="shared" si="3"/>
        <v>0</v>
      </c>
      <c r="R11" s="14">
        <f t="shared" si="3"/>
        <v>0</v>
      </c>
      <c r="S11" s="14">
        <f t="shared" si="3"/>
        <v>0</v>
      </c>
      <c r="U11" s="14">
        <f t="shared" ref="U11:AB11" si="4">+SUM(U10:U10)</f>
        <v>0</v>
      </c>
      <c r="V11" s="14">
        <f t="shared" si="4"/>
        <v>0</v>
      </c>
      <c r="W11" s="14">
        <f t="shared" si="4"/>
        <v>0</v>
      </c>
      <c r="X11" s="14">
        <f t="shared" si="4"/>
        <v>0</v>
      </c>
      <c r="Y11" s="14">
        <f t="shared" si="4"/>
        <v>0</v>
      </c>
      <c r="Z11" s="14">
        <f t="shared" si="4"/>
        <v>0</v>
      </c>
      <c r="AA11" s="14">
        <f t="shared" si="4"/>
        <v>0</v>
      </c>
      <c r="AB11" s="14">
        <f t="shared" si="4"/>
        <v>0</v>
      </c>
      <c r="AC11" s="14">
        <f>+SUM(AC10:AC10)</f>
        <v>0</v>
      </c>
      <c r="AD11" s="40"/>
      <c r="AE11" s="15" t="e">
        <f>SUM(AC11/Y11)-1</f>
        <v>#DIV/0!</v>
      </c>
    </row>
    <row r="12" spans="1:31" s="20" customFormat="1" ht="5.0999999999999996" customHeight="1">
      <c r="B12" s="18"/>
      <c r="C12" s="19"/>
      <c r="D12" s="19"/>
      <c r="E12" s="19"/>
      <c r="F12" s="19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AE12" s="72"/>
    </row>
    <row r="13" spans="1:31" ht="12.75" customHeight="1">
      <c r="B13" s="9" t="s">
        <v>122</v>
      </c>
      <c r="C13" s="76">
        <v>0</v>
      </c>
      <c r="D13" s="76">
        <v>0</v>
      </c>
      <c r="E13" s="76">
        <v>0</v>
      </c>
      <c r="F13" s="76">
        <v>0</v>
      </c>
      <c r="G13" s="24"/>
      <c r="H13" s="76">
        <v>0</v>
      </c>
      <c r="I13" s="76">
        <v>0</v>
      </c>
      <c r="J13" s="76">
        <v>0</v>
      </c>
      <c r="K13" s="32">
        <f>SUM(D13-SUM(H13:J13))</f>
        <v>0</v>
      </c>
      <c r="L13" s="76">
        <v>0</v>
      </c>
      <c r="M13" s="76">
        <v>0</v>
      </c>
      <c r="N13" s="76">
        <v>0</v>
      </c>
      <c r="O13" s="32">
        <f>SUM(E13-SUM(L13:N13))</f>
        <v>0</v>
      </c>
      <c r="P13" s="76">
        <v>0</v>
      </c>
      <c r="Q13" s="76">
        <v>0</v>
      </c>
      <c r="R13" s="76">
        <v>0</v>
      </c>
      <c r="S13" s="32">
        <f>SUM(F13-SUM(P13:R13))</f>
        <v>0</v>
      </c>
      <c r="U13" s="32">
        <f>SUM(H13:K13)</f>
        <v>0</v>
      </c>
      <c r="V13" s="32">
        <f>SUM(I13:L13)</f>
        <v>0</v>
      </c>
      <c r="W13" s="32">
        <f>SUM(J13:M13)</f>
        <v>0</v>
      </c>
      <c r="X13" s="32">
        <f>SUM(K13:N13)</f>
        <v>0</v>
      </c>
      <c r="Y13" s="32">
        <f>SUM(L13:O13)</f>
        <v>0</v>
      </c>
      <c r="Z13" s="32">
        <f>SUM(M13:P13)</f>
        <v>0</v>
      </c>
      <c r="AA13" s="32">
        <f>SUM(N13:Q13)</f>
        <v>0</v>
      </c>
      <c r="AB13" s="32">
        <f>SUM(O13:R13)</f>
        <v>0</v>
      </c>
      <c r="AC13" s="32">
        <f>SUM(P13:S13)</f>
        <v>0</v>
      </c>
      <c r="AD13" s="11"/>
      <c r="AE13" s="12" t="e">
        <f t="shared" ref="AE13" si="5">SUM(AC13/Y13)-1</f>
        <v>#DIV/0!</v>
      </c>
    </row>
    <row r="14" spans="1:31" ht="12.75" customHeight="1">
      <c r="B14" s="25" t="s">
        <v>21</v>
      </c>
      <c r="C14" s="26">
        <f>+SUM(C11+SUM(C13:C13))</f>
        <v>0</v>
      </c>
      <c r="D14" s="26">
        <f>+SUM(D11+SUM(D13:D13))</f>
        <v>0</v>
      </c>
      <c r="E14" s="26">
        <f>+SUM(E11+SUM(E13:E13))</f>
        <v>0</v>
      </c>
      <c r="F14" s="26">
        <f>+SUM(F11+SUM(F13:F13))</f>
        <v>0</v>
      </c>
      <c r="H14" s="26">
        <f t="shared" ref="H14" si="6">+SUM(H11+SUM(H13:H13))</f>
        <v>0</v>
      </c>
      <c r="I14" s="26">
        <f t="shared" ref="I14" si="7">+SUM(I11+SUM(I13:I13))</f>
        <v>0</v>
      </c>
      <c r="J14" s="26">
        <f t="shared" ref="J14" si="8">+SUM(J11+SUM(J13:J13))</f>
        <v>0</v>
      </c>
      <c r="K14" s="26">
        <f t="shared" ref="K14" si="9">+SUM(K11+SUM(K13:K13))</f>
        <v>0</v>
      </c>
      <c r="L14" s="26">
        <f t="shared" ref="L14:S14" si="10">+SUM(L11+SUM(L13:L13))</f>
        <v>0</v>
      </c>
      <c r="M14" s="26">
        <f t="shared" si="10"/>
        <v>0</v>
      </c>
      <c r="N14" s="26">
        <f t="shared" si="10"/>
        <v>0</v>
      </c>
      <c r="O14" s="26">
        <f t="shared" si="10"/>
        <v>0</v>
      </c>
      <c r="P14" s="26">
        <f t="shared" si="10"/>
        <v>0</v>
      </c>
      <c r="Q14" s="26">
        <f t="shared" si="10"/>
        <v>0</v>
      </c>
      <c r="R14" s="26">
        <f t="shared" si="10"/>
        <v>0</v>
      </c>
      <c r="S14" s="26">
        <f t="shared" si="10"/>
        <v>0</v>
      </c>
      <c r="U14" s="26">
        <f t="shared" ref="U14:AC14" si="11">+SUM(U11+SUM(U13:U13))</f>
        <v>0</v>
      </c>
      <c r="V14" s="26">
        <f t="shared" si="11"/>
        <v>0</v>
      </c>
      <c r="W14" s="26">
        <f t="shared" si="11"/>
        <v>0</v>
      </c>
      <c r="X14" s="26">
        <f t="shared" si="11"/>
        <v>0</v>
      </c>
      <c r="Y14" s="26">
        <f t="shared" si="11"/>
        <v>0</v>
      </c>
      <c r="Z14" s="26">
        <f t="shared" si="11"/>
        <v>0</v>
      </c>
      <c r="AA14" s="26">
        <f t="shared" si="11"/>
        <v>0</v>
      </c>
      <c r="AB14" s="26">
        <f t="shared" si="11"/>
        <v>0</v>
      </c>
      <c r="AC14" s="26">
        <f t="shared" si="11"/>
        <v>0</v>
      </c>
      <c r="AD14" s="42"/>
      <c r="AE14" s="73" t="e">
        <f>SUM(AC14/Y14)-1</f>
        <v>#DIV/0!</v>
      </c>
    </row>
    <row r="15" spans="1:31" ht="12.75" customHeight="1">
      <c r="B15" s="16" t="s">
        <v>28</v>
      </c>
      <c r="C15" s="17" t="e">
        <f>C14/C11</f>
        <v>#DIV/0!</v>
      </c>
      <c r="D15" s="17" t="e">
        <f>D14/D11</f>
        <v>#DIV/0!</v>
      </c>
      <c r="E15" s="17" t="e">
        <f>E14/E11</f>
        <v>#DIV/0!</v>
      </c>
      <c r="F15" s="17" t="e">
        <f>F14/F11</f>
        <v>#DIV/0!</v>
      </c>
      <c r="G15" s="27"/>
      <c r="H15" s="17" t="e">
        <f t="shared" ref="H15" si="12">H14/H11</f>
        <v>#DIV/0!</v>
      </c>
      <c r="I15" s="17" t="e">
        <f t="shared" ref="I15" si="13">I14/I11</f>
        <v>#DIV/0!</v>
      </c>
      <c r="J15" s="17" t="e">
        <f t="shared" ref="J15" si="14">J14/J11</f>
        <v>#DIV/0!</v>
      </c>
      <c r="K15" s="17" t="e">
        <f t="shared" ref="K15" si="15">K14/K11</f>
        <v>#DIV/0!</v>
      </c>
      <c r="L15" s="17" t="e">
        <f t="shared" ref="L15:S15" si="16">L14/L11</f>
        <v>#DIV/0!</v>
      </c>
      <c r="M15" s="17" t="e">
        <f t="shared" si="16"/>
        <v>#DIV/0!</v>
      </c>
      <c r="N15" s="17" t="e">
        <f t="shared" si="16"/>
        <v>#DIV/0!</v>
      </c>
      <c r="O15" s="17" t="e">
        <f t="shared" si="16"/>
        <v>#DIV/0!</v>
      </c>
      <c r="P15" s="17" t="e">
        <f t="shared" si="16"/>
        <v>#DIV/0!</v>
      </c>
      <c r="Q15" s="17" t="e">
        <f t="shared" si="16"/>
        <v>#DIV/0!</v>
      </c>
      <c r="R15" s="17" t="e">
        <f t="shared" si="16"/>
        <v>#DIV/0!</v>
      </c>
      <c r="S15" s="17" t="e">
        <f t="shared" si="16"/>
        <v>#DIV/0!</v>
      </c>
      <c r="T15" s="28"/>
      <c r="U15" s="17" t="e">
        <f t="shared" ref="U15:AC15" si="17">U14/U11</f>
        <v>#DIV/0!</v>
      </c>
      <c r="V15" s="17" t="e">
        <f t="shared" si="17"/>
        <v>#DIV/0!</v>
      </c>
      <c r="W15" s="17" t="e">
        <f t="shared" si="17"/>
        <v>#DIV/0!</v>
      </c>
      <c r="X15" s="17" t="e">
        <f t="shared" si="17"/>
        <v>#DIV/0!</v>
      </c>
      <c r="Y15" s="17" t="e">
        <f t="shared" si="17"/>
        <v>#DIV/0!</v>
      </c>
      <c r="Z15" s="17" t="e">
        <f t="shared" si="17"/>
        <v>#DIV/0!</v>
      </c>
      <c r="AA15" s="17" t="e">
        <f t="shared" si="17"/>
        <v>#DIV/0!</v>
      </c>
      <c r="AB15" s="17" t="e">
        <f t="shared" si="17"/>
        <v>#DIV/0!</v>
      </c>
      <c r="AC15" s="17" t="e">
        <f t="shared" si="17"/>
        <v>#DIV/0!</v>
      </c>
      <c r="AD15" s="42"/>
      <c r="AE15" s="74" t="e">
        <f>SUM(AC15-Y15)*1000</f>
        <v>#DIV/0!</v>
      </c>
    </row>
    <row r="16" spans="1:31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U16" s="30"/>
      <c r="V16" s="30"/>
      <c r="W16" s="30"/>
      <c r="X16" s="30"/>
      <c r="Y16" s="30"/>
      <c r="Z16" s="30"/>
      <c r="AA16" s="30"/>
      <c r="AB16" s="30"/>
      <c r="AC16" s="30"/>
      <c r="AD16" s="42"/>
      <c r="AE16" s="72"/>
    </row>
    <row r="17" spans="2:31" ht="12.75" customHeight="1">
      <c r="B17" s="9" t="s">
        <v>78</v>
      </c>
      <c r="C17" s="76">
        <v>-9018</v>
      </c>
      <c r="D17" s="76">
        <v>-13070</v>
      </c>
      <c r="E17" s="76">
        <v>-12039</v>
      </c>
      <c r="F17" s="76">
        <v>-11039</v>
      </c>
      <c r="G17" s="32"/>
      <c r="H17" s="76">
        <v>-3066.951</v>
      </c>
      <c r="I17" s="76">
        <v>-2915.1579999999999</v>
      </c>
      <c r="J17" s="76">
        <v>-3185.451</v>
      </c>
      <c r="K17" s="32">
        <f t="shared" ref="K17:K18" si="18">SUM(D17-SUM(H17:J17))</f>
        <v>-3902.4399999999987</v>
      </c>
      <c r="L17" s="76">
        <v>-3317.0360000000001</v>
      </c>
      <c r="M17" s="76">
        <v>-2882.5680000000002</v>
      </c>
      <c r="N17" s="76">
        <v>-3247.8429999999998</v>
      </c>
      <c r="O17" s="32">
        <f>SUM(E17-SUM(L17:N17))</f>
        <v>-2591.5529999999999</v>
      </c>
      <c r="P17" s="76">
        <v>-2609</v>
      </c>
      <c r="Q17" s="76">
        <v>-2790</v>
      </c>
      <c r="R17" s="76">
        <v>-2859</v>
      </c>
      <c r="S17" s="32">
        <f t="shared" ref="S17:S18" si="19">SUM(F17-SUM(P17:R17))</f>
        <v>-2781</v>
      </c>
      <c r="U17" s="32">
        <f>SUM(H17:K17)</f>
        <v>-13070</v>
      </c>
      <c r="V17" s="32">
        <f>SUM(I17:L17)</f>
        <v>-13320.084999999999</v>
      </c>
      <c r="W17" s="32">
        <f>SUM(J17:M17)</f>
        <v>-13287.494999999999</v>
      </c>
      <c r="X17" s="32">
        <f>SUM(K17:N17)</f>
        <v>-13349.886999999999</v>
      </c>
      <c r="Y17" s="32">
        <f>SUM(L17:O17)</f>
        <v>-12039</v>
      </c>
      <c r="Z17" s="32">
        <f>SUM(M17:P17)</f>
        <v>-11330.964</v>
      </c>
      <c r="AA17" s="32">
        <f>SUM(N17:Q17)</f>
        <v>-11238.396000000001</v>
      </c>
      <c r="AB17" s="32">
        <f>SUM(O17:R17)</f>
        <v>-10849.553</v>
      </c>
      <c r="AC17" s="32">
        <f>SUM(P17:S17)</f>
        <v>-11039</v>
      </c>
      <c r="AD17" s="11"/>
      <c r="AE17" s="72">
        <f>SUM(AC17/Y17)-1</f>
        <v>-8.3063377356923374E-2</v>
      </c>
    </row>
    <row r="18" spans="2:31" ht="12.75" customHeight="1">
      <c r="B18" s="9" t="s">
        <v>100</v>
      </c>
      <c r="C18" s="76">
        <v>-32984</v>
      </c>
      <c r="D18" s="76">
        <v>-37916</v>
      </c>
      <c r="E18" s="76">
        <v>-43717</v>
      </c>
      <c r="F18" s="76">
        <v>-41838</v>
      </c>
      <c r="G18" s="32"/>
      <c r="H18" s="76">
        <v>-8656.4390000000003</v>
      </c>
      <c r="I18" s="76">
        <v>-8604.5889999999999</v>
      </c>
      <c r="J18" s="76">
        <v>-9273.2690000000002</v>
      </c>
      <c r="K18" s="32">
        <f t="shared" si="18"/>
        <v>-11381.703000000001</v>
      </c>
      <c r="L18" s="76">
        <v>-12066.919</v>
      </c>
      <c r="M18" s="76">
        <v>-11306.591</v>
      </c>
      <c r="N18" s="76">
        <v>-10282.853999999999</v>
      </c>
      <c r="O18" s="32">
        <f>SUM(E18-SUM(L18:N18))</f>
        <v>-10060.635999999999</v>
      </c>
      <c r="P18" s="76">
        <v>-8684</v>
      </c>
      <c r="Q18" s="76">
        <v>-9729</v>
      </c>
      <c r="R18" s="76">
        <v>-11870</v>
      </c>
      <c r="S18" s="32">
        <f t="shared" si="19"/>
        <v>-11555</v>
      </c>
      <c r="U18" s="32">
        <f>SUM(H18:K18)</f>
        <v>-37916</v>
      </c>
      <c r="V18" s="32">
        <f>SUM(I18:L18)</f>
        <v>-41326.480000000003</v>
      </c>
      <c r="W18" s="32">
        <f>SUM(J18:M18)</f>
        <v>-44028.482000000004</v>
      </c>
      <c r="X18" s="32">
        <f>SUM(K18:N18)</f>
        <v>-45038.067000000003</v>
      </c>
      <c r="Y18" s="32">
        <f>SUM(L18:O18)</f>
        <v>-43717</v>
      </c>
      <c r="Z18" s="32">
        <f>SUM(M18:P18)</f>
        <v>-40334.080999999998</v>
      </c>
      <c r="AA18" s="32">
        <f>SUM(N18:Q18)</f>
        <v>-38756.49</v>
      </c>
      <c r="AB18" s="32">
        <f>SUM(O18:R18)</f>
        <v>-40343.635999999999</v>
      </c>
      <c r="AC18" s="32">
        <f>SUM(P18:S18)</f>
        <v>-41838</v>
      </c>
      <c r="AD18" s="11"/>
      <c r="AE18" s="72">
        <f>SUM(AC18/Y18)-1</f>
        <v>-4.2980991376352473E-2</v>
      </c>
    </row>
    <row r="19" spans="2:31" ht="12.75" customHeight="1">
      <c r="B19" s="25" t="s">
        <v>73</v>
      </c>
      <c r="C19" s="26">
        <f>+SUM(C14+SUM(C17:C18))</f>
        <v>-42002</v>
      </c>
      <c r="D19" s="26">
        <f>+SUM(D14+SUM(D17:D18))</f>
        <v>-50986</v>
      </c>
      <c r="E19" s="26">
        <f>+SUM(E14+SUM(E17:E18))</f>
        <v>-55756</v>
      </c>
      <c r="F19" s="26">
        <f>+SUM(F14+SUM(F17:F18))</f>
        <v>-52877</v>
      </c>
      <c r="G19" s="32"/>
      <c r="H19" s="26">
        <f>+SUM(H14+SUM(H17:H18))</f>
        <v>-11723.39</v>
      </c>
      <c r="I19" s="26">
        <f>+SUM(I14+SUM(I17:I18))</f>
        <v>-11519.746999999999</v>
      </c>
      <c r="J19" s="26">
        <f>+SUM(J14+SUM(J17:J18))</f>
        <v>-12458.720000000001</v>
      </c>
      <c r="K19" s="26">
        <f>+SUM(K14+SUM(K17:K18))</f>
        <v>-15284.143</v>
      </c>
      <c r="L19" s="26">
        <f>+SUM(L14+SUM(L17:L18))</f>
        <v>-15383.955</v>
      </c>
      <c r="M19" s="26">
        <f>+SUM(M14+SUM(M17:M18))</f>
        <v>-14189.159</v>
      </c>
      <c r="N19" s="26">
        <f>+SUM(N14+SUM(N17:N18))</f>
        <v>-13530.697</v>
      </c>
      <c r="O19" s="26">
        <f>+SUM(O14+SUM(O17:O18))</f>
        <v>-12652.188999999998</v>
      </c>
      <c r="P19" s="26">
        <f>+SUM(P14+SUM(P17:P18))</f>
        <v>-11293</v>
      </c>
      <c r="Q19" s="26">
        <f>+SUM(Q14+SUM(Q17:Q18))</f>
        <v>-12519</v>
      </c>
      <c r="R19" s="26">
        <f>+SUM(R14+SUM(R17:R18))</f>
        <v>-14729</v>
      </c>
      <c r="S19" s="26">
        <f>+SUM(S14+SUM(S17:S18))</f>
        <v>-14336</v>
      </c>
      <c r="U19" s="26">
        <f>+SUM(U14+SUM(U17:U18))</f>
        <v>-50986</v>
      </c>
      <c r="V19" s="26">
        <f>+SUM(V14+SUM(V17:V18))</f>
        <v>-54646.565000000002</v>
      </c>
      <c r="W19" s="26">
        <f>+SUM(W14+SUM(W17:W18))</f>
        <v>-57315.976999999999</v>
      </c>
      <c r="X19" s="26">
        <f>+SUM(X14+SUM(X17:X18))</f>
        <v>-58387.953999999998</v>
      </c>
      <c r="Y19" s="26">
        <f>+SUM(Y14+SUM(Y17:Y18))</f>
        <v>-55756</v>
      </c>
      <c r="Z19" s="26">
        <f>+SUM(Z14+SUM(Z17:Z18))</f>
        <v>-51665.044999999998</v>
      </c>
      <c r="AA19" s="26">
        <f>+SUM(AA14+SUM(AA17:AA18))</f>
        <v>-49994.885999999999</v>
      </c>
      <c r="AB19" s="26">
        <f>+SUM(AB14+SUM(AB17:AB18))</f>
        <v>-51193.188999999998</v>
      </c>
      <c r="AC19" s="26">
        <f>+SUM(AC14+SUM(AC17:AC18))</f>
        <v>-52877</v>
      </c>
      <c r="AD19" s="11"/>
      <c r="AE19" s="73">
        <f>SUM(AC19/Y19)-1</f>
        <v>-5.1635698400172125E-2</v>
      </c>
    </row>
    <row r="20" spans="2:31" ht="12.75" customHeight="1">
      <c r="B20" s="16" t="s">
        <v>30</v>
      </c>
      <c r="C20" s="17" t="e">
        <f>C19/C11</f>
        <v>#DIV/0!</v>
      </c>
      <c r="D20" s="17" t="e">
        <f>D19/D11</f>
        <v>#DIV/0!</v>
      </c>
      <c r="E20" s="17" t="e">
        <f>E19/E11</f>
        <v>#DIV/0!</v>
      </c>
      <c r="F20" s="17" t="e">
        <f>F19/F11</f>
        <v>#DIV/0!</v>
      </c>
      <c r="G20" s="32"/>
      <c r="H20" s="17" t="e">
        <f>H19/H11</f>
        <v>#DIV/0!</v>
      </c>
      <c r="I20" s="17" t="e">
        <f>I19/I11</f>
        <v>#DIV/0!</v>
      </c>
      <c r="J20" s="17" t="e">
        <f>J19/J11</f>
        <v>#DIV/0!</v>
      </c>
      <c r="K20" s="17" t="e">
        <f>K19/K11</f>
        <v>#DIV/0!</v>
      </c>
      <c r="L20" s="17" t="e">
        <f>L19/L11</f>
        <v>#DIV/0!</v>
      </c>
      <c r="M20" s="17" t="e">
        <f>M19/M11</f>
        <v>#DIV/0!</v>
      </c>
      <c r="N20" s="17" t="e">
        <f>N19/N11</f>
        <v>#DIV/0!</v>
      </c>
      <c r="O20" s="17" t="e">
        <f>O19/O11</f>
        <v>#DIV/0!</v>
      </c>
      <c r="P20" s="17" t="e">
        <f>P19/P11</f>
        <v>#DIV/0!</v>
      </c>
      <c r="Q20" s="17" t="e">
        <f>Q19/Q11</f>
        <v>#DIV/0!</v>
      </c>
      <c r="R20" s="17" t="e">
        <f>R19/R11</f>
        <v>#DIV/0!</v>
      </c>
      <c r="S20" s="17" t="e">
        <f>S19/S11</f>
        <v>#DIV/0!</v>
      </c>
      <c r="U20" s="17" t="e">
        <f>U19/U11</f>
        <v>#DIV/0!</v>
      </c>
      <c r="V20" s="17" t="e">
        <f>V19/V11</f>
        <v>#DIV/0!</v>
      </c>
      <c r="W20" s="17" t="e">
        <f>W19/W11</f>
        <v>#DIV/0!</v>
      </c>
      <c r="X20" s="17" t="e">
        <f>X19/X11</f>
        <v>#DIV/0!</v>
      </c>
      <c r="Y20" s="17" t="e">
        <f>Y19/Y11</f>
        <v>#DIV/0!</v>
      </c>
      <c r="Z20" s="17" t="e">
        <f>Z19/Z11</f>
        <v>#DIV/0!</v>
      </c>
      <c r="AA20" s="17" t="e">
        <f>AA19/AA11</f>
        <v>#DIV/0!</v>
      </c>
      <c r="AB20" s="17" t="e">
        <f>AB19/AB11</f>
        <v>#DIV/0!</v>
      </c>
      <c r="AC20" s="17" t="e">
        <f>AC19/AC11</f>
        <v>#DIV/0!</v>
      </c>
      <c r="AD20" s="11"/>
      <c r="AE20" s="74" t="e">
        <f>SUM(AC20-Y20)*1000</f>
        <v>#DIV/0!</v>
      </c>
    </row>
    <row r="21" spans="2:31" ht="5.0999999999999996" customHeight="1">
      <c r="B21" s="16"/>
      <c r="C21" s="17"/>
      <c r="D21" s="17"/>
      <c r="E21" s="17"/>
      <c r="F21" s="17"/>
      <c r="G21" s="32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U21" s="32"/>
      <c r="V21" s="32"/>
      <c r="W21" s="32"/>
      <c r="X21" s="32"/>
      <c r="Y21" s="32"/>
      <c r="Z21" s="32"/>
      <c r="AA21" s="32"/>
      <c r="AB21" s="32"/>
      <c r="AC21" s="32"/>
      <c r="AD21" s="11"/>
      <c r="AE21" s="72"/>
    </row>
    <row r="22" spans="2:31" ht="12.75" customHeight="1">
      <c r="B22" s="9" t="s">
        <v>126</v>
      </c>
      <c r="C22" s="76">
        <v>26</v>
      </c>
      <c r="D22" s="76">
        <v>947</v>
      </c>
      <c r="E22" s="76">
        <v>6519</v>
      </c>
      <c r="F22" s="76">
        <v>7320</v>
      </c>
      <c r="G22" s="32"/>
      <c r="H22" s="76">
        <v>4.91</v>
      </c>
      <c r="I22" s="76">
        <v>7.5780000000000003</v>
      </c>
      <c r="J22" s="76">
        <v>229.917</v>
      </c>
      <c r="K22" s="32">
        <f t="shared" ref="K22" si="20">SUM(D22-SUM(H22:J22))</f>
        <v>704.59500000000003</v>
      </c>
      <c r="L22" s="76">
        <v>1267.6179999999999</v>
      </c>
      <c r="M22" s="76">
        <v>1465.221</v>
      </c>
      <c r="N22" s="76">
        <v>1827.9449999999999</v>
      </c>
      <c r="O22" s="32">
        <f t="shared" ref="O22" si="21">SUM(E22-SUM(L22:N22))</f>
        <v>1958.2160000000003</v>
      </c>
      <c r="P22" s="76">
        <v>2008</v>
      </c>
      <c r="Q22" s="76">
        <v>1756</v>
      </c>
      <c r="R22" s="76">
        <v>1796</v>
      </c>
      <c r="S22" s="32">
        <f t="shared" ref="S22" si="22">SUM(F22-SUM(P22:R22))</f>
        <v>1760</v>
      </c>
      <c r="U22" s="32"/>
      <c r="V22" s="32"/>
      <c r="W22" s="32"/>
      <c r="X22" s="32"/>
      <c r="Y22" s="32">
        <f t="shared" ref="Y22" si="23">SUM(L22:O22)</f>
        <v>6519</v>
      </c>
      <c r="Z22" s="32">
        <f t="shared" ref="Z22" si="24">SUM(M22:P22)</f>
        <v>7259.3820000000005</v>
      </c>
      <c r="AA22" s="32">
        <f t="shared" ref="AA22" si="25">SUM(N22:Q22)</f>
        <v>7550.1610000000001</v>
      </c>
      <c r="AB22" s="32">
        <f t="shared" ref="AB22" si="26">SUM(O22:R22)</f>
        <v>7518.2160000000003</v>
      </c>
      <c r="AC22" s="32">
        <f t="shared" ref="AC22" si="27">SUM(P22:S22)</f>
        <v>7320</v>
      </c>
      <c r="AD22" s="11"/>
      <c r="AE22" s="72"/>
    </row>
    <row r="23" spans="2:31" ht="12.75" customHeight="1">
      <c r="B23" s="9" t="s">
        <v>125</v>
      </c>
      <c r="C23" s="76">
        <v>4547</v>
      </c>
      <c r="D23" s="76">
        <v>3323</v>
      </c>
      <c r="E23" s="76">
        <v>2718</v>
      </c>
      <c r="F23" s="76">
        <v>2291</v>
      </c>
      <c r="G23" s="32"/>
      <c r="H23" s="76">
        <v>810.73</v>
      </c>
      <c r="I23" s="76">
        <v>835.51300000000003</v>
      </c>
      <c r="J23" s="76">
        <v>682.43200000000002</v>
      </c>
      <c r="K23" s="32">
        <f t="shared" ref="K23" si="28">SUM(D23-SUM(H23:J23))</f>
        <v>994.32499999999982</v>
      </c>
      <c r="L23" s="76">
        <v>733.59</v>
      </c>
      <c r="M23" s="76">
        <v>749.68100000000004</v>
      </c>
      <c r="N23" s="76">
        <v>564.84199999999998</v>
      </c>
      <c r="O23" s="32">
        <f t="shared" ref="O23" si="29">SUM(E23-SUM(L23:N23))</f>
        <v>669.88699999999972</v>
      </c>
      <c r="P23" s="76">
        <v>592</v>
      </c>
      <c r="Q23" s="76">
        <v>472</v>
      </c>
      <c r="R23" s="76">
        <v>526</v>
      </c>
      <c r="S23" s="32">
        <f t="shared" ref="S23" si="30">SUM(F23-SUM(P23:R23))</f>
        <v>701</v>
      </c>
      <c r="U23" s="32"/>
      <c r="V23" s="32"/>
      <c r="W23" s="32"/>
      <c r="X23" s="32"/>
      <c r="Y23" s="32">
        <f t="shared" ref="Y23:Y24" si="31">SUM(L23:O23)</f>
        <v>2718</v>
      </c>
      <c r="Z23" s="32">
        <f t="shared" ref="Z23:Z24" si="32">SUM(M23:P23)</f>
        <v>2576.41</v>
      </c>
      <c r="AA23" s="32">
        <f t="shared" ref="AA23:AA24" si="33">SUM(N23:Q23)</f>
        <v>2298.7289999999998</v>
      </c>
      <c r="AB23" s="32">
        <f t="shared" ref="AB23:AB24" si="34">SUM(O23:R23)</f>
        <v>2259.8869999999997</v>
      </c>
      <c r="AC23" s="32">
        <f t="shared" ref="AC23:AC24" si="35">SUM(P23:S23)</f>
        <v>2291</v>
      </c>
      <c r="AD23" s="11"/>
      <c r="AE23" s="72"/>
    </row>
    <row r="24" spans="2:31" ht="12.75" customHeight="1">
      <c r="B24" s="9" t="s">
        <v>128</v>
      </c>
      <c r="C24" s="76">
        <f>-266+54</f>
        <v>-212</v>
      </c>
      <c r="D24" s="76">
        <v>-904</v>
      </c>
      <c r="E24" s="76">
        <f>-40-964+25</f>
        <v>-979</v>
      </c>
      <c r="F24" s="76">
        <f>189+75</f>
        <v>264</v>
      </c>
      <c r="G24" s="32"/>
      <c r="H24" s="76">
        <v>55.363</v>
      </c>
      <c r="I24" s="76">
        <v>268.64499999999998</v>
      </c>
      <c r="J24" s="76">
        <v>-732.54899999999998</v>
      </c>
      <c r="K24" s="32">
        <f t="shared" ref="K24" si="36">SUM(D24-SUM(H24:J24))</f>
        <v>-495.459</v>
      </c>
      <c r="L24" s="76">
        <f>365.983+25</f>
        <v>390.983</v>
      </c>
      <c r="M24" s="76">
        <f>-118.678-964.344</f>
        <v>-1083.0219999999999</v>
      </c>
      <c r="N24" s="76">
        <v>-101.066</v>
      </c>
      <c r="O24" s="32">
        <f t="shared" ref="O24" si="37">SUM(E24-SUM(L24:N24))</f>
        <v>-185.89499999999998</v>
      </c>
      <c r="P24" s="76">
        <v>156</v>
      </c>
      <c r="Q24" s="76">
        <v>-150</v>
      </c>
      <c r="R24" s="76">
        <f>67+59</f>
        <v>126</v>
      </c>
      <c r="S24" s="32">
        <f t="shared" ref="S24" si="38">SUM(F24-SUM(P24:R24))</f>
        <v>132</v>
      </c>
      <c r="U24" s="32">
        <f>SUM(H24:K24)</f>
        <v>-904</v>
      </c>
      <c r="V24" s="32">
        <f>SUM(I24:L24)</f>
        <v>-568.38000000000011</v>
      </c>
      <c r="W24" s="32">
        <f>SUM(J24:M24)</f>
        <v>-1920.047</v>
      </c>
      <c r="X24" s="32">
        <f>SUM(K24:N24)</f>
        <v>-1288.5640000000001</v>
      </c>
      <c r="Y24" s="32">
        <f t="shared" si="31"/>
        <v>-979</v>
      </c>
      <c r="Z24" s="32">
        <f t="shared" si="32"/>
        <v>-1213.9829999999999</v>
      </c>
      <c r="AA24" s="32">
        <f t="shared" si="33"/>
        <v>-280.96100000000001</v>
      </c>
      <c r="AB24" s="32">
        <f t="shared" si="34"/>
        <v>-53.894999999999982</v>
      </c>
      <c r="AC24" s="32">
        <f t="shared" si="35"/>
        <v>264</v>
      </c>
      <c r="AD24" s="11"/>
      <c r="AE24" s="72">
        <f>SUM(AC24/Y24)-1</f>
        <v>-1.2696629213483146</v>
      </c>
    </row>
    <row r="25" spans="2:31" ht="12.75" customHeight="1">
      <c r="B25" s="25" t="s">
        <v>74</v>
      </c>
      <c r="C25" s="26">
        <f>SUM(C19+SUM(C22:C24))</f>
        <v>-37641</v>
      </c>
      <c r="D25" s="26">
        <f>SUM(D19+SUM(D22:D24))</f>
        <v>-47620</v>
      </c>
      <c r="E25" s="26">
        <f>SUM(E19+SUM(E22:E24))</f>
        <v>-47498</v>
      </c>
      <c r="F25" s="26">
        <f>SUM(F19+SUM(F22:F24))</f>
        <v>-43002</v>
      </c>
      <c r="H25" s="26">
        <f>SUM(H19+SUM(H22:H24))</f>
        <v>-10852.386999999999</v>
      </c>
      <c r="I25" s="26">
        <f>SUM(I19+SUM(I22:I24))</f>
        <v>-10408.010999999999</v>
      </c>
      <c r="J25" s="26">
        <f>SUM(J19+SUM(J22:J24))</f>
        <v>-12278.920000000002</v>
      </c>
      <c r="K25" s="26">
        <f>SUM(K19+SUM(K22:K24))</f>
        <v>-14080.682000000001</v>
      </c>
      <c r="L25" s="26">
        <f>SUM(L19+SUM(L22:L24))</f>
        <v>-12991.763999999999</v>
      </c>
      <c r="M25" s="26">
        <f>SUM(M19+SUM(M22:M24))</f>
        <v>-13057.278999999999</v>
      </c>
      <c r="N25" s="26">
        <f>SUM(N19+SUM(N22:N24))</f>
        <v>-11238.976000000001</v>
      </c>
      <c r="O25" s="26">
        <f>SUM(O19+SUM(O22:O24))</f>
        <v>-10209.980999999998</v>
      </c>
      <c r="P25" s="26">
        <f>SUM(P19+SUM(P22:P24))</f>
        <v>-8537</v>
      </c>
      <c r="Q25" s="26">
        <f>SUM(Q19+SUM(Q22:Q24))</f>
        <v>-10441</v>
      </c>
      <c r="R25" s="26">
        <f>SUM(R19+SUM(R22:R24))</f>
        <v>-12281</v>
      </c>
      <c r="S25" s="26">
        <f>SUM(S19+SUM(S22:S24))</f>
        <v>-11743</v>
      </c>
      <c r="U25" s="26">
        <f>SUM(U19+SUM(U22:U24))</f>
        <v>-51890</v>
      </c>
      <c r="V25" s="26">
        <f>SUM(V19+SUM(V22:V24))</f>
        <v>-55214.945</v>
      </c>
      <c r="W25" s="26">
        <f>SUM(W19+SUM(W22:W24))</f>
        <v>-59236.023999999998</v>
      </c>
      <c r="X25" s="26">
        <f>SUM(X19+SUM(X22:X24))</f>
        <v>-59676.517999999996</v>
      </c>
      <c r="Y25" s="26">
        <f>SUM(Y19+SUM(Y22:Y24))</f>
        <v>-47498</v>
      </c>
      <c r="Z25" s="26">
        <f>SUM(Z19+SUM(Z22:Z24))</f>
        <v>-43043.235999999997</v>
      </c>
      <c r="AA25" s="26">
        <f>SUM(AA19+SUM(AA22:AA24))</f>
        <v>-40426.956999999995</v>
      </c>
      <c r="AB25" s="26">
        <f>SUM(AB19+SUM(AB22:AB24))</f>
        <v>-41468.981</v>
      </c>
      <c r="AC25" s="26">
        <f>SUM(AC19+SUM(AC22:AC24))</f>
        <v>-43002</v>
      </c>
      <c r="AD25" s="42"/>
      <c r="AE25" s="73">
        <f>SUM(AC25/Y25)-1</f>
        <v>-9.4656617120720821E-2</v>
      </c>
    </row>
    <row r="26" spans="2:31" ht="12.75" customHeight="1">
      <c r="B26" s="16" t="s">
        <v>75</v>
      </c>
      <c r="C26" s="17" t="e">
        <f>C25/C11</f>
        <v>#DIV/0!</v>
      </c>
      <c r="D26" s="17" t="e">
        <f>D25/D11</f>
        <v>#DIV/0!</v>
      </c>
      <c r="E26" s="17" t="e">
        <f>E25/E11</f>
        <v>#DIV/0!</v>
      </c>
      <c r="F26" s="17" t="e">
        <f>F25/F11</f>
        <v>#DIV/0!</v>
      </c>
      <c r="G26" s="27"/>
      <c r="H26" s="17" t="e">
        <f>H25/H11</f>
        <v>#DIV/0!</v>
      </c>
      <c r="I26" s="17" t="e">
        <f>I25/I11</f>
        <v>#DIV/0!</v>
      </c>
      <c r="J26" s="17" t="e">
        <f>J25/J11</f>
        <v>#DIV/0!</v>
      </c>
      <c r="K26" s="17" t="e">
        <f>K25/K11</f>
        <v>#DIV/0!</v>
      </c>
      <c r="L26" s="17" t="e">
        <f>L25/L11</f>
        <v>#DIV/0!</v>
      </c>
      <c r="M26" s="17" t="e">
        <f>M25/M11</f>
        <v>#DIV/0!</v>
      </c>
      <c r="N26" s="17" t="e">
        <f>N25/N11</f>
        <v>#DIV/0!</v>
      </c>
      <c r="O26" s="17" t="e">
        <f>O25/O11</f>
        <v>#DIV/0!</v>
      </c>
      <c r="P26" s="17" t="e">
        <f>P25/P11</f>
        <v>#DIV/0!</v>
      </c>
      <c r="Q26" s="17" t="e">
        <f>Q25/Q11</f>
        <v>#DIV/0!</v>
      </c>
      <c r="R26" s="17" t="e">
        <f>R25/R11</f>
        <v>#DIV/0!</v>
      </c>
      <c r="S26" s="17" t="e">
        <f>S25/S11</f>
        <v>#DIV/0!</v>
      </c>
      <c r="T26" s="28"/>
      <c r="U26" s="17" t="e">
        <f>U25/U11</f>
        <v>#DIV/0!</v>
      </c>
      <c r="V26" s="17" t="e">
        <f>V25/V11</f>
        <v>#DIV/0!</v>
      </c>
      <c r="W26" s="17" t="e">
        <f>W25/W11</f>
        <v>#DIV/0!</v>
      </c>
      <c r="X26" s="17" t="e">
        <f>X25/X11</f>
        <v>#DIV/0!</v>
      </c>
      <c r="Y26" s="17" t="e">
        <f>Y25/Y11</f>
        <v>#DIV/0!</v>
      </c>
      <c r="Z26" s="17" t="e">
        <f>Z25/Z11</f>
        <v>#DIV/0!</v>
      </c>
      <c r="AA26" s="17" t="e">
        <f>AA25/AA11</f>
        <v>#DIV/0!</v>
      </c>
      <c r="AB26" s="17" t="e">
        <f>AB25/AB11</f>
        <v>#DIV/0!</v>
      </c>
      <c r="AC26" s="17" t="e">
        <f>AC25/AC11</f>
        <v>#DIV/0!</v>
      </c>
      <c r="AD26" s="43"/>
      <c r="AE26" s="74" t="e">
        <f>SUM(AC26-Y26)*1000</f>
        <v>#DIV/0!</v>
      </c>
    </row>
    <row r="27" spans="2:31" ht="5.0999999999999996" customHeight="1">
      <c r="B27" s="29"/>
      <c r="C27" s="44"/>
      <c r="D27" s="44"/>
      <c r="E27" s="44"/>
      <c r="F27" s="44"/>
      <c r="G27" s="30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U27" s="44"/>
      <c r="V27" s="44"/>
      <c r="W27" s="44"/>
      <c r="X27" s="44"/>
      <c r="Y27" s="44"/>
      <c r="Z27" s="44"/>
      <c r="AA27" s="44"/>
      <c r="AB27" s="44"/>
      <c r="AC27" s="44"/>
      <c r="AD27" s="43"/>
      <c r="AE27" s="72"/>
    </row>
    <row r="28" spans="2:31" ht="12.75" customHeight="1">
      <c r="B28" s="45" t="s">
        <v>59</v>
      </c>
      <c r="C28" s="76">
        <v>-268</v>
      </c>
      <c r="D28" s="76">
        <v>-358</v>
      </c>
      <c r="E28" s="76">
        <v>-7</v>
      </c>
      <c r="F28" s="76">
        <v>0</v>
      </c>
      <c r="G28" s="32"/>
      <c r="H28" s="76">
        <v>-29.98</v>
      </c>
      <c r="I28" s="76">
        <v>-29.8</v>
      </c>
      <c r="J28" s="76">
        <v>-88.421000000000006</v>
      </c>
      <c r="K28" s="32">
        <f t="shared" ref="K28" si="39">SUM(D28-SUM(H28:J28))</f>
        <v>-209.79899999999998</v>
      </c>
      <c r="L28" s="76">
        <v>20.045999999999999</v>
      </c>
      <c r="M28" s="76">
        <v>-50</v>
      </c>
      <c r="N28" s="76">
        <v>-41</v>
      </c>
      <c r="O28" s="32">
        <f t="shared" ref="O28" si="40">SUM(E28-SUM(L28:N28))</f>
        <v>63.954000000000008</v>
      </c>
      <c r="P28" s="76">
        <v>-85</v>
      </c>
      <c r="Q28" s="76">
        <v>-105</v>
      </c>
      <c r="R28" s="76">
        <v>67</v>
      </c>
      <c r="S28" s="32">
        <f t="shared" ref="S28" si="41">SUM(F28-SUM(P28:R28))</f>
        <v>123</v>
      </c>
      <c r="T28" s="32"/>
      <c r="U28" s="32">
        <f>SUM(H28:K28)</f>
        <v>-358</v>
      </c>
      <c r="V28" s="32">
        <f>SUM(I28:L28)</f>
        <v>-307.97399999999999</v>
      </c>
      <c r="W28" s="32">
        <f>SUM(J28:M28)</f>
        <v>-328.17399999999998</v>
      </c>
      <c r="X28" s="32">
        <f>SUM(K28:N28)</f>
        <v>-280.75299999999999</v>
      </c>
      <c r="Y28" s="32">
        <f>SUM(L28:O28)</f>
        <v>-7</v>
      </c>
      <c r="Z28" s="32">
        <f>SUM(M28:P28)</f>
        <v>-112.04599999999999</v>
      </c>
      <c r="AA28" s="32">
        <f>SUM(N28:Q28)</f>
        <v>-167.04599999999999</v>
      </c>
      <c r="AB28" s="32">
        <f>SUM(O28:R28)</f>
        <v>-59.045999999999992</v>
      </c>
      <c r="AC28" s="32">
        <f>SUM(P28:S28)</f>
        <v>0</v>
      </c>
      <c r="AD28" s="43"/>
      <c r="AE28" s="72">
        <f>SUM(AC28/Y28)-1</f>
        <v>-1</v>
      </c>
    </row>
    <row r="29" spans="2:31" ht="12.75" customHeight="1">
      <c r="B29" s="13" t="s">
        <v>46</v>
      </c>
      <c r="C29" s="14">
        <f t="shared" ref="C29" si="42">SUM(C25+SUM(C28:C28))</f>
        <v>-37909</v>
      </c>
      <c r="D29" s="14">
        <f t="shared" ref="D29:F29" si="43">SUM(D25+SUM(D28:D28))</f>
        <v>-47978</v>
      </c>
      <c r="E29" s="14">
        <f t="shared" si="43"/>
        <v>-47505</v>
      </c>
      <c r="F29" s="14">
        <f t="shared" si="43"/>
        <v>-43002</v>
      </c>
      <c r="G29" s="11"/>
      <c r="H29" s="14">
        <f t="shared" ref="H29:K29" si="44">SUM(H25+SUM(H28:H28))</f>
        <v>-10882.366999999998</v>
      </c>
      <c r="I29" s="14">
        <f t="shared" si="44"/>
        <v>-10437.810999999998</v>
      </c>
      <c r="J29" s="14">
        <f t="shared" si="44"/>
        <v>-12367.341000000002</v>
      </c>
      <c r="K29" s="14">
        <f t="shared" si="44"/>
        <v>-14290.481</v>
      </c>
      <c r="L29" s="14">
        <f t="shared" ref="L29:S29" si="45">SUM(L25+SUM(L28:L28))</f>
        <v>-12971.717999999999</v>
      </c>
      <c r="M29" s="14">
        <f t="shared" si="45"/>
        <v>-13107.278999999999</v>
      </c>
      <c r="N29" s="14">
        <f t="shared" si="45"/>
        <v>-11279.976000000001</v>
      </c>
      <c r="O29" s="14">
        <f t="shared" si="45"/>
        <v>-10146.026999999998</v>
      </c>
      <c r="P29" s="14">
        <f t="shared" si="45"/>
        <v>-8622</v>
      </c>
      <c r="Q29" s="14">
        <f t="shared" si="45"/>
        <v>-10546</v>
      </c>
      <c r="R29" s="14">
        <f t="shared" si="45"/>
        <v>-12214</v>
      </c>
      <c r="S29" s="14">
        <f t="shared" si="45"/>
        <v>-11620</v>
      </c>
      <c r="T29" s="32"/>
      <c r="U29" s="14">
        <f t="shared" ref="U29:AC29" si="46">SUM(U25+SUM(U28:U28))</f>
        <v>-52248</v>
      </c>
      <c r="V29" s="14">
        <f t="shared" si="46"/>
        <v>-55522.919000000002</v>
      </c>
      <c r="W29" s="14">
        <f t="shared" si="46"/>
        <v>-59564.197999999997</v>
      </c>
      <c r="X29" s="14">
        <f t="shared" si="46"/>
        <v>-59957.270999999993</v>
      </c>
      <c r="Y29" s="14">
        <f t="shared" si="46"/>
        <v>-47505</v>
      </c>
      <c r="Z29" s="14">
        <f t="shared" si="46"/>
        <v>-43155.281999999999</v>
      </c>
      <c r="AA29" s="14">
        <f t="shared" si="46"/>
        <v>-40594.002999999997</v>
      </c>
      <c r="AB29" s="14">
        <f t="shared" si="46"/>
        <v>-41528.027000000002</v>
      </c>
      <c r="AC29" s="14">
        <f t="shared" si="46"/>
        <v>-43002</v>
      </c>
      <c r="AD29" s="36"/>
      <c r="AE29" s="73">
        <f>SUM(AC29/Y29)-1</f>
        <v>-9.4790022102936522E-2</v>
      </c>
    </row>
    <row r="30" spans="2:31" ht="12.75" customHeight="1">
      <c r="B30" s="16" t="s">
        <v>60</v>
      </c>
      <c r="C30" s="17" t="e">
        <f>C29/C11</f>
        <v>#DIV/0!</v>
      </c>
      <c r="D30" s="17" t="e">
        <f>D29/D11</f>
        <v>#DIV/0!</v>
      </c>
      <c r="E30" s="17" t="e">
        <f>E29/E11</f>
        <v>#DIV/0!</v>
      </c>
      <c r="F30" s="17" t="e">
        <f>F29/F11</f>
        <v>#DIV/0!</v>
      </c>
      <c r="G30" s="27"/>
      <c r="H30" s="17" t="e">
        <f>H29/H11</f>
        <v>#DIV/0!</v>
      </c>
      <c r="I30" s="17" t="e">
        <f>I29/I11</f>
        <v>#DIV/0!</v>
      </c>
      <c r="J30" s="17" t="e">
        <f>J29/J11</f>
        <v>#DIV/0!</v>
      </c>
      <c r="K30" s="17" t="e">
        <f>K29/K11</f>
        <v>#DIV/0!</v>
      </c>
      <c r="L30" s="17" t="e">
        <f>L29/L11</f>
        <v>#DIV/0!</v>
      </c>
      <c r="M30" s="17" t="e">
        <f>M29/M11</f>
        <v>#DIV/0!</v>
      </c>
      <c r="N30" s="17" t="e">
        <f>N29/N11</f>
        <v>#DIV/0!</v>
      </c>
      <c r="O30" s="17" t="e">
        <f>O29/O11</f>
        <v>#DIV/0!</v>
      </c>
      <c r="P30" s="17" t="e">
        <f>P29/P11</f>
        <v>#DIV/0!</v>
      </c>
      <c r="Q30" s="17" t="e">
        <f>Q29/Q11</f>
        <v>#DIV/0!</v>
      </c>
      <c r="R30" s="17" t="e">
        <f>R29/R11</f>
        <v>#DIV/0!</v>
      </c>
      <c r="S30" s="17" t="e">
        <f>S29/S11</f>
        <v>#DIV/0!</v>
      </c>
      <c r="T30" s="28"/>
      <c r="U30" s="17" t="e">
        <f>U29/U11</f>
        <v>#DIV/0!</v>
      </c>
      <c r="V30" s="17" t="e">
        <f>V29/V11</f>
        <v>#DIV/0!</v>
      </c>
      <c r="W30" s="17" t="e">
        <f>W29/W11</f>
        <v>#DIV/0!</v>
      </c>
      <c r="X30" s="17" t="e">
        <f>X29/X11</f>
        <v>#DIV/0!</v>
      </c>
      <c r="Y30" s="17" t="e">
        <f>Y29/Y11</f>
        <v>#DIV/0!</v>
      </c>
      <c r="Z30" s="17" t="e">
        <f>Z29/Z11</f>
        <v>#DIV/0!</v>
      </c>
      <c r="AA30" s="17" t="e">
        <f>AA29/AA11</f>
        <v>#DIV/0!</v>
      </c>
      <c r="AB30" s="17" t="e">
        <f>AB29/AB11</f>
        <v>#DIV/0!</v>
      </c>
      <c r="AC30" s="17" t="e">
        <f>AC29/AC11</f>
        <v>#DIV/0!</v>
      </c>
      <c r="AD30" s="43"/>
      <c r="AE30" s="74" t="e">
        <f>SUM(AC30-Y30)*1000</f>
        <v>#DIV/0!</v>
      </c>
    </row>
    <row r="31" spans="2:31" ht="5.0999999999999996" customHeight="1">
      <c r="B31" s="16"/>
      <c r="C31" s="17"/>
      <c r="D31" s="17"/>
      <c r="E31" s="17"/>
      <c r="F31" s="17"/>
      <c r="G31" s="2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28"/>
      <c r="U31" s="17"/>
      <c r="V31" s="17"/>
      <c r="W31" s="17"/>
      <c r="X31" s="17"/>
      <c r="Y31" s="17"/>
      <c r="Z31" s="17"/>
      <c r="AA31" s="17"/>
      <c r="AB31" s="17"/>
      <c r="AC31" s="17"/>
      <c r="AD31" s="43"/>
      <c r="AE31" s="74"/>
    </row>
    <row r="32" spans="2:31" ht="12.75" customHeight="1">
      <c r="B32" s="45" t="s">
        <v>81</v>
      </c>
      <c r="C32" s="76">
        <f>69802.96-11540.903</f>
        <v>58262.057000000008</v>
      </c>
      <c r="D32" s="76">
        <f>76909.993-13329.616</f>
        <v>63580.377</v>
      </c>
      <c r="E32" s="76">
        <f>79787.596-14271.78</f>
        <v>65515.816000000006</v>
      </c>
      <c r="F32" s="76">
        <f>83468.049-15047.754</f>
        <v>68420.294999999998</v>
      </c>
      <c r="G32" s="27"/>
      <c r="H32" s="76">
        <f>75997.738-11403.769</f>
        <v>64593.968999999997</v>
      </c>
      <c r="I32" s="76">
        <f>76248.603-11510.319</f>
        <v>64738.284</v>
      </c>
      <c r="J32" s="76">
        <f>77442.236-13194.616</f>
        <v>64247.62</v>
      </c>
      <c r="K32" s="32">
        <f>D32</f>
        <v>63580.377</v>
      </c>
      <c r="L32" s="76">
        <f>77977.112-13525.296</f>
        <v>64451.815999999992</v>
      </c>
      <c r="M32" s="76">
        <f>78304.363-15001.613</f>
        <v>63302.75</v>
      </c>
      <c r="N32" s="76">
        <f>80875.235-14858.863</f>
        <v>66016.372000000003</v>
      </c>
      <c r="O32" s="32">
        <f>E32</f>
        <v>65515.816000000006</v>
      </c>
      <c r="P32" s="76">
        <f>82077.815-14269.363</f>
        <v>67808.452000000005</v>
      </c>
      <c r="Q32" s="76">
        <f>82464.226-15755.114</f>
        <v>66709.111999999994</v>
      </c>
      <c r="R32" s="76">
        <f>84535.328-15190.254</f>
        <v>69345.073999999993</v>
      </c>
      <c r="S32" s="32">
        <f>F32</f>
        <v>68420.294999999998</v>
      </c>
      <c r="T32" s="126"/>
      <c r="U32" s="32">
        <f>K32</f>
        <v>63580.377</v>
      </c>
      <c r="V32" s="32">
        <f>L32</f>
        <v>64451.815999999992</v>
      </c>
      <c r="W32" s="32">
        <f>M32</f>
        <v>63302.75</v>
      </c>
      <c r="X32" s="32">
        <f>N32</f>
        <v>66016.372000000003</v>
      </c>
      <c r="Y32" s="32">
        <f>O32</f>
        <v>65515.816000000006</v>
      </c>
      <c r="Z32" s="32">
        <f>P32</f>
        <v>67808.452000000005</v>
      </c>
      <c r="AA32" s="32">
        <f>Q32</f>
        <v>66709.111999999994</v>
      </c>
      <c r="AB32" s="32">
        <f>R32</f>
        <v>69345.073999999993</v>
      </c>
      <c r="AC32" s="32">
        <f>S32</f>
        <v>68420.294999999998</v>
      </c>
      <c r="AD32" s="43"/>
      <c r="AE32" s="72">
        <f>SUM(AC32/Y32)-1</f>
        <v>4.4332486067180987E-2</v>
      </c>
    </row>
    <row r="33" spans="1:31" ht="12.75" customHeight="1">
      <c r="B33" s="13" t="s">
        <v>61</v>
      </c>
      <c r="C33" s="137">
        <f t="shared" ref="C33" si="47">C29/C32</f>
        <v>-0.6506636042733609</v>
      </c>
      <c r="D33" s="137">
        <f t="shared" ref="D33:E33" si="48">D29/D32</f>
        <v>-0.75460389295898633</v>
      </c>
      <c r="E33" s="137">
        <f t="shared" si="48"/>
        <v>-0.72509209074034875</v>
      </c>
      <c r="F33" s="137">
        <f>F29/F32</f>
        <v>-0.6284977286344644</v>
      </c>
      <c r="G33" s="27"/>
      <c r="H33" s="137">
        <f t="shared" ref="H33:K33" si="49">H29/H32</f>
        <v>-0.16847342203108776</v>
      </c>
      <c r="I33" s="137">
        <f t="shared" si="49"/>
        <v>-0.16123088773869876</v>
      </c>
      <c r="J33" s="137">
        <f t="shared" si="49"/>
        <v>-0.19249492821679623</v>
      </c>
      <c r="K33" s="137">
        <f t="shared" si="49"/>
        <v>-0.22476244518021651</v>
      </c>
      <c r="L33" s="137">
        <f t="shared" ref="L33:Q33" si="50">L29/L32</f>
        <v>-0.20126225768409692</v>
      </c>
      <c r="M33" s="137">
        <f t="shared" si="50"/>
        <v>-0.20705702358902256</v>
      </c>
      <c r="N33" s="137">
        <f t="shared" si="50"/>
        <v>-0.17086634206435944</v>
      </c>
      <c r="O33" s="137">
        <f t="shared" si="50"/>
        <v>-0.15486378128908593</v>
      </c>
      <c r="P33" s="137">
        <f t="shared" si="50"/>
        <v>-0.12715229069084188</v>
      </c>
      <c r="Q33" s="137">
        <f t="shared" si="50"/>
        <v>-0.15808934767412286</v>
      </c>
      <c r="R33" s="137">
        <f>R29/R32</f>
        <v>-0.17613363567828916</v>
      </c>
      <c r="S33" s="137">
        <f t="shared" ref="S33" si="51">S29/S32</f>
        <v>-0.16983264980076454</v>
      </c>
      <c r="T33" s="126"/>
      <c r="U33" s="137">
        <f t="shared" ref="U33" si="52">U29/U32</f>
        <v>-0.82176297885116345</v>
      </c>
      <c r="V33" s="137">
        <f t="shared" ref="V33" si="53">V29/V32</f>
        <v>-0.86146399660794681</v>
      </c>
      <c r="W33" s="137">
        <f t="shared" ref="W33" si="54">W29/W32</f>
        <v>-0.94094171264281568</v>
      </c>
      <c r="X33" s="137">
        <f t="shared" ref="X33" si="55">X29/X32</f>
        <v>-0.9082182068411756</v>
      </c>
      <c r="Y33" s="137">
        <f t="shared" ref="Y33" si="56">Y29/Y32</f>
        <v>-0.72509209074034875</v>
      </c>
      <c r="Z33" s="137">
        <f t="shared" ref="Z33" si="57">Z29/Z32</f>
        <v>-0.63642924631283426</v>
      </c>
      <c r="AA33" s="137">
        <f t="shared" ref="AA33" si="58">AA29/AA32</f>
        <v>-0.6085226108241405</v>
      </c>
      <c r="AB33" s="137">
        <f t="shared" ref="AB33" si="59">AB29/AB32</f>
        <v>-0.59886051891732073</v>
      </c>
      <c r="AC33" s="137">
        <f t="shared" ref="AC33" si="60">AC29/AC32</f>
        <v>-0.6284977286344644</v>
      </c>
      <c r="AD33" s="43"/>
      <c r="AE33" s="73">
        <f>SUM(AC33/Y33)-1</f>
        <v>-0.13321668149387422</v>
      </c>
    </row>
    <row r="34" spans="1:31" ht="12.75" customHeight="1">
      <c r="B34" s="25"/>
      <c r="C34" s="49"/>
      <c r="D34" s="49"/>
      <c r="E34" s="49"/>
      <c r="F34" s="49"/>
      <c r="G34" s="13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43"/>
      <c r="AE34" s="72"/>
    </row>
    <row r="35" spans="1:31" ht="12.75" customHeight="1">
      <c r="B35" s="45" t="s">
        <v>62</v>
      </c>
      <c r="C35" s="76">
        <v>69802.960000000006</v>
      </c>
      <c r="D35" s="76">
        <v>76909.993000000002</v>
      </c>
      <c r="E35" s="76">
        <v>79787.596000000005</v>
      </c>
      <c r="F35" s="76">
        <v>83468.048999999999</v>
      </c>
      <c r="G35" s="136"/>
      <c r="H35" s="76">
        <v>75997.737999999998</v>
      </c>
      <c r="I35" s="76">
        <v>76248.603000000003</v>
      </c>
      <c r="J35" s="76">
        <v>77442.236000000004</v>
      </c>
      <c r="K35" s="32">
        <f>D35</f>
        <v>76909.993000000002</v>
      </c>
      <c r="L35" s="76">
        <v>77977.111999999994</v>
      </c>
      <c r="M35" s="76">
        <v>78304.362999999998</v>
      </c>
      <c r="N35" s="76">
        <v>80875.235000000001</v>
      </c>
      <c r="O35" s="32">
        <f>E35</f>
        <v>79787.596000000005</v>
      </c>
      <c r="P35" s="76">
        <v>82077.815000000002</v>
      </c>
      <c r="Q35" s="76">
        <v>82464.225999999995</v>
      </c>
      <c r="R35" s="76">
        <v>84535.327999999994</v>
      </c>
      <c r="S35" s="32">
        <f>F35</f>
        <v>83468.048999999999</v>
      </c>
      <c r="T35" s="126"/>
      <c r="U35" s="32">
        <f t="shared" ref="U35" si="61">K35</f>
        <v>76909.993000000002</v>
      </c>
      <c r="V35" s="32">
        <f t="shared" ref="V35" si="62">L35</f>
        <v>77977.111999999994</v>
      </c>
      <c r="W35" s="32">
        <f t="shared" ref="W35" si="63">M35</f>
        <v>78304.362999999998</v>
      </c>
      <c r="X35" s="32">
        <f t="shared" ref="X35" si="64">N35</f>
        <v>80875.235000000001</v>
      </c>
      <c r="Y35" s="32">
        <f t="shared" ref="Y35" si="65">O35</f>
        <v>79787.596000000005</v>
      </c>
      <c r="Z35" s="32">
        <f t="shared" ref="Z35" si="66">P35</f>
        <v>82077.815000000002</v>
      </c>
      <c r="AA35" s="32">
        <f t="shared" ref="AA35" si="67">Q35</f>
        <v>82464.225999999995</v>
      </c>
      <c r="AB35" s="32">
        <f t="shared" ref="AB35" si="68">R35</f>
        <v>84535.327999999994</v>
      </c>
      <c r="AC35" s="32">
        <f>S35</f>
        <v>83468.048999999999</v>
      </c>
      <c r="AD35" s="43"/>
      <c r="AE35" s="72">
        <f>SUM(AC35/Y35)-1</f>
        <v>4.6128135004844584E-2</v>
      </c>
    </row>
    <row r="36" spans="1:31" ht="12.75" customHeight="1">
      <c r="B36" s="13" t="s">
        <v>80</v>
      </c>
      <c r="C36" s="137">
        <f t="shared" ref="C36" si="69">C29/C35</f>
        <v>-0.54308585194667958</v>
      </c>
      <c r="D36" s="137">
        <f t="shared" ref="D36:E36" si="70">D29/D35</f>
        <v>-0.62382010618568118</v>
      </c>
      <c r="E36" s="137">
        <f t="shared" si="70"/>
        <v>-0.59539329897845272</v>
      </c>
      <c r="F36" s="137">
        <f>F29/F35</f>
        <v>-0.51519114817215872</v>
      </c>
      <c r="G36" s="27"/>
      <c r="H36" s="137">
        <f t="shared" ref="H36:K36" si="71">H29/H35</f>
        <v>-0.14319330135852198</v>
      </c>
      <c r="I36" s="137">
        <f t="shared" si="71"/>
        <v>-0.13689183262806792</v>
      </c>
      <c r="J36" s="137">
        <f t="shared" si="71"/>
        <v>-0.15969762288371944</v>
      </c>
      <c r="K36" s="137">
        <f t="shared" si="71"/>
        <v>-0.18580785724424653</v>
      </c>
      <c r="L36" s="137">
        <f t="shared" ref="L36:Q36" si="72">L29/L35</f>
        <v>-0.16635289083288954</v>
      </c>
      <c r="M36" s="137">
        <f t="shared" si="72"/>
        <v>-0.16738887206067943</v>
      </c>
      <c r="N36" s="137">
        <f t="shared" si="72"/>
        <v>-0.13947379565574061</v>
      </c>
      <c r="O36" s="137">
        <f t="shared" si="72"/>
        <v>-0.12716296152098627</v>
      </c>
      <c r="P36" s="137">
        <f t="shared" si="72"/>
        <v>-0.10504665603001249</v>
      </c>
      <c r="Q36" s="137">
        <f t="shared" si="72"/>
        <v>-0.1278857573949703</v>
      </c>
      <c r="R36" s="137">
        <f>R29/R35</f>
        <v>-0.1444839724286632</v>
      </c>
      <c r="S36" s="137">
        <f t="shared" ref="S36" si="73">S29/S35</f>
        <v>-0.13921494678760252</v>
      </c>
      <c r="T36" s="126"/>
      <c r="U36" s="137">
        <f t="shared" ref="U36" si="74">U29/U35</f>
        <v>-0.67933954954332132</v>
      </c>
      <c r="V36" s="137">
        <f t="shared" ref="V36" si="75">V29/V35</f>
        <v>-0.71204123333010849</v>
      </c>
      <c r="W36" s="137">
        <f t="shared" ref="W36" si="76">W29/W35</f>
        <v>-0.76067534065758247</v>
      </c>
      <c r="X36" s="137">
        <f t="shared" ref="X36" si="77">X29/X35</f>
        <v>-0.74135513794797625</v>
      </c>
      <c r="Y36" s="137">
        <f t="shared" ref="Y36" si="78">Y29/Y35</f>
        <v>-0.59539329897845272</v>
      </c>
      <c r="Z36" s="137">
        <f t="shared" ref="Z36" si="79">Z29/Z35</f>
        <v>-0.52578497612296327</v>
      </c>
      <c r="AA36" s="137">
        <f t="shared" ref="AA36" si="80">AA29/AA35</f>
        <v>-0.49226197793937942</v>
      </c>
      <c r="AB36" s="137">
        <f t="shared" ref="AB36" si="81">AB29/AB35</f>
        <v>-0.49125055740009671</v>
      </c>
      <c r="AC36" s="137">
        <f t="shared" ref="AC36" si="82">AC29/AC35</f>
        <v>-0.51519114817215872</v>
      </c>
      <c r="AD36" s="43"/>
      <c r="AE36" s="73">
        <f>SUM(AC36/Y36)-1</f>
        <v>-0.13470449019816144</v>
      </c>
    </row>
    <row r="37" spans="1:31" s="143" customFormat="1" ht="5.0999999999999996" customHeight="1" thickBot="1">
      <c r="B37" s="144"/>
      <c r="C37" s="145"/>
      <c r="D37" s="145"/>
      <c r="E37" s="145"/>
      <c r="F37" s="145"/>
      <c r="G37" s="146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7"/>
      <c r="U37" s="145"/>
      <c r="V37" s="145"/>
      <c r="W37" s="145"/>
      <c r="X37" s="145"/>
      <c r="Y37" s="145"/>
      <c r="Z37" s="145"/>
      <c r="AA37" s="145"/>
      <c r="AB37" s="145"/>
      <c r="AC37" s="145"/>
      <c r="AD37" s="148"/>
      <c r="AE37" s="149"/>
    </row>
    <row r="38" spans="1:31">
      <c r="B38" s="16"/>
      <c r="C38" s="17"/>
      <c r="D38" s="17"/>
      <c r="E38" s="17"/>
      <c r="F38" s="17"/>
      <c r="G38" s="2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28"/>
      <c r="U38" s="17"/>
      <c r="V38" s="17"/>
      <c r="W38" s="17"/>
      <c r="X38" s="17"/>
      <c r="Y38" s="17"/>
      <c r="Z38" s="17"/>
      <c r="AA38" s="17"/>
      <c r="AB38" s="17"/>
      <c r="AC38" s="17"/>
      <c r="AD38" s="43"/>
    </row>
    <row r="39" spans="1:31" ht="12.75" customHeight="1">
      <c r="A39" s="5" t="s">
        <v>18</v>
      </c>
      <c r="B39" s="100" t="s">
        <v>69</v>
      </c>
      <c r="C39" s="101" t="s">
        <v>0</v>
      </c>
      <c r="D39" s="101" t="s">
        <v>0</v>
      </c>
      <c r="E39" s="101"/>
      <c r="F39" s="101"/>
      <c r="G39" s="102"/>
      <c r="H39" s="101" t="s">
        <v>1</v>
      </c>
      <c r="I39" s="101"/>
      <c r="J39" s="101"/>
      <c r="K39" s="101"/>
      <c r="L39" s="101" t="s">
        <v>1</v>
      </c>
      <c r="M39" s="101"/>
      <c r="N39" s="101"/>
      <c r="O39" s="101"/>
      <c r="P39" s="101"/>
      <c r="Q39" s="101"/>
      <c r="R39" s="101" t="s">
        <v>1</v>
      </c>
      <c r="S39" s="101"/>
      <c r="T39" s="100"/>
      <c r="U39" s="101"/>
      <c r="V39" s="101"/>
      <c r="W39" s="101"/>
      <c r="X39" s="101" t="s">
        <v>10</v>
      </c>
      <c r="Y39" s="101" t="s">
        <v>10</v>
      </c>
      <c r="Z39" s="101"/>
      <c r="AA39" s="101"/>
      <c r="AB39" s="101"/>
      <c r="AC39" s="101"/>
      <c r="AD39" s="102"/>
      <c r="AE39" s="140" t="s">
        <v>23</v>
      </c>
    </row>
    <row r="40" spans="1:31" ht="12.75" customHeight="1">
      <c r="B40" s="104" t="str">
        <f>B7</f>
        <v>Fiscal Period</v>
      </c>
      <c r="C40" s="103">
        <f>C7</f>
        <v>2021</v>
      </c>
      <c r="D40" s="103">
        <f>D7</f>
        <v>2022</v>
      </c>
      <c r="E40" s="103">
        <f>E7</f>
        <v>2023</v>
      </c>
      <c r="F40" s="103">
        <f>F7</f>
        <v>2024</v>
      </c>
      <c r="G40" s="102"/>
      <c r="H40" s="103" t="str">
        <f>H7</f>
        <v>1Q22</v>
      </c>
      <c r="I40" s="103" t="str">
        <f>I7</f>
        <v>2Q22</v>
      </c>
      <c r="J40" s="103" t="str">
        <f>J7</f>
        <v>3Q22</v>
      </c>
      <c r="K40" s="103" t="str">
        <f>K7</f>
        <v>4Q22</v>
      </c>
      <c r="L40" s="103" t="str">
        <f>L7</f>
        <v>1Q23</v>
      </c>
      <c r="M40" s="103" t="str">
        <f>M7</f>
        <v>2Q23</v>
      </c>
      <c r="N40" s="103" t="str">
        <f>N7</f>
        <v>3Q23</v>
      </c>
      <c r="O40" s="103" t="str">
        <f>O7</f>
        <v>4Q23</v>
      </c>
      <c r="P40" s="103" t="str">
        <f>P7</f>
        <v>1Q24</v>
      </c>
      <c r="Q40" s="103" t="str">
        <f>Q7</f>
        <v>2Q24</v>
      </c>
      <c r="R40" s="103" t="str">
        <f>R7</f>
        <v>3Q24</v>
      </c>
      <c r="S40" s="103" t="str">
        <f>S7</f>
        <v>4Q24</v>
      </c>
      <c r="T40" s="105"/>
      <c r="U40" s="103" t="str">
        <f>U7</f>
        <v>4Q22</v>
      </c>
      <c r="V40" s="103" t="str">
        <f>V7</f>
        <v>1Q23</v>
      </c>
      <c r="W40" s="103" t="str">
        <f>W7</f>
        <v>2Q23</v>
      </c>
      <c r="X40" s="103" t="str">
        <f>X7</f>
        <v>3Q23</v>
      </c>
      <c r="Y40" s="103" t="str">
        <f>Y7</f>
        <v>4Q23</v>
      </c>
      <c r="Z40" s="103" t="str">
        <f>Z7</f>
        <v>1Q24</v>
      </c>
      <c r="AA40" s="103" t="str">
        <f>AA7</f>
        <v>2Q24</v>
      </c>
      <c r="AB40" s="103" t="str">
        <f>AB7</f>
        <v>3Q24</v>
      </c>
      <c r="AC40" s="103" t="str">
        <f>AC7</f>
        <v>4Q24</v>
      </c>
      <c r="AD40" s="102"/>
      <c r="AE40" s="140"/>
    </row>
    <row r="41" spans="1:31" ht="12.75" customHeight="1">
      <c r="B41" s="104" t="str">
        <f>B8</f>
        <v>Fiscal Period End Date</v>
      </c>
      <c r="C41" s="106">
        <f>C8</f>
        <v>44561</v>
      </c>
      <c r="D41" s="106">
        <f>D8</f>
        <v>44926</v>
      </c>
      <c r="E41" s="106">
        <f>E8</f>
        <v>45291</v>
      </c>
      <c r="F41" s="106">
        <f>F8</f>
        <v>45657</v>
      </c>
      <c r="G41" s="102"/>
      <c r="H41" s="106">
        <f>H8</f>
        <v>44651</v>
      </c>
      <c r="I41" s="106">
        <f>I8</f>
        <v>44742</v>
      </c>
      <c r="J41" s="106">
        <f>J8</f>
        <v>44834</v>
      </c>
      <c r="K41" s="106">
        <f>K8</f>
        <v>44926</v>
      </c>
      <c r="L41" s="106">
        <f>L8</f>
        <v>45016</v>
      </c>
      <c r="M41" s="106">
        <f>M8</f>
        <v>45107</v>
      </c>
      <c r="N41" s="106">
        <f>N8</f>
        <v>45199</v>
      </c>
      <c r="O41" s="106">
        <f>O8</f>
        <v>45291</v>
      </c>
      <c r="P41" s="106">
        <f>P8</f>
        <v>45382</v>
      </c>
      <c r="Q41" s="106">
        <f>Q8</f>
        <v>45473</v>
      </c>
      <c r="R41" s="106">
        <f>R8</f>
        <v>45565</v>
      </c>
      <c r="S41" s="106">
        <f>S8</f>
        <v>45657</v>
      </c>
      <c r="T41" s="107"/>
      <c r="U41" s="106">
        <f>U8</f>
        <v>44926</v>
      </c>
      <c r="V41" s="106">
        <f>V8</f>
        <v>45016</v>
      </c>
      <c r="W41" s="106">
        <f>W8</f>
        <v>45107</v>
      </c>
      <c r="X41" s="106">
        <f>X8</f>
        <v>45199</v>
      </c>
      <c r="Y41" s="106">
        <f>Y8</f>
        <v>45291</v>
      </c>
      <c r="Z41" s="106">
        <f>Z8</f>
        <v>45382</v>
      </c>
      <c r="AA41" s="106">
        <f>AA8</f>
        <v>45473</v>
      </c>
      <c r="AB41" s="106">
        <f>AB8</f>
        <v>45565</v>
      </c>
      <c r="AC41" s="106">
        <f>AC8</f>
        <v>45657</v>
      </c>
      <c r="AD41" s="102"/>
      <c r="AE41" s="140"/>
    </row>
    <row r="42" spans="1:31" ht="5.0999999999999996" customHeight="1">
      <c r="B42" s="47"/>
      <c r="C42" s="48"/>
      <c r="D42" s="48"/>
      <c r="E42" s="48"/>
      <c r="F42" s="48"/>
    </row>
    <row r="43" spans="1:31">
      <c r="B43" s="75" t="s">
        <v>20</v>
      </c>
      <c r="C43" s="48"/>
      <c r="D43" s="48"/>
      <c r="E43" s="48"/>
      <c r="F43" s="48"/>
    </row>
    <row r="44" spans="1:31" s="116" customFormat="1" ht="12.75" customHeight="1">
      <c r="B44" s="108" t="s">
        <v>88</v>
      </c>
      <c r="C44" s="115">
        <v>152107.745</v>
      </c>
      <c r="D44" s="115">
        <v>149158</v>
      </c>
      <c r="E44" s="115">
        <v>151024</v>
      </c>
      <c r="F44" s="115">
        <v>132187</v>
      </c>
      <c r="G44" s="5"/>
      <c r="H44" s="115">
        <v>151146.35500000001</v>
      </c>
      <c r="I44" s="115">
        <v>153342.55600000001</v>
      </c>
      <c r="J44" s="115">
        <v>153199.35200000001</v>
      </c>
      <c r="K44" s="91">
        <f>D44</f>
        <v>149158</v>
      </c>
      <c r="L44" s="115">
        <v>143621.848</v>
      </c>
      <c r="M44" s="115">
        <v>153466.962</v>
      </c>
      <c r="N44" s="115">
        <v>154817.16399999999</v>
      </c>
      <c r="O44" s="91">
        <f>E44</f>
        <v>151024</v>
      </c>
      <c r="P44" s="115">
        <v>143765</v>
      </c>
      <c r="Q44" s="115">
        <v>139386</v>
      </c>
      <c r="R44" s="115">
        <v>138756</v>
      </c>
      <c r="S44" s="91">
        <f>F44</f>
        <v>132187</v>
      </c>
      <c r="U44" s="90">
        <f>K44</f>
        <v>149158</v>
      </c>
      <c r="V44" s="90">
        <f>L44</f>
        <v>143621.848</v>
      </c>
      <c r="W44" s="90">
        <f>M44</f>
        <v>153466.962</v>
      </c>
      <c r="X44" s="90">
        <f>N44</f>
        <v>154817.16399999999</v>
      </c>
      <c r="Y44" s="90">
        <f>O44</f>
        <v>151024</v>
      </c>
      <c r="Z44" s="90">
        <f>P44</f>
        <v>143765</v>
      </c>
      <c r="AA44" s="90">
        <f>Q44</f>
        <v>139386</v>
      </c>
      <c r="AB44" s="90">
        <f>R44</f>
        <v>138756</v>
      </c>
      <c r="AC44" s="90">
        <f>S44</f>
        <v>132187</v>
      </c>
      <c r="AD44" s="117"/>
      <c r="AE44" s="72">
        <f t="shared" ref="AE44:AE46" si="83">SUM(AC44/Y44)-1</f>
        <v>-0.12472851997033585</v>
      </c>
    </row>
    <row r="45" spans="1:31" s="116" customFormat="1" ht="12.75" customHeight="1">
      <c r="B45" s="108" t="s">
        <v>130</v>
      </c>
      <c r="C45" s="115">
        <v>9136.8310000000001</v>
      </c>
      <c r="D45" s="115">
        <v>3193</v>
      </c>
      <c r="E45" s="115">
        <v>2709</v>
      </c>
      <c r="F45" s="115">
        <v>2449</v>
      </c>
      <c r="G45" s="5"/>
      <c r="H45" s="115">
        <v>5372.1530000000002</v>
      </c>
      <c r="I45" s="115">
        <v>6468.9870000000001</v>
      </c>
      <c r="J45" s="115">
        <v>6559.8289999999997</v>
      </c>
      <c r="K45" s="91">
        <f t="shared" ref="K45:K46" si="84">D45</f>
        <v>3193</v>
      </c>
      <c r="L45" s="115">
        <v>4094.431</v>
      </c>
      <c r="M45" s="115">
        <v>4737.6610000000001</v>
      </c>
      <c r="N45" s="115">
        <v>2165.127</v>
      </c>
      <c r="O45" s="91">
        <f t="shared" ref="O45:O46" si="85">E45</f>
        <v>2709</v>
      </c>
      <c r="P45" s="115">
        <v>3549</v>
      </c>
      <c r="Q45" s="115">
        <v>3785</v>
      </c>
      <c r="R45" s="115">
        <v>1720</v>
      </c>
      <c r="S45" s="91">
        <f t="shared" ref="S45:S46" si="86">F45</f>
        <v>2449</v>
      </c>
      <c r="U45" s="90"/>
      <c r="V45" s="90"/>
      <c r="W45" s="90"/>
      <c r="X45" s="90"/>
      <c r="Y45" s="90">
        <f>O45</f>
        <v>2709</v>
      </c>
      <c r="Z45" s="90">
        <f>P45</f>
        <v>3549</v>
      </c>
      <c r="AA45" s="90">
        <f>Q45</f>
        <v>3785</v>
      </c>
      <c r="AB45" s="90">
        <f>R45</f>
        <v>1720</v>
      </c>
      <c r="AC45" s="90">
        <f>S45</f>
        <v>2449</v>
      </c>
      <c r="AD45" s="117"/>
      <c r="AE45" s="72"/>
    </row>
    <row r="46" spans="1:31" s="116" customFormat="1" ht="12.75" customHeight="1">
      <c r="B46" s="151" t="s">
        <v>101</v>
      </c>
      <c r="C46" s="115">
        <v>371.91399999999999</v>
      </c>
      <c r="D46" s="115">
        <v>354</v>
      </c>
      <c r="E46" s="115">
        <v>653</v>
      </c>
      <c r="F46" s="115">
        <v>931</v>
      </c>
      <c r="G46" s="5"/>
      <c r="H46" s="115">
        <v>377.86</v>
      </c>
      <c r="I46" s="115">
        <v>464.60500000000002</v>
      </c>
      <c r="J46" s="115">
        <v>461.96300000000002</v>
      </c>
      <c r="K46" s="91">
        <f t="shared" si="84"/>
        <v>354</v>
      </c>
      <c r="L46" s="115">
        <v>655.64300000000003</v>
      </c>
      <c r="M46" s="115">
        <v>981.774</v>
      </c>
      <c r="N46" s="115">
        <v>827.572</v>
      </c>
      <c r="O46" s="91">
        <f t="shared" si="85"/>
        <v>653</v>
      </c>
      <c r="P46" s="115">
        <v>756</v>
      </c>
      <c r="Q46" s="115">
        <v>1345</v>
      </c>
      <c r="R46" s="115">
        <v>1059</v>
      </c>
      <c r="S46" s="91">
        <f t="shared" si="86"/>
        <v>931</v>
      </c>
      <c r="U46" s="90">
        <f>K46</f>
        <v>354</v>
      </c>
      <c r="V46" s="90">
        <f>L46</f>
        <v>655.64300000000003</v>
      </c>
      <c r="W46" s="90">
        <f>M46</f>
        <v>981.774</v>
      </c>
      <c r="X46" s="90">
        <f>N46</f>
        <v>827.572</v>
      </c>
      <c r="Y46" s="90">
        <f>O46</f>
        <v>653</v>
      </c>
      <c r="Z46" s="90">
        <f>P46</f>
        <v>756</v>
      </c>
      <c r="AA46" s="90">
        <f>Q46</f>
        <v>1345</v>
      </c>
      <c r="AB46" s="90">
        <f>R46</f>
        <v>1059</v>
      </c>
      <c r="AC46" s="90">
        <f>S46</f>
        <v>931</v>
      </c>
      <c r="AD46" s="117"/>
      <c r="AE46" s="72">
        <f t="shared" si="83"/>
        <v>0.42572741194486974</v>
      </c>
    </row>
    <row r="47" spans="1:31" ht="12.75" customHeight="1">
      <c r="B47" s="13" t="s">
        <v>20</v>
      </c>
      <c r="C47" s="14">
        <f>SUM(C44:C46)</f>
        <v>161616.49</v>
      </c>
      <c r="D47" s="14">
        <f>SUM(D44:D46)</f>
        <v>152705</v>
      </c>
      <c r="E47" s="14">
        <f>SUM(E44:E46)</f>
        <v>154386</v>
      </c>
      <c r="F47" s="14">
        <f>SUM(F44:F46)</f>
        <v>135567</v>
      </c>
      <c r="H47" s="14">
        <f>SUM(H44:H46)</f>
        <v>156896.36799999999</v>
      </c>
      <c r="I47" s="14">
        <f>SUM(I44:I46)</f>
        <v>160276.14800000002</v>
      </c>
      <c r="J47" s="14">
        <f>SUM(J44:J46)</f>
        <v>160221.144</v>
      </c>
      <c r="K47" s="14">
        <f>SUM(K44:K46)</f>
        <v>152705</v>
      </c>
      <c r="L47" s="14">
        <f>SUM(L44:L46)</f>
        <v>148371.92200000002</v>
      </c>
      <c r="M47" s="14">
        <f>SUM(M44:M46)</f>
        <v>159186.397</v>
      </c>
      <c r="N47" s="14">
        <f>SUM(N44:N46)</f>
        <v>157809.86299999998</v>
      </c>
      <c r="O47" s="14">
        <f>SUM(O44:O46)</f>
        <v>154386</v>
      </c>
      <c r="P47" s="14">
        <f>SUM(P44:P46)</f>
        <v>148070</v>
      </c>
      <c r="Q47" s="14">
        <f>SUM(Q44:Q46)</f>
        <v>144516</v>
      </c>
      <c r="R47" s="14">
        <f>SUM(R44:R46)</f>
        <v>141535</v>
      </c>
      <c r="S47" s="14">
        <f>SUM(S44:S46)</f>
        <v>135567</v>
      </c>
      <c r="U47" s="14">
        <f>SUM(U44:U46)</f>
        <v>149512</v>
      </c>
      <c r="V47" s="14">
        <f>SUM(V44:V46)</f>
        <v>144277.49100000001</v>
      </c>
      <c r="W47" s="14">
        <f>SUM(W44:W46)</f>
        <v>154448.736</v>
      </c>
      <c r="X47" s="14">
        <f>SUM(X44:X46)</f>
        <v>155644.73599999998</v>
      </c>
      <c r="Y47" s="14">
        <f>SUM(Y44:Y46)</f>
        <v>154386</v>
      </c>
      <c r="Z47" s="14">
        <f>SUM(Z44:Z46)</f>
        <v>148070</v>
      </c>
      <c r="AA47" s="14">
        <f>SUM(AA44:AA46)</f>
        <v>144516</v>
      </c>
      <c r="AB47" s="14">
        <f>SUM(AB44:AB46)</f>
        <v>141535</v>
      </c>
      <c r="AC47" s="34">
        <f>SUM(AC44:AC46)</f>
        <v>135567</v>
      </c>
      <c r="AD47" s="42"/>
      <c r="AE47" s="73">
        <f>SUM(AC47/Y47)-1</f>
        <v>-0.12189576775096189</v>
      </c>
    </row>
    <row r="48" spans="1:31" ht="5.0999999999999996" customHeight="1">
      <c r="B48" s="25"/>
      <c r="C48" s="50"/>
      <c r="D48" s="50"/>
      <c r="E48" s="41"/>
      <c r="F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39"/>
    </row>
    <row r="49" spans="2:31" ht="5.0999999999999996" customHeight="1">
      <c r="B49" s="25"/>
      <c r="C49" s="51"/>
      <c r="D49" s="51"/>
      <c r="E49" s="41"/>
      <c r="F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39"/>
    </row>
    <row r="50" spans="2:31">
      <c r="B50" s="75" t="s">
        <v>17</v>
      </c>
      <c r="C50" s="51"/>
      <c r="D50" s="51"/>
      <c r="E50" s="41"/>
      <c r="F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39"/>
    </row>
    <row r="51" spans="2:31" ht="12.75" customHeight="1">
      <c r="B51" s="114" t="s">
        <v>13</v>
      </c>
      <c r="C51" s="76">
        <v>4739.7809999999999</v>
      </c>
      <c r="D51" s="76">
        <v>3825</v>
      </c>
      <c r="E51" s="76">
        <v>4322</v>
      </c>
      <c r="F51" s="76">
        <v>9627</v>
      </c>
      <c r="H51" s="115">
        <v>4634.7910000000002</v>
      </c>
      <c r="I51" s="115">
        <v>2631.8879999999999</v>
      </c>
      <c r="J51" s="115">
        <v>3126.8919999999998</v>
      </c>
      <c r="K51" s="91">
        <f t="shared" ref="K51:K53" si="87">D51</f>
        <v>3825</v>
      </c>
      <c r="L51" s="115">
        <v>5288.2610000000004</v>
      </c>
      <c r="M51" s="115">
        <v>6281.7420000000002</v>
      </c>
      <c r="N51" s="115">
        <v>4152.8459999999995</v>
      </c>
      <c r="O51" s="91">
        <f t="shared" ref="O51:O53" si="88">E51</f>
        <v>4322</v>
      </c>
      <c r="P51" s="115">
        <v>4292</v>
      </c>
      <c r="Q51" s="115">
        <v>3726</v>
      </c>
      <c r="R51" s="115">
        <v>3503</v>
      </c>
      <c r="S51" s="91">
        <f t="shared" ref="S51:S53" si="89">F51</f>
        <v>9627</v>
      </c>
      <c r="T51" s="115"/>
      <c r="U51" s="90">
        <f t="shared" ref="U51:U53" si="90">K51</f>
        <v>3825</v>
      </c>
      <c r="V51" s="90">
        <f t="shared" ref="V51:V53" si="91">L51</f>
        <v>5288.2610000000004</v>
      </c>
      <c r="W51" s="90">
        <f t="shared" ref="W51:W53" si="92">M51</f>
        <v>6281.7420000000002</v>
      </c>
      <c r="X51" s="90">
        <f t="shared" ref="X51:X53" si="93">N51</f>
        <v>4152.8459999999995</v>
      </c>
      <c r="Y51" s="90">
        <f t="shared" ref="Y51:Y53" si="94">O51</f>
        <v>4322</v>
      </c>
      <c r="Z51" s="90">
        <f t="shared" ref="Z51:Z53" si="95">P51</f>
        <v>4292</v>
      </c>
      <c r="AA51" s="90">
        <f t="shared" ref="AA51:AA53" si="96">Q51</f>
        <v>3726</v>
      </c>
      <c r="AB51" s="90">
        <f t="shared" ref="AB51:AB53" si="97">R51</f>
        <v>3503</v>
      </c>
      <c r="AC51" s="90">
        <f t="shared" ref="AC51:AC53" si="98">S51</f>
        <v>9627</v>
      </c>
      <c r="AD51" s="42"/>
      <c r="AE51" s="72">
        <f t="shared" ref="AE51:AE53" si="99">SUM(AC51/Y51)-1</f>
        <v>1.2274409995372513</v>
      </c>
    </row>
    <row r="52" spans="2:31" ht="12.75" customHeight="1">
      <c r="B52" s="114" t="s">
        <v>131</v>
      </c>
      <c r="C52" s="76">
        <v>5614.7740000000003</v>
      </c>
      <c r="D52" s="76">
        <v>5945</v>
      </c>
      <c r="E52" s="76">
        <v>7295</v>
      </c>
      <c r="F52" s="76">
        <v>4835</v>
      </c>
      <c r="H52" s="115">
        <v>5450.04</v>
      </c>
      <c r="I52" s="115">
        <v>4995.3879999999999</v>
      </c>
      <c r="J52" s="115">
        <v>5913.8209999999999</v>
      </c>
      <c r="K52" s="91">
        <f t="shared" si="87"/>
        <v>5945</v>
      </c>
      <c r="L52" s="115">
        <v>7042.8220000000001</v>
      </c>
      <c r="M52" s="115">
        <v>6822.8379999999997</v>
      </c>
      <c r="N52" s="115">
        <v>5985.6580000000004</v>
      </c>
      <c r="O52" s="91">
        <f t="shared" si="88"/>
        <v>7295</v>
      </c>
      <c r="P52" s="115">
        <v>7286</v>
      </c>
      <c r="Q52" s="115">
        <v>4915</v>
      </c>
      <c r="R52" s="115">
        <v>7334</v>
      </c>
      <c r="S52" s="91">
        <f t="shared" si="89"/>
        <v>4835</v>
      </c>
      <c r="T52" s="115"/>
      <c r="U52" s="90">
        <f t="shared" si="90"/>
        <v>5945</v>
      </c>
      <c r="V52" s="90">
        <f t="shared" si="91"/>
        <v>7042.8220000000001</v>
      </c>
      <c r="W52" s="90">
        <f t="shared" si="92"/>
        <v>6822.8379999999997</v>
      </c>
      <c r="X52" s="90">
        <f t="shared" si="93"/>
        <v>5985.6580000000004</v>
      </c>
      <c r="Y52" s="90">
        <f t="shared" si="94"/>
        <v>7295</v>
      </c>
      <c r="Z52" s="90">
        <f t="shared" si="95"/>
        <v>7286</v>
      </c>
      <c r="AA52" s="90">
        <f t="shared" si="96"/>
        <v>4915</v>
      </c>
      <c r="AB52" s="90">
        <f t="shared" si="97"/>
        <v>7334</v>
      </c>
      <c r="AC52" s="90">
        <f t="shared" si="98"/>
        <v>4835</v>
      </c>
      <c r="AD52" s="42"/>
      <c r="AE52" s="72">
        <f t="shared" si="99"/>
        <v>-0.33721727210418095</v>
      </c>
    </row>
    <row r="53" spans="2:31" ht="12.75" customHeight="1">
      <c r="B53" s="114" t="s">
        <v>132</v>
      </c>
      <c r="C53" s="76">
        <v>443.83100000000002</v>
      </c>
      <c r="D53" s="76">
        <v>444</v>
      </c>
      <c r="E53" s="76">
        <v>917</v>
      </c>
      <c r="F53" s="76">
        <v>842</v>
      </c>
      <c r="H53" s="115">
        <v>443.83100000000002</v>
      </c>
      <c r="I53" s="115">
        <v>443.83100000000002</v>
      </c>
      <c r="J53" s="115">
        <v>443.83100000000002</v>
      </c>
      <c r="K53" s="91">
        <f t="shared" si="87"/>
        <v>444</v>
      </c>
      <c r="L53" s="115">
        <v>916.76300000000003</v>
      </c>
      <c r="M53" s="115">
        <v>916.76300000000003</v>
      </c>
      <c r="N53" s="115">
        <v>916.76300000000003</v>
      </c>
      <c r="O53" s="91">
        <f t="shared" si="88"/>
        <v>917</v>
      </c>
      <c r="P53" s="115">
        <v>917</v>
      </c>
      <c r="Q53" s="115">
        <v>917</v>
      </c>
      <c r="R53" s="115">
        <v>917</v>
      </c>
      <c r="S53" s="91">
        <f t="shared" si="89"/>
        <v>842</v>
      </c>
      <c r="T53" s="115"/>
      <c r="U53" s="90">
        <f t="shared" si="90"/>
        <v>444</v>
      </c>
      <c r="V53" s="90">
        <f t="shared" si="91"/>
        <v>916.76300000000003</v>
      </c>
      <c r="W53" s="90">
        <f t="shared" si="92"/>
        <v>916.76300000000003</v>
      </c>
      <c r="X53" s="90">
        <f t="shared" si="93"/>
        <v>916.76300000000003</v>
      </c>
      <c r="Y53" s="90">
        <f t="shared" si="94"/>
        <v>917</v>
      </c>
      <c r="Z53" s="90">
        <f t="shared" si="95"/>
        <v>917</v>
      </c>
      <c r="AA53" s="90">
        <f t="shared" si="96"/>
        <v>917</v>
      </c>
      <c r="AB53" s="90">
        <f t="shared" si="97"/>
        <v>917</v>
      </c>
      <c r="AC53" s="90">
        <f t="shared" si="98"/>
        <v>842</v>
      </c>
      <c r="AD53" s="42"/>
      <c r="AE53" s="72">
        <f t="shared" si="99"/>
        <v>-8.1788440567066467E-2</v>
      </c>
    </row>
    <row r="54" spans="2:31" ht="12.75" customHeight="1">
      <c r="B54" s="13" t="s">
        <v>17</v>
      </c>
      <c r="C54" s="14">
        <f>SUM(C51:C53)</f>
        <v>10798.386</v>
      </c>
      <c r="D54" s="14">
        <f>SUM(D51:D53)</f>
        <v>10214</v>
      </c>
      <c r="E54" s="14">
        <f>SUM(E51:E53)</f>
        <v>12534</v>
      </c>
      <c r="F54" s="14">
        <f>SUM(F51:F53)</f>
        <v>15304</v>
      </c>
      <c r="H54" s="14">
        <f>SUM(H51:H53)</f>
        <v>10528.662</v>
      </c>
      <c r="I54" s="14">
        <f>SUM(I51:I53)</f>
        <v>8071.107</v>
      </c>
      <c r="J54" s="14">
        <f>SUM(J51:J53)</f>
        <v>9484.5439999999999</v>
      </c>
      <c r="K54" s="14">
        <f>SUM(K51:K53)</f>
        <v>10214</v>
      </c>
      <c r="L54" s="14">
        <f>SUM(L51:L53)</f>
        <v>13247.846000000001</v>
      </c>
      <c r="M54" s="14">
        <f>SUM(M51:M53)</f>
        <v>14021.343000000001</v>
      </c>
      <c r="N54" s="14">
        <f>SUM(N51:N53)</f>
        <v>11055.267000000002</v>
      </c>
      <c r="O54" s="14">
        <f>SUM(O51:O53)</f>
        <v>12534</v>
      </c>
      <c r="P54" s="14">
        <f>SUM(P51:P53)</f>
        <v>12495</v>
      </c>
      <c r="Q54" s="14">
        <f>SUM(Q51:Q53)</f>
        <v>9558</v>
      </c>
      <c r="R54" s="14">
        <f>SUM(R51:R53)</f>
        <v>11754</v>
      </c>
      <c r="S54" s="14">
        <f>SUM(S51:S53)</f>
        <v>15304</v>
      </c>
      <c r="T54" s="115"/>
      <c r="U54" s="14">
        <f>SUM(U51:U53)</f>
        <v>10214</v>
      </c>
      <c r="V54" s="14">
        <f>SUM(V51:V53)</f>
        <v>13247.846000000001</v>
      </c>
      <c r="W54" s="14">
        <f>SUM(W51:W53)</f>
        <v>14021.343000000001</v>
      </c>
      <c r="X54" s="14">
        <f>SUM(X51:X53)</f>
        <v>11055.267000000002</v>
      </c>
      <c r="Y54" s="14">
        <f>SUM(Y51:Y53)</f>
        <v>12534</v>
      </c>
      <c r="Z54" s="14">
        <f>SUM(Z51:Z53)</f>
        <v>12495</v>
      </c>
      <c r="AA54" s="14">
        <f>SUM(AA51:AA53)</f>
        <v>9558</v>
      </c>
      <c r="AB54" s="14">
        <f>SUM(AB51:AB53)</f>
        <v>11754</v>
      </c>
      <c r="AC54" s="14">
        <f>SUM(AC51:AC53)</f>
        <v>15304</v>
      </c>
      <c r="AD54" s="42"/>
      <c r="AE54" s="73">
        <f t="shared" ref="AE54:AE62" si="100">SUM(AC54/Y54)-1</f>
        <v>0.2209988830381362</v>
      </c>
    </row>
    <row r="55" spans="2:31" ht="5.0999999999999996" customHeight="1">
      <c r="B55" s="25"/>
      <c r="C55" s="50"/>
      <c r="D55" s="50"/>
      <c r="E55" s="41"/>
      <c r="F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39"/>
    </row>
    <row r="56" spans="2:31" ht="12.75" customHeight="1">
      <c r="B56" s="9" t="s">
        <v>133</v>
      </c>
      <c r="C56" s="76">
        <v>0</v>
      </c>
      <c r="D56" s="76">
        <v>0</v>
      </c>
      <c r="E56" s="76">
        <v>0</v>
      </c>
      <c r="F56" s="76">
        <v>0</v>
      </c>
      <c r="H56" s="115">
        <v>0</v>
      </c>
      <c r="I56" s="115"/>
      <c r="J56" s="115">
        <v>0</v>
      </c>
      <c r="K56" s="91">
        <f t="shared" ref="K56:K60" si="101">D56</f>
        <v>0</v>
      </c>
      <c r="L56" s="115">
        <v>0</v>
      </c>
      <c r="M56" s="115">
        <v>0</v>
      </c>
      <c r="N56" s="115">
        <v>0</v>
      </c>
      <c r="O56" s="91">
        <f t="shared" ref="O56:O60" si="102">E56</f>
        <v>0</v>
      </c>
      <c r="P56" s="115">
        <v>0</v>
      </c>
      <c r="Q56" s="115">
        <v>0</v>
      </c>
      <c r="R56" s="115">
        <v>0</v>
      </c>
      <c r="S56" s="91">
        <f t="shared" ref="S56:S60" si="103">F56</f>
        <v>0</v>
      </c>
      <c r="U56" s="90">
        <f t="shared" ref="U56:U60" si="104">K56</f>
        <v>0</v>
      </c>
      <c r="V56" s="90">
        <f t="shared" ref="V56:V60" si="105">L56</f>
        <v>0</v>
      </c>
      <c r="W56" s="90">
        <f t="shared" ref="W56:W60" si="106">M56</f>
        <v>0</v>
      </c>
      <c r="X56" s="90">
        <f t="shared" ref="X56:X60" si="107">N56</f>
        <v>0</v>
      </c>
      <c r="Y56" s="90">
        <f t="shared" ref="Y56:Y60" si="108">O56</f>
        <v>0</v>
      </c>
      <c r="Z56" s="90">
        <f t="shared" ref="Z56:Z60" si="109">P56</f>
        <v>0</v>
      </c>
      <c r="AA56" s="90">
        <f t="shared" ref="AA56:AA60" si="110">Q56</f>
        <v>0</v>
      </c>
      <c r="AB56" s="90">
        <f t="shared" ref="AB56:AB60" si="111">R56</f>
        <v>0</v>
      </c>
      <c r="AC56" s="90">
        <f t="shared" ref="AC56:AC60" si="112">S56</f>
        <v>0</v>
      </c>
      <c r="AD56" s="11"/>
      <c r="AE56" s="72" t="e">
        <f t="shared" si="100"/>
        <v>#DIV/0!</v>
      </c>
    </row>
    <row r="57" spans="2:31" ht="12.75" customHeight="1">
      <c r="B57" s="9" t="s">
        <v>19</v>
      </c>
      <c r="C57" s="76">
        <v>75.92</v>
      </c>
      <c r="D57" s="76">
        <v>78</v>
      </c>
      <c r="E57" s="76">
        <v>82</v>
      </c>
      <c r="F57" s="76">
        <v>85</v>
      </c>
      <c r="H57" s="115">
        <v>76.156000000000006</v>
      </c>
      <c r="I57" s="115">
        <v>77.162999999999997</v>
      </c>
      <c r="J57" s="115">
        <v>77.944000000000003</v>
      </c>
      <c r="K57" s="91">
        <f t="shared" si="101"/>
        <v>78</v>
      </c>
      <c r="L57" s="115">
        <v>78.033000000000001</v>
      </c>
      <c r="M57" s="115">
        <v>80.236000000000004</v>
      </c>
      <c r="N57" s="115">
        <v>81.391000000000005</v>
      </c>
      <c r="O57" s="91">
        <f t="shared" si="102"/>
        <v>82</v>
      </c>
      <c r="P57" s="115">
        <v>82</v>
      </c>
      <c r="Q57" s="115">
        <v>84</v>
      </c>
      <c r="R57" s="115">
        <v>85</v>
      </c>
      <c r="S57" s="91">
        <f t="shared" si="103"/>
        <v>85</v>
      </c>
      <c r="U57" s="90"/>
      <c r="V57" s="90"/>
      <c r="W57" s="90"/>
      <c r="X57" s="90"/>
      <c r="Y57" s="90">
        <f t="shared" ref="Y57" si="113">O57</f>
        <v>82</v>
      </c>
      <c r="Z57" s="90">
        <f t="shared" ref="Z57" si="114">P57</f>
        <v>82</v>
      </c>
      <c r="AA57" s="90">
        <f t="shared" ref="AA57" si="115">Q57</f>
        <v>84</v>
      </c>
      <c r="AB57" s="90">
        <f t="shared" ref="AB57" si="116">R57</f>
        <v>85</v>
      </c>
      <c r="AC57" s="90">
        <f t="shared" ref="AC57" si="117">S57</f>
        <v>85</v>
      </c>
      <c r="AD57" s="11"/>
      <c r="AE57" s="72"/>
    </row>
    <row r="58" spans="2:31" ht="12.75" customHeight="1">
      <c r="B58" s="9" t="s">
        <v>134</v>
      </c>
      <c r="C58" s="76"/>
      <c r="D58" s="76"/>
      <c r="E58" s="76"/>
      <c r="F58" s="76"/>
      <c r="H58" s="115">
        <v>0</v>
      </c>
      <c r="I58" s="115">
        <v>-403.69600000000003</v>
      </c>
      <c r="J58" s="115">
        <v>0</v>
      </c>
      <c r="K58" s="91">
        <f>D58</f>
        <v>0</v>
      </c>
      <c r="L58" s="115">
        <v>0</v>
      </c>
      <c r="M58" s="115">
        <v>0</v>
      </c>
      <c r="N58" s="115">
        <v>0</v>
      </c>
      <c r="O58" s="91">
        <f>E58</f>
        <v>0</v>
      </c>
      <c r="P58" s="115">
        <v>0</v>
      </c>
      <c r="Q58" s="115">
        <v>-234</v>
      </c>
      <c r="R58" s="115">
        <v>-89</v>
      </c>
      <c r="S58" s="91">
        <f>F58</f>
        <v>0</v>
      </c>
      <c r="U58" s="90">
        <f t="shared" si="104"/>
        <v>0</v>
      </c>
      <c r="V58" s="90">
        <f t="shared" si="105"/>
        <v>0</v>
      </c>
      <c r="W58" s="90">
        <f t="shared" si="106"/>
        <v>0</v>
      </c>
      <c r="X58" s="90">
        <f t="shared" si="107"/>
        <v>0</v>
      </c>
      <c r="Y58" s="90">
        <f t="shared" si="108"/>
        <v>0</v>
      </c>
      <c r="Z58" s="90">
        <f t="shared" si="109"/>
        <v>0</v>
      </c>
      <c r="AA58" s="90">
        <f t="shared" si="110"/>
        <v>-234</v>
      </c>
      <c r="AB58" s="90">
        <f t="shared" si="111"/>
        <v>-89</v>
      </c>
      <c r="AC58" s="90">
        <f t="shared" si="112"/>
        <v>0</v>
      </c>
      <c r="AD58" s="11"/>
      <c r="AE58" s="72" t="e">
        <f t="shared" si="100"/>
        <v>#DIV/0!</v>
      </c>
    </row>
    <row r="59" spans="2:31" ht="12.75" customHeight="1">
      <c r="B59" s="9" t="s">
        <v>102</v>
      </c>
      <c r="C59" s="76">
        <v>348328.04800000001</v>
      </c>
      <c r="D59" s="76">
        <v>387977</v>
      </c>
      <c r="E59" s="76">
        <v>434839</v>
      </c>
      <c r="F59" s="76">
        <v>456249</v>
      </c>
      <c r="H59" s="115">
        <v>354759.78100000002</v>
      </c>
      <c r="I59" s="115">
        <v>371437.61599999998</v>
      </c>
      <c r="J59" s="115">
        <v>381932.03899999999</v>
      </c>
      <c r="K59" s="91">
        <f t="shared" si="101"/>
        <v>387977</v>
      </c>
      <c r="L59" s="115">
        <v>393581.54399999999</v>
      </c>
      <c r="M59" s="115">
        <v>416727.598</v>
      </c>
      <c r="N59" s="115">
        <v>429595.96100000001</v>
      </c>
      <c r="O59" s="91">
        <f t="shared" si="102"/>
        <v>434839</v>
      </c>
      <c r="P59" s="115">
        <v>437184</v>
      </c>
      <c r="Q59" s="115">
        <v>447345</v>
      </c>
      <c r="R59" s="115">
        <v>454236</v>
      </c>
      <c r="S59" s="91">
        <f t="shared" si="103"/>
        <v>456249</v>
      </c>
      <c r="U59" s="90">
        <f t="shared" si="104"/>
        <v>387977</v>
      </c>
      <c r="V59" s="90">
        <f t="shared" si="105"/>
        <v>393581.54399999999</v>
      </c>
      <c r="W59" s="90">
        <f t="shared" si="106"/>
        <v>416727.598</v>
      </c>
      <c r="X59" s="90">
        <f t="shared" si="107"/>
        <v>429595.96100000001</v>
      </c>
      <c r="Y59" s="90">
        <f t="shared" si="108"/>
        <v>434839</v>
      </c>
      <c r="Z59" s="90">
        <f t="shared" si="109"/>
        <v>437184</v>
      </c>
      <c r="AA59" s="90">
        <f t="shared" si="110"/>
        <v>447345</v>
      </c>
      <c r="AB59" s="90">
        <f t="shared" si="111"/>
        <v>454236</v>
      </c>
      <c r="AC59" s="90">
        <f t="shared" si="112"/>
        <v>456249</v>
      </c>
      <c r="AD59" s="11"/>
      <c r="AE59" s="72">
        <f t="shared" si="100"/>
        <v>4.923661401116286E-2</v>
      </c>
    </row>
    <row r="60" spans="2:31" ht="12.75" customHeight="1">
      <c r="B60" s="9" t="s">
        <v>103</v>
      </c>
      <c r="C60" s="76">
        <v>-197585.864</v>
      </c>
      <c r="D60" s="76">
        <v>-245564</v>
      </c>
      <c r="E60" s="76">
        <v>-293069</v>
      </c>
      <c r="F60" s="76">
        <v>-336071</v>
      </c>
      <c r="H60" s="115">
        <v>-208468.231</v>
      </c>
      <c r="I60" s="115">
        <v>-218906.04199999999</v>
      </c>
      <c r="J60" s="115">
        <v>-231273.383</v>
      </c>
      <c r="K60" s="91">
        <f t="shared" si="101"/>
        <v>-245564</v>
      </c>
      <c r="L60" s="115">
        <v>-258535.50099999999</v>
      </c>
      <c r="M60" s="115">
        <v>-271642.78000000003</v>
      </c>
      <c r="N60" s="115">
        <v>-282922.75599999999</v>
      </c>
      <c r="O60" s="91">
        <f t="shared" si="102"/>
        <v>-293069</v>
      </c>
      <c r="P60" s="115">
        <v>-301691</v>
      </c>
      <c r="Q60" s="115">
        <v>-312237</v>
      </c>
      <c r="R60" s="115">
        <v>-324451</v>
      </c>
      <c r="S60" s="91">
        <f t="shared" si="103"/>
        <v>-336071</v>
      </c>
      <c r="U60" s="90">
        <f t="shared" si="104"/>
        <v>-245564</v>
      </c>
      <c r="V60" s="90">
        <f t="shared" si="105"/>
        <v>-258535.50099999999</v>
      </c>
      <c r="W60" s="90">
        <f t="shared" si="106"/>
        <v>-271642.78000000003</v>
      </c>
      <c r="X60" s="90">
        <f t="shared" si="107"/>
        <v>-282922.75599999999</v>
      </c>
      <c r="Y60" s="90">
        <f t="shared" si="108"/>
        <v>-293069</v>
      </c>
      <c r="Z60" s="90">
        <f t="shared" si="109"/>
        <v>-301691</v>
      </c>
      <c r="AA60" s="90">
        <f t="shared" si="110"/>
        <v>-312237</v>
      </c>
      <c r="AB60" s="90">
        <f t="shared" si="111"/>
        <v>-324451</v>
      </c>
      <c r="AC60" s="90">
        <f t="shared" si="112"/>
        <v>-336071</v>
      </c>
      <c r="AD60" s="11"/>
      <c r="AE60" s="72">
        <f t="shared" si="100"/>
        <v>0.14672995096717845</v>
      </c>
    </row>
    <row r="61" spans="2:31" ht="12.75" customHeight="1">
      <c r="B61" s="13" t="s">
        <v>16</v>
      </c>
      <c r="C61" s="14">
        <f>SUM(C56:C60)</f>
        <v>150818.10399999999</v>
      </c>
      <c r="D61" s="14">
        <f>SUM(D56:D60)</f>
        <v>142491</v>
      </c>
      <c r="E61" s="14">
        <f>SUM(E56:E60)</f>
        <v>141852</v>
      </c>
      <c r="F61" s="14">
        <f>SUM(F56:F60)</f>
        <v>120263</v>
      </c>
      <c r="G61" s="52"/>
      <c r="H61" s="14">
        <f>SUM(H56:H60)</f>
        <v>146367.70600000003</v>
      </c>
      <c r="I61" s="14">
        <f>SUM(I56:I60)</f>
        <v>152205.041</v>
      </c>
      <c r="J61" s="14">
        <f>SUM(J56:J60)</f>
        <v>150736.6</v>
      </c>
      <c r="K61" s="14">
        <f>SUM(K56:K60)</f>
        <v>142491</v>
      </c>
      <c r="L61" s="14">
        <f>SUM(L56:L60)</f>
        <v>135124.076</v>
      </c>
      <c r="M61" s="14">
        <f>SUM(M56:M60)</f>
        <v>145165.05399999995</v>
      </c>
      <c r="N61" s="14">
        <f>SUM(N56:N60)</f>
        <v>146754.59600000002</v>
      </c>
      <c r="O61" s="14">
        <f>SUM(O56:O60)</f>
        <v>141852</v>
      </c>
      <c r="P61" s="14">
        <f>SUM(P56:P60)</f>
        <v>135575</v>
      </c>
      <c r="Q61" s="14">
        <f>SUM(Q56:Q60)</f>
        <v>134958</v>
      </c>
      <c r="R61" s="14">
        <f>SUM(R56:R60)</f>
        <v>129781</v>
      </c>
      <c r="S61" s="14">
        <f>SUM(S56:S60)</f>
        <v>120263</v>
      </c>
      <c r="U61" s="14">
        <f>SUM(U56:U60)</f>
        <v>142413</v>
      </c>
      <c r="V61" s="14">
        <f>SUM(V56:V60)</f>
        <v>135046.04300000001</v>
      </c>
      <c r="W61" s="14">
        <f>SUM(W56:W60)</f>
        <v>145084.81799999997</v>
      </c>
      <c r="X61" s="14">
        <f>SUM(X56:X60)</f>
        <v>146673.20500000002</v>
      </c>
      <c r="Y61" s="14">
        <f>SUM(Y56:Y60)</f>
        <v>141852</v>
      </c>
      <c r="Z61" s="14">
        <f>SUM(Z56:Z60)</f>
        <v>135575</v>
      </c>
      <c r="AA61" s="14">
        <f>SUM(AA56:AA60)</f>
        <v>134958</v>
      </c>
      <c r="AB61" s="14">
        <f>SUM(AB56:AB60)</f>
        <v>129781</v>
      </c>
      <c r="AC61" s="14">
        <f>SUM(AC56:AC60)</f>
        <v>120263</v>
      </c>
      <c r="AD61" s="42"/>
      <c r="AE61" s="72">
        <f t="shared" si="100"/>
        <v>-0.15219383582889212</v>
      </c>
    </row>
    <row r="62" spans="2:31" ht="12.75" customHeight="1">
      <c r="B62" s="25" t="s">
        <v>47</v>
      </c>
      <c r="C62" s="32">
        <f>SUM(C61+C54)</f>
        <v>161616.49</v>
      </c>
      <c r="D62" s="32">
        <f>SUM(D61+D54)</f>
        <v>152705</v>
      </c>
      <c r="E62" s="32">
        <f>SUM(E61+E54)</f>
        <v>154386</v>
      </c>
      <c r="F62" s="32">
        <f>SUM(F61+F54)</f>
        <v>135567</v>
      </c>
      <c r="G62" s="32"/>
      <c r="H62" s="32">
        <f>SUM(H61+H54)</f>
        <v>156896.36800000005</v>
      </c>
      <c r="I62" s="32">
        <f>SUM(I61+I54)</f>
        <v>160276.14799999999</v>
      </c>
      <c r="J62" s="32">
        <f>SUM(J61+J54)</f>
        <v>160221.144</v>
      </c>
      <c r="K62" s="32">
        <f>SUM(K61+K54)</f>
        <v>152705</v>
      </c>
      <c r="L62" s="32">
        <f>SUM(L61+L54)</f>
        <v>148371.92199999999</v>
      </c>
      <c r="M62" s="32">
        <f>SUM(M61+M54)</f>
        <v>159186.39699999994</v>
      </c>
      <c r="N62" s="32">
        <f>SUM(N61+N54)</f>
        <v>157809.86300000001</v>
      </c>
      <c r="O62" s="32">
        <f>SUM(O61+O54)</f>
        <v>154386</v>
      </c>
      <c r="P62" s="32">
        <f>SUM(P61+P54)</f>
        <v>148070</v>
      </c>
      <c r="Q62" s="32">
        <f>SUM(Q61+Q54)</f>
        <v>144516</v>
      </c>
      <c r="R62" s="32">
        <f>SUM(R61+R54)</f>
        <v>141535</v>
      </c>
      <c r="S62" s="32">
        <f>SUM(S61+S54)</f>
        <v>135567</v>
      </c>
      <c r="T62" s="32"/>
      <c r="U62" s="32">
        <f>SUM(U61+U54)</f>
        <v>152627</v>
      </c>
      <c r="V62" s="32">
        <f>SUM(V61+V54)</f>
        <v>148293.889</v>
      </c>
      <c r="W62" s="32">
        <f>SUM(W61+W54)</f>
        <v>159106.16099999996</v>
      </c>
      <c r="X62" s="32">
        <f>SUM(X61+X54)</f>
        <v>157728.47200000001</v>
      </c>
      <c r="Y62" s="32">
        <f>SUM(Y61+Y54)</f>
        <v>154386</v>
      </c>
      <c r="Z62" s="32">
        <f>SUM(Z61+Z54)</f>
        <v>148070</v>
      </c>
      <c r="AA62" s="32">
        <f>SUM(AA61+AA54)</f>
        <v>144516</v>
      </c>
      <c r="AB62" s="32">
        <f>SUM(AB61+AB54)</f>
        <v>141535</v>
      </c>
      <c r="AC62" s="32">
        <f>SUM(AC61+AC54)</f>
        <v>135567</v>
      </c>
      <c r="AD62" s="11"/>
      <c r="AE62" s="73">
        <f t="shared" si="100"/>
        <v>-0.12189576775096189</v>
      </c>
    </row>
    <row r="63" spans="2:31" ht="5.0999999999999996" customHeight="1">
      <c r="B63" s="25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11"/>
    </row>
    <row r="64" spans="2:31" ht="12.75" customHeight="1">
      <c r="B64" s="132" t="s">
        <v>57</v>
      </c>
      <c r="C64" s="67">
        <f>C62-C47</f>
        <v>0</v>
      </c>
      <c r="D64" s="67">
        <f>D62-D47</f>
        <v>0</v>
      </c>
      <c r="E64" s="67">
        <f>E62-E47</f>
        <v>0</v>
      </c>
      <c r="F64" s="67">
        <f>F62-F47</f>
        <v>0</v>
      </c>
      <c r="G64" s="68"/>
      <c r="H64" s="67">
        <f>H62-H47</f>
        <v>0</v>
      </c>
      <c r="I64" s="67">
        <f>I62-I47</f>
        <v>0</v>
      </c>
      <c r="J64" s="67">
        <f>J62-J47</f>
        <v>0</v>
      </c>
      <c r="K64" s="67">
        <f>K62-K47</f>
        <v>0</v>
      </c>
      <c r="L64" s="67">
        <f>L62-L47</f>
        <v>0</v>
      </c>
      <c r="M64" s="67">
        <f>M62-M47</f>
        <v>0</v>
      </c>
      <c r="N64" s="67">
        <f>N62-N47</f>
        <v>0</v>
      </c>
      <c r="O64" s="67">
        <f>O62-O47</f>
        <v>0</v>
      </c>
      <c r="P64" s="67">
        <f>P62-P47</f>
        <v>0</v>
      </c>
      <c r="Q64" s="67">
        <f>Q62-Q47</f>
        <v>0</v>
      </c>
      <c r="R64" s="67">
        <f>R62-R47</f>
        <v>0</v>
      </c>
      <c r="S64" s="67">
        <f>S62-S47</f>
        <v>0</v>
      </c>
      <c r="T64" s="32"/>
      <c r="U64" s="67">
        <f>U62-U47</f>
        <v>3115</v>
      </c>
      <c r="V64" s="67">
        <f>V62-V47</f>
        <v>4016.3979999999865</v>
      </c>
      <c r="W64" s="67">
        <f>W62-W47</f>
        <v>4657.4249999999593</v>
      </c>
      <c r="X64" s="67">
        <f>X62-X47</f>
        <v>2083.7360000000335</v>
      </c>
      <c r="Y64" s="67">
        <f>Y62-Y47</f>
        <v>0</v>
      </c>
      <c r="Z64" s="67">
        <f>Z62-Z47</f>
        <v>0</v>
      </c>
      <c r="AA64" s="67">
        <f>AA62-AA47</f>
        <v>0</v>
      </c>
      <c r="AB64" s="67">
        <f>AB62-AB47</f>
        <v>0</v>
      </c>
      <c r="AC64" s="67">
        <f>AC62-AC47</f>
        <v>0</v>
      </c>
    </row>
    <row r="65" spans="1:31" ht="5.0999999999999996" customHeight="1" thickBot="1">
      <c r="B65" s="110"/>
      <c r="C65" s="111"/>
      <c r="D65" s="111"/>
      <c r="E65" s="111"/>
      <c r="F65" s="111"/>
      <c r="G65" s="112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3"/>
      <c r="U65" s="111"/>
      <c r="V65" s="111"/>
      <c r="W65" s="111"/>
      <c r="X65" s="111"/>
      <c r="Y65" s="111"/>
      <c r="Z65" s="111"/>
      <c r="AA65" s="111"/>
      <c r="AB65" s="111"/>
      <c r="AC65" s="111"/>
      <c r="AD65" s="70"/>
      <c r="AE65" s="70"/>
    </row>
    <row r="66" spans="1:31">
      <c r="B66" s="66"/>
      <c r="C66" s="24"/>
      <c r="D66" s="24"/>
      <c r="E66" s="24"/>
      <c r="F66" s="24"/>
      <c r="G66" s="53"/>
    </row>
    <row r="67" spans="1:31" ht="12.75" customHeight="1">
      <c r="A67" s="5" t="s">
        <v>18</v>
      </c>
      <c r="B67" s="92" t="s">
        <v>15</v>
      </c>
      <c r="C67" s="96" t="s">
        <v>0</v>
      </c>
      <c r="D67" s="96" t="s">
        <v>0</v>
      </c>
      <c r="E67" s="96"/>
      <c r="F67" s="96"/>
      <c r="G67" s="97"/>
      <c r="H67" s="96" t="s">
        <v>1</v>
      </c>
      <c r="I67" s="96"/>
      <c r="J67" s="96"/>
      <c r="K67" s="96"/>
      <c r="L67" s="96" t="s">
        <v>1</v>
      </c>
      <c r="M67" s="96"/>
      <c r="N67" s="96"/>
      <c r="O67" s="96"/>
      <c r="P67" s="96"/>
      <c r="Q67" s="96"/>
      <c r="R67" s="96" t="s">
        <v>1</v>
      </c>
      <c r="S67" s="96"/>
      <c r="T67" s="92"/>
      <c r="U67" s="96"/>
      <c r="V67" s="96"/>
      <c r="W67" s="96"/>
      <c r="X67" s="96" t="s">
        <v>10</v>
      </c>
      <c r="Y67" s="96" t="s">
        <v>10</v>
      </c>
      <c r="Z67" s="96"/>
      <c r="AA67" s="96"/>
      <c r="AB67" s="96"/>
      <c r="AC67" s="96"/>
      <c r="AD67" s="97"/>
      <c r="AE67" s="141" t="s">
        <v>23</v>
      </c>
    </row>
    <row r="68" spans="1:31" ht="12.75" customHeight="1">
      <c r="B68" s="93" t="str">
        <f>B7</f>
        <v>Fiscal Period</v>
      </c>
      <c r="C68" s="98">
        <f>C7</f>
        <v>2021</v>
      </c>
      <c r="D68" s="98">
        <f>D7</f>
        <v>2022</v>
      </c>
      <c r="E68" s="98">
        <f>E7</f>
        <v>2023</v>
      </c>
      <c r="F68" s="98">
        <f>F7</f>
        <v>2024</v>
      </c>
      <c r="G68" s="97"/>
      <c r="H68" s="98" t="str">
        <f>H7</f>
        <v>1Q22</v>
      </c>
      <c r="I68" s="98" t="str">
        <f>I7</f>
        <v>2Q22</v>
      </c>
      <c r="J68" s="98" t="str">
        <f>J7</f>
        <v>3Q22</v>
      </c>
      <c r="K68" s="98" t="str">
        <f>K7</f>
        <v>4Q22</v>
      </c>
      <c r="L68" s="98" t="str">
        <f>L7</f>
        <v>1Q23</v>
      </c>
      <c r="M68" s="98" t="str">
        <f>M7</f>
        <v>2Q23</v>
      </c>
      <c r="N68" s="98" t="str">
        <f>N7</f>
        <v>3Q23</v>
      </c>
      <c r="O68" s="98" t="str">
        <f>O7</f>
        <v>4Q23</v>
      </c>
      <c r="P68" s="98" t="str">
        <f>P7</f>
        <v>1Q24</v>
      </c>
      <c r="Q68" s="98" t="str">
        <f>Q7</f>
        <v>2Q24</v>
      </c>
      <c r="R68" s="98" t="str">
        <f>R7</f>
        <v>3Q24</v>
      </c>
      <c r="S68" s="98" t="str">
        <f>S7</f>
        <v>4Q24</v>
      </c>
      <c r="T68" s="98"/>
      <c r="U68" s="98" t="str">
        <f>U7</f>
        <v>4Q22</v>
      </c>
      <c r="V68" s="98" t="str">
        <f>V7</f>
        <v>1Q23</v>
      </c>
      <c r="W68" s="98" t="str">
        <f>W7</f>
        <v>2Q23</v>
      </c>
      <c r="X68" s="98" t="str">
        <f>X7</f>
        <v>3Q23</v>
      </c>
      <c r="Y68" s="98" t="str">
        <f>Y7</f>
        <v>4Q23</v>
      </c>
      <c r="Z68" s="98" t="str">
        <f>Z7</f>
        <v>1Q24</v>
      </c>
      <c r="AA68" s="98" t="str">
        <f>AA7</f>
        <v>2Q24</v>
      </c>
      <c r="AB68" s="98" t="str">
        <f>AB7</f>
        <v>3Q24</v>
      </c>
      <c r="AC68" s="98" t="str">
        <f>AC7</f>
        <v>4Q24</v>
      </c>
      <c r="AD68" s="97"/>
      <c r="AE68" s="141"/>
    </row>
    <row r="69" spans="1:31" ht="12.75" customHeight="1">
      <c r="B69" s="93" t="str">
        <f>B8</f>
        <v>Fiscal Period End Date</v>
      </c>
      <c r="C69" s="99">
        <f>C8</f>
        <v>44561</v>
      </c>
      <c r="D69" s="99">
        <f>D8</f>
        <v>44926</v>
      </c>
      <c r="E69" s="99">
        <f>E8</f>
        <v>45291</v>
      </c>
      <c r="F69" s="99">
        <f>F8</f>
        <v>45657</v>
      </c>
      <c r="G69" s="97"/>
      <c r="H69" s="99">
        <f>H8</f>
        <v>44651</v>
      </c>
      <c r="I69" s="99">
        <f>I8</f>
        <v>44742</v>
      </c>
      <c r="J69" s="99">
        <f>J8</f>
        <v>44834</v>
      </c>
      <c r="K69" s="99">
        <f>K8</f>
        <v>44926</v>
      </c>
      <c r="L69" s="99">
        <f>L8</f>
        <v>45016</v>
      </c>
      <c r="M69" s="99">
        <f>M8</f>
        <v>45107</v>
      </c>
      <c r="N69" s="99">
        <f>N8</f>
        <v>45199</v>
      </c>
      <c r="O69" s="99">
        <f>O8</f>
        <v>45291</v>
      </c>
      <c r="P69" s="99">
        <f>P8</f>
        <v>45382</v>
      </c>
      <c r="Q69" s="99">
        <f>Q8</f>
        <v>45473</v>
      </c>
      <c r="R69" s="99">
        <f>R8</f>
        <v>45565</v>
      </c>
      <c r="S69" s="99">
        <f>S8</f>
        <v>45657</v>
      </c>
      <c r="T69" s="99"/>
      <c r="U69" s="99">
        <f>U8</f>
        <v>44926</v>
      </c>
      <c r="V69" s="99">
        <f>V8</f>
        <v>45016</v>
      </c>
      <c r="W69" s="99">
        <f>W8</f>
        <v>45107</v>
      </c>
      <c r="X69" s="99">
        <f>X8</f>
        <v>45199</v>
      </c>
      <c r="Y69" s="99">
        <f>Y8</f>
        <v>45291</v>
      </c>
      <c r="Z69" s="99">
        <f>Z8</f>
        <v>45382</v>
      </c>
      <c r="AA69" s="99">
        <f>AA8</f>
        <v>45473</v>
      </c>
      <c r="AB69" s="99">
        <f>AB8</f>
        <v>45565</v>
      </c>
      <c r="AC69" s="99">
        <f>AC8</f>
        <v>45657</v>
      </c>
      <c r="AD69" s="97"/>
      <c r="AE69" s="141"/>
    </row>
    <row r="70" spans="1:31" ht="5.0999999999999996" customHeight="1">
      <c r="B70" s="54"/>
      <c r="C70" s="48"/>
      <c r="D70" s="48"/>
      <c r="E70" s="48"/>
      <c r="F70" s="48"/>
    </row>
    <row r="71" spans="1:31" ht="12.75" customHeight="1">
      <c r="B71" s="55" t="s">
        <v>48</v>
      </c>
      <c r="C71" s="56"/>
      <c r="D71" s="56"/>
      <c r="E71" s="56"/>
      <c r="F71" s="56"/>
    </row>
    <row r="72" spans="1:31" ht="12.75" customHeight="1">
      <c r="B72" s="57" t="s">
        <v>49</v>
      </c>
      <c r="C72" s="32">
        <f>C29</f>
        <v>-37909</v>
      </c>
      <c r="D72" s="32">
        <f>D29</f>
        <v>-47978</v>
      </c>
      <c r="E72" s="32">
        <f>E29</f>
        <v>-47505</v>
      </c>
      <c r="F72" s="32">
        <f>F29</f>
        <v>-43002</v>
      </c>
      <c r="G72" s="32"/>
      <c r="H72" s="32">
        <f>H29</f>
        <v>-10882.366999999998</v>
      </c>
      <c r="I72" s="32">
        <f>I29</f>
        <v>-10437.810999999998</v>
      </c>
      <c r="J72" s="32">
        <f>J29</f>
        <v>-12367.341000000002</v>
      </c>
      <c r="K72" s="32">
        <f>K29</f>
        <v>-14290.481</v>
      </c>
      <c r="L72" s="32">
        <f t="shared" ref="L72:N72" si="118">L29</f>
        <v>-12971.717999999999</v>
      </c>
      <c r="M72" s="32">
        <f t="shared" si="118"/>
        <v>-13107.278999999999</v>
      </c>
      <c r="N72" s="32">
        <f>N29</f>
        <v>-11279.976000000001</v>
      </c>
      <c r="O72" s="32">
        <f>O29</f>
        <v>-10146.026999999998</v>
      </c>
      <c r="P72" s="32">
        <f>P29</f>
        <v>-8622</v>
      </c>
      <c r="Q72" s="32">
        <f>Q29</f>
        <v>-10546</v>
      </c>
      <c r="R72" s="32">
        <f>R29</f>
        <v>-12214</v>
      </c>
      <c r="S72" s="32">
        <f>S29</f>
        <v>-11620</v>
      </c>
      <c r="U72" s="32">
        <f>SUM(H72:K72)</f>
        <v>-47978</v>
      </c>
      <c r="V72" s="32">
        <f>SUM(I72:L72)</f>
        <v>-50067.351000000002</v>
      </c>
      <c r="W72" s="32">
        <f>SUM(J72:M72)</f>
        <v>-52736.819000000003</v>
      </c>
      <c r="X72" s="32">
        <f>SUM(K72:N72)</f>
        <v>-51649.454000000005</v>
      </c>
      <c r="Y72" s="32">
        <f>SUM(L72:O72)</f>
        <v>-47505</v>
      </c>
      <c r="Z72" s="32">
        <f>SUM(M72:P72)</f>
        <v>-43155.281999999992</v>
      </c>
      <c r="AA72" s="32">
        <f>SUM(N72:Q72)</f>
        <v>-40594.002999999997</v>
      </c>
      <c r="AB72" s="32">
        <f>SUM(O72:R72)</f>
        <v>-41528.027000000002</v>
      </c>
      <c r="AC72" s="32">
        <f>SUM(P72:S72)</f>
        <v>-43002</v>
      </c>
      <c r="AD72" s="11"/>
      <c r="AE72" s="72">
        <f>SUM(AC72/Y72)-1</f>
        <v>-9.4790022102936522E-2</v>
      </c>
    </row>
    <row r="73" spans="1:31" ht="5.0999999999999996" customHeight="1"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U73" s="32"/>
      <c r="V73" s="32"/>
      <c r="W73" s="32"/>
      <c r="X73" s="32"/>
      <c r="Y73" s="32"/>
      <c r="Z73" s="32"/>
      <c r="AA73" s="32"/>
      <c r="AB73" s="32"/>
      <c r="AC73" s="32"/>
      <c r="AD73" s="11"/>
      <c r="AE73" s="72"/>
    </row>
    <row r="74" spans="1:31" ht="12.75" customHeight="1">
      <c r="B74" s="36" t="s">
        <v>56</v>
      </c>
      <c r="C74" s="32"/>
      <c r="D74" s="32"/>
      <c r="E74" s="32"/>
      <c r="F74" s="32"/>
      <c r="G74" s="32"/>
      <c r="H74" s="76"/>
      <c r="I74" s="76"/>
      <c r="J74" s="76"/>
      <c r="K74" s="76"/>
      <c r="L74" s="76"/>
      <c r="M74" s="76"/>
      <c r="N74" s="76"/>
      <c r="O74" s="32"/>
      <c r="P74" s="76"/>
      <c r="Q74" s="76"/>
      <c r="R74" s="76"/>
      <c r="S74" s="32"/>
      <c r="U74" s="32"/>
      <c r="V74" s="32"/>
      <c r="W74" s="32"/>
      <c r="X74" s="32"/>
      <c r="Y74" s="32"/>
      <c r="Z74" s="32"/>
      <c r="AA74" s="32"/>
      <c r="AB74" s="32"/>
      <c r="AC74" s="32"/>
      <c r="AD74" s="59"/>
      <c r="AE74" s="72"/>
    </row>
    <row r="75" spans="1:31" ht="12.75" customHeight="1">
      <c r="B75" s="60" t="s">
        <v>135</v>
      </c>
      <c r="C75" s="115">
        <v>0</v>
      </c>
      <c r="D75" s="115">
        <v>0</v>
      </c>
      <c r="E75" s="115">
        <v>845</v>
      </c>
      <c r="F75" s="115">
        <v>0</v>
      </c>
      <c r="G75" s="32"/>
      <c r="H75" s="115">
        <v>0</v>
      </c>
      <c r="I75" s="115">
        <v>0</v>
      </c>
      <c r="J75" s="115">
        <v>0</v>
      </c>
      <c r="K75" s="91">
        <f t="shared" ref="K75:K77" si="119">SUM(D75-SUM(H75:J75))</f>
        <v>0</v>
      </c>
      <c r="L75" s="115">
        <v>0</v>
      </c>
      <c r="M75" s="115">
        <f>844.5-L75</f>
        <v>844.5</v>
      </c>
      <c r="N75" s="115">
        <f>844.5-M75-L75</f>
        <v>0</v>
      </c>
      <c r="O75" s="91">
        <f>SUM(E75-SUM(L75:N75))</f>
        <v>0.5</v>
      </c>
      <c r="P75" s="115">
        <v>0</v>
      </c>
      <c r="Q75" s="115">
        <v>0</v>
      </c>
      <c r="R75" s="115">
        <v>0</v>
      </c>
      <c r="S75" s="91">
        <f t="shared" ref="S75" si="120">SUM(F75-SUM(P75:R75))</f>
        <v>0</v>
      </c>
      <c r="U75" s="32">
        <f>SUM(H75:K75)</f>
        <v>0</v>
      </c>
      <c r="V75" s="32">
        <f>SUM(I75:L75)</f>
        <v>0</v>
      </c>
      <c r="W75" s="32">
        <f>SUM(J75:M75)</f>
        <v>844.5</v>
      </c>
      <c r="X75" s="32">
        <f>SUM(K75:N75)</f>
        <v>844.5</v>
      </c>
      <c r="Y75" s="32">
        <f>SUM(L75:O75)</f>
        <v>845</v>
      </c>
      <c r="Z75" s="32">
        <f>SUM(M75:P75)</f>
        <v>845</v>
      </c>
      <c r="AA75" s="32">
        <f>SUM(N75:Q75)</f>
        <v>0.5</v>
      </c>
      <c r="AB75" s="32">
        <f>SUM(O75:R75)</f>
        <v>0.5</v>
      </c>
      <c r="AC75" s="32">
        <f>SUM(P75:S75)</f>
        <v>0</v>
      </c>
      <c r="AD75" s="11"/>
      <c r="AE75" s="72">
        <f t="shared" ref="AE75:AE84" si="121">SUM(AC75/Y75)-1</f>
        <v>-1</v>
      </c>
    </row>
    <row r="76" spans="1:31" ht="12.75" customHeight="1">
      <c r="B76" s="60" t="s">
        <v>127</v>
      </c>
      <c r="C76" s="115">
        <v>0</v>
      </c>
      <c r="D76" s="115">
        <v>0</v>
      </c>
      <c r="E76" s="115">
        <v>0</v>
      </c>
      <c r="F76" s="115">
        <v>0</v>
      </c>
      <c r="G76" s="32"/>
      <c r="H76" s="115">
        <v>0</v>
      </c>
      <c r="I76" s="115">
        <v>0</v>
      </c>
      <c r="J76" s="115">
        <v>0</v>
      </c>
      <c r="K76" s="91">
        <f t="shared" si="119"/>
        <v>0</v>
      </c>
      <c r="L76" s="115">
        <v>0</v>
      </c>
      <c r="M76" s="115">
        <v>0</v>
      </c>
      <c r="N76" s="115">
        <v>0</v>
      </c>
      <c r="O76" s="91">
        <f t="shared" ref="O76:O77" si="122">SUM(E76-SUM(L76:N76))</f>
        <v>0</v>
      </c>
      <c r="P76" s="115">
        <v>0</v>
      </c>
      <c r="Q76" s="115">
        <v>0</v>
      </c>
      <c r="R76" s="115">
        <f>-59-Q76-P76</f>
        <v>-59</v>
      </c>
      <c r="S76" s="91">
        <f t="shared" ref="S76:S77" si="123">SUM(F76-SUM(P76:R76))</f>
        <v>59</v>
      </c>
      <c r="U76" s="32">
        <f>SUM(H76:K76)</f>
        <v>0</v>
      </c>
      <c r="V76" s="32">
        <f>SUM(I76:L76)</f>
        <v>0</v>
      </c>
      <c r="W76" s="32">
        <f>SUM(J76:M76)</f>
        <v>0</v>
      </c>
      <c r="X76" s="32">
        <f>SUM(K76:N76)</f>
        <v>0</v>
      </c>
      <c r="Y76" s="32">
        <f>SUM(L76:O76)</f>
        <v>0</v>
      </c>
      <c r="Z76" s="32">
        <f>SUM(M76:P76)</f>
        <v>0</v>
      </c>
      <c r="AA76" s="32">
        <f>SUM(N76:Q76)</f>
        <v>0</v>
      </c>
      <c r="AB76" s="32">
        <f>SUM(O76:R76)</f>
        <v>-59</v>
      </c>
      <c r="AC76" s="32">
        <f>SUM(P76:S76)</f>
        <v>0</v>
      </c>
      <c r="AD76" s="11"/>
      <c r="AE76" s="72" t="e">
        <f t="shared" si="121"/>
        <v>#DIV/0!</v>
      </c>
    </row>
    <row r="77" spans="1:31" ht="12.75" customHeight="1">
      <c r="B77" s="60" t="s">
        <v>136</v>
      </c>
      <c r="C77" s="115">
        <v>8231</v>
      </c>
      <c r="D77" s="115">
        <v>18379</v>
      </c>
      <c r="E77" s="115">
        <v>16370</v>
      </c>
      <c r="F77" s="115">
        <v>9438</v>
      </c>
      <c r="G77" s="32"/>
      <c r="H77" s="115">
        <v>3908.7710000000002</v>
      </c>
      <c r="I77" s="115">
        <f>8348.23-H77</f>
        <v>4439.4589999999989</v>
      </c>
      <c r="J77" s="115">
        <f>12336.844-I77-H77</f>
        <v>3988.614</v>
      </c>
      <c r="K77" s="91">
        <f t="shared" si="119"/>
        <v>6042.1560000000009</v>
      </c>
      <c r="L77" s="115">
        <v>5346.5079999999998</v>
      </c>
      <c r="M77" s="115">
        <f>9316.572-L77</f>
        <v>3970.0640000000003</v>
      </c>
      <c r="N77" s="115">
        <f>13183.353-M77-L77</f>
        <v>3866.780999999999</v>
      </c>
      <c r="O77" s="91">
        <f t="shared" si="122"/>
        <v>3186.6470000000008</v>
      </c>
      <c r="P77" s="115">
        <v>2286</v>
      </c>
      <c r="Q77" s="115">
        <f>4938-P77</f>
        <v>2652</v>
      </c>
      <c r="R77" s="115">
        <f>7425-Q77-P77</f>
        <v>2487</v>
      </c>
      <c r="S77" s="91">
        <f t="shared" si="123"/>
        <v>2013</v>
      </c>
      <c r="U77" s="32">
        <f>SUM(H77:K77)</f>
        <v>18379</v>
      </c>
      <c r="V77" s="32">
        <f>SUM(I77:L77)</f>
        <v>19816.737000000001</v>
      </c>
      <c r="W77" s="32">
        <f>SUM(J77:M77)</f>
        <v>19347.342000000001</v>
      </c>
      <c r="X77" s="32">
        <f>SUM(K77:N77)</f>
        <v>19225.508999999998</v>
      </c>
      <c r="Y77" s="32">
        <f>SUM(L77:O77)</f>
        <v>16370</v>
      </c>
      <c r="Z77" s="32">
        <f>SUM(M77:P77)</f>
        <v>13309.492</v>
      </c>
      <c r="AA77" s="32">
        <f>SUM(N77:Q77)</f>
        <v>11991.428</v>
      </c>
      <c r="AB77" s="32">
        <f>SUM(O77:R77)</f>
        <v>10611.647000000001</v>
      </c>
      <c r="AC77" s="32">
        <f>SUM(P77:S77)</f>
        <v>9438</v>
      </c>
      <c r="AD77" s="11"/>
      <c r="AE77" s="72">
        <f t="shared" si="121"/>
        <v>-0.42345754428833227</v>
      </c>
    </row>
    <row r="78" spans="1:31" ht="12.75" customHeight="1">
      <c r="B78" s="36" t="s">
        <v>14</v>
      </c>
      <c r="C78" s="76"/>
      <c r="D78" s="76"/>
      <c r="E78" s="76"/>
      <c r="F78" s="76"/>
      <c r="G78" s="32"/>
      <c r="H78" s="76"/>
      <c r="I78" s="76"/>
      <c r="J78" s="76"/>
      <c r="K78" s="76"/>
      <c r="L78" s="76"/>
      <c r="M78" s="76"/>
      <c r="N78" s="76"/>
      <c r="O78" s="32"/>
      <c r="P78" s="76"/>
      <c r="Q78" s="76"/>
      <c r="R78" s="76"/>
      <c r="S78" s="32"/>
      <c r="U78" s="32"/>
      <c r="V78" s="32"/>
      <c r="W78" s="32"/>
      <c r="X78" s="32"/>
      <c r="Y78" s="32"/>
      <c r="Z78" s="32"/>
      <c r="AA78" s="32"/>
      <c r="AB78" s="32"/>
      <c r="AC78" s="32"/>
      <c r="AD78" s="59"/>
      <c r="AE78" s="72"/>
    </row>
    <row r="79" spans="1:31" ht="12.75" customHeight="1">
      <c r="B79" s="60" t="s">
        <v>130</v>
      </c>
      <c r="C79" s="76">
        <v>-4287</v>
      </c>
      <c r="D79" s="76">
        <v>5944</v>
      </c>
      <c r="E79" s="76">
        <v>484</v>
      </c>
      <c r="F79" s="76">
        <v>260</v>
      </c>
      <c r="G79" s="32"/>
      <c r="H79" s="115">
        <v>3764.6779999999999</v>
      </c>
      <c r="I79" s="115">
        <f>2667.844-H79</f>
        <v>-1096.8339999999998</v>
      </c>
      <c r="J79" s="115">
        <f>2577.002-I79-H79</f>
        <v>-90.842000000000098</v>
      </c>
      <c r="K79" s="91">
        <f t="shared" ref="K79:K83" si="124">SUM(D79-SUM(H79:J79))</f>
        <v>3366.998</v>
      </c>
      <c r="L79" s="115">
        <v>-901.851</v>
      </c>
      <c r="M79" s="115">
        <f>-1545.081-L79</f>
        <v>-643.2299999999999</v>
      </c>
      <c r="N79" s="115">
        <f>1027-M79-L79</f>
        <v>2572.0810000000001</v>
      </c>
      <c r="O79" s="91">
        <f t="shared" ref="O79:O83" si="125">SUM(E79-SUM(L79:N79))</f>
        <v>-543.00000000000023</v>
      </c>
      <c r="P79" s="115">
        <v>-840</v>
      </c>
      <c r="Q79" s="115">
        <f>-1076-P79</f>
        <v>-236</v>
      </c>
      <c r="R79" s="115">
        <f>989-Q79-P79</f>
        <v>2065</v>
      </c>
      <c r="S79" s="91">
        <f t="shared" ref="S79:S83" si="126">SUM(F79-SUM(P79:R79))</f>
        <v>-729</v>
      </c>
      <c r="U79" s="32">
        <f>SUM(H79:K79)</f>
        <v>5944</v>
      </c>
      <c r="V79" s="32">
        <f>SUM(I79:L79)</f>
        <v>1277.471</v>
      </c>
      <c r="W79" s="32">
        <f>SUM(J79:M79)</f>
        <v>1731.0749999999998</v>
      </c>
      <c r="X79" s="32">
        <f>SUM(K79:N79)</f>
        <v>4393.9979999999996</v>
      </c>
      <c r="Y79" s="32">
        <f t="shared" ref="Y79:Y83" si="127">SUM(L79:O79)</f>
        <v>484</v>
      </c>
      <c r="Z79" s="32">
        <f t="shared" ref="Z79:Z83" si="128">SUM(M79:P79)</f>
        <v>545.85099999999989</v>
      </c>
      <c r="AA79" s="32">
        <f t="shared" ref="AA79:AA83" si="129">SUM(N79:Q79)</f>
        <v>953.0809999999999</v>
      </c>
      <c r="AB79" s="32">
        <f t="shared" ref="AB79:AB83" si="130">SUM(O79:R79)</f>
        <v>445.99999999999977</v>
      </c>
      <c r="AC79" s="32">
        <f t="shared" ref="AC79:AC83" si="131">SUM(P79:S79)</f>
        <v>260</v>
      </c>
      <c r="AD79" s="59"/>
      <c r="AE79" s="72">
        <f t="shared" si="121"/>
        <v>-0.46280991735537191</v>
      </c>
    </row>
    <row r="80" spans="1:31" ht="12.75" customHeight="1">
      <c r="B80" s="60" t="s">
        <v>137</v>
      </c>
      <c r="C80" s="76">
        <v>88</v>
      </c>
      <c r="D80" s="76">
        <v>1</v>
      </c>
      <c r="E80" s="76">
        <v>-299</v>
      </c>
      <c r="F80" s="76">
        <v>-278</v>
      </c>
      <c r="G80" s="32"/>
      <c r="H80" s="115">
        <v>-22.311</v>
      </c>
      <c r="I80" s="115">
        <f>-109.056-H80</f>
        <v>-86.745000000000005</v>
      </c>
      <c r="J80" s="115">
        <f>-106.414-I80-H80</f>
        <v>2.642000000000003</v>
      </c>
      <c r="K80" s="91">
        <f t="shared" si="124"/>
        <v>107.41400000000002</v>
      </c>
      <c r="L80" s="115">
        <v>-301.48099999999999</v>
      </c>
      <c r="M80" s="115">
        <f>-627.612-L80</f>
        <v>-326.13099999999997</v>
      </c>
      <c r="N80" s="115">
        <f>-473-M80-L80</f>
        <v>154.61199999999997</v>
      </c>
      <c r="O80" s="91">
        <f t="shared" si="125"/>
        <v>174</v>
      </c>
      <c r="P80" s="115">
        <v>-103</v>
      </c>
      <c r="Q80" s="115">
        <f>-692-P80</f>
        <v>-589</v>
      </c>
      <c r="R80" s="115">
        <f>-406-Q80-P80</f>
        <v>286</v>
      </c>
      <c r="S80" s="91">
        <f t="shared" si="126"/>
        <v>128</v>
      </c>
      <c r="U80" s="32"/>
      <c r="V80" s="32"/>
      <c r="W80" s="32"/>
      <c r="X80" s="32"/>
      <c r="Y80" s="32">
        <f t="shared" si="127"/>
        <v>-299</v>
      </c>
      <c r="Z80" s="32">
        <f t="shared" si="128"/>
        <v>-100.51900000000001</v>
      </c>
      <c r="AA80" s="32">
        <f t="shared" si="129"/>
        <v>-363.38800000000003</v>
      </c>
      <c r="AB80" s="32">
        <f t="shared" si="130"/>
        <v>-232</v>
      </c>
      <c r="AC80" s="32">
        <f t="shared" si="131"/>
        <v>-278</v>
      </c>
      <c r="AD80" s="59"/>
      <c r="AE80" s="72"/>
    </row>
    <row r="81" spans="2:31" ht="12.75" customHeight="1">
      <c r="B81" s="60" t="s">
        <v>13</v>
      </c>
      <c r="C81" s="76">
        <v>751</v>
      </c>
      <c r="D81" s="76">
        <v>-914</v>
      </c>
      <c r="E81" s="76">
        <v>497</v>
      </c>
      <c r="F81" s="76">
        <v>5305</v>
      </c>
      <c r="G81" s="32"/>
      <c r="H81" s="115">
        <v>-104.992</v>
      </c>
      <c r="I81" s="115">
        <f>-2107.893-H81</f>
        <v>-2002.9010000000001</v>
      </c>
      <c r="J81" s="115">
        <f>-1612.889-I81-H81</f>
        <v>495.00400000000019</v>
      </c>
      <c r="K81" s="91">
        <f t="shared" si="124"/>
        <v>698.8889999999999</v>
      </c>
      <c r="L81" s="115">
        <v>1463.4839999999999</v>
      </c>
      <c r="M81" s="115">
        <f>2456.965-L81</f>
        <v>993.48100000000022</v>
      </c>
      <c r="N81" s="115">
        <f>327-M81-L81</f>
        <v>-2129.9650000000001</v>
      </c>
      <c r="O81" s="91">
        <f t="shared" si="125"/>
        <v>170</v>
      </c>
      <c r="P81" s="115">
        <v>-30</v>
      </c>
      <c r="Q81" s="115">
        <f>-596-P81</f>
        <v>-566</v>
      </c>
      <c r="R81" s="115">
        <f>-760-Q81-P81</f>
        <v>-164</v>
      </c>
      <c r="S81" s="91">
        <f t="shared" si="126"/>
        <v>6065</v>
      </c>
      <c r="U81" s="32"/>
      <c r="V81" s="32"/>
      <c r="W81" s="32"/>
      <c r="X81" s="32"/>
      <c r="Y81" s="32">
        <f t="shared" si="127"/>
        <v>497</v>
      </c>
      <c r="Z81" s="32">
        <f t="shared" si="128"/>
        <v>-996.48399999999992</v>
      </c>
      <c r="AA81" s="32">
        <f t="shared" si="129"/>
        <v>-2555.9650000000001</v>
      </c>
      <c r="AB81" s="32">
        <f t="shared" si="130"/>
        <v>-590</v>
      </c>
      <c r="AC81" s="32">
        <f t="shared" si="131"/>
        <v>5305</v>
      </c>
      <c r="AD81" s="59"/>
      <c r="AE81" s="72"/>
    </row>
    <row r="82" spans="2:31" ht="12.75" customHeight="1">
      <c r="B82" s="60" t="s">
        <v>138</v>
      </c>
      <c r="C82" s="76">
        <v>2298</v>
      </c>
      <c r="D82" s="76">
        <v>330</v>
      </c>
      <c r="E82" s="76">
        <v>1350</v>
      </c>
      <c r="F82" s="76">
        <v>-2460</v>
      </c>
      <c r="G82" s="32"/>
      <c r="H82" s="115">
        <v>-164.73400000000001</v>
      </c>
      <c r="I82" s="115">
        <f>-619.386-H82</f>
        <v>-454.65199999999993</v>
      </c>
      <c r="J82" s="115">
        <f>299.047-I82-H82</f>
        <v>918.43299999999999</v>
      </c>
      <c r="K82" s="91">
        <f t="shared" si="124"/>
        <v>30.952999999999975</v>
      </c>
      <c r="L82" s="115">
        <v>1097.8689999999999</v>
      </c>
      <c r="M82" s="115">
        <f>877.885-L82</f>
        <v>-219.98399999999992</v>
      </c>
      <c r="N82" s="115">
        <f>41-M82-L82</f>
        <v>-836.88499999999999</v>
      </c>
      <c r="O82" s="91">
        <f t="shared" si="125"/>
        <v>1309</v>
      </c>
      <c r="P82" s="115">
        <v>-9</v>
      </c>
      <c r="Q82" s="115">
        <f>-2380-P82</f>
        <v>-2371</v>
      </c>
      <c r="R82" s="115">
        <f>39-Q82-P82</f>
        <v>2419</v>
      </c>
      <c r="S82" s="91">
        <f t="shared" si="126"/>
        <v>-2499</v>
      </c>
      <c r="U82" s="32"/>
      <c r="V82" s="32"/>
      <c r="W82" s="32"/>
      <c r="X82" s="32"/>
      <c r="Y82" s="32">
        <f t="shared" si="127"/>
        <v>1350</v>
      </c>
      <c r="Z82" s="32">
        <f t="shared" si="128"/>
        <v>243.13100000000009</v>
      </c>
      <c r="AA82" s="32">
        <f t="shared" si="129"/>
        <v>-1907.885</v>
      </c>
      <c r="AB82" s="32">
        <f t="shared" si="130"/>
        <v>1348</v>
      </c>
      <c r="AC82" s="32">
        <f t="shared" si="131"/>
        <v>-2460</v>
      </c>
      <c r="AD82" s="59"/>
      <c r="AE82" s="72"/>
    </row>
    <row r="83" spans="2:31" ht="12.75" customHeight="1">
      <c r="B83" s="60" t="s">
        <v>139</v>
      </c>
      <c r="C83" s="76">
        <v>444</v>
      </c>
      <c r="D83" s="76">
        <v>0</v>
      </c>
      <c r="E83" s="76">
        <v>473</v>
      </c>
      <c r="F83" s="76">
        <v>-75</v>
      </c>
      <c r="G83" s="32"/>
      <c r="H83" s="115"/>
      <c r="I83" s="115" t="s">
        <v>129</v>
      </c>
      <c r="J83" s="115" t="s">
        <v>129</v>
      </c>
      <c r="K83" s="91">
        <f t="shared" si="124"/>
        <v>0</v>
      </c>
      <c r="L83" s="115">
        <v>472.93200000000002</v>
      </c>
      <c r="M83" s="115">
        <f>472.932-L83</f>
        <v>0</v>
      </c>
      <c r="N83" s="115">
        <f>473-M83-L83</f>
        <v>6.7999999999983629E-2</v>
      </c>
      <c r="O83" s="91">
        <f t="shared" si="125"/>
        <v>0</v>
      </c>
      <c r="P83" s="115">
        <v>0</v>
      </c>
      <c r="Q83" s="115">
        <v>0</v>
      </c>
      <c r="R83" s="115">
        <v>0</v>
      </c>
      <c r="S83" s="91">
        <f t="shared" si="126"/>
        <v>-75</v>
      </c>
      <c r="U83" s="32">
        <f>SUM(H83:K83)</f>
        <v>0</v>
      </c>
      <c r="V83" s="32">
        <f>SUM(I83:L83)</f>
        <v>472.93200000000002</v>
      </c>
      <c r="W83" s="32">
        <f>SUM(J83:M83)</f>
        <v>472.93200000000002</v>
      </c>
      <c r="X83" s="32">
        <f>SUM(K83:N83)</f>
        <v>473</v>
      </c>
      <c r="Y83" s="32">
        <f>SUM(L83:O83)</f>
        <v>473</v>
      </c>
      <c r="Z83" s="32">
        <f>SUM(M83:P83)</f>
        <v>6.7999999999983629E-2</v>
      </c>
      <c r="AA83" s="32">
        <f>SUM(N83:Q83)</f>
        <v>6.7999999999983629E-2</v>
      </c>
      <c r="AB83" s="32">
        <f>SUM(O83:R83)</f>
        <v>0</v>
      </c>
      <c r="AC83" s="32">
        <f>SUM(P83:S83)</f>
        <v>-75</v>
      </c>
      <c r="AD83" s="59"/>
      <c r="AE83" s="72">
        <f t="shared" si="121"/>
        <v>-1.1585623678646935</v>
      </c>
    </row>
    <row r="84" spans="2:31" ht="12.75" customHeight="1">
      <c r="B84" s="13" t="s">
        <v>50</v>
      </c>
      <c r="C84" s="14">
        <f>SUM(C72:C83)</f>
        <v>-30384</v>
      </c>
      <c r="D84" s="14">
        <f>SUM(D72:D83)</f>
        <v>-24238</v>
      </c>
      <c r="E84" s="14">
        <f>SUM(E72:E83)</f>
        <v>-27785</v>
      </c>
      <c r="F84" s="14">
        <f>SUM(F72:F83)</f>
        <v>-30812</v>
      </c>
      <c r="H84" s="14">
        <f>SUM(H72:H83)</f>
        <v>-3500.9549999999981</v>
      </c>
      <c r="I84" s="14">
        <f>SUM(I72:I83)</f>
        <v>-9639.4839999999986</v>
      </c>
      <c r="J84" s="14">
        <f>SUM(J72:J83)</f>
        <v>-7053.4900000000034</v>
      </c>
      <c r="K84" s="14">
        <f>SUM(K72:K83)</f>
        <v>-4044.0709999999995</v>
      </c>
      <c r="L84" s="14">
        <f>SUM(L72:L83)</f>
        <v>-5794.2569999999996</v>
      </c>
      <c r="M84" s="14">
        <f>SUM(M72:M83)</f>
        <v>-8488.5789999999979</v>
      </c>
      <c r="N84" s="14">
        <f>SUM(N72:N83)</f>
        <v>-7653.2840000000015</v>
      </c>
      <c r="O84" s="14">
        <f>SUM(O72:O83)</f>
        <v>-5848.8799999999974</v>
      </c>
      <c r="P84" s="14">
        <f>SUM(P72:P83)</f>
        <v>-7318</v>
      </c>
      <c r="Q84" s="14">
        <f>SUM(Q72:Q83)</f>
        <v>-11656</v>
      </c>
      <c r="R84" s="14">
        <f>SUM(R72:R83)</f>
        <v>-5180</v>
      </c>
      <c r="S84" s="14">
        <f>SUM(S72:S83)</f>
        <v>-6658</v>
      </c>
      <c r="U84" s="14">
        <f>SUM(U72:U83)</f>
        <v>-23655</v>
      </c>
      <c r="V84" s="14">
        <f>SUM(V72:V83)</f>
        <v>-28500.210999999999</v>
      </c>
      <c r="W84" s="14">
        <f>SUM(W72:W83)</f>
        <v>-30340.97</v>
      </c>
      <c r="X84" s="14">
        <f>SUM(X72:X83)</f>
        <v>-26712.447000000007</v>
      </c>
      <c r="Y84" s="14">
        <f>SUM(Y72:Y83)</f>
        <v>-27785</v>
      </c>
      <c r="Z84" s="14">
        <f>SUM(Z72:Z83)</f>
        <v>-29308.742999999995</v>
      </c>
      <c r="AA84" s="14">
        <f>SUM(AA72:AA83)</f>
        <v>-32476.163999999997</v>
      </c>
      <c r="AB84" s="14">
        <f>SUM(AB72:AB83)</f>
        <v>-30002.880000000001</v>
      </c>
      <c r="AC84" s="14">
        <f>SUM(AC72:AC83)</f>
        <v>-30812</v>
      </c>
      <c r="AD84" s="42"/>
      <c r="AE84" s="73">
        <f t="shared" si="121"/>
        <v>0.10894367464459243</v>
      </c>
    </row>
    <row r="85" spans="2:31" ht="12.75" customHeight="1">
      <c r="B85" s="53"/>
      <c r="C85" s="61"/>
      <c r="D85" s="61"/>
      <c r="E85" s="61"/>
      <c r="F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39"/>
    </row>
    <row r="86" spans="2:31" ht="12.75" customHeight="1">
      <c r="B86" s="53" t="s">
        <v>51</v>
      </c>
      <c r="C86" s="58"/>
      <c r="D86" s="58"/>
      <c r="E86" s="58"/>
      <c r="F86" s="58"/>
      <c r="H86" s="76"/>
      <c r="I86" s="76"/>
      <c r="J86" s="76"/>
      <c r="K86" s="76"/>
      <c r="L86" s="76"/>
      <c r="M86" s="76"/>
      <c r="N86" s="76"/>
      <c r="O86" s="32"/>
      <c r="P86" s="76"/>
      <c r="Q86" s="76"/>
      <c r="R86" s="76"/>
      <c r="S86" s="32"/>
      <c r="U86" s="58"/>
      <c r="V86" s="58"/>
      <c r="W86" s="58"/>
      <c r="X86" s="58"/>
      <c r="Y86" s="58"/>
      <c r="Z86" s="58"/>
      <c r="AA86" s="58"/>
      <c r="AB86" s="58"/>
      <c r="AC86" s="58"/>
      <c r="AD86" s="59"/>
      <c r="AE86" s="39"/>
    </row>
    <row r="87" spans="2:31" ht="12.75" customHeight="1">
      <c r="B87" s="60" t="s">
        <v>79</v>
      </c>
      <c r="C87" s="76">
        <v>0</v>
      </c>
      <c r="D87" s="76">
        <v>0</v>
      </c>
      <c r="E87" s="76">
        <v>0</v>
      </c>
      <c r="F87" s="76">
        <v>0</v>
      </c>
      <c r="G87" s="32"/>
      <c r="H87" s="76">
        <v>0</v>
      </c>
      <c r="I87" s="76">
        <v>0</v>
      </c>
      <c r="J87" s="76">
        <v>0</v>
      </c>
      <c r="K87" s="32">
        <f t="shared" ref="K87" si="132">SUM(D87-SUM(H87:J87))</f>
        <v>0</v>
      </c>
      <c r="L87" s="76">
        <v>0</v>
      </c>
      <c r="M87" s="76">
        <v>0</v>
      </c>
      <c r="N87" s="76">
        <v>0</v>
      </c>
      <c r="O87" s="32">
        <f t="shared" ref="O87" si="133">SUM(E87-SUM(L87:N87))</f>
        <v>0</v>
      </c>
      <c r="P87" s="76">
        <v>0</v>
      </c>
      <c r="Q87" s="76">
        <v>0</v>
      </c>
      <c r="R87" s="76">
        <v>0</v>
      </c>
      <c r="S87" s="32">
        <f t="shared" ref="S87" si="134">SUM(F87-SUM(P87:R87))</f>
        <v>0</v>
      </c>
      <c r="T87" s="32"/>
      <c r="U87" s="32">
        <f>SUM(H87:K87)</f>
        <v>0</v>
      </c>
      <c r="V87" s="32">
        <f>SUM(I87:L87)</f>
        <v>0</v>
      </c>
      <c r="W87" s="32">
        <f>SUM(J87:M87)</f>
        <v>0</v>
      </c>
      <c r="X87" s="32">
        <f>SUM(K87:N87)</f>
        <v>0</v>
      </c>
      <c r="Y87" s="32">
        <f>SUM(L87:O87)</f>
        <v>0</v>
      </c>
      <c r="Z87" s="32">
        <f>SUM(M87:P87)</f>
        <v>0</v>
      </c>
      <c r="AA87" s="32">
        <f>SUM(N87:Q87)</f>
        <v>0</v>
      </c>
      <c r="AB87" s="32">
        <f>SUM(O87:R87)</f>
        <v>0</v>
      </c>
      <c r="AC87" s="32">
        <f>SUM(P87:S87)</f>
        <v>0</v>
      </c>
      <c r="AD87" s="59"/>
      <c r="AE87" s="72" t="e">
        <f t="shared" ref="AE87:AE95" si="135">SUM(AC87/Y87)-1</f>
        <v>#DIV/0!</v>
      </c>
    </row>
    <row r="88" spans="2:31" ht="12.75" customHeight="1">
      <c r="B88" s="13" t="s">
        <v>52</v>
      </c>
      <c r="C88" s="14">
        <f>SUM(C87:C87)</f>
        <v>0</v>
      </c>
      <c r="D88" s="14">
        <f>SUM(D87:D87)</f>
        <v>0</v>
      </c>
      <c r="E88" s="14">
        <f>SUM(E87:E87)</f>
        <v>0</v>
      </c>
      <c r="F88" s="14">
        <f>SUM(F87:F87)</f>
        <v>0</v>
      </c>
      <c r="H88" s="14">
        <f>SUM(H87:H87)</f>
        <v>0</v>
      </c>
      <c r="I88" s="14">
        <f>SUM(I87:I87)</f>
        <v>0</v>
      </c>
      <c r="J88" s="14">
        <f>SUM(J87:J87)</f>
        <v>0</v>
      </c>
      <c r="K88" s="14">
        <f>SUM(K87:K87)</f>
        <v>0</v>
      </c>
      <c r="L88" s="14">
        <f>SUM(L87:L87)</f>
        <v>0</v>
      </c>
      <c r="M88" s="14">
        <f>SUM(M87:M87)</f>
        <v>0</v>
      </c>
      <c r="N88" s="14">
        <f>SUM(N87:N87)</f>
        <v>0</v>
      </c>
      <c r="O88" s="14">
        <f>SUM(O87:O87)</f>
        <v>0</v>
      </c>
      <c r="P88" s="14">
        <f>SUM(P87:P87)</f>
        <v>0</v>
      </c>
      <c r="Q88" s="14">
        <f>SUM(Q87:Q87)</f>
        <v>0</v>
      </c>
      <c r="R88" s="14">
        <f>SUM(R87:R87)</f>
        <v>0</v>
      </c>
      <c r="S88" s="14">
        <f>SUM(S87:S87)</f>
        <v>0</v>
      </c>
      <c r="U88" s="14">
        <f>SUM(U87:U87)</f>
        <v>0</v>
      </c>
      <c r="V88" s="14">
        <f>SUM(V87:V87)</f>
        <v>0</v>
      </c>
      <c r="W88" s="14">
        <f>SUM(W87:W87)</f>
        <v>0</v>
      </c>
      <c r="X88" s="14">
        <f>SUM(X87:X87)</f>
        <v>0</v>
      </c>
      <c r="Y88" s="14">
        <f>SUM(Y87:Y87)</f>
        <v>0</v>
      </c>
      <c r="Z88" s="14">
        <f>SUM(Z87:Z87)</f>
        <v>0</v>
      </c>
      <c r="AA88" s="14">
        <f>SUM(AA87:AA87)</f>
        <v>0</v>
      </c>
      <c r="AB88" s="14">
        <f>SUM(AB87:AB87)</f>
        <v>0</v>
      </c>
      <c r="AC88" s="14">
        <f>SUM(AC87:AC87)</f>
        <v>0</v>
      </c>
      <c r="AD88" s="42"/>
      <c r="AE88" s="73" t="e">
        <f t="shared" si="135"/>
        <v>#DIV/0!</v>
      </c>
    </row>
    <row r="89" spans="2:31" ht="5.0999999999999996" customHeight="1">
      <c r="B89" s="52"/>
      <c r="C89" s="61"/>
      <c r="D89" s="61"/>
      <c r="E89" s="61"/>
      <c r="F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39"/>
    </row>
    <row r="90" spans="2:31" ht="12.75" customHeight="1">
      <c r="B90" s="53" t="s">
        <v>53</v>
      </c>
      <c r="C90" s="62"/>
      <c r="D90" s="62"/>
      <c r="E90" s="62"/>
      <c r="F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63"/>
      <c r="AE90" s="72"/>
    </row>
    <row r="91" spans="2:31" ht="12.75" customHeight="1">
      <c r="B91" s="78" t="s">
        <v>140</v>
      </c>
      <c r="C91" s="76">
        <v>153219</v>
      </c>
      <c r="D91" s="76">
        <v>20985</v>
      </c>
      <c r="E91" s="76">
        <v>27875</v>
      </c>
      <c r="F91" s="76">
        <v>11284</v>
      </c>
      <c r="G91" s="32"/>
      <c r="H91" s="115">
        <v>2312.7849999999999</v>
      </c>
      <c r="I91" s="115">
        <f>14399.768-H91</f>
        <v>12086.983</v>
      </c>
      <c r="J91" s="115">
        <f>20982.148-I91-H91</f>
        <v>6582.380000000001</v>
      </c>
      <c r="K91" s="91">
        <f t="shared" ref="K91:K94" si="136">SUM(D91-SUM(H91:J91))</f>
        <v>2.8519999999989523</v>
      </c>
      <c r="L91" s="115">
        <v>0</v>
      </c>
      <c r="M91" s="115">
        <v>18152.5</v>
      </c>
      <c r="N91" s="115">
        <f>26687.017-M91-L91</f>
        <v>8534.5169999999998</v>
      </c>
      <c r="O91" s="91">
        <f t="shared" ref="O91:O94" si="137">SUM(E91-SUM(L91:N91))</f>
        <v>1187.9830000000002</v>
      </c>
      <c r="P91" s="115">
        <v>0</v>
      </c>
      <c r="Q91" s="115">
        <f>7178-P91</f>
        <v>7178</v>
      </c>
      <c r="R91" s="115">
        <f>11284-Q91-P91</f>
        <v>4106</v>
      </c>
      <c r="S91" s="91">
        <f t="shared" ref="S91:S94" si="138">SUM(F91-SUM(P91:R91))</f>
        <v>0</v>
      </c>
      <c r="T91" s="32"/>
      <c r="U91" s="32">
        <f>SUM(H91:K91)</f>
        <v>20985</v>
      </c>
      <c r="V91" s="32">
        <f>SUM(I91:L91)</f>
        <v>18672.215</v>
      </c>
      <c r="W91" s="32">
        <f>SUM(J91:M91)</f>
        <v>24737.732</v>
      </c>
      <c r="X91" s="32">
        <f>SUM(K91:N91)</f>
        <v>26689.868999999999</v>
      </c>
      <c r="Y91" s="32">
        <f>SUM(L91:O91)</f>
        <v>27875</v>
      </c>
      <c r="Z91" s="32">
        <f>SUM(M91:P91)</f>
        <v>27875</v>
      </c>
      <c r="AA91" s="32">
        <f>SUM(N91:Q91)</f>
        <v>16900.5</v>
      </c>
      <c r="AB91" s="32">
        <f>SUM(O91:R91)</f>
        <v>12471.983</v>
      </c>
      <c r="AC91" s="32">
        <f>SUM(P91:S91)</f>
        <v>11284</v>
      </c>
      <c r="AD91" s="63"/>
      <c r="AE91" s="72">
        <f t="shared" si="135"/>
        <v>-0.59519282511210769</v>
      </c>
    </row>
    <row r="92" spans="2:31" ht="12.75" customHeight="1">
      <c r="B92" s="78" t="s">
        <v>141</v>
      </c>
      <c r="C92" s="76">
        <v>-5551</v>
      </c>
      <c r="D92" s="76">
        <v>-707</v>
      </c>
      <c r="E92" s="76">
        <v>0</v>
      </c>
      <c r="F92" s="76">
        <v>0</v>
      </c>
      <c r="G92" s="32"/>
      <c r="H92" s="115">
        <v>-146.71700000000001</v>
      </c>
      <c r="I92" s="115">
        <f>-521.441-H92</f>
        <v>-374.72400000000005</v>
      </c>
      <c r="J92" s="115">
        <f>-706.802-I92-H92</f>
        <v>-185.36099999999996</v>
      </c>
      <c r="K92" s="91">
        <f t="shared" si="136"/>
        <v>-0.19799999999997908</v>
      </c>
      <c r="L92" s="115">
        <v>0</v>
      </c>
      <c r="M92" s="115">
        <v>0</v>
      </c>
      <c r="N92" s="115">
        <v>0</v>
      </c>
      <c r="O92" s="91">
        <f t="shared" si="137"/>
        <v>0</v>
      </c>
      <c r="P92" s="115">
        <v>0</v>
      </c>
      <c r="Q92" s="115">
        <v>0</v>
      </c>
      <c r="R92" s="115">
        <v>0</v>
      </c>
      <c r="S92" s="91">
        <f t="shared" si="138"/>
        <v>0</v>
      </c>
      <c r="T92" s="32"/>
      <c r="U92" s="32"/>
      <c r="V92" s="32"/>
      <c r="W92" s="32"/>
      <c r="X92" s="32"/>
      <c r="Y92" s="32">
        <f>SUM(L92:O92)</f>
        <v>0</v>
      </c>
      <c r="Z92" s="32">
        <f>SUM(M92:P92)</f>
        <v>0</v>
      </c>
      <c r="AA92" s="32">
        <f>SUM(N92:Q92)</f>
        <v>0</v>
      </c>
      <c r="AB92" s="32">
        <f>SUM(O92:R92)</f>
        <v>0</v>
      </c>
      <c r="AC92" s="32">
        <f>SUM(P92:S92)</f>
        <v>0</v>
      </c>
      <c r="AD92" s="63"/>
      <c r="AE92" s="72"/>
    </row>
    <row r="93" spans="2:31" ht="12.75" customHeight="1">
      <c r="B93" s="78" t="s">
        <v>121</v>
      </c>
      <c r="C93" s="76">
        <v>1467</v>
      </c>
      <c r="D93" s="76">
        <v>0</v>
      </c>
      <c r="E93" s="76">
        <v>0</v>
      </c>
      <c r="F93" s="76">
        <v>0</v>
      </c>
      <c r="G93" s="32"/>
      <c r="H93" s="115">
        <v>0</v>
      </c>
      <c r="I93" s="115">
        <v>0</v>
      </c>
      <c r="J93" s="115">
        <v>0</v>
      </c>
      <c r="K93" s="91">
        <f t="shared" si="136"/>
        <v>0</v>
      </c>
      <c r="L93" s="115">
        <v>0</v>
      </c>
      <c r="M93" s="115">
        <v>0</v>
      </c>
      <c r="N93" s="115">
        <v>0</v>
      </c>
      <c r="O93" s="91">
        <f t="shared" si="137"/>
        <v>0</v>
      </c>
      <c r="P93" s="115">
        <v>0</v>
      </c>
      <c r="Q93" s="115">
        <v>0</v>
      </c>
      <c r="R93" s="115">
        <v>0</v>
      </c>
      <c r="S93" s="91">
        <f t="shared" si="138"/>
        <v>0</v>
      </c>
      <c r="T93" s="32"/>
      <c r="U93" s="32">
        <f>SUM(H93:K93)</f>
        <v>0</v>
      </c>
      <c r="V93" s="32">
        <f>SUM(I93:L93)</f>
        <v>0</v>
      </c>
      <c r="W93" s="32">
        <f>SUM(J93:M93)</f>
        <v>0</v>
      </c>
      <c r="X93" s="32">
        <f>SUM(K93:N93)</f>
        <v>0</v>
      </c>
      <c r="Y93" s="32">
        <f>SUM(L93:O93)</f>
        <v>0</v>
      </c>
      <c r="Z93" s="32">
        <f>SUM(M93:P93)</f>
        <v>0</v>
      </c>
      <c r="AA93" s="32">
        <f>SUM(N93:Q93)</f>
        <v>0</v>
      </c>
      <c r="AB93" s="32">
        <f>SUM(O93:R93)</f>
        <v>0</v>
      </c>
      <c r="AC93" s="32">
        <f>SUM(P93:S93)</f>
        <v>0</v>
      </c>
      <c r="AD93" s="63"/>
      <c r="AE93" s="72" t="e">
        <f t="shared" si="135"/>
        <v>#DIV/0!</v>
      </c>
    </row>
    <row r="94" spans="2:31" ht="12.75" customHeight="1">
      <c r="B94" s="78" t="s">
        <v>142</v>
      </c>
      <c r="C94" s="76">
        <v>4108</v>
      </c>
      <c r="D94" s="76">
        <v>1010</v>
      </c>
      <c r="E94" s="76">
        <v>1776</v>
      </c>
      <c r="F94" s="76">
        <v>691</v>
      </c>
      <c r="G94" s="32"/>
      <c r="H94" s="115">
        <v>373.49700000000001</v>
      </c>
      <c r="I94" s="115">
        <f>496.923-H94</f>
        <v>123.42599999999999</v>
      </c>
      <c r="J94" s="115">
        <f>1010.19-I94-H94</f>
        <v>513.26700000000005</v>
      </c>
      <c r="K94" s="91">
        <f t="shared" si="136"/>
        <v>-0.19000000000005457</v>
      </c>
      <c r="L94" s="115">
        <v>258.24400000000003</v>
      </c>
      <c r="M94" s="115">
        <f>439.437-L94</f>
        <v>181.19299999999998</v>
      </c>
      <c r="N94" s="115">
        <f>907.657-M94-L94</f>
        <v>468.22</v>
      </c>
      <c r="O94" s="91">
        <f t="shared" si="137"/>
        <v>868.34299999999996</v>
      </c>
      <c r="P94" s="115">
        <v>59</v>
      </c>
      <c r="Q94" s="115">
        <f>158-P94</f>
        <v>99</v>
      </c>
      <c r="R94" s="115">
        <f>602-Q94-P94</f>
        <v>444</v>
      </c>
      <c r="S94" s="91">
        <f t="shared" si="138"/>
        <v>89</v>
      </c>
      <c r="T94" s="32"/>
      <c r="U94" s="32">
        <f>SUM(H94:K94)</f>
        <v>1010</v>
      </c>
      <c r="V94" s="32">
        <f>SUM(I94:L94)</f>
        <v>894.74699999999996</v>
      </c>
      <c r="W94" s="32">
        <f>SUM(J94:M94)</f>
        <v>952.51400000000001</v>
      </c>
      <c r="X94" s="32">
        <f>SUM(K94:N94)</f>
        <v>907.46699999999998</v>
      </c>
      <c r="Y94" s="32">
        <f>SUM(L94:O94)</f>
        <v>1776</v>
      </c>
      <c r="Z94" s="32">
        <f>SUM(M94:P94)</f>
        <v>1576.7559999999999</v>
      </c>
      <c r="AA94" s="32">
        <f>SUM(N94:Q94)</f>
        <v>1494.5630000000001</v>
      </c>
      <c r="AB94" s="32">
        <f>SUM(O94:R94)</f>
        <v>1470.3429999999998</v>
      </c>
      <c r="AC94" s="32">
        <f>SUM(P94:S94)</f>
        <v>691</v>
      </c>
      <c r="AD94" s="63"/>
      <c r="AE94" s="72">
        <f t="shared" si="135"/>
        <v>-0.61092342342342343</v>
      </c>
    </row>
    <row r="95" spans="2:31" ht="12.75" customHeight="1">
      <c r="B95" s="13" t="s">
        <v>54</v>
      </c>
      <c r="C95" s="14">
        <f>SUM(C91:C94)</f>
        <v>153243</v>
      </c>
      <c r="D95" s="14">
        <f>SUM(D91:D94)</f>
        <v>21288</v>
      </c>
      <c r="E95" s="14">
        <f>SUM(E91:E94)</f>
        <v>29651</v>
      </c>
      <c r="F95" s="14">
        <f>SUM(F91:F94)</f>
        <v>11975</v>
      </c>
      <c r="H95" s="14">
        <f>SUM(H91:H94)</f>
        <v>2539.5649999999996</v>
      </c>
      <c r="I95" s="14">
        <f>SUM(I91:I94)</f>
        <v>11835.684999999999</v>
      </c>
      <c r="J95" s="14">
        <f>SUM(J91:J94)</f>
        <v>6910.286000000001</v>
      </c>
      <c r="K95" s="14">
        <f>SUM(K91:K94)</f>
        <v>2.4639999999989186</v>
      </c>
      <c r="L95" s="14">
        <f>SUM(L91:L94)</f>
        <v>258.24400000000003</v>
      </c>
      <c r="M95" s="14">
        <f>SUM(M91:M94)</f>
        <v>18333.692999999999</v>
      </c>
      <c r="N95" s="14">
        <f>SUM(N91:N94)</f>
        <v>9002.7369999999992</v>
      </c>
      <c r="O95" s="14">
        <f>SUM(O91:O94)</f>
        <v>2056.326</v>
      </c>
      <c r="P95" s="14">
        <f>SUM(P91:P94)</f>
        <v>59</v>
      </c>
      <c r="Q95" s="14">
        <f>SUM(Q91:Q94)</f>
        <v>7277</v>
      </c>
      <c r="R95" s="14">
        <f>SUM(R91:R94)</f>
        <v>4550</v>
      </c>
      <c r="S95" s="14">
        <f>SUM(S91:S94)</f>
        <v>89</v>
      </c>
      <c r="U95" s="14">
        <f>SUM(U91:U94)</f>
        <v>21995</v>
      </c>
      <c r="V95" s="14">
        <f>SUM(V91:V94)</f>
        <v>19566.962</v>
      </c>
      <c r="W95" s="14">
        <f>SUM(W91:W94)</f>
        <v>25690.245999999999</v>
      </c>
      <c r="X95" s="14">
        <f>SUM(X91:X94)</f>
        <v>27597.335999999999</v>
      </c>
      <c r="Y95" s="14">
        <f>SUM(Y91:Y94)</f>
        <v>29651</v>
      </c>
      <c r="Z95" s="14">
        <f>SUM(Z91:Z94)</f>
        <v>29451.756000000001</v>
      </c>
      <c r="AA95" s="14">
        <f>SUM(AA91:AA94)</f>
        <v>18395.063000000002</v>
      </c>
      <c r="AB95" s="14">
        <f>SUM(AB91:AB94)</f>
        <v>13942.326000000001</v>
      </c>
      <c r="AC95" s="14">
        <f>SUM(AC91:AC94)</f>
        <v>11975</v>
      </c>
      <c r="AD95" s="42"/>
      <c r="AE95" s="73">
        <f t="shared" si="135"/>
        <v>-0.596135037604128</v>
      </c>
    </row>
    <row r="96" spans="2:31" ht="5.0999999999999996" customHeight="1">
      <c r="B96" s="8"/>
      <c r="C96" s="64"/>
      <c r="D96" s="64"/>
      <c r="E96" s="64"/>
      <c r="F96" s="64"/>
      <c r="G96" s="32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46"/>
    </row>
    <row r="97" spans="2:31" ht="5.0999999999999996" customHeight="1">
      <c r="B97" s="69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11"/>
      <c r="AE97" s="46"/>
    </row>
    <row r="98" spans="2:31">
      <c r="B98" s="87" t="s">
        <v>76</v>
      </c>
      <c r="C98" s="88">
        <v>29249.018</v>
      </c>
      <c r="D98" s="88">
        <f>C105</f>
        <v>152108.01800000001</v>
      </c>
      <c r="E98" s="88">
        <f t="shared" ref="E98:F98" si="139">D105</f>
        <v>149158.01800000001</v>
      </c>
      <c r="F98" s="88">
        <f t="shared" si="139"/>
        <v>151024.01800000001</v>
      </c>
      <c r="G98" s="88"/>
      <c r="H98" s="88">
        <f>C105</f>
        <v>152108.01800000001</v>
      </c>
      <c r="I98" s="88">
        <f t="shared" ref="I98" si="140">H105</f>
        <v>151146.62800000003</v>
      </c>
      <c r="J98" s="88">
        <f t="shared" ref="J98" si="141">I105</f>
        <v>153342.82900000003</v>
      </c>
      <c r="K98" s="88">
        <f t="shared" ref="K98" si="142">J105</f>
        <v>153199.62500000003</v>
      </c>
      <c r="L98" s="88">
        <f t="shared" ref="L98" si="143">K105</f>
        <v>149158.01800000004</v>
      </c>
      <c r="M98" s="88">
        <f t="shared" ref="M98:S98" si="144">L105</f>
        <v>143622.00500000003</v>
      </c>
      <c r="N98" s="88">
        <f t="shared" si="144"/>
        <v>153467.11900000004</v>
      </c>
      <c r="O98" s="88">
        <f t="shared" si="144"/>
        <v>154816.57200000004</v>
      </c>
      <c r="P98" s="88">
        <f t="shared" si="144"/>
        <v>151024.01800000004</v>
      </c>
      <c r="Q98" s="88">
        <f t="shared" si="144"/>
        <v>143765.01800000004</v>
      </c>
      <c r="R98" s="88">
        <f t="shared" si="144"/>
        <v>139386.01800000004</v>
      </c>
      <c r="S98" s="88">
        <f t="shared" si="144"/>
        <v>138756.01800000004</v>
      </c>
      <c r="T98" s="88"/>
      <c r="U98" s="88">
        <f>K100</f>
        <v>153199.62500000003</v>
      </c>
      <c r="V98" s="88">
        <f>K105</f>
        <v>149158.01800000004</v>
      </c>
      <c r="W98" s="88">
        <f>L105</f>
        <v>143622.00500000003</v>
      </c>
      <c r="X98" s="88">
        <f>M105</f>
        <v>153467.11900000004</v>
      </c>
      <c r="Y98" s="88">
        <f>N105</f>
        <v>154816.57200000004</v>
      </c>
      <c r="Z98" s="88">
        <f>O105</f>
        <v>151024.01800000004</v>
      </c>
      <c r="AA98" s="88">
        <f>P105</f>
        <v>143765.01800000004</v>
      </c>
      <c r="AB98" s="88">
        <f>Q105</f>
        <v>139386.01800000004</v>
      </c>
      <c r="AC98" s="133">
        <f>R105</f>
        <v>138756.01800000004</v>
      </c>
      <c r="AD98" s="11"/>
      <c r="AE98" s="46"/>
    </row>
    <row r="99" spans="2:31">
      <c r="B99" s="125" t="s">
        <v>90</v>
      </c>
      <c r="C99" s="161"/>
      <c r="D99" s="161"/>
      <c r="E99" s="161"/>
      <c r="F99" s="161"/>
      <c r="G99" s="161"/>
      <c r="H99" s="163">
        <v>0</v>
      </c>
      <c r="I99" s="163">
        <v>0</v>
      </c>
      <c r="J99" s="163">
        <v>0</v>
      </c>
      <c r="K99" s="161">
        <f>D99</f>
        <v>0</v>
      </c>
      <c r="L99" s="161"/>
      <c r="M99" s="161">
        <f t="shared" ref="M99:S99" si="145">-L103</f>
        <v>0</v>
      </c>
      <c r="N99" s="161">
        <f t="shared" si="145"/>
        <v>0</v>
      </c>
      <c r="O99" s="161">
        <f>-N103</f>
        <v>0</v>
      </c>
      <c r="P99" s="161">
        <f t="shared" si="145"/>
        <v>0</v>
      </c>
      <c r="Q99" s="161">
        <f t="shared" si="145"/>
        <v>0</v>
      </c>
      <c r="R99" s="161">
        <f t="shared" si="145"/>
        <v>0</v>
      </c>
      <c r="S99" s="161">
        <f t="shared" si="145"/>
        <v>0</v>
      </c>
      <c r="T99" s="161"/>
      <c r="U99" s="161">
        <f>-J103</f>
        <v>0</v>
      </c>
      <c r="V99" s="161">
        <f>-K103</f>
        <v>0</v>
      </c>
      <c r="W99" s="161">
        <f>-L103</f>
        <v>0</v>
      </c>
      <c r="X99" s="161">
        <f>-M103</f>
        <v>0</v>
      </c>
      <c r="Y99" s="161">
        <f>-N103</f>
        <v>0</v>
      </c>
      <c r="Z99" s="161">
        <f>-O103</f>
        <v>0</v>
      </c>
      <c r="AA99" s="161">
        <f>-P103</f>
        <v>0</v>
      </c>
      <c r="AB99" s="161">
        <f>-Q103</f>
        <v>0</v>
      </c>
      <c r="AC99" s="127">
        <f>-R103</f>
        <v>0</v>
      </c>
      <c r="AD99" s="11"/>
      <c r="AE99" s="46"/>
    </row>
    <row r="100" spans="2:31">
      <c r="B100" s="84" t="s">
        <v>65</v>
      </c>
      <c r="C100" s="80">
        <f t="shared" ref="C100" si="146">SUM(C98:C99)</f>
        <v>29249.018</v>
      </c>
      <c r="D100" s="80">
        <f t="shared" ref="D100:F100" si="147">SUM(D98:D99)</f>
        <v>152108.01800000001</v>
      </c>
      <c r="E100" s="80">
        <f t="shared" si="147"/>
        <v>149158.01800000001</v>
      </c>
      <c r="F100" s="80">
        <f t="shared" si="147"/>
        <v>151024.01800000001</v>
      </c>
      <c r="G100" s="161"/>
      <c r="H100" s="80">
        <f t="shared" ref="H100:K100" si="148">SUM(H98:H99)</f>
        <v>152108.01800000001</v>
      </c>
      <c r="I100" s="80">
        <f t="shared" si="148"/>
        <v>151146.62800000003</v>
      </c>
      <c r="J100" s="80">
        <f t="shared" si="148"/>
        <v>153342.82900000003</v>
      </c>
      <c r="K100" s="80">
        <f t="shared" si="148"/>
        <v>153199.62500000003</v>
      </c>
      <c r="L100" s="80">
        <f t="shared" ref="L100:S100" si="149">SUM(L98:L99)</f>
        <v>149158.01800000004</v>
      </c>
      <c r="M100" s="80">
        <f t="shared" si="149"/>
        <v>143622.00500000003</v>
      </c>
      <c r="N100" s="80">
        <f t="shared" si="149"/>
        <v>153467.11900000004</v>
      </c>
      <c r="O100" s="80">
        <f t="shared" si="149"/>
        <v>154816.57200000004</v>
      </c>
      <c r="P100" s="80">
        <f t="shared" si="149"/>
        <v>151024.01800000004</v>
      </c>
      <c r="Q100" s="80">
        <f t="shared" si="149"/>
        <v>143765.01800000004</v>
      </c>
      <c r="R100" s="80">
        <f t="shared" si="149"/>
        <v>139386.01800000004</v>
      </c>
      <c r="S100" s="80">
        <f t="shared" si="149"/>
        <v>138756.01800000004</v>
      </c>
      <c r="T100" s="161"/>
      <c r="U100" s="164">
        <f t="shared" ref="U100:AC100" si="150">SUM(U98:U99)</f>
        <v>153199.62500000003</v>
      </c>
      <c r="V100" s="164">
        <f t="shared" si="150"/>
        <v>149158.01800000004</v>
      </c>
      <c r="W100" s="164">
        <f t="shared" si="150"/>
        <v>143622.00500000003</v>
      </c>
      <c r="X100" s="164">
        <f t="shared" si="150"/>
        <v>153467.11900000004</v>
      </c>
      <c r="Y100" s="164">
        <f t="shared" si="150"/>
        <v>154816.57200000004</v>
      </c>
      <c r="Z100" s="164">
        <f t="shared" si="150"/>
        <v>151024.01800000004</v>
      </c>
      <c r="AA100" s="164">
        <f t="shared" si="150"/>
        <v>143765.01800000004</v>
      </c>
      <c r="AB100" s="164">
        <f t="shared" si="150"/>
        <v>139386.01800000004</v>
      </c>
      <c r="AC100" s="162">
        <f t="shared" si="150"/>
        <v>138756.01800000004</v>
      </c>
      <c r="AD100" s="11"/>
      <c r="AE100" s="46"/>
    </row>
    <row r="101" spans="2:31" ht="5.0999999999999996" customHeight="1">
      <c r="B101" s="130"/>
      <c r="C101" s="165"/>
      <c r="D101" s="165"/>
      <c r="E101" s="165"/>
      <c r="F101" s="165"/>
      <c r="G101" s="161"/>
      <c r="H101" s="165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1"/>
      <c r="U101" s="165"/>
      <c r="V101" s="165"/>
      <c r="W101" s="165"/>
      <c r="X101" s="165"/>
      <c r="Y101" s="165"/>
      <c r="Z101" s="165"/>
      <c r="AA101" s="165"/>
      <c r="AB101" s="165"/>
      <c r="AC101" s="128"/>
      <c r="AD101" s="11"/>
      <c r="AE101" s="46"/>
    </row>
    <row r="102" spans="2:31">
      <c r="B102" s="125" t="s">
        <v>77</v>
      </c>
      <c r="C102" s="163">
        <v>0</v>
      </c>
      <c r="D102" s="163">
        <v>0</v>
      </c>
      <c r="E102" s="163">
        <v>0</v>
      </c>
      <c r="F102" s="163">
        <v>0</v>
      </c>
      <c r="G102" s="161"/>
      <c r="H102" s="163">
        <v>0</v>
      </c>
      <c r="I102" s="163">
        <v>0</v>
      </c>
      <c r="J102" s="163">
        <v>0</v>
      </c>
      <c r="K102" s="161">
        <f>SUM(D102-SUM(H102:J102))</f>
        <v>0</v>
      </c>
      <c r="L102" s="163">
        <v>0</v>
      </c>
      <c r="M102" s="163">
        <v>0</v>
      </c>
      <c r="N102" s="163">
        <v>0</v>
      </c>
      <c r="O102" s="161">
        <f>SUM(E102-SUM(L102:N102))</f>
        <v>0</v>
      </c>
      <c r="P102" s="163">
        <v>0</v>
      </c>
      <c r="Q102" s="163">
        <v>0</v>
      </c>
      <c r="R102" s="163">
        <v>0</v>
      </c>
      <c r="S102" s="161">
        <f>SUM(I102-SUM(P102:R102))</f>
        <v>0</v>
      </c>
      <c r="T102" s="161"/>
      <c r="U102" s="161">
        <f>SUM(K102:N102)</f>
        <v>0</v>
      </c>
      <c r="V102" s="161">
        <f>SUM(L102:O102)</f>
        <v>0</v>
      </c>
      <c r="W102" s="161">
        <f>SUM(M102:P102)</f>
        <v>0</v>
      </c>
      <c r="X102" s="161">
        <f>SUM(N102:Q102)</f>
        <v>0</v>
      </c>
      <c r="Y102" s="161">
        <f>SUM(O102:R102)</f>
        <v>0</v>
      </c>
      <c r="Z102" s="161">
        <f>SUM(P102:S102)</f>
        <v>0</v>
      </c>
      <c r="AA102" s="161">
        <f t="shared" ref="AA102:AC102" si="151">SUM(Q102:T102)</f>
        <v>0</v>
      </c>
      <c r="AB102" s="161">
        <f t="shared" si="151"/>
        <v>0</v>
      </c>
      <c r="AC102" s="127">
        <f t="shared" si="151"/>
        <v>0</v>
      </c>
      <c r="AD102" s="11"/>
      <c r="AE102" s="46"/>
    </row>
    <row r="103" spans="2:31">
      <c r="B103" s="125" t="s">
        <v>89</v>
      </c>
      <c r="C103" s="163">
        <v>0</v>
      </c>
      <c r="D103" s="163">
        <v>0</v>
      </c>
      <c r="E103" s="163">
        <v>0</v>
      </c>
      <c r="F103" s="163">
        <v>0</v>
      </c>
      <c r="G103" s="161"/>
      <c r="H103" s="163">
        <v>0</v>
      </c>
      <c r="I103" s="163">
        <v>0</v>
      </c>
      <c r="J103" s="163">
        <v>0</v>
      </c>
      <c r="K103" s="161">
        <f>SUM(D103-SUM(H103:J103))</f>
        <v>0</v>
      </c>
      <c r="L103" s="163">
        <v>0</v>
      </c>
      <c r="M103" s="163">
        <v>0</v>
      </c>
      <c r="N103" s="163">
        <v>0</v>
      </c>
      <c r="O103" s="161">
        <f>SUM(E103-SUM(L103:N103))</f>
        <v>0</v>
      </c>
      <c r="P103" s="163">
        <v>0</v>
      </c>
      <c r="Q103" s="163">
        <v>0</v>
      </c>
      <c r="R103" s="163">
        <v>0</v>
      </c>
      <c r="S103" s="161">
        <f>SUM(I103-SUM(P103:R103))</f>
        <v>0</v>
      </c>
      <c r="T103" s="161"/>
      <c r="U103" s="161">
        <f>N103</f>
        <v>0</v>
      </c>
      <c r="V103" s="161">
        <f>O103</f>
        <v>0</v>
      </c>
      <c r="W103" s="161">
        <f>P103</f>
        <v>0</v>
      </c>
      <c r="X103" s="161">
        <f>Q103</f>
        <v>0</v>
      </c>
      <c r="Y103" s="161">
        <f>R103</f>
        <v>0</v>
      </c>
      <c r="Z103" s="161">
        <f>S103</f>
        <v>0</v>
      </c>
      <c r="AA103" s="161">
        <f t="shared" ref="AA103:AC103" si="152">T103</f>
        <v>0</v>
      </c>
      <c r="AB103" s="161">
        <f t="shared" si="152"/>
        <v>0</v>
      </c>
      <c r="AC103" s="127">
        <f t="shared" si="152"/>
        <v>0</v>
      </c>
      <c r="AD103" s="11"/>
      <c r="AE103" s="46"/>
    </row>
    <row r="104" spans="2:31">
      <c r="B104" s="125" t="s">
        <v>58</v>
      </c>
      <c r="C104" s="161">
        <f>+C95+C88+C84</f>
        <v>122859</v>
      </c>
      <c r="D104" s="161">
        <f>+D95+D88+D84</f>
        <v>-2950</v>
      </c>
      <c r="E104" s="161">
        <f>+E95+E88+E84</f>
        <v>1866</v>
      </c>
      <c r="F104" s="161">
        <f>+F95+F88+F84</f>
        <v>-18837</v>
      </c>
      <c r="G104" s="161"/>
      <c r="H104" s="161">
        <f>+H95+H88+H84</f>
        <v>-961.38999999999851</v>
      </c>
      <c r="I104" s="161">
        <f>+I95+I88+I84</f>
        <v>2196.2010000000009</v>
      </c>
      <c r="J104" s="161">
        <f>+J95+J88+J84</f>
        <v>-143.20400000000245</v>
      </c>
      <c r="K104" s="161">
        <f>+K95+K88+K84</f>
        <v>-4041.6070000000004</v>
      </c>
      <c r="L104" s="161">
        <f>+L95+L88+L84</f>
        <v>-5536.0129999999999</v>
      </c>
      <c r="M104" s="161">
        <f>+M95+M88+M84</f>
        <v>9845.1140000000014</v>
      </c>
      <c r="N104" s="161">
        <f>+N95+N88+N84</f>
        <v>1349.4529999999977</v>
      </c>
      <c r="O104" s="161">
        <f>+O95+O88+O84</f>
        <v>-3792.5539999999974</v>
      </c>
      <c r="P104" s="161">
        <f>+P95+P88+P84</f>
        <v>-7259</v>
      </c>
      <c r="Q104" s="161">
        <f>+Q95+Q88+Q84</f>
        <v>-4379</v>
      </c>
      <c r="R104" s="161">
        <f>+R95+R88+R84</f>
        <v>-630</v>
      </c>
      <c r="S104" s="161">
        <f>+S95+S88+S84</f>
        <v>-6569</v>
      </c>
      <c r="T104" s="161"/>
      <c r="U104" s="32">
        <f>K104</f>
        <v>-4041.6070000000004</v>
      </c>
      <c r="V104" s="161">
        <f t="shared" ref="V104:AC104" si="153">L104</f>
        <v>-5536.0129999999999</v>
      </c>
      <c r="W104" s="161">
        <f t="shared" si="153"/>
        <v>9845.1140000000014</v>
      </c>
      <c r="X104" s="161">
        <f t="shared" si="153"/>
        <v>1349.4529999999977</v>
      </c>
      <c r="Y104" s="161">
        <f t="shared" si="153"/>
        <v>-3792.5539999999974</v>
      </c>
      <c r="Z104" s="161">
        <f t="shared" si="153"/>
        <v>-7259</v>
      </c>
      <c r="AA104" s="161">
        <f t="shared" si="153"/>
        <v>-4379</v>
      </c>
      <c r="AB104" s="161">
        <f t="shared" si="153"/>
        <v>-630</v>
      </c>
      <c r="AC104" s="127">
        <f t="shared" si="153"/>
        <v>-6569</v>
      </c>
      <c r="AD104" s="11"/>
      <c r="AE104" s="46"/>
    </row>
    <row r="105" spans="2:31">
      <c r="B105" s="84" t="s">
        <v>66</v>
      </c>
      <c r="C105" s="80">
        <f t="shared" ref="C105" si="154">SUM(C100:C104)</f>
        <v>152108.01800000001</v>
      </c>
      <c r="D105" s="80">
        <f t="shared" ref="D105:F105" si="155">SUM(D100:D104)</f>
        <v>149158.01800000001</v>
      </c>
      <c r="E105" s="80">
        <f t="shared" si="155"/>
        <v>151024.01800000001</v>
      </c>
      <c r="F105" s="80">
        <f t="shared" si="155"/>
        <v>132187.01800000001</v>
      </c>
      <c r="G105" s="161"/>
      <c r="H105" s="80">
        <f t="shared" ref="H105:K105" si="156">SUM(H100:H104)</f>
        <v>151146.62800000003</v>
      </c>
      <c r="I105" s="80">
        <f t="shared" si="156"/>
        <v>153342.82900000003</v>
      </c>
      <c r="J105" s="80">
        <f t="shared" si="156"/>
        <v>153199.62500000003</v>
      </c>
      <c r="K105" s="80">
        <f t="shared" si="156"/>
        <v>149158.01800000004</v>
      </c>
      <c r="L105" s="80">
        <f t="shared" ref="L105:S105" si="157">SUM(L100:L104)</f>
        <v>143622.00500000003</v>
      </c>
      <c r="M105" s="80">
        <f t="shared" si="157"/>
        <v>153467.11900000004</v>
      </c>
      <c r="N105" s="80">
        <f t="shared" si="157"/>
        <v>154816.57200000004</v>
      </c>
      <c r="O105" s="80">
        <f t="shared" si="157"/>
        <v>151024.01800000004</v>
      </c>
      <c r="P105" s="80">
        <f t="shared" si="157"/>
        <v>143765.01800000004</v>
      </c>
      <c r="Q105" s="80">
        <f t="shared" si="157"/>
        <v>139386.01800000004</v>
      </c>
      <c r="R105" s="80">
        <f t="shared" si="157"/>
        <v>138756.01800000004</v>
      </c>
      <c r="S105" s="80">
        <f t="shared" si="157"/>
        <v>132187.01800000004</v>
      </c>
      <c r="T105" s="161"/>
      <c r="U105" s="164">
        <f t="shared" ref="U105:AC105" si="158">SUM(U100:U104)</f>
        <v>149158.01800000004</v>
      </c>
      <c r="V105" s="164">
        <f t="shared" si="158"/>
        <v>143622.00500000003</v>
      </c>
      <c r="W105" s="164">
        <f t="shared" si="158"/>
        <v>153467.11900000004</v>
      </c>
      <c r="X105" s="164">
        <f t="shared" si="158"/>
        <v>154816.57200000004</v>
      </c>
      <c r="Y105" s="164">
        <f t="shared" si="158"/>
        <v>151024.01800000004</v>
      </c>
      <c r="Z105" s="164">
        <f t="shared" si="158"/>
        <v>143765.01800000004</v>
      </c>
      <c r="AA105" s="164">
        <f t="shared" si="158"/>
        <v>139386.01800000004</v>
      </c>
      <c r="AB105" s="164">
        <f t="shared" si="158"/>
        <v>138756.01800000004</v>
      </c>
      <c r="AC105" s="162">
        <f t="shared" si="158"/>
        <v>132187.01800000004</v>
      </c>
      <c r="AD105" s="11"/>
      <c r="AE105" s="46"/>
    </row>
    <row r="106" spans="2:31" ht="5.0999999999999996" customHeight="1">
      <c r="B106" s="85"/>
      <c r="C106" s="64"/>
      <c r="D106" s="64"/>
      <c r="E106" s="64"/>
      <c r="F106" s="64"/>
      <c r="G106" s="161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150"/>
      <c r="U106" s="166"/>
      <c r="V106" s="166"/>
      <c r="W106" s="166"/>
      <c r="X106" s="166"/>
      <c r="Y106" s="166"/>
      <c r="Z106" s="166"/>
      <c r="AA106" s="166"/>
      <c r="AB106" s="166"/>
      <c r="AC106" s="86"/>
      <c r="AD106" s="11"/>
      <c r="AE106" s="46"/>
    </row>
    <row r="107" spans="2:31">
      <c r="B107" s="131" t="s">
        <v>82</v>
      </c>
      <c r="C107" s="82">
        <f>ROUND(C105-C44,-0.1)</f>
        <v>0</v>
      </c>
      <c r="D107" s="82">
        <f t="shared" ref="D107:S107" si="159">ROUND(D105-D44,-0.1)</f>
        <v>0</v>
      </c>
      <c r="E107" s="82">
        <f t="shared" si="159"/>
        <v>0</v>
      </c>
      <c r="F107" s="82">
        <f t="shared" si="159"/>
        <v>0</v>
      </c>
      <c r="G107" s="83"/>
      <c r="H107" s="82">
        <f t="shared" si="159"/>
        <v>0</v>
      </c>
      <c r="I107" s="82">
        <f t="shared" si="159"/>
        <v>0</v>
      </c>
      <c r="J107" s="82">
        <f t="shared" si="159"/>
        <v>0</v>
      </c>
      <c r="K107" s="82">
        <f t="shared" si="159"/>
        <v>0</v>
      </c>
      <c r="L107" s="82">
        <f t="shared" si="159"/>
        <v>0</v>
      </c>
      <c r="M107" s="82">
        <f t="shared" si="159"/>
        <v>0</v>
      </c>
      <c r="N107" s="82">
        <f>ROUND(N105-N44,-1)</f>
        <v>0</v>
      </c>
      <c r="O107" s="82">
        <f t="shared" si="159"/>
        <v>0</v>
      </c>
      <c r="P107" s="82">
        <f t="shared" si="159"/>
        <v>0</v>
      </c>
      <c r="Q107" s="82">
        <f t="shared" si="159"/>
        <v>0</v>
      </c>
      <c r="R107" s="82">
        <f t="shared" si="159"/>
        <v>0</v>
      </c>
      <c r="S107" s="82">
        <f t="shared" si="159"/>
        <v>0</v>
      </c>
      <c r="T107" s="82"/>
      <c r="U107" s="82">
        <f>U105-U44</f>
        <v>1.8000000040046871E-2</v>
      </c>
      <c r="V107" s="82">
        <f>V105-V44</f>
        <v>0.15700000003562309</v>
      </c>
      <c r="W107" s="82">
        <f>W105-W44</f>
        <v>0.15700000003562309</v>
      </c>
      <c r="X107" s="82">
        <f>X105-X44</f>
        <v>-0.59199999994598329</v>
      </c>
      <c r="Y107" s="82">
        <f t="shared" ref="Y107:AC107" si="160">ROUND(Y105-Y44,0.01)</f>
        <v>0</v>
      </c>
      <c r="Z107" s="82">
        <f t="shared" si="160"/>
        <v>0</v>
      </c>
      <c r="AA107" s="82">
        <f t="shared" si="160"/>
        <v>0</v>
      </c>
      <c r="AB107" s="82">
        <f t="shared" si="160"/>
        <v>0</v>
      </c>
      <c r="AC107" s="129">
        <f t="shared" si="160"/>
        <v>0</v>
      </c>
      <c r="AD107" s="11"/>
      <c r="AE107" s="46"/>
    </row>
    <row r="108" spans="2:31" ht="5.0999999999999996" customHeight="1" thickBot="1">
      <c r="B108" s="70"/>
      <c r="C108" s="71"/>
      <c r="D108" s="71"/>
      <c r="E108" s="71"/>
      <c r="F108" s="71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E108" s="46"/>
    </row>
    <row r="109" spans="2:31" ht="12.75" customHeight="1">
      <c r="B109" s="138"/>
      <c r="C109" s="138"/>
      <c r="D109" s="138"/>
      <c r="E109" s="138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138"/>
      <c r="AC109" s="124"/>
      <c r="AE109" s="46"/>
    </row>
    <row r="110" spans="2:31" ht="12.75" customHeight="1">
      <c r="B110" s="53"/>
      <c r="C110" s="65"/>
      <c r="D110" s="65"/>
      <c r="E110" s="65"/>
      <c r="F110" s="65"/>
    </row>
    <row r="111" spans="2:31" ht="12.75" customHeight="1">
      <c r="C111" s="56"/>
      <c r="D111" s="56"/>
      <c r="E111" s="56"/>
      <c r="F111" s="56"/>
    </row>
    <row r="112" spans="2:31" ht="12.75" customHeight="1">
      <c r="C112" s="56"/>
      <c r="D112" s="56"/>
      <c r="E112" s="56"/>
      <c r="F112" s="56"/>
    </row>
    <row r="113" spans="3:17" ht="12.75" customHeight="1">
      <c r="C113" s="56"/>
      <c r="D113" s="56"/>
      <c r="E113" s="56"/>
      <c r="F113" s="56"/>
    </row>
    <row r="114" spans="3:17" ht="12.75" customHeight="1">
      <c r="C114" s="56"/>
      <c r="D114" s="56"/>
      <c r="E114" s="56"/>
      <c r="F114" s="56"/>
    </row>
    <row r="115" spans="3:17" ht="12.75" customHeight="1">
      <c r="C115" s="56"/>
      <c r="D115" s="56"/>
      <c r="E115" s="56"/>
      <c r="F115" s="56"/>
      <c r="H115" s="81"/>
      <c r="I115" s="81"/>
      <c r="J115" s="81"/>
      <c r="K115" s="81"/>
      <c r="L115" s="81"/>
      <c r="M115" s="81"/>
      <c r="N115" s="81"/>
      <c r="O115" s="81"/>
      <c r="P115" s="81"/>
      <c r="Q115" s="81"/>
    </row>
    <row r="116" spans="3:17" ht="12.75" customHeight="1">
      <c r="C116" s="56"/>
      <c r="D116" s="56"/>
      <c r="E116" s="56"/>
      <c r="F116" s="56"/>
    </row>
    <row r="117" spans="3:17" ht="12.75" customHeight="1">
      <c r="C117" s="56"/>
      <c r="D117" s="56"/>
      <c r="E117" s="56"/>
      <c r="F117" s="56"/>
      <c r="H117" s="81"/>
      <c r="I117" s="81"/>
      <c r="J117" s="81"/>
      <c r="K117" s="81"/>
      <c r="L117" s="81"/>
      <c r="M117" s="81"/>
      <c r="N117" s="81"/>
      <c r="O117" s="81"/>
      <c r="P117" s="81"/>
      <c r="Q117" s="81"/>
    </row>
    <row r="118" spans="3:17">
      <c r="H118" s="81"/>
      <c r="I118" s="81"/>
      <c r="J118" s="81"/>
      <c r="K118" s="81"/>
      <c r="L118" s="81"/>
      <c r="M118" s="81"/>
      <c r="N118" s="81"/>
      <c r="O118" s="81"/>
      <c r="P118" s="81"/>
      <c r="Q118" s="81"/>
    </row>
    <row r="119" spans="3:17">
      <c r="H119" s="81"/>
      <c r="I119" s="81"/>
      <c r="J119" s="81"/>
      <c r="K119" s="81"/>
      <c r="L119" s="81"/>
      <c r="M119" s="81"/>
      <c r="N119" s="81"/>
      <c r="O119" s="81"/>
      <c r="P119" s="81"/>
      <c r="Q119" s="81"/>
    </row>
    <row r="121" spans="3:17">
      <c r="H121" s="81"/>
      <c r="I121" s="81"/>
      <c r="J121" s="81"/>
      <c r="K121" s="81"/>
      <c r="L121" s="81"/>
      <c r="M121" s="81"/>
      <c r="N121" s="81"/>
      <c r="O121" s="81"/>
      <c r="P121" s="81"/>
      <c r="Q121" s="81"/>
    </row>
    <row r="122" spans="3:17">
      <c r="H122" s="81"/>
      <c r="I122" s="81"/>
      <c r="J122" s="81"/>
      <c r="K122" s="81"/>
      <c r="L122" s="81"/>
      <c r="M122" s="81"/>
      <c r="N122" s="81"/>
      <c r="O122" s="81"/>
      <c r="P122" s="81"/>
      <c r="Q122" s="81"/>
    </row>
  </sheetData>
  <mergeCells count="4">
    <mergeCell ref="B109:AB109"/>
    <mergeCell ref="AE6:AE8"/>
    <mergeCell ref="AE39:AE41"/>
    <mergeCell ref="AE67:AE69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E71"/>
  <sheetViews>
    <sheetView showGridLines="0" zoomScale="115" zoomScaleNormal="115" workbookViewId="0">
      <selection activeCell="A12" sqref="A12"/>
    </sheetView>
  </sheetViews>
  <sheetFormatPr defaultRowHeight="12" outlineLevelCol="1"/>
  <cols>
    <col min="1" max="1" width="1.5" style="8" customWidth="1"/>
    <col min="2" max="2" width="41.625" style="8" customWidth="1"/>
    <col min="3" max="3" width="8.625" style="8" customWidth="1" outlineLevel="1"/>
    <col min="4" max="4" width="9" style="8" bestFit="1" customWidth="1"/>
    <col min="5" max="5" width="9.25" style="8" bestFit="1" customWidth="1"/>
    <col min="6" max="6" width="9" style="8"/>
    <col min="7" max="7" width="1.5" style="8" customWidth="1"/>
    <col min="8" max="13" width="8" style="8" customWidth="1" outlineLevel="1"/>
    <col min="14" max="14" width="8.875" style="8" customWidth="1" outlineLevel="1"/>
    <col min="15" max="17" width="8.875" style="8" customWidth="1"/>
    <col min="18" max="19" width="8.875" style="8" bestFit="1" customWidth="1"/>
    <col min="20" max="20" width="1.625" style="8" customWidth="1"/>
    <col min="21" max="21" width="8.25" style="8" hidden="1" customWidth="1" outlineLevel="1"/>
    <col min="22" max="22" width="9.25" style="8" hidden="1" customWidth="1" outlineLevel="1"/>
    <col min="23" max="23" width="9.75" style="8" hidden="1" customWidth="1" outlineLevel="1"/>
    <col min="24" max="24" width="9" style="8" hidden="1" customWidth="1" outlineLevel="1"/>
    <col min="25" max="25" width="9" style="8" customWidth="1" collapsed="1"/>
    <col min="26" max="27" width="9" style="8" hidden="1" customWidth="1" outlineLevel="1"/>
    <col min="28" max="28" width="8.5" style="8" hidden="1" customWidth="1" outlineLevel="1"/>
    <col min="29" max="29" width="8.5" style="8" bestFit="1" customWidth="1" collapsed="1"/>
    <col min="30" max="30" width="1.5" style="8" customWidth="1"/>
    <col min="31" max="31" width="9.375" style="123" bestFit="1" customWidth="1"/>
    <col min="32" max="16384" width="9" style="8"/>
  </cols>
  <sheetData>
    <row r="2" spans="2:31" s="5" customFormat="1" ht="12.75" customHeight="1">
      <c r="B2" s="1" t="str">
        <f>'Historical Financials'!B2</f>
        <v>Anavex Life Sciences Corp. (NASDAQ: AVXL)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/>
      <c r="O2" s="2" t="s">
        <v>1</v>
      </c>
      <c r="P2" s="2"/>
      <c r="Q2" s="2"/>
      <c r="R2" s="2"/>
      <c r="S2" s="2"/>
      <c r="T2" s="3"/>
      <c r="U2" s="2"/>
      <c r="V2" s="2"/>
      <c r="W2" s="2"/>
      <c r="X2" s="2" t="s">
        <v>10</v>
      </c>
      <c r="Y2" s="2" t="s">
        <v>10</v>
      </c>
      <c r="Z2" s="2"/>
      <c r="AA2" s="2"/>
      <c r="AB2" s="2"/>
      <c r="AC2" s="2"/>
      <c r="AD2" s="3"/>
      <c r="AE2" s="142" t="s">
        <v>23</v>
      </c>
    </row>
    <row r="3" spans="2:31" s="5" customFormat="1" ht="12.75" customHeight="1">
      <c r="B3" s="6" t="s">
        <v>24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1Q22</v>
      </c>
      <c r="I3" s="7" t="str">
        <f>'Historical Financials'!I7</f>
        <v>2Q22</v>
      </c>
      <c r="J3" s="7" t="str">
        <f>'Historical Financials'!J7</f>
        <v>3Q22</v>
      </c>
      <c r="K3" s="7" t="str">
        <f>'Historical Financials'!K7</f>
        <v>4Q22</v>
      </c>
      <c r="L3" s="7" t="str">
        <f>'Historical Financials'!L7</f>
        <v>1Q23</v>
      </c>
      <c r="M3" s="7" t="str">
        <f>'Historical Financials'!M7</f>
        <v>2Q23</v>
      </c>
      <c r="N3" s="7" t="str">
        <f>'Historical Financials'!N7</f>
        <v>3Q23</v>
      </c>
      <c r="O3" s="7" t="str">
        <f>'Historical Financials'!O7</f>
        <v>4Q23</v>
      </c>
      <c r="P3" s="7" t="str">
        <f>'Historical Financials'!P7</f>
        <v>1Q24</v>
      </c>
      <c r="Q3" s="7" t="str">
        <f>'Historical Financials'!Q7</f>
        <v>2Q24</v>
      </c>
      <c r="R3" s="7" t="str">
        <f>'Historical Financials'!R7</f>
        <v>3Q24</v>
      </c>
      <c r="S3" s="7" t="str">
        <f>'Historical Financials'!S7</f>
        <v>4Q24</v>
      </c>
      <c r="T3" s="3"/>
      <c r="U3" s="4" t="str">
        <f>K3</f>
        <v>4Q22</v>
      </c>
      <c r="V3" s="4" t="str">
        <f>L3</f>
        <v>1Q23</v>
      </c>
      <c r="W3" s="4" t="str">
        <f>M3</f>
        <v>2Q23</v>
      </c>
      <c r="X3" s="4" t="str">
        <f>N3</f>
        <v>3Q23</v>
      </c>
      <c r="Y3" s="4" t="str">
        <f>O3</f>
        <v>4Q23</v>
      </c>
      <c r="Z3" s="4" t="str">
        <f>P3</f>
        <v>1Q24</v>
      </c>
      <c r="AA3" s="4" t="str">
        <f>Q3</f>
        <v>2Q24</v>
      </c>
      <c r="AB3" s="4" t="str">
        <f>R3</f>
        <v>3Q24</v>
      </c>
      <c r="AC3" s="4" t="str">
        <f>S3</f>
        <v>4Q24</v>
      </c>
      <c r="AD3" s="3"/>
      <c r="AE3" s="142"/>
    </row>
    <row r="4" spans="2:31" s="5" customFormat="1" ht="12.75" customHeight="1">
      <c r="B4" s="154" t="s">
        <v>108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44651</v>
      </c>
      <c r="I4" s="3">
        <f>'Historical Financials'!I8</f>
        <v>44742</v>
      </c>
      <c r="J4" s="3">
        <f>'Historical Financials'!J8</f>
        <v>44834</v>
      </c>
      <c r="K4" s="3">
        <f>'Historical Financials'!K8</f>
        <v>44926</v>
      </c>
      <c r="L4" s="3">
        <f>'Historical Financials'!L8</f>
        <v>45016</v>
      </c>
      <c r="M4" s="3">
        <f>'Historical Financials'!M8</f>
        <v>45107</v>
      </c>
      <c r="N4" s="3">
        <f>'Historical Financials'!N8</f>
        <v>45199</v>
      </c>
      <c r="O4" s="3">
        <f>'Historical Financials'!O8</f>
        <v>45291</v>
      </c>
      <c r="P4" s="3">
        <f>'Historical Financials'!P8</f>
        <v>45382</v>
      </c>
      <c r="Q4" s="3">
        <f>'Historical Financials'!Q8</f>
        <v>45473</v>
      </c>
      <c r="R4" s="3">
        <f>'Historical Financials'!R8</f>
        <v>45565</v>
      </c>
      <c r="S4" s="3">
        <f>'Historical Financials'!S8</f>
        <v>45657</v>
      </c>
      <c r="T4" s="3"/>
      <c r="U4" s="3">
        <f>K4</f>
        <v>44926</v>
      </c>
      <c r="V4" s="3">
        <f>L4</f>
        <v>45016</v>
      </c>
      <c r="W4" s="3">
        <f>M4</f>
        <v>45107</v>
      </c>
      <c r="X4" s="3">
        <f>N4</f>
        <v>45199</v>
      </c>
      <c r="Y4" s="3">
        <f>O4</f>
        <v>45291</v>
      </c>
      <c r="Z4" s="3">
        <f>P4</f>
        <v>45382</v>
      </c>
      <c r="AA4" s="3">
        <f>Q4</f>
        <v>45473</v>
      </c>
      <c r="AB4" s="3">
        <f>R4</f>
        <v>45565</v>
      </c>
      <c r="AC4" s="3">
        <f>S4</f>
        <v>45657</v>
      </c>
      <c r="AD4" s="3"/>
      <c r="AE4" s="142"/>
    </row>
    <row r="5" spans="2:31" ht="5.0999999999999996" customHeight="1">
      <c r="AE5" s="119"/>
    </row>
    <row r="6" spans="2:31" ht="12.75" customHeight="1">
      <c r="B6" s="9" t="str">
        <f>'Historical Financials'!B10</f>
        <v>Consolidated Revenue</v>
      </c>
      <c r="C6" s="89">
        <f>'Historical Financials'!C10</f>
        <v>0</v>
      </c>
      <c r="D6" s="89">
        <f>'Historical Financials'!D10</f>
        <v>0</v>
      </c>
      <c r="E6" s="89">
        <f>'Historical Financials'!E10</f>
        <v>0</v>
      </c>
      <c r="F6" s="89">
        <f>'Historical Financials'!F10</f>
        <v>0</v>
      </c>
      <c r="G6" s="10"/>
      <c r="H6" s="89">
        <f>'Historical Financials'!H10</f>
        <v>0</v>
      </c>
      <c r="I6" s="89">
        <f>'Historical Financials'!I10</f>
        <v>0</v>
      </c>
      <c r="J6" s="89">
        <f>'Historical Financials'!J10</f>
        <v>0</v>
      </c>
      <c r="K6" s="89">
        <f>'Historical Financials'!K10</f>
        <v>0</v>
      </c>
      <c r="L6" s="89">
        <f>'Historical Financials'!L10</f>
        <v>0</v>
      </c>
      <c r="M6" s="89">
        <f>'Historical Financials'!M10</f>
        <v>0</v>
      </c>
      <c r="N6" s="89">
        <f>'Historical Financials'!N10</f>
        <v>0</v>
      </c>
      <c r="O6" s="89">
        <f>'Historical Financials'!O10</f>
        <v>0</v>
      </c>
      <c r="P6" s="89">
        <f>'Historical Financials'!P10</f>
        <v>0</v>
      </c>
      <c r="Q6" s="89">
        <f>'Historical Financials'!Q10</f>
        <v>0</v>
      </c>
      <c r="R6" s="89">
        <f>'Historical Financials'!R10</f>
        <v>0</v>
      </c>
      <c r="S6" s="89">
        <f>'Historical Financials'!S10</f>
        <v>0</v>
      </c>
      <c r="T6" s="5"/>
      <c r="U6" s="135">
        <f t="shared" ref="U6:AB6" si="0">SUM(H6:K6)</f>
        <v>0</v>
      </c>
      <c r="V6" s="135">
        <f t="shared" si="0"/>
        <v>0</v>
      </c>
      <c r="W6" s="135">
        <f t="shared" si="0"/>
        <v>0</v>
      </c>
      <c r="X6" s="135">
        <f t="shared" si="0"/>
        <v>0</v>
      </c>
      <c r="Y6" s="135">
        <f t="shared" si="0"/>
        <v>0</v>
      </c>
      <c r="Z6" s="135">
        <f t="shared" si="0"/>
        <v>0</v>
      </c>
      <c r="AA6" s="135">
        <f t="shared" si="0"/>
        <v>0</v>
      </c>
      <c r="AB6" s="135">
        <f t="shared" si="0"/>
        <v>0</v>
      </c>
      <c r="AC6" s="135">
        <f>SUM(P6:S6)</f>
        <v>0</v>
      </c>
      <c r="AE6" s="120" t="e">
        <f>SUM(AC6/Y6)-1</f>
        <v>#DIV/0!</v>
      </c>
    </row>
    <row r="7" spans="2:31" ht="12.75" customHeight="1">
      <c r="B7" s="13" t="s">
        <v>12</v>
      </c>
      <c r="C7" s="14">
        <f>SUM(C6:C6)</f>
        <v>0</v>
      </c>
      <c r="D7" s="14">
        <f>SUM(D6:D6)</f>
        <v>0</v>
      </c>
      <c r="E7" s="14">
        <f>SUM(E6:E6)</f>
        <v>0</v>
      </c>
      <c r="F7" s="14">
        <f>SUM(F6:F6)</f>
        <v>0</v>
      </c>
      <c r="G7" s="10"/>
      <c r="H7" s="14">
        <f>SUM(H6:H6)</f>
        <v>0</v>
      </c>
      <c r="I7" s="14">
        <f>SUM(I6:I6)</f>
        <v>0</v>
      </c>
      <c r="J7" s="14">
        <f>SUM(J6:J6)</f>
        <v>0</v>
      </c>
      <c r="K7" s="14">
        <f>SUM(K6:K6)</f>
        <v>0</v>
      </c>
      <c r="L7" s="14">
        <f>SUM(L6:L6)</f>
        <v>0</v>
      </c>
      <c r="M7" s="14">
        <f>SUM(M6:M6)</f>
        <v>0</v>
      </c>
      <c r="N7" s="14">
        <f>SUM(N6:N6)</f>
        <v>0</v>
      </c>
      <c r="O7" s="14">
        <f>SUM(O6:O6)</f>
        <v>0</v>
      </c>
      <c r="P7" s="14">
        <f>SUM(P6:P6)</f>
        <v>0</v>
      </c>
      <c r="Q7" s="14">
        <f>SUM(Q6:Q6)</f>
        <v>0</v>
      </c>
      <c r="R7" s="14">
        <f>SUM(R6:R6)</f>
        <v>0</v>
      </c>
      <c r="S7" s="14">
        <f>SUM(S6:S6)</f>
        <v>0</v>
      </c>
      <c r="T7" s="5"/>
      <c r="U7" s="14">
        <f>SUM(U6:U6)</f>
        <v>0</v>
      </c>
      <c r="V7" s="14">
        <f>SUM(V6:V6)</f>
        <v>0</v>
      </c>
      <c r="W7" s="14">
        <f>SUM(W6:W6)</f>
        <v>0</v>
      </c>
      <c r="X7" s="14">
        <f>SUM(X6:X6)</f>
        <v>0</v>
      </c>
      <c r="Y7" s="14">
        <f>SUM(Y6:Y6)</f>
        <v>0</v>
      </c>
      <c r="Z7" s="14">
        <f>SUM(Z6:Z6)</f>
        <v>0</v>
      </c>
      <c r="AA7" s="14">
        <f>SUM(AA6:AA6)</f>
        <v>0</v>
      </c>
      <c r="AB7" s="14">
        <f>SUM(AB6:AB6)</f>
        <v>0</v>
      </c>
      <c r="AC7" s="14">
        <f>SUM(AC6:AC6)</f>
        <v>0</v>
      </c>
      <c r="AE7" s="121" t="e">
        <f>SUM(AC7/Y7)-1</f>
        <v>#DIV/0!</v>
      </c>
    </row>
    <row r="8" spans="2:31" ht="12.75" customHeight="1">
      <c r="B8" s="16" t="s">
        <v>25</v>
      </c>
      <c r="C8" s="109"/>
      <c r="D8" s="17" t="e">
        <f>SUM(D7/C7)-1</f>
        <v>#DIV/0!</v>
      </c>
      <c r="E8" s="17" t="e">
        <f>SUM(E7/D7)-1</f>
        <v>#DIV/0!</v>
      </c>
      <c r="F8" s="17" t="e">
        <f>SUM(F7/E7)-1</f>
        <v>#DIV/0!</v>
      </c>
      <c r="G8" s="11"/>
      <c r="H8" s="109"/>
      <c r="I8" s="109"/>
      <c r="J8" s="109"/>
      <c r="K8" s="109"/>
      <c r="L8" s="17" t="e">
        <f t="shared" ref="L8" si="1">SUM(L7/H7)-1</f>
        <v>#DIV/0!</v>
      </c>
      <c r="M8" s="17" t="e">
        <f t="shared" ref="M8" si="2">SUM(M7/I7)-1</f>
        <v>#DIV/0!</v>
      </c>
      <c r="N8" s="17" t="e">
        <f t="shared" ref="N8" si="3">SUM(N7/J7)-1</f>
        <v>#DIV/0!</v>
      </c>
      <c r="O8" s="17" t="e">
        <f t="shared" ref="O8" si="4">SUM(O7/K7)-1</f>
        <v>#DIV/0!</v>
      </c>
      <c r="P8" s="17" t="e">
        <f t="shared" ref="P8:S8" si="5">SUM(P7/L7)-1</f>
        <v>#DIV/0!</v>
      </c>
      <c r="Q8" s="17" t="e">
        <f t="shared" si="5"/>
        <v>#DIV/0!</v>
      </c>
      <c r="R8" s="17" t="e">
        <f t="shared" si="5"/>
        <v>#DIV/0!</v>
      </c>
      <c r="S8" s="17" t="e">
        <f t="shared" si="5"/>
        <v>#DIV/0!</v>
      </c>
      <c r="T8" s="5"/>
      <c r="U8" s="109"/>
      <c r="V8" s="109"/>
      <c r="W8" s="109"/>
      <c r="X8" s="109"/>
      <c r="Y8" s="17" t="e">
        <f t="shared" ref="Y8:AC8" si="6">SUM(Y7/U7)-1</f>
        <v>#DIV/0!</v>
      </c>
      <c r="Z8" s="17" t="e">
        <f t="shared" si="6"/>
        <v>#DIV/0!</v>
      </c>
      <c r="AA8" s="17" t="e">
        <f t="shared" si="6"/>
        <v>#DIV/0!</v>
      </c>
      <c r="AB8" s="17" t="e">
        <f t="shared" si="6"/>
        <v>#DIV/0!</v>
      </c>
      <c r="AC8" s="17" t="e">
        <f t="shared" si="6"/>
        <v>#DIV/0!</v>
      </c>
      <c r="AE8" s="122" t="e">
        <f>SUM(AC8-Y8)*10000</f>
        <v>#DIV/0!</v>
      </c>
    </row>
    <row r="9" spans="2:31" ht="12.75" customHeight="1">
      <c r="B9" s="16" t="s">
        <v>26</v>
      </c>
      <c r="C9" s="17" t="s">
        <v>27</v>
      </c>
      <c r="D9" s="17" t="s">
        <v>27</v>
      </c>
      <c r="E9" s="17" t="s">
        <v>27</v>
      </c>
      <c r="F9" s="17" t="s">
        <v>27</v>
      </c>
      <c r="G9" s="11"/>
      <c r="H9" s="109"/>
      <c r="I9" s="17" t="e">
        <f t="shared" ref="I9" si="7">SUM(I7/H7)-1</f>
        <v>#DIV/0!</v>
      </c>
      <c r="J9" s="17" t="e">
        <f t="shared" ref="J9" si="8">SUM(J7/I7)-1</f>
        <v>#DIV/0!</v>
      </c>
      <c r="K9" s="17" t="e">
        <f t="shared" ref="K9" si="9">SUM(K7/J7)-1</f>
        <v>#DIV/0!</v>
      </c>
      <c r="L9" s="17" t="e">
        <f t="shared" ref="L9" si="10">SUM(L7/K7)-1</f>
        <v>#DIV/0!</v>
      </c>
      <c r="M9" s="17" t="e">
        <f t="shared" ref="M9:S9" si="11">SUM(M7/L7)-1</f>
        <v>#DIV/0!</v>
      </c>
      <c r="N9" s="17" t="e">
        <f t="shared" si="11"/>
        <v>#DIV/0!</v>
      </c>
      <c r="O9" s="17" t="e">
        <f t="shared" si="11"/>
        <v>#DIV/0!</v>
      </c>
      <c r="P9" s="17" t="e">
        <f t="shared" si="11"/>
        <v>#DIV/0!</v>
      </c>
      <c r="Q9" s="17" t="e">
        <f t="shared" si="11"/>
        <v>#DIV/0!</v>
      </c>
      <c r="R9" s="17" t="e">
        <f t="shared" si="11"/>
        <v>#DIV/0!</v>
      </c>
      <c r="S9" s="17" t="e">
        <f t="shared" si="11"/>
        <v>#DIV/0!</v>
      </c>
      <c r="T9" s="5"/>
      <c r="U9" s="17" t="s">
        <v>27</v>
      </c>
      <c r="V9" s="17" t="s">
        <v>27</v>
      </c>
      <c r="W9" s="17" t="s">
        <v>27</v>
      </c>
      <c r="X9" s="17" t="s">
        <v>27</v>
      </c>
      <c r="Y9" s="17" t="s">
        <v>27</v>
      </c>
      <c r="Z9" s="17" t="s">
        <v>27</v>
      </c>
      <c r="AA9" s="17" t="s">
        <v>27</v>
      </c>
      <c r="AB9" s="17" t="s">
        <v>27</v>
      </c>
      <c r="AC9" s="17" t="s">
        <v>27</v>
      </c>
      <c r="AE9" s="119"/>
    </row>
    <row r="10" spans="2:31" ht="5.0999999999999996" customHeight="1">
      <c r="B10" s="18"/>
      <c r="C10" s="19"/>
      <c r="D10" s="19"/>
      <c r="E10" s="19"/>
      <c r="F10" s="19"/>
      <c r="G10" s="20"/>
      <c r="H10" s="21"/>
      <c r="I10" s="21"/>
      <c r="J10" s="21"/>
      <c r="K10" s="21"/>
      <c r="L10" s="21"/>
      <c r="M10" s="21"/>
      <c r="N10" s="21"/>
      <c r="O10" s="22"/>
      <c r="P10" s="21"/>
      <c r="Q10" s="21"/>
      <c r="R10" s="21"/>
      <c r="S10" s="21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E10" s="119"/>
    </row>
    <row r="11" spans="2:31" ht="12.75" customHeight="1">
      <c r="B11" s="23" t="s">
        <v>95</v>
      </c>
      <c r="C11" s="89">
        <f>'Historical Financials'!C13</f>
        <v>0</v>
      </c>
      <c r="D11" s="89">
        <f>'Historical Financials'!D13</f>
        <v>0</v>
      </c>
      <c r="E11" s="89">
        <f>'Historical Financials'!E13</f>
        <v>0</v>
      </c>
      <c r="F11" s="89">
        <f>'Historical Financials'!F13</f>
        <v>0</v>
      </c>
      <c r="G11" s="10"/>
      <c r="H11" s="89">
        <f>'Historical Financials'!H13</f>
        <v>0</v>
      </c>
      <c r="I11" s="89">
        <f>'Historical Financials'!I13</f>
        <v>0</v>
      </c>
      <c r="J11" s="89">
        <f>'Historical Financials'!J13</f>
        <v>0</v>
      </c>
      <c r="K11" s="89">
        <f>'Historical Financials'!K13</f>
        <v>0</v>
      </c>
      <c r="L11" s="89">
        <f>'Historical Financials'!L13</f>
        <v>0</v>
      </c>
      <c r="M11" s="89">
        <f>'Historical Financials'!M13</f>
        <v>0</v>
      </c>
      <c r="N11" s="89">
        <f>'Historical Financials'!N13</f>
        <v>0</v>
      </c>
      <c r="O11" s="89">
        <f>'Historical Financials'!O13</f>
        <v>0</v>
      </c>
      <c r="P11" s="89">
        <f>'Historical Financials'!P13</f>
        <v>0</v>
      </c>
      <c r="Q11" s="89">
        <f>'Historical Financials'!Q13</f>
        <v>0</v>
      </c>
      <c r="R11" s="89">
        <f>'Historical Financials'!R13</f>
        <v>0</v>
      </c>
      <c r="S11" s="89">
        <f>'Historical Financials'!S13</f>
        <v>0</v>
      </c>
      <c r="T11" s="5"/>
      <c r="U11" s="135">
        <f t="shared" ref="U11:AC11" si="12">SUM(H11:K11)</f>
        <v>0</v>
      </c>
      <c r="V11" s="135">
        <f t="shared" si="12"/>
        <v>0</v>
      </c>
      <c r="W11" s="135">
        <f t="shared" si="12"/>
        <v>0</v>
      </c>
      <c r="X11" s="135">
        <f t="shared" si="12"/>
        <v>0</v>
      </c>
      <c r="Y11" s="135">
        <f t="shared" si="12"/>
        <v>0</v>
      </c>
      <c r="Z11" s="135">
        <f t="shared" si="12"/>
        <v>0</v>
      </c>
      <c r="AA11" s="135">
        <f t="shared" si="12"/>
        <v>0</v>
      </c>
      <c r="AB11" s="135">
        <f t="shared" si="12"/>
        <v>0</v>
      </c>
      <c r="AC11" s="135">
        <f t="shared" si="12"/>
        <v>0</v>
      </c>
      <c r="AE11" s="120" t="e">
        <f>SUM(AC11/Y11)-1</f>
        <v>#DIV/0!</v>
      </c>
    </row>
    <row r="12" spans="2:31" ht="12.75" customHeight="1">
      <c r="B12" s="25" t="s">
        <v>21</v>
      </c>
      <c r="C12" s="26">
        <f>SUM(C7+SUM(C11:C11))</f>
        <v>0</v>
      </c>
      <c r="D12" s="26">
        <f>SUM(D7+SUM(D11:D11))</f>
        <v>0</v>
      </c>
      <c r="E12" s="26">
        <f>SUM(E7+SUM(E11:E11))</f>
        <v>0</v>
      </c>
      <c r="F12" s="26">
        <f>SUM(F7+SUM(F11:F11))</f>
        <v>0</v>
      </c>
      <c r="G12" s="5"/>
      <c r="H12" s="26">
        <f t="shared" ref="H12" si="13">SUM(H7+SUM(H11:H11))</f>
        <v>0</v>
      </c>
      <c r="I12" s="26">
        <f t="shared" ref="I12" si="14">SUM(I7+SUM(I11:I11))</f>
        <v>0</v>
      </c>
      <c r="J12" s="26">
        <f t="shared" ref="J12" si="15">SUM(J7+SUM(J11:J11))</f>
        <v>0</v>
      </c>
      <c r="K12" s="26">
        <f t="shared" ref="K12" si="16">SUM(K7+SUM(K11:K11))</f>
        <v>0</v>
      </c>
      <c r="L12" s="26">
        <f t="shared" ref="L12:S12" si="17">SUM(L7+SUM(L11:L11))</f>
        <v>0</v>
      </c>
      <c r="M12" s="26">
        <f t="shared" si="17"/>
        <v>0</v>
      </c>
      <c r="N12" s="26">
        <f t="shared" si="17"/>
        <v>0</v>
      </c>
      <c r="O12" s="26">
        <f t="shared" si="17"/>
        <v>0</v>
      </c>
      <c r="P12" s="26">
        <f t="shared" si="17"/>
        <v>0</v>
      </c>
      <c r="Q12" s="26">
        <f t="shared" si="17"/>
        <v>0</v>
      </c>
      <c r="R12" s="26">
        <f t="shared" si="17"/>
        <v>0</v>
      </c>
      <c r="S12" s="26">
        <f t="shared" si="17"/>
        <v>0</v>
      </c>
      <c r="T12" s="5"/>
      <c r="U12" s="26">
        <f t="shared" ref="U12:AC12" si="18">SUM(U7+SUM(U11:U11))</f>
        <v>0</v>
      </c>
      <c r="V12" s="26">
        <f t="shared" si="18"/>
        <v>0</v>
      </c>
      <c r="W12" s="26">
        <f t="shared" si="18"/>
        <v>0</v>
      </c>
      <c r="X12" s="26">
        <f t="shared" si="18"/>
        <v>0</v>
      </c>
      <c r="Y12" s="26">
        <f t="shared" si="18"/>
        <v>0</v>
      </c>
      <c r="Z12" s="26">
        <f t="shared" si="18"/>
        <v>0</v>
      </c>
      <c r="AA12" s="26">
        <f t="shared" si="18"/>
        <v>0</v>
      </c>
      <c r="AB12" s="26">
        <f t="shared" si="18"/>
        <v>0</v>
      </c>
      <c r="AC12" s="26">
        <f t="shared" si="18"/>
        <v>0</v>
      </c>
      <c r="AE12" s="121" t="e">
        <f>SUM(AC12/Y12)-1</f>
        <v>#DIV/0!</v>
      </c>
    </row>
    <row r="13" spans="2:31" ht="12.75" customHeight="1">
      <c r="B13" s="16" t="s">
        <v>28</v>
      </c>
      <c r="C13" s="17" t="e">
        <f>C12/C7</f>
        <v>#DIV/0!</v>
      </c>
      <c r="D13" s="17" t="e">
        <f>D12/D7</f>
        <v>#DIV/0!</v>
      </c>
      <c r="E13" s="17" t="e">
        <f>E12/E7</f>
        <v>#DIV/0!</v>
      </c>
      <c r="F13" s="17" t="e">
        <f>F12/F7</f>
        <v>#DIV/0!</v>
      </c>
      <c r="G13" s="27"/>
      <c r="H13" s="17" t="e">
        <f t="shared" ref="H13" si="19">H12/H7</f>
        <v>#DIV/0!</v>
      </c>
      <c r="I13" s="17" t="e">
        <f t="shared" ref="I13" si="20">I12/I7</f>
        <v>#DIV/0!</v>
      </c>
      <c r="J13" s="17" t="e">
        <f t="shared" ref="J13" si="21">J12/J7</f>
        <v>#DIV/0!</v>
      </c>
      <c r="K13" s="17" t="e">
        <f t="shared" ref="K13" si="22">K12/K7</f>
        <v>#DIV/0!</v>
      </c>
      <c r="L13" s="17" t="e">
        <f t="shared" ref="L13:S13" si="23">L12/L7</f>
        <v>#DIV/0!</v>
      </c>
      <c r="M13" s="17" t="e">
        <f t="shared" si="23"/>
        <v>#DIV/0!</v>
      </c>
      <c r="N13" s="17" t="e">
        <f t="shared" si="23"/>
        <v>#DIV/0!</v>
      </c>
      <c r="O13" s="17" t="e">
        <f t="shared" si="23"/>
        <v>#DIV/0!</v>
      </c>
      <c r="P13" s="17" t="e">
        <f t="shared" si="23"/>
        <v>#DIV/0!</v>
      </c>
      <c r="Q13" s="17" t="e">
        <f t="shared" si="23"/>
        <v>#DIV/0!</v>
      </c>
      <c r="R13" s="17" t="e">
        <f t="shared" si="23"/>
        <v>#DIV/0!</v>
      </c>
      <c r="S13" s="17" t="e">
        <f t="shared" si="23"/>
        <v>#DIV/0!</v>
      </c>
      <c r="T13" s="28"/>
      <c r="U13" s="17" t="e">
        <f t="shared" ref="U13:AC13" si="24">U12/U7</f>
        <v>#DIV/0!</v>
      </c>
      <c r="V13" s="17" t="e">
        <f t="shared" si="24"/>
        <v>#DIV/0!</v>
      </c>
      <c r="W13" s="17" t="e">
        <f t="shared" si="24"/>
        <v>#DIV/0!</v>
      </c>
      <c r="X13" s="17" t="e">
        <f t="shared" si="24"/>
        <v>#DIV/0!</v>
      </c>
      <c r="Y13" s="17" t="e">
        <f t="shared" si="24"/>
        <v>#DIV/0!</v>
      </c>
      <c r="Z13" s="17" t="e">
        <f t="shared" si="24"/>
        <v>#DIV/0!</v>
      </c>
      <c r="AA13" s="17" t="e">
        <f t="shared" si="24"/>
        <v>#DIV/0!</v>
      </c>
      <c r="AB13" s="17" t="e">
        <f t="shared" si="24"/>
        <v>#DIV/0!</v>
      </c>
      <c r="AC13" s="17" t="e">
        <f t="shared" si="24"/>
        <v>#DIV/0!</v>
      </c>
      <c r="AE13" s="122" t="e">
        <f>SUM(AC13-Y13)*10000</f>
        <v>#DIV/0!</v>
      </c>
    </row>
    <row r="14" spans="2:31" ht="5.0999999999999996" customHeight="1">
      <c r="B14" s="29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5"/>
      <c r="U14" s="30"/>
      <c r="V14" s="30"/>
      <c r="W14" s="30"/>
      <c r="X14" s="30"/>
      <c r="Y14" s="30"/>
      <c r="Z14" s="30"/>
      <c r="AA14" s="30"/>
      <c r="AB14" s="30"/>
      <c r="AC14" s="30"/>
      <c r="AE14" s="119"/>
    </row>
    <row r="15" spans="2:31" ht="12.75" customHeight="1">
      <c r="B15" s="23" t="s">
        <v>105</v>
      </c>
      <c r="C15" s="134">
        <f>'Historical Financials'!C17</f>
        <v>-9018</v>
      </c>
      <c r="D15" s="134">
        <f>'Historical Financials'!D17</f>
        <v>-13070</v>
      </c>
      <c r="E15" s="134">
        <f>'Historical Financials'!E17</f>
        <v>-12039</v>
      </c>
      <c r="F15" s="134">
        <f>'Historical Financials'!F17</f>
        <v>-11039</v>
      </c>
      <c r="G15" s="89"/>
      <c r="H15" s="134">
        <f>'Historical Financials'!H17</f>
        <v>-3066.951</v>
      </c>
      <c r="I15" s="134">
        <f>'Historical Financials'!I17</f>
        <v>-2915.1579999999999</v>
      </c>
      <c r="J15" s="134">
        <f>'Historical Financials'!J17</f>
        <v>-3185.451</v>
      </c>
      <c r="K15" s="134">
        <f>'Historical Financials'!K17</f>
        <v>-3902.4399999999987</v>
      </c>
      <c r="L15" s="134">
        <f>'Historical Financials'!L17</f>
        <v>-3317.0360000000001</v>
      </c>
      <c r="M15" s="134">
        <f>'Historical Financials'!M17</f>
        <v>-2882.5680000000002</v>
      </c>
      <c r="N15" s="134">
        <f>'Historical Financials'!N17</f>
        <v>-3247.8429999999998</v>
      </c>
      <c r="O15" s="134">
        <f>'Historical Financials'!O17</f>
        <v>-2591.5529999999999</v>
      </c>
      <c r="P15" s="134">
        <f>'Historical Financials'!P17</f>
        <v>-2609</v>
      </c>
      <c r="Q15" s="134">
        <f>'Historical Financials'!Q17</f>
        <v>-2790</v>
      </c>
      <c r="R15" s="134">
        <f>'Historical Financials'!R17</f>
        <v>-2859</v>
      </c>
      <c r="S15" s="134">
        <f>'Historical Financials'!S17</f>
        <v>-2781</v>
      </c>
      <c r="T15" s="5"/>
      <c r="U15" s="135">
        <f t="shared" ref="U15:U16" si="25">SUM(H15:K15)</f>
        <v>-13070</v>
      </c>
      <c r="V15" s="135">
        <f t="shared" ref="V15:V16" si="26">SUM(I15:L15)</f>
        <v>-13320.084999999999</v>
      </c>
      <c r="W15" s="135">
        <f t="shared" ref="W15:W16" si="27">SUM(J15:M15)</f>
        <v>-13287.494999999999</v>
      </c>
      <c r="X15" s="135">
        <f t="shared" ref="X15:X16" si="28">SUM(K15:N15)</f>
        <v>-13349.886999999999</v>
      </c>
      <c r="Y15" s="135">
        <f t="shared" ref="Y15:Y16" si="29">SUM(L15:O15)</f>
        <v>-12039</v>
      </c>
      <c r="Z15" s="135">
        <f t="shared" ref="Z15:Z16" si="30">SUM(M15:P15)</f>
        <v>-11330.964</v>
      </c>
      <c r="AA15" s="135">
        <f t="shared" ref="AA15:AA16" si="31">SUM(N15:Q15)</f>
        <v>-11238.396000000001</v>
      </c>
      <c r="AB15" s="135">
        <f t="shared" ref="AB15:AB16" si="32">SUM(O15:R15)</f>
        <v>-10849.553</v>
      </c>
      <c r="AC15" s="135">
        <f t="shared" ref="AC15:AC16" si="33">SUM(P15:S15)</f>
        <v>-11039</v>
      </c>
      <c r="AE15" s="120">
        <f>SUM(AC15/Y15)-1</f>
        <v>-8.3063377356923374E-2</v>
      </c>
    </row>
    <row r="16" spans="2:31" ht="12.75" customHeight="1">
      <c r="B16" s="23" t="s">
        <v>104</v>
      </c>
      <c r="C16" s="134">
        <f>'Historical Financials'!C18</f>
        <v>-32984</v>
      </c>
      <c r="D16" s="134">
        <f>'Historical Financials'!D18</f>
        <v>-37916</v>
      </c>
      <c r="E16" s="134">
        <f>'Historical Financials'!E18</f>
        <v>-43717</v>
      </c>
      <c r="F16" s="134">
        <f>'Historical Financials'!F18</f>
        <v>-41838</v>
      </c>
      <c r="G16" s="89"/>
      <c r="H16" s="134">
        <f>'Historical Financials'!H18</f>
        <v>-8656.4390000000003</v>
      </c>
      <c r="I16" s="134">
        <f>'Historical Financials'!I18</f>
        <v>-8604.5889999999999</v>
      </c>
      <c r="J16" s="134">
        <f>'Historical Financials'!J18</f>
        <v>-9273.2690000000002</v>
      </c>
      <c r="K16" s="134">
        <f>'Historical Financials'!K18</f>
        <v>-11381.703000000001</v>
      </c>
      <c r="L16" s="134">
        <f>'Historical Financials'!L18</f>
        <v>-12066.919</v>
      </c>
      <c r="M16" s="134">
        <f>'Historical Financials'!M18</f>
        <v>-11306.591</v>
      </c>
      <c r="N16" s="134">
        <f>'Historical Financials'!N18</f>
        <v>-10282.853999999999</v>
      </c>
      <c r="O16" s="134">
        <f>'Historical Financials'!O18</f>
        <v>-10060.635999999999</v>
      </c>
      <c r="P16" s="134">
        <f>'Historical Financials'!P18</f>
        <v>-8684</v>
      </c>
      <c r="Q16" s="134">
        <f>'Historical Financials'!Q18</f>
        <v>-9729</v>
      </c>
      <c r="R16" s="134">
        <f>'Historical Financials'!R18</f>
        <v>-11870</v>
      </c>
      <c r="S16" s="134">
        <f>'Historical Financials'!S18</f>
        <v>-11555</v>
      </c>
      <c r="T16" s="5"/>
      <c r="U16" s="135">
        <f t="shared" si="25"/>
        <v>-37916</v>
      </c>
      <c r="V16" s="135">
        <f t="shared" si="26"/>
        <v>-41326.480000000003</v>
      </c>
      <c r="W16" s="135">
        <f t="shared" si="27"/>
        <v>-44028.482000000004</v>
      </c>
      <c r="X16" s="135">
        <f t="shared" si="28"/>
        <v>-45038.067000000003</v>
      </c>
      <c r="Y16" s="135">
        <f t="shared" si="29"/>
        <v>-43717</v>
      </c>
      <c r="Z16" s="135">
        <f t="shared" si="30"/>
        <v>-40334.080999999998</v>
      </c>
      <c r="AA16" s="135">
        <f t="shared" si="31"/>
        <v>-38756.49</v>
      </c>
      <c r="AB16" s="135">
        <f t="shared" si="32"/>
        <v>-40343.635999999999</v>
      </c>
      <c r="AC16" s="135">
        <f t="shared" si="33"/>
        <v>-41838</v>
      </c>
      <c r="AE16" s="120">
        <f>SUM(AC16/Y16)-1</f>
        <v>-4.2980991376352473E-2</v>
      </c>
    </row>
    <row r="17" spans="2:31" ht="12.75" customHeight="1">
      <c r="B17" s="13" t="s">
        <v>29</v>
      </c>
      <c r="C17" s="14">
        <f>SUM(C12+SUM(C15:C16))</f>
        <v>-42002</v>
      </c>
      <c r="D17" s="14">
        <f>SUM(D12+SUM(D15:D16))</f>
        <v>-50986</v>
      </c>
      <c r="E17" s="14">
        <f>SUM(E12+SUM(E15:E16))</f>
        <v>-55756</v>
      </c>
      <c r="F17" s="14">
        <f>SUM(F12+SUM(F15:F16))</f>
        <v>-52877</v>
      </c>
      <c r="G17" s="11"/>
      <c r="H17" s="14">
        <f>SUM(H12+SUM(H15:H16))</f>
        <v>-11723.39</v>
      </c>
      <c r="I17" s="14">
        <f>SUM(I12+SUM(I15:I16))</f>
        <v>-11519.746999999999</v>
      </c>
      <c r="J17" s="14">
        <f>SUM(J12+SUM(J15:J16))</f>
        <v>-12458.720000000001</v>
      </c>
      <c r="K17" s="14">
        <f>SUM(K12+SUM(K15:K16))</f>
        <v>-15284.143</v>
      </c>
      <c r="L17" s="14">
        <f>SUM(L12+SUM(L15:L16))</f>
        <v>-15383.955</v>
      </c>
      <c r="M17" s="14">
        <f>SUM(M12+SUM(M15:M16))</f>
        <v>-14189.159</v>
      </c>
      <c r="N17" s="14">
        <f>SUM(N12+SUM(N15:N16))</f>
        <v>-13530.697</v>
      </c>
      <c r="O17" s="14">
        <f>SUM(O12+SUM(O15:O16))</f>
        <v>-12652.188999999998</v>
      </c>
      <c r="P17" s="14">
        <f>SUM(P12+SUM(P15:P16))</f>
        <v>-11293</v>
      </c>
      <c r="Q17" s="14">
        <f>SUM(Q12+SUM(Q15:Q16))</f>
        <v>-12519</v>
      </c>
      <c r="R17" s="14">
        <f>SUM(R12+SUM(R15:R16))</f>
        <v>-14729</v>
      </c>
      <c r="S17" s="14">
        <f>SUM(S12+SUM(S15:S16))</f>
        <v>-14336</v>
      </c>
      <c r="T17" s="5"/>
      <c r="U17" s="14">
        <f>SUM(U12+SUM(U15:U16))</f>
        <v>-50986</v>
      </c>
      <c r="V17" s="14">
        <f>SUM(V12+SUM(V15:V16))</f>
        <v>-54646.565000000002</v>
      </c>
      <c r="W17" s="14">
        <f>SUM(W12+SUM(W15:W16))</f>
        <v>-57315.976999999999</v>
      </c>
      <c r="X17" s="14">
        <f>SUM(X12+SUM(X15:X16))</f>
        <v>-58387.953999999998</v>
      </c>
      <c r="Y17" s="14">
        <f>SUM(Y12+SUM(Y15:Y16))</f>
        <v>-55756</v>
      </c>
      <c r="Z17" s="14">
        <f>SUM(Z12+SUM(Z15:Z16))</f>
        <v>-51665.044999999998</v>
      </c>
      <c r="AA17" s="14">
        <f>SUM(AA12+SUM(AA15:AA16))</f>
        <v>-49994.885999999999</v>
      </c>
      <c r="AB17" s="14">
        <f>SUM(AB12+SUM(AB15:AB16))</f>
        <v>-51193.188999999998</v>
      </c>
      <c r="AC17" s="14">
        <f>SUM(AC12+SUM(AC15:AC16))</f>
        <v>-52877</v>
      </c>
      <c r="AE17" s="121">
        <f>SUM(AC17/Y17)-1</f>
        <v>-5.1635698400172125E-2</v>
      </c>
    </row>
    <row r="18" spans="2:31" ht="12.75" customHeight="1">
      <c r="B18" s="16" t="s">
        <v>30</v>
      </c>
      <c r="C18" s="17" t="e">
        <f>C17/C7</f>
        <v>#DIV/0!</v>
      </c>
      <c r="D18" s="17" t="e">
        <f>D17/D7</f>
        <v>#DIV/0!</v>
      </c>
      <c r="E18" s="17" t="e">
        <f>E17/E7</f>
        <v>#DIV/0!</v>
      </c>
      <c r="F18" s="17" t="e">
        <f>F17/F7</f>
        <v>#DIV/0!</v>
      </c>
      <c r="G18" s="27"/>
      <c r="H18" s="17" t="e">
        <f>H17/H7</f>
        <v>#DIV/0!</v>
      </c>
      <c r="I18" s="17" t="e">
        <f>I17/I7</f>
        <v>#DIV/0!</v>
      </c>
      <c r="J18" s="17" t="e">
        <f>J17/J7</f>
        <v>#DIV/0!</v>
      </c>
      <c r="K18" s="17" t="e">
        <f>K17/K7</f>
        <v>#DIV/0!</v>
      </c>
      <c r="L18" s="17" t="e">
        <f>L17/L7</f>
        <v>#DIV/0!</v>
      </c>
      <c r="M18" s="17" t="e">
        <f>M17/M7</f>
        <v>#DIV/0!</v>
      </c>
      <c r="N18" s="17" t="e">
        <f>N17/N7</f>
        <v>#DIV/0!</v>
      </c>
      <c r="O18" s="17" t="e">
        <f>O17/O7</f>
        <v>#DIV/0!</v>
      </c>
      <c r="P18" s="17" t="e">
        <f>P17/P7</f>
        <v>#DIV/0!</v>
      </c>
      <c r="Q18" s="17" t="e">
        <f>Q17/Q7</f>
        <v>#DIV/0!</v>
      </c>
      <c r="R18" s="17" t="e">
        <f>R17/R7</f>
        <v>#DIV/0!</v>
      </c>
      <c r="S18" s="17" t="e">
        <f>S17/S7</f>
        <v>#DIV/0!</v>
      </c>
      <c r="T18" s="28"/>
      <c r="U18" s="17" t="e">
        <f>U17/U7</f>
        <v>#DIV/0!</v>
      </c>
      <c r="V18" s="17" t="e">
        <f>V17/V7</f>
        <v>#DIV/0!</v>
      </c>
      <c r="W18" s="17" t="e">
        <f>W17/W7</f>
        <v>#DIV/0!</v>
      </c>
      <c r="X18" s="17" t="e">
        <f>X17/X7</f>
        <v>#DIV/0!</v>
      </c>
      <c r="Y18" s="17" t="e">
        <f>Y17/Y7</f>
        <v>#DIV/0!</v>
      </c>
      <c r="Z18" s="17" t="e">
        <f>Z17/Z7</f>
        <v>#DIV/0!</v>
      </c>
      <c r="AA18" s="17" t="e">
        <f>AA17/AA7</f>
        <v>#DIV/0!</v>
      </c>
      <c r="AB18" s="17" t="e">
        <f>AB17/AB7</f>
        <v>#DIV/0!</v>
      </c>
      <c r="AC18" s="17" t="e">
        <f>AC17/AC7</f>
        <v>#DIV/0!</v>
      </c>
      <c r="AE18" s="122" t="e">
        <f>SUM(AC18-Y18)*10000</f>
        <v>#DIV/0!</v>
      </c>
    </row>
    <row r="19" spans="2:31" ht="5.0999999999999996" customHeight="1">
      <c r="AE19" s="119"/>
    </row>
    <row r="20" spans="2:31" ht="12.75" customHeight="1">
      <c r="B20" s="31" t="s">
        <v>143</v>
      </c>
      <c r="C20" s="167">
        <v>0</v>
      </c>
      <c r="D20" s="167">
        <v>0</v>
      </c>
      <c r="E20" s="167">
        <v>0</v>
      </c>
      <c r="F20" s="167">
        <v>0</v>
      </c>
      <c r="H20" s="167">
        <v>0</v>
      </c>
      <c r="I20" s="167">
        <v>0</v>
      </c>
      <c r="J20" s="167">
        <v>0</v>
      </c>
      <c r="K20" s="167">
        <v>0</v>
      </c>
      <c r="L20" s="167">
        <v>0</v>
      </c>
      <c r="M20" s="167">
        <v>0</v>
      </c>
      <c r="N20" s="167">
        <v>0</v>
      </c>
      <c r="O20" s="167">
        <v>0</v>
      </c>
      <c r="P20" s="167">
        <v>0</v>
      </c>
      <c r="Q20" s="167">
        <v>0</v>
      </c>
      <c r="R20" s="167">
        <v>0</v>
      </c>
      <c r="S20" s="167">
        <v>0</v>
      </c>
      <c r="U20" s="135">
        <f t="shared" ref="U20:AC20" si="34">SUM(H20:K20)</f>
        <v>0</v>
      </c>
      <c r="V20" s="135">
        <f t="shared" si="34"/>
        <v>0</v>
      </c>
      <c r="W20" s="135">
        <f t="shared" si="34"/>
        <v>0</v>
      </c>
      <c r="X20" s="135">
        <f t="shared" si="34"/>
        <v>0</v>
      </c>
      <c r="Y20" s="135">
        <f t="shared" si="34"/>
        <v>0</v>
      </c>
      <c r="Z20" s="135">
        <f t="shared" si="34"/>
        <v>0</v>
      </c>
      <c r="AA20" s="135">
        <f t="shared" si="34"/>
        <v>0</v>
      </c>
      <c r="AB20" s="135">
        <f t="shared" si="34"/>
        <v>0</v>
      </c>
      <c r="AC20" s="135">
        <f t="shared" si="34"/>
        <v>0</v>
      </c>
      <c r="AE20" s="120" t="e">
        <f>SUM(AC20/Y20)-1</f>
        <v>#DIV/0!</v>
      </c>
    </row>
    <row r="21" spans="2:31" ht="12.75" customHeight="1">
      <c r="B21" s="25" t="s">
        <v>11</v>
      </c>
      <c r="C21" s="26">
        <f>SUM(C17+SUM(C20:C20))</f>
        <v>-42002</v>
      </c>
      <c r="D21" s="26">
        <f>SUM(D17+SUM(D20:D20))</f>
        <v>-50986</v>
      </c>
      <c r="E21" s="26">
        <f>SUM(E17+SUM(E20:E20))</f>
        <v>-55756</v>
      </c>
      <c r="F21" s="26">
        <f>SUM(F17+SUM(F20:F20))</f>
        <v>-52877</v>
      </c>
      <c r="H21" s="26">
        <f>SUM(H17+SUM(H20:H20))</f>
        <v>-11723.39</v>
      </c>
      <c r="I21" s="26">
        <f>SUM(I17+SUM(I20:I20))</f>
        <v>-11519.746999999999</v>
      </c>
      <c r="J21" s="26">
        <f>SUM(J17+SUM(J20:J20))</f>
        <v>-12458.720000000001</v>
      </c>
      <c r="K21" s="26">
        <f>SUM(K17+SUM(K20:K20))</f>
        <v>-15284.143</v>
      </c>
      <c r="L21" s="26">
        <f>SUM(L17+SUM(L20:L20))</f>
        <v>-15383.955</v>
      </c>
      <c r="M21" s="26">
        <f>SUM(M17+SUM(M20:M20))</f>
        <v>-14189.159</v>
      </c>
      <c r="N21" s="26">
        <f>SUM(N17+SUM(N20:N20))</f>
        <v>-13530.697</v>
      </c>
      <c r="O21" s="26">
        <f>SUM(O17+SUM(O20:O20))</f>
        <v>-12652.188999999998</v>
      </c>
      <c r="P21" s="26">
        <f>SUM(P17+SUM(P20:P20))</f>
        <v>-11293</v>
      </c>
      <c r="Q21" s="26">
        <f>SUM(Q17+SUM(Q20:Q20))</f>
        <v>-12519</v>
      </c>
      <c r="R21" s="26">
        <f>SUM(R17+SUM(R20:R20))</f>
        <v>-14729</v>
      </c>
      <c r="S21" s="26">
        <f>SUM(S17+SUM(S20:S20))</f>
        <v>-14336</v>
      </c>
      <c r="U21" s="26">
        <f>SUM(U17+SUM(U20:U20))</f>
        <v>-50986</v>
      </c>
      <c r="V21" s="26">
        <f>SUM(V17+SUM(V20:V20))</f>
        <v>-54646.565000000002</v>
      </c>
      <c r="W21" s="26">
        <f>SUM(W17+SUM(W20:W20))</f>
        <v>-57315.976999999999</v>
      </c>
      <c r="X21" s="26">
        <f>SUM(X17+SUM(X20:X20))</f>
        <v>-58387.953999999998</v>
      </c>
      <c r="Y21" s="26">
        <f>SUM(Y17+SUM(Y20:Y20))</f>
        <v>-55756</v>
      </c>
      <c r="Z21" s="26">
        <f>SUM(Z17+SUM(Z20:Z20))</f>
        <v>-51665.044999999998</v>
      </c>
      <c r="AA21" s="26">
        <f>SUM(AA17+SUM(AA20:AA20))</f>
        <v>-49994.885999999999</v>
      </c>
      <c r="AB21" s="26">
        <f>SUM(AB17+SUM(AB20:AB20))</f>
        <v>-51193.188999999998</v>
      </c>
      <c r="AC21" s="26">
        <f>SUM(AC17+SUM(AC20:AC20))</f>
        <v>-52877</v>
      </c>
      <c r="AE21" s="121">
        <f>SUM(AC21/Y21)-1</f>
        <v>-5.1635698400172125E-2</v>
      </c>
    </row>
    <row r="22" spans="2:31" ht="12.75" customHeight="1">
      <c r="B22" s="16" t="s">
        <v>31</v>
      </c>
      <c r="C22" s="17" t="e">
        <f>C21/C7</f>
        <v>#DIV/0!</v>
      </c>
      <c r="D22" s="17" t="e">
        <f>D21/D7</f>
        <v>#DIV/0!</v>
      </c>
      <c r="E22" s="17" t="e">
        <f>E21/E7</f>
        <v>#DIV/0!</v>
      </c>
      <c r="F22" s="17" t="e">
        <f>F21/F7</f>
        <v>#DIV/0!</v>
      </c>
      <c r="H22" s="17" t="e">
        <f>H21/H7</f>
        <v>#DIV/0!</v>
      </c>
      <c r="I22" s="17" t="e">
        <f>I21/I7</f>
        <v>#DIV/0!</v>
      </c>
      <c r="J22" s="17" t="e">
        <f>J21/J7</f>
        <v>#DIV/0!</v>
      </c>
      <c r="K22" s="17" t="e">
        <f>K21/K7</f>
        <v>#DIV/0!</v>
      </c>
      <c r="L22" s="17" t="e">
        <f>L21/L7</f>
        <v>#DIV/0!</v>
      </c>
      <c r="M22" s="17" t="e">
        <f>M21/M7</f>
        <v>#DIV/0!</v>
      </c>
      <c r="N22" s="17" t="e">
        <f>N21/N7</f>
        <v>#DIV/0!</v>
      </c>
      <c r="O22" s="17" t="e">
        <f>O21/O7</f>
        <v>#DIV/0!</v>
      </c>
      <c r="P22" s="17" t="e">
        <f>P21/P7</f>
        <v>#DIV/0!</v>
      </c>
      <c r="Q22" s="17" t="e">
        <f>Q21/Q7</f>
        <v>#DIV/0!</v>
      </c>
      <c r="R22" s="17" t="e">
        <f>R21/R7</f>
        <v>#DIV/0!</v>
      </c>
      <c r="S22" s="17" t="e">
        <f>S21/S7</f>
        <v>#DIV/0!</v>
      </c>
      <c r="U22" s="17" t="e">
        <f>U21/U7</f>
        <v>#DIV/0!</v>
      </c>
      <c r="V22" s="17" t="e">
        <f>V21/V7</f>
        <v>#DIV/0!</v>
      </c>
      <c r="W22" s="17" t="e">
        <f>W21/W7</f>
        <v>#DIV/0!</v>
      </c>
      <c r="X22" s="17" t="e">
        <f>X21/X7</f>
        <v>#DIV/0!</v>
      </c>
      <c r="Y22" s="17" t="e">
        <f>Y21/Y7</f>
        <v>#DIV/0!</v>
      </c>
      <c r="Z22" s="17" t="e">
        <f>Z21/Z7</f>
        <v>#DIV/0!</v>
      </c>
      <c r="AA22" s="17" t="e">
        <f>AA21/AA7</f>
        <v>#DIV/0!</v>
      </c>
      <c r="AB22" s="17" t="e">
        <f>AB21/AB7</f>
        <v>#DIV/0!</v>
      </c>
      <c r="AC22" s="17" t="e">
        <f>AC21/AC7</f>
        <v>#DIV/0!</v>
      </c>
      <c r="AE22" s="122" t="e">
        <f>SUM(AC22-Y22)*10000</f>
        <v>#DIV/0!</v>
      </c>
    </row>
    <row r="23" spans="2:31" ht="5.0999999999999996" customHeight="1">
      <c r="AE23" s="119"/>
    </row>
    <row r="24" spans="2:31" ht="12.75" customHeight="1">
      <c r="B24" s="31" t="s">
        <v>106</v>
      </c>
      <c r="C24" s="134">
        <f>'Historical Financials'!C77</f>
        <v>8231</v>
      </c>
      <c r="D24" s="134">
        <f>'Historical Financials'!D77</f>
        <v>18379</v>
      </c>
      <c r="E24" s="134">
        <f>'Historical Financials'!E77</f>
        <v>16370</v>
      </c>
      <c r="F24" s="134">
        <f>'Historical Financials'!F77</f>
        <v>9438</v>
      </c>
      <c r="H24" s="134">
        <f>'Historical Financials'!H77</f>
        <v>3908.7710000000002</v>
      </c>
      <c r="I24" s="134">
        <f>'Historical Financials'!I77</f>
        <v>4439.4589999999989</v>
      </c>
      <c r="J24" s="134">
        <f>'Historical Financials'!J77</f>
        <v>3988.614</v>
      </c>
      <c r="K24" s="134">
        <f>'Historical Financials'!K77</f>
        <v>6042.1560000000009</v>
      </c>
      <c r="L24" s="134">
        <f>'Historical Financials'!L77</f>
        <v>5346.5079999999998</v>
      </c>
      <c r="M24" s="134">
        <f>'Historical Financials'!M77</f>
        <v>3970.0640000000003</v>
      </c>
      <c r="N24" s="134">
        <f>'Historical Financials'!N77</f>
        <v>3866.780999999999</v>
      </c>
      <c r="O24" s="134">
        <f>'Historical Financials'!O77</f>
        <v>3186.6470000000008</v>
      </c>
      <c r="P24" s="134">
        <f>'Historical Financials'!P77</f>
        <v>2286</v>
      </c>
      <c r="Q24" s="134">
        <f>'Historical Financials'!Q77</f>
        <v>2652</v>
      </c>
      <c r="R24" s="134">
        <f>'Historical Financials'!R77</f>
        <v>2487</v>
      </c>
      <c r="S24" s="134">
        <f>'Historical Financials'!S77</f>
        <v>2013</v>
      </c>
      <c r="U24" s="135">
        <f t="shared" ref="U24:AC24" si="35">SUM(H24:K24)</f>
        <v>18379</v>
      </c>
      <c r="V24" s="135">
        <f t="shared" si="35"/>
        <v>19816.737000000001</v>
      </c>
      <c r="W24" s="135">
        <f t="shared" si="35"/>
        <v>19347.342000000001</v>
      </c>
      <c r="X24" s="135">
        <f t="shared" si="35"/>
        <v>19225.508999999998</v>
      </c>
      <c r="Y24" s="135">
        <f t="shared" si="35"/>
        <v>16370</v>
      </c>
      <c r="Z24" s="135">
        <f t="shared" si="35"/>
        <v>13309.492</v>
      </c>
      <c r="AA24" s="135">
        <f t="shared" si="35"/>
        <v>11991.428</v>
      </c>
      <c r="AB24" s="135">
        <f t="shared" si="35"/>
        <v>10611.647000000001</v>
      </c>
      <c r="AC24" s="135">
        <f t="shared" si="35"/>
        <v>9438</v>
      </c>
      <c r="AE24" s="120">
        <f>SUM(AC24/Y24)-1</f>
        <v>-0.42345754428833227</v>
      </c>
    </row>
    <row r="25" spans="2:31" ht="12.75" customHeight="1">
      <c r="B25" s="13" t="s">
        <v>32</v>
      </c>
      <c r="C25" s="14">
        <f>+SUM(C21+SUM(C24:C24))</f>
        <v>-33771</v>
      </c>
      <c r="D25" s="14">
        <f>+SUM(D21+SUM(D24:D24))</f>
        <v>-32607</v>
      </c>
      <c r="E25" s="14">
        <f>+SUM(E21+SUM(E24:E24))</f>
        <v>-39386</v>
      </c>
      <c r="F25" s="14">
        <f>+SUM(F21+SUM(F24:F24))</f>
        <v>-43439</v>
      </c>
      <c r="G25" s="11"/>
      <c r="H25" s="14">
        <f t="shared" ref="H25:K25" si="36">+SUM(H21+SUM(H24:H24))</f>
        <v>-7814.6189999999988</v>
      </c>
      <c r="I25" s="14">
        <f t="shared" si="36"/>
        <v>-7080.2880000000005</v>
      </c>
      <c r="J25" s="14">
        <f t="shared" si="36"/>
        <v>-8470.1060000000016</v>
      </c>
      <c r="K25" s="14">
        <f t="shared" si="36"/>
        <v>-9241.9869999999992</v>
      </c>
      <c r="L25" s="14">
        <f t="shared" ref="L25:S25" si="37">+SUM(L21+SUM(L24:L24))</f>
        <v>-10037.447</v>
      </c>
      <c r="M25" s="14">
        <f t="shared" si="37"/>
        <v>-10219.094999999999</v>
      </c>
      <c r="N25" s="14">
        <f t="shared" si="37"/>
        <v>-9663.9160000000011</v>
      </c>
      <c r="O25" s="14">
        <f t="shared" si="37"/>
        <v>-9465.5419999999976</v>
      </c>
      <c r="P25" s="14">
        <f t="shared" si="37"/>
        <v>-9007</v>
      </c>
      <c r="Q25" s="14">
        <f t="shared" si="37"/>
        <v>-9867</v>
      </c>
      <c r="R25" s="14">
        <f t="shared" si="37"/>
        <v>-12242</v>
      </c>
      <c r="S25" s="14">
        <f t="shared" si="37"/>
        <v>-12323</v>
      </c>
      <c r="U25" s="14">
        <f t="shared" ref="U25:AC25" si="38">+SUM(U21+SUM(U24:U24))</f>
        <v>-32607</v>
      </c>
      <c r="V25" s="14">
        <f t="shared" si="38"/>
        <v>-34829.828000000001</v>
      </c>
      <c r="W25" s="14">
        <f t="shared" si="38"/>
        <v>-37968.634999999995</v>
      </c>
      <c r="X25" s="14">
        <f t="shared" si="38"/>
        <v>-39162.445</v>
      </c>
      <c r="Y25" s="14">
        <f t="shared" si="38"/>
        <v>-39386</v>
      </c>
      <c r="Z25" s="14">
        <f t="shared" si="38"/>
        <v>-38355.553</v>
      </c>
      <c r="AA25" s="14">
        <f t="shared" si="38"/>
        <v>-38003.457999999999</v>
      </c>
      <c r="AB25" s="14">
        <f t="shared" si="38"/>
        <v>-40581.542000000001</v>
      </c>
      <c r="AC25" s="14">
        <f t="shared" si="38"/>
        <v>-43439</v>
      </c>
      <c r="AE25" s="121">
        <f>SUM(AC25/Y25)-1</f>
        <v>0.10290458538567004</v>
      </c>
    </row>
    <row r="26" spans="2:31" ht="12.75" customHeight="1">
      <c r="B26" s="16" t="s">
        <v>33</v>
      </c>
      <c r="C26" s="17" t="e">
        <f>C25/C7</f>
        <v>#DIV/0!</v>
      </c>
      <c r="D26" s="17" t="e">
        <f>D25/D7</f>
        <v>#DIV/0!</v>
      </c>
      <c r="E26" s="17" t="e">
        <f>E25/E7</f>
        <v>#DIV/0!</v>
      </c>
      <c r="F26" s="17" t="e">
        <f>F25/F7</f>
        <v>#DIV/0!</v>
      </c>
      <c r="H26" s="17" t="e">
        <f>H25/H7</f>
        <v>#DIV/0!</v>
      </c>
      <c r="I26" s="17" t="e">
        <f>I25/I7</f>
        <v>#DIV/0!</v>
      </c>
      <c r="J26" s="17" t="e">
        <f>J25/J7</f>
        <v>#DIV/0!</v>
      </c>
      <c r="K26" s="17" t="e">
        <f>K25/K7</f>
        <v>#DIV/0!</v>
      </c>
      <c r="L26" s="17" t="e">
        <f>L25/L7</f>
        <v>#DIV/0!</v>
      </c>
      <c r="M26" s="17" t="e">
        <f>M25/M7</f>
        <v>#DIV/0!</v>
      </c>
      <c r="N26" s="17" t="e">
        <f>N25/N7</f>
        <v>#DIV/0!</v>
      </c>
      <c r="O26" s="17" t="e">
        <f>O25/O7</f>
        <v>#DIV/0!</v>
      </c>
      <c r="P26" s="17" t="e">
        <f>P25/P7</f>
        <v>#DIV/0!</v>
      </c>
      <c r="Q26" s="17" t="e">
        <f>Q25/Q7</f>
        <v>#DIV/0!</v>
      </c>
      <c r="R26" s="17" t="e">
        <f>R25/R7</f>
        <v>#DIV/0!</v>
      </c>
      <c r="S26" s="17" t="e">
        <f>S25/S7</f>
        <v>#DIV/0!</v>
      </c>
      <c r="U26" s="17" t="e">
        <f>U25/U7</f>
        <v>#DIV/0!</v>
      </c>
      <c r="V26" s="17" t="e">
        <f>V25/V7</f>
        <v>#DIV/0!</v>
      </c>
      <c r="W26" s="17" t="e">
        <f>W25/W7</f>
        <v>#DIV/0!</v>
      </c>
      <c r="X26" s="17" t="e">
        <f>X25/X7</f>
        <v>#DIV/0!</v>
      </c>
      <c r="Y26" s="17" t="e">
        <f>Y25/Y7</f>
        <v>#DIV/0!</v>
      </c>
      <c r="Z26" s="17" t="e">
        <f>Z25/Z7</f>
        <v>#DIV/0!</v>
      </c>
      <c r="AA26" s="17" t="e">
        <f>AA25/AA7</f>
        <v>#DIV/0!</v>
      </c>
      <c r="AB26" s="17" t="e">
        <f>AB25/AB7</f>
        <v>#DIV/0!</v>
      </c>
      <c r="AC26" s="17" t="e">
        <f>AC25/AC7</f>
        <v>#DIV/0!</v>
      </c>
      <c r="AE26" s="122" t="e">
        <f>SUM(AC26-Y26)*10000</f>
        <v>#DIV/0!</v>
      </c>
    </row>
    <row r="27" spans="2:31" ht="5.0999999999999996" customHeight="1">
      <c r="AE27" s="119"/>
    </row>
    <row r="28" spans="2:31" ht="12.75" customHeight="1">
      <c r="B28" s="23" t="s">
        <v>34</v>
      </c>
      <c r="C28" s="134">
        <f>'Historical Financials'!C87</f>
        <v>0</v>
      </c>
      <c r="D28" s="134">
        <f>'Historical Financials'!D87</f>
        <v>0</v>
      </c>
      <c r="E28" s="134">
        <f>'Historical Financials'!E87</f>
        <v>0</v>
      </c>
      <c r="F28" s="134">
        <f>'Historical Financials'!F87</f>
        <v>0</v>
      </c>
      <c r="H28" s="134">
        <f>'Historical Financials'!H87</f>
        <v>0</v>
      </c>
      <c r="I28" s="134">
        <f>'Historical Financials'!I87</f>
        <v>0</v>
      </c>
      <c r="J28" s="134">
        <f>'Historical Financials'!J87</f>
        <v>0</v>
      </c>
      <c r="K28" s="134">
        <f>'Historical Financials'!K87</f>
        <v>0</v>
      </c>
      <c r="L28" s="134">
        <f>'Historical Financials'!L87</f>
        <v>0</v>
      </c>
      <c r="M28" s="134">
        <f>'Historical Financials'!M87</f>
        <v>0</v>
      </c>
      <c r="N28" s="134">
        <f>'Historical Financials'!N87</f>
        <v>0</v>
      </c>
      <c r="O28" s="134">
        <f>'Historical Financials'!O87</f>
        <v>0</v>
      </c>
      <c r="P28" s="134">
        <f>'Historical Financials'!P87</f>
        <v>0</v>
      </c>
      <c r="Q28" s="134">
        <f>'Historical Financials'!Q87</f>
        <v>0</v>
      </c>
      <c r="R28" s="134">
        <f>'Historical Financials'!R87</f>
        <v>0</v>
      </c>
      <c r="S28" s="134">
        <f>'Historical Financials'!S87</f>
        <v>0</v>
      </c>
      <c r="U28" s="135">
        <f t="shared" ref="U28:U31" si="39">SUM(H28:K28)</f>
        <v>0</v>
      </c>
      <c r="V28" s="135">
        <f t="shared" ref="V28:V31" si="40">SUM(I28:L28)</f>
        <v>0</v>
      </c>
      <c r="W28" s="135">
        <f t="shared" ref="W28:W31" si="41">SUM(J28:M28)</f>
        <v>0</v>
      </c>
      <c r="X28" s="135">
        <f t="shared" ref="X28:X31" si="42">SUM(K28:N28)</f>
        <v>0</v>
      </c>
      <c r="Y28" s="135">
        <f t="shared" ref="Y28:Y31" si="43">SUM(L28:O28)</f>
        <v>0</v>
      </c>
      <c r="Z28" s="135">
        <f t="shared" ref="Z28:Z31" si="44">SUM(M28:P28)</f>
        <v>0</v>
      </c>
      <c r="AA28" s="135">
        <f t="shared" ref="AA28:AA31" si="45">SUM(N28:Q28)</f>
        <v>0</v>
      </c>
      <c r="AB28" s="135">
        <f t="shared" ref="AB28:AB31" si="46">SUM(O28:R28)</f>
        <v>0</v>
      </c>
      <c r="AC28" s="135">
        <f t="shared" ref="AC28:AC31" si="47">SUM(P28:S28)</f>
        <v>0</v>
      </c>
      <c r="AE28" s="120" t="e">
        <f>SUM(AC28/Y28)-1</f>
        <v>#DIV/0!</v>
      </c>
    </row>
    <row r="29" spans="2:31" ht="12.75" customHeight="1">
      <c r="B29" s="23" t="s">
        <v>35</v>
      </c>
      <c r="C29" s="134">
        <f>'Historical Financials'!C28</f>
        <v>-268</v>
      </c>
      <c r="D29" s="134">
        <f>'Historical Financials'!D28</f>
        <v>-358</v>
      </c>
      <c r="E29" s="134">
        <f>'Historical Financials'!E28</f>
        <v>-7</v>
      </c>
      <c r="F29" s="134">
        <f>'Historical Financials'!F28</f>
        <v>0</v>
      </c>
      <c r="H29" s="134">
        <f>'Historical Financials'!H28</f>
        <v>-29.98</v>
      </c>
      <c r="I29" s="134">
        <f>'Historical Financials'!I28</f>
        <v>-29.8</v>
      </c>
      <c r="J29" s="134">
        <f>'Historical Financials'!J28</f>
        <v>-88.421000000000006</v>
      </c>
      <c r="K29" s="134">
        <f>'Historical Financials'!K28</f>
        <v>-209.79899999999998</v>
      </c>
      <c r="L29" s="134">
        <f>'Historical Financials'!L28</f>
        <v>20.045999999999999</v>
      </c>
      <c r="M29" s="134">
        <f>'Historical Financials'!M28</f>
        <v>-50</v>
      </c>
      <c r="N29" s="134">
        <f>'Historical Financials'!N28</f>
        <v>-41</v>
      </c>
      <c r="O29" s="134">
        <f>'Historical Financials'!O28</f>
        <v>63.954000000000008</v>
      </c>
      <c r="P29" s="134">
        <f>'Historical Financials'!P28</f>
        <v>-85</v>
      </c>
      <c r="Q29" s="134">
        <f>'Historical Financials'!Q28</f>
        <v>-105</v>
      </c>
      <c r="R29" s="134">
        <f>'Historical Financials'!R28</f>
        <v>67</v>
      </c>
      <c r="S29" s="134">
        <f>'Historical Financials'!S28</f>
        <v>123</v>
      </c>
      <c r="U29" s="135">
        <f t="shared" si="39"/>
        <v>-358</v>
      </c>
      <c r="V29" s="135">
        <f t="shared" si="40"/>
        <v>-307.97399999999999</v>
      </c>
      <c r="W29" s="135">
        <f t="shared" si="41"/>
        <v>-328.17399999999998</v>
      </c>
      <c r="X29" s="135">
        <f t="shared" si="42"/>
        <v>-280.75299999999999</v>
      </c>
      <c r="Y29" s="135">
        <f t="shared" si="43"/>
        <v>-7</v>
      </c>
      <c r="Z29" s="135">
        <f t="shared" si="44"/>
        <v>-112.04599999999999</v>
      </c>
      <c r="AA29" s="135">
        <f t="shared" si="45"/>
        <v>-167.04599999999999</v>
      </c>
      <c r="AB29" s="135">
        <f t="shared" si="46"/>
        <v>-59.045999999999992</v>
      </c>
      <c r="AC29" s="135">
        <f t="shared" si="47"/>
        <v>0</v>
      </c>
      <c r="AE29" s="120">
        <f>SUM(AC29/Y29)-1</f>
        <v>-1</v>
      </c>
    </row>
    <row r="30" spans="2:31" ht="12.75" customHeight="1">
      <c r="B30" s="23" t="s">
        <v>67</v>
      </c>
      <c r="C30" s="167">
        <v>0</v>
      </c>
      <c r="D30" s="167">
        <v>0</v>
      </c>
      <c r="E30" s="167">
        <v>0</v>
      </c>
      <c r="F30" s="167">
        <v>0</v>
      </c>
      <c r="H30" s="167">
        <v>0</v>
      </c>
      <c r="I30" s="167">
        <v>0</v>
      </c>
      <c r="J30" s="167">
        <v>0</v>
      </c>
      <c r="K30" s="167">
        <v>0</v>
      </c>
      <c r="L30" s="167">
        <v>0</v>
      </c>
      <c r="M30" s="167">
        <v>0</v>
      </c>
      <c r="N30" s="167">
        <v>0</v>
      </c>
      <c r="O30" s="167">
        <v>0</v>
      </c>
      <c r="P30" s="167">
        <v>0</v>
      </c>
      <c r="Q30" s="167">
        <v>0</v>
      </c>
      <c r="R30" s="167">
        <v>0</v>
      </c>
      <c r="S30" s="167">
        <v>0</v>
      </c>
      <c r="U30" s="135">
        <f t="shared" si="39"/>
        <v>0</v>
      </c>
      <c r="V30" s="135">
        <f t="shared" si="40"/>
        <v>0</v>
      </c>
      <c r="W30" s="135">
        <f t="shared" si="41"/>
        <v>0</v>
      </c>
      <c r="X30" s="135">
        <f t="shared" si="42"/>
        <v>0</v>
      </c>
      <c r="Y30" s="135">
        <f t="shared" si="43"/>
        <v>0</v>
      </c>
      <c r="Z30" s="135">
        <f t="shared" si="44"/>
        <v>0</v>
      </c>
      <c r="AA30" s="135">
        <f t="shared" si="45"/>
        <v>0</v>
      </c>
      <c r="AB30" s="135">
        <f t="shared" si="46"/>
        <v>0</v>
      </c>
      <c r="AC30" s="135">
        <f t="shared" si="47"/>
        <v>0</v>
      </c>
      <c r="AE30" s="120" t="e">
        <f>SUM(AC30/Y30)-1</f>
        <v>#DIV/0!</v>
      </c>
    </row>
    <row r="31" spans="2:31" ht="12.75" customHeight="1">
      <c r="B31" s="23" t="s">
        <v>36</v>
      </c>
      <c r="C31" s="134">
        <f>SUM('Historical Financials'!C79:C83)</f>
        <v>-706</v>
      </c>
      <c r="D31" s="134">
        <f>SUM('Historical Financials'!D79:D83)</f>
        <v>5361</v>
      </c>
      <c r="E31" s="134">
        <f>SUM('Historical Financials'!E79:E83)</f>
        <v>2505</v>
      </c>
      <c r="F31" s="134">
        <f>SUM('Historical Financials'!F79:F83)</f>
        <v>2752</v>
      </c>
      <c r="H31" s="134">
        <f>SUM('Historical Financials'!H79:H83)</f>
        <v>3472.6409999999996</v>
      </c>
      <c r="I31" s="134">
        <f>SUM('Historical Financials'!I79:I83)</f>
        <v>-3641.1319999999996</v>
      </c>
      <c r="J31" s="134">
        <f>SUM('Historical Financials'!J79:J83)</f>
        <v>1325.2370000000001</v>
      </c>
      <c r="K31" s="134">
        <f>SUM('Historical Financials'!K79:K83)</f>
        <v>4204.2540000000008</v>
      </c>
      <c r="L31" s="134">
        <f>SUM('Historical Financials'!L79:L83)</f>
        <v>1830.953</v>
      </c>
      <c r="M31" s="134">
        <f>SUM('Historical Financials'!M79:M83)</f>
        <v>-195.86399999999958</v>
      </c>
      <c r="N31" s="134">
        <f>SUM('Historical Financials'!N79:N83)</f>
        <v>-240.08899999999994</v>
      </c>
      <c r="O31" s="134">
        <f>SUM('Historical Financials'!O79:O83)</f>
        <v>1109.9999999999998</v>
      </c>
      <c r="P31" s="134">
        <f>SUM('Historical Financials'!P79:P83)</f>
        <v>-982</v>
      </c>
      <c r="Q31" s="134">
        <f>SUM('Historical Financials'!Q79:Q83)</f>
        <v>-3762</v>
      </c>
      <c r="R31" s="134">
        <f>SUM('Historical Financials'!R79:R83)</f>
        <v>4606</v>
      </c>
      <c r="S31" s="134">
        <f>SUM('Historical Financials'!S79:S83)</f>
        <v>2890</v>
      </c>
      <c r="U31" s="135">
        <f t="shared" si="39"/>
        <v>5361.0000000000009</v>
      </c>
      <c r="V31" s="135">
        <f t="shared" si="40"/>
        <v>3719.3120000000013</v>
      </c>
      <c r="W31" s="135">
        <f t="shared" si="41"/>
        <v>7164.5800000000017</v>
      </c>
      <c r="X31" s="135">
        <f t="shared" si="42"/>
        <v>5599.2540000000008</v>
      </c>
      <c r="Y31" s="135">
        <f t="shared" si="43"/>
        <v>2505</v>
      </c>
      <c r="Z31" s="135">
        <f t="shared" si="44"/>
        <v>-307.95299999999975</v>
      </c>
      <c r="AA31" s="135">
        <f t="shared" si="45"/>
        <v>-3874.0889999999999</v>
      </c>
      <c r="AB31" s="135">
        <f t="shared" si="46"/>
        <v>972</v>
      </c>
      <c r="AC31" s="135">
        <f t="shared" si="47"/>
        <v>2752</v>
      </c>
      <c r="AE31" s="120">
        <f>SUM(AC31/Y31)-1</f>
        <v>9.8602794411177586E-2</v>
      </c>
    </row>
    <row r="32" spans="2:31" ht="12.75" customHeight="1">
      <c r="B32" s="13" t="s">
        <v>37</v>
      </c>
      <c r="C32" s="14">
        <f>SUM(C25+SUM(C28:C31))</f>
        <v>-34745</v>
      </c>
      <c r="D32" s="14">
        <f>SUM(D25+SUM(D28:D31))</f>
        <v>-27604</v>
      </c>
      <c r="E32" s="14">
        <f>SUM(E25+SUM(E28:E31))</f>
        <v>-36888</v>
      </c>
      <c r="F32" s="14">
        <f>SUM(F25+SUM(F28:F31))</f>
        <v>-40687</v>
      </c>
      <c r="H32" s="14">
        <f t="shared" ref="H32:K32" si="48">SUM(H25+SUM(H28:H31))</f>
        <v>-4371.9579999999987</v>
      </c>
      <c r="I32" s="14">
        <f t="shared" si="48"/>
        <v>-10751.220000000001</v>
      </c>
      <c r="J32" s="14">
        <f t="shared" si="48"/>
        <v>-7233.2900000000018</v>
      </c>
      <c r="K32" s="14">
        <f t="shared" si="48"/>
        <v>-5247.5319999999983</v>
      </c>
      <c r="L32" s="14">
        <f t="shared" ref="L32:S32" si="49">SUM(L25+SUM(L28:L31))</f>
        <v>-8186.4480000000003</v>
      </c>
      <c r="M32" s="14">
        <f t="shared" si="49"/>
        <v>-10464.958999999999</v>
      </c>
      <c r="N32" s="14">
        <f t="shared" si="49"/>
        <v>-9945.005000000001</v>
      </c>
      <c r="O32" s="14">
        <f t="shared" si="49"/>
        <v>-8291.5879999999979</v>
      </c>
      <c r="P32" s="14">
        <f t="shared" si="49"/>
        <v>-10074</v>
      </c>
      <c r="Q32" s="14">
        <f t="shared" si="49"/>
        <v>-13734</v>
      </c>
      <c r="R32" s="14">
        <f t="shared" si="49"/>
        <v>-7569</v>
      </c>
      <c r="S32" s="14">
        <f t="shared" si="49"/>
        <v>-9310</v>
      </c>
      <c r="U32" s="14">
        <f t="shared" ref="U32:AA32" si="50">SUM(U25+SUM(U28:U31))</f>
        <v>-27604</v>
      </c>
      <c r="V32" s="14">
        <f t="shared" si="50"/>
        <v>-31418.49</v>
      </c>
      <c r="W32" s="14">
        <f t="shared" si="50"/>
        <v>-31132.228999999992</v>
      </c>
      <c r="X32" s="14">
        <f t="shared" si="50"/>
        <v>-33843.943999999996</v>
      </c>
      <c r="Y32" s="14">
        <f t="shared" si="50"/>
        <v>-36888</v>
      </c>
      <c r="Z32" s="14">
        <f t="shared" si="50"/>
        <v>-38775.551999999996</v>
      </c>
      <c r="AA32" s="14">
        <f t="shared" si="50"/>
        <v>-42044.593000000001</v>
      </c>
      <c r="AB32" s="14">
        <f>SUM(AB25+SUM(AB28:AB31))</f>
        <v>-39668.588000000003</v>
      </c>
      <c r="AC32" s="14">
        <f>SUM(AC25+SUM(AC28:AC31))</f>
        <v>-40687</v>
      </c>
      <c r="AE32" s="121">
        <f>SUM(AC32/Y32)-1</f>
        <v>0.10298742138364769</v>
      </c>
    </row>
    <row r="33" spans="1:29" ht="5.0999999999999996" customHeight="1"/>
    <row r="34" spans="1:29" ht="12.75" customHeight="1">
      <c r="B34" s="31" t="s">
        <v>144</v>
      </c>
      <c r="C34" s="134">
        <f>'Historical Financials'!C91</f>
        <v>153219</v>
      </c>
      <c r="D34" s="134">
        <f>'Historical Financials'!D91</f>
        <v>20985</v>
      </c>
      <c r="E34" s="134">
        <f>'Historical Financials'!E91</f>
        <v>27875</v>
      </c>
      <c r="F34" s="134">
        <f>'Historical Financials'!F91</f>
        <v>11284</v>
      </c>
      <c r="G34" s="32"/>
      <c r="H34" s="134">
        <f>'Historical Financials'!H91</f>
        <v>2312.7849999999999</v>
      </c>
      <c r="I34" s="134">
        <f>'Historical Financials'!I91</f>
        <v>12086.983</v>
      </c>
      <c r="J34" s="134">
        <f>'Historical Financials'!J91</f>
        <v>6582.380000000001</v>
      </c>
      <c r="K34" s="134">
        <f>'Historical Financials'!K91</f>
        <v>2.8519999999989523</v>
      </c>
      <c r="L34" s="134">
        <f>'Historical Financials'!L91</f>
        <v>0</v>
      </c>
      <c r="M34" s="134">
        <f>'Historical Financials'!M91</f>
        <v>18152.5</v>
      </c>
      <c r="N34" s="134">
        <f>'Historical Financials'!N91</f>
        <v>8534.5169999999998</v>
      </c>
      <c r="O34" s="134">
        <f>'Historical Financials'!O91</f>
        <v>1187.9830000000002</v>
      </c>
      <c r="P34" s="134">
        <f>'Historical Financials'!P91</f>
        <v>0</v>
      </c>
      <c r="Q34" s="134">
        <f>'Historical Financials'!Q91</f>
        <v>7178</v>
      </c>
      <c r="R34" s="134">
        <f>'Historical Financials'!R91</f>
        <v>4106</v>
      </c>
      <c r="S34" s="134">
        <f>'Historical Financials'!S91</f>
        <v>0</v>
      </c>
      <c r="U34" s="135"/>
      <c r="V34" s="135"/>
      <c r="W34" s="135"/>
      <c r="X34" s="135"/>
      <c r="Y34" s="135">
        <f t="shared" ref="Y34:Y38" si="51">SUM(L34:O34)</f>
        <v>27875</v>
      </c>
      <c r="Z34" s="135">
        <f t="shared" ref="Z34:Z38" si="52">SUM(M34:P34)</f>
        <v>27875</v>
      </c>
      <c r="AA34" s="135">
        <f t="shared" ref="AA34:AA38" si="53">SUM(N34:Q34)</f>
        <v>16900.5</v>
      </c>
      <c r="AB34" s="135">
        <f t="shared" ref="AB34:AB38" si="54">SUM(O34:R34)</f>
        <v>12471.983</v>
      </c>
      <c r="AC34" s="135">
        <f t="shared" ref="AC34:AC38" si="55">SUM(P34:S34)</f>
        <v>11284</v>
      </c>
    </row>
    <row r="35" spans="1:29" ht="12.75" customHeight="1">
      <c r="B35" s="31" t="s">
        <v>145</v>
      </c>
      <c r="C35" s="134">
        <f>'Historical Financials'!C92</f>
        <v>-5551</v>
      </c>
      <c r="D35" s="134">
        <f>'Historical Financials'!D92</f>
        <v>-707</v>
      </c>
      <c r="E35" s="134">
        <f>'Historical Financials'!E92</f>
        <v>0</v>
      </c>
      <c r="F35" s="134">
        <f>'Historical Financials'!F92</f>
        <v>0</v>
      </c>
      <c r="G35" s="32"/>
      <c r="H35" s="134">
        <f>'Historical Financials'!H92</f>
        <v>-146.71700000000001</v>
      </c>
      <c r="I35" s="134">
        <f>'Historical Financials'!I92</f>
        <v>-374.72400000000005</v>
      </c>
      <c r="J35" s="134">
        <f>'Historical Financials'!J92</f>
        <v>-185.36099999999996</v>
      </c>
      <c r="K35" s="134">
        <f>'Historical Financials'!K92</f>
        <v>-0.19799999999997908</v>
      </c>
      <c r="L35" s="134">
        <f>'Historical Financials'!L92</f>
        <v>0</v>
      </c>
      <c r="M35" s="134">
        <f>'Historical Financials'!M92</f>
        <v>0</v>
      </c>
      <c r="N35" s="134">
        <f>'Historical Financials'!N92</f>
        <v>0</v>
      </c>
      <c r="O35" s="134">
        <f>'Historical Financials'!O92</f>
        <v>0</v>
      </c>
      <c r="P35" s="134">
        <f>'Historical Financials'!P92</f>
        <v>0</v>
      </c>
      <c r="Q35" s="134">
        <f>'Historical Financials'!Q92</f>
        <v>0</v>
      </c>
      <c r="R35" s="134">
        <f>'Historical Financials'!R92</f>
        <v>0</v>
      </c>
      <c r="S35" s="134">
        <f>'Historical Financials'!S92</f>
        <v>0</v>
      </c>
      <c r="U35" s="135"/>
      <c r="V35" s="135"/>
      <c r="W35" s="135"/>
      <c r="X35" s="135"/>
      <c r="Y35" s="135">
        <f t="shared" si="51"/>
        <v>0</v>
      </c>
      <c r="Z35" s="135">
        <f t="shared" si="52"/>
        <v>0</v>
      </c>
      <c r="AA35" s="135">
        <f t="shared" si="53"/>
        <v>0</v>
      </c>
      <c r="AB35" s="135">
        <f t="shared" si="54"/>
        <v>0</v>
      </c>
      <c r="AC35" s="135">
        <f t="shared" si="55"/>
        <v>0</v>
      </c>
    </row>
    <row r="36" spans="1:29" ht="12.75" customHeight="1">
      <c r="B36" s="31" t="s">
        <v>123</v>
      </c>
      <c r="C36" s="134">
        <f>'Historical Financials'!C93</f>
        <v>1467</v>
      </c>
      <c r="D36" s="134">
        <f>'Historical Financials'!D93</f>
        <v>0</v>
      </c>
      <c r="E36" s="134">
        <f>'Historical Financials'!E93</f>
        <v>0</v>
      </c>
      <c r="F36" s="134">
        <f>'Historical Financials'!F93</f>
        <v>0</v>
      </c>
      <c r="G36" s="32"/>
      <c r="H36" s="134">
        <f>'Historical Financials'!H93</f>
        <v>0</v>
      </c>
      <c r="I36" s="134">
        <f>'Historical Financials'!I93</f>
        <v>0</v>
      </c>
      <c r="J36" s="134">
        <f>'Historical Financials'!J93</f>
        <v>0</v>
      </c>
      <c r="K36" s="134">
        <f>'Historical Financials'!K93</f>
        <v>0</v>
      </c>
      <c r="L36" s="134">
        <f>'Historical Financials'!L93</f>
        <v>0</v>
      </c>
      <c r="M36" s="134">
        <f>'Historical Financials'!M93</f>
        <v>0</v>
      </c>
      <c r="N36" s="134">
        <f>'Historical Financials'!N93</f>
        <v>0</v>
      </c>
      <c r="O36" s="134">
        <f>'Historical Financials'!O93</f>
        <v>0</v>
      </c>
      <c r="P36" s="134">
        <f>'Historical Financials'!P93</f>
        <v>0</v>
      </c>
      <c r="Q36" s="134">
        <f>'Historical Financials'!Q93</f>
        <v>0</v>
      </c>
      <c r="R36" s="134">
        <f>'Historical Financials'!R93</f>
        <v>0</v>
      </c>
      <c r="S36" s="134">
        <f>'Historical Financials'!S93</f>
        <v>0</v>
      </c>
      <c r="U36" s="135"/>
      <c r="V36" s="135"/>
      <c r="W36" s="135"/>
      <c r="X36" s="135"/>
      <c r="Y36" s="135">
        <f t="shared" si="51"/>
        <v>0</v>
      </c>
      <c r="Z36" s="135">
        <f t="shared" si="52"/>
        <v>0</v>
      </c>
      <c r="AA36" s="135">
        <f t="shared" si="53"/>
        <v>0</v>
      </c>
      <c r="AB36" s="135">
        <f t="shared" si="54"/>
        <v>0</v>
      </c>
      <c r="AC36" s="135">
        <f t="shared" si="55"/>
        <v>0</v>
      </c>
    </row>
    <row r="37" spans="1:29" ht="12.75" customHeight="1">
      <c r="B37" s="31" t="s">
        <v>146</v>
      </c>
      <c r="C37" s="134">
        <f>'Historical Financials'!C94</f>
        <v>4108</v>
      </c>
      <c r="D37" s="134">
        <f>'Historical Financials'!D94</f>
        <v>1010</v>
      </c>
      <c r="E37" s="134">
        <f>'Historical Financials'!E94</f>
        <v>1776</v>
      </c>
      <c r="F37" s="134">
        <f>'Historical Financials'!F94</f>
        <v>691</v>
      </c>
      <c r="G37" s="32"/>
      <c r="H37" s="134">
        <f>'Historical Financials'!H94</f>
        <v>373.49700000000001</v>
      </c>
      <c r="I37" s="134">
        <f>'Historical Financials'!I94</f>
        <v>123.42599999999999</v>
      </c>
      <c r="J37" s="134">
        <f>'Historical Financials'!J94</f>
        <v>513.26700000000005</v>
      </c>
      <c r="K37" s="134">
        <f>'Historical Financials'!K94</f>
        <v>-0.19000000000005457</v>
      </c>
      <c r="L37" s="134">
        <f>'Historical Financials'!L94</f>
        <v>258.24400000000003</v>
      </c>
      <c r="M37" s="134">
        <f>'Historical Financials'!M94</f>
        <v>181.19299999999998</v>
      </c>
      <c r="N37" s="134">
        <f>'Historical Financials'!N94</f>
        <v>468.22</v>
      </c>
      <c r="O37" s="134">
        <f>'Historical Financials'!O94</f>
        <v>868.34299999999996</v>
      </c>
      <c r="P37" s="134">
        <f>'Historical Financials'!P94</f>
        <v>59</v>
      </c>
      <c r="Q37" s="134">
        <f>'Historical Financials'!Q94</f>
        <v>99</v>
      </c>
      <c r="R37" s="134">
        <f>'Historical Financials'!R94</f>
        <v>444</v>
      </c>
      <c r="S37" s="134">
        <f>'Historical Financials'!S94</f>
        <v>89</v>
      </c>
      <c r="U37" s="135"/>
      <c r="V37" s="135"/>
      <c r="W37" s="135"/>
      <c r="X37" s="135"/>
      <c r="Y37" s="135">
        <f t="shared" si="51"/>
        <v>1776</v>
      </c>
      <c r="Z37" s="135">
        <f t="shared" si="52"/>
        <v>1576.7559999999999</v>
      </c>
      <c r="AA37" s="135">
        <f t="shared" si="53"/>
        <v>1494.5630000000001</v>
      </c>
      <c r="AB37" s="135">
        <f t="shared" si="54"/>
        <v>1470.3429999999998</v>
      </c>
      <c r="AC37" s="135">
        <f t="shared" si="55"/>
        <v>691</v>
      </c>
    </row>
    <row r="38" spans="1:29" ht="12.75" customHeight="1">
      <c r="B38" s="31" t="s">
        <v>63</v>
      </c>
      <c r="C38" s="90"/>
      <c r="D38" s="90" cm="1">
        <f t="array" ref="D38">SUM(D43:D43-C43:C43)-SUM(D32:D37)</f>
        <v>3366.2550000000047</v>
      </c>
      <c r="E38" s="90" cm="1">
        <f t="array" ref="E38">SUM(E43:E43-D43:D43)-SUM(E32:E37)</f>
        <v>9103</v>
      </c>
      <c r="F38" s="90" cm="1">
        <f t="array" ref="F38">SUM(F43:F43-E43:E43)-SUM(F32:F37)</f>
        <v>9875</v>
      </c>
      <c r="G38" s="32"/>
      <c r="H38" s="90"/>
      <c r="I38" s="90" cm="1">
        <f t="array" ref="I38">SUM(I43:I43-H43:H43)-SUM(I32:I37)</f>
        <v>1111.7360000000019</v>
      </c>
      <c r="J38" s="90" cm="1">
        <f t="array" ref="J38">SUM(J43:J43-I43:I43)-SUM(J32:J37)</f>
        <v>179.8000000000028</v>
      </c>
      <c r="K38" s="90" cm="1">
        <f t="array" ref="K38">SUM(K43:K43-J43:J43)-SUM(K32:K37)</f>
        <v>1203.7159999999858</v>
      </c>
      <c r="L38" s="90" cm="1">
        <f t="array" ref="L38">SUM(L43:L43-K43:K43)-SUM(L32:L37)</f>
        <v>2392.0519999999988</v>
      </c>
      <c r="M38" s="90" cm="1">
        <f t="array" ref="M38">SUM(M43:M43-L43:L43)-SUM(M32:M37)</f>
        <v>1976.38</v>
      </c>
      <c r="N38" s="90" cm="1">
        <f t="array" ref="N38">SUM(N43:N43-M43:M43)-SUM(N32:N37)</f>
        <v>2292.4699999999912</v>
      </c>
      <c r="O38" s="90" cm="1">
        <f t="array" ref="O38">SUM(O43:O43-N43:N43)-SUM(O32:O37)</f>
        <v>2442.0980000000081</v>
      </c>
      <c r="P38" s="90" cm="1">
        <f t="array" ref="P38">SUM(P43:P43-O43:O43)-SUM(P32:P37)</f>
        <v>2756</v>
      </c>
      <c r="Q38" s="90" cm="1">
        <f t="array" ref="Q38">SUM(Q43:Q43-P43:P43)-SUM(Q32:Q37)</f>
        <v>2078</v>
      </c>
      <c r="R38" s="90" cm="1">
        <f t="array" ref="R38">SUM(R43:R43-Q43:Q43)-SUM(R32:R37)</f>
        <v>2389</v>
      </c>
      <c r="S38" s="90" cm="1">
        <f t="array" ref="S38">SUM(S43:S43-R43:R43)-SUM(S32:S37)</f>
        <v>2652</v>
      </c>
      <c r="U38" s="135">
        <f t="shared" ref="U38" si="56">SUM(H38:K38)</f>
        <v>2495.2519999999904</v>
      </c>
      <c r="V38" s="135">
        <f t="shared" ref="V38" si="57">SUM(I38:L38)</f>
        <v>4887.3039999999892</v>
      </c>
      <c r="W38" s="135">
        <f t="shared" ref="W38" si="58">SUM(J38:M38)</f>
        <v>5751.9479999999876</v>
      </c>
      <c r="X38" s="135">
        <f t="shared" ref="X38" si="59">SUM(K38:N38)</f>
        <v>7864.6179999999758</v>
      </c>
      <c r="Y38" s="135">
        <f t="shared" ref="Y38" si="60">SUM(L38:O38)</f>
        <v>9102.9999999999982</v>
      </c>
      <c r="Z38" s="135">
        <f t="shared" ref="Z38" si="61">SUM(M38:P38)</f>
        <v>9466.9480000000003</v>
      </c>
      <c r="AA38" s="135">
        <f t="shared" ref="AA38" si="62">SUM(N38:Q38)</f>
        <v>9568.5679999999993</v>
      </c>
      <c r="AB38" s="135">
        <f t="shared" ref="AB38" si="63">SUM(O38:R38)</f>
        <v>9665.0980000000091</v>
      </c>
      <c r="AC38" s="135">
        <f t="shared" ref="AC38" si="64">SUM(P38:S38)</f>
        <v>9875</v>
      </c>
    </row>
    <row r="39" spans="1:29" ht="12.75" customHeight="1">
      <c r="B39" s="13" t="s">
        <v>38</v>
      </c>
      <c r="C39" s="14">
        <f>SUM(C32+SUM(C34:C38))</f>
        <v>118498</v>
      </c>
      <c r="D39" s="14">
        <f>SUM(D32+SUM(D34:D38))</f>
        <v>-2949.7449999999953</v>
      </c>
      <c r="E39" s="14">
        <f>SUM(E32+SUM(E34:E38))</f>
        <v>1866</v>
      </c>
      <c r="F39" s="14">
        <f>SUM(F32+SUM(F34:F38))</f>
        <v>-18837</v>
      </c>
      <c r="H39" s="14">
        <f>SUM(H32+SUM(H34:H38))</f>
        <v>-1832.3929999999991</v>
      </c>
      <c r="I39" s="14">
        <f>SUM(I32+SUM(I34:I38))</f>
        <v>2196.2010000000009</v>
      </c>
      <c r="J39" s="14">
        <f>SUM(J32+SUM(J34:J38))</f>
        <v>-143.2039999999979</v>
      </c>
      <c r="K39" s="14">
        <f>SUM(K32+SUM(K34:K38))</f>
        <v>-4041.3520000000135</v>
      </c>
      <c r="L39" s="14">
        <f>SUM(L32+SUM(L34:L38))</f>
        <v>-5536.1520000000019</v>
      </c>
      <c r="M39" s="14">
        <f>SUM(M32+SUM(M34:M38))</f>
        <v>9845.1140000000014</v>
      </c>
      <c r="N39" s="14">
        <f>SUM(N32+SUM(N34:N38))</f>
        <v>1350.2019999999902</v>
      </c>
      <c r="O39" s="14">
        <f>SUM(O32+SUM(O34:O38))</f>
        <v>-3793.1639999999898</v>
      </c>
      <c r="P39" s="14">
        <f>SUM(P32+SUM(P34:P38))</f>
        <v>-7259</v>
      </c>
      <c r="Q39" s="14">
        <f>SUM(Q32+SUM(Q34:Q38))</f>
        <v>-4379</v>
      </c>
      <c r="R39" s="14">
        <f>SUM(R32+SUM(R34:R38))</f>
        <v>-630</v>
      </c>
      <c r="S39" s="14">
        <f>SUM(S32+SUM(S34:S38))</f>
        <v>-6569</v>
      </c>
      <c r="U39" s="14">
        <f>SUM(U32+SUM(U34:U38))</f>
        <v>-25108.748000000011</v>
      </c>
      <c r="V39" s="14">
        <f>SUM(V32+SUM(V34:V38))</f>
        <v>-26531.186000000012</v>
      </c>
      <c r="W39" s="14">
        <f>SUM(W32+SUM(W34:W38))</f>
        <v>-25380.281000000003</v>
      </c>
      <c r="X39" s="14">
        <f>SUM(X32+SUM(X34:X38))</f>
        <v>-25979.326000000019</v>
      </c>
      <c r="Y39" s="14">
        <f>SUM(Y32+SUM(Y34:Y38))</f>
        <v>1866</v>
      </c>
      <c r="Z39" s="14">
        <f>SUM(Z32+SUM(Z34:Z38))</f>
        <v>143.15200000000186</v>
      </c>
      <c r="AA39" s="14">
        <f>SUM(AA32+SUM(AA34:AA38))</f>
        <v>-14080.962</v>
      </c>
      <c r="AB39" s="14">
        <f>SUM(AB32+SUM(AB34:AB38))</f>
        <v>-16061.163999999993</v>
      </c>
      <c r="AC39" s="14">
        <f>SUM(AC32+SUM(AC34:AC38))</f>
        <v>-18837</v>
      </c>
    </row>
    <row r="40" spans="1:29" ht="5.0999999999999996" customHeight="1"/>
    <row r="41" spans="1:29" ht="12.75" customHeight="1">
      <c r="A41" s="5"/>
      <c r="B41" s="33" t="s">
        <v>39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 ht="5.0999999999999996" customHeight="1"/>
    <row r="43" spans="1:29" ht="12.75" customHeight="1">
      <c r="B43" s="8" t="s">
        <v>40</v>
      </c>
      <c r="C43" s="89">
        <f>'Historical Financials'!C44</f>
        <v>152107.745</v>
      </c>
      <c r="D43" s="89">
        <f>'Historical Financials'!D44</f>
        <v>149158</v>
      </c>
      <c r="E43" s="89">
        <f>'Historical Financials'!E44</f>
        <v>151024</v>
      </c>
      <c r="F43" s="89">
        <f>'Historical Financials'!F44</f>
        <v>132187</v>
      </c>
      <c r="G43" s="32"/>
      <c r="H43" s="89">
        <f>'Historical Financials'!H44</f>
        <v>151146.35500000001</v>
      </c>
      <c r="I43" s="89">
        <f>'Historical Financials'!I44</f>
        <v>153342.55600000001</v>
      </c>
      <c r="J43" s="89">
        <f>'Historical Financials'!J44</f>
        <v>153199.35200000001</v>
      </c>
      <c r="K43" s="89">
        <f>'Historical Financials'!K44</f>
        <v>149158</v>
      </c>
      <c r="L43" s="89">
        <f>'Historical Financials'!L44</f>
        <v>143621.848</v>
      </c>
      <c r="M43" s="89">
        <f>'Historical Financials'!M44</f>
        <v>153466.962</v>
      </c>
      <c r="N43" s="89">
        <f>'Historical Financials'!N44</f>
        <v>154817.16399999999</v>
      </c>
      <c r="O43" s="89">
        <f>'Historical Financials'!O44</f>
        <v>151024</v>
      </c>
      <c r="P43" s="89">
        <f>'Historical Financials'!P44</f>
        <v>143765</v>
      </c>
      <c r="Q43" s="89">
        <f>'Historical Financials'!Q44</f>
        <v>139386</v>
      </c>
      <c r="R43" s="89">
        <f>'Historical Financials'!R44</f>
        <v>138756</v>
      </c>
      <c r="S43" s="89">
        <f>'Historical Financials'!S44</f>
        <v>132187</v>
      </c>
      <c r="U43" s="10">
        <f t="shared" ref="U43:AB43" si="65">K43</f>
        <v>149158</v>
      </c>
      <c r="V43" s="10">
        <f t="shared" si="65"/>
        <v>143621.848</v>
      </c>
      <c r="W43" s="10">
        <f t="shared" si="65"/>
        <v>153466.962</v>
      </c>
      <c r="X43" s="10">
        <f t="shared" si="65"/>
        <v>154817.16399999999</v>
      </c>
      <c r="Y43" s="10">
        <f t="shared" si="65"/>
        <v>151024</v>
      </c>
      <c r="Z43" s="10">
        <f t="shared" si="65"/>
        <v>143765</v>
      </c>
      <c r="AA43" s="10">
        <f t="shared" si="65"/>
        <v>139386</v>
      </c>
      <c r="AB43" s="10">
        <f t="shared" si="65"/>
        <v>138756</v>
      </c>
      <c r="AC43" s="10">
        <f>S43</f>
        <v>132187</v>
      </c>
    </row>
    <row r="44" spans="1:29" ht="12.75" customHeight="1">
      <c r="B44" s="13" t="s">
        <v>41</v>
      </c>
      <c r="C44" s="14">
        <f>SUM(C43:C43)</f>
        <v>152107.745</v>
      </c>
      <c r="D44" s="14">
        <f>SUM(D43:D43)</f>
        <v>149158</v>
      </c>
      <c r="E44" s="14">
        <f>SUM(E43:E43)</f>
        <v>151024</v>
      </c>
      <c r="F44" s="14">
        <f>SUM(F43:F43)</f>
        <v>132187</v>
      </c>
      <c r="G44" s="32"/>
      <c r="H44" s="14">
        <f>SUM(H43:H43)</f>
        <v>151146.35500000001</v>
      </c>
      <c r="I44" s="14">
        <f>SUM(I43:I43)</f>
        <v>153342.55600000001</v>
      </c>
      <c r="J44" s="14">
        <f>SUM(J43:J43)</f>
        <v>153199.35200000001</v>
      </c>
      <c r="K44" s="14">
        <f>SUM(K43:K43)</f>
        <v>149158</v>
      </c>
      <c r="L44" s="14">
        <f>SUM(L43:L43)</f>
        <v>143621.848</v>
      </c>
      <c r="M44" s="14">
        <f>SUM(M43:M43)</f>
        <v>153466.962</v>
      </c>
      <c r="N44" s="14">
        <f>SUM(N43:N43)</f>
        <v>154817.16399999999</v>
      </c>
      <c r="O44" s="14">
        <f>SUM(O43:O43)</f>
        <v>151024</v>
      </c>
      <c r="P44" s="14">
        <f>SUM(P43:P43)</f>
        <v>143765</v>
      </c>
      <c r="Q44" s="14">
        <f>SUM(Q43:Q43)</f>
        <v>139386</v>
      </c>
      <c r="R44" s="14">
        <f>SUM(R43:R43)</f>
        <v>138756</v>
      </c>
      <c r="S44" s="14">
        <f>SUM(S43:S43)</f>
        <v>132187</v>
      </c>
      <c r="U44" s="14">
        <f>SUM(U43:U43)</f>
        <v>149158</v>
      </c>
      <c r="V44" s="14">
        <f>SUM(V43:V43)</f>
        <v>143621.848</v>
      </c>
      <c r="W44" s="14">
        <f>SUM(W43:W43)</f>
        <v>153466.962</v>
      </c>
      <c r="X44" s="14">
        <f>SUM(X43:X43)</f>
        <v>154817.16399999999</v>
      </c>
      <c r="Y44" s="14">
        <f>SUM(Y43:Y43)</f>
        <v>151024</v>
      </c>
      <c r="Z44" s="14">
        <f>SUM(Z43:Z43)</f>
        <v>143765</v>
      </c>
      <c r="AA44" s="14">
        <f>SUM(AA43:AA43)</f>
        <v>139386</v>
      </c>
      <c r="AB44" s="14">
        <f>SUM(AB43:AB43)</f>
        <v>138756</v>
      </c>
      <c r="AC44" s="14">
        <f>SUM(AC43:AC43)</f>
        <v>132187</v>
      </c>
    </row>
    <row r="45" spans="1:29" ht="5.0999999999999996" customHeight="1"/>
    <row r="46" spans="1:29" ht="12.75" customHeight="1">
      <c r="B46" s="35" t="s">
        <v>42</v>
      </c>
    </row>
    <row r="47" spans="1:29" ht="12.75" customHeight="1">
      <c r="B47" s="8" t="s">
        <v>130</v>
      </c>
      <c r="C47" s="89">
        <f>'Historical Financials'!C45</f>
        <v>9136.8310000000001</v>
      </c>
      <c r="D47" s="89">
        <f>'Historical Financials'!D45</f>
        <v>3193</v>
      </c>
      <c r="E47" s="89">
        <f>'Historical Financials'!E45</f>
        <v>2709</v>
      </c>
      <c r="F47" s="89">
        <f>'Historical Financials'!F45</f>
        <v>2449</v>
      </c>
      <c r="H47" s="89">
        <f>'Historical Financials'!H45</f>
        <v>5372.1530000000002</v>
      </c>
      <c r="I47" s="89">
        <f>'Historical Financials'!I45</f>
        <v>6468.9870000000001</v>
      </c>
      <c r="J47" s="89">
        <f>'Historical Financials'!J45</f>
        <v>6559.8289999999997</v>
      </c>
      <c r="K47" s="89">
        <f>'Historical Financials'!K45</f>
        <v>3193</v>
      </c>
      <c r="L47" s="89">
        <f>'Historical Financials'!L45</f>
        <v>4094.431</v>
      </c>
      <c r="M47" s="89">
        <f>'Historical Financials'!M45</f>
        <v>4737.6610000000001</v>
      </c>
      <c r="N47" s="89">
        <f>'Historical Financials'!N45</f>
        <v>2165.127</v>
      </c>
      <c r="O47" s="89">
        <f>'Historical Financials'!O45</f>
        <v>2709</v>
      </c>
      <c r="P47" s="89">
        <f>'Historical Financials'!P45</f>
        <v>3549</v>
      </c>
      <c r="Q47" s="89">
        <f>'Historical Financials'!Q45</f>
        <v>3785</v>
      </c>
      <c r="R47" s="89">
        <f>'Historical Financials'!R45</f>
        <v>1720</v>
      </c>
      <c r="S47" s="89">
        <f>'Historical Financials'!S45</f>
        <v>2449</v>
      </c>
      <c r="T47" s="10"/>
      <c r="U47" s="10">
        <f t="shared" ref="U47" si="66">K47</f>
        <v>3193</v>
      </c>
      <c r="V47" s="10">
        <f t="shared" ref="V47" si="67">L47</f>
        <v>4094.431</v>
      </c>
      <c r="W47" s="10">
        <f t="shared" ref="W47" si="68">M47</f>
        <v>4737.6610000000001</v>
      </c>
      <c r="X47" s="10">
        <f t="shared" ref="X47" si="69">N47</f>
        <v>2165.127</v>
      </c>
      <c r="Y47" s="10">
        <f t="shared" ref="Y47" si="70">O47</f>
        <v>2709</v>
      </c>
      <c r="Z47" s="10">
        <f t="shared" ref="Z47" si="71">P47</f>
        <v>3549</v>
      </c>
      <c r="AA47" s="10">
        <f t="shared" ref="AA47" si="72">Q47</f>
        <v>3785</v>
      </c>
      <c r="AB47" s="10">
        <f t="shared" ref="AB47" si="73">R47</f>
        <v>1720</v>
      </c>
      <c r="AC47" s="10">
        <f t="shared" ref="AC47" si="74">S47</f>
        <v>2449</v>
      </c>
    </row>
    <row r="48" spans="1:29" ht="12.75" customHeight="1">
      <c r="B48" s="8" t="s">
        <v>20</v>
      </c>
      <c r="C48" s="89">
        <f>'Historical Financials'!C47</f>
        <v>161616.49</v>
      </c>
      <c r="D48" s="89">
        <f>'Historical Financials'!D47</f>
        <v>152705</v>
      </c>
      <c r="E48" s="89">
        <f>'Historical Financials'!E47</f>
        <v>154386</v>
      </c>
      <c r="F48" s="89">
        <f>'Historical Financials'!F47</f>
        <v>135567</v>
      </c>
      <c r="H48" s="89">
        <f>'Historical Financials'!H47</f>
        <v>156896.36799999999</v>
      </c>
      <c r="I48" s="89">
        <f>'Historical Financials'!I47</f>
        <v>160276.14800000002</v>
      </c>
      <c r="J48" s="89">
        <f>'Historical Financials'!J47</f>
        <v>160221.144</v>
      </c>
      <c r="K48" s="89">
        <f>'Historical Financials'!K47</f>
        <v>152705</v>
      </c>
      <c r="L48" s="89">
        <f>'Historical Financials'!L47</f>
        <v>148371.92200000002</v>
      </c>
      <c r="M48" s="89">
        <f>'Historical Financials'!M47</f>
        <v>159186.397</v>
      </c>
      <c r="N48" s="89">
        <f>'Historical Financials'!N47</f>
        <v>157809.86299999998</v>
      </c>
      <c r="O48" s="89">
        <f>'Historical Financials'!O47</f>
        <v>154386</v>
      </c>
      <c r="P48" s="89">
        <f>'Historical Financials'!P47</f>
        <v>148070</v>
      </c>
      <c r="Q48" s="89">
        <f>'Historical Financials'!Q47</f>
        <v>144516</v>
      </c>
      <c r="R48" s="89">
        <f>'Historical Financials'!R47</f>
        <v>141535</v>
      </c>
      <c r="S48" s="89">
        <f>'Historical Financials'!S47</f>
        <v>135567</v>
      </c>
      <c r="T48" s="10"/>
      <c r="U48" s="10">
        <f t="shared" ref="U48:U51" si="75">K48</f>
        <v>152705</v>
      </c>
      <c r="V48" s="10">
        <f t="shared" ref="V48:V51" si="76">L48</f>
        <v>148371.92200000002</v>
      </c>
      <c r="W48" s="10">
        <f t="shared" ref="W48:W51" si="77">M48</f>
        <v>159186.397</v>
      </c>
      <c r="X48" s="10">
        <f t="shared" ref="X48:X51" si="78">N48</f>
        <v>157809.86299999998</v>
      </c>
      <c r="Y48" s="10">
        <f t="shared" ref="Y48:Y51" si="79">O48</f>
        <v>154386</v>
      </c>
      <c r="Z48" s="10">
        <f t="shared" ref="Z48:Z51" si="80">P48</f>
        <v>148070</v>
      </c>
      <c r="AA48" s="10">
        <f t="shared" ref="AA48:AA51" si="81">Q48</f>
        <v>144516</v>
      </c>
      <c r="AB48" s="10">
        <f t="shared" ref="AB48:AB51" si="82">R48</f>
        <v>141535</v>
      </c>
      <c r="AC48" s="10">
        <f t="shared" ref="AC48:AC51" si="83">S48</f>
        <v>135567</v>
      </c>
    </row>
    <row r="49" spans="1:29" ht="12.75" customHeight="1">
      <c r="B49" s="8" t="s">
        <v>13</v>
      </c>
      <c r="C49" s="89">
        <f>'Historical Financials'!C51</f>
        <v>4739.7809999999999</v>
      </c>
      <c r="D49" s="89">
        <f>'Historical Financials'!D51</f>
        <v>3825</v>
      </c>
      <c r="E49" s="89">
        <f>'Historical Financials'!E51</f>
        <v>4322</v>
      </c>
      <c r="F49" s="89">
        <f>'Historical Financials'!F51</f>
        <v>9627</v>
      </c>
      <c r="H49" s="89">
        <f>'Historical Financials'!H51</f>
        <v>4634.7910000000002</v>
      </c>
      <c r="I49" s="89">
        <f>'Historical Financials'!I51</f>
        <v>2631.8879999999999</v>
      </c>
      <c r="J49" s="89">
        <f>'Historical Financials'!J51</f>
        <v>3126.8919999999998</v>
      </c>
      <c r="K49" s="89">
        <f>'Historical Financials'!K51</f>
        <v>3825</v>
      </c>
      <c r="L49" s="89">
        <f>'Historical Financials'!L51</f>
        <v>5288.2610000000004</v>
      </c>
      <c r="M49" s="89">
        <f>'Historical Financials'!M51</f>
        <v>6281.7420000000002</v>
      </c>
      <c r="N49" s="89">
        <f>'Historical Financials'!N51</f>
        <v>4152.8459999999995</v>
      </c>
      <c r="O49" s="89">
        <f>'Historical Financials'!O51</f>
        <v>4322</v>
      </c>
      <c r="P49" s="89">
        <f>'Historical Financials'!P51</f>
        <v>4292</v>
      </c>
      <c r="Q49" s="89">
        <f>'Historical Financials'!Q51</f>
        <v>3726</v>
      </c>
      <c r="R49" s="89">
        <f>'Historical Financials'!R51</f>
        <v>3503</v>
      </c>
      <c r="S49" s="89">
        <f>'Historical Financials'!S51</f>
        <v>9627</v>
      </c>
      <c r="T49" s="10"/>
      <c r="U49" s="10">
        <f t="shared" si="75"/>
        <v>3825</v>
      </c>
      <c r="V49" s="10">
        <f t="shared" si="76"/>
        <v>5288.2610000000004</v>
      </c>
      <c r="W49" s="10">
        <f t="shared" si="77"/>
        <v>6281.7420000000002</v>
      </c>
      <c r="X49" s="10">
        <f t="shared" si="78"/>
        <v>4152.8459999999995</v>
      </c>
      <c r="Y49" s="10">
        <f t="shared" si="79"/>
        <v>4322</v>
      </c>
      <c r="Z49" s="10">
        <f t="shared" si="80"/>
        <v>4292</v>
      </c>
      <c r="AA49" s="10">
        <f t="shared" si="81"/>
        <v>3726</v>
      </c>
      <c r="AB49" s="10">
        <f t="shared" si="82"/>
        <v>3503</v>
      </c>
      <c r="AC49" s="10">
        <f t="shared" si="83"/>
        <v>9627</v>
      </c>
    </row>
    <row r="50" spans="1:29" ht="12.75" customHeight="1">
      <c r="B50" s="8" t="s">
        <v>132</v>
      </c>
      <c r="C50" s="89">
        <f>'Historical Financials'!C53</f>
        <v>443.83100000000002</v>
      </c>
      <c r="D50" s="89">
        <f>'Historical Financials'!D53</f>
        <v>444</v>
      </c>
      <c r="E50" s="89">
        <f>'Historical Financials'!E53</f>
        <v>917</v>
      </c>
      <c r="F50" s="89">
        <f>'Historical Financials'!F53</f>
        <v>842</v>
      </c>
      <c r="G50" s="89"/>
      <c r="H50" s="89">
        <f>'Historical Financials'!H53</f>
        <v>443.83100000000002</v>
      </c>
      <c r="I50" s="89">
        <f>'Historical Financials'!I53</f>
        <v>443.83100000000002</v>
      </c>
      <c r="J50" s="89">
        <f>'Historical Financials'!J53</f>
        <v>443.83100000000002</v>
      </c>
      <c r="K50" s="89">
        <f>'Historical Financials'!K53</f>
        <v>444</v>
      </c>
      <c r="L50" s="89">
        <f>'Historical Financials'!L53</f>
        <v>916.76300000000003</v>
      </c>
      <c r="M50" s="89">
        <f>'Historical Financials'!M53</f>
        <v>916.76300000000003</v>
      </c>
      <c r="N50" s="89">
        <f>'Historical Financials'!N53</f>
        <v>916.76300000000003</v>
      </c>
      <c r="O50" s="89">
        <f>'Historical Financials'!O53</f>
        <v>917</v>
      </c>
      <c r="P50" s="89">
        <f>'Historical Financials'!P53</f>
        <v>917</v>
      </c>
      <c r="Q50" s="89">
        <f>'Historical Financials'!Q53</f>
        <v>917</v>
      </c>
      <c r="R50" s="89">
        <f>'Historical Financials'!R53</f>
        <v>917</v>
      </c>
      <c r="S50" s="89">
        <f>'Historical Financials'!S53</f>
        <v>842</v>
      </c>
      <c r="T50" s="10"/>
      <c r="U50" s="10">
        <f t="shared" si="75"/>
        <v>444</v>
      </c>
      <c r="V50" s="10">
        <f t="shared" si="76"/>
        <v>916.76300000000003</v>
      </c>
      <c r="W50" s="10">
        <f t="shared" si="77"/>
        <v>916.76300000000003</v>
      </c>
      <c r="X50" s="10">
        <f t="shared" si="78"/>
        <v>916.76300000000003</v>
      </c>
      <c r="Y50" s="10">
        <f t="shared" si="79"/>
        <v>917</v>
      </c>
      <c r="Z50" s="10">
        <f t="shared" si="80"/>
        <v>917</v>
      </c>
      <c r="AA50" s="10">
        <f t="shared" si="81"/>
        <v>917</v>
      </c>
      <c r="AB50" s="10">
        <f t="shared" si="82"/>
        <v>917</v>
      </c>
      <c r="AC50" s="10">
        <f t="shared" si="83"/>
        <v>842</v>
      </c>
    </row>
    <row r="51" spans="1:29" ht="12.75" customHeight="1">
      <c r="B51" s="8" t="s">
        <v>17</v>
      </c>
      <c r="C51" s="89">
        <f>'Historical Financials'!C54</f>
        <v>10798.386</v>
      </c>
      <c r="D51" s="89">
        <f>'Historical Financials'!D54</f>
        <v>10214</v>
      </c>
      <c r="E51" s="89">
        <f>'Historical Financials'!E54</f>
        <v>12534</v>
      </c>
      <c r="F51" s="89">
        <f>'Historical Financials'!F54</f>
        <v>15304</v>
      </c>
      <c r="G51" s="89"/>
      <c r="H51" s="89">
        <f>'Historical Financials'!H54</f>
        <v>10528.662</v>
      </c>
      <c r="I51" s="89">
        <f>'Historical Financials'!I54</f>
        <v>8071.107</v>
      </c>
      <c r="J51" s="89">
        <f>'Historical Financials'!J54</f>
        <v>9484.5439999999999</v>
      </c>
      <c r="K51" s="89">
        <f>'Historical Financials'!K54</f>
        <v>10214</v>
      </c>
      <c r="L51" s="89">
        <f>'Historical Financials'!L54</f>
        <v>13247.846000000001</v>
      </c>
      <c r="M51" s="89">
        <f>'Historical Financials'!M54</f>
        <v>14021.343000000001</v>
      </c>
      <c r="N51" s="89">
        <f>'Historical Financials'!N54</f>
        <v>11055.267000000002</v>
      </c>
      <c r="O51" s="89">
        <f>'Historical Financials'!O54</f>
        <v>12534</v>
      </c>
      <c r="P51" s="89">
        <f>'Historical Financials'!P54</f>
        <v>12495</v>
      </c>
      <c r="Q51" s="89">
        <f>'Historical Financials'!Q54</f>
        <v>9558</v>
      </c>
      <c r="R51" s="89">
        <f>'Historical Financials'!R54</f>
        <v>11754</v>
      </c>
      <c r="S51" s="89">
        <f>'Historical Financials'!S54</f>
        <v>15304</v>
      </c>
      <c r="T51" s="10"/>
      <c r="U51" s="10">
        <f t="shared" si="75"/>
        <v>10214</v>
      </c>
      <c r="V51" s="10">
        <f t="shared" si="76"/>
        <v>13247.846000000001</v>
      </c>
      <c r="W51" s="10">
        <f t="shared" si="77"/>
        <v>14021.343000000001</v>
      </c>
      <c r="X51" s="10">
        <f t="shared" si="78"/>
        <v>11055.267000000002</v>
      </c>
      <c r="Y51" s="10">
        <f t="shared" si="79"/>
        <v>12534</v>
      </c>
      <c r="Z51" s="10">
        <f t="shared" si="80"/>
        <v>12495</v>
      </c>
      <c r="AA51" s="10">
        <f t="shared" si="81"/>
        <v>9558</v>
      </c>
      <c r="AB51" s="10">
        <f t="shared" si="82"/>
        <v>11754</v>
      </c>
      <c r="AC51" s="10">
        <f t="shared" si="83"/>
        <v>15304</v>
      </c>
    </row>
    <row r="52" spans="1:29" ht="5.0999999999999996" customHeight="1">
      <c r="F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29">
      <c r="B53" s="35" t="s">
        <v>92</v>
      </c>
      <c r="F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29">
      <c r="B54" s="8" t="s">
        <v>93</v>
      </c>
      <c r="C54" s="167">
        <v>0</v>
      </c>
      <c r="D54" s="167">
        <v>0</v>
      </c>
      <c r="E54" s="167">
        <v>0</v>
      </c>
      <c r="F54" s="167">
        <v>0</v>
      </c>
      <c r="H54" s="167">
        <v>0</v>
      </c>
      <c r="I54" s="167">
        <v>0</v>
      </c>
      <c r="J54" s="167">
        <v>0</v>
      </c>
      <c r="K54" s="167">
        <v>0</v>
      </c>
      <c r="L54" s="167">
        <v>0</v>
      </c>
      <c r="M54" s="167">
        <v>0</v>
      </c>
      <c r="N54" s="167">
        <v>0</v>
      </c>
      <c r="O54" s="167">
        <v>0</v>
      </c>
      <c r="P54" s="167">
        <v>0</v>
      </c>
      <c r="Q54" s="167">
        <v>0</v>
      </c>
      <c r="R54" s="167">
        <v>0</v>
      </c>
      <c r="S54" s="167">
        <v>0</v>
      </c>
      <c r="U54" s="10">
        <f t="shared" ref="U54:U55" si="84">K54</f>
        <v>0</v>
      </c>
      <c r="V54" s="10">
        <f t="shared" ref="V54:V55" si="85">L54</f>
        <v>0</v>
      </c>
      <c r="W54" s="10">
        <f t="shared" ref="W54:W55" si="86">M54</f>
        <v>0</v>
      </c>
      <c r="X54" s="10">
        <f t="shared" ref="X54:X55" si="87">N54</f>
        <v>0</v>
      </c>
      <c r="Y54" s="10">
        <f t="shared" ref="Y54:Y55" si="88">O54</f>
        <v>0</v>
      </c>
      <c r="Z54" s="10">
        <f t="shared" ref="Z54:Z55" si="89">P54</f>
        <v>0</v>
      </c>
      <c r="AA54" s="10">
        <f t="shared" ref="AA54:AA55" si="90">Q54</f>
        <v>0</v>
      </c>
      <c r="AB54" s="10">
        <f t="shared" ref="AB54:AB55" si="91">R54</f>
        <v>0</v>
      </c>
      <c r="AC54" s="10">
        <f t="shared" ref="AC54:AC55" si="92">S54</f>
        <v>0</v>
      </c>
    </row>
    <row r="55" spans="1:29">
      <c r="B55" s="8" t="s">
        <v>94</v>
      </c>
      <c r="C55" s="167">
        <v>0</v>
      </c>
      <c r="D55" s="167">
        <v>0</v>
      </c>
      <c r="E55" s="167">
        <v>0</v>
      </c>
      <c r="F55" s="167">
        <v>0</v>
      </c>
      <c r="H55" s="167">
        <v>0</v>
      </c>
      <c r="I55" s="167">
        <v>0</v>
      </c>
      <c r="J55" s="167">
        <v>0</v>
      </c>
      <c r="K55" s="167">
        <v>0</v>
      </c>
      <c r="L55" s="167">
        <v>0</v>
      </c>
      <c r="M55" s="167">
        <v>0</v>
      </c>
      <c r="N55" s="167">
        <v>0</v>
      </c>
      <c r="O55" s="167">
        <v>0</v>
      </c>
      <c r="P55" s="167">
        <v>0</v>
      </c>
      <c r="Q55" s="167">
        <v>0</v>
      </c>
      <c r="R55" s="167">
        <v>0</v>
      </c>
      <c r="S55" s="167">
        <v>0</v>
      </c>
      <c r="U55" s="10">
        <f t="shared" si="84"/>
        <v>0</v>
      </c>
      <c r="V55" s="10">
        <f t="shared" si="85"/>
        <v>0</v>
      </c>
      <c r="W55" s="10">
        <f t="shared" si="86"/>
        <v>0</v>
      </c>
      <c r="X55" s="10">
        <f t="shared" si="87"/>
        <v>0</v>
      </c>
      <c r="Y55" s="10">
        <f t="shared" si="88"/>
        <v>0</v>
      </c>
      <c r="Z55" s="10">
        <f t="shared" si="89"/>
        <v>0</v>
      </c>
      <c r="AA55" s="10">
        <f t="shared" si="90"/>
        <v>0</v>
      </c>
      <c r="AB55" s="10">
        <f t="shared" si="91"/>
        <v>0</v>
      </c>
      <c r="AC55" s="10">
        <f t="shared" si="92"/>
        <v>0</v>
      </c>
    </row>
    <row r="56" spans="1:29">
      <c r="F56" s="10"/>
    </row>
    <row r="57" spans="1:29" ht="12.75" customHeight="1">
      <c r="B57" s="31" t="s">
        <v>147</v>
      </c>
      <c r="C57" s="167">
        <v>0</v>
      </c>
      <c r="D57" s="167">
        <v>0</v>
      </c>
      <c r="E57" s="167">
        <v>0</v>
      </c>
      <c r="F57" s="167">
        <v>0</v>
      </c>
      <c r="H57" s="167">
        <v>0</v>
      </c>
      <c r="I57" s="167">
        <v>0</v>
      </c>
      <c r="J57" s="167">
        <v>0</v>
      </c>
      <c r="K57" s="167">
        <v>0</v>
      </c>
      <c r="L57" s="167">
        <v>0</v>
      </c>
      <c r="M57" s="167">
        <v>0</v>
      </c>
      <c r="N57" s="167">
        <v>0</v>
      </c>
      <c r="O57" s="167">
        <v>0</v>
      </c>
      <c r="P57" s="167">
        <v>0</v>
      </c>
      <c r="Q57" s="167">
        <v>0</v>
      </c>
      <c r="R57" s="167">
        <v>0</v>
      </c>
      <c r="S57" s="167">
        <v>0</v>
      </c>
      <c r="U57" s="10">
        <f t="shared" ref="U57" si="93">K57</f>
        <v>0</v>
      </c>
      <c r="V57" s="10">
        <f t="shared" ref="V57" si="94">L57</f>
        <v>0</v>
      </c>
      <c r="W57" s="10">
        <f t="shared" ref="W57" si="95">M57</f>
        <v>0</v>
      </c>
      <c r="X57" s="10">
        <f t="shared" ref="X57" si="96">N57</f>
        <v>0</v>
      </c>
      <c r="Y57" s="10">
        <f t="shared" ref="Y57" si="97">O57</f>
        <v>0</v>
      </c>
      <c r="Z57" s="10">
        <f t="shared" ref="Z57" si="98">P57</f>
        <v>0</v>
      </c>
      <c r="AA57" s="10">
        <f t="shared" ref="AA57" si="99">Q57</f>
        <v>0</v>
      </c>
      <c r="AB57" s="10">
        <f t="shared" ref="AB57" si="100">R57</f>
        <v>0</v>
      </c>
      <c r="AC57" s="10">
        <f t="shared" ref="AC57" si="101">S57</f>
        <v>0</v>
      </c>
    </row>
    <row r="58" spans="1:29" ht="12.75" customHeight="1">
      <c r="B58" s="13" t="s">
        <v>22</v>
      </c>
      <c r="C58" s="14">
        <f>SUM(C57:C57)</f>
        <v>0</v>
      </c>
      <c r="D58" s="14">
        <f>SUM(D57:D57)</f>
        <v>0</v>
      </c>
      <c r="E58" s="14">
        <f>SUM(E57:E57)</f>
        <v>0</v>
      </c>
      <c r="F58" s="14">
        <f>SUM(F57:F57)</f>
        <v>0</v>
      </c>
      <c r="H58" s="14">
        <f>SUM(H57:H57)</f>
        <v>0</v>
      </c>
      <c r="I58" s="14">
        <f>SUM(I57:I57)</f>
        <v>0</v>
      </c>
      <c r="J58" s="14">
        <f>SUM(J57:J57)</f>
        <v>0</v>
      </c>
      <c r="K58" s="14">
        <f>SUM(K57:K57)</f>
        <v>0</v>
      </c>
      <c r="L58" s="14">
        <f>SUM(L57:L57)</f>
        <v>0</v>
      </c>
      <c r="M58" s="14">
        <f>SUM(M57:M57)</f>
        <v>0</v>
      </c>
      <c r="N58" s="14">
        <f>SUM(N57:N57)</f>
        <v>0</v>
      </c>
      <c r="O58" s="14">
        <f>SUM(O57:O57)</f>
        <v>0</v>
      </c>
      <c r="P58" s="14">
        <f>SUM(P57:P57)</f>
        <v>0</v>
      </c>
      <c r="Q58" s="14">
        <f>SUM(Q57:Q57)</f>
        <v>0</v>
      </c>
      <c r="R58" s="14">
        <f>SUM(R57:R57)</f>
        <v>0</v>
      </c>
      <c r="S58" s="14">
        <f>SUM(S57:S57)</f>
        <v>0</v>
      </c>
      <c r="U58" s="14">
        <f>SUM(U57:U57)</f>
        <v>0</v>
      </c>
      <c r="V58" s="14">
        <f>SUM(V57:V57)</f>
        <v>0</v>
      </c>
      <c r="W58" s="14">
        <f>SUM(W57:W57)</f>
        <v>0</v>
      </c>
      <c r="X58" s="14">
        <f>SUM(X57:X57)</f>
        <v>0</v>
      </c>
      <c r="Y58" s="14">
        <f>SUM(Y57:Y57)</f>
        <v>0</v>
      </c>
      <c r="Z58" s="14">
        <f>SUM(Z57:Z57)</f>
        <v>0</v>
      </c>
      <c r="AA58" s="14">
        <f>SUM(AA57:AA57)</f>
        <v>0</v>
      </c>
      <c r="AB58" s="14">
        <f>SUM(AB57:AB57)</f>
        <v>0</v>
      </c>
      <c r="AC58" s="14">
        <f>SUM(AC57:AC57)</f>
        <v>0</v>
      </c>
    </row>
    <row r="59" spans="1:29" ht="5.0999999999999996" customHeight="1"/>
    <row r="60" spans="1:29" ht="12.75" customHeight="1">
      <c r="B60" s="8" t="s">
        <v>43</v>
      </c>
      <c r="C60" s="89">
        <f>'Historical Financials'!C61</f>
        <v>150818.10399999999</v>
      </c>
      <c r="D60" s="89">
        <f>'Historical Financials'!D61</f>
        <v>142491</v>
      </c>
      <c r="E60" s="89">
        <f>'Historical Financials'!E61</f>
        <v>141852</v>
      </c>
      <c r="F60" s="89">
        <f>'Historical Financials'!F61</f>
        <v>120263</v>
      </c>
      <c r="H60" s="89">
        <f>'Historical Financials'!H61</f>
        <v>146367.70600000003</v>
      </c>
      <c r="I60" s="89">
        <f>'Historical Financials'!I61</f>
        <v>152205.041</v>
      </c>
      <c r="J60" s="89">
        <f>'Historical Financials'!J61</f>
        <v>150736.6</v>
      </c>
      <c r="K60" s="89">
        <f>'Historical Financials'!K61</f>
        <v>142491</v>
      </c>
      <c r="L60" s="89">
        <f>'Historical Financials'!L61</f>
        <v>135124.076</v>
      </c>
      <c r="M60" s="89">
        <f>'Historical Financials'!M61</f>
        <v>145165.05399999995</v>
      </c>
      <c r="N60" s="89">
        <f>'Historical Financials'!N61</f>
        <v>146754.59600000002</v>
      </c>
      <c r="O60" s="89">
        <f>'Historical Financials'!O61</f>
        <v>141852</v>
      </c>
      <c r="P60" s="89">
        <f>'Historical Financials'!P61</f>
        <v>135575</v>
      </c>
      <c r="Q60" s="89">
        <f>'Historical Financials'!Q61</f>
        <v>134958</v>
      </c>
      <c r="R60" s="89">
        <f>'Historical Financials'!R61</f>
        <v>129781</v>
      </c>
      <c r="S60" s="89">
        <f>'Historical Financials'!S61</f>
        <v>120263</v>
      </c>
      <c r="U60" s="10">
        <f t="shared" ref="U60" si="102">K60</f>
        <v>142491</v>
      </c>
      <c r="V60" s="10">
        <f t="shared" ref="V60" si="103">L60</f>
        <v>135124.076</v>
      </c>
      <c r="W60" s="10">
        <f t="shared" ref="W60" si="104">M60</f>
        <v>145165.05399999995</v>
      </c>
      <c r="X60" s="10">
        <f t="shared" ref="X60" si="105">N60</f>
        <v>146754.59600000002</v>
      </c>
      <c r="Y60" s="10">
        <f t="shared" ref="Y60" si="106">O60</f>
        <v>141852</v>
      </c>
      <c r="Z60" s="10">
        <f t="shared" ref="Z60" si="107">P60</f>
        <v>135575</v>
      </c>
      <c r="AA60" s="10">
        <f t="shared" ref="AA60" si="108">Q60</f>
        <v>134958</v>
      </c>
      <c r="AB60" s="10">
        <f t="shared" ref="AB60" si="109">R60</f>
        <v>129781</v>
      </c>
      <c r="AC60" s="10">
        <f t="shared" ref="AC60" si="110">S60</f>
        <v>120263</v>
      </c>
    </row>
    <row r="61" spans="1:29" ht="12.75" customHeight="1">
      <c r="B61" s="13" t="s">
        <v>44</v>
      </c>
      <c r="C61" s="14">
        <f>SUM(C58:C60)</f>
        <v>150818.10399999999</v>
      </c>
      <c r="D61" s="14">
        <f>SUM(D58:D60)</f>
        <v>142491</v>
      </c>
      <c r="E61" s="14">
        <f>SUM(E58:E60)</f>
        <v>141852</v>
      </c>
      <c r="F61" s="14">
        <f>SUM(F58:F60)</f>
        <v>120263</v>
      </c>
      <c r="H61" s="14">
        <f t="shared" ref="H61:K61" si="111">SUM(H58:H60)</f>
        <v>146367.70600000003</v>
      </c>
      <c r="I61" s="14">
        <f t="shared" si="111"/>
        <v>152205.041</v>
      </c>
      <c r="J61" s="14">
        <f t="shared" si="111"/>
        <v>150736.6</v>
      </c>
      <c r="K61" s="14">
        <f t="shared" si="111"/>
        <v>142491</v>
      </c>
      <c r="L61" s="14">
        <f t="shared" ref="L61:Q61" si="112">SUM(L58:L60)</f>
        <v>135124.076</v>
      </c>
      <c r="M61" s="14">
        <f t="shared" si="112"/>
        <v>145165.05399999995</v>
      </c>
      <c r="N61" s="14">
        <f t="shared" si="112"/>
        <v>146754.59600000002</v>
      </c>
      <c r="O61" s="14">
        <f t="shared" si="112"/>
        <v>141852</v>
      </c>
      <c r="P61" s="14">
        <f t="shared" si="112"/>
        <v>135575</v>
      </c>
      <c r="Q61" s="14">
        <f t="shared" si="112"/>
        <v>134958</v>
      </c>
      <c r="R61" s="14">
        <f>SUM(R58:R60)</f>
        <v>129781</v>
      </c>
      <c r="S61" s="14">
        <f>SUM(S58:S60)</f>
        <v>120263</v>
      </c>
      <c r="U61" s="14">
        <f t="shared" ref="U61:AA61" si="113">SUM(U58:U60)</f>
        <v>142491</v>
      </c>
      <c r="V61" s="14">
        <f t="shared" si="113"/>
        <v>135124.076</v>
      </c>
      <c r="W61" s="14">
        <f t="shared" si="113"/>
        <v>145165.05399999995</v>
      </c>
      <c r="X61" s="14">
        <f t="shared" si="113"/>
        <v>146754.59600000002</v>
      </c>
      <c r="Y61" s="14">
        <f t="shared" si="113"/>
        <v>141852</v>
      </c>
      <c r="Z61" s="14">
        <f t="shared" si="113"/>
        <v>135575</v>
      </c>
      <c r="AA61" s="14">
        <f t="shared" si="113"/>
        <v>134958</v>
      </c>
      <c r="AB61" s="14">
        <f>SUM(AB58:AB60)</f>
        <v>129781</v>
      </c>
      <c r="AC61" s="14">
        <f>SUM(AC58:AC60)</f>
        <v>120263</v>
      </c>
    </row>
    <row r="62" spans="1:29" ht="5.0999999999999996" customHeight="1"/>
    <row r="63" spans="1:29" ht="12.75" customHeight="1">
      <c r="A63" s="5"/>
      <c r="B63" s="33" t="s">
        <v>64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5.0999999999999996" customHeight="1"/>
    <row r="65" spans="2:29" ht="12.75" customHeight="1">
      <c r="B65" s="31" t="s">
        <v>83</v>
      </c>
      <c r="C65" s="77">
        <f>C58/C25</f>
        <v>0</v>
      </c>
      <c r="D65" s="77">
        <f>D58/D25</f>
        <v>0</v>
      </c>
      <c r="E65" s="77">
        <f>E58/E25</f>
        <v>0</v>
      </c>
      <c r="F65" s="77">
        <f>F58/F25</f>
        <v>0</v>
      </c>
      <c r="H65" s="77">
        <f>SUM(H58/SUM(H25:H25))</f>
        <v>0</v>
      </c>
      <c r="I65" s="77">
        <f>SUM(I58/SUM(I25:I25))</f>
        <v>0</v>
      </c>
      <c r="J65" s="77">
        <f>SUM(J58/SUM(J25:J25))</f>
        <v>0</v>
      </c>
      <c r="K65" s="77">
        <f>SUM(K58/SUM(K25:K25))</f>
        <v>0</v>
      </c>
      <c r="L65" s="77">
        <f>SUM(L58/SUM(L25:L25))</f>
        <v>0</v>
      </c>
      <c r="M65" s="77">
        <f>SUM(M58/SUM(L25:M25))</f>
        <v>0</v>
      </c>
      <c r="N65" s="77">
        <f>SUM(N58/SUM(L25:N25))</f>
        <v>0</v>
      </c>
      <c r="O65" s="77">
        <f>SUM(O58/SUM(L25:O25))</f>
        <v>0</v>
      </c>
      <c r="P65" s="77">
        <f>SUM(P58/SUM(M25:P25))</f>
        <v>0</v>
      </c>
      <c r="Q65" s="77">
        <f>SUM(Q58/SUM(N25:Q25))</f>
        <v>0</v>
      </c>
      <c r="R65" s="77">
        <f>SUM(R58/SUM(O25:R25))</f>
        <v>0</v>
      </c>
      <c r="S65" s="77">
        <f>SUM(S58/SUM(P25:S25))</f>
        <v>0</v>
      </c>
      <c r="T65" s="77"/>
      <c r="U65" s="77">
        <f>U58/U25</f>
        <v>0</v>
      </c>
      <c r="V65" s="77">
        <f>V58/V25</f>
        <v>0</v>
      </c>
      <c r="W65" s="77">
        <f>W58/W25</f>
        <v>0</v>
      </c>
      <c r="X65" s="77">
        <f>X58/X25</f>
        <v>0</v>
      </c>
      <c r="Y65" s="77">
        <f>Y58/Y25</f>
        <v>0</v>
      </c>
      <c r="Z65" s="77">
        <f>Z58/Z25</f>
        <v>0</v>
      </c>
      <c r="AA65" s="77">
        <f>AA58/AA25</f>
        <v>0</v>
      </c>
      <c r="AB65" s="77">
        <f>AB58/AB25</f>
        <v>0</v>
      </c>
      <c r="AC65" s="77">
        <f>AC58/AC25</f>
        <v>0</v>
      </c>
    </row>
    <row r="66" spans="2:29" ht="12.75" customHeight="1">
      <c r="B66" s="31" t="s">
        <v>84</v>
      </c>
      <c r="C66" s="77">
        <f>SUM(C58-C43)/C25</f>
        <v>4.5040936010186252</v>
      </c>
      <c r="D66" s="77">
        <f>SUM(D58-D43)/D25</f>
        <v>4.5744165363265559</v>
      </c>
      <c r="E66" s="77">
        <f>SUM(E58-E43)/E25</f>
        <v>3.834458944802722</v>
      </c>
      <c r="F66" s="77">
        <f>SUM(F58-F43)/F25</f>
        <v>3.0430488731324385</v>
      </c>
      <c r="H66" s="77">
        <f>SUM(H58-H43)/SUM(H25:H25)</f>
        <v>19.341487409686899</v>
      </c>
      <c r="I66" s="77">
        <f>SUM(I58-I43)/SUM(I25:I25)</f>
        <v>21.657672117292403</v>
      </c>
      <c r="J66" s="77">
        <f>SUM(J58-J43)/SUM(J25:J25)</f>
        <v>18.087064317731087</v>
      </c>
      <c r="K66" s="77">
        <f>SUM(K58-K43)/SUM(K25:K25)</f>
        <v>16.139170072409755</v>
      </c>
      <c r="L66" s="77">
        <f>SUM(L58-L43)/SUM(L25:L25)</f>
        <v>14.308603372949316</v>
      </c>
      <c r="M66" s="77">
        <f>SUM(M58-M43)/SUM(L25:M25)</f>
        <v>7.5761678375312034</v>
      </c>
      <c r="N66" s="77">
        <f>SUM(N58-N43)/SUM(L25:N25)</f>
        <v>5.1742912491513327</v>
      </c>
      <c r="O66" s="77">
        <f>SUM(O58-O43)/SUM(L25:O25)</f>
        <v>3.834458944802722</v>
      </c>
      <c r="P66" s="77">
        <f>SUM(P58-P43)/SUM(M25:P25)</f>
        <v>3.7482186738384402</v>
      </c>
      <c r="Q66" s="77">
        <f>SUM(Q58-Q43)/SUM(N25:Q25)</f>
        <v>3.6677188691618539</v>
      </c>
      <c r="R66" s="77">
        <f>SUM(R58-R43)/SUM(O25:R25)</f>
        <v>3.4191899361537321</v>
      </c>
      <c r="S66" s="77">
        <f>SUM(S58-S43)/SUM(P25:S25)</f>
        <v>3.0430488731324385</v>
      </c>
      <c r="T66" s="77"/>
      <c r="U66" s="77">
        <f>SUM(U58-U43)/U25</f>
        <v>4.5744165363265559</v>
      </c>
      <c r="V66" s="77">
        <f>SUM(V58-V43)/V25</f>
        <v>4.1235302109444811</v>
      </c>
      <c r="W66" s="77">
        <f>SUM(W58-W43)/W25</f>
        <v>4.0419404595398287</v>
      </c>
      <c r="X66" s="77">
        <f>SUM(X58-X43)/X25</f>
        <v>3.953204760325868</v>
      </c>
      <c r="Y66" s="77">
        <f>SUM(Y58-Y43)/Y25</f>
        <v>3.834458944802722</v>
      </c>
      <c r="Z66" s="77">
        <f>SUM(Z58-Z43)/Z25</f>
        <v>3.7482186738384402</v>
      </c>
      <c r="AA66" s="77">
        <f>SUM(AA58-AA43)/AA25</f>
        <v>3.6677188691618539</v>
      </c>
      <c r="AB66" s="77">
        <f>SUM(AB58-AB43)/AB25</f>
        <v>3.4191899361537321</v>
      </c>
      <c r="AC66" s="77">
        <f>SUM(AC58-AC43)/AC25</f>
        <v>3.0430488731324385</v>
      </c>
    </row>
    <row r="67" spans="2:29" ht="12.75" customHeight="1">
      <c r="B67" s="31" t="s">
        <v>85</v>
      </c>
      <c r="C67" s="77" t="e">
        <f>C25/-C30</f>
        <v>#DIV/0!</v>
      </c>
      <c r="D67" s="77" t="e">
        <f>D25/-D30</f>
        <v>#DIV/0!</v>
      </c>
      <c r="E67" s="77" t="e">
        <f>E25/-E30</f>
        <v>#DIV/0!</v>
      </c>
      <c r="F67" s="77" t="e">
        <f>F25/-F30</f>
        <v>#DIV/0!</v>
      </c>
      <c r="H67" s="77" t="e" cm="1">
        <f t="array" ref="H67">SUM(H25:H25)/SUM(-H30:H30)</f>
        <v>#DIV/0!</v>
      </c>
      <c r="I67" s="77" t="e" cm="1">
        <f t="array" ref="I67">SUM(I25:I25)/SUM(-I30:I30)</f>
        <v>#DIV/0!</v>
      </c>
      <c r="J67" s="77" t="e" cm="1">
        <f t="array" ref="J67">SUM(J25:J25)/SUM(-J30:J30)</f>
        <v>#DIV/0!</v>
      </c>
      <c r="K67" s="77" t="e" cm="1">
        <f t="array" ref="K67">SUM(K25:K25)/SUM(-K30:K30)</f>
        <v>#DIV/0!</v>
      </c>
      <c r="L67" s="77" t="e" cm="1">
        <f t="array" ref="L67">SUM(L25:L25)/SUM(-L30:L30)</f>
        <v>#DIV/0!</v>
      </c>
      <c r="M67" s="77" t="e" cm="1">
        <f t="array" ref="M67">SUM(L25:M25)/SUM(-L30:M30)</f>
        <v>#DIV/0!</v>
      </c>
      <c r="N67" s="77" t="e" cm="1">
        <f t="array" ref="N67">SUM(L25:N25)/SUM(-L30:N30)</f>
        <v>#DIV/0!</v>
      </c>
      <c r="O67" s="77" t="e" cm="1">
        <f t="array" ref="O67">SUM(L25:O25)/SUM(-L30:O30)</f>
        <v>#DIV/0!</v>
      </c>
      <c r="P67" s="77" t="e" cm="1">
        <f t="array" ref="P67">SUM(M25:P25)/SUM(-M30:P30)</f>
        <v>#DIV/0!</v>
      </c>
      <c r="Q67" s="77" t="e" cm="1">
        <f t="array" ref="Q67">SUM(N25:Q25)/SUM(-N30:Q30)</f>
        <v>#DIV/0!</v>
      </c>
      <c r="R67" s="77" t="e" cm="1">
        <f t="array" ref="R67">SUM(O25:R25)/SUM(-O30:R30)</f>
        <v>#DIV/0!</v>
      </c>
      <c r="S67" s="77" t="e" cm="1">
        <f t="array" ref="S67">SUM(P25:S25)/SUM(-P30:S30)</f>
        <v>#DIV/0!</v>
      </c>
      <c r="T67" s="77"/>
      <c r="U67" s="77" t="e">
        <f>U25/-U30</f>
        <v>#DIV/0!</v>
      </c>
      <c r="V67" s="77" t="e">
        <f>V25/-V30</f>
        <v>#DIV/0!</v>
      </c>
      <c r="W67" s="77" t="e">
        <f>W25/-W30</f>
        <v>#DIV/0!</v>
      </c>
      <c r="X67" s="77" t="e">
        <f>X25/-X30</f>
        <v>#DIV/0!</v>
      </c>
      <c r="Y67" s="77" t="e">
        <f>Y25/-Y30</f>
        <v>#DIV/0!</v>
      </c>
      <c r="Z67" s="77" t="e">
        <f>Z25/-Z30</f>
        <v>#DIV/0!</v>
      </c>
      <c r="AA67" s="77" t="e">
        <f>AA25/-AA30</f>
        <v>#DIV/0!</v>
      </c>
      <c r="AB67" s="77" t="e">
        <f>AB25/-AB30</f>
        <v>#DIV/0!</v>
      </c>
      <c r="AC67" s="77" t="e">
        <f>AC25/-AC30</f>
        <v>#DIV/0!</v>
      </c>
    </row>
    <row r="68" spans="2:29" ht="12.75" customHeight="1">
      <c r="B68" s="31" t="s">
        <v>86</v>
      </c>
      <c r="C68" s="77" cm="1">
        <f t="array" ref="C68">SUM(C25+C28)/SUM(-C29:C30)</f>
        <v>-126.01119402985074</v>
      </c>
      <c r="D68" s="77" cm="1">
        <f t="array" ref="D68">SUM(D25+D28)/SUM(-D29:D30)</f>
        <v>-91.081005586592184</v>
      </c>
      <c r="E68" s="77" cm="1">
        <f t="array" ref="E68">SUM(E25+E28)/SUM(-E29:E30)</f>
        <v>-5626.5714285714284</v>
      </c>
      <c r="F68" s="77" t="e" cm="1">
        <f t="array" ref="F68">SUM(F25+F28)/SUM(-F29:F30)</f>
        <v>#DIV/0!</v>
      </c>
      <c r="H68" s="77" cm="1">
        <f t="array" ref="H68">SUM(H25:H25+H28:H28)/SUM(-H29:H30)</f>
        <v>-260.66107404936622</v>
      </c>
      <c r="I68" s="77" cm="1">
        <f t="array" ref="I68">SUM(I25:I25+I28:I28)/SUM(-I29:I30)</f>
        <v>-237.59355704697987</v>
      </c>
      <c r="J68" s="77" cm="1">
        <f t="array" ref="J68">SUM(J25:J25+J28:J28)/SUM(-J29:J30)</f>
        <v>-95.792922495787209</v>
      </c>
      <c r="K68" s="77" cm="1">
        <f t="array" ref="K68">SUM(K25:K25+K28:K28)/SUM(-K29:K30)</f>
        <v>-44.05162560355388</v>
      </c>
      <c r="L68" s="77" cm="1">
        <f t="array" ref="L68">SUM(L25:L25+L28:L28)/SUM(-L29:L30)</f>
        <v>500.72069240746288</v>
      </c>
      <c r="M68" s="77" cm="1">
        <f t="array" ref="M68">SUM(L25:M25+L28:M28)/SUM(-L29:M30)</f>
        <v>-676.25499098617888</v>
      </c>
      <c r="N68" s="77" cm="1">
        <f t="array" ref="N68">SUM(L25:N25+L28:N28)/SUM(-L29:N30)</f>
        <v>-421.68810778814441</v>
      </c>
      <c r="O68" s="77" cm="1">
        <f t="array" ref="O68">SUM(L25:O25+L28:O28)/SUM(-L29:O30)</f>
        <v>-5626.5714285714284</v>
      </c>
      <c r="P68" s="77" cm="1">
        <f t="array" ref="P68">SUM(M25:P25+M28:P28)/SUM(-M29:P30)</f>
        <v>-342.319699052175</v>
      </c>
      <c r="Q68" s="77" cm="1">
        <f t="array" ref="Q68">SUM(N25:Q25+N28:Q28)/SUM(-N29:Q30)</f>
        <v>-227.50295128288016</v>
      </c>
      <c r="R68" s="77" cm="1">
        <f t="array" ref="R68">SUM(O25:R25+O28:R28)/SUM(-O29:R30)</f>
        <v>-687.2868949632491</v>
      </c>
      <c r="S68" s="77" t="e" cm="1">
        <f t="array" ref="S68">SUM(P25:S25+P28:S28)/SUM(-P29:S30)</f>
        <v>#DIV/0!</v>
      </c>
      <c r="T68" s="77"/>
      <c r="U68" s="77" cm="1">
        <f t="array" ref="U68">SUM(U25+U28)/SUM(-U29:U30)</f>
        <v>-91.081005586592184</v>
      </c>
      <c r="V68" s="77" cm="1">
        <f t="array" ref="V68">SUM(V25+V28)/SUM(-V29:V30)</f>
        <v>-113.0934039886484</v>
      </c>
      <c r="W68" s="77" cm="1">
        <f t="array" ref="W68">SUM(W25+W28)/SUM(-W29:W30)</f>
        <v>-115.6966578705199</v>
      </c>
      <c r="X68" s="77" cm="1">
        <f t="array" ref="X68">SUM(X25+X28)/SUM(-X29:X30)</f>
        <v>-139.49074453345111</v>
      </c>
      <c r="Y68" s="77" cm="1">
        <f t="array" ref="Y68">SUM(Y25+Y28)/SUM(-Y29:Y30)</f>
        <v>-5626.5714285714284</v>
      </c>
      <c r="Z68" s="77" cm="1">
        <f t="array" ref="Z68">SUM(Z25+Z28)/SUM(-Z29:Z30)</f>
        <v>-342.319699052175</v>
      </c>
      <c r="AA68" s="77" cm="1">
        <f t="array" ref="AA68">SUM(AA25+AA28)/SUM(-AA29:AA30)</f>
        <v>-227.50295128288016</v>
      </c>
      <c r="AB68" s="77" cm="1">
        <f t="array" ref="AB68">SUM(AB25+AB28)/SUM(-AB29:AB30)</f>
        <v>-687.2868949632491</v>
      </c>
      <c r="AC68" s="77" t="e" cm="1">
        <f t="array" ref="AC68">SUM(AC25+AC28)/SUM(-AC29:AC30)</f>
        <v>#DIV/0!</v>
      </c>
    </row>
    <row r="69" spans="2:29" ht="12.75" customHeight="1">
      <c r="B69" s="31" t="s">
        <v>87</v>
      </c>
      <c r="C69" s="77" cm="1">
        <f t="array" ref="C69">SUM(C25)/SUM(-C28:C30)</f>
        <v>-126.01119402985074</v>
      </c>
      <c r="D69" s="77" cm="1">
        <f t="array" ref="D69">SUM(D25)/SUM(-D28:D30)</f>
        <v>-91.081005586592184</v>
      </c>
      <c r="E69" s="77" cm="1">
        <f t="array" ref="E69">SUM(E25)/SUM(-E28:E30)</f>
        <v>-5626.5714285714284</v>
      </c>
      <c r="F69" s="77" t="e" cm="1">
        <f t="array" ref="F69">SUM(F25)/SUM(-F28:F30)</f>
        <v>#DIV/0!</v>
      </c>
      <c r="H69" s="77" cm="1">
        <f t="array" ref="H69">SUM(H25:H25)/SUM(-H28:H30)</f>
        <v>-260.66107404936622</v>
      </c>
      <c r="I69" s="77" cm="1">
        <f t="array" ref="I69">SUM(I25:I25)/SUM(-I28:I30)</f>
        <v>-237.59355704697987</v>
      </c>
      <c r="J69" s="77" cm="1">
        <f t="array" ref="J69">SUM(J25:J25)/SUM(-J28:J30)</f>
        <v>-95.792922495787209</v>
      </c>
      <c r="K69" s="77" cm="1">
        <f t="array" ref="K69">SUM(K25:K25)/SUM(-K28:K30)</f>
        <v>-44.05162560355388</v>
      </c>
      <c r="L69" s="77" cm="1">
        <f t="array" ref="L69">SUM(L25:L25)/SUM(-L28:L30)</f>
        <v>500.72069240746288</v>
      </c>
      <c r="M69" s="77" cm="1">
        <f t="array" ref="M69">SUM(L25:M25)/SUM(-L28:M30)</f>
        <v>-676.25499098617888</v>
      </c>
      <c r="N69" s="77" cm="1">
        <f t="array" ref="N69">SUM(L25:N25)/SUM(-L28:N30)</f>
        <v>-421.68810778814441</v>
      </c>
      <c r="O69" s="77" cm="1">
        <f t="array" ref="O69">SUM(L25:O25)/SUM(-L28:O30)</f>
        <v>-5626.5714285714284</v>
      </c>
      <c r="P69" s="77" cm="1">
        <f t="array" ref="P69">SUM(M25:P25)/SUM(-M28:P30)</f>
        <v>-342.319699052175</v>
      </c>
      <c r="Q69" s="77" cm="1">
        <f t="array" ref="Q69">SUM(N25:Q25)/SUM(-N28:Q30)</f>
        <v>-227.50295128288016</v>
      </c>
      <c r="R69" s="77" cm="1">
        <f t="array" ref="R69">SUM(O25:R25)/SUM(-O28:R30)</f>
        <v>-687.2868949632491</v>
      </c>
      <c r="S69" s="77" t="e" cm="1">
        <f t="array" ref="S69">SUM(P25:S25)/SUM(-P28:S30)</f>
        <v>#DIV/0!</v>
      </c>
      <c r="T69" s="77"/>
      <c r="U69" s="77" cm="1">
        <f t="array" ref="U69">SUM(U25)/SUM(-U28:U30)</f>
        <v>-91.081005586592184</v>
      </c>
      <c r="V69" s="77" cm="1">
        <f t="array" ref="V69">SUM(V25)/SUM(-V28:V30)</f>
        <v>-113.0934039886484</v>
      </c>
      <c r="W69" s="77" cm="1">
        <f t="array" ref="W69">SUM(W25)/SUM(-W28:W30)</f>
        <v>-115.6966578705199</v>
      </c>
      <c r="X69" s="77" cm="1">
        <f t="array" ref="X69">SUM(X25)/SUM(-X28:X30)</f>
        <v>-139.49074453345111</v>
      </c>
      <c r="Y69" s="77" cm="1">
        <f t="array" ref="Y69">SUM(Y25)/SUM(-Y28:Y30)</f>
        <v>-5626.5714285714284</v>
      </c>
      <c r="Z69" s="77" cm="1">
        <f t="array" ref="Z69">SUM(Z25)/SUM(-Z28:Z30)</f>
        <v>-342.319699052175</v>
      </c>
      <c r="AA69" s="77" cm="1">
        <f t="array" ref="AA69">SUM(AA25)/SUM(-AA28:AA30)</f>
        <v>-227.50295128288016</v>
      </c>
      <c r="AB69" s="77" cm="1">
        <f t="array" ref="AB69">SUM(AB25)/SUM(-AB28:AB30)</f>
        <v>-687.2868949632491</v>
      </c>
      <c r="AC69" s="77" t="e" cm="1">
        <f t="array" ref="AC69">SUM(AC25)/SUM(-AC28:AC30)</f>
        <v>#DIV/0!</v>
      </c>
    </row>
    <row r="70" spans="2:29" ht="12.75" customHeight="1">
      <c r="B70" s="8" t="s">
        <v>45</v>
      </c>
      <c r="C70" s="77" t="e">
        <f>C61/C58</f>
        <v>#DIV/0!</v>
      </c>
      <c r="D70" s="77" t="e">
        <f>D61/D58</f>
        <v>#DIV/0!</v>
      </c>
      <c r="E70" s="77" t="e">
        <f>E61/E58</f>
        <v>#DIV/0!</v>
      </c>
      <c r="F70" s="77" t="e">
        <f>F61/F58</f>
        <v>#DIV/0!</v>
      </c>
      <c r="H70" s="77" t="e">
        <f t="shared" ref="H70:K70" si="114">H61/H58</f>
        <v>#DIV/0!</v>
      </c>
      <c r="I70" s="77" t="e">
        <f t="shared" si="114"/>
        <v>#DIV/0!</v>
      </c>
      <c r="J70" s="77" t="e">
        <f t="shared" si="114"/>
        <v>#DIV/0!</v>
      </c>
      <c r="K70" s="77" t="e">
        <f t="shared" si="114"/>
        <v>#DIV/0!</v>
      </c>
      <c r="L70" s="77" t="e">
        <f t="shared" ref="L70:S70" si="115">L61/L58</f>
        <v>#DIV/0!</v>
      </c>
      <c r="M70" s="77" t="e">
        <f t="shared" si="115"/>
        <v>#DIV/0!</v>
      </c>
      <c r="N70" s="77" t="e">
        <f t="shared" si="115"/>
        <v>#DIV/0!</v>
      </c>
      <c r="O70" s="77" t="e">
        <f t="shared" si="115"/>
        <v>#DIV/0!</v>
      </c>
      <c r="P70" s="77" t="e">
        <f t="shared" si="115"/>
        <v>#DIV/0!</v>
      </c>
      <c r="Q70" s="77" t="e">
        <f t="shared" si="115"/>
        <v>#DIV/0!</v>
      </c>
      <c r="R70" s="77" t="e">
        <f t="shared" si="115"/>
        <v>#DIV/0!</v>
      </c>
      <c r="S70" s="77" t="e">
        <f t="shared" si="115"/>
        <v>#DIV/0!</v>
      </c>
      <c r="T70" s="77"/>
      <c r="U70" s="77" t="e">
        <f t="shared" ref="U70:AA70" si="116">U61/U58</f>
        <v>#DIV/0!</v>
      </c>
      <c r="V70" s="77" t="e">
        <f t="shared" si="116"/>
        <v>#DIV/0!</v>
      </c>
      <c r="W70" s="77" t="e">
        <f t="shared" si="116"/>
        <v>#DIV/0!</v>
      </c>
      <c r="X70" s="77" t="e">
        <f t="shared" si="116"/>
        <v>#DIV/0!</v>
      </c>
      <c r="Y70" s="77" t="e">
        <f t="shared" si="116"/>
        <v>#DIV/0!</v>
      </c>
      <c r="Z70" s="77" t="e">
        <f t="shared" si="116"/>
        <v>#DIV/0!</v>
      </c>
      <c r="AA70" s="77" t="e">
        <f t="shared" si="116"/>
        <v>#DIV/0!</v>
      </c>
      <c r="AB70" s="77" t="e">
        <f>AB61/AB58</f>
        <v>#DIV/0!</v>
      </c>
      <c r="AC70" s="77" t="e">
        <f>AC61/AC58</f>
        <v>#DIV/0!</v>
      </c>
    </row>
    <row r="71" spans="2:29" ht="5.0999999999999996" customHeight="1" thickBot="1"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</row>
  </sheetData>
  <mergeCells count="1">
    <mergeCell ref="AE2:AE4"/>
  </mergeCells>
  <pageMargins left="0.7" right="0.7" top="0.75" bottom="0.75" header="0.3" footer="0.3"/>
  <ignoredErrors>
    <ignoredError sqref="C32:G33 AD33:AE33 G28:G29 AD31 AD32 G31 M32:S33" formulaRange="1"/>
    <ignoredError sqref="C65:G70 C9:G10 C18:G19 C13:G14 G17 C22:G23 G20 C25:G26 G24 AE21:AE32 G12 AE17:AE20 G21 AE12:AE15 G15 M65:S70 D8:G8 AE7:AE10 AE6 AE11 U65:AC70 V10:AC10 V18:AC19 V13:AC14 V22:AC23 V25:AC26 Y8:AC8 V9:AC9 T65:T70 T9 T8 T25:T26 T22:T23 T13:T14 T18:T19 T10 U9 U25:U26 U22:U23 U13:U14 U18:U19 U10 N9:S9 Q8:S8 M25:S26 M22:S23 M13:S14 M18:S19 M10:S10 T15 T24 T20 H7:U7 H21:U21 U20 H25:L26 U24 H17:U17 U15 H11:U12 H10:L10 H18:L19 H13:L14 H22:L23 H9:M9 H8:P8 U8 T16:U16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571C9-5F12-40F7-947A-920F49338A5A}">
  <sheetPr>
    <tabColor theme="8" tint="-0.249977111117893"/>
  </sheetPr>
  <dimension ref="B2:AE26"/>
  <sheetViews>
    <sheetView showGridLines="0" zoomScale="115" zoomScaleNormal="115" workbookViewId="0">
      <selection activeCell="D11" sqref="D11"/>
    </sheetView>
  </sheetViews>
  <sheetFormatPr defaultRowHeight="14.25" outlineLevelCol="1"/>
  <cols>
    <col min="1" max="1" width="1.625" customWidth="1"/>
    <col min="2" max="2" width="29" bestFit="1" customWidth="1"/>
    <col min="3" max="3" width="8.625" customWidth="1" outlineLevel="1"/>
    <col min="4" max="4" width="8.625" customWidth="1"/>
    <col min="7" max="7" width="1.625" customWidth="1"/>
    <col min="8" max="14" width="9" hidden="1" customWidth="1" outlineLevel="1"/>
    <col min="15" max="15" width="9" customWidth="1" collapsed="1"/>
    <col min="16" max="17" width="9" customWidth="1"/>
    <col min="20" max="20" width="1.625" customWidth="1"/>
    <col min="21" max="24" width="9" hidden="1" customWidth="1" outlineLevel="1"/>
    <col min="25" max="25" width="9" collapsed="1"/>
    <col min="26" max="28" width="9" hidden="1" customWidth="1" outlineLevel="1"/>
    <col min="29" max="29" width="9" collapsed="1"/>
    <col min="30" max="30" width="1.625" customWidth="1"/>
  </cols>
  <sheetData>
    <row r="2" spans="2:31">
      <c r="B2" s="153" t="str">
        <f>'Historical Financials'!B2</f>
        <v>Anavex Life Sciences Corp. (NASDAQ: AVXL)</v>
      </c>
      <c r="C2" s="2" t="s">
        <v>0</v>
      </c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/>
      <c r="O2" s="2" t="s">
        <v>1</v>
      </c>
      <c r="P2" s="2"/>
      <c r="Q2" s="2"/>
      <c r="R2" s="2"/>
      <c r="S2" s="2"/>
      <c r="T2" s="3"/>
      <c r="U2" s="2"/>
      <c r="V2" s="2"/>
      <c r="W2" s="2"/>
      <c r="X2" s="2" t="s">
        <v>10</v>
      </c>
      <c r="Y2" s="2" t="s">
        <v>10</v>
      </c>
      <c r="Z2" s="2"/>
      <c r="AA2" s="2"/>
      <c r="AB2" s="2"/>
      <c r="AC2" s="2"/>
      <c r="AD2" s="3"/>
      <c r="AE2" s="142" t="s">
        <v>23</v>
      </c>
    </row>
    <row r="3" spans="2:31">
      <c r="B3" s="154" t="s">
        <v>107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1Q22</v>
      </c>
      <c r="I3" s="7" t="str">
        <f>'Historical Financials'!I7</f>
        <v>2Q22</v>
      </c>
      <c r="J3" s="7" t="str">
        <f>'Historical Financials'!J7</f>
        <v>3Q22</v>
      </c>
      <c r="K3" s="7" t="str">
        <f>'Historical Financials'!K7</f>
        <v>4Q22</v>
      </c>
      <c r="L3" s="7" t="str">
        <f>'Historical Financials'!L7</f>
        <v>1Q23</v>
      </c>
      <c r="M3" s="7" t="str">
        <f>'Historical Financials'!M7</f>
        <v>2Q23</v>
      </c>
      <c r="N3" s="7" t="str">
        <f>'Historical Financials'!N7</f>
        <v>3Q23</v>
      </c>
      <c r="O3" s="7" t="str">
        <f>'Historical Financials'!O7</f>
        <v>4Q23</v>
      </c>
      <c r="P3" s="7" t="str">
        <f>'Historical Financials'!P7</f>
        <v>1Q24</v>
      </c>
      <c r="Q3" s="7" t="str">
        <f>'Historical Financials'!Q7</f>
        <v>2Q24</v>
      </c>
      <c r="R3" s="7" t="str">
        <f>'Historical Financials'!R7</f>
        <v>3Q24</v>
      </c>
      <c r="S3" s="7" t="str">
        <f>'Historical Financials'!S7</f>
        <v>4Q24</v>
      </c>
      <c r="T3" s="3"/>
      <c r="U3" s="4" t="str">
        <f>K3</f>
        <v>4Q22</v>
      </c>
      <c r="V3" s="4" t="str">
        <f>L3</f>
        <v>1Q23</v>
      </c>
      <c r="W3" s="4" t="str">
        <f>M3</f>
        <v>2Q23</v>
      </c>
      <c r="X3" s="4" t="str">
        <f>N3</f>
        <v>3Q23</v>
      </c>
      <c r="Y3" s="4" t="str">
        <f>O3</f>
        <v>4Q23</v>
      </c>
      <c r="Z3" s="4" t="str">
        <f>P3</f>
        <v>1Q24</v>
      </c>
      <c r="AA3" s="4" t="str">
        <f>Q3</f>
        <v>2Q24</v>
      </c>
      <c r="AB3" s="4" t="str">
        <f>R3</f>
        <v>3Q24</v>
      </c>
      <c r="AC3" s="4" t="str">
        <f>S3</f>
        <v>4Q24</v>
      </c>
      <c r="AD3" s="3"/>
      <c r="AE3" s="142"/>
    </row>
    <row r="4" spans="2:31">
      <c r="B4" s="154" t="s">
        <v>108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44651</v>
      </c>
      <c r="I4" s="3">
        <f>'Historical Financials'!I8</f>
        <v>44742</v>
      </c>
      <c r="J4" s="3">
        <f>'Historical Financials'!J8</f>
        <v>44834</v>
      </c>
      <c r="K4" s="3">
        <f>'Historical Financials'!K8</f>
        <v>44926</v>
      </c>
      <c r="L4" s="3">
        <f>'Historical Financials'!L8</f>
        <v>45016</v>
      </c>
      <c r="M4" s="3">
        <f>'Historical Financials'!M8</f>
        <v>45107</v>
      </c>
      <c r="N4" s="3">
        <f>'Historical Financials'!N8</f>
        <v>45199</v>
      </c>
      <c r="O4" s="3">
        <f>'Historical Financials'!O8</f>
        <v>45291</v>
      </c>
      <c r="P4" s="3">
        <f>'Historical Financials'!P8</f>
        <v>45382</v>
      </c>
      <c r="Q4" s="3">
        <f>'Historical Financials'!Q8</f>
        <v>45473</v>
      </c>
      <c r="R4" s="3">
        <f>'Historical Financials'!R8</f>
        <v>45565</v>
      </c>
      <c r="S4" s="3">
        <f>'Historical Financials'!S8</f>
        <v>45657</v>
      </c>
      <c r="T4" s="3"/>
      <c r="U4" s="3">
        <f>K4</f>
        <v>44926</v>
      </c>
      <c r="V4" s="3">
        <f>L4</f>
        <v>45016</v>
      </c>
      <c r="W4" s="3">
        <f>M4</f>
        <v>45107</v>
      </c>
      <c r="X4" s="3">
        <f>N4</f>
        <v>45199</v>
      </c>
      <c r="Y4" s="3">
        <f>O4</f>
        <v>45291</v>
      </c>
      <c r="Z4" s="3">
        <f>P4</f>
        <v>45382</v>
      </c>
      <c r="AA4" s="3">
        <f>Q4</f>
        <v>45473</v>
      </c>
      <c r="AB4" s="3">
        <f>R4</f>
        <v>45565</v>
      </c>
      <c r="AC4" s="3">
        <f>S4</f>
        <v>45657</v>
      </c>
      <c r="AD4" s="3"/>
      <c r="AE4" s="142"/>
    </row>
    <row r="5" spans="2:31" ht="5.0999999999999996" customHeight="1">
      <c r="AE5" s="119"/>
    </row>
    <row r="6" spans="2:31">
      <c r="B6" s="75" t="s">
        <v>116</v>
      </c>
      <c r="AE6" s="120"/>
    </row>
    <row r="7" spans="2:31">
      <c r="B7" s="9" t="s">
        <v>40</v>
      </c>
      <c r="C7" s="89">
        <f>'Historical Financials'!C44</f>
        <v>152107.745</v>
      </c>
      <c r="D7" s="89">
        <f>'Historical Financials'!D44</f>
        <v>149158</v>
      </c>
      <c r="E7" s="89">
        <f>'Historical Financials'!E44</f>
        <v>151024</v>
      </c>
      <c r="F7" s="89">
        <f>'Historical Financials'!F44</f>
        <v>132187</v>
      </c>
      <c r="H7" s="89">
        <f>'Historical Financials'!H44</f>
        <v>151146.35500000001</v>
      </c>
      <c r="I7" s="89">
        <f>'Historical Financials'!I44</f>
        <v>153342.55600000001</v>
      </c>
      <c r="J7" s="89">
        <f>'Historical Financials'!J44</f>
        <v>153199.35200000001</v>
      </c>
      <c r="K7" s="89">
        <f>'Historical Financials'!K44</f>
        <v>149158</v>
      </c>
      <c r="L7" s="89">
        <f>'Historical Financials'!L44</f>
        <v>143621.848</v>
      </c>
      <c r="M7" s="89">
        <f>'Historical Financials'!M44</f>
        <v>153466.962</v>
      </c>
      <c r="N7" s="89">
        <f>'Historical Financials'!N44</f>
        <v>154817.16399999999</v>
      </c>
      <c r="O7" s="89">
        <f>'Historical Financials'!O44</f>
        <v>151024</v>
      </c>
      <c r="P7" s="89">
        <f>'Historical Financials'!P44</f>
        <v>143765</v>
      </c>
      <c r="Q7" s="89">
        <f>'Historical Financials'!Q44</f>
        <v>139386</v>
      </c>
      <c r="R7" s="89">
        <f>'Historical Financials'!R44</f>
        <v>138756</v>
      </c>
      <c r="S7" s="89">
        <f>'Historical Financials'!S44</f>
        <v>132187</v>
      </c>
      <c r="U7" s="118">
        <f t="shared" ref="U7:AB7" si="0">K7</f>
        <v>149158</v>
      </c>
      <c r="V7" s="118">
        <f t="shared" si="0"/>
        <v>143621.848</v>
      </c>
      <c r="W7" s="118">
        <f t="shared" si="0"/>
        <v>153466.962</v>
      </c>
      <c r="X7" s="118">
        <f t="shared" si="0"/>
        <v>154817.16399999999</v>
      </c>
      <c r="Y7" s="118">
        <f t="shared" si="0"/>
        <v>151024</v>
      </c>
      <c r="Z7" s="118">
        <f t="shared" si="0"/>
        <v>143765</v>
      </c>
      <c r="AA7" s="118">
        <f t="shared" si="0"/>
        <v>139386</v>
      </c>
      <c r="AB7" s="118">
        <f t="shared" si="0"/>
        <v>138756</v>
      </c>
      <c r="AC7" s="118">
        <f>S7</f>
        <v>132187</v>
      </c>
      <c r="AE7" s="120">
        <f t="shared" ref="AE7:AE8" si="1">SUM(AC7/Y7)-1</f>
        <v>-0.12472851997033585</v>
      </c>
    </row>
    <row r="8" spans="2:31">
      <c r="B8" s="157" t="s">
        <v>115</v>
      </c>
      <c r="C8" s="155">
        <f>SUM(C7:C7)</f>
        <v>152107.745</v>
      </c>
      <c r="D8" s="155">
        <f>SUM(D7:D7)</f>
        <v>149158</v>
      </c>
      <c r="E8" s="155">
        <f>SUM(E7:E7)</f>
        <v>151024</v>
      </c>
      <c r="F8" s="155">
        <f>SUM(F7:F7)</f>
        <v>132187</v>
      </c>
      <c r="G8" s="156"/>
      <c r="H8" s="155">
        <f>SUM(H7:H7)</f>
        <v>151146.35500000001</v>
      </c>
      <c r="I8" s="155">
        <f>SUM(I7:I7)</f>
        <v>153342.55600000001</v>
      </c>
      <c r="J8" s="155">
        <f>SUM(J7:J7)</f>
        <v>153199.35200000001</v>
      </c>
      <c r="K8" s="155">
        <f>SUM(K7:K7)</f>
        <v>149158</v>
      </c>
      <c r="L8" s="155">
        <f>SUM(L7:L7)</f>
        <v>143621.848</v>
      </c>
      <c r="M8" s="155">
        <f>SUM(M7:M7)</f>
        <v>153466.962</v>
      </c>
      <c r="N8" s="155">
        <f>SUM(N7:N7)</f>
        <v>154817.16399999999</v>
      </c>
      <c r="O8" s="155">
        <f>SUM(O7:O7)</f>
        <v>151024</v>
      </c>
      <c r="P8" s="155">
        <f>SUM(P7:P7)</f>
        <v>143765</v>
      </c>
      <c r="Q8" s="155">
        <f>SUM(Q7:Q7)</f>
        <v>139386</v>
      </c>
      <c r="R8" s="155">
        <f>SUM(R7:R7)</f>
        <v>138756</v>
      </c>
      <c r="S8" s="155">
        <f>SUM(S7:S7)</f>
        <v>132187</v>
      </c>
      <c r="T8" s="156"/>
      <c r="U8" s="155">
        <f>SUM(U7:U7)</f>
        <v>149158</v>
      </c>
      <c r="V8" s="155">
        <f>SUM(V7:V7)</f>
        <v>143621.848</v>
      </c>
      <c r="W8" s="155">
        <f>SUM(W7:W7)</f>
        <v>153466.962</v>
      </c>
      <c r="X8" s="155">
        <f>SUM(X7:X7)</f>
        <v>154817.16399999999</v>
      </c>
      <c r="Y8" s="155">
        <f>SUM(Y7:Y7)</f>
        <v>151024</v>
      </c>
      <c r="Z8" s="155">
        <f>SUM(Z7:Z7)</f>
        <v>143765</v>
      </c>
      <c r="AA8" s="155">
        <f>SUM(AA7:AA7)</f>
        <v>139386</v>
      </c>
      <c r="AB8" s="155">
        <f>SUM(AB7:AB7)</f>
        <v>138756</v>
      </c>
      <c r="AC8" s="155">
        <f>SUM(AC7:AC7)</f>
        <v>132187</v>
      </c>
      <c r="AE8" s="121">
        <f t="shared" si="1"/>
        <v>-0.12472851997033585</v>
      </c>
    </row>
    <row r="9" spans="2:31">
      <c r="B9" s="9"/>
      <c r="AE9" s="122"/>
    </row>
    <row r="10" spans="2:31">
      <c r="B10" s="75" t="s">
        <v>109</v>
      </c>
      <c r="AE10" s="119"/>
    </row>
    <row r="11" spans="2:31">
      <c r="B11" s="9" t="s">
        <v>110</v>
      </c>
      <c r="C11" s="89">
        <f>'Historical Financials'!C84</f>
        <v>-30384</v>
      </c>
      <c r="D11" s="89">
        <f>'Historical Financials'!D84</f>
        <v>-24238</v>
      </c>
      <c r="E11" s="89">
        <f>'Historical Financials'!E84</f>
        <v>-27785</v>
      </c>
      <c r="F11" s="89">
        <f>'Historical Financials'!F84</f>
        <v>-30812</v>
      </c>
      <c r="H11" s="89">
        <f>'Historical Financials'!H84</f>
        <v>-3500.9549999999981</v>
      </c>
      <c r="I11" s="89">
        <f>'Historical Financials'!I84</f>
        <v>-9639.4839999999986</v>
      </c>
      <c r="J11" s="89">
        <f>'Historical Financials'!J84</f>
        <v>-7053.4900000000034</v>
      </c>
      <c r="K11" s="89">
        <f>'Historical Financials'!K84</f>
        <v>-4044.0709999999995</v>
      </c>
      <c r="L11" s="89">
        <f>'Historical Financials'!L84</f>
        <v>-5794.2569999999996</v>
      </c>
      <c r="M11" s="89">
        <f>'Historical Financials'!M84</f>
        <v>-8488.5789999999979</v>
      </c>
      <c r="N11" s="89">
        <f>'Historical Financials'!N84</f>
        <v>-7653.2840000000015</v>
      </c>
      <c r="O11" s="89">
        <f>'Historical Financials'!O84</f>
        <v>-5848.8799999999974</v>
      </c>
      <c r="P11" s="89">
        <f>'Historical Financials'!P84</f>
        <v>-7318</v>
      </c>
      <c r="Q11" s="89">
        <f>'Historical Financials'!Q84</f>
        <v>-11656</v>
      </c>
      <c r="R11" s="89">
        <f>'Historical Financials'!R84</f>
        <v>-5180</v>
      </c>
      <c r="S11" s="89">
        <f>'Historical Financials'!S84</f>
        <v>-6658</v>
      </c>
      <c r="U11" s="118">
        <f t="shared" ref="U11:AB11" si="2">SUM(H11:K11)</f>
        <v>-24238</v>
      </c>
      <c r="V11" s="118">
        <f t="shared" si="2"/>
        <v>-26531.302000000003</v>
      </c>
      <c r="W11" s="118">
        <f t="shared" si="2"/>
        <v>-25380.397000000001</v>
      </c>
      <c r="X11" s="118">
        <f t="shared" si="2"/>
        <v>-25980.190999999999</v>
      </c>
      <c r="Y11" s="118">
        <f t="shared" si="2"/>
        <v>-27784.999999999996</v>
      </c>
      <c r="Z11" s="118">
        <f t="shared" si="2"/>
        <v>-29308.742999999995</v>
      </c>
      <c r="AA11" s="118">
        <f t="shared" si="2"/>
        <v>-32476.163999999997</v>
      </c>
      <c r="AB11" s="118">
        <f t="shared" si="2"/>
        <v>-30002.879999999997</v>
      </c>
      <c r="AC11" s="118">
        <f>SUM(P11:S11)</f>
        <v>-30812</v>
      </c>
      <c r="AE11" s="120">
        <f t="shared" ref="AE11:AE12" si="3">SUM(AC11/Y11)-1</f>
        <v>0.10894367464459265</v>
      </c>
    </row>
    <row r="12" spans="2:31">
      <c r="B12" s="9" t="s">
        <v>111</v>
      </c>
      <c r="C12" s="89">
        <f>'Historical Financials'!C87</f>
        <v>0</v>
      </c>
      <c r="D12" s="89">
        <f>'Historical Financials'!D87</f>
        <v>0</v>
      </c>
      <c r="E12" s="89">
        <f>'Historical Financials'!E87</f>
        <v>0</v>
      </c>
      <c r="F12" s="89">
        <f>'Historical Financials'!F87</f>
        <v>0</v>
      </c>
      <c r="H12" s="89">
        <f>'Historical Financials'!H87</f>
        <v>0</v>
      </c>
      <c r="I12" s="89">
        <f>'Historical Financials'!I87</f>
        <v>0</v>
      </c>
      <c r="J12" s="89">
        <f>'Historical Financials'!J87</f>
        <v>0</v>
      </c>
      <c r="K12" s="89">
        <f>'Historical Financials'!K87</f>
        <v>0</v>
      </c>
      <c r="L12" s="89">
        <f>'Historical Financials'!L87</f>
        <v>0</v>
      </c>
      <c r="M12" s="89">
        <f>'Historical Financials'!M87</f>
        <v>0</v>
      </c>
      <c r="N12" s="89">
        <f>'Historical Financials'!N87</f>
        <v>0</v>
      </c>
      <c r="O12" s="89">
        <f>'Historical Financials'!O87</f>
        <v>0</v>
      </c>
      <c r="P12" s="89">
        <f>'Historical Financials'!P87</f>
        <v>0</v>
      </c>
      <c r="Q12" s="89">
        <f>'Historical Financials'!Q87</f>
        <v>0</v>
      </c>
      <c r="R12" s="89">
        <f>'Historical Financials'!R87</f>
        <v>0</v>
      </c>
      <c r="S12" s="89">
        <f>'Historical Financials'!S87</f>
        <v>0</v>
      </c>
      <c r="U12" s="118">
        <f t="shared" ref="U12" si="4">SUM(H12:K12)</f>
        <v>0</v>
      </c>
      <c r="V12" s="118">
        <f t="shared" ref="V12" si="5">SUM(I12:L12)</f>
        <v>0</v>
      </c>
      <c r="W12" s="118">
        <f t="shared" ref="W12" si="6">SUM(J12:M12)</f>
        <v>0</v>
      </c>
      <c r="X12" s="118">
        <f t="shared" ref="X12" si="7">SUM(K12:N12)</f>
        <v>0</v>
      </c>
      <c r="Y12" s="118">
        <f t="shared" ref="Y12" si="8">SUM(L12:O12)</f>
        <v>0</v>
      </c>
      <c r="Z12" s="118">
        <f t="shared" ref="Z12" si="9">SUM(M12:P12)</f>
        <v>0</v>
      </c>
      <c r="AA12" s="118">
        <f t="shared" ref="AA12" si="10">SUM(N12:Q12)</f>
        <v>0</v>
      </c>
      <c r="AB12" s="118">
        <f t="shared" ref="AB12" si="11">SUM(O12:R12)</f>
        <v>0</v>
      </c>
      <c r="AC12" s="118">
        <f>SUM(P12:S12)</f>
        <v>0</v>
      </c>
      <c r="AE12" s="120" t="e">
        <f>SUM(AC12/Y12)-1</f>
        <v>#DIV/0!</v>
      </c>
    </row>
    <row r="13" spans="2:31">
      <c r="B13" s="158" t="s">
        <v>112</v>
      </c>
      <c r="C13" s="155">
        <f t="shared" ref="C13:F13" si="12">SUM(C11:C12)/12</f>
        <v>-2532</v>
      </c>
      <c r="D13" s="155">
        <f t="shared" si="12"/>
        <v>-2019.8333333333333</v>
      </c>
      <c r="E13" s="155">
        <f t="shared" si="12"/>
        <v>-2315.4166666666665</v>
      </c>
      <c r="F13" s="155">
        <f t="shared" si="12"/>
        <v>-2567.6666666666665</v>
      </c>
      <c r="H13" s="155">
        <f t="shared" ref="H13" si="13">SUM(H11:H12)/12</f>
        <v>-291.74624999999986</v>
      </c>
      <c r="I13" s="155">
        <f t="shared" ref="I13" si="14">SUM(I11:I12)/12</f>
        <v>-803.29033333333325</v>
      </c>
      <c r="J13" s="155">
        <f t="shared" ref="J13" si="15">SUM(J11:J12)/12</f>
        <v>-587.79083333333358</v>
      </c>
      <c r="K13" s="155">
        <f t="shared" ref="K13" si="16">SUM(K11:K12)/12</f>
        <v>-337.00591666666662</v>
      </c>
      <c r="L13" s="155">
        <f t="shared" ref="L13" si="17">SUM(L11:L12)/12</f>
        <v>-482.85474999999997</v>
      </c>
      <c r="M13" s="155">
        <f t="shared" ref="M13" si="18">SUM(M11:M12)/12</f>
        <v>-707.3815833333332</v>
      </c>
      <c r="N13" s="155">
        <f t="shared" ref="N13" si="19">SUM(N11:N12)/12</f>
        <v>-637.77366666666683</v>
      </c>
      <c r="O13" s="155">
        <f t="shared" ref="O13" si="20">SUM(O11:O12)/12</f>
        <v>-487.40666666666647</v>
      </c>
      <c r="P13" s="155">
        <f t="shared" ref="P13" si="21">SUM(P11:P12)/12</f>
        <v>-609.83333333333337</v>
      </c>
      <c r="Q13" s="155">
        <f t="shared" ref="Q13" si="22">SUM(Q11:Q12)/12</f>
        <v>-971.33333333333337</v>
      </c>
      <c r="R13" s="155">
        <f t="shared" ref="R13" si="23">SUM(R11:R12)/12</f>
        <v>-431.66666666666669</v>
      </c>
      <c r="S13" s="155">
        <f t="shared" ref="S13" si="24">SUM(S11:S12)/12</f>
        <v>-554.83333333333337</v>
      </c>
      <c r="U13" s="155">
        <f t="shared" ref="U13" si="25">SUM(U11:U12)/12</f>
        <v>-2019.8333333333333</v>
      </c>
      <c r="V13" s="155">
        <f t="shared" ref="V13" si="26">SUM(V11:V12)/12</f>
        <v>-2210.9418333333338</v>
      </c>
      <c r="W13" s="155">
        <f t="shared" ref="W13" si="27">SUM(W11:W12)/12</f>
        <v>-2115.0330833333333</v>
      </c>
      <c r="X13" s="155">
        <f t="shared" ref="X13" si="28">SUM(X11:X12)/12</f>
        <v>-2165.0159166666667</v>
      </c>
      <c r="Y13" s="155">
        <f t="shared" ref="Y13" si="29">SUM(Y11:Y12)/12</f>
        <v>-2315.4166666666665</v>
      </c>
      <c r="Z13" s="155">
        <f t="shared" ref="Z13" si="30">SUM(Z11:Z12)/12</f>
        <v>-2442.3952499999996</v>
      </c>
      <c r="AA13" s="155">
        <f t="shared" ref="AA13" si="31">SUM(AA11:AA12)/12</f>
        <v>-2706.3469999999998</v>
      </c>
      <c r="AB13" s="155">
        <f t="shared" ref="AB13" si="32">SUM(AB11:AB12)/12</f>
        <v>-2500.2399999999998</v>
      </c>
      <c r="AC13" s="155">
        <f t="shared" ref="AC13" si="33">SUM(AC11:AC12)/12</f>
        <v>-2567.6666666666665</v>
      </c>
      <c r="AE13" s="121">
        <f>SUM(AC13/Y13)-1</f>
        <v>0.10894367464459243</v>
      </c>
    </row>
    <row r="14" spans="2:31">
      <c r="B14" s="9"/>
      <c r="AE14" s="122"/>
    </row>
    <row r="15" spans="2:31">
      <c r="B15" s="75" t="s">
        <v>113</v>
      </c>
      <c r="AE15" s="119"/>
    </row>
    <row r="16" spans="2:31">
      <c r="B16" s="9" t="s">
        <v>115</v>
      </c>
      <c r="C16" s="118">
        <f t="shared" ref="C16" si="34">C8</f>
        <v>152107.745</v>
      </c>
      <c r="D16" s="118">
        <f t="shared" ref="D16:F16" si="35">D8</f>
        <v>149158</v>
      </c>
      <c r="E16" s="118">
        <f t="shared" si="35"/>
        <v>151024</v>
      </c>
      <c r="F16" s="118">
        <f t="shared" si="35"/>
        <v>132187</v>
      </c>
      <c r="H16" s="118">
        <f t="shared" ref="H16" si="36">H8</f>
        <v>151146.35500000001</v>
      </c>
      <c r="I16" s="118">
        <f t="shared" ref="I16:S16" si="37">I8</f>
        <v>153342.55600000001</v>
      </c>
      <c r="J16" s="118">
        <f t="shared" si="37"/>
        <v>153199.35200000001</v>
      </c>
      <c r="K16" s="118">
        <f t="shared" si="37"/>
        <v>149158</v>
      </c>
      <c r="L16" s="118">
        <f t="shared" si="37"/>
        <v>143621.848</v>
      </c>
      <c r="M16" s="118">
        <f t="shared" si="37"/>
        <v>153466.962</v>
      </c>
      <c r="N16" s="118">
        <f t="shared" si="37"/>
        <v>154817.16399999999</v>
      </c>
      <c r="O16" s="118">
        <f t="shared" si="37"/>
        <v>151024</v>
      </c>
      <c r="P16" s="118">
        <f t="shared" si="37"/>
        <v>143765</v>
      </c>
      <c r="Q16" s="118">
        <f t="shared" si="37"/>
        <v>139386</v>
      </c>
      <c r="R16" s="118">
        <f t="shared" si="37"/>
        <v>138756</v>
      </c>
      <c r="S16" s="118">
        <f t="shared" si="37"/>
        <v>132187</v>
      </c>
      <c r="U16" s="118">
        <f t="shared" ref="U16:AC16" si="38">U8</f>
        <v>149158</v>
      </c>
      <c r="V16" s="118">
        <f t="shared" si="38"/>
        <v>143621.848</v>
      </c>
      <c r="W16" s="118">
        <f t="shared" si="38"/>
        <v>153466.962</v>
      </c>
      <c r="X16" s="118">
        <f t="shared" si="38"/>
        <v>154817.16399999999</v>
      </c>
      <c r="Y16" s="118">
        <f t="shared" si="38"/>
        <v>151024</v>
      </c>
      <c r="Z16" s="118">
        <f t="shared" si="38"/>
        <v>143765</v>
      </c>
      <c r="AA16" s="118">
        <f t="shared" si="38"/>
        <v>139386</v>
      </c>
      <c r="AB16" s="118">
        <f t="shared" si="38"/>
        <v>138756</v>
      </c>
      <c r="AC16" s="118">
        <f t="shared" si="38"/>
        <v>132187</v>
      </c>
      <c r="AE16" s="120">
        <f>SUM(AC16/Y16)-1</f>
        <v>-0.12472851997033585</v>
      </c>
    </row>
    <row r="17" spans="2:31">
      <c r="B17" s="9" t="s">
        <v>114</v>
      </c>
      <c r="C17" s="159">
        <f t="shared" ref="C17" si="39">C13</f>
        <v>-2532</v>
      </c>
      <c r="D17" s="159">
        <f t="shared" ref="D17:F17" si="40">D13</f>
        <v>-2019.8333333333333</v>
      </c>
      <c r="E17" s="159">
        <f t="shared" si="40"/>
        <v>-2315.4166666666665</v>
      </c>
      <c r="F17" s="159">
        <f t="shared" si="40"/>
        <v>-2567.6666666666665</v>
      </c>
      <c r="H17" s="159">
        <f t="shared" ref="H17" si="41">H13</f>
        <v>-291.74624999999986</v>
      </c>
      <c r="I17" s="159">
        <f t="shared" ref="I17:S17" si="42">I13</f>
        <v>-803.29033333333325</v>
      </c>
      <c r="J17" s="159">
        <f t="shared" si="42"/>
        <v>-587.79083333333358</v>
      </c>
      <c r="K17" s="159">
        <f t="shared" si="42"/>
        <v>-337.00591666666662</v>
      </c>
      <c r="L17" s="159">
        <f t="shared" si="42"/>
        <v>-482.85474999999997</v>
      </c>
      <c r="M17" s="159">
        <f t="shared" si="42"/>
        <v>-707.3815833333332</v>
      </c>
      <c r="N17" s="159">
        <f t="shared" si="42"/>
        <v>-637.77366666666683</v>
      </c>
      <c r="O17" s="159">
        <f t="shared" si="42"/>
        <v>-487.40666666666647</v>
      </c>
      <c r="P17" s="159">
        <f t="shared" si="42"/>
        <v>-609.83333333333337</v>
      </c>
      <c r="Q17" s="159">
        <f t="shared" si="42"/>
        <v>-971.33333333333337</v>
      </c>
      <c r="R17" s="159">
        <f t="shared" si="42"/>
        <v>-431.66666666666669</v>
      </c>
      <c r="S17" s="159">
        <f t="shared" si="42"/>
        <v>-554.83333333333337</v>
      </c>
      <c r="U17" s="159">
        <f t="shared" ref="U17:AC17" si="43">U13</f>
        <v>-2019.8333333333333</v>
      </c>
      <c r="V17" s="159">
        <f t="shared" si="43"/>
        <v>-2210.9418333333338</v>
      </c>
      <c r="W17" s="159">
        <f t="shared" si="43"/>
        <v>-2115.0330833333333</v>
      </c>
      <c r="X17" s="159">
        <f t="shared" si="43"/>
        <v>-2165.0159166666667</v>
      </c>
      <c r="Y17" s="159">
        <f t="shared" si="43"/>
        <v>-2315.4166666666665</v>
      </c>
      <c r="Z17" s="159">
        <f t="shared" si="43"/>
        <v>-2442.3952499999996</v>
      </c>
      <c r="AA17" s="159">
        <f t="shared" si="43"/>
        <v>-2706.3469999999998</v>
      </c>
      <c r="AB17" s="159">
        <f t="shared" si="43"/>
        <v>-2500.2399999999998</v>
      </c>
      <c r="AC17" s="159">
        <f t="shared" si="43"/>
        <v>-2567.6666666666665</v>
      </c>
      <c r="AE17" s="120">
        <f>SUM(AC17/Y17)-1</f>
        <v>0.10894367464459243</v>
      </c>
    </row>
    <row r="18" spans="2:31">
      <c r="B18" s="158" t="s">
        <v>113</v>
      </c>
      <c r="C18" s="152">
        <f t="shared" ref="C18:H18" si="44">C16/-C17</f>
        <v>60.074148894154817</v>
      </c>
      <c r="D18" s="152">
        <f t="shared" si="44"/>
        <v>73.846687020381225</v>
      </c>
      <c r="E18" s="152">
        <f t="shared" si="44"/>
        <v>65.225409393557683</v>
      </c>
      <c r="F18" s="152">
        <f t="shared" si="44"/>
        <v>51.48137089445671</v>
      </c>
      <c r="H18" s="152">
        <f t="shared" si="44"/>
        <v>518.07471389949342</v>
      </c>
      <c r="I18" s="152">
        <f t="shared" ref="I18" si="45">I16/-I17</f>
        <v>190.8930677202224</v>
      </c>
      <c r="J18" s="152">
        <f t="shared" ref="J18" si="46">J16/-J17</f>
        <v>260.63583048958736</v>
      </c>
      <c r="K18" s="152">
        <f t="shared" ref="K18" si="47">K16/-K17</f>
        <v>442.59757061634184</v>
      </c>
      <c r="L18" s="152">
        <f t="shared" ref="L18" si="48">L16/-L17</f>
        <v>297.44317105713469</v>
      </c>
      <c r="M18" s="152">
        <f t="shared" ref="M18" si="49">M16/-M17</f>
        <v>216.9507457019603</v>
      </c>
      <c r="N18" s="152">
        <f t="shared" ref="N18" si="50">N16/-N17</f>
        <v>242.74624697058144</v>
      </c>
      <c r="O18" s="152">
        <f t="shared" ref="O18" si="51">O16/-O17</f>
        <v>309.85214263243574</v>
      </c>
      <c r="P18" s="152">
        <f t="shared" ref="P18" si="52">P16/-P17</f>
        <v>235.74473899972668</v>
      </c>
      <c r="Q18" s="152">
        <f t="shared" ref="Q18" si="53">Q16/-Q17</f>
        <v>143.4996568291009</v>
      </c>
      <c r="R18" s="152">
        <f t="shared" ref="R18" si="54">R16/-R17</f>
        <v>321.44247104247103</v>
      </c>
      <c r="S18" s="152">
        <f t="shared" ref="S18" si="55">S16/-S17</f>
        <v>238.24632021628116</v>
      </c>
      <c r="U18" s="152">
        <f t="shared" ref="U18" si="56">U16/-U17</f>
        <v>73.846687020381225</v>
      </c>
      <c r="V18" s="152">
        <f t="shared" ref="V18" si="57">V16/-V17</f>
        <v>64.959577784761549</v>
      </c>
      <c r="W18" s="152">
        <f t="shared" ref="W18" si="58">W16/-W17</f>
        <v>72.560076345535492</v>
      </c>
      <c r="X18" s="152">
        <f t="shared" ref="X18" si="59">X16/-X17</f>
        <v>71.508556961725176</v>
      </c>
      <c r="Y18" s="152">
        <f t="shared" ref="Y18" si="60">Y16/-Y17</f>
        <v>65.225409393557683</v>
      </c>
      <c r="Z18" s="152">
        <f t="shared" ref="Z18" si="61">Z16/-Z17</f>
        <v>58.862299212218019</v>
      </c>
      <c r="AA18" s="152">
        <f t="shared" ref="AA18" si="62">AA16/-AA17</f>
        <v>51.503373366386505</v>
      </c>
      <c r="AB18" s="152">
        <f t="shared" ref="AB18" si="63">AB16/-AB17</f>
        <v>55.497072281061023</v>
      </c>
      <c r="AC18" s="152">
        <f t="shared" ref="AC18" si="64">AC16/-AC17</f>
        <v>51.48137089445671</v>
      </c>
      <c r="AE18" s="121">
        <f>SUM(AC18/Y18)-1</f>
        <v>-0.21071601737556089</v>
      </c>
    </row>
    <row r="19" spans="2:31">
      <c r="AE19" s="122"/>
    </row>
    <row r="20" spans="2:31">
      <c r="B20" s="160" t="s">
        <v>118</v>
      </c>
      <c r="AE20" s="119"/>
    </row>
    <row r="21" spans="2:31">
      <c r="B21" s="45" t="s">
        <v>81</v>
      </c>
      <c r="C21" s="89">
        <f>'Historical Financials'!C32</f>
        <v>58262.057000000008</v>
      </c>
      <c r="D21" s="89">
        <f>'Historical Financials'!D32</f>
        <v>63580.377</v>
      </c>
      <c r="E21" s="89">
        <f>'Historical Financials'!E32</f>
        <v>65515.816000000006</v>
      </c>
      <c r="F21" s="89">
        <f>'Historical Financials'!F32</f>
        <v>68420.294999999998</v>
      </c>
      <c r="H21" s="89">
        <f>'Historical Financials'!H32</f>
        <v>64593.968999999997</v>
      </c>
      <c r="I21" s="89">
        <f>'Historical Financials'!I32</f>
        <v>64738.284</v>
      </c>
      <c r="J21" s="89">
        <f>'Historical Financials'!J32</f>
        <v>64247.62</v>
      </c>
      <c r="K21" s="89">
        <f>'Historical Financials'!K32</f>
        <v>63580.377</v>
      </c>
      <c r="L21" s="89">
        <f>'Historical Financials'!L32</f>
        <v>64451.815999999992</v>
      </c>
      <c r="M21" s="89">
        <f>'Historical Financials'!M32</f>
        <v>63302.75</v>
      </c>
      <c r="N21" s="89">
        <f>'Historical Financials'!N32</f>
        <v>66016.372000000003</v>
      </c>
      <c r="O21" s="89">
        <f>'Historical Financials'!O32</f>
        <v>65515.816000000006</v>
      </c>
      <c r="P21" s="89">
        <f>'Historical Financials'!P32</f>
        <v>67808.452000000005</v>
      </c>
      <c r="Q21" s="89">
        <f>'Historical Financials'!Q32</f>
        <v>66709.111999999994</v>
      </c>
      <c r="R21" s="89">
        <f>'Historical Financials'!R32</f>
        <v>69345.073999999993</v>
      </c>
      <c r="S21" s="89">
        <f>'Historical Financials'!S32</f>
        <v>68420.294999999998</v>
      </c>
      <c r="U21" s="118">
        <f t="shared" ref="U21" si="65">K21</f>
        <v>63580.377</v>
      </c>
      <c r="V21" s="118">
        <f t="shared" ref="V21" si="66">L21</f>
        <v>64451.815999999992</v>
      </c>
      <c r="W21" s="118">
        <f t="shared" ref="W21" si="67">M21</f>
        <v>63302.75</v>
      </c>
      <c r="X21" s="118">
        <f t="shared" ref="X21" si="68">N21</f>
        <v>66016.372000000003</v>
      </c>
      <c r="Y21" s="118">
        <f t="shared" ref="Y21" si="69">O21</f>
        <v>65515.816000000006</v>
      </c>
      <c r="Z21" s="118">
        <f t="shared" ref="Z21" si="70">P21</f>
        <v>67808.452000000005</v>
      </c>
      <c r="AA21" s="118">
        <f t="shared" ref="AA21" si="71">Q21</f>
        <v>66709.111999999994</v>
      </c>
      <c r="AB21" s="118">
        <f t="shared" ref="AB21" si="72">R21</f>
        <v>69345.073999999993</v>
      </c>
      <c r="AC21" s="118">
        <f>S21</f>
        <v>68420.294999999998</v>
      </c>
      <c r="AE21" s="120">
        <f>SUM(AC21/Y21)-1</f>
        <v>4.4332486067180987E-2</v>
      </c>
    </row>
    <row r="22" spans="2:31">
      <c r="B22" s="13" t="s">
        <v>117</v>
      </c>
      <c r="C22" s="137">
        <f t="shared" ref="C22:H22" si="73">C8/C21</f>
        <v>2.6107513677383545</v>
      </c>
      <c r="D22" s="137">
        <f t="shared" si="73"/>
        <v>2.3459753942635477</v>
      </c>
      <c r="E22" s="137">
        <f t="shared" si="73"/>
        <v>2.305153308324817</v>
      </c>
      <c r="F22" s="137">
        <f t="shared" si="73"/>
        <v>1.9319852391750139</v>
      </c>
      <c r="H22" s="137">
        <f t="shared" si="73"/>
        <v>2.3399453128511118</v>
      </c>
      <c r="I22" s="137">
        <f t="shared" ref="I22" si="74">I8/I21</f>
        <v>2.3686533921720883</v>
      </c>
      <c r="J22" s="137">
        <f t="shared" ref="J22" si="75">J8/J21</f>
        <v>2.3845140411426913</v>
      </c>
      <c r="K22" s="137">
        <f t="shared" ref="K22" si="76">K8/K21</f>
        <v>2.3459753942635477</v>
      </c>
      <c r="L22" s="137">
        <f t="shared" ref="L22" si="77">L8/L21</f>
        <v>2.2283599891118664</v>
      </c>
      <c r="M22" s="137">
        <f t="shared" ref="M22" si="78">M8/M21</f>
        <v>2.4243332556642483</v>
      </c>
      <c r="N22" s="137">
        <f t="shared" ref="N22" si="79">N8/N21</f>
        <v>2.345132870979338</v>
      </c>
      <c r="O22" s="137">
        <f t="shared" ref="O22" si="80">O8/O21</f>
        <v>2.305153308324817</v>
      </c>
      <c r="P22" s="137">
        <f t="shared" ref="P22" si="81">P8/P21</f>
        <v>2.1201634274146235</v>
      </c>
      <c r="Q22" s="137">
        <f t="shared" ref="Q22" si="82">Q8/Q21</f>
        <v>2.0894596828091494</v>
      </c>
      <c r="R22" s="137">
        <f t="shared" ref="R22" si="83">R8/R21</f>
        <v>2.0009496276548786</v>
      </c>
      <c r="S22" s="137">
        <f t="shared" ref="S22" si="84">S8/S21</f>
        <v>1.9319852391750139</v>
      </c>
      <c r="U22" s="137">
        <f t="shared" ref="U22" si="85">U8/U21</f>
        <v>2.3459753942635477</v>
      </c>
      <c r="V22" s="137">
        <f t="shared" ref="V22" si="86">V8/V21</f>
        <v>2.2283599891118664</v>
      </c>
      <c r="W22" s="137">
        <f t="shared" ref="W22" si="87">W8/W21</f>
        <v>2.4243332556642483</v>
      </c>
      <c r="X22" s="137">
        <f t="shared" ref="X22" si="88">X8/X21</f>
        <v>2.345132870979338</v>
      </c>
      <c r="Y22" s="137">
        <f t="shared" ref="Y22" si="89">Y8/Y21</f>
        <v>2.305153308324817</v>
      </c>
      <c r="Z22" s="137">
        <f t="shared" ref="Z22" si="90">Z8/Z21</f>
        <v>2.1201634274146235</v>
      </c>
      <c r="AA22" s="137">
        <f t="shared" ref="AA22" si="91">AA8/AA21</f>
        <v>2.0894596828091494</v>
      </c>
      <c r="AB22" s="137">
        <f t="shared" ref="AB22" si="92">AB8/AB21</f>
        <v>2.0009496276548786</v>
      </c>
      <c r="AC22" s="137">
        <f t="shared" ref="AC22" si="93">AC8/AC21</f>
        <v>1.9319852391750139</v>
      </c>
      <c r="AE22" s="121">
        <f>SUM(AC22/Y22)-1</f>
        <v>-0.16188427372797554</v>
      </c>
    </row>
    <row r="23" spans="2:31">
      <c r="AE23" s="121"/>
    </row>
    <row r="24" spans="2:31">
      <c r="B24" s="160" t="s">
        <v>120</v>
      </c>
      <c r="AE24" s="122"/>
    </row>
    <row r="25" spans="2:31">
      <c r="B25" s="45" t="s">
        <v>62</v>
      </c>
      <c r="C25" s="89">
        <f>'Historical Financials'!C35</f>
        <v>69802.960000000006</v>
      </c>
      <c r="D25" s="89">
        <f>'Historical Financials'!D35</f>
        <v>76909.993000000002</v>
      </c>
      <c r="E25" s="89">
        <f>'Historical Financials'!E35</f>
        <v>79787.596000000005</v>
      </c>
      <c r="F25" s="89">
        <f>'Historical Financials'!F35</f>
        <v>83468.048999999999</v>
      </c>
      <c r="H25" s="89">
        <f>'Historical Financials'!H35</f>
        <v>75997.737999999998</v>
      </c>
      <c r="I25" s="89">
        <f>'Historical Financials'!I35</f>
        <v>76248.603000000003</v>
      </c>
      <c r="J25" s="89">
        <f>'Historical Financials'!J35</f>
        <v>77442.236000000004</v>
      </c>
      <c r="K25" s="89">
        <f>'Historical Financials'!K35</f>
        <v>76909.993000000002</v>
      </c>
      <c r="L25" s="89">
        <f>'Historical Financials'!L35</f>
        <v>77977.111999999994</v>
      </c>
      <c r="M25" s="89">
        <f>'Historical Financials'!M35</f>
        <v>78304.362999999998</v>
      </c>
      <c r="N25" s="89">
        <f>'Historical Financials'!N35</f>
        <v>80875.235000000001</v>
      </c>
      <c r="O25" s="89">
        <f>'Historical Financials'!O35</f>
        <v>79787.596000000005</v>
      </c>
      <c r="P25" s="89">
        <f>'Historical Financials'!P35</f>
        <v>82077.815000000002</v>
      </c>
      <c r="Q25" s="89">
        <f>'Historical Financials'!Q35</f>
        <v>82464.225999999995</v>
      </c>
      <c r="R25" s="89">
        <f>'Historical Financials'!R35</f>
        <v>84535.327999999994</v>
      </c>
      <c r="S25" s="89">
        <f>'Historical Financials'!S35</f>
        <v>83468.048999999999</v>
      </c>
      <c r="U25" s="118">
        <f t="shared" ref="U25:AB25" si="94">K25</f>
        <v>76909.993000000002</v>
      </c>
      <c r="V25" s="118">
        <f t="shared" si="94"/>
        <v>77977.111999999994</v>
      </c>
      <c r="W25" s="118">
        <f t="shared" si="94"/>
        <v>78304.362999999998</v>
      </c>
      <c r="X25" s="118">
        <f t="shared" si="94"/>
        <v>80875.235000000001</v>
      </c>
      <c r="Y25" s="118">
        <f t="shared" si="94"/>
        <v>79787.596000000005</v>
      </c>
      <c r="Z25" s="118">
        <f t="shared" si="94"/>
        <v>82077.815000000002</v>
      </c>
      <c r="AA25" s="118">
        <f t="shared" si="94"/>
        <v>82464.225999999995</v>
      </c>
      <c r="AB25" s="118">
        <f t="shared" si="94"/>
        <v>84535.327999999994</v>
      </c>
      <c r="AC25" s="118">
        <f>S25</f>
        <v>83468.048999999999</v>
      </c>
      <c r="AE25" s="120">
        <f>SUM(AC25/Y25)-1</f>
        <v>4.6128135004844584E-2</v>
      </c>
    </row>
    <row r="26" spans="2:31">
      <c r="B26" s="13" t="s">
        <v>119</v>
      </c>
      <c r="C26" s="137">
        <f t="shared" ref="C26:H26" si="95">C8/C25</f>
        <v>2.1791016455462633</v>
      </c>
      <c r="D26" s="137">
        <f t="shared" si="95"/>
        <v>1.9393838717421283</v>
      </c>
      <c r="E26" s="137">
        <f t="shared" si="95"/>
        <v>1.8928255464671475</v>
      </c>
      <c r="F26" s="137">
        <f t="shared" si="95"/>
        <v>1.5836838357153886</v>
      </c>
      <c r="H26" s="137">
        <f t="shared" si="95"/>
        <v>1.9888270227200711</v>
      </c>
      <c r="I26" s="137">
        <f t="shared" ref="I26" si="96">I8/I25</f>
        <v>2.0110867605010418</v>
      </c>
      <c r="J26" s="137">
        <f t="shared" ref="J26" si="97">J8/J25</f>
        <v>1.9782402977104123</v>
      </c>
      <c r="K26" s="137">
        <f t="shared" ref="K26" si="98">K8/K25</f>
        <v>1.9393838717421283</v>
      </c>
      <c r="L26" s="137">
        <f t="shared" ref="L26" si="99">L8/L25</f>
        <v>1.8418462073845465</v>
      </c>
      <c r="M26" s="137">
        <f t="shared" ref="M26" si="100">M8/M25</f>
        <v>1.9598775358149585</v>
      </c>
      <c r="N26" s="137">
        <f t="shared" ref="N26" si="101">N8/N25</f>
        <v>1.9142715814056057</v>
      </c>
      <c r="O26" s="137">
        <f t="shared" ref="O26" si="102">O8/O25</f>
        <v>1.8928255464671475</v>
      </c>
      <c r="P26" s="137">
        <f t="shared" ref="P26" si="103">P8/P25</f>
        <v>1.7515695319130997</v>
      </c>
      <c r="Q26" s="137">
        <f t="shared" ref="Q26" si="104">Q8/Q25</f>
        <v>1.690260210530564</v>
      </c>
      <c r="R26" s="137">
        <f t="shared" ref="R26" si="105">R8/R25</f>
        <v>1.6413966004840013</v>
      </c>
      <c r="S26" s="137">
        <f t="shared" ref="S26" si="106">S8/S25</f>
        <v>1.5836838357153886</v>
      </c>
      <c r="U26" s="137">
        <f t="shared" ref="U26" si="107">U8/U25</f>
        <v>1.9393838717421283</v>
      </c>
      <c r="V26" s="137">
        <f t="shared" ref="V26" si="108">V8/V25</f>
        <v>1.8418462073845465</v>
      </c>
      <c r="W26" s="137">
        <f t="shared" ref="W26" si="109">W8/W25</f>
        <v>1.9598775358149585</v>
      </c>
      <c r="X26" s="137">
        <f t="shared" ref="X26" si="110">X8/X25</f>
        <v>1.9142715814056057</v>
      </c>
      <c r="Y26" s="137">
        <f t="shared" ref="Y26" si="111">Y8/Y25</f>
        <v>1.8928255464671475</v>
      </c>
      <c r="Z26" s="137">
        <f t="shared" ref="Z26" si="112">Z8/Z25</f>
        <v>1.7515695319130997</v>
      </c>
      <c r="AA26" s="137">
        <f t="shared" ref="AA26" si="113">AA8/AA25</f>
        <v>1.690260210530564</v>
      </c>
      <c r="AB26" s="137">
        <f t="shared" ref="AB26" si="114">AB8/AB25</f>
        <v>1.6413966004840013</v>
      </c>
      <c r="AC26" s="137">
        <f t="shared" ref="AC26" si="115">AC8/AC25</f>
        <v>1.5836838357153886</v>
      </c>
      <c r="AE26" s="121">
        <f>SUM(AC26/Y26)-1</f>
        <v>-0.16332287533246503</v>
      </c>
    </row>
  </sheetData>
  <mergeCells count="1">
    <mergeCell ref="AE2:AE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FCF</vt:lpstr>
      <vt:lpstr>Cash Burn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2025-12-22T04:41:39Z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