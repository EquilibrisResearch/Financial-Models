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8_{2FE24299-A676-448A-B1B9-3E7766A2F762}" xr6:coauthVersionLast="47" xr6:coauthVersionMax="47" xr10:uidLastSave="{00000000-0000-0000-0000-000000000000}"/>
  <bookViews>
    <workbookView xWindow="-120" yWindow="-120" windowWidth="29040" windowHeight="15720" xr2:uid="{BC9106CE-9107-4097-8948-317996376CB5}"/>
  </bookViews>
  <sheets>
    <sheet name="Historical Financials" sheetId="8" r:id="rId1"/>
    <sheet name="FCF" sheetId="9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0" i="9" l="1"/>
  <c r="Y30" i="9"/>
  <c r="X30" i="9"/>
  <c r="W30" i="9"/>
  <c r="V30" i="9"/>
  <c r="U30" i="9"/>
  <c r="T30" i="9"/>
  <c r="S30" i="9"/>
  <c r="Z29" i="9"/>
  <c r="Y29" i="9"/>
  <c r="X29" i="9"/>
  <c r="W29" i="9"/>
  <c r="V29" i="9"/>
  <c r="U29" i="9"/>
  <c r="T29" i="9"/>
  <c r="S29" i="9"/>
  <c r="Z54" i="9"/>
  <c r="Y54" i="9"/>
  <c r="X54" i="9"/>
  <c r="W54" i="9"/>
  <c r="V54" i="9"/>
  <c r="U54" i="9"/>
  <c r="T54" i="9"/>
  <c r="S54" i="9"/>
  <c r="Q57" i="9"/>
  <c r="P57" i="9"/>
  <c r="O57" i="9"/>
  <c r="M57" i="9"/>
  <c r="L57" i="9"/>
  <c r="K57" i="9"/>
  <c r="J57" i="9"/>
  <c r="I57" i="9"/>
  <c r="H57" i="9"/>
  <c r="G57" i="9"/>
  <c r="E57" i="9"/>
  <c r="D57" i="9"/>
  <c r="C57" i="9"/>
  <c r="Q50" i="9"/>
  <c r="P50" i="9"/>
  <c r="O50" i="9"/>
  <c r="M50" i="9"/>
  <c r="L50" i="9"/>
  <c r="K50" i="9"/>
  <c r="J50" i="9"/>
  <c r="I50" i="9"/>
  <c r="H50" i="9"/>
  <c r="Q49" i="9"/>
  <c r="P49" i="9"/>
  <c r="O49" i="9"/>
  <c r="N49" i="9"/>
  <c r="M49" i="9"/>
  <c r="L49" i="9"/>
  <c r="K49" i="9"/>
  <c r="I49" i="9"/>
  <c r="H49" i="9"/>
  <c r="Q48" i="9"/>
  <c r="Z48" i="9" s="1"/>
  <c r="P48" i="9"/>
  <c r="Y48" i="9" s="1"/>
  <c r="O48" i="9"/>
  <c r="N48" i="9"/>
  <c r="W48" i="9" s="1"/>
  <c r="M48" i="9"/>
  <c r="L48" i="9"/>
  <c r="K48" i="9"/>
  <c r="I48" i="9"/>
  <c r="H48" i="9"/>
  <c r="G50" i="9"/>
  <c r="G49" i="9"/>
  <c r="G48" i="9"/>
  <c r="E50" i="9"/>
  <c r="D50" i="9"/>
  <c r="E49" i="9"/>
  <c r="D49" i="9"/>
  <c r="E48" i="9"/>
  <c r="D48" i="9"/>
  <c r="Z50" i="9"/>
  <c r="C50" i="9"/>
  <c r="C49" i="9"/>
  <c r="Z49" i="9"/>
  <c r="Z57" i="9"/>
  <c r="X48" i="9"/>
  <c r="V48" i="9"/>
  <c r="U48" i="9"/>
  <c r="T48" i="9"/>
  <c r="C48" i="9"/>
  <c r="Q44" i="9"/>
  <c r="Z44" i="9" s="1"/>
  <c r="P44" i="9"/>
  <c r="Y44" i="9" s="1"/>
  <c r="O44" i="9"/>
  <c r="X44" i="9" s="1"/>
  <c r="M44" i="9"/>
  <c r="V44" i="9" s="1"/>
  <c r="L44" i="9"/>
  <c r="U44" i="9" s="1"/>
  <c r="K44" i="9"/>
  <c r="T44" i="9" s="1"/>
  <c r="I44" i="9"/>
  <c r="H44" i="9"/>
  <c r="Q43" i="9"/>
  <c r="Z43" i="9" s="1"/>
  <c r="P43" i="9"/>
  <c r="Y43" i="9" s="1"/>
  <c r="O43" i="9"/>
  <c r="X43" i="9" s="1"/>
  <c r="M43" i="9"/>
  <c r="L43" i="9"/>
  <c r="K43" i="9"/>
  <c r="T43" i="9" s="1"/>
  <c r="I43" i="9"/>
  <c r="H43" i="9"/>
  <c r="G44" i="9"/>
  <c r="G43" i="9"/>
  <c r="E44" i="9"/>
  <c r="D44" i="9"/>
  <c r="E43" i="9"/>
  <c r="D43" i="9"/>
  <c r="C44" i="9"/>
  <c r="C43" i="9"/>
  <c r="Q37" i="9"/>
  <c r="P37" i="9"/>
  <c r="O37" i="9"/>
  <c r="M37" i="9"/>
  <c r="L37" i="9"/>
  <c r="K37" i="9"/>
  <c r="I37" i="9"/>
  <c r="H37" i="9"/>
  <c r="O36" i="9"/>
  <c r="M36" i="9"/>
  <c r="L36" i="9"/>
  <c r="K36" i="9"/>
  <c r="I36" i="9"/>
  <c r="H36" i="9"/>
  <c r="Q35" i="9"/>
  <c r="P35" i="9"/>
  <c r="O35" i="9"/>
  <c r="M35" i="9"/>
  <c r="L35" i="9"/>
  <c r="K35" i="9"/>
  <c r="I35" i="9"/>
  <c r="H35" i="9"/>
  <c r="Q34" i="9"/>
  <c r="P34" i="9"/>
  <c r="O34" i="9"/>
  <c r="L34" i="9"/>
  <c r="K34" i="9"/>
  <c r="G37" i="9"/>
  <c r="G36" i="9"/>
  <c r="G35" i="9"/>
  <c r="G34" i="9"/>
  <c r="E37" i="9"/>
  <c r="D37" i="9"/>
  <c r="E36" i="9"/>
  <c r="D36" i="9"/>
  <c r="E35" i="9"/>
  <c r="D35" i="9"/>
  <c r="E34" i="9"/>
  <c r="D34" i="9"/>
  <c r="C37" i="9"/>
  <c r="C36" i="9"/>
  <c r="C35" i="9"/>
  <c r="C34" i="9"/>
  <c r="O31" i="9"/>
  <c r="K31" i="9"/>
  <c r="G31" i="9"/>
  <c r="E31" i="9"/>
  <c r="D31" i="9"/>
  <c r="C31" i="9"/>
  <c r="Q28" i="9"/>
  <c r="O28" i="9"/>
  <c r="L28" i="9"/>
  <c r="K28" i="9"/>
  <c r="I28" i="9"/>
  <c r="G28" i="9"/>
  <c r="E28" i="9"/>
  <c r="D28" i="9"/>
  <c r="C28" i="9"/>
  <c r="Q24" i="9"/>
  <c r="O24" i="9"/>
  <c r="K24" i="9"/>
  <c r="G24" i="9"/>
  <c r="E24" i="9"/>
  <c r="D24" i="9"/>
  <c r="C24" i="9"/>
  <c r="O20" i="9"/>
  <c r="K20" i="9"/>
  <c r="G20" i="9"/>
  <c r="E20" i="9"/>
  <c r="D20" i="9"/>
  <c r="C20" i="9"/>
  <c r="Q16" i="9"/>
  <c r="Q15" i="9"/>
  <c r="P16" i="9"/>
  <c r="O16" i="9"/>
  <c r="M16" i="9"/>
  <c r="L16" i="9"/>
  <c r="K16" i="9"/>
  <c r="I16" i="9"/>
  <c r="H16" i="9"/>
  <c r="P15" i="9"/>
  <c r="O15" i="9"/>
  <c r="M15" i="9"/>
  <c r="L15" i="9"/>
  <c r="K15" i="9"/>
  <c r="I15" i="9"/>
  <c r="H15" i="9"/>
  <c r="G16" i="9"/>
  <c r="G15" i="9"/>
  <c r="E16" i="9"/>
  <c r="D16" i="9"/>
  <c r="C16" i="9"/>
  <c r="E15" i="9"/>
  <c r="D15" i="9"/>
  <c r="C15" i="9"/>
  <c r="Q11" i="9"/>
  <c r="P11" i="9"/>
  <c r="O11" i="9"/>
  <c r="M11" i="9"/>
  <c r="L11" i="9"/>
  <c r="K11" i="9"/>
  <c r="I11" i="9"/>
  <c r="H11" i="9"/>
  <c r="G11" i="9"/>
  <c r="E11" i="9"/>
  <c r="D11" i="9"/>
  <c r="C11" i="9"/>
  <c r="Q6" i="9"/>
  <c r="P6" i="9"/>
  <c r="O6" i="9"/>
  <c r="M6" i="9"/>
  <c r="L6" i="9"/>
  <c r="K6" i="9"/>
  <c r="I6" i="9"/>
  <c r="H6" i="9"/>
  <c r="G6" i="9"/>
  <c r="E6" i="9"/>
  <c r="D6" i="9"/>
  <c r="C6" i="9"/>
  <c r="Q4" i="9"/>
  <c r="Z4" i="9" s="1"/>
  <c r="P4" i="9"/>
  <c r="Y4" i="9" s="1"/>
  <c r="O4" i="9"/>
  <c r="X4" i="9" s="1"/>
  <c r="N4" i="9"/>
  <c r="W4" i="9" s="1"/>
  <c r="M4" i="9"/>
  <c r="V4" i="9" s="1"/>
  <c r="L4" i="9"/>
  <c r="K4" i="9"/>
  <c r="J4" i="9"/>
  <c r="I4" i="9"/>
  <c r="H4" i="9"/>
  <c r="G4" i="9"/>
  <c r="F4" i="9"/>
  <c r="E4" i="9"/>
  <c r="D4" i="9"/>
  <c r="C4" i="9"/>
  <c r="Q3" i="9"/>
  <c r="Z3" i="9" s="1"/>
  <c r="P3" i="9"/>
  <c r="Y3" i="9" s="1"/>
  <c r="O3" i="9"/>
  <c r="X3" i="9" s="1"/>
  <c r="N3" i="9"/>
  <c r="W3" i="9" s="1"/>
  <c r="M3" i="9"/>
  <c r="V3" i="9" s="1"/>
  <c r="L3" i="9"/>
  <c r="K3" i="9"/>
  <c r="J3" i="9"/>
  <c r="I3" i="9"/>
  <c r="H3" i="9"/>
  <c r="G3" i="9"/>
  <c r="F3" i="9"/>
  <c r="E3" i="9"/>
  <c r="D3" i="9"/>
  <c r="C3" i="9"/>
  <c r="Z111" i="8"/>
  <c r="Y111" i="8"/>
  <c r="X111" i="8"/>
  <c r="V111" i="8"/>
  <c r="U111" i="8"/>
  <c r="T111" i="8"/>
  <c r="Y112" i="8"/>
  <c r="X112" i="8"/>
  <c r="V112" i="8"/>
  <c r="U112" i="8"/>
  <c r="T112" i="8"/>
  <c r="Z112" i="8"/>
  <c r="Y66" i="8"/>
  <c r="X66" i="8"/>
  <c r="V66" i="8"/>
  <c r="U66" i="8"/>
  <c r="T66" i="8"/>
  <c r="Y65" i="8"/>
  <c r="X65" i="8"/>
  <c r="V65" i="8"/>
  <c r="U65" i="8"/>
  <c r="T65" i="8"/>
  <c r="Y64" i="8"/>
  <c r="X64" i="8"/>
  <c r="V64" i="8"/>
  <c r="U64" i="8"/>
  <c r="T64" i="8"/>
  <c r="Y63" i="8"/>
  <c r="X63" i="8"/>
  <c r="V63" i="8"/>
  <c r="U63" i="8"/>
  <c r="T63" i="8"/>
  <c r="Y60" i="8"/>
  <c r="X60" i="8"/>
  <c r="V60" i="8"/>
  <c r="U60" i="8"/>
  <c r="T60" i="8"/>
  <c r="Y59" i="8"/>
  <c r="X59" i="8"/>
  <c r="V59" i="8"/>
  <c r="U59" i="8"/>
  <c r="T59" i="8"/>
  <c r="Y55" i="8"/>
  <c r="X55" i="8"/>
  <c r="V55" i="8"/>
  <c r="U55" i="8"/>
  <c r="T55" i="8"/>
  <c r="Y54" i="8"/>
  <c r="X54" i="8"/>
  <c r="V54" i="8"/>
  <c r="U54" i="8"/>
  <c r="T54" i="8"/>
  <c r="Y53" i="8"/>
  <c r="X53" i="8"/>
  <c r="V53" i="8"/>
  <c r="U53" i="8"/>
  <c r="T53" i="8"/>
  <c r="Y52" i="8"/>
  <c r="X52" i="8"/>
  <c r="V52" i="8"/>
  <c r="U52" i="8"/>
  <c r="T52" i="8"/>
  <c r="Y51" i="8"/>
  <c r="X51" i="8"/>
  <c r="V51" i="8"/>
  <c r="U51" i="8"/>
  <c r="T51" i="8"/>
  <c r="Y50" i="8"/>
  <c r="X50" i="8"/>
  <c r="V50" i="8"/>
  <c r="U50" i="8"/>
  <c r="T50" i="8"/>
  <c r="Y46" i="8"/>
  <c r="X46" i="8"/>
  <c r="V46" i="8"/>
  <c r="U46" i="8"/>
  <c r="T46" i="8"/>
  <c r="Y45" i="8"/>
  <c r="X45" i="8"/>
  <c r="V45" i="8"/>
  <c r="U45" i="8"/>
  <c r="T45" i="8"/>
  <c r="Y44" i="8"/>
  <c r="X44" i="8"/>
  <c r="V44" i="8"/>
  <c r="U44" i="8"/>
  <c r="T44" i="8"/>
  <c r="Y43" i="8"/>
  <c r="X43" i="8"/>
  <c r="V43" i="8"/>
  <c r="U43" i="8"/>
  <c r="T43" i="8"/>
  <c r="Y39" i="8"/>
  <c r="X39" i="8"/>
  <c r="V39" i="8"/>
  <c r="U39" i="8"/>
  <c r="T39" i="8"/>
  <c r="Z38" i="8"/>
  <c r="Y38" i="8"/>
  <c r="X38" i="8"/>
  <c r="V38" i="8"/>
  <c r="U38" i="8"/>
  <c r="T38" i="8"/>
  <c r="Z37" i="8"/>
  <c r="Y37" i="8"/>
  <c r="X37" i="8"/>
  <c r="V37" i="8"/>
  <c r="U37" i="8"/>
  <c r="T37" i="8"/>
  <c r="Y8" i="8"/>
  <c r="X8" i="8"/>
  <c r="W8" i="8"/>
  <c r="V8" i="8"/>
  <c r="U8" i="8"/>
  <c r="T8" i="8"/>
  <c r="S8" i="8"/>
  <c r="Z8" i="8"/>
  <c r="Y7" i="8"/>
  <c r="X7" i="8"/>
  <c r="W7" i="8"/>
  <c r="V7" i="8"/>
  <c r="U7" i="8"/>
  <c r="T7" i="8"/>
  <c r="S7" i="8"/>
  <c r="Z7" i="8"/>
  <c r="J112" i="8"/>
  <c r="S112" i="8" s="1"/>
  <c r="N112" i="8"/>
  <c r="W112" i="8" s="1"/>
  <c r="L88" i="8"/>
  <c r="N103" i="8"/>
  <c r="Z103" i="8" s="1"/>
  <c r="N102" i="8"/>
  <c r="X102" i="8" s="1"/>
  <c r="N101" i="8"/>
  <c r="Z101" i="8" s="1"/>
  <c r="J103" i="8"/>
  <c r="U103" i="8" s="1"/>
  <c r="J102" i="8"/>
  <c r="T102" i="8" s="1"/>
  <c r="J101" i="8"/>
  <c r="V101" i="8" s="1"/>
  <c r="P102" i="8"/>
  <c r="Q102" i="8" s="1"/>
  <c r="Q36" i="9" s="1"/>
  <c r="L100" i="8"/>
  <c r="M100" i="8" s="1"/>
  <c r="M34" i="9" s="1"/>
  <c r="H100" i="8"/>
  <c r="I100" i="8" s="1"/>
  <c r="I34" i="9" s="1"/>
  <c r="N82" i="8"/>
  <c r="X82" i="8" s="1"/>
  <c r="P96" i="8"/>
  <c r="Q96" i="8" s="1"/>
  <c r="L96" i="8"/>
  <c r="M96" i="8" s="1"/>
  <c r="M28" i="9" s="1"/>
  <c r="H96" i="8"/>
  <c r="I96" i="8" s="1"/>
  <c r="J82" i="8"/>
  <c r="U82" i="8" s="1"/>
  <c r="H87" i="8"/>
  <c r="I87" i="8" s="1"/>
  <c r="L87" i="8"/>
  <c r="M87" i="8" s="1"/>
  <c r="P87" i="8"/>
  <c r="Q87" i="8" s="1"/>
  <c r="Q31" i="9" s="1"/>
  <c r="H88" i="8"/>
  <c r="I88" i="8" s="1"/>
  <c r="H89" i="8"/>
  <c r="L89" i="8"/>
  <c r="M89" i="8" s="1"/>
  <c r="P89" i="8"/>
  <c r="Q89" i="8" s="1"/>
  <c r="H90" i="8"/>
  <c r="I90" i="8" s="1"/>
  <c r="L90" i="8"/>
  <c r="M90" i="8" s="1"/>
  <c r="P90" i="8"/>
  <c r="Q90" i="8" s="1"/>
  <c r="H91" i="8"/>
  <c r="L91" i="8"/>
  <c r="M91" i="8" s="1"/>
  <c r="P91" i="8"/>
  <c r="Q91" i="8" s="1"/>
  <c r="H92" i="8"/>
  <c r="I92" i="8" s="1"/>
  <c r="L92" i="8"/>
  <c r="M92" i="8" s="1"/>
  <c r="P92" i="8"/>
  <c r="Q92" i="8" s="1"/>
  <c r="P84" i="8"/>
  <c r="Q84" i="8" s="1"/>
  <c r="L84" i="8"/>
  <c r="M84" i="8" s="1"/>
  <c r="H84" i="8"/>
  <c r="I84" i="8" s="1"/>
  <c r="P83" i="8"/>
  <c r="Q83" i="8" s="1"/>
  <c r="Q20" i="9" s="1"/>
  <c r="L83" i="8"/>
  <c r="L20" i="9" s="1"/>
  <c r="H83" i="8"/>
  <c r="I83" i="8" s="1"/>
  <c r="I20" i="9" s="1"/>
  <c r="P82" i="8"/>
  <c r="Q82" i="8" s="1"/>
  <c r="P81" i="8"/>
  <c r="Q81" i="8" s="1"/>
  <c r="L81" i="8"/>
  <c r="M81" i="8" s="1"/>
  <c r="N81" i="8" s="1"/>
  <c r="N24" i="9" s="1"/>
  <c r="H81" i="8"/>
  <c r="H24" i="9" s="1"/>
  <c r="N66" i="8"/>
  <c r="W66" i="8" s="1"/>
  <c r="N65" i="8"/>
  <c r="W65" i="8" s="1"/>
  <c r="N64" i="8"/>
  <c r="W64" i="8" s="1"/>
  <c r="N63" i="8"/>
  <c r="W63" i="8" s="1"/>
  <c r="J66" i="8"/>
  <c r="S66" i="8" s="1"/>
  <c r="J65" i="8"/>
  <c r="S65" i="8" s="1"/>
  <c r="J64" i="8"/>
  <c r="S64" i="8" s="1"/>
  <c r="J63" i="8"/>
  <c r="S63" i="8" s="1"/>
  <c r="J60" i="8"/>
  <c r="S60" i="8" s="1"/>
  <c r="J59" i="8"/>
  <c r="S59" i="8" s="1"/>
  <c r="N60" i="8"/>
  <c r="W60" i="8" s="1"/>
  <c r="N59" i="8"/>
  <c r="W59" i="8" s="1"/>
  <c r="Z66" i="8"/>
  <c r="Z65" i="8"/>
  <c r="Z64" i="8"/>
  <c r="Z63" i="8"/>
  <c r="Z60" i="8"/>
  <c r="Z59" i="8"/>
  <c r="Z55" i="8"/>
  <c r="Z54" i="8"/>
  <c r="Z53" i="8"/>
  <c r="Z52" i="8"/>
  <c r="Z51" i="8"/>
  <c r="Z50" i="8"/>
  <c r="Z46" i="8"/>
  <c r="Z45" i="8"/>
  <c r="Z44" i="8"/>
  <c r="Z43" i="8"/>
  <c r="Z39" i="8"/>
  <c r="N55" i="8"/>
  <c r="W55" i="8" s="1"/>
  <c r="N54" i="8"/>
  <c r="W54" i="8" s="1"/>
  <c r="N53" i="8"/>
  <c r="W53" i="8" s="1"/>
  <c r="N52" i="8"/>
  <c r="W52" i="8" s="1"/>
  <c r="N51" i="8"/>
  <c r="W51" i="8" s="1"/>
  <c r="N50" i="8"/>
  <c r="W50" i="8" s="1"/>
  <c r="J55" i="8"/>
  <c r="S55" i="8" s="1"/>
  <c r="J54" i="8"/>
  <c r="S54" i="8" s="1"/>
  <c r="J53" i="8"/>
  <c r="S53" i="8" s="1"/>
  <c r="J52" i="8"/>
  <c r="S52" i="8" s="1"/>
  <c r="J51" i="8"/>
  <c r="S51" i="8" s="1"/>
  <c r="J50" i="8"/>
  <c r="S50" i="8" s="1"/>
  <c r="J46" i="8"/>
  <c r="S46" i="8" s="1"/>
  <c r="J45" i="8"/>
  <c r="S45" i="8" s="1"/>
  <c r="J44" i="8"/>
  <c r="S44" i="8" s="1"/>
  <c r="J43" i="8"/>
  <c r="S43" i="8" s="1"/>
  <c r="N46" i="8"/>
  <c r="W46" i="8" s="1"/>
  <c r="N45" i="8"/>
  <c r="W45" i="8" s="1"/>
  <c r="N44" i="8"/>
  <c r="W44" i="8" s="1"/>
  <c r="N43" i="8"/>
  <c r="W43" i="8" s="1"/>
  <c r="N39" i="8"/>
  <c r="W39" i="8" s="1"/>
  <c r="N38" i="8"/>
  <c r="W38" i="8" s="1"/>
  <c r="N37" i="8"/>
  <c r="W37" i="8" s="1"/>
  <c r="W34" i="9" l="1"/>
  <c r="X36" i="9"/>
  <c r="S35" i="9"/>
  <c r="Y34" i="9"/>
  <c r="H20" i="9"/>
  <c r="J35" i="9"/>
  <c r="V35" i="9" s="1"/>
  <c r="N37" i="9"/>
  <c r="Z37" i="9" s="1"/>
  <c r="T35" i="9"/>
  <c r="J48" i="9"/>
  <c r="S48" i="9" s="1"/>
  <c r="N50" i="9"/>
  <c r="L24" i="9"/>
  <c r="X24" i="9" s="1"/>
  <c r="H31" i="9"/>
  <c r="P31" i="9"/>
  <c r="J36" i="9"/>
  <c r="N43" i="9"/>
  <c r="P20" i="9"/>
  <c r="P36" i="9"/>
  <c r="Y36" i="9" s="1"/>
  <c r="M24" i="9"/>
  <c r="J49" i="9"/>
  <c r="N57" i="9"/>
  <c r="H28" i="9"/>
  <c r="P28" i="9"/>
  <c r="H34" i="9"/>
  <c r="N35" i="9"/>
  <c r="X35" i="9" s="1"/>
  <c r="J37" i="9"/>
  <c r="N44" i="9"/>
  <c r="W44" i="9" s="1"/>
  <c r="P24" i="9"/>
  <c r="Z24" i="9" s="1"/>
  <c r="L31" i="9"/>
  <c r="N36" i="9"/>
  <c r="U43" i="9"/>
  <c r="V43" i="9"/>
  <c r="W43" i="9"/>
  <c r="Y102" i="8"/>
  <c r="W82" i="8"/>
  <c r="Y82" i="8"/>
  <c r="S101" i="8"/>
  <c r="V82" i="8"/>
  <c r="X101" i="8"/>
  <c r="Y101" i="8"/>
  <c r="S103" i="8"/>
  <c r="W81" i="8"/>
  <c r="S102" i="8"/>
  <c r="T103" i="8"/>
  <c r="Y81" i="8"/>
  <c r="T101" i="8"/>
  <c r="U102" i="8"/>
  <c r="V103" i="8"/>
  <c r="S82" i="8"/>
  <c r="U101" i="8"/>
  <c r="V102" i="8"/>
  <c r="W103" i="8"/>
  <c r="T82" i="8"/>
  <c r="W102" i="8"/>
  <c r="X103" i="8"/>
  <c r="N89" i="8"/>
  <c r="W89" i="8" s="1"/>
  <c r="X81" i="8"/>
  <c r="W101" i="8"/>
  <c r="Y103" i="8"/>
  <c r="J88" i="8"/>
  <c r="T88" i="8" s="1"/>
  <c r="N96" i="8"/>
  <c r="N84" i="8"/>
  <c r="N100" i="8"/>
  <c r="N34" i="9" s="1"/>
  <c r="Z34" i="9" s="1"/>
  <c r="Z102" i="8"/>
  <c r="J100" i="8"/>
  <c r="J96" i="8"/>
  <c r="Z82" i="8"/>
  <c r="Z81" i="8"/>
  <c r="N90" i="8"/>
  <c r="W90" i="8" s="1"/>
  <c r="N91" i="8"/>
  <c r="N92" i="8"/>
  <c r="N87" i="8"/>
  <c r="M88" i="8"/>
  <c r="M31" i="9" s="1"/>
  <c r="M83" i="8"/>
  <c r="M20" i="9" s="1"/>
  <c r="J90" i="8"/>
  <c r="J87" i="8"/>
  <c r="J92" i="8"/>
  <c r="V92" i="8" s="1"/>
  <c r="I81" i="8"/>
  <c r="I24" i="9" s="1"/>
  <c r="J83" i="8"/>
  <c r="J84" i="8"/>
  <c r="V84" i="8" s="1"/>
  <c r="I91" i="8"/>
  <c r="I89" i="8"/>
  <c r="I31" i="9" s="1"/>
  <c r="Y87" i="8" l="1"/>
  <c r="U83" i="8"/>
  <c r="J20" i="9"/>
  <c r="S34" i="9"/>
  <c r="T34" i="9"/>
  <c r="W35" i="9"/>
  <c r="X37" i="9"/>
  <c r="V100" i="8"/>
  <c r="J34" i="9"/>
  <c r="V36" i="9"/>
  <c r="S36" i="9"/>
  <c r="U36" i="9"/>
  <c r="W96" i="8"/>
  <c r="N28" i="9"/>
  <c r="Z36" i="9"/>
  <c r="W36" i="9"/>
  <c r="S37" i="9"/>
  <c r="T37" i="9"/>
  <c r="V37" i="9"/>
  <c r="U87" i="8"/>
  <c r="U37" i="9"/>
  <c r="W24" i="9"/>
  <c r="Z35" i="9"/>
  <c r="Y35" i="9"/>
  <c r="W37" i="9"/>
  <c r="Y37" i="9"/>
  <c r="V96" i="8"/>
  <c r="J28" i="9"/>
  <c r="Y24" i="9"/>
  <c r="U35" i="9"/>
  <c r="T36" i="9"/>
  <c r="X34" i="9"/>
  <c r="X96" i="8"/>
  <c r="T84" i="8"/>
  <c r="U84" i="8"/>
  <c r="S84" i="8"/>
  <c r="S83" i="8"/>
  <c r="T83" i="8"/>
  <c r="Z89" i="8"/>
  <c r="T90" i="8"/>
  <c r="V90" i="8"/>
  <c r="U90" i="8"/>
  <c r="S87" i="8"/>
  <c r="U92" i="8"/>
  <c r="J89" i="8"/>
  <c r="V89" i="8" s="1"/>
  <c r="N83" i="8"/>
  <c r="U88" i="8"/>
  <c r="V88" i="8"/>
  <c r="S88" i="8"/>
  <c r="Y89" i="8"/>
  <c r="T92" i="8"/>
  <c r="T100" i="8"/>
  <c r="V83" i="8"/>
  <c r="Z92" i="8"/>
  <c r="Y92" i="8"/>
  <c r="W92" i="8"/>
  <c r="S90" i="8"/>
  <c r="S92" i="8"/>
  <c r="S100" i="8"/>
  <c r="U100" i="8"/>
  <c r="T87" i="8"/>
  <c r="V87" i="8"/>
  <c r="J91" i="8"/>
  <c r="V91" i="8" s="1"/>
  <c r="J81" i="8"/>
  <c r="Z91" i="8"/>
  <c r="X91" i="8"/>
  <c r="Z100" i="8"/>
  <c r="W100" i="8"/>
  <c r="X100" i="8"/>
  <c r="X87" i="8"/>
  <c r="W87" i="8"/>
  <c r="X89" i="8"/>
  <c r="X90" i="8"/>
  <c r="X92" i="8"/>
  <c r="Y90" i="8"/>
  <c r="X84" i="8"/>
  <c r="Y84" i="8"/>
  <c r="W84" i="8"/>
  <c r="W91" i="8"/>
  <c r="Y100" i="8"/>
  <c r="Y91" i="8"/>
  <c r="Z84" i="8"/>
  <c r="Y96" i="8"/>
  <c r="Z96" i="8"/>
  <c r="Z90" i="8"/>
  <c r="Z87" i="8"/>
  <c r="N88" i="8"/>
  <c r="Z88" i="8" s="1"/>
  <c r="J39" i="8"/>
  <c r="J38" i="8"/>
  <c r="S38" i="8" s="1"/>
  <c r="J37" i="8"/>
  <c r="N24" i="8"/>
  <c r="N23" i="8"/>
  <c r="N22" i="8"/>
  <c r="J24" i="8"/>
  <c r="J23" i="8"/>
  <c r="J22" i="8"/>
  <c r="N13" i="8"/>
  <c r="N11" i="9" s="1"/>
  <c r="J13" i="8"/>
  <c r="J11" i="9" s="1"/>
  <c r="N18" i="8"/>
  <c r="N16" i="9" s="1"/>
  <c r="N17" i="8"/>
  <c r="N15" i="9" s="1"/>
  <c r="N10" i="8"/>
  <c r="N6" i="9" s="1"/>
  <c r="J10" i="8"/>
  <c r="J6" i="9" s="1"/>
  <c r="J18" i="8"/>
  <c r="J16" i="9" s="1"/>
  <c r="J17" i="8"/>
  <c r="J15" i="9" s="1"/>
  <c r="S37" i="8" l="1"/>
  <c r="J43" i="9"/>
  <c r="S43" i="9" s="1"/>
  <c r="V28" i="9"/>
  <c r="U28" i="9"/>
  <c r="S28" i="9"/>
  <c r="T28" i="9"/>
  <c r="V34" i="9"/>
  <c r="U34" i="9"/>
  <c r="N31" i="9"/>
  <c r="S39" i="8"/>
  <c r="J44" i="9"/>
  <c r="S44" i="9" s="1"/>
  <c r="U81" i="8"/>
  <c r="J24" i="9"/>
  <c r="T6" i="9"/>
  <c r="U6" i="9"/>
  <c r="V6" i="9"/>
  <c r="S6" i="9"/>
  <c r="X83" i="8"/>
  <c r="N20" i="9"/>
  <c r="J31" i="9"/>
  <c r="W6" i="9"/>
  <c r="Y6" i="9"/>
  <c r="Z6" i="9"/>
  <c r="X6" i="9"/>
  <c r="Z28" i="9"/>
  <c r="Y28" i="9"/>
  <c r="W28" i="9"/>
  <c r="X28" i="9"/>
  <c r="Z83" i="8"/>
  <c r="U91" i="8"/>
  <c r="Y88" i="8"/>
  <c r="Y83" i="8"/>
  <c r="T13" i="8"/>
  <c r="S13" i="8"/>
  <c r="V13" i="8"/>
  <c r="U13" i="8"/>
  <c r="V17" i="8"/>
  <c r="T17" i="8"/>
  <c r="S17" i="8"/>
  <c r="U17" i="8"/>
  <c r="S22" i="8"/>
  <c r="V22" i="8"/>
  <c r="T22" i="8"/>
  <c r="U22" i="8"/>
  <c r="T91" i="8"/>
  <c r="W83" i="8"/>
  <c r="U10" i="8"/>
  <c r="V10" i="8"/>
  <c r="S10" i="8"/>
  <c r="T10" i="8"/>
  <c r="Y10" i="8"/>
  <c r="X10" i="8"/>
  <c r="W10" i="8"/>
  <c r="W88" i="8"/>
  <c r="S18" i="8"/>
  <c r="V18" i="8"/>
  <c r="T18" i="8"/>
  <c r="U18" i="8"/>
  <c r="X88" i="8"/>
  <c r="Z13" i="8"/>
  <c r="Y13" i="8"/>
  <c r="X13" i="8"/>
  <c r="W13" i="8"/>
  <c r="T23" i="8"/>
  <c r="V23" i="8"/>
  <c r="S23" i="8"/>
  <c r="U23" i="8"/>
  <c r="V24" i="8"/>
  <c r="S24" i="8"/>
  <c r="T24" i="8"/>
  <c r="U24" i="8"/>
  <c r="Z22" i="8"/>
  <c r="Y22" i="8"/>
  <c r="X22" i="8"/>
  <c r="W22" i="8"/>
  <c r="Z17" i="8"/>
  <c r="Y17" i="8"/>
  <c r="X17" i="8"/>
  <c r="W17" i="8"/>
  <c r="Z23" i="8"/>
  <c r="Y23" i="8"/>
  <c r="X23" i="8"/>
  <c r="W23" i="8"/>
  <c r="U89" i="8"/>
  <c r="Z18" i="8"/>
  <c r="Y18" i="8"/>
  <c r="X18" i="8"/>
  <c r="W18" i="8"/>
  <c r="Z24" i="8"/>
  <c r="Y24" i="8"/>
  <c r="X24" i="8"/>
  <c r="W24" i="8"/>
  <c r="V81" i="8"/>
  <c r="T81" i="8"/>
  <c r="S81" i="8"/>
  <c r="T89" i="8"/>
  <c r="S89" i="8"/>
  <c r="S91" i="8"/>
  <c r="Z10" i="8"/>
  <c r="AB65" i="8"/>
  <c r="E104" i="8"/>
  <c r="C104" i="8"/>
  <c r="AB6" i="9" l="1"/>
  <c r="V24" i="9"/>
  <c r="T24" i="9"/>
  <c r="S24" i="9"/>
  <c r="U24" i="9"/>
  <c r="V31" i="9"/>
  <c r="U31" i="9"/>
  <c r="T31" i="9"/>
  <c r="S31" i="9"/>
  <c r="Z31" i="9"/>
  <c r="W31" i="9"/>
  <c r="Y31" i="9"/>
  <c r="X31" i="9"/>
  <c r="AB37" i="8"/>
  <c r="AB103" i="8"/>
  <c r="AB39" i="8"/>
  <c r="AB54" i="8"/>
  <c r="AB59" i="8"/>
  <c r="AB44" i="8"/>
  <c r="AB46" i="8"/>
  <c r="AB52" i="8"/>
  <c r="AB53" i="8"/>
  <c r="AB51" i="8"/>
  <c r="AB66" i="8"/>
  <c r="AB43" i="8"/>
  <c r="AB55" i="8"/>
  <c r="AB63" i="8"/>
  <c r="AB38" i="8"/>
  <c r="AB45" i="8"/>
  <c r="AB60" i="8"/>
  <c r="AB64" i="8"/>
  <c r="AB102" i="8"/>
  <c r="AB24" i="8"/>
  <c r="AB23" i="8"/>
  <c r="M104" i="8"/>
  <c r="D104" i="8"/>
  <c r="K104" i="8"/>
  <c r="L104" i="8"/>
  <c r="G104" i="8"/>
  <c r="O104" i="8"/>
  <c r="H104" i="8"/>
  <c r="P104" i="8"/>
  <c r="Q104" i="8"/>
  <c r="S104" i="8"/>
  <c r="T104" i="8"/>
  <c r="U104" i="8"/>
  <c r="AB22" i="8" l="1"/>
  <c r="I104" i="8"/>
  <c r="J104" i="8"/>
  <c r="N104" i="8"/>
  <c r="V104" i="8" l="1"/>
  <c r="AB84" i="8"/>
  <c r="X104" i="8"/>
  <c r="AB101" i="8"/>
  <c r="AB100" i="8"/>
  <c r="Z104" i="8"/>
  <c r="Y104" i="8"/>
  <c r="W104" i="8"/>
  <c r="N54" i="9" l="1"/>
  <c r="J54" i="9"/>
  <c r="G55" i="9"/>
  <c r="N111" i="8"/>
  <c r="W111" i="8" s="1"/>
  <c r="Y50" i="9"/>
  <c r="X50" i="9"/>
  <c r="V50" i="9"/>
  <c r="U50" i="9"/>
  <c r="T50" i="9"/>
  <c r="Y49" i="9"/>
  <c r="X49" i="9"/>
  <c r="V49" i="9"/>
  <c r="U49" i="9"/>
  <c r="T49" i="9"/>
  <c r="Q67" i="8"/>
  <c r="P67" i="8"/>
  <c r="Y57" i="9" s="1"/>
  <c r="O67" i="8"/>
  <c r="X57" i="9" s="1"/>
  <c r="M67" i="8"/>
  <c r="V57" i="9" s="1"/>
  <c r="L67" i="8"/>
  <c r="U57" i="9" s="1"/>
  <c r="K67" i="8"/>
  <c r="T57" i="9" s="1"/>
  <c r="I67" i="8"/>
  <c r="H67" i="8"/>
  <c r="G67" i="8"/>
  <c r="E67" i="8"/>
  <c r="D67" i="8"/>
  <c r="C67" i="8"/>
  <c r="N28" i="8"/>
  <c r="J28" i="8"/>
  <c r="S50" i="9"/>
  <c r="S49" i="9"/>
  <c r="T20" i="9" l="1"/>
  <c r="S20" i="9"/>
  <c r="U20" i="9"/>
  <c r="X20" i="9"/>
  <c r="W20" i="9"/>
  <c r="V20" i="9"/>
  <c r="Y20" i="9"/>
  <c r="S11" i="9"/>
  <c r="T11" i="9"/>
  <c r="Y11" i="9"/>
  <c r="T28" i="8"/>
  <c r="S28" i="8"/>
  <c r="V28" i="8"/>
  <c r="U28" i="8"/>
  <c r="Z28" i="8"/>
  <c r="Y28" i="8"/>
  <c r="X28" i="8"/>
  <c r="W28" i="8"/>
  <c r="AB50" i="8"/>
  <c r="J111" i="8"/>
  <c r="S111" i="8" s="1"/>
  <c r="P45" i="9"/>
  <c r="J45" i="9"/>
  <c r="G58" i="9"/>
  <c r="M45" i="9"/>
  <c r="Q45" i="9"/>
  <c r="L45" i="9"/>
  <c r="G45" i="9"/>
  <c r="I45" i="9"/>
  <c r="H45" i="9"/>
  <c r="O45" i="9"/>
  <c r="Z16" i="9"/>
  <c r="V15" i="9"/>
  <c r="V16" i="9"/>
  <c r="K45" i="9"/>
  <c r="V11" i="9"/>
  <c r="Z15" i="9"/>
  <c r="W50" i="9"/>
  <c r="W49" i="9"/>
  <c r="T96" i="8"/>
  <c r="Z11" i="9"/>
  <c r="O7" i="9"/>
  <c r="J67" i="8"/>
  <c r="S57" i="9" s="1"/>
  <c r="S67" i="8"/>
  <c r="U67" i="8"/>
  <c r="V67" i="8"/>
  <c r="W67" i="8"/>
  <c r="Y67" i="8"/>
  <c r="N67" i="8"/>
  <c r="W57" i="9" s="1"/>
  <c r="T67" i="8"/>
  <c r="X67" i="8"/>
  <c r="Z67" i="8"/>
  <c r="W15" i="9" l="1"/>
  <c r="U15" i="9"/>
  <c r="Y16" i="9"/>
  <c r="S16" i="9"/>
  <c r="W16" i="9"/>
  <c r="X15" i="9"/>
  <c r="Y15" i="9"/>
  <c r="S15" i="9"/>
  <c r="X16" i="9"/>
  <c r="T16" i="9"/>
  <c r="U16" i="9"/>
  <c r="T15" i="9"/>
  <c r="X11" i="9"/>
  <c r="W11" i="9"/>
  <c r="U11" i="9"/>
  <c r="AB91" i="8"/>
  <c r="AB90" i="8"/>
  <c r="AB18" i="8"/>
  <c r="AB28" i="8"/>
  <c r="N45" i="9"/>
  <c r="Z20" i="9"/>
  <c r="S96" i="8"/>
  <c r="Y108" i="8"/>
  <c r="U96" i="8"/>
  <c r="AB83" i="8"/>
  <c r="AB87" i="8" l="1"/>
  <c r="AB81" i="8"/>
  <c r="AB89" i="8"/>
  <c r="AB92" i="8"/>
  <c r="AB88" i="8"/>
  <c r="AB16" i="9"/>
  <c r="AB96" i="8"/>
  <c r="AB82" i="8" l="1"/>
  <c r="J55" i="9" l="1"/>
  <c r="I55" i="9"/>
  <c r="H55" i="9"/>
  <c r="E55" i="9"/>
  <c r="D55" i="9"/>
  <c r="C55" i="9"/>
  <c r="Q56" i="8"/>
  <c r="Q51" i="9" s="1"/>
  <c r="Z51" i="9" s="1"/>
  <c r="Z45" i="9"/>
  <c r="Y45" i="9"/>
  <c r="W45" i="9"/>
  <c r="V45" i="9"/>
  <c r="U45" i="9"/>
  <c r="S45" i="9"/>
  <c r="U4" i="9"/>
  <c r="T4" i="9"/>
  <c r="S4" i="9"/>
  <c r="U3" i="9"/>
  <c r="T3" i="9"/>
  <c r="S3" i="9"/>
  <c r="O97" i="8"/>
  <c r="K97" i="8"/>
  <c r="N11" i="8"/>
  <c r="N7" i="9" s="1"/>
  <c r="J11" i="8"/>
  <c r="J7" i="9" s="1"/>
  <c r="X45" i="9"/>
  <c r="P40" i="8"/>
  <c r="P47" i="8" s="1"/>
  <c r="O40" i="8"/>
  <c r="O47" i="8" s="1"/>
  <c r="K40" i="8"/>
  <c r="K47" i="8" s="1"/>
  <c r="Q75" i="8"/>
  <c r="P75" i="8"/>
  <c r="O75" i="8"/>
  <c r="N75" i="8"/>
  <c r="M75" i="8"/>
  <c r="L75" i="8"/>
  <c r="K75" i="8"/>
  <c r="J75" i="8"/>
  <c r="I75" i="8"/>
  <c r="H75" i="8"/>
  <c r="Q74" i="8"/>
  <c r="P74" i="8"/>
  <c r="O74" i="8"/>
  <c r="N74" i="8"/>
  <c r="M74" i="8"/>
  <c r="L74" i="8"/>
  <c r="K74" i="8"/>
  <c r="J74" i="8"/>
  <c r="I74" i="8"/>
  <c r="H74" i="8"/>
  <c r="I56" i="8"/>
  <c r="I51" i="9" s="1"/>
  <c r="H56" i="8"/>
  <c r="H51" i="9" s="1"/>
  <c r="G40" i="8"/>
  <c r="G47" i="8" s="1"/>
  <c r="H40" i="8"/>
  <c r="H47" i="8" s="1"/>
  <c r="I40" i="8"/>
  <c r="I47" i="8" s="1"/>
  <c r="L40" i="8"/>
  <c r="L47" i="8" s="1"/>
  <c r="M40" i="8"/>
  <c r="M47" i="8" s="1"/>
  <c r="Q40" i="8"/>
  <c r="Q47" i="8" s="1"/>
  <c r="Q34" i="8"/>
  <c r="P34" i="8"/>
  <c r="O34" i="8"/>
  <c r="N34" i="8"/>
  <c r="M34" i="8"/>
  <c r="L34" i="8"/>
  <c r="K34" i="8"/>
  <c r="J34" i="8"/>
  <c r="I34" i="8"/>
  <c r="H34" i="8"/>
  <c r="Q33" i="8"/>
  <c r="P33" i="8"/>
  <c r="O33" i="8"/>
  <c r="N33" i="8"/>
  <c r="M33" i="8"/>
  <c r="L33" i="8"/>
  <c r="K33" i="8"/>
  <c r="J33" i="8"/>
  <c r="I33" i="8"/>
  <c r="H33" i="8"/>
  <c r="G34" i="8"/>
  <c r="G33" i="8"/>
  <c r="E34" i="8"/>
  <c r="D34" i="8"/>
  <c r="C34" i="8"/>
  <c r="E33" i="8"/>
  <c r="D33" i="8"/>
  <c r="C33" i="8"/>
  <c r="Q11" i="8"/>
  <c r="Q14" i="8" s="1"/>
  <c r="P11" i="8"/>
  <c r="P14" i="8" s="1"/>
  <c r="O11" i="8"/>
  <c r="O14" i="8" s="1"/>
  <c r="M11" i="8"/>
  <c r="L11" i="8"/>
  <c r="K11" i="8"/>
  <c r="I11" i="8"/>
  <c r="H11" i="8"/>
  <c r="G11" i="8"/>
  <c r="U108" i="8" l="1"/>
  <c r="V108" i="8"/>
  <c r="G14" i="8"/>
  <c r="G15" i="8" s="1"/>
  <c r="G7" i="9"/>
  <c r="G12" i="9" s="1"/>
  <c r="Q61" i="8"/>
  <c r="Q52" i="9" s="1"/>
  <c r="Z52" i="9" s="1"/>
  <c r="H14" i="8"/>
  <c r="H15" i="8" s="1"/>
  <c r="H7" i="9"/>
  <c r="K14" i="8"/>
  <c r="K19" i="8" s="1"/>
  <c r="K25" i="8" s="1"/>
  <c r="K26" i="8" s="1"/>
  <c r="K7" i="9"/>
  <c r="H61" i="8"/>
  <c r="H52" i="9" s="1"/>
  <c r="L14" i="8"/>
  <c r="L15" i="8" s="1"/>
  <c r="L7" i="9"/>
  <c r="I61" i="8"/>
  <c r="I52" i="9" s="1"/>
  <c r="M14" i="8"/>
  <c r="M15" i="8" s="1"/>
  <c r="M7" i="9"/>
  <c r="X108" i="8"/>
  <c r="W108" i="8"/>
  <c r="I14" i="8"/>
  <c r="I19" i="8" s="1"/>
  <c r="I25" i="8" s="1"/>
  <c r="I7" i="9"/>
  <c r="T108" i="8"/>
  <c r="M55" i="9"/>
  <c r="C45" i="9"/>
  <c r="L55" i="9"/>
  <c r="D45" i="9"/>
  <c r="N55" i="9"/>
  <c r="P55" i="9"/>
  <c r="Q55" i="9"/>
  <c r="V55" i="9"/>
  <c r="V58" i="9" s="1"/>
  <c r="E45" i="9"/>
  <c r="W55" i="9"/>
  <c r="W58" i="9" s="1"/>
  <c r="S55" i="9"/>
  <c r="S58" i="9" s="1"/>
  <c r="Y55" i="9"/>
  <c r="U55" i="9"/>
  <c r="U58" i="9" s="1"/>
  <c r="K55" i="9"/>
  <c r="O55" i="9"/>
  <c r="T55" i="9"/>
  <c r="O56" i="8"/>
  <c r="O51" i="9" s="1"/>
  <c r="L56" i="8"/>
  <c r="L51" i="9" s="1"/>
  <c r="K56" i="8"/>
  <c r="P56" i="8"/>
  <c r="E56" i="8"/>
  <c r="E51" i="9" s="1"/>
  <c r="M56" i="8"/>
  <c r="M51" i="9" s="1"/>
  <c r="H97" i="8"/>
  <c r="J97" i="8"/>
  <c r="L97" i="8"/>
  <c r="P97" i="8"/>
  <c r="Q97" i="8"/>
  <c r="J14" i="8"/>
  <c r="J15" i="8" s="1"/>
  <c r="N14" i="8"/>
  <c r="N15" i="8" s="1"/>
  <c r="N40" i="8"/>
  <c r="N47" i="8" s="1"/>
  <c r="N56" i="8"/>
  <c r="N51" i="9" s="1"/>
  <c r="J40" i="8"/>
  <c r="J47" i="8" s="1"/>
  <c r="J56" i="8"/>
  <c r="J51" i="9" s="1"/>
  <c r="P15" i="8"/>
  <c r="P19" i="8"/>
  <c r="Q15" i="8"/>
  <c r="Q19" i="8"/>
  <c r="Q25" i="8" s="1"/>
  <c r="O15" i="8"/>
  <c r="O19" i="8"/>
  <c r="O25" i="8" s="1"/>
  <c r="P51" i="9" l="1"/>
  <c r="Y51" i="9" s="1"/>
  <c r="K51" i="9"/>
  <c r="T51" i="9" s="1"/>
  <c r="G19" i="8"/>
  <c r="G25" i="8" s="1"/>
  <c r="G26" i="8" s="1"/>
  <c r="L19" i="8"/>
  <c r="L25" i="8" s="1"/>
  <c r="I68" i="8"/>
  <c r="I70" i="8" s="1"/>
  <c r="Q68" i="8"/>
  <c r="Q70" i="8" s="1"/>
  <c r="H68" i="8"/>
  <c r="H70" i="8" s="1"/>
  <c r="K20" i="8"/>
  <c r="K29" i="8"/>
  <c r="S7" i="9"/>
  <c r="K15" i="8"/>
  <c r="M19" i="8"/>
  <c r="M25" i="8" s="1"/>
  <c r="H19" i="8"/>
  <c r="H25" i="8" s="1"/>
  <c r="I15" i="8"/>
  <c r="O61" i="8"/>
  <c r="X51" i="9"/>
  <c r="M61" i="8"/>
  <c r="V51" i="9"/>
  <c r="E61" i="8"/>
  <c r="E52" i="9" s="1"/>
  <c r="L61" i="8"/>
  <c r="U51" i="9"/>
  <c r="N61" i="8"/>
  <c r="W51" i="9"/>
  <c r="G17" i="9"/>
  <c r="G13" i="9"/>
  <c r="J61" i="8"/>
  <c r="S51" i="9"/>
  <c r="Y7" i="9"/>
  <c r="X55" i="9"/>
  <c r="T7" i="9"/>
  <c r="W7" i="9"/>
  <c r="W12" i="9" s="1"/>
  <c r="W13" i="9" s="1"/>
  <c r="Z55" i="9"/>
  <c r="T58" i="9"/>
  <c r="T45" i="9"/>
  <c r="K61" i="8"/>
  <c r="K52" i="9" s="1"/>
  <c r="P61" i="8"/>
  <c r="P52" i="9" s="1"/>
  <c r="M97" i="8"/>
  <c r="I97" i="8"/>
  <c r="N97" i="8"/>
  <c r="P20" i="8"/>
  <c r="P25" i="8"/>
  <c r="J19" i="8"/>
  <c r="N19" i="8"/>
  <c r="Q20" i="8"/>
  <c r="O20" i="8"/>
  <c r="I20" i="8"/>
  <c r="O52" i="9" l="1"/>
  <c r="X52" i="9" s="1"/>
  <c r="N52" i="9"/>
  <c r="W52" i="9" s="1"/>
  <c r="L52" i="9"/>
  <c r="U52" i="9" s="1"/>
  <c r="J52" i="9"/>
  <c r="S52" i="9" s="1"/>
  <c r="M52" i="9"/>
  <c r="V52" i="9" s="1"/>
  <c r="K78" i="8"/>
  <c r="K93" i="8" s="1"/>
  <c r="K113" i="8" s="1"/>
  <c r="T113" i="8" s="1"/>
  <c r="G20" i="8"/>
  <c r="O68" i="8"/>
  <c r="O70" i="8" s="1"/>
  <c r="L20" i="8"/>
  <c r="M20" i="8"/>
  <c r="N68" i="8"/>
  <c r="N70" i="8" s="1"/>
  <c r="M68" i="8"/>
  <c r="M70" i="8" s="1"/>
  <c r="L68" i="8"/>
  <c r="L70" i="8" s="1"/>
  <c r="J68" i="8"/>
  <c r="J70" i="8" s="1"/>
  <c r="K30" i="8"/>
  <c r="H20" i="8"/>
  <c r="G18" i="9"/>
  <c r="G21" i="9"/>
  <c r="P68" i="8"/>
  <c r="P70" i="8" s="1"/>
  <c r="Y52" i="9"/>
  <c r="K68" i="8"/>
  <c r="K70" i="8" s="1"/>
  <c r="T52" i="9"/>
  <c r="T12" i="9"/>
  <c r="T13" i="9" s="1"/>
  <c r="V7" i="9"/>
  <c r="V12" i="9" s="1"/>
  <c r="V13" i="9" s="1"/>
  <c r="U7" i="9"/>
  <c r="Y8" i="9" s="1"/>
  <c r="X7" i="9"/>
  <c r="W8" i="9"/>
  <c r="W17" i="9"/>
  <c r="W18" i="9" s="1"/>
  <c r="Y12" i="9"/>
  <c r="Y13" i="9" s="1"/>
  <c r="S12" i="9"/>
  <c r="S13" i="9" s="1"/>
  <c r="N20" i="8"/>
  <c r="N25" i="8"/>
  <c r="N29" i="8" s="1"/>
  <c r="N78" i="8" s="1"/>
  <c r="J25" i="8"/>
  <c r="J29" i="8" s="1"/>
  <c r="J20" i="8"/>
  <c r="Q29" i="8"/>
  <c r="Q78" i="8" s="1"/>
  <c r="Q26" i="8"/>
  <c r="P26" i="8"/>
  <c r="P29" i="8"/>
  <c r="P78" i="8" s="1"/>
  <c r="I29" i="8"/>
  <c r="I78" i="8" s="1"/>
  <c r="I26" i="8"/>
  <c r="M29" i="8"/>
  <c r="M78" i="8" s="1"/>
  <c r="M26" i="8"/>
  <c r="L29" i="8"/>
  <c r="L78" i="8" s="1"/>
  <c r="L26" i="8"/>
  <c r="O29" i="8"/>
  <c r="O78" i="8" s="1"/>
  <c r="O26" i="8"/>
  <c r="H26" i="8"/>
  <c r="H29" i="8"/>
  <c r="H78" i="8" s="1"/>
  <c r="J78" i="8" l="1"/>
  <c r="G25" i="9"/>
  <c r="G22" i="9"/>
  <c r="I93" i="8"/>
  <c r="I113" i="8" s="1"/>
  <c r="U12" i="9"/>
  <c r="U13" i="9" s="1"/>
  <c r="X8" i="9"/>
  <c r="X12" i="9"/>
  <c r="X17" i="9" s="1"/>
  <c r="X18" i="9" s="1"/>
  <c r="O93" i="8"/>
  <c r="O113" i="8" s="1"/>
  <c r="X113" i="8" s="1"/>
  <c r="P93" i="8"/>
  <c r="P113" i="8" s="1"/>
  <c r="Y113" i="8" s="1"/>
  <c r="Q93" i="8"/>
  <c r="Q113" i="8" s="1"/>
  <c r="Z113" i="8" s="1"/>
  <c r="M93" i="8"/>
  <c r="M113" i="8" s="1"/>
  <c r="V113" i="8" s="1"/>
  <c r="W21" i="9"/>
  <c r="W25" i="9" s="1"/>
  <c r="V17" i="9"/>
  <c r="V18" i="9" s="1"/>
  <c r="Y17" i="9"/>
  <c r="Y18" i="9" s="1"/>
  <c r="S17" i="9"/>
  <c r="S21" i="9" s="1"/>
  <c r="S25" i="9" s="1"/>
  <c r="T17" i="9"/>
  <c r="T18" i="9" s="1"/>
  <c r="J26" i="8"/>
  <c r="J30" i="8"/>
  <c r="N26" i="8"/>
  <c r="N30" i="8"/>
  <c r="L30" i="8"/>
  <c r="Q30" i="8"/>
  <c r="M30" i="8"/>
  <c r="O30" i="8"/>
  <c r="I30" i="8"/>
  <c r="H30" i="8"/>
  <c r="P30" i="8"/>
  <c r="G26" i="9" l="1"/>
  <c r="G32" i="9"/>
  <c r="H93" i="8"/>
  <c r="H113" i="8" s="1"/>
  <c r="J93" i="8"/>
  <c r="J113" i="8" s="1"/>
  <c r="S113" i="8" s="1"/>
  <c r="U17" i="9"/>
  <c r="U18" i="9" s="1"/>
  <c r="X13" i="9"/>
  <c r="X21" i="9"/>
  <c r="X25" i="9" s="1"/>
  <c r="L93" i="8"/>
  <c r="L113" i="8" s="1"/>
  <c r="U113" i="8" s="1"/>
  <c r="W22" i="9"/>
  <c r="Y21" i="9"/>
  <c r="Y25" i="9" s="1"/>
  <c r="V21" i="9"/>
  <c r="V25" i="9" s="1"/>
  <c r="S18" i="9"/>
  <c r="T21" i="9"/>
  <c r="S22" i="9"/>
  <c r="S26" i="9"/>
  <c r="S32" i="9"/>
  <c r="W32" i="9"/>
  <c r="W26" i="9"/>
  <c r="G39" i="9" l="1"/>
  <c r="U21" i="9"/>
  <c r="U25" i="9" s="1"/>
  <c r="X32" i="9"/>
  <c r="X22" i="9"/>
  <c r="X26" i="9"/>
  <c r="Y22" i="9"/>
  <c r="T22" i="9"/>
  <c r="T25" i="9"/>
  <c r="V22" i="9"/>
  <c r="Y32" i="9"/>
  <c r="Y26" i="9"/>
  <c r="U26" i="9" l="1"/>
  <c r="U22" i="9"/>
  <c r="U32" i="9"/>
  <c r="T26" i="9"/>
  <c r="V32" i="9"/>
  <c r="T32" i="9"/>
  <c r="V26" i="9"/>
  <c r="B75" i="8"/>
  <c r="B74" i="8"/>
  <c r="G75" i="8"/>
  <c r="G74" i="8"/>
  <c r="E75" i="8"/>
  <c r="D75" i="8"/>
  <c r="C75" i="8"/>
  <c r="E74" i="8"/>
  <c r="D74" i="8"/>
  <c r="C74" i="8"/>
  <c r="B34" i="8"/>
  <c r="B33" i="8"/>
  <c r="Z34" i="8"/>
  <c r="Y34" i="8"/>
  <c r="X34" i="8"/>
  <c r="V34" i="8"/>
  <c r="U34" i="8"/>
  <c r="T34" i="8"/>
  <c r="W34" i="8"/>
  <c r="S34" i="8"/>
  <c r="Z33" i="8"/>
  <c r="Y33" i="8"/>
  <c r="X33" i="8"/>
  <c r="W33" i="8"/>
  <c r="V33" i="8"/>
  <c r="U33" i="8"/>
  <c r="T33" i="8"/>
  <c r="S33" i="8"/>
  <c r="S74" i="8" l="1"/>
  <c r="T74" i="8"/>
  <c r="T75" i="8"/>
  <c r="W74" i="8"/>
  <c r="X74" i="8"/>
  <c r="S75" i="8"/>
  <c r="X75" i="8"/>
  <c r="Y75" i="8"/>
  <c r="V74" i="8"/>
  <c r="Y74" i="8"/>
  <c r="V75" i="8"/>
  <c r="U75" i="8"/>
  <c r="Z74" i="8"/>
  <c r="W75" i="8"/>
  <c r="U74" i="8"/>
  <c r="Z75" i="8"/>
  <c r="X58" i="9" l="1"/>
  <c r="D7" i="9" l="1"/>
  <c r="P7" i="9"/>
  <c r="Q7" i="9"/>
  <c r="E7" i="9"/>
  <c r="C7" i="9"/>
  <c r="Y58" i="9"/>
  <c r="Z58" i="9" l="1"/>
  <c r="Z7" i="9"/>
  <c r="AB7" i="9" l="1"/>
  <c r="U11" i="8" l="1"/>
  <c r="D40" i="8"/>
  <c r="D47" i="8" s="1"/>
  <c r="C40" i="8"/>
  <c r="C47" i="8" s="1"/>
  <c r="E40" i="8"/>
  <c r="E47" i="8" s="1"/>
  <c r="V11" i="8" l="1"/>
  <c r="U14" i="8"/>
  <c r="U19" i="8" s="1"/>
  <c r="U25" i="8" s="1"/>
  <c r="V40" i="8"/>
  <c r="V47" i="8" s="1"/>
  <c r="T40" i="8"/>
  <c r="T47" i="8" s="1"/>
  <c r="V56" i="8"/>
  <c r="V61" i="8" s="1"/>
  <c r="U56" i="8"/>
  <c r="U61" i="8" s="1"/>
  <c r="S11" i="8"/>
  <c r="U40" i="8"/>
  <c r="U47" i="8" s="1"/>
  <c r="T11" i="8"/>
  <c r="T56" i="8"/>
  <c r="T61" i="8" s="1"/>
  <c r="X40" i="8"/>
  <c r="X47" i="8" s="1"/>
  <c r="X11" i="8"/>
  <c r="X56" i="8"/>
  <c r="X61" i="8" s="1"/>
  <c r="Y56" i="8"/>
  <c r="Y61" i="8" s="1"/>
  <c r="W11" i="8"/>
  <c r="Y11" i="8"/>
  <c r="Y40" i="8"/>
  <c r="Y47" i="8" s="1"/>
  <c r="U20" i="8" l="1"/>
  <c r="U29" i="8"/>
  <c r="U78" i="8" s="1"/>
  <c r="T14" i="8"/>
  <c r="T19" i="8" s="1"/>
  <c r="T25" i="8" s="1"/>
  <c r="Z12" i="9"/>
  <c r="X14" i="8"/>
  <c r="X19" i="8" s="1"/>
  <c r="X25" i="8" s="1"/>
  <c r="AB10" i="8"/>
  <c r="V68" i="8"/>
  <c r="V70" i="8" s="1"/>
  <c r="T68" i="8"/>
  <c r="T70" i="8" s="1"/>
  <c r="AB17" i="8"/>
  <c r="U68" i="8"/>
  <c r="U70" i="8" s="1"/>
  <c r="V14" i="8"/>
  <c r="V19" i="8" s="1"/>
  <c r="V25" i="8" s="1"/>
  <c r="S14" i="8"/>
  <c r="S19" i="8" s="1"/>
  <c r="S25" i="8" s="1"/>
  <c r="U15" i="8"/>
  <c r="AB13" i="8"/>
  <c r="X68" i="8"/>
  <c r="X70" i="8" s="1"/>
  <c r="Y14" i="8"/>
  <c r="Y19" i="8" s="1"/>
  <c r="Y25" i="8" s="1"/>
  <c r="W14" i="8"/>
  <c r="W19" i="8" s="1"/>
  <c r="W25" i="8" s="1"/>
  <c r="Y68" i="8"/>
  <c r="Y70" i="8" s="1"/>
  <c r="T20" i="8" l="1"/>
  <c r="T29" i="8"/>
  <c r="T78" i="8" s="1"/>
  <c r="S20" i="8"/>
  <c r="S29" i="8"/>
  <c r="S78" i="8" s="1"/>
  <c r="V29" i="8"/>
  <c r="V78" i="8" s="1"/>
  <c r="V20" i="8"/>
  <c r="X29" i="8"/>
  <c r="X78" i="8" s="1"/>
  <c r="X20" i="8"/>
  <c r="W29" i="8"/>
  <c r="W78" i="8" s="1"/>
  <c r="W20" i="8"/>
  <c r="Y29" i="8"/>
  <c r="Y78" i="8" s="1"/>
  <c r="Y20" i="8"/>
  <c r="X15" i="8"/>
  <c r="W15" i="8"/>
  <c r="T15" i="8"/>
  <c r="Y15" i="8"/>
  <c r="V15" i="8"/>
  <c r="Z13" i="9"/>
  <c r="Z17" i="9"/>
  <c r="U26" i="8"/>
  <c r="S15" i="8"/>
  <c r="T26" i="8" l="1"/>
  <c r="S26" i="8"/>
  <c r="X26" i="8"/>
  <c r="T30" i="8"/>
  <c r="Z21" i="9"/>
  <c r="Z25" i="9" s="1"/>
  <c r="Z18" i="9"/>
  <c r="U30" i="8"/>
  <c r="S30" i="8"/>
  <c r="Y26" i="8"/>
  <c r="V26" i="8"/>
  <c r="W26" i="8"/>
  <c r="Z22" i="9" l="1"/>
  <c r="W30" i="8"/>
  <c r="V30" i="8"/>
  <c r="X30" i="8"/>
  <c r="Y30" i="8"/>
  <c r="Z26" i="9" l="1"/>
  <c r="Z32" i="9"/>
  <c r="S56" i="8" l="1"/>
  <c r="W56" i="8"/>
  <c r="W61" i="8" s="1"/>
  <c r="S61" i="8" l="1"/>
  <c r="S68" i="8" s="1"/>
  <c r="V97" i="8"/>
  <c r="S97" i="8"/>
  <c r="T97" i="8"/>
  <c r="U97" i="8"/>
  <c r="W97" i="8"/>
  <c r="Y97" i="8"/>
  <c r="X97" i="8"/>
  <c r="E11" i="8" l="1"/>
  <c r="D11" i="8"/>
  <c r="C11" i="8"/>
  <c r="G97" i="8"/>
  <c r="E97" i="8"/>
  <c r="D97" i="8"/>
  <c r="C97" i="8"/>
  <c r="G56" i="8"/>
  <c r="G51" i="9" s="1"/>
  <c r="D56" i="8"/>
  <c r="D51" i="9" s="1"/>
  <c r="C56" i="8"/>
  <c r="C51" i="9" s="1"/>
  <c r="Z11" i="8"/>
  <c r="L58" i="9"/>
  <c r="AB31" i="9"/>
  <c r="AB24" i="9"/>
  <c r="G61" i="8" l="1"/>
  <c r="G52" i="9" s="1"/>
  <c r="D61" i="8"/>
  <c r="D52" i="9" s="1"/>
  <c r="C61" i="8"/>
  <c r="C52" i="9" s="1"/>
  <c r="M58" i="9"/>
  <c r="C58" i="9"/>
  <c r="N58" i="9"/>
  <c r="AB11" i="8"/>
  <c r="J58" i="9"/>
  <c r="AB20" i="9"/>
  <c r="E58" i="9"/>
  <c r="I58" i="9"/>
  <c r="AB15" i="9"/>
  <c r="N12" i="9"/>
  <c r="L8" i="9"/>
  <c r="D58" i="9"/>
  <c r="H58" i="9"/>
  <c r="W68" i="8"/>
  <c r="D14" i="8"/>
  <c r="D19" i="8" s="1"/>
  <c r="D25" i="8" s="1"/>
  <c r="C14" i="8"/>
  <c r="C19" i="8" s="1"/>
  <c r="C25" i="8" s="1"/>
  <c r="E14" i="8"/>
  <c r="E19" i="8" s="1"/>
  <c r="E25" i="8" s="1"/>
  <c r="Z56" i="8"/>
  <c r="Z61" i="8" s="1"/>
  <c r="AB67" i="8"/>
  <c r="E12" i="9"/>
  <c r="E8" i="9"/>
  <c r="C12" i="9"/>
  <c r="D12" i="9"/>
  <c r="D8" i="9"/>
  <c r="L9" i="9"/>
  <c r="AB28" i="9"/>
  <c r="P58" i="9"/>
  <c r="Q58" i="9"/>
  <c r="C68" i="8" l="1"/>
  <c r="C70" i="8" s="1"/>
  <c r="C20" i="8"/>
  <c r="D20" i="8"/>
  <c r="D29" i="8"/>
  <c r="D78" i="8" s="1"/>
  <c r="G29" i="8"/>
  <c r="E29" i="8"/>
  <c r="E78" i="8" s="1"/>
  <c r="E20" i="8"/>
  <c r="W40" i="8"/>
  <c r="G68" i="8"/>
  <c r="G70" i="8" s="1"/>
  <c r="S40" i="8"/>
  <c r="D68" i="8"/>
  <c r="D70" i="8" s="1"/>
  <c r="E68" i="8"/>
  <c r="E70" i="8" s="1"/>
  <c r="O58" i="9"/>
  <c r="AB61" i="8"/>
  <c r="AB56" i="8"/>
  <c r="K58" i="9"/>
  <c r="O9" i="9"/>
  <c r="P8" i="9"/>
  <c r="Q9" i="9"/>
  <c r="N9" i="9"/>
  <c r="P9" i="9"/>
  <c r="M9" i="9"/>
  <c r="Q12" i="9"/>
  <c r="Q13" i="9" s="1"/>
  <c r="O12" i="9"/>
  <c r="O17" i="9" s="1"/>
  <c r="I9" i="9"/>
  <c r="Q8" i="9"/>
  <c r="M8" i="9"/>
  <c r="I12" i="9"/>
  <c r="I13" i="9" s="1"/>
  <c r="AB29" i="9"/>
  <c r="O8" i="9"/>
  <c r="Z40" i="8"/>
  <c r="Z47" i="8" s="1"/>
  <c r="D15" i="8"/>
  <c r="E15" i="8"/>
  <c r="C15" i="8"/>
  <c r="Z14" i="8"/>
  <c r="Z19" i="8" s="1"/>
  <c r="N17" i="9"/>
  <c r="N13" i="9"/>
  <c r="AB30" i="9"/>
  <c r="D17" i="9"/>
  <c r="D13" i="9"/>
  <c r="J12" i="9"/>
  <c r="J9" i="9"/>
  <c r="Z8" i="9"/>
  <c r="AB11" i="9"/>
  <c r="M12" i="9"/>
  <c r="K12" i="9"/>
  <c r="K9" i="9"/>
  <c r="N8" i="9"/>
  <c r="L12" i="9"/>
  <c r="E17" i="9"/>
  <c r="E13" i="9"/>
  <c r="P12" i="9"/>
  <c r="C17" i="9"/>
  <c r="C13" i="9"/>
  <c r="H12" i="9"/>
  <c r="N93" i="8" l="1"/>
  <c r="S47" i="8"/>
  <c r="S70" i="8" s="1"/>
  <c r="W47" i="8"/>
  <c r="W70" i="8" s="1"/>
  <c r="AB19" i="8"/>
  <c r="Z25" i="8"/>
  <c r="G30" i="8"/>
  <c r="C26" i="8"/>
  <c r="C29" i="8"/>
  <c r="Z20" i="8"/>
  <c r="AB20" i="8" s="1"/>
  <c r="E26" i="8"/>
  <c r="D26" i="8"/>
  <c r="AB104" i="8"/>
  <c r="Z68" i="8"/>
  <c r="AB68" i="8" s="1"/>
  <c r="AB47" i="8"/>
  <c r="AB40" i="8"/>
  <c r="O13" i="9"/>
  <c r="Q17" i="9"/>
  <c r="Q18" i="9" s="1"/>
  <c r="I17" i="9"/>
  <c r="I18" i="9" s="1"/>
  <c r="AB14" i="8"/>
  <c r="E30" i="8"/>
  <c r="E93" i="8"/>
  <c r="E113" i="8" s="1"/>
  <c r="D30" i="8"/>
  <c r="D93" i="8"/>
  <c r="D113" i="8" s="1"/>
  <c r="Z97" i="8"/>
  <c r="AB97" i="8" s="1"/>
  <c r="Z15" i="8"/>
  <c r="AB15" i="8" s="1"/>
  <c r="H17" i="9"/>
  <c r="H13" i="9"/>
  <c r="C21" i="9"/>
  <c r="C25" i="9" s="1"/>
  <c r="C18" i="9"/>
  <c r="AB12" i="9"/>
  <c r="AB8" i="9"/>
  <c r="J13" i="9"/>
  <c r="J17" i="9"/>
  <c r="P17" i="9"/>
  <c r="P13" i="9"/>
  <c r="K13" i="9"/>
  <c r="K17" i="9"/>
  <c r="D21" i="9"/>
  <c r="D25" i="9" s="1"/>
  <c r="D18" i="9"/>
  <c r="N21" i="9"/>
  <c r="N25" i="9" s="1"/>
  <c r="N18" i="9"/>
  <c r="O18" i="9"/>
  <c r="O21" i="9"/>
  <c r="O25" i="9" s="1"/>
  <c r="E18" i="9"/>
  <c r="E21" i="9"/>
  <c r="E25" i="9" s="1"/>
  <c r="L17" i="9"/>
  <c r="L13" i="9"/>
  <c r="M17" i="9"/>
  <c r="M13" i="9"/>
  <c r="N113" i="8" l="1"/>
  <c r="W113" i="8" s="1"/>
  <c r="Z29" i="8"/>
  <c r="Z78" i="8" s="1"/>
  <c r="AB25" i="8"/>
  <c r="C30" i="8"/>
  <c r="C78" i="8"/>
  <c r="G78" i="8"/>
  <c r="G93" i="8" s="1"/>
  <c r="G113" i="8" s="1"/>
  <c r="Z70" i="8"/>
  <c r="Q21" i="9"/>
  <c r="Q25" i="9" s="1"/>
  <c r="I21" i="9"/>
  <c r="I25" i="9" s="1"/>
  <c r="Z26" i="8"/>
  <c r="AB26" i="8" s="1"/>
  <c r="E22" i="9"/>
  <c r="M21" i="9"/>
  <c r="M25" i="9" s="1"/>
  <c r="M18" i="9"/>
  <c r="D22" i="9"/>
  <c r="AB17" i="9"/>
  <c r="AB13" i="9"/>
  <c r="N22" i="9"/>
  <c r="C22" i="9"/>
  <c r="P18" i="9"/>
  <c r="P21" i="9"/>
  <c r="P25" i="9" s="1"/>
  <c r="L21" i="9"/>
  <c r="L25" i="9" s="1"/>
  <c r="L18" i="9"/>
  <c r="O22" i="9"/>
  <c r="K21" i="9"/>
  <c r="K25" i="9" s="1"/>
  <c r="K18" i="9"/>
  <c r="J18" i="9"/>
  <c r="J21" i="9"/>
  <c r="J25" i="9" s="1"/>
  <c r="H18" i="9"/>
  <c r="H21" i="9"/>
  <c r="H25" i="9" s="1"/>
  <c r="C93" i="8" l="1"/>
  <c r="C113" i="8" s="1"/>
  <c r="V93" i="8"/>
  <c r="Q22" i="9"/>
  <c r="I22" i="9"/>
  <c r="W93" i="8"/>
  <c r="L22" i="9"/>
  <c r="P22" i="9"/>
  <c r="I32" i="9"/>
  <c r="I38" i="9" s="1"/>
  <c r="I26" i="9"/>
  <c r="M22" i="9"/>
  <c r="D26" i="9"/>
  <c r="D32" i="9"/>
  <c r="D38" i="9" s="1"/>
  <c r="E26" i="9"/>
  <c r="E32" i="9"/>
  <c r="E38" i="9" s="1"/>
  <c r="Q26" i="9"/>
  <c r="Q32" i="9"/>
  <c r="Q38" i="9" s="1"/>
  <c r="K22" i="9"/>
  <c r="AB21" i="9"/>
  <c r="AB18" i="9"/>
  <c r="O32" i="9"/>
  <c r="O38" i="9" s="1"/>
  <c r="O26" i="9"/>
  <c r="N32" i="9"/>
  <c r="N38" i="9" s="1"/>
  <c r="N26" i="9"/>
  <c r="H22" i="9"/>
  <c r="J22" i="9"/>
  <c r="C32" i="9"/>
  <c r="C26" i="9"/>
  <c r="S93" i="8" l="1"/>
  <c r="T93" i="8"/>
  <c r="U93" i="8"/>
  <c r="AB29" i="8"/>
  <c r="Z30" i="8"/>
  <c r="AB30" i="8" s="1"/>
  <c r="J32" i="9"/>
  <c r="J38" i="9" s="1"/>
  <c r="V38" i="9" s="1"/>
  <c r="J26" i="9"/>
  <c r="P32" i="9"/>
  <c r="P26" i="9"/>
  <c r="H32" i="9"/>
  <c r="H38" i="9" s="1"/>
  <c r="H26" i="9"/>
  <c r="E39" i="9"/>
  <c r="I39" i="9"/>
  <c r="K32" i="9"/>
  <c r="K38" i="9" s="1"/>
  <c r="W38" i="9" s="1"/>
  <c r="K26" i="9"/>
  <c r="D39" i="9"/>
  <c r="M32" i="9"/>
  <c r="M38" i="9" s="1"/>
  <c r="M26" i="9"/>
  <c r="C39" i="9"/>
  <c r="L32" i="9"/>
  <c r="L38" i="9" s="1"/>
  <c r="X38" i="9" s="1"/>
  <c r="L26" i="9"/>
  <c r="AB25" i="9"/>
  <c r="AB22" i="9"/>
  <c r="S38" i="9" l="1"/>
  <c r="T38" i="9"/>
  <c r="U38" i="9"/>
  <c r="P38" i="9"/>
  <c r="Y38" i="9" s="1"/>
  <c r="Y39" i="9" s="1"/>
  <c r="U39" i="9"/>
  <c r="T39" i="9"/>
  <c r="S39" i="9"/>
  <c r="X39" i="9"/>
  <c r="J39" i="9"/>
  <c r="Q39" i="9"/>
  <c r="AB26" i="9"/>
  <c r="AB32" i="9"/>
  <c r="L39" i="9"/>
  <c r="N39" i="9"/>
  <c r="O39" i="9"/>
  <c r="V39" i="9" l="1"/>
  <c r="Z38" i="9"/>
  <c r="Z39" i="9" s="1"/>
  <c r="W39" i="9"/>
  <c r="H39" i="9"/>
  <c r="M39" i="9"/>
  <c r="P39" i="9"/>
  <c r="K39" i="9"/>
  <c r="C109" i="8" l="1"/>
  <c r="C114" i="8" s="1"/>
  <c r="C116" i="8" l="1"/>
  <c r="G107" i="8"/>
  <c r="G109" i="8" s="1"/>
  <c r="G114" i="8" s="1"/>
  <c r="G116" i="8" s="1"/>
  <c r="D107" i="8"/>
  <c r="D109" i="8" s="1"/>
  <c r="D114" i="8" s="1"/>
  <c r="D116" i="8" s="1"/>
  <c r="H107" i="8" l="1"/>
  <c r="H109" i="8" s="1"/>
  <c r="H114" i="8" s="1"/>
  <c r="H116" i="8" s="1"/>
  <c r="E107" i="8"/>
  <c r="E109" i="8" s="1"/>
  <c r="E114" i="8" s="1"/>
  <c r="E116" i="8" s="1"/>
  <c r="I107" i="8" l="1"/>
  <c r="I109" i="8" s="1"/>
  <c r="I114" i="8" s="1"/>
  <c r="I116" i="8" s="1"/>
  <c r="J107" i="8" l="1"/>
  <c r="J109" i="8" s="1"/>
  <c r="J114" i="8" s="1"/>
  <c r="J116" i="8" s="1"/>
  <c r="S107" i="8" l="1"/>
  <c r="K107" i="8"/>
  <c r="K109" i="8" s="1"/>
  <c r="K114" i="8" s="1"/>
  <c r="K116" i="8" s="1"/>
  <c r="L107" i="8" l="1"/>
  <c r="L109" i="8" s="1"/>
  <c r="L114" i="8" s="1"/>
  <c r="L116" i="8" s="1"/>
  <c r="M107" i="8" l="1"/>
  <c r="M109" i="8" s="1"/>
  <c r="M114" i="8" s="1"/>
  <c r="M116" i="8" s="1"/>
  <c r="N107" i="8" l="1"/>
  <c r="N109" i="8" s="1"/>
  <c r="N114" i="8" s="1"/>
  <c r="N116" i="8" s="1"/>
  <c r="O107" i="8" l="1"/>
  <c r="O109" i="8" s="1"/>
  <c r="O114" i="8" s="1"/>
  <c r="O116" i="8" s="1"/>
  <c r="P107" i="8" l="1"/>
  <c r="P109" i="8" s="1"/>
  <c r="P114" i="8" s="1"/>
  <c r="P116" i="8" l="1"/>
  <c r="Q107" i="8"/>
  <c r="Q109" i="8" s="1"/>
  <c r="Q114" i="8" s="1"/>
  <c r="Q116" i="8" s="1"/>
  <c r="X93" i="8" l="1"/>
  <c r="Y93" i="8"/>
  <c r="Z93" i="8" l="1"/>
  <c r="AB78" i="8"/>
  <c r="AB93" i="8" l="1"/>
  <c r="S109" i="8"/>
  <c r="S114" i="8" s="1"/>
  <c r="S116" i="8" l="1"/>
  <c r="T107" i="8"/>
  <c r="T109" i="8" s="1"/>
  <c r="T114" i="8" s="1"/>
  <c r="T116" i="8" l="1"/>
  <c r="U107" i="8"/>
  <c r="U109" i="8" s="1"/>
  <c r="U114" i="8" s="1"/>
  <c r="U116" i="8" l="1"/>
  <c r="V107" i="8"/>
  <c r="V109" i="8" s="1"/>
  <c r="V114" i="8" s="1"/>
  <c r="V116" i="8" l="1"/>
  <c r="W107" i="8"/>
  <c r="W109" i="8" s="1"/>
  <c r="W114" i="8" s="1"/>
  <c r="W116" i="8" l="1"/>
  <c r="X107" i="8"/>
  <c r="X109" i="8" s="1"/>
  <c r="X114" i="8" s="1"/>
  <c r="X116" i="8" l="1"/>
  <c r="Y107" i="8"/>
  <c r="Y109" i="8" s="1"/>
  <c r="Y114" i="8" s="1"/>
  <c r="Y116" i="8" l="1"/>
  <c r="Z107" i="8"/>
  <c r="Z109" i="8" s="1"/>
  <c r="Z114" i="8" s="1"/>
  <c r="Z116" i="8" s="1"/>
</calcChain>
</file>

<file path=xl/sharedStrings.xml><?xml version="1.0" encoding="utf-8"?>
<sst xmlns="http://schemas.openxmlformats.org/spreadsheetml/2006/main" count="302" uniqueCount="142">
  <si>
    <t>FYE</t>
  </si>
  <si>
    <t>Quarterly</t>
  </si>
  <si>
    <t>1Q24</t>
  </si>
  <si>
    <t>2Q24</t>
  </si>
  <si>
    <t>3Q24</t>
  </si>
  <si>
    <t>1Q23</t>
  </si>
  <si>
    <t>2Q23</t>
  </si>
  <si>
    <t>3Q23</t>
  </si>
  <si>
    <t>4Q23</t>
  </si>
  <si>
    <t>LTM</t>
  </si>
  <si>
    <t>EBITDA</t>
  </si>
  <si>
    <t>Total Revenue</t>
  </si>
  <si>
    <t>Cost of Sales</t>
  </si>
  <si>
    <t>Changes in assets and liabilities:</t>
  </si>
  <si>
    <t>Cash-Flows Statement</t>
  </si>
  <si>
    <t>Total stockholders' equity</t>
  </si>
  <si>
    <t>Total Liabilities</t>
  </si>
  <si>
    <t>X</t>
  </si>
  <si>
    <t>Total Current Liabilities</t>
  </si>
  <si>
    <t>Common stock</t>
  </si>
  <si>
    <t>Total Current Assets</t>
  </si>
  <si>
    <t>Total Assets</t>
  </si>
  <si>
    <t>Gross Profit</t>
  </si>
  <si>
    <t>Total Debt</t>
  </si>
  <si>
    <t>Variance</t>
  </si>
  <si>
    <t>FCF Analysis</t>
  </si>
  <si>
    <t>1Q22</t>
  </si>
  <si>
    <t>2Q22</t>
  </si>
  <si>
    <t>3Q22</t>
  </si>
  <si>
    <t>4Q22</t>
  </si>
  <si>
    <t>Y/Y Growth (%)</t>
  </si>
  <si>
    <t>Q/Q Growth (%)</t>
  </si>
  <si>
    <t>N/A</t>
  </si>
  <si>
    <t>(-) Cost of Sales</t>
  </si>
  <si>
    <t>Gross Margin (%)</t>
  </si>
  <si>
    <t>Earning before Interest &amp; Taxes (EBIT)</t>
  </si>
  <si>
    <t>Operating Margin (%)</t>
  </si>
  <si>
    <t>(+) Depreciation and Amortization</t>
  </si>
  <si>
    <t>EBITDA Margin (%)</t>
  </si>
  <si>
    <t xml:space="preserve">(+) Share-based Compensation 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</si>
  <si>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</si>
  <si>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</si>
  <si>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</si>
  <si>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</si>
  <si>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</si>
  <si>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</si>
  <si>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</si>
  <si>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</si>
  <si>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</si>
  <si>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Total Liquidity</t>
  </si>
  <si>
    <t>Balance Sheet Metrics:</t>
  </si>
  <si>
    <t>Property Plant, and Equiptment</t>
  </si>
  <si>
    <t>Current Liabilities</t>
  </si>
  <si>
    <t>Total Shareholder Equity</t>
  </si>
  <si>
    <t>Total Book Capitalization</t>
  </si>
  <si>
    <t>Total Leverage</t>
  </si>
  <si>
    <t>Net Leverage (C&amp;CE)</t>
  </si>
  <si>
    <t xml:space="preserve">Interest Coverage </t>
  </si>
  <si>
    <t>Debt Service Coverage</t>
  </si>
  <si>
    <t>Fixed Charge Coverage</t>
  </si>
  <si>
    <t>Debt-to-Book Capitalization</t>
  </si>
  <si>
    <t>Net loss</t>
  </si>
  <si>
    <t>Total liabilities and stockholders' equity</t>
  </si>
  <si>
    <t>Cash-Flows From Operating Activities</t>
  </si>
  <si>
    <t>Net income (loss)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</si>
  <si>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</si>
  <si>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</si>
  <si>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</si>
  <si>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</si>
  <si>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</si>
  <si>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</si>
  <si>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</si>
  <si>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</si>
  <si>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</si>
  <si>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Net Margin (%)</t>
  </si>
  <si>
    <t xml:space="preserve">(+/-) Other </t>
  </si>
  <si>
    <t>Credit Metrics</t>
  </si>
  <si>
    <t>Interest income</t>
  </si>
  <si>
    <t>NM</t>
  </si>
  <si>
    <t>Adjusted Cash Position BOP</t>
  </si>
  <si>
    <t>Adjusted Cash Position EOP</t>
  </si>
  <si>
    <t xml:space="preserve">(-) Cash Interest </t>
  </si>
  <si>
    <t>Preferred stock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</si>
  <si>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</si>
  <si>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</si>
  <si>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</si>
  <si>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</si>
  <si>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</si>
  <si>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</si>
  <si>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Earning Before Taxes</t>
  </si>
  <si>
    <t>EBT Margin (%)</t>
  </si>
  <si>
    <t>Current Assets</t>
  </si>
  <si>
    <t>Non-Current Assets</t>
  </si>
  <si>
    <t>Restricted Cash</t>
  </si>
  <si>
    <t>Non-Current Liabilities</t>
  </si>
  <si>
    <t>Cash and cash equivalents</t>
  </si>
  <si>
    <t>Property and equipment, net</t>
  </si>
  <si>
    <t>Operating lease right-of-use assets</t>
  </si>
  <si>
    <t>Additional paid-in capital</t>
  </si>
  <si>
    <t>Accumulated deficit</t>
  </si>
  <si>
    <t>Stock-based compensation</t>
  </si>
  <si>
    <t>Provision for taxes</t>
  </si>
  <si>
    <t>(-) General and administrative</t>
  </si>
  <si>
    <t>Consolidated Debt</t>
  </si>
  <si>
    <t>$ in thousands except per share</t>
  </si>
  <si>
    <t>Other assets</t>
  </si>
  <si>
    <t>Other liabilities</t>
  </si>
  <si>
    <t>Cassava Sciences (NASDAQ: SAVA)</t>
  </si>
  <si>
    <t>Research and development, net of grant reimbursement</t>
  </si>
  <si>
    <t>General and administrative</t>
  </si>
  <si>
    <t>Other income, net</t>
  </si>
  <si>
    <t>Gain from change in fair value of warrant liabilities</t>
  </si>
  <si>
    <t>Prepaid expenses and other current assets</t>
  </si>
  <si>
    <t xml:space="preserve">Restricted cash </t>
  </si>
  <si>
    <t>Intangible assets, net</t>
  </si>
  <si>
    <t>-</t>
  </si>
  <si>
    <t>Accounts payable and other accrued expenses</t>
  </si>
  <si>
    <t>Accrued development expense</t>
  </si>
  <si>
    <t>Accrued compensation and benefits</t>
  </si>
  <si>
    <t>Operating lease liabilities, current</t>
  </si>
  <si>
    <t>Warrant liabilities</t>
  </si>
  <si>
    <t>Other current liabilities</t>
  </si>
  <si>
    <t>Operating lease liabilities, non-current</t>
  </si>
  <si>
    <t>Other non-current liabilities</t>
  </si>
  <si>
    <t>Depreciation</t>
  </si>
  <si>
    <t>Amortization of intangible assets</t>
  </si>
  <si>
    <t>Prepaid and other assets</t>
  </si>
  <si>
    <t>Operating lease right-of-use assets and liabilities</t>
  </si>
  <si>
    <t>Purchase of property and equipment</t>
  </si>
  <si>
    <t>Proceeds from issuance of common stock upon exercise of stock options</t>
  </si>
  <si>
    <t>Proceeds from issuance of common stock upon exercise of 2018 warrants</t>
  </si>
  <si>
    <t>Proceeds from exercise of common stock warrants, net of exercise costs</t>
  </si>
  <si>
    <t>Proceeds from common stock offering, net of issuance costs</t>
  </si>
  <si>
    <t>BOP FX Adjustment</t>
  </si>
  <si>
    <t>EOP FX Adjustment</t>
  </si>
  <si>
    <t>Unrestricted Cash BOP</t>
  </si>
  <si>
    <t>EOP Restricted Cash Adjustment</t>
  </si>
  <si>
    <t>(-) Research and development, net of grant reimbursement</t>
  </si>
  <si>
    <t>(+/-) Proceeds from issuance of common stock upon exercise of stock options</t>
  </si>
  <si>
    <t>(+/-) Proceeds from issuance of common stock upon exercise of 2018 warrants</t>
  </si>
  <si>
    <t>(+/-) Proceeds from exercise of common stock warrants, net of exercise costs</t>
  </si>
  <si>
    <t>(+/-) Proceeds from common stock offering, net of issuance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</si>
</sst>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$&quot;#,##0_);\(&quot;$&quot;#,##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</numFmts>
  <fonts count="30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sz val="9"/>
      <color rgb="FF00B03C"/>
      <name val="Calibri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sz val="11"/>
      <color rgb="FF0000CC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4" fillId="0" borderId="0" applyNumberFormat="0" applyFont="0" applyFill="0" applyBorder="0" applyAlignment="0" applyProtection="0"/>
  </cellStyleXfs>
  <cellXfs count="142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3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0" fontId="8" fillId="3" borderId="4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 vertical="center" wrapText="1" inden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41" fontId="8" fillId="3" borderId="2" xfId="0" applyNumberFormat="1" applyFont="1" applyFill="1" applyBorder="1" applyAlignment="1">
      <alignment horizontal="right" vertical="top" wrapText="1"/>
    </xf>
    <xf numFmtId="0" fontId="15" fillId="0" borderId="5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166" fontId="7" fillId="0" borderId="0" xfId="1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6" fontId="7" fillId="4" borderId="0" xfId="1" applyNumberFormat="1" applyFont="1" applyFill="1" applyBorder="1" applyAlignment="1">
      <alignment horizontal="right" vertical="center" wrapText="1"/>
    </xf>
    <xf numFmtId="166" fontId="9" fillId="4" borderId="0" xfId="1" applyNumberFormat="1" applyFont="1" applyFill="1" applyBorder="1" applyAlignment="1">
      <alignment horizontal="right" vertical="center" wrapText="1"/>
    </xf>
    <xf numFmtId="168" fontId="9" fillId="4" borderId="0" xfId="1" applyNumberFormat="1" applyFont="1" applyFill="1" applyBorder="1" applyAlignment="1">
      <alignment horizontal="right" vertical="center" wrapText="1"/>
    </xf>
    <xf numFmtId="0" fontId="8" fillId="0" borderId="5" xfId="0" applyFont="1" applyBorder="1" applyAlignment="1">
      <alignment vertical="top" wrapText="1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41" fontId="6" fillId="5" borderId="2" xfId="0" applyNumberFormat="1" applyFont="1" applyFill="1" applyBorder="1" applyAlignment="1">
      <alignment horizontal="right" vertical="top" wrapText="1"/>
    </xf>
    <xf numFmtId="41" fontId="8" fillId="5" borderId="2" xfId="0" applyNumberFormat="1" applyFont="1" applyFill="1" applyBorder="1" applyAlignment="1">
      <alignment horizontal="right" vertical="top" wrapText="1"/>
    </xf>
    <xf numFmtId="3" fontId="4" fillId="0" borderId="0" xfId="0" applyNumberFormat="1" applyFont="1" applyAlignment="1">
      <alignment wrapText="1"/>
    </xf>
    <xf numFmtId="41" fontId="23" fillId="0" borderId="0" xfId="0" applyNumberFormat="1" applyFont="1"/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3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3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41" fontId="6" fillId="0" borderId="0" xfId="0" applyNumberFormat="1" applyFont="1"/>
    <xf numFmtId="41" fontId="25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6" fillId="3" borderId="0" xfId="1" applyNumberFormat="1" applyFont="1" applyFill="1" applyBorder="1" applyAlignment="1">
      <alignment horizontal="right" vertical="center" wrapText="1"/>
    </xf>
    <xf numFmtId="167" fontId="26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41" fontId="23" fillId="8" borderId="0" xfId="0" applyNumberFormat="1" applyFont="1" applyFill="1"/>
    <xf numFmtId="0" fontId="6" fillId="0" borderId="0" xfId="0" applyFont="1"/>
    <xf numFmtId="169" fontId="16" fillId="0" borderId="0" xfId="0" applyNumberFormat="1" applyFont="1" applyAlignment="1">
      <alignment horizontal="right"/>
    </xf>
    <xf numFmtId="0" fontId="15" fillId="0" borderId="5" xfId="0" applyFont="1" applyBorder="1" applyAlignment="1">
      <alignment wrapText="1"/>
    </xf>
    <xf numFmtId="37" fontId="28" fillId="0" borderId="0" xfId="2" applyNumberFormat="1" applyFont="1" applyBorder="1"/>
    <xf numFmtId="37" fontId="29" fillId="0" borderId="0" xfId="2" applyNumberFormat="1" applyFont="1" applyBorder="1"/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41" fontId="6" fillId="0" borderId="0" xfId="0" applyNumberFormat="1" applyFont="1" applyBorder="1" applyAlignment="1">
      <alignment horizontal="right" vertical="top" wrapText="1"/>
    </xf>
    <xf numFmtId="41" fontId="6" fillId="0" borderId="6" xfId="0" applyNumberFormat="1" applyFont="1" applyBorder="1" applyAlignment="1">
      <alignment horizontal="right" vertical="top" wrapText="1"/>
    </xf>
    <xf numFmtId="41" fontId="8" fillId="5" borderId="0" xfId="0" applyNumberFormat="1" applyFont="1" applyFill="1" applyBorder="1" applyAlignment="1">
      <alignment horizontal="right" vertical="top" wrapText="1"/>
    </xf>
    <xf numFmtId="41" fontId="8" fillId="5" borderId="6" xfId="0" applyNumberFormat="1" applyFont="1" applyFill="1" applyBorder="1" applyAlignment="1">
      <alignment horizontal="right" vertical="top" wrapText="1"/>
    </xf>
    <xf numFmtId="41" fontId="6" fillId="5" borderId="7" xfId="0" applyNumberFormat="1" applyFont="1" applyFill="1" applyBorder="1" applyAlignment="1">
      <alignment horizontal="right" vertical="top" wrapText="1"/>
    </xf>
    <xf numFmtId="37" fontId="4" fillId="0" borderId="0" xfId="0" applyNumberFormat="1" applyFont="1" applyBorder="1" applyAlignment="1">
      <alignment wrapText="1"/>
    </xf>
    <xf numFmtId="37" fontId="4" fillId="0" borderId="6" xfId="0" applyNumberFormat="1" applyFont="1" applyBorder="1" applyAlignment="1">
      <alignment wrapText="1"/>
    </xf>
    <xf numFmtId="43" fontId="21" fillId="0" borderId="8" xfId="0" applyNumberFormat="1" applyFont="1" applyBorder="1" applyAlignment="1">
      <alignment wrapText="1"/>
    </xf>
    <xf numFmtId="43" fontId="21" fillId="0" borderId="9" xfId="0" applyNumberFormat="1" applyFont="1" applyBorder="1" applyAlignment="1">
      <alignment wrapText="1"/>
    </xf>
    <xf numFmtId="41" fontId="6" fillId="0" borderId="10" xfId="0" applyNumberFormat="1" applyFont="1" applyBorder="1" applyAlignment="1">
      <alignment horizontal="right" vertical="top" wrapText="1"/>
    </xf>
    <xf numFmtId="41" fontId="6" fillId="0" borderId="11" xfId="0" applyNumberFormat="1" applyFont="1" applyBorder="1" applyAlignment="1">
      <alignment horizontal="right" vertical="top" wrapText="1"/>
    </xf>
    <xf numFmtId="41" fontId="11" fillId="0" borderId="0" xfId="0" applyNumberFormat="1" applyFont="1" applyBorder="1" applyAlignment="1">
      <alignment horizontal="right" vertical="top" wrapText="1"/>
    </xf>
    <xf numFmtId="5" fontId="6" fillId="0" borderId="0" xfId="0" applyNumberFormat="1" applyFont="1" applyBorder="1" applyAlignment="1">
      <alignment horizontal="right" vertical="top" wrapText="1"/>
    </xf>
    <xf numFmtId="0" fontId="4" fillId="0" borderId="0" xfId="0" applyFont="1" applyBorder="1" applyAlignment="1">
      <alignment wrapText="1"/>
    </xf>
    <xf numFmtId="41" fontId="6" fillId="0" borderId="8" xfId="0" applyNumberFormat="1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center" wrapText="1"/>
    </xf>
    <xf numFmtId="0" fontId="8" fillId="5" borderId="12" xfId="0" applyFont="1" applyFill="1" applyBorder="1" applyAlignment="1">
      <alignment horizontal="right" vertical="center" wrapText="1"/>
    </xf>
    <xf numFmtId="41" fontId="8" fillId="0" borderId="12" xfId="0" applyNumberFormat="1" applyFont="1" applyBorder="1" applyAlignment="1">
      <alignment horizontal="right" vertical="top" wrapText="1"/>
    </xf>
    <xf numFmtId="0" fontId="4" fillId="0" borderId="12" xfId="0" applyFont="1" applyBorder="1"/>
    <xf numFmtId="0" fontId="21" fillId="0" borderId="13" xfId="0" applyFont="1" applyBorder="1" applyAlignment="1">
      <alignment horizontal="right" vertical="top" wrapText="1"/>
    </xf>
    <xf numFmtId="41" fontId="8" fillId="0" borderId="14" xfId="0" applyNumberFormat="1" applyFont="1" applyBorder="1" applyAlignment="1">
      <alignment horizontal="right" vertical="top" wrapText="1"/>
    </xf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B128"/>
  <sheetViews>
    <sheetView showGridLines="0" tabSelected="1" zoomScaleNormal="100" workbookViewId="0">
      <selection activeCell="B4" sqref="B4"/>
    </sheetView>
  </sheetViews>
  <sheetFormatPr defaultRowHeight="12" outlineLevelCol="1"/>
  <cols>
    <col min="1" max="1" width="1.625" style="5" bestFit="1" customWidth="1"/>
    <col min="2" max="2" width="49.125" style="5" bestFit="1" customWidth="1"/>
    <col min="3" max="5" width="9.125" style="5" bestFit="1" customWidth="1"/>
    <col min="6" max="6" width="1.5" style="5" customWidth="1"/>
    <col min="7" max="9" width="7.875" style="5" hidden="1" customWidth="1" outlineLevel="1"/>
    <col min="10" max="10" width="8.625" style="5" hidden="1" customWidth="1" outlineLevel="1"/>
    <col min="11" max="12" width="7.875" style="5" hidden="1" customWidth="1" outlineLevel="1"/>
    <col min="13" max="13" width="7.875" style="5" customWidth="1" collapsed="1"/>
    <col min="14" max="14" width="8.625" style="5" customWidth="1"/>
    <col min="15" max="17" width="7.875" style="5" customWidth="1"/>
    <col min="18" max="18" width="1.5" style="5" customWidth="1"/>
    <col min="19" max="20" width="8.625" style="5" hidden="1" customWidth="1" outlineLevel="1"/>
    <col min="21" max="21" width="8.25" style="5" hidden="1" customWidth="1" outlineLevel="1"/>
    <col min="22" max="22" width="8.25" style="5" bestFit="1" customWidth="1" collapsed="1"/>
    <col min="23" max="23" width="8.25" style="5" hidden="1" customWidth="1" outlineLevel="1"/>
    <col min="24" max="24" width="8.625" style="5" hidden="1" customWidth="1" outlineLevel="1"/>
    <col min="25" max="25" width="8.25" style="5" hidden="1" customWidth="1" outlineLevel="1"/>
    <col min="26" max="26" width="8.625" style="5" bestFit="1" customWidth="1" collapsed="1"/>
    <col min="27" max="27" width="1.25" style="5" customWidth="1"/>
    <col min="28" max="28" width="10.5" style="5" bestFit="1" customWidth="1"/>
    <col min="29" max="29" width="1.375" style="5" customWidth="1"/>
    <col min="30" max="16384" width="9" style="5"/>
  </cols>
  <sheetData>
    <row r="2" spans="1:28" ht="12.75" customHeight="1">
      <c r="B2" s="1" t="s">
        <v>107</v>
      </c>
      <c r="C2" s="85"/>
      <c r="D2" s="85"/>
      <c r="E2" s="85"/>
      <c r="F2" s="3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3"/>
      <c r="S2" s="85"/>
      <c r="T2" s="85"/>
      <c r="U2" s="85"/>
      <c r="V2" s="85"/>
      <c r="W2" s="85"/>
      <c r="X2" s="85"/>
      <c r="Y2" s="85"/>
      <c r="Z2" s="85"/>
      <c r="AA2" s="3"/>
      <c r="AB2" s="1"/>
    </row>
    <row r="3" spans="1:28" ht="12.75" customHeight="1">
      <c r="B3" s="6" t="s">
        <v>85</v>
      </c>
      <c r="C3" s="7"/>
      <c r="D3" s="7"/>
      <c r="E3" s="7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3"/>
      <c r="S3" s="4"/>
      <c r="T3" s="4"/>
      <c r="U3" s="4"/>
      <c r="V3" s="4"/>
      <c r="W3" s="4"/>
      <c r="X3" s="4"/>
      <c r="Y3" s="4"/>
      <c r="Z3" s="4"/>
      <c r="AA3" s="3"/>
      <c r="AB3" s="1"/>
    </row>
    <row r="4" spans="1:28" ht="12.75" customHeight="1">
      <c r="B4" s="6" t="s">
        <v>104</v>
      </c>
      <c r="C4" s="3"/>
      <c r="D4" s="7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1"/>
    </row>
    <row r="6" spans="1:28" ht="12.75" customHeight="1">
      <c r="A6" s="5" t="s">
        <v>17</v>
      </c>
      <c r="B6" s="1" t="s">
        <v>83</v>
      </c>
      <c r="C6" s="2" t="s">
        <v>0</v>
      </c>
      <c r="D6" s="2"/>
      <c r="E6" s="2"/>
      <c r="F6" s="3"/>
      <c r="G6" s="2" t="s">
        <v>1</v>
      </c>
      <c r="H6" s="2"/>
      <c r="I6" s="2"/>
      <c r="J6" s="2"/>
      <c r="K6" s="2"/>
      <c r="L6" s="2"/>
      <c r="M6" s="2" t="s">
        <v>1</v>
      </c>
      <c r="N6" s="2"/>
      <c r="O6" s="2"/>
      <c r="P6" s="2"/>
      <c r="Q6" s="2"/>
      <c r="R6" s="3"/>
      <c r="S6" s="2"/>
      <c r="T6" s="2"/>
      <c r="U6" s="2"/>
      <c r="V6" s="2" t="s">
        <v>9</v>
      </c>
      <c r="W6" s="2"/>
      <c r="X6" s="2"/>
      <c r="Y6" s="2"/>
      <c r="Z6" s="2"/>
      <c r="AA6" s="36"/>
      <c r="AB6" s="117" t="s">
        <v>24</v>
      </c>
    </row>
    <row r="7" spans="1:28" ht="12.75" customHeight="1">
      <c r="B7" s="6" t="s">
        <v>86</v>
      </c>
      <c r="C7" s="7">
        <v>2021</v>
      </c>
      <c r="D7" s="7">
        <v>2022</v>
      </c>
      <c r="E7" s="7">
        <v>2023</v>
      </c>
      <c r="F7" s="3"/>
      <c r="G7" s="4" t="s">
        <v>26</v>
      </c>
      <c r="H7" s="4" t="s">
        <v>27</v>
      </c>
      <c r="I7" s="4" t="s">
        <v>28</v>
      </c>
      <c r="J7" s="4" t="s">
        <v>29</v>
      </c>
      <c r="K7" s="4" t="s">
        <v>5</v>
      </c>
      <c r="L7" s="4" t="s">
        <v>6</v>
      </c>
      <c r="M7" s="4" t="s">
        <v>7</v>
      </c>
      <c r="N7" s="4" t="s">
        <v>8</v>
      </c>
      <c r="O7" s="4" t="s">
        <v>2</v>
      </c>
      <c r="P7" s="4" t="s">
        <v>3</v>
      </c>
      <c r="Q7" s="4" t="s">
        <v>4</v>
      </c>
      <c r="R7" s="4"/>
      <c r="S7" s="4" t="str">
        <f>J7</f>
        <v>4Q22</v>
      </c>
      <c r="T7" s="4" t="str">
        <f>K7</f>
        <v>1Q23</v>
      </c>
      <c r="U7" s="4" t="str">
        <f>L7</f>
        <v>2Q23</v>
      </c>
      <c r="V7" s="4" t="str">
        <f>M7</f>
        <v>3Q23</v>
      </c>
      <c r="W7" s="4" t="str">
        <f>N7</f>
        <v>4Q23</v>
      </c>
      <c r="X7" s="4" t="str">
        <f>O7</f>
        <v>1Q24</v>
      </c>
      <c r="Y7" s="4" t="str">
        <f>P7</f>
        <v>2Q24</v>
      </c>
      <c r="Z7" s="4" t="str">
        <f>Q7</f>
        <v>3Q24</v>
      </c>
      <c r="AA7" s="36"/>
      <c r="AB7" s="117"/>
    </row>
    <row r="8" spans="1:28" ht="12.75" customHeight="1">
      <c r="B8" s="6" t="s">
        <v>87</v>
      </c>
      <c r="C8" s="3">
        <v>44561</v>
      </c>
      <c r="D8" s="76">
        <v>44926</v>
      </c>
      <c r="E8" s="3">
        <v>45291</v>
      </c>
      <c r="F8" s="3"/>
      <c r="G8" s="3">
        <v>44651</v>
      </c>
      <c r="H8" s="3">
        <v>44742</v>
      </c>
      <c r="I8" s="3">
        <v>44834</v>
      </c>
      <c r="J8" s="3">
        <v>44926</v>
      </c>
      <c r="K8" s="3">
        <v>45016</v>
      </c>
      <c r="L8" s="3">
        <v>45107</v>
      </c>
      <c r="M8" s="3">
        <v>45199</v>
      </c>
      <c r="N8" s="3">
        <v>45291</v>
      </c>
      <c r="O8" s="3">
        <v>45382</v>
      </c>
      <c r="P8" s="3">
        <v>45473</v>
      </c>
      <c r="Q8" s="3">
        <v>45565</v>
      </c>
      <c r="R8" s="3"/>
      <c r="S8" s="3">
        <f>J8</f>
        <v>44926</v>
      </c>
      <c r="T8" s="3">
        <f>K8</f>
        <v>45016</v>
      </c>
      <c r="U8" s="3">
        <f>L8</f>
        <v>45107</v>
      </c>
      <c r="V8" s="3">
        <f>M8</f>
        <v>45199</v>
      </c>
      <c r="W8" s="3">
        <f>N8</f>
        <v>45291</v>
      </c>
      <c r="X8" s="3">
        <f>O8</f>
        <v>45382</v>
      </c>
      <c r="Y8" s="3">
        <f>P8</f>
        <v>45473</v>
      </c>
      <c r="Z8" s="3">
        <f>Q8</f>
        <v>45565</v>
      </c>
      <c r="AA8" s="36"/>
      <c r="AB8" s="117"/>
    </row>
    <row r="9" spans="1:28" ht="5.0999999999999996" customHeight="1">
      <c r="AB9" s="84"/>
    </row>
    <row r="10" spans="1:28" ht="12.75" customHeight="1">
      <c r="B10" s="9" t="s">
        <v>70</v>
      </c>
      <c r="C10" s="74">
        <v>0</v>
      </c>
      <c r="D10" s="74">
        <v>0</v>
      </c>
      <c r="E10" s="74">
        <v>0</v>
      </c>
      <c r="F10" s="11"/>
      <c r="G10" s="74">
        <v>0</v>
      </c>
      <c r="H10" s="74">
        <v>0</v>
      </c>
      <c r="I10" s="74">
        <v>0</v>
      </c>
      <c r="J10" s="30">
        <f>SUM(D10-SUM(G10:I10))</f>
        <v>0</v>
      </c>
      <c r="K10" s="74">
        <v>0</v>
      </c>
      <c r="L10" s="74">
        <v>0</v>
      </c>
      <c r="M10" s="74">
        <v>0</v>
      </c>
      <c r="N10" s="30">
        <f>SUM(E10-SUM(K10:M10))</f>
        <v>0</v>
      </c>
      <c r="O10" s="74">
        <v>0</v>
      </c>
      <c r="P10" s="74">
        <v>0</v>
      </c>
      <c r="Q10" s="74">
        <v>0</v>
      </c>
      <c r="R10" s="30"/>
      <c r="S10" s="30">
        <f>SUM(G10:J10)</f>
        <v>0</v>
      </c>
      <c r="T10" s="30">
        <f>SUM(H10:K10)</f>
        <v>0</v>
      </c>
      <c r="U10" s="30">
        <f>SUM(I10:L10)</f>
        <v>0</v>
      </c>
      <c r="V10" s="30">
        <f>SUM(J10:M10)</f>
        <v>0</v>
      </c>
      <c r="W10" s="30">
        <f>SUM(K10:N10)</f>
        <v>0</v>
      </c>
      <c r="X10" s="30">
        <f>SUM(L10:O10)</f>
        <v>0</v>
      </c>
      <c r="Y10" s="30">
        <f>SUM(M10:P10)</f>
        <v>0</v>
      </c>
      <c r="Z10" s="30">
        <f>SUM(N10:Q10)</f>
        <v>0</v>
      </c>
      <c r="AA10" s="38"/>
      <c r="AB10" s="69" t="e">
        <f>SUM(Z10/V10)-1</f>
        <v>#DIV/0!</v>
      </c>
    </row>
    <row r="11" spans="1:28" ht="12.75" customHeight="1">
      <c r="B11" s="12" t="s">
        <v>11</v>
      </c>
      <c r="C11" s="13">
        <f t="shared" ref="C11:E11" si="0">+SUM(C10:C10)</f>
        <v>0</v>
      </c>
      <c r="D11" s="13">
        <f t="shared" si="0"/>
        <v>0</v>
      </c>
      <c r="E11" s="13">
        <f t="shared" si="0"/>
        <v>0</v>
      </c>
      <c r="F11" s="11"/>
      <c r="G11" s="13">
        <f t="shared" ref="G11:Q11" si="1">+SUM(G10:G10)</f>
        <v>0</v>
      </c>
      <c r="H11" s="13">
        <f t="shared" si="1"/>
        <v>0</v>
      </c>
      <c r="I11" s="13">
        <f t="shared" si="1"/>
        <v>0</v>
      </c>
      <c r="J11" s="13">
        <f t="shared" si="1"/>
        <v>0</v>
      </c>
      <c r="K11" s="13">
        <f t="shared" si="1"/>
        <v>0</v>
      </c>
      <c r="L11" s="13">
        <f t="shared" si="1"/>
        <v>0</v>
      </c>
      <c r="M11" s="13">
        <f t="shared" si="1"/>
        <v>0</v>
      </c>
      <c r="N11" s="13">
        <f t="shared" si="1"/>
        <v>0</v>
      </c>
      <c r="O11" s="13">
        <f t="shared" si="1"/>
        <v>0</v>
      </c>
      <c r="P11" s="13">
        <f t="shared" si="1"/>
        <v>0</v>
      </c>
      <c r="Q11" s="13">
        <f t="shared" si="1"/>
        <v>0</v>
      </c>
      <c r="S11" s="13">
        <f t="shared" ref="S11:Z11" si="2">+SUM(S10:S10)</f>
        <v>0</v>
      </c>
      <c r="T11" s="13">
        <f t="shared" si="2"/>
        <v>0</v>
      </c>
      <c r="U11" s="13">
        <f t="shared" si="2"/>
        <v>0</v>
      </c>
      <c r="V11" s="13">
        <f t="shared" si="2"/>
        <v>0</v>
      </c>
      <c r="W11" s="13">
        <f t="shared" si="2"/>
        <v>0</v>
      </c>
      <c r="X11" s="13">
        <f t="shared" si="2"/>
        <v>0</v>
      </c>
      <c r="Y11" s="13">
        <f t="shared" si="2"/>
        <v>0</v>
      </c>
      <c r="Z11" s="13">
        <f t="shared" si="2"/>
        <v>0</v>
      </c>
      <c r="AA11" s="38"/>
      <c r="AB11" s="70" t="e">
        <f t="shared" ref="AB11:AB29" si="3">SUM(Z11/V11)-1</f>
        <v>#DIV/0!</v>
      </c>
    </row>
    <row r="12" spans="1:28" s="18" customFormat="1" ht="5.0999999999999996" customHeight="1">
      <c r="B12" s="16"/>
      <c r="C12" s="17"/>
      <c r="D12" s="17"/>
      <c r="E12" s="17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AB12" s="69"/>
    </row>
    <row r="13" spans="1:28" ht="12.75" customHeight="1">
      <c r="B13" s="9" t="s">
        <v>12</v>
      </c>
      <c r="C13" s="74">
        <v>0</v>
      </c>
      <c r="D13" s="74">
        <v>0</v>
      </c>
      <c r="E13" s="74">
        <v>0</v>
      </c>
      <c r="F13" s="22"/>
      <c r="G13" s="74">
        <v>0</v>
      </c>
      <c r="H13" s="74">
        <v>0</v>
      </c>
      <c r="I13" s="74">
        <v>0</v>
      </c>
      <c r="J13" s="30">
        <f>SUM(D13-SUM(G13:I13))</f>
        <v>0</v>
      </c>
      <c r="K13" s="74">
        <v>0</v>
      </c>
      <c r="L13" s="74">
        <v>0</v>
      </c>
      <c r="M13" s="74">
        <v>0</v>
      </c>
      <c r="N13" s="30">
        <f>SUM(E13-SUM(K13:M13))</f>
        <v>0</v>
      </c>
      <c r="O13" s="74">
        <v>0</v>
      </c>
      <c r="P13" s="74">
        <v>0</v>
      </c>
      <c r="Q13" s="74">
        <v>0</v>
      </c>
      <c r="S13" s="30">
        <f>SUM(G13:J13)</f>
        <v>0</v>
      </c>
      <c r="T13" s="30">
        <f>SUM(H13:K13)</f>
        <v>0</v>
      </c>
      <c r="U13" s="30">
        <f>SUM(I13:L13)</f>
        <v>0</v>
      </c>
      <c r="V13" s="30">
        <f>SUM(J13:M13)</f>
        <v>0</v>
      </c>
      <c r="W13" s="30">
        <f>SUM(K13:N13)</f>
        <v>0</v>
      </c>
      <c r="X13" s="30">
        <f>SUM(L13:O13)</f>
        <v>0</v>
      </c>
      <c r="Y13" s="30">
        <f>SUM(M13:P13)</f>
        <v>0</v>
      </c>
      <c r="Z13" s="30">
        <f>SUM(N13:Q13)</f>
        <v>0</v>
      </c>
      <c r="AA13" s="11"/>
      <c r="AB13" s="69" t="e">
        <f t="shared" si="3"/>
        <v>#DIV/0!</v>
      </c>
    </row>
    <row r="14" spans="1:28" ht="12.75" customHeight="1">
      <c r="B14" s="23" t="s">
        <v>22</v>
      </c>
      <c r="C14" s="24">
        <f t="shared" ref="C14:E14" si="4">+SUM(C11+SUM(C13:C13))</f>
        <v>0</v>
      </c>
      <c r="D14" s="24">
        <f t="shared" si="4"/>
        <v>0</v>
      </c>
      <c r="E14" s="24">
        <f t="shared" si="4"/>
        <v>0</v>
      </c>
      <c r="G14" s="24">
        <f t="shared" ref="G14:Q14" si="5">+SUM(G11+SUM(G13:G13))</f>
        <v>0</v>
      </c>
      <c r="H14" s="24">
        <f t="shared" si="5"/>
        <v>0</v>
      </c>
      <c r="I14" s="24">
        <f t="shared" si="5"/>
        <v>0</v>
      </c>
      <c r="J14" s="24">
        <f t="shared" si="5"/>
        <v>0</v>
      </c>
      <c r="K14" s="24">
        <f t="shared" si="5"/>
        <v>0</v>
      </c>
      <c r="L14" s="24">
        <f t="shared" si="5"/>
        <v>0</v>
      </c>
      <c r="M14" s="24">
        <f t="shared" si="5"/>
        <v>0</v>
      </c>
      <c r="N14" s="24">
        <f t="shared" si="5"/>
        <v>0</v>
      </c>
      <c r="O14" s="24">
        <f t="shared" si="5"/>
        <v>0</v>
      </c>
      <c r="P14" s="24">
        <f t="shared" si="5"/>
        <v>0</v>
      </c>
      <c r="Q14" s="24">
        <f t="shared" si="5"/>
        <v>0</v>
      </c>
      <c r="S14" s="24">
        <f t="shared" ref="S14:Z14" si="6">+SUM(S11+SUM(S13:S13))</f>
        <v>0</v>
      </c>
      <c r="T14" s="24">
        <f t="shared" si="6"/>
        <v>0</v>
      </c>
      <c r="U14" s="24">
        <f t="shared" si="6"/>
        <v>0</v>
      </c>
      <c r="V14" s="24">
        <f t="shared" si="6"/>
        <v>0</v>
      </c>
      <c r="W14" s="24">
        <f t="shared" si="6"/>
        <v>0</v>
      </c>
      <c r="X14" s="24">
        <f t="shared" si="6"/>
        <v>0</v>
      </c>
      <c r="Y14" s="24">
        <f t="shared" si="6"/>
        <v>0</v>
      </c>
      <c r="Z14" s="24">
        <f t="shared" si="6"/>
        <v>0</v>
      </c>
      <c r="AA14" s="40"/>
      <c r="AB14" s="70" t="e">
        <f t="shared" si="3"/>
        <v>#DIV/0!</v>
      </c>
    </row>
    <row r="15" spans="1:28" ht="12.75" customHeight="1">
      <c r="B15" s="14" t="s">
        <v>34</v>
      </c>
      <c r="C15" s="15" t="e">
        <f t="shared" ref="C15:E15" si="7">C14/C11</f>
        <v>#DIV/0!</v>
      </c>
      <c r="D15" s="15" t="e">
        <f t="shared" si="7"/>
        <v>#DIV/0!</v>
      </c>
      <c r="E15" s="15" t="e">
        <f t="shared" si="7"/>
        <v>#DIV/0!</v>
      </c>
      <c r="F15" s="25"/>
      <c r="G15" s="15" t="e">
        <f t="shared" ref="G15:Q15" si="8">G14/G11</f>
        <v>#DIV/0!</v>
      </c>
      <c r="H15" s="15" t="e">
        <f t="shared" si="8"/>
        <v>#DIV/0!</v>
      </c>
      <c r="I15" s="15" t="e">
        <f t="shared" si="8"/>
        <v>#DIV/0!</v>
      </c>
      <c r="J15" s="15" t="e">
        <f t="shared" si="8"/>
        <v>#DIV/0!</v>
      </c>
      <c r="K15" s="15" t="e">
        <f t="shared" si="8"/>
        <v>#DIV/0!</v>
      </c>
      <c r="L15" s="15" t="e">
        <f t="shared" si="8"/>
        <v>#DIV/0!</v>
      </c>
      <c r="M15" s="15" t="e">
        <f t="shared" si="8"/>
        <v>#DIV/0!</v>
      </c>
      <c r="N15" s="15" t="e">
        <f t="shared" si="8"/>
        <v>#DIV/0!</v>
      </c>
      <c r="O15" s="15" t="e">
        <f t="shared" si="8"/>
        <v>#DIV/0!</v>
      </c>
      <c r="P15" s="15" t="e">
        <f t="shared" si="8"/>
        <v>#DIV/0!</v>
      </c>
      <c r="Q15" s="15" t="e">
        <f t="shared" si="8"/>
        <v>#DIV/0!</v>
      </c>
      <c r="R15" s="26"/>
      <c r="S15" s="15" t="e">
        <f t="shared" ref="S15:Z15" si="9">S14/S11</f>
        <v>#DIV/0!</v>
      </c>
      <c r="T15" s="15" t="e">
        <f t="shared" si="9"/>
        <v>#DIV/0!</v>
      </c>
      <c r="U15" s="15" t="e">
        <f t="shared" si="9"/>
        <v>#DIV/0!</v>
      </c>
      <c r="V15" s="15" t="e">
        <f t="shared" si="9"/>
        <v>#DIV/0!</v>
      </c>
      <c r="W15" s="15" t="e">
        <f t="shared" si="9"/>
        <v>#DIV/0!</v>
      </c>
      <c r="X15" s="15" t="e">
        <f t="shared" si="9"/>
        <v>#DIV/0!</v>
      </c>
      <c r="Y15" s="15" t="e">
        <f t="shared" si="9"/>
        <v>#DIV/0!</v>
      </c>
      <c r="Z15" s="15" t="e">
        <f t="shared" si="9"/>
        <v>#DIV/0!</v>
      </c>
      <c r="AA15" s="40"/>
      <c r="AB15" s="71" t="e">
        <f>SUM(Z15-V15)*1000</f>
        <v>#DIV/0!</v>
      </c>
    </row>
    <row r="16" spans="1:28" ht="5.0999999999999996" customHeight="1"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S16" s="28"/>
      <c r="T16" s="28"/>
      <c r="U16" s="28"/>
      <c r="V16" s="28"/>
      <c r="W16" s="28"/>
      <c r="X16" s="28"/>
      <c r="Y16" s="28"/>
      <c r="Z16" s="28"/>
      <c r="AA16" s="40"/>
      <c r="AB16" s="69"/>
    </row>
    <row r="17" spans="1:28" ht="12.75" customHeight="1">
      <c r="B17" s="9" t="s">
        <v>108</v>
      </c>
      <c r="C17" s="74">
        <v>-24813</v>
      </c>
      <c r="D17" s="74">
        <v>-68032</v>
      </c>
      <c r="E17" s="74">
        <v>-89423</v>
      </c>
      <c r="F17" s="74"/>
      <c r="G17" s="74">
        <v>-14906</v>
      </c>
      <c r="H17" s="74">
        <v>-16948</v>
      </c>
      <c r="I17" s="74">
        <v>-18526</v>
      </c>
      <c r="J17" s="30">
        <f t="shared" ref="J17:J18" si="10">SUM(D17-SUM(G17:I17))</f>
        <v>-17652</v>
      </c>
      <c r="K17" s="74">
        <v>-22120</v>
      </c>
      <c r="L17" s="74">
        <v>-24969</v>
      </c>
      <c r="M17" s="74">
        <v>-23603</v>
      </c>
      <c r="N17" s="30">
        <f t="shared" ref="N17:N18" si="11">SUM(E17-SUM(K17:M17))</f>
        <v>-18731</v>
      </c>
      <c r="O17" s="74">
        <v>-16233</v>
      </c>
      <c r="P17" s="74">
        <v>-15198</v>
      </c>
      <c r="Q17" s="74">
        <v>-17676</v>
      </c>
      <c r="S17" s="30">
        <f>SUM(G17:J17)</f>
        <v>-68032</v>
      </c>
      <c r="T17" s="30">
        <f>SUM(H17:K17)</f>
        <v>-75246</v>
      </c>
      <c r="U17" s="30">
        <f>SUM(I17:L17)</f>
        <v>-83267</v>
      </c>
      <c r="V17" s="30">
        <f>SUM(J17:M17)</f>
        <v>-88344</v>
      </c>
      <c r="W17" s="30">
        <f>SUM(K17:N17)</f>
        <v>-89423</v>
      </c>
      <c r="X17" s="30">
        <f>SUM(L17:O17)</f>
        <v>-83536</v>
      </c>
      <c r="Y17" s="30">
        <f>SUM(M17:P17)</f>
        <v>-73765</v>
      </c>
      <c r="Z17" s="30">
        <f>SUM(N17:Q17)</f>
        <v>-67838</v>
      </c>
      <c r="AA17" s="11"/>
      <c r="AB17" s="69">
        <f t="shared" si="3"/>
        <v>-0.23211536720094172</v>
      </c>
    </row>
    <row r="18" spans="1:28" ht="12.75" customHeight="1">
      <c r="B18" s="9" t="s">
        <v>109</v>
      </c>
      <c r="C18" s="74">
        <v>-8055</v>
      </c>
      <c r="D18" s="74">
        <v>-11988</v>
      </c>
      <c r="E18" s="74">
        <v>-16534</v>
      </c>
      <c r="F18" s="74"/>
      <c r="G18" s="74">
        <v>-2915</v>
      </c>
      <c r="H18" s="74">
        <v>-2969</v>
      </c>
      <c r="I18" s="74">
        <v>-2819</v>
      </c>
      <c r="J18" s="30">
        <f t="shared" si="10"/>
        <v>-3285</v>
      </c>
      <c r="K18" s="74">
        <v>-4392</v>
      </c>
      <c r="L18" s="74">
        <v>-3808</v>
      </c>
      <c r="M18" s="74">
        <v>-4276</v>
      </c>
      <c r="N18" s="30">
        <f t="shared" si="11"/>
        <v>-4058</v>
      </c>
      <c r="O18" s="74">
        <v>-3701</v>
      </c>
      <c r="P18" s="74">
        <v>-46204</v>
      </c>
      <c r="Q18" s="74">
        <v>-12947</v>
      </c>
      <c r="S18" s="30">
        <f>SUM(G18:J18)</f>
        <v>-11988</v>
      </c>
      <c r="T18" s="30">
        <f>SUM(H18:K18)</f>
        <v>-13465</v>
      </c>
      <c r="U18" s="30">
        <f>SUM(I18:L18)</f>
        <v>-14304</v>
      </c>
      <c r="V18" s="30">
        <f>SUM(J18:M18)</f>
        <v>-15761</v>
      </c>
      <c r="W18" s="30">
        <f>SUM(K18:N18)</f>
        <v>-16534</v>
      </c>
      <c r="X18" s="30">
        <f>SUM(L18:O18)</f>
        <v>-15843</v>
      </c>
      <c r="Y18" s="30">
        <f>SUM(M18:P18)</f>
        <v>-58239</v>
      </c>
      <c r="Z18" s="30">
        <f>SUM(N18:Q18)</f>
        <v>-66910</v>
      </c>
      <c r="AA18" s="11"/>
      <c r="AB18" s="69">
        <f t="shared" si="3"/>
        <v>3.24528900450479</v>
      </c>
    </row>
    <row r="19" spans="1:28" ht="12.75" customHeight="1">
      <c r="B19" s="23" t="s">
        <v>88</v>
      </c>
      <c r="C19" s="24">
        <f>+SUM(C14+SUM(C17:C18))</f>
        <v>-32868</v>
      </c>
      <c r="D19" s="24">
        <f>+SUM(D14+SUM(D17:D18))</f>
        <v>-80020</v>
      </c>
      <c r="E19" s="24">
        <f>+SUM(E14+SUM(E17:E18))</f>
        <v>-105957</v>
      </c>
      <c r="F19" s="30"/>
      <c r="G19" s="24">
        <f t="shared" ref="G19:Q19" si="12">+SUM(G14+SUM(G17:G18))</f>
        <v>-17821</v>
      </c>
      <c r="H19" s="24">
        <f t="shared" si="12"/>
        <v>-19917</v>
      </c>
      <c r="I19" s="24">
        <f t="shared" si="12"/>
        <v>-21345</v>
      </c>
      <c r="J19" s="24">
        <f t="shared" si="12"/>
        <v>-20937</v>
      </c>
      <c r="K19" s="24">
        <f t="shared" si="12"/>
        <v>-26512</v>
      </c>
      <c r="L19" s="24">
        <f t="shared" si="12"/>
        <v>-28777</v>
      </c>
      <c r="M19" s="24">
        <f t="shared" si="12"/>
        <v>-27879</v>
      </c>
      <c r="N19" s="24">
        <f t="shared" si="12"/>
        <v>-22789</v>
      </c>
      <c r="O19" s="24">
        <f t="shared" si="12"/>
        <v>-19934</v>
      </c>
      <c r="P19" s="24">
        <f t="shared" si="12"/>
        <v>-61402</v>
      </c>
      <c r="Q19" s="24">
        <f t="shared" si="12"/>
        <v>-30623</v>
      </c>
      <c r="S19" s="24">
        <f t="shared" ref="S19:Z19" si="13">+SUM(S14+SUM(S17:S18))</f>
        <v>-80020</v>
      </c>
      <c r="T19" s="24">
        <f t="shared" si="13"/>
        <v>-88711</v>
      </c>
      <c r="U19" s="24">
        <f t="shared" si="13"/>
        <v>-97571</v>
      </c>
      <c r="V19" s="24">
        <f t="shared" si="13"/>
        <v>-104105</v>
      </c>
      <c r="W19" s="24">
        <f t="shared" si="13"/>
        <v>-105957</v>
      </c>
      <c r="X19" s="24">
        <f t="shared" si="13"/>
        <v>-99379</v>
      </c>
      <c r="Y19" s="24">
        <f t="shared" si="13"/>
        <v>-132004</v>
      </c>
      <c r="Z19" s="24">
        <f t="shared" si="13"/>
        <v>-134748</v>
      </c>
      <c r="AA19" s="11"/>
      <c r="AB19" s="70">
        <f t="shared" si="3"/>
        <v>0.29434705345564582</v>
      </c>
    </row>
    <row r="20" spans="1:28" ht="12.75" customHeight="1">
      <c r="B20" s="14" t="s">
        <v>36</v>
      </c>
      <c r="C20" s="15" t="e">
        <f>C19/C11</f>
        <v>#DIV/0!</v>
      </c>
      <c r="D20" s="15" t="e">
        <f>D19/D11</f>
        <v>#DIV/0!</v>
      </c>
      <c r="E20" s="15" t="e">
        <f>E19/E11</f>
        <v>#DIV/0!</v>
      </c>
      <c r="F20" s="30"/>
      <c r="G20" s="15" t="e">
        <f t="shared" ref="G20:Q20" si="14">G19/G11</f>
        <v>#DIV/0!</v>
      </c>
      <c r="H20" s="15" t="e">
        <f t="shared" si="14"/>
        <v>#DIV/0!</v>
      </c>
      <c r="I20" s="15" t="e">
        <f t="shared" si="14"/>
        <v>#DIV/0!</v>
      </c>
      <c r="J20" s="15" t="e">
        <f t="shared" si="14"/>
        <v>#DIV/0!</v>
      </c>
      <c r="K20" s="15" t="e">
        <f t="shared" si="14"/>
        <v>#DIV/0!</v>
      </c>
      <c r="L20" s="15" t="e">
        <f t="shared" si="14"/>
        <v>#DIV/0!</v>
      </c>
      <c r="M20" s="15" t="e">
        <f t="shared" si="14"/>
        <v>#DIV/0!</v>
      </c>
      <c r="N20" s="15" t="e">
        <f t="shared" si="14"/>
        <v>#DIV/0!</v>
      </c>
      <c r="O20" s="15" t="e">
        <f t="shared" si="14"/>
        <v>#DIV/0!</v>
      </c>
      <c r="P20" s="15" t="e">
        <f t="shared" si="14"/>
        <v>#DIV/0!</v>
      </c>
      <c r="Q20" s="15" t="e">
        <f t="shared" si="14"/>
        <v>#DIV/0!</v>
      </c>
      <c r="S20" s="15" t="e">
        <f t="shared" ref="S20:Z20" si="15">S19/S11</f>
        <v>#DIV/0!</v>
      </c>
      <c r="T20" s="15" t="e">
        <f t="shared" si="15"/>
        <v>#DIV/0!</v>
      </c>
      <c r="U20" s="15" t="e">
        <f t="shared" si="15"/>
        <v>#DIV/0!</v>
      </c>
      <c r="V20" s="15" t="e">
        <f t="shared" si="15"/>
        <v>#DIV/0!</v>
      </c>
      <c r="W20" s="15" t="e">
        <f t="shared" si="15"/>
        <v>#DIV/0!</v>
      </c>
      <c r="X20" s="15" t="e">
        <f t="shared" si="15"/>
        <v>#DIV/0!</v>
      </c>
      <c r="Y20" s="15" t="e">
        <f t="shared" si="15"/>
        <v>#DIV/0!</v>
      </c>
      <c r="Z20" s="15" t="e">
        <f t="shared" si="15"/>
        <v>#DIV/0!</v>
      </c>
      <c r="AA20" s="11"/>
      <c r="AB20" s="71" t="e">
        <f>SUM(Z20-V20)*1000</f>
        <v>#DIV/0!</v>
      </c>
    </row>
    <row r="21" spans="1:28" ht="5.0999999999999996" customHeight="1">
      <c r="B21" s="14"/>
      <c r="C21" s="15"/>
      <c r="D21" s="15"/>
      <c r="E21" s="15"/>
      <c r="F21" s="30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S21" s="30"/>
      <c r="T21" s="30"/>
      <c r="U21" s="30"/>
      <c r="V21" s="30"/>
      <c r="W21" s="30"/>
      <c r="X21" s="30"/>
      <c r="Y21" s="30"/>
      <c r="Z21" s="30"/>
      <c r="AA21" s="11"/>
      <c r="AB21" s="69"/>
    </row>
    <row r="22" spans="1:28" ht="12.75" customHeight="1">
      <c r="B22" s="9" t="s">
        <v>77</v>
      </c>
      <c r="C22" s="74">
        <v>49</v>
      </c>
      <c r="D22" s="74">
        <v>2777</v>
      </c>
      <c r="E22" s="74">
        <v>7833</v>
      </c>
      <c r="F22" s="30"/>
      <c r="G22" s="74">
        <v>31</v>
      </c>
      <c r="H22" s="74">
        <v>314</v>
      </c>
      <c r="I22" s="74">
        <v>878</v>
      </c>
      <c r="J22" s="30">
        <f t="shared" ref="J22:J24" si="16">SUM(D22-SUM(G22:I22))</f>
        <v>1554</v>
      </c>
      <c r="K22" s="74">
        <v>2051</v>
      </c>
      <c r="L22" s="74">
        <v>2198</v>
      </c>
      <c r="M22" s="74">
        <v>2005</v>
      </c>
      <c r="N22" s="30">
        <f t="shared" ref="N22:N24" si="17">SUM(E22-SUM(K22:M22))</f>
        <v>1579</v>
      </c>
      <c r="O22" s="74">
        <v>1776</v>
      </c>
      <c r="P22" s="74">
        <v>2316</v>
      </c>
      <c r="Q22" s="74">
        <v>2618</v>
      </c>
      <c r="S22" s="30">
        <f>SUM(G22:J22)</f>
        <v>2777</v>
      </c>
      <c r="T22" s="30">
        <f>SUM(H22:K22)</f>
        <v>4797</v>
      </c>
      <c r="U22" s="30">
        <f>SUM(I22:L22)</f>
        <v>6681</v>
      </c>
      <c r="V22" s="30">
        <f>SUM(J22:M22)</f>
        <v>7808</v>
      </c>
      <c r="W22" s="30">
        <f>SUM(K22:N22)</f>
        <v>7833</v>
      </c>
      <c r="X22" s="30">
        <f>SUM(L22:O22)</f>
        <v>7558</v>
      </c>
      <c r="Y22" s="30">
        <f>SUM(M22:P22)</f>
        <v>7676</v>
      </c>
      <c r="Z22" s="30">
        <f>SUM(N22:Q22)</f>
        <v>8289</v>
      </c>
      <c r="AA22" s="11"/>
      <c r="AB22" s="69">
        <f t="shared" si="3"/>
        <v>6.1603483606557319E-2</v>
      </c>
    </row>
    <row r="23" spans="1:28" ht="12.75" customHeight="1">
      <c r="B23" s="9" t="s">
        <v>110</v>
      </c>
      <c r="C23" s="74">
        <v>434</v>
      </c>
      <c r="D23" s="74">
        <v>997</v>
      </c>
      <c r="E23" s="74">
        <v>907</v>
      </c>
      <c r="F23" s="30"/>
      <c r="G23" s="74">
        <v>263</v>
      </c>
      <c r="H23" s="74">
        <v>275</v>
      </c>
      <c r="I23" s="74">
        <v>210</v>
      </c>
      <c r="J23" s="30">
        <f t="shared" si="16"/>
        <v>249</v>
      </c>
      <c r="K23" s="74">
        <v>190</v>
      </c>
      <c r="L23" s="74">
        <v>203</v>
      </c>
      <c r="M23" s="74">
        <v>223</v>
      </c>
      <c r="N23" s="30">
        <f t="shared" si="17"/>
        <v>291</v>
      </c>
      <c r="O23" s="74">
        <v>160</v>
      </c>
      <c r="P23" s="74">
        <v>99</v>
      </c>
      <c r="Q23" s="74">
        <v>62</v>
      </c>
      <c r="S23" s="30">
        <f>SUM(G23:J23)</f>
        <v>997</v>
      </c>
      <c r="T23" s="30">
        <f>SUM(H23:K23)</f>
        <v>924</v>
      </c>
      <c r="U23" s="30">
        <f>SUM(I23:L23)</f>
        <v>852</v>
      </c>
      <c r="V23" s="30">
        <f>SUM(J23:M23)</f>
        <v>865</v>
      </c>
      <c r="W23" s="30">
        <f>SUM(K23:N23)</f>
        <v>907</v>
      </c>
      <c r="X23" s="30">
        <f>SUM(L23:O23)</f>
        <v>877</v>
      </c>
      <c r="Y23" s="30">
        <f>SUM(M23:P23)</f>
        <v>773</v>
      </c>
      <c r="Z23" s="30">
        <f>SUM(N23:Q23)</f>
        <v>612</v>
      </c>
      <c r="AA23" s="11"/>
      <c r="AB23" s="69">
        <f t="shared" si="3"/>
        <v>-0.292485549132948</v>
      </c>
    </row>
    <row r="24" spans="1:28" ht="12.75" customHeight="1">
      <c r="B24" s="9" t="s">
        <v>111</v>
      </c>
      <c r="C24" s="74">
        <v>0</v>
      </c>
      <c r="D24" s="74">
        <v>0</v>
      </c>
      <c r="E24" s="74">
        <v>0</v>
      </c>
      <c r="F24" s="30"/>
      <c r="G24" s="74">
        <v>0</v>
      </c>
      <c r="H24" s="74">
        <v>0</v>
      </c>
      <c r="I24" s="74">
        <v>0</v>
      </c>
      <c r="J24" s="30">
        <f t="shared" si="16"/>
        <v>0</v>
      </c>
      <c r="K24" s="74">
        <v>0</v>
      </c>
      <c r="L24" s="74">
        <v>0</v>
      </c>
      <c r="M24" s="74">
        <v>0</v>
      </c>
      <c r="N24" s="30">
        <f t="shared" si="17"/>
        <v>0</v>
      </c>
      <c r="O24" s="74">
        <v>43041</v>
      </c>
      <c r="P24" s="74">
        <v>65142</v>
      </c>
      <c r="Q24" s="74">
        <v>0</v>
      </c>
      <c r="S24" s="30">
        <f>SUM(G24:J24)</f>
        <v>0</v>
      </c>
      <c r="T24" s="30">
        <f>SUM(H24:K24)</f>
        <v>0</v>
      </c>
      <c r="U24" s="30">
        <f>SUM(I24:L24)</f>
        <v>0</v>
      </c>
      <c r="V24" s="30">
        <f>SUM(J24:M24)</f>
        <v>0</v>
      </c>
      <c r="W24" s="30">
        <f>SUM(K24:N24)</f>
        <v>0</v>
      </c>
      <c r="X24" s="30">
        <f>SUM(L24:O24)</f>
        <v>43041</v>
      </c>
      <c r="Y24" s="30">
        <f>SUM(M24:P24)</f>
        <v>108183</v>
      </c>
      <c r="Z24" s="30">
        <f>SUM(N24:Q24)</f>
        <v>108183</v>
      </c>
      <c r="AA24" s="11"/>
      <c r="AB24" s="69" t="e">
        <f t="shared" si="3"/>
        <v>#DIV/0!</v>
      </c>
    </row>
    <row r="25" spans="1:28" ht="12.75" customHeight="1">
      <c r="B25" s="23" t="s">
        <v>89</v>
      </c>
      <c r="C25" s="24">
        <f>SUM(C19+SUM(C22:C24))</f>
        <v>-32385</v>
      </c>
      <c r="D25" s="24">
        <f>SUM(D19+SUM(D22:D24))</f>
        <v>-76246</v>
      </c>
      <c r="E25" s="24">
        <f>SUM(E19+SUM(E22:E24))</f>
        <v>-97217</v>
      </c>
      <c r="G25" s="24">
        <f t="shared" ref="G25:Q25" si="18">SUM(G19+SUM(G22:G24))</f>
        <v>-17527</v>
      </c>
      <c r="H25" s="24">
        <f t="shared" si="18"/>
        <v>-19328</v>
      </c>
      <c r="I25" s="24">
        <f t="shared" si="18"/>
        <v>-20257</v>
      </c>
      <c r="J25" s="24">
        <f t="shared" si="18"/>
        <v>-19134</v>
      </c>
      <c r="K25" s="24">
        <f t="shared" si="18"/>
        <v>-24271</v>
      </c>
      <c r="L25" s="24">
        <f t="shared" si="18"/>
        <v>-26376</v>
      </c>
      <c r="M25" s="24">
        <f t="shared" si="18"/>
        <v>-25651</v>
      </c>
      <c r="N25" s="24">
        <f t="shared" si="18"/>
        <v>-20919</v>
      </c>
      <c r="O25" s="24">
        <f t="shared" si="18"/>
        <v>25043</v>
      </c>
      <c r="P25" s="24">
        <f t="shared" si="18"/>
        <v>6155</v>
      </c>
      <c r="Q25" s="24">
        <f t="shared" si="18"/>
        <v>-27943</v>
      </c>
      <c r="S25" s="24">
        <f t="shared" ref="S25:Z25" si="19">SUM(S19+SUM(S22:S24))</f>
        <v>-76246</v>
      </c>
      <c r="T25" s="24">
        <f t="shared" si="19"/>
        <v>-82990</v>
      </c>
      <c r="U25" s="24">
        <f t="shared" si="19"/>
        <v>-90038</v>
      </c>
      <c r="V25" s="24">
        <f t="shared" si="19"/>
        <v>-95432</v>
      </c>
      <c r="W25" s="24">
        <f t="shared" si="19"/>
        <v>-97217</v>
      </c>
      <c r="X25" s="24">
        <f t="shared" si="19"/>
        <v>-47903</v>
      </c>
      <c r="Y25" s="24">
        <f t="shared" si="19"/>
        <v>-15372</v>
      </c>
      <c r="Z25" s="24">
        <f t="shared" si="19"/>
        <v>-17664</v>
      </c>
      <c r="AA25" s="40"/>
      <c r="AB25" s="70">
        <f t="shared" si="3"/>
        <v>-0.8149048537178305</v>
      </c>
    </row>
    <row r="26" spans="1:28" ht="12.75" customHeight="1">
      <c r="B26" s="14" t="s">
        <v>90</v>
      </c>
      <c r="C26" s="15" t="e">
        <f>C25/C11</f>
        <v>#DIV/0!</v>
      </c>
      <c r="D26" s="15" t="e">
        <f>D25/D11</f>
        <v>#DIV/0!</v>
      </c>
      <c r="E26" s="15" t="e">
        <f>E25/E11</f>
        <v>#DIV/0!</v>
      </c>
      <c r="F26" s="25"/>
      <c r="G26" s="15" t="e">
        <f t="shared" ref="G26:Q26" si="20">G25/G11</f>
        <v>#DIV/0!</v>
      </c>
      <c r="H26" s="15" t="e">
        <f t="shared" si="20"/>
        <v>#DIV/0!</v>
      </c>
      <c r="I26" s="15" t="e">
        <f t="shared" si="20"/>
        <v>#DIV/0!</v>
      </c>
      <c r="J26" s="15" t="e">
        <f t="shared" si="20"/>
        <v>#DIV/0!</v>
      </c>
      <c r="K26" s="15" t="e">
        <f t="shared" si="20"/>
        <v>#DIV/0!</v>
      </c>
      <c r="L26" s="15" t="e">
        <f t="shared" si="20"/>
        <v>#DIV/0!</v>
      </c>
      <c r="M26" s="15" t="e">
        <f t="shared" si="20"/>
        <v>#DIV/0!</v>
      </c>
      <c r="N26" s="15" t="e">
        <f t="shared" si="20"/>
        <v>#DIV/0!</v>
      </c>
      <c r="O26" s="15" t="e">
        <f t="shared" si="20"/>
        <v>#DIV/0!</v>
      </c>
      <c r="P26" s="15" t="e">
        <f t="shared" si="20"/>
        <v>#DIV/0!</v>
      </c>
      <c r="Q26" s="15" t="e">
        <f t="shared" si="20"/>
        <v>#DIV/0!</v>
      </c>
      <c r="R26" s="26"/>
      <c r="S26" s="15" t="e">
        <f t="shared" ref="S26:Z26" si="21">S25/S11</f>
        <v>#DIV/0!</v>
      </c>
      <c r="T26" s="15" t="e">
        <f t="shared" si="21"/>
        <v>#DIV/0!</v>
      </c>
      <c r="U26" s="15" t="e">
        <f t="shared" si="21"/>
        <v>#DIV/0!</v>
      </c>
      <c r="V26" s="15" t="e">
        <f t="shared" si="21"/>
        <v>#DIV/0!</v>
      </c>
      <c r="W26" s="15" t="e">
        <f t="shared" si="21"/>
        <v>#DIV/0!</v>
      </c>
      <c r="X26" s="15" t="e">
        <f t="shared" si="21"/>
        <v>#DIV/0!</v>
      </c>
      <c r="Y26" s="15" t="e">
        <f t="shared" si="21"/>
        <v>#DIV/0!</v>
      </c>
      <c r="Z26" s="15" t="e">
        <f t="shared" si="21"/>
        <v>#DIV/0!</v>
      </c>
      <c r="AA26" s="41"/>
      <c r="AB26" s="71" t="e">
        <f>SUM(Z26-V26)*1000</f>
        <v>#DIV/0!</v>
      </c>
    </row>
    <row r="27" spans="1:28" ht="5.0999999999999996" customHeight="1">
      <c r="B27" s="27"/>
      <c r="C27" s="42"/>
      <c r="D27" s="42"/>
      <c r="E27" s="42"/>
      <c r="F27" s="28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S27" s="42"/>
      <c r="T27" s="42"/>
      <c r="U27" s="42"/>
      <c r="V27" s="42"/>
      <c r="W27" s="42"/>
      <c r="X27" s="42"/>
      <c r="Y27" s="42"/>
      <c r="Z27" s="42"/>
      <c r="AA27" s="41"/>
      <c r="AB27" s="69"/>
    </row>
    <row r="28" spans="1:28" ht="12.75" customHeight="1">
      <c r="B28" s="43" t="s">
        <v>101</v>
      </c>
      <c r="C28" s="74">
        <v>0</v>
      </c>
      <c r="D28" s="74">
        <v>0</v>
      </c>
      <c r="E28" s="74">
        <v>0</v>
      </c>
      <c r="F28" s="30"/>
      <c r="G28" s="74">
        <v>0</v>
      </c>
      <c r="H28" s="74">
        <v>0</v>
      </c>
      <c r="I28" s="74">
        <v>0</v>
      </c>
      <c r="J28" s="30">
        <f t="shared" ref="J28" si="22">SUM(C28-SUM(G28:I28))</f>
        <v>0</v>
      </c>
      <c r="K28" s="74">
        <v>0</v>
      </c>
      <c r="L28" s="74">
        <v>0</v>
      </c>
      <c r="M28" s="74">
        <v>0</v>
      </c>
      <c r="N28" s="30">
        <f t="shared" ref="N28" si="23">SUM(D28-SUM(K28:M28))</f>
        <v>0</v>
      </c>
      <c r="O28" s="74">
        <v>0</v>
      </c>
      <c r="P28" s="74">
        <v>0</v>
      </c>
      <c r="Q28" s="74">
        <v>0</v>
      </c>
      <c r="R28" s="30"/>
      <c r="S28" s="30">
        <f>SUM(G28:J28)</f>
        <v>0</v>
      </c>
      <c r="T28" s="30">
        <f>SUM(H28:K28)</f>
        <v>0</v>
      </c>
      <c r="U28" s="30">
        <f>SUM(I28:L28)</f>
        <v>0</v>
      </c>
      <c r="V28" s="30">
        <f>SUM(J28:M28)</f>
        <v>0</v>
      </c>
      <c r="W28" s="30">
        <f>SUM(K28:N28)</f>
        <v>0</v>
      </c>
      <c r="X28" s="30">
        <f>SUM(L28:O28)</f>
        <v>0</v>
      </c>
      <c r="Y28" s="30">
        <f>SUM(M28:P28)</f>
        <v>0</v>
      </c>
      <c r="Z28" s="30">
        <f>SUM(N28:Q28)</f>
        <v>0</v>
      </c>
      <c r="AA28" s="41"/>
      <c r="AB28" s="69" t="e">
        <f t="shared" si="3"/>
        <v>#DIV/0!</v>
      </c>
    </row>
    <row r="29" spans="1:28" ht="12.75" customHeight="1">
      <c r="B29" s="12" t="s">
        <v>61</v>
      </c>
      <c r="C29" s="13">
        <f t="shared" ref="C29:E29" si="24">SUM(C25+C28)</f>
        <v>-32385</v>
      </c>
      <c r="D29" s="13">
        <f t="shared" si="24"/>
        <v>-76246</v>
      </c>
      <c r="E29" s="13">
        <f t="shared" si="24"/>
        <v>-97217</v>
      </c>
      <c r="F29" s="11"/>
      <c r="G29" s="13">
        <f t="shared" ref="G29:Q29" si="25">SUM(G25+G28)</f>
        <v>-17527</v>
      </c>
      <c r="H29" s="13">
        <f t="shared" si="25"/>
        <v>-19328</v>
      </c>
      <c r="I29" s="13">
        <f t="shared" si="25"/>
        <v>-20257</v>
      </c>
      <c r="J29" s="13">
        <f t="shared" si="25"/>
        <v>-19134</v>
      </c>
      <c r="K29" s="13">
        <f t="shared" si="25"/>
        <v>-24271</v>
      </c>
      <c r="L29" s="13">
        <f t="shared" si="25"/>
        <v>-26376</v>
      </c>
      <c r="M29" s="13">
        <f t="shared" si="25"/>
        <v>-25651</v>
      </c>
      <c r="N29" s="13">
        <f t="shared" si="25"/>
        <v>-20919</v>
      </c>
      <c r="O29" s="13">
        <f t="shared" si="25"/>
        <v>25043</v>
      </c>
      <c r="P29" s="13">
        <f t="shared" si="25"/>
        <v>6155</v>
      </c>
      <c r="Q29" s="13">
        <f t="shared" si="25"/>
        <v>-27943</v>
      </c>
      <c r="R29" s="30"/>
      <c r="S29" s="13">
        <f t="shared" ref="S29:Z29" si="26">SUM(S25+S28)</f>
        <v>-76246</v>
      </c>
      <c r="T29" s="13">
        <f t="shared" si="26"/>
        <v>-82990</v>
      </c>
      <c r="U29" s="13">
        <f t="shared" si="26"/>
        <v>-90038</v>
      </c>
      <c r="V29" s="13">
        <f t="shared" si="26"/>
        <v>-95432</v>
      </c>
      <c r="W29" s="13">
        <f t="shared" si="26"/>
        <v>-97217</v>
      </c>
      <c r="X29" s="13">
        <f t="shared" si="26"/>
        <v>-47903</v>
      </c>
      <c r="Y29" s="13">
        <f t="shared" si="26"/>
        <v>-15372</v>
      </c>
      <c r="Z29" s="13">
        <f t="shared" si="26"/>
        <v>-17664</v>
      </c>
      <c r="AA29" s="34"/>
      <c r="AB29" s="70">
        <f t="shared" si="3"/>
        <v>-0.8149048537178305</v>
      </c>
    </row>
    <row r="30" spans="1:28" ht="12.75" customHeight="1">
      <c r="B30" s="14" t="s">
        <v>74</v>
      </c>
      <c r="C30" s="15" t="e">
        <f>C29/C11</f>
        <v>#DIV/0!</v>
      </c>
      <c r="D30" s="15" t="e">
        <f>D29/D11</f>
        <v>#DIV/0!</v>
      </c>
      <c r="E30" s="15" t="e">
        <f>E29/E11</f>
        <v>#DIV/0!</v>
      </c>
      <c r="F30" s="25"/>
      <c r="G30" s="15" t="e">
        <f t="shared" ref="G30:Q30" si="27">G29/G11</f>
        <v>#DIV/0!</v>
      </c>
      <c r="H30" s="15" t="e">
        <f t="shared" si="27"/>
        <v>#DIV/0!</v>
      </c>
      <c r="I30" s="15" t="e">
        <f t="shared" si="27"/>
        <v>#DIV/0!</v>
      </c>
      <c r="J30" s="15" t="e">
        <f t="shared" si="27"/>
        <v>#DIV/0!</v>
      </c>
      <c r="K30" s="15" t="e">
        <f t="shared" si="27"/>
        <v>#DIV/0!</v>
      </c>
      <c r="L30" s="15" t="e">
        <f t="shared" si="27"/>
        <v>#DIV/0!</v>
      </c>
      <c r="M30" s="15" t="e">
        <f t="shared" si="27"/>
        <v>#DIV/0!</v>
      </c>
      <c r="N30" s="15" t="e">
        <f t="shared" si="27"/>
        <v>#DIV/0!</v>
      </c>
      <c r="O30" s="15" t="e">
        <f t="shared" si="27"/>
        <v>#DIV/0!</v>
      </c>
      <c r="P30" s="15" t="e">
        <f t="shared" si="27"/>
        <v>#DIV/0!</v>
      </c>
      <c r="Q30" s="15" t="e">
        <f t="shared" si="27"/>
        <v>#DIV/0!</v>
      </c>
      <c r="R30" s="26"/>
      <c r="S30" s="15" t="e">
        <f t="shared" ref="S30:Z30" si="28">S29/S11</f>
        <v>#DIV/0!</v>
      </c>
      <c r="T30" s="15" t="e">
        <f t="shared" si="28"/>
        <v>#DIV/0!</v>
      </c>
      <c r="U30" s="15" t="e">
        <f t="shared" si="28"/>
        <v>#DIV/0!</v>
      </c>
      <c r="V30" s="15" t="e">
        <f t="shared" si="28"/>
        <v>#DIV/0!</v>
      </c>
      <c r="W30" s="15" t="e">
        <f t="shared" si="28"/>
        <v>#DIV/0!</v>
      </c>
      <c r="X30" s="15" t="e">
        <f t="shared" si="28"/>
        <v>#DIV/0!</v>
      </c>
      <c r="Y30" s="15" t="e">
        <f t="shared" si="28"/>
        <v>#DIV/0!</v>
      </c>
      <c r="Z30" s="15" t="e">
        <f t="shared" si="28"/>
        <v>#DIV/0!</v>
      </c>
      <c r="AA30" s="41"/>
      <c r="AB30" s="71" t="e">
        <f>SUM(Z30-V30)*1000</f>
        <v>#DIV/0!</v>
      </c>
    </row>
    <row r="31" spans="1:28" ht="5.0999999999999996" customHeight="1">
      <c r="B31" s="14"/>
      <c r="C31" s="15"/>
      <c r="D31" s="15"/>
      <c r="E31" s="15"/>
      <c r="F31" s="2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26"/>
      <c r="S31" s="15"/>
      <c r="T31" s="15"/>
      <c r="U31" s="15"/>
      <c r="V31" s="15"/>
      <c r="W31" s="15"/>
      <c r="X31" s="15"/>
      <c r="Y31" s="15"/>
      <c r="Z31" s="15"/>
      <c r="AA31" s="41"/>
      <c r="AB31" s="71"/>
    </row>
    <row r="32" spans="1:28" ht="12.75" customHeight="1">
      <c r="A32" s="5" t="s">
        <v>17</v>
      </c>
      <c r="B32" s="90" t="s">
        <v>84</v>
      </c>
      <c r="C32" s="91" t="s">
        <v>0</v>
      </c>
      <c r="D32" s="91"/>
      <c r="E32" s="91"/>
      <c r="F32" s="92"/>
      <c r="G32" s="91" t="s">
        <v>1</v>
      </c>
      <c r="H32" s="91"/>
      <c r="I32" s="91"/>
      <c r="J32" s="91"/>
      <c r="K32" s="91"/>
      <c r="L32" s="91"/>
      <c r="M32" s="91"/>
      <c r="N32" s="91"/>
      <c r="O32" s="91"/>
      <c r="P32" s="91"/>
      <c r="Q32" s="91" t="s">
        <v>1</v>
      </c>
      <c r="R32" s="90"/>
      <c r="S32" s="91"/>
      <c r="T32" s="91"/>
      <c r="U32" s="91"/>
      <c r="V32" s="91" t="s">
        <v>9</v>
      </c>
      <c r="W32" s="91"/>
      <c r="X32" s="91"/>
      <c r="Y32" s="91"/>
      <c r="Z32" s="91"/>
      <c r="AA32" s="92"/>
      <c r="AB32" s="118" t="s">
        <v>24</v>
      </c>
    </row>
    <row r="33" spans="2:28" ht="12.75" customHeight="1">
      <c r="B33" s="94" t="str">
        <f>B7</f>
        <v>Fiscal Period</v>
      </c>
      <c r="C33" s="93">
        <f>C7</f>
        <v>2021</v>
      </c>
      <c r="D33" s="93">
        <f>D7</f>
        <v>2022</v>
      </c>
      <c r="E33" s="93">
        <f>E7</f>
        <v>2023</v>
      </c>
      <c r="F33" s="92"/>
      <c r="G33" s="93" t="str">
        <f>G7</f>
        <v>1Q22</v>
      </c>
      <c r="H33" s="93" t="str">
        <f>H7</f>
        <v>2Q22</v>
      </c>
      <c r="I33" s="93" t="str">
        <f>I7</f>
        <v>3Q22</v>
      </c>
      <c r="J33" s="93" t="str">
        <f>J7</f>
        <v>4Q22</v>
      </c>
      <c r="K33" s="93" t="str">
        <f>K7</f>
        <v>1Q23</v>
      </c>
      <c r="L33" s="93" t="str">
        <f>L7</f>
        <v>2Q23</v>
      </c>
      <c r="M33" s="93" t="str">
        <f>M7</f>
        <v>3Q23</v>
      </c>
      <c r="N33" s="93" t="str">
        <f>N7</f>
        <v>4Q23</v>
      </c>
      <c r="O33" s="93" t="str">
        <f>O7</f>
        <v>1Q24</v>
      </c>
      <c r="P33" s="93" t="str">
        <f>P7</f>
        <v>2Q24</v>
      </c>
      <c r="Q33" s="93" t="str">
        <f>Q7</f>
        <v>3Q24</v>
      </c>
      <c r="R33" s="95"/>
      <c r="S33" s="93" t="str">
        <f>S7</f>
        <v>4Q22</v>
      </c>
      <c r="T33" s="93" t="str">
        <f>T7</f>
        <v>1Q23</v>
      </c>
      <c r="U33" s="93" t="str">
        <f>U7</f>
        <v>2Q23</v>
      </c>
      <c r="V33" s="93" t="str">
        <f>V7</f>
        <v>3Q23</v>
      </c>
      <c r="W33" s="93" t="str">
        <f>W7</f>
        <v>4Q23</v>
      </c>
      <c r="X33" s="93" t="str">
        <f>X7</f>
        <v>1Q24</v>
      </c>
      <c r="Y33" s="93" t="str">
        <f>Y7</f>
        <v>2Q24</v>
      </c>
      <c r="Z33" s="93" t="str">
        <f>Z7</f>
        <v>3Q24</v>
      </c>
      <c r="AA33" s="92"/>
      <c r="AB33" s="118"/>
    </row>
    <row r="34" spans="2:28" ht="12.75" customHeight="1">
      <c r="B34" s="94" t="str">
        <f>B8</f>
        <v>Fiscal Period End Date</v>
      </c>
      <c r="C34" s="96">
        <f>C8</f>
        <v>44561</v>
      </c>
      <c r="D34" s="96">
        <f>D8</f>
        <v>44926</v>
      </c>
      <c r="E34" s="96">
        <f>E8</f>
        <v>45291</v>
      </c>
      <c r="F34" s="92"/>
      <c r="G34" s="96">
        <f>G8</f>
        <v>44651</v>
      </c>
      <c r="H34" s="96">
        <f>H8</f>
        <v>44742</v>
      </c>
      <c r="I34" s="96">
        <f>I8</f>
        <v>44834</v>
      </c>
      <c r="J34" s="96">
        <f>J8</f>
        <v>44926</v>
      </c>
      <c r="K34" s="96">
        <f>K8</f>
        <v>45016</v>
      </c>
      <c r="L34" s="96">
        <f>L8</f>
        <v>45107</v>
      </c>
      <c r="M34" s="96">
        <f>M8</f>
        <v>45199</v>
      </c>
      <c r="N34" s="96">
        <f>N8</f>
        <v>45291</v>
      </c>
      <c r="O34" s="96">
        <f>O8</f>
        <v>45382</v>
      </c>
      <c r="P34" s="96">
        <f>P8</f>
        <v>45473</v>
      </c>
      <c r="Q34" s="96">
        <f>Q8</f>
        <v>45565</v>
      </c>
      <c r="R34" s="97"/>
      <c r="S34" s="96">
        <f>S8</f>
        <v>44926</v>
      </c>
      <c r="T34" s="96">
        <f>T8</f>
        <v>45016</v>
      </c>
      <c r="U34" s="96">
        <f>U8</f>
        <v>45107</v>
      </c>
      <c r="V34" s="96">
        <f>V8</f>
        <v>45199</v>
      </c>
      <c r="W34" s="96">
        <f>W8</f>
        <v>45291</v>
      </c>
      <c r="X34" s="96">
        <f>X8</f>
        <v>45382</v>
      </c>
      <c r="Y34" s="96">
        <f>Y8</f>
        <v>45473</v>
      </c>
      <c r="Z34" s="96">
        <f>Z8</f>
        <v>45565</v>
      </c>
      <c r="AA34" s="92"/>
      <c r="AB34" s="118"/>
    </row>
    <row r="35" spans="2:28" ht="5.0999999999999996" customHeight="1">
      <c r="B35" s="45"/>
      <c r="C35" s="46"/>
      <c r="D35" s="46"/>
      <c r="E35" s="46"/>
    </row>
    <row r="36" spans="2:28">
      <c r="B36" s="72" t="s">
        <v>91</v>
      </c>
      <c r="C36" s="46"/>
      <c r="D36" s="46"/>
      <c r="E36" s="46"/>
    </row>
    <row r="37" spans="2:28" ht="12.75" customHeight="1">
      <c r="B37" s="102" t="s">
        <v>95</v>
      </c>
      <c r="C37" s="103">
        <v>233437</v>
      </c>
      <c r="D37" s="103">
        <v>201015</v>
      </c>
      <c r="E37" s="103">
        <v>121136</v>
      </c>
      <c r="G37" s="103">
        <v>209693</v>
      </c>
      <c r="H37" s="103">
        <v>197232</v>
      </c>
      <c r="I37" s="103">
        <v>174662</v>
      </c>
      <c r="J37" s="81">
        <f>D37</f>
        <v>201015</v>
      </c>
      <c r="K37" s="103">
        <v>187467</v>
      </c>
      <c r="L37" s="103">
        <v>168438</v>
      </c>
      <c r="M37" s="103">
        <v>142350</v>
      </c>
      <c r="N37" s="81">
        <f>E37</f>
        <v>121136</v>
      </c>
      <c r="O37" s="103">
        <v>124169</v>
      </c>
      <c r="P37" s="103">
        <v>207291</v>
      </c>
      <c r="Q37" s="103">
        <v>148978</v>
      </c>
      <c r="R37" s="81"/>
      <c r="S37" s="81">
        <f>J37</f>
        <v>201015</v>
      </c>
      <c r="T37" s="81">
        <f>K37</f>
        <v>187467</v>
      </c>
      <c r="U37" s="81">
        <f>L37</f>
        <v>168438</v>
      </c>
      <c r="V37" s="81">
        <f>M37</f>
        <v>142350</v>
      </c>
      <c r="W37" s="81">
        <f>N37</f>
        <v>121136</v>
      </c>
      <c r="X37" s="81">
        <f>O37</f>
        <v>124169</v>
      </c>
      <c r="Y37" s="81">
        <f>P37</f>
        <v>207291</v>
      </c>
      <c r="Z37" s="81">
        <f>Q37</f>
        <v>148978</v>
      </c>
      <c r="AA37" s="11"/>
      <c r="AB37" s="69">
        <f t="shared" ref="AB37:AB39" si="29">SUM(Z37/V37)-1</f>
        <v>4.6561292588689795E-2</v>
      </c>
    </row>
    <row r="38" spans="2:28" ht="12.75" customHeight="1">
      <c r="B38" s="102" t="s">
        <v>112</v>
      </c>
      <c r="C38" s="103">
        <v>11045</v>
      </c>
      <c r="D38" s="103">
        <v>10211</v>
      </c>
      <c r="E38" s="103">
        <v>8497</v>
      </c>
      <c r="G38" s="103">
        <v>12507</v>
      </c>
      <c r="H38" s="103">
        <v>6969</v>
      </c>
      <c r="I38" s="103">
        <v>8610</v>
      </c>
      <c r="J38" s="81">
        <f t="shared" ref="J38:J39" si="30">D38</f>
        <v>10211</v>
      </c>
      <c r="K38" s="103">
        <v>7532</v>
      </c>
      <c r="L38" s="103">
        <v>6095</v>
      </c>
      <c r="M38" s="103">
        <v>7834</v>
      </c>
      <c r="N38" s="81">
        <f t="shared" ref="N38:N39" si="31">E38</f>
        <v>8497</v>
      </c>
      <c r="O38" s="103">
        <v>9830</v>
      </c>
      <c r="P38" s="103">
        <v>14831</v>
      </c>
      <c r="Q38" s="103">
        <v>13571</v>
      </c>
      <c r="R38" s="81"/>
      <c r="S38" s="81">
        <f>J38</f>
        <v>10211</v>
      </c>
      <c r="T38" s="81">
        <f>K38</f>
        <v>7532</v>
      </c>
      <c r="U38" s="81">
        <f>L38</f>
        <v>6095</v>
      </c>
      <c r="V38" s="81">
        <f>M38</f>
        <v>7834</v>
      </c>
      <c r="W38" s="81">
        <f>N38</f>
        <v>8497</v>
      </c>
      <c r="X38" s="81">
        <f>O38</f>
        <v>9830</v>
      </c>
      <c r="Y38" s="81">
        <f>P38</f>
        <v>14831</v>
      </c>
      <c r="Z38" s="81">
        <f>Q38</f>
        <v>13571</v>
      </c>
      <c r="AA38" s="11"/>
      <c r="AB38" s="69">
        <f t="shared" si="29"/>
        <v>0.73232065356139908</v>
      </c>
    </row>
    <row r="39" spans="2:28" ht="12.75" customHeight="1">
      <c r="B39" s="102" t="s">
        <v>113</v>
      </c>
      <c r="C39" s="103">
        <v>0</v>
      </c>
      <c r="D39" s="103">
        <v>0</v>
      </c>
      <c r="E39" s="103">
        <v>0</v>
      </c>
      <c r="G39" s="103">
        <v>0</v>
      </c>
      <c r="H39" s="103">
        <v>0</v>
      </c>
      <c r="I39" s="103">
        <v>0</v>
      </c>
      <c r="J39" s="81">
        <f t="shared" si="30"/>
        <v>0</v>
      </c>
      <c r="K39" s="103">
        <v>0</v>
      </c>
      <c r="L39" s="103">
        <v>0</v>
      </c>
      <c r="M39" s="103">
        <v>0</v>
      </c>
      <c r="N39" s="81">
        <f t="shared" si="31"/>
        <v>0</v>
      </c>
      <c r="O39" s="103">
        <v>0</v>
      </c>
      <c r="P39" s="103">
        <v>0</v>
      </c>
      <c r="Q39" s="103">
        <v>40000</v>
      </c>
      <c r="R39" s="81"/>
      <c r="S39" s="81">
        <f>J39</f>
        <v>0</v>
      </c>
      <c r="T39" s="81">
        <f>K39</f>
        <v>0</v>
      </c>
      <c r="U39" s="81">
        <f>L39</f>
        <v>0</v>
      </c>
      <c r="V39" s="81">
        <f>M39</f>
        <v>0</v>
      </c>
      <c r="W39" s="81">
        <f>N39</f>
        <v>0</v>
      </c>
      <c r="X39" s="81">
        <f>O39</f>
        <v>0</v>
      </c>
      <c r="Y39" s="81">
        <f>P39</f>
        <v>0</v>
      </c>
      <c r="Z39" s="81">
        <f>Q39</f>
        <v>40000</v>
      </c>
      <c r="AA39" s="11"/>
      <c r="AB39" s="69" t="e">
        <f t="shared" si="29"/>
        <v>#DIV/0!</v>
      </c>
    </row>
    <row r="40" spans="2:28" ht="12.75" customHeight="1">
      <c r="B40" s="23" t="s">
        <v>20</v>
      </c>
      <c r="C40" s="24">
        <f>SUM(C37:C39)</f>
        <v>244482</v>
      </c>
      <c r="D40" s="24">
        <f>SUM(D37:D39)</f>
        <v>211226</v>
      </c>
      <c r="E40" s="24">
        <f>SUM(E37:E39)</f>
        <v>129633</v>
      </c>
      <c r="F40" s="47"/>
      <c r="G40" s="24">
        <f t="shared" ref="G40:Q40" si="32">SUM(G37:G39)</f>
        <v>222200</v>
      </c>
      <c r="H40" s="24">
        <f t="shared" si="32"/>
        <v>204201</v>
      </c>
      <c r="I40" s="24">
        <f t="shared" si="32"/>
        <v>183272</v>
      </c>
      <c r="J40" s="24">
        <f t="shared" si="32"/>
        <v>211226</v>
      </c>
      <c r="K40" s="24">
        <f t="shared" si="32"/>
        <v>194999</v>
      </c>
      <c r="L40" s="24">
        <f t="shared" si="32"/>
        <v>174533</v>
      </c>
      <c r="M40" s="24">
        <f t="shared" si="32"/>
        <v>150184</v>
      </c>
      <c r="N40" s="24">
        <f t="shared" si="32"/>
        <v>129633</v>
      </c>
      <c r="O40" s="24">
        <f t="shared" si="32"/>
        <v>133999</v>
      </c>
      <c r="P40" s="24">
        <f t="shared" si="32"/>
        <v>222122</v>
      </c>
      <c r="Q40" s="24">
        <f t="shared" si="32"/>
        <v>202549</v>
      </c>
      <c r="R40" s="47"/>
      <c r="S40" s="24">
        <f t="shared" ref="S40:Z40" si="33">SUM(S37:S39)</f>
        <v>211226</v>
      </c>
      <c r="T40" s="24">
        <f t="shared" si="33"/>
        <v>194999</v>
      </c>
      <c r="U40" s="24">
        <f t="shared" si="33"/>
        <v>174533</v>
      </c>
      <c r="V40" s="24">
        <f t="shared" si="33"/>
        <v>150184</v>
      </c>
      <c r="W40" s="24">
        <f t="shared" si="33"/>
        <v>129633</v>
      </c>
      <c r="X40" s="24">
        <f t="shared" si="33"/>
        <v>133999</v>
      </c>
      <c r="Y40" s="24">
        <f t="shared" si="33"/>
        <v>222122</v>
      </c>
      <c r="Z40" s="24">
        <f t="shared" si="33"/>
        <v>202549</v>
      </c>
      <c r="AA40" s="40"/>
      <c r="AB40" s="70">
        <f>SUM(Z40/V40)-1</f>
        <v>0.34867229531774346</v>
      </c>
    </row>
    <row r="41" spans="2:28" ht="5.0999999999999996" customHeight="1">
      <c r="B41" s="23"/>
      <c r="C41" s="48"/>
      <c r="D41" s="39"/>
      <c r="E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S41" s="40"/>
      <c r="T41" s="40"/>
      <c r="U41" s="40"/>
      <c r="V41" s="40"/>
      <c r="W41" s="40"/>
      <c r="X41" s="40"/>
      <c r="Y41" s="40"/>
      <c r="Z41" s="40"/>
      <c r="AA41" s="40"/>
      <c r="AB41" s="37"/>
    </row>
    <row r="42" spans="2:28" ht="12.75" customHeight="1">
      <c r="B42" s="72" t="s">
        <v>92</v>
      </c>
      <c r="C42" s="74"/>
      <c r="D42" s="74"/>
      <c r="E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S42" s="30"/>
      <c r="T42" s="30"/>
      <c r="U42" s="30"/>
      <c r="V42" s="30"/>
      <c r="W42" s="30"/>
      <c r="X42" s="30"/>
      <c r="Y42" s="30"/>
      <c r="Z42" s="30"/>
      <c r="AA42" s="11"/>
      <c r="AB42" s="69"/>
    </row>
    <row r="43" spans="2:28" ht="12.75" customHeight="1">
      <c r="B43" s="9" t="s">
        <v>97</v>
      </c>
      <c r="C43" s="74">
        <v>210</v>
      </c>
      <c r="D43" s="74">
        <v>122</v>
      </c>
      <c r="E43" s="74">
        <v>0</v>
      </c>
      <c r="G43" s="103">
        <v>188</v>
      </c>
      <c r="H43" s="103">
        <v>166</v>
      </c>
      <c r="I43" s="103">
        <v>144</v>
      </c>
      <c r="J43" s="81">
        <f t="shared" ref="J43:J46" si="34">D43</f>
        <v>122</v>
      </c>
      <c r="K43" s="103" t="s">
        <v>115</v>
      </c>
      <c r="L43" s="103" t="s">
        <v>115</v>
      </c>
      <c r="M43" s="103" t="s">
        <v>115</v>
      </c>
      <c r="N43" s="81">
        <f t="shared" ref="N43:N46" si="35">E43</f>
        <v>0</v>
      </c>
      <c r="O43" s="103" t="s">
        <v>115</v>
      </c>
      <c r="P43" s="103" t="s">
        <v>115</v>
      </c>
      <c r="Q43" s="103" t="s">
        <v>115</v>
      </c>
      <c r="R43" s="81"/>
      <c r="S43" s="81">
        <f>J43</f>
        <v>122</v>
      </c>
      <c r="T43" s="81" t="str">
        <f>K43</f>
        <v>-</v>
      </c>
      <c r="U43" s="81" t="str">
        <f>L43</f>
        <v>-</v>
      </c>
      <c r="V43" s="81" t="str">
        <f>M43</f>
        <v>-</v>
      </c>
      <c r="W43" s="81">
        <f>N43</f>
        <v>0</v>
      </c>
      <c r="X43" s="81" t="str">
        <f>O43</f>
        <v>-</v>
      </c>
      <c r="Y43" s="81" t="str">
        <f>P43</f>
        <v>-</v>
      </c>
      <c r="Z43" s="81" t="str">
        <f>Q43</f>
        <v>-</v>
      </c>
      <c r="AA43" s="11"/>
      <c r="AB43" s="69" t="e">
        <f t="shared" ref="AB43:AB46" si="36">SUM(Z43/V43)-1</f>
        <v>#VALUE!</v>
      </c>
    </row>
    <row r="44" spans="2:28" ht="12.75" customHeight="1">
      <c r="B44" s="9" t="s">
        <v>96</v>
      </c>
      <c r="C44" s="74">
        <v>20616</v>
      </c>
      <c r="D44" s="74">
        <v>22864</v>
      </c>
      <c r="E44" s="74">
        <v>21854</v>
      </c>
      <c r="G44" s="103">
        <v>20863</v>
      </c>
      <c r="H44" s="103">
        <v>22155</v>
      </c>
      <c r="I44" s="103">
        <v>23130</v>
      </c>
      <c r="J44" s="81">
        <f t="shared" si="34"/>
        <v>22864</v>
      </c>
      <c r="K44" s="103">
        <v>22609</v>
      </c>
      <c r="L44" s="103">
        <v>22328</v>
      </c>
      <c r="M44" s="103">
        <v>22077</v>
      </c>
      <c r="N44" s="81">
        <f t="shared" si="35"/>
        <v>21854</v>
      </c>
      <c r="O44" s="103">
        <v>21604</v>
      </c>
      <c r="P44" s="103">
        <v>21364</v>
      </c>
      <c r="Q44" s="103">
        <v>21135</v>
      </c>
      <c r="S44" s="81">
        <f>J44</f>
        <v>22864</v>
      </c>
      <c r="T44" s="81">
        <f>K44</f>
        <v>22609</v>
      </c>
      <c r="U44" s="81">
        <f>L44</f>
        <v>22328</v>
      </c>
      <c r="V44" s="81">
        <f>M44</f>
        <v>22077</v>
      </c>
      <c r="W44" s="81">
        <f>N44</f>
        <v>21854</v>
      </c>
      <c r="X44" s="81">
        <f>O44</f>
        <v>21604</v>
      </c>
      <c r="Y44" s="81">
        <f>P44</f>
        <v>21364</v>
      </c>
      <c r="Z44" s="81">
        <f>Q44</f>
        <v>21135</v>
      </c>
      <c r="AA44" s="11"/>
      <c r="AB44" s="69">
        <f t="shared" si="36"/>
        <v>-4.2668840875118907E-2</v>
      </c>
    </row>
    <row r="45" spans="2:28" ht="12.75" customHeight="1">
      <c r="B45" s="9" t="s">
        <v>114</v>
      </c>
      <c r="C45" s="74">
        <v>1075</v>
      </c>
      <c r="D45" s="74">
        <v>622</v>
      </c>
      <c r="E45" s="74">
        <v>176</v>
      </c>
      <c r="G45" s="103">
        <v>940</v>
      </c>
      <c r="H45" s="103">
        <v>859</v>
      </c>
      <c r="I45" s="103">
        <v>740</v>
      </c>
      <c r="J45" s="81">
        <f t="shared" si="34"/>
        <v>622</v>
      </c>
      <c r="K45" s="103">
        <v>503</v>
      </c>
      <c r="L45" s="103">
        <v>387</v>
      </c>
      <c r="M45" s="103">
        <v>268</v>
      </c>
      <c r="N45" s="81">
        <f t="shared" si="35"/>
        <v>176</v>
      </c>
      <c r="O45" s="103">
        <v>115</v>
      </c>
      <c r="P45" s="103">
        <v>82</v>
      </c>
      <c r="Q45" s="103">
        <v>69</v>
      </c>
      <c r="S45" s="81">
        <f>J45</f>
        <v>622</v>
      </c>
      <c r="T45" s="81">
        <f>K45</f>
        <v>503</v>
      </c>
      <c r="U45" s="81">
        <f>L45</f>
        <v>387</v>
      </c>
      <c r="V45" s="81">
        <f>M45</f>
        <v>268</v>
      </c>
      <c r="W45" s="81">
        <f>N45</f>
        <v>176</v>
      </c>
      <c r="X45" s="81">
        <f>O45</f>
        <v>115</v>
      </c>
      <c r="Y45" s="81">
        <f>P45</f>
        <v>82</v>
      </c>
      <c r="Z45" s="81">
        <f>Q45</f>
        <v>69</v>
      </c>
      <c r="AA45" s="11"/>
      <c r="AB45" s="69">
        <f t="shared" si="36"/>
        <v>-0.7425373134328358</v>
      </c>
    </row>
    <row r="46" spans="2:28" ht="12.75" customHeight="1">
      <c r="B46" s="9" t="s">
        <v>105</v>
      </c>
      <c r="C46" s="74">
        <v>399</v>
      </c>
      <c r="D46" s="74">
        <v>0</v>
      </c>
      <c r="E46" s="74">
        <v>0</v>
      </c>
      <c r="G46" s="103">
        <v>0</v>
      </c>
      <c r="H46" s="103">
        <v>0</v>
      </c>
      <c r="I46" s="103">
        <v>0</v>
      </c>
      <c r="J46" s="81">
        <f t="shared" si="34"/>
        <v>0</v>
      </c>
      <c r="K46" s="103"/>
      <c r="L46" s="103" t="s">
        <v>115</v>
      </c>
      <c r="M46" s="103" t="s">
        <v>115</v>
      </c>
      <c r="N46" s="81">
        <f t="shared" si="35"/>
        <v>0</v>
      </c>
      <c r="O46" s="103">
        <v>0</v>
      </c>
      <c r="P46" s="103">
        <v>0</v>
      </c>
      <c r="Q46" s="103">
        <v>0</v>
      </c>
      <c r="S46" s="81">
        <f>J46</f>
        <v>0</v>
      </c>
      <c r="T46" s="81">
        <f>K46</f>
        <v>0</v>
      </c>
      <c r="U46" s="81" t="str">
        <f>L46</f>
        <v>-</v>
      </c>
      <c r="V46" s="81" t="str">
        <f>M46</f>
        <v>-</v>
      </c>
      <c r="W46" s="81">
        <f>N46</f>
        <v>0</v>
      </c>
      <c r="X46" s="81">
        <f>O46</f>
        <v>0</v>
      </c>
      <c r="Y46" s="81">
        <f>P46</f>
        <v>0</v>
      </c>
      <c r="Z46" s="81">
        <f>Q46</f>
        <v>0</v>
      </c>
      <c r="AA46" s="11"/>
      <c r="AB46" s="69" t="e">
        <f t="shared" si="36"/>
        <v>#VALUE!</v>
      </c>
    </row>
    <row r="47" spans="2:28" ht="12.75" customHeight="1">
      <c r="B47" s="12" t="s">
        <v>21</v>
      </c>
      <c r="C47" s="13">
        <f>SUM(C43:C46)+C40</f>
        <v>266782</v>
      </c>
      <c r="D47" s="13">
        <f>SUM(D43:D46)+D40</f>
        <v>234834</v>
      </c>
      <c r="E47" s="13">
        <f>SUM(E43:E46)+E40</f>
        <v>151663</v>
      </c>
      <c r="G47" s="13">
        <f t="shared" ref="G47:Q47" si="37">SUM(G43:G46)+G40</f>
        <v>244191</v>
      </c>
      <c r="H47" s="13">
        <f t="shared" si="37"/>
        <v>227381</v>
      </c>
      <c r="I47" s="13">
        <f t="shared" si="37"/>
        <v>207286</v>
      </c>
      <c r="J47" s="13">
        <f t="shared" si="37"/>
        <v>234834</v>
      </c>
      <c r="K47" s="13">
        <f t="shared" si="37"/>
        <v>218111</v>
      </c>
      <c r="L47" s="13">
        <f t="shared" si="37"/>
        <v>197248</v>
      </c>
      <c r="M47" s="13">
        <f t="shared" si="37"/>
        <v>172529</v>
      </c>
      <c r="N47" s="13">
        <f t="shared" si="37"/>
        <v>151663</v>
      </c>
      <c r="O47" s="13">
        <f t="shared" si="37"/>
        <v>155718</v>
      </c>
      <c r="P47" s="13">
        <f t="shared" si="37"/>
        <v>243568</v>
      </c>
      <c r="Q47" s="13">
        <f t="shared" si="37"/>
        <v>223753</v>
      </c>
      <c r="S47" s="13">
        <f t="shared" ref="S47:Z47" si="38">SUM(S43:S46)+S40</f>
        <v>234834</v>
      </c>
      <c r="T47" s="13">
        <f t="shared" si="38"/>
        <v>218111</v>
      </c>
      <c r="U47" s="13">
        <f t="shared" si="38"/>
        <v>197248</v>
      </c>
      <c r="V47" s="13">
        <f t="shared" si="38"/>
        <v>172529</v>
      </c>
      <c r="W47" s="13">
        <f t="shared" si="38"/>
        <v>151663</v>
      </c>
      <c r="X47" s="13">
        <f t="shared" si="38"/>
        <v>155718</v>
      </c>
      <c r="Y47" s="13">
        <f t="shared" si="38"/>
        <v>243568</v>
      </c>
      <c r="Z47" s="13">
        <f t="shared" si="38"/>
        <v>223753</v>
      </c>
      <c r="AA47" s="40"/>
      <c r="AB47" s="70">
        <f>SUM(Z47/V47)-1</f>
        <v>0.29690081087817122</v>
      </c>
    </row>
    <row r="48" spans="2:28" ht="12.75" customHeight="1">
      <c r="B48" s="23"/>
      <c r="C48" s="49"/>
      <c r="D48" s="39"/>
      <c r="E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S48" s="40"/>
      <c r="T48" s="40"/>
      <c r="U48" s="40"/>
      <c r="V48" s="40"/>
      <c r="W48" s="40"/>
      <c r="X48" s="40"/>
      <c r="Y48" s="40"/>
      <c r="Z48" s="40"/>
      <c r="AA48" s="40"/>
      <c r="AB48" s="37"/>
    </row>
    <row r="49" spans="2:28" ht="12.75" customHeight="1">
      <c r="B49" s="72" t="s">
        <v>52</v>
      </c>
      <c r="C49" s="49"/>
      <c r="D49" s="39"/>
      <c r="E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S49" s="40"/>
      <c r="T49" s="40"/>
      <c r="U49" s="40"/>
      <c r="V49" s="40"/>
      <c r="W49" s="40"/>
      <c r="X49" s="40"/>
      <c r="Y49" s="40"/>
      <c r="Z49" s="40"/>
      <c r="AA49" s="40"/>
      <c r="AB49" s="37"/>
    </row>
    <row r="50" spans="2:28" ht="12.75" customHeight="1">
      <c r="B50" s="102" t="s">
        <v>116</v>
      </c>
      <c r="C50" s="74">
        <v>7126</v>
      </c>
      <c r="D50" s="74">
        <v>4017</v>
      </c>
      <c r="E50" s="74">
        <v>10573</v>
      </c>
      <c r="G50" s="103">
        <v>3332</v>
      </c>
      <c r="H50" s="103">
        <v>4758</v>
      </c>
      <c r="I50" s="103">
        <v>3534</v>
      </c>
      <c r="J50" s="81">
        <f t="shared" ref="J50:J55" si="39">D50</f>
        <v>4017</v>
      </c>
      <c r="K50" s="103">
        <v>8242</v>
      </c>
      <c r="L50" s="103">
        <v>10338</v>
      </c>
      <c r="M50" s="103">
        <v>9492</v>
      </c>
      <c r="N50" s="81">
        <f t="shared" ref="N50:N55" si="40">E50</f>
        <v>10573</v>
      </c>
      <c r="O50" s="103">
        <v>9603</v>
      </c>
      <c r="P50" s="103">
        <v>52552</v>
      </c>
      <c r="Q50" s="103">
        <v>52244</v>
      </c>
      <c r="S50" s="81">
        <f>J50</f>
        <v>4017</v>
      </c>
      <c r="T50" s="81">
        <f>K50</f>
        <v>8242</v>
      </c>
      <c r="U50" s="81">
        <f>L50</f>
        <v>10338</v>
      </c>
      <c r="V50" s="81">
        <f>M50</f>
        <v>9492</v>
      </c>
      <c r="W50" s="81">
        <f>N50</f>
        <v>10573</v>
      </c>
      <c r="X50" s="81">
        <f>O50</f>
        <v>9603</v>
      </c>
      <c r="Y50" s="81">
        <f>P50</f>
        <v>52552</v>
      </c>
      <c r="Z50" s="81">
        <f>Q50</f>
        <v>52244</v>
      </c>
      <c r="AA50" s="11"/>
      <c r="AB50" s="69">
        <f t="shared" ref="AB50" si="41">SUM(Z50/V50)-1</f>
        <v>4.5040033712600085</v>
      </c>
    </row>
    <row r="51" spans="2:28" ht="12.75" customHeight="1">
      <c r="B51" s="102" t="s">
        <v>117</v>
      </c>
      <c r="C51" s="74">
        <v>2803</v>
      </c>
      <c r="D51" s="74">
        <v>2280</v>
      </c>
      <c r="E51" s="74">
        <v>3037</v>
      </c>
      <c r="G51" s="103">
        <v>2925</v>
      </c>
      <c r="H51" s="103">
        <v>3318</v>
      </c>
      <c r="I51" s="103">
        <v>4096</v>
      </c>
      <c r="J51" s="81">
        <f t="shared" si="39"/>
        <v>2280</v>
      </c>
      <c r="K51" s="103">
        <v>5276</v>
      </c>
      <c r="L51" s="103">
        <v>7044</v>
      </c>
      <c r="M51" s="103">
        <v>7344</v>
      </c>
      <c r="N51" s="81">
        <f t="shared" si="40"/>
        <v>3037</v>
      </c>
      <c r="O51" s="103">
        <v>1797</v>
      </c>
      <c r="P51" s="103">
        <v>1596</v>
      </c>
      <c r="Q51" s="103">
        <v>2543</v>
      </c>
      <c r="S51" s="81">
        <f>J51</f>
        <v>2280</v>
      </c>
      <c r="T51" s="81">
        <f>K51</f>
        <v>5276</v>
      </c>
      <c r="U51" s="81">
        <f>L51</f>
        <v>7044</v>
      </c>
      <c r="V51" s="81">
        <f>M51</f>
        <v>7344</v>
      </c>
      <c r="W51" s="81">
        <f>N51</f>
        <v>3037</v>
      </c>
      <c r="X51" s="81">
        <f>O51</f>
        <v>1797</v>
      </c>
      <c r="Y51" s="81">
        <f>P51</f>
        <v>1596</v>
      </c>
      <c r="Z51" s="81">
        <f>Q51</f>
        <v>2543</v>
      </c>
      <c r="AA51" s="11"/>
      <c r="AB51" s="69">
        <f t="shared" ref="AB51:AB55" si="42">SUM(Z51/V51)-1</f>
        <v>-0.65373093681917216</v>
      </c>
    </row>
    <row r="52" spans="2:28" ht="12.75" customHeight="1">
      <c r="B52" s="102" t="s">
        <v>118</v>
      </c>
      <c r="C52" s="74">
        <v>1877</v>
      </c>
      <c r="D52" s="74">
        <v>170</v>
      </c>
      <c r="E52" s="74">
        <v>200</v>
      </c>
      <c r="G52" s="103">
        <v>172</v>
      </c>
      <c r="H52" s="103">
        <v>176</v>
      </c>
      <c r="I52" s="103">
        <v>160</v>
      </c>
      <c r="J52" s="81">
        <f t="shared" si="39"/>
        <v>170</v>
      </c>
      <c r="K52" s="103">
        <v>212</v>
      </c>
      <c r="L52" s="103">
        <v>220</v>
      </c>
      <c r="M52" s="103">
        <v>187</v>
      </c>
      <c r="N52" s="81">
        <f t="shared" si="40"/>
        <v>200</v>
      </c>
      <c r="O52" s="103">
        <v>228</v>
      </c>
      <c r="P52" s="103">
        <v>218</v>
      </c>
      <c r="Q52" s="103">
        <v>1950</v>
      </c>
      <c r="S52" s="81">
        <f>J52</f>
        <v>170</v>
      </c>
      <c r="T52" s="81">
        <f>K52</f>
        <v>212</v>
      </c>
      <c r="U52" s="81">
        <f>L52</f>
        <v>220</v>
      </c>
      <c r="V52" s="81">
        <f>M52</f>
        <v>187</v>
      </c>
      <c r="W52" s="81">
        <f>N52</f>
        <v>200</v>
      </c>
      <c r="X52" s="81">
        <f>O52</f>
        <v>228</v>
      </c>
      <c r="Y52" s="81">
        <f>P52</f>
        <v>218</v>
      </c>
      <c r="Z52" s="81">
        <f>Q52</f>
        <v>1950</v>
      </c>
      <c r="AA52" s="11"/>
      <c r="AB52" s="69">
        <f t="shared" si="42"/>
        <v>9.427807486631016</v>
      </c>
    </row>
    <row r="53" spans="2:28" ht="12.75" customHeight="1">
      <c r="B53" s="102" t="s">
        <v>119</v>
      </c>
      <c r="C53" s="74">
        <v>97</v>
      </c>
      <c r="D53" s="74">
        <v>104</v>
      </c>
      <c r="E53" s="74">
        <v>0</v>
      </c>
      <c r="G53" s="103">
        <v>99</v>
      </c>
      <c r="H53" s="103">
        <v>100</v>
      </c>
      <c r="I53" s="103">
        <v>102</v>
      </c>
      <c r="J53" s="81">
        <f t="shared" si="39"/>
        <v>104</v>
      </c>
      <c r="K53" s="103">
        <v>0</v>
      </c>
      <c r="L53" s="103">
        <v>0</v>
      </c>
      <c r="M53" s="103">
        <v>0</v>
      </c>
      <c r="N53" s="81">
        <f t="shared" si="40"/>
        <v>0</v>
      </c>
      <c r="O53" s="103" t="s">
        <v>115</v>
      </c>
      <c r="P53" s="103">
        <v>0</v>
      </c>
      <c r="Q53" s="103">
        <v>0</v>
      </c>
      <c r="S53" s="81">
        <f>J53</f>
        <v>104</v>
      </c>
      <c r="T53" s="81">
        <f>K53</f>
        <v>0</v>
      </c>
      <c r="U53" s="81">
        <f>L53</f>
        <v>0</v>
      </c>
      <c r="V53" s="81">
        <f>M53</f>
        <v>0</v>
      </c>
      <c r="W53" s="81">
        <f>N53</f>
        <v>0</v>
      </c>
      <c r="X53" s="81" t="str">
        <f>O53</f>
        <v>-</v>
      </c>
      <c r="Y53" s="81">
        <f>P53</f>
        <v>0</v>
      </c>
      <c r="Z53" s="81">
        <f>Q53</f>
        <v>0</v>
      </c>
      <c r="AA53" s="11"/>
      <c r="AB53" s="69" t="e">
        <f t="shared" si="42"/>
        <v>#DIV/0!</v>
      </c>
    </row>
    <row r="54" spans="2:28" ht="12.75" customHeight="1">
      <c r="B54" s="102" t="s">
        <v>120</v>
      </c>
      <c r="C54" s="74">
        <v>0</v>
      </c>
      <c r="D54" s="74">
        <v>0</v>
      </c>
      <c r="E54" s="74">
        <v>0</v>
      </c>
      <c r="G54" s="74">
        <v>0</v>
      </c>
      <c r="H54" s="74">
        <v>0</v>
      </c>
      <c r="I54" s="74">
        <v>0</v>
      </c>
      <c r="J54" s="81">
        <f t="shared" si="39"/>
        <v>0</v>
      </c>
      <c r="K54" s="103">
        <v>0</v>
      </c>
      <c r="L54" s="103">
        <v>0</v>
      </c>
      <c r="M54" s="103">
        <v>0</v>
      </c>
      <c r="N54" s="81">
        <f t="shared" si="40"/>
        <v>0</v>
      </c>
      <c r="O54" s="103">
        <v>65368</v>
      </c>
      <c r="P54" s="103">
        <v>0</v>
      </c>
      <c r="Q54" s="103">
        <v>0</v>
      </c>
      <c r="S54" s="81">
        <f>J54</f>
        <v>0</v>
      </c>
      <c r="T54" s="81">
        <f>K54</f>
        <v>0</v>
      </c>
      <c r="U54" s="81">
        <f>L54</f>
        <v>0</v>
      </c>
      <c r="V54" s="81">
        <f>M54</f>
        <v>0</v>
      </c>
      <c r="W54" s="81">
        <f>N54</f>
        <v>0</v>
      </c>
      <c r="X54" s="81">
        <f>O54</f>
        <v>65368</v>
      </c>
      <c r="Y54" s="81">
        <f>P54</f>
        <v>0</v>
      </c>
      <c r="Z54" s="81">
        <f>Q54</f>
        <v>0</v>
      </c>
      <c r="AA54" s="11"/>
      <c r="AB54" s="69" t="e">
        <f t="shared" si="42"/>
        <v>#DIV/0!</v>
      </c>
    </row>
    <row r="55" spans="2:28" ht="12.75" customHeight="1">
      <c r="B55" s="102" t="s">
        <v>121</v>
      </c>
      <c r="C55" s="74">
        <v>631</v>
      </c>
      <c r="D55" s="74">
        <v>492</v>
      </c>
      <c r="E55" s="74">
        <v>385</v>
      </c>
      <c r="G55" s="103">
        <v>261</v>
      </c>
      <c r="H55" s="103">
        <v>370</v>
      </c>
      <c r="I55" s="103">
        <v>416</v>
      </c>
      <c r="J55" s="81">
        <f t="shared" si="39"/>
        <v>492</v>
      </c>
      <c r="K55" s="103">
        <v>179</v>
      </c>
      <c r="L55" s="103">
        <v>293</v>
      </c>
      <c r="M55" s="103">
        <v>391</v>
      </c>
      <c r="N55" s="81">
        <f t="shared" si="40"/>
        <v>385</v>
      </c>
      <c r="O55" s="103">
        <v>125</v>
      </c>
      <c r="P55" s="103">
        <v>228</v>
      </c>
      <c r="Q55" s="103">
        <v>297</v>
      </c>
      <c r="S55" s="81">
        <f>J55</f>
        <v>492</v>
      </c>
      <c r="T55" s="81">
        <f>K55</f>
        <v>179</v>
      </c>
      <c r="U55" s="81">
        <f>L55</f>
        <v>293</v>
      </c>
      <c r="V55" s="81">
        <f>M55</f>
        <v>391</v>
      </c>
      <c r="W55" s="81">
        <f>N55</f>
        <v>385</v>
      </c>
      <c r="X55" s="81">
        <f>O55</f>
        <v>125</v>
      </c>
      <c r="Y55" s="81">
        <f>P55</f>
        <v>228</v>
      </c>
      <c r="Z55" s="81">
        <f>Q55</f>
        <v>297</v>
      </c>
      <c r="AA55" s="11"/>
      <c r="AB55" s="69">
        <f t="shared" si="42"/>
        <v>-0.24040920716112535</v>
      </c>
    </row>
    <row r="56" spans="2:28" ht="12.75" customHeight="1">
      <c r="B56" s="23" t="s">
        <v>18</v>
      </c>
      <c r="C56" s="24">
        <f>SUM(C50:C55)</f>
        <v>12534</v>
      </c>
      <c r="D56" s="24">
        <f>SUM(D50:D55)</f>
        <v>7063</v>
      </c>
      <c r="E56" s="24">
        <f>SUM(E50:E55)</f>
        <v>14195</v>
      </c>
      <c r="G56" s="24">
        <f t="shared" ref="G56:Q56" si="43">SUM(G50:G55)</f>
        <v>6789</v>
      </c>
      <c r="H56" s="24">
        <f t="shared" si="43"/>
        <v>8722</v>
      </c>
      <c r="I56" s="24">
        <f t="shared" si="43"/>
        <v>8308</v>
      </c>
      <c r="J56" s="24">
        <f t="shared" si="43"/>
        <v>7063</v>
      </c>
      <c r="K56" s="24">
        <f t="shared" si="43"/>
        <v>13909</v>
      </c>
      <c r="L56" s="24">
        <f t="shared" si="43"/>
        <v>17895</v>
      </c>
      <c r="M56" s="24">
        <f t="shared" si="43"/>
        <v>17414</v>
      </c>
      <c r="N56" s="24">
        <f t="shared" si="43"/>
        <v>14195</v>
      </c>
      <c r="O56" s="24">
        <f t="shared" si="43"/>
        <v>77121</v>
      </c>
      <c r="P56" s="24">
        <f t="shared" si="43"/>
        <v>54594</v>
      </c>
      <c r="Q56" s="24">
        <f t="shared" si="43"/>
        <v>57034</v>
      </c>
      <c r="R56" s="47"/>
      <c r="S56" s="24">
        <f t="shared" ref="S56:Z56" si="44">SUM(S50:S55)</f>
        <v>7063</v>
      </c>
      <c r="T56" s="24">
        <f t="shared" si="44"/>
        <v>13909</v>
      </c>
      <c r="U56" s="24">
        <f t="shared" si="44"/>
        <v>17895</v>
      </c>
      <c r="V56" s="24">
        <f t="shared" si="44"/>
        <v>17414</v>
      </c>
      <c r="W56" s="24">
        <f t="shared" si="44"/>
        <v>14195</v>
      </c>
      <c r="X56" s="24">
        <f t="shared" si="44"/>
        <v>77121</v>
      </c>
      <c r="Y56" s="24">
        <f t="shared" si="44"/>
        <v>54594</v>
      </c>
      <c r="Z56" s="24">
        <f t="shared" si="44"/>
        <v>57034</v>
      </c>
      <c r="AA56" s="40"/>
      <c r="AB56" s="70">
        <f>SUM(Z56/V56)-1</f>
        <v>2.2751808889399334</v>
      </c>
    </row>
    <row r="57" spans="2:28" ht="5.0999999999999996" customHeight="1">
      <c r="B57" s="23"/>
      <c r="C57" s="49"/>
      <c r="D57" s="39"/>
      <c r="E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S57" s="40"/>
      <c r="T57" s="40"/>
      <c r="U57" s="40"/>
      <c r="V57" s="40"/>
      <c r="W57" s="40"/>
      <c r="X57" s="40"/>
      <c r="Y57" s="40"/>
      <c r="Z57" s="40"/>
      <c r="AA57" s="40"/>
      <c r="AB57" s="37"/>
    </row>
    <row r="58" spans="2:28">
      <c r="B58" s="72" t="s">
        <v>94</v>
      </c>
      <c r="C58" s="49"/>
      <c r="D58" s="39"/>
      <c r="E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S58" s="40"/>
      <c r="T58" s="40"/>
      <c r="U58" s="40"/>
      <c r="V58" s="40"/>
      <c r="W58" s="40"/>
      <c r="X58" s="40"/>
      <c r="Y58" s="40"/>
      <c r="Z58" s="40"/>
      <c r="AA58" s="40"/>
      <c r="AB58" s="37"/>
    </row>
    <row r="59" spans="2:28" ht="12.75" customHeight="1">
      <c r="B59" s="102" t="s">
        <v>122</v>
      </c>
      <c r="C59" s="74">
        <v>139</v>
      </c>
      <c r="D59" s="74">
        <v>35</v>
      </c>
      <c r="E59" s="74">
        <v>0</v>
      </c>
      <c r="G59" s="103">
        <v>114</v>
      </c>
      <c r="H59" s="103">
        <v>88</v>
      </c>
      <c r="I59" s="103">
        <v>62</v>
      </c>
      <c r="J59" s="81">
        <f t="shared" ref="J59:J60" si="45">D59</f>
        <v>35</v>
      </c>
      <c r="K59" s="103">
        <v>0</v>
      </c>
      <c r="L59" s="103">
        <v>0</v>
      </c>
      <c r="M59" s="103">
        <v>0</v>
      </c>
      <c r="N59" s="81">
        <f t="shared" ref="N59:N60" si="46">E59</f>
        <v>0</v>
      </c>
      <c r="O59" s="103">
        <v>0</v>
      </c>
      <c r="P59" s="103">
        <v>0</v>
      </c>
      <c r="Q59" s="103">
        <v>0</v>
      </c>
      <c r="S59" s="81">
        <f>J59</f>
        <v>35</v>
      </c>
      <c r="T59" s="81">
        <f>K59</f>
        <v>0</v>
      </c>
      <c r="U59" s="81">
        <f>L59</f>
        <v>0</v>
      </c>
      <c r="V59" s="81">
        <f>M59</f>
        <v>0</v>
      </c>
      <c r="W59" s="81">
        <f>N59</f>
        <v>0</v>
      </c>
      <c r="X59" s="81">
        <f>O59</f>
        <v>0</v>
      </c>
      <c r="Y59" s="81">
        <f>P59</f>
        <v>0</v>
      </c>
      <c r="Z59" s="81">
        <f>Q59</f>
        <v>0</v>
      </c>
      <c r="AA59" s="40"/>
      <c r="AB59" s="69" t="e">
        <f t="shared" ref="AB59:AB60" si="47">SUM(Z59/V59)-1</f>
        <v>#DIV/0!</v>
      </c>
    </row>
    <row r="60" spans="2:28" ht="12.75" customHeight="1">
      <c r="B60" s="102" t="s">
        <v>123</v>
      </c>
      <c r="C60" s="74">
        <v>194</v>
      </c>
      <c r="D60" s="74">
        <v>197</v>
      </c>
      <c r="E60" s="74">
        <v>0</v>
      </c>
      <c r="G60" s="103">
        <v>194</v>
      </c>
      <c r="H60" s="103">
        <v>201</v>
      </c>
      <c r="I60" s="103">
        <v>197</v>
      </c>
      <c r="J60" s="81">
        <f t="shared" si="45"/>
        <v>197</v>
      </c>
      <c r="K60" s="103">
        <v>197</v>
      </c>
      <c r="L60" s="103">
        <v>0</v>
      </c>
      <c r="M60" s="103">
        <v>0</v>
      </c>
      <c r="N60" s="81">
        <f t="shared" si="46"/>
        <v>0</v>
      </c>
      <c r="O60" s="103">
        <v>0</v>
      </c>
      <c r="P60" s="103">
        <v>0</v>
      </c>
      <c r="Q60" s="103">
        <v>80</v>
      </c>
      <c r="S60" s="81">
        <f>J60</f>
        <v>197</v>
      </c>
      <c r="T60" s="81">
        <f>K60</f>
        <v>197</v>
      </c>
      <c r="U60" s="81">
        <f>L60</f>
        <v>0</v>
      </c>
      <c r="V60" s="81">
        <f>M60</f>
        <v>0</v>
      </c>
      <c r="W60" s="81">
        <f>N60</f>
        <v>0</v>
      </c>
      <c r="X60" s="81">
        <f>O60</f>
        <v>0</v>
      </c>
      <c r="Y60" s="81">
        <f>P60</f>
        <v>0</v>
      </c>
      <c r="Z60" s="81">
        <f>Q60</f>
        <v>80</v>
      </c>
      <c r="AA60" s="40"/>
      <c r="AB60" s="69" t="e">
        <f t="shared" si="47"/>
        <v>#DIV/0!</v>
      </c>
    </row>
    <row r="61" spans="2:28" ht="12.75" customHeight="1">
      <c r="B61" s="12" t="s">
        <v>16</v>
      </c>
      <c r="C61" s="13">
        <f>SUM(C59:C60)+C56</f>
        <v>12867</v>
      </c>
      <c r="D61" s="13">
        <f>SUM(D59:D60)+D56</f>
        <v>7295</v>
      </c>
      <c r="E61" s="13">
        <f>SUM(E59:E60)+E56</f>
        <v>14195</v>
      </c>
      <c r="G61" s="13">
        <f t="shared" ref="G61:Q61" si="48">SUM(G59:G60)+G56</f>
        <v>7097</v>
      </c>
      <c r="H61" s="13">
        <f t="shared" si="48"/>
        <v>9011</v>
      </c>
      <c r="I61" s="13">
        <f t="shared" si="48"/>
        <v>8567</v>
      </c>
      <c r="J61" s="13">
        <f t="shared" si="48"/>
        <v>7295</v>
      </c>
      <c r="K61" s="13">
        <f t="shared" si="48"/>
        <v>14106</v>
      </c>
      <c r="L61" s="13">
        <f t="shared" si="48"/>
        <v>17895</v>
      </c>
      <c r="M61" s="13">
        <f t="shared" si="48"/>
        <v>17414</v>
      </c>
      <c r="N61" s="13">
        <f t="shared" si="48"/>
        <v>14195</v>
      </c>
      <c r="O61" s="13">
        <f t="shared" si="48"/>
        <v>77121</v>
      </c>
      <c r="P61" s="13">
        <f t="shared" si="48"/>
        <v>54594</v>
      </c>
      <c r="Q61" s="13">
        <f t="shared" si="48"/>
        <v>57114</v>
      </c>
      <c r="S61" s="13">
        <f t="shared" ref="S61:Z61" si="49">SUM(S59:S60)+S56</f>
        <v>7295</v>
      </c>
      <c r="T61" s="13">
        <f t="shared" si="49"/>
        <v>14106</v>
      </c>
      <c r="U61" s="13">
        <f t="shared" si="49"/>
        <v>17895</v>
      </c>
      <c r="V61" s="13">
        <f t="shared" si="49"/>
        <v>17414</v>
      </c>
      <c r="W61" s="13">
        <f t="shared" si="49"/>
        <v>14195</v>
      </c>
      <c r="X61" s="13">
        <f t="shared" si="49"/>
        <v>77121</v>
      </c>
      <c r="Y61" s="13">
        <f t="shared" si="49"/>
        <v>54594</v>
      </c>
      <c r="Z61" s="13">
        <f t="shared" si="49"/>
        <v>57114</v>
      </c>
      <c r="AA61" s="40"/>
      <c r="AB61" s="70">
        <f>SUM(Z61/V61)-1</f>
        <v>2.2797748937636384</v>
      </c>
    </row>
    <row r="62" spans="2:28" ht="5.0999999999999996" customHeight="1">
      <c r="B62" s="23"/>
      <c r="C62" s="48"/>
      <c r="D62" s="39"/>
      <c r="E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S62" s="40"/>
      <c r="T62" s="40"/>
      <c r="U62" s="40"/>
      <c r="V62" s="40"/>
      <c r="W62" s="40"/>
      <c r="X62" s="40"/>
      <c r="Y62" s="40"/>
      <c r="Z62" s="40"/>
      <c r="AA62" s="40"/>
      <c r="AB62" s="37"/>
    </row>
    <row r="63" spans="2:28" ht="12.75" customHeight="1">
      <c r="B63" s="9" t="s">
        <v>82</v>
      </c>
      <c r="C63" s="74"/>
      <c r="D63" s="74"/>
      <c r="E63" s="74"/>
      <c r="G63" s="103"/>
      <c r="H63" s="103"/>
      <c r="I63" s="103"/>
      <c r="J63" s="81">
        <f t="shared" ref="J63:J66" si="50">D63</f>
        <v>0</v>
      </c>
      <c r="K63" s="103"/>
      <c r="L63" s="103"/>
      <c r="M63" s="103"/>
      <c r="N63" s="81">
        <f t="shared" ref="N63:N66" si="51">E63</f>
        <v>0</v>
      </c>
      <c r="O63" s="103"/>
      <c r="P63" s="103"/>
      <c r="Q63" s="103"/>
      <c r="S63" s="81">
        <f>J63</f>
        <v>0</v>
      </c>
      <c r="T63" s="81">
        <f>K63</f>
        <v>0</v>
      </c>
      <c r="U63" s="81">
        <f>L63</f>
        <v>0</v>
      </c>
      <c r="V63" s="81">
        <f>M63</f>
        <v>0</v>
      </c>
      <c r="W63" s="81">
        <f>N63</f>
        <v>0</v>
      </c>
      <c r="X63" s="81">
        <f>O63</f>
        <v>0</v>
      </c>
      <c r="Y63" s="81">
        <f>P63</f>
        <v>0</v>
      </c>
      <c r="Z63" s="81">
        <f>Q63</f>
        <v>0</v>
      </c>
      <c r="AA63" s="11"/>
      <c r="AB63" s="69" t="e">
        <f t="shared" ref="AB63:AB66" si="52">SUM(Z63/V63)-1</f>
        <v>#DIV/0!</v>
      </c>
    </row>
    <row r="64" spans="2:28" ht="12.75" customHeight="1">
      <c r="B64" s="9" t="s">
        <v>19</v>
      </c>
      <c r="C64" s="74">
        <v>40</v>
      </c>
      <c r="D64" s="74">
        <v>42</v>
      </c>
      <c r="E64" s="74">
        <v>42</v>
      </c>
      <c r="G64" s="103">
        <v>40</v>
      </c>
      <c r="H64" s="103">
        <v>40</v>
      </c>
      <c r="I64" s="103">
        <v>40</v>
      </c>
      <c r="J64" s="81">
        <f t="shared" si="50"/>
        <v>42</v>
      </c>
      <c r="K64" s="103">
        <v>42</v>
      </c>
      <c r="L64" s="103">
        <v>42</v>
      </c>
      <c r="M64" s="103">
        <v>42</v>
      </c>
      <c r="N64" s="81">
        <f t="shared" si="51"/>
        <v>42</v>
      </c>
      <c r="O64" s="103">
        <v>43</v>
      </c>
      <c r="P64" s="103">
        <v>48</v>
      </c>
      <c r="Q64" s="103">
        <v>48</v>
      </c>
      <c r="S64" s="81">
        <f>J64</f>
        <v>42</v>
      </c>
      <c r="T64" s="81">
        <f>K64</f>
        <v>42</v>
      </c>
      <c r="U64" s="81">
        <f>L64</f>
        <v>42</v>
      </c>
      <c r="V64" s="81">
        <f>M64</f>
        <v>42</v>
      </c>
      <c r="W64" s="81">
        <f>N64</f>
        <v>42</v>
      </c>
      <c r="X64" s="81">
        <f>O64</f>
        <v>43</v>
      </c>
      <c r="Y64" s="81">
        <f>P64</f>
        <v>48</v>
      </c>
      <c r="Z64" s="81">
        <f>Q64</f>
        <v>48</v>
      </c>
      <c r="AA64" s="11"/>
      <c r="AB64" s="69">
        <f t="shared" si="52"/>
        <v>0.14285714285714279</v>
      </c>
    </row>
    <row r="65" spans="1:28" ht="12.75" customHeight="1">
      <c r="B65" s="9" t="s">
        <v>98</v>
      </c>
      <c r="C65" s="74">
        <v>461181</v>
      </c>
      <c r="D65" s="74">
        <v>511049</v>
      </c>
      <c r="E65" s="74">
        <v>518195</v>
      </c>
      <c r="G65" s="103">
        <v>461887</v>
      </c>
      <c r="H65" s="103">
        <v>462491</v>
      </c>
      <c r="I65" s="103">
        <v>463097</v>
      </c>
      <c r="J65" s="81">
        <f t="shared" si="50"/>
        <v>511049</v>
      </c>
      <c r="K65" s="103">
        <v>511786</v>
      </c>
      <c r="L65" s="103">
        <v>513510</v>
      </c>
      <c r="M65" s="103">
        <v>514923</v>
      </c>
      <c r="N65" s="81">
        <f t="shared" si="51"/>
        <v>518195</v>
      </c>
      <c r="O65" s="103">
        <v>434280</v>
      </c>
      <c r="P65" s="103">
        <v>538497</v>
      </c>
      <c r="Q65" s="103">
        <v>544105</v>
      </c>
      <c r="S65" s="81">
        <f>J65</f>
        <v>511049</v>
      </c>
      <c r="T65" s="81">
        <f>K65</f>
        <v>511786</v>
      </c>
      <c r="U65" s="81">
        <f>L65</f>
        <v>513510</v>
      </c>
      <c r="V65" s="81">
        <f>M65</f>
        <v>514923</v>
      </c>
      <c r="W65" s="81">
        <f>N65</f>
        <v>518195</v>
      </c>
      <c r="X65" s="81">
        <f>O65</f>
        <v>434280</v>
      </c>
      <c r="Y65" s="81">
        <f>P65</f>
        <v>538497</v>
      </c>
      <c r="Z65" s="81">
        <f>Q65</f>
        <v>544105</v>
      </c>
      <c r="AA65" s="11"/>
      <c r="AB65" s="69">
        <f t="shared" si="52"/>
        <v>5.6672551041611952E-2</v>
      </c>
    </row>
    <row r="66" spans="1:28" ht="12.75" customHeight="1">
      <c r="B66" s="9" t="s">
        <v>99</v>
      </c>
      <c r="C66" s="74">
        <v>-207306</v>
      </c>
      <c r="D66" s="74">
        <v>-283552</v>
      </c>
      <c r="E66" s="74">
        <v>-380769</v>
      </c>
      <c r="G66" s="103">
        <v>-224833</v>
      </c>
      <c r="H66" s="103">
        <v>-244161</v>
      </c>
      <c r="I66" s="103">
        <v>-264418</v>
      </c>
      <c r="J66" s="81">
        <f t="shared" si="50"/>
        <v>-283552</v>
      </c>
      <c r="K66" s="103">
        <v>-307823</v>
      </c>
      <c r="L66" s="103">
        <v>-334199</v>
      </c>
      <c r="M66" s="103">
        <v>-359850</v>
      </c>
      <c r="N66" s="81">
        <f t="shared" si="51"/>
        <v>-380769</v>
      </c>
      <c r="O66" s="103">
        <v>-355726</v>
      </c>
      <c r="P66" s="103">
        <v>-349571</v>
      </c>
      <c r="Q66" s="103">
        <v>-377514</v>
      </c>
      <c r="S66" s="81">
        <f>J66</f>
        <v>-283552</v>
      </c>
      <c r="T66" s="81">
        <f>K66</f>
        <v>-307823</v>
      </c>
      <c r="U66" s="81">
        <f>L66</f>
        <v>-334199</v>
      </c>
      <c r="V66" s="81">
        <f>M66</f>
        <v>-359850</v>
      </c>
      <c r="W66" s="81">
        <f>N66</f>
        <v>-380769</v>
      </c>
      <c r="X66" s="81">
        <f>O66</f>
        <v>-355726</v>
      </c>
      <c r="Y66" s="81">
        <f>P66</f>
        <v>-349571</v>
      </c>
      <c r="Z66" s="81">
        <f>Q66</f>
        <v>-377514</v>
      </c>
      <c r="AA66" s="11"/>
      <c r="AB66" s="69">
        <f t="shared" si="52"/>
        <v>4.9087119633180576E-2</v>
      </c>
    </row>
    <row r="67" spans="1:28" ht="12.75" customHeight="1">
      <c r="B67" s="12" t="s">
        <v>15</v>
      </c>
      <c r="C67" s="13">
        <f>SUM(C63:C66)</f>
        <v>253915</v>
      </c>
      <c r="D67" s="13">
        <f>SUM(D63:D66)</f>
        <v>227539</v>
      </c>
      <c r="E67" s="13">
        <f>SUM(E63:E66)</f>
        <v>137468</v>
      </c>
      <c r="F67" s="50"/>
      <c r="G67" s="13">
        <f t="shared" ref="G67:Q67" si="53">SUM(G63:G66)</f>
        <v>237094</v>
      </c>
      <c r="H67" s="13">
        <f t="shared" si="53"/>
        <v>218370</v>
      </c>
      <c r="I67" s="13">
        <f t="shared" si="53"/>
        <v>198719</v>
      </c>
      <c r="J67" s="13">
        <f t="shared" si="53"/>
        <v>227539</v>
      </c>
      <c r="K67" s="13">
        <f t="shared" si="53"/>
        <v>204005</v>
      </c>
      <c r="L67" s="13">
        <f t="shared" si="53"/>
        <v>179353</v>
      </c>
      <c r="M67" s="13">
        <f t="shared" si="53"/>
        <v>155115</v>
      </c>
      <c r="N67" s="13">
        <f t="shared" si="53"/>
        <v>137468</v>
      </c>
      <c r="O67" s="13">
        <f t="shared" si="53"/>
        <v>78597</v>
      </c>
      <c r="P67" s="13">
        <f t="shared" si="53"/>
        <v>188974</v>
      </c>
      <c r="Q67" s="13">
        <f t="shared" si="53"/>
        <v>166639</v>
      </c>
      <c r="S67" s="13">
        <f t="shared" ref="S67:Z67" si="54">SUM(S63:S66)</f>
        <v>227539</v>
      </c>
      <c r="T67" s="13">
        <f t="shared" si="54"/>
        <v>204005</v>
      </c>
      <c r="U67" s="13">
        <f t="shared" si="54"/>
        <v>179353</v>
      </c>
      <c r="V67" s="13">
        <f t="shared" si="54"/>
        <v>155115</v>
      </c>
      <c r="W67" s="13">
        <f t="shared" si="54"/>
        <v>137468</v>
      </c>
      <c r="X67" s="13">
        <f t="shared" si="54"/>
        <v>78597</v>
      </c>
      <c r="Y67" s="13">
        <f t="shared" si="54"/>
        <v>188974</v>
      </c>
      <c r="Z67" s="13">
        <f t="shared" si="54"/>
        <v>166639</v>
      </c>
      <c r="AA67" s="40"/>
      <c r="AB67" s="70">
        <f>SUM(Z67/V67)-1</f>
        <v>7.4293266286303616E-2</v>
      </c>
    </row>
    <row r="68" spans="1:28" ht="12.75" customHeight="1">
      <c r="B68" s="23" t="s">
        <v>62</v>
      </c>
      <c r="C68" s="30">
        <f>SUM(C67+C61)</f>
        <v>266782</v>
      </c>
      <c r="D68" s="30">
        <f>SUM(D67+D61)</f>
        <v>234834</v>
      </c>
      <c r="E68" s="30">
        <f>SUM(E67+E61)</f>
        <v>151663</v>
      </c>
      <c r="F68" s="30"/>
      <c r="G68" s="30">
        <f t="shared" ref="G68:Q68" si="55">SUM(G67+G61)</f>
        <v>244191</v>
      </c>
      <c r="H68" s="30">
        <f t="shared" si="55"/>
        <v>227381</v>
      </c>
      <c r="I68" s="30">
        <f t="shared" si="55"/>
        <v>207286</v>
      </c>
      <c r="J68" s="30">
        <f t="shared" si="55"/>
        <v>234834</v>
      </c>
      <c r="K68" s="30">
        <f t="shared" si="55"/>
        <v>218111</v>
      </c>
      <c r="L68" s="30">
        <f t="shared" si="55"/>
        <v>197248</v>
      </c>
      <c r="M68" s="30">
        <f t="shared" si="55"/>
        <v>172529</v>
      </c>
      <c r="N68" s="30">
        <f t="shared" si="55"/>
        <v>151663</v>
      </c>
      <c r="O68" s="30">
        <f t="shared" si="55"/>
        <v>155718</v>
      </c>
      <c r="P68" s="30">
        <f t="shared" si="55"/>
        <v>243568</v>
      </c>
      <c r="Q68" s="30">
        <f t="shared" si="55"/>
        <v>223753</v>
      </c>
      <c r="R68" s="30"/>
      <c r="S68" s="30">
        <f t="shared" ref="S68:Z68" si="56">SUM(S67+S61)</f>
        <v>234834</v>
      </c>
      <c r="T68" s="30">
        <f t="shared" si="56"/>
        <v>218111</v>
      </c>
      <c r="U68" s="30">
        <f t="shared" si="56"/>
        <v>197248</v>
      </c>
      <c r="V68" s="30">
        <f t="shared" si="56"/>
        <v>172529</v>
      </c>
      <c r="W68" s="30">
        <f t="shared" si="56"/>
        <v>151663</v>
      </c>
      <c r="X68" s="30">
        <f t="shared" si="56"/>
        <v>155718</v>
      </c>
      <c r="Y68" s="30">
        <f t="shared" si="56"/>
        <v>243568</v>
      </c>
      <c r="Z68" s="30">
        <f t="shared" si="56"/>
        <v>223753</v>
      </c>
      <c r="AA68" s="11"/>
      <c r="AB68" s="70">
        <f>SUM(Z68/V68)-1</f>
        <v>0.29690081087817122</v>
      </c>
    </row>
    <row r="69" spans="1:28" ht="5.0999999999999996" customHeight="1">
      <c r="B69" s="23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11"/>
    </row>
    <row r="70" spans="1:28" ht="12.75" customHeight="1">
      <c r="B70" s="64" t="s">
        <v>72</v>
      </c>
      <c r="C70" s="65">
        <f>C68-C47</f>
        <v>0</v>
      </c>
      <c r="D70" s="65">
        <f>D68-D47</f>
        <v>0</v>
      </c>
      <c r="E70" s="65">
        <f>E68-E47</f>
        <v>0</v>
      </c>
      <c r="F70" s="66"/>
      <c r="G70" s="65">
        <f t="shared" ref="G70:Q70" si="57">G68-G47</f>
        <v>0</v>
      </c>
      <c r="H70" s="65">
        <f t="shared" si="57"/>
        <v>0</v>
      </c>
      <c r="I70" s="65">
        <f t="shared" si="57"/>
        <v>0</v>
      </c>
      <c r="J70" s="65">
        <f t="shared" si="57"/>
        <v>0</v>
      </c>
      <c r="K70" s="65">
        <f t="shared" si="57"/>
        <v>0</v>
      </c>
      <c r="L70" s="65">
        <f t="shared" si="57"/>
        <v>0</v>
      </c>
      <c r="M70" s="65">
        <f t="shared" si="57"/>
        <v>0</v>
      </c>
      <c r="N70" s="65">
        <f t="shared" si="57"/>
        <v>0</v>
      </c>
      <c r="O70" s="65">
        <f t="shared" si="57"/>
        <v>0</v>
      </c>
      <c r="P70" s="65">
        <f t="shared" si="57"/>
        <v>0</v>
      </c>
      <c r="Q70" s="65">
        <f t="shared" si="57"/>
        <v>0</v>
      </c>
      <c r="R70" s="26"/>
      <c r="S70" s="65">
        <f t="shared" ref="S70:Z70" si="58">S68-S47</f>
        <v>0</v>
      </c>
      <c r="T70" s="65">
        <f t="shared" si="58"/>
        <v>0</v>
      </c>
      <c r="U70" s="65">
        <f t="shared" si="58"/>
        <v>0</v>
      </c>
      <c r="V70" s="65">
        <f t="shared" si="58"/>
        <v>0</v>
      </c>
      <c r="W70" s="65">
        <f t="shared" si="58"/>
        <v>0</v>
      </c>
      <c r="X70" s="65">
        <f t="shared" si="58"/>
        <v>0</v>
      </c>
      <c r="Y70" s="65">
        <f t="shared" si="58"/>
        <v>0</v>
      </c>
      <c r="Z70" s="65">
        <f t="shared" si="58"/>
        <v>0</v>
      </c>
    </row>
    <row r="71" spans="1:28" ht="5.0999999999999996" customHeight="1" thickBot="1">
      <c r="B71" s="98"/>
      <c r="C71" s="99"/>
      <c r="D71" s="99"/>
      <c r="E71" s="99"/>
      <c r="F71" s="100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101"/>
      <c r="S71" s="99"/>
      <c r="T71" s="99"/>
      <c r="U71" s="99"/>
      <c r="V71" s="99"/>
      <c r="W71" s="99"/>
      <c r="X71" s="99"/>
      <c r="Y71" s="99"/>
      <c r="Z71" s="99"/>
      <c r="AA71" s="68"/>
      <c r="AB71" s="68"/>
    </row>
    <row r="72" spans="1:28">
      <c r="B72" s="63"/>
      <c r="C72" s="22"/>
      <c r="D72" s="22"/>
      <c r="E72" s="22"/>
      <c r="F72" s="51"/>
    </row>
    <row r="73" spans="1:28" ht="12.75" customHeight="1">
      <c r="A73" s="5" t="s">
        <v>17</v>
      </c>
      <c r="B73" s="82" t="s">
        <v>14</v>
      </c>
      <c r="C73" s="86" t="s">
        <v>0</v>
      </c>
      <c r="D73" s="86"/>
      <c r="E73" s="86"/>
      <c r="F73" s="87"/>
      <c r="G73" s="86" t="s">
        <v>1</v>
      </c>
      <c r="H73" s="86"/>
      <c r="I73" s="86"/>
      <c r="J73" s="86"/>
      <c r="K73" s="86"/>
      <c r="L73" s="86"/>
      <c r="M73" s="86"/>
      <c r="N73" s="86"/>
      <c r="O73" s="86"/>
      <c r="P73" s="86"/>
      <c r="Q73" s="86" t="s">
        <v>1</v>
      </c>
      <c r="R73" s="82"/>
      <c r="S73" s="86"/>
      <c r="T73" s="86"/>
      <c r="U73" s="86"/>
      <c r="V73" s="86" t="s">
        <v>9</v>
      </c>
      <c r="W73" s="86"/>
      <c r="X73" s="86"/>
      <c r="Y73" s="86"/>
      <c r="Z73" s="86"/>
      <c r="AA73" s="87"/>
      <c r="AB73" s="119" t="s">
        <v>24</v>
      </c>
    </row>
    <row r="74" spans="1:28" ht="12.75" customHeight="1">
      <c r="B74" s="83" t="str">
        <f>B7</f>
        <v>Fiscal Period</v>
      </c>
      <c r="C74" s="88">
        <f>C7</f>
        <v>2021</v>
      </c>
      <c r="D74" s="88">
        <f>D7</f>
        <v>2022</v>
      </c>
      <c r="E74" s="88">
        <f>E7</f>
        <v>2023</v>
      </c>
      <c r="F74" s="87"/>
      <c r="G74" s="88" t="str">
        <f>G7</f>
        <v>1Q22</v>
      </c>
      <c r="H74" s="88" t="str">
        <f>H7</f>
        <v>2Q22</v>
      </c>
      <c r="I74" s="88" t="str">
        <f>I7</f>
        <v>3Q22</v>
      </c>
      <c r="J74" s="88" t="str">
        <f>J7</f>
        <v>4Q22</v>
      </c>
      <c r="K74" s="88" t="str">
        <f>K7</f>
        <v>1Q23</v>
      </c>
      <c r="L74" s="88" t="str">
        <f>L7</f>
        <v>2Q23</v>
      </c>
      <c r="M74" s="88" t="str">
        <f>M7</f>
        <v>3Q23</v>
      </c>
      <c r="N74" s="88" t="str">
        <f>N7</f>
        <v>4Q23</v>
      </c>
      <c r="O74" s="88" t="str">
        <f>O7</f>
        <v>1Q24</v>
      </c>
      <c r="P74" s="88" t="str">
        <f>P7</f>
        <v>2Q24</v>
      </c>
      <c r="Q74" s="88" t="str">
        <f>Q7</f>
        <v>3Q24</v>
      </c>
      <c r="R74" s="88"/>
      <c r="S74" s="88" t="str">
        <f>S7</f>
        <v>4Q22</v>
      </c>
      <c r="T74" s="88" t="str">
        <f>T7</f>
        <v>1Q23</v>
      </c>
      <c r="U74" s="88" t="str">
        <f>U7</f>
        <v>2Q23</v>
      </c>
      <c r="V74" s="88" t="str">
        <f>V7</f>
        <v>3Q23</v>
      </c>
      <c r="W74" s="88" t="str">
        <f>W7</f>
        <v>4Q23</v>
      </c>
      <c r="X74" s="88" t="str">
        <f>X7</f>
        <v>1Q24</v>
      </c>
      <c r="Y74" s="88" t="str">
        <f>Y7</f>
        <v>2Q24</v>
      </c>
      <c r="Z74" s="88" t="str">
        <f>Z7</f>
        <v>3Q24</v>
      </c>
      <c r="AA74" s="87"/>
      <c r="AB74" s="119"/>
    </row>
    <row r="75" spans="1:28" ht="12.75" customHeight="1">
      <c r="B75" s="83" t="str">
        <f>B8</f>
        <v>Fiscal Period End Date</v>
      </c>
      <c r="C75" s="89">
        <f>C8</f>
        <v>44561</v>
      </c>
      <c r="D75" s="89">
        <f>D8</f>
        <v>44926</v>
      </c>
      <c r="E75" s="89">
        <f>E8</f>
        <v>45291</v>
      </c>
      <c r="F75" s="87"/>
      <c r="G75" s="89">
        <f>G8</f>
        <v>44651</v>
      </c>
      <c r="H75" s="89">
        <f>H8</f>
        <v>44742</v>
      </c>
      <c r="I75" s="89">
        <f>I8</f>
        <v>44834</v>
      </c>
      <c r="J75" s="89">
        <f>J8</f>
        <v>44926</v>
      </c>
      <c r="K75" s="89">
        <f>K8</f>
        <v>45016</v>
      </c>
      <c r="L75" s="89">
        <f>L8</f>
        <v>45107</v>
      </c>
      <c r="M75" s="89">
        <f>M8</f>
        <v>45199</v>
      </c>
      <c r="N75" s="89">
        <f>N8</f>
        <v>45291</v>
      </c>
      <c r="O75" s="89">
        <f>O8</f>
        <v>45382</v>
      </c>
      <c r="P75" s="89">
        <f>P8</f>
        <v>45473</v>
      </c>
      <c r="Q75" s="89">
        <f>Q8</f>
        <v>45565</v>
      </c>
      <c r="R75" s="89"/>
      <c r="S75" s="89">
        <f>S8</f>
        <v>44926</v>
      </c>
      <c r="T75" s="89">
        <f>T8</f>
        <v>45016</v>
      </c>
      <c r="U75" s="89">
        <f>U8</f>
        <v>45107</v>
      </c>
      <c r="V75" s="89">
        <f>V8</f>
        <v>45199</v>
      </c>
      <c r="W75" s="89">
        <f>W8</f>
        <v>45291</v>
      </c>
      <c r="X75" s="89">
        <f>X8</f>
        <v>45382</v>
      </c>
      <c r="Y75" s="89">
        <f>Y8</f>
        <v>45473</v>
      </c>
      <c r="Z75" s="89">
        <f>Z8</f>
        <v>45565</v>
      </c>
      <c r="AA75" s="87"/>
      <c r="AB75" s="119"/>
    </row>
    <row r="76" spans="1:28" ht="5.0999999999999996" customHeight="1">
      <c r="B76" s="52"/>
      <c r="C76" s="46"/>
      <c r="D76" s="46"/>
      <c r="E76" s="46"/>
    </row>
    <row r="77" spans="1:28" ht="12.75" customHeight="1">
      <c r="B77" s="53" t="s">
        <v>63</v>
      </c>
      <c r="C77" s="54"/>
      <c r="D77" s="54"/>
      <c r="E77" s="54"/>
    </row>
    <row r="78" spans="1:28" ht="12.75" customHeight="1">
      <c r="B78" s="55" t="s">
        <v>64</v>
      </c>
      <c r="C78" s="30">
        <f>C29</f>
        <v>-32385</v>
      </c>
      <c r="D78" s="30">
        <f>D29</f>
        <v>-76246</v>
      </c>
      <c r="E78" s="30">
        <f>E29</f>
        <v>-97217</v>
      </c>
      <c r="F78" s="30"/>
      <c r="G78" s="30">
        <f>G29</f>
        <v>-17527</v>
      </c>
      <c r="H78" s="30">
        <f>H29</f>
        <v>-19328</v>
      </c>
      <c r="I78" s="30">
        <f>I29</f>
        <v>-20257</v>
      </c>
      <c r="J78" s="30">
        <f>J29</f>
        <v>-19134</v>
      </c>
      <c r="K78" s="30">
        <f>K29</f>
        <v>-24271</v>
      </c>
      <c r="L78" s="30">
        <f>L29</f>
        <v>-26376</v>
      </c>
      <c r="M78" s="30">
        <f>M29</f>
        <v>-25651</v>
      </c>
      <c r="N78" s="30">
        <f>N29</f>
        <v>-20919</v>
      </c>
      <c r="O78" s="30">
        <f>O29</f>
        <v>25043</v>
      </c>
      <c r="P78" s="30">
        <f>P29</f>
        <v>6155</v>
      </c>
      <c r="Q78" s="30">
        <f>Q29</f>
        <v>-27943</v>
      </c>
      <c r="S78" s="30">
        <f>S29</f>
        <v>-76246</v>
      </c>
      <c r="T78" s="30">
        <f>T29</f>
        <v>-82990</v>
      </c>
      <c r="U78" s="30">
        <f>U29</f>
        <v>-90038</v>
      </c>
      <c r="V78" s="30">
        <f>V29</f>
        <v>-95432</v>
      </c>
      <c r="W78" s="30">
        <f>W29</f>
        <v>-97217</v>
      </c>
      <c r="X78" s="30">
        <f>X29</f>
        <v>-47903</v>
      </c>
      <c r="Y78" s="30">
        <f>Y29</f>
        <v>-15372</v>
      </c>
      <c r="Z78" s="30">
        <f>Z29</f>
        <v>-17664</v>
      </c>
      <c r="AA78" s="11"/>
      <c r="AB78" s="69">
        <f>SUM(Z78/V78)-1</f>
        <v>-0.8149048537178305</v>
      </c>
    </row>
    <row r="79" spans="1:28" ht="5.0999999999999996" customHeight="1"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S79" s="30"/>
      <c r="T79" s="30"/>
      <c r="U79" s="30"/>
      <c r="V79" s="30"/>
      <c r="W79" s="30"/>
      <c r="X79" s="30"/>
      <c r="Y79" s="30"/>
      <c r="Z79" s="30"/>
      <c r="AA79" s="11"/>
      <c r="AB79" s="69"/>
    </row>
    <row r="80" spans="1:28" ht="12.75" customHeight="1">
      <c r="B80" s="34" t="s">
        <v>71</v>
      </c>
      <c r="C80" s="30"/>
      <c r="D80" s="30"/>
      <c r="E80" s="30"/>
      <c r="F80" s="30"/>
      <c r="G80" s="30"/>
      <c r="H80" s="30"/>
      <c r="I80" s="30"/>
      <c r="J80" s="30"/>
      <c r="K80" s="74"/>
      <c r="L80" s="74"/>
      <c r="M80" s="74"/>
      <c r="N80" s="30"/>
      <c r="O80" s="74"/>
      <c r="P80" s="74"/>
      <c r="Q80" s="74"/>
      <c r="S80" s="30"/>
      <c r="T80" s="30"/>
      <c r="U80" s="30"/>
      <c r="V80" s="30"/>
      <c r="W80" s="30"/>
      <c r="X80" s="30"/>
      <c r="Y80" s="30"/>
      <c r="Z80" s="30"/>
      <c r="AA80" s="57"/>
      <c r="AB80" s="69"/>
    </row>
    <row r="81" spans="2:28" ht="12.75" customHeight="1">
      <c r="B81" s="58" t="s">
        <v>100</v>
      </c>
      <c r="C81" s="74">
        <v>1759</v>
      </c>
      <c r="D81" s="74">
        <v>2066</v>
      </c>
      <c r="E81" s="74">
        <v>4586</v>
      </c>
      <c r="F81"/>
      <c r="G81" s="74">
        <v>495</v>
      </c>
      <c r="H81" s="74">
        <f>980-G81</f>
        <v>485</v>
      </c>
      <c r="I81" s="74">
        <f>1450-H81-G81</f>
        <v>470</v>
      </c>
      <c r="J81" s="30">
        <f t="shared" ref="J81:J84" si="59">SUM(D81-SUM(G81:I81))</f>
        <v>616</v>
      </c>
      <c r="K81" s="74">
        <v>673</v>
      </c>
      <c r="L81" s="74">
        <f>1508-K81</f>
        <v>835</v>
      </c>
      <c r="M81" s="74">
        <f>2457-L81-K81</f>
        <v>949</v>
      </c>
      <c r="N81" s="30">
        <f>SUM(E81-SUM(K81:M81))</f>
        <v>2129</v>
      </c>
      <c r="O81" s="74">
        <v>2335</v>
      </c>
      <c r="P81" s="74">
        <f>4939-O81</f>
        <v>2604</v>
      </c>
      <c r="Q81" s="74">
        <f>10547-P81-O81</f>
        <v>5608</v>
      </c>
      <c r="S81" s="30">
        <f>SUM(G81:J81)</f>
        <v>2066</v>
      </c>
      <c r="T81" s="30">
        <f>SUM(H81:K81)</f>
        <v>2244</v>
      </c>
      <c r="U81" s="30">
        <f>SUM(I81:L81)</f>
        <v>2594</v>
      </c>
      <c r="V81" s="30">
        <f>SUM(J81:M81)</f>
        <v>3073</v>
      </c>
      <c r="W81" s="30">
        <f>SUM(K81:N81)</f>
        <v>4586</v>
      </c>
      <c r="X81" s="30">
        <f>SUM(L81:O81)</f>
        <v>6248</v>
      </c>
      <c r="Y81" s="30">
        <f>SUM(M81:P81)</f>
        <v>8017</v>
      </c>
      <c r="Z81" s="30">
        <f>SUM(N81:Q81)</f>
        <v>12676</v>
      </c>
      <c r="AA81" s="11"/>
      <c r="AB81" s="69">
        <f t="shared" ref="AB81:AB87" si="60">SUM(Z81/V81)-1</f>
        <v>3.1249593231369994</v>
      </c>
    </row>
    <row r="82" spans="2:28" ht="12.75" customHeight="1">
      <c r="B82" s="58" t="s">
        <v>111</v>
      </c>
      <c r="C82" s="74">
        <v>0</v>
      </c>
      <c r="D82" s="74">
        <v>0</v>
      </c>
      <c r="E82" s="74">
        <v>0</v>
      </c>
      <c r="F82"/>
      <c r="G82" s="74">
        <v>0</v>
      </c>
      <c r="H82" s="74">
        <v>0</v>
      </c>
      <c r="I82" s="74">
        <v>0</v>
      </c>
      <c r="J82" s="30">
        <f t="shared" si="59"/>
        <v>0</v>
      </c>
      <c r="K82" s="74">
        <v>0</v>
      </c>
      <c r="L82" s="74">
        <v>0</v>
      </c>
      <c r="M82" s="74">
        <v>0</v>
      </c>
      <c r="N82" s="30">
        <f t="shared" ref="N82:N84" si="61">SUM(E82-SUM(K82:M82))</f>
        <v>0</v>
      </c>
      <c r="O82" s="74">
        <v>-43041</v>
      </c>
      <c r="P82" s="74">
        <f>-108183-O82</f>
        <v>-65142</v>
      </c>
      <c r="Q82" s="74">
        <f>-108183-P82-O82</f>
        <v>0</v>
      </c>
      <c r="S82" s="30">
        <f>SUM(G82:J82)</f>
        <v>0</v>
      </c>
      <c r="T82" s="30">
        <f>SUM(H82:K82)</f>
        <v>0</v>
      </c>
      <c r="U82" s="30">
        <f>SUM(I82:L82)</f>
        <v>0</v>
      </c>
      <c r="V82" s="30">
        <f>SUM(J82:M82)</f>
        <v>0</v>
      </c>
      <c r="W82" s="30">
        <f>SUM(K82:N82)</f>
        <v>0</v>
      </c>
      <c r="X82" s="30">
        <f>SUM(L82:O82)</f>
        <v>-43041</v>
      </c>
      <c r="Y82" s="30">
        <f>SUM(M82:P82)</f>
        <v>-108183</v>
      </c>
      <c r="Z82" s="30">
        <f>SUM(N82:Q82)</f>
        <v>-108183</v>
      </c>
      <c r="AA82" s="11"/>
      <c r="AB82" s="69" t="e">
        <f t="shared" si="60"/>
        <v>#DIV/0!</v>
      </c>
    </row>
    <row r="83" spans="2:28" ht="12.75" customHeight="1">
      <c r="B83" s="58" t="s">
        <v>124</v>
      </c>
      <c r="C83" s="74">
        <v>310</v>
      </c>
      <c r="D83" s="74">
        <v>804</v>
      </c>
      <c r="E83" s="74">
        <v>1084</v>
      </c>
      <c r="F83"/>
      <c r="G83" s="74">
        <v>178</v>
      </c>
      <c r="H83" s="74">
        <f>352-G83</f>
        <v>174</v>
      </c>
      <c r="I83" s="74">
        <f>533-H83-G83</f>
        <v>181</v>
      </c>
      <c r="J83" s="30">
        <f t="shared" si="59"/>
        <v>271</v>
      </c>
      <c r="K83" s="74">
        <v>272</v>
      </c>
      <c r="L83" s="74">
        <f>544-K83</f>
        <v>272</v>
      </c>
      <c r="M83" s="74">
        <f>817-L83-K83</f>
        <v>273</v>
      </c>
      <c r="N83" s="30">
        <f t="shared" si="61"/>
        <v>267</v>
      </c>
      <c r="O83" s="74">
        <v>250</v>
      </c>
      <c r="P83" s="74">
        <f>496-O83</f>
        <v>246</v>
      </c>
      <c r="Q83" s="74">
        <f>724-P83-O83</f>
        <v>228</v>
      </c>
      <c r="S83" s="30">
        <f>SUM(G83:J83)</f>
        <v>804</v>
      </c>
      <c r="T83" s="30">
        <f>SUM(H83:K83)</f>
        <v>898</v>
      </c>
      <c r="U83" s="30">
        <f>SUM(I83:L83)</f>
        <v>996</v>
      </c>
      <c r="V83" s="30">
        <f>SUM(J83:M83)</f>
        <v>1088</v>
      </c>
      <c r="W83" s="30">
        <f>SUM(K83:N83)</f>
        <v>1084</v>
      </c>
      <c r="X83" s="30">
        <f>SUM(L83:O83)</f>
        <v>1062</v>
      </c>
      <c r="Y83" s="30">
        <f>SUM(M83:P83)</f>
        <v>1036</v>
      </c>
      <c r="Z83" s="30">
        <f>SUM(N83:Q83)</f>
        <v>991</v>
      </c>
      <c r="AA83" s="11"/>
      <c r="AB83" s="69">
        <f t="shared" si="60"/>
        <v>-8.9154411764705843E-2</v>
      </c>
    </row>
    <row r="84" spans="2:28" ht="12.75" customHeight="1">
      <c r="B84" s="58" t="s">
        <v>125</v>
      </c>
      <c r="C84" s="74">
        <v>224</v>
      </c>
      <c r="D84" s="74">
        <v>497</v>
      </c>
      <c r="E84" s="74">
        <v>446</v>
      </c>
      <c r="F84"/>
      <c r="G84" s="74">
        <v>135</v>
      </c>
      <c r="H84" s="74">
        <f>260-G84</f>
        <v>125</v>
      </c>
      <c r="I84" s="74">
        <f>379-H84-G84</f>
        <v>119</v>
      </c>
      <c r="J84" s="30">
        <f t="shared" si="59"/>
        <v>118</v>
      </c>
      <c r="K84" s="74">
        <v>119</v>
      </c>
      <c r="L84" s="74">
        <f>238-K84</f>
        <v>119</v>
      </c>
      <c r="M84" s="74">
        <f>357-L84-K84</f>
        <v>119</v>
      </c>
      <c r="N84" s="30">
        <f t="shared" si="61"/>
        <v>89</v>
      </c>
      <c r="O84" s="74">
        <v>61</v>
      </c>
      <c r="P84" s="74">
        <f>117-O84</f>
        <v>56</v>
      </c>
      <c r="Q84" s="74">
        <f>148-P84-O84</f>
        <v>31</v>
      </c>
      <c r="S84" s="30">
        <f>SUM(G84:J84)</f>
        <v>497</v>
      </c>
      <c r="T84" s="30">
        <f>SUM(H84:K84)</f>
        <v>481</v>
      </c>
      <c r="U84" s="30">
        <f>SUM(I84:L84)</f>
        <v>475</v>
      </c>
      <c r="V84" s="30">
        <f>SUM(J84:M84)</f>
        <v>475</v>
      </c>
      <c r="W84" s="30">
        <f>SUM(K84:N84)</f>
        <v>446</v>
      </c>
      <c r="X84" s="30">
        <f>SUM(L84:O84)</f>
        <v>388</v>
      </c>
      <c r="Y84" s="30">
        <f>SUM(M84:P84)</f>
        <v>325</v>
      </c>
      <c r="Z84" s="30">
        <f>SUM(N84:Q84)</f>
        <v>237</v>
      </c>
      <c r="AA84" s="11"/>
      <c r="AB84" s="69">
        <f t="shared" si="60"/>
        <v>-0.50105263157894742</v>
      </c>
    </row>
    <row r="85" spans="2:28" ht="5.0999999999999996" customHeight="1">
      <c r="B85" s="8"/>
      <c r="C85" s="74"/>
      <c r="D85" s="74"/>
      <c r="E85" s="74"/>
      <c r="F85"/>
      <c r="G85" s="115"/>
      <c r="H85" s="115"/>
      <c r="I85" s="115"/>
      <c r="J85" s="116"/>
      <c r="K85" s="115"/>
      <c r="L85" s="115"/>
      <c r="M85" s="115"/>
      <c r="N85" s="116"/>
      <c r="O85" s="115"/>
      <c r="P85" s="115"/>
      <c r="Q85" s="115"/>
      <c r="S85" s="30"/>
      <c r="T85" s="30"/>
      <c r="U85" s="30"/>
      <c r="V85" s="30"/>
      <c r="W85" s="30"/>
      <c r="X85" s="30"/>
      <c r="Y85" s="30"/>
      <c r="Z85" s="30"/>
      <c r="AA85" s="11"/>
      <c r="AB85" s="69"/>
    </row>
    <row r="86" spans="2:28" ht="12.75" customHeight="1">
      <c r="B86" s="34" t="s">
        <v>13</v>
      </c>
      <c r="C86" s="74"/>
      <c r="D86" s="74"/>
      <c r="E86" s="74"/>
      <c r="F86"/>
      <c r="G86" s="115"/>
      <c r="H86" s="115"/>
      <c r="I86" s="115"/>
      <c r="J86" s="116"/>
      <c r="K86" s="115"/>
      <c r="L86" s="115"/>
      <c r="M86" s="115"/>
      <c r="N86" s="116"/>
      <c r="O86" s="115"/>
      <c r="P86" s="115"/>
      <c r="Q86" s="115"/>
      <c r="S86" s="30"/>
      <c r="T86" s="30"/>
      <c r="U86" s="30"/>
      <c r="V86" s="30"/>
      <c r="W86" s="30"/>
      <c r="X86" s="30"/>
      <c r="Y86" s="30"/>
      <c r="Z86" s="30"/>
      <c r="AA86" s="57"/>
      <c r="AB86" s="69"/>
    </row>
    <row r="87" spans="2:28" ht="12.75" customHeight="1">
      <c r="B87" s="58" t="s">
        <v>126</v>
      </c>
      <c r="C87" s="74">
        <v>-10956</v>
      </c>
      <c r="D87" s="74">
        <v>1189</v>
      </c>
      <c r="E87" s="74">
        <v>1714</v>
      </c>
      <c r="F87"/>
      <c r="G87" s="74">
        <v>-1063</v>
      </c>
      <c r="H87" s="74">
        <f>4431-G87</f>
        <v>5494</v>
      </c>
      <c r="I87" s="74">
        <f>2790-H87-G87</f>
        <v>-1641</v>
      </c>
      <c r="J87" s="30">
        <f t="shared" ref="J87:J92" si="62">SUM(D87-SUM(G87:I87))</f>
        <v>-1601</v>
      </c>
      <c r="K87" s="74">
        <v>2679</v>
      </c>
      <c r="L87" s="74">
        <f>4116-K87</f>
        <v>1437</v>
      </c>
      <c r="M87" s="74">
        <f>2377-L87-K87</f>
        <v>-1739</v>
      </c>
      <c r="N87" s="30">
        <f t="shared" ref="N87:N92" si="63">SUM(E87-SUM(K87:M87))</f>
        <v>-663</v>
      </c>
      <c r="O87" s="74">
        <v>-1333</v>
      </c>
      <c r="P87" s="74">
        <f>-6334-O87</f>
        <v>-5001</v>
      </c>
      <c r="Q87" s="74">
        <f>-5074-P87-O87</f>
        <v>1260</v>
      </c>
      <c r="S87" s="30">
        <f>SUM(G87:J87)</f>
        <v>1189</v>
      </c>
      <c r="T87" s="30">
        <f>SUM(H87:K87)</f>
        <v>4931</v>
      </c>
      <c r="U87" s="30">
        <f>SUM(I87:L87)</f>
        <v>874</v>
      </c>
      <c r="V87" s="30">
        <f>SUM(J87:M87)</f>
        <v>776</v>
      </c>
      <c r="W87" s="30">
        <f>SUM(K87:N87)</f>
        <v>1714</v>
      </c>
      <c r="X87" s="30">
        <f>SUM(L87:O87)</f>
        <v>-2298</v>
      </c>
      <c r="Y87" s="30">
        <f>SUM(M87:P87)</f>
        <v>-8736</v>
      </c>
      <c r="Z87" s="30">
        <f>SUM(N87:Q87)</f>
        <v>-5737</v>
      </c>
      <c r="AA87" s="57"/>
      <c r="AB87" s="69">
        <f t="shared" si="60"/>
        <v>-8.3930412371134011</v>
      </c>
    </row>
    <row r="88" spans="2:28" ht="12.75" customHeight="1">
      <c r="B88" s="58" t="s">
        <v>127</v>
      </c>
      <c r="C88" s="74">
        <v>28</v>
      </c>
      <c r="D88" s="74">
        <v>-9</v>
      </c>
      <c r="E88" s="74">
        <v>-17</v>
      </c>
      <c r="F88"/>
      <c r="G88" s="74">
        <v>-1</v>
      </c>
      <c r="H88" s="74">
        <f>-4-G88</f>
        <v>-3</v>
      </c>
      <c r="I88" s="74">
        <f>-6-H88-G88</f>
        <v>-2</v>
      </c>
      <c r="J88" s="30">
        <f t="shared" si="62"/>
        <v>-3</v>
      </c>
      <c r="K88" s="74">
        <v>-17</v>
      </c>
      <c r="L88" s="74">
        <f>-17-K88</f>
        <v>0</v>
      </c>
      <c r="M88" s="74">
        <f>-17-L88-K88</f>
        <v>0</v>
      </c>
      <c r="N88" s="30">
        <f t="shared" si="63"/>
        <v>0</v>
      </c>
      <c r="O88" s="74" t="s">
        <v>115</v>
      </c>
      <c r="P88" s="74">
        <v>0</v>
      </c>
      <c r="Q88" s="74">
        <v>0</v>
      </c>
      <c r="S88" s="30">
        <f>SUM(G88:J88)</f>
        <v>-9</v>
      </c>
      <c r="T88" s="30">
        <f>SUM(H88:K88)</f>
        <v>-25</v>
      </c>
      <c r="U88" s="30">
        <f>SUM(I88:L88)</f>
        <v>-22</v>
      </c>
      <c r="V88" s="30">
        <f>SUM(J88:M88)</f>
        <v>-20</v>
      </c>
      <c r="W88" s="30">
        <f>SUM(K88:N88)</f>
        <v>-17</v>
      </c>
      <c r="X88" s="30">
        <f>SUM(L88:O88)</f>
        <v>0</v>
      </c>
      <c r="Y88" s="30">
        <f>SUM(M88:P88)</f>
        <v>0</v>
      </c>
      <c r="Z88" s="30">
        <f>SUM(N88:Q88)</f>
        <v>0</v>
      </c>
      <c r="AA88" s="57"/>
      <c r="AB88" s="69">
        <f t="shared" ref="AB88:AB92" si="64">SUM(Z88/V88)-1</f>
        <v>-1</v>
      </c>
    </row>
    <row r="89" spans="2:28" ht="12.75" customHeight="1">
      <c r="B89" s="58" t="s">
        <v>116</v>
      </c>
      <c r="C89" s="74">
        <v>6215</v>
      </c>
      <c r="D89" s="74">
        <v>-3449</v>
      </c>
      <c r="E89" s="74">
        <v>6896</v>
      </c>
      <c r="F89"/>
      <c r="G89" s="74">
        <v>-3794</v>
      </c>
      <c r="H89" s="74">
        <f>-2368-G89</f>
        <v>1426</v>
      </c>
      <c r="I89" s="74">
        <f>-3592-H89-G89</f>
        <v>-1224</v>
      </c>
      <c r="J89" s="30">
        <f t="shared" si="62"/>
        <v>143</v>
      </c>
      <c r="K89" s="74">
        <v>4565</v>
      </c>
      <c r="L89" s="74">
        <f>6661-K89</f>
        <v>2096</v>
      </c>
      <c r="M89" s="74">
        <f>5815-L89-K89</f>
        <v>-846</v>
      </c>
      <c r="N89" s="30">
        <f t="shared" si="63"/>
        <v>1081</v>
      </c>
      <c r="O89" s="74">
        <v>-970</v>
      </c>
      <c r="P89" s="74">
        <f>41979-O89</f>
        <v>42949</v>
      </c>
      <c r="Q89" s="74">
        <f>41671-P89-O89</f>
        <v>-308</v>
      </c>
      <c r="S89" s="30">
        <f>SUM(G89:J89)</f>
        <v>-3449</v>
      </c>
      <c r="T89" s="30">
        <f>SUM(H89:K89)</f>
        <v>4910</v>
      </c>
      <c r="U89" s="30">
        <f>SUM(I89:L89)</f>
        <v>5580</v>
      </c>
      <c r="V89" s="30">
        <f>SUM(J89:M89)</f>
        <v>5958</v>
      </c>
      <c r="W89" s="30">
        <f>SUM(K89:N89)</f>
        <v>6896</v>
      </c>
      <c r="X89" s="30">
        <f>SUM(L89:O89)</f>
        <v>1361</v>
      </c>
      <c r="Y89" s="30">
        <f>SUM(M89:P89)</f>
        <v>42214</v>
      </c>
      <c r="Z89" s="30">
        <f>SUM(N89:Q89)</f>
        <v>42752</v>
      </c>
      <c r="AA89" s="57"/>
      <c r="AB89" s="69">
        <f t="shared" si="64"/>
        <v>6.175562269217858</v>
      </c>
    </row>
    <row r="90" spans="2:28" ht="12.75" customHeight="1">
      <c r="B90" s="58" t="s">
        <v>117</v>
      </c>
      <c r="C90" s="74">
        <v>2084</v>
      </c>
      <c r="D90" s="74">
        <v>-523</v>
      </c>
      <c r="E90" s="74">
        <v>757</v>
      </c>
      <c r="F90"/>
      <c r="G90" s="74">
        <v>122</v>
      </c>
      <c r="H90" s="74">
        <f>515-G90</f>
        <v>393</v>
      </c>
      <c r="I90" s="74">
        <f>1293-H90-G90</f>
        <v>778</v>
      </c>
      <c r="J90" s="30">
        <f t="shared" si="62"/>
        <v>-1816</v>
      </c>
      <c r="K90" s="74">
        <v>2996</v>
      </c>
      <c r="L90" s="74">
        <f>4764-K90</f>
        <v>1768</v>
      </c>
      <c r="M90" s="74">
        <f>5064-L90-K90</f>
        <v>300</v>
      </c>
      <c r="N90" s="30">
        <f t="shared" si="63"/>
        <v>-4307</v>
      </c>
      <c r="O90" s="74">
        <v>-1240</v>
      </c>
      <c r="P90" s="74">
        <f>-1441-O90</f>
        <v>-201</v>
      </c>
      <c r="Q90" s="74">
        <f>-494-P90-O90</f>
        <v>947</v>
      </c>
      <c r="S90" s="30">
        <f>SUM(G90:J90)</f>
        <v>-523</v>
      </c>
      <c r="T90" s="30">
        <f>SUM(H90:K90)</f>
        <v>2351</v>
      </c>
      <c r="U90" s="30">
        <f>SUM(I90:L90)</f>
        <v>3726</v>
      </c>
      <c r="V90" s="30">
        <f>SUM(J90:M90)</f>
        <v>3248</v>
      </c>
      <c r="W90" s="30">
        <f>SUM(K90:N90)</f>
        <v>757</v>
      </c>
      <c r="X90" s="30">
        <f>SUM(L90:O90)</f>
        <v>-3479</v>
      </c>
      <c r="Y90" s="30">
        <f>SUM(M90:P90)</f>
        <v>-5448</v>
      </c>
      <c r="Z90" s="30">
        <f>SUM(N90:Q90)</f>
        <v>-4801</v>
      </c>
      <c r="AA90" s="57"/>
      <c r="AB90" s="69">
        <f t="shared" si="64"/>
        <v>-2.4781403940886699</v>
      </c>
    </row>
    <row r="91" spans="2:28" ht="12.75" customHeight="1">
      <c r="B91" s="58" t="s">
        <v>118</v>
      </c>
      <c r="C91" s="74">
        <v>1794</v>
      </c>
      <c r="D91" s="74">
        <v>-1707</v>
      </c>
      <c r="E91" s="74">
        <v>30</v>
      </c>
      <c r="F91"/>
      <c r="G91" s="74">
        <v>-1705</v>
      </c>
      <c r="H91" s="74">
        <f>-1701-G91</f>
        <v>4</v>
      </c>
      <c r="I91" s="74">
        <f>-1717-H91-G91</f>
        <v>-16</v>
      </c>
      <c r="J91" s="30">
        <f t="shared" si="62"/>
        <v>10</v>
      </c>
      <c r="K91" s="74">
        <v>42</v>
      </c>
      <c r="L91" s="74">
        <f>50-K91</f>
        <v>8</v>
      </c>
      <c r="M91" s="74">
        <f>17-L91-K91</f>
        <v>-33</v>
      </c>
      <c r="N91" s="30">
        <f t="shared" si="63"/>
        <v>13</v>
      </c>
      <c r="O91" s="74">
        <v>28</v>
      </c>
      <c r="P91" s="74">
        <f>18-O91</f>
        <v>-10</v>
      </c>
      <c r="Q91" s="74">
        <f>1750-P91-O91</f>
        <v>1732</v>
      </c>
      <c r="S91" s="30">
        <f>SUM(G91:J91)</f>
        <v>-1707</v>
      </c>
      <c r="T91" s="30">
        <f>SUM(H91:K91)</f>
        <v>40</v>
      </c>
      <c r="U91" s="30">
        <f>SUM(I91:L91)</f>
        <v>44</v>
      </c>
      <c r="V91" s="30">
        <f>SUM(J91:M91)</f>
        <v>27</v>
      </c>
      <c r="W91" s="30">
        <f>SUM(K91:N91)</f>
        <v>30</v>
      </c>
      <c r="X91" s="30">
        <f>SUM(L91:O91)</f>
        <v>16</v>
      </c>
      <c r="Y91" s="30">
        <f>SUM(M91:P91)</f>
        <v>-2</v>
      </c>
      <c r="Z91" s="30">
        <f>SUM(N91:Q91)</f>
        <v>1763</v>
      </c>
      <c r="AA91" s="57"/>
      <c r="AB91" s="69">
        <f t="shared" si="64"/>
        <v>64.296296296296291</v>
      </c>
    </row>
    <row r="92" spans="2:28" ht="12.75" customHeight="1">
      <c r="B92" s="58" t="s">
        <v>106</v>
      </c>
      <c r="C92" s="74">
        <v>731</v>
      </c>
      <c r="D92" s="74">
        <v>-136</v>
      </c>
      <c r="E92" s="74">
        <v>-304</v>
      </c>
      <c r="F92" s="30"/>
      <c r="G92" s="74">
        <v>-370</v>
      </c>
      <c r="H92" s="74">
        <f>-254-G92</f>
        <v>116</v>
      </c>
      <c r="I92" s="74">
        <f>-212-H92-G92</f>
        <v>42</v>
      </c>
      <c r="J92" s="30">
        <f t="shared" si="62"/>
        <v>76</v>
      </c>
      <c r="K92" s="74">
        <v>-313</v>
      </c>
      <c r="L92" s="74">
        <f>-396-K92</f>
        <v>-83</v>
      </c>
      <c r="M92" s="74">
        <f>-298-L92-K92</f>
        <v>98</v>
      </c>
      <c r="N92" s="30">
        <f t="shared" si="63"/>
        <v>-6</v>
      </c>
      <c r="O92" s="74">
        <v>-260</v>
      </c>
      <c r="P92" s="74">
        <f>-157-O92</f>
        <v>103</v>
      </c>
      <c r="Q92" s="74">
        <f>-8-P92-O92</f>
        <v>149</v>
      </c>
      <c r="S92" s="30">
        <f>SUM(G92:J92)</f>
        <v>-136</v>
      </c>
      <c r="T92" s="30">
        <f>SUM(H92:K92)</f>
        <v>-79</v>
      </c>
      <c r="U92" s="30">
        <f>SUM(I92:L92)</f>
        <v>-278</v>
      </c>
      <c r="V92" s="30">
        <f>SUM(J92:M92)</f>
        <v>-222</v>
      </c>
      <c r="W92" s="30">
        <f>SUM(K92:N92)</f>
        <v>-304</v>
      </c>
      <c r="X92" s="30">
        <f>SUM(L92:O92)</f>
        <v>-251</v>
      </c>
      <c r="Y92" s="30">
        <f>SUM(M92:P92)</f>
        <v>-65</v>
      </c>
      <c r="Z92" s="30">
        <f>SUM(N92:Q92)</f>
        <v>-14</v>
      </c>
      <c r="AA92" s="57"/>
      <c r="AB92" s="69">
        <f t="shared" si="64"/>
        <v>-0.93693693693693691</v>
      </c>
    </row>
    <row r="93" spans="2:28" ht="12.75" customHeight="1">
      <c r="B93" s="12" t="s">
        <v>65</v>
      </c>
      <c r="C93" s="13">
        <f>SUM(C78:C92)</f>
        <v>-30196</v>
      </c>
      <c r="D93" s="13">
        <f>SUM(D78:D92)</f>
        <v>-77514</v>
      </c>
      <c r="E93" s="13">
        <f>SUM(E78:E92)</f>
        <v>-82025</v>
      </c>
      <c r="G93" s="13">
        <f t="shared" ref="G93:Q93" si="65">SUM(G78:G92)</f>
        <v>-23530</v>
      </c>
      <c r="H93" s="13">
        <f t="shared" si="65"/>
        <v>-11114</v>
      </c>
      <c r="I93" s="13">
        <f t="shared" si="65"/>
        <v>-21550</v>
      </c>
      <c r="J93" s="13">
        <f t="shared" si="65"/>
        <v>-21320</v>
      </c>
      <c r="K93" s="32">
        <f t="shared" si="65"/>
        <v>-13255</v>
      </c>
      <c r="L93" s="13">
        <f t="shared" si="65"/>
        <v>-19924</v>
      </c>
      <c r="M93" s="13">
        <f t="shared" si="65"/>
        <v>-26530</v>
      </c>
      <c r="N93" s="13">
        <f t="shared" si="65"/>
        <v>-22316</v>
      </c>
      <c r="O93" s="13">
        <f t="shared" si="65"/>
        <v>-19127</v>
      </c>
      <c r="P93" s="13">
        <f t="shared" si="65"/>
        <v>-18241</v>
      </c>
      <c r="Q93" s="13">
        <f t="shared" si="65"/>
        <v>-18296</v>
      </c>
      <c r="S93" s="13">
        <f t="shared" ref="S93:Z93" si="66">SUM(S78:S92)</f>
        <v>-77514</v>
      </c>
      <c r="T93" s="13">
        <f t="shared" si="66"/>
        <v>-67239</v>
      </c>
      <c r="U93" s="13">
        <f t="shared" si="66"/>
        <v>-76049</v>
      </c>
      <c r="V93" s="13">
        <f t="shared" si="66"/>
        <v>-81029</v>
      </c>
      <c r="W93" s="13">
        <f t="shared" si="66"/>
        <v>-82025</v>
      </c>
      <c r="X93" s="13">
        <f t="shared" si="66"/>
        <v>-87897</v>
      </c>
      <c r="Y93" s="13">
        <f t="shared" si="66"/>
        <v>-86214</v>
      </c>
      <c r="Z93" s="13">
        <f t="shared" si="66"/>
        <v>-77980</v>
      </c>
      <c r="AA93" s="40"/>
      <c r="AB93" s="70">
        <f>SUM(Z93/V93)-1</f>
        <v>-3.7628503375334743E-2</v>
      </c>
    </row>
    <row r="94" spans="2:28" ht="12.75" customHeight="1">
      <c r="B94" s="51"/>
      <c r="C94" s="59"/>
      <c r="D94" s="59"/>
      <c r="E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S94" s="40"/>
      <c r="T94" s="40"/>
      <c r="U94" s="40"/>
      <c r="V94" s="40"/>
      <c r="W94" s="40"/>
      <c r="X94" s="40"/>
      <c r="Y94" s="40"/>
      <c r="Z94" s="40"/>
      <c r="AA94" s="40"/>
      <c r="AB94" s="37"/>
    </row>
    <row r="95" spans="2:28" ht="12.75" customHeight="1">
      <c r="B95" s="114" t="s">
        <v>66</v>
      </c>
      <c r="C95" s="56"/>
      <c r="D95" s="56"/>
      <c r="E95" s="56"/>
      <c r="G95" s="56"/>
      <c r="H95" s="56"/>
      <c r="I95" s="56"/>
      <c r="J95" s="30"/>
      <c r="K95" s="74"/>
      <c r="L95" s="74"/>
      <c r="M95" s="74"/>
      <c r="N95" s="30"/>
      <c r="O95" s="74"/>
      <c r="P95" s="74"/>
      <c r="Q95" s="74"/>
      <c r="S95" s="56"/>
      <c r="T95" s="56"/>
      <c r="U95" s="56"/>
      <c r="V95" s="56"/>
      <c r="W95" s="56"/>
      <c r="X95" s="56"/>
      <c r="Y95" s="56"/>
      <c r="Z95" s="56"/>
      <c r="AA95" s="57"/>
      <c r="AB95" s="37"/>
    </row>
    <row r="96" spans="2:28" ht="12.75" customHeight="1">
      <c r="B96" s="58" t="s">
        <v>128</v>
      </c>
      <c r="C96" s="74">
        <v>-22214</v>
      </c>
      <c r="D96" s="74">
        <v>-2712</v>
      </c>
      <c r="E96" s="74">
        <v>-414</v>
      </c>
      <c r="F96" s="30"/>
      <c r="G96" s="74">
        <v>-425</v>
      </c>
      <c r="H96" s="74">
        <f>-1891-G96</f>
        <v>-1466</v>
      </c>
      <c r="I96" s="74">
        <f>-3047-H96-G96</f>
        <v>-1156</v>
      </c>
      <c r="J96" s="30">
        <f t="shared" ref="J96" si="67">SUM(D96-SUM(G96:I96))</f>
        <v>335</v>
      </c>
      <c r="K96" s="74">
        <v>-357</v>
      </c>
      <c r="L96" s="74">
        <f>-351-K96</f>
        <v>6</v>
      </c>
      <c r="M96" s="74">
        <f>-373-L96-K96</f>
        <v>-22</v>
      </c>
      <c r="N96" s="30">
        <f>SUM(E96-SUM(K96:M96))</f>
        <v>-41</v>
      </c>
      <c r="O96" s="74">
        <v>0</v>
      </c>
      <c r="P96" s="74">
        <f>-29-O96</f>
        <v>-29</v>
      </c>
      <c r="Q96" s="74">
        <f>-46-P96-O96</f>
        <v>-17</v>
      </c>
      <c r="R96" s="30"/>
      <c r="S96" s="30">
        <f>SUM(K96:N96)</f>
        <v>-414</v>
      </c>
      <c r="T96" s="30">
        <f>SUM(L96:O96)</f>
        <v>-57</v>
      </c>
      <c r="U96" s="30">
        <f>SUM(M96:P96)</f>
        <v>-92</v>
      </c>
      <c r="V96" s="30">
        <f>SUM(J96:M96)</f>
        <v>-38</v>
      </c>
      <c r="W96" s="30">
        <f>SUM(K96:N96)</f>
        <v>-414</v>
      </c>
      <c r="X96" s="30">
        <f>SUM(L96:O96)</f>
        <v>-57</v>
      </c>
      <c r="Y96" s="30">
        <f>SUM(M96:P96)</f>
        <v>-92</v>
      </c>
      <c r="Z96" s="30">
        <f>SUM(N96:Q96)</f>
        <v>-87</v>
      </c>
      <c r="AA96" s="57"/>
      <c r="AB96" s="69">
        <f t="shared" ref="AB96" si="68">SUM(Z96/V96)-1</f>
        <v>1.2894736842105261</v>
      </c>
    </row>
    <row r="97" spans="2:28" ht="12.75" customHeight="1">
      <c r="B97" s="12" t="s">
        <v>67</v>
      </c>
      <c r="C97" s="13">
        <f>SUM(C96:C96)</f>
        <v>-22214</v>
      </c>
      <c r="D97" s="13">
        <f>SUM(D96:D96)</f>
        <v>-2712</v>
      </c>
      <c r="E97" s="13">
        <f>SUM(E96:E96)</f>
        <v>-414</v>
      </c>
      <c r="G97" s="13">
        <f t="shared" ref="G97:Q97" si="69">SUM(G96:G96)</f>
        <v>-425</v>
      </c>
      <c r="H97" s="13">
        <f t="shared" si="69"/>
        <v>-1466</v>
      </c>
      <c r="I97" s="13">
        <f t="shared" si="69"/>
        <v>-1156</v>
      </c>
      <c r="J97" s="13">
        <f t="shared" si="69"/>
        <v>335</v>
      </c>
      <c r="K97" s="13">
        <f t="shared" si="69"/>
        <v>-357</v>
      </c>
      <c r="L97" s="13">
        <f t="shared" si="69"/>
        <v>6</v>
      </c>
      <c r="M97" s="13">
        <f t="shared" si="69"/>
        <v>-22</v>
      </c>
      <c r="N97" s="13">
        <f t="shared" si="69"/>
        <v>-41</v>
      </c>
      <c r="O97" s="13">
        <f t="shared" si="69"/>
        <v>0</v>
      </c>
      <c r="P97" s="13">
        <f t="shared" si="69"/>
        <v>-29</v>
      </c>
      <c r="Q97" s="13">
        <f t="shared" si="69"/>
        <v>-17</v>
      </c>
      <c r="S97" s="13">
        <f t="shared" ref="S97:Z97" si="70">SUM(S96:S96)</f>
        <v>-414</v>
      </c>
      <c r="T97" s="13">
        <f t="shared" si="70"/>
        <v>-57</v>
      </c>
      <c r="U97" s="13">
        <f t="shared" si="70"/>
        <v>-92</v>
      </c>
      <c r="V97" s="13">
        <f t="shared" si="70"/>
        <v>-38</v>
      </c>
      <c r="W97" s="13">
        <f t="shared" si="70"/>
        <v>-414</v>
      </c>
      <c r="X97" s="13">
        <f t="shared" si="70"/>
        <v>-57</v>
      </c>
      <c r="Y97" s="13">
        <f t="shared" si="70"/>
        <v>-92</v>
      </c>
      <c r="Z97" s="13">
        <f t="shared" si="70"/>
        <v>-87</v>
      </c>
      <c r="AA97" s="40"/>
      <c r="AB97" s="70">
        <f>SUM(Z97/V97)-1</f>
        <v>1.2894736842105261</v>
      </c>
    </row>
    <row r="98" spans="2:28" ht="5.0999999999999996" customHeight="1">
      <c r="B98" s="50"/>
      <c r="C98" s="59"/>
      <c r="D98" s="59"/>
      <c r="E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S98" s="40"/>
      <c r="T98" s="40"/>
      <c r="U98" s="40"/>
      <c r="V98" s="40"/>
      <c r="W98" s="40"/>
      <c r="X98" s="40"/>
      <c r="Y98" s="40"/>
      <c r="Z98" s="40"/>
      <c r="AA98" s="40"/>
      <c r="AB98" s="37"/>
    </row>
    <row r="99" spans="2:28" ht="12.75" customHeight="1">
      <c r="B99" s="114" t="s">
        <v>68</v>
      </c>
      <c r="C99" s="60"/>
      <c r="D99" s="60"/>
      <c r="E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30"/>
      <c r="S99" s="30"/>
      <c r="T99" s="30"/>
      <c r="U99" s="30"/>
      <c r="V99" s="30"/>
      <c r="W99" s="30"/>
      <c r="X99" s="30"/>
      <c r="Y99" s="30"/>
      <c r="Z99" s="30"/>
      <c r="AA99" s="61"/>
      <c r="AB99" s="37"/>
    </row>
    <row r="100" spans="2:28" ht="12.75" customHeight="1">
      <c r="B100" s="75" t="s">
        <v>129</v>
      </c>
      <c r="C100" s="74">
        <v>1824</v>
      </c>
      <c r="D100" s="74">
        <v>475</v>
      </c>
      <c r="E100" s="74">
        <v>2560</v>
      </c>
      <c r="F100" s="30"/>
      <c r="G100" s="74">
        <v>211</v>
      </c>
      <c r="H100" s="74">
        <f>330-G100</f>
        <v>119</v>
      </c>
      <c r="I100" s="74">
        <f>466-H100-G100</f>
        <v>136</v>
      </c>
      <c r="J100" s="30">
        <f t="shared" ref="J100:J103" si="71">SUM(D100-SUM(G100:I100))</f>
        <v>9</v>
      </c>
      <c r="K100" s="74">
        <v>64</v>
      </c>
      <c r="L100" s="74">
        <f>953-K100</f>
        <v>889</v>
      </c>
      <c r="M100" s="74">
        <f>1417-L100-K100</f>
        <v>464</v>
      </c>
      <c r="N100" s="30">
        <f t="shared" ref="N100:N103" si="72">SUM(E100-SUM(K100:M100))</f>
        <v>1143</v>
      </c>
      <c r="O100" s="74">
        <v>0</v>
      </c>
      <c r="P100" s="74">
        <v>0</v>
      </c>
      <c r="Q100" s="74">
        <v>0</v>
      </c>
      <c r="R100" s="30"/>
      <c r="S100" s="30">
        <f>SUM(G100:J100)</f>
        <v>475</v>
      </c>
      <c r="T100" s="30">
        <f>SUM(H100:K100)</f>
        <v>328</v>
      </c>
      <c r="U100" s="30">
        <f>SUM(I100:L100)</f>
        <v>1098</v>
      </c>
      <c r="V100" s="30">
        <f>SUM(J100:M100)</f>
        <v>1426</v>
      </c>
      <c r="W100" s="30">
        <f>SUM(K100:N100)</f>
        <v>2560</v>
      </c>
      <c r="X100" s="30">
        <f>SUM(L100:O100)</f>
        <v>2496</v>
      </c>
      <c r="Y100" s="30">
        <f>SUM(M100:P100)</f>
        <v>1607</v>
      </c>
      <c r="Z100" s="30">
        <f>SUM(N100:Q100)</f>
        <v>1143</v>
      </c>
      <c r="AA100" s="61"/>
      <c r="AB100" s="69">
        <f t="shared" ref="AB100:AB101" si="73">SUM(Z100/V100)-1</f>
        <v>-0.19845722300140256</v>
      </c>
    </row>
    <row r="101" spans="2:28" ht="12.75" customHeight="1">
      <c r="B101" s="75" t="s">
        <v>130</v>
      </c>
      <c r="C101" s="74">
        <v>692</v>
      </c>
      <c r="D101" s="74">
        <v>0</v>
      </c>
      <c r="E101" s="74">
        <v>0</v>
      </c>
      <c r="F101" s="30"/>
      <c r="G101" s="74">
        <v>0</v>
      </c>
      <c r="H101" s="74">
        <v>0</v>
      </c>
      <c r="I101" s="74">
        <v>0</v>
      </c>
      <c r="J101" s="30">
        <f t="shared" si="71"/>
        <v>0</v>
      </c>
      <c r="K101" s="74">
        <v>0</v>
      </c>
      <c r="L101" s="74">
        <v>0</v>
      </c>
      <c r="M101" s="74">
        <v>0</v>
      </c>
      <c r="N101" s="30">
        <f t="shared" si="72"/>
        <v>0</v>
      </c>
      <c r="O101" s="74">
        <v>0</v>
      </c>
      <c r="P101" s="74">
        <v>0</v>
      </c>
      <c r="Q101" s="74">
        <v>0</v>
      </c>
      <c r="R101" s="30"/>
      <c r="S101" s="30">
        <f>SUM(G101:J101)</f>
        <v>0</v>
      </c>
      <c r="T101" s="30">
        <f>SUM(H101:K101)</f>
        <v>0</v>
      </c>
      <c r="U101" s="30">
        <f>SUM(I101:L101)</f>
        <v>0</v>
      </c>
      <c r="V101" s="30">
        <f>SUM(J101:M101)</f>
        <v>0</v>
      </c>
      <c r="W101" s="30">
        <f>SUM(K101:N101)</f>
        <v>0</v>
      </c>
      <c r="X101" s="30">
        <f>SUM(L101:O101)</f>
        <v>0</v>
      </c>
      <c r="Y101" s="30">
        <f>SUM(M101:P101)</f>
        <v>0</v>
      </c>
      <c r="Z101" s="30">
        <f>SUM(N101:Q101)</f>
        <v>0</v>
      </c>
      <c r="AA101" s="61"/>
      <c r="AB101" s="69" t="e">
        <f t="shared" si="73"/>
        <v>#DIV/0!</v>
      </c>
    </row>
    <row r="102" spans="2:28" ht="12.75" customHeight="1">
      <c r="B102" s="75" t="s">
        <v>131</v>
      </c>
      <c r="C102" s="74">
        <v>0</v>
      </c>
      <c r="D102" s="74">
        <v>0</v>
      </c>
      <c r="E102" s="74">
        <v>0</v>
      </c>
      <c r="F102" s="30"/>
      <c r="G102" s="74">
        <v>0</v>
      </c>
      <c r="H102" s="74">
        <v>0</v>
      </c>
      <c r="I102" s="74">
        <v>0</v>
      </c>
      <c r="J102" s="30">
        <f t="shared" si="71"/>
        <v>0</v>
      </c>
      <c r="K102" s="74">
        <v>0</v>
      </c>
      <c r="L102" s="74">
        <v>0</v>
      </c>
      <c r="M102" s="74">
        <v>0</v>
      </c>
      <c r="N102" s="30">
        <f t="shared" si="72"/>
        <v>0</v>
      </c>
      <c r="O102" s="74">
        <v>22160</v>
      </c>
      <c r="P102" s="74">
        <f>123552-O102</f>
        <v>101392</v>
      </c>
      <c r="Q102" s="74">
        <f>123552-P102-O102</f>
        <v>0</v>
      </c>
      <c r="R102" s="30"/>
      <c r="S102" s="30">
        <f>SUM(G102:J102)</f>
        <v>0</v>
      </c>
      <c r="T102" s="30">
        <f>SUM(H102:K102)</f>
        <v>0</v>
      </c>
      <c r="U102" s="30">
        <f>SUM(I102:L102)</f>
        <v>0</v>
      </c>
      <c r="V102" s="30">
        <f>SUM(J102:M102)</f>
        <v>0</v>
      </c>
      <c r="W102" s="30">
        <f>SUM(K102:N102)</f>
        <v>0</v>
      </c>
      <c r="X102" s="30">
        <f>SUM(L102:O102)</f>
        <v>22160</v>
      </c>
      <c r="Y102" s="30">
        <f>SUM(M102:P102)</f>
        <v>123552</v>
      </c>
      <c r="Z102" s="30">
        <f>SUM(N102:Q102)</f>
        <v>123552</v>
      </c>
      <c r="AA102" s="61"/>
      <c r="AB102" s="69" t="e">
        <f t="shared" ref="AB102:AB103" si="74">SUM(Z102/V102)-1</f>
        <v>#DIV/0!</v>
      </c>
    </row>
    <row r="103" spans="2:28" ht="12.75" customHeight="1">
      <c r="B103" s="75" t="s">
        <v>132</v>
      </c>
      <c r="C103" s="74">
        <v>189825</v>
      </c>
      <c r="D103" s="74">
        <v>47329</v>
      </c>
      <c r="E103" s="74">
        <v>0</v>
      </c>
      <c r="F103" s="30"/>
      <c r="G103" s="74">
        <v>0</v>
      </c>
      <c r="H103" s="74">
        <v>0</v>
      </c>
      <c r="I103" s="74">
        <v>0</v>
      </c>
      <c r="J103" s="30">
        <f t="shared" si="71"/>
        <v>47329</v>
      </c>
      <c r="K103" s="74">
        <v>0</v>
      </c>
      <c r="L103" s="74">
        <v>0</v>
      </c>
      <c r="M103" s="74">
        <v>0</v>
      </c>
      <c r="N103" s="30">
        <f t="shared" si="72"/>
        <v>0</v>
      </c>
      <c r="O103" s="74">
        <v>0</v>
      </c>
      <c r="P103" s="74">
        <v>0</v>
      </c>
      <c r="Q103" s="74">
        <v>0</v>
      </c>
      <c r="R103" s="30"/>
      <c r="S103" s="30">
        <f>SUM(G103:J103)</f>
        <v>47329</v>
      </c>
      <c r="T103" s="30">
        <f>SUM(H103:K103)</f>
        <v>47329</v>
      </c>
      <c r="U103" s="30">
        <f>SUM(I103:L103)</f>
        <v>47329</v>
      </c>
      <c r="V103" s="30">
        <f>SUM(J103:M103)</f>
        <v>47329</v>
      </c>
      <c r="W103" s="30">
        <f>SUM(K103:N103)</f>
        <v>0</v>
      </c>
      <c r="X103" s="30">
        <f>SUM(L103:O103)</f>
        <v>0</v>
      </c>
      <c r="Y103" s="30">
        <f>SUM(M103:P103)</f>
        <v>0</v>
      </c>
      <c r="Z103" s="30">
        <f>SUM(N103:Q103)</f>
        <v>0</v>
      </c>
      <c r="AA103" s="61"/>
      <c r="AB103" s="69">
        <f t="shared" si="74"/>
        <v>-1</v>
      </c>
    </row>
    <row r="104" spans="2:28" ht="12.75" customHeight="1">
      <c r="B104" s="12" t="s">
        <v>69</v>
      </c>
      <c r="C104" s="13">
        <f t="shared" ref="C104:E104" si="75">SUM(C100:C103)</f>
        <v>192341</v>
      </c>
      <c r="D104" s="13">
        <f t="shared" si="75"/>
        <v>47804</v>
      </c>
      <c r="E104" s="13">
        <f t="shared" si="75"/>
        <v>2560</v>
      </c>
      <c r="G104" s="13">
        <f t="shared" ref="G104" si="76">SUM(G100:G103)</f>
        <v>211</v>
      </c>
      <c r="H104" s="13">
        <f t="shared" ref="H104" si="77">SUM(H100:H103)</f>
        <v>119</v>
      </c>
      <c r="I104" s="13">
        <f t="shared" ref="I104" si="78">SUM(I100:I103)</f>
        <v>136</v>
      </c>
      <c r="J104" s="13">
        <f t="shared" ref="J104" si="79">SUM(J100:J103)</f>
        <v>47338</v>
      </c>
      <c r="K104" s="13">
        <f t="shared" ref="K104" si="80">SUM(K100:K103)</f>
        <v>64</v>
      </c>
      <c r="L104" s="13">
        <f t="shared" ref="L104" si="81">SUM(L100:L103)</f>
        <v>889</v>
      </c>
      <c r="M104" s="13">
        <f t="shared" ref="M104" si="82">SUM(M100:M103)</f>
        <v>464</v>
      </c>
      <c r="N104" s="13">
        <f t="shared" ref="N104" si="83">SUM(N100:N103)</f>
        <v>1143</v>
      </c>
      <c r="O104" s="13">
        <f t="shared" ref="O104" si="84">SUM(O100:O103)</f>
        <v>22160</v>
      </c>
      <c r="P104" s="13">
        <f t="shared" ref="P104" si="85">SUM(P100:P103)</f>
        <v>101392</v>
      </c>
      <c r="Q104" s="13">
        <f t="shared" ref="Q104" si="86">SUM(Q100:Q103)</f>
        <v>0</v>
      </c>
      <c r="S104" s="13">
        <f t="shared" ref="S104" si="87">SUM(S100:S103)</f>
        <v>47804</v>
      </c>
      <c r="T104" s="13">
        <f t="shared" ref="T104" si="88">SUM(T100:T103)</f>
        <v>47657</v>
      </c>
      <c r="U104" s="13">
        <f t="shared" ref="U104" si="89">SUM(U100:U103)</f>
        <v>48427</v>
      </c>
      <c r="V104" s="13">
        <f t="shared" ref="V104" si="90">SUM(V100:V103)</f>
        <v>48755</v>
      </c>
      <c r="W104" s="13">
        <f t="shared" ref="W104" si="91">SUM(W100:W103)</f>
        <v>2560</v>
      </c>
      <c r="X104" s="13">
        <f t="shared" ref="X104" si="92">SUM(X100:X103)</f>
        <v>24656</v>
      </c>
      <c r="Y104" s="13">
        <f t="shared" ref="Y104" si="93">SUM(Y100:Y103)</f>
        <v>125159</v>
      </c>
      <c r="Z104" s="13">
        <f t="shared" ref="Z104" si="94">SUM(Z100:Z103)</f>
        <v>124695</v>
      </c>
      <c r="AA104" s="40"/>
      <c r="AB104" s="70">
        <f>SUM(Z104/V104)-1</f>
        <v>1.5575838375551228</v>
      </c>
    </row>
    <row r="105" spans="2:28" ht="5.0999999999999996" customHeight="1">
      <c r="B105" s="8"/>
      <c r="C105" s="62"/>
      <c r="D105" s="62"/>
      <c r="E105" s="62"/>
      <c r="F105" s="30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S105" s="11"/>
      <c r="T105" s="11"/>
      <c r="U105" s="11"/>
      <c r="V105" s="11"/>
      <c r="W105" s="11"/>
      <c r="X105" s="11"/>
      <c r="Y105" s="11"/>
      <c r="Z105" s="11"/>
      <c r="AA105" s="11"/>
      <c r="AB105" s="44"/>
    </row>
    <row r="106" spans="2:28" ht="5.0999999999999996" customHeight="1">
      <c r="B106" s="67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11"/>
      <c r="AB106" s="44"/>
    </row>
    <row r="107" spans="2:28">
      <c r="B107" s="141" t="s">
        <v>135</v>
      </c>
      <c r="C107" s="130">
        <v>93506</v>
      </c>
      <c r="D107" s="130">
        <f t="shared" ref="D107:E107" si="95">C114</f>
        <v>233437</v>
      </c>
      <c r="E107" s="130">
        <f t="shared" si="95"/>
        <v>201015</v>
      </c>
      <c r="F107" s="130"/>
      <c r="G107" s="130">
        <f>C114</f>
        <v>233437</v>
      </c>
      <c r="H107" s="130">
        <f>G114</f>
        <v>209693</v>
      </c>
      <c r="I107" s="130">
        <f t="shared" ref="I107:Q107" si="96">H114</f>
        <v>197232</v>
      </c>
      <c r="J107" s="130">
        <f t="shared" si="96"/>
        <v>174662</v>
      </c>
      <c r="K107" s="130">
        <f t="shared" si="96"/>
        <v>201015</v>
      </c>
      <c r="L107" s="130">
        <f t="shared" si="96"/>
        <v>187467</v>
      </c>
      <c r="M107" s="130">
        <f t="shared" si="96"/>
        <v>168438</v>
      </c>
      <c r="N107" s="130">
        <f t="shared" si="96"/>
        <v>142350</v>
      </c>
      <c r="O107" s="130">
        <f t="shared" si="96"/>
        <v>121136</v>
      </c>
      <c r="P107" s="130">
        <f t="shared" si="96"/>
        <v>124169</v>
      </c>
      <c r="Q107" s="130">
        <f t="shared" si="96"/>
        <v>207291</v>
      </c>
      <c r="R107" s="130"/>
      <c r="S107" s="130">
        <f>J107</f>
        <v>174662</v>
      </c>
      <c r="T107" s="130">
        <f>S114</f>
        <v>201015</v>
      </c>
      <c r="U107" s="130">
        <f t="shared" ref="U107:Z107" si="97">T114</f>
        <v>187467</v>
      </c>
      <c r="V107" s="130">
        <f t="shared" si="97"/>
        <v>168438</v>
      </c>
      <c r="W107" s="130">
        <f t="shared" si="97"/>
        <v>142350</v>
      </c>
      <c r="X107" s="130">
        <f t="shared" si="97"/>
        <v>121136</v>
      </c>
      <c r="Y107" s="130">
        <f t="shared" si="97"/>
        <v>124169</v>
      </c>
      <c r="Z107" s="131">
        <f t="shared" si="97"/>
        <v>207291</v>
      </c>
      <c r="AA107" s="11"/>
      <c r="AB107" s="44"/>
    </row>
    <row r="108" spans="2:28">
      <c r="B108" s="136" t="s">
        <v>133</v>
      </c>
      <c r="C108" s="132">
        <v>0</v>
      </c>
      <c r="D108" s="132">
        <v>0</v>
      </c>
      <c r="E108" s="132">
        <v>0</v>
      </c>
      <c r="F108" s="121"/>
      <c r="G108" s="121">
        <v>0</v>
      </c>
      <c r="H108" s="121">
        <v>0</v>
      </c>
      <c r="I108" s="121">
        <v>0</v>
      </c>
      <c r="J108" s="121">
        <v>0</v>
      </c>
      <c r="K108" s="121">
        <v>0</v>
      </c>
      <c r="L108" s="121">
        <v>0</v>
      </c>
      <c r="M108" s="121">
        <v>0</v>
      </c>
      <c r="N108" s="121">
        <v>0</v>
      </c>
      <c r="O108" s="121">
        <v>0</v>
      </c>
      <c r="P108" s="121">
        <v>0</v>
      </c>
      <c r="Q108" s="121">
        <v>0</v>
      </c>
      <c r="R108" s="121"/>
      <c r="S108" s="121"/>
      <c r="T108" s="121">
        <f>SUM(L108:O108)</f>
        <v>0</v>
      </c>
      <c r="U108" s="121">
        <f>SUM(M108:P108)</f>
        <v>0</v>
      </c>
      <c r="V108" s="121">
        <f>SUM(N108:Q108)</f>
        <v>0</v>
      </c>
      <c r="W108" s="121">
        <f>SUM(O108:Q108)</f>
        <v>0</v>
      </c>
      <c r="X108" s="121">
        <f>SUM(P108:Q108)</f>
        <v>0</v>
      </c>
      <c r="Y108" s="121">
        <f>SUM(Q108:Q108)</f>
        <v>0</v>
      </c>
      <c r="Z108" s="122"/>
      <c r="AA108" s="11"/>
      <c r="AB108" s="44"/>
    </row>
    <row r="109" spans="2:28">
      <c r="B109" s="137" t="s">
        <v>79</v>
      </c>
      <c r="C109" s="78">
        <f t="shared" ref="C109:E109" si="98">SUM(C107:C108)</f>
        <v>93506</v>
      </c>
      <c r="D109" s="78">
        <f t="shared" si="98"/>
        <v>233437</v>
      </c>
      <c r="E109" s="78">
        <f t="shared" si="98"/>
        <v>201015</v>
      </c>
      <c r="F109" s="121"/>
      <c r="G109" s="78">
        <f t="shared" ref="G109:Q109" si="99">SUM(G107:G108)</f>
        <v>233437</v>
      </c>
      <c r="H109" s="78">
        <f t="shared" si="99"/>
        <v>209693</v>
      </c>
      <c r="I109" s="78">
        <f t="shared" si="99"/>
        <v>197232</v>
      </c>
      <c r="J109" s="78">
        <f t="shared" si="99"/>
        <v>174662</v>
      </c>
      <c r="K109" s="78">
        <f t="shared" si="99"/>
        <v>201015</v>
      </c>
      <c r="L109" s="78">
        <f t="shared" si="99"/>
        <v>187467</v>
      </c>
      <c r="M109" s="78">
        <f t="shared" si="99"/>
        <v>168438</v>
      </c>
      <c r="N109" s="78">
        <f t="shared" si="99"/>
        <v>142350</v>
      </c>
      <c r="O109" s="78">
        <f t="shared" si="99"/>
        <v>121136</v>
      </c>
      <c r="P109" s="78">
        <f t="shared" si="99"/>
        <v>124169</v>
      </c>
      <c r="Q109" s="78">
        <f t="shared" si="99"/>
        <v>207291</v>
      </c>
      <c r="R109" s="121"/>
      <c r="S109" s="123">
        <f t="shared" ref="S109:Z109" si="100">SUM(S107:S108)</f>
        <v>174662</v>
      </c>
      <c r="T109" s="123">
        <f t="shared" si="100"/>
        <v>201015</v>
      </c>
      <c r="U109" s="123">
        <f t="shared" si="100"/>
        <v>187467</v>
      </c>
      <c r="V109" s="123">
        <f t="shared" ref="V109" si="101">SUM(V107:V108)</f>
        <v>168438</v>
      </c>
      <c r="W109" s="123">
        <f t="shared" ref="W109" si="102">SUM(W107:W108)</f>
        <v>142350</v>
      </c>
      <c r="X109" s="123">
        <f t="shared" ref="X109" si="103">SUM(X107:X108)</f>
        <v>121136</v>
      </c>
      <c r="Y109" s="123">
        <f t="shared" ref="Y109" si="104">SUM(Y107:Y108)</f>
        <v>124169</v>
      </c>
      <c r="Z109" s="124">
        <f t="shared" si="100"/>
        <v>207291</v>
      </c>
      <c r="AA109" s="11"/>
      <c r="AB109" s="44"/>
    </row>
    <row r="110" spans="2:28" ht="5.0999999999999996" customHeight="1">
      <c r="B110" s="138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2"/>
      <c r="AA110" s="11"/>
      <c r="AB110" s="44"/>
    </row>
    <row r="111" spans="2:28">
      <c r="B111" s="136" t="s">
        <v>134</v>
      </c>
      <c r="C111" s="132">
        <v>0</v>
      </c>
      <c r="D111" s="132">
        <v>0</v>
      </c>
      <c r="E111" s="132">
        <v>0</v>
      </c>
      <c r="F111" s="121"/>
      <c r="G111" s="132">
        <v>0</v>
      </c>
      <c r="H111" s="132">
        <v>0</v>
      </c>
      <c r="I111" s="132">
        <v>0</v>
      </c>
      <c r="J111" s="121">
        <f>C111</f>
        <v>0</v>
      </c>
      <c r="K111" s="132">
        <v>0</v>
      </c>
      <c r="L111" s="132">
        <v>0</v>
      </c>
      <c r="M111" s="132">
        <v>0</v>
      </c>
      <c r="N111" s="121">
        <f>D111</f>
        <v>0</v>
      </c>
      <c r="O111" s="132">
        <v>0</v>
      </c>
      <c r="P111" s="132">
        <v>0</v>
      </c>
      <c r="Q111" s="132">
        <v>0</v>
      </c>
      <c r="R111" s="121"/>
      <c r="S111" s="121">
        <f t="shared" ref="S111" si="105">J111</f>
        <v>0</v>
      </c>
      <c r="T111" s="121">
        <f t="shared" ref="T111" si="106">K111</f>
        <v>0</v>
      </c>
      <c r="U111" s="121">
        <f t="shared" ref="U111" si="107">L111</f>
        <v>0</v>
      </c>
      <c r="V111" s="121">
        <f t="shared" ref="V111" si="108">M111</f>
        <v>0</v>
      </c>
      <c r="W111" s="121">
        <f t="shared" ref="W111" si="109">N111</f>
        <v>0</v>
      </c>
      <c r="X111" s="121">
        <f t="shared" ref="X111" si="110">O111</f>
        <v>0</v>
      </c>
      <c r="Y111" s="121">
        <f t="shared" ref="Y111" si="111">P111</f>
        <v>0</v>
      </c>
      <c r="Z111" s="122">
        <f>Q111</f>
        <v>0</v>
      </c>
      <c r="AA111" s="11"/>
      <c r="AB111" s="44"/>
    </row>
    <row r="112" spans="2:28">
      <c r="B112" s="136" t="s">
        <v>136</v>
      </c>
      <c r="C112" s="132">
        <v>0</v>
      </c>
      <c r="D112" s="132">
        <v>0</v>
      </c>
      <c r="E112" s="132">
        <v>0</v>
      </c>
      <c r="F112" s="121"/>
      <c r="G112" s="132">
        <v>0</v>
      </c>
      <c r="H112" s="132">
        <v>0</v>
      </c>
      <c r="I112" s="132">
        <v>0</v>
      </c>
      <c r="J112" s="121">
        <f>C112</f>
        <v>0</v>
      </c>
      <c r="K112" s="132">
        <v>0</v>
      </c>
      <c r="L112" s="132">
        <v>0</v>
      </c>
      <c r="M112" s="132">
        <v>0</v>
      </c>
      <c r="N112" s="121">
        <f>E112</f>
        <v>0</v>
      </c>
      <c r="O112" s="132">
        <v>0</v>
      </c>
      <c r="P112" s="132">
        <v>0</v>
      </c>
      <c r="Q112" s="132">
        <v>-40000</v>
      </c>
      <c r="R112" s="121"/>
      <c r="S112" s="121">
        <f t="shared" ref="S112:Y112" si="112">J112</f>
        <v>0</v>
      </c>
      <c r="T112" s="121">
        <f t="shared" si="112"/>
        <v>0</v>
      </c>
      <c r="U112" s="121">
        <f t="shared" si="112"/>
        <v>0</v>
      </c>
      <c r="V112" s="121">
        <f t="shared" si="112"/>
        <v>0</v>
      </c>
      <c r="W112" s="121">
        <f t="shared" si="112"/>
        <v>0</v>
      </c>
      <c r="X112" s="121">
        <f t="shared" si="112"/>
        <v>0</v>
      </c>
      <c r="Y112" s="121">
        <f t="shared" si="112"/>
        <v>0</v>
      </c>
      <c r="Z112" s="122">
        <f>Q112</f>
        <v>-40000</v>
      </c>
      <c r="AA112" s="11"/>
      <c r="AB112" s="44"/>
    </row>
    <row r="113" spans="2:28">
      <c r="B113" s="138" t="s">
        <v>73</v>
      </c>
      <c r="C113" s="121">
        <f>+C104+C97+C93</f>
        <v>139931</v>
      </c>
      <c r="D113" s="121">
        <f>+D104+D97+D93</f>
        <v>-32422</v>
      </c>
      <c r="E113" s="121">
        <f>+E104+E97+E93</f>
        <v>-79879</v>
      </c>
      <c r="F113" s="121"/>
      <c r="G113" s="121">
        <f>+G104+G97+G93</f>
        <v>-23744</v>
      </c>
      <c r="H113" s="121">
        <f>+H104+H97+H93</f>
        <v>-12461</v>
      </c>
      <c r="I113" s="121">
        <f>+I104+I97+I93</f>
        <v>-22570</v>
      </c>
      <c r="J113" s="121">
        <f>+J104+J97+J93</f>
        <v>26353</v>
      </c>
      <c r="K113" s="121">
        <f>+K104+K97+K93</f>
        <v>-13548</v>
      </c>
      <c r="L113" s="121">
        <f>+L104+L97+L93</f>
        <v>-19029</v>
      </c>
      <c r="M113" s="121">
        <f>+M104+M97+M93</f>
        <v>-26088</v>
      </c>
      <c r="N113" s="133">
        <f>+N104+N97+N93</f>
        <v>-21214</v>
      </c>
      <c r="O113" s="121">
        <f>+O104+O97+O93</f>
        <v>3033</v>
      </c>
      <c r="P113" s="121">
        <f>+P104+P97+P93</f>
        <v>83122</v>
      </c>
      <c r="Q113" s="133">
        <f>+Q104+Q97+Q93</f>
        <v>-18313</v>
      </c>
      <c r="R113" s="121"/>
      <c r="S113" s="121">
        <f>J113</f>
        <v>26353</v>
      </c>
      <c r="T113" s="121">
        <f t="shared" ref="T113:Z113" si="113">K113</f>
        <v>-13548</v>
      </c>
      <c r="U113" s="121">
        <f t="shared" si="113"/>
        <v>-19029</v>
      </c>
      <c r="V113" s="121">
        <f t="shared" si="113"/>
        <v>-26088</v>
      </c>
      <c r="W113" s="121">
        <f t="shared" si="113"/>
        <v>-21214</v>
      </c>
      <c r="X113" s="121">
        <f t="shared" si="113"/>
        <v>3033</v>
      </c>
      <c r="Y113" s="121">
        <f t="shared" si="113"/>
        <v>83122</v>
      </c>
      <c r="Z113" s="122">
        <f t="shared" si="113"/>
        <v>-18313</v>
      </c>
      <c r="AA113" s="11"/>
      <c r="AB113" s="44"/>
    </row>
    <row r="114" spans="2:28">
      <c r="B114" s="137" t="s">
        <v>80</v>
      </c>
      <c r="C114" s="78">
        <f t="shared" ref="C114:E114" si="114">SUM(C109:C113)</f>
        <v>233437</v>
      </c>
      <c r="D114" s="78">
        <f t="shared" si="114"/>
        <v>201015</v>
      </c>
      <c r="E114" s="78">
        <f t="shared" si="114"/>
        <v>121136</v>
      </c>
      <c r="F114" s="121"/>
      <c r="G114" s="77">
        <f t="shared" ref="G114:Q114" si="115">SUM(G109:G113)</f>
        <v>209693</v>
      </c>
      <c r="H114" s="77">
        <f t="shared" si="115"/>
        <v>197232</v>
      </c>
      <c r="I114" s="77">
        <f t="shared" si="115"/>
        <v>174662</v>
      </c>
      <c r="J114" s="77">
        <f t="shared" si="115"/>
        <v>201015</v>
      </c>
      <c r="K114" s="77">
        <f t="shared" si="115"/>
        <v>187467</v>
      </c>
      <c r="L114" s="77">
        <f t="shared" si="115"/>
        <v>168438</v>
      </c>
      <c r="M114" s="77">
        <f t="shared" si="115"/>
        <v>142350</v>
      </c>
      <c r="N114" s="77">
        <f t="shared" si="115"/>
        <v>121136</v>
      </c>
      <c r="O114" s="77">
        <f t="shared" si="115"/>
        <v>124169</v>
      </c>
      <c r="P114" s="77">
        <f t="shared" si="115"/>
        <v>207291</v>
      </c>
      <c r="Q114" s="77">
        <f t="shared" si="115"/>
        <v>148978</v>
      </c>
      <c r="R114" s="121"/>
      <c r="S114" s="77">
        <f t="shared" ref="S114:Z114" si="116">SUM(S109:S113)</f>
        <v>201015</v>
      </c>
      <c r="T114" s="77">
        <f t="shared" si="116"/>
        <v>187467</v>
      </c>
      <c r="U114" s="77">
        <f t="shared" si="116"/>
        <v>168438</v>
      </c>
      <c r="V114" s="77">
        <f t="shared" si="116"/>
        <v>142350</v>
      </c>
      <c r="W114" s="77">
        <f t="shared" si="116"/>
        <v>121136</v>
      </c>
      <c r="X114" s="77">
        <f t="shared" si="116"/>
        <v>124169</v>
      </c>
      <c r="Y114" s="77">
        <f t="shared" si="116"/>
        <v>207291</v>
      </c>
      <c r="Z114" s="125">
        <f t="shared" si="116"/>
        <v>148978</v>
      </c>
      <c r="AA114" s="11"/>
      <c r="AB114" s="44"/>
    </row>
    <row r="115" spans="2:28" ht="5.0999999999999996" customHeight="1">
      <c r="B115" s="139"/>
      <c r="C115" s="62"/>
      <c r="D115" s="62"/>
      <c r="E115" s="62"/>
      <c r="F115" s="121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134"/>
      <c r="S115" s="126"/>
      <c r="T115" s="126"/>
      <c r="U115" s="126"/>
      <c r="V115" s="126"/>
      <c r="W115" s="126"/>
      <c r="X115" s="126"/>
      <c r="Y115" s="126"/>
      <c r="Z115" s="127"/>
      <c r="AA115" s="11"/>
      <c r="AB115" s="44"/>
    </row>
    <row r="116" spans="2:28">
      <c r="B116" s="140" t="s">
        <v>72</v>
      </c>
      <c r="C116" s="128">
        <f>C114-C37</f>
        <v>0</v>
      </c>
      <c r="D116" s="128">
        <f>D114-D37</f>
        <v>0</v>
      </c>
      <c r="E116" s="128">
        <f>E114-E37</f>
        <v>0</v>
      </c>
      <c r="F116" s="135"/>
      <c r="G116" s="128">
        <f>G114-G37</f>
        <v>0</v>
      </c>
      <c r="H116" s="128">
        <f>H114-H37</f>
        <v>0</v>
      </c>
      <c r="I116" s="128">
        <f>I114-I37</f>
        <v>0</v>
      </c>
      <c r="J116" s="128">
        <f>J114-J37</f>
        <v>0</v>
      </c>
      <c r="K116" s="128">
        <f>K114-K37</f>
        <v>0</v>
      </c>
      <c r="L116" s="128">
        <f>L114-L37</f>
        <v>0</v>
      </c>
      <c r="M116" s="128">
        <f>M114-M37</f>
        <v>0</v>
      </c>
      <c r="N116" s="128">
        <f>N114-N37</f>
        <v>0</v>
      </c>
      <c r="O116" s="128">
        <f>O114-O37</f>
        <v>0</v>
      </c>
      <c r="P116" s="128">
        <f>P114-P37</f>
        <v>0</v>
      </c>
      <c r="Q116" s="128">
        <f>Q114-Q37</f>
        <v>0</v>
      </c>
      <c r="R116" s="128"/>
      <c r="S116" s="128">
        <f>S114-S37</f>
        <v>0</v>
      </c>
      <c r="T116" s="128">
        <f>T114-T37</f>
        <v>0</v>
      </c>
      <c r="U116" s="128">
        <f>U114-U37</f>
        <v>0</v>
      </c>
      <c r="V116" s="128">
        <f>V114-V37</f>
        <v>0</v>
      </c>
      <c r="W116" s="128">
        <f>W114-W37</f>
        <v>0</v>
      </c>
      <c r="X116" s="128">
        <f>X114-X37</f>
        <v>0</v>
      </c>
      <c r="Y116" s="128">
        <f>Y114-Y37</f>
        <v>0</v>
      </c>
      <c r="Z116" s="129">
        <f>Z114-Z37</f>
        <v>0</v>
      </c>
      <c r="AA116" s="11"/>
      <c r="AB116" s="44"/>
    </row>
    <row r="117" spans="2:28" ht="5.0999999999999996" customHeight="1">
      <c r="B117" s="8"/>
      <c r="C117" s="62"/>
      <c r="D117" s="62"/>
      <c r="E117" s="62"/>
      <c r="F117" s="30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S117" s="11"/>
      <c r="T117" s="11"/>
      <c r="U117" s="11"/>
      <c r="V117" s="11"/>
      <c r="W117" s="11"/>
      <c r="X117" s="11"/>
      <c r="Y117" s="11"/>
      <c r="Z117" s="11"/>
      <c r="AA117" s="11"/>
      <c r="AB117" s="44"/>
    </row>
    <row r="118" spans="2:28" ht="12.75" customHeight="1">
      <c r="C118" s="54"/>
      <c r="D118" s="54"/>
      <c r="E118" s="54"/>
    </row>
    <row r="119" spans="2:28" ht="12.75" customHeight="1">
      <c r="C119" s="54"/>
      <c r="D119" s="54"/>
      <c r="E119" s="54"/>
    </row>
    <row r="120" spans="2:28" ht="12.75" customHeight="1">
      <c r="C120" s="54"/>
      <c r="D120" s="54"/>
      <c r="E120" s="54"/>
    </row>
    <row r="121" spans="2:28" ht="12.75" customHeight="1">
      <c r="C121" s="54"/>
      <c r="D121" s="54"/>
      <c r="E121" s="54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</row>
    <row r="122" spans="2:28" ht="12.75" customHeight="1">
      <c r="C122" s="54"/>
      <c r="D122" s="54"/>
      <c r="E122" s="54"/>
    </row>
    <row r="123" spans="2:28" ht="12.75" customHeight="1">
      <c r="C123" s="54"/>
      <c r="D123" s="54"/>
      <c r="E123" s="54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</row>
    <row r="124" spans="2:28"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</row>
    <row r="125" spans="2:28"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</row>
    <row r="127" spans="2:28"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</row>
    <row r="128" spans="2:28"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</row>
  </sheetData>
  <mergeCells count="3">
    <mergeCell ref="AB6:AB8"/>
    <mergeCell ref="AB32:AB34"/>
    <mergeCell ref="AB73:AB75"/>
  </mergeCells>
  <dataValidations count="1">
    <dataValidation type="list" allowBlank="1" showInputMessage="1" showErrorMessage="1" sqref="B4" xr:uid="{95A5AB56-0215-4703-953B-CB353CAB6883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Z14:Z16 Z30 F40" formulaRange="1"/>
    <ignoredError sqref="AB97:AB99 AB93:AB95" evalError="1"/>
    <ignoredError sqref="O79:Q8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C0D2-A617-43BF-9493-F1D2AA08251E}">
  <sheetPr>
    <tabColor theme="6" tint="-0.249977111117893"/>
  </sheetPr>
  <dimension ref="A2:AB68"/>
  <sheetViews>
    <sheetView showGridLines="0" zoomScaleNormal="100" workbookViewId="0">
      <selection activeCell="AB16" sqref="AB16"/>
    </sheetView>
  </sheetViews>
  <sheetFormatPr defaultRowHeight="12" outlineLevelCol="1"/>
  <cols>
    <col min="1" max="1" width="1.5" style="8" customWidth="1"/>
    <col min="2" max="2" width="41.625" style="8" customWidth="1"/>
    <col min="3" max="3" width="9" style="8" bestFit="1" customWidth="1"/>
    <col min="4" max="4" width="9.25" style="8" bestFit="1" customWidth="1"/>
    <col min="5" max="5" width="9" style="8"/>
    <col min="6" max="6" width="1.5" style="8" customWidth="1"/>
    <col min="7" max="10" width="7.875" style="8" hidden="1" customWidth="1" outlineLevel="1"/>
    <col min="11" max="11" width="9" style="8" hidden="1" customWidth="1" outlineLevel="1"/>
    <col min="12" max="12" width="8.5" style="8" hidden="1" customWidth="1" outlineLevel="1"/>
    <col min="13" max="13" width="7.875" style="8" customWidth="1" collapsed="1"/>
    <col min="14" max="14" width="9" style="8" customWidth="1"/>
    <col min="15" max="15" width="9.25" style="8" customWidth="1"/>
    <col min="16" max="16" width="9.75" style="8" customWidth="1"/>
    <col min="17" max="17" width="9" style="8" customWidth="1"/>
    <col min="18" max="18" width="1.625" style="8" customWidth="1"/>
    <col min="19" max="19" width="8.25" style="8" hidden="1" customWidth="1" outlineLevel="1"/>
    <col min="20" max="20" width="9.25" style="8" hidden="1" customWidth="1" outlineLevel="1"/>
    <col min="21" max="21" width="9.75" style="8" hidden="1" customWidth="1" outlineLevel="1"/>
    <col min="22" max="22" width="9" style="8" bestFit="1" customWidth="1" collapsed="1"/>
    <col min="23" max="25" width="9" style="8" hidden="1" customWidth="1" outlineLevel="1"/>
    <col min="26" max="26" width="8.5" style="8" bestFit="1" customWidth="1" collapsed="1"/>
    <col min="27" max="27" width="1.5" style="8" customWidth="1"/>
    <col min="28" max="28" width="8.375" style="110" bestFit="1" customWidth="1"/>
    <col min="29" max="16384" width="9" style="8"/>
  </cols>
  <sheetData>
    <row r="2" spans="2:28" s="5" customFormat="1" ht="12.75" customHeight="1">
      <c r="B2" s="1" t="s">
        <v>107</v>
      </c>
      <c r="C2" s="2" t="s">
        <v>0</v>
      </c>
      <c r="D2" s="2"/>
      <c r="E2" s="2"/>
      <c r="F2" s="3"/>
      <c r="G2" s="2" t="s">
        <v>1</v>
      </c>
      <c r="H2" s="2"/>
      <c r="I2" s="2"/>
      <c r="J2" s="2"/>
      <c r="K2" s="2"/>
      <c r="L2" s="2"/>
      <c r="M2" s="2" t="s">
        <v>1</v>
      </c>
      <c r="N2" s="2"/>
      <c r="O2" s="2"/>
      <c r="P2" s="2"/>
      <c r="Q2" s="2"/>
      <c r="R2" s="3"/>
      <c r="S2" s="2"/>
      <c r="T2" s="2"/>
      <c r="U2" s="2"/>
      <c r="V2" s="2" t="s">
        <v>9</v>
      </c>
      <c r="W2" s="2"/>
      <c r="X2" s="2"/>
      <c r="Y2" s="2"/>
      <c r="Z2" s="2"/>
      <c r="AA2" s="3"/>
      <c r="AB2" s="120" t="s">
        <v>24</v>
      </c>
    </row>
    <row r="3" spans="2:28" s="5" customFormat="1" ht="12.75" customHeight="1">
      <c r="B3" s="6" t="s">
        <v>25</v>
      </c>
      <c r="C3" s="7">
        <f>'Historical Financials'!C7</f>
        <v>2021</v>
      </c>
      <c r="D3" s="7">
        <f>'Historical Financials'!D7</f>
        <v>2022</v>
      </c>
      <c r="E3" s="7">
        <f>'Historical Financials'!E7</f>
        <v>2023</v>
      </c>
      <c r="F3" s="7">
        <f>'Historical Financials'!F7</f>
        <v>0</v>
      </c>
      <c r="G3" s="7" t="str">
        <f>'Historical Financials'!G7</f>
        <v>1Q22</v>
      </c>
      <c r="H3" s="7" t="str">
        <f>'Historical Financials'!H7</f>
        <v>2Q22</v>
      </c>
      <c r="I3" s="7" t="str">
        <f>'Historical Financials'!I7</f>
        <v>3Q22</v>
      </c>
      <c r="J3" s="7" t="str">
        <f>'Historical Financials'!J7</f>
        <v>4Q22</v>
      </c>
      <c r="K3" s="7" t="str">
        <f>'Historical Financials'!K7</f>
        <v>1Q23</v>
      </c>
      <c r="L3" s="7" t="str">
        <f>'Historical Financials'!L7</f>
        <v>2Q23</v>
      </c>
      <c r="M3" s="7" t="str">
        <f>'Historical Financials'!M7</f>
        <v>3Q23</v>
      </c>
      <c r="N3" s="7" t="str">
        <f>'Historical Financials'!N7</f>
        <v>4Q23</v>
      </c>
      <c r="O3" s="7" t="str">
        <f>'Historical Financials'!O7</f>
        <v>1Q24</v>
      </c>
      <c r="P3" s="7" t="str">
        <f>'Historical Financials'!P7</f>
        <v>2Q24</v>
      </c>
      <c r="Q3" s="7" t="str">
        <f>'Historical Financials'!Q7</f>
        <v>3Q24</v>
      </c>
      <c r="R3" s="3"/>
      <c r="S3" s="4" t="str">
        <f>N3</f>
        <v>4Q23</v>
      </c>
      <c r="T3" s="4" t="str">
        <f>O3</f>
        <v>1Q24</v>
      </c>
      <c r="U3" s="4" t="str">
        <f>P3</f>
        <v>2Q24</v>
      </c>
      <c r="V3" s="4" t="str">
        <f t="shared" ref="V3:Y4" si="0">M3</f>
        <v>3Q23</v>
      </c>
      <c r="W3" s="4" t="str">
        <f t="shared" si="0"/>
        <v>4Q23</v>
      </c>
      <c r="X3" s="4" t="str">
        <f t="shared" si="0"/>
        <v>1Q24</v>
      </c>
      <c r="Y3" s="4" t="str">
        <f t="shared" si="0"/>
        <v>2Q24</v>
      </c>
      <c r="Z3" s="4" t="str">
        <f>Q3</f>
        <v>3Q24</v>
      </c>
      <c r="AA3" s="3"/>
      <c r="AB3" s="120"/>
    </row>
    <row r="4" spans="2:28" s="5" customFormat="1" ht="12.75" customHeight="1">
      <c r="B4" s="6" t="s">
        <v>104</v>
      </c>
      <c r="C4" s="3">
        <f>'Historical Financials'!C8</f>
        <v>44561</v>
      </c>
      <c r="D4" s="3">
        <f>'Historical Financials'!D8</f>
        <v>44926</v>
      </c>
      <c r="E4" s="3">
        <f>'Historical Financials'!E8</f>
        <v>45291</v>
      </c>
      <c r="F4" s="3">
        <f>'Historical Financials'!F8</f>
        <v>0</v>
      </c>
      <c r="G4" s="3">
        <f>'Historical Financials'!G8</f>
        <v>44651</v>
      </c>
      <c r="H4" s="3">
        <f>'Historical Financials'!H8</f>
        <v>44742</v>
      </c>
      <c r="I4" s="3">
        <f>'Historical Financials'!I8</f>
        <v>44834</v>
      </c>
      <c r="J4" s="3">
        <f>'Historical Financials'!J8</f>
        <v>44926</v>
      </c>
      <c r="K4" s="3">
        <f>'Historical Financials'!K8</f>
        <v>45016</v>
      </c>
      <c r="L4" s="3">
        <f>'Historical Financials'!L8</f>
        <v>45107</v>
      </c>
      <c r="M4" s="3">
        <f>'Historical Financials'!M8</f>
        <v>45199</v>
      </c>
      <c r="N4" s="3">
        <f>'Historical Financials'!N8</f>
        <v>45291</v>
      </c>
      <c r="O4" s="3">
        <f>'Historical Financials'!O8</f>
        <v>45382</v>
      </c>
      <c r="P4" s="3">
        <f>'Historical Financials'!P8</f>
        <v>45473</v>
      </c>
      <c r="Q4" s="3">
        <f>'Historical Financials'!Q8</f>
        <v>45565</v>
      </c>
      <c r="R4" s="3"/>
      <c r="S4" s="3">
        <f>N4</f>
        <v>45291</v>
      </c>
      <c r="T4" s="3">
        <f>O4</f>
        <v>45382</v>
      </c>
      <c r="U4" s="3">
        <f>P4</f>
        <v>45473</v>
      </c>
      <c r="V4" s="3">
        <f t="shared" si="0"/>
        <v>45199</v>
      </c>
      <c r="W4" s="3">
        <f t="shared" si="0"/>
        <v>45291</v>
      </c>
      <c r="X4" s="3">
        <f t="shared" si="0"/>
        <v>45382</v>
      </c>
      <c r="Y4" s="3">
        <f t="shared" si="0"/>
        <v>45473</v>
      </c>
      <c r="Z4" s="3">
        <f>Q4</f>
        <v>45565</v>
      </c>
      <c r="AA4" s="3"/>
      <c r="AB4" s="120"/>
    </row>
    <row r="5" spans="2:28" ht="5.0999999999999996" customHeight="1">
      <c r="AB5" s="106"/>
    </row>
    <row r="6" spans="2:28" ht="12.75" customHeight="1">
      <c r="B6" s="9" t="s">
        <v>11</v>
      </c>
      <c r="C6" s="80">
        <f>'Historical Financials'!C10</f>
        <v>0</v>
      </c>
      <c r="D6" s="80">
        <f>'Historical Financials'!D10</f>
        <v>0</v>
      </c>
      <c r="E6" s="80">
        <f>'Historical Financials'!E10</f>
        <v>0</v>
      </c>
      <c r="F6" s="10"/>
      <c r="G6" s="80">
        <f>'Historical Financials'!G10</f>
        <v>0</v>
      </c>
      <c r="H6" s="80">
        <f>'Historical Financials'!H10</f>
        <v>0</v>
      </c>
      <c r="I6" s="80">
        <f>'Historical Financials'!I10</f>
        <v>0</v>
      </c>
      <c r="J6" s="80">
        <f>'Historical Financials'!J10</f>
        <v>0</v>
      </c>
      <c r="K6" s="80">
        <f>'Historical Financials'!K10</f>
        <v>0</v>
      </c>
      <c r="L6" s="80">
        <f>'Historical Financials'!L10</f>
        <v>0</v>
      </c>
      <c r="M6" s="80">
        <f>'Historical Financials'!M10</f>
        <v>0</v>
      </c>
      <c r="N6" s="80">
        <f>'Historical Financials'!N10</f>
        <v>0</v>
      </c>
      <c r="O6" s="80">
        <f>'Historical Financials'!O10</f>
        <v>0</v>
      </c>
      <c r="P6" s="80">
        <f>'Historical Financials'!P10</f>
        <v>0</v>
      </c>
      <c r="Q6" s="80">
        <f>'Historical Financials'!Q10</f>
        <v>0</v>
      </c>
      <c r="R6" s="5"/>
      <c r="S6" s="10">
        <f t="shared" ref="S6" si="1">SUM(G6:J6)</f>
        <v>0</v>
      </c>
      <c r="T6" s="10">
        <f t="shared" ref="T6" si="2">SUM(H6:K6)</f>
        <v>0</v>
      </c>
      <c r="U6" s="10">
        <f t="shared" ref="U6" si="3">SUM(I6:L6)</f>
        <v>0</v>
      </c>
      <c r="V6" s="10">
        <f t="shared" ref="V6" si="4">SUM(J6:M6)</f>
        <v>0</v>
      </c>
      <c r="W6" s="10">
        <f t="shared" ref="W6" si="5">SUM(K6:N6)</f>
        <v>0</v>
      </c>
      <c r="X6" s="10">
        <f t="shared" ref="X6" si="6">SUM(L6:O6)</f>
        <v>0</v>
      </c>
      <c r="Y6" s="10">
        <f t="shared" ref="Y6" si="7">SUM(M6:P6)</f>
        <v>0</v>
      </c>
      <c r="Z6" s="10">
        <f>SUM(N6:Q6)</f>
        <v>0</v>
      </c>
      <c r="AB6" s="107" t="e">
        <f>SUM(Z6/V6)-1</f>
        <v>#DIV/0!</v>
      </c>
    </row>
    <row r="7" spans="2:28" ht="12.75" customHeight="1">
      <c r="B7" s="12" t="s">
        <v>11</v>
      </c>
      <c r="C7" s="13">
        <f>SUM(C6:C6)</f>
        <v>0</v>
      </c>
      <c r="D7" s="13">
        <f>SUM(D6:D6)</f>
        <v>0</v>
      </c>
      <c r="E7" s="13">
        <f>SUM(E6:E6)</f>
        <v>0</v>
      </c>
      <c r="F7" s="10"/>
      <c r="G7" s="13">
        <f>'Historical Financials'!G11</f>
        <v>0</v>
      </c>
      <c r="H7" s="13">
        <f>'Historical Financials'!H11</f>
        <v>0</v>
      </c>
      <c r="I7" s="13">
        <f>'Historical Financials'!I11</f>
        <v>0</v>
      </c>
      <c r="J7" s="13">
        <f>'Historical Financials'!J11</f>
        <v>0</v>
      </c>
      <c r="K7" s="13">
        <f>'Historical Financials'!K11</f>
        <v>0</v>
      </c>
      <c r="L7" s="13">
        <f>'Historical Financials'!L11</f>
        <v>0</v>
      </c>
      <c r="M7" s="13">
        <f>'Historical Financials'!M11</f>
        <v>0</v>
      </c>
      <c r="N7" s="13">
        <f>'Historical Financials'!N11</f>
        <v>0</v>
      </c>
      <c r="O7" s="13">
        <f>SUM(O6:O6)</f>
        <v>0</v>
      </c>
      <c r="P7" s="13">
        <f>SUM(P6:P6)</f>
        <v>0</v>
      </c>
      <c r="Q7" s="13">
        <f>SUM(Q6:Q6)</f>
        <v>0</v>
      </c>
      <c r="R7" s="5"/>
      <c r="S7" s="13">
        <f>SUM(K7:N7)</f>
        <v>0</v>
      </c>
      <c r="T7" s="13">
        <f>SUM(T6:T6)</f>
        <v>0</v>
      </c>
      <c r="U7" s="13">
        <f>SUM(U6:U6)</f>
        <v>0</v>
      </c>
      <c r="V7" s="13">
        <f>SUM(V6:V6)</f>
        <v>0</v>
      </c>
      <c r="W7" s="13">
        <f>SUM(W6:W6)</f>
        <v>0</v>
      </c>
      <c r="X7" s="13">
        <f>SUM(X6:X6)</f>
        <v>0</v>
      </c>
      <c r="Y7" s="13">
        <f>SUM(Y6:Y6)</f>
        <v>0</v>
      </c>
      <c r="Z7" s="13">
        <f>SUM(Z6:Z6)</f>
        <v>0</v>
      </c>
      <c r="AB7" s="108" t="e">
        <f>SUM(Z7/V7)-1</f>
        <v>#DIV/0!</v>
      </c>
    </row>
    <row r="8" spans="2:28" ht="12.75" customHeight="1">
      <c r="B8" s="14" t="s">
        <v>30</v>
      </c>
      <c r="C8" s="111"/>
      <c r="D8" s="15" t="e">
        <f>SUM(D7/C7)-1</f>
        <v>#DIV/0!</v>
      </c>
      <c r="E8" s="15" t="e">
        <f>SUM(E7/D7)-1</f>
        <v>#DIV/0!</v>
      </c>
      <c r="F8" s="11"/>
      <c r="G8" s="111"/>
      <c r="H8" s="111"/>
      <c r="I8" s="111"/>
      <c r="J8" s="111"/>
      <c r="K8" s="111"/>
      <c r="L8" s="15" t="e">
        <f>SUM(L7/H7)-1</f>
        <v>#DIV/0!</v>
      </c>
      <c r="M8" s="15" t="e">
        <f t="shared" ref="M8:Q8" si="8">SUM(M7/I7)-1</f>
        <v>#DIV/0!</v>
      </c>
      <c r="N8" s="15" t="e">
        <f t="shared" si="8"/>
        <v>#DIV/0!</v>
      </c>
      <c r="O8" s="15" t="e">
        <f t="shared" si="8"/>
        <v>#DIV/0!</v>
      </c>
      <c r="P8" s="15" t="e">
        <f t="shared" si="8"/>
        <v>#DIV/0!</v>
      </c>
      <c r="Q8" s="15" t="e">
        <f t="shared" si="8"/>
        <v>#DIV/0!</v>
      </c>
      <c r="R8" s="5"/>
      <c r="S8" s="111"/>
      <c r="T8" s="111"/>
      <c r="U8" s="111"/>
      <c r="V8" s="111"/>
      <c r="W8" s="15" t="e">
        <f t="shared" ref="W8:Z8" si="9">SUM(W7/S7)-1</f>
        <v>#DIV/0!</v>
      </c>
      <c r="X8" s="15" t="e">
        <f t="shared" si="9"/>
        <v>#DIV/0!</v>
      </c>
      <c r="Y8" s="15" t="e">
        <f t="shared" si="9"/>
        <v>#DIV/0!</v>
      </c>
      <c r="Z8" s="15" t="e">
        <f t="shared" si="9"/>
        <v>#DIV/0!</v>
      </c>
      <c r="AB8" s="109" t="e">
        <f>SUM(Z8-V8)*10000</f>
        <v>#DIV/0!</v>
      </c>
    </row>
    <row r="9" spans="2:28" ht="12.75" customHeight="1">
      <c r="B9" s="14" t="s">
        <v>31</v>
      </c>
      <c r="C9" s="15" t="s">
        <v>32</v>
      </c>
      <c r="D9" s="15" t="s">
        <v>32</v>
      </c>
      <c r="E9" s="15" t="s">
        <v>32</v>
      </c>
      <c r="F9" s="11"/>
      <c r="G9" s="111"/>
      <c r="H9" s="111"/>
      <c r="I9" s="15" t="e">
        <f>SUM(I7/H7)-1</f>
        <v>#DIV/0!</v>
      </c>
      <c r="J9" s="15" t="e">
        <f t="shared" ref="J9:Q9" si="10">SUM(J7/I7)-1</f>
        <v>#DIV/0!</v>
      </c>
      <c r="K9" s="15" t="e">
        <f t="shared" si="10"/>
        <v>#DIV/0!</v>
      </c>
      <c r="L9" s="15" t="e">
        <f t="shared" si="10"/>
        <v>#DIV/0!</v>
      </c>
      <c r="M9" s="15" t="e">
        <f t="shared" si="10"/>
        <v>#DIV/0!</v>
      </c>
      <c r="N9" s="15" t="e">
        <f t="shared" si="10"/>
        <v>#DIV/0!</v>
      </c>
      <c r="O9" s="15" t="e">
        <f t="shared" si="10"/>
        <v>#DIV/0!</v>
      </c>
      <c r="P9" s="15" t="e">
        <f t="shared" si="10"/>
        <v>#DIV/0!</v>
      </c>
      <c r="Q9" s="15" t="e">
        <f t="shared" si="10"/>
        <v>#DIV/0!</v>
      </c>
      <c r="R9" s="5"/>
      <c r="S9" s="15" t="s">
        <v>32</v>
      </c>
      <c r="T9" s="15" t="s">
        <v>32</v>
      </c>
      <c r="U9" s="15" t="s">
        <v>32</v>
      </c>
      <c r="V9" s="15" t="s">
        <v>32</v>
      </c>
      <c r="W9" s="15" t="s">
        <v>32</v>
      </c>
      <c r="X9" s="15" t="s">
        <v>32</v>
      </c>
      <c r="Y9" s="15" t="s">
        <v>32</v>
      </c>
      <c r="Z9" s="15" t="s">
        <v>32</v>
      </c>
      <c r="AB9" s="106"/>
    </row>
    <row r="10" spans="2:28" ht="5.0999999999999996" customHeight="1">
      <c r="B10" s="16"/>
      <c r="C10" s="17"/>
      <c r="D10" s="17"/>
      <c r="E10" s="17"/>
      <c r="F10" s="18"/>
      <c r="G10" s="19"/>
      <c r="H10" s="19"/>
      <c r="I10" s="19"/>
      <c r="J10" s="19"/>
      <c r="K10" s="20"/>
      <c r="L10" s="19"/>
      <c r="M10" s="19"/>
      <c r="N10" s="19"/>
      <c r="O10" s="20"/>
      <c r="P10" s="19"/>
      <c r="Q10" s="19"/>
      <c r="R10" s="18"/>
      <c r="S10" s="18"/>
      <c r="T10" s="18"/>
      <c r="U10" s="18"/>
      <c r="V10" s="18"/>
      <c r="W10" s="18"/>
      <c r="X10" s="18"/>
      <c r="Y10" s="18"/>
      <c r="Z10" s="18"/>
      <c r="AB10" s="106"/>
    </row>
    <row r="11" spans="2:28" ht="12.75" customHeight="1">
      <c r="B11" s="21" t="s">
        <v>33</v>
      </c>
      <c r="C11" s="80">
        <f>'Historical Financials'!C13</f>
        <v>0</v>
      </c>
      <c r="D11" s="80">
        <f>'Historical Financials'!D13</f>
        <v>0</v>
      </c>
      <c r="E11" s="80">
        <f>'Historical Financials'!E13</f>
        <v>0</v>
      </c>
      <c r="F11" s="10"/>
      <c r="G11" s="80">
        <f>'Historical Financials'!G13</f>
        <v>0</v>
      </c>
      <c r="H11" s="80">
        <f>'Historical Financials'!H13</f>
        <v>0</v>
      </c>
      <c r="I11" s="80">
        <f>'Historical Financials'!I13</f>
        <v>0</v>
      </c>
      <c r="J11" s="80">
        <f>'Historical Financials'!J13</f>
        <v>0</v>
      </c>
      <c r="K11" s="80">
        <f>'Historical Financials'!K13</f>
        <v>0</v>
      </c>
      <c r="L11" s="80">
        <f>'Historical Financials'!L13</f>
        <v>0</v>
      </c>
      <c r="M11" s="80">
        <f>'Historical Financials'!M13</f>
        <v>0</v>
      </c>
      <c r="N11" s="80">
        <f>'Historical Financials'!N13</f>
        <v>0</v>
      </c>
      <c r="O11" s="80">
        <f>'Historical Financials'!O13</f>
        <v>0</v>
      </c>
      <c r="P11" s="80">
        <f>'Historical Financials'!P13</f>
        <v>0</v>
      </c>
      <c r="Q11" s="80">
        <f>'Historical Financials'!Q13</f>
        <v>0</v>
      </c>
      <c r="R11" s="5"/>
      <c r="S11" s="10">
        <f>SUM(G11:J11)</f>
        <v>0</v>
      </c>
      <c r="T11" s="10">
        <f>SUM(H11:K11)</f>
        <v>0</v>
      </c>
      <c r="U11" s="10">
        <f>SUM(I11:L11)</f>
        <v>0</v>
      </c>
      <c r="V11" s="10">
        <f>SUM(J11:M11)</f>
        <v>0</v>
      </c>
      <c r="W11" s="10">
        <f>SUM(K11:N11)</f>
        <v>0</v>
      </c>
      <c r="X11" s="10">
        <f>SUM(L11:O11)</f>
        <v>0</v>
      </c>
      <c r="Y11" s="10">
        <f>SUM(M11:P11)</f>
        <v>0</v>
      </c>
      <c r="Z11" s="10">
        <f>SUM(N11:Q11)</f>
        <v>0</v>
      </c>
      <c r="AB11" s="107" t="e">
        <f>SUM(Z11/V11)-1</f>
        <v>#DIV/0!</v>
      </c>
    </row>
    <row r="12" spans="2:28" ht="12.75" customHeight="1">
      <c r="B12" s="23" t="s">
        <v>22</v>
      </c>
      <c r="C12" s="24">
        <f>+C7+C11</f>
        <v>0</v>
      </c>
      <c r="D12" s="24">
        <f>+D7+D11</f>
        <v>0</v>
      </c>
      <c r="E12" s="24">
        <f>+E7+E11</f>
        <v>0</v>
      </c>
      <c r="F12" s="5"/>
      <c r="G12" s="24">
        <f t="shared" ref="G12" si="11">+G7+G11</f>
        <v>0</v>
      </c>
      <c r="H12" s="24">
        <f t="shared" ref="H12:Q12" si="12">+H7+H11</f>
        <v>0</v>
      </c>
      <c r="I12" s="24">
        <f t="shared" si="12"/>
        <v>0</v>
      </c>
      <c r="J12" s="24">
        <f t="shared" si="12"/>
        <v>0</v>
      </c>
      <c r="K12" s="24">
        <f t="shared" si="12"/>
        <v>0</v>
      </c>
      <c r="L12" s="24">
        <f t="shared" si="12"/>
        <v>0</v>
      </c>
      <c r="M12" s="24">
        <f t="shared" si="12"/>
        <v>0</v>
      </c>
      <c r="N12" s="24">
        <f t="shared" si="12"/>
        <v>0</v>
      </c>
      <c r="O12" s="24">
        <f t="shared" si="12"/>
        <v>0</v>
      </c>
      <c r="P12" s="24">
        <f t="shared" si="12"/>
        <v>0</v>
      </c>
      <c r="Q12" s="24">
        <f t="shared" si="12"/>
        <v>0</v>
      </c>
      <c r="R12" s="5"/>
      <c r="S12" s="24">
        <f t="shared" ref="S12:Y12" si="13">+S7+S11</f>
        <v>0</v>
      </c>
      <c r="T12" s="24">
        <f t="shared" si="13"/>
        <v>0</v>
      </c>
      <c r="U12" s="24">
        <f t="shared" si="13"/>
        <v>0</v>
      </c>
      <c r="V12" s="24">
        <f t="shared" si="13"/>
        <v>0</v>
      </c>
      <c r="W12" s="24">
        <f t="shared" si="13"/>
        <v>0</v>
      </c>
      <c r="X12" s="24">
        <f t="shared" si="13"/>
        <v>0</v>
      </c>
      <c r="Y12" s="24">
        <f t="shared" si="13"/>
        <v>0</v>
      </c>
      <c r="Z12" s="24">
        <f>+Z7+Z11</f>
        <v>0</v>
      </c>
      <c r="AB12" s="108" t="e">
        <f>SUM(Z12/V12)-1</f>
        <v>#DIV/0!</v>
      </c>
    </row>
    <row r="13" spans="2:28" ht="12.75" customHeight="1">
      <c r="B13" s="14" t="s">
        <v>34</v>
      </c>
      <c r="C13" s="15" t="e">
        <f>C12/C7</f>
        <v>#DIV/0!</v>
      </c>
      <c r="D13" s="15" t="e">
        <f>D12/D7</f>
        <v>#DIV/0!</v>
      </c>
      <c r="E13" s="15" t="e">
        <f>E12/E7</f>
        <v>#DIV/0!</v>
      </c>
      <c r="F13" s="25"/>
      <c r="G13" s="15" t="e">
        <f t="shared" ref="G13" si="14">G12/G7</f>
        <v>#DIV/0!</v>
      </c>
      <c r="H13" s="15" t="e">
        <f t="shared" ref="H13:Q13" si="15">H12/H7</f>
        <v>#DIV/0!</v>
      </c>
      <c r="I13" s="15" t="e">
        <f t="shared" si="15"/>
        <v>#DIV/0!</v>
      </c>
      <c r="J13" s="15" t="e">
        <f t="shared" si="15"/>
        <v>#DIV/0!</v>
      </c>
      <c r="K13" s="15" t="e">
        <f t="shared" si="15"/>
        <v>#DIV/0!</v>
      </c>
      <c r="L13" s="15" t="e">
        <f t="shared" si="15"/>
        <v>#DIV/0!</v>
      </c>
      <c r="M13" s="15" t="e">
        <f t="shared" si="15"/>
        <v>#DIV/0!</v>
      </c>
      <c r="N13" s="15" t="e">
        <f t="shared" si="15"/>
        <v>#DIV/0!</v>
      </c>
      <c r="O13" s="15" t="e">
        <f t="shared" si="15"/>
        <v>#DIV/0!</v>
      </c>
      <c r="P13" s="15" t="e">
        <f t="shared" si="15"/>
        <v>#DIV/0!</v>
      </c>
      <c r="Q13" s="15" t="e">
        <f t="shared" si="15"/>
        <v>#DIV/0!</v>
      </c>
      <c r="R13" s="26"/>
      <c r="S13" s="15" t="e">
        <f t="shared" ref="S13:Y13" si="16">S12/S7</f>
        <v>#DIV/0!</v>
      </c>
      <c r="T13" s="15" t="e">
        <f t="shared" si="16"/>
        <v>#DIV/0!</v>
      </c>
      <c r="U13" s="15" t="e">
        <f t="shared" si="16"/>
        <v>#DIV/0!</v>
      </c>
      <c r="V13" s="15" t="e">
        <f t="shared" si="16"/>
        <v>#DIV/0!</v>
      </c>
      <c r="W13" s="15" t="e">
        <f t="shared" si="16"/>
        <v>#DIV/0!</v>
      </c>
      <c r="X13" s="15" t="e">
        <f t="shared" si="16"/>
        <v>#DIV/0!</v>
      </c>
      <c r="Y13" s="15" t="e">
        <f t="shared" si="16"/>
        <v>#DIV/0!</v>
      </c>
      <c r="Z13" s="15" t="e">
        <f>Z12/Z7</f>
        <v>#DIV/0!</v>
      </c>
      <c r="AB13" s="109" t="e">
        <f>SUM(Z13-V13)*10000</f>
        <v>#DIV/0!</v>
      </c>
    </row>
    <row r="14" spans="2:28" ht="5.0999999999999996" customHeight="1"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5"/>
      <c r="S14" s="28"/>
      <c r="T14" s="28"/>
      <c r="U14" s="28"/>
      <c r="V14" s="28"/>
      <c r="W14" s="28"/>
      <c r="X14" s="28"/>
      <c r="Y14" s="28"/>
      <c r="Z14" s="28"/>
      <c r="AB14" s="106"/>
    </row>
    <row r="15" spans="2:28" ht="12.75" customHeight="1">
      <c r="B15" s="21" t="s">
        <v>137</v>
      </c>
      <c r="C15" s="80">
        <f>'Historical Financials'!C17</f>
        <v>-24813</v>
      </c>
      <c r="D15" s="80">
        <f>'Historical Financials'!D17</f>
        <v>-68032</v>
      </c>
      <c r="E15" s="80">
        <f>'Historical Financials'!E17</f>
        <v>-89423</v>
      </c>
      <c r="F15" s="80"/>
      <c r="G15" s="80">
        <f>'Historical Financials'!G17</f>
        <v>-14906</v>
      </c>
      <c r="H15" s="80">
        <f>'Historical Financials'!H17</f>
        <v>-16948</v>
      </c>
      <c r="I15" s="80">
        <f>'Historical Financials'!I17</f>
        <v>-18526</v>
      </c>
      <c r="J15" s="80">
        <f>'Historical Financials'!J17</f>
        <v>-17652</v>
      </c>
      <c r="K15" s="80">
        <f>'Historical Financials'!K17</f>
        <v>-22120</v>
      </c>
      <c r="L15" s="80">
        <f>'Historical Financials'!L17</f>
        <v>-24969</v>
      </c>
      <c r="M15" s="80">
        <f>'Historical Financials'!M17</f>
        <v>-23603</v>
      </c>
      <c r="N15" s="80">
        <f>'Historical Financials'!N17</f>
        <v>-18731</v>
      </c>
      <c r="O15" s="80">
        <f>'Historical Financials'!O17</f>
        <v>-16233</v>
      </c>
      <c r="P15" s="80">
        <f>'Historical Financials'!P17</f>
        <v>-15198</v>
      </c>
      <c r="Q15" s="80">
        <f>'Historical Financials'!Q17</f>
        <v>-17676</v>
      </c>
      <c r="R15" s="5"/>
      <c r="S15" s="10">
        <f t="shared" ref="S15:S16" si="17">SUM(G15:J15)</f>
        <v>-68032</v>
      </c>
      <c r="T15" s="10">
        <f t="shared" ref="T15:T16" si="18">SUM(H15:K15)</f>
        <v>-75246</v>
      </c>
      <c r="U15" s="10">
        <f t="shared" ref="U15:U16" si="19">SUM(I15:L15)</f>
        <v>-83267</v>
      </c>
      <c r="V15" s="10">
        <f t="shared" ref="V15:V16" si="20">SUM(J15:M15)</f>
        <v>-88344</v>
      </c>
      <c r="W15" s="10">
        <f t="shared" ref="W15:W16" si="21">SUM(K15:N15)</f>
        <v>-89423</v>
      </c>
      <c r="X15" s="10">
        <f t="shared" ref="X15:X16" si="22">SUM(L15:O15)</f>
        <v>-83536</v>
      </c>
      <c r="Y15" s="10">
        <f t="shared" ref="Y15:Y16" si="23">SUM(M15:P15)</f>
        <v>-73765</v>
      </c>
      <c r="Z15" s="10">
        <f t="shared" ref="Z15:Z16" si="24">SUM(N15:Q15)</f>
        <v>-67838</v>
      </c>
      <c r="AB15" s="107">
        <f>SUM(Z15/V15)-1</f>
        <v>-0.23211536720094172</v>
      </c>
    </row>
    <row r="16" spans="2:28" ht="12.75" customHeight="1">
      <c r="B16" s="21" t="s">
        <v>102</v>
      </c>
      <c r="C16" s="80">
        <f>'Historical Financials'!C18</f>
        <v>-8055</v>
      </c>
      <c r="D16" s="80">
        <f>'Historical Financials'!D18</f>
        <v>-11988</v>
      </c>
      <c r="E16" s="80">
        <f>'Historical Financials'!E18</f>
        <v>-16534</v>
      </c>
      <c r="F16" s="80"/>
      <c r="G16" s="80">
        <f>'Historical Financials'!G18</f>
        <v>-2915</v>
      </c>
      <c r="H16" s="80">
        <f>'Historical Financials'!H18</f>
        <v>-2969</v>
      </c>
      <c r="I16" s="80">
        <f>'Historical Financials'!I18</f>
        <v>-2819</v>
      </c>
      <c r="J16" s="80">
        <f>'Historical Financials'!J18</f>
        <v>-3285</v>
      </c>
      <c r="K16" s="80">
        <f>'Historical Financials'!K18</f>
        <v>-4392</v>
      </c>
      <c r="L16" s="80">
        <f>'Historical Financials'!L18</f>
        <v>-3808</v>
      </c>
      <c r="M16" s="80">
        <f>'Historical Financials'!M18</f>
        <v>-4276</v>
      </c>
      <c r="N16" s="80">
        <f>'Historical Financials'!N18</f>
        <v>-4058</v>
      </c>
      <c r="O16" s="80">
        <f>'Historical Financials'!O18</f>
        <v>-3701</v>
      </c>
      <c r="P16" s="80">
        <f>'Historical Financials'!P18</f>
        <v>-46204</v>
      </c>
      <c r="Q16" s="80">
        <f>'Historical Financials'!Q18</f>
        <v>-12947</v>
      </c>
      <c r="R16" s="5"/>
      <c r="S16" s="10">
        <f t="shared" si="17"/>
        <v>-11988</v>
      </c>
      <c r="T16" s="10">
        <f t="shared" si="18"/>
        <v>-13465</v>
      </c>
      <c r="U16" s="10">
        <f t="shared" si="19"/>
        <v>-14304</v>
      </c>
      <c r="V16" s="10">
        <f t="shared" si="20"/>
        <v>-15761</v>
      </c>
      <c r="W16" s="10">
        <f t="shared" si="21"/>
        <v>-16534</v>
      </c>
      <c r="X16" s="10">
        <f t="shared" si="22"/>
        <v>-15843</v>
      </c>
      <c r="Y16" s="10">
        <f t="shared" si="23"/>
        <v>-58239</v>
      </c>
      <c r="Z16" s="10">
        <f t="shared" si="24"/>
        <v>-66910</v>
      </c>
      <c r="AB16" s="107">
        <f t="shared" ref="AB16" si="25">SUM(Z16/V16)-1</f>
        <v>3.24528900450479</v>
      </c>
    </row>
    <row r="17" spans="2:28" ht="12.75" customHeight="1">
      <c r="B17" s="12" t="s">
        <v>35</v>
      </c>
      <c r="C17" s="13">
        <f>SUM(C12+SUM(C15:C16))</f>
        <v>-32868</v>
      </c>
      <c r="D17" s="13">
        <f>SUM(D12+SUM(D15:D16))</f>
        <v>-80020</v>
      </c>
      <c r="E17" s="13">
        <f>SUM(E12+SUM(E15:E16))</f>
        <v>-105957</v>
      </c>
      <c r="F17" s="11"/>
      <c r="G17" s="13">
        <f>SUM(G12+SUM(G15:G16))</f>
        <v>-17821</v>
      </c>
      <c r="H17" s="13">
        <f>SUM(H12+SUM(H15:H16))</f>
        <v>-19917</v>
      </c>
      <c r="I17" s="13">
        <f>SUM(I12+SUM(I15:I16))</f>
        <v>-21345</v>
      </c>
      <c r="J17" s="13">
        <f>SUM(J12+SUM(J15:J16))</f>
        <v>-20937</v>
      </c>
      <c r="K17" s="13">
        <f>SUM(K12+SUM(K15:K16))</f>
        <v>-26512</v>
      </c>
      <c r="L17" s="13">
        <f>SUM(L12+SUM(L15:L16))</f>
        <v>-28777</v>
      </c>
      <c r="M17" s="13">
        <f>SUM(M12+SUM(M15:M16))</f>
        <v>-27879</v>
      </c>
      <c r="N17" s="13">
        <f>SUM(N12+SUM(N15:N16))</f>
        <v>-22789</v>
      </c>
      <c r="O17" s="13">
        <f>SUM(O12+SUM(O15:O16))</f>
        <v>-19934</v>
      </c>
      <c r="P17" s="13">
        <f>SUM(P12+SUM(P15:P16))</f>
        <v>-61402</v>
      </c>
      <c r="Q17" s="13">
        <f>SUM(Q12+SUM(Q15:Q16))</f>
        <v>-30623</v>
      </c>
      <c r="R17" s="5"/>
      <c r="S17" s="13">
        <f>SUM(S12+SUM(S15:S16))</f>
        <v>-80020</v>
      </c>
      <c r="T17" s="13">
        <f>SUM(T12+SUM(T15:T16))</f>
        <v>-88711</v>
      </c>
      <c r="U17" s="13">
        <f>SUM(U12+SUM(U15:U16))</f>
        <v>-97571</v>
      </c>
      <c r="V17" s="13">
        <f>SUM(V12+SUM(V15:V16))</f>
        <v>-104105</v>
      </c>
      <c r="W17" s="13">
        <f>SUM(W12+SUM(W15:W16))</f>
        <v>-105957</v>
      </c>
      <c r="X17" s="13">
        <f>SUM(X12+SUM(X15:X16))</f>
        <v>-99379</v>
      </c>
      <c r="Y17" s="13">
        <f>SUM(Y12+SUM(Y15:Y16))</f>
        <v>-132004</v>
      </c>
      <c r="Z17" s="13">
        <f>SUM(Z12+SUM(Z15:Z16))</f>
        <v>-134748</v>
      </c>
      <c r="AB17" s="108">
        <f>SUM(Z17/V17)-1</f>
        <v>0.29434705345564582</v>
      </c>
    </row>
    <row r="18" spans="2:28" ht="12.75" customHeight="1">
      <c r="B18" s="14" t="s">
        <v>36</v>
      </c>
      <c r="C18" s="15" t="e">
        <f>C17/C7</f>
        <v>#DIV/0!</v>
      </c>
      <c r="D18" s="15" t="e">
        <f>D17/D7</f>
        <v>#DIV/0!</v>
      </c>
      <c r="E18" s="15" t="e">
        <f>E17/E7</f>
        <v>#DIV/0!</v>
      </c>
      <c r="F18" s="25"/>
      <c r="G18" s="15" t="e">
        <f>G17/G7</f>
        <v>#DIV/0!</v>
      </c>
      <c r="H18" s="15" t="e">
        <f>H17/H7</f>
        <v>#DIV/0!</v>
      </c>
      <c r="I18" s="15" t="e">
        <f>I17/I7</f>
        <v>#DIV/0!</v>
      </c>
      <c r="J18" s="15" t="e">
        <f>J17/J7</f>
        <v>#DIV/0!</v>
      </c>
      <c r="K18" s="15" t="e">
        <f>K17/K7</f>
        <v>#DIV/0!</v>
      </c>
      <c r="L18" s="15" t="e">
        <f>L17/L7</f>
        <v>#DIV/0!</v>
      </c>
      <c r="M18" s="15" t="e">
        <f>M17/M7</f>
        <v>#DIV/0!</v>
      </c>
      <c r="N18" s="15" t="e">
        <f>N17/N7</f>
        <v>#DIV/0!</v>
      </c>
      <c r="O18" s="15" t="e">
        <f>O17/O7</f>
        <v>#DIV/0!</v>
      </c>
      <c r="P18" s="15" t="e">
        <f>P17/P7</f>
        <v>#DIV/0!</v>
      </c>
      <c r="Q18" s="15" t="e">
        <f>Q17/Q7</f>
        <v>#DIV/0!</v>
      </c>
      <c r="R18" s="26"/>
      <c r="S18" s="15" t="e">
        <f>S17/S7</f>
        <v>#DIV/0!</v>
      </c>
      <c r="T18" s="15" t="e">
        <f>T17/T7</f>
        <v>#DIV/0!</v>
      </c>
      <c r="U18" s="15" t="e">
        <f>U17/U7</f>
        <v>#DIV/0!</v>
      </c>
      <c r="V18" s="15" t="e">
        <f>V17/V7</f>
        <v>#DIV/0!</v>
      </c>
      <c r="W18" s="15" t="e">
        <f>W17/W7</f>
        <v>#DIV/0!</v>
      </c>
      <c r="X18" s="15" t="e">
        <f>X17/X7</f>
        <v>#DIV/0!</v>
      </c>
      <c r="Y18" s="15" t="e">
        <f>Y17/Y7</f>
        <v>#DIV/0!</v>
      </c>
      <c r="Z18" s="15" t="e">
        <f>Z17/Z7</f>
        <v>#DIV/0!</v>
      </c>
      <c r="AB18" s="109" t="e">
        <f>SUM(Z18-V18)*10000</f>
        <v>#DIV/0!</v>
      </c>
    </row>
    <row r="19" spans="2:28" ht="5.0999999999999996" customHeight="1">
      <c r="AB19" s="106"/>
    </row>
    <row r="20" spans="2:28" ht="12.75" customHeight="1">
      <c r="B20" s="29" t="s">
        <v>37</v>
      </c>
      <c r="C20" s="80">
        <f>'Historical Financials'!C83+'Historical Financials'!C84</f>
        <v>534</v>
      </c>
      <c r="D20" s="80">
        <f>'Historical Financials'!D83+'Historical Financials'!D84</f>
        <v>1301</v>
      </c>
      <c r="E20" s="80">
        <f>'Historical Financials'!E83+'Historical Financials'!E84</f>
        <v>1530</v>
      </c>
      <c r="F20" s="112"/>
      <c r="G20" s="80">
        <f>'Historical Financials'!G83+'Historical Financials'!G84</f>
        <v>313</v>
      </c>
      <c r="H20" s="80">
        <f>'Historical Financials'!H83+'Historical Financials'!H84</f>
        <v>299</v>
      </c>
      <c r="I20" s="80">
        <f>'Historical Financials'!I83+'Historical Financials'!I84</f>
        <v>300</v>
      </c>
      <c r="J20" s="80">
        <f>'Historical Financials'!J83+'Historical Financials'!J84</f>
        <v>389</v>
      </c>
      <c r="K20" s="80">
        <f>'Historical Financials'!K83+'Historical Financials'!K84</f>
        <v>391</v>
      </c>
      <c r="L20" s="80">
        <f>'Historical Financials'!L83+'Historical Financials'!L84</f>
        <v>391</v>
      </c>
      <c r="M20" s="80">
        <f>'Historical Financials'!M83+'Historical Financials'!M84</f>
        <v>392</v>
      </c>
      <c r="N20" s="80">
        <f>'Historical Financials'!N83+'Historical Financials'!N84</f>
        <v>356</v>
      </c>
      <c r="O20" s="80">
        <f>'Historical Financials'!O83+'Historical Financials'!O84</f>
        <v>311</v>
      </c>
      <c r="P20" s="80">
        <f>'Historical Financials'!P83+'Historical Financials'!P84</f>
        <v>302</v>
      </c>
      <c r="Q20" s="80">
        <f>'Historical Financials'!Q83+'Historical Financials'!Q84</f>
        <v>259</v>
      </c>
      <c r="S20" s="10">
        <f>SUM(G20:J20)</f>
        <v>1301</v>
      </c>
      <c r="T20" s="10">
        <f>SUM(H20:K20)</f>
        <v>1379</v>
      </c>
      <c r="U20" s="10">
        <f>SUM(I20:L20)</f>
        <v>1471</v>
      </c>
      <c r="V20" s="10">
        <f>SUM(J20:M20)</f>
        <v>1563</v>
      </c>
      <c r="W20" s="10">
        <f>SUM(K20:N20)</f>
        <v>1530</v>
      </c>
      <c r="X20" s="10">
        <f>SUM(L20:O20)</f>
        <v>1450</v>
      </c>
      <c r="Y20" s="10">
        <f>SUM(M20:P20)</f>
        <v>1361</v>
      </c>
      <c r="Z20" s="10">
        <f>SUM(N20:Q20)</f>
        <v>1228</v>
      </c>
      <c r="AB20" s="107">
        <f>SUM(Z20/V20)-1</f>
        <v>-0.21433141394753674</v>
      </c>
    </row>
    <row r="21" spans="2:28" ht="12.75" customHeight="1">
      <c r="B21" s="23" t="s">
        <v>10</v>
      </c>
      <c r="C21" s="24">
        <f>SUM(C17+C20)</f>
        <v>-32334</v>
      </c>
      <c r="D21" s="24">
        <f>SUM(D17+D20)</f>
        <v>-78719</v>
      </c>
      <c r="E21" s="24">
        <f>SUM(E17+E20)</f>
        <v>-104427</v>
      </c>
      <c r="G21" s="24">
        <f t="shared" ref="G21" si="26">SUM(G17+G20)</f>
        <v>-17508</v>
      </c>
      <c r="H21" s="24">
        <f t="shared" ref="H21:Q21" si="27">SUM(H17+H20)</f>
        <v>-19618</v>
      </c>
      <c r="I21" s="24">
        <f t="shared" si="27"/>
        <v>-21045</v>
      </c>
      <c r="J21" s="24">
        <f t="shared" si="27"/>
        <v>-20548</v>
      </c>
      <c r="K21" s="24">
        <f t="shared" si="27"/>
        <v>-26121</v>
      </c>
      <c r="L21" s="24">
        <f t="shared" si="27"/>
        <v>-28386</v>
      </c>
      <c r="M21" s="24">
        <f t="shared" si="27"/>
        <v>-27487</v>
      </c>
      <c r="N21" s="24">
        <f t="shared" si="27"/>
        <v>-22433</v>
      </c>
      <c r="O21" s="24">
        <f t="shared" si="27"/>
        <v>-19623</v>
      </c>
      <c r="P21" s="24">
        <f t="shared" si="27"/>
        <v>-61100</v>
      </c>
      <c r="Q21" s="24">
        <f t="shared" si="27"/>
        <v>-30364</v>
      </c>
      <c r="S21" s="24">
        <f t="shared" ref="S21:Y21" si="28">SUM(S17+S20)</f>
        <v>-78719</v>
      </c>
      <c r="T21" s="24">
        <f t="shared" si="28"/>
        <v>-87332</v>
      </c>
      <c r="U21" s="24">
        <f t="shared" si="28"/>
        <v>-96100</v>
      </c>
      <c r="V21" s="24">
        <f t="shared" si="28"/>
        <v>-102542</v>
      </c>
      <c r="W21" s="24">
        <f t="shared" si="28"/>
        <v>-104427</v>
      </c>
      <c r="X21" s="24">
        <f t="shared" si="28"/>
        <v>-97929</v>
      </c>
      <c r="Y21" s="24">
        <f t="shared" si="28"/>
        <v>-130643</v>
      </c>
      <c r="Z21" s="24">
        <f>SUM(Z17+Z20)</f>
        <v>-133520</v>
      </c>
      <c r="AB21" s="108">
        <f>SUM(Z21/V21)-1</f>
        <v>0.30210060267987759</v>
      </c>
    </row>
    <row r="22" spans="2:28" ht="12.75" customHeight="1">
      <c r="B22" s="14" t="s">
        <v>38</v>
      </c>
      <c r="C22" s="15" t="e">
        <f>C21/C7</f>
        <v>#DIV/0!</v>
      </c>
      <c r="D22" s="15" t="e">
        <f>D21/D7</f>
        <v>#DIV/0!</v>
      </c>
      <c r="E22" s="15" t="e">
        <f>E21/E7</f>
        <v>#DIV/0!</v>
      </c>
      <c r="G22" s="15" t="e">
        <f>G21/G7</f>
        <v>#DIV/0!</v>
      </c>
      <c r="H22" s="15" t="e">
        <f>H21/H7</f>
        <v>#DIV/0!</v>
      </c>
      <c r="I22" s="15" t="e">
        <f>I21/I7</f>
        <v>#DIV/0!</v>
      </c>
      <c r="J22" s="15" t="e">
        <f>J21/J7</f>
        <v>#DIV/0!</v>
      </c>
      <c r="K22" s="15" t="e">
        <f>K21/K7</f>
        <v>#DIV/0!</v>
      </c>
      <c r="L22" s="15" t="e">
        <f>L21/L7</f>
        <v>#DIV/0!</v>
      </c>
      <c r="M22" s="15" t="e">
        <f>M21/M7</f>
        <v>#DIV/0!</v>
      </c>
      <c r="N22" s="15" t="e">
        <f>N21/N7</f>
        <v>#DIV/0!</v>
      </c>
      <c r="O22" s="15" t="e">
        <f>O21/O7</f>
        <v>#DIV/0!</v>
      </c>
      <c r="P22" s="15" t="e">
        <f>P21/P7</f>
        <v>#DIV/0!</v>
      </c>
      <c r="Q22" s="15" t="e">
        <f>Q21/Q7</f>
        <v>#DIV/0!</v>
      </c>
      <c r="S22" s="15" t="e">
        <f>S21/S7</f>
        <v>#DIV/0!</v>
      </c>
      <c r="T22" s="15" t="e">
        <f>T21/T7</f>
        <v>#DIV/0!</v>
      </c>
      <c r="U22" s="15" t="e">
        <f>U21/U7</f>
        <v>#DIV/0!</v>
      </c>
      <c r="V22" s="15" t="e">
        <f>V21/V7</f>
        <v>#DIV/0!</v>
      </c>
      <c r="W22" s="15" t="e">
        <f>W21/W7</f>
        <v>#DIV/0!</v>
      </c>
      <c r="X22" s="15" t="e">
        <f>X21/X7</f>
        <v>#DIV/0!</v>
      </c>
      <c r="Y22" s="15" t="e">
        <f>Y21/Y7</f>
        <v>#DIV/0!</v>
      </c>
      <c r="Z22" s="15" t="e">
        <f>Z21/Z7</f>
        <v>#DIV/0!</v>
      </c>
      <c r="AB22" s="109" t="e">
        <f>SUM(Z22-V22)*10000</f>
        <v>#DIV/0!</v>
      </c>
    </row>
    <row r="23" spans="2:28" ht="5.0999999999999996" customHeight="1">
      <c r="AB23" s="106"/>
    </row>
    <row r="24" spans="2:28" ht="12.75" customHeight="1">
      <c r="B24" s="29" t="s">
        <v>39</v>
      </c>
      <c r="C24" s="80">
        <f>'Historical Financials'!C81</f>
        <v>1759</v>
      </c>
      <c r="D24" s="80">
        <f>'Historical Financials'!D81</f>
        <v>2066</v>
      </c>
      <c r="E24" s="80">
        <f>'Historical Financials'!E81</f>
        <v>4586</v>
      </c>
      <c r="G24" s="80">
        <f>'Historical Financials'!G81</f>
        <v>495</v>
      </c>
      <c r="H24" s="80">
        <f>'Historical Financials'!H81</f>
        <v>485</v>
      </c>
      <c r="I24" s="80">
        <f>'Historical Financials'!I81</f>
        <v>470</v>
      </c>
      <c r="J24" s="80">
        <f>'Historical Financials'!J81</f>
        <v>616</v>
      </c>
      <c r="K24" s="80">
        <f>'Historical Financials'!K81</f>
        <v>673</v>
      </c>
      <c r="L24" s="80">
        <f>'Historical Financials'!L81</f>
        <v>835</v>
      </c>
      <c r="M24" s="80">
        <f>'Historical Financials'!M81</f>
        <v>949</v>
      </c>
      <c r="N24" s="80">
        <f>'Historical Financials'!N81</f>
        <v>2129</v>
      </c>
      <c r="O24" s="80">
        <f>'Historical Financials'!O81</f>
        <v>2335</v>
      </c>
      <c r="P24" s="80">
        <f>'Historical Financials'!P81</f>
        <v>2604</v>
      </c>
      <c r="Q24" s="80">
        <f>'Historical Financials'!Q81</f>
        <v>5608</v>
      </c>
      <c r="S24" s="10">
        <f>SUM(G24:J24)</f>
        <v>2066</v>
      </c>
      <c r="T24" s="10">
        <f>SUM(H24:K24)</f>
        <v>2244</v>
      </c>
      <c r="U24" s="10">
        <f>SUM(I24:L24)</f>
        <v>2594</v>
      </c>
      <c r="V24" s="10">
        <f>SUM(J24:M24)</f>
        <v>3073</v>
      </c>
      <c r="W24" s="10">
        <f>SUM(K24:N24)</f>
        <v>4586</v>
      </c>
      <c r="X24" s="10">
        <f>SUM(L24:O24)</f>
        <v>6248</v>
      </c>
      <c r="Y24" s="10">
        <f>SUM(M24:P24)</f>
        <v>8017</v>
      </c>
      <c r="Z24" s="10">
        <f>SUM(N24:Q24)</f>
        <v>12676</v>
      </c>
      <c r="AB24" s="107">
        <f>SUM(Z24/V24)-1</f>
        <v>3.1249593231369994</v>
      </c>
    </row>
    <row r="25" spans="2:28" ht="12.75" customHeight="1">
      <c r="B25" s="12" t="s">
        <v>40</v>
      </c>
      <c r="C25" s="13">
        <f>+SUM(C21+SUM(C24:C24))</f>
        <v>-30575</v>
      </c>
      <c r="D25" s="13">
        <f>+SUM(D21+SUM(D24:D24))</f>
        <v>-76653</v>
      </c>
      <c r="E25" s="13">
        <f>+SUM(E21+SUM(E24:E24))</f>
        <v>-99841</v>
      </c>
      <c r="F25" s="11"/>
      <c r="G25" s="13">
        <f t="shared" ref="G25:Q25" si="29">+SUM(G21+SUM(G24:G24))</f>
        <v>-17013</v>
      </c>
      <c r="H25" s="13">
        <f t="shared" si="29"/>
        <v>-19133</v>
      </c>
      <c r="I25" s="13">
        <f t="shared" si="29"/>
        <v>-20575</v>
      </c>
      <c r="J25" s="13">
        <f t="shared" si="29"/>
        <v>-19932</v>
      </c>
      <c r="K25" s="13">
        <f t="shared" si="29"/>
        <v>-25448</v>
      </c>
      <c r="L25" s="13">
        <f t="shared" si="29"/>
        <v>-27551</v>
      </c>
      <c r="M25" s="13">
        <f t="shared" si="29"/>
        <v>-26538</v>
      </c>
      <c r="N25" s="13">
        <f t="shared" si="29"/>
        <v>-20304</v>
      </c>
      <c r="O25" s="13">
        <f t="shared" si="29"/>
        <v>-17288</v>
      </c>
      <c r="P25" s="13">
        <f t="shared" si="29"/>
        <v>-58496</v>
      </c>
      <c r="Q25" s="13">
        <f t="shared" si="29"/>
        <v>-24756</v>
      </c>
      <c r="S25" s="13">
        <f t="shared" ref="S25:Z25" si="30">+SUM(S21+SUM(S24:S24))</f>
        <v>-76653</v>
      </c>
      <c r="T25" s="13">
        <f t="shared" si="30"/>
        <v>-85088</v>
      </c>
      <c r="U25" s="13">
        <f t="shared" si="30"/>
        <v>-93506</v>
      </c>
      <c r="V25" s="13">
        <f t="shared" si="30"/>
        <v>-99469</v>
      </c>
      <c r="W25" s="13">
        <f t="shared" si="30"/>
        <v>-99841</v>
      </c>
      <c r="X25" s="13">
        <f t="shared" si="30"/>
        <v>-91681</v>
      </c>
      <c r="Y25" s="13">
        <f t="shared" si="30"/>
        <v>-122626</v>
      </c>
      <c r="Z25" s="13">
        <f t="shared" si="30"/>
        <v>-120844</v>
      </c>
      <c r="AB25" s="108">
        <f>SUM(Z25/V25)-1</f>
        <v>0.21489107159014376</v>
      </c>
    </row>
    <row r="26" spans="2:28" ht="12.75" customHeight="1">
      <c r="B26" s="14" t="s">
        <v>41</v>
      </c>
      <c r="C26" s="15" t="e">
        <f>C25/C7</f>
        <v>#DIV/0!</v>
      </c>
      <c r="D26" s="15" t="e">
        <f>D25/D7</f>
        <v>#DIV/0!</v>
      </c>
      <c r="E26" s="15" t="e">
        <f>E25/E7</f>
        <v>#DIV/0!</v>
      </c>
      <c r="G26" s="15" t="e">
        <f>G25/G7</f>
        <v>#DIV/0!</v>
      </c>
      <c r="H26" s="15" t="e">
        <f>H25/H7</f>
        <v>#DIV/0!</v>
      </c>
      <c r="I26" s="15" t="e">
        <f>I25/I7</f>
        <v>#DIV/0!</v>
      </c>
      <c r="J26" s="15" t="e">
        <f>J25/J7</f>
        <v>#DIV/0!</v>
      </c>
      <c r="K26" s="15" t="e">
        <f>K25/K7</f>
        <v>#DIV/0!</v>
      </c>
      <c r="L26" s="15" t="e">
        <f>L25/L7</f>
        <v>#DIV/0!</v>
      </c>
      <c r="M26" s="15" t="e">
        <f>M25/M7</f>
        <v>#DIV/0!</v>
      </c>
      <c r="N26" s="15" t="e">
        <f>N25/N7</f>
        <v>#DIV/0!</v>
      </c>
      <c r="O26" s="15" t="e">
        <f>O25/O7</f>
        <v>#DIV/0!</v>
      </c>
      <c r="P26" s="15" t="e">
        <f>P25/P7</f>
        <v>#DIV/0!</v>
      </c>
      <c r="Q26" s="15" t="e">
        <f>Q25/Q7</f>
        <v>#DIV/0!</v>
      </c>
      <c r="S26" s="15" t="e">
        <f>S25/S7</f>
        <v>#DIV/0!</v>
      </c>
      <c r="T26" s="15" t="e">
        <f>T25/T7</f>
        <v>#DIV/0!</v>
      </c>
      <c r="U26" s="15" t="e">
        <f>U25/U7</f>
        <v>#DIV/0!</v>
      </c>
      <c r="V26" s="15" t="e">
        <f>V25/V7</f>
        <v>#DIV/0!</v>
      </c>
      <c r="W26" s="15" t="e">
        <f>W25/W7</f>
        <v>#DIV/0!</v>
      </c>
      <c r="X26" s="15" t="e">
        <f>X25/X7</f>
        <v>#DIV/0!</v>
      </c>
      <c r="Y26" s="15" t="e">
        <f>Y25/Y7</f>
        <v>#DIV/0!</v>
      </c>
      <c r="Z26" s="15" t="e">
        <f>Z25/Z7</f>
        <v>#DIV/0!</v>
      </c>
      <c r="AB26" s="109" t="e">
        <f>SUM(Z26-V26)*10000</f>
        <v>#DIV/0!</v>
      </c>
    </row>
    <row r="27" spans="2:28" ht="5.0999999999999996" customHeight="1">
      <c r="AB27" s="106"/>
    </row>
    <row r="28" spans="2:28" ht="12.75" customHeight="1">
      <c r="B28" s="21" t="s">
        <v>42</v>
      </c>
      <c r="C28" s="80">
        <f>'Historical Financials'!C96</f>
        <v>-22214</v>
      </c>
      <c r="D28" s="80">
        <f>'Historical Financials'!D96</f>
        <v>-2712</v>
      </c>
      <c r="E28" s="80">
        <f>'Historical Financials'!E96</f>
        <v>-414</v>
      </c>
      <c r="G28" s="80">
        <f>'Historical Financials'!G96</f>
        <v>-425</v>
      </c>
      <c r="H28" s="80">
        <f>'Historical Financials'!H96</f>
        <v>-1466</v>
      </c>
      <c r="I28" s="80">
        <f>'Historical Financials'!I96</f>
        <v>-1156</v>
      </c>
      <c r="J28" s="80">
        <f>'Historical Financials'!J96</f>
        <v>335</v>
      </c>
      <c r="K28" s="80">
        <f>'Historical Financials'!K96</f>
        <v>-357</v>
      </c>
      <c r="L28" s="80">
        <f>'Historical Financials'!L96</f>
        <v>6</v>
      </c>
      <c r="M28" s="80">
        <f>'Historical Financials'!M96</f>
        <v>-22</v>
      </c>
      <c r="N28" s="80">
        <f>'Historical Financials'!N96</f>
        <v>-41</v>
      </c>
      <c r="O28" s="80">
        <f>'Historical Financials'!O96</f>
        <v>0</v>
      </c>
      <c r="P28" s="80">
        <f>'Historical Financials'!P96</f>
        <v>-29</v>
      </c>
      <c r="Q28" s="80">
        <f>'Historical Financials'!Q96</f>
        <v>-17</v>
      </c>
      <c r="S28" s="10">
        <f t="shared" ref="S28:S31" si="31">SUM(G28:J28)</f>
        <v>-2712</v>
      </c>
      <c r="T28" s="10">
        <f t="shared" ref="T28:T31" si="32">SUM(H28:K28)</f>
        <v>-2644</v>
      </c>
      <c r="U28" s="10">
        <f t="shared" ref="U28:U31" si="33">SUM(I28:L28)</f>
        <v>-1172</v>
      </c>
      <c r="V28" s="10">
        <f t="shared" ref="V28:V31" si="34">SUM(J28:M28)</f>
        <v>-38</v>
      </c>
      <c r="W28" s="10">
        <f t="shared" ref="W28:W31" si="35">SUM(K28:N28)</f>
        <v>-414</v>
      </c>
      <c r="X28" s="10">
        <f t="shared" ref="X28:X31" si="36">SUM(L28:O28)</f>
        <v>-57</v>
      </c>
      <c r="Y28" s="10">
        <f t="shared" ref="Y28:Y31" si="37">SUM(M28:P28)</f>
        <v>-92</v>
      </c>
      <c r="Z28" s="10">
        <f t="shared" ref="Z28:Z31" si="38">SUM(N28:Q28)</f>
        <v>-87</v>
      </c>
      <c r="AB28" s="107">
        <f>SUM(Z28/V28)-1</f>
        <v>1.2894736842105261</v>
      </c>
    </row>
    <row r="29" spans="2:28" ht="12.75" customHeight="1">
      <c r="B29" s="21" t="s">
        <v>43</v>
      </c>
      <c r="C29" s="73">
        <v>0</v>
      </c>
      <c r="D29" s="73">
        <v>0</v>
      </c>
      <c r="E29" s="73">
        <v>0</v>
      </c>
      <c r="G29" s="73">
        <v>0</v>
      </c>
      <c r="H29" s="73">
        <v>0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S29" s="10">
        <f t="shared" si="31"/>
        <v>0</v>
      </c>
      <c r="T29" s="10">
        <f t="shared" si="32"/>
        <v>0</v>
      </c>
      <c r="U29" s="10">
        <f t="shared" si="33"/>
        <v>0</v>
      </c>
      <c r="V29" s="10">
        <f t="shared" si="34"/>
        <v>0</v>
      </c>
      <c r="W29" s="10">
        <f t="shared" si="35"/>
        <v>0</v>
      </c>
      <c r="X29" s="10">
        <f t="shared" si="36"/>
        <v>0</v>
      </c>
      <c r="Y29" s="10">
        <f t="shared" si="37"/>
        <v>0</v>
      </c>
      <c r="Z29" s="10">
        <f t="shared" si="38"/>
        <v>0</v>
      </c>
      <c r="AB29" s="107" t="e">
        <f>SUM(Z29/V29)-1</f>
        <v>#DIV/0!</v>
      </c>
    </row>
    <row r="30" spans="2:28" ht="12.75" customHeight="1">
      <c r="B30" s="21" t="s">
        <v>81</v>
      </c>
      <c r="C30" s="73">
        <v>0</v>
      </c>
      <c r="D30" s="73">
        <v>0</v>
      </c>
      <c r="E30" s="73">
        <v>0</v>
      </c>
      <c r="G30" s="73">
        <v>0</v>
      </c>
      <c r="H30" s="73">
        <v>0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S30" s="10">
        <f t="shared" si="31"/>
        <v>0</v>
      </c>
      <c r="T30" s="10">
        <f t="shared" si="32"/>
        <v>0</v>
      </c>
      <c r="U30" s="10">
        <f t="shared" si="33"/>
        <v>0</v>
      </c>
      <c r="V30" s="10">
        <f t="shared" si="34"/>
        <v>0</v>
      </c>
      <c r="W30" s="10">
        <f t="shared" si="35"/>
        <v>0</v>
      </c>
      <c r="X30" s="10">
        <f t="shared" si="36"/>
        <v>0</v>
      </c>
      <c r="Y30" s="10">
        <f t="shared" si="37"/>
        <v>0</v>
      </c>
      <c r="Z30" s="10">
        <f t="shared" si="38"/>
        <v>0</v>
      </c>
      <c r="AB30" s="107" t="e">
        <f>SUM(Z30/V30)-1</f>
        <v>#DIV/0!</v>
      </c>
    </row>
    <row r="31" spans="2:28" ht="12.75" customHeight="1">
      <c r="B31" s="21" t="s">
        <v>44</v>
      </c>
      <c r="C31" s="80">
        <f>SUM('Historical Financials'!C87:C92)</f>
        <v>-104</v>
      </c>
      <c r="D31" s="80">
        <f>SUM('Historical Financials'!D87:D92)</f>
        <v>-4635</v>
      </c>
      <c r="E31" s="80">
        <f>SUM('Historical Financials'!E87:E92)</f>
        <v>9076</v>
      </c>
      <c r="G31" s="80">
        <f>SUM('Historical Financials'!G87:G92)</f>
        <v>-6811</v>
      </c>
      <c r="H31" s="80">
        <f>SUM('Historical Financials'!H87:H92)</f>
        <v>7430</v>
      </c>
      <c r="I31" s="80">
        <f>SUM('Historical Financials'!I87:I92)</f>
        <v>-2063</v>
      </c>
      <c r="J31" s="80">
        <f>SUM('Historical Financials'!J87:J92)</f>
        <v>-3191</v>
      </c>
      <c r="K31" s="80">
        <f>SUM('Historical Financials'!K87:K92)</f>
        <v>9952</v>
      </c>
      <c r="L31" s="80">
        <f>SUM('Historical Financials'!L87:L92)</f>
        <v>5226</v>
      </c>
      <c r="M31" s="80">
        <f>SUM('Historical Financials'!M87:M92)</f>
        <v>-2220</v>
      </c>
      <c r="N31" s="80">
        <f>SUM('Historical Financials'!N87:N92)</f>
        <v>-3882</v>
      </c>
      <c r="O31" s="80">
        <f>SUM('Historical Financials'!O87:O92)</f>
        <v>-3775</v>
      </c>
      <c r="P31" s="80">
        <f>SUM('Historical Financials'!P87:P92)</f>
        <v>37840</v>
      </c>
      <c r="Q31" s="80">
        <f>SUM('Historical Financials'!Q87:Q92)</f>
        <v>3780</v>
      </c>
      <c r="S31" s="10">
        <f t="shared" si="31"/>
        <v>-4635</v>
      </c>
      <c r="T31" s="10">
        <f t="shared" si="32"/>
        <v>12128</v>
      </c>
      <c r="U31" s="10">
        <f t="shared" si="33"/>
        <v>9924</v>
      </c>
      <c r="V31" s="10">
        <f t="shared" si="34"/>
        <v>9767</v>
      </c>
      <c r="W31" s="10">
        <f t="shared" si="35"/>
        <v>9076</v>
      </c>
      <c r="X31" s="10">
        <f t="shared" si="36"/>
        <v>-4651</v>
      </c>
      <c r="Y31" s="10">
        <f t="shared" si="37"/>
        <v>27963</v>
      </c>
      <c r="Z31" s="10">
        <f t="shared" si="38"/>
        <v>33963</v>
      </c>
      <c r="AB31" s="107">
        <f>SUM(Z31/V31)-1</f>
        <v>2.4773215931196888</v>
      </c>
    </row>
    <row r="32" spans="2:28" ht="12.75" customHeight="1">
      <c r="B32" s="12" t="s">
        <v>45</v>
      </c>
      <c r="C32" s="13">
        <f>SUM(C25+SUM(C28:C31))</f>
        <v>-52893</v>
      </c>
      <c r="D32" s="13">
        <f>SUM(D25+SUM(D28:D31))</f>
        <v>-84000</v>
      </c>
      <c r="E32" s="13">
        <f>SUM(E25+SUM(E28:E31))</f>
        <v>-91179</v>
      </c>
      <c r="G32" s="13">
        <f t="shared" ref="G32" si="39">SUM(G25+SUM(G28:G31))</f>
        <v>-24249</v>
      </c>
      <c r="H32" s="13">
        <f t="shared" ref="H32:Q32" si="40">SUM(H25+SUM(H28:H31))</f>
        <v>-13169</v>
      </c>
      <c r="I32" s="13">
        <f t="shared" si="40"/>
        <v>-23794</v>
      </c>
      <c r="J32" s="13">
        <f t="shared" si="40"/>
        <v>-22788</v>
      </c>
      <c r="K32" s="13">
        <f t="shared" si="40"/>
        <v>-15853</v>
      </c>
      <c r="L32" s="13">
        <f t="shared" si="40"/>
        <v>-22319</v>
      </c>
      <c r="M32" s="13">
        <f t="shared" si="40"/>
        <v>-28780</v>
      </c>
      <c r="N32" s="13">
        <f t="shared" si="40"/>
        <v>-24227</v>
      </c>
      <c r="O32" s="13">
        <f t="shared" si="40"/>
        <v>-21063</v>
      </c>
      <c r="P32" s="13">
        <f t="shared" si="40"/>
        <v>-20685</v>
      </c>
      <c r="Q32" s="13">
        <f t="shared" si="40"/>
        <v>-20993</v>
      </c>
      <c r="S32" s="13">
        <f t="shared" ref="S32:Y32" si="41">SUM(S25+SUM(S28:S31))</f>
        <v>-84000</v>
      </c>
      <c r="T32" s="13">
        <f t="shared" si="41"/>
        <v>-75604</v>
      </c>
      <c r="U32" s="13">
        <f t="shared" si="41"/>
        <v>-84754</v>
      </c>
      <c r="V32" s="13">
        <f t="shared" si="41"/>
        <v>-89740</v>
      </c>
      <c r="W32" s="13">
        <f t="shared" si="41"/>
        <v>-91179</v>
      </c>
      <c r="X32" s="13">
        <f t="shared" si="41"/>
        <v>-96389</v>
      </c>
      <c r="Y32" s="13">
        <f t="shared" si="41"/>
        <v>-94755</v>
      </c>
      <c r="Z32" s="13">
        <f>SUM(Z25+SUM(Z28:Z31))</f>
        <v>-86968</v>
      </c>
      <c r="AB32" s="108">
        <f>SUM(Z32/V32)-1</f>
        <v>-3.0889235569422802E-2</v>
      </c>
    </row>
    <row r="33" spans="1:26" ht="5.0999999999999996" customHeight="1"/>
    <row r="34" spans="1:26" ht="12.75" customHeight="1">
      <c r="B34" s="29" t="s">
        <v>138</v>
      </c>
      <c r="C34" s="80">
        <f>'Historical Financials'!C100</f>
        <v>1824</v>
      </c>
      <c r="D34" s="80">
        <f>'Historical Financials'!D100</f>
        <v>475</v>
      </c>
      <c r="E34" s="80">
        <f>'Historical Financials'!E100</f>
        <v>2560</v>
      </c>
      <c r="F34" s="30"/>
      <c r="G34" s="80">
        <f>'Historical Financials'!G100</f>
        <v>211</v>
      </c>
      <c r="H34" s="80">
        <f>'Historical Financials'!H100</f>
        <v>119</v>
      </c>
      <c r="I34" s="80">
        <f>'Historical Financials'!I100</f>
        <v>136</v>
      </c>
      <c r="J34" s="80">
        <f>'Historical Financials'!J100</f>
        <v>9</v>
      </c>
      <c r="K34" s="80">
        <f>'Historical Financials'!K100</f>
        <v>64</v>
      </c>
      <c r="L34" s="80">
        <f>'Historical Financials'!L100</f>
        <v>889</v>
      </c>
      <c r="M34" s="80">
        <f>'Historical Financials'!M100</f>
        <v>464</v>
      </c>
      <c r="N34" s="80">
        <f>'Historical Financials'!N100</f>
        <v>1143</v>
      </c>
      <c r="O34" s="80">
        <f>'Historical Financials'!O100</f>
        <v>0</v>
      </c>
      <c r="P34" s="80">
        <f>'Historical Financials'!P100</f>
        <v>0</v>
      </c>
      <c r="Q34" s="80">
        <f>'Historical Financials'!Q100</f>
        <v>0</v>
      </c>
      <c r="S34" s="10">
        <f t="shared" ref="S34:S38" si="42">SUM(G34:J34)</f>
        <v>475</v>
      </c>
      <c r="T34" s="10">
        <f t="shared" ref="T34:T38" si="43">SUM(H34:K34)</f>
        <v>328</v>
      </c>
      <c r="U34" s="10">
        <f t="shared" ref="U34:U38" si="44">SUM(I34:L34)</f>
        <v>1098</v>
      </c>
      <c r="V34" s="10">
        <f t="shared" ref="V34:V38" si="45">SUM(J34:M34)</f>
        <v>1426</v>
      </c>
      <c r="W34" s="10">
        <f t="shared" ref="W34:W38" si="46">SUM(K34:N34)</f>
        <v>2560</v>
      </c>
      <c r="X34" s="10">
        <f t="shared" ref="X34:X38" si="47">SUM(L34:O34)</f>
        <v>2496</v>
      </c>
      <c r="Y34" s="10">
        <f t="shared" ref="Y34:Y38" si="48">SUM(M34:P34)</f>
        <v>1607</v>
      </c>
      <c r="Z34" s="10">
        <f t="shared" ref="Z34:Z38" si="49">SUM(N34:Q34)</f>
        <v>1143</v>
      </c>
    </row>
    <row r="35" spans="1:26" ht="12.75" customHeight="1">
      <c r="B35" s="29" t="s">
        <v>139</v>
      </c>
      <c r="C35" s="80">
        <f>'Historical Financials'!C101</f>
        <v>692</v>
      </c>
      <c r="D35" s="80">
        <f>'Historical Financials'!D101</f>
        <v>0</v>
      </c>
      <c r="E35" s="80">
        <f>'Historical Financials'!E101</f>
        <v>0</v>
      </c>
      <c r="F35" s="30"/>
      <c r="G35" s="80">
        <f>'Historical Financials'!G101</f>
        <v>0</v>
      </c>
      <c r="H35" s="80">
        <f>'Historical Financials'!H101</f>
        <v>0</v>
      </c>
      <c r="I35" s="80">
        <f>'Historical Financials'!I101</f>
        <v>0</v>
      </c>
      <c r="J35" s="80">
        <f>'Historical Financials'!J101</f>
        <v>0</v>
      </c>
      <c r="K35" s="80">
        <f>'Historical Financials'!K101</f>
        <v>0</v>
      </c>
      <c r="L35" s="80">
        <f>'Historical Financials'!L101</f>
        <v>0</v>
      </c>
      <c r="M35" s="80">
        <f>'Historical Financials'!M101</f>
        <v>0</v>
      </c>
      <c r="N35" s="80">
        <f>'Historical Financials'!N101</f>
        <v>0</v>
      </c>
      <c r="O35" s="80">
        <f>'Historical Financials'!O101</f>
        <v>0</v>
      </c>
      <c r="P35" s="80">
        <f>'Historical Financials'!P101</f>
        <v>0</v>
      </c>
      <c r="Q35" s="80">
        <f>'Historical Financials'!Q101</f>
        <v>0</v>
      </c>
      <c r="S35" s="10">
        <f t="shared" si="42"/>
        <v>0</v>
      </c>
      <c r="T35" s="10">
        <f t="shared" si="43"/>
        <v>0</v>
      </c>
      <c r="U35" s="10">
        <f t="shared" si="44"/>
        <v>0</v>
      </c>
      <c r="V35" s="10">
        <f t="shared" si="45"/>
        <v>0</v>
      </c>
      <c r="W35" s="10">
        <f t="shared" si="46"/>
        <v>0</v>
      </c>
      <c r="X35" s="10">
        <f t="shared" si="47"/>
        <v>0</v>
      </c>
      <c r="Y35" s="10">
        <f t="shared" si="48"/>
        <v>0</v>
      </c>
      <c r="Z35" s="10">
        <f t="shared" si="49"/>
        <v>0</v>
      </c>
    </row>
    <row r="36" spans="1:26" ht="12.75" customHeight="1">
      <c r="B36" s="29" t="s">
        <v>140</v>
      </c>
      <c r="C36" s="80">
        <f>'Historical Financials'!C102</f>
        <v>0</v>
      </c>
      <c r="D36" s="80">
        <f>'Historical Financials'!D102</f>
        <v>0</v>
      </c>
      <c r="E36" s="80">
        <f>'Historical Financials'!E102</f>
        <v>0</v>
      </c>
      <c r="F36" s="30"/>
      <c r="G36" s="80">
        <f>'Historical Financials'!G102</f>
        <v>0</v>
      </c>
      <c r="H36" s="80">
        <f>'Historical Financials'!H102</f>
        <v>0</v>
      </c>
      <c r="I36" s="80">
        <f>'Historical Financials'!I102</f>
        <v>0</v>
      </c>
      <c r="J36" s="80">
        <f>'Historical Financials'!J102</f>
        <v>0</v>
      </c>
      <c r="K36" s="80">
        <f>'Historical Financials'!K102</f>
        <v>0</v>
      </c>
      <c r="L36" s="80">
        <f>'Historical Financials'!L102</f>
        <v>0</v>
      </c>
      <c r="M36" s="80">
        <f>'Historical Financials'!M102</f>
        <v>0</v>
      </c>
      <c r="N36" s="80">
        <f>'Historical Financials'!N102</f>
        <v>0</v>
      </c>
      <c r="O36" s="80">
        <f>'Historical Financials'!O102</f>
        <v>22160</v>
      </c>
      <c r="P36" s="80">
        <f>'Historical Financials'!P102</f>
        <v>101392</v>
      </c>
      <c r="Q36" s="80">
        <f>'Historical Financials'!Q102</f>
        <v>0</v>
      </c>
      <c r="S36" s="10">
        <f t="shared" si="42"/>
        <v>0</v>
      </c>
      <c r="T36" s="10">
        <f t="shared" si="43"/>
        <v>0</v>
      </c>
      <c r="U36" s="10">
        <f t="shared" si="44"/>
        <v>0</v>
      </c>
      <c r="V36" s="10">
        <f t="shared" si="45"/>
        <v>0</v>
      </c>
      <c r="W36" s="10">
        <f t="shared" si="46"/>
        <v>0</v>
      </c>
      <c r="X36" s="10">
        <f t="shared" si="47"/>
        <v>22160</v>
      </c>
      <c r="Y36" s="10">
        <f t="shared" si="48"/>
        <v>123552</v>
      </c>
      <c r="Z36" s="10">
        <f t="shared" si="49"/>
        <v>123552</v>
      </c>
    </row>
    <row r="37" spans="1:26" ht="12.75" customHeight="1">
      <c r="B37" s="29" t="s">
        <v>141</v>
      </c>
      <c r="C37" s="80">
        <f>'Historical Financials'!C103</f>
        <v>189825</v>
      </c>
      <c r="D37" s="80">
        <f>'Historical Financials'!D103</f>
        <v>47329</v>
      </c>
      <c r="E37" s="80">
        <f>'Historical Financials'!E103</f>
        <v>0</v>
      </c>
      <c r="F37" s="30"/>
      <c r="G37" s="80">
        <f>'Historical Financials'!G103</f>
        <v>0</v>
      </c>
      <c r="H37" s="80">
        <f>'Historical Financials'!H103</f>
        <v>0</v>
      </c>
      <c r="I37" s="80">
        <f>'Historical Financials'!I103</f>
        <v>0</v>
      </c>
      <c r="J37" s="80">
        <f>'Historical Financials'!J103</f>
        <v>47329</v>
      </c>
      <c r="K37" s="80">
        <f>'Historical Financials'!K103</f>
        <v>0</v>
      </c>
      <c r="L37" s="80">
        <f>'Historical Financials'!L103</f>
        <v>0</v>
      </c>
      <c r="M37" s="80">
        <f>'Historical Financials'!M103</f>
        <v>0</v>
      </c>
      <c r="N37" s="80">
        <f>'Historical Financials'!N103</f>
        <v>0</v>
      </c>
      <c r="O37" s="80">
        <f>'Historical Financials'!O103</f>
        <v>0</v>
      </c>
      <c r="P37" s="80">
        <f>'Historical Financials'!P103</f>
        <v>0</v>
      </c>
      <c r="Q37" s="80">
        <f>'Historical Financials'!Q103</f>
        <v>0</v>
      </c>
      <c r="S37" s="10">
        <f t="shared" si="42"/>
        <v>47329</v>
      </c>
      <c r="T37" s="10">
        <f t="shared" si="43"/>
        <v>47329</v>
      </c>
      <c r="U37" s="10">
        <f t="shared" si="44"/>
        <v>47329</v>
      </c>
      <c r="V37" s="10">
        <f t="shared" si="45"/>
        <v>47329</v>
      </c>
      <c r="W37" s="10">
        <f t="shared" si="46"/>
        <v>0</v>
      </c>
      <c r="X37" s="10">
        <f t="shared" si="47"/>
        <v>0</v>
      </c>
      <c r="Y37" s="10">
        <f t="shared" si="48"/>
        <v>0</v>
      </c>
      <c r="Z37" s="10">
        <f t="shared" si="49"/>
        <v>0</v>
      </c>
    </row>
    <row r="38" spans="1:26" ht="12.75" customHeight="1">
      <c r="B38" s="29" t="s">
        <v>75</v>
      </c>
      <c r="C38" s="30"/>
      <c r="D38" s="30">
        <f t="shared" ref="D38" si="50">SUM(D43:D44)-SUM(C43:C44)-SUM(D32:D37)</f>
        <v>3774</v>
      </c>
      <c r="E38" s="30">
        <f t="shared" ref="E38" si="51">SUM(E43:E44)-SUM(D43:D44)-SUM(E32:E37)</f>
        <v>8740</v>
      </c>
      <c r="F38" s="30"/>
      <c r="G38" s="30"/>
      <c r="H38" s="30">
        <f t="shared" ref="H38:P38" si="52">SUM(H43:H44)-SUM(G43:G44)-SUM(H32:H37)</f>
        <v>589</v>
      </c>
      <c r="I38" s="30">
        <f t="shared" si="52"/>
        <v>1088</v>
      </c>
      <c r="J38" s="30">
        <f t="shared" si="52"/>
        <v>1803</v>
      </c>
      <c r="K38" s="30">
        <f t="shared" si="52"/>
        <v>2241</v>
      </c>
      <c r="L38" s="30">
        <f t="shared" si="52"/>
        <v>2401</v>
      </c>
      <c r="M38" s="30">
        <f t="shared" si="52"/>
        <v>2228</v>
      </c>
      <c r="N38" s="30">
        <f t="shared" si="52"/>
        <v>1870</v>
      </c>
      <c r="O38" s="30">
        <f t="shared" si="52"/>
        <v>1936</v>
      </c>
      <c r="P38" s="30">
        <f t="shared" si="52"/>
        <v>2415</v>
      </c>
      <c r="Q38" s="30">
        <f>SUM(Q43:Q44)-SUM(P43:P44)-SUM(Q32:Q37)</f>
        <v>2680</v>
      </c>
      <c r="S38" s="10">
        <f t="shared" si="42"/>
        <v>3480</v>
      </c>
      <c r="T38" s="10">
        <f t="shared" si="43"/>
        <v>5721</v>
      </c>
      <c r="U38" s="10">
        <f t="shared" si="44"/>
        <v>7533</v>
      </c>
      <c r="V38" s="10">
        <f t="shared" si="45"/>
        <v>8673</v>
      </c>
      <c r="W38" s="10">
        <f t="shared" si="46"/>
        <v>8740</v>
      </c>
      <c r="X38" s="10">
        <f t="shared" si="47"/>
        <v>8435</v>
      </c>
      <c r="Y38" s="10">
        <f t="shared" si="48"/>
        <v>8449</v>
      </c>
      <c r="Z38" s="10">
        <f t="shared" si="49"/>
        <v>8901</v>
      </c>
    </row>
    <row r="39" spans="1:26" ht="12.75" customHeight="1">
      <c r="B39" s="12" t="s">
        <v>46</v>
      </c>
      <c r="C39" s="13">
        <f>SUM(C32+SUM(C34:C38))</f>
        <v>139448</v>
      </c>
      <c r="D39" s="13">
        <f>SUM(D32+SUM(D34:D38))</f>
        <v>-32422</v>
      </c>
      <c r="E39" s="13">
        <f>SUM(E32+SUM(E34:E38))</f>
        <v>-79879</v>
      </c>
      <c r="G39" s="13">
        <f>SUM(G32+SUM(G34:G38))</f>
        <v>-24038</v>
      </c>
      <c r="H39" s="13">
        <f>SUM(H32+SUM(H34:H38))</f>
        <v>-12461</v>
      </c>
      <c r="I39" s="13">
        <f>SUM(I32+SUM(I34:I38))</f>
        <v>-22570</v>
      </c>
      <c r="J39" s="13">
        <f>SUM(J32+SUM(J34:J38))</f>
        <v>26353</v>
      </c>
      <c r="K39" s="13">
        <f>SUM(K32+SUM(K34:K38))</f>
        <v>-13548</v>
      </c>
      <c r="L39" s="13">
        <f>SUM(L32+SUM(L34:L38))</f>
        <v>-19029</v>
      </c>
      <c r="M39" s="13">
        <f>SUM(M32+SUM(M34:M38))</f>
        <v>-26088</v>
      </c>
      <c r="N39" s="13">
        <f>SUM(N32+SUM(N34:N38))</f>
        <v>-21214</v>
      </c>
      <c r="O39" s="13">
        <f>SUM(O32+SUM(O34:O38))</f>
        <v>3033</v>
      </c>
      <c r="P39" s="13">
        <f>SUM(P32+SUM(P34:P38))</f>
        <v>83122</v>
      </c>
      <c r="Q39" s="13">
        <f>SUM(Q32+SUM(Q34:Q38))</f>
        <v>-18313</v>
      </c>
      <c r="S39" s="13">
        <f>SUM(S32+SUM(S34:S38))</f>
        <v>-32716</v>
      </c>
      <c r="T39" s="13">
        <f>SUM(T32+SUM(T34:T38))</f>
        <v>-22226</v>
      </c>
      <c r="U39" s="13">
        <f>SUM(U32+SUM(U34:U38))</f>
        <v>-28794</v>
      </c>
      <c r="V39" s="13">
        <f>SUM(V32+SUM(V34:V38))</f>
        <v>-32312</v>
      </c>
      <c r="W39" s="13">
        <f>SUM(W32+SUM(W34:W38))</f>
        <v>-79879</v>
      </c>
      <c r="X39" s="13">
        <f>SUM(X32+SUM(X34:X38))</f>
        <v>-63298</v>
      </c>
      <c r="Y39" s="13">
        <f>SUM(Y32+SUM(Y34:Y38))</f>
        <v>38853</v>
      </c>
      <c r="Z39" s="13">
        <f>SUM(Z32+SUM(Z34:Z38))</f>
        <v>46628</v>
      </c>
    </row>
    <row r="40" spans="1:26" ht="5.0999999999999996" customHeight="1"/>
    <row r="41" spans="1:26" ht="12.75" customHeight="1">
      <c r="A41" s="5"/>
      <c r="B41" s="31" t="s">
        <v>47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5.0999999999999996" customHeight="1"/>
    <row r="43" spans="1:26" ht="12.75" customHeight="1">
      <c r="B43" s="8" t="s">
        <v>48</v>
      </c>
      <c r="C43" s="80">
        <f>'Historical Financials'!C37</f>
        <v>233437</v>
      </c>
      <c r="D43" s="80">
        <f>'Historical Financials'!D37</f>
        <v>201015</v>
      </c>
      <c r="E43" s="80">
        <f>'Historical Financials'!E37</f>
        <v>121136</v>
      </c>
      <c r="F43" s="30"/>
      <c r="G43" s="80">
        <f>'Historical Financials'!G37</f>
        <v>209693</v>
      </c>
      <c r="H43" s="80">
        <f>'Historical Financials'!H37</f>
        <v>197232</v>
      </c>
      <c r="I43" s="80">
        <f>'Historical Financials'!I37</f>
        <v>174662</v>
      </c>
      <c r="J43" s="80">
        <f>'Historical Financials'!J37</f>
        <v>201015</v>
      </c>
      <c r="K43" s="80">
        <f>'Historical Financials'!K37</f>
        <v>187467</v>
      </c>
      <c r="L43" s="80">
        <f>'Historical Financials'!L37</f>
        <v>168438</v>
      </c>
      <c r="M43" s="80">
        <f>'Historical Financials'!M37</f>
        <v>142350</v>
      </c>
      <c r="N43" s="80">
        <f>'Historical Financials'!N37</f>
        <v>121136</v>
      </c>
      <c r="O43" s="80">
        <f>'Historical Financials'!O37</f>
        <v>124169</v>
      </c>
      <c r="P43" s="80">
        <f>'Historical Financials'!P37</f>
        <v>207291</v>
      </c>
      <c r="Q43" s="80">
        <f>'Historical Financials'!Q37</f>
        <v>148978</v>
      </c>
      <c r="S43" s="10">
        <f t="shared" ref="S43:S44" si="53">J43</f>
        <v>201015</v>
      </c>
      <c r="T43" s="10">
        <f t="shared" ref="T43:T44" si="54">K43</f>
        <v>187467</v>
      </c>
      <c r="U43" s="10">
        <f t="shared" ref="U43:U44" si="55">L43</f>
        <v>168438</v>
      </c>
      <c r="V43" s="10">
        <f t="shared" ref="V43:V44" si="56">M43</f>
        <v>142350</v>
      </c>
      <c r="W43" s="10">
        <f t="shared" ref="W43:W44" si="57">N43</f>
        <v>121136</v>
      </c>
      <c r="X43" s="10">
        <f t="shared" ref="X43:X44" si="58">O43</f>
        <v>124169</v>
      </c>
      <c r="Y43" s="10">
        <f t="shared" ref="Y43:Y44" si="59">P43</f>
        <v>207291</v>
      </c>
      <c r="Z43" s="10">
        <f>Q43</f>
        <v>148978</v>
      </c>
    </row>
    <row r="44" spans="1:26" ht="12.75" customHeight="1">
      <c r="B44" s="8" t="s">
        <v>93</v>
      </c>
      <c r="C44" s="80">
        <f>'Historical Financials'!C39</f>
        <v>0</v>
      </c>
      <c r="D44" s="80">
        <f>'Historical Financials'!D39</f>
        <v>0</v>
      </c>
      <c r="E44" s="80">
        <f>'Historical Financials'!E39</f>
        <v>0</v>
      </c>
      <c r="F44" s="30"/>
      <c r="G44" s="80">
        <f>'Historical Financials'!G39</f>
        <v>0</v>
      </c>
      <c r="H44" s="80">
        <f>'Historical Financials'!H39</f>
        <v>0</v>
      </c>
      <c r="I44" s="80">
        <f>'Historical Financials'!I39</f>
        <v>0</v>
      </c>
      <c r="J44" s="80">
        <f>'Historical Financials'!J39</f>
        <v>0</v>
      </c>
      <c r="K44" s="80">
        <f>'Historical Financials'!K39</f>
        <v>0</v>
      </c>
      <c r="L44" s="80">
        <f>'Historical Financials'!L39</f>
        <v>0</v>
      </c>
      <c r="M44" s="80">
        <f>'Historical Financials'!M39</f>
        <v>0</v>
      </c>
      <c r="N44" s="80">
        <f>'Historical Financials'!N39</f>
        <v>0</v>
      </c>
      <c r="O44" s="80">
        <f>'Historical Financials'!O39</f>
        <v>0</v>
      </c>
      <c r="P44" s="80">
        <f>'Historical Financials'!P39</f>
        <v>0</v>
      </c>
      <c r="Q44" s="80">
        <f>'Historical Financials'!Q39</f>
        <v>40000</v>
      </c>
      <c r="S44" s="10">
        <f t="shared" si="53"/>
        <v>0</v>
      </c>
      <c r="T44" s="10">
        <f t="shared" si="54"/>
        <v>0</v>
      </c>
      <c r="U44" s="10">
        <f t="shared" si="55"/>
        <v>0</v>
      </c>
      <c r="V44" s="10">
        <f t="shared" si="56"/>
        <v>0</v>
      </c>
      <c r="W44" s="10">
        <f t="shared" si="57"/>
        <v>0</v>
      </c>
      <c r="X44" s="10">
        <f t="shared" si="58"/>
        <v>0</v>
      </c>
      <c r="Y44" s="10">
        <f t="shared" si="59"/>
        <v>0</v>
      </c>
      <c r="Z44" s="10">
        <f>Q44</f>
        <v>40000</v>
      </c>
    </row>
    <row r="45" spans="1:26" ht="12.75" customHeight="1">
      <c r="B45" s="12" t="s">
        <v>49</v>
      </c>
      <c r="C45" s="13">
        <f>SUM(C43:C44)</f>
        <v>233437</v>
      </c>
      <c r="D45" s="13">
        <f>SUM(D43:D44)</f>
        <v>201015</v>
      </c>
      <c r="E45" s="13">
        <f>SUM(E43:E44)</f>
        <v>121136</v>
      </c>
      <c r="F45" s="30"/>
      <c r="G45" s="13">
        <f>SUM(G43:G44)</f>
        <v>209693</v>
      </c>
      <c r="H45" s="13">
        <f>SUM(H43:H44)</f>
        <v>197232</v>
      </c>
      <c r="I45" s="13">
        <f>SUM(I43:I44)</f>
        <v>174662</v>
      </c>
      <c r="J45" s="13">
        <f>SUM(J43:J44)</f>
        <v>201015</v>
      </c>
      <c r="K45" s="13">
        <f>SUM(K43:K44)</f>
        <v>187467</v>
      </c>
      <c r="L45" s="13">
        <f>SUM(L43:L44)</f>
        <v>168438</v>
      </c>
      <c r="M45" s="13">
        <f>SUM(M43:M44)</f>
        <v>142350</v>
      </c>
      <c r="N45" s="13">
        <f>SUM(N43:N44)</f>
        <v>121136</v>
      </c>
      <c r="O45" s="13">
        <f>SUM(O43:O44)</f>
        <v>124169</v>
      </c>
      <c r="P45" s="13">
        <f>SUM(P43:P44)</f>
        <v>207291</v>
      </c>
      <c r="Q45" s="13">
        <f>SUM(Q43:Q44)</f>
        <v>188978</v>
      </c>
      <c r="S45" s="13">
        <f>SUM(S43:S44)</f>
        <v>201015</v>
      </c>
      <c r="T45" s="13">
        <f>SUM(T43:T44)</f>
        <v>187467</v>
      </c>
      <c r="U45" s="13">
        <f>SUM(U43:U44)</f>
        <v>168438</v>
      </c>
      <c r="V45" s="13">
        <f>SUM(V43:V44)</f>
        <v>142350</v>
      </c>
      <c r="W45" s="13">
        <f>SUM(W43:W44)</f>
        <v>121136</v>
      </c>
      <c r="X45" s="13">
        <f>SUM(X43:X44)</f>
        <v>124169</v>
      </c>
      <c r="Y45" s="13">
        <f>SUM(Y43:Y44)</f>
        <v>207291</v>
      </c>
      <c r="Z45" s="13">
        <f>SUM(Z43:Z44)</f>
        <v>188978</v>
      </c>
    </row>
    <row r="46" spans="1:26" ht="5.0999999999999996" customHeight="1"/>
    <row r="47" spans="1:26" ht="12.75" customHeight="1">
      <c r="B47" s="33" t="s">
        <v>50</v>
      </c>
    </row>
    <row r="48" spans="1:26" ht="12.75" customHeight="1">
      <c r="B48" s="8" t="s">
        <v>51</v>
      </c>
      <c r="C48" s="80">
        <f>'Historical Financials'!C44</f>
        <v>20616</v>
      </c>
      <c r="D48" s="80">
        <f>'Historical Financials'!D44</f>
        <v>22864</v>
      </c>
      <c r="E48" s="80">
        <f>'Historical Financials'!E44</f>
        <v>21854</v>
      </c>
      <c r="G48" s="80">
        <f>'Historical Financials'!G44</f>
        <v>20863</v>
      </c>
      <c r="H48" s="80">
        <f>'Historical Financials'!H44</f>
        <v>22155</v>
      </c>
      <c r="I48" s="80">
        <f>'Historical Financials'!I44</f>
        <v>23130</v>
      </c>
      <c r="J48" s="80">
        <f>'Historical Financials'!J44</f>
        <v>22864</v>
      </c>
      <c r="K48" s="80">
        <f>'Historical Financials'!K44</f>
        <v>22609</v>
      </c>
      <c r="L48" s="80">
        <f>'Historical Financials'!L44</f>
        <v>22328</v>
      </c>
      <c r="M48" s="80">
        <f>'Historical Financials'!M44</f>
        <v>22077</v>
      </c>
      <c r="N48" s="80">
        <f>'Historical Financials'!N44</f>
        <v>21854</v>
      </c>
      <c r="O48" s="80">
        <f>'Historical Financials'!O44</f>
        <v>21604</v>
      </c>
      <c r="P48" s="80">
        <f>'Historical Financials'!P44</f>
        <v>21364</v>
      </c>
      <c r="Q48" s="80">
        <f>'Historical Financials'!Q44</f>
        <v>21135</v>
      </c>
      <c r="R48" s="10"/>
      <c r="S48" s="10">
        <f t="shared" ref="S48:Y48" si="60">J48</f>
        <v>22864</v>
      </c>
      <c r="T48" s="10">
        <f t="shared" si="60"/>
        <v>22609</v>
      </c>
      <c r="U48" s="10">
        <f t="shared" si="60"/>
        <v>22328</v>
      </c>
      <c r="V48" s="10">
        <f t="shared" si="60"/>
        <v>22077</v>
      </c>
      <c r="W48" s="10">
        <f t="shared" si="60"/>
        <v>21854</v>
      </c>
      <c r="X48" s="10">
        <f t="shared" si="60"/>
        <v>21604</v>
      </c>
      <c r="Y48" s="10">
        <f t="shared" si="60"/>
        <v>21364</v>
      </c>
      <c r="Z48" s="10">
        <f>Q48</f>
        <v>21135</v>
      </c>
    </row>
    <row r="49" spans="1:26" ht="12.75" customHeight="1">
      <c r="B49" s="8" t="s">
        <v>116</v>
      </c>
      <c r="C49" s="80">
        <f>'Historical Financials'!C50</f>
        <v>7126</v>
      </c>
      <c r="D49" s="80">
        <f>'Historical Financials'!D50</f>
        <v>4017</v>
      </c>
      <c r="E49" s="80">
        <f>'Historical Financials'!E50</f>
        <v>10573</v>
      </c>
      <c r="F49" s="80"/>
      <c r="G49" s="80">
        <f>'Historical Financials'!G50</f>
        <v>3332</v>
      </c>
      <c r="H49" s="80">
        <f>'Historical Financials'!H50</f>
        <v>4758</v>
      </c>
      <c r="I49" s="80">
        <f>'Historical Financials'!I50</f>
        <v>3534</v>
      </c>
      <c r="J49" s="80">
        <f>'Historical Financials'!J50</f>
        <v>4017</v>
      </c>
      <c r="K49" s="80">
        <f>'Historical Financials'!K50</f>
        <v>8242</v>
      </c>
      <c r="L49" s="80">
        <f>'Historical Financials'!L50</f>
        <v>10338</v>
      </c>
      <c r="M49" s="80">
        <f>'Historical Financials'!M50</f>
        <v>9492</v>
      </c>
      <c r="N49" s="80">
        <f>'Historical Financials'!N50</f>
        <v>10573</v>
      </c>
      <c r="O49" s="80">
        <f>'Historical Financials'!O50</f>
        <v>9603</v>
      </c>
      <c r="P49" s="80">
        <f>'Historical Financials'!P50</f>
        <v>52552</v>
      </c>
      <c r="Q49" s="80">
        <f>'Historical Financials'!Q50</f>
        <v>52244</v>
      </c>
      <c r="S49" s="10">
        <f t="shared" ref="S49:S52" si="61">J49</f>
        <v>4017</v>
      </c>
      <c r="T49" s="10">
        <f t="shared" ref="T49:T52" si="62">K49</f>
        <v>8242</v>
      </c>
      <c r="U49" s="10">
        <f t="shared" ref="U49:U52" si="63">L49</f>
        <v>10338</v>
      </c>
      <c r="V49" s="10">
        <f t="shared" ref="V49:V52" si="64">M49</f>
        <v>9492</v>
      </c>
      <c r="W49" s="10">
        <f t="shared" ref="W49:W52" si="65">N49</f>
        <v>10573</v>
      </c>
      <c r="X49" s="10">
        <f t="shared" ref="X49:X52" si="66">O49</f>
        <v>9603</v>
      </c>
      <c r="Y49" s="10">
        <f t="shared" ref="Y49:Y52" si="67">P49</f>
        <v>52552</v>
      </c>
      <c r="Z49" s="10">
        <f t="shared" ref="Z49:Z52" si="68">Q49</f>
        <v>52244</v>
      </c>
    </row>
    <row r="50" spans="1:26" ht="12.75" customHeight="1">
      <c r="B50" s="8" t="s">
        <v>117</v>
      </c>
      <c r="C50" s="80">
        <f>'Historical Financials'!C51</f>
        <v>2803</v>
      </c>
      <c r="D50" s="80">
        <f>'Historical Financials'!D51</f>
        <v>2280</v>
      </c>
      <c r="E50" s="80">
        <f>'Historical Financials'!E51</f>
        <v>3037</v>
      </c>
      <c r="F50" s="80"/>
      <c r="G50" s="80">
        <f>'Historical Financials'!G51</f>
        <v>2925</v>
      </c>
      <c r="H50" s="80">
        <f>'Historical Financials'!H51</f>
        <v>3318</v>
      </c>
      <c r="I50" s="80">
        <f>'Historical Financials'!I51</f>
        <v>4096</v>
      </c>
      <c r="J50" s="80">
        <f>'Historical Financials'!J51</f>
        <v>2280</v>
      </c>
      <c r="K50" s="80">
        <f>'Historical Financials'!K51</f>
        <v>5276</v>
      </c>
      <c r="L50" s="80">
        <f>'Historical Financials'!L51</f>
        <v>7044</v>
      </c>
      <c r="M50" s="80">
        <f>'Historical Financials'!M51</f>
        <v>7344</v>
      </c>
      <c r="N50" s="80">
        <f>'Historical Financials'!N51</f>
        <v>3037</v>
      </c>
      <c r="O50" s="80">
        <f>'Historical Financials'!O51</f>
        <v>1797</v>
      </c>
      <c r="P50" s="80">
        <f>'Historical Financials'!P51</f>
        <v>1596</v>
      </c>
      <c r="Q50" s="80">
        <f>'Historical Financials'!Q51</f>
        <v>2543</v>
      </c>
      <c r="S50" s="10">
        <f t="shared" si="61"/>
        <v>2280</v>
      </c>
      <c r="T50" s="10">
        <f t="shared" si="62"/>
        <v>5276</v>
      </c>
      <c r="U50" s="10">
        <f t="shared" si="63"/>
        <v>7044</v>
      </c>
      <c r="V50" s="10">
        <f t="shared" si="64"/>
        <v>7344</v>
      </c>
      <c r="W50" s="10">
        <f t="shared" si="65"/>
        <v>3037</v>
      </c>
      <c r="X50" s="10">
        <f t="shared" si="66"/>
        <v>1797</v>
      </c>
      <c r="Y50" s="10">
        <f t="shared" si="67"/>
        <v>1596</v>
      </c>
      <c r="Z50" s="10">
        <f t="shared" si="68"/>
        <v>2543</v>
      </c>
    </row>
    <row r="51" spans="1:26" ht="12.75" customHeight="1">
      <c r="B51" s="8" t="s">
        <v>52</v>
      </c>
      <c r="C51" s="80">
        <f>'Historical Financials'!C56</f>
        <v>12534</v>
      </c>
      <c r="D51" s="80">
        <f>'Historical Financials'!D56</f>
        <v>7063</v>
      </c>
      <c r="E51" s="80">
        <f>'Historical Financials'!E56</f>
        <v>14195</v>
      </c>
      <c r="F51" s="80"/>
      <c r="G51" s="80">
        <f>'Historical Financials'!G56</f>
        <v>6789</v>
      </c>
      <c r="H51" s="80">
        <f>'Historical Financials'!H56</f>
        <v>8722</v>
      </c>
      <c r="I51" s="80">
        <f>'Historical Financials'!I56</f>
        <v>8308</v>
      </c>
      <c r="J51" s="80">
        <f>'Historical Financials'!J56</f>
        <v>7063</v>
      </c>
      <c r="K51" s="80">
        <f>'Historical Financials'!K56</f>
        <v>13909</v>
      </c>
      <c r="L51" s="80">
        <f>'Historical Financials'!L56</f>
        <v>17895</v>
      </c>
      <c r="M51" s="80">
        <f>'Historical Financials'!M56</f>
        <v>17414</v>
      </c>
      <c r="N51" s="80">
        <f>'Historical Financials'!N56</f>
        <v>14195</v>
      </c>
      <c r="O51" s="80">
        <f>'Historical Financials'!O56</f>
        <v>77121</v>
      </c>
      <c r="P51" s="80">
        <f>'Historical Financials'!P56</f>
        <v>54594</v>
      </c>
      <c r="Q51" s="80">
        <f>'Historical Financials'!Q56</f>
        <v>57034</v>
      </c>
      <c r="S51" s="10">
        <f t="shared" si="61"/>
        <v>7063</v>
      </c>
      <c r="T51" s="10">
        <f t="shared" si="62"/>
        <v>13909</v>
      </c>
      <c r="U51" s="10">
        <f t="shared" si="63"/>
        <v>17895</v>
      </c>
      <c r="V51" s="10">
        <f t="shared" si="64"/>
        <v>17414</v>
      </c>
      <c r="W51" s="10">
        <f t="shared" si="65"/>
        <v>14195</v>
      </c>
      <c r="X51" s="10">
        <f t="shared" si="66"/>
        <v>77121</v>
      </c>
      <c r="Y51" s="10">
        <f t="shared" si="67"/>
        <v>54594</v>
      </c>
      <c r="Z51" s="10">
        <f t="shared" si="68"/>
        <v>57034</v>
      </c>
    </row>
    <row r="52" spans="1:26" ht="12.75" customHeight="1">
      <c r="B52" s="8" t="s">
        <v>16</v>
      </c>
      <c r="C52" s="80">
        <f>'Historical Financials'!C61</f>
        <v>12867</v>
      </c>
      <c r="D52" s="80">
        <f>'Historical Financials'!D61</f>
        <v>7295</v>
      </c>
      <c r="E52" s="80">
        <f>'Historical Financials'!E61</f>
        <v>14195</v>
      </c>
      <c r="F52" s="80"/>
      <c r="G52" s="80">
        <f>'Historical Financials'!G61</f>
        <v>7097</v>
      </c>
      <c r="H52" s="80">
        <f>'Historical Financials'!H61</f>
        <v>9011</v>
      </c>
      <c r="I52" s="80">
        <f>'Historical Financials'!I61</f>
        <v>8567</v>
      </c>
      <c r="J52" s="80">
        <f>'Historical Financials'!J61</f>
        <v>7295</v>
      </c>
      <c r="K52" s="80">
        <f>'Historical Financials'!K61</f>
        <v>14106</v>
      </c>
      <c r="L52" s="80">
        <f>'Historical Financials'!L61</f>
        <v>17895</v>
      </c>
      <c r="M52" s="80">
        <f>'Historical Financials'!M61</f>
        <v>17414</v>
      </c>
      <c r="N52" s="80">
        <f>'Historical Financials'!N61</f>
        <v>14195</v>
      </c>
      <c r="O52" s="80">
        <f>'Historical Financials'!O61</f>
        <v>77121</v>
      </c>
      <c r="P52" s="80">
        <f>'Historical Financials'!P61</f>
        <v>54594</v>
      </c>
      <c r="Q52" s="80">
        <f>'Historical Financials'!Q61</f>
        <v>57114</v>
      </c>
      <c r="S52" s="10">
        <f t="shared" si="61"/>
        <v>7295</v>
      </c>
      <c r="T52" s="10">
        <f t="shared" si="62"/>
        <v>14106</v>
      </c>
      <c r="U52" s="10">
        <f t="shared" si="63"/>
        <v>17895</v>
      </c>
      <c r="V52" s="10">
        <f t="shared" si="64"/>
        <v>17414</v>
      </c>
      <c r="W52" s="10">
        <f t="shared" si="65"/>
        <v>14195</v>
      </c>
      <c r="X52" s="10">
        <f t="shared" si="66"/>
        <v>77121</v>
      </c>
      <c r="Y52" s="10">
        <f t="shared" si="67"/>
        <v>54594</v>
      </c>
      <c r="Z52" s="10">
        <f t="shared" si="68"/>
        <v>57114</v>
      </c>
    </row>
    <row r="53" spans="1:26" ht="5.0999999999999996" customHeight="1"/>
    <row r="54" spans="1:26" ht="12.75" customHeight="1">
      <c r="B54" s="29" t="s">
        <v>103</v>
      </c>
      <c r="C54" s="73">
        <v>0</v>
      </c>
      <c r="D54" s="73">
        <v>0</v>
      </c>
      <c r="E54" s="73">
        <v>0</v>
      </c>
      <c r="G54" s="73">
        <v>0</v>
      </c>
      <c r="H54" s="73">
        <v>0</v>
      </c>
      <c r="I54" s="73">
        <v>0</v>
      </c>
      <c r="J54" s="104">
        <f>C54</f>
        <v>0</v>
      </c>
      <c r="K54" s="73">
        <v>0</v>
      </c>
      <c r="L54" s="73">
        <v>0</v>
      </c>
      <c r="M54" s="73">
        <v>0</v>
      </c>
      <c r="N54" s="104">
        <f>D54</f>
        <v>0</v>
      </c>
      <c r="O54" s="73">
        <v>0</v>
      </c>
      <c r="P54" s="73">
        <v>0</v>
      </c>
      <c r="Q54" s="73">
        <v>0</v>
      </c>
      <c r="R54" s="105"/>
      <c r="S54" s="10">
        <f t="shared" ref="S54" si="69">J54</f>
        <v>0</v>
      </c>
      <c r="T54" s="10">
        <f t="shared" ref="T54" si="70">K54</f>
        <v>0</v>
      </c>
      <c r="U54" s="10">
        <f t="shared" ref="U54" si="71">L54</f>
        <v>0</v>
      </c>
      <c r="V54" s="10">
        <f t="shared" ref="V54" si="72">M54</f>
        <v>0</v>
      </c>
      <c r="W54" s="10">
        <f t="shared" ref="W54" si="73">N54</f>
        <v>0</v>
      </c>
      <c r="X54" s="10">
        <f t="shared" ref="X54" si="74">O54</f>
        <v>0</v>
      </c>
      <c r="Y54" s="10">
        <f t="shared" ref="Y54" si="75">P54</f>
        <v>0</v>
      </c>
      <c r="Z54" s="10">
        <f t="shared" ref="Z54" si="76">Q54</f>
        <v>0</v>
      </c>
    </row>
    <row r="55" spans="1:26" ht="12.75" customHeight="1">
      <c r="B55" s="12" t="s">
        <v>23</v>
      </c>
      <c r="C55" s="13">
        <f>SUM(C54:C54)</f>
        <v>0</v>
      </c>
      <c r="D55" s="13">
        <f>SUM(D54:D54)</f>
        <v>0</v>
      </c>
      <c r="E55" s="13">
        <f>SUM(E54:E54)</f>
        <v>0</v>
      </c>
      <c r="G55" s="13">
        <f t="shared" ref="G55:Q55" si="77">SUM(G54:G54)</f>
        <v>0</v>
      </c>
      <c r="H55" s="13">
        <f t="shared" si="77"/>
        <v>0</v>
      </c>
      <c r="I55" s="13">
        <f t="shared" si="77"/>
        <v>0</v>
      </c>
      <c r="J55" s="13">
        <f t="shared" si="77"/>
        <v>0</v>
      </c>
      <c r="K55" s="13">
        <f t="shared" si="77"/>
        <v>0</v>
      </c>
      <c r="L55" s="13">
        <f t="shared" si="77"/>
        <v>0</v>
      </c>
      <c r="M55" s="13">
        <f t="shared" si="77"/>
        <v>0</v>
      </c>
      <c r="N55" s="13">
        <f t="shared" si="77"/>
        <v>0</v>
      </c>
      <c r="O55" s="13">
        <f t="shared" si="77"/>
        <v>0</v>
      </c>
      <c r="P55" s="13">
        <f t="shared" si="77"/>
        <v>0</v>
      </c>
      <c r="Q55" s="13">
        <f t="shared" si="77"/>
        <v>0</v>
      </c>
      <c r="S55" s="13">
        <f t="shared" ref="S55:Z55" si="78">SUM(S54:S54)</f>
        <v>0</v>
      </c>
      <c r="T55" s="13">
        <f t="shared" si="78"/>
        <v>0</v>
      </c>
      <c r="U55" s="13">
        <f t="shared" si="78"/>
        <v>0</v>
      </c>
      <c r="V55" s="13">
        <f t="shared" si="78"/>
        <v>0</v>
      </c>
      <c r="W55" s="13">
        <f t="shared" si="78"/>
        <v>0</v>
      </c>
      <c r="X55" s="13">
        <f t="shared" si="78"/>
        <v>0</v>
      </c>
      <c r="Y55" s="13">
        <f t="shared" si="78"/>
        <v>0</v>
      </c>
      <c r="Z55" s="13">
        <f t="shared" si="78"/>
        <v>0</v>
      </c>
    </row>
    <row r="56" spans="1:26" ht="5.0999999999999996" customHeight="1"/>
    <row r="57" spans="1:26" ht="12.75" customHeight="1">
      <c r="B57" s="8" t="s">
        <v>53</v>
      </c>
      <c r="C57" s="80">
        <f>'Historical Financials'!C66</f>
        <v>-207306</v>
      </c>
      <c r="D57" s="80">
        <f>'Historical Financials'!D66</f>
        <v>-283552</v>
      </c>
      <c r="E57" s="80">
        <f>'Historical Financials'!E66</f>
        <v>-380769</v>
      </c>
      <c r="G57" s="80">
        <f>'Historical Financials'!G66</f>
        <v>-224833</v>
      </c>
      <c r="H57" s="80">
        <f>'Historical Financials'!H66</f>
        <v>-244161</v>
      </c>
      <c r="I57" s="80">
        <f>'Historical Financials'!I66</f>
        <v>-264418</v>
      </c>
      <c r="J57" s="80">
        <f>'Historical Financials'!J66</f>
        <v>-283552</v>
      </c>
      <c r="K57" s="80">
        <f>'Historical Financials'!K66</f>
        <v>-307823</v>
      </c>
      <c r="L57" s="80">
        <f>'Historical Financials'!L66</f>
        <v>-334199</v>
      </c>
      <c r="M57" s="80">
        <f>'Historical Financials'!M66</f>
        <v>-359850</v>
      </c>
      <c r="N57" s="80">
        <f>'Historical Financials'!N66</f>
        <v>-380769</v>
      </c>
      <c r="O57" s="80">
        <f>'Historical Financials'!O66</f>
        <v>-355726</v>
      </c>
      <c r="P57" s="80">
        <f>'Historical Financials'!P66</f>
        <v>-349571</v>
      </c>
      <c r="Q57" s="80">
        <f>'Historical Financials'!Q66</f>
        <v>-377514</v>
      </c>
      <c r="S57" s="10">
        <f t="shared" ref="S57" si="79">J57</f>
        <v>-283552</v>
      </c>
      <c r="T57" s="10">
        <f t="shared" ref="T57" si="80">K57</f>
        <v>-307823</v>
      </c>
      <c r="U57" s="10">
        <f t="shared" ref="U57" si="81">L57</f>
        <v>-334199</v>
      </c>
      <c r="V57" s="10">
        <f t="shared" ref="V57" si="82">M57</f>
        <v>-359850</v>
      </c>
      <c r="W57" s="10">
        <f t="shared" ref="W57" si="83">N57</f>
        <v>-380769</v>
      </c>
      <c r="X57" s="10">
        <f t="shared" ref="X57" si="84">O57</f>
        <v>-355726</v>
      </c>
      <c r="Y57" s="10">
        <f t="shared" ref="Y57" si="85">P57</f>
        <v>-349571</v>
      </c>
      <c r="Z57" s="10">
        <f>Q57</f>
        <v>-377514</v>
      </c>
    </row>
    <row r="58" spans="1:26" ht="12.75" customHeight="1">
      <c r="B58" s="12" t="s">
        <v>54</v>
      </c>
      <c r="C58" s="13">
        <f>SUM(C55:C57)</f>
        <v>-207306</v>
      </c>
      <c r="D58" s="13">
        <f>SUM(D55:D57)</f>
        <v>-283552</v>
      </c>
      <c r="E58" s="13">
        <f>SUM(E55:E57)</f>
        <v>-380769</v>
      </c>
      <c r="G58" s="13">
        <f t="shared" ref="G58" si="86">SUM(G55:G57)</f>
        <v>-224833</v>
      </c>
      <c r="H58" s="13">
        <f t="shared" ref="H58:Q58" si="87">SUM(H55:H57)</f>
        <v>-244161</v>
      </c>
      <c r="I58" s="13">
        <f t="shared" si="87"/>
        <v>-264418</v>
      </c>
      <c r="J58" s="13">
        <f t="shared" si="87"/>
        <v>-283552</v>
      </c>
      <c r="K58" s="13">
        <f t="shared" si="87"/>
        <v>-307823</v>
      </c>
      <c r="L58" s="13">
        <f t="shared" si="87"/>
        <v>-334199</v>
      </c>
      <c r="M58" s="13">
        <f t="shared" si="87"/>
        <v>-359850</v>
      </c>
      <c r="N58" s="13">
        <f t="shared" si="87"/>
        <v>-380769</v>
      </c>
      <c r="O58" s="13">
        <f t="shared" si="87"/>
        <v>-355726</v>
      </c>
      <c r="P58" s="13">
        <f t="shared" si="87"/>
        <v>-349571</v>
      </c>
      <c r="Q58" s="13">
        <f t="shared" si="87"/>
        <v>-377514</v>
      </c>
      <c r="S58" s="13">
        <f t="shared" ref="S58:Y58" si="88">SUM(S55:S57)</f>
        <v>-283552</v>
      </c>
      <c r="T58" s="13">
        <f t="shared" si="88"/>
        <v>-307823</v>
      </c>
      <c r="U58" s="13">
        <f t="shared" si="88"/>
        <v>-334199</v>
      </c>
      <c r="V58" s="13">
        <f t="shared" si="88"/>
        <v>-359850</v>
      </c>
      <c r="W58" s="13">
        <f t="shared" si="88"/>
        <v>-380769</v>
      </c>
      <c r="X58" s="13">
        <f t="shared" si="88"/>
        <v>-355726</v>
      </c>
      <c r="Y58" s="13">
        <f t="shared" si="88"/>
        <v>-349571</v>
      </c>
      <c r="Z58" s="13">
        <f>SUM(Z55:Z57)</f>
        <v>-377514</v>
      </c>
    </row>
    <row r="59" spans="1:26" ht="5.0999999999999996" customHeight="1"/>
    <row r="60" spans="1:26" ht="12.75" customHeight="1">
      <c r="A60" s="5"/>
      <c r="B60" s="31" t="s">
        <v>76</v>
      </c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5.0999999999999996" customHeight="1"/>
    <row r="62" spans="1:26" ht="12.75" customHeight="1">
      <c r="B62" s="8" t="s">
        <v>55</v>
      </c>
      <c r="C62" s="113" t="s">
        <v>78</v>
      </c>
      <c r="D62" s="113" t="s">
        <v>78</v>
      </c>
      <c r="E62" s="113" t="s">
        <v>78</v>
      </c>
      <c r="G62" s="111"/>
      <c r="H62" s="111"/>
      <c r="I62" s="111"/>
      <c r="J62" s="111"/>
      <c r="K62" s="113" t="s">
        <v>78</v>
      </c>
      <c r="L62" s="113" t="s">
        <v>78</v>
      </c>
      <c r="M62" s="113" t="s">
        <v>78</v>
      </c>
      <c r="N62" s="113" t="s">
        <v>78</v>
      </c>
      <c r="O62" s="113" t="s">
        <v>78</v>
      </c>
      <c r="P62" s="113" t="s">
        <v>78</v>
      </c>
      <c r="Q62" s="113" t="s">
        <v>78</v>
      </c>
      <c r="R62" s="113"/>
      <c r="S62" s="113" t="s">
        <v>78</v>
      </c>
      <c r="T62" s="113" t="s">
        <v>78</v>
      </c>
      <c r="U62" s="113" t="s">
        <v>78</v>
      </c>
      <c r="V62" s="113" t="s">
        <v>78</v>
      </c>
      <c r="W62" s="113" t="s">
        <v>78</v>
      </c>
      <c r="X62" s="113" t="s">
        <v>78</v>
      </c>
      <c r="Y62" s="113" t="s">
        <v>78</v>
      </c>
      <c r="Z62" s="113" t="s">
        <v>78</v>
      </c>
    </row>
    <row r="63" spans="1:26" ht="12.75" customHeight="1">
      <c r="B63" s="8" t="s">
        <v>56</v>
      </c>
      <c r="C63" s="113" t="s">
        <v>78</v>
      </c>
      <c r="D63" s="113" t="s">
        <v>78</v>
      </c>
      <c r="E63" s="113" t="s">
        <v>78</v>
      </c>
      <c r="G63" s="111"/>
      <c r="H63" s="111"/>
      <c r="I63" s="111"/>
      <c r="J63" s="111"/>
      <c r="K63" s="113" t="s">
        <v>78</v>
      </c>
      <c r="L63" s="113" t="s">
        <v>78</v>
      </c>
      <c r="M63" s="113" t="s">
        <v>78</v>
      </c>
      <c r="N63" s="113" t="s">
        <v>78</v>
      </c>
      <c r="O63" s="113" t="s">
        <v>78</v>
      </c>
      <c r="P63" s="113" t="s">
        <v>78</v>
      </c>
      <c r="Q63" s="113" t="s">
        <v>78</v>
      </c>
      <c r="R63" s="113"/>
      <c r="S63" s="113" t="s">
        <v>78</v>
      </c>
      <c r="T63" s="113" t="s">
        <v>78</v>
      </c>
      <c r="U63" s="113" t="s">
        <v>78</v>
      </c>
      <c r="V63" s="113" t="s">
        <v>78</v>
      </c>
      <c r="W63" s="113" t="s">
        <v>78</v>
      </c>
      <c r="X63" s="113" t="s">
        <v>78</v>
      </c>
      <c r="Y63" s="113" t="s">
        <v>78</v>
      </c>
      <c r="Z63" s="113" t="s">
        <v>78</v>
      </c>
    </row>
    <row r="64" spans="1:26" ht="12.75" customHeight="1">
      <c r="B64" s="8" t="s">
        <v>57</v>
      </c>
      <c r="C64" s="113" t="s">
        <v>78</v>
      </c>
      <c r="D64" s="113" t="s">
        <v>78</v>
      </c>
      <c r="E64" s="113" t="s">
        <v>78</v>
      </c>
      <c r="G64" s="111"/>
      <c r="H64" s="111"/>
      <c r="I64" s="111"/>
      <c r="J64" s="111"/>
      <c r="K64" s="113" t="s">
        <v>78</v>
      </c>
      <c r="L64" s="113" t="s">
        <v>78</v>
      </c>
      <c r="M64" s="113" t="s">
        <v>78</v>
      </c>
      <c r="N64" s="113" t="s">
        <v>78</v>
      </c>
      <c r="O64" s="113" t="s">
        <v>78</v>
      </c>
      <c r="P64" s="113" t="s">
        <v>78</v>
      </c>
      <c r="Q64" s="113" t="s">
        <v>78</v>
      </c>
      <c r="S64" s="113" t="s">
        <v>78</v>
      </c>
      <c r="T64" s="113" t="s">
        <v>78</v>
      </c>
      <c r="U64" s="113" t="s">
        <v>78</v>
      </c>
      <c r="V64" s="113" t="s">
        <v>78</v>
      </c>
      <c r="W64" s="113" t="s">
        <v>78</v>
      </c>
      <c r="X64" s="113" t="s">
        <v>78</v>
      </c>
      <c r="Y64" s="113" t="s">
        <v>78</v>
      </c>
      <c r="Z64" s="113" t="s">
        <v>78</v>
      </c>
    </row>
    <row r="65" spans="2:26" ht="12.75" customHeight="1">
      <c r="B65" s="8" t="s">
        <v>58</v>
      </c>
      <c r="C65" s="113" t="s">
        <v>78</v>
      </c>
      <c r="D65" s="113" t="s">
        <v>78</v>
      </c>
      <c r="E65" s="113" t="s">
        <v>78</v>
      </c>
      <c r="G65" s="111"/>
      <c r="H65" s="111"/>
      <c r="I65" s="111"/>
      <c r="J65" s="111"/>
      <c r="K65" s="113" t="s">
        <v>78</v>
      </c>
      <c r="L65" s="113" t="s">
        <v>78</v>
      </c>
      <c r="M65" s="113" t="s">
        <v>78</v>
      </c>
      <c r="N65" s="113" t="s">
        <v>78</v>
      </c>
      <c r="O65" s="113" t="s">
        <v>78</v>
      </c>
      <c r="P65" s="113" t="s">
        <v>78</v>
      </c>
      <c r="Q65" s="113" t="s">
        <v>78</v>
      </c>
      <c r="S65" s="113" t="s">
        <v>78</v>
      </c>
      <c r="T65" s="113" t="s">
        <v>78</v>
      </c>
      <c r="U65" s="113" t="s">
        <v>78</v>
      </c>
      <c r="V65" s="113" t="s">
        <v>78</v>
      </c>
      <c r="W65" s="113" t="s">
        <v>78</v>
      </c>
      <c r="X65" s="113" t="s">
        <v>78</v>
      </c>
      <c r="Y65" s="113" t="s">
        <v>78</v>
      </c>
      <c r="Z65" s="113" t="s">
        <v>78</v>
      </c>
    </row>
    <row r="66" spans="2:26" ht="12.75" customHeight="1">
      <c r="B66" s="8" t="s">
        <v>59</v>
      </c>
      <c r="C66" s="113" t="s">
        <v>78</v>
      </c>
      <c r="D66" s="113" t="s">
        <v>78</v>
      </c>
      <c r="E66" s="113" t="s">
        <v>78</v>
      </c>
      <c r="G66" s="111"/>
      <c r="H66" s="111"/>
      <c r="I66" s="111"/>
      <c r="J66" s="111"/>
      <c r="K66" s="113" t="s">
        <v>78</v>
      </c>
      <c r="L66" s="113" t="s">
        <v>78</v>
      </c>
      <c r="M66" s="113" t="s">
        <v>78</v>
      </c>
      <c r="N66" s="113" t="s">
        <v>78</v>
      </c>
      <c r="O66" s="113" t="s">
        <v>78</v>
      </c>
      <c r="P66" s="113" t="s">
        <v>78</v>
      </c>
      <c r="Q66" s="113" t="s">
        <v>78</v>
      </c>
      <c r="S66" s="113" t="s">
        <v>78</v>
      </c>
      <c r="T66" s="113" t="s">
        <v>78</v>
      </c>
      <c r="U66" s="113" t="s">
        <v>78</v>
      </c>
      <c r="V66" s="113" t="s">
        <v>78</v>
      </c>
      <c r="W66" s="113" t="s">
        <v>78</v>
      </c>
      <c r="X66" s="113" t="s">
        <v>78</v>
      </c>
      <c r="Y66" s="113" t="s">
        <v>78</v>
      </c>
      <c r="Z66" s="113" t="s">
        <v>78</v>
      </c>
    </row>
    <row r="67" spans="2:26" ht="12.75" customHeight="1">
      <c r="B67" s="8" t="s">
        <v>60</v>
      </c>
      <c r="C67" s="113" t="s">
        <v>78</v>
      </c>
      <c r="D67" s="113" t="s">
        <v>78</v>
      </c>
      <c r="E67" s="113" t="s">
        <v>78</v>
      </c>
      <c r="G67" s="111"/>
      <c r="H67" s="111"/>
      <c r="I67" s="111"/>
      <c r="J67" s="111"/>
      <c r="K67" s="113" t="s">
        <v>78</v>
      </c>
      <c r="L67" s="113" t="s">
        <v>78</v>
      </c>
      <c r="M67" s="113" t="s">
        <v>78</v>
      </c>
      <c r="N67" s="113" t="s">
        <v>78</v>
      </c>
      <c r="O67" s="113" t="s">
        <v>78</v>
      </c>
      <c r="P67" s="113" t="s">
        <v>78</v>
      </c>
      <c r="Q67" s="113" t="s">
        <v>78</v>
      </c>
      <c r="S67" s="113" t="s">
        <v>78</v>
      </c>
      <c r="T67" s="113" t="s">
        <v>78</v>
      </c>
      <c r="U67" s="113" t="s">
        <v>78</v>
      </c>
      <c r="V67" s="113" t="s">
        <v>78</v>
      </c>
      <c r="W67" s="113" t="s">
        <v>78</v>
      </c>
      <c r="X67" s="113" t="s">
        <v>78</v>
      </c>
      <c r="Y67" s="113" t="s">
        <v>78</v>
      </c>
      <c r="Z67" s="113" t="s">
        <v>78</v>
      </c>
    </row>
    <row r="68" spans="2:26" ht="5.0999999999999996" customHeight="1" thickBot="1"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</sheetData>
  <mergeCells count="1">
    <mergeCell ref="AB2:AB4"/>
  </mergeCells>
  <dataValidations disablePrompts="1" count="1">
    <dataValidation type="list" allowBlank="1" showInputMessage="1" showErrorMessage="1" sqref="B4" xr:uid="{060857CB-86CD-4220-87C0-9A83C6E53284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A31:AA32 F28:F29 AA33:AB36 F34:F36 H32:Q33 C32:F33 F31" formulaRange="1"/>
    <ignoredError sqref="F64 F67 F62:F63 F65 F66 R65 R66 R67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 Financials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2025-12-21T06:44:08Z</dcterms:modified>
</cp:coreProperties>
</file>