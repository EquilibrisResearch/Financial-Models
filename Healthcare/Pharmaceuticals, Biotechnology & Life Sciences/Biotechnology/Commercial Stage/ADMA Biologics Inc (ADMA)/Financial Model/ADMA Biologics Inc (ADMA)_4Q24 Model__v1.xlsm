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1E56224-A32F-4EEB-9DB0-E9C85303D5EC}" xr6:coauthVersionLast="47" xr6:coauthVersionMax="47" xr10:uidLastSave="{00000000-0000-0000-0000-000000000000}"/>
  <bookViews>
    <workbookView xWindow="-120" yWindow="-120" windowWidth="29040" windowHeight="15720" activeTab="2" xr2:uid="{BC9106CE-9107-4097-8948-317996376CB5}"/>
  </bookViews>
  <sheets>
    <sheet name="Historical Financials" sheetId="8" r:id="rId1"/>
    <sheet name="Revenue Drivers" sheetId="13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9" i="9" l="1"/>
  <c r="O49" i="9"/>
  <c r="Y49" i="9" s="1"/>
  <c r="Y50" i="9" s="1"/>
  <c r="K49" i="9"/>
  <c r="X49" i="9"/>
  <c r="X50" i="9" s="1"/>
  <c r="P49" i="9"/>
  <c r="Z49" i="9" s="1"/>
  <c r="Z50" i="9" s="1"/>
  <c r="Q49" i="9"/>
  <c r="AA49" i="9" s="1"/>
  <c r="AA50" i="9" s="1"/>
  <c r="AB50" i="9"/>
  <c r="V50" i="9"/>
  <c r="AC49" i="9"/>
  <c r="AC50" i="9" s="1"/>
  <c r="AB49" i="9"/>
  <c r="W49" i="9"/>
  <c r="W50" i="9" s="1"/>
  <c r="V49" i="9"/>
  <c r="U49" i="9"/>
  <c r="U50" i="9" s="1"/>
  <c r="R49" i="9"/>
  <c r="S68" i="9"/>
  <c r="S69" i="9" s="1"/>
  <c r="S67" i="9"/>
  <c r="S65" i="9"/>
  <c r="S66" i="9"/>
  <c r="AC66" i="9" s="1"/>
  <c r="O65" i="9"/>
  <c r="O68" i="9"/>
  <c r="O67" i="9"/>
  <c r="O66" i="9"/>
  <c r="K68" i="9"/>
  <c r="K67" i="9"/>
  <c r="K65" i="9"/>
  <c r="U65" i="9" s="1"/>
  <c r="K66" i="9"/>
  <c r="R69" i="9"/>
  <c r="Q69" i="9"/>
  <c r="P69" i="9"/>
  <c r="O69" i="9"/>
  <c r="N69" i="9"/>
  <c r="M69" i="9"/>
  <c r="L69" i="9"/>
  <c r="J69" i="9"/>
  <c r="I69" i="9"/>
  <c r="H69" i="9"/>
  <c r="F69" i="9"/>
  <c r="E69" i="9"/>
  <c r="D69" i="9"/>
  <c r="C69" i="9"/>
  <c r="AC65" i="9"/>
  <c r="AB65" i="9"/>
  <c r="AA65" i="9"/>
  <c r="Z65" i="9"/>
  <c r="Y65" i="9"/>
  <c r="X65" i="9"/>
  <c r="W65" i="9"/>
  <c r="V65" i="9"/>
  <c r="AB66" i="9"/>
  <c r="AA66" i="9"/>
  <c r="Z66" i="9"/>
  <c r="Y66" i="9"/>
  <c r="X66" i="9"/>
  <c r="W66" i="9"/>
  <c r="V66" i="9"/>
  <c r="E49" i="9"/>
  <c r="F49" i="9"/>
  <c r="Q50" i="9"/>
  <c r="I50" i="9"/>
  <c r="S71" i="9"/>
  <c r="R71" i="9"/>
  <c r="Q71" i="9"/>
  <c r="P71" i="9"/>
  <c r="O71" i="9"/>
  <c r="N71" i="9"/>
  <c r="M71" i="9"/>
  <c r="L71" i="9"/>
  <c r="K71" i="9"/>
  <c r="J71" i="9"/>
  <c r="I71" i="9"/>
  <c r="H71" i="9"/>
  <c r="F71" i="9"/>
  <c r="E71" i="9"/>
  <c r="D71" i="9"/>
  <c r="C71" i="9"/>
  <c r="S63" i="9"/>
  <c r="R63" i="9"/>
  <c r="Q63" i="9"/>
  <c r="P63" i="9"/>
  <c r="O63" i="9"/>
  <c r="N63" i="9"/>
  <c r="M63" i="9"/>
  <c r="L63" i="9"/>
  <c r="K63" i="9"/>
  <c r="J63" i="9"/>
  <c r="I63" i="9"/>
  <c r="H63" i="9"/>
  <c r="F63" i="9"/>
  <c r="E63" i="9"/>
  <c r="D63" i="9"/>
  <c r="C63" i="9"/>
  <c r="S59" i="9"/>
  <c r="R59" i="9"/>
  <c r="Q59" i="9"/>
  <c r="P59" i="9"/>
  <c r="O59" i="9"/>
  <c r="N59" i="9"/>
  <c r="M59" i="9"/>
  <c r="L59" i="9"/>
  <c r="K59" i="9"/>
  <c r="J59" i="9"/>
  <c r="I59" i="9"/>
  <c r="H59" i="9"/>
  <c r="S58" i="9"/>
  <c r="R58" i="9"/>
  <c r="Q58" i="9"/>
  <c r="P58" i="9"/>
  <c r="O58" i="9"/>
  <c r="N58" i="9"/>
  <c r="M58" i="9"/>
  <c r="L58" i="9"/>
  <c r="K58" i="9"/>
  <c r="J58" i="9"/>
  <c r="I58" i="9"/>
  <c r="H58" i="9"/>
  <c r="F59" i="9"/>
  <c r="E59" i="9"/>
  <c r="D59" i="9"/>
  <c r="F58" i="9"/>
  <c r="E58" i="9"/>
  <c r="D58" i="9"/>
  <c r="C59" i="9"/>
  <c r="C58" i="9"/>
  <c r="S57" i="9"/>
  <c r="R57" i="9"/>
  <c r="Q57" i="9"/>
  <c r="P57" i="9"/>
  <c r="O57" i="9"/>
  <c r="N57" i="9"/>
  <c r="M57" i="9"/>
  <c r="L57" i="9"/>
  <c r="K57" i="9"/>
  <c r="J57" i="9"/>
  <c r="I57" i="9"/>
  <c r="H57" i="9"/>
  <c r="F57" i="9"/>
  <c r="E57" i="9"/>
  <c r="D57" i="9"/>
  <c r="C57" i="9"/>
  <c r="S56" i="9"/>
  <c r="R56" i="9"/>
  <c r="Q56" i="9"/>
  <c r="AA56" i="9" s="1"/>
  <c r="P56" i="9"/>
  <c r="Z56" i="9" s="1"/>
  <c r="O56" i="9"/>
  <c r="Y56" i="9" s="1"/>
  <c r="N56" i="9"/>
  <c r="X56" i="9" s="1"/>
  <c r="M56" i="9"/>
  <c r="W56" i="9" s="1"/>
  <c r="L56" i="9"/>
  <c r="V56" i="9" s="1"/>
  <c r="K56" i="9"/>
  <c r="U56" i="9" s="1"/>
  <c r="J56" i="9"/>
  <c r="I56" i="9"/>
  <c r="H56" i="9"/>
  <c r="F56" i="9"/>
  <c r="E56" i="9"/>
  <c r="D56" i="9"/>
  <c r="C56" i="9"/>
  <c r="AC56" i="9"/>
  <c r="AB56" i="9"/>
  <c r="AB55" i="9"/>
  <c r="Z55" i="9"/>
  <c r="S55" i="9"/>
  <c r="AC55" i="9" s="1"/>
  <c r="R55" i="9"/>
  <c r="Q55" i="9"/>
  <c r="AA55" i="9" s="1"/>
  <c r="P55" i="9"/>
  <c r="O55" i="9"/>
  <c r="Y55" i="9" s="1"/>
  <c r="N55" i="9"/>
  <c r="X55" i="9" s="1"/>
  <c r="M55" i="9"/>
  <c r="W55" i="9" s="1"/>
  <c r="L55" i="9"/>
  <c r="V55" i="9" s="1"/>
  <c r="K55" i="9"/>
  <c r="U55" i="9" s="1"/>
  <c r="J55" i="9"/>
  <c r="I55" i="9"/>
  <c r="H55" i="9"/>
  <c r="F55" i="9"/>
  <c r="E55" i="9"/>
  <c r="D55" i="9"/>
  <c r="C55" i="9"/>
  <c r="S54" i="9"/>
  <c r="AC54" i="9" s="1"/>
  <c r="R54" i="9"/>
  <c r="AB54" i="9" s="1"/>
  <c r="Q54" i="9"/>
  <c r="AA54" i="9" s="1"/>
  <c r="P54" i="9"/>
  <c r="Z54" i="9" s="1"/>
  <c r="O54" i="9"/>
  <c r="Y54" i="9" s="1"/>
  <c r="N54" i="9"/>
  <c r="X54" i="9" s="1"/>
  <c r="M54" i="9"/>
  <c r="W54" i="9" s="1"/>
  <c r="L54" i="9"/>
  <c r="V54" i="9" s="1"/>
  <c r="K54" i="9"/>
  <c r="U54" i="9" s="1"/>
  <c r="J54" i="9"/>
  <c r="I54" i="9"/>
  <c r="H54" i="9"/>
  <c r="F54" i="9"/>
  <c r="E54" i="9"/>
  <c r="D54" i="9"/>
  <c r="C54" i="9"/>
  <c r="S53" i="9"/>
  <c r="R53" i="9"/>
  <c r="Q53" i="9"/>
  <c r="P53" i="9"/>
  <c r="O53" i="9"/>
  <c r="N53" i="9"/>
  <c r="M53" i="9"/>
  <c r="L53" i="9"/>
  <c r="K53" i="9"/>
  <c r="J53" i="9"/>
  <c r="I53" i="9"/>
  <c r="H53" i="9"/>
  <c r="F53" i="9"/>
  <c r="E53" i="9"/>
  <c r="D53" i="9"/>
  <c r="C53" i="9"/>
  <c r="S48" i="9"/>
  <c r="R48" i="9"/>
  <c r="Q48" i="9"/>
  <c r="P48" i="9"/>
  <c r="P50" i="9" s="1"/>
  <c r="O48" i="9"/>
  <c r="O50" i="9" s="1"/>
  <c r="N48" i="9"/>
  <c r="M48" i="9"/>
  <c r="M50" i="9" s="1"/>
  <c r="L48" i="9"/>
  <c r="L50" i="9" s="1"/>
  <c r="K48" i="9"/>
  <c r="J48" i="9"/>
  <c r="J50" i="9" s="1"/>
  <c r="I48" i="9"/>
  <c r="H48" i="9"/>
  <c r="H50" i="9" s="1"/>
  <c r="F48" i="9"/>
  <c r="F50" i="9" s="1"/>
  <c r="E48" i="9"/>
  <c r="E50" i="9" s="1"/>
  <c r="D48" i="9"/>
  <c r="D50" i="9" s="1"/>
  <c r="C48" i="9"/>
  <c r="C50" i="9" s="1"/>
  <c r="S42" i="9"/>
  <c r="R42" i="9"/>
  <c r="Q42" i="9"/>
  <c r="P42" i="9"/>
  <c r="O42" i="9"/>
  <c r="N42" i="9"/>
  <c r="M42" i="9"/>
  <c r="L42" i="9"/>
  <c r="K42" i="9"/>
  <c r="J42" i="9"/>
  <c r="I42" i="9"/>
  <c r="S41" i="9"/>
  <c r="R41" i="9"/>
  <c r="Q41" i="9"/>
  <c r="P41" i="9"/>
  <c r="O41" i="9"/>
  <c r="N41" i="9"/>
  <c r="M41" i="9"/>
  <c r="L41" i="9"/>
  <c r="K41" i="9"/>
  <c r="J41" i="9"/>
  <c r="I41" i="9"/>
  <c r="S40" i="9"/>
  <c r="R40" i="9"/>
  <c r="Q40" i="9"/>
  <c r="P40" i="9"/>
  <c r="O40" i="9"/>
  <c r="N40" i="9"/>
  <c r="M40" i="9"/>
  <c r="L40" i="9"/>
  <c r="K40" i="9"/>
  <c r="J40" i="9"/>
  <c r="I40" i="9"/>
  <c r="S39" i="9"/>
  <c r="R39" i="9"/>
  <c r="Q39" i="9"/>
  <c r="P39" i="9"/>
  <c r="O39" i="9"/>
  <c r="N39" i="9"/>
  <c r="M39" i="9"/>
  <c r="L39" i="9"/>
  <c r="K39" i="9"/>
  <c r="J39" i="9"/>
  <c r="I39" i="9"/>
  <c r="S38" i="9"/>
  <c r="R38" i="9"/>
  <c r="Q38" i="9"/>
  <c r="P38" i="9"/>
  <c r="O38" i="9"/>
  <c r="N38" i="9"/>
  <c r="M38" i="9"/>
  <c r="L38" i="9"/>
  <c r="K38" i="9"/>
  <c r="J38" i="9"/>
  <c r="I38" i="9"/>
  <c r="H42" i="9"/>
  <c r="H41" i="9"/>
  <c r="H40" i="9"/>
  <c r="H39" i="9"/>
  <c r="H38" i="9"/>
  <c r="F42" i="9"/>
  <c r="E42" i="9"/>
  <c r="D42" i="9"/>
  <c r="C42" i="9"/>
  <c r="F41" i="9"/>
  <c r="E41" i="9"/>
  <c r="D41" i="9"/>
  <c r="C41" i="9"/>
  <c r="F40" i="9"/>
  <c r="E40" i="9"/>
  <c r="D40" i="9"/>
  <c r="C40" i="9"/>
  <c r="F39" i="9"/>
  <c r="E39" i="9"/>
  <c r="D39" i="9"/>
  <c r="C39" i="9"/>
  <c r="F38" i="9"/>
  <c r="E38" i="9"/>
  <c r="D38" i="9"/>
  <c r="C38" i="9"/>
  <c r="AC121" i="8"/>
  <c r="AB121" i="8"/>
  <c r="AA121" i="8"/>
  <c r="Z121" i="8"/>
  <c r="Y121" i="8"/>
  <c r="X121" i="8"/>
  <c r="W121" i="8"/>
  <c r="V121" i="8"/>
  <c r="U121" i="8"/>
  <c r="AC120" i="8"/>
  <c r="AB120" i="8"/>
  <c r="AA120" i="8"/>
  <c r="Z120" i="8"/>
  <c r="Y120" i="8"/>
  <c r="X120" i="8"/>
  <c r="W120" i="8"/>
  <c r="V120" i="8"/>
  <c r="U120" i="8"/>
  <c r="AC118" i="8"/>
  <c r="AB118" i="8"/>
  <c r="AA118" i="8"/>
  <c r="Z118" i="8"/>
  <c r="Y118" i="8"/>
  <c r="X118" i="8"/>
  <c r="W118" i="8"/>
  <c r="V118" i="8"/>
  <c r="U118" i="8"/>
  <c r="AC117" i="8"/>
  <c r="AB117" i="8"/>
  <c r="AA117" i="8"/>
  <c r="Z117" i="8"/>
  <c r="Y117" i="8"/>
  <c r="X117" i="8"/>
  <c r="W117" i="8"/>
  <c r="V117" i="8"/>
  <c r="U117" i="8"/>
  <c r="S121" i="8"/>
  <c r="I121" i="8"/>
  <c r="J121" i="8" s="1"/>
  <c r="E121" i="8"/>
  <c r="O121" i="8" s="1"/>
  <c r="Q118" i="8"/>
  <c r="R118" i="8" s="1"/>
  <c r="M118" i="8"/>
  <c r="N118" i="8" s="1"/>
  <c r="D118" i="8"/>
  <c r="K118" i="8" s="1"/>
  <c r="H117" i="8"/>
  <c r="I117" i="8" s="1"/>
  <c r="J117" i="8" s="1"/>
  <c r="F117" i="8"/>
  <c r="E117" i="8"/>
  <c r="O117" i="8" s="1"/>
  <c r="D117" i="8"/>
  <c r="R117" i="8"/>
  <c r="P35" i="9"/>
  <c r="L35" i="9"/>
  <c r="H35" i="9"/>
  <c r="F35" i="9"/>
  <c r="E35" i="9"/>
  <c r="D35" i="9"/>
  <c r="C35" i="9"/>
  <c r="P34" i="9"/>
  <c r="L34" i="9"/>
  <c r="P33" i="9"/>
  <c r="N33" i="9"/>
  <c r="M33" i="9"/>
  <c r="L33" i="9"/>
  <c r="J33" i="9"/>
  <c r="I33" i="9"/>
  <c r="H34" i="9"/>
  <c r="H33" i="9"/>
  <c r="F34" i="9"/>
  <c r="E34" i="9"/>
  <c r="D34" i="9"/>
  <c r="C34" i="9"/>
  <c r="F33" i="9"/>
  <c r="E33" i="9"/>
  <c r="D33" i="9"/>
  <c r="C33" i="9"/>
  <c r="Q138" i="8"/>
  <c r="R138" i="8" s="1"/>
  <c r="Q137" i="8"/>
  <c r="R137" i="8" s="1"/>
  <c r="R34" i="9" s="1"/>
  <c r="M137" i="8"/>
  <c r="M34" i="9" s="1"/>
  <c r="I137" i="8"/>
  <c r="J137" i="8" s="1"/>
  <c r="J34" i="9" s="1"/>
  <c r="O138" i="8"/>
  <c r="K138" i="8"/>
  <c r="X138" i="8" s="1"/>
  <c r="P32" i="9"/>
  <c r="L32" i="9"/>
  <c r="H32" i="9"/>
  <c r="F32" i="9"/>
  <c r="E32" i="9"/>
  <c r="D32" i="9"/>
  <c r="C32" i="9"/>
  <c r="P28" i="9"/>
  <c r="L28" i="9"/>
  <c r="H28" i="9"/>
  <c r="F28" i="9"/>
  <c r="E28" i="9"/>
  <c r="D28" i="9"/>
  <c r="C28" i="9"/>
  <c r="P24" i="9"/>
  <c r="L24" i="9"/>
  <c r="H24" i="9"/>
  <c r="F24" i="9"/>
  <c r="E24" i="9"/>
  <c r="D24" i="9"/>
  <c r="C24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R18" i="9"/>
  <c r="Q18" i="9"/>
  <c r="P18" i="9"/>
  <c r="N18" i="9"/>
  <c r="M18" i="9"/>
  <c r="L18" i="9"/>
  <c r="J18" i="9"/>
  <c r="I18" i="9"/>
  <c r="R17" i="9"/>
  <c r="Q17" i="9"/>
  <c r="P17" i="9"/>
  <c r="N17" i="9"/>
  <c r="M17" i="9"/>
  <c r="L17" i="9"/>
  <c r="J17" i="9"/>
  <c r="I17" i="9"/>
  <c r="H20" i="9"/>
  <c r="H19" i="9"/>
  <c r="H18" i="9"/>
  <c r="H17" i="9"/>
  <c r="F20" i="9"/>
  <c r="E20" i="9"/>
  <c r="D20" i="9"/>
  <c r="C20" i="9"/>
  <c r="F19" i="9"/>
  <c r="E19" i="9"/>
  <c r="D19" i="9"/>
  <c r="C19" i="9"/>
  <c r="F18" i="9"/>
  <c r="E18" i="9"/>
  <c r="D18" i="9"/>
  <c r="C18" i="9"/>
  <c r="F17" i="9"/>
  <c r="E17" i="9"/>
  <c r="D17" i="9"/>
  <c r="C17" i="9"/>
  <c r="R13" i="9"/>
  <c r="Q13" i="9"/>
  <c r="P13" i="9"/>
  <c r="N13" i="9"/>
  <c r="M13" i="9"/>
  <c r="L13" i="9"/>
  <c r="J13" i="9"/>
  <c r="I13" i="9"/>
  <c r="H13" i="9"/>
  <c r="F13" i="9"/>
  <c r="E13" i="9"/>
  <c r="D13" i="9"/>
  <c r="C13" i="9"/>
  <c r="S8" i="9"/>
  <c r="R8" i="9"/>
  <c r="Q8" i="9"/>
  <c r="P8" i="9"/>
  <c r="O8" i="9"/>
  <c r="N8" i="9"/>
  <c r="M8" i="9"/>
  <c r="L8" i="9"/>
  <c r="K8" i="9"/>
  <c r="J8" i="9"/>
  <c r="I8" i="9"/>
  <c r="S7" i="9"/>
  <c r="R7" i="9"/>
  <c r="Q7" i="9"/>
  <c r="P7" i="9"/>
  <c r="O7" i="9"/>
  <c r="N7" i="9"/>
  <c r="M7" i="9"/>
  <c r="L7" i="9"/>
  <c r="K7" i="9"/>
  <c r="J7" i="9"/>
  <c r="I7" i="9"/>
  <c r="S6" i="9"/>
  <c r="R6" i="9"/>
  <c r="Q6" i="9"/>
  <c r="P6" i="9"/>
  <c r="O6" i="9"/>
  <c r="N6" i="9"/>
  <c r="M6" i="9"/>
  <c r="L6" i="9"/>
  <c r="K6" i="9"/>
  <c r="J6" i="9"/>
  <c r="I6" i="9"/>
  <c r="H8" i="9"/>
  <c r="H7" i="9"/>
  <c r="H6" i="9"/>
  <c r="F8" i="9"/>
  <c r="E8" i="9"/>
  <c r="D8" i="9"/>
  <c r="F7" i="9"/>
  <c r="E7" i="9"/>
  <c r="D7" i="9"/>
  <c r="F6" i="9"/>
  <c r="E6" i="9"/>
  <c r="D6" i="9"/>
  <c r="C8" i="9"/>
  <c r="C7" i="9"/>
  <c r="C6" i="9"/>
  <c r="B8" i="9"/>
  <c r="B7" i="9"/>
  <c r="B6" i="9"/>
  <c r="Z11" i="13"/>
  <c r="V34" i="8"/>
  <c r="W34" i="8"/>
  <c r="X34" i="8"/>
  <c r="Z34" i="8"/>
  <c r="AA34" i="8"/>
  <c r="AB34" i="8"/>
  <c r="R20" i="13"/>
  <c r="Q20" i="13"/>
  <c r="P20" i="13"/>
  <c r="N20" i="13"/>
  <c r="M20" i="13"/>
  <c r="L20" i="13"/>
  <c r="J20" i="13"/>
  <c r="I20" i="13"/>
  <c r="H20" i="13"/>
  <c r="F20" i="13"/>
  <c r="F21" i="13" s="1"/>
  <c r="E20" i="13"/>
  <c r="E21" i="13" s="1"/>
  <c r="D20" i="13"/>
  <c r="D21" i="13" s="1"/>
  <c r="C20" i="13"/>
  <c r="C21" i="13" s="1"/>
  <c r="S19" i="13"/>
  <c r="X19" i="13" s="1"/>
  <c r="O19" i="13"/>
  <c r="W19" i="13" s="1"/>
  <c r="K19" i="13"/>
  <c r="S18" i="13"/>
  <c r="O18" i="13"/>
  <c r="W18" i="13" s="1"/>
  <c r="K18" i="13"/>
  <c r="S11" i="13"/>
  <c r="X11" i="13" s="1"/>
  <c r="S10" i="13"/>
  <c r="S9" i="13"/>
  <c r="O11" i="13"/>
  <c r="W11" i="13" s="1"/>
  <c r="O10" i="13"/>
  <c r="V10" i="13" s="1"/>
  <c r="O9" i="13"/>
  <c r="K11" i="13"/>
  <c r="K10" i="13"/>
  <c r="K9" i="13"/>
  <c r="R12" i="13"/>
  <c r="Q12" i="13"/>
  <c r="P12" i="13"/>
  <c r="N12" i="13"/>
  <c r="M12" i="13"/>
  <c r="L12" i="13"/>
  <c r="J12" i="13"/>
  <c r="I12" i="13"/>
  <c r="H12" i="13"/>
  <c r="F12" i="13"/>
  <c r="E12" i="13"/>
  <c r="D12" i="13"/>
  <c r="C12" i="13"/>
  <c r="R4" i="13"/>
  <c r="W4" i="13" s="1"/>
  <c r="Q4" i="13"/>
  <c r="V4" i="13" s="1"/>
  <c r="P4" i="13"/>
  <c r="U4" i="13" s="1"/>
  <c r="N4" i="13"/>
  <c r="M4" i="13"/>
  <c r="L4" i="13"/>
  <c r="J4" i="13"/>
  <c r="I4" i="13"/>
  <c r="S3" i="13"/>
  <c r="X3" i="13" s="1"/>
  <c r="R3" i="13"/>
  <c r="W3" i="13" s="1"/>
  <c r="Q3" i="13"/>
  <c r="V3" i="13" s="1"/>
  <c r="P3" i="13"/>
  <c r="U3" i="13" s="1"/>
  <c r="O3" i="13"/>
  <c r="N3" i="13"/>
  <c r="M3" i="13"/>
  <c r="L3" i="13"/>
  <c r="K3" i="13"/>
  <c r="J3" i="13"/>
  <c r="I3" i="13"/>
  <c r="H4" i="13"/>
  <c r="H3" i="13"/>
  <c r="F4" i="13"/>
  <c r="E4" i="13"/>
  <c r="D4" i="13"/>
  <c r="F3" i="13"/>
  <c r="E3" i="13"/>
  <c r="D3" i="13"/>
  <c r="C4" i="13"/>
  <c r="C3" i="13"/>
  <c r="B2" i="13"/>
  <c r="K50" i="9" l="1"/>
  <c r="N50" i="9"/>
  <c r="S50" i="9"/>
  <c r="R50" i="9"/>
  <c r="K69" i="9"/>
  <c r="U66" i="9"/>
  <c r="Y38" i="9"/>
  <c r="AA40" i="9"/>
  <c r="AC42" i="9"/>
  <c r="Z38" i="9"/>
  <c r="AC40" i="9"/>
  <c r="AB39" i="9"/>
  <c r="Y40" i="9"/>
  <c r="AA42" i="9"/>
  <c r="AB40" i="9"/>
  <c r="Y41" i="9"/>
  <c r="Y39" i="9"/>
  <c r="AC39" i="9"/>
  <c r="AC38" i="9"/>
  <c r="Z39" i="9"/>
  <c r="AB41" i="9"/>
  <c r="Y42" i="9"/>
  <c r="AA39" i="9"/>
  <c r="AC41" i="9"/>
  <c r="Z42" i="9"/>
  <c r="Z40" i="9"/>
  <c r="AB42" i="9"/>
  <c r="Z41" i="9"/>
  <c r="AA41" i="9"/>
  <c r="AA38" i="9"/>
  <c r="AB38" i="9"/>
  <c r="C9" i="9"/>
  <c r="AB7" i="9"/>
  <c r="Y8" i="9"/>
  <c r="K121" i="8"/>
  <c r="AA138" i="8"/>
  <c r="S117" i="8"/>
  <c r="O118" i="8"/>
  <c r="S118" i="8"/>
  <c r="K117" i="8"/>
  <c r="N137" i="8"/>
  <c r="N34" i="9" s="1"/>
  <c r="Q34" i="9"/>
  <c r="S138" i="8"/>
  <c r="R33" i="9"/>
  <c r="O33" i="9"/>
  <c r="Q33" i="9"/>
  <c r="AB138" i="8"/>
  <c r="K33" i="9"/>
  <c r="I34" i="9"/>
  <c r="S137" i="8"/>
  <c r="Z138" i="8"/>
  <c r="V138" i="8"/>
  <c r="U138" i="8"/>
  <c r="W138" i="8"/>
  <c r="Y138" i="8"/>
  <c r="K137" i="8"/>
  <c r="AC7" i="9"/>
  <c r="F9" i="9"/>
  <c r="AA8" i="9"/>
  <c r="D9" i="9"/>
  <c r="P9" i="9"/>
  <c r="Z7" i="9"/>
  <c r="Z8" i="9"/>
  <c r="R9" i="9"/>
  <c r="E9" i="9"/>
  <c r="O9" i="9"/>
  <c r="Y7" i="9"/>
  <c r="AA7" i="9"/>
  <c r="S9" i="9"/>
  <c r="AB8" i="9"/>
  <c r="Q9" i="9"/>
  <c r="AC8" i="9"/>
  <c r="H21" i="13"/>
  <c r="I21" i="13"/>
  <c r="J21" i="13"/>
  <c r="U11" i="13"/>
  <c r="L21" i="13"/>
  <c r="P21" i="13"/>
  <c r="V11" i="13"/>
  <c r="M21" i="13"/>
  <c r="Q21" i="13"/>
  <c r="N21" i="13"/>
  <c r="R21" i="13"/>
  <c r="S12" i="13"/>
  <c r="K20" i="13"/>
  <c r="S20" i="13"/>
  <c r="Z19" i="13"/>
  <c r="W20" i="13"/>
  <c r="U18" i="13"/>
  <c r="U19" i="13"/>
  <c r="O20" i="13"/>
  <c r="V18" i="13"/>
  <c r="V19" i="13"/>
  <c r="X18" i="13"/>
  <c r="O12" i="13"/>
  <c r="U9" i="13"/>
  <c r="K12" i="13"/>
  <c r="U10" i="13"/>
  <c r="W10" i="13"/>
  <c r="X9" i="13"/>
  <c r="V9" i="13"/>
  <c r="W9" i="13"/>
  <c r="X10" i="13"/>
  <c r="AE7" i="9" l="1"/>
  <c r="O137" i="8"/>
  <c r="AB137" i="8" s="1"/>
  <c r="AC137" i="8"/>
  <c r="S34" i="9"/>
  <c r="X137" i="8"/>
  <c r="K34" i="9"/>
  <c r="AC138" i="8"/>
  <c r="S33" i="9"/>
  <c r="W137" i="8"/>
  <c r="V137" i="8"/>
  <c r="U137" i="8"/>
  <c r="AE8" i="9"/>
  <c r="V12" i="13"/>
  <c r="U12" i="13"/>
  <c r="O21" i="13"/>
  <c r="S21" i="13"/>
  <c r="W12" i="13"/>
  <c r="W21" i="13" s="1"/>
  <c r="K21" i="13"/>
  <c r="X12" i="13"/>
  <c r="V20" i="13"/>
  <c r="V21" i="13" s="1"/>
  <c r="U20" i="13"/>
  <c r="Z18" i="13"/>
  <c r="X20" i="13"/>
  <c r="Z9" i="13"/>
  <c r="Z10" i="13"/>
  <c r="Y137" i="8" l="1"/>
  <c r="O34" i="9"/>
  <c r="AA137" i="8"/>
  <c r="Z137" i="8"/>
  <c r="U21" i="13"/>
  <c r="X21" i="13"/>
  <c r="Z20" i="13"/>
  <c r="Z12" i="13"/>
  <c r="C34" i="8" l="1"/>
  <c r="AB72" i="8"/>
  <c r="AA72" i="8"/>
  <c r="Z72" i="8"/>
  <c r="X72" i="8"/>
  <c r="W72" i="8"/>
  <c r="V72" i="8"/>
  <c r="AB71" i="8"/>
  <c r="AA71" i="8"/>
  <c r="Z71" i="8"/>
  <c r="X71" i="8"/>
  <c r="W71" i="8"/>
  <c r="V71" i="8"/>
  <c r="AB70" i="8"/>
  <c r="AA70" i="8"/>
  <c r="Z70" i="8"/>
  <c r="X70" i="8"/>
  <c r="W70" i="8"/>
  <c r="V70" i="8"/>
  <c r="AB69" i="8"/>
  <c r="AA69" i="8"/>
  <c r="Z69" i="8"/>
  <c r="X69" i="8"/>
  <c r="W69" i="8"/>
  <c r="V69" i="8"/>
  <c r="AB68" i="8"/>
  <c r="AA68" i="8"/>
  <c r="Z68" i="8"/>
  <c r="X68" i="8"/>
  <c r="W68" i="8"/>
  <c r="V68" i="8"/>
  <c r="AB49" i="8"/>
  <c r="AA49" i="8"/>
  <c r="Z49" i="8"/>
  <c r="X49" i="8"/>
  <c r="W49" i="8"/>
  <c r="V49" i="8"/>
  <c r="AB48" i="8"/>
  <c r="AA48" i="8"/>
  <c r="Z48" i="8"/>
  <c r="X48" i="8"/>
  <c r="W48" i="8"/>
  <c r="V48" i="8"/>
  <c r="AB47" i="8"/>
  <c r="AA47" i="8"/>
  <c r="Z47" i="8"/>
  <c r="X47" i="8"/>
  <c r="W47" i="8"/>
  <c r="V47" i="8"/>
  <c r="AB46" i="8"/>
  <c r="AA46" i="8"/>
  <c r="Z46" i="8"/>
  <c r="X46" i="8"/>
  <c r="W46" i="8"/>
  <c r="V46" i="8"/>
  <c r="AB57" i="8"/>
  <c r="AA57" i="8"/>
  <c r="Z57" i="8"/>
  <c r="X57" i="8"/>
  <c r="W57" i="8"/>
  <c r="V57" i="8"/>
  <c r="AB56" i="8"/>
  <c r="AA56" i="8"/>
  <c r="Z56" i="8"/>
  <c r="X56" i="8"/>
  <c r="W56" i="8"/>
  <c r="V56" i="8"/>
  <c r="AB55" i="8"/>
  <c r="AA55" i="8"/>
  <c r="Z55" i="8"/>
  <c r="X55" i="8"/>
  <c r="W55" i="8"/>
  <c r="V55" i="8"/>
  <c r="AB54" i="8"/>
  <c r="AA54" i="8"/>
  <c r="Z54" i="8"/>
  <c r="X54" i="8"/>
  <c r="W54" i="8"/>
  <c r="V54" i="8"/>
  <c r="AB53" i="8"/>
  <c r="AA53" i="8"/>
  <c r="Z53" i="8"/>
  <c r="X53" i="8"/>
  <c r="W53" i="8"/>
  <c r="V53" i="8"/>
  <c r="I34" i="8"/>
  <c r="H34" i="8"/>
  <c r="Q119" i="8"/>
  <c r="R119" i="8" s="1"/>
  <c r="S119" i="8" s="1"/>
  <c r="AC119" i="8" s="1"/>
  <c r="Q113" i="8"/>
  <c r="R113" i="8" s="1"/>
  <c r="S113" i="8" s="1"/>
  <c r="Q112" i="8"/>
  <c r="Q93" i="8"/>
  <c r="Q24" i="9" s="1"/>
  <c r="Q94" i="8"/>
  <c r="Q96" i="8"/>
  <c r="Q97" i="8"/>
  <c r="Q99" i="8"/>
  <c r="R99" i="8" s="1"/>
  <c r="S99" i="8" s="1"/>
  <c r="Q102" i="8"/>
  <c r="Q103" i="8"/>
  <c r="R103" i="8" s="1"/>
  <c r="Q104" i="8"/>
  <c r="Q105" i="8"/>
  <c r="R105" i="8" s="1"/>
  <c r="Q106" i="8"/>
  <c r="R106" i="8" s="1"/>
  <c r="Q107" i="8"/>
  <c r="R107" i="8" s="1"/>
  <c r="Q108" i="8"/>
  <c r="R108" i="8" s="1"/>
  <c r="S108" i="8" s="1"/>
  <c r="AC108" i="8" s="1"/>
  <c r="M120" i="8"/>
  <c r="M119" i="8"/>
  <c r="N119" i="8" s="1"/>
  <c r="M112" i="8"/>
  <c r="M32" i="9" s="1"/>
  <c r="M108" i="8"/>
  <c r="N108" i="8" s="1"/>
  <c r="M107" i="8"/>
  <c r="N107" i="8" s="1"/>
  <c r="M106" i="8"/>
  <c r="M105" i="8"/>
  <c r="N105" i="8" s="1"/>
  <c r="O105" i="8" s="1"/>
  <c r="M104" i="8"/>
  <c r="N104" i="8" s="1"/>
  <c r="M103" i="8"/>
  <c r="M102" i="8"/>
  <c r="M99" i="8"/>
  <c r="N99" i="8" s="1"/>
  <c r="O99" i="8" s="1"/>
  <c r="M97" i="8"/>
  <c r="N97" i="8" s="1"/>
  <c r="M96" i="8"/>
  <c r="M95" i="8"/>
  <c r="N95" i="8" s="1"/>
  <c r="O95" i="8" s="1"/>
  <c r="AB95" i="8" s="1"/>
  <c r="M94" i="8"/>
  <c r="N94" i="8" s="1"/>
  <c r="M93" i="8"/>
  <c r="M24" i="9" s="1"/>
  <c r="O30" i="8"/>
  <c r="O25" i="8"/>
  <c r="O24" i="8"/>
  <c r="O20" i="8"/>
  <c r="O19" i="8"/>
  <c r="O18" i="8"/>
  <c r="O17" i="8"/>
  <c r="O13" i="8"/>
  <c r="O10" i="8"/>
  <c r="K30" i="8"/>
  <c r="K25" i="8"/>
  <c r="K24" i="8"/>
  <c r="K20" i="8"/>
  <c r="K19" i="8"/>
  <c r="K18" i="8"/>
  <c r="K17" i="8"/>
  <c r="K13" i="8"/>
  <c r="K10" i="8"/>
  <c r="K113" i="8"/>
  <c r="W113" i="8" s="1"/>
  <c r="I93" i="8"/>
  <c r="I94" i="8"/>
  <c r="J94" i="8" s="1"/>
  <c r="I95" i="8"/>
  <c r="J95" i="8" s="1"/>
  <c r="I96" i="8"/>
  <c r="I28" i="9" s="1"/>
  <c r="I97" i="8"/>
  <c r="I98" i="8"/>
  <c r="I99" i="8"/>
  <c r="I102" i="8"/>
  <c r="I103" i="8"/>
  <c r="I104" i="8"/>
  <c r="I105" i="8"/>
  <c r="J105" i="8" s="1"/>
  <c r="I106" i="8"/>
  <c r="I107" i="8"/>
  <c r="I108" i="8"/>
  <c r="J108" i="8" s="1"/>
  <c r="I112" i="8"/>
  <c r="I119" i="8"/>
  <c r="I120" i="8"/>
  <c r="O113" i="8"/>
  <c r="S120" i="8"/>
  <c r="P114" i="8"/>
  <c r="L114" i="8"/>
  <c r="H114" i="8"/>
  <c r="F114" i="8"/>
  <c r="E114" i="8"/>
  <c r="D114" i="8"/>
  <c r="C114" i="8"/>
  <c r="S98" i="8"/>
  <c r="O98" i="8"/>
  <c r="AB98" i="8" s="1"/>
  <c r="S95" i="8"/>
  <c r="AC95" i="8" s="1"/>
  <c r="F26" i="8"/>
  <c r="H26" i="8"/>
  <c r="E26" i="8"/>
  <c r="O26" i="8" s="1"/>
  <c r="D26" i="8"/>
  <c r="F57" i="8"/>
  <c r="S57" i="8" s="1"/>
  <c r="AC57" i="8" s="1"/>
  <c r="O78" i="8"/>
  <c r="Y78" i="8" s="1"/>
  <c r="O77" i="8"/>
  <c r="Y77" i="8" s="1"/>
  <c r="O76" i="8"/>
  <c r="Y76" i="8" s="1"/>
  <c r="O75" i="8"/>
  <c r="Y75" i="8" s="1"/>
  <c r="K78" i="8"/>
  <c r="U78" i="8" s="1"/>
  <c r="K77" i="8"/>
  <c r="U77" i="8" s="1"/>
  <c r="K76" i="8"/>
  <c r="U76" i="8" s="1"/>
  <c r="K75" i="8"/>
  <c r="U75" i="8" s="1"/>
  <c r="K72" i="8"/>
  <c r="U72" i="8" s="1"/>
  <c r="K71" i="8"/>
  <c r="U71" i="8" s="1"/>
  <c r="K70" i="8"/>
  <c r="U70" i="8" s="1"/>
  <c r="K69" i="8"/>
  <c r="U69" i="8" s="1"/>
  <c r="K68" i="8"/>
  <c r="U68" i="8" s="1"/>
  <c r="K64" i="8"/>
  <c r="U64" i="8" s="1"/>
  <c r="K63" i="8"/>
  <c r="U63" i="8" s="1"/>
  <c r="K62" i="8"/>
  <c r="U62" i="8" s="1"/>
  <c r="K61" i="8"/>
  <c r="U53" i="9" s="1"/>
  <c r="K57" i="8"/>
  <c r="U57" i="8" s="1"/>
  <c r="K56" i="8"/>
  <c r="U56" i="8" s="1"/>
  <c r="K55" i="8"/>
  <c r="U55" i="8" s="1"/>
  <c r="K54" i="8"/>
  <c r="U54" i="8" s="1"/>
  <c r="K53" i="8"/>
  <c r="U53" i="8" s="1"/>
  <c r="K49" i="8"/>
  <c r="U49" i="8" s="1"/>
  <c r="K48" i="8"/>
  <c r="U48" i="8" s="1"/>
  <c r="K47" i="8"/>
  <c r="U47" i="8" s="1"/>
  <c r="S78" i="8"/>
  <c r="AC78" i="8" s="1"/>
  <c r="S77" i="8"/>
  <c r="AC77" i="8" s="1"/>
  <c r="S76" i="8"/>
  <c r="AC76" i="8" s="1"/>
  <c r="S75" i="8"/>
  <c r="AC75" i="8" s="1"/>
  <c r="O72" i="8"/>
  <c r="Y72" i="8" s="1"/>
  <c r="O71" i="8"/>
  <c r="Y71" i="8" s="1"/>
  <c r="O70" i="8"/>
  <c r="Y70" i="8" s="1"/>
  <c r="O69" i="8"/>
  <c r="Y69" i="8" s="1"/>
  <c r="O68" i="8"/>
  <c r="Y68" i="8" s="1"/>
  <c r="O64" i="8"/>
  <c r="Y64" i="8" s="1"/>
  <c r="O63" i="8"/>
  <c r="Y63" i="8" s="1"/>
  <c r="O62" i="8"/>
  <c r="Y62" i="8" s="1"/>
  <c r="O61" i="8"/>
  <c r="Y53" i="9" s="1"/>
  <c r="S64" i="8"/>
  <c r="AC64" i="8" s="1"/>
  <c r="S63" i="8"/>
  <c r="AC57" i="9" s="1"/>
  <c r="S62" i="8"/>
  <c r="AC62" i="8" s="1"/>
  <c r="S61" i="8"/>
  <c r="AC61" i="8" s="1"/>
  <c r="S72" i="8"/>
  <c r="AC72" i="8" s="1"/>
  <c r="S71" i="8"/>
  <c r="AC71" i="8" s="1"/>
  <c r="S70" i="8"/>
  <c r="AC70" i="8" s="1"/>
  <c r="S69" i="8"/>
  <c r="AC69" i="8" s="1"/>
  <c r="S68" i="8"/>
  <c r="AC68" i="8" s="1"/>
  <c r="O57" i="8"/>
  <c r="Y57" i="8" s="1"/>
  <c r="O56" i="8"/>
  <c r="Y56" i="8" s="1"/>
  <c r="O55" i="8"/>
  <c r="Y55" i="8" s="1"/>
  <c r="O54" i="8"/>
  <c r="Y54" i="8" s="1"/>
  <c r="O53" i="8"/>
  <c r="Y53" i="8" s="1"/>
  <c r="S56" i="8"/>
  <c r="AC56" i="8" s="1"/>
  <c r="S55" i="8"/>
  <c r="AC55" i="8" s="1"/>
  <c r="S54" i="8"/>
  <c r="AC54" i="8" s="1"/>
  <c r="S53" i="8"/>
  <c r="AC53" i="8" s="1"/>
  <c r="O49" i="8"/>
  <c r="Y49" i="8" s="1"/>
  <c r="O48" i="8"/>
  <c r="Y48" i="8" s="1"/>
  <c r="O47" i="8"/>
  <c r="Y47" i="8" s="1"/>
  <c r="O46" i="8"/>
  <c r="Y48" i="9" s="1"/>
  <c r="K46" i="8"/>
  <c r="U48" i="9" s="1"/>
  <c r="S49" i="8"/>
  <c r="AC49" i="8" s="1"/>
  <c r="S48" i="8"/>
  <c r="AC48" i="8" s="1"/>
  <c r="S47" i="8"/>
  <c r="AC47" i="8" s="1"/>
  <c r="S46" i="8"/>
  <c r="AC48" i="9" s="1"/>
  <c r="O34" i="8"/>
  <c r="Y34" i="8" s="1"/>
  <c r="K34" i="8"/>
  <c r="S34" i="8"/>
  <c r="AC34" i="8" s="1"/>
  <c r="S30" i="8"/>
  <c r="AC30" i="8" s="1"/>
  <c r="S25" i="8"/>
  <c r="AC25" i="8" s="1"/>
  <c r="S24" i="8"/>
  <c r="AC24" i="8" s="1"/>
  <c r="S10" i="8"/>
  <c r="AC10" i="8" s="1"/>
  <c r="S13" i="8"/>
  <c r="S20" i="8"/>
  <c r="S19" i="8"/>
  <c r="S18" i="8"/>
  <c r="S17" i="8"/>
  <c r="AB68" i="9"/>
  <c r="AA68" i="9"/>
  <c r="Z68" i="9"/>
  <c r="X68" i="9"/>
  <c r="W68" i="9"/>
  <c r="W69" i="9" s="1"/>
  <c r="V68" i="9"/>
  <c r="AB67" i="9"/>
  <c r="AA67" i="9"/>
  <c r="AA69" i="9" s="1"/>
  <c r="Z67" i="9"/>
  <c r="X67" i="9"/>
  <c r="W67" i="9"/>
  <c r="V67" i="9"/>
  <c r="AB63" i="9"/>
  <c r="AA63" i="9"/>
  <c r="Z63" i="9"/>
  <c r="X63" i="9"/>
  <c r="W63" i="9"/>
  <c r="V63" i="9"/>
  <c r="AB62" i="9"/>
  <c r="AA62" i="9"/>
  <c r="Z62" i="9"/>
  <c r="X62" i="9"/>
  <c r="W62" i="9"/>
  <c r="V62" i="9"/>
  <c r="AB57" i="9"/>
  <c r="AA57" i="9"/>
  <c r="Z57" i="9"/>
  <c r="X57" i="9"/>
  <c r="W57" i="9"/>
  <c r="V57" i="9"/>
  <c r="AB53" i="9"/>
  <c r="AA53" i="9"/>
  <c r="Z53" i="9"/>
  <c r="X53" i="9"/>
  <c r="W53" i="9"/>
  <c r="V53" i="9"/>
  <c r="AB48" i="9"/>
  <c r="AA48" i="9"/>
  <c r="Z48" i="9"/>
  <c r="X48" i="9"/>
  <c r="W48" i="9"/>
  <c r="V48" i="9"/>
  <c r="AA130" i="8"/>
  <c r="AB78" i="8"/>
  <c r="AA78" i="8"/>
  <c r="Z78" i="8"/>
  <c r="X78" i="8"/>
  <c r="W78" i="8"/>
  <c r="V78" i="8"/>
  <c r="AB77" i="8"/>
  <c r="AA77" i="8"/>
  <c r="Z77" i="8"/>
  <c r="X77" i="8"/>
  <c r="W77" i="8"/>
  <c r="V77" i="8"/>
  <c r="AB76" i="8"/>
  <c r="AA76" i="8"/>
  <c r="Z76" i="8"/>
  <c r="X76" i="8"/>
  <c r="W76" i="8"/>
  <c r="V76" i="8"/>
  <c r="AB64" i="8"/>
  <c r="AA64" i="8"/>
  <c r="Z64" i="8"/>
  <c r="X64" i="8"/>
  <c r="W64" i="8"/>
  <c r="V64" i="8"/>
  <c r="AB63" i="8"/>
  <c r="AA63" i="8"/>
  <c r="Z63" i="8"/>
  <c r="X63" i="8"/>
  <c r="W63" i="8"/>
  <c r="V63" i="8"/>
  <c r="AB62" i="8"/>
  <c r="AA62" i="8"/>
  <c r="Z62" i="8"/>
  <c r="X62" i="8"/>
  <c r="W62" i="8"/>
  <c r="V62" i="8"/>
  <c r="AB61" i="8"/>
  <c r="AA61" i="8"/>
  <c r="Z61" i="8"/>
  <c r="X61" i="8"/>
  <c r="W61" i="8"/>
  <c r="V61" i="8"/>
  <c r="AB37" i="8"/>
  <c r="AA37" i="8"/>
  <c r="Z37" i="8"/>
  <c r="X37" i="8"/>
  <c r="W37" i="8"/>
  <c r="V37" i="8"/>
  <c r="AB8" i="8"/>
  <c r="AA8" i="8"/>
  <c r="Z8" i="8"/>
  <c r="X8" i="8"/>
  <c r="W8" i="8"/>
  <c r="V8" i="8"/>
  <c r="AB7" i="8"/>
  <c r="AA7" i="8"/>
  <c r="Z7" i="8"/>
  <c r="Y7" i="8"/>
  <c r="X7" i="8"/>
  <c r="W7" i="8"/>
  <c r="V7" i="8"/>
  <c r="U7" i="8"/>
  <c r="AC7" i="8"/>
  <c r="C4" i="9"/>
  <c r="C3" i="9"/>
  <c r="S130" i="8"/>
  <c r="Z130" i="8" s="1"/>
  <c r="O130" i="8"/>
  <c r="V130" i="8" s="1"/>
  <c r="AC130" i="8" s="1"/>
  <c r="K130" i="8"/>
  <c r="V126" i="8" s="1"/>
  <c r="AB75" i="8"/>
  <c r="AA75" i="8"/>
  <c r="Z75" i="8"/>
  <c r="X75" i="8"/>
  <c r="W75" i="8"/>
  <c r="V75" i="8"/>
  <c r="J79" i="8"/>
  <c r="I79" i="8"/>
  <c r="H79" i="8"/>
  <c r="C79" i="8"/>
  <c r="C127" i="8"/>
  <c r="C122" i="8"/>
  <c r="C87" i="8"/>
  <c r="C86" i="8"/>
  <c r="C65" i="8"/>
  <c r="C73" i="8" s="1"/>
  <c r="C50" i="8"/>
  <c r="C58" i="8" s="1"/>
  <c r="C43" i="8"/>
  <c r="C42" i="8"/>
  <c r="C11" i="8"/>
  <c r="X126" i="8"/>
  <c r="W126" i="8"/>
  <c r="U126" i="8"/>
  <c r="J4" i="9"/>
  <c r="I4" i="9"/>
  <c r="H4" i="9"/>
  <c r="K3" i="9"/>
  <c r="U3" i="9" s="1"/>
  <c r="J3" i="9"/>
  <c r="I3" i="9"/>
  <c r="H3" i="9"/>
  <c r="W130" i="8"/>
  <c r="X130" i="8"/>
  <c r="S129" i="8"/>
  <c r="AA129" i="8" s="1"/>
  <c r="Y130" i="8"/>
  <c r="O129" i="8"/>
  <c r="Y129" i="8" s="1"/>
  <c r="O126" i="8"/>
  <c r="K129" i="8"/>
  <c r="U129" i="8" s="1"/>
  <c r="H65" i="8"/>
  <c r="I65" i="8"/>
  <c r="J65" i="8"/>
  <c r="K37" i="8"/>
  <c r="K8" i="8"/>
  <c r="H122" i="8"/>
  <c r="J87" i="8"/>
  <c r="I87" i="8"/>
  <c r="H87" i="8"/>
  <c r="K86" i="8"/>
  <c r="J86" i="8"/>
  <c r="I86" i="8"/>
  <c r="H86" i="8"/>
  <c r="J50" i="8"/>
  <c r="J58" i="8" s="1"/>
  <c r="I50" i="8"/>
  <c r="I58" i="8" s="1"/>
  <c r="H50" i="8"/>
  <c r="H58" i="8" s="1"/>
  <c r="J43" i="8"/>
  <c r="I43" i="8"/>
  <c r="H43" i="8"/>
  <c r="K42" i="8"/>
  <c r="J42" i="8"/>
  <c r="I42" i="8"/>
  <c r="H42" i="8"/>
  <c r="J11" i="8"/>
  <c r="I11" i="8"/>
  <c r="H11" i="8"/>
  <c r="S37" i="8"/>
  <c r="AC37" i="8" s="1"/>
  <c r="O37" i="8"/>
  <c r="Y37" i="8" s="1"/>
  <c r="X69" i="9" l="1"/>
  <c r="V69" i="9"/>
  <c r="Z69" i="9"/>
  <c r="AB69" i="9"/>
  <c r="N102" i="8"/>
  <c r="M35" i="9"/>
  <c r="R102" i="8"/>
  <c r="Q35" i="9"/>
  <c r="I35" i="9"/>
  <c r="AB113" i="8"/>
  <c r="Y98" i="8"/>
  <c r="X113" i="8"/>
  <c r="Z113" i="8"/>
  <c r="K26" i="8"/>
  <c r="U26" i="8" s="1"/>
  <c r="X19" i="8"/>
  <c r="W19" i="8"/>
  <c r="K19" i="9"/>
  <c r="V19" i="8"/>
  <c r="U19" i="8"/>
  <c r="Y18" i="8"/>
  <c r="O18" i="9"/>
  <c r="Z18" i="8"/>
  <c r="AB18" i="8"/>
  <c r="AA18" i="8"/>
  <c r="Z95" i="8"/>
  <c r="J112" i="8"/>
  <c r="J114" i="8" s="1"/>
  <c r="I32" i="9"/>
  <c r="K43" i="8"/>
  <c r="K4" i="13"/>
  <c r="S17" i="9"/>
  <c r="AC17" i="9" s="1"/>
  <c r="AC17" i="8"/>
  <c r="AB26" i="8"/>
  <c r="AA26" i="8"/>
  <c r="Z26" i="8"/>
  <c r="Y26" i="8"/>
  <c r="W20" i="8"/>
  <c r="V20" i="8"/>
  <c r="U20" i="8"/>
  <c r="X20" i="8"/>
  <c r="K20" i="9"/>
  <c r="AA19" i="8"/>
  <c r="Y19" i="8"/>
  <c r="AB19" i="8"/>
  <c r="O19" i="9"/>
  <c r="Z19" i="8"/>
  <c r="N96" i="8"/>
  <c r="M28" i="9"/>
  <c r="R96" i="8"/>
  <c r="Q28" i="9"/>
  <c r="Y113" i="8"/>
  <c r="C14" i="8"/>
  <c r="C21" i="8" s="1"/>
  <c r="C27" i="8" s="1"/>
  <c r="C13" i="13"/>
  <c r="O20" i="9"/>
  <c r="AB20" i="8"/>
  <c r="AA20" i="8"/>
  <c r="Z20" i="8"/>
  <c r="Y20" i="8"/>
  <c r="S19" i="9"/>
  <c r="AC19" i="9" s="1"/>
  <c r="AC19" i="8"/>
  <c r="U25" i="8"/>
  <c r="X25" i="8"/>
  <c r="W25" i="8"/>
  <c r="V25" i="8"/>
  <c r="AB24" i="8"/>
  <c r="AA24" i="8"/>
  <c r="Z24" i="8"/>
  <c r="Y24" i="8"/>
  <c r="AB99" i="8"/>
  <c r="Z98" i="8"/>
  <c r="AA113" i="8"/>
  <c r="H14" i="8"/>
  <c r="H13" i="13"/>
  <c r="AC20" i="8"/>
  <c r="S20" i="9"/>
  <c r="AC20" i="9" s="1"/>
  <c r="U34" i="8"/>
  <c r="K11" i="8"/>
  <c r="K13" i="13" s="1"/>
  <c r="X10" i="8"/>
  <c r="W10" i="8"/>
  <c r="V10" i="8"/>
  <c r="U10" i="8"/>
  <c r="X30" i="8"/>
  <c r="W30" i="8"/>
  <c r="V30" i="8"/>
  <c r="U30" i="8"/>
  <c r="AB25" i="8"/>
  <c r="AA25" i="8"/>
  <c r="Z25" i="8"/>
  <c r="Y25" i="8"/>
  <c r="N112" i="8"/>
  <c r="N114" i="8" s="1"/>
  <c r="AA98" i="8"/>
  <c r="AC18" i="8"/>
  <c r="S18" i="9"/>
  <c r="AC18" i="9" s="1"/>
  <c r="I14" i="8"/>
  <c r="I21" i="8" s="1"/>
  <c r="I22" i="8" s="1"/>
  <c r="I13" i="13"/>
  <c r="AC13" i="8"/>
  <c r="S13" i="9"/>
  <c r="AC13" i="9" s="1"/>
  <c r="V13" i="8"/>
  <c r="X13" i="8"/>
  <c r="W13" i="8"/>
  <c r="U13" i="8"/>
  <c r="K13" i="9"/>
  <c r="W13" i="9" s="1"/>
  <c r="AA10" i="8"/>
  <c r="Z10" i="8"/>
  <c r="Y10" i="8"/>
  <c r="AB10" i="8"/>
  <c r="AA30" i="8"/>
  <c r="Z30" i="8"/>
  <c r="Y30" i="8"/>
  <c r="AB30" i="8"/>
  <c r="R112" i="8"/>
  <c r="Q32" i="9"/>
  <c r="AC113" i="8"/>
  <c r="Z99" i="8"/>
  <c r="U113" i="8"/>
  <c r="J14" i="8"/>
  <c r="J15" i="8" s="1"/>
  <c r="J13" i="13"/>
  <c r="J93" i="8"/>
  <c r="J24" i="9" s="1"/>
  <c r="I24" i="9"/>
  <c r="K17" i="9"/>
  <c r="V17" i="9" s="1"/>
  <c r="X17" i="8"/>
  <c r="W17" i="8"/>
  <c r="V17" i="8"/>
  <c r="U17" i="8"/>
  <c r="AA13" i="8"/>
  <c r="Z13" i="8"/>
  <c r="Y13" i="8"/>
  <c r="O13" i="9"/>
  <c r="AB13" i="9" s="1"/>
  <c r="AB13" i="8"/>
  <c r="V113" i="8"/>
  <c r="V24" i="8"/>
  <c r="W24" i="8"/>
  <c r="U24" i="8"/>
  <c r="X24" i="8"/>
  <c r="J99" i="8"/>
  <c r="X18" i="8"/>
  <c r="W18" i="8"/>
  <c r="V18" i="8"/>
  <c r="U18" i="8"/>
  <c r="K18" i="9"/>
  <c r="Z17" i="8"/>
  <c r="Y17" i="8"/>
  <c r="O17" i="9"/>
  <c r="Z17" i="9" s="1"/>
  <c r="AB17" i="8"/>
  <c r="AA17" i="8"/>
  <c r="Z105" i="8"/>
  <c r="S100" i="8"/>
  <c r="K100" i="8"/>
  <c r="X100" i="8" s="1"/>
  <c r="AB105" i="8"/>
  <c r="K108" i="8"/>
  <c r="X108" i="8" s="1"/>
  <c r="J120" i="8"/>
  <c r="J96" i="8"/>
  <c r="J28" i="9" s="1"/>
  <c r="N120" i="8"/>
  <c r="J98" i="8"/>
  <c r="O94" i="8"/>
  <c r="AA94" i="8" s="1"/>
  <c r="N93" i="8"/>
  <c r="N24" i="9" s="1"/>
  <c r="N106" i="8"/>
  <c r="O106" i="8" s="1"/>
  <c r="AB106" i="8" s="1"/>
  <c r="Y46" i="8"/>
  <c r="J102" i="8"/>
  <c r="N103" i="8"/>
  <c r="Y105" i="8"/>
  <c r="Y95" i="8"/>
  <c r="Y99" i="8"/>
  <c r="AA105" i="8"/>
  <c r="AA95" i="8"/>
  <c r="AA99" i="8"/>
  <c r="J106" i="8"/>
  <c r="U46" i="8"/>
  <c r="O97" i="8"/>
  <c r="AA97" i="8" s="1"/>
  <c r="K105" i="8"/>
  <c r="X105" i="8" s="1"/>
  <c r="J97" i="8"/>
  <c r="J107" i="8"/>
  <c r="S105" i="8"/>
  <c r="AC105" i="8" s="1"/>
  <c r="R93" i="8"/>
  <c r="R24" i="9" s="1"/>
  <c r="O107" i="8"/>
  <c r="O119" i="8"/>
  <c r="R94" i="8"/>
  <c r="S94" i="8" s="1"/>
  <c r="AC94" i="8" s="1"/>
  <c r="J103" i="8"/>
  <c r="K94" i="8"/>
  <c r="J104" i="8"/>
  <c r="K95" i="8"/>
  <c r="X95" i="8" s="1"/>
  <c r="J119" i="8"/>
  <c r="R104" i="8"/>
  <c r="S104" i="8" s="1"/>
  <c r="AC104" i="8" s="1"/>
  <c r="R97" i="8"/>
  <c r="S97" i="8" s="1"/>
  <c r="Q114" i="8"/>
  <c r="O108" i="8"/>
  <c r="AA108" i="8" s="1"/>
  <c r="S103" i="8"/>
  <c r="AC103" i="8" s="1"/>
  <c r="S106" i="8"/>
  <c r="AC106" i="8" s="1"/>
  <c r="S107" i="8"/>
  <c r="AC107" i="8" s="1"/>
  <c r="O104" i="8"/>
  <c r="Y104" i="8" s="1"/>
  <c r="M114" i="8"/>
  <c r="I114" i="8"/>
  <c r="S26" i="8"/>
  <c r="AC26" i="8" s="1"/>
  <c r="AB129" i="8"/>
  <c r="AC63" i="9"/>
  <c r="U68" i="9"/>
  <c r="U61" i="8"/>
  <c r="Y68" i="9"/>
  <c r="AE68" i="8"/>
  <c r="U62" i="9"/>
  <c r="AC62" i="9"/>
  <c r="Y62" i="9"/>
  <c r="AC46" i="8"/>
  <c r="Y63" i="9"/>
  <c r="U57" i="9"/>
  <c r="V33" i="9"/>
  <c r="AC33" i="9"/>
  <c r="AC34" i="9"/>
  <c r="U67" i="9"/>
  <c r="U69" i="9" s="1"/>
  <c r="AC67" i="9"/>
  <c r="Y57" i="9"/>
  <c r="AB33" i="9"/>
  <c r="AB34" i="9"/>
  <c r="AC53" i="9"/>
  <c r="AC63" i="8"/>
  <c r="U63" i="9"/>
  <c r="AC68" i="9"/>
  <c r="Y67" i="9"/>
  <c r="Y69" i="9" s="1"/>
  <c r="AB6" i="9"/>
  <c r="AB9" i="9" s="1"/>
  <c r="W6" i="9"/>
  <c r="W9" i="9" s="1"/>
  <c r="U34" i="9"/>
  <c r="V34" i="9"/>
  <c r="V13" i="9"/>
  <c r="W34" i="9"/>
  <c r="X34" i="9"/>
  <c r="AC6" i="9"/>
  <c r="AC9" i="9" s="1"/>
  <c r="AE77" i="8"/>
  <c r="AE76" i="8"/>
  <c r="U8" i="8"/>
  <c r="U37" i="8"/>
  <c r="AC99" i="8"/>
  <c r="Y61" i="8"/>
  <c r="AE61" i="8" s="1"/>
  <c r="AC98" i="8"/>
  <c r="AE72" i="8"/>
  <c r="C80" i="8"/>
  <c r="C82" i="8" s="1"/>
  <c r="AE62" i="8"/>
  <c r="V129" i="8"/>
  <c r="AC129" i="8" s="1"/>
  <c r="Y126" i="8"/>
  <c r="W129" i="8"/>
  <c r="U130" i="8"/>
  <c r="AB130" i="8" s="1"/>
  <c r="Z126" i="8"/>
  <c r="X129" i="8"/>
  <c r="AA126" i="8"/>
  <c r="AB126" i="8"/>
  <c r="Z129" i="8"/>
  <c r="AE71" i="8"/>
  <c r="AE53" i="8"/>
  <c r="H72" i="9"/>
  <c r="H81" i="9" s="1"/>
  <c r="I72" i="9"/>
  <c r="I81" i="9" s="1"/>
  <c r="J72" i="9"/>
  <c r="J81" i="9" s="1"/>
  <c r="K4" i="9"/>
  <c r="U4" i="9" s="1"/>
  <c r="H9" i="9"/>
  <c r="H14" i="9" s="1"/>
  <c r="H21" i="9" s="1"/>
  <c r="H25" i="9" s="1"/>
  <c r="J9" i="9"/>
  <c r="I9" i="9"/>
  <c r="I122" i="8"/>
  <c r="J73" i="8"/>
  <c r="I73" i="8"/>
  <c r="H73" i="8"/>
  <c r="K79" i="8"/>
  <c r="U71" i="9" s="1"/>
  <c r="K65" i="8"/>
  <c r="U58" i="9" s="1"/>
  <c r="K50" i="8"/>
  <c r="K58" i="8" s="1"/>
  <c r="K87" i="8"/>
  <c r="I27" i="8"/>
  <c r="H21" i="8"/>
  <c r="H15" i="8"/>
  <c r="I15" i="8"/>
  <c r="AE37" i="8"/>
  <c r="AC69" i="9" l="1"/>
  <c r="C22" i="8"/>
  <c r="C15" i="8"/>
  <c r="O112" i="8"/>
  <c r="S102" i="8"/>
  <c r="S35" i="9" s="1"/>
  <c r="R35" i="9"/>
  <c r="K102" i="8"/>
  <c r="W102" i="8" s="1"/>
  <c r="J35" i="9"/>
  <c r="AE20" i="8"/>
  <c r="O102" i="8"/>
  <c r="N35" i="9"/>
  <c r="V95" i="8"/>
  <c r="W17" i="9"/>
  <c r="X13" i="9"/>
  <c r="J21" i="8"/>
  <c r="J27" i="8" s="1"/>
  <c r="J31" i="8" s="1"/>
  <c r="U13" i="9"/>
  <c r="Y13" i="9"/>
  <c r="Z13" i="9"/>
  <c r="U17" i="9"/>
  <c r="X17" i="9"/>
  <c r="AA13" i="9"/>
  <c r="Z97" i="8"/>
  <c r="R114" i="8"/>
  <c r="AE18" i="8"/>
  <c r="K93" i="8"/>
  <c r="X93" i="8" s="1"/>
  <c r="AE105" i="8"/>
  <c r="AA104" i="8"/>
  <c r="Z94" i="8"/>
  <c r="AA17" i="9"/>
  <c r="Y97" i="8"/>
  <c r="O32" i="9"/>
  <c r="AB112" i="8"/>
  <c r="AB114" i="8" s="1"/>
  <c r="K112" i="8"/>
  <c r="W112" i="8" s="1"/>
  <c r="J32" i="9"/>
  <c r="K14" i="8"/>
  <c r="K21" i="8" s="1"/>
  <c r="K22" i="8" s="1"/>
  <c r="Z108" i="8"/>
  <c r="U108" i="8"/>
  <c r="AB20" i="9"/>
  <c r="Z20" i="9"/>
  <c r="AA20" i="9"/>
  <c r="Y20" i="9"/>
  <c r="S96" i="8"/>
  <c r="R28" i="9"/>
  <c r="O93" i="8"/>
  <c r="O24" i="9" s="1"/>
  <c r="AA24" i="9" s="1"/>
  <c r="O114" i="8"/>
  <c r="K96" i="8"/>
  <c r="V96" i="8" s="1"/>
  <c r="W105" i="8"/>
  <c r="N32" i="9"/>
  <c r="Z112" i="8"/>
  <c r="Z114" i="8" s="1"/>
  <c r="AA112" i="8"/>
  <c r="AA114" i="8" s="1"/>
  <c r="AE19" i="8"/>
  <c r="O96" i="8"/>
  <c r="N28" i="9"/>
  <c r="S112" i="8"/>
  <c r="R32" i="9"/>
  <c r="K99" i="8"/>
  <c r="W99" i="8" s="1"/>
  <c r="Y112" i="8"/>
  <c r="Y114" i="8" s="1"/>
  <c r="AB19" i="9"/>
  <c r="AA19" i="9"/>
  <c r="Y19" i="9"/>
  <c r="Z19" i="9"/>
  <c r="AB18" i="9"/>
  <c r="Z18" i="9"/>
  <c r="AA18" i="9"/>
  <c r="Y18" i="9"/>
  <c r="X26" i="8"/>
  <c r="W26" i="8"/>
  <c r="V26" i="8"/>
  <c r="U100" i="8"/>
  <c r="AC100" i="8"/>
  <c r="O100" i="8"/>
  <c r="Z100" i="8" s="1"/>
  <c r="W100" i="8"/>
  <c r="V100" i="8"/>
  <c r="AC97" i="8"/>
  <c r="X94" i="8"/>
  <c r="W94" i="8"/>
  <c r="V94" i="8"/>
  <c r="U94" i="8"/>
  <c r="AB119" i="8"/>
  <c r="AA119" i="8"/>
  <c r="Z119" i="8"/>
  <c r="Y119" i="8"/>
  <c r="K97" i="8"/>
  <c r="X97" i="8" s="1"/>
  <c r="O103" i="8"/>
  <c r="AB103" i="8" s="1"/>
  <c r="O120" i="8"/>
  <c r="AB107" i="8"/>
  <c r="Z107" i="8"/>
  <c r="AA107" i="8"/>
  <c r="K103" i="8"/>
  <c r="X103" i="8" s="1"/>
  <c r="AB94" i="8"/>
  <c r="U105" i="8"/>
  <c r="AB108" i="8"/>
  <c r="Y94" i="8"/>
  <c r="Z106" i="8"/>
  <c r="AA106" i="8"/>
  <c r="Y17" i="9"/>
  <c r="K119" i="8"/>
  <c r="W119" i="8" s="1"/>
  <c r="K106" i="8"/>
  <c r="X106" i="8" s="1"/>
  <c r="Y108" i="8"/>
  <c r="AE108" i="8" s="1"/>
  <c r="V108" i="8"/>
  <c r="K98" i="8"/>
  <c r="W98" i="8" s="1"/>
  <c r="AB97" i="8"/>
  <c r="Y107" i="8"/>
  <c r="AE107" i="8" s="1"/>
  <c r="V105" i="8"/>
  <c r="U95" i="8"/>
  <c r="K120" i="8"/>
  <c r="Y106" i="8"/>
  <c r="AE106" i="8" s="1"/>
  <c r="AB104" i="8"/>
  <c r="Z104" i="8"/>
  <c r="W95" i="8"/>
  <c r="W108" i="8"/>
  <c r="K104" i="8"/>
  <c r="X104" i="8" s="1"/>
  <c r="K107" i="8"/>
  <c r="X107" i="8" s="1"/>
  <c r="S93" i="8"/>
  <c r="AE104" i="8"/>
  <c r="Z33" i="9"/>
  <c r="AE46" i="8"/>
  <c r="U33" i="9"/>
  <c r="X33" i="9"/>
  <c r="Y33" i="9"/>
  <c r="AA33" i="9"/>
  <c r="AA34" i="9"/>
  <c r="Z34" i="9"/>
  <c r="W33" i="9"/>
  <c r="X6" i="9"/>
  <c r="X9" i="9" s="1"/>
  <c r="AB17" i="9"/>
  <c r="Y34" i="9"/>
  <c r="V6" i="9"/>
  <c r="V9" i="9" s="1"/>
  <c r="U6" i="9"/>
  <c r="U9" i="9" s="1"/>
  <c r="K9" i="9"/>
  <c r="K14" i="9" s="1"/>
  <c r="K15" i="9" s="1"/>
  <c r="AB14" i="9"/>
  <c r="AB15" i="9" s="1"/>
  <c r="AC14" i="9"/>
  <c r="AC15" i="9" s="1"/>
  <c r="Z6" i="9"/>
  <c r="Z9" i="9" s="1"/>
  <c r="Y6" i="9"/>
  <c r="Y9" i="9" s="1"/>
  <c r="AA6" i="9"/>
  <c r="I11" i="9"/>
  <c r="C28" i="8"/>
  <c r="C31" i="8"/>
  <c r="K73" i="8"/>
  <c r="U59" i="9" s="1"/>
  <c r="H80" i="8"/>
  <c r="H82" i="8" s="1"/>
  <c r="J80" i="8"/>
  <c r="J82" i="8" s="1"/>
  <c r="I80" i="8"/>
  <c r="I82" i="8" s="1"/>
  <c r="J122" i="8"/>
  <c r="I14" i="9"/>
  <c r="I21" i="9" s="1"/>
  <c r="I25" i="9" s="1"/>
  <c r="J14" i="9"/>
  <c r="J15" i="9" s="1"/>
  <c r="J11" i="9"/>
  <c r="H15" i="9"/>
  <c r="H22" i="9"/>
  <c r="H27" i="8"/>
  <c r="H22" i="8"/>
  <c r="I31" i="8"/>
  <c r="I28" i="8"/>
  <c r="AC126" i="8"/>
  <c r="R126" i="8"/>
  <c r="Q126" i="8"/>
  <c r="N126" i="8"/>
  <c r="L122" i="8"/>
  <c r="M122" i="8"/>
  <c r="N122" i="8"/>
  <c r="M126" i="8"/>
  <c r="P126" i="8"/>
  <c r="J28" i="8" l="1"/>
  <c r="J22" i="8"/>
  <c r="V102" i="8"/>
  <c r="U102" i="8"/>
  <c r="AC35" i="9"/>
  <c r="AC102" i="8"/>
  <c r="U96" i="8"/>
  <c r="W93" i="8"/>
  <c r="V93" i="8"/>
  <c r="X102" i="8"/>
  <c r="K35" i="9"/>
  <c r="AB102" i="8"/>
  <c r="O35" i="9"/>
  <c r="AB35" i="9" s="1"/>
  <c r="Y102" i="8"/>
  <c r="Z102" i="8"/>
  <c r="AA102" i="8"/>
  <c r="U93" i="8"/>
  <c r="AA32" i="9"/>
  <c r="W103" i="8"/>
  <c r="K24" i="9"/>
  <c r="W24" i="9" s="1"/>
  <c r="Z32" i="9"/>
  <c r="Y24" i="9"/>
  <c r="AA103" i="8"/>
  <c r="Z103" i="8"/>
  <c r="Y32" i="9"/>
  <c r="V103" i="8"/>
  <c r="Z24" i="9"/>
  <c r="W106" i="8"/>
  <c r="Z93" i="8"/>
  <c r="Y103" i="8"/>
  <c r="AE103" i="8" s="1"/>
  <c r="V107" i="8"/>
  <c r="AA93" i="8"/>
  <c r="V106" i="8"/>
  <c r="AB93" i="8"/>
  <c r="Y93" i="8"/>
  <c r="AC93" i="8"/>
  <c r="S24" i="9"/>
  <c r="AC24" i="9" s="1"/>
  <c r="X96" i="8"/>
  <c r="K28" i="9"/>
  <c r="AB96" i="8"/>
  <c r="O28" i="9"/>
  <c r="Z28" i="9" s="1"/>
  <c r="Y96" i="8"/>
  <c r="AA96" i="8"/>
  <c r="Z96" i="8"/>
  <c r="K32" i="9"/>
  <c r="X32" i="9" s="1"/>
  <c r="X112" i="8"/>
  <c r="X114" i="8" s="1"/>
  <c r="V112" i="8"/>
  <c r="V114" i="8" s="1"/>
  <c r="U112" i="8"/>
  <c r="U114" i="8" s="1"/>
  <c r="K27" i="8"/>
  <c r="K28" i="8" s="1"/>
  <c r="K15" i="8"/>
  <c r="S32" i="9"/>
  <c r="AC32" i="9" s="1"/>
  <c r="AC112" i="8"/>
  <c r="AC114" i="8" s="1"/>
  <c r="S114" i="8"/>
  <c r="W107" i="8"/>
  <c r="U103" i="8"/>
  <c r="AB32" i="9"/>
  <c r="U104" i="8"/>
  <c r="W96" i="8"/>
  <c r="S28" i="9"/>
  <c r="AC28" i="9" s="1"/>
  <c r="AC96" i="8"/>
  <c r="V104" i="8"/>
  <c r="X99" i="8"/>
  <c r="V99" i="8"/>
  <c r="U99" i="8"/>
  <c r="AA9" i="9"/>
  <c r="AA14" i="9" s="1"/>
  <c r="AB24" i="9"/>
  <c r="AB100" i="8"/>
  <c r="Y100" i="8"/>
  <c r="AE100" i="8" s="1"/>
  <c r="AA100" i="8"/>
  <c r="U97" i="8"/>
  <c r="W97" i="8"/>
  <c r="X98" i="8"/>
  <c r="U98" i="8"/>
  <c r="V98" i="8"/>
  <c r="X119" i="8"/>
  <c r="V119" i="8"/>
  <c r="U107" i="8"/>
  <c r="W104" i="8"/>
  <c r="U119" i="8"/>
  <c r="V97" i="8"/>
  <c r="U106" i="8"/>
  <c r="W114" i="8"/>
  <c r="K114" i="8"/>
  <c r="AC21" i="9"/>
  <c r="AB21" i="9"/>
  <c r="K21" i="9"/>
  <c r="K22" i="9" s="1"/>
  <c r="K11" i="9"/>
  <c r="K72" i="9"/>
  <c r="K81" i="9" s="1"/>
  <c r="K80" i="8"/>
  <c r="K82" i="8" s="1"/>
  <c r="C38" i="8"/>
  <c r="C35" i="8"/>
  <c r="C90" i="8"/>
  <c r="C109" i="8" s="1"/>
  <c r="C32" i="8"/>
  <c r="AE97" i="8"/>
  <c r="K122" i="8"/>
  <c r="J21" i="9"/>
  <c r="J25" i="9" s="1"/>
  <c r="J29" i="9" s="1"/>
  <c r="I15" i="9"/>
  <c r="I22" i="9"/>
  <c r="H29" i="9"/>
  <c r="H26" i="9"/>
  <c r="I35" i="8"/>
  <c r="I90" i="8"/>
  <c r="I38" i="8"/>
  <c r="I32" i="8"/>
  <c r="H31" i="8"/>
  <c r="H28" i="8"/>
  <c r="J35" i="8"/>
  <c r="J90" i="8"/>
  <c r="J38" i="8"/>
  <c r="J32" i="8"/>
  <c r="AE98" i="8"/>
  <c r="O10" i="9"/>
  <c r="M9" i="9"/>
  <c r="M10" i="9" s="1"/>
  <c r="N9" i="9"/>
  <c r="N10" i="9" s="1"/>
  <c r="L9" i="9"/>
  <c r="K126" i="8"/>
  <c r="S126" i="8"/>
  <c r="AC25" i="9" l="1"/>
  <c r="AC29" i="9" s="1"/>
  <c r="K31" i="8"/>
  <c r="K90" i="8" s="1"/>
  <c r="AB25" i="9"/>
  <c r="Y28" i="9"/>
  <c r="AA28" i="9"/>
  <c r="AB28" i="9"/>
  <c r="AA21" i="9"/>
  <c r="AA15" i="9"/>
  <c r="U24" i="9"/>
  <c r="V24" i="9"/>
  <c r="X24" i="9"/>
  <c r="AC22" i="9"/>
  <c r="X28" i="9"/>
  <c r="V28" i="9"/>
  <c r="U28" i="9"/>
  <c r="W28" i="9"/>
  <c r="U32" i="9"/>
  <c r="V32" i="9"/>
  <c r="Z35" i="9"/>
  <c r="AA35" i="9"/>
  <c r="X35" i="9"/>
  <c r="W35" i="9"/>
  <c r="V35" i="9"/>
  <c r="U35" i="9"/>
  <c r="AB22" i="9"/>
  <c r="Y35" i="9"/>
  <c r="W32" i="9"/>
  <c r="C131" i="8"/>
  <c r="C132" i="8" s="1"/>
  <c r="K25" i="9"/>
  <c r="K26" i="9" s="1"/>
  <c r="AE99" i="8"/>
  <c r="J109" i="8"/>
  <c r="I109" i="8"/>
  <c r="J22" i="9"/>
  <c r="J26" i="9"/>
  <c r="I29" i="9"/>
  <c r="I26" i="9"/>
  <c r="L11" i="9"/>
  <c r="L10" i="9"/>
  <c r="J30" i="9"/>
  <c r="J80" i="9" a="1"/>
  <c r="J80" i="9" s="1"/>
  <c r="J79" i="9" a="1"/>
  <c r="J79" i="9" s="1"/>
  <c r="J78" i="9" a="1"/>
  <c r="J78" i="9" s="1"/>
  <c r="J76" i="9"/>
  <c r="J36" i="9"/>
  <c r="J43" i="9" s="1" a="1"/>
  <c r="J43" i="9" s="1"/>
  <c r="J77" i="9"/>
  <c r="H80" i="9" a="1"/>
  <c r="H80" i="9" s="1"/>
  <c r="H79" i="9" a="1"/>
  <c r="H79" i="9" s="1"/>
  <c r="H78" i="9" a="1"/>
  <c r="H78" i="9" s="1"/>
  <c r="H36" i="9"/>
  <c r="H44" i="9" s="1"/>
  <c r="H30" i="9"/>
  <c r="H76" i="9"/>
  <c r="H77" i="9"/>
  <c r="H35" i="8"/>
  <c r="H32" i="8"/>
  <c r="H38" i="8"/>
  <c r="H90" i="8"/>
  <c r="K35" i="8"/>
  <c r="AE13" i="9"/>
  <c r="AC26" i="9" l="1"/>
  <c r="AB29" i="9"/>
  <c r="AB79" i="9" s="1" a="1"/>
  <c r="AB79" i="9" s="1"/>
  <c r="AB26" i="9"/>
  <c r="K38" i="8"/>
  <c r="K32" i="8"/>
  <c r="AA22" i="9"/>
  <c r="AA25" i="9"/>
  <c r="H125" i="8"/>
  <c r="C134" i="8"/>
  <c r="J131" i="8"/>
  <c r="D125" i="8"/>
  <c r="AB30" i="9"/>
  <c r="AB77" i="9"/>
  <c r="AB76" i="9"/>
  <c r="AC79" i="9" a="1"/>
  <c r="AC79" i="9" s="1"/>
  <c r="AC36" i="9"/>
  <c r="AC78" i="9"/>
  <c r="AC76" i="9"/>
  <c r="AC30" i="9"/>
  <c r="AC80" i="9" a="1"/>
  <c r="AC80" i="9" s="1"/>
  <c r="AC77" i="9"/>
  <c r="K29" i="9"/>
  <c r="K77" i="9" s="1"/>
  <c r="H109" i="8"/>
  <c r="U90" i="8"/>
  <c r="I131" i="8"/>
  <c r="K109" i="8"/>
  <c r="J44" i="9"/>
  <c r="I76" i="9"/>
  <c r="I30" i="9"/>
  <c r="I36" i="9"/>
  <c r="I43" i="9" s="1" a="1"/>
  <c r="I43" i="9" s="1"/>
  <c r="I77" i="9"/>
  <c r="I79" i="9" a="1"/>
  <c r="I79" i="9" s="1"/>
  <c r="I80" i="9" a="1"/>
  <c r="I80" i="9" s="1"/>
  <c r="I78" i="9" a="1"/>
  <c r="I78" i="9" s="1"/>
  <c r="AE13" i="8"/>
  <c r="AB80" i="9" l="1" a="1"/>
  <c r="AB80" i="9" s="1"/>
  <c r="AB78" i="9"/>
  <c r="AB36" i="9"/>
  <c r="AA29" i="9"/>
  <c r="AA26" i="9"/>
  <c r="H131" i="8"/>
  <c r="K30" i="9"/>
  <c r="K36" i="9"/>
  <c r="K43" i="9" s="1" a="1"/>
  <c r="K43" i="9" s="1"/>
  <c r="U43" i="9" s="1"/>
  <c r="K78" i="9" a="1"/>
  <c r="K78" i="9" s="1"/>
  <c r="K79" i="9" a="1"/>
  <c r="K79" i="9" s="1"/>
  <c r="K76" i="9"/>
  <c r="K80" i="9" a="1"/>
  <c r="K80" i="9" s="1"/>
  <c r="K131" i="8"/>
  <c r="U131" i="8" s="1"/>
  <c r="I44" i="9"/>
  <c r="S8" i="8"/>
  <c r="S4" i="13" s="1"/>
  <c r="X4" i="13" s="1"/>
  <c r="O8" i="8"/>
  <c r="O4" i="13" s="1"/>
  <c r="AA30" i="9" l="1"/>
  <c r="AA80" i="9" a="1"/>
  <c r="AA80" i="9" s="1"/>
  <c r="AA77" i="9"/>
  <c r="AA36" i="9"/>
  <c r="AA76" i="9"/>
  <c r="AA79" i="9" a="1"/>
  <c r="AA79" i="9" s="1"/>
  <c r="AA78" i="9"/>
  <c r="K44" i="9"/>
  <c r="Y8" i="8"/>
  <c r="AC8" i="8"/>
  <c r="N50" i="8" l="1"/>
  <c r="B2" i="9"/>
  <c r="R65" i="8"/>
  <c r="AB58" i="9" s="1"/>
  <c r="Q65" i="8"/>
  <c r="AA58" i="9" s="1"/>
  <c r="P65" i="8"/>
  <c r="Z58" i="9" s="1"/>
  <c r="N65" i="8"/>
  <c r="X58" i="9" s="1"/>
  <c r="M65" i="8"/>
  <c r="W58" i="9" s="1"/>
  <c r="L65" i="8"/>
  <c r="V58" i="9" s="1"/>
  <c r="F65" i="8"/>
  <c r="E65" i="8"/>
  <c r="D65" i="8"/>
  <c r="AC87" i="8"/>
  <c r="AC86" i="8"/>
  <c r="F122" i="8"/>
  <c r="E122" i="8"/>
  <c r="D122" i="8"/>
  <c r="S4" i="9"/>
  <c r="AC4" i="9" s="1"/>
  <c r="R4" i="9"/>
  <c r="AB4" i="9" s="1"/>
  <c r="Q4" i="9"/>
  <c r="AA4" i="9" s="1"/>
  <c r="P4" i="9"/>
  <c r="Z4" i="9" s="1"/>
  <c r="O4" i="9"/>
  <c r="Y4" i="9" s="1"/>
  <c r="N4" i="9"/>
  <c r="X4" i="9" s="1"/>
  <c r="M4" i="9"/>
  <c r="W4" i="9" s="1"/>
  <c r="L4" i="9"/>
  <c r="V4" i="9" s="1"/>
  <c r="S3" i="9"/>
  <c r="AC3" i="9" s="1"/>
  <c r="R3" i="9"/>
  <c r="AB3" i="9" s="1"/>
  <c r="Q3" i="9"/>
  <c r="AA3" i="9" s="1"/>
  <c r="P3" i="9"/>
  <c r="Z3" i="9" s="1"/>
  <c r="O3" i="9"/>
  <c r="Y3" i="9" s="1"/>
  <c r="N3" i="9"/>
  <c r="X3" i="9" s="1"/>
  <c r="M3" i="9"/>
  <c r="W3" i="9" s="1"/>
  <c r="L3" i="9"/>
  <c r="V3" i="9" s="1"/>
  <c r="F4" i="9"/>
  <c r="E4" i="9"/>
  <c r="D4" i="9"/>
  <c r="F3" i="9"/>
  <c r="E3" i="9"/>
  <c r="D3" i="9"/>
  <c r="Y50" i="8"/>
  <c r="N79" i="8"/>
  <c r="X71" i="9" s="1"/>
  <c r="S87" i="8"/>
  <c r="R87" i="8"/>
  <c r="Q87" i="8"/>
  <c r="P87" i="8"/>
  <c r="O87" i="8"/>
  <c r="N87" i="8"/>
  <c r="M87" i="8"/>
  <c r="L87" i="8"/>
  <c r="S86" i="8"/>
  <c r="R86" i="8"/>
  <c r="Q86" i="8"/>
  <c r="P86" i="8"/>
  <c r="O86" i="8"/>
  <c r="N86" i="8"/>
  <c r="M86" i="8"/>
  <c r="L86" i="8"/>
  <c r="R79" i="8"/>
  <c r="AB71" i="9" s="1"/>
  <c r="AB72" i="9" s="1"/>
  <c r="AB81" i="9" s="1"/>
  <c r="Q79" i="8"/>
  <c r="AA71" i="9" s="1"/>
  <c r="AA72" i="9" s="1"/>
  <c r="AA81" i="9" s="1"/>
  <c r="P79" i="8"/>
  <c r="Z71" i="9" s="1"/>
  <c r="M79" i="8"/>
  <c r="W71" i="9" s="1"/>
  <c r="L79" i="8"/>
  <c r="V71" i="9" s="1"/>
  <c r="S43" i="8"/>
  <c r="R43" i="8"/>
  <c r="Q43" i="8"/>
  <c r="P43" i="8"/>
  <c r="O43" i="8"/>
  <c r="N43" i="8"/>
  <c r="M43" i="8"/>
  <c r="L43" i="8"/>
  <c r="S42" i="8"/>
  <c r="R42" i="8"/>
  <c r="Q42" i="8"/>
  <c r="P42" i="8"/>
  <c r="O42" i="8"/>
  <c r="N42" i="8"/>
  <c r="M42" i="8"/>
  <c r="L42" i="8"/>
  <c r="F43" i="8"/>
  <c r="E43" i="8"/>
  <c r="D43" i="8"/>
  <c r="F42" i="8"/>
  <c r="E42" i="8"/>
  <c r="D42" i="8"/>
  <c r="Q11" i="8"/>
  <c r="Q13" i="13" s="1"/>
  <c r="P11" i="8"/>
  <c r="P13" i="13" s="1"/>
  <c r="N11" i="8"/>
  <c r="N13" i="13" s="1"/>
  <c r="M11" i="8"/>
  <c r="M13" i="13" s="1"/>
  <c r="L11" i="8"/>
  <c r="L13" i="13" s="1"/>
  <c r="AE63" i="8" l="1"/>
  <c r="AE64" i="8"/>
  <c r="AB50" i="8"/>
  <c r="AA50" i="8"/>
  <c r="AC50" i="8"/>
  <c r="N14" i="8"/>
  <c r="N15" i="8" s="1"/>
  <c r="P14" i="8"/>
  <c r="P21" i="8" s="1"/>
  <c r="P27" i="8" s="1"/>
  <c r="P31" i="8" s="1"/>
  <c r="P90" i="8" s="1"/>
  <c r="M14" i="8"/>
  <c r="M15" i="8" s="1"/>
  <c r="L14" i="8"/>
  <c r="L15" i="8" s="1"/>
  <c r="Q14" i="8"/>
  <c r="Q21" i="8" s="1"/>
  <c r="AE75" i="8"/>
  <c r="AE78" i="8"/>
  <c r="N58" i="8"/>
  <c r="AA65" i="8"/>
  <c r="AB65" i="8"/>
  <c r="AC65" i="8"/>
  <c r="Y65" i="8"/>
  <c r="O65" i="8"/>
  <c r="Y58" i="9" s="1"/>
  <c r="S65" i="8"/>
  <c r="AC58" i="9" s="1"/>
  <c r="N73" i="8"/>
  <c r="X59" i="9" s="1"/>
  <c r="AC79" i="8"/>
  <c r="M73" i="8"/>
  <c r="W59" i="9" s="1"/>
  <c r="AC42" i="8"/>
  <c r="AC43" i="8"/>
  <c r="L73" i="8"/>
  <c r="V59" i="9" s="1"/>
  <c r="M50" i="8"/>
  <c r="M58" i="8" s="1"/>
  <c r="P122" i="8"/>
  <c r="Q122" i="8"/>
  <c r="R50" i="8"/>
  <c r="R58" i="8" s="1"/>
  <c r="L50" i="8"/>
  <c r="L58" i="8" s="1"/>
  <c r="Q50" i="8"/>
  <c r="Q58" i="8" s="1"/>
  <c r="P50" i="8"/>
  <c r="P58" i="8" s="1"/>
  <c r="F73" i="8"/>
  <c r="O11" i="8"/>
  <c r="O79" i="8"/>
  <c r="Y71" i="9" s="1"/>
  <c r="O50" i="8"/>
  <c r="O58" i="8" s="1"/>
  <c r="S50" i="8"/>
  <c r="S58" i="8" s="1"/>
  <c r="O14" i="8" l="1"/>
  <c r="O13" i="13"/>
  <c r="Z50" i="8"/>
  <c r="N21" i="8"/>
  <c r="N27" i="8" s="1"/>
  <c r="N31" i="8" s="1"/>
  <c r="N90" i="8" s="1"/>
  <c r="P35" i="8"/>
  <c r="P38" i="8"/>
  <c r="M21" i="8"/>
  <c r="M27" i="8" s="1"/>
  <c r="Q15" i="8"/>
  <c r="P15" i="8"/>
  <c r="L21" i="8"/>
  <c r="Z65" i="8"/>
  <c r="AE112" i="8"/>
  <c r="AE17" i="8"/>
  <c r="AC58" i="8"/>
  <c r="AC73" i="8"/>
  <c r="AC80" i="8" s="1"/>
  <c r="AE65" i="8"/>
  <c r="AE102" i="8"/>
  <c r="AE30" i="8"/>
  <c r="AE24" i="8"/>
  <c r="AC11" i="8"/>
  <c r="X13" i="13" s="1"/>
  <c r="AE10" i="8"/>
  <c r="X72" i="9"/>
  <c r="X81" i="9" s="1"/>
  <c r="W72" i="9"/>
  <c r="W81" i="9" s="1"/>
  <c r="U72" i="9"/>
  <c r="U81" i="9" s="1"/>
  <c r="Y72" i="9"/>
  <c r="Y81" i="9" s="1"/>
  <c r="M80" i="8"/>
  <c r="M82" i="8" s="1"/>
  <c r="V72" i="9"/>
  <c r="V81" i="9" s="1"/>
  <c r="O21" i="8"/>
  <c r="N80" i="8"/>
  <c r="N82" i="8" s="1"/>
  <c r="L80" i="8"/>
  <c r="L82" i="8" s="1"/>
  <c r="R122" i="8"/>
  <c r="Q73" i="8"/>
  <c r="AA59" i="9" s="1"/>
  <c r="P73" i="8"/>
  <c r="Z59" i="9" s="1"/>
  <c r="O73" i="8"/>
  <c r="Y59" i="9" s="1"/>
  <c r="R73" i="8"/>
  <c r="AB59" i="9" s="1"/>
  <c r="Q22" i="8"/>
  <c r="Q27" i="8"/>
  <c r="P22" i="8"/>
  <c r="AC82" i="8" l="1"/>
  <c r="AC14" i="8"/>
  <c r="AC21" i="8" s="1"/>
  <c r="AC22" i="8" s="1"/>
  <c r="N22" i="8"/>
  <c r="N38" i="8"/>
  <c r="N35" i="8"/>
  <c r="M22" i="8"/>
  <c r="L27" i="8"/>
  <c r="L22" i="8"/>
  <c r="AE26" i="8"/>
  <c r="AE34" i="9"/>
  <c r="P80" i="8"/>
  <c r="P82" i="8" s="1"/>
  <c r="Q80" i="8"/>
  <c r="Q82" i="8" s="1"/>
  <c r="O15" i="8"/>
  <c r="AE17" i="9"/>
  <c r="Q28" i="8"/>
  <c r="Q31" i="8"/>
  <c r="M31" i="8"/>
  <c r="AC15" i="8"/>
  <c r="AB122" i="8"/>
  <c r="AC122" i="8"/>
  <c r="Z122" i="8"/>
  <c r="X122" i="8"/>
  <c r="AA122" i="8"/>
  <c r="S122" i="8"/>
  <c r="R80" i="8"/>
  <c r="R82" i="8" s="1"/>
  <c r="O80" i="8"/>
  <c r="O82" i="8" s="1"/>
  <c r="AE93" i="8"/>
  <c r="AE32" i="9"/>
  <c r="AE35" i="9"/>
  <c r="O22" i="8"/>
  <c r="O27" i="8"/>
  <c r="M28" i="8"/>
  <c r="N109" i="8"/>
  <c r="N28" i="8"/>
  <c r="P109" i="8"/>
  <c r="P28" i="8"/>
  <c r="P131" i="8" l="1"/>
  <c r="Z131" i="8" s="1"/>
  <c r="M38" i="8"/>
  <c r="M35" i="8"/>
  <c r="Q90" i="8"/>
  <c r="Q38" i="8"/>
  <c r="Q35" i="8"/>
  <c r="L31" i="8"/>
  <c r="L28" i="8"/>
  <c r="AC27" i="8"/>
  <c r="AC31" i="8" s="1"/>
  <c r="AE34" i="8"/>
  <c r="AE114" i="8"/>
  <c r="AE33" i="9"/>
  <c r="M90" i="8"/>
  <c r="AE28" i="9"/>
  <c r="U122" i="8"/>
  <c r="M32" i="8"/>
  <c r="O28" i="8"/>
  <c r="O31" i="8"/>
  <c r="V122" i="8"/>
  <c r="N131" i="8"/>
  <c r="X131" i="8" s="1"/>
  <c r="O122" i="8"/>
  <c r="Y122" i="8"/>
  <c r="AE122" i="8" s="1"/>
  <c r="W122" i="8"/>
  <c r="Q32" i="8"/>
  <c r="N32" i="8"/>
  <c r="P32" i="8"/>
  <c r="X14" i="9" l="1"/>
  <c r="X21" i="9" s="1"/>
  <c r="X25" i="9" s="1"/>
  <c r="AB10" i="9"/>
  <c r="Q109" i="8"/>
  <c r="M109" i="8"/>
  <c r="AC32" i="8"/>
  <c r="AC35" i="8"/>
  <c r="AC38" i="8"/>
  <c r="O90" i="8"/>
  <c r="O35" i="8"/>
  <c r="O38" i="8"/>
  <c r="L38" i="8"/>
  <c r="L35" i="8"/>
  <c r="AC28" i="8"/>
  <c r="AE24" i="9"/>
  <c r="V14" i="9"/>
  <c r="V21" i="9" s="1"/>
  <c r="V25" i="9" s="1"/>
  <c r="L90" i="8"/>
  <c r="L32" i="8"/>
  <c r="O32" i="8"/>
  <c r="M131" i="8" l="1"/>
  <c r="W131" i="8" s="1"/>
  <c r="U14" i="9"/>
  <c r="U15" i="9" s="1"/>
  <c r="X15" i="9"/>
  <c r="Y14" i="9"/>
  <c r="Y21" i="9" s="1"/>
  <c r="AC10" i="9"/>
  <c r="W14" i="9"/>
  <c r="W21" i="9" s="1"/>
  <c r="AA10" i="9"/>
  <c r="Y90" i="8"/>
  <c r="W90" i="8"/>
  <c r="X90" i="8"/>
  <c r="V90" i="8"/>
  <c r="AA90" i="8"/>
  <c r="Z90" i="8"/>
  <c r="Q131" i="8"/>
  <c r="AA131" i="8" s="1"/>
  <c r="L109" i="8"/>
  <c r="Y10" i="9"/>
  <c r="Z14" i="9"/>
  <c r="V15" i="9"/>
  <c r="X22" i="9"/>
  <c r="X29" i="9"/>
  <c r="X78" i="9" s="1"/>
  <c r="V22" i="9"/>
  <c r="AE6" i="9"/>
  <c r="V26" i="9"/>
  <c r="V29" i="9"/>
  <c r="O109" i="8"/>
  <c r="U21" i="9" l="1"/>
  <c r="U22" i="9" s="1"/>
  <c r="Y15" i="9"/>
  <c r="W15" i="9"/>
  <c r="L131" i="8"/>
  <c r="V131" i="8" s="1"/>
  <c r="O131" i="8"/>
  <c r="Y131" i="8" s="1"/>
  <c r="W25" i="9"/>
  <c r="W26" i="9" s="1"/>
  <c r="Y22" i="9"/>
  <c r="Y25" i="9"/>
  <c r="Y29" i="9" s="1"/>
  <c r="Y78" i="9" s="1"/>
  <c r="W22" i="9"/>
  <c r="Z10" i="9"/>
  <c r="Z21" i="9"/>
  <c r="Z25" i="9" s="1"/>
  <c r="Z15" i="9"/>
  <c r="AE9" i="9"/>
  <c r="AE10" i="9"/>
  <c r="X80" i="9" a="1"/>
  <c r="X80" i="9" s="1"/>
  <c r="X26" i="9"/>
  <c r="V80" i="9" a="1"/>
  <c r="V80" i="9" s="1"/>
  <c r="V78" i="9"/>
  <c r="V79" i="9" a="1"/>
  <c r="V79" i="9" s="1"/>
  <c r="V77" i="9"/>
  <c r="X77" i="9"/>
  <c r="X76" i="9"/>
  <c r="X79" i="9" a="1"/>
  <c r="X79" i="9" s="1"/>
  <c r="V30" i="9"/>
  <c r="X36" i="9"/>
  <c r="V36" i="9"/>
  <c r="X30" i="9"/>
  <c r="V76" i="9"/>
  <c r="B87" i="8"/>
  <c r="B86" i="8"/>
  <c r="F87" i="8"/>
  <c r="E87" i="8"/>
  <c r="D87" i="8"/>
  <c r="F86" i="8"/>
  <c r="E86" i="8"/>
  <c r="D86" i="8"/>
  <c r="B43" i="8"/>
  <c r="B42" i="8"/>
  <c r="AB43" i="8"/>
  <c r="AA43" i="8"/>
  <c r="Z43" i="8"/>
  <c r="X43" i="8"/>
  <c r="W43" i="8"/>
  <c r="V43" i="8"/>
  <c r="Y43" i="8"/>
  <c r="U43" i="8"/>
  <c r="AB42" i="8"/>
  <c r="AA42" i="8"/>
  <c r="Z42" i="8"/>
  <c r="Y42" i="8"/>
  <c r="X42" i="8"/>
  <c r="W42" i="8"/>
  <c r="V42" i="8"/>
  <c r="U42" i="8"/>
  <c r="U25" i="9" l="1"/>
  <c r="U29" i="9" s="1"/>
  <c r="U78" i="9" s="1"/>
  <c r="W29" i="9"/>
  <c r="Y36" i="9"/>
  <c r="Y30" i="9"/>
  <c r="Y79" i="9" a="1"/>
  <c r="Y79" i="9" s="1"/>
  <c r="Y76" i="9"/>
  <c r="Y77" i="9"/>
  <c r="Y80" i="9" a="1"/>
  <c r="Y80" i="9" s="1"/>
  <c r="Y26" i="9"/>
  <c r="AE15" i="9"/>
  <c r="AE14" i="9"/>
  <c r="Z22" i="9"/>
  <c r="U86" i="8"/>
  <c r="V86" i="8"/>
  <c r="V87" i="8"/>
  <c r="Y86" i="8"/>
  <c r="Z86" i="8"/>
  <c r="U87" i="8"/>
  <c r="Z87" i="8"/>
  <c r="AA87" i="8"/>
  <c r="X86" i="8"/>
  <c r="AA86" i="8"/>
  <c r="X87" i="8"/>
  <c r="W87" i="8"/>
  <c r="AB86" i="8"/>
  <c r="Y87" i="8"/>
  <c r="W86" i="8"/>
  <c r="AB87" i="8"/>
  <c r="U30" i="9" l="1"/>
  <c r="U79" i="9" a="1"/>
  <c r="U79" i="9" s="1"/>
  <c r="U77" i="9"/>
  <c r="U80" i="9" a="1"/>
  <c r="U80" i="9" s="1"/>
  <c r="U26" i="9"/>
  <c r="U76" i="9"/>
  <c r="U36" i="9"/>
  <c r="W79" i="9" a="1"/>
  <c r="W79" i="9" s="1"/>
  <c r="W78" i="9"/>
  <c r="W36" i="9"/>
  <c r="W30" i="9"/>
  <c r="W76" i="9"/>
  <c r="W77" i="9"/>
  <c r="W80" i="9" a="1"/>
  <c r="W80" i="9" s="1"/>
  <c r="Z29" i="9"/>
  <c r="Z26" i="9"/>
  <c r="AE22" i="9"/>
  <c r="AE21" i="9"/>
  <c r="AE25" i="9" l="1"/>
  <c r="AE26" i="9"/>
  <c r="Z78" i="9"/>
  <c r="Z77" i="9"/>
  <c r="Z36" i="9"/>
  <c r="Z79" i="9" a="1"/>
  <c r="Z79" i="9" s="1"/>
  <c r="Z30" i="9"/>
  <c r="Z80" i="9" a="1"/>
  <c r="Z80" i="9" s="1"/>
  <c r="Z76" i="9"/>
  <c r="AE29" i="9" l="1"/>
  <c r="AE30" i="9"/>
  <c r="AE36" i="9"/>
  <c r="S79" i="8" l="1"/>
  <c r="AC71" i="9" s="1"/>
  <c r="AC72" i="9" s="1"/>
  <c r="AC81" i="9" s="1"/>
  <c r="Z72" i="9" l="1"/>
  <c r="Z81" i="9" s="1"/>
  <c r="E14" i="9"/>
  <c r="P14" i="9"/>
  <c r="N14" i="9"/>
  <c r="Q14" i="9"/>
  <c r="C14" i="9"/>
  <c r="L14" i="9"/>
  <c r="F14" i="9"/>
  <c r="D14" i="9"/>
  <c r="S14" i="9"/>
  <c r="O14" i="9"/>
  <c r="M14" i="9"/>
  <c r="R14" i="9" l="1"/>
  <c r="W11" i="8" l="1"/>
  <c r="E50" i="8"/>
  <c r="E58" i="8" s="1"/>
  <c r="D50" i="8"/>
  <c r="D58" i="8" s="1"/>
  <c r="F50" i="8"/>
  <c r="F58" i="8" s="1"/>
  <c r="W14" i="8" l="1"/>
  <c r="X11" i="8"/>
  <c r="X50" i="8"/>
  <c r="X58" i="8" s="1"/>
  <c r="X79" i="8"/>
  <c r="U79" i="8"/>
  <c r="V50" i="8"/>
  <c r="V58" i="8" s="1"/>
  <c r="X65" i="8"/>
  <c r="X73" i="8" s="1"/>
  <c r="W65" i="8"/>
  <c r="W73" i="8" s="1"/>
  <c r="U11" i="8"/>
  <c r="W50" i="8"/>
  <c r="W58" i="8" s="1"/>
  <c r="V79" i="8"/>
  <c r="V11" i="8"/>
  <c r="V65" i="8"/>
  <c r="V73" i="8" s="1"/>
  <c r="W79" i="8"/>
  <c r="Z79" i="8"/>
  <c r="Z58" i="8"/>
  <c r="AA79" i="8"/>
  <c r="Z11" i="8"/>
  <c r="Z73" i="8"/>
  <c r="AA73" i="8"/>
  <c r="Y11" i="8"/>
  <c r="Y14" i="8" s="1"/>
  <c r="AA11" i="8"/>
  <c r="AA58" i="8"/>
  <c r="Z14" i="8" l="1"/>
  <c r="U13" i="13"/>
  <c r="AA14" i="8"/>
  <c r="V13" i="13"/>
  <c r="V14" i="8"/>
  <c r="U14" i="8"/>
  <c r="X14" i="8"/>
  <c r="AE11" i="8"/>
  <c r="W21" i="8"/>
  <c r="W27" i="8" s="1"/>
  <c r="W31" i="8" s="1"/>
  <c r="X80" i="8"/>
  <c r="X82" i="8" s="1"/>
  <c r="V80" i="8"/>
  <c r="V82" i="8" s="1"/>
  <c r="W80" i="8"/>
  <c r="W82" i="8" s="1"/>
  <c r="W15" i="8"/>
  <c r="Z80" i="8"/>
  <c r="Z82" i="8" s="1"/>
  <c r="AE14" i="8"/>
  <c r="AA80" i="8"/>
  <c r="AA82" i="8" s="1"/>
  <c r="W38" i="8" l="1"/>
  <c r="W35" i="8"/>
  <c r="Y21" i="8"/>
  <c r="U21" i="8"/>
  <c r="U27" i="8" s="1"/>
  <c r="U31" i="8" s="1"/>
  <c r="Z21" i="8"/>
  <c r="Z27" i="8" s="1"/>
  <c r="Z31" i="8" s="1"/>
  <c r="V21" i="8"/>
  <c r="V22" i="8" s="1"/>
  <c r="X21" i="8"/>
  <c r="X27" i="8" s="1"/>
  <c r="X31" i="8" s="1"/>
  <c r="W22" i="8"/>
  <c r="AA21" i="8"/>
  <c r="AA22" i="8" s="1"/>
  <c r="Z15" i="8"/>
  <c r="Y15" i="8"/>
  <c r="AE15" i="8" s="1"/>
  <c r="V15" i="8"/>
  <c r="AA15" i="8"/>
  <c r="X15" i="8"/>
  <c r="W28" i="8"/>
  <c r="U15" i="8"/>
  <c r="X38" i="8" l="1"/>
  <c r="X35" i="8"/>
  <c r="Z38" i="8"/>
  <c r="Z35" i="8"/>
  <c r="U35" i="8"/>
  <c r="U38" i="8"/>
  <c r="Y27" i="8"/>
  <c r="Y28" i="8" s="1"/>
  <c r="AE28" i="8" s="1"/>
  <c r="AE21" i="8"/>
  <c r="U22" i="8"/>
  <c r="Z22" i="8"/>
  <c r="Y22" i="8"/>
  <c r="AE22" i="8" s="1"/>
  <c r="X22" i="8"/>
  <c r="V27" i="8"/>
  <c r="V31" i="8" s="1"/>
  <c r="AA27" i="8"/>
  <c r="AA31" i="8" s="1"/>
  <c r="U28" i="8"/>
  <c r="Z28" i="8"/>
  <c r="W32" i="8"/>
  <c r="U32" i="8"/>
  <c r="X28" i="8"/>
  <c r="V32" i="8" l="1"/>
  <c r="V38" i="8"/>
  <c r="V35" i="8"/>
  <c r="AA35" i="8"/>
  <c r="AA38" i="8"/>
  <c r="Y31" i="8"/>
  <c r="AE27" i="8"/>
  <c r="V28" i="8"/>
  <c r="AA28" i="8"/>
  <c r="X32" i="8"/>
  <c r="Z32" i="8"/>
  <c r="AA32" i="8"/>
  <c r="AE31" i="8" l="1"/>
  <c r="Y35" i="8"/>
  <c r="AE35" i="8" s="1"/>
  <c r="Y38" i="8"/>
  <c r="AE38" i="8" s="1"/>
  <c r="Y32" i="8"/>
  <c r="AE32" i="8" s="1"/>
  <c r="U65" i="8" l="1"/>
  <c r="Y73" i="8"/>
  <c r="AE73" i="8" s="1"/>
  <c r="U73" i="8" l="1"/>
  <c r="U80" i="8" s="1"/>
  <c r="R11" i="8" l="1"/>
  <c r="R13" i="13" s="1"/>
  <c r="F11" i="8"/>
  <c r="E11" i="8"/>
  <c r="D11" i="8"/>
  <c r="F79" i="8"/>
  <c r="E79" i="8"/>
  <c r="D79" i="8"/>
  <c r="S73" i="8"/>
  <c r="AC59" i="9" s="1"/>
  <c r="AB11" i="8"/>
  <c r="L72" i="9"/>
  <c r="L81" i="9" s="1"/>
  <c r="D14" i="8" l="1"/>
  <c r="D21" i="8" s="1"/>
  <c r="D13" i="13"/>
  <c r="E14" i="8"/>
  <c r="E21" i="8" s="1"/>
  <c r="E13" i="13"/>
  <c r="F14" i="8"/>
  <c r="F21" i="8" s="1"/>
  <c r="F13" i="13"/>
  <c r="AB14" i="8"/>
  <c r="W13" i="13"/>
  <c r="R14" i="8"/>
  <c r="R21" i="8" s="1"/>
  <c r="E73" i="8"/>
  <c r="D73" i="8"/>
  <c r="M72" i="9"/>
  <c r="M81" i="9" s="1"/>
  <c r="D72" i="9"/>
  <c r="D81" i="9" s="1"/>
  <c r="N72" i="9"/>
  <c r="N81" i="9" s="1"/>
  <c r="F72" i="9"/>
  <c r="F81" i="9" s="1"/>
  <c r="N21" i="9"/>
  <c r="N25" i="9" s="1"/>
  <c r="E72" i="9"/>
  <c r="E81" i="9" s="1"/>
  <c r="Y79" i="8"/>
  <c r="AB73" i="8"/>
  <c r="AB79" i="8"/>
  <c r="F21" i="9"/>
  <c r="F25" i="9" s="1"/>
  <c r="F10" i="9"/>
  <c r="D21" i="9"/>
  <c r="D25" i="9" s="1"/>
  <c r="D10" i="9"/>
  <c r="E21" i="9"/>
  <c r="E25" i="9" s="1"/>
  <c r="E10" i="9"/>
  <c r="P72" i="9"/>
  <c r="P81" i="9" s="1"/>
  <c r="C21" i="9"/>
  <c r="C25" i="9" s="1"/>
  <c r="Q72" i="9"/>
  <c r="Q81" i="9" s="1"/>
  <c r="R72" i="9"/>
  <c r="R81" i="9" s="1"/>
  <c r="C72" i="9"/>
  <c r="C81" i="9" s="1"/>
  <c r="Y80" i="8" l="1"/>
  <c r="AE79" i="8"/>
  <c r="D80" i="8"/>
  <c r="D82" i="8" s="1"/>
  <c r="F27" i="8"/>
  <c r="F31" i="8" s="1"/>
  <c r="R22" i="8"/>
  <c r="D27" i="8"/>
  <c r="D31" i="8" s="1"/>
  <c r="E22" i="8"/>
  <c r="R15" i="8"/>
  <c r="S72" i="9"/>
  <c r="S81" i="9" s="1"/>
  <c r="S80" i="8"/>
  <c r="S82" i="8" s="1"/>
  <c r="AE50" i="8"/>
  <c r="U50" i="8"/>
  <c r="E80" i="8"/>
  <c r="E82" i="8" s="1"/>
  <c r="F80" i="8"/>
  <c r="F82" i="8" s="1"/>
  <c r="O72" i="9"/>
  <c r="O81" i="9" s="1"/>
  <c r="O11" i="9"/>
  <c r="S10" i="9"/>
  <c r="P10" i="9"/>
  <c r="Q11" i="9"/>
  <c r="S21" i="9"/>
  <c r="S25" i="9" s="1"/>
  <c r="N11" i="9"/>
  <c r="P11" i="9"/>
  <c r="M11" i="9"/>
  <c r="Q21" i="9"/>
  <c r="Q25" i="9" s="1"/>
  <c r="O21" i="9"/>
  <c r="O25" i="9" s="1"/>
  <c r="Q10" i="9"/>
  <c r="AB58" i="8"/>
  <c r="E15" i="8"/>
  <c r="F15" i="8"/>
  <c r="D15" i="8"/>
  <c r="AB21" i="8"/>
  <c r="N15" i="9"/>
  <c r="E15" i="9"/>
  <c r="R10" i="9"/>
  <c r="R21" i="9"/>
  <c r="R25" i="9" s="1"/>
  <c r="R11" i="9"/>
  <c r="M21" i="9"/>
  <c r="M25" i="9" s="1"/>
  <c r="S11" i="9"/>
  <c r="C15" i="9"/>
  <c r="L21" i="9"/>
  <c r="L25" i="9" s="1"/>
  <c r="F15" i="9"/>
  <c r="P21" i="9"/>
  <c r="P25" i="9" s="1"/>
  <c r="D15" i="9"/>
  <c r="AE80" i="8" l="1"/>
  <c r="F90" i="8"/>
  <c r="F35" i="8"/>
  <c r="F38" i="8"/>
  <c r="D35" i="8"/>
  <c r="D38" i="8"/>
  <c r="Q15" i="9"/>
  <c r="Q22" i="9"/>
  <c r="F22" i="8"/>
  <c r="E27" i="8"/>
  <c r="E31" i="8" s="1"/>
  <c r="R27" i="8"/>
  <c r="R31" i="8" s="1"/>
  <c r="D22" i="8"/>
  <c r="U58" i="8"/>
  <c r="U82" i="8" s="1"/>
  <c r="Y58" i="8"/>
  <c r="Y82" i="8" s="1"/>
  <c r="AB27" i="8"/>
  <c r="AB31" i="8" s="1"/>
  <c r="D28" i="8"/>
  <c r="AB22" i="8"/>
  <c r="F28" i="8"/>
  <c r="AB80" i="8"/>
  <c r="AB82" i="8" s="1"/>
  <c r="S15" i="9"/>
  <c r="O15" i="9"/>
  <c r="F32" i="8"/>
  <c r="AB15" i="8"/>
  <c r="D29" i="9"/>
  <c r="D78" i="9" s="1"/>
  <c r="D22" i="9"/>
  <c r="C29" i="9"/>
  <c r="C78" i="9" s="1"/>
  <c r="C22" i="9"/>
  <c r="P15" i="9"/>
  <c r="E29" i="9"/>
  <c r="E78" i="9" s="1"/>
  <c r="E22" i="9"/>
  <c r="N29" i="9"/>
  <c r="N22" i="9"/>
  <c r="R15" i="9"/>
  <c r="S29" i="9"/>
  <c r="S22" i="9"/>
  <c r="O22" i="9"/>
  <c r="O29" i="9"/>
  <c r="F22" i="9"/>
  <c r="F29" i="9"/>
  <c r="F78" i="9" s="1"/>
  <c r="L15" i="9"/>
  <c r="M15" i="9"/>
  <c r="F109" i="8" l="1"/>
  <c r="AB38" i="8"/>
  <c r="AB35" i="8"/>
  <c r="E90" i="8"/>
  <c r="E38" i="8"/>
  <c r="E35" i="8"/>
  <c r="R38" i="8"/>
  <c r="R35" i="8"/>
  <c r="AE58" i="8"/>
  <c r="R90" i="8"/>
  <c r="E28" i="8"/>
  <c r="E32" i="8"/>
  <c r="R28" i="8"/>
  <c r="D32" i="8"/>
  <c r="D90" i="8"/>
  <c r="D109" i="8" s="1"/>
  <c r="Q29" i="9"/>
  <c r="AB28" i="8"/>
  <c r="R32" i="8"/>
  <c r="F26" i="9"/>
  <c r="M29" i="9"/>
  <c r="M22" i="9"/>
  <c r="S26" i="9"/>
  <c r="E26" i="9"/>
  <c r="C26" i="9"/>
  <c r="N26" i="9"/>
  <c r="R22" i="9"/>
  <c r="R29" i="9"/>
  <c r="D26" i="9"/>
  <c r="P22" i="9"/>
  <c r="P29" i="9"/>
  <c r="L29" i="9"/>
  <c r="L22" i="9"/>
  <c r="O26" i="9"/>
  <c r="AB90" i="8" l="1"/>
  <c r="R109" i="8"/>
  <c r="Y109" i="8"/>
  <c r="F131" i="8"/>
  <c r="E109" i="8"/>
  <c r="P78" i="9" a="1"/>
  <c r="P78" i="9" s="1"/>
  <c r="O78" i="9" a="1"/>
  <c r="O78" i="9" s="1"/>
  <c r="M78" i="9" a="1"/>
  <c r="M78" i="9" s="1"/>
  <c r="S78" i="9" a="1"/>
  <c r="S78" i="9" s="1"/>
  <c r="L78" i="9" a="1"/>
  <c r="L78" i="9" s="1"/>
  <c r="Q78" i="9" a="1"/>
  <c r="Q78" i="9" s="1"/>
  <c r="N78" i="9" a="1"/>
  <c r="N78" i="9" s="1"/>
  <c r="R78" i="9" a="1"/>
  <c r="R78" i="9" s="1"/>
  <c r="D131" i="8"/>
  <c r="X109" i="8"/>
  <c r="Q26" i="9"/>
  <c r="L26" i="9"/>
  <c r="P26" i="9"/>
  <c r="Q80" i="9" a="1"/>
  <c r="Q80" i="9" s="1"/>
  <c r="M26" i="9"/>
  <c r="C79" i="9" a="1"/>
  <c r="C79" i="9" s="1"/>
  <c r="C80" i="9" a="1"/>
  <c r="C80" i="9" s="1"/>
  <c r="C36" i="9"/>
  <c r="C30" i="9"/>
  <c r="C77" i="9"/>
  <c r="C76" i="9"/>
  <c r="E80" i="9" a="1"/>
  <c r="E80" i="9" s="1"/>
  <c r="E79" i="9" a="1"/>
  <c r="E79" i="9" s="1"/>
  <c r="E30" i="9"/>
  <c r="E36" i="9"/>
  <c r="E43" i="9" s="1" a="1"/>
  <c r="E43" i="9" s="1"/>
  <c r="E76" i="9"/>
  <c r="E77" i="9"/>
  <c r="F79" i="9" a="1"/>
  <c r="F79" i="9" s="1"/>
  <c r="F80" i="9" a="1"/>
  <c r="F80" i="9" s="1"/>
  <c r="F30" i="9"/>
  <c r="F77" i="9"/>
  <c r="F36" i="9"/>
  <c r="F43" i="9" s="1" a="1"/>
  <c r="F43" i="9" s="1"/>
  <c r="F76" i="9"/>
  <c r="Q30" i="9"/>
  <c r="Q36" i="9"/>
  <c r="Q43" i="9" s="1" a="1"/>
  <c r="Q43" i="9" s="1"/>
  <c r="O36" i="9"/>
  <c r="O43" i="9" s="1" a="1"/>
  <c r="O43" i="9" s="1"/>
  <c r="O30" i="9"/>
  <c r="N36" i="9"/>
  <c r="N43" i="9" s="1" a="1"/>
  <c r="N43" i="9" s="1"/>
  <c r="N30" i="9"/>
  <c r="R26" i="9"/>
  <c r="D80" i="9" a="1"/>
  <c r="D80" i="9" s="1"/>
  <c r="D36" i="9"/>
  <c r="D43" i="9" s="1" a="1"/>
  <c r="D43" i="9" s="1"/>
  <c r="D30" i="9"/>
  <c r="D79" i="9" a="1"/>
  <c r="D79" i="9" s="1"/>
  <c r="D77" i="9"/>
  <c r="D76" i="9"/>
  <c r="S30" i="9"/>
  <c r="S36" i="9"/>
  <c r="S43" i="9" s="1" a="1"/>
  <c r="S43" i="9" s="1"/>
  <c r="R131" i="8" l="1"/>
  <c r="AB131" i="8" s="1"/>
  <c r="E131" i="8"/>
  <c r="U109" i="8"/>
  <c r="V109" i="8"/>
  <c r="W109" i="8"/>
  <c r="AB32" i="8"/>
  <c r="Q79" i="9" a="1"/>
  <c r="Q79" i="9" s="1"/>
  <c r="C44" i="9"/>
  <c r="R79" i="9" a="1"/>
  <c r="R79" i="9" s="1"/>
  <c r="M80" i="9" a="1"/>
  <c r="M80" i="9" s="1"/>
  <c r="M79" i="9" a="1"/>
  <c r="M79" i="9" s="1"/>
  <c r="M76" i="9"/>
  <c r="M77" i="9"/>
  <c r="L79" i="9" a="1"/>
  <c r="L79" i="9" s="1"/>
  <c r="P36" i="9"/>
  <c r="P43" i="9" s="1" a="1"/>
  <c r="P43" i="9" s="1"/>
  <c r="S79" i="9" a="1"/>
  <c r="S79" i="9" s="1"/>
  <c r="S80" i="9" a="1"/>
  <c r="S80" i="9" s="1"/>
  <c r="P30" i="9"/>
  <c r="S76" i="9"/>
  <c r="S77" i="9"/>
  <c r="Q77" i="9"/>
  <c r="R76" i="9"/>
  <c r="F44" i="9"/>
  <c r="Q76" i="9"/>
  <c r="N79" i="9" a="1"/>
  <c r="N79" i="9" s="1"/>
  <c r="N80" i="9" a="1"/>
  <c r="N80" i="9" s="1"/>
  <c r="N76" i="9"/>
  <c r="N77" i="9"/>
  <c r="E44" i="9"/>
  <c r="L76" i="9"/>
  <c r="P80" i="9" a="1"/>
  <c r="P80" i="9" s="1"/>
  <c r="M36" i="9"/>
  <c r="M43" i="9" s="1" a="1"/>
  <c r="M43" i="9" s="1"/>
  <c r="Z43" i="9" s="1"/>
  <c r="M30" i="9"/>
  <c r="P79" i="9" a="1"/>
  <c r="P79" i="9" s="1"/>
  <c r="P76" i="9"/>
  <c r="P77" i="9"/>
  <c r="R80" i="9" a="1"/>
  <c r="R80" i="9" s="1"/>
  <c r="L80" i="9" a="1"/>
  <c r="L80" i="9" s="1"/>
  <c r="D44" i="9"/>
  <c r="R30" i="9"/>
  <c r="R36" i="9"/>
  <c r="R43" i="9" s="1" a="1"/>
  <c r="R43" i="9" s="1"/>
  <c r="S44" i="9"/>
  <c r="O79" i="9" a="1"/>
  <c r="O79" i="9" s="1"/>
  <c r="O80" i="9" a="1"/>
  <c r="O80" i="9" s="1"/>
  <c r="L36" i="9"/>
  <c r="L43" i="9" s="1" a="1"/>
  <c r="L43" i="9" s="1"/>
  <c r="L30" i="9"/>
  <c r="O76" i="9"/>
  <c r="O77" i="9"/>
  <c r="R77" i="9"/>
  <c r="L77" i="9"/>
  <c r="AB43" i="9" l="1"/>
  <c r="AB44" i="9" s="1"/>
  <c r="Y43" i="9"/>
  <c r="Y44" i="9" s="1"/>
  <c r="V43" i="9"/>
  <c r="V44" i="9" s="1"/>
  <c r="X43" i="9"/>
  <c r="X44" i="9" s="1"/>
  <c r="W43" i="9"/>
  <c r="W44" i="9" s="1"/>
  <c r="AC43" i="9"/>
  <c r="AC44" i="9" s="1"/>
  <c r="AA43" i="9"/>
  <c r="AA44" i="9" s="1"/>
  <c r="Z44" i="9"/>
  <c r="U44" i="9"/>
  <c r="R44" i="9"/>
  <c r="Q44" i="9"/>
  <c r="L44" i="9"/>
  <c r="N44" i="9"/>
  <c r="O44" i="9"/>
  <c r="M44" i="9" l="1"/>
  <c r="P44" i="9"/>
  <c r="H127" i="8" l="1"/>
  <c r="H132" i="8" s="1"/>
  <c r="H134" i="8" s="1"/>
  <c r="D127" i="8"/>
  <c r="D132" i="8" s="1"/>
  <c r="D134" i="8" s="1"/>
  <c r="E125" i="8" l="1"/>
  <c r="E127" i="8" s="1"/>
  <c r="E132" i="8" s="1"/>
  <c r="E134" i="8" s="1"/>
  <c r="I125" i="8"/>
  <c r="I127" i="8" s="1"/>
  <c r="I132" i="8" s="1"/>
  <c r="I134" i="8" s="1"/>
  <c r="F125" i="8" l="1"/>
  <c r="F127" i="8" s="1"/>
  <c r="F132" i="8" s="1"/>
  <c r="F134" i="8" s="1"/>
  <c r="J125" i="8"/>
  <c r="J127" i="8" s="1"/>
  <c r="J132" i="8" s="1"/>
  <c r="J134" i="8" s="1"/>
  <c r="K125" i="8" l="1"/>
  <c r="K127" i="8" s="1"/>
  <c r="K132" i="8" l="1"/>
  <c r="K134" i="8" s="1"/>
  <c r="U125" i="8"/>
  <c r="U127" i="8" s="1"/>
  <c r="V125" i="8" l="1"/>
  <c r="V127" i="8" s="1"/>
  <c r="L125" i="8"/>
  <c r="L127" i="8" s="1"/>
  <c r="L132" i="8" s="1"/>
  <c r="L134" i="8" s="1"/>
  <c r="W125" i="8" l="1"/>
  <c r="W127" i="8" s="1"/>
  <c r="M125" i="8"/>
  <c r="M127" i="8" s="1"/>
  <c r="M132" i="8" s="1"/>
  <c r="M134" i="8" s="1"/>
  <c r="X125" i="8" l="1"/>
  <c r="X127" i="8" s="1"/>
  <c r="N125" i="8"/>
  <c r="N127" i="8" s="1"/>
  <c r="N132" i="8" s="1"/>
  <c r="N134" i="8" s="1"/>
  <c r="Y125" i="8" l="1"/>
  <c r="Y127" i="8" s="1"/>
  <c r="O125" i="8"/>
  <c r="O127" i="8" s="1"/>
  <c r="O132" i="8" s="1"/>
  <c r="O134" i="8" s="1"/>
  <c r="Z125" i="8" l="1"/>
  <c r="Z127" i="8" s="1"/>
  <c r="P125" i="8"/>
  <c r="P127" i="8" s="1"/>
  <c r="P132" i="8" s="1"/>
  <c r="P134" i="8" s="1"/>
  <c r="AA125" i="8" l="1"/>
  <c r="AA127" i="8" s="1"/>
  <c r="W132" i="8"/>
  <c r="W134" i="8" s="1"/>
  <c r="Q125" i="8"/>
  <c r="Q127" i="8" s="1"/>
  <c r="Q132" i="8" s="1"/>
  <c r="Q134" i="8" s="1"/>
  <c r="AB125" i="8" l="1"/>
  <c r="AB127" i="8" s="1"/>
  <c r="X132" i="8"/>
  <c r="X134" i="8" s="1"/>
  <c r="R125" i="8"/>
  <c r="R127" i="8" s="1"/>
  <c r="R132" i="8" s="1"/>
  <c r="R134" i="8" s="1"/>
  <c r="AC125" i="8" l="1"/>
  <c r="AC127" i="8" s="1"/>
  <c r="Y132" i="8"/>
  <c r="Y134" i="8" s="1"/>
  <c r="S125" i="8"/>
  <c r="S127" i="8" s="1"/>
  <c r="S11" i="8" l="1"/>
  <c r="S13" i="13" s="1"/>
  <c r="S14" i="8" l="1"/>
  <c r="S21" i="8" s="1"/>
  <c r="S15" i="8" l="1"/>
  <c r="S27" i="8"/>
  <c r="S31" i="8" s="1"/>
  <c r="S90" i="8" l="1"/>
  <c r="AC90" i="8" s="1"/>
  <c r="S38" i="8"/>
  <c r="S35" i="8"/>
  <c r="S22" i="8"/>
  <c r="S28" i="8"/>
  <c r="S32" i="8" l="1"/>
  <c r="AC109" i="8" l="1"/>
  <c r="AE109" i="8" s="1"/>
  <c r="AE90" i="8"/>
  <c r="Z109" i="8"/>
  <c r="AA109" i="8"/>
  <c r="S109" i="8"/>
  <c r="S131" i="8" l="1"/>
  <c r="AC131" i="8" s="1"/>
  <c r="AB109" i="8"/>
  <c r="S132" i="8" l="1"/>
  <c r="S134" i="8" s="1"/>
  <c r="Z132" i="8"/>
  <c r="Z134" i="8" s="1"/>
  <c r="AA132" i="8"/>
  <c r="AA134" i="8" s="1"/>
  <c r="U132" i="8"/>
  <c r="U134" i="8" s="1"/>
  <c r="AB132" i="8" l="1"/>
  <c r="AB134" i="8" s="1"/>
  <c r="V132" i="8"/>
  <c r="V134" i="8" s="1"/>
  <c r="AC132" i="8" l="1"/>
  <c r="AC13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<sst xmlns="http://schemas.openxmlformats.org/spreadsheetml/2006/main" count="261" uniqueCount="185">
  <si>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</si>
  <si>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</si>
  <si>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</si>
  <si>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</si>
  <si>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</si>
  <si>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</si>
  <si>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</si>
  <si>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</si>
  <si>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</si>
  <si>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</si>
  <si>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</si>
  <si>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</si>
  <si>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</si>
  <si>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</si>
  <si>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</si>
  <si>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</si>
  <si>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</si>
  <si>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</si>
  <si>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</si>
  <si>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</si>
  <si>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</si>
  <si>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</si>
  <si>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</si>
  <si>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</si>
  <si>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</si>
  <si>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</si>
  <si>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</si>
  <si>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</si>
  <si>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</si>
  <si>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</si>
  <si>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</si>
  <si>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</si>
  <si>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</si>
  <si>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</si>
  <si>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</si>
  <si>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</si>
  <si>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</si>
  <si>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</si>
  <si>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</si>
  <si>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</si>
  <si>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</si>
  <si>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</si>
  <si>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</si>
  <si>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</si>
  <si>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</si>
  <si>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</si>
  <si>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</si>
  <si>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</si>
  <si>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</si>
  <si>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</si>
  <si>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</si>
  <si>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</si>
  <si>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</si>
  <si>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</si>
  <si>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</si>
  <si>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</si>
  <si>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</si>
  <si>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</si>
  <si>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</si>
  <si>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</si>
  <si>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</si>
  <si>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Net Margin (%)</t>
  </si>
  <si>
    <t>Basic EPS</t>
  </si>
  <si>
    <t>Fully Diluted Shares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</si>
  <si>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</si>
  <si>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</si>
  <si>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</si>
  <si>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</si>
  <si>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</si>
  <si>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</si>
  <si>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</si>
  <si>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</si>
  <si>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</si>
  <si>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</si>
  <si>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</si>
  <si>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</si>
  <si>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</si>
  <si>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</si>
  <si>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</si>
  <si>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</si>
  <si>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</si>
  <si>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</si>
  <si>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Property and equipment, net</t>
  </si>
  <si>
    <t>Fully Diluted EPS</t>
  </si>
  <si>
    <t>Basic Shares</t>
  </si>
  <si>
    <t>Cash Position Variance Check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</si>
  <si>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</si>
  <si>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</si>
  <si>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</si>
  <si>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</si>
  <si>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</si>
  <si>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</si>
  <si>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EOP Restricted Cash Adjustment</t>
  </si>
  <si>
    <t>BOP Restricted Cash Adjustment</t>
  </si>
  <si>
    <t>$ in thousands except per share</t>
  </si>
  <si>
    <t>Summary Debt:</t>
  </si>
  <si>
    <t>CPLTD</t>
  </si>
  <si>
    <t>LTD</t>
  </si>
  <si>
    <t>4Q22</t>
  </si>
  <si>
    <t>3Q22</t>
  </si>
  <si>
    <t>2Q22</t>
  </si>
  <si>
    <t>1Q22</t>
  </si>
  <si>
    <t>Prepaid expenses and other current assets</t>
  </si>
  <si>
    <t>Accrued expenses</t>
  </si>
  <si>
    <t>Common Stock</t>
  </si>
  <si>
    <t>Additional paid-in capital</t>
  </si>
  <si>
    <t>Accumulated deficit</t>
  </si>
  <si>
    <t>(-) Research and Development (R&amp;D)</t>
  </si>
  <si>
    <t>(+) Stock-Based Compensation (SBC)</t>
  </si>
  <si>
    <t>($ In Thousands)</t>
  </si>
  <si>
    <t>Preferred Stock</t>
  </si>
  <si>
    <t>-</t>
  </si>
  <si>
    <t>Cost of Sales</t>
  </si>
  <si>
    <t>Research and development</t>
  </si>
  <si>
    <t>Plasma center operating expenses</t>
  </si>
  <si>
    <t>Amortization of intangible assets</t>
  </si>
  <si>
    <t>Selling, general and administrative</t>
  </si>
  <si>
    <t>Loss on extinguishment of debt</t>
  </si>
  <si>
    <t>Accounts receivable, net</t>
  </si>
  <si>
    <t>Inventories</t>
  </si>
  <si>
    <t>Intangible assets, net</t>
  </si>
  <si>
    <t>Goodwill</t>
  </si>
  <si>
    <t>Right-to-use assets</t>
  </si>
  <si>
    <t>Deposits and other assets</t>
  </si>
  <si>
    <t>Accrued expenses and other current liabilities</t>
  </si>
  <si>
    <t>Current portion of deferred revenue</t>
  </si>
  <si>
    <t>Current portion of lease obligations</t>
  </si>
  <si>
    <t>Senior notes payable, net of discount</t>
  </si>
  <si>
    <t>Deferred revenue, net of current portion</t>
  </si>
  <si>
    <t>End of term fee</t>
  </si>
  <si>
    <t>Lease obligations, net of current portion</t>
  </si>
  <si>
    <t>Other non-current liabilities</t>
  </si>
  <si>
    <t>Other Income &amp; Expense</t>
  </si>
  <si>
    <t>Interest Expense</t>
  </si>
  <si>
    <t>Interest Income</t>
  </si>
  <si>
    <t>Provision for taxes</t>
  </si>
  <si>
    <t>Depreciation and amortization</t>
  </si>
  <si>
    <t>Loss on disposal of fixed assets</t>
  </si>
  <si>
    <t>Interest paid in kind</t>
  </si>
  <si>
    <t>Stock-based compensation</t>
  </si>
  <si>
    <t>Amortization of debt discount</t>
  </si>
  <si>
    <t>Amortization of license revenue</t>
  </si>
  <si>
    <t>Accounts receivable</t>
  </si>
  <si>
    <t>Other current and non-current liabilities</t>
  </si>
  <si>
    <t>Taxes paid on vested Restricted Stock Units</t>
  </si>
  <si>
    <t>Payments on finance lease obligations</t>
  </si>
  <si>
    <t>Purchase of property and equipment</t>
  </si>
  <si>
    <t>Acquisition of intangible assets</t>
  </si>
  <si>
    <t>Deferred income tax benefit</t>
  </si>
  <si>
    <t>Segment Anaysis</t>
  </si>
  <si>
    <t>Offerings Drivers</t>
  </si>
  <si>
    <t>Disaggregated Revenues</t>
  </si>
  <si>
    <t>Total Net Revenue</t>
  </si>
  <si>
    <t>Variance Check</t>
  </si>
  <si>
    <t>ADMA Biologics Inc (NASDAQ: ADMA)</t>
  </si>
  <si>
    <t>ADMA BioManufacturing</t>
  </si>
  <si>
    <t>Plasma Collection Centers</t>
  </si>
  <si>
    <t>License revenue</t>
  </si>
  <si>
    <t>Revenue by Geographic Area</t>
  </si>
  <si>
    <t>Total Revenue by Geographic Area</t>
  </si>
  <si>
    <t>United States</t>
  </si>
  <si>
    <t>International</t>
  </si>
  <si>
    <t>(-) Cost of Sales</t>
  </si>
  <si>
    <t>(-) Plasma center operating expenses</t>
  </si>
  <si>
    <t>(-) Amortization of intangible assets</t>
  </si>
  <si>
    <t>(-) Selling, general and administrative</t>
  </si>
  <si>
    <t>(+) Depreciation and Amortization (D&amp;A)</t>
  </si>
  <si>
    <t>Supplemental Cash Flow Information</t>
  </si>
  <si>
    <t>Cash paid for interest</t>
  </si>
  <si>
    <t>Cash paid for income taxes</t>
  </si>
  <si>
    <t>Proceeds from Debt Issuances / (Repayment)</t>
  </si>
  <si>
    <t>Proceeds from Equity Issuances / (Repurchases)</t>
  </si>
  <si>
    <t>Other Financing Activities</t>
  </si>
  <si>
    <t>(+/-) Proceeds from Debt Issuances / (Repayment)</t>
  </si>
  <si>
    <t>(+/-) Proceeds from Equity Issuances / (Repurchases)</t>
  </si>
  <si>
    <t>(+/-) Taxes paid on vested Restricted Stock Units</t>
  </si>
  <si>
    <t>(+/-) Other Financing Activities</t>
  </si>
  <si>
    <t>(-) Payments on finance lease obligations</t>
  </si>
  <si>
    <t>Accounts Receivable</t>
  </si>
  <si>
    <t>Accounts Payable</t>
  </si>
  <si>
    <t>Deferred Revenue</t>
  </si>
  <si>
    <t>$62.5MM Term Loan due December 2027</t>
  </si>
  <si>
    <t>$72.5MM Revolving Credit Facility December 2027</t>
  </si>
  <si>
    <t>$175MM Term Loan due March 2027</t>
  </si>
  <si>
    <t>$100MM Term Loan due March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</si>
</sst>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sz val="7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6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7" fontId="24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6" fillId="0" borderId="8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0" borderId="1" xfId="0" applyFont="1" applyBorder="1" applyAlignment="1">
      <alignment vertical="top" wrapText="1"/>
    </xf>
    <xf numFmtId="7" fontId="8" fillId="0" borderId="1" xfId="0" applyNumberFormat="1" applyFont="1" applyBorder="1" applyAlignment="1">
      <alignment horizontal="right" vertical="top" wrapText="1"/>
    </xf>
    <xf numFmtId="9" fontId="13" fillId="0" borderId="1" xfId="1" applyFont="1" applyFill="1" applyBorder="1" applyAlignment="1">
      <alignment horizontal="right" vertical="center" wrapText="1"/>
    </xf>
    <xf numFmtId="7" fontId="24" fillId="0" borderId="1" xfId="0" applyNumberFormat="1" applyFont="1" applyBorder="1" applyAlignment="1">
      <alignment horizontal="right"/>
    </xf>
    <xf numFmtId="9" fontId="6" fillId="0" borderId="1" xfId="1" applyFont="1" applyFill="1" applyBorder="1" applyAlignment="1">
      <alignment horizontal="right" vertical="center" wrapText="1"/>
    </xf>
    <xf numFmtId="166" fontId="9" fillId="0" borderId="1" xfId="1" applyNumberFormat="1" applyFont="1" applyFill="1" applyBorder="1" applyAlignment="1">
      <alignment horizontal="right" vertical="center" wrapText="1"/>
    </xf>
    <xf numFmtId="0" fontId="3" fillId="2" borderId="0" xfId="0" applyFont="1" applyFill="1" applyAlignment="1">
      <alignment vertical="center"/>
    </xf>
    <xf numFmtId="5" fontId="8" fillId="5" borderId="10" xfId="0" applyNumberFormat="1" applyFont="1" applyFill="1" applyBorder="1" applyAlignment="1">
      <alignment horizontal="right" vertical="top" wrapText="1"/>
    </xf>
    <xf numFmtId="5" fontId="8" fillId="5" borderId="0" xfId="0" applyNumberFormat="1" applyFont="1" applyFill="1" applyAlignment="1">
      <alignment horizontal="right" vertical="top" wrapText="1"/>
    </xf>
    <xf numFmtId="41" fontId="6" fillId="0" borderId="0" xfId="0" applyNumberFormat="1" applyFont="1" applyAlignment="1">
      <alignment horizontal="right" wrapText="1"/>
    </xf>
    <xf numFmtId="5" fontId="6" fillId="0" borderId="0" xfId="0" applyNumberFormat="1" applyFont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0" fontId="29" fillId="0" borderId="0" xfId="0" applyFont="1" applyAlignment="1">
      <alignment horizontal="right" vertical="center" wrapText="1"/>
    </xf>
    <xf numFmtId="41" fontId="30" fillId="0" borderId="0" xfId="0" applyNumberFormat="1" applyFont="1" applyAlignment="1">
      <alignment horizontal="right" vertical="center" wrapText="1"/>
    </xf>
    <xf numFmtId="0" fontId="26" fillId="0" borderId="0" xfId="0" applyFont="1" applyBorder="1" applyAlignment="1">
      <alignment horizontal="right" vertical="top" wrapText="1"/>
    </xf>
    <xf numFmtId="43" fontId="21" fillId="0" borderId="0" xfId="0" applyNumberFormat="1" applyFont="1" applyBorder="1" applyAlignment="1">
      <alignment wrapText="1"/>
    </xf>
    <xf numFmtId="41" fontId="6" fillId="0" borderId="0" xfId="0" applyNumberFormat="1" applyFont="1" applyBorder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E153"/>
  <sheetViews>
    <sheetView showGridLines="0" zoomScale="115" zoomScaleNormal="115" workbookViewId="0">
      <selection activeCell="E12" sqref="E12"/>
    </sheetView>
  </sheetViews>
  <sheetFormatPr defaultRowHeight="12" outlineLevelCol="1"/>
  <cols>
    <col min="1" max="1" width="1.625" style="5" bestFit="1" customWidth="1"/>
    <col min="2" max="2" width="36.25" style="5" customWidth="1"/>
    <col min="3" max="3" width="8.875" style="5" customWidth="1" outlineLevel="1"/>
    <col min="4" max="6" width="9" style="5" bestFit="1" customWidth="1"/>
    <col min="7" max="7" width="1.5" style="5" customWidth="1"/>
    <col min="8" max="14" width="8.875" style="5" customWidth="1" outlineLevel="1"/>
    <col min="15" max="17" width="8.875" style="5" customWidth="1"/>
    <col min="18" max="18" width="9.125" style="5" bestFit="1" customWidth="1"/>
    <col min="19" max="19" width="8.875" style="5" bestFit="1" customWidth="1"/>
    <col min="20" max="20" width="1.5" style="5" customWidth="1"/>
    <col min="21" max="24" width="8.75" style="5" customWidth="1" outlineLevel="1"/>
    <col min="25" max="25" width="9" style="5" bestFit="1" customWidth="1"/>
    <col min="26" max="28" width="9" style="5" customWidth="1" outlineLevel="1"/>
    <col min="29" max="29" width="9" style="5" bestFit="1" customWidth="1"/>
    <col min="30" max="30" width="1.25" style="5" customWidth="1"/>
    <col min="31" max="31" width="8" style="5" bestFit="1" customWidth="1"/>
    <col min="32" max="32" width="1.375" style="5" customWidth="1"/>
    <col min="33" max="16384" width="9" style="5"/>
  </cols>
  <sheetData>
    <row r="2" spans="1:31" ht="12.75" customHeight="1">
      <c r="B2" s="1" t="s">
        <v>154</v>
      </c>
      <c r="C2" s="96"/>
      <c r="D2" s="96"/>
      <c r="E2" s="96"/>
      <c r="F2" s="96"/>
      <c r="G2" s="3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3"/>
      <c r="U2" s="96"/>
      <c r="V2" s="96"/>
      <c r="W2" s="96"/>
      <c r="X2" s="96"/>
      <c r="Y2" s="96"/>
      <c r="Z2" s="96"/>
      <c r="AA2" s="96"/>
      <c r="AB2" s="96"/>
      <c r="AC2" s="96"/>
      <c r="AD2" s="3"/>
      <c r="AE2" s="1"/>
    </row>
    <row r="3" spans="1:31" ht="12.75" customHeight="1">
      <c r="B3" s="6" t="s">
        <v>71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3"/>
      <c r="U3" s="4"/>
      <c r="V3" s="4"/>
      <c r="W3" s="4"/>
      <c r="X3" s="4"/>
      <c r="Y3" s="4"/>
      <c r="Z3" s="4"/>
      <c r="AA3" s="4"/>
      <c r="AB3" s="4"/>
      <c r="AC3" s="4"/>
      <c r="AD3" s="3"/>
      <c r="AE3" s="1"/>
    </row>
    <row r="4" spans="1:31" ht="12.75" customHeight="1">
      <c r="B4" s="6" t="s">
        <v>94</v>
      </c>
      <c r="C4" s="3"/>
      <c r="D4" s="3"/>
      <c r="E4" s="80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"/>
    </row>
    <row r="6" spans="1:31" ht="12.75" customHeight="1">
      <c r="A6" s="5" t="s">
        <v>18</v>
      </c>
      <c r="B6" s="1" t="s">
        <v>69</v>
      </c>
      <c r="C6" s="2" t="s">
        <v>0</v>
      </c>
      <c r="D6" s="2" t="s">
        <v>0</v>
      </c>
      <c r="E6" s="2"/>
      <c r="F6" s="2"/>
      <c r="G6" s="3"/>
      <c r="H6" s="2" t="s">
        <v>1</v>
      </c>
      <c r="I6" s="2"/>
      <c r="J6" s="2"/>
      <c r="K6" s="2"/>
      <c r="L6" s="2" t="s">
        <v>1</v>
      </c>
      <c r="M6" s="2"/>
      <c r="N6" s="2"/>
      <c r="O6" s="2" t="s">
        <v>1</v>
      </c>
      <c r="P6" s="2"/>
      <c r="Q6" s="2"/>
      <c r="R6" s="2"/>
      <c r="S6" s="2"/>
      <c r="T6" s="3"/>
      <c r="U6" s="2"/>
      <c r="V6" s="2"/>
      <c r="W6" s="2"/>
      <c r="X6" s="2" t="s">
        <v>10</v>
      </c>
      <c r="Y6" s="2" t="s">
        <v>10</v>
      </c>
      <c r="Z6" s="2"/>
      <c r="AA6" s="2"/>
      <c r="AB6" s="2"/>
      <c r="AC6" s="2"/>
      <c r="AD6" s="38"/>
      <c r="AE6" s="152" t="s">
        <v>24</v>
      </c>
    </row>
    <row r="7" spans="1:31" ht="12.75" customHeight="1">
      <c r="B7" s="6" t="s">
        <v>72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101</v>
      </c>
      <c r="I7" s="4" t="s">
        <v>100</v>
      </c>
      <c r="J7" s="4" t="s">
        <v>99</v>
      </c>
      <c r="K7" s="4" t="s">
        <v>98</v>
      </c>
      <c r="L7" s="4" t="s">
        <v>6</v>
      </c>
      <c r="M7" s="4" t="s">
        <v>7</v>
      </c>
      <c r="N7" s="4" t="s">
        <v>8</v>
      </c>
      <c r="O7" s="4" t="s">
        <v>9</v>
      </c>
      <c r="P7" s="4" t="s">
        <v>2</v>
      </c>
      <c r="Q7" s="4" t="s">
        <v>3</v>
      </c>
      <c r="R7" s="4" t="s">
        <v>4</v>
      </c>
      <c r="S7" s="4" t="s">
        <v>5</v>
      </c>
      <c r="T7" s="4"/>
      <c r="U7" s="4" t="str">
        <f t="shared" ref="U7:AC8" si="0">K7</f>
        <v>4Q22</v>
      </c>
      <c r="V7" s="4" t="str">
        <f t="shared" si="0"/>
        <v>1Q23</v>
      </c>
      <c r="W7" s="4" t="str">
        <f t="shared" si="0"/>
        <v>2Q23</v>
      </c>
      <c r="X7" s="4" t="str">
        <f t="shared" si="0"/>
        <v>3Q23</v>
      </c>
      <c r="Y7" s="4" t="str">
        <f t="shared" si="0"/>
        <v>4Q23</v>
      </c>
      <c r="Z7" s="4" t="str">
        <f t="shared" si="0"/>
        <v>1Q24</v>
      </c>
      <c r="AA7" s="4" t="str">
        <f t="shared" si="0"/>
        <v>2Q24</v>
      </c>
      <c r="AB7" s="4" t="str">
        <f t="shared" si="0"/>
        <v>3Q24</v>
      </c>
      <c r="AC7" s="4" t="str">
        <f t="shared" si="0"/>
        <v>4Q24</v>
      </c>
      <c r="AD7" s="38"/>
      <c r="AE7" s="152"/>
    </row>
    <row r="8" spans="1:31" ht="12.75" customHeight="1">
      <c r="B8" s="6" t="s">
        <v>73</v>
      </c>
      <c r="C8" s="3">
        <v>44561</v>
      </c>
      <c r="D8" s="3">
        <v>44926</v>
      </c>
      <c r="E8" s="80">
        <v>45291</v>
      </c>
      <c r="F8" s="3">
        <v>45657</v>
      </c>
      <c r="G8" s="3"/>
      <c r="H8" s="3">
        <v>44651</v>
      </c>
      <c r="I8" s="3">
        <v>44742</v>
      </c>
      <c r="J8" s="3">
        <v>44834</v>
      </c>
      <c r="K8" s="3">
        <f>D8</f>
        <v>44926</v>
      </c>
      <c r="L8" s="3">
        <v>45016</v>
      </c>
      <c r="M8" s="3">
        <v>45107</v>
      </c>
      <c r="N8" s="3">
        <v>45199</v>
      </c>
      <c r="O8" s="3">
        <f>E8</f>
        <v>45291</v>
      </c>
      <c r="P8" s="3">
        <v>45382</v>
      </c>
      <c r="Q8" s="3">
        <v>45473</v>
      </c>
      <c r="R8" s="3">
        <v>45565</v>
      </c>
      <c r="S8" s="3">
        <f>F8</f>
        <v>45657</v>
      </c>
      <c r="T8" s="3"/>
      <c r="U8" s="3">
        <f t="shared" si="0"/>
        <v>44926</v>
      </c>
      <c r="V8" s="3">
        <f t="shared" si="0"/>
        <v>45016</v>
      </c>
      <c r="W8" s="3">
        <f t="shared" si="0"/>
        <v>45107</v>
      </c>
      <c r="X8" s="3">
        <f t="shared" si="0"/>
        <v>45199</v>
      </c>
      <c r="Y8" s="3">
        <f t="shared" si="0"/>
        <v>45291</v>
      </c>
      <c r="Z8" s="3">
        <f t="shared" si="0"/>
        <v>45382</v>
      </c>
      <c r="AA8" s="3">
        <f t="shared" si="0"/>
        <v>45473</v>
      </c>
      <c r="AB8" s="3">
        <f t="shared" si="0"/>
        <v>45565</v>
      </c>
      <c r="AC8" s="3">
        <f t="shared" si="0"/>
        <v>45657</v>
      </c>
      <c r="AD8" s="38"/>
      <c r="AE8" s="152"/>
    </row>
    <row r="9" spans="1:31" ht="5.0999999999999996" customHeight="1">
      <c r="AE9" s="95"/>
    </row>
    <row r="10" spans="1:31" ht="12.75" customHeight="1">
      <c r="B10" s="9" t="s">
        <v>57</v>
      </c>
      <c r="C10" s="116">
        <v>80943</v>
      </c>
      <c r="D10" s="116">
        <v>154080</v>
      </c>
      <c r="E10" s="116">
        <v>258215</v>
      </c>
      <c r="F10" s="116">
        <v>426454</v>
      </c>
      <c r="G10" s="11"/>
      <c r="H10" s="91">
        <v>29103.093000000001</v>
      </c>
      <c r="I10" s="91">
        <v>33905.006999999998</v>
      </c>
      <c r="J10" s="91">
        <v>41090.137000000002</v>
      </c>
      <c r="K10" s="32">
        <f>SUM(D10-SUM(H10:J10))</f>
        <v>49981.763000000006</v>
      </c>
      <c r="L10" s="91">
        <v>56913.534</v>
      </c>
      <c r="M10" s="91">
        <v>60123.190999999999</v>
      </c>
      <c r="N10" s="91">
        <v>67274.597999999998</v>
      </c>
      <c r="O10" s="32">
        <f>SUM(E10-SUM(L10:N10))</f>
        <v>73903.676999999996</v>
      </c>
      <c r="P10" s="91">
        <v>81875</v>
      </c>
      <c r="Q10" s="91">
        <v>107191</v>
      </c>
      <c r="R10" s="91">
        <v>119839</v>
      </c>
      <c r="S10" s="32">
        <f>SUM(F10-SUM(P10:R10))</f>
        <v>117549</v>
      </c>
      <c r="U10" s="32">
        <f t="shared" ref="U10:AB10" si="1">SUM(H10:K10)</f>
        <v>154080</v>
      </c>
      <c r="V10" s="32">
        <f t="shared" si="1"/>
        <v>181890.44099999999</v>
      </c>
      <c r="W10" s="32">
        <f t="shared" si="1"/>
        <v>208108.625</v>
      </c>
      <c r="X10" s="32">
        <f t="shared" si="1"/>
        <v>234293.08600000001</v>
      </c>
      <c r="Y10" s="32">
        <f t="shared" si="1"/>
        <v>258215</v>
      </c>
      <c r="Z10" s="32">
        <f t="shared" si="1"/>
        <v>283176.46600000001</v>
      </c>
      <c r="AA10" s="32">
        <f t="shared" si="1"/>
        <v>330244.27500000002</v>
      </c>
      <c r="AB10" s="32">
        <f t="shared" si="1"/>
        <v>382808.67700000003</v>
      </c>
      <c r="AC10" s="32">
        <f>SUM(P10:S10)</f>
        <v>426454</v>
      </c>
      <c r="AD10" s="40"/>
      <c r="AE10" s="12">
        <f>SUM(AC10/Y10)-1</f>
        <v>0.65154619212671605</v>
      </c>
    </row>
    <row r="11" spans="1:31" ht="12.75" customHeight="1">
      <c r="B11" s="13" t="s">
        <v>12</v>
      </c>
      <c r="C11" s="14">
        <f>+SUM(C10:C10)</f>
        <v>80943</v>
      </c>
      <c r="D11" s="14">
        <f>+SUM(D10:D10)</f>
        <v>154080</v>
      </c>
      <c r="E11" s="14">
        <f>+SUM(E10:E10)</f>
        <v>258215</v>
      </c>
      <c r="F11" s="14">
        <f>+SUM(F10:F10)</f>
        <v>426454</v>
      </c>
      <c r="G11" s="11"/>
      <c r="H11" s="14">
        <f>+SUM(H10:H10)</f>
        <v>29103.093000000001</v>
      </c>
      <c r="I11" s="14">
        <f>+SUM(I10:I10)</f>
        <v>33905.006999999998</v>
      </c>
      <c r="J11" s="14">
        <f>+SUM(J10:J10)</f>
        <v>41090.137000000002</v>
      </c>
      <c r="K11" s="14">
        <f>+SUM(K10:K10)</f>
        <v>49981.763000000006</v>
      </c>
      <c r="L11" s="14">
        <f t="shared" ref="L11:S11" si="2">+SUM(L10:L10)</f>
        <v>56913.534</v>
      </c>
      <c r="M11" s="14">
        <f t="shared" si="2"/>
        <v>60123.190999999999</v>
      </c>
      <c r="N11" s="14">
        <f t="shared" si="2"/>
        <v>67274.597999999998</v>
      </c>
      <c r="O11" s="14">
        <f t="shared" si="2"/>
        <v>73903.676999999996</v>
      </c>
      <c r="P11" s="14">
        <f t="shared" si="2"/>
        <v>81875</v>
      </c>
      <c r="Q11" s="14">
        <f t="shared" si="2"/>
        <v>107191</v>
      </c>
      <c r="R11" s="14">
        <f t="shared" si="2"/>
        <v>119839</v>
      </c>
      <c r="S11" s="14">
        <f t="shared" si="2"/>
        <v>117549</v>
      </c>
      <c r="U11" s="14">
        <f t="shared" ref="U11:AB11" si="3">+SUM(U10:U10)</f>
        <v>154080</v>
      </c>
      <c r="V11" s="14">
        <f t="shared" si="3"/>
        <v>181890.44099999999</v>
      </c>
      <c r="W11" s="14">
        <f t="shared" si="3"/>
        <v>208108.625</v>
      </c>
      <c r="X11" s="14">
        <f t="shared" si="3"/>
        <v>234293.08600000001</v>
      </c>
      <c r="Y11" s="14">
        <f t="shared" si="3"/>
        <v>258215</v>
      </c>
      <c r="Z11" s="14">
        <f t="shared" si="3"/>
        <v>283176.46600000001</v>
      </c>
      <c r="AA11" s="14">
        <f t="shared" si="3"/>
        <v>330244.27500000002</v>
      </c>
      <c r="AB11" s="14">
        <f t="shared" si="3"/>
        <v>382808.67700000003</v>
      </c>
      <c r="AC11" s="14">
        <f>+SUM(AC10:AC10)</f>
        <v>426454</v>
      </c>
      <c r="AD11" s="40"/>
      <c r="AE11" s="15">
        <f>SUM(AC11/Y11)-1</f>
        <v>0.65154619212671605</v>
      </c>
    </row>
    <row r="12" spans="1:31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AE12" s="73"/>
    </row>
    <row r="13" spans="1:31" ht="12.75" customHeight="1">
      <c r="B13" s="9" t="s">
        <v>112</v>
      </c>
      <c r="C13" s="77">
        <v>-79770</v>
      </c>
      <c r="D13" s="77">
        <v>-118815</v>
      </c>
      <c r="E13" s="77">
        <v>-169273</v>
      </c>
      <c r="F13" s="77">
        <v>-206901</v>
      </c>
      <c r="G13" s="24"/>
      <c r="H13" s="91">
        <v>-25441.045999999998</v>
      </c>
      <c r="I13" s="91">
        <v>-26135.614000000001</v>
      </c>
      <c r="J13" s="91">
        <v>-31433.495999999999</v>
      </c>
      <c r="K13" s="32">
        <f>SUM(D13-SUM(H13:J13))</f>
        <v>-35804.843999999997</v>
      </c>
      <c r="L13" s="91">
        <v>-40400.544000000002</v>
      </c>
      <c r="M13" s="91">
        <v>-43433.188000000002</v>
      </c>
      <c r="N13" s="91">
        <v>-42622.012999999999</v>
      </c>
      <c r="O13" s="32">
        <f>SUM(E13-SUM(L13:N13))</f>
        <v>-42817.255000000005</v>
      </c>
      <c r="P13" s="91">
        <v>-42767</v>
      </c>
      <c r="Q13" s="91">
        <v>-49738</v>
      </c>
      <c r="R13" s="77">
        <v>-60180</v>
      </c>
      <c r="S13" s="32">
        <f>SUM(F13-SUM(P13:R13))</f>
        <v>-54216</v>
      </c>
      <c r="U13" s="32">
        <f t="shared" ref="U13" si="4">SUM(H13:K13)</f>
        <v>-118815</v>
      </c>
      <c r="V13" s="32">
        <f t="shared" ref="V13" si="5">SUM(I13:L13)</f>
        <v>-133774.49799999999</v>
      </c>
      <c r="W13" s="32">
        <f t="shared" ref="W13" si="6">SUM(J13:M13)</f>
        <v>-151072.07199999999</v>
      </c>
      <c r="X13" s="32">
        <f t="shared" ref="X13" si="7">SUM(K13:N13)</f>
        <v>-162260.58900000001</v>
      </c>
      <c r="Y13" s="32">
        <f t="shared" ref="Y13" si="8">SUM(L13:O13)</f>
        <v>-169273</v>
      </c>
      <c r="Z13" s="32">
        <f t="shared" ref="Z13" si="9">SUM(M13:P13)</f>
        <v>-171639.45600000001</v>
      </c>
      <c r="AA13" s="32">
        <f t="shared" ref="AA13" si="10">SUM(N13:Q13)</f>
        <v>-177944.26800000001</v>
      </c>
      <c r="AB13" s="32">
        <f t="shared" ref="AB13" si="11">SUM(O13:R13)</f>
        <v>-195502.255</v>
      </c>
      <c r="AC13" s="32">
        <f>SUM(P13:S13)</f>
        <v>-206901</v>
      </c>
      <c r="AD13" s="11"/>
      <c r="AE13" s="12">
        <f>SUM(AC13/Y13)-1</f>
        <v>0.22229180081879574</v>
      </c>
    </row>
    <row r="14" spans="1:31" ht="12.75" customHeight="1">
      <c r="B14" s="25" t="s">
        <v>22</v>
      </c>
      <c r="C14" s="26">
        <f>+SUM(C11+SUM(C13:C13))</f>
        <v>1173</v>
      </c>
      <c r="D14" s="26">
        <f>+SUM(D11+SUM(D13:D13))</f>
        <v>35265</v>
      </c>
      <c r="E14" s="26">
        <f>+SUM(E11+SUM(E13:E13))</f>
        <v>88942</v>
      </c>
      <c r="F14" s="26">
        <f>+SUM(F11+SUM(F13:F13))</f>
        <v>219553</v>
      </c>
      <c r="H14" s="26">
        <f>+SUM(H11+SUM(H13:H13))</f>
        <v>3662.0470000000023</v>
      </c>
      <c r="I14" s="26">
        <f>+SUM(I11+SUM(I13:I13))</f>
        <v>7769.3929999999964</v>
      </c>
      <c r="J14" s="26">
        <f>+SUM(J11+SUM(J13:J13))</f>
        <v>9656.6410000000033</v>
      </c>
      <c r="K14" s="26">
        <f>+SUM(K11+SUM(K13:K13))</f>
        <v>14176.919000000009</v>
      </c>
      <c r="L14" s="26">
        <f t="shared" ref="L14:S14" si="12">+SUM(L11+SUM(L13:L13))</f>
        <v>16512.989999999998</v>
      </c>
      <c r="M14" s="26">
        <f t="shared" si="12"/>
        <v>16690.002999999997</v>
      </c>
      <c r="N14" s="26">
        <f t="shared" si="12"/>
        <v>24652.584999999999</v>
      </c>
      <c r="O14" s="26">
        <f t="shared" si="12"/>
        <v>31086.421999999991</v>
      </c>
      <c r="P14" s="26">
        <f t="shared" si="12"/>
        <v>39108</v>
      </c>
      <c r="Q14" s="26">
        <f t="shared" si="12"/>
        <v>57453</v>
      </c>
      <c r="R14" s="26">
        <f t="shared" si="12"/>
        <v>59659</v>
      </c>
      <c r="S14" s="26">
        <f t="shared" si="12"/>
        <v>63333</v>
      </c>
      <c r="U14" s="26">
        <f t="shared" ref="U14:AC14" si="13">+SUM(U11+SUM(U13:U13))</f>
        <v>35265</v>
      </c>
      <c r="V14" s="26">
        <f t="shared" si="13"/>
        <v>48115.942999999999</v>
      </c>
      <c r="W14" s="26">
        <f t="shared" si="13"/>
        <v>57036.553000000014</v>
      </c>
      <c r="X14" s="26">
        <f t="shared" si="13"/>
        <v>72032.497000000003</v>
      </c>
      <c r="Y14" s="26">
        <f t="shared" si="13"/>
        <v>88942</v>
      </c>
      <c r="Z14" s="26">
        <f t="shared" si="13"/>
        <v>111537.01000000001</v>
      </c>
      <c r="AA14" s="26">
        <f t="shared" si="13"/>
        <v>152300.00700000001</v>
      </c>
      <c r="AB14" s="26">
        <f t="shared" si="13"/>
        <v>187306.42200000002</v>
      </c>
      <c r="AC14" s="26">
        <f t="shared" si="13"/>
        <v>219553</v>
      </c>
      <c r="AD14" s="42"/>
      <c r="AE14" s="74">
        <f>SUM(AC14/Y14)-1</f>
        <v>1.4684963234467405</v>
      </c>
    </row>
    <row r="15" spans="1:31" ht="12.75" customHeight="1">
      <c r="B15" s="16" t="s">
        <v>29</v>
      </c>
      <c r="C15" s="17">
        <f>C14/C11</f>
        <v>1.4491679329898817E-2</v>
      </c>
      <c r="D15" s="17">
        <f>D14/D11</f>
        <v>0.22887461059190031</v>
      </c>
      <c r="E15" s="17">
        <f>E14/E11</f>
        <v>0.34444939294773735</v>
      </c>
      <c r="F15" s="17">
        <f>F14/F11</f>
        <v>0.51483395630009332</v>
      </c>
      <c r="G15" s="27"/>
      <c r="H15" s="17">
        <f>H14/H11</f>
        <v>0.12583016519927975</v>
      </c>
      <c r="I15" s="17">
        <f>I14/I11</f>
        <v>0.22915178870188693</v>
      </c>
      <c r="J15" s="17">
        <f>J14/J11</f>
        <v>0.23501116581821088</v>
      </c>
      <c r="K15" s="17">
        <f>K14/K11</f>
        <v>0.28364183552308886</v>
      </c>
      <c r="L15" s="17">
        <f t="shared" ref="L15:S15" si="14">L14/L11</f>
        <v>0.29014170864877231</v>
      </c>
      <c r="M15" s="17">
        <f t="shared" si="14"/>
        <v>0.27759675962641434</v>
      </c>
      <c r="N15" s="17">
        <f t="shared" si="14"/>
        <v>0.36644715439250936</v>
      </c>
      <c r="O15" s="17">
        <f t="shared" si="14"/>
        <v>0.42063430754602366</v>
      </c>
      <c r="P15" s="17">
        <f t="shared" si="14"/>
        <v>0.47765496183206108</v>
      </c>
      <c r="Q15" s="17">
        <f t="shared" si="14"/>
        <v>0.53598716310137973</v>
      </c>
      <c r="R15" s="17">
        <f t="shared" si="14"/>
        <v>0.49782625021904386</v>
      </c>
      <c r="S15" s="17">
        <f t="shared" si="14"/>
        <v>0.53877957277390709</v>
      </c>
      <c r="T15" s="28"/>
      <c r="U15" s="17">
        <f t="shared" ref="U15:AC15" si="15">U14/U11</f>
        <v>0.22887461059190031</v>
      </c>
      <c r="V15" s="17">
        <f t="shared" si="15"/>
        <v>0.26453255451725471</v>
      </c>
      <c r="W15" s="17">
        <f t="shared" si="15"/>
        <v>0.27407106745335524</v>
      </c>
      <c r="X15" s="17">
        <f t="shared" si="15"/>
        <v>0.30744610619879753</v>
      </c>
      <c r="Y15" s="17">
        <f t="shared" si="15"/>
        <v>0.34444939294773735</v>
      </c>
      <c r="Z15" s="17">
        <f t="shared" si="15"/>
        <v>0.39387810567563197</v>
      </c>
      <c r="AA15" s="17">
        <f t="shared" si="15"/>
        <v>0.46117379930356101</v>
      </c>
      <c r="AB15" s="17">
        <f t="shared" si="15"/>
        <v>0.48929513162524269</v>
      </c>
      <c r="AC15" s="17">
        <f t="shared" si="15"/>
        <v>0.51483395630009332</v>
      </c>
      <c r="AD15" s="42"/>
      <c r="AE15" s="75">
        <f>SUM(AC15-Y15)*1000</f>
        <v>170.38456335235597</v>
      </c>
    </row>
    <row r="16" spans="1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U16" s="30"/>
      <c r="V16" s="30"/>
      <c r="W16" s="30"/>
      <c r="X16" s="30"/>
      <c r="Y16" s="30"/>
      <c r="Z16" s="30"/>
      <c r="AA16" s="30"/>
      <c r="AB16" s="30"/>
      <c r="AC16" s="30"/>
      <c r="AD16" s="42"/>
      <c r="AE16" s="73"/>
    </row>
    <row r="17" spans="2:31" ht="12.75" customHeight="1">
      <c r="B17" s="9" t="s">
        <v>113</v>
      </c>
      <c r="C17" s="77">
        <v>-3646</v>
      </c>
      <c r="D17" s="77">
        <v>-3614</v>
      </c>
      <c r="E17" s="77">
        <v>-3300</v>
      </c>
      <c r="F17" s="77">
        <v>-1813</v>
      </c>
      <c r="G17" s="32"/>
      <c r="H17" s="77">
        <v>-624.11099999999999</v>
      </c>
      <c r="I17" s="77">
        <v>-873.38599999999997</v>
      </c>
      <c r="J17" s="77">
        <v>-1041.9469999999999</v>
      </c>
      <c r="K17" s="32">
        <f>SUM(D17-SUM(H17:J17))</f>
        <v>-1074.5560000000005</v>
      </c>
      <c r="L17" s="77">
        <v>-855.351</v>
      </c>
      <c r="M17" s="77">
        <v>-1403.26</v>
      </c>
      <c r="N17" s="77">
        <v>-595.90300000000002</v>
      </c>
      <c r="O17" s="32">
        <f>SUM(E17-SUM(L17:N17))</f>
        <v>-445.48599999999988</v>
      </c>
      <c r="P17" s="77">
        <v>-450</v>
      </c>
      <c r="Q17" s="77">
        <v>-560</v>
      </c>
      <c r="R17" s="77">
        <v>-412</v>
      </c>
      <c r="S17" s="32">
        <f>SUM(F17-SUM(P17:R17))</f>
        <v>-391</v>
      </c>
      <c r="U17" s="32">
        <f t="shared" ref="U17:U20" si="16">SUM(H17:K17)</f>
        <v>-3614</v>
      </c>
      <c r="V17" s="32">
        <f t="shared" ref="V17:V20" si="17">SUM(I17:L17)</f>
        <v>-3845.2400000000002</v>
      </c>
      <c r="W17" s="32">
        <f t="shared" ref="W17:W20" si="18">SUM(J17:M17)</f>
        <v>-4375.1140000000005</v>
      </c>
      <c r="X17" s="32">
        <f t="shared" ref="X17:X20" si="19">SUM(K17:N17)</f>
        <v>-3929.0700000000006</v>
      </c>
      <c r="Y17" s="32">
        <f t="shared" ref="Y17:Y20" si="20">SUM(L17:O17)</f>
        <v>-3300</v>
      </c>
      <c r="Z17" s="32">
        <f t="shared" ref="Z17:Z20" si="21">SUM(M17:P17)</f>
        <v>-2894.6489999999999</v>
      </c>
      <c r="AA17" s="32">
        <f t="shared" ref="AA17:AA20" si="22">SUM(N17:Q17)</f>
        <v>-2051.3890000000001</v>
      </c>
      <c r="AB17" s="32">
        <f t="shared" ref="AB17:AB20" si="23">SUM(O17:R17)</f>
        <v>-1867.4859999999999</v>
      </c>
      <c r="AC17" s="32">
        <f t="shared" ref="AC17:AC20" si="24">SUM(P17:S17)</f>
        <v>-1813</v>
      </c>
      <c r="AD17" s="11"/>
      <c r="AE17" s="73">
        <f>SUM(AC17/Y17)-1</f>
        <v>-0.45060606060606057</v>
      </c>
    </row>
    <row r="18" spans="2:31" ht="12.75" customHeight="1">
      <c r="B18" s="9" t="s">
        <v>114</v>
      </c>
      <c r="C18" s="77">
        <v>-12289</v>
      </c>
      <c r="D18" s="77">
        <v>-17843</v>
      </c>
      <c r="E18" s="77">
        <v>-4266</v>
      </c>
      <c r="F18" s="77">
        <v>-4245</v>
      </c>
      <c r="G18" s="32"/>
      <c r="H18" s="77">
        <v>-3974.5889999999999</v>
      </c>
      <c r="I18" s="77">
        <v>-3921.4859999999999</v>
      </c>
      <c r="J18" s="77">
        <v>-4859.45</v>
      </c>
      <c r="K18" s="32">
        <f>SUM(D18-SUM(H18:J18))</f>
        <v>-5087.4750000000004</v>
      </c>
      <c r="L18" s="77">
        <v>-1780.463</v>
      </c>
      <c r="M18" s="77">
        <v>-1333.424</v>
      </c>
      <c r="N18" s="77">
        <v>-466.89800000000002</v>
      </c>
      <c r="O18" s="32">
        <f>SUM(E18-SUM(L18:N18))</f>
        <v>-685.21500000000015</v>
      </c>
      <c r="P18" s="77">
        <v>-1005</v>
      </c>
      <c r="Q18" s="77">
        <v>-942</v>
      </c>
      <c r="R18" s="77">
        <v>-1021</v>
      </c>
      <c r="S18" s="32">
        <f>SUM(F18-SUM(P18:R18))</f>
        <v>-1277</v>
      </c>
      <c r="U18" s="32">
        <f t="shared" si="16"/>
        <v>-17843</v>
      </c>
      <c r="V18" s="32">
        <f t="shared" si="17"/>
        <v>-15648.874</v>
      </c>
      <c r="W18" s="32">
        <f t="shared" si="18"/>
        <v>-13060.811999999998</v>
      </c>
      <c r="X18" s="32">
        <f t="shared" si="19"/>
        <v>-8668.26</v>
      </c>
      <c r="Y18" s="32">
        <f t="shared" si="20"/>
        <v>-4266</v>
      </c>
      <c r="Z18" s="32">
        <f t="shared" si="21"/>
        <v>-3490.5370000000003</v>
      </c>
      <c r="AA18" s="32">
        <f t="shared" si="22"/>
        <v>-3099.1130000000003</v>
      </c>
      <c r="AB18" s="32">
        <f t="shared" si="23"/>
        <v>-3653.2150000000001</v>
      </c>
      <c r="AC18" s="32">
        <f t="shared" si="24"/>
        <v>-4245</v>
      </c>
      <c r="AD18" s="11"/>
      <c r="AE18" s="73">
        <f t="shared" ref="AE18:AE20" si="25">SUM(AC18/Y18)-1</f>
        <v>-4.9226441631504692E-3</v>
      </c>
    </row>
    <row r="19" spans="2:31" ht="12.75" customHeight="1">
      <c r="B19" s="9" t="s">
        <v>115</v>
      </c>
      <c r="C19" s="77">
        <v>-715</v>
      </c>
      <c r="D19" s="77">
        <v>-715</v>
      </c>
      <c r="E19" s="77">
        <v>-724</v>
      </c>
      <c r="F19" s="77">
        <v>-388</v>
      </c>
      <c r="G19" s="32"/>
      <c r="H19" s="77">
        <v>-178.83799999999999</v>
      </c>
      <c r="I19" s="77">
        <v>-178.83799999999999</v>
      </c>
      <c r="J19" s="77">
        <v>-178.83799999999999</v>
      </c>
      <c r="K19" s="32">
        <f>SUM(D19-SUM(H19:J19))</f>
        <v>-178.48599999999999</v>
      </c>
      <c r="L19" s="77">
        <v>-178.83799999999999</v>
      </c>
      <c r="M19" s="77">
        <v>-178.83799999999999</v>
      </c>
      <c r="N19" s="77">
        <v>-178.83799999999999</v>
      </c>
      <c r="O19" s="32">
        <f>SUM(E19-SUM(L19:N19))</f>
        <v>-187.48599999999999</v>
      </c>
      <c r="P19" s="77">
        <v>-193</v>
      </c>
      <c r="Q19" s="77">
        <v>-142</v>
      </c>
      <c r="R19" s="77">
        <v>-28</v>
      </c>
      <c r="S19" s="32">
        <f>SUM(F19-SUM(P19:R19))</f>
        <v>-25</v>
      </c>
      <c r="U19" s="32">
        <f t="shared" si="16"/>
        <v>-715</v>
      </c>
      <c r="V19" s="32">
        <f t="shared" si="17"/>
        <v>-715</v>
      </c>
      <c r="W19" s="32">
        <f t="shared" si="18"/>
        <v>-714.99999999999989</v>
      </c>
      <c r="X19" s="32">
        <f t="shared" si="19"/>
        <v>-714.99999999999989</v>
      </c>
      <c r="Y19" s="32">
        <f t="shared" si="20"/>
        <v>-724</v>
      </c>
      <c r="Z19" s="32">
        <f t="shared" si="21"/>
        <v>-738.16200000000003</v>
      </c>
      <c r="AA19" s="32">
        <f t="shared" si="22"/>
        <v>-701.32399999999996</v>
      </c>
      <c r="AB19" s="32">
        <f t="shared" si="23"/>
        <v>-550.48599999999999</v>
      </c>
      <c r="AC19" s="32">
        <f t="shared" si="24"/>
        <v>-388</v>
      </c>
      <c r="AD19" s="11"/>
      <c r="AE19" s="73">
        <f t="shared" si="25"/>
        <v>-0.46408839779005528</v>
      </c>
    </row>
    <row r="20" spans="2:31" ht="12.75" customHeight="1">
      <c r="B20" s="9" t="s">
        <v>116</v>
      </c>
      <c r="C20" s="77">
        <v>-42897</v>
      </c>
      <c r="D20" s="77">
        <v>-52458</v>
      </c>
      <c r="E20" s="77">
        <v>-59020</v>
      </c>
      <c r="F20" s="77">
        <v>-74124</v>
      </c>
      <c r="G20" s="32"/>
      <c r="H20" s="77">
        <v>-13699.575000000001</v>
      </c>
      <c r="I20" s="77">
        <v>-11970.422</v>
      </c>
      <c r="J20" s="77">
        <v>-12893.138999999999</v>
      </c>
      <c r="K20" s="32">
        <f>SUM(D20-SUM(H20:J20))</f>
        <v>-13894.864000000001</v>
      </c>
      <c r="L20" s="77">
        <v>-14511.656000000001</v>
      </c>
      <c r="M20" s="77">
        <v>-14247.558000000001</v>
      </c>
      <c r="N20" s="77">
        <v>-14725.787</v>
      </c>
      <c r="O20" s="32">
        <f>SUM(E20-SUM(L20:N20))</f>
        <v>-15534.998999999996</v>
      </c>
      <c r="P20" s="77">
        <v>-15639</v>
      </c>
      <c r="Q20" s="77">
        <v>-16608</v>
      </c>
      <c r="R20" s="77">
        <v>-18560</v>
      </c>
      <c r="S20" s="32">
        <f>SUM(F20-SUM(P20:R20))</f>
        <v>-23317</v>
      </c>
      <c r="U20" s="32">
        <f t="shared" si="16"/>
        <v>-52458</v>
      </c>
      <c r="V20" s="32">
        <f t="shared" si="17"/>
        <v>-53270.081000000006</v>
      </c>
      <c r="W20" s="32">
        <f t="shared" si="18"/>
        <v>-55547.217000000004</v>
      </c>
      <c r="X20" s="32">
        <f t="shared" si="19"/>
        <v>-57379.865000000005</v>
      </c>
      <c r="Y20" s="32">
        <f t="shared" si="20"/>
        <v>-59020</v>
      </c>
      <c r="Z20" s="32">
        <f t="shared" si="21"/>
        <v>-60147.343999999997</v>
      </c>
      <c r="AA20" s="32">
        <f t="shared" si="22"/>
        <v>-62507.785999999993</v>
      </c>
      <c r="AB20" s="32">
        <f t="shared" si="23"/>
        <v>-66341.998999999996</v>
      </c>
      <c r="AC20" s="32">
        <f t="shared" si="24"/>
        <v>-74124</v>
      </c>
      <c r="AD20" s="11"/>
      <c r="AE20" s="73">
        <f t="shared" si="25"/>
        <v>0.25591324974584895</v>
      </c>
    </row>
    <row r="21" spans="2:31" ht="12.75" customHeight="1">
      <c r="B21" s="25" t="s">
        <v>74</v>
      </c>
      <c r="C21" s="26">
        <f>+SUM(C14+SUM(C17:C20))</f>
        <v>-58374</v>
      </c>
      <c r="D21" s="26">
        <f>+SUM(D14+SUM(D17:D20))</f>
        <v>-39365</v>
      </c>
      <c r="E21" s="26">
        <f>+SUM(E14+SUM(E17:E20))</f>
        <v>21632</v>
      </c>
      <c r="F21" s="26">
        <f>+SUM(F14+SUM(F17:F20))</f>
        <v>138983</v>
      </c>
      <c r="G21" s="32"/>
      <c r="H21" s="26">
        <f t="shared" ref="H21:S21" si="26">+SUM(H14+SUM(H17:H20))</f>
        <v>-14815.065999999999</v>
      </c>
      <c r="I21" s="26">
        <f t="shared" si="26"/>
        <v>-9174.7390000000014</v>
      </c>
      <c r="J21" s="26">
        <f t="shared" si="26"/>
        <v>-9316.7329999999965</v>
      </c>
      <c r="K21" s="26">
        <f t="shared" si="26"/>
        <v>-6058.4619999999923</v>
      </c>
      <c r="L21" s="26">
        <f t="shared" si="26"/>
        <v>-813.31800000000294</v>
      </c>
      <c r="M21" s="26">
        <f t="shared" si="26"/>
        <v>-473.07700000000477</v>
      </c>
      <c r="N21" s="26">
        <f t="shared" si="26"/>
        <v>8685.1589999999997</v>
      </c>
      <c r="O21" s="26">
        <f t="shared" si="26"/>
        <v>14233.235999999997</v>
      </c>
      <c r="P21" s="26">
        <f t="shared" si="26"/>
        <v>21821</v>
      </c>
      <c r="Q21" s="26">
        <f t="shared" si="26"/>
        <v>39201</v>
      </c>
      <c r="R21" s="26">
        <f t="shared" si="26"/>
        <v>39638</v>
      </c>
      <c r="S21" s="26">
        <f t="shared" si="26"/>
        <v>38323</v>
      </c>
      <c r="U21" s="26">
        <f t="shared" ref="U21:AC21" si="27">+SUM(U14+SUM(U17:U20))</f>
        <v>-39365</v>
      </c>
      <c r="V21" s="26">
        <f t="shared" si="27"/>
        <v>-25363.252000000008</v>
      </c>
      <c r="W21" s="26">
        <f t="shared" si="27"/>
        <v>-16661.589999999997</v>
      </c>
      <c r="X21" s="26">
        <f t="shared" si="27"/>
        <v>1340.301999999996</v>
      </c>
      <c r="Y21" s="26">
        <f t="shared" si="27"/>
        <v>21632</v>
      </c>
      <c r="Z21" s="26">
        <f t="shared" si="27"/>
        <v>44266.318000000014</v>
      </c>
      <c r="AA21" s="26">
        <f t="shared" si="27"/>
        <v>83940.395000000019</v>
      </c>
      <c r="AB21" s="26">
        <f t="shared" si="27"/>
        <v>114893.23600000002</v>
      </c>
      <c r="AC21" s="26">
        <f t="shared" si="27"/>
        <v>138983</v>
      </c>
      <c r="AD21" s="11"/>
      <c r="AE21" s="74">
        <f>SUM(AC21/Y21)-1</f>
        <v>5.4248798076923075</v>
      </c>
    </row>
    <row r="22" spans="2:31" ht="12.75" customHeight="1">
      <c r="B22" s="16" t="s">
        <v>31</v>
      </c>
      <c r="C22" s="17">
        <f>C21/C11</f>
        <v>-0.72117415959378817</v>
      </c>
      <c r="D22" s="17">
        <f>D21/D11</f>
        <v>-0.2554841640706127</v>
      </c>
      <c r="E22" s="17">
        <f>E21/E11</f>
        <v>8.3775148616463027E-2</v>
      </c>
      <c r="F22" s="17">
        <f>F21/F11</f>
        <v>0.32590384894971086</v>
      </c>
      <c r="G22" s="32"/>
      <c r="H22" s="17">
        <f t="shared" ref="H22:S22" si="28">H21/H11</f>
        <v>-0.50905469051004304</v>
      </c>
      <c r="I22" s="17">
        <f t="shared" si="28"/>
        <v>-0.27060130086391082</v>
      </c>
      <c r="J22" s="17">
        <f t="shared" si="28"/>
        <v>-0.22673891303891239</v>
      </c>
      <c r="K22" s="17">
        <f t="shared" si="28"/>
        <v>-0.12121345139426137</v>
      </c>
      <c r="L22" s="17">
        <f t="shared" si="28"/>
        <v>-1.4290414649000762E-2</v>
      </c>
      <c r="M22" s="17">
        <f t="shared" si="28"/>
        <v>-7.8684612731217945E-3</v>
      </c>
      <c r="N22" s="17">
        <f t="shared" si="28"/>
        <v>0.1291001248346367</v>
      </c>
      <c r="O22" s="17">
        <f t="shared" si="28"/>
        <v>0.19259171637698078</v>
      </c>
      <c r="P22" s="17">
        <f t="shared" si="28"/>
        <v>0.26651603053435113</v>
      </c>
      <c r="Q22" s="17">
        <f t="shared" si="28"/>
        <v>0.36571167355468276</v>
      </c>
      <c r="R22" s="17">
        <f t="shared" si="28"/>
        <v>0.33076043691953372</v>
      </c>
      <c r="S22" s="17">
        <f t="shared" si="28"/>
        <v>0.32601723536567728</v>
      </c>
      <c r="U22" s="17">
        <f t="shared" ref="U22:AC22" si="29">U21/U11</f>
        <v>-0.2554841640706127</v>
      </c>
      <c r="V22" s="17">
        <f t="shared" si="29"/>
        <v>-0.13944246800743096</v>
      </c>
      <c r="W22" s="17">
        <f t="shared" si="29"/>
        <v>-8.006198685902613E-2</v>
      </c>
      <c r="X22" s="17">
        <f t="shared" si="29"/>
        <v>5.7206212222583302E-3</v>
      </c>
      <c r="Y22" s="17">
        <f t="shared" si="29"/>
        <v>8.3775148616463027E-2</v>
      </c>
      <c r="Z22" s="17">
        <f t="shared" si="29"/>
        <v>0.1563206103433751</v>
      </c>
      <c r="AA22" s="17">
        <f t="shared" si="29"/>
        <v>0.25417668481913885</v>
      </c>
      <c r="AB22" s="17">
        <f t="shared" si="29"/>
        <v>0.30013226685559169</v>
      </c>
      <c r="AC22" s="17">
        <f t="shared" si="29"/>
        <v>0.32590384894971086</v>
      </c>
      <c r="AD22" s="11"/>
      <c r="AE22" s="75">
        <f>SUM(AC22-Y22)*1000</f>
        <v>242.12870033324785</v>
      </c>
    </row>
    <row r="23" spans="2:31" ht="5.0999999999999996" customHeight="1">
      <c r="B23" s="16"/>
      <c r="C23" s="17"/>
      <c r="D23" s="17"/>
      <c r="E23" s="17"/>
      <c r="F23" s="17"/>
      <c r="G23" s="32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U23" s="32"/>
      <c r="V23" s="32"/>
      <c r="W23" s="32"/>
      <c r="X23" s="32"/>
      <c r="Y23" s="32"/>
      <c r="Z23" s="32"/>
      <c r="AA23" s="32"/>
      <c r="AB23" s="32"/>
      <c r="AC23" s="32"/>
      <c r="AD23" s="11"/>
      <c r="AE23" s="73"/>
    </row>
    <row r="24" spans="2:31" ht="12.75" customHeight="1">
      <c r="B24" s="9" t="s">
        <v>134</v>
      </c>
      <c r="C24" s="77">
        <v>35</v>
      </c>
      <c r="D24" s="77">
        <v>45</v>
      </c>
      <c r="E24" s="77">
        <v>1617</v>
      </c>
      <c r="F24" s="77">
        <v>2097</v>
      </c>
      <c r="G24" s="32"/>
      <c r="H24" s="77">
        <v>33.067999999999998</v>
      </c>
      <c r="I24" s="77">
        <v>2.2690000000000001</v>
      </c>
      <c r="J24" s="77">
        <v>7.2359999999999998</v>
      </c>
      <c r="K24" s="32">
        <f>SUM(D24-SUM(H24:J24))</f>
        <v>2.4270000000000067</v>
      </c>
      <c r="L24" s="77">
        <v>166.971</v>
      </c>
      <c r="M24" s="77">
        <v>414.30399999999997</v>
      </c>
      <c r="N24" s="77">
        <v>423.27600000000001</v>
      </c>
      <c r="O24" s="32">
        <f>SUM(E24-SUM(L24:N24))</f>
        <v>612.44900000000007</v>
      </c>
      <c r="P24" s="77">
        <v>384</v>
      </c>
      <c r="Q24" s="77">
        <v>449</v>
      </c>
      <c r="R24" s="77">
        <v>666</v>
      </c>
      <c r="S24" s="32">
        <f>SUM(F24-SUM(P24:R24))</f>
        <v>598</v>
      </c>
      <c r="U24" s="32">
        <f t="shared" ref="U24:U26" si="30">SUM(H24:K24)</f>
        <v>45</v>
      </c>
      <c r="V24" s="32">
        <f t="shared" ref="V24:V26" si="31">SUM(I24:L24)</f>
        <v>178.90300000000002</v>
      </c>
      <c r="W24" s="32">
        <f t="shared" ref="W24:W26" si="32">SUM(J24:M24)</f>
        <v>590.93799999999999</v>
      </c>
      <c r="X24" s="32">
        <f t="shared" ref="X24:X26" si="33">SUM(K24:N24)</f>
        <v>1006.9780000000001</v>
      </c>
      <c r="Y24" s="32">
        <f t="shared" ref="Y24:Y26" si="34">SUM(L24:O24)</f>
        <v>1617</v>
      </c>
      <c r="Z24" s="32">
        <f t="shared" ref="Z24:Z26" si="35">SUM(M24:P24)</f>
        <v>1834.029</v>
      </c>
      <c r="AA24" s="32">
        <f t="shared" ref="AA24:AA26" si="36">SUM(N24:Q24)</f>
        <v>1868.7250000000001</v>
      </c>
      <c r="AB24" s="32">
        <f t="shared" ref="AB24:AB26" si="37">SUM(O24:R24)</f>
        <v>2111.4490000000001</v>
      </c>
      <c r="AC24" s="32">
        <f t="shared" ref="AC24:AC26" si="38">SUM(P24:S24)</f>
        <v>2097</v>
      </c>
      <c r="AD24" s="11"/>
      <c r="AE24" s="73">
        <f>SUM(AC24/Y24)-1</f>
        <v>0.29684601113172548</v>
      </c>
    </row>
    <row r="25" spans="2:31" ht="12.75" customHeight="1">
      <c r="B25" s="9" t="s">
        <v>133</v>
      </c>
      <c r="C25" s="77">
        <v>-13057</v>
      </c>
      <c r="D25" s="77">
        <v>-19279</v>
      </c>
      <c r="E25" s="77">
        <v>-25027</v>
      </c>
      <c r="F25" s="77">
        <v>-13930</v>
      </c>
      <c r="G25" s="32"/>
      <c r="H25" s="77">
        <v>-3389.038</v>
      </c>
      <c r="I25" s="77">
        <v>-4573.0150000000003</v>
      </c>
      <c r="J25" s="77">
        <v>-5580.366</v>
      </c>
      <c r="K25" s="32">
        <f>SUM(D25-SUM(H25:J25))</f>
        <v>-5736.5810000000001</v>
      </c>
      <c r="L25" s="77">
        <v>-6115.4840000000004</v>
      </c>
      <c r="M25" s="77">
        <v>-6299.107</v>
      </c>
      <c r="N25" s="77">
        <v>-6397.5529999999999</v>
      </c>
      <c r="O25" s="32">
        <f>SUM(E25-SUM(L25:N25))</f>
        <v>-6214.8559999999998</v>
      </c>
      <c r="P25" s="77">
        <v>-3769</v>
      </c>
      <c r="Q25" s="77">
        <v>-3783</v>
      </c>
      <c r="R25" s="77">
        <v>-3499</v>
      </c>
      <c r="S25" s="32">
        <f>SUM(F25-SUM(P25:R25))</f>
        <v>-2879</v>
      </c>
      <c r="U25" s="32">
        <f t="shared" si="30"/>
        <v>-19279</v>
      </c>
      <c r="V25" s="32">
        <f t="shared" si="31"/>
        <v>-22005.446000000004</v>
      </c>
      <c r="W25" s="32">
        <f t="shared" si="32"/>
        <v>-23731.538</v>
      </c>
      <c r="X25" s="32">
        <f t="shared" si="33"/>
        <v>-24548.724999999999</v>
      </c>
      <c r="Y25" s="32">
        <f t="shared" si="34"/>
        <v>-25027</v>
      </c>
      <c r="Z25" s="32">
        <f t="shared" si="35"/>
        <v>-22680.516</v>
      </c>
      <c r="AA25" s="32">
        <f t="shared" si="36"/>
        <v>-20164.409</v>
      </c>
      <c r="AB25" s="32">
        <f t="shared" si="37"/>
        <v>-17265.856</v>
      </c>
      <c r="AC25" s="32">
        <f t="shared" si="38"/>
        <v>-13930</v>
      </c>
      <c r="AD25" s="11"/>
      <c r="AE25" s="73"/>
    </row>
    <row r="26" spans="2:31" ht="12.75" customHeight="1">
      <c r="B26" s="9" t="s">
        <v>132</v>
      </c>
      <c r="C26" s="77">
        <v>-252</v>
      </c>
      <c r="D26" s="77">
        <f>-635-6670</f>
        <v>-7305</v>
      </c>
      <c r="E26" s="77">
        <f>-287-26174</f>
        <v>-26461</v>
      </c>
      <c r="F26" s="77">
        <f>-1243-193</f>
        <v>-1436</v>
      </c>
      <c r="G26" s="32"/>
      <c r="H26" s="77">
        <f>-166.88-6669.941</f>
        <v>-6836.8209999999999</v>
      </c>
      <c r="I26" s="77">
        <v>-19.420999999999999</v>
      </c>
      <c r="J26" s="77">
        <v>-9.641</v>
      </c>
      <c r="K26" s="32">
        <f>SUM(D26-SUM(H26:J26))</f>
        <v>-439.11700000000019</v>
      </c>
      <c r="L26" s="77">
        <v>-26.984000000000002</v>
      </c>
      <c r="M26" s="77">
        <v>-12.827</v>
      </c>
      <c r="N26" s="77">
        <v>-145.827</v>
      </c>
      <c r="O26" s="32">
        <f>SUM(E26-SUM(L26:N26))</f>
        <v>-26275.362000000001</v>
      </c>
      <c r="P26" s="77">
        <v>-35</v>
      </c>
      <c r="Q26" s="77">
        <v>-16</v>
      </c>
      <c r="R26" s="77">
        <v>-56</v>
      </c>
      <c r="S26" s="32">
        <f>SUM(F26-SUM(P26:R26))</f>
        <v>-1329</v>
      </c>
      <c r="U26" s="32">
        <f t="shared" si="30"/>
        <v>-7305</v>
      </c>
      <c r="V26" s="32">
        <f t="shared" si="31"/>
        <v>-495.16300000000018</v>
      </c>
      <c r="W26" s="32">
        <f t="shared" si="32"/>
        <v>-488.56900000000019</v>
      </c>
      <c r="X26" s="32">
        <f t="shared" si="33"/>
        <v>-624.75500000000011</v>
      </c>
      <c r="Y26" s="32">
        <f t="shared" si="34"/>
        <v>-26461</v>
      </c>
      <c r="Z26" s="32">
        <f t="shared" si="35"/>
        <v>-26469.016</v>
      </c>
      <c r="AA26" s="32">
        <f t="shared" si="36"/>
        <v>-26472.189000000002</v>
      </c>
      <c r="AB26" s="32">
        <f t="shared" si="37"/>
        <v>-26382.362000000001</v>
      </c>
      <c r="AC26" s="32">
        <f t="shared" si="38"/>
        <v>-1436</v>
      </c>
      <c r="AD26" s="11"/>
      <c r="AE26" s="73">
        <f>SUM(AC26/Y26)-1</f>
        <v>-0.94573145383772339</v>
      </c>
    </row>
    <row r="27" spans="2:31" ht="12.75" customHeight="1">
      <c r="B27" s="25" t="s">
        <v>75</v>
      </c>
      <c r="C27" s="26">
        <f>SUM(C21+SUM(C24:C26))</f>
        <v>-71648</v>
      </c>
      <c r="D27" s="26">
        <f>SUM(D21+SUM(D24:D26))</f>
        <v>-65904</v>
      </c>
      <c r="E27" s="26">
        <f>SUM(E21+SUM(E24:E26))</f>
        <v>-28239</v>
      </c>
      <c r="F27" s="26">
        <f>SUM(F21+SUM(F24:F26))</f>
        <v>125714</v>
      </c>
      <c r="H27" s="26">
        <f t="shared" ref="H27:S27" si="39">SUM(H21+SUM(H24:H26))</f>
        <v>-25007.856999999996</v>
      </c>
      <c r="I27" s="26">
        <f t="shared" si="39"/>
        <v>-13764.906000000003</v>
      </c>
      <c r="J27" s="26">
        <f t="shared" si="39"/>
        <v>-14899.503999999997</v>
      </c>
      <c r="K27" s="26">
        <f t="shared" si="39"/>
        <v>-12231.732999999993</v>
      </c>
      <c r="L27" s="26">
        <f t="shared" si="39"/>
        <v>-6788.8150000000041</v>
      </c>
      <c r="M27" s="26">
        <f t="shared" si="39"/>
        <v>-6370.7070000000049</v>
      </c>
      <c r="N27" s="26">
        <f t="shared" si="39"/>
        <v>2565.0549999999994</v>
      </c>
      <c r="O27" s="26">
        <f t="shared" si="39"/>
        <v>-17644.533000000003</v>
      </c>
      <c r="P27" s="26">
        <f t="shared" si="39"/>
        <v>18401</v>
      </c>
      <c r="Q27" s="26">
        <f t="shared" si="39"/>
        <v>35851</v>
      </c>
      <c r="R27" s="26">
        <f t="shared" si="39"/>
        <v>36749</v>
      </c>
      <c r="S27" s="26">
        <f t="shared" si="39"/>
        <v>34713</v>
      </c>
      <c r="U27" s="26">
        <f t="shared" ref="U27:AC27" si="40">SUM(U21+SUM(U24:U26))</f>
        <v>-65904</v>
      </c>
      <c r="V27" s="26">
        <f t="shared" si="40"/>
        <v>-47684.958000000013</v>
      </c>
      <c r="W27" s="26">
        <f t="shared" si="40"/>
        <v>-40290.758999999998</v>
      </c>
      <c r="X27" s="26">
        <f t="shared" si="40"/>
        <v>-22826.200000000004</v>
      </c>
      <c r="Y27" s="26">
        <f t="shared" si="40"/>
        <v>-28239</v>
      </c>
      <c r="Z27" s="26">
        <f t="shared" si="40"/>
        <v>-3049.1849999999831</v>
      </c>
      <c r="AA27" s="26">
        <f t="shared" si="40"/>
        <v>39172.522000000012</v>
      </c>
      <c r="AB27" s="26">
        <f t="shared" si="40"/>
        <v>73356.467000000019</v>
      </c>
      <c r="AC27" s="26">
        <f t="shared" si="40"/>
        <v>125714</v>
      </c>
      <c r="AD27" s="42"/>
      <c r="AE27" s="74">
        <f>SUM(AC27/Y27)-1</f>
        <v>-5.4517865363504372</v>
      </c>
    </row>
    <row r="28" spans="2:31" ht="12.75" customHeight="1">
      <c r="B28" s="16" t="s">
        <v>76</v>
      </c>
      <c r="C28" s="17">
        <f>C27/C11</f>
        <v>-0.88516610454270284</v>
      </c>
      <c r="D28" s="17">
        <f>D27/D11</f>
        <v>-0.42772585669781932</v>
      </c>
      <c r="E28" s="17">
        <f>E27/E11</f>
        <v>-0.10936235307786148</v>
      </c>
      <c r="F28" s="17">
        <f>F27/F11</f>
        <v>0.29478912145272407</v>
      </c>
      <c r="G28" s="27"/>
      <c r="H28" s="17">
        <f t="shared" ref="H28:S28" si="41">H27/H11</f>
        <v>-0.8592851969376587</v>
      </c>
      <c r="I28" s="17">
        <f t="shared" si="41"/>
        <v>-0.40598446123311532</v>
      </c>
      <c r="J28" s="17">
        <f t="shared" si="41"/>
        <v>-0.36260536196313964</v>
      </c>
      <c r="K28" s="17">
        <f t="shared" si="41"/>
        <v>-0.24472392060280049</v>
      </c>
      <c r="L28" s="17">
        <f t="shared" si="41"/>
        <v>-0.11928296352147108</v>
      </c>
      <c r="M28" s="17">
        <f t="shared" si="41"/>
        <v>-0.10596089286079319</v>
      </c>
      <c r="N28" s="17">
        <f t="shared" si="41"/>
        <v>3.8128135674627139E-2</v>
      </c>
      <c r="O28" s="17">
        <f t="shared" si="41"/>
        <v>-0.23875040750678758</v>
      </c>
      <c r="P28" s="17">
        <f t="shared" si="41"/>
        <v>0.22474503816793892</v>
      </c>
      <c r="Q28" s="17">
        <f t="shared" si="41"/>
        <v>0.33445904973365304</v>
      </c>
      <c r="R28" s="17">
        <f t="shared" si="41"/>
        <v>0.30665309289964038</v>
      </c>
      <c r="S28" s="17">
        <f t="shared" si="41"/>
        <v>0.29530663808284202</v>
      </c>
      <c r="T28" s="28"/>
      <c r="U28" s="17">
        <f t="shared" ref="U28:AC28" si="42">U27/U11</f>
        <v>-0.42772585669781932</v>
      </c>
      <c r="V28" s="17">
        <f t="shared" si="42"/>
        <v>-0.26216307870736327</v>
      </c>
      <c r="W28" s="17">
        <f t="shared" si="42"/>
        <v>-0.19360446497592301</v>
      </c>
      <c r="X28" s="17">
        <f t="shared" si="42"/>
        <v>-9.7425836970707724E-2</v>
      </c>
      <c r="Y28" s="17">
        <f t="shared" si="42"/>
        <v>-0.10936235307786148</v>
      </c>
      <c r="Z28" s="17">
        <f t="shared" si="42"/>
        <v>-1.0767790992913877E-2</v>
      </c>
      <c r="AA28" s="17">
        <f t="shared" si="42"/>
        <v>0.11861680872439048</v>
      </c>
      <c r="AB28" s="17">
        <f t="shared" si="42"/>
        <v>0.19162697035730988</v>
      </c>
      <c r="AC28" s="17">
        <f t="shared" si="42"/>
        <v>0.29478912145272407</v>
      </c>
      <c r="AD28" s="43"/>
      <c r="AE28" s="75">
        <f>SUM(AC28-Y28)*1000</f>
        <v>404.15147453058552</v>
      </c>
    </row>
    <row r="29" spans="2:31" ht="5.0999999999999996" customHeight="1">
      <c r="B29" s="29"/>
      <c r="C29" s="44"/>
      <c r="D29" s="44"/>
      <c r="E29" s="44"/>
      <c r="F29" s="44"/>
      <c r="G29" s="30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U29" s="44"/>
      <c r="V29" s="44"/>
      <c r="W29" s="44"/>
      <c r="X29" s="44"/>
      <c r="Y29" s="44"/>
      <c r="Z29" s="44"/>
      <c r="AA29" s="44"/>
      <c r="AB29" s="44"/>
      <c r="AC29" s="44"/>
      <c r="AD29" s="43"/>
      <c r="AE29" s="73"/>
    </row>
    <row r="30" spans="2:31" ht="12.75" customHeight="1">
      <c r="B30" s="45" t="s">
        <v>135</v>
      </c>
      <c r="C30" s="77">
        <v>0</v>
      </c>
      <c r="D30" s="77">
        <v>0</v>
      </c>
      <c r="E30" s="77">
        <v>0</v>
      </c>
      <c r="F30" s="77">
        <v>71959</v>
      </c>
      <c r="G30" s="32"/>
      <c r="H30" s="77">
        <v>0</v>
      </c>
      <c r="I30" s="77">
        <v>0</v>
      </c>
      <c r="J30" s="77">
        <v>0</v>
      </c>
      <c r="K30" s="32">
        <f>SUM(D30-SUM(H30:J30))</f>
        <v>0</v>
      </c>
      <c r="L30" s="77">
        <v>0</v>
      </c>
      <c r="M30" s="77">
        <v>0</v>
      </c>
      <c r="N30" s="77">
        <v>0</v>
      </c>
      <c r="O30" s="32">
        <f>SUM(E30-SUM(L30:N30))</f>
        <v>0</v>
      </c>
      <c r="P30" s="77">
        <v>-595</v>
      </c>
      <c r="Q30" s="77">
        <v>-3789</v>
      </c>
      <c r="R30" s="77">
        <v>-840</v>
      </c>
      <c r="S30" s="32">
        <f>SUM(F30-SUM(P30:R30))</f>
        <v>77183</v>
      </c>
      <c r="T30" s="32"/>
      <c r="U30" s="32">
        <f t="shared" ref="U30" si="43">SUM(H30:K30)</f>
        <v>0</v>
      </c>
      <c r="V30" s="32">
        <f t="shared" ref="V30" si="44">SUM(I30:L30)</f>
        <v>0</v>
      </c>
      <c r="W30" s="32">
        <f t="shared" ref="W30" si="45">SUM(J30:M30)</f>
        <v>0</v>
      </c>
      <c r="X30" s="32">
        <f t="shared" ref="X30" si="46">SUM(K30:N30)</f>
        <v>0</v>
      </c>
      <c r="Y30" s="32">
        <f t="shared" ref="Y30" si="47">SUM(L30:O30)</f>
        <v>0</v>
      </c>
      <c r="Z30" s="32">
        <f t="shared" ref="Z30" si="48">SUM(M30:P30)</f>
        <v>-595</v>
      </c>
      <c r="AA30" s="32">
        <f t="shared" ref="AA30" si="49">SUM(N30:Q30)</f>
        <v>-4384</v>
      </c>
      <c r="AB30" s="32">
        <f t="shared" ref="AB30" si="50">SUM(O30:R30)</f>
        <v>-5224</v>
      </c>
      <c r="AC30" s="32">
        <f>SUM(P30:S30)</f>
        <v>71959</v>
      </c>
      <c r="AD30" s="43"/>
      <c r="AE30" s="73" t="e">
        <f>SUM(AC30/Y30)-1</f>
        <v>#DIV/0!</v>
      </c>
    </row>
    <row r="31" spans="2:31" ht="12.75" customHeight="1">
      <c r="B31" s="13" t="s">
        <v>48</v>
      </c>
      <c r="C31" s="14">
        <f>SUM(C27+SUM(C30:C30))</f>
        <v>-71648</v>
      </c>
      <c r="D31" s="14">
        <f>SUM(D27+SUM(D30:D30))</f>
        <v>-65904</v>
      </c>
      <c r="E31" s="14">
        <f>SUM(E27+SUM(E30:E30))</f>
        <v>-28239</v>
      </c>
      <c r="F31" s="14">
        <f>SUM(F27+SUM(F30:F30))</f>
        <v>197673</v>
      </c>
      <c r="G31" s="11"/>
      <c r="H31" s="14">
        <f>SUM(H27+SUM(H30:H30))</f>
        <v>-25007.856999999996</v>
      </c>
      <c r="I31" s="14">
        <f>SUM(I27+SUM(I30:I30))</f>
        <v>-13764.906000000003</v>
      </c>
      <c r="J31" s="14">
        <f>SUM(J27+SUM(J30:J30))</f>
        <v>-14899.503999999997</v>
      </c>
      <c r="K31" s="14">
        <f>SUM(K27+SUM(K30:K30))</f>
        <v>-12231.732999999993</v>
      </c>
      <c r="L31" s="14">
        <f t="shared" ref="L31:S31" si="51">SUM(L27+SUM(L30:L30))</f>
        <v>-6788.8150000000041</v>
      </c>
      <c r="M31" s="14">
        <f t="shared" si="51"/>
        <v>-6370.7070000000049</v>
      </c>
      <c r="N31" s="14">
        <f t="shared" si="51"/>
        <v>2565.0549999999994</v>
      </c>
      <c r="O31" s="14">
        <f t="shared" si="51"/>
        <v>-17644.533000000003</v>
      </c>
      <c r="P31" s="14">
        <f t="shared" si="51"/>
        <v>17806</v>
      </c>
      <c r="Q31" s="14">
        <f t="shared" si="51"/>
        <v>32062</v>
      </c>
      <c r="R31" s="14">
        <f t="shared" si="51"/>
        <v>35909</v>
      </c>
      <c r="S31" s="14">
        <f t="shared" si="51"/>
        <v>111896</v>
      </c>
      <c r="T31" s="32"/>
      <c r="U31" s="14">
        <f t="shared" ref="U31:AC31" si="52">SUM(U27+SUM(U30:U30))</f>
        <v>-65904</v>
      </c>
      <c r="V31" s="14">
        <f t="shared" si="52"/>
        <v>-47684.958000000013</v>
      </c>
      <c r="W31" s="14">
        <f t="shared" si="52"/>
        <v>-40290.758999999998</v>
      </c>
      <c r="X31" s="14">
        <f t="shared" si="52"/>
        <v>-22826.200000000004</v>
      </c>
      <c r="Y31" s="14">
        <f t="shared" si="52"/>
        <v>-28239</v>
      </c>
      <c r="Z31" s="14">
        <f t="shared" si="52"/>
        <v>-3644.1849999999831</v>
      </c>
      <c r="AA31" s="14">
        <f t="shared" si="52"/>
        <v>34788.522000000012</v>
      </c>
      <c r="AB31" s="14">
        <f t="shared" si="52"/>
        <v>68132.467000000019</v>
      </c>
      <c r="AC31" s="14">
        <f t="shared" si="52"/>
        <v>197673</v>
      </c>
      <c r="AD31" s="36"/>
      <c r="AE31" s="74">
        <f>SUM(AC31/Y31)-1</f>
        <v>-8</v>
      </c>
    </row>
    <row r="32" spans="2:31" ht="12.75" customHeight="1">
      <c r="B32" s="16" t="s">
        <v>61</v>
      </c>
      <c r="C32" s="17">
        <f>C31/C11</f>
        <v>-0.88516610454270284</v>
      </c>
      <c r="D32" s="17">
        <f>D31/D11</f>
        <v>-0.42772585669781932</v>
      </c>
      <c r="E32" s="17">
        <f>E31/E11</f>
        <v>-0.10936235307786148</v>
      </c>
      <c r="F32" s="17">
        <f>F31/F11</f>
        <v>0.46352713305538229</v>
      </c>
      <c r="G32" s="27"/>
      <c r="H32" s="17">
        <f t="shared" ref="H32:S32" si="53">H31/H11</f>
        <v>-0.8592851969376587</v>
      </c>
      <c r="I32" s="17">
        <f t="shared" si="53"/>
        <v>-0.40598446123311532</v>
      </c>
      <c r="J32" s="17">
        <f t="shared" si="53"/>
        <v>-0.36260536196313964</v>
      </c>
      <c r="K32" s="17">
        <f t="shared" si="53"/>
        <v>-0.24472392060280049</v>
      </c>
      <c r="L32" s="17">
        <f t="shared" si="53"/>
        <v>-0.11928296352147108</v>
      </c>
      <c r="M32" s="17">
        <f t="shared" si="53"/>
        <v>-0.10596089286079319</v>
      </c>
      <c r="N32" s="17">
        <f t="shared" si="53"/>
        <v>3.8128135674627139E-2</v>
      </c>
      <c r="O32" s="17">
        <f t="shared" si="53"/>
        <v>-0.23875040750678758</v>
      </c>
      <c r="P32" s="17">
        <f t="shared" si="53"/>
        <v>0.21747786259541985</v>
      </c>
      <c r="Q32" s="17">
        <f t="shared" si="53"/>
        <v>0.29911093282085249</v>
      </c>
      <c r="R32" s="17">
        <f t="shared" si="53"/>
        <v>0.29964368861555923</v>
      </c>
      <c r="S32" s="17">
        <f t="shared" si="53"/>
        <v>0.95190941649865157</v>
      </c>
      <c r="T32" s="28"/>
      <c r="U32" s="17">
        <f t="shared" ref="U32:AC32" si="54">U31/U11</f>
        <v>-0.42772585669781932</v>
      </c>
      <c r="V32" s="17">
        <f t="shared" si="54"/>
        <v>-0.26216307870736327</v>
      </c>
      <c r="W32" s="17">
        <f t="shared" si="54"/>
        <v>-0.19360446497592301</v>
      </c>
      <c r="X32" s="17">
        <f t="shared" si="54"/>
        <v>-9.7425836970707724E-2</v>
      </c>
      <c r="Y32" s="17">
        <f t="shared" si="54"/>
        <v>-0.10936235307786148</v>
      </c>
      <c r="Z32" s="17">
        <f t="shared" si="54"/>
        <v>-1.2868954300743279E-2</v>
      </c>
      <c r="AA32" s="17">
        <f t="shared" si="54"/>
        <v>0.10534178677283659</v>
      </c>
      <c r="AB32" s="17">
        <f t="shared" si="54"/>
        <v>0.17798046672803086</v>
      </c>
      <c r="AC32" s="17">
        <f t="shared" si="54"/>
        <v>0.46352713305538229</v>
      </c>
      <c r="AD32" s="43"/>
      <c r="AE32" s="75">
        <f>SUM(AC32-Y32)*1000</f>
        <v>572.88948613324374</v>
      </c>
    </row>
    <row r="33" spans="1:31" ht="5.0999999999999996" customHeight="1">
      <c r="B33" s="16"/>
      <c r="C33" s="17"/>
      <c r="D33" s="17"/>
      <c r="E33" s="17"/>
      <c r="F33" s="17"/>
      <c r="G33" s="2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28"/>
      <c r="U33" s="17"/>
      <c r="V33" s="17"/>
      <c r="W33" s="17"/>
      <c r="X33" s="17"/>
      <c r="Y33" s="17"/>
      <c r="Z33" s="17"/>
      <c r="AA33" s="17"/>
      <c r="AB33" s="17"/>
      <c r="AC33" s="17"/>
      <c r="AD33" s="43"/>
      <c r="AE33" s="75"/>
    </row>
    <row r="34" spans="1:31" ht="12.75" customHeight="1">
      <c r="B34" s="45" t="s">
        <v>84</v>
      </c>
      <c r="C34" s="77">
        <f>139578.538-16876.015</f>
        <v>122702.523</v>
      </c>
      <c r="D34" s="77">
        <v>197874.89499999999</v>
      </c>
      <c r="E34" s="77">
        <v>223977.315</v>
      </c>
      <c r="F34" s="77">
        <v>233084.236</v>
      </c>
      <c r="G34" s="27"/>
      <c r="H34" s="77">
        <f>195871.932-27047.033</f>
        <v>168824.899</v>
      </c>
      <c r="I34" s="77">
        <f>196353.185-26803.46</f>
        <v>169549.72500000001</v>
      </c>
      <c r="J34" s="77">
        <v>196383.935</v>
      </c>
      <c r="K34" s="32">
        <f>D34</f>
        <v>197874.89499999999</v>
      </c>
      <c r="L34" s="77">
        <v>221921.75</v>
      </c>
      <c r="M34" s="77">
        <v>222683.39300000001</v>
      </c>
      <c r="N34" s="77">
        <v>225276.98</v>
      </c>
      <c r="O34" s="32">
        <f>E34</f>
        <v>223977.315</v>
      </c>
      <c r="P34" s="77">
        <v>228874.84700000001</v>
      </c>
      <c r="Q34" s="77">
        <v>232417.64499999999</v>
      </c>
      <c r="R34" s="77">
        <v>234571.37599999999</v>
      </c>
      <c r="S34" s="32">
        <f>F34</f>
        <v>233084.236</v>
      </c>
      <c r="T34" s="128"/>
      <c r="U34" s="32">
        <f t="shared" ref="U34:AC34" si="55">K34</f>
        <v>197874.89499999999</v>
      </c>
      <c r="V34" s="32">
        <f t="shared" si="55"/>
        <v>221921.75</v>
      </c>
      <c r="W34" s="32">
        <f t="shared" si="55"/>
        <v>222683.39300000001</v>
      </c>
      <c r="X34" s="32">
        <f t="shared" si="55"/>
        <v>225276.98</v>
      </c>
      <c r="Y34" s="32">
        <f t="shared" si="55"/>
        <v>223977.315</v>
      </c>
      <c r="Z34" s="32">
        <f t="shared" si="55"/>
        <v>228874.84700000001</v>
      </c>
      <c r="AA34" s="32">
        <f t="shared" si="55"/>
        <v>232417.64499999999</v>
      </c>
      <c r="AB34" s="32">
        <f t="shared" si="55"/>
        <v>234571.37599999999</v>
      </c>
      <c r="AC34" s="32">
        <f t="shared" si="55"/>
        <v>233084.236</v>
      </c>
      <c r="AD34" s="43"/>
      <c r="AE34" s="73">
        <f>SUM(AC34/Y34)-1</f>
        <v>4.0660015055542509E-2</v>
      </c>
    </row>
    <row r="35" spans="1:31" ht="12.75" customHeight="1">
      <c r="B35" s="13" t="s">
        <v>62</v>
      </c>
      <c r="C35" s="139">
        <f>C31/C34</f>
        <v>-0.58391627366945009</v>
      </c>
      <c r="D35" s="139">
        <f>D31/D34</f>
        <v>-0.33305892594409214</v>
      </c>
      <c r="E35" s="139">
        <f>E31/E34</f>
        <v>-0.12607973267292716</v>
      </c>
      <c r="F35" s="139">
        <f>F31/F34</f>
        <v>0.84807537134343136</v>
      </c>
      <c r="G35" s="27"/>
      <c r="H35" s="139">
        <f>H31/H34</f>
        <v>-0.14812896171198062</v>
      </c>
      <c r="I35" s="139">
        <f>I31/I34</f>
        <v>-8.1185068274218689E-2</v>
      </c>
      <c r="J35" s="139">
        <f>J31/J34</f>
        <v>-7.586926089448201E-2</v>
      </c>
      <c r="K35" s="139">
        <f>K31/K34</f>
        <v>-6.1815487002532553E-2</v>
      </c>
      <c r="L35" s="139">
        <f t="shared" ref="L35:Q35" si="56">L31/L34</f>
        <v>-3.0591030396975531E-2</v>
      </c>
      <c r="M35" s="139">
        <f t="shared" si="56"/>
        <v>-2.86088105366708E-2</v>
      </c>
      <c r="N35" s="139">
        <f t="shared" si="56"/>
        <v>1.1386227745062986E-2</v>
      </c>
      <c r="O35" s="139">
        <f t="shared" si="56"/>
        <v>-7.8778214659819462E-2</v>
      </c>
      <c r="P35" s="139">
        <f t="shared" si="56"/>
        <v>7.7797976638297864E-2</v>
      </c>
      <c r="Q35" s="139">
        <f t="shared" si="56"/>
        <v>0.13794993921395254</v>
      </c>
      <c r="R35" s="139">
        <f>R31/R34</f>
        <v>0.15308346914416363</v>
      </c>
      <c r="S35" s="139">
        <f>S31/S34</f>
        <v>0.48006678581214735</v>
      </c>
      <c r="T35" s="128"/>
      <c r="U35" s="139">
        <f t="shared" ref="U35:AC35" si="57">U31/U34</f>
        <v>-0.33305892594409214</v>
      </c>
      <c r="V35" s="139">
        <f t="shared" si="57"/>
        <v>-0.2148728459468259</v>
      </c>
      <c r="W35" s="139">
        <f t="shared" si="57"/>
        <v>-0.18093293108750141</v>
      </c>
      <c r="X35" s="139">
        <f t="shared" si="57"/>
        <v>-0.10132504439645811</v>
      </c>
      <c r="Y35" s="139">
        <f t="shared" si="57"/>
        <v>-0.12607973267292716</v>
      </c>
      <c r="Z35" s="139">
        <f t="shared" si="57"/>
        <v>-1.5922173396362697E-2</v>
      </c>
      <c r="AA35" s="139">
        <f t="shared" si="57"/>
        <v>0.14968107090148003</v>
      </c>
      <c r="AB35" s="139">
        <f t="shared" si="57"/>
        <v>0.2904551619290498</v>
      </c>
      <c r="AC35" s="139">
        <f t="shared" si="57"/>
        <v>0.84807537134343136</v>
      </c>
      <c r="AD35" s="43"/>
      <c r="AE35" s="74">
        <f>SUM(AC35/Y35)-1</f>
        <v>-7.7265003927592941</v>
      </c>
    </row>
    <row r="36" spans="1:31" ht="12.75" customHeight="1">
      <c r="B36" s="25"/>
      <c r="C36" s="49"/>
      <c r="D36" s="49"/>
      <c r="E36" s="49"/>
      <c r="F36" s="49"/>
      <c r="G36" s="13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43"/>
      <c r="AE36" s="73"/>
    </row>
    <row r="37" spans="1:31" ht="12.75" customHeight="1">
      <c r="B37" s="45" t="s">
        <v>63</v>
      </c>
      <c r="C37" s="77">
        <v>139578.538</v>
      </c>
      <c r="D37" s="77">
        <v>197874.89499999999</v>
      </c>
      <c r="E37" s="77">
        <v>223977.315</v>
      </c>
      <c r="F37" s="77">
        <v>243342.46599999999</v>
      </c>
      <c r="G37" s="138"/>
      <c r="H37" s="77">
        <v>195871.932</v>
      </c>
      <c r="I37" s="77">
        <v>196353.185</v>
      </c>
      <c r="J37" s="77">
        <v>196383.935</v>
      </c>
      <c r="K37" s="32">
        <f>D37</f>
        <v>197874.89499999999</v>
      </c>
      <c r="L37" s="77">
        <v>221921.75</v>
      </c>
      <c r="M37" s="77">
        <v>222683.39300000001</v>
      </c>
      <c r="N37" s="77">
        <v>233761.26199999999</v>
      </c>
      <c r="O37" s="32">
        <f>E37</f>
        <v>223977.315</v>
      </c>
      <c r="P37" s="77">
        <v>236414.37400000001</v>
      </c>
      <c r="Q37" s="77">
        <v>242167.07199999999</v>
      </c>
      <c r="R37" s="77">
        <v>244804.065</v>
      </c>
      <c r="S37" s="32">
        <f>F37</f>
        <v>243342.46599999999</v>
      </c>
      <c r="T37" s="128"/>
      <c r="U37" s="32">
        <f t="shared" ref="U37:AC37" si="58">K37</f>
        <v>197874.89499999999</v>
      </c>
      <c r="V37" s="32">
        <f t="shared" si="58"/>
        <v>221921.75</v>
      </c>
      <c r="W37" s="32">
        <f t="shared" si="58"/>
        <v>222683.39300000001</v>
      </c>
      <c r="X37" s="32">
        <f t="shared" si="58"/>
        <v>233761.26199999999</v>
      </c>
      <c r="Y37" s="32">
        <f t="shared" si="58"/>
        <v>223977.315</v>
      </c>
      <c r="Z37" s="32">
        <f t="shared" si="58"/>
        <v>236414.37400000001</v>
      </c>
      <c r="AA37" s="32">
        <f t="shared" si="58"/>
        <v>242167.07199999999</v>
      </c>
      <c r="AB37" s="32">
        <f t="shared" si="58"/>
        <v>244804.065</v>
      </c>
      <c r="AC37" s="32">
        <f t="shared" si="58"/>
        <v>243342.46599999999</v>
      </c>
      <c r="AD37" s="43"/>
      <c r="AE37" s="73">
        <f>SUM(AC37/Y37)-1</f>
        <v>8.6460323001907424E-2</v>
      </c>
    </row>
    <row r="38" spans="1:31" ht="12.75" customHeight="1">
      <c r="B38" s="13" t="s">
        <v>83</v>
      </c>
      <c r="C38" s="139">
        <f>C31/C37</f>
        <v>-0.51331673928265387</v>
      </c>
      <c r="D38" s="139">
        <f>D31/D37</f>
        <v>-0.33305892594409214</v>
      </c>
      <c r="E38" s="139">
        <f>E31/E37</f>
        <v>-0.12607973267292716</v>
      </c>
      <c r="F38" s="139">
        <f>F31/F37</f>
        <v>0.81232430676526479</v>
      </c>
      <c r="G38" s="27"/>
      <c r="H38" s="139">
        <f>H31/H37</f>
        <v>-0.1276745307234729</v>
      </c>
      <c r="I38" s="139">
        <f>I31/I37</f>
        <v>-7.0102789521850659E-2</v>
      </c>
      <c r="J38" s="139">
        <f>J31/J37</f>
        <v>-7.586926089448201E-2</v>
      </c>
      <c r="K38" s="139">
        <f>K31/K37</f>
        <v>-6.1815487002532553E-2</v>
      </c>
      <c r="L38" s="139">
        <f t="shared" ref="L38:Q38" si="59">L31/L37</f>
        <v>-3.0591030396975531E-2</v>
      </c>
      <c r="M38" s="139">
        <f t="shared" si="59"/>
        <v>-2.86088105366708E-2</v>
      </c>
      <c r="N38" s="139">
        <f t="shared" si="59"/>
        <v>1.0972968652094288E-2</v>
      </c>
      <c r="O38" s="139">
        <f t="shared" si="59"/>
        <v>-7.8778214659819462E-2</v>
      </c>
      <c r="P38" s="139">
        <f t="shared" si="59"/>
        <v>7.5316909453229774E-2</v>
      </c>
      <c r="Q38" s="139">
        <f t="shared" si="59"/>
        <v>0.13239619959562463</v>
      </c>
      <c r="R38" s="139">
        <f>R31/R37</f>
        <v>0.1466846557470359</v>
      </c>
      <c r="S38" s="139">
        <f>S31/S37</f>
        <v>0.45982931725529569</v>
      </c>
      <c r="T38" s="128"/>
      <c r="U38" s="139">
        <f t="shared" ref="U38:AC38" si="60">U31/U37</f>
        <v>-0.33305892594409214</v>
      </c>
      <c r="V38" s="139">
        <f t="shared" si="60"/>
        <v>-0.2148728459468259</v>
      </c>
      <c r="W38" s="139">
        <f t="shared" si="60"/>
        <v>-0.18093293108750141</v>
      </c>
      <c r="X38" s="139">
        <f t="shared" si="60"/>
        <v>-9.7647487888733273E-2</v>
      </c>
      <c r="Y38" s="139">
        <f t="shared" si="60"/>
        <v>-0.12607973267292716</v>
      </c>
      <c r="Z38" s="139">
        <f t="shared" si="60"/>
        <v>-1.5414396926643653E-2</v>
      </c>
      <c r="AA38" s="139">
        <f t="shared" si="60"/>
        <v>0.14365504654571706</v>
      </c>
      <c r="AB38" s="139">
        <f t="shared" si="60"/>
        <v>0.27831427962603489</v>
      </c>
      <c r="AC38" s="139">
        <f t="shared" si="60"/>
        <v>0.81232430676526479</v>
      </c>
      <c r="AD38" s="43"/>
      <c r="AE38" s="74">
        <f>SUM(AC38/Y38)-1</f>
        <v>-7.4429412209540127</v>
      </c>
    </row>
    <row r="39" spans="1:31" ht="5.0999999999999996" customHeight="1" thickBot="1">
      <c r="B39" s="140"/>
      <c r="C39" s="141"/>
      <c r="D39" s="141"/>
      <c r="E39" s="141"/>
      <c r="F39" s="141"/>
      <c r="G39" s="142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3"/>
      <c r="U39" s="141"/>
      <c r="V39" s="141"/>
      <c r="W39" s="141"/>
      <c r="X39" s="141"/>
      <c r="Y39" s="141"/>
      <c r="Z39" s="141"/>
      <c r="AA39" s="141"/>
      <c r="AB39" s="141"/>
      <c r="AC39" s="141"/>
      <c r="AD39" s="144"/>
      <c r="AE39" s="145"/>
    </row>
    <row r="40" spans="1:31">
      <c r="B40" s="16"/>
      <c r="C40" s="17"/>
      <c r="D40" s="17"/>
      <c r="E40" s="17"/>
      <c r="F40" s="17"/>
      <c r="G40" s="2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28"/>
      <c r="U40" s="17"/>
      <c r="V40" s="17"/>
      <c r="W40" s="17"/>
      <c r="X40" s="17"/>
      <c r="Y40" s="17"/>
      <c r="Z40" s="17"/>
      <c r="AA40" s="17"/>
      <c r="AB40" s="17"/>
      <c r="AC40" s="17"/>
      <c r="AD40" s="43"/>
    </row>
    <row r="41" spans="1:31" ht="12.75" customHeight="1">
      <c r="A41" s="5" t="s">
        <v>18</v>
      </c>
      <c r="B41" s="101" t="s">
        <v>70</v>
      </c>
      <c r="C41" s="102" t="s">
        <v>0</v>
      </c>
      <c r="D41" s="102" t="s">
        <v>0</v>
      </c>
      <c r="E41" s="102"/>
      <c r="F41" s="102"/>
      <c r="G41" s="103"/>
      <c r="H41" s="102" t="s">
        <v>1</v>
      </c>
      <c r="I41" s="102"/>
      <c r="J41" s="102"/>
      <c r="K41" s="102"/>
      <c r="L41" s="102" t="s">
        <v>1</v>
      </c>
      <c r="M41" s="102"/>
      <c r="N41" s="102"/>
      <c r="O41" s="102"/>
      <c r="P41" s="102"/>
      <c r="Q41" s="102"/>
      <c r="R41" s="102" t="s">
        <v>1</v>
      </c>
      <c r="S41" s="102"/>
      <c r="T41" s="101"/>
      <c r="U41" s="102"/>
      <c r="V41" s="102"/>
      <c r="W41" s="102"/>
      <c r="X41" s="102" t="s">
        <v>10</v>
      </c>
      <c r="Y41" s="102" t="s">
        <v>10</v>
      </c>
      <c r="Z41" s="102"/>
      <c r="AA41" s="102"/>
      <c r="AB41" s="102"/>
      <c r="AC41" s="102"/>
      <c r="AD41" s="103"/>
      <c r="AE41" s="153" t="s">
        <v>24</v>
      </c>
    </row>
    <row r="42" spans="1:31" ht="12.75" customHeight="1">
      <c r="B42" s="105" t="str">
        <f t="shared" ref="B42:F43" si="61">B7</f>
        <v>Fiscal Period</v>
      </c>
      <c r="C42" s="104">
        <f t="shared" si="61"/>
        <v>2021</v>
      </c>
      <c r="D42" s="104">
        <f t="shared" si="61"/>
        <v>2022</v>
      </c>
      <c r="E42" s="104">
        <f t="shared" si="61"/>
        <v>2023</v>
      </c>
      <c r="F42" s="104">
        <f t="shared" si="61"/>
        <v>2024</v>
      </c>
      <c r="G42" s="103"/>
      <c r="H42" s="104" t="str">
        <f t="shared" ref="H42:S42" si="62">H7</f>
        <v>1Q22</v>
      </c>
      <c r="I42" s="104" t="str">
        <f t="shared" si="62"/>
        <v>2Q22</v>
      </c>
      <c r="J42" s="104" t="str">
        <f t="shared" si="62"/>
        <v>3Q22</v>
      </c>
      <c r="K42" s="104" t="str">
        <f t="shared" si="62"/>
        <v>4Q22</v>
      </c>
      <c r="L42" s="104" t="str">
        <f t="shared" si="62"/>
        <v>1Q23</v>
      </c>
      <c r="M42" s="104" t="str">
        <f t="shared" si="62"/>
        <v>2Q23</v>
      </c>
      <c r="N42" s="104" t="str">
        <f t="shared" si="62"/>
        <v>3Q23</v>
      </c>
      <c r="O42" s="104" t="str">
        <f t="shared" si="62"/>
        <v>4Q23</v>
      </c>
      <c r="P42" s="104" t="str">
        <f t="shared" si="62"/>
        <v>1Q24</v>
      </c>
      <c r="Q42" s="104" t="str">
        <f t="shared" si="62"/>
        <v>2Q24</v>
      </c>
      <c r="R42" s="104" t="str">
        <f t="shared" si="62"/>
        <v>3Q24</v>
      </c>
      <c r="S42" s="104" t="str">
        <f t="shared" si="62"/>
        <v>4Q24</v>
      </c>
      <c r="T42" s="106"/>
      <c r="U42" s="104" t="str">
        <f t="shared" ref="U42:AC42" si="63">U7</f>
        <v>4Q22</v>
      </c>
      <c r="V42" s="104" t="str">
        <f t="shared" si="63"/>
        <v>1Q23</v>
      </c>
      <c r="W42" s="104" t="str">
        <f t="shared" si="63"/>
        <v>2Q23</v>
      </c>
      <c r="X42" s="104" t="str">
        <f t="shared" si="63"/>
        <v>3Q23</v>
      </c>
      <c r="Y42" s="104" t="str">
        <f t="shared" si="63"/>
        <v>4Q23</v>
      </c>
      <c r="Z42" s="104" t="str">
        <f t="shared" si="63"/>
        <v>1Q24</v>
      </c>
      <c r="AA42" s="104" t="str">
        <f t="shared" si="63"/>
        <v>2Q24</v>
      </c>
      <c r="AB42" s="104" t="str">
        <f t="shared" si="63"/>
        <v>3Q24</v>
      </c>
      <c r="AC42" s="104" t="str">
        <f t="shared" si="63"/>
        <v>4Q24</v>
      </c>
      <c r="AD42" s="103"/>
      <c r="AE42" s="153"/>
    </row>
    <row r="43" spans="1:31" ht="12.75" customHeight="1">
      <c r="B43" s="105" t="str">
        <f t="shared" si="61"/>
        <v>Fiscal Period End Date</v>
      </c>
      <c r="C43" s="107">
        <f t="shared" si="61"/>
        <v>44561</v>
      </c>
      <c r="D43" s="107">
        <f t="shared" si="61"/>
        <v>44926</v>
      </c>
      <c r="E43" s="107">
        <f t="shared" si="61"/>
        <v>45291</v>
      </c>
      <c r="F43" s="107">
        <f t="shared" si="61"/>
        <v>45657</v>
      </c>
      <c r="G43" s="103"/>
      <c r="H43" s="107">
        <f t="shared" ref="H43:S43" si="64">H8</f>
        <v>44651</v>
      </c>
      <c r="I43" s="107">
        <f t="shared" si="64"/>
        <v>44742</v>
      </c>
      <c r="J43" s="107">
        <f t="shared" si="64"/>
        <v>44834</v>
      </c>
      <c r="K43" s="107">
        <f t="shared" si="64"/>
        <v>44926</v>
      </c>
      <c r="L43" s="107">
        <f t="shared" si="64"/>
        <v>45016</v>
      </c>
      <c r="M43" s="107">
        <f t="shared" si="64"/>
        <v>45107</v>
      </c>
      <c r="N43" s="107">
        <f t="shared" si="64"/>
        <v>45199</v>
      </c>
      <c r="O43" s="107">
        <f t="shared" si="64"/>
        <v>45291</v>
      </c>
      <c r="P43" s="107">
        <f t="shared" si="64"/>
        <v>45382</v>
      </c>
      <c r="Q43" s="107">
        <f t="shared" si="64"/>
        <v>45473</v>
      </c>
      <c r="R43" s="107">
        <f t="shared" si="64"/>
        <v>45565</v>
      </c>
      <c r="S43" s="107">
        <f t="shared" si="64"/>
        <v>45657</v>
      </c>
      <c r="T43" s="108"/>
      <c r="U43" s="107">
        <f t="shared" ref="U43:AC43" si="65">U8</f>
        <v>44926</v>
      </c>
      <c r="V43" s="107">
        <f t="shared" si="65"/>
        <v>45016</v>
      </c>
      <c r="W43" s="107">
        <f t="shared" si="65"/>
        <v>45107</v>
      </c>
      <c r="X43" s="107">
        <f t="shared" si="65"/>
        <v>45199</v>
      </c>
      <c r="Y43" s="107">
        <f t="shared" si="65"/>
        <v>45291</v>
      </c>
      <c r="Z43" s="107">
        <f t="shared" si="65"/>
        <v>45382</v>
      </c>
      <c r="AA43" s="107">
        <f t="shared" si="65"/>
        <v>45473</v>
      </c>
      <c r="AB43" s="107">
        <f t="shared" si="65"/>
        <v>45565</v>
      </c>
      <c r="AC43" s="107">
        <f t="shared" si="65"/>
        <v>45657</v>
      </c>
      <c r="AD43" s="103"/>
      <c r="AE43" s="153"/>
    </row>
    <row r="44" spans="1:31" ht="5.0999999999999996" customHeight="1">
      <c r="B44" s="47"/>
      <c r="C44" s="48"/>
      <c r="D44" s="48"/>
      <c r="E44" s="48"/>
      <c r="F44" s="48"/>
    </row>
    <row r="45" spans="1:31">
      <c r="B45" s="76" t="s">
        <v>77</v>
      </c>
      <c r="C45" s="48"/>
      <c r="D45" s="48"/>
      <c r="E45" s="48"/>
      <c r="F45" s="48"/>
    </row>
    <row r="46" spans="1:31" s="117" customFormat="1" ht="12.75" customHeight="1">
      <c r="B46" s="109" t="s">
        <v>91</v>
      </c>
      <c r="C46" s="116">
        <v>51089.118000000002</v>
      </c>
      <c r="D46" s="118">
        <v>86522</v>
      </c>
      <c r="E46" s="118">
        <v>51352</v>
      </c>
      <c r="F46" s="118">
        <v>103147</v>
      </c>
      <c r="H46" s="116">
        <v>69504.945999999996</v>
      </c>
      <c r="I46" s="116">
        <v>52415.053</v>
      </c>
      <c r="J46" s="116">
        <v>34906.019999999997</v>
      </c>
      <c r="K46" s="32">
        <f>D46</f>
        <v>86522</v>
      </c>
      <c r="L46" s="116">
        <v>69204</v>
      </c>
      <c r="M46" s="116">
        <v>62513</v>
      </c>
      <c r="N46" s="116">
        <v>74157</v>
      </c>
      <c r="O46" s="32">
        <f>E46</f>
        <v>51352</v>
      </c>
      <c r="P46" s="116">
        <v>45325</v>
      </c>
      <c r="Q46" s="116">
        <v>88244</v>
      </c>
      <c r="R46" s="116">
        <v>86707</v>
      </c>
      <c r="S46" s="149">
        <f>F46</f>
        <v>103147</v>
      </c>
      <c r="U46" s="92">
        <f t="shared" ref="U46:AC49" si="66">K46</f>
        <v>86522</v>
      </c>
      <c r="V46" s="92">
        <f t="shared" si="66"/>
        <v>69204</v>
      </c>
      <c r="W46" s="92">
        <f t="shared" si="66"/>
        <v>62513</v>
      </c>
      <c r="X46" s="92">
        <f t="shared" si="66"/>
        <v>74157</v>
      </c>
      <c r="Y46" s="92">
        <f t="shared" si="66"/>
        <v>51352</v>
      </c>
      <c r="Z46" s="92">
        <f t="shared" si="66"/>
        <v>45325</v>
      </c>
      <c r="AA46" s="92">
        <f t="shared" si="66"/>
        <v>88244</v>
      </c>
      <c r="AB46" s="92">
        <f t="shared" si="66"/>
        <v>86707</v>
      </c>
      <c r="AC46" s="92">
        <f t="shared" si="66"/>
        <v>103147</v>
      </c>
      <c r="AD46" s="119"/>
      <c r="AE46" s="73">
        <f>SUM(AC46/Y46)-1</f>
        <v>1.0086267331360026</v>
      </c>
    </row>
    <row r="47" spans="1:31" s="117" customFormat="1" ht="12.75" customHeight="1">
      <c r="B47" s="109" t="s">
        <v>118</v>
      </c>
      <c r="C47" s="116">
        <v>28576.857</v>
      </c>
      <c r="D47" s="118">
        <v>15505</v>
      </c>
      <c r="E47" s="118">
        <v>27421</v>
      </c>
      <c r="F47" s="118">
        <v>49999</v>
      </c>
      <c r="H47" s="116">
        <v>25629.625</v>
      </c>
      <c r="I47" s="116">
        <v>18883.847000000002</v>
      </c>
      <c r="J47" s="116">
        <v>20902.384999999998</v>
      </c>
      <c r="K47" s="32">
        <f>D47</f>
        <v>15505</v>
      </c>
      <c r="L47" s="116">
        <v>26518.494999999999</v>
      </c>
      <c r="M47" s="116">
        <v>36731.612000000001</v>
      </c>
      <c r="N47" s="116">
        <v>31318.68</v>
      </c>
      <c r="O47" s="32">
        <f>E47</f>
        <v>27421</v>
      </c>
      <c r="P47" s="116">
        <v>49621</v>
      </c>
      <c r="Q47" s="116">
        <v>30113</v>
      </c>
      <c r="R47" s="116">
        <v>50140</v>
      </c>
      <c r="S47" s="149">
        <f>F47</f>
        <v>49999</v>
      </c>
      <c r="U47" s="92">
        <f t="shared" si="66"/>
        <v>15505</v>
      </c>
      <c r="V47" s="92">
        <f t="shared" si="66"/>
        <v>26518.494999999999</v>
      </c>
      <c r="W47" s="92">
        <f t="shared" si="66"/>
        <v>36731.612000000001</v>
      </c>
      <c r="X47" s="92">
        <f t="shared" si="66"/>
        <v>31318.68</v>
      </c>
      <c r="Y47" s="92">
        <f t="shared" si="66"/>
        <v>27421</v>
      </c>
      <c r="Z47" s="92">
        <f t="shared" si="66"/>
        <v>49621</v>
      </c>
      <c r="AA47" s="92">
        <f t="shared" si="66"/>
        <v>30113</v>
      </c>
      <c r="AB47" s="92">
        <f t="shared" si="66"/>
        <v>50140</v>
      </c>
      <c r="AC47" s="92">
        <f t="shared" si="66"/>
        <v>49999</v>
      </c>
      <c r="AD47" s="119"/>
      <c r="AE47" s="73"/>
    </row>
    <row r="48" spans="1:31" s="117" customFormat="1" ht="12.75" customHeight="1">
      <c r="B48" s="109" t="s">
        <v>119</v>
      </c>
      <c r="C48" s="116">
        <v>124724.091</v>
      </c>
      <c r="D48" s="118">
        <v>163280</v>
      </c>
      <c r="E48" s="118">
        <v>172906</v>
      </c>
      <c r="F48" s="118">
        <v>170235</v>
      </c>
      <c r="H48" s="116">
        <v>139146.31099999999</v>
      </c>
      <c r="I48" s="116">
        <v>146075.459</v>
      </c>
      <c r="J48" s="116">
        <v>162913.633</v>
      </c>
      <c r="K48" s="32">
        <f>D48</f>
        <v>163280</v>
      </c>
      <c r="L48" s="116">
        <v>163984.87299999999</v>
      </c>
      <c r="M48" s="116">
        <v>161780.06299999999</v>
      </c>
      <c r="N48" s="116">
        <v>163116.10500000001</v>
      </c>
      <c r="O48" s="32">
        <f>E48</f>
        <v>172906</v>
      </c>
      <c r="P48" s="116">
        <v>177732</v>
      </c>
      <c r="Q48" s="116">
        <v>179810</v>
      </c>
      <c r="R48" s="116">
        <v>171801</v>
      </c>
      <c r="S48" s="149">
        <f>F48</f>
        <v>170235</v>
      </c>
      <c r="U48" s="92">
        <f t="shared" si="66"/>
        <v>163280</v>
      </c>
      <c r="V48" s="92">
        <f t="shared" si="66"/>
        <v>163984.87299999999</v>
      </c>
      <c r="W48" s="92">
        <f t="shared" si="66"/>
        <v>161780.06299999999</v>
      </c>
      <c r="X48" s="92">
        <f t="shared" si="66"/>
        <v>163116.10500000001</v>
      </c>
      <c r="Y48" s="92">
        <f t="shared" si="66"/>
        <v>172906</v>
      </c>
      <c r="Z48" s="92">
        <f t="shared" si="66"/>
        <v>177732</v>
      </c>
      <c r="AA48" s="92">
        <f t="shared" si="66"/>
        <v>179810</v>
      </c>
      <c r="AB48" s="92">
        <f t="shared" si="66"/>
        <v>171801</v>
      </c>
      <c r="AC48" s="92">
        <f t="shared" si="66"/>
        <v>170235</v>
      </c>
      <c r="AD48" s="119"/>
      <c r="AE48" s="73"/>
    </row>
    <row r="49" spans="2:31" s="117" customFormat="1" ht="12.75" customHeight="1">
      <c r="B49" s="109" t="s">
        <v>102</v>
      </c>
      <c r="C49" s="116">
        <v>4339.2449999999999</v>
      </c>
      <c r="D49" s="118">
        <v>5095</v>
      </c>
      <c r="E49" s="118">
        <v>5334</v>
      </c>
      <c r="F49" s="118">
        <v>8029</v>
      </c>
      <c r="H49" s="116">
        <v>5519.3010000000004</v>
      </c>
      <c r="I49" s="116">
        <v>5399.9279999999999</v>
      </c>
      <c r="J49" s="116">
        <v>5372.4840000000004</v>
      </c>
      <c r="K49" s="32">
        <f>D49</f>
        <v>5095</v>
      </c>
      <c r="L49" s="116">
        <v>4378.6809999999996</v>
      </c>
      <c r="M49" s="116">
        <v>5218.7349999999997</v>
      </c>
      <c r="N49" s="116">
        <v>5107.4549999999999</v>
      </c>
      <c r="O49" s="32">
        <f>E49</f>
        <v>5334</v>
      </c>
      <c r="P49" s="116">
        <v>3741</v>
      </c>
      <c r="Q49" s="116">
        <v>5524</v>
      </c>
      <c r="R49" s="116">
        <v>9545</v>
      </c>
      <c r="S49" s="149">
        <f>F49</f>
        <v>8029</v>
      </c>
      <c r="U49" s="92">
        <f t="shared" si="66"/>
        <v>5095</v>
      </c>
      <c r="V49" s="92">
        <f t="shared" si="66"/>
        <v>4378.6809999999996</v>
      </c>
      <c r="W49" s="92">
        <f t="shared" si="66"/>
        <v>5218.7349999999997</v>
      </c>
      <c r="X49" s="92">
        <f t="shared" si="66"/>
        <v>5107.4549999999999</v>
      </c>
      <c r="Y49" s="92">
        <f t="shared" si="66"/>
        <v>5334</v>
      </c>
      <c r="Z49" s="92">
        <f t="shared" si="66"/>
        <v>3741</v>
      </c>
      <c r="AA49" s="92">
        <f t="shared" si="66"/>
        <v>5524</v>
      </c>
      <c r="AB49" s="92">
        <f t="shared" si="66"/>
        <v>9545</v>
      </c>
      <c r="AC49" s="92">
        <f t="shared" si="66"/>
        <v>8029</v>
      </c>
      <c r="AD49" s="119"/>
      <c r="AE49" s="73"/>
    </row>
    <row r="50" spans="2:31" ht="12.75" customHeight="1">
      <c r="B50" s="25" t="s">
        <v>20</v>
      </c>
      <c r="C50" s="26">
        <f>SUM(C46:C49)</f>
        <v>208729.31099999999</v>
      </c>
      <c r="D50" s="26">
        <f>SUM(D46:D49)</f>
        <v>270402</v>
      </c>
      <c r="E50" s="26">
        <f>SUM(E46:E49)</f>
        <v>257013</v>
      </c>
      <c r="F50" s="26">
        <f>SUM(F46:F49)</f>
        <v>331410</v>
      </c>
      <c r="G50" s="49"/>
      <c r="H50" s="26">
        <f t="shared" ref="H50:S50" si="67">SUM(H46:H49)</f>
        <v>239800.18299999999</v>
      </c>
      <c r="I50" s="26">
        <f t="shared" si="67"/>
        <v>222774.28700000001</v>
      </c>
      <c r="J50" s="26">
        <f t="shared" si="67"/>
        <v>224094.522</v>
      </c>
      <c r="K50" s="26">
        <f t="shared" si="67"/>
        <v>270402</v>
      </c>
      <c r="L50" s="26">
        <f t="shared" si="67"/>
        <v>264086.049</v>
      </c>
      <c r="M50" s="26">
        <f t="shared" si="67"/>
        <v>266243.40999999997</v>
      </c>
      <c r="N50" s="26">
        <f t="shared" si="67"/>
        <v>273699.24000000005</v>
      </c>
      <c r="O50" s="26">
        <f t="shared" si="67"/>
        <v>257013</v>
      </c>
      <c r="P50" s="26">
        <f t="shared" si="67"/>
        <v>276419</v>
      </c>
      <c r="Q50" s="26">
        <f t="shared" si="67"/>
        <v>303691</v>
      </c>
      <c r="R50" s="26">
        <f t="shared" si="67"/>
        <v>318193</v>
      </c>
      <c r="S50" s="26">
        <f t="shared" si="67"/>
        <v>331410</v>
      </c>
      <c r="T50" s="49"/>
      <c r="U50" s="26">
        <f t="shared" ref="U50:AC50" si="68">SUM(U46:U49)</f>
        <v>270402</v>
      </c>
      <c r="V50" s="26">
        <f t="shared" si="68"/>
        <v>264086.049</v>
      </c>
      <c r="W50" s="26">
        <f t="shared" si="68"/>
        <v>266243.40999999997</v>
      </c>
      <c r="X50" s="26">
        <f t="shared" si="68"/>
        <v>273699.24000000005</v>
      </c>
      <c r="Y50" s="26">
        <f t="shared" si="68"/>
        <v>257013</v>
      </c>
      <c r="Z50" s="26">
        <f t="shared" si="68"/>
        <v>276419</v>
      </c>
      <c r="AA50" s="26">
        <f t="shared" si="68"/>
        <v>303691</v>
      </c>
      <c r="AB50" s="26">
        <f t="shared" si="68"/>
        <v>318193</v>
      </c>
      <c r="AC50" s="26">
        <f t="shared" si="68"/>
        <v>331410</v>
      </c>
      <c r="AD50" s="42"/>
      <c r="AE50" s="74">
        <f>SUM(AC50/Y50)-1</f>
        <v>0.28946784792987135</v>
      </c>
    </row>
    <row r="51" spans="2:31" ht="5.0999999999999996" customHeight="1">
      <c r="B51" s="25"/>
      <c r="C51" s="50"/>
      <c r="D51" s="50"/>
      <c r="E51" s="41"/>
      <c r="F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39"/>
    </row>
    <row r="52" spans="2:31" ht="12.75" customHeight="1">
      <c r="B52" s="76" t="s">
        <v>78</v>
      </c>
      <c r="C52" s="77"/>
      <c r="D52" s="77"/>
      <c r="E52" s="77"/>
      <c r="F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U52" s="32"/>
      <c r="V52" s="32"/>
      <c r="W52" s="32"/>
      <c r="X52" s="32"/>
      <c r="Y52" s="32"/>
      <c r="Z52" s="32"/>
      <c r="AA52" s="32"/>
      <c r="AB52" s="32"/>
      <c r="AC52" s="32"/>
      <c r="AD52" s="11"/>
      <c r="AE52" s="73"/>
    </row>
    <row r="53" spans="2:31" ht="12.75" customHeight="1">
      <c r="B53" s="9" t="s">
        <v>82</v>
      </c>
      <c r="C53" s="116">
        <v>50935.074000000001</v>
      </c>
      <c r="D53" s="77">
        <v>58261</v>
      </c>
      <c r="E53" s="77">
        <v>53835</v>
      </c>
      <c r="F53" s="77">
        <v>54707</v>
      </c>
      <c r="H53" s="116">
        <v>53220.048000000003</v>
      </c>
      <c r="I53" s="116">
        <v>54951.267</v>
      </c>
      <c r="J53" s="116">
        <v>56946.008999999998</v>
      </c>
      <c r="K53" s="32">
        <f>D53</f>
        <v>58261</v>
      </c>
      <c r="L53" s="116">
        <v>57370.783000000003</v>
      </c>
      <c r="M53" s="116">
        <v>56305.62</v>
      </c>
      <c r="N53" s="116">
        <v>54814.607000000004</v>
      </c>
      <c r="O53" s="32">
        <f>E53</f>
        <v>53835</v>
      </c>
      <c r="P53" s="116">
        <v>55317</v>
      </c>
      <c r="Q53" s="116">
        <v>54326</v>
      </c>
      <c r="R53" s="116">
        <v>53694</v>
      </c>
      <c r="S53" s="149">
        <f>F53</f>
        <v>54707</v>
      </c>
      <c r="U53" s="92">
        <f t="shared" ref="U53:AC57" si="69">K53</f>
        <v>58261</v>
      </c>
      <c r="V53" s="92">
        <f t="shared" si="69"/>
        <v>57370.783000000003</v>
      </c>
      <c r="W53" s="92">
        <f t="shared" si="69"/>
        <v>56305.62</v>
      </c>
      <c r="X53" s="92">
        <f t="shared" si="69"/>
        <v>54814.607000000004</v>
      </c>
      <c r="Y53" s="92">
        <f t="shared" si="69"/>
        <v>53835</v>
      </c>
      <c r="Z53" s="92">
        <f t="shared" si="69"/>
        <v>55317</v>
      </c>
      <c r="AA53" s="92">
        <f t="shared" si="69"/>
        <v>54326</v>
      </c>
      <c r="AB53" s="92">
        <f t="shared" si="69"/>
        <v>53694</v>
      </c>
      <c r="AC53" s="92">
        <f t="shared" si="69"/>
        <v>54707</v>
      </c>
      <c r="AD53" s="11"/>
      <c r="AE53" s="73">
        <f>SUM(AC53/Y53)-1</f>
        <v>1.6197640939908942E-2</v>
      </c>
    </row>
    <row r="54" spans="2:31" ht="12.75" customHeight="1">
      <c r="B54" s="9" t="s">
        <v>120</v>
      </c>
      <c r="C54" s="116">
        <v>1728.768</v>
      </c>
      <c r="D54" s="77">
        <v>1013</v>
      </c>
      <c r="E54" s="77">
        <v>499</v>
      </c>
      <c r="F54" s="77">
        <v>460</v>
      </c>
      <c r="H54" s="116">
        <v>1549.93</v>
      </c>
      <c r="I54" s="116">
        <v>1371.0920000000001</v>
      </c>
      <c r="J54" s="116">
        <v>1192.2539999999999</v>
      </c>
      <c r="K54" s="32">
        <f>D54</f>
        <v>1013</v>
      </c>
      <c r="L54" s="116">
        <v>834.577</v>
      </c>
      <c r="M54" s="116">
        <v>655.74</v>
      </c>
      <c r="N54" s="116">
        <v>476.90199999999999</v>
      </c>
      <c r="O54" s="32">
        <f>E54</f>
        <v>499</v>
      </c>
      <c r="P54" s="116">
        <v>321</v>
      </c>
      <c r="Q54" s="116">
        <v>479</v>
      </c>
      <c r="R54" s="116">
        <v>485</v>
      </c>
      <c r="S54" s="149">
        <f>F54</f>
        <v>460</v>
      </c>
      <c r="U54" s="92">
        <f t="shared" si="69"/>
        <v>1013</v>
      </c>
      <c r="V54" s="92">
        <f t="shared" si="69"/>
        <v>834.577</v>
      </c>
      <c r="W54" s="92">
        <f t="shared" si="69"/>
        <v>655.74</v>
      </c>
      <c r="X54" s="92">
        <f t="shared" si="69"/>
        <v>476.90199999999999</v>
      </c>
      <c r="Y54" s="92">
        <f t="shared" si="69"/>
        <v>499</v>
      </c>
      <c r="Z54" s="92">
        <f t="shared" si="69"/>
        <v>321</v>
      </c>
      <c r="AA54" s="92">
        <f t="shared" si="69"/>
        <v>479</v>
      </c>
      <c r="AB54" s="92">
        <f t="shared" si="69"/>
        <v>485</v>
      </c>
      <c r="AC54" s="92">
        <f t="shared" si="69"/>
        <v>460</v>
      </c>
      <c r="AD54" s="11"/>
      <c r="AE54" s="73"/>
    </row>
    <row r="55" spans="2:31" ht="12.75" customHeight="1">
      <c r="B55" s="9" t="s">
        <v>121</v>
      </c>
      <c r="C55" s="116">
        <v>3529.509</v>
      </c>
      <c r="D55" s="77">
        <v>3530</v>
      </c>
      <c r="E55" s="77">
        <v>3530</v>
      </c>
      <c r="F55" s="77">
        <v>3530</v>
      </c>
      <c r="H55" s="116">
        <v>3529.509</v>
      </c>
      <c r="I55" s="116">
        <v>3529.509</v>
      </c>
      <c r="J55" s="116">
        <v>3529.509</v>
      </c>
      <c r="K55" s="32">
        <f>D55</f>
        <v>3530</v>
      </c>
      <c r="L55" s="116">
        <v>3529.509</v>
      </c>
      <c r="M55" s="116">
        <v>3529.509</v>
      </c>
      <c r="N55" s="116">
        <v>3529.509</v>
      </c>
      <c r="O55" s="32">
        <f>E55</f>
        <v>3530</v>
      </c>
      <c r="P55" s="116">
        <v>3530</v>
      </c>
      <c r="Q55" s="116">
        <v>3530</v>
      </c>
      <c r="R55" s="116">
        <v>3530</v>
      </c>
      <c r="S55" s="149">
        <f>F55</f>
        <v>3530</v>
      </c>
      <c r="U55" s="92">
        <f t="shared" si="69"/>
        <v>3530</v>
      </c>
      <c r="V55" s="92">
        <f t="shared" si="69"/>
        <v>3529.509</v>
      </c>
      <c r="W55" s="92">
        <f t="shared" si="69"/>
        <v>3529.509</v>
      </c>
      <c r="X55" s="92">
        <f t="shared" si="69"/>
        <v>3529.509</v>
      </c>
      <c r="Y55" s="92">
        <f t="shared" si="69"/>
        <v>3530</v>
      </c>
      <c r="Z55" s="92">
        <f t="shared" si="69"/>
        <v>3530</v>
      </c>
      <c r="AA55" s="92">
        <f t="shared" si="69"/>
        <v>3530</v>
      </c>
      <c r="AB55" s="92">
        <f t="shared" si="69"/>
        <v>3530</v>
      </c>
      <c r="AC55" s="92">
        <f t="shared" si="69"/>
        <v>3530</v>
      </c>
      <c r="AD55" s="11"/>
      <c r="AE55" s="73"/>
    </row>
    <row r="56" spans="2:31" ht="12.75" customHeight="1">
      <c r="B56" s="9" t="s">
        <v>122</v>
      </c>
      <c r="C56" s="116">
        <v>7262.6580000000004</v>
      </c>
      <c r="D56" s="77">
        <v>10485</v>
      </c>
      <c r="E56" s="77">
        <v>9635</v>
      </c>
      <c r="F56" s="77">
        <v>8634</v>
      </c>
      <c r="H56" s="116">
        <v>7106.6419999999998</v>
      </c>
      <c r="I56" s="116">
        <v>10550.236000000001</v>
      </c>
      <c r="J56" s="116">
        <v>10335.873</v>
      </c>
      <c r="K56" s="32">
        <f>D56</f>
        <v>10485</v>
      </c>
      <c r="L56" s="116">
        <v>10247.700000000001</v>
      </c>
      <c r="M56" s="116">
        <v>10003.825999999999</v>
      </c>
      <c r="N56" s="116">
        <v>9753.7250000000004</v>
      </c>
      <c r="O56" s="32">
        <f>E56</f>
        <v>9635</v>
      </c>
      <c r="P56" s="116">
        <v>9397</v>
      </c>
      <c r="Q56" s="116">
        <v>9152</v>
      </c>
      <c r="R56" s="116">
        <v>8897</v>
      </c>
      <c r="S56" s="149">
        <f>F56</f>
        <v>8634</v>
      </c>
      <c r="U56" s="92">
        <f t="shared" si="69"/>
        <v>10485</v>
      </c>
      <c r="V56" s="92">
        <f t="shared" si="69"/>
        <v>10247.700000000001</v>
      </c>
      <c r="W56" s="92">
        <f t="shared" si="69"/>
        <v>10003.825999999999</v>
      </c>
      <c r="X56" s="92">
        <f t="shared" si="69"/>
        <v>9753.7250000000004</v>
      </c>
      <c r="Y56" s="92">
        <f t="shared" si="69"/>
        <v>9635</v>
      </c>
      <c r="Z56" s="92">
        <f t="shared" si="69"/>
        <v>9397</v>
      </c>
      <c r="AA56" s="92">
        <f t="shared" si="69"/>
        <v>9152</v>
      </c>
      <c r="AB56" s="92">
        <f t="shared" si="69"/>
        <v>8897</v>
      </c>
      <c r="AC56" s="92">
        <f t="shared" si="69"/>
        <v>8634</v>
      </c>
      <c r="AD56" s="11"/>
      <c r="AE56" s="73"/>
    </row>
    <row r="57" spans="2:31" ht="12.75" customHeight="1">
      <c r="B57" s="9" t="s">
        <v>123</v>
      </c>
      <c r="C57" s="116">
        <v>4067.404</v>
      </c>
      <c r="D57" s="77">
        <v>4770</v>
      </c>
      <c r="E57" s="77">
        <v>4670</v>
      </c>
      <c r="F57" s="77">
        <f>84280+5657</f>
        <v>89937</v>
      </c>
      <c r="H57" s="116">
        <v>2825.748</v>
      </c>
      <c r="I57" s="116">
        <v>3755.9380000000001</v>
      </c>
      <c r="J57" s="116">
        <v>4459.3220000000001</v>
      </c>
      <c r="K57" s="32">
        <f>D57</f>
        <v>4770</v>
      </c>
      <c r="L57" s="116">
        <v>4718.7610000000004</v>
      </c>
      <c r="M57" s="116">
        <v>6289.0479999999998</v>
      </c>
      <c r="N57" s="116">
        <v>6722.817</v>
      </c>
      <c r="O57" s="32">
        <f>E57</f>
        <v>4670</v>
      </c>
      <c r="P57" s="116">
        <v>5891</v>
      </c>
      <c r="Q57" s="116">
        <v>5221</v>
      </c>
      <c r="R57" s="116">
        <v>5819</v>
      </c>
      <c r="S57" s="149">
        <f>F57</f>
        <v>89937</v>
      </c>
      <c r="U57" s="92">
        <f t="shared" si="69"/>
        <v>4770</v>
      </c>
      <c r="V57" s="92">
        <f t="shared" si="69"/>
        <v>4718.7610000000004</v>
      </c>
      <c r="W57" s="92">
        <f t="shared" si="69"/>
        <v>6289.0479999999998</v>
      </c>
      <c r="X57" s="92">
        <f t="shared" si="69"/>
        <v>6722.817</v>
      </c>
      <c r="Y57" s="92">
        <f t="shared" si="69"/>
        <v>4670</v>
      </c>
      <c r="Z57" s="92">
        <f t="shared" si="69"/>
        <v>5891</v>
      </c>
      <c r="AA57" s="92">
        <f t="shared" si="69"/>
        <v>5221</v>
      </c>
      <c r="AB57" s="92">
        <f t="shared" si="69"/>
        <v>5819</v>
      </c>
      <c r="AC57" s="92">
        <f t="shared" si="69"/>
        <v>89937</v>
      </c>
      <c r="AD57" s="11"/>
      <c r="AE57" s="73"/>
    </row>
    <row r="58" spans="2:31" ht="12.75" customHeight="1">
      <c r="B58" s="13" t="s">
        <v>21</v>
      </c>
      <c r="C58" s="14">
        <f>SUM(C53:C57)+C50</f>
        <v>276252.72399999999</v>
      </c>
      <c r="D58" s="14">
        <f>SUM(D53:D57)+D50</f>
        <v>348461</v>
      </c>
      <c r="E58" s="14">
        <f>SUM(E53:E57)+E50</f>
        <v>329182</v>
      </c>
      <c r="F58" s="14">
        <f>SUM(F53:F57)+F50</f>
        <v>488678</v>
      </c>
      <c r="H58" s="14">
        <f t="shared" ref="H58:S58" si="70">SUM(H53:H57)+H50</f>
        <v>308032.06</v>
      </c>
      <c r="I58" s="14">
        <f t="shared" si="70"/>
        <v>296932.32900000003</v>
      </c>
      <c r="J58" s="14">
        <f t="shared" si="70"/>
        <v>300557.489</v>
      </c>
      <c r="K58" s="14">
        <f t="shared" si="70"/>
        <v>348461</v>
      </c>
      <c r="L58" s="14">
        <f t="shared" si="70"/>
        <v>340787.37900000002</v>
      </c>
      <c r="M58" s="14">
        <f t="shared" si="70"/>
        <v>343027.15299999993</v>
      </c>
      <c r="N58" s="14">
        <f t="shared" si="70"/>
        <v>348996.80000000005</v>
      </c>
      <c r="O58" s="14">
        <f t="shared" si="70"/>
        <v>329182</v>
      </c>
      <c r="P58" s="14">
        <f t="shared" si="70"/>
        <v>350875</v>
      </c>
      <c r="Q58" s="14">
        <f t="shared" si="70"/>
        <v>376399</v>
      </c>
      <c r="R58" s="14">
        <f t="shared" si="70"/>
        <v>390618</v>
      </c>
      <c r="S58" s="14">
        <f t="shared" si="70"/>
        <v>488678</v>
      </c>
      <c r="U58" s="14">
        <f t="shared" ref="U58:AC58" si="71">SUM(U53:U57)+U50</f>
        <v>348461</v>
      </c>
      <c r="V58" s="14">
        <f t="shared" si="71"/>
        <v>340787.37900000002</v>
      </c>
      <c r="W58" s="14">
        <f t="shared" si="71"/>
        <v>343027.15299999993</v>
      </c>
      <c r="X58" s="14">
        <f t="shared" si="71"/>
        <v>348996.80000000005</v>
      </c>
      <c r="Y58" s="14">
        <f t="shared" si="71"/>
        <v>329182</v>
      </c>
      <c r="Z58" s="14">
        <f t="shared" si="71"/>
        <v>350875</v>
      </c>
      <c r="AA58" s="14">
        <f t="shared" si="71"/>
        <v>376399</v>
      </c>
      <c r="AB58" s="14">
        <f t="shared" si="71"/>
        <v>390618</v>
      </c>
      <c r="AC58" s="34">
        <f t="shared" si="71"/>
        <v>488678</v>
      </c>
      <c r="AD58" s="42"/>
      <c r="AE58" s="74">
        <f>SUM(AC58/Y58)-1</f>
        <v>0.48452223997666954</v>
      </c>
    </row>
    <row r="59" spans="2:31" ht="12.75" customHeight="1">
      <c r="B59" s="25"/>
      <c r="C59" s="51"/>
      <c r="D59" s="51"/>
      <c r="E59" s="41"/>
      <c r="F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39"/>
    </row>
    <row r="60" spans="2:31" ht="12.75" customHeight="1">
      <c r="B60" s="76" t="s">
        <v>44</v>
      </c>
      <c r="C60" s="51"/>
      <c r="D60" s="51"/>
      <c r="E60" s="41"/>
      <c r="F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39"/>
    </row>
    <row r="61" spans="2:31" ht="12.75" customHeight="1">
      <c r="B61" s="115" t="s">
        <v>13</v>
      </c>
      <c r="C61" s="116">
        <v>12429.409</v>
      </c>
      <c r="D61" s="116">
        <v>13229</v>
      </c>
      <c r="E61" s="116">
        <v>15660</v>
      </c>
      <c r="F61" s="116">
        <v>20219</v>
      </c>
      <c r="H61" s="116">
        <v>14115.135</v>
      </c>
      <c r="I61" s="116">
        <v>11388.048000000001</v>
      </c>
      <c r="J61" s="116">
        <v>25197.806</v>
      </c>
      <c r="K61" s="32">
        <f>D61</f>
        <v>13229</v>
      </c>
      <c r="L61" s="116">
        <v>12956.486000000001</v>
      </c>
      <c r="M61" s="116">
        <v>12084.529</v>
      </c>
      <c r="N61" s="116">
        <v>10851.446</v>
      </c>
      <c r="O61" s="32">
        <f>E61</f>
        <v>15660</v>
      </c>
      <c r="P61" s="116">
        <v>17186</v>
      </c>
      <c r="Q61" s="116">
        <v>14179</v>
      </c>
      <c r="R61" s="116">
        <v>16020</v>
      </c>
      <c r="S61" s="149">
        <f>F61</f>
        <v>20219</v>
      </c>
      <c r="U61" s="92">
        <f t="shared" ref="U61:AC64" si="72">K61</f>
        <v>13229</v>
      </c>
      <c r="V61" s="92">
        <f t="shared" si="72"/>
        <v>12956.486000000001</v>
      </c>
      <c r="W61" s="92">
        <f t="shared" si="72"/>
        <v>12084.529</v>
      </c>
      <c r="X61" s="92">
        <f t="shared" si="72"/>
        <v>10851.446</v>
      </c>
      <c r="Y61" s="92">
        <f t="shared" si="72"/>
        <v>15660</v>
      </c>
      <c r="Z61" s="92">
        <f t="shared" si="72"/>
        <v>17186</v>
      </c>
      <c r="AA61" s="92">
        <f t="shared" si="72"/>
        <v>14179</v>
      </c>
      <c r="AB61" s="92">
        <f t="shared" si="72"/>
        <v>16020</v>
      </c>
      <c r="AC61" s="92">
        <f t="shared" si="72"/>
        <v>20219</v>
      </c>
      <c r="AD61" s="11"/>
      <c r="AE61" s="73">
        <f>SUM(AC61/Y61)-1</f>
        <v>0.29112388250319277</v>
      </c>
    </row>
    <row r="62" spans="2:31" ht="12.75" customHeight="1">
      <c r="B62" s="115" t="s">
        <v>124</v>
      </c>
      <c r="C62" s="116">
        <v>17214.988000000001</v>
      </c>
      <c r="D62" s="116">
        <v>24990</v>
      </c>
      <c r="E62" s="116">
        <v>32919</v>
      </c>
      <c r="F62" s="116">
        <v>33962</v>
      </c>
      <c r="H62" s="116">
        <v>16654.54</v>
      </c>
      <c r="I62" s="116">
        <v>15961.07</v>
      </c>
      <c r="J62" s="116">
        <v>18378.932000000001</v>
      </c>
      <c r="K62" s="32">
        <f>D62</f>
        <v>24990</v>
      </c>
      <c r="L62" s="116">
        <v>22672.464</v>
      </c>
      <c r="M62" s="116">
        <v>28745.598000000002</v>
      </c>
      <c r="N62" s="116">
        <v>29863.725999999999</v>
      </c>
      <c r="O62" s="32">
        <f>E62</f>
        <v>32919</v>
      </c>
      <c r="P62" s="116">
        <v>33691</v>
      </c>
      <c r="Q62" s="116">
        <v>27726</v>
      </c>
      <c r="R62" s="116">
        <v>27535</v>
      </c>
      <c r="S62" s="149">
        <f>F62</f>
        <v>33962</v>
      </c>
      <c r="U62" s="92">
        <f t="shared" si="72"/>
        <v>24990</v>
      </c>
      <c r="V62" s="92">
        <f t="shared" si="72"/>
        <v>22672.464</v>
      </c>
      <c r="W62" s="92">
        <f t="shared" si="72"/>
        <v>28745.598000000002</v>
      </c>
      <c r="X62" s="92">
        <f t="shared" si="72"/>
        <v>29863.725999999999</v>
      </c>
      <c r="Y62" s="92">
        <f t="shared" si="72"/>
        <v>32919</v>
      </c>
      <c r="Z62" s="92">
        <f t="shared" si="72"/>
        <v>33691</v>
      </c>
      <c r="AA62" s="92">
        <f t="shared" si="72"/>
        <v>27726</v>
      </c>
      <c r="AB62" s="92">
        <f t="shared" si="72"/>
        <v>27535</v>
      </c>
      <c r="AC62" s="92">
        <f t="shared" si="72"/>
        <v>33962</v>
      </c>
      <c r="AD62" s="11"/>
      <c r="AE62" s="73">
        <f>SUM(AC62/Y62)-1</f>
        <v>3.1683830006986824E-2</v>
      </c>
    </row>
    <row r="63" spans="2:31" ht="12.75" customHeight="1">
      <c r="B63" s="115" t="s">
        <v>125</v>
      </c>
      <c r="C63" s="116">
        <v>142.834</v>
      </c>
      <c r="D63" s="116">
        <v>143</v>
      </c>
      <c r="E63" s="116">
        <v>182</v>
      </c>
      <c r="F63" s="116">
        <v>143</v>
      </c>
      <c r="H63" s="116">
        <v>142.834</v>
      </c>
      <c r="I63" s="116">
        <v>142.834</v>
      </c>
      <c r="J63" s="116">
        <v>142.834</v>
      </c>
      <c r="K63" s="32">
        <f>D63</f>
        <v>143</v>
      </c>
      <c r="L63" s="116">
        <v>142.834</v>
      </c>
      <c r="M63" s="116">
        <v>142.834</v>
      </c>
      <c r="N63" s="116">
        <v>142.834</v>
      </c>
      <c r="O63" s="32">
        <f>E63</f>
        <v>182</v>
      </c>
      <c r="P63" s="116">
        <v>1118</v>
      </c>
      <c r="Q63" s="116">
        <v>1130</v>
      </c>
      <c r="R63" s="116">
        <v>143</v>
      </c>
      <c r="S63" s="149">
        <f>F63</f>
        <v>143</v>
      </c>
      <c r="U63" s="92">
        <f t="shared" si="72"/>
        <v>143</v>
      </c>
      <c r="V63" s="92">
        <f t="shared" si="72"/>
        <v>142.834</v>
      </c>
      <c r="W63" s="92">
        <f t="shared" si="72"/>
        <v>142.834</v>
      </c>
      <c r="X63" s="92">
        <f t="shared" si="72"/>
        <v>142.834</v>
      </c>
      <c r="Y63" s="92">
        <f t="shared" si="72"/>
        <v>182</v>
      </c>
      <c r="Z63" s="92">
        <f t="shared" si="72"/>
        <v>1118</v>
      </c>
      <c r="AA63" s="92">
        <f t="shared" si="72"/>
        <v>1130</v>
      </c>
      <c r="AB63" s="92">
        <f t="shared" si="72"/>
        <v>143</v>
      </c>
      <c r="AC63" s="92">
        <f t="shared" si="72"/>
        <v>143</v>
      </c>
      <c r="AD63" s="11"/>
      <c r="AE63" s="73">
        <f>SUM(AC63/Y63)-1</f>
        <v>-0.2142857142857143</v>
      </c>
    </row>
    <row r="64" spans="2:31" ht="12.75" customHeight="1">
      <c r="B64" s="115" t="s">
        <v>126</v>
      </c>
      <c r="C64" s="116">
        <v>591.08399999999995</v>
      </c>
      <c r="D64" s="116">
        <v>905</v>
      </c>
      <c r="E64" s="116">
        <v>1045</v>
      </c>
      <c r="F64" s="116">
        <v>1218</v>
      </c>
      <c r="H64" s="116">
        <v>654.00300000000004</v>
      </c>
      <c r="I64" s="116">
        <v>579.66099999999994</v>
      </c>
      <c r="J64" s="116">
        <v>720.755</v>
      </c>
      <c r="K64" s="32">
        <f>D64</f>
        <v>905</v>
      </c>
      <c r="L64" s="116">
        <v>956.04499999999996</v>
      </c>
      <c r="M64" s="116">
        <v>979.53599999999994</v>
      </c>
      <c r="N64" s="116">
        <v>982.89099999999996</v>
      </c>
      <c r="O64" s="32">
        <f>E64</f>
        <v>1045</v>
      </c>
      <c r="P64" s="116">
        <v>1093</v>
      </c>
      <c r="Q64" s="116">
        <v>1142</v>
      </c>
      <c r="R64" s="116">
        <v>1193</v>
      </c>
      <c r="S64" s="149">
        <f>F64</f>
        <v>1218</v>
      </c>
      <c r="U64" s="92">
        <f t="shared" si="72"/>
        <v>905</v>
      </c>
      <c r="V64" s="92">
        <f t="shared" si="72"/>
        <v>956.04499999999996</v>
      </c>
      <c r="W64" s="92">
        <f t="shared" si="72"/>
        <v>979.53599999999994</v>
      </c>
      <c r="X64" s="92">
        <f t="shared" si="72"/>
        <v>982.89099999999996</v>
      </c>
      <c r="Y64" s="92">
        <f t="shared" si="72"/>
        <v>1045</v>
      </c>
      <c r="Z64" s="92">
        <f t="shared" si="72"/>
        <v>1093</v>
      </c>
      <c r="AA64" s="92">
        <f t="shared" si="72"/>
        <v>1142</v>
      </c>
      <c r="AB64" s="92">
        <f t="shared" si="72"/>
        <v>1193</v>
      </c>
      <c r="AC64" s="92">
        <f t="shared" si="72"/>
        <v>1218</v>
      </c>
      <c r="AD64" s="11"/>
      <c r="AE64" s="73">
        <f>SUM(AC64/Y64)-1</f>
        <v>0.16555023923444967</v>
      </c>
    </row>
    <row r="65" spans="2:31" ht="12.75" customHeight="1">
      <c r="B65" s="25" t="s">
        <v>19</v>
      </c>
      <c r="C65" s="26">
        <f>SUM(C61:C64)</f>
        <v>30378.314999999999</v>
      </c>
      <c r="D65" s="26">
        <f>SUM(D61:D64)</f>
        <v>39267</v>
      </c>
      <c r="E65" s="26">
        <f>SUM(E61:E64)</f>
        <v>49806</v>
      </c>
      <c r="F65" s="26">
        <f>SUM(F61:F64)</f>
        <v>55542</v>
      </c>
      <c r="H65" s="26">
        <f t="shared" ref="H65:S65" si="73">SUM(H61:H64)</f>
        <v>31566.512000000002</v>
      </c>
      <c r="I65" s="26">
        <f t="shared" si="73"/>
        <v>28071.613000000001</v>
      </c>
      <c r="J65" s="26">
        <f t="shared" si="73"/>
        <v>44440.326999999997</v>
      </c>
      <c r="K65" s="26">
        <f t="shared" si="73"/>
        <v>39267</v>
      </c>
      <c r="L65" s="26">
        <f t="shared" si="73"/>
        <v>36727.828999999998</v>
      </c>
      <c r="M65" s="26">
        <f t="shared" si="73"/>
        <v>41952.497000000003</v>
      </c>
      <c r="N65" s="26">
        <f t="shared" si="73"/>
        <v>41840.897000000004</v>
      </c>
      <c r="O65" s="26">
        <f t="shared" si="73"/>
        <v>49806</v>
      </c>
      <c r="P65" s="26">
        <f t="shared" si="73"/>
        <v>53088</v>
      </c>
      <c r="Q65" s="26">
        <f t="shared" si="73"/>
        <v>44177</v>
      </c>
      <c r="R65" s="26">
        <f t="shared" si="73"/>
        <v>44891</v>
      </c>
      <c r="S65" s="26">
        <f t="shared" si="73"/>
        <v>55542</v>
      </c>
      <c r="T65" s="49"/>
      <c r="U65" s="26">
        <f t="shared" ref="U65:AC65" si="74">SUM(U61:U64)</f>
        <v>39267</v>
      </c>
      <c r="V65" s="26">
        <f t="shared" si="74"/>
        <v>36727.828999999998</v>
      </c>
      <c r="W65" s="26">
        <f t="shared" si="74"/>
        <v>41952.497000000003</v>
      </c>
      <c r="X65" s="26">
        <f t="shared" si="74"/>
        <v>41840.897000000004</v>
      </c>
      <c r="Y65" s="26">
        <f t="shared" si="74"/>
        <v>49806</v>
      </c>
      <c r="Z65" s="26">
        <f t="shared" si="74"/>
        <v>53088</v>
      </c>
      <c r="AA65" s="26">
        <f t="shared" si="74"/>
        <v>44177</v>
      </c>
      <c r="AB65" s="26">
        <f t="shared" si="74"/>
        <v>44891</v>
      </c>
      <c r="AC65" s="26">
        <f t="shared" si="74"/>
        <v>55542</v>
      </c>
      <c r="AD65" s="42"/>
      <c r="AE65" s="74">
        <f>SUM(AC65/Y65)-1</f>
        <v>0.11516684736778693</v>
      </c>
    </row>
    <row r="66" spans="2:31" ht="5.0999999999999996" customHeight="1">
      <c r="B66" s="25"/>
      <c r="C66" s="51"/>
      <c r="D66" s="51"/>
      <c r="E66" s="41"/>
      <c r="F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39"/>
    </row>
    <row r="67" spans="2:31">
      <c r="B67" s="76" t="s">
        <v>79</v>
      </c>
      <c r="C67" s="51"/>
      <c r="D67" s="51"/>
      <c r="E67" s="41"/>
      <c r="F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39"/>
    </row>
    <row r="68" spans="2:31" ht="12.75" customHeight="1">
      <c r="B68" s="115" t="s">
        <v>127</v>
      </c>
      <c r="C68" s="116">
        <v>94866.239000000001</v>
      </c>
      <c r="D68" s="116">
        <v>142833</v>
      </c>
      <c r="E68" s="116">
        <v>130594</v>
      </c>
      <c r="F68" s="116">
        <v>72337</v>
      </c>
      <c r="G68" s="52"/>
      <c r="H68" s="116">
        <v>138423.052</v>
      </c>
      <c r="I68" s="116">
        <v>139810.93100000001</v>
      </c>
      <c r="J68" s="116">
        <v>141365.70600000001</v>
      </c>
      <c r="K68" s="32">
        <f>D68</f>
        <v>142833</v>
      </c>
      <c r="L68" s="116">
        <v>144300.93</v>
      </c>
      <c r="M68" s="116">
        <v>140312.07</v>
      </c>
      <c r="N68" s="116">
        <v>142025.54199999999</v>
      </c>
      <c r="O68" s="32">
        <f>E68</f>
        <v>130594</v>
      </c>
      <c r="P68" s="116">
        <v>130847</v>
      </c>
      <c r="Q68" s="116">
        <v>131074</v>
      </c>
      <c r="R68" s="116">
        <v>101326</v>
      </c>
      <c r="S68" s="149">
        <f>F68</f>
        <v>72337</v>
      </c>
      <c r="T68" s="116"/>
      <c r="U68" s="92">
        <f t="shared" ref="U68:AC72" si="75">K68</f>
        <v>142833</v>
      </c>
      <c r="V68" s="92">
        <f t="shared" si="75"/>
        <v>144300.93</v>
      </c>
      <c r="W68" s="92">
        <f t="shared" si="75"/>
        <v>140312.07</v>
      </c>
      <c r="X68" s="92">
        <f t="shared" si="75"/>
        <v>142025.54199999999</v>
      </c>
      <c r="Y68" s="92">
        <f t="shared" si="75"/>
        <v>130594</v>
      </c>
      <c r="Z68" s="92">
        <f t="shared" si="75"/>
        <v>130847</v>
      </c>
      <c r="AA68" s="92">
        <f t="shared" si="75"/>
        <v>131074</v>
      </c>
      <c r="AB68" s="92">
        <f t="shared" si="75"/>
        <v>101326</v>
      </c>
      <c r="AC68" s="92">
        <f t="shared" si="75"/>
        <v>72337</v>
      </c>
      <c r="AD68" s="42"/>
      <c r="AE68" s="73">
        <f>SUM(AC68/Y68)-1</f>
        <v>-0.446092469791874</v>
      </c>
    </row>
    <row r="69" spans="2:31" ht="12.75" customHeight="1">
      <c r="B69" s="115" t="s">
        <v>128</v>
      </c>
      <c r="C69" s="116">
        <v>1975.865</v>
      </c>
      <c r="D69" s="116">
        <v>1833</v>
      </c>
      <c r="E69" s="116">
        <v>1690</v>
      </c>
      <c r="F69" s="116">
        <v>1547</v>
      </c>
      <c r="G69" s="52"/>
      <c r="H69" s="116">
        <v>1940.1559999999999</v>
      </c>
      <c r="I69" s="116">
        <v>1904.4480000000001</v>
      </c>
      <c r="J69" s="116">
        <v>1868.739</v>
      </c>
      <c r="K69" s="32">
        <f>D69</f>
        <v>1833</v>
      </c>
      <c r="L69" s="116">
        <v>1797.3230000000001</v>
      </c>
      <c r="M69" s="116">
        <v>1761.614</v>
      </c>
      <c r="N69" s="116">
        <v>1725.9059999999999</v>
      </c>
      <c r="O69" s="32">
        <f>E69</f>
        <v>1690</v>
      </c>
      <c r="P69" s="116">
        <v>1654</v>
      </c>
      <c r="Q69" s="116">
        <v>1619</v>
      </c>
      <c r="R69" s="116">
        <v>1583</v>
      </c>
      <c r="S69" s="149">
        <f>F69</f>
        <v>1547</v>
      </c>
      <c r="T69" s="116"/>
      <c r="U69" s="92">
        <f t="shared" si="75"/>
        <v>1833</v>
      </c>
      <c r="V69" s="92">
        <f t="shared" si="75"/>
        <v>1797.3230000000001</v>
      </c>
      <c r="W69" s="92">
        <f t="shared" si="75"/>
        <v>1761.614</v>
      </c>
      <c r="X69" s="92">
        <f t="shared" si="75"/>
        <v>1725.9059999999999</v>
      </c>
      <c r="Y69" s="92">
        <f t="shared" si="75"/>
        <v>1690</v>
      </c>
      <c r="Z69" s="92">
        <f t="shared" si="75"/>
        <v>1654</v>
      </c>
      <c r="AA69" s="92">
        <f t="shared" si="75"/>
        <v>1619</v>
      </c>
      <c r="AB69" s="92">
        <f t="shared" si="75"/>
        <v>1583</v>
      </c>
      <c r="AC69" s="92">
        <f t="shared" si="75"/>
        <v>1547</v>
      </c>
      <c r="AD69" s="42"/>
      <c r="AE69" s="73"/>
    </row>
    <row r="70" spans="2:31" ht="12.75" customHeight="1">
      <c r="B70" s="115" t="s">
        <v>129</v>
      </c>
      <c r="C70" s="116">
        <v>0</v>
      </c>
      <c r="D70" s="116">
        <v>1500</v>
      </c>
      <c r="E70" s="116">
        <v>1688</v>
      </c>
      <c r="F70" s="116">
        <v>1313</v>
      </c>
      <c r="G70" s="52"/>
      <c r="H70" s="116">
        <v>1500</v>
      </c>
      <c r="I70" s="116">
        <v>1500</v>
      </c>
      <c r="J70" s="116">
        <v>1500</v>
      </c>
      <c r="K70" s="32">
        <f>D70</f>
        <v>1500</v>
      </c>
      <c r="L70" s="116">
        <v>1500</v>
      </c>
      <c r="M70" s="116">
        <v>1567.1389999999999</v>
      </c>
      <c r="N70" s="116">
        <v>1567.1389999999999</v>
      </c>
      <c r="O70" s="32">
        <f>E70</f>
        <v>1688</v>
      </c>
      <c r="P70" s="116">
        <v>1688</v>
      </c>
      <c r="Q70" s="116">
        <v>1688</v>
      </c>
      <c r="R70" s="116">
        <v>1688</v>
      </c>
      <c r="S70" s="149">
        <f>F70</f>
        <v>1313</v>
      </c>
      <c r="T70" s="116"/>
      <c r="U70" s="92">
        <f t="shared" si="75"/>
        <v>1500</v>
      </c>
      <c r="V70" s="92">
        <f t="shared" si="75"/>
        <v>1500</v>
      </c>
      <c r="W70" s="92">
        <f t="shared" si="75"/>
        <v>1567.1389999999999</v>
      </c>
      <c r="X70" s="92">
        <f t="shared" si="75"/>
        <v>1567.1389999999999</v>
      </c>
      <c r="Y70" s="92">
        <f t="shared" si="75"/>
        <v>1688</v>
      </c>
      <c r="Z70" s="92">
        <f t="shared" si="75"/>
        <v>1688</v>
      </c>
      <c r="AA70" s="92">
        <f t="shared" si="75"/>
        <v>1688</v>
      </c>
      <c r="AB70" s="92">
        <f t="shared" si="75"/>
        <v>1688</v>
      </c>
      <c r="AC70" s="92">
        <f t="shared" si="75"/>
        <v>1313</v>
      </c>
      <c r="AD70" s="42"/>
      <c r="AE70" s="73"/>
    </row>
    <row r="71" spans="2:31" ht="12.75" customHeight="1">
      <c r="B71" s="115" t="s">
        <v>130</v>
      </c>
      <c r="C71" s="116">
        <v>7462.3879999999999</v>
      </c>
      <c r="D71" s="116">
        <v>10704</v>
      </c>
      <c r="E71" s="116">
        <v>9779</v>
      </c>
      <c r="F71" s="116">
        <v>8561</v>
      </c>
      <c r="G71" s="52"/>
      <c r="H71" s="116">
        <v>7284.0789999999997</v>
      </c>
      <c r="I71" s="116">
        <v>10870.906999999999</v>
      </c>
      <c r="J71" s="116">
        <v>10636.083000000001</v>
      </c>
      <c r="K71" s="32">
        <f>D71</f>
        <v>10704</v>
      </c>
      <c r="L71" s="116">
        <v>10468.109</v>
      </c>
      <c r="M71" s="116">
        <v>10221.914000000001</v>
      </c>
      <c r="N71" s="116">
        <v>9965.0879999999997</v>
      </c>
      <c r="O71" s="32">
        <f>E71</f>
        <v>9779</v>
      </c>
      <c r="P71" s="116">
        <v>9487</v>
      </c>
      <c r="Q71" s="116">
        <v>9182</v>
      </c>
      <c r="R71" s="116">
        <v>8865</v>
      </c>
      <c r="S71" s="149">
        <f>F71</f>
        <v>8561</v>
      </c>
      <c r="T71" s="116"/>
      <c r="U71" s="92">
        <f t="shared" si="75"/>
        <v>10704</v>
      </c>
      <c r="V71" s="92">
        <f t="shared" si="75"/>
        <v>10468.109</v>
      </c>
      <c r="W71" s="92">
        <f t="shared" si="75"/>
        <v>10221.914000000001</v>
      </c>
      <c r="X71" s="92">
        <f t="shared" si="75"/>
        <v>9965.0879999999997</v>
      </c>
      <c r="Y71" s="92">
        <f t="shared" si="75"/>
        <v>9779</v>
      </c>
      <c r="Z71" s="92">
        <f t="shared" si="75"/>
        <v>9487</v>
      </c>
      <c r="AA71" s="92">
        <f t="shared" si="75"/>
        <v>9182</v>
      </c>
      <c r="AB71" s="92">
        <f t="shared" si="75"/>
        <v>8865</v>
      </c>
      <c r="AC71" s="92">
        <f t="shared" si="75"/>
        <v>8561</v>
      </c>
      <c r="AD71" s="42"/>
      <c r="AE71" s="73">
        <f>SUM(AC71/Y71)-1</f>
        <v>-0.12455261274158913</v>
      </c>
    </row>
    <row r="72" spans="2:31" ht="12.75" customHeight="1">
      <c r="B72" s="115" t="s">
        <v>131</v>
      </c>
      <c r="C72" s="116">
        <v>397.351</v>
      </c>
      <c r="D72" s="116">
        <v>350</v>
      </c>
      <c r="E72" s="116">
        <v>419</v>
      </c>
      <c r="F72" s="116">
        <v>360</v>
      </c>
      <c r="G72" s="52"/>
      <c r="H72" s="116">
        <v>385.62799999999999</v>
      </c>
      <c r="I72" s="116">
        <v>373.90300000000002</v>
      </c>
      <c r="J72" s="116">
        <v>362.17899999999997</v>
      </c>
      <c r="K72" s="32">
        <f>D72</f>
        <v>350</v>
      </c>
      <c r="L72" s="116">
        <v>338.73099999999999</v>
      </c>
      <c r="M72" s="116">
        <v>449.51299999999998</v>
      </c>
      <c r="N72" s="116">
        <v>434.64699999999999</v>
      </c>
      <c r="O72" s="32">
        <f>E72</f>
        <v>419</v>
      </c>
      <c r="P72" s="116">
        <v>405</v>
      </c>
      <c r="Q72" s="116">
        <v>390</v>
      </c>
      <c r="R72" s="116">
        <v>375</v>
      </c>
      <c r="S72" s="149">
        <f>F72</f>
        <v>360</v>
      </c>
      <c r="T72" s="116"/>
      <c r="U72" s="92">
        <f t="shared" si="75"/>
        <v>350</v>
      </c>
      <c r="V72" s="92">
        <f t="shared" si="75"/>
        <v>338.73099999999999</v>
      </c>
      <c r="W72" s="92">
        <f t="shared" si="75"/>
        <v>449.51299999999998</v>
      </c>
      <c r="X72" s="92">
        <f t="shared" si="75"/>
        <v>434.64699999999999</v>
      </c>
      <c r="Y72" s="92">
        <f t="shared" si="75"/>
        <v>419</v>
      </c>
      <c r="Z72" s="92">
        <f t="shared" si="75"/>
        <v>405</v>
      </c>
      <c r="AA72" s="92">
        <f t="shared" si="75"/>
        <v>390</v>
      </c>
      <c r="AB72" s="92">
        <f t="shared" si="75"/>
        <v>375</v>
      </c>
      <c r="AC72" s="92">
        <f t="shared" si="75"/>
        <v>360</v>
      </c>
      <c r="AD72" s="42"/>
      <c r="AE72" s="73">
        <f>SUM(AC72/Y72)-1</f>
        <v>-0.14081145584725541</v>
      </c>
    </row>
    <row r="73" spans="2:31" ht="12.75" customHeight="1">
      <c r="B73" s="13" t="s">
        <v>17</v>
      </c>
      <c r="C73" s="14">
        <f>SUM(C68:C72)+C65</f>
        <v>135080.158</v>
      </c>
      <c r="D73" s="14">
        <f>SUM(D68:D72)+D65</f>
        <v>196487</v>
      </c>
      <c r="E73" s="14">
        <f>SUM(E68:E72)+E65</f>
        <v>193976</v>
      </c>
      <c r="F73" s="14">
        <f>SUM(F68:F72)+F65</f>
        <v>139660</v>
      </c>
      <c r="H73" s="14">
        <f t="shared" ref="H73:S73" si="76">SUM(H68:H72)+H65</f>
        <v>181099.42699999997</v>
      </c>
      <c r="I73" s="14">
        <f t="shared" si="76"/>
        <v>182531.80200000003</v>
      </c>
      <c r="J73" s="14">
        <f t="shared" si="76"/>
        <v>200173.03400000001</v>
      </c>
      <c r="K73" s="14">
        <f t="shared" si="76"/>
        <v>196487</v>
      </c>
      <c r="L73" s="14">
        <f t="shared" si="76"/>
        <v>195132.92199999999</v>
      </c>
      <c r="M73" s="14">
        <f t="shared" si="76"/>
        <v>196264.747</v>
      </c>
      <c r="N73" s="14">
        <f t="shared" si="76"/>
        <v>197559.21899999995</v>
      </c>
      <c r="O73" s="14">
        <f t="shared" si="76"/>
        <v>193976</v>
      </c>
      <c r="P73" s="14">
        <f t="shared" si="76"/>
        <v>197169</v>
      </c>
      <c r="Q73" s="14">
        <f t="shared" si="76"/>
        <v>188130</v>
      </c>
      <c r="R73" s="14">
        <f t="shared" si="76"/>
        <v>158728</v>
      </c>
      <c r="S73" s="14">
        <f t="shared" si="76"/>
        <v>139660</v>
      </c>
      <c r="U73" s="14">
        <f t="shared" ref="U73:AC73" si="77">SUM(U68:U72)+U65</f>
        <v>196487</v>
      </c>
      <c r="V73" s="14">
        <f t="shared" si="77"/>
        <v>195132.92199999999</v>
      </c>
      <c r="W73" s="14">
        <f t="shared" si="77"/>
        <v>196264.747</v>
      </c>
      <c r="X73" s="14">
        <f t="shared" si="77"/>
        <v>197559.21899999995</v>
      </c>
      <c r="Y73" s="14">
        <f t="shared" si="77"/>
        <v>193976</v>
      </c>
      <c r="Z73" s="14">
        <f t="shared" si="77"/>
        <v>197169</v>
      </c>
      <c r="AA73" s="14">
        <f t="shared" si="77"/>
        <v>188130</v>
      </c>
      <c r="AB73" s="14">
        <f t="shared" si="77"/>
        <v>158728</v>
      </c>
      <c r="AC73" s="14">
        <f t="shared" si="77"/>
        <v>139660</v>
      </c>
      <c r="AD73" s="42"/>
      <c r="AE73" s="74">
        <f t="shared" ref="AE73:AE80" si="78">SUM(AC73/Y73)-1</f>
        <v>-0.28001402235328077</v>
      </c>
    </row>
    <row r="74" spans="2:31" ht="5.0999999999999996" customHeight="1">
      <c r="B74" s="25"/>
      <c r="C74" s="50"/>
      <c r="D74" s="50"/>
      <c r="E74" s="41"/>
      <c r="F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39"/>
    </row>
    <row r="75" spans="2:31" ht="12.75" customHeight="1">
      <c r="B75" s="9" t="s">
        <v>110</v>
      </c>
      <c r="C75" s="77">
        <v>0</v>
      </c>
      <c r="D75" s="77" t="s">
        <v>111</v>
      </c>
      <c r="E75" s="77" t="s">
        <v>111</v>
      </c>
      <c r="F75" s="77">
        <v>0</v>
      </c>
      <c r="G75" s="32"/>
      <c r="H75" s="116" t="s">
        <v>111</v>
      </c>
      <c r="I75" s="116" t="s">
        <v>111</v>
      </c>
      <c r="J75" s="116" t="s">
        <v>111</v>
      </c>
      <c r="K75" s="32" t="str">
        <f>D75</f>
        <v>-</v>
      </c>
      <c r="L75" s="116" t="s">
        <v>111</v>
      </c>
      <c r="M75" s="116" t="s">
        <v>111</v>
      </c>
      <c r="N75" s="116">
        <v>0</v>
      </c>
      <c r="O75" s="32" t="str">
        <f>E75</f>
        <v>-</v>
      </c>
      <c r="P75" s="116" t="s">
        <v>111</v>
      </c>
      <c r="Q75" s="116" t="s">
        <v>111</v>
      </c>
      <c r="R75" s="116">
        <v>0</v>
      </c>
      <c r="S75" s="149">
        <f>F75</f>
        <v>0</v>
      </c>
      <c r="U75" s="92" t="str">
        <f t="shared" ref="U75:AC78" si="79">K75</f>
        <v>-</v>
      </c>
      <c r="V75" s="92" t="str">
        <f t="shared" si="79"/>
        <v>-</v>
      </c>
      <c r="W75" s="92" t="str">
        <f t="shared" si="79"/>
        <v>-</v>
      </c>
      <c r="X75" s="92">
        <f t="shared" si="79"/>
        <v>0</v>
      </c>
      <c r="Y75" s="92" t="str">
        <f t="shared" si="79"/>
        <v>-</v>
      </c>
      <c r="Z75" s="92" t="str">
        <f t="shared" si="79"/>
        <v>-</v>
      </c>
      <c r="AA75" s="92" t="str">
        <f t="shared" si="79"/>
        <v>-</v>
      </c>
      <c r="AB75" s="92">
        <f t="shared" si="79"/>
        <v>0</v>
      </c>
      <c r="AC75" s="92">
        <f t="shared" si="79"/>
        <v>0</v>
      </c>
      <c r="AD75" s="11"/>
      <c r="AE75" s="73" t="e">
        <f t="shared" si="78"/>
        <v>#VALUE!</v>
      </c>
    </row>
    <row r="76" spans="2:31" ht="12.75" customHeight="1">
      <c r="B76" s="9" t="s">
        <v>104</v>
      </c>
      <c r="C76" s="77">
        <v>19.581</v>
      </c>
      <c r="D76" s="77">
        <v>22</v>
      </c>
      <c r="E76" s="77">
        <v>23</v>
      </c>
      <c r="F76" s="77">
        <v>24</v>
      </c>
      <c r="G76" s="32"/>
      <c r="H76" s="116">
        <v>19.635000000000002</v>
      </c>
      <c r="I76" s="116">
        <v>19.635999999999999</v>
      </c>
      <c r="J76" s="116">
        <v>19.678000000000001</v>
      </c>
      <c r="K76" s="32">
        <f>D76</f>
        <v>22</v>
      </c>
      <c r="L76" s="116">
        <v>22.225999999999999</v>
      </c>
      <c r="M76" s="116">
        <v>22.452999999999999</v>
      </c>
      <c r="N76" s="116">
        <v>22.596</v>
      </c>
      <c r="O76" s="32">
        <f>E76</f>
        <v>23</v>
      </c>
      <c r="P76" s="116">
        <v>23</v>
      </c>
      <c r="Q76" s="116">
        <v>23</v>
      </c>
      <c r="R76" s="116">
        <v>24</v>
      </c>
      <c r="S76" s="149">
        <f>F76</f>
        <v>24</v>
      </c>
      <c r="U76" s="92">
        <f t="shared" si="79"/>
        <v>22</v>
      </c>
      <c r="V76" s="92">
        <f t="shared" si="79"/>
        <v>22.225999999999999</v>
      </c>
      <c r="W76" s="92">
        <f t="shared" si="79"/>
        <v>22.452999999999999</v>
      </c>
      <c r="X76" s="92">
        <f t="shared" si="79"/>
        <v>22.596</v>
      </c>
      <c r="Y76" s="92">
        <f t="shared" si="79"/>
        <v>23</v>
      </c>
      <c r="Z76" s="92">
        <f t="shared" si="79"/>
        <v>23</v>
      </c>
      <c r="AA76" s="92">
        <f t="shared" si="79"/>
        <v>23</v>
      </c>
      <c r="AB76" s="92">
        <f t="shared" si="79"/>
        <v>24</v>
      </c>
      <c r="AC76" s="92">
        <f t="shared" si="79"/>
        <v>24</v>
      </c>
      <c r="AD76" s="11"/>
      <c r="AE76" s="73">
        <f t="shared" si="78"/>
        <v>4.3478260869565188E-2</v>
      </c>
    </row>
    <row r="77" spans="2:31" ht="12.75" customHeight="1">
      <c r="B77" s="9" t="s">
        <v>105</v>
      </c>
      <c r="C77" s="77">
        <v>553265.70600000001</v>
      </c>
      <c r="D77" s="77">
        <v>629969</v>
      </c>
      <c r="E77" s="77">
        <v>641439</v>
      </c>
      <c r="F77" s="77">
        <v>657577</v>
      </c>
      <c r="G77" s="32"/>
      <c r="H77" s="116">
        <v>564034.00800000003</v>
      </c>
      <c r="I77" s="116">
        <v>565266.375</v>
      </c>
      <c r="J77" s="116">
        <v>566149.84600000002</v>
      </c>
      <c r="K77" s="32">
        <f>D77</f>
        <v>629969</v>
      </c>
      <c r="L77" s="116">
        <v>630437.88</v>
      </c>
      <c r="M77" s="116">
        <v>637916.03500000003</v>
      </c>
      <c r="N77" s="116">
        <v>640025.88800000004</v>
      </c>
      <c r="O77" s="32">
        <f>E77</f>
        <v>641439</v>
      </c>
      <c r="P77" s="116">
        <v>642133</v>
      </c>
      <c r="Q77" s="116">
        <v>644634</v>
      </c>
      <c r="R77" s="116">
        <v>652345</v>
      </c>
      <c r="S77" s="149">
        <f>F77</f>
        <v>657577</v>
      </c>
      <c r="U77" s="92">
        <f t="shared" si="79"/>
        <v>629969</v>
      </c>
      <c r="V77" s="92">
        <f t="shared" si="79"/>
        <v>630437.88</v>
      </c>
      <c r="W77" s="92">
        <f t="shared" si="79"/>
        <v>637916.03500000003</v>
      </c>
      <c r="X77" s="92">
        <f t="shared" si="79"/>
        <v>640025.88800000004</v>
      </c>
      <c r="Y77" s="92">
        <f t="shared" si="79"/>
        <v>641439</v>
      </c>
      <c r="Z77" s="92">
        <f t="shared" si="79"/>
        <v>642133</v>
      </c>
      <c r="AA77" s="92">
        <f t="shared" si="79"/>
        <v>644634</v>
      </c>
      <c r="AB77" s="92">
        <f t="shared" si="79"/>
        <v>652345</v>
      </c>
      <c r="AC77" s="92">
        <f t="shared" si="79"/>
        <v>657577</v>
      </c>
      <c r="AD77" s="11"/>
      <c r="AE77" s="73">
        <f t="shared" si="78"/>
        <v>2.5159056434049143E-2</v>
      </c>
    </row>
    <row r="78" spans="2:31" ht="12.75" customHeight="1">
      <c r="B78" s="9" t="s">
        <v>106</v>
      </c>
      <c r="C78" s="77">
        <v>-412112.72100000002</v>
      </c>
      <c r="D78" s="77">
        <v>-478017</v>
      </c>
      <c r="E78" s="77">
        <v>-506256</v>
      </c>
      <c r="F78" s="77">
        <v>-308583</v>
      </c>
      <c r="G78" s="32"/>
      <c r="H78" s="116">
        <v>-437120.57799999998</v>
      </c>
      <c r="I78" s="116">
        <v>-450885.484</v>
      </c>
      <c r="J78" s="116">
        <v>-465784.98800000001</v>
      </c>
      <c r="K78" s="32">
        <f>D78</f>
        <v>-478017</v>
      </c>
      <c r="L78" s="116">
        <v>-484805.48599999998</v>
      </c>
      <c r="M78" s="116">
        <v>-491176.19300000003</v>
      </c>
      <c r="N78" s="116">
        <v>-488611.13799999998</v>
      </c>
      <c r="O78" s="32">
        <f>E78</f>
        <v>-506256</v>
      </c>
      <c r="P78" s="116">
        <v>-488450</v>
      </c>
      <c r="Q78" s="116">
        <v>-456388</v>
      </c>
      <c r="R78" s="116">
        <v>-420479</v>
      </c>
      <c r="S78" s="149">
        <f>F78</f>
        <v>-308583</v>
      </c>
      <c r="U78" s="92">
        <f t="shared" si="79"/>
        <v>-478017</v>
      </c>
      <c r="V78" s="92">
        <f t="shared" si="79"/>
        <v>-484805.48599999998</v>
      </c>
      <c r="W78" s="92">
        <f t="shared" si="79"/>
        <v>-491176.19300000003</v>
      </c>
      <c r="X78" s="92">
        <f t="shared" si="79"/>
        <v>-488611.13799999998</v>
      </c>
      <c r="Y78" s="92">
        <f t="shared" si="79"/>
        <v>-506256</v>
      </c>
      <c r="Z78" s="92">
        <f t="shared" si="79"/>
        <v>-488450</v>
      </c>
      <c r="AA78" s="92">
        <f t="shared" si="79"/>
        <v>-456388</v>
      </c>
      <c r="AB78" s="92">
        <f t="shared" si="79"/>
        <v>-420479</v>
      </c>
      <c r="AC78" s="92">
        <f t="shared" si="79"/>
        <v>-308583</v>
      </c>
      <c r="AD78" s="11"/>
      <c r="AE78" s="73">
        <f t="shared" si="78"/>
        <v>-0.3904605575045037</v>
      </c>
    </row>
    <row r="79" spans="2:31" ht="12.75" customHeight="1">
      <c r="B79" s="13" t="s">
        <v>16</v>
      </c>
      <c r="C79" s="14">
        <f>SUM(C75:C78)</f>
        <v>141172.56599999999</v>
      </c>
      <c r="D79" s="14">
        <f>SUM(D75:D78)</f>
        <v>151974</v>
      </c>
      <c r="E79" s="14">
        <f>SUM(E75:E78)</f>
        <v>135206</v>
      </c>
      <c r="F79" s="14">
        <f>SUM(F75:F78)</f>
        <v>349018</v>
      </c>
      <c r="G79" s="53"/>
      <c r="H79" s="14">
        <f t="shared" ref="H79:S79" si="80">SUM(H75:H78)</f>
        <v>126933.06500000006</v>
      </c>
      <c r="I79" s="14">
        <f t="shared" si="80"/>
        <v>114400.52700000006</v>
      </c>
      <c r="J79" s="14">
        <f t="shared" si="80"/>
        <v>100384.53599999996</v>
      </c>
      <c r="K79" s="14">
        <f t="shared" si="80"/>
        <v>151974</v>
      </c>
      <c r="L79" s="14">
        <f t="shared" si="80"/>
        <v>145654.62000000005</v>
      </c>
      <c r="M79" s="14">
        <f t="shared" si="80"/>
        <v>146762.29499999998</v>
      </c>
      <c r="N79" s="14">
        <f t="shared" si="80"/>
        <v>151437.34600000008</v>
      </c>
      <c r="O79" s="14">
        <f t="shared" si="80"/>
        <v>135206</v>
      </c>
      <c r="P79" s="14">
        <f t="shared" si="80"/>
        <v>153706</v>
      </c>
      <c r="Q79" s="14">
        <f t="shared" si="80"/>
        <v>188269</v>
      </c>
      <c r="R79" s="14">
        <f t="shared" si="80"/>
        <v>231890</v>
      </c>
      <c r="S79" s="14">
        <f t="shared" si="80"/>
        <v>349018</v>
      </c>
      <c r="U79" s="14">
        <f t="shared" ref="U79:AC79" si="81">SUM(U75:U78)</f>
        <v>151974</v>
      </c>
      <c r="V79" s="14">
        <f t="shared" si="81"/>
        <v>145654.62000000005</v>
      </c>
      <c r="W79" s="14">
        <f t="shared" si="81"/>
        <v>146762.29499999998</v>
      </c>
      <c r="X79" s="14">
        <f t="shared" si="81"/>
        <v>151437.34600000008</v>
      </c>
      <c r="Y79" s="14">
        <f t="shared" si="81"/>
        <v>135206</v>
      </c>
      <c r="Z79" s="14">
        <f t="shared" si="81"/>
        <v>153706</v>
      </c>
      <c r="AA79" s="14">
        <f t="shared" si="81"/>
        <v>188269</v>
      </c>
      <c r="AB79" s="14">
        <f t="shared" si="81"/>
        <v>231890</v>
      </c>
      <c r="AC79" s="14">
        <f t="shared" si="81"/>
        <v>349018</v>
      </c>
      <c r="AD79" s="42"/>
      <c r="AE79" s="73">
        <f t="shared" si="78"/>
        <v>1.5813795245773115</v>
      </c>
    </row>
    <row r="80" spans="2:31" ht="12.75" customHeight="1">
      <c r="B80" s="25" t="s">
        <v>49</v>
      </c>
      <c r="C80" s="32">
        <f>SUM(C79+C73)</f>
        <v>276252.72399999999</v>
      </c>
      <c r="D80" s="32">
        <f>SUM(D79+D73)</f>
        <v>348461</v>
      </c>
      <c r="E80" s="32">
        <f>SUM(E79+E73)</f>
        <v>329182</v>
      </c>
      <c r="F80" s="32">
        <f>SUM(F79+F73)</f>
        <v>488678</v>
      </c>
      <c r="G80" s="32"/>
      <c r="H80" s="32">
        <f t="shared" ref="H80:S80" si="82">SUM(H79+H73)</f>
        <v>308032.49200000003</v>
      </c>
      <c r="I80" s="32">
        <f t="shared" si="82"/>
        <v>296932.32900000009</v>
      </c>
      <c r="J80" s="32">
        <f t="shared" si="82"/>
        <v>300557.56999999995</v>
      </c>
      <c r="K80" s="32">
        <f t="shared" si="82"/>
        <v>348461</v>
      </c>
      <c r="L80" s="32">
        <f t="shared" si="82"/>
        <v>340787.54200000002</v>
      </c>
      <c r="M80" s="32">
        <f t="shared" si="82"/>
        <v>343027.04200000002</v>
      </c>
      <c r="N80" s="32">
        <f t="shared" si="82"/>
        <v>348996.56500000006</v>
      </c>
      <c r="O80" s="32">
        <f t="shared" si="82"/>
        <v>329182</v>
      </c>
      <c r="P80" s="32">
        <f t="shared" si="82"/>
        <v>350875</v>
      </c>
      <c r="Q80" s="32">
        <f t="shared" si="82"/>
        <v>376399</v>
      </c>
      <c r="R80" s="32">
        <f t="shared" si="82"/>
        <v>390618</v>
      </c>
      <c r="S80" s="32">
        <f t="shared" si="82"/>
        <v>488678</v>
      </c>
      <c r="T80" s="32"/>
      <c r="U80" s="32">
        <f t="shared" ref="U80:AC80" si="83">SUM(U79+U73)</f>
        <v>348461</v>
      </c>
      <c r="V80" s="32">
        <f t="shared" si="83"/>
        <v>340787.54200000002</v>
      </c>
      <c r="W80" s="32">
        <f t="shared" si="83"/>
        <v>343027.04200000002</v>
      </c>
      <c r="X80" s="32">
        <f t="shared" si="83"/>
        <v>348996.56500000006</v>
      </c>
      <c r="Y80" s="32">
        <f t="shared" si="83"/>
        <v>329182</v>
      </c>
      <c r="Z80" s="32">
        <f t="shared" si="83"/>
        <v>350875</v>
      </c>
      <c r="AA80" s="32">
        <f t="shared" si="83"/>
        <v>376399</v>
      </c>
      <c r="AB80" s="32">
        <f t="shared" si="83"/>
        <v>390618</v>
      </c>
      <c r="AC80" s="32">
        <f t="shared" si="83"/>
        <v>488678</v>
      </c>
      <c r="AD80" s="11"/>
      <c r="AE80" s="74">
        <f t="shared" si="78"/>
        <v>0.48452223997666954</v>
      </c>
    </row>
    <row r="81" spans="1:31" ht="5.0999999999999996" customHeight="1">
      <c r="B81" s="25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11"/>
    </row>
    <row r="82" spans="1:31" ht="12.75" customHeight="1">
      <c r="B82" s="134" t="s">
        <v>59</v>
      </c>
      <c r="C82" s="68">
        <f>ROUND(C80-C58,0.1)</f>
        <v>0</v>
      </c>
      <c r="D82" s="68">
        <f>ROUND(D80-D58,0.1)</f>
        <v>0</v>
      </c>
      <c r="E82" s="68">
        <f>ROUND(E80-E58,0.1)</f>
        <v>0</v>
      </c>
      <c r="F82" s="68">
        <f>ROUND(F80-F58,0.1)</f>
        <v>0</v>
      </c>
      <c r="G82" s="69"/>
      <c r="H82" s="68">
        <f>ROUND(H80-H58,0.1)</f>
        <v>0</v>
      </c>
      <c r="I82" s="68">
        <f t="shared" ref="I82:AC82" si="84">ROUND(I80-I58,0.1)</f>
        <v>0</v>
      </c>
      <c r="J82" s="68">
        <f t="shared" si="84"/>
        <v>0</v>
      </c>
      <c r="K82" s="68">
        <f>ROUND(K80-K58,0.1)</f>
        <v>0</v>
      </c>
      <c r="L82" s="68">
        <f t="shared" si="84"/>
        <v>0</v>
      </c>
      <c r="M82" s="68">
        <f t="shared" si="84"/>
        <v>0</v>
      </c>
      <c r="N82" s="68">
        <f t="shared" si="84"/>
        <v>0</v>
      </c>
      <c r="O82" s="68">
        <f t="shared" si="84"/>
        <v>0</v>
      </c>
      <c r="P82" s="68">
        <f t="shared" si="84"/>
        <v>0</v>
      </c>
      <c r="Q82" s="68">
        <f t="shared" si="84"/>
        <v>0</v>
      </c>
      <c r="R82" s="68">
        <f t="shared" si="84"/>
        <v>0</v>
      </c>
      <c r="S82" s="68">
        <f t="shared" si="84"/>
        <v>0</v>
      </c>
      <c r="T82" s="28"/>
      <c r="U82" s="68">
        <f t="shared" si="84"/>
        <v>0</v>
      </c>
      <c r="V82" s="68">
        <f t="shared" si="84"/>
        <v>0</v>
      </c>
      <c r="W82" s="68">
        <f t="shared" si="84"/>
        <v>0</v>
      </c>
      <c r="X82" s="68">
        <f t="shared" si="84"/>
        <v>0</v>
      </c>
      <c r="Y82" s="68">
        <f t="shared" si="84"/>
        <v>0</v>
      </c>
      <c r="Z82" s="68">
        <f t="shared" si="84"/>
        <v>0</v>
      </c>
      <c r="AA82" s="68">
        <f t="shared" si="84"/>
        <v>0</v>
      </c>
      <c r="AB82" s="68">
        <f t="shared" si="84"/>
        <v>0</v>
      </c>
      <c r="AC82" s="68">
        <f t="shared" si="84"/>
        <v>0</v>
      </c>
    </row>
    <row r="83" spans="1:31" ht="5.0999999999999996" customHeight="1" thickBot="1">
      <c r="B83" s="111"/>
      <c r="C83" s="112"/>
      <c r="D83" s="112"/>
      <c r="E83" s="112"/>
      <c r="F83" s="112"/>
      <c r="G83" s="113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4"/>
      <c r="U83" s="112"/>
      <c r="V83" s="112"/>
      <c r="W83" s="112"/>
      <c r="X83" s="112"/>
      <c r="Y83" s="112"/>
      <c r="Z83" s="112"/>
      <c r="AA83" s="112"/>
      <c r="AB83" s="112"/>
      <c r="AC83" s="112"/>
      <c r="AD83" s="71"/>
      <c r="AE83" s="71"/>
    </row>
    <row r="84" spans="1:31">
      <c r="B84" s="67"/>
      <c r="C84" s="24"/>
      <c r="D84" s="24"/>
      <c r="E84" s="24"/>
      <c r="F84" s="24"/>
      <c r="G84" s="54"/>
    </row>
    <row r="85" spans="1:31" ht="12.75" customHeight="1">
      <c r="A85" s="5" t="s">
        <v>18</v>
      </c>
      <c r="B85" s="93" t="s">
        <v>15</v>
      </c>
      <c r="C85" s="97" t="s">
        <v>0</v>
      </c>
      <c r="D85" s="97" t="s">
        <v>0</v>
      </c>
      <c r="E85" s="97"/>
      <c r="F85" s="97"/>
      <c r="G85" s="98"/>
      <c r="H85" s="97" t="s">
        <v>1</v>
      </c>
      <c r="I85" s="97"/>
      <c r="J85" s="97"/>
      <c r="K85" s="97"/>
      <c r="L85" s="97" t="s">
        <v>1</v>
      </c>
      <c r="M85" s="97"/>
      <c r="N85" s="97"/>
      <c r="O85" s="97"/>
      <c r="P85" s="97"/>
      <c r="Q85" s="97"/>
      <c r="R85" s="97" t="s">
        <v>1</v>
      </c>
      <c r="S85" s="97"/>
      <c r="T85" s="93"/>
      <c r="U85" s="97"/>
      <c r="V85" s="97"/>
      <c r="W85" s="97"/>
      <c r="X85" s="97" t="s">
        <v>10</v>
      </c>
      <c r="Y85" s="97" t="s">
        <v>10</v>
      </c>
      <c r="Z85" s="97"/>
      <c r="AA85" s="97"/>
      <c r="AB85" s="97"/>
      <c r="AC85" s="97"/>
      <c r="AD85" s="98"/>
      <c r="AE85" s="154" t="s">
        <v>24</v>
      </c>
    </row>
    <row r="86" spans="1:31" ht="12.75" customHeight="1">
      <c r="B86" s="94" t="str">
        <f t="shared" ref="B86:F87" si="85">B7</f>
        <v>Fiscal Period</v>
      </c>
      <c r="C86" s="99">
        <f t="shared" si="85"/>
        <v>2021</v>
      </c>
      <c r="D86" s="99">
        <f t="shared" si="85"/>
        <v>2022</v>
      </c>
      <c r="E86" s="99">
        <f t="shared" si="85"/>
        <v>2023</v>
      </c>
      <c r="F86" s="99">
        <f t="shared" si="85"/>
        <v>2024</v>
      </c>
      <c r="G86" s="98"/>
      <c r="H86" s="99" t="str">
        <f t="shared" ref="H86:S86" si="86">H7</f>
        <v>1Q22</v>
      </c>
      <c r="I86" s="99" t="str">
        <f t="shared" si="86"/>
        <v>2Q22</v>
      </c>
      <c r="J86" s="99" t="str">
        <f t="shared" si="86"/>
        <v>3Q22</v>
      </c>
      <c r="K86" s="99" t="str">
        <f t="shared" si="86"/>
        <v>4Q22</v>
      </c>
      <c r="L86" s="99" t="str">
        <f t="shared" si="86"/>
        <v>1Q23</v>
      </c>
      <c r="M86" s="99" t="str">
        <f t="shared" si="86"/>
        <v>2Q23</v>
      </c>
      <c r="N86" s="99" t="str">
        <f t="shared" si="86"/>
        <v>3Q23</v>
      </c>
      <c r="O86" s="99" t="str">
        <f t="shared" si="86"/>
        <v>4Q23</v>
      </c>
      <c r="P86" s="99" t="str">
        <f t="shared" si="86"/>
        <v>1Q24</v>
      </c>
      <c r="Q86" s="99" t="str">
        <f t="shared" si="86"/>
        <v>2Q24</v>
      </c>
      <c r="R86" s="99" t="str">
        <f t="shared" si="86"/>
        <v>3Q24</v>
      </c>
      <c r="S86" s="99" t="str">
        <f t="shared" si="86"/>
        <v>4Q24</v>
      </c>
      <c r="T86" s="99"/>
      <c r="U86" s="99" t="str">
        <f t="shared" ref="U86:AC86" si="87">U7</f>
        <v>4Q22</v>
      </c>
      <c r="V86" s="99" t="str">
        <f t="shared" si="87"/>
        <v>1Q23</v>
      </c>
      <c r="W86" s="99" t="str">
        <f t="shared" si="87"/>
        <v>2Q23</v>
      </c>
      <c r="X86" s="99" t="str">
        <f t="shared" si="87"/>
        <v>3Q23</v>
      </c>
      <c r="Y86" s="99" t="str">
        <f t="shared" si="87"/>
        <v>4Q23</v>
      </c>
      <c r="Z86" s="99" t="str">
        <f t="shared" si="87"/>
        <v>1Q24</v>
      </c>
      <c r="AA86" s="99" t="str">
        <f t="shared" si="87"/>
        <v>2Q24</v>
      </c>
      <c r="AB86" s="99" t="str">
        <f t="shared" si="87"/>
        <v>3Q24</v>
      </c>
      <c r="AC86" s="99" t="str">
        <f t="shared" si="87"/>
        <v>4Q24</v>
      </c>
      <c r="AD86" s="98"/>
      <c r="AE86" s="154"/>
    </row>
    <row r="87" spans="1:31" ht="12.75" customHeight="1">
      <c r="B87" s="94" t="str">
        <f t="shared" si="85"/>
        <v>Fiscal Period End Date</v>
      </c>
      <c r="C87" s="100">
        <f t="shared" si="85"/>
        <v>44561</v>
      </c>
      <c r="D87" s="100">
        <f t="shared" si="85"/>
        <v>44926</v>
      </c>
      <c r="E87" s="100">
        <f t="shared" si="85"/>
        <v>45291</v>
      </c>
      <c r="F87" s="100">
        <f t="shared" si="85"/>
        <v>45657</v>
      </c>
      <c r="G87" s="98"/>
      <c r="H87" s="100">
        <f t="shared" ref="H87:S87" si="88">H8</f>
        <v>44651</v>
      </c>
      <c r="I87" s="100">
        <f t="shared" si="88"/>
        <v>44742</v>
      </c>
      <c r="J87" s="100">
        <f t="shared" si="88"/>
        <v>44834</v>
      </c>
      <c r="K87" s="100">
        <f t="shared" si="88"/>
        <v>44926</v>
      </c>
      <c r="L87" s="100">
        <f t="shared" si="88"/>
        <v>45016</v>
      </c>
      <c r="M87" s="100">
        <f t="shared" si="88"/>
        <v>45107</v>
      </c>
      <c r="N87" s="100">
        <f t="shared" si="88"/>
        <v>45199</v>
      </c>
      <c r="O87" s="100">
        <f t="shared" si="88"/>
        <v>45291</v>
      </c>
      <c r="P87" s="100">
        <f t="shared" si="88"/>
        <v>45382</v>
      </c>
      <c r="Q87" s="100">
        <f t="shared" si="88"/>
        <v>45473</v>
      </c>
      <c r="R87" s="100">
        <f t="shared" si="88"/>
        <v>45565</v>
      </c>
      <c r="S87" s="100">
        <f t="shared" si="88"/>
        <v>45657</v>
      </c>
      <c r="T87" s="100"/>
      <c r="U87" s="100">
        <f t="shared" ref="U87:AC87" si="89">U8</f>
        <v>44926</v>
      </c>
      <c r="V87" s="100">
        <f t="shared" si="89"/>
        <v>45016</v>
      </c>
      <c r="W87" s="100">
        <f t="shared" si="89"/>
        <v>45107</v>
      </c>
      <c r="X87" s="100">
        <f t="shared" si="89"/>
        <v>45199</v>
      </c>
      <c r="Y87" s="100">
        <f t="shared" si="89"/>
        <v>45291</v>
      </c>
      <c r="Z87" s="100">
        <f t="shared" si="89"/>
        <v>45382</v>
      </c>
      <c r="AA87" s="100">
        <f t="shared" si="89"/>
        <v>45473</v>
      </c>
      <c r="AB87" s="100">
        <f t="shared" si="89"/>
        <v>45565</v>
      </c>
      <c r="AC87" s="100">
        <f t="shared" si="89"/>
        <v>45657</v>
      </c>
      <c r="AD87" s="98"/>
      <c r="AE87" s="154"/>
    </row>
    <row r="88" spans="1:31" ht="5.0999999999999996" customHeight="1">
      <c r="B88" s="55"/>
      <c r="C88" s="48"/>
      <c r="D88" s="48"/>
      <c r="E88" s="48"/>
      <c r="F88" s="48"/>
    </row>
    <row r="89" spans="1:31" ht="12.75" customHeight="1">
      <c r="B89" s="56" t="s">
        <v>50</v>
      </c>
      <c r="C89" s="57"/>
      <c r="D89" s="57"/>
      <c r="E89" s="57"/>
      <c r="F89" s="57"/>
    </row>
    <row r="90" spans="1:31" ht="12.75" customHeight="1">
      <c r="B90" s="58" t="s">
        <v>51</v>
      </c>
      <c r="C90" s="32">
        <f>C31</f>
        <v>-71648</v>
      </c>
      <c r="D90" s="32">
        <f>D31</f>
        <v>-65904</v>
      </c>
      <c r="E90" s="32">
        <f>E31</f>
        <v>-28239</v>
      </c>
      <c r="F90" s="32">
        <f>F31</f>
        <v>197673</v>
      </c>
      <c r="G90" s="32"/>
      <c r="H90" s="32">
        <f t="shared" ref="H90:S90" si="90">H31</f>
        <v>-25007.856999999996</v>
      </c>
      <c r="I90" s="32">
        <f t="shared" si="90"/>
        <v>-13764.906000000003</v>
      </c>
      <c r="J90" s="32">
        <f t="shared" si="90"/>
        <v>-14899.503999999997</v>
      </c>
      <c r="K90" s="150">
        <f t="shared" si="90"/>
        <v>-12231.732999999993</v>
      </c>
      <c r="L90" s="32">
        <f t="shared" si="90"/>
        <v>-6788.8150000000041</v>
      </c>
      <c r="M90" s="32">
        <f t="shared" si="90"/>
        <v>-6370.7070000000049</v>
      </c>
      <c r="N90" s="32">
        <f t="shared" si="90"/>
        <v>2565.0549999999994</v>
      </c>
      <c r="O90" s="32">
        <f t="shared" si="90"/>
        <v>-17644.533000000003</v>
      </c>
      <c r="P90" s="150">
        <f t="shared" si="90"/>
        <v>17806</v>
      </c>
      <c r="Q90" s="32">
        <f t="shared" si="90"/>
        <v>32062</v>
      </c>
      <c r="R90" s="32">
        <f t="shared" si="90"/>
        <v>35909</v>
      </c>
      <c r="S90" s="32">
        <f t="shared" si="90"/>
        <v>111896</v>
      </c>
      <c r="U90" s="32">
        <f t="shared" ref="U90:AC90" si="91">SUM(H90:K90)</f>
        <v>-65903.999999999985</v>
      </c>
      <c r="V90" s="32">
        <f t="shared" si="91"/>
        <v>-47684.957999999999</v>
      </c>
      <c r="W90" s="32">
        <f t="shared" si="91"/>
        <v>-40290.758999999998</v>
      </c>
      <c r="X90" s="32">
        <f t="shared" si="91"/>
        <v>-22826.2</v>
      </c>
      <c r="Y90" s="32">
        <f t="shared" si="91"/>
        <v>-28239.000000000011</v>
      </c>
      <c r="Z90" s="32">
        <f t="shared" si="91"/>
        <v>-3644.1850000000086</v>
      </c>
      <c r="AA90" s="32">
        <f t="shared" si="91"/>
        <v>34788.521999999997</v>
      </c>
      <c r="AB90" s="32">
        <f t="shared" si="91"/>
        <v>68132.467000000004</v>
      </c>
      <c r="AC90" s="32">
        <f t="shared" si="91"/>
        <v>197673</v>
      </c>
      <c r="AD90" s="11"/>
      <c r="AE90" s="73">
        <f>SUM(AC90/Y90)-1</f>
        <v>-7.9999999999999973</v>
      </c>
    </row>
    <row r="91" spans="1:31" ht="5.0999999999999996" customHeight="1"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U91" s="32"/>
      <c r="V91" s="32"/>
      <c r="W91" s="32"/>
      <c r="X91" s="32"/>
      <c r="Y91" s="32"/>
      <c r="Z91" s="32"/>
      <c r="AA91" s="32"/>
      <c r="AB91" s="32"/>
      <c r="AC91" s="32"/>
      <c r="AD91" s="11"/>
      <c r="AE91" s="73"/>
    </row>
    <row r="92" spans="1:31" ht="12.75" customHeight="1">
      <c r="B92" s="36" t="s">
        <v>58</v>
      </c>
      <c r="C92" s="32"/>
      <c r="D92" s="32"/>
      <c r="E92" s="32"/>
      <c r="F92" s="32"/>
      <c r="G92" s="32"/>
      <c r="H92" s="77"/>
      <c r="I92" s="77"/>
      <c r="J92" s="77"/>
      <c r="K92" s="77"/>
      <c r="L92" s="77"/>
      <c r="M92" s="77"/>
      <c r="N92" s="77"/>
      <c r="O92" s="32"/>
      <c r="P92" s="77"/>
      <c r="Q92" s="77"/>
      <c r="R92" s="77"/>
      <c r="S92" s="32"/>
      <c r="U92" s="32"/>
      <c r="V92" s="32"/>
      <c r="W92" s="32"/>
      <c r="X92" s="32"/>
      <c r="Y92" s="32"/>
      <c r="Z92" s="32"/>
      <c r="AA92" s="32"/>
      <c r="AB92" s="32"/>
      <c r="AC92" s="32"/>
      <c r="AD92" s="60"/>
      <c r="AE92" s="73"/>
    </row>
    <row r="93" spans="1:31" ht="12.75" customHeight="1">
      <c r="B93" s="61" t="s">
        <v>136</v>
      </c>
      <c r="C93" s="77">
        <v>5496</v>
      </c>
      <c r="D93" s="77">
        <v>7113</v>
      </c>
      <c r="E93" s="77">
        <v>8332</v>
      </c>
      <c r="F93" s="77">
        <v>8045</v>
      </c>
      <c r="G93" s="32"/>
      <c r="H93" s="77">
        <v>1590.2170000000001</v>
      </c>
      <c r="I93" s="77">
        <f>3314.5-H93</f>
        <v>1724.2829999999999</v>
      </c>
      <c r="J93" s="77">
        <f>5176.492-I93-H93</f>
        <v>1861.9920000000002</v>
      </c>
      <c r="K93" s="32">
        <f t="shared" ref="K93:K99" si="92">SUM(D93-SUM(H93:J93))</f>
        <v>1936.5079999999998</v>
      </c>
      <c r="L93" s="77">
        <v>2033</v>
      </c>
      <c r="M93" s="77">
        <f>4131-L93</f>
        <v>2098</v>
      </c>
      <c r="N93" s="77">
        <f>6223-M93-L93</f>
        <v>2092</v>
      </c>
      <c r="O93" s="32">
        <f t="shared" ref="O93:O99" si="93">SUM(E93-SUM(L93:N93))</f>
        <v>2109</v>
      </c>
      <c r="P93" s="77">
        <v>2114</v>
      </c>
      <c r="Q93" s="77">
        <f>4161-P93</f>
        <v>2047</v>
      </c>
      <c r="R93" s="77">
        <f>6101-Q93-P93</f>
        <v>1940</v>
      </c>
      <c r="S93" s="32">
        <f t="shared" ref="S93:S99" si="94">SUM(F93-SUM(P93:R93))</f>
        <v>1944</v>
      </c>
      <c r="U93" s="32">
        <f t="shared" ref="U93:U99" si="95">SUM(H93:K93)</f>
        <v>7113</v>
      </c>
      <c r="V93" s="32">
        <f t="shared" ref="V93:V99" si="96">SUM(I93:L93)</f>
        <v>7555.7829999999994</v>
      </c>
      <c r="W93" s="32">
        <f t="shared" ref="W93:W99" si="97">SUM(J93:M93)</f>
        <v>7929.5</v>
      </c>
      <c r="X93" s="32">
        <f t="shared" ref="X93:X99" si="98">SUM(K93:N93)</f>
        <v>8159.5079999999998</v>
      </c>
      <c r="Y93" s="32">
        <f t="shared" ref="Y93:Y99" si="99">SUM(L93:O93)</f>
        <v>8332</v>
      </c>
      <c r="Z93" s="32">
        <f t="shared" ref="Z93:Z99" si="100">SUM(M93:P93)</f>
        <v>8413</v>
      </c>
      <c r="AA93" s="32">
        <f t="shared" ref="AA93:AA99" si="101">SUM(N93:Q93)</f>
        <v>8362</v>
      </c>
      <c r="AB93" s="32">
        <f t="shared" ref="AB93:AB99" si="102">SUM(O93:R93)</f>
        <v>8210</v>
      </c>
      <c r="AC93" s="32">
        <f t="shared" ref="AC93:AC100" si="103">SUM(P93:S93)</f>
        <v>8045</v>
      </c>
      <c r="AD93" s="11"/>
      <c r="AE93" s="73">
        <f t="shared" ref="AE93:AE109" si="104">SUM(AC93/Y93)-1</f>
        <v>-3.4445511281805063E-2</v>
      </c>
    </row>
    <row r="94" spans="1:31" ht="12.75" customHeight="1">
      <c r="B94" s="61" t="s">
        <v>137</v>
      </c>
      <c r="C94" s="77">
        <v>221</v>
      </c>
      <c r="D94" s="77">
        <v>427</v>
      </c>
      <c r="E94" s="77">
        <v>182</v>
      </c>
      <c r="F94" s="77">
        <v>106</v>
      </c>
      <c r="G94" s="32"/>
      <c r="H94" s="77">
        <v>2</v>
      </c>
      <c r="I94" s="77">
        <f>2.638-H94</f>
        <v>0.6379999999999999</v>
      </c>
      <c r="J94" s="77">
        <f>8.408-I94-H94</f>
        <v>5.77</v>
      </c>
      <c r="K94" s="32">
        <f t="shared" si="92"/>
        <v>418.59199999999998</v>
      </c>
      <c r="L94" s="77">
        <v>18</v>
      </c>
      <c r="M94" s="77">
        <f>18-L94</f>
        <v>0</v>
      </c>
      <c r="N94" s="77">
        <f>111-M94-L94</f>
        <v>93</v>
      </c>
      <c r="O94" s="32">
        <f t="shared" si="93"/>
        <v>71</v>
      </c>
      <c r="P94" s="77">
        <v>23</v>
      </c>
      <c r="Q94" s="77">
        <f>24-P94</f>
        <v>1</v>
      </c>
      <c r="R94" s="77">
        <f>32-Q94-P94</f>
        <v>8</v>
      </c>
      <c r="S94" s="32">
        <f t="shared" si="94"/>
        <v>74</v>
      </c>
      <c r="U94" s="32">
        <f t="shared" si="95"/>
        <v>427</v>
      </c>
      <c r="V94" s="32">
        <f t="shared" si="96"/>
        <v>443</v>
      </c>
      <c r="W94" s="32">
        <f t="shared" si="97"/>
        <v>442.36199999999997</v>
      </c>
      <c r="X94" s="32">
        <f t="shared" si="98"/>
        <v>529.59199999999998</v>
      </c>
      <c r="Y94" s="32">
        <f t="shared" si="99"/>
        <v>182</v>
      </c>
      <c r="Z94" s="32">
        <f t="shared" si="100"/>
        <v>187</v>
      </c>
      <c r="AA94" s="32">
        <f t="shared" si="101"/>
        <v>188</v>
      </c>
      <c r="AB94" s="32">
        <f t="shared" si="102"/>
        <v>103</v>
      </c>
      <c r="AC94" s="32">
        <f t="shared" si="103"/>
        <v>106</v>
      </c>
      <c r="AD94" s="11"/>
      <c r="AE94" s="73"/>
    </row>
    <row r="95" spans="1:31" ht="12.75" customHeight="1">
      <c r="B95" s="61" t="s">
        <v>138</v>
      </c>
      <c r="C95" s="77">
        <v>0</v>
      </c>
      <c r="D95" s="77">
        <v>2998</v>
      </c>
      <c r="E95" s="77">
        <v>3836</v>
      </c>
      <c r="F95" s="77">
        <v>0</v>
      </c>
      <c r="G95" s="32"/>
      <c r="H95" s="77">
        <v>0</v>
      </c>
      <c r="I95" s="77">
        <f>1045.66-H95</f>
        <v>1045.6600000000001</v>
      </c>
      <c r="J95" s="77">
        <f>2023.932-I95-H95</f>
        <v>978.27199999999993</v>
      </c>
      <c r="K95" s="32">
        <f t="shared" si="92"/>
        <v>974.06799999999998</v>
      </c>
      <c r="L95" s="77">
        <v>980</v>
      </c>
      <c r="M95" s="77">
        <f>1966-L95</f>
        <v>986</v>
      </c>
      <c r="N95" s="77">
        <f>2959-M95-L95</f>
        <v>993</v>
      </c>
      <c r="O95" s="32">
        <f t="shared" si="93"/>
        <v>877</v>
      </c>
      <c r="P95" s="77" t="s">
        <v>111</v>
      </c>
      <c r="Q95" s="77" t="s">
        <v>111</v>
      </c>
      <c r="R95" s="77">
        <v>0</v>
      </c>
      <c r="S95" s="32">
        <f t="shared" si="94"/>
        <v>0</v>
      </c>
      <c r="U95" s="32">
        <f t="shared" si="95"/>
        <v>2998</v>
      </c>
      <c r="V95" s="32">
        <f t="shared" si="96"/>
        <v>3978</v>
      </c>
      <c r="W95" s="32">
        <f t="shared" si="97"/>
        <v>3918.34</v>
      </c>
      <c r="X95" s="32">
        <f t="shared" si="98"/>
        <v>3933.0680000000002</v>
      </c>
      <c r="Y95" s="32">
        <f t="shared" si="99"/>
        <v>3836</v>
      </c>
      <c r="Z95" s="32">
        <f t="shared" si="100"/>
        <v>2856</v>
      </c>
      <c r="AA95" s="32">
        <f t="shared" si="101"/>
        <v>1870</v>
      </c>
      <c r="AB95" s="32">
        <f t="shared" si="102"/>
        <v>877</v>
      </c>
      <c r="AC95" s="32">
        <f t="shared" si="103"/>
        <v>0</v>
      </c>
      <c r="AD95" s="11"/>
      <c r="AE95" s="73"/>
    </row>
    <row r="96" spans="1:31" ht="12.75" customHeight="1">
      <c r="B96" s="61" t="s">
        <v>139</v>
      </c>
      <c r="C96" s="77">
        <v>3488</v>
      </c>
      <c r="D96" s="77">
        <v>5215</v>
      </c>
      <c r="E96" s="77">
        <v>6187</v>
      </c>
      <c r="F96" s="77">
        <v>13616</v>
      </c>
      <c r="G96" s="32"/>
      <c r="H96" s="77">
        <v>1641.3879999999999</v>
      </c>
      <c r="I96" s="77">
        <f>2832.435-H96</f>
        <v>1191.047</v>
      </c>
      <c r="J96" s="77">
        <f>4145.929-I96-H96</f>
        <v>1313.4940000000001</v>
      </c>
      <c r="K96" s="32">
        <f t="shared" si="92"/>
        <v>1069.0709999999999</v>
      </c>
      <c r="L96" s="77">
        <v>1110</v>
      </c>
      <c r="M96" s="77">
        <f>2747-L96</f>
        <v>1637</v>
      </c>
      <c r="N96" s="77">
        <f>4442-M96-L96</f>
        <v>1695</v>
      </c>
      <c r="O96" s="32">
        <f t="shared" si="93"/>
        <v>1745</v>
      </c>
      <c r="P96" s="77">
        <v>2141</v>
      </c>
      <c r="Q96" s="77">
        <f>5004-P96</f>
        <v>2863</v>
      </c>
      <c r="R96" s="77">
        <f>8183-Q96-P96</f>
        <v>3179</v>
      </c>
      <c r="S96" s="32">
        <f t="shared" si="94"/>
        <v>5433</v>
      </c>
      <c r="U96" s="32">
        <f t="shared" si="95"/>
        <v>5215</v>
      </c>
      <c r="V96" s="32">
        <f t="shared" si="96"/>
        <v>4683.6120000000001</v>
      </c>
      <c r="W96" s="32">
        <f t="shared" si="97"/>
        <v>5129.5650000000005</v>
      </c>
      <c r="X96" s="32">
        <f t="shared" si="98"/>
        <v>5511.0709999999999</v>
      </c>
      <c r="Y96" s="32">
        <f t="shared" si="99"/>
        <v>6187</v>
      </c>
      <c r="Z96" s="32">
        <f t="shared" si="100"/>
        <v>7218</v>
      </c>
      <c r="AA96" s="32">
        <f t="shared" si="101"/>
        <v>8444</v>
      </c>
      <c r="AB96" s="32">
        <f t="shared" si="102"/>
        <v>9928</v>
      </c>
      <c r="AC96" s="32">
        <f t="shared" si="103"/>
        <v>13616</v>
      </c>
      <c r="AD96" s="11"/>
      <c r="AE96" s="73"/>
    </row>
    <row r="97" spans="2:31" ht="12.75" customHeight="1">
      <c r="B97" s="61" t="s">
        <v>140</v>
      </c>
      <c r="C97" s="77">
        <v>1897</v>
      </c>
      <c r="D97" s="77">
        <v>2402</v>
      </c>
      <c r="E97" s="77">
        <v>2594</v>
      </c>
      <c r="F97" s="77">
        <v>951</v>
      </c>
      <c r="G97" s="32"/>
      <c r="H97" s="77">
        <v>584.84199999999998</v>
      </c>
      <c r="I97" s="77">
        <f>927.061-H97</f>
        <v>342.21900000000005</v>
      </c>
      <c r="J97" s="77">
        <f>1908.127-I97-H97</f>
        <v>981.06599999999992</v>
      </c>
      <c r="K97" s="32">
        <f t="shared" si="92"/>
        <v>493.87300000000005</v>
      </c>
      <c r="L97" s="77">
        <v>488</v>
      </c>
      <c r="M97" s="77">
        <f>1175-L97</f>
        <v>687</v>
      </c>
      <c r="N97" s="77">
        <f>1896-M97-L97</f>
        <v>721</v>
      </c>
      <c r="O97" s="32">
        <f t="shared" si="93"/>
        <v>698</v>
      </c>
      <c r="P97" s="77">
        <v>253</v>
      </c>
      <c r="Q97" s="77">
        <f>480-P97</f>
        <v>227</v>
      </c>
      <c r="R97" s="77">
        <f>732-Q97-P97</f>
        <v>252</v>
      </c>
      <c r="S97" s="32">
        <f t="shared" si="94"/>
        <v>219</v>
      </c>
      <c r="U97" s="32">
        <f t="shared" si="95"/>
        <v>2402</v>
      </c>
      <c r="V97" s="32">
        <f t="shared" si="96"/>
        <v>2305.1579999999999</v>
      </c>
      <c r="W97" s="32">
        <f t="shared" si="97"/>
        <v>2649.9389999999999</v>
      </c>
      <c r="X97" s="32">
        <f t="shared" si="98"/>
        <v>2389.873</v>
      </c>
      <c r="Y97" s="32">
        <f t="shared" si="99"/>
        <v>2594</v>
      </c>
      <c r="Z97" s="32">
        <f t="shared" si="100"/>
        <v>2359</v>
      </c>
      <c r="AA97" s="32">
        <f t="shared" si="101"/>
        <v>1899</v>
      </c>
      <c r="AB97" s="32">
        <f t="shared" si="102"/>
        <v>1430</v>
      </c>
      <c r="AC97" s="32">
        <f t="shared" si="103"/>
        <v>951</v>
      </c>
      <c r="AD97" s="11"/>
      <c r="AE97" s="73">
        <f t="shared" si="104"/>
        <v>-0.63338473400154194</v>
      </c>
    </row>
    <row r="98" spans="2:31" ht="12.75" customHeight="1">
      <c r="B98" s="61" t="s">
        <v>117</v>
      </c>
      <c r="C98" s="77">
        <v>0</v>
      </c>
      <c r="D98" s="77">
        <v>6670</v>
      </c>
      <c r="E98" s="77">
        <v>26174</v>
      </c>
      <c r="F98" s="77">
        <v>1243</v>
      </c>
      <c r="G98" s="32"/>
      <c r="H98" s="77">
        <v>6669.9409999999998</v>
      </c>
      <c r="I98" s="77">
        <f>6669.941-H98</f>
        <v>0</v>
      </c>
      <c r="J98" s="77">
        <f>6669.941-I98-H98</f>
        <v>0</v>
      </c>
      <c r="K98" s="32">
        <f t="shared" si="92"/>
        <v>5.9000000000196451E-2</v>
      </c>
      <c r="L98" s="77">
        <v>0</v>
      </c>
      <c r="M98" s="77">
        <v>0</v>
      </c>
      <c r="N98" s="77">
        <v>0</v>
      </c>
      <c r="O98" s="32">
        <f t="shared" si="93"/>
        <v>26174</v>
      </c>
      <c r="P98" s="77">
        <v>0</v>
      </c>
      <c r="Q98" s="77">
        <v>0</v>
      </c>
      <c r="R98" s="77">
        <v>0</v>
      </c>
      <c r="S98" s="32">
        <f t="shared" si="94"/>
        <v>1243</v>
      </c>
      <c r="U98" s="32">
        <f t="shared" si="95"/>
        <v>6670</v>
      </c>
      <c r="V98" s="32">
        <f t="shared" si="96"/>
        <v>5.9000000000196451E-2</v>
      </c>
      <c r="W98" s="32">
        <f t="shared" si="97"/>
        <v>5.9000000000196451E-2</v>
      </c>
      <c r="X98" s="32">
        <f t="shared" si="98"/>
        <v>5.9000000000196451E-2</v>
      </c>
      <c r="Y98" s="32">
        <f t="shared" si="99"/>
        <v>26174</v>
      </c>
      <c r="Z98" s="32">
        <f t="shared" si="100"/>
        <v>26174</v>
      </c>
      <c r="AA98" s="32">
        <f t="shared" si="101"/>
        <v>26174</v>
      </c>
      <c r="AB98" s="32">
        <f t="shared" si="102"/>
        <v>26174</v>
      </c>
      <c r="AC98" s="32">
        <f t="shared" si="103"/>
        <v>1243</v>
      </c>
      <c r="AD98" s="11"/>
      <c r="AE98" s="73">
        <f t="shared" si="104"/>
        <v>-0.95251012455108119</v>
      </c>
    </row>
    <row r="99" spans="2:31" ht="12.75" customHeight="1">
      <c r="B99" s="61" t="s">
        <v>141</v>
      </c>
      <c r="C99" s="77">
        <v>-143</v>
      </c>
      <c r="D99" s="77">
        <v>-143</v>
      </c>
      <c r="E99" s="77">
        <v>-143</v>
      </c>
      <c r="F99" s="77">
        <v>-143</v>
      </c>
      <c r="G99" s="32"/>
      <c r="H99" s="77">
        <v>-35.707999999999998</v>
      </c>
      <c r="I99" s="77">
        <f>-71.417-H99</f>
        <v>-35.709000000000003</v>
      </c>
      <c r="J99" s="77">
        <f>-107.125-I99-H99</f>
        <v>-35.707999999999998</v>
      </c>
      <c r="K99" s="32">
        <f t="shared" si="92"/>
        <v>-35.875</v>
      </c>
      <c r="L99" s="77">
        <v>-36</v>
      </c>
      <c r="M99" s="77">
        <f>-71-L99</f>
        <v>-35</v>
      </c>
      <c r="N99" s="77">
        <f>-107-M99-L99</f>
        <v>-36</v>
      </c>
      <c r="O99" s="32">
        <f t="shared" si="93"/>
        <v>-36</v>
      </c>
      <c r="P99" s="77">
        <v>-36</v>
      </c>
      <c r="Q99" s="77">
        <f>-71-P99</f>
        <v>-35</v>
      </c>
      <c r="R99" s="77">
        <f>-107-Q99-P99</f>
        <v>-36</v>
      </c>
      <c r="S99" s="32">
        <f t="shared" si="94"/>
        <v>-36</v>
      </c>
      <c r="U99" s="32">
        <f t="shared" si="95"/>
        <v>-143</v>
      </c>
      <c r="V99" s="32">
        <f t="shared" si="96"/>
        <v>-143.292</v>
      </c>
      <c r="W99" s="32">
        <f t="shared" si="97"/>
        <v>-142.583</v>
      </c>
      <c r="X99" s="32">
        <f t="shared" si="98"/>
        <v>-142.875</v>
      </c>
      <c r="Y99" s="32">
        <f t="shared" si="99"/>
        <v>-143</v>
      </c>
      <c r="Z99" s="32">
        <f t="shared" si="100"/>
        <v>-143</v>
      </c>
      <c r="AA99" s="32">
        <f t="shared" si="101"/>
        <v>-143</v>
      </c>
      <c r="AB99" s="32">
        <f t="shared" si="102"/>
        <v>-143</v>
      </c>
      <c r="AC99" s="32">
        <f t="shared" si="103"/>
        <v>-143</v>
      </c>
      <c r="AD99" s="11"/>
      <c r="AE99" s="73">
        <f t="shared" si="104"/>
        <v>0</v>
      </c>
    </row>
    <row r="100" spans="2:31" ht="12.75" customHeight="1">
      <c r="B100" s="61" t="s">
        <v>148</v>
      </c>
      <c r="C100" s="77">
        <v>0</v>
      </c>
      <c r="D100" s="77">
        <v>0</v>
      </c>
      <c r="E100" s="77">
        <v>0</v>
      </c>
      <c r="F100" s="77">
        <v>-84280</v>
      </c>
      <c r="G100" s="32"/>
      <c r="H100" s="77">
        <v>0</v>
      </c>
      <c r="I100" s="77">
        <v>0</v>
      </c>
      <c r="J100" s="77">
        <v>0</v>
      </c>
      <c r="K100" s="32">
        <f>SUM(D100-SUM(H100:J100))</f>
        <v>0</v>
      </c>
      <c r="L100" s="77">
        <v>0</v>
      </c>
      <c r="M100" s="77">
        <v>0</v>
      </c>
      <c r="N100" s="77">
        <v>0</v>
      </c>
      <c r="O100" s="32">
        <f>SUM(E100-SUM(L100:N100))</f>
        <v>0</v>
      </c>
      <c r="P100" s="77">
        <v>0</v>
      </c>
      <c r="Q100" s="77">
        <v>0</v>
      </c>
      <c r="R100" s="77">
        <v>0</v>
      </c>
      <c r="S100" s="32">
        <f>SUM(F100-SUM(P100:R100))</f>
        <v>-84280</v>
      </c>
      <c r="U100" s="32">
        <f t="shared" ref="U100:AB100" si="105">SUM(H100:K100)</f>
        <v>0</v>
      </c>
      <c r="V100" s="32">
        <f t="shared" si="105"/>
        <v>0</v>
      </c>
      <c r="W100" s="32">
        <f t="shared" si="105"/>
        <v>0</v>
      </c>
      <c r="X100" s="32">
        <f t="shared" si="105"/>
        <v>0</v>
      </c>
      <c r="Y100" s="32">
        <f t="shared" si="105"/>
        <v>0</v>
      </c>
      <c r="Z100" s="32">
        <f t="shared" si="105"/>
        <v>0</v>
      </c>
      <c r="AA100" s="32">
        <f t="shared" si="105"/>
        <v>0</v>
      </c>
      <c r="AB100" s="32">
        <f t="shared" si="105"/>
        <v>0</v>
      </c>
      <c r="AC100" s="32">
        <f t="shared" si="103"/>
        <v>-84280</v>
      </c>
      <c r="AD100" s="11"/>
      <c r="AE100" s="73" t="e">
        <f>SUM(AC100/Y100)-1</f>
        <v>#DIV/0!</v>
      </c>
    </row>
    <row r="101" spans="2:31" ht="12.75" customHeight="1">
      <c r="B101" s="36" t="s">
        <v>14</v>
      </c>
      <c r="C101" s="77"/>
      <c r="D101" s="77"/>
      <c r="E101" s="77"/>
      <c r="F101" s="77"/>
      <c r="G101" s="32"/>
      <c r="H101" s="77"/>
      <c r="I101" s="77"/>
      <c r="J101" s="77"/>
      <c r="K101" s="77"/>
      <c r="L101" s="77"/>
      <c r="M101" s="77"/>
      <c r="N101" s="77"/>
      <c r="O101" s="32"/>
      <c r="P101" s="77"/>
      <c r="Q101" s="77"/>
      <c r="R101" s="77"/>
      <c r="S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60"/>
      <c r="AE101" s="73"/>
    </row>
    <row r="102" spans="2:31" ht="12.75" customHeight="1">
      <c r="B102" s="61" t="s">
        <v>142</v>
      </c>
      <c r="C102" s="77">
        <v>-15340</v>
      </c>
      <c r="D102" s="77">
        <v>13072</v>
      </c>
      <c r="E102" s="77">
        <v>-11916</v>
      </c>
      <c r="F102" s="77">
        <v>-22578</v>
      </c>
      <c r="G102" s="32"/>
      <c r="H102" s="77">
        <v>2947.2330000000002</v>
      </c>
      <c r="I102" s="77">
        <f>9693.011-H102</f>
        <v>6745.7780000000002</v>
      </c>
      <c r="J102" s="77">
        <f>7674.472-I102-H102</f>
        <v>-2018.5390000000007</v>
      </c>
      <c r="K102" s="32">
        <f t="shared" ref="K102:K108" si="106">SUM(D102-SUM(H102:J102))</f>
        <v>5397.5280000000002</v>
      </c>
      <c r="L102" s="77">
        <v>-11013</v>
      </c>
      <c r="M102" s="77">
        <f>-21227-L102</f>
        <v>-10214</v>
      </c>
      <c r="N102" s="77">
        <f>-15814-M102-L102</f>
        <v>5413</v>
      </c>
      <c r="O102" s="32">
        <f t="shared" ref="O102:O107" si="107">SUM(E102-SUM(L102:N102))</f>
        <v>3898</v>
      </c>
      <c r="P102" s="77">
        <v>-22200</v>
      </c>
      <c r="Q102" s="77">
        <f>-2692-P102</f>
        <v>19508</v>
      </c>
      <c r="R102" s="77">
        <f>-22719-Q102-P102</f>
        <v>-20027</v>
      </c>
      <c r="S102" s="32">
        <f t="shared" ref="S102:S108" si="108">SUM(F102-SUM(P102:R102))</f>
        <v>141</v>
      </c>
      <c r="U102" s="32">
        <f t="shared" ref="U102:U108" si="109">SUM(H102:K102)</f>
        <v>13072</v>
      </c>
      <c r="V102" s="32">
        <f t="shared" ref="V102:V108" si="110">SUM(I102:L102)</f>
        <v>-888.23300000000017</v>
      </c>
      <c r="W102" s="32">
        <f t="shared" ref="W102:W108" si="111">SUM(J102:M102)</f>
        <v>-17848.010999999999</v>
      </c>
      <c r="X102" s="32">
        <f t="shared" ref="X102:X108" si="112">SUM(K102:N102)</f>
        <v>-10416.472</v>
      </c>
      <c r="Y102" s="32">
        <f t="shared" ref="Y102:Y108" si="113">SUM(L102:O102)</f>
        <v>-11916</v>
      </c>
      <c r="Z102" s="32">
        <f t="shared" ref="Z102:Z108" si="114">SUM(M102:P102)</f>
        <v>-23103</v>
      </c>
      <c r="AA102" s="32">
        <f t="shared" ref="AA102:AA108" si="115">SUM(N102:Q102)</f>
        <v>6619</v>
      </c>
      <c r="AB102" s="32">
        <f t="shared" ref="AB102:AB108" si="116">SUM(O102:R102)</f>
        <v>-18821</v>
      </c>
      <c r="AC102" s="32">
        <f t="shared" ref="AC102:AC108" si="117">SUM(P102:S102)</f>
        <v>-22578</v>
      </c>
      <c r="AD102" s="60"/>
      <c r="AE102" s="73">
        <f t="shared" si="104"/>
        <v>0.89476334340382668</v>
      </c>
    </row>
    <row r="103" spans="2:31" ht="12.75" customHeight="1">
      <c r="B103" s="61" t="s">
        <v>119</v>
      </c>
      <c r="C103" s="77">
        <v>-43188</v>
      </c>
      <c r="D103" s="77">
        <v>-38556</v>
      </c>
      <c r="E103" s="77">
        <v>-9626</v>
      </c>
      <c r="F103" s="77">
        <v>2671</v>
      </c>
      <c r="G103" s="32"/>
      <c r="H103" s="77">
        <v>-14422.218999999999</v>
      </c>
      <c r="I103" s="77">
        <f>-21351.368-H103</f>
        <v>-6929.1489999999994</v>
      </c>
      <c r="J103" s="77">
        <f>-38189.543-I103-H103</f>
        <v>-16838.175000000003</v>
      </c>
      <c r="K103" s="32">
        <f t="shared" si="106"/>
        <v>-366.45699999999488</v>
      </c>
      <c r="L103" s="77">
        <v>-705</v>
      </c>
      <c r="M103" s="77">
        <f>1500-L103</f>
        <v>2205</v>
      </c>
      <c r="N103" s="77">
        <f>164-M103-L103</f>
        <v>-1336</v>
      </c>
      <c r="O103" s="32">
        <f t="shared" si="107"/>
        <v>-9790</v>
      </c>
      <c r="P103" s="77">
        <v>-4826</v>
      </c>
      <c r="Q103" s="77">
        <f>-6904-P103</f>
        <v>-2078</v>
      </c>
      <c r="R103" s="77">
        <f>1105-Q103-P103</f>
        <v>8009</v>
      </c>
      <c r="S103" s="32">
        <f t="shared" si="108"/>
        <v>1566</v>
      </c>
      <c r="U103" s="32">
        <f t="shared" si="109"/>
        <v>-38556</v>
      </c>
      <c r="V103" s="32">
        <f t="shared" si="110"/>
        <v>-24838.780999999995</v>
      </c>
      <c r="W103" s="32">
        <f t="shared" si="111"/>
        <v>-15704.631999999998</v>
      </c>
      <c r="X103" s="32">
        <f t="shared" si="112"/>
        <v>-202.45699999999488</v>
      </c>
      <c r="Y103" s="32">
        <f t="shared" si="113"/>
        <v>-9626</v>
      </c>
      <c r="Z103" s="32">
        <f t="shared" si="114"/>
        <v>-13747</v>
      </c>
      <c r="AA103" s="32">
        <f t="shared" si="115"/>
        <v>-18030</v>
      </c>
      <c r="AB103" s="32">
        <f t="shared" si="116"/>
        <v>-8685</v>
      </c>
      <c r="AC103" s="32">
        <f t="shared" si="117"/>
        <v>2671</v>
      </c>
      <c r="AD103" s="60"/>
      <c r="AE103" s="73">
        <f t="shared" si="104"/>
        <v>-1.2774776646582173</v>
      </c>
    </row>
    <row r="104" spans="2:31" ht="12.75" customHeight="1">
      <c r="B104" s="61" t="s">
        <v>102</v>
      </c>
      <c r="C104" s="77">
        <v>-1293</v>
      </c>
      <c r="D104" s="77">
        <v>-756</v>
      </c>
      <c r="E104" s="77">
        <v>-239</v>
      </c>
      <c r="F104" s="77">
        <v>-2695</v>
      </c>
      <c r="G104" s="32"/>
      <c r="H104" s="77">
        <v>-1180.056</v>
      </c>
      <c r="I104" s="77">
        <f>-1060.683-H104</f>
        <v>119.37300000000005</v>
      </c>
      <c r="J104" s="77">
        <f>-1033.238-I104-H104</f>
        <v>27.444999999999936</v>
      </c>
      <c r="K104" s="32">
        <f t="shared" si="106"/>
        <v>277.23800000000006</v>
      </c>
      <c r="L104" s="77">
        <v>716</v>
      </c>
      <c r="M104" s="77">
        <f>-124-L104</f>
        <v>-840</v>
      </c>
      <c r="N104" s="77">
        <f>-12-M104-L104</f>
        <v>112</v>
      </c>
      <c r="O104" s="32">
        <f t="shared" si="107"/>
        <v>-227</v>
      </c>
      <c r="P104" s="77">
        <v>1593</v>
      </c>
      <c r="Q104" s="77">
        <f>-190-P104</f>
        <v>-1783</v>
      </c>
      <c r="R104" s="77">
        <f>-4211-Q104-P104</f>
        <v>-4021</v>
      </c>
      <c r="S104" s="32">
        <f t="shared" si="108"/>
        <v>1516</v>
      </c>
      <c r="U104" s="32">
        <f t="shared" si="109"/>
        <v>-756</v>
      </c>
      <c r="V104" s="32">
        <f t="shared" si="110"/>
        <v>1140.056</v>
      </c>
      <c r="W104" s="32">
        <f t="shared" si="111"/>
        <v>180.68299999999999</v>
      </c>
      <c r="X104" s="32">
        <f t="shared" si="112"/>
        <v>265.23800000000006</v>
      </c>
      <c r="Y104" s="32">
        <f t="shared" si="113"/>
        <v>-239</v>
      </c>
      <c r="Z104" s="32">
        <f t="shared" si="114"/>
        <v>638</v>
      </c>
      <c r="AA104" s="32">
        <f t="shared" si="115"/>
        <v>-305</v>
      </c>
      <c r="AB104" s="32">
        <f t="shared" si="116"/>
        <v>-4438</v>
      </c>
      <c r="AC104" s="32">
        <f t="shared" si="117"/>
        <v>-2695</v>
      </c>
      <c r="AD104" s="60"/>
      <c r="AE104" s="73">
        <f t="shared" si="104"/>
        <v>10.276150627615063</v>
      </c>
    </row>
    <row r="105" spans="2:31" ht="12.75" customHeight="1">
      <c r="B105" s="61" t="s">
        <v>123</v>
      </c>
      <c r="C105" s="77">
        <v>-1775</v>
      </c>
      <c r="D105" s="77">
        <v>122</v>
      </c>
      <c r="E105" s="77">
        <v>1080</v>
      </c>
      <c r="F105" s="77">
        <v>15</v>
      </c>
      <c r="G105" s="32"/>
      <c r="H105" s="77">
        <v>1397.672</v>
      </c>
      <c r="I105" s="77">
        <f>684.777-H105</f>
        <v>-712.89499999999998</v>
      </c>
      <c r="J105" s="77">
        <f>195.756-I105-H105</f>
        <v>-489.02100000000007</v>
      </c>
      <c r="K105" s="32">
        <f t="shared" si="106"/>
        <v>-73.755999999999972</v>
      </c>
      <c r="L105" s="77">
        <v>289</v>
      </c>
      <c r="M105" s="77">
        <f>-1037-L105</f>
        <v>-1326</v>
      </c>
      <c r="N105" s="77">
        <f>-1221-M105-L105</f>
        <v>-184</v>
      </c>
      <c r="O105" s="32">
        <f t="shared" si="107"/>
        <v>2301</v>
      </c>
      <c r="P105" s="77">
        <v>-982</v>
      </c>
      <c r="Q105" s="77">
        <f>-68-P105</f>
        <v>914</v>
      </c>
      <c r="R105" s="77">
        <f>-411-Q105-P105</f>
        <v>-343</v>
      </c>
      <c r="S105" s="32">
        <f t="shared" si="108"/>
        <v>426</v>
      </c>
      <c r="U105" s="32">
        <f t="shared" si="109"/>
        <v>122</v>
      </c>
      <c r="V105" s="32">
        <f t="shared" si="110"/>
        <v>-986.67200000000003</v>
      </c>
      <c r="W105" s="32">
        <f t="shared" si="111"/>
        <v>-1599.777</v>
      </c>
      <c r="X105" s="32">
        <f t="shared" si="112"/>
        <v>-1294.7559999999999</v>
      </c>
      <c r="Y105" s="32">
        <f t="shared" si="113"/>
        <v>1080</v>
      </c>
      <c r="Z105" s="32">
        <f t="shared" si="114"/>
        <v>-191</v>
      </c>
      <c r="AA105" s="32">
        <f t="shared" si="115"/>
        <v>2049</v>
      </c>
      <c r="AB105" s="32">
        <f t="shared" si="116"/>
        <v>1890</v>
      </c>
      <c r="AC105" s="32">
        <f t="shared" si="117"/>
        <v>15</v>
      </c>
      <c r="AD105" s="60"/>
      <c r="AE105" s="73">
        <f t="shared" si="104"/>
        <v>-0.98611111111111116</v>
      </c>
    </row>
    <row r="106" spans="2:31" ht="12.75" customHeight="1">
      <c r="B106" s="61" t="s">
        <v>13</v>
      </c>
      <c r="C106" s="77">
        <v>1356</v>
      </c>
      <c r="D106" s="77">
        <v>800</v>
      </c>
      <c r="E106" s="77">
        <v>3839</v>
      </c>
      <c r="F106" s="77">
        <v>4150</v>
      </c>
      <c r="G106" s="32"/>
      <c r="H106" s="77">
        <v>1685.7239999999999</v>
      </c>
      <c r="I106" s="77">
        <f>-1041.361-H106</f>
        <v>-2727.085</v>
      </c>
      <c r="J106" s="77">
        <f>12768.396-I106-H106</f>
        <v>13809.757</v>
      </c>
      <c r="K106" s="32">
        <f t="shared" si="106"/>
        <v>-11968.395999999999</v>
      </c>
      <c r="L106" s="77">
        <v>-273</v>
      </c>
      <c r="M106" s="77">
        <f>-1145-L106</f>
        <v>-872</v>
      </c>
      <c r="N106" s="77">
        <f>-1155-M106-L106</f>
        <v>-10</v>
      </c>
      <c r="O106" s="32">
        <f t="shared" si="107"/>
        <v>4994</v>
      </c>
      <c r="P106" s="77">
        <v>447</v>
      </c>
      <c r="Q106" s="77">
        <f>-1410-P106</f>
        <v>-1857</v>
      </c>
      <c r="R106" s="77">
        <f>208-Q106-P106</f>
        <v>1618</v>
      </c>
      <c r="S106" s="32">
        <f t="shared" si="108"/>
        <v>3942</v>
      </c>
      <c r="U106" s="32">
        <f t="shared" si="109"/>
        <v>800</v>
      </c>
      <c r="V106" s="32">
        <f t="shared" si="110"/>
        <v>-1158.7240000000002</v>
      </c>
      <c r="W106" s="32">
        <f t="shared" si="111"/>
        <v>696.36100000000079</v>
      </c>
      <c r="X106" s="32">
        <f t="shared" si="112"/>
        <v>-13123.395999999999</v>
      </c>
      <c r="Y106" s="32">
        <f t="shared" si="113"/>
        <v>3839</v>
      </c>
      <c r="Z106" s="32">
        <f t="shared" si="114"/>
        <v>4559</v>
      </c>
      <c r="AA106" s="32">
        <f t="shared" si="115"/>
        <v>3574</v>
      </c>
      <c r="AB106" s="32">
        <f t="shared" si="116"/>
        <v>5202</v>
      </c>
      <c r="AC106" s="32">
        <f t="shared" si="117"/>
        <v>4150</v>
      </c>
      <c r="AD106" s="60"/>
      <c r="AE106" s="73">
        <f t="shared" si="104"/>
        <v>8.1010679864548019E-2</v>
      </c>
    </row>
    <row r="107" spans="2:31" ht="12.75" customHeight="1">
      <c r="B107" s="61" t="s">
        <v>103</v>
      </c>
      <c r="C107" s="77">
        <v>8341</v>
      </c>
      <c r="D107" s="77">
        <v>7534</v>
      </c>
      <c r="E107" s="77">
        <v>7530</v>
      </c>
      <c r="F107" s="77">
        <v>1042</v>
      </c>
      <c r="G107" s="32"/>
      <c r="H107" s="77">
        <v>-1775.5260000000001</v>
      </c>
      <c r="I107" s="77">
        <f>-1461.621-H107</f>
        <v>313.90499999999997</v>
      </c>
      <c r="J107" s="77">
        <f>667.193-I107-H107</f>
        <v>2128.8140000000003</v>
      </c>
      <c r="K107" s="32">
        <f t="shared" si="106"/>
        <v>6866.8069999999998</v>
      </c>
      <c r="L107" s="77">
        <v>-1354</v>
      </c>
      <c r="M107" s="77">
        <f>4737-L107</f>
        <v>6091</v>
      </c>
      <c r="N107" s="77">
        <f>4872-M107-L107</f>
        <v>135</v>
      </c>
      <c r="O107" s="32">
        <f t="shared" si="107"/>
        <v>2658</v>
      </c>
      <c r="P107" s="77">
        <v>772</v>
      </c>
      <c r="Q107" s="77">
        <f>-5193-P107</f>
        <v>-5965</v>
      </c>
      <c r="R107" s="77">
        <f>-5384-Q107-P107</f>
        <v>-191</v>
      </c>
      <c r="S107" s="32">
        <f t="shared" si="108"/>
        <v>6426</v>
      </c>
      <c r="U107" s="32">
        <f t="shared" si="109"/>
        <v>7534</v>
      </c>
      <c r="V107" s="32">
        <f t="shared" si="110"/>
        <v>7955.5259999999998</v>
      </c>
      <c r="W107" s="32">
        <f t="shared" si="111"/>
        <v>13732.620999999999</v>
      </c>
      <c r="X107" s="32">
        <f t="shared" si="112"/>
        <v>11738.807000000001</v>
      </c>
      <c r="Y107" s="32">
        <f t="shared" si="113"/>
        <v>7530</v>
      </c>
      <c r="Z107" s="32">
        <f t="shared" si="114"/>
        <v>9656</v>
      </c>
      <c r="AA107" s="32">
        <f t="shared" si="115"/>
        <v>-2400</v>
      </c>
      <c r="AB107" s="32">
        <f t="shared" si="116"/>
        <v>-2726</v>
      </c>
      <c r="AC107" s="32">
        <f t="shared" si="117"/>
        <v>1042</v>
      </c>
      <c r="AD107" s="60"/>
      <c r="AE107" s="73">
        <f t="shared" si="104"/>
        <v>-0.86162018592297474</v>
      </c>
    </row>
    <row r="108" spans="2:31" ht="12.75" customHeight="1">
      <c r="B108" s="61" t="s">
        <v>143</v>
      </c>
      <c r="C108" s="77">
        <v>219</v>
      </c>
      <c r="D108" s="77">
        <v>-502</v>
      </c>
      <c r="E108" s="77">
        <v>-791</v>
      </c>
      <c r="F108" s="77">
        <v>-1144</v>
      </c>
      <c r="G108" s="32"/>
      <c r="H108" s="77">
        <v>-111.06399999999999</v>
      </c>
      <c r="I108" s="77">
        <f>-254.991-H108</f>
        <v>-143.92700000000002</v>
      </c>
      <c r="J108" s="77">
        <f>-365.415-I108-H108</f>
        <v>-110.42400000000001</v>
      </c>
      <c r="K108" s="32">
        <f t="shared" si="106"/>
        <v>-136.58499999999998</v>
      </c>
      <c r="L108" s="77">
        <v>-187</v>
      </c>
      <c r="M108" s="77">
        <f>-292-L108</f>
        <v>-105</v>
      </c>
      <c r="N108" s="77">
        <f>-561-M108-L108</f>
        <v>-269</v>
      </c>
      <c r="O108" s="32">
        <f>SUM(E108-SUM(L108:N108))</f>
        <v>-230</v>
      </c>
      <c r="P108" s="77">
        <v>677</v>
      </c>
      <c r="Q108" s="77">
        <f>419-P108</f>
        <v>-258</v>
      </c>
      <c r="R108" s="77">
        <f>-850-Q108-P108</f>
        <v>-1269</v>
      </c>
      <c r="S108" s="32">
        <f t="shared" si="108"/>
        <v>-294</v>
      </c>
      <c r="U108" s="32">
        <f t="shared" si="109"/>
        <v>-502</v>
      </c>
      <c r="V108" s="32">
        <f t="shared" si="110"/>
        <v>-577.93600000000004</v>
      </c>
      <c r="W108" s="32">
        <f t="shared" si="111"/>
        <v>-539.00900000000001</v>
      </c>
      <c r="X108" s="32">
        <f t="shared" si="112"/>
        <v>-697.58500000000004</v>
      </c>
      <c r="Y108" s="32">
        <f t="shared" si="113"/>
        <v>-791</v>
      </c>
      <c r="Z108" s="32">
        <f t="shared" si="114"/>
        <v>73</v>
      </c>
      <c r="AA108" s="32">
        <f t="shared" si="115"/>
        <v>-80</v>
      </c>
      <c r="AB108" s="32">
        <f t="shared" si="116"/>
        <v>-1080</v>
      </c>
      <c r="AC108" s="32">
        <f t="shared" si="117"/>
        <v>-1144</v>
      </c>
      <c r="AD108" s="60"/>
      <c r="AE108" s="73">
        <f t="shared" si="104"/>
        <v>0.44627054361567642</v>
      </c>
    </row>
    <row r="109" spans="2:31" ht="12.75" customHeight="1">
      <c r="B109" s="13" t="s">
        <v>52</v>
      </c>
      <c r="C109" s="14">
        <f>SUM(C90:C108)</f>
        <v>-112369</v>
      </c>
      <c r="D109" s="14">
        <f>SUM(D90:D108)</f>
        <v>-59508</v>
      </c>
      <c r="E109" s="14">
        <f>SUM(E90:E108)</f>
        <v>8800</v>
      </c>
      <c r="F109" s="14">
        <f>SUM(F90:F108)</f>
        <v>118672</v>
      </c>
      <c r="H109" s="14">
        <f t="shared" ref="H109:S109" si="118">SUM(H90:H108)</f>
        <v>-26013.413</v>
      </c>
      <c r="I109" s="14">
        <f t="shared" si="118"/>
        <v>-12830.768000000002</v>
      </c>
      <c r="J109" s="14">
        <f t="shared" si="118"/>
        <v>-13284.761000000004</v>
      </c>
      <c r="K109" s="14">
        <f t="shared" si="118"/>
        <v>-7379.0579999999864</v>
      </c>
      <c r="L109" s="14">
        <f t="shared" si="118"/>
        <v>-14722.815000000004</v>
      </c>
      <c r="M109" s="14">
        <f t="shared" si="118"/>
        <v>-6058.7070000000058</v>
      </c>
      <c r="N109" s="14">
        <f t="shared" si="118"/>
        <v>11984.055</v>
      </c>
      <c r="O109" s="14">
        <f t="shared" si="118"/>
        <v>17597.466999999997</v>
      </c>
      <c r="P109" s="14">
        <f t="shared" si="118"/>
        <v>-2218</v>
      </c>
      <c r="Q109" s="14">
        <f t="shared" si="118"/>
        <v>45646</v>
      </c>
      <c r="R109" s="14">
        <f t="shared" si="118"/>
        <v>25028</v>
      </c>
      <c r="S109" s="14">
        <f t="shared" si="118"/>
        <v>50216</v>
      </c>
      <c r="U109" s="14">
        <f t="shared" ref="U109:AC109" si="119">SUM(U90:U108)</f>
        <v>-59507.999999999985</v>
      </c>
      <c r="V109" s="14">
        <f t="shared" si="119"/>
        <v>-48217.402000000009</v>
      </c>
      <c r="W109" s="14">
        <f t="shared" si="119"/>
        <v>-41445.340999999993</v>
      </c>
      <c r="X109" s="14">
        <f t="shared" si="119"/>
        <v>-16176.524999999991</v>
      </c>
      <c r="Y109" s="14">
        <f t="shared" si="119"/>
        <v>8799.9999999999891</v>
      </c>
      <c r="Z109" s="14">
        <f t="shared" si="119"/>
        <v>21304.814999999988</v>
      </c>
      <c r="AA109" s="14">
        <f t="shared" si="119"/>
        <v>73009.521999999997</v>
      </c>
      <c r="AB109" s="14">
        <f t="shared" si="119"/>
        <v>86053.467000000004</v>
      </c>
      <c r="AC109" s="14">
        <f t="shared" si="119"/>
        <v>118672</v>
      </c>
      <c r="AD109" s="42"/>
      <c r="AE109" s="74">
        <f t="shared" si="104"/>
        <v>12.485454545454562</v>
      </c>
    </row>
    <row r="110" spans="2:31" ht="12.75" customHeight="1">
      <c r="B110" s="54"/>
      <c r="C110" s="62"/>
      <c r="D110" s="62"/>
      <c r="E110" s="62"/>
      <c r="F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39"/>
    </row>
    <row r="111" spans="2:31" ht="12.75" customHeight="1">
      <c r="B111" s="54" t="s">
        <v>53</v>
      </c>
      <c r="C111" s="59"/>
      <c r="D111" s="59"/>
      <c r="E111" s="59"/>
      <c r="F111" s="59"/>
      <c r="H111" s="77"/>
      <c r="I111" s="77"/>
      <c r="J111" s="77"/>
      <c r="K111" s="77"/>
      <c r="L111" s="77"/>
      <c r="M111" s="77"/>
      <c r="N111" s="77"/>
      <c r="O111" s="32"/>
      <c r="P111" s="77"/>
      <c r="Q111" s="77"/>
      <c r="R111" s="77"/>
      <c r="S111" s="32"/>
      <c r="U111" s="59"/>
      <c r="V111" s="59"/>
      <c r="W111" s="59"/>
      <c r="X111" s="59"/>
      <c r="Y111" s="59"/>
      <c r="Z111" s="59"/>
      <c r="AA111" s="59"/>
      <c r="AB111" s="59"/>
      <c r="AC111" s="59"/>
      <c r="AD111" s="60"/>
      <c r="AE111" s="39"/>
    </row>
    <row r="112" spans="2:31" ht="12.75" customHeight="1">
      <c r="B112" s="61" t="s">
        <v>146</v>
      </c>
      <c r="C112" s="77">
        <v>-13511</v>
      </c>
      <c r="D112" s="77">
        <v>-13911</v>
      </c>
      <c r="E112" s="77">
        <v>-4771</v>
      </c>
      <c r="F112" s="77">
        <v>-8226</v>
      </c>
      <c r="G112" s="32"/>
      <c r="H112" s="77">
        <v>-2842.085</v>
      </c>
      <c r="I112" s="77">
        <f>-6782.169-H112</f>
        <v>-3940.0839999999998</v>
      </c>
      <c r="J112" s="77">
        <f>-10162.65-I112-H112</f>
        <v>-3380.4809999999998</v>
      </c>
      <c r="K112" s="32">
        <f>SUM(D112-SUM(H112:J112))</f>
        <v>-3748.3500000000004</v>
      </c>
      <c r="L112" s="77">
        <v>-1945</v>
      </c>
      <c r="M112" s="77">
        <f>-2817-L112</f>
        <v>-872</v>
      </c>
      <c r="N112" s="77">
        <f>-3574-M112-L112</f>
        <v>-757</v>
      </c>
      <c r="O112" s="32">
        <f>SUM(E112-SUM(L112:N112))</f>
        <v>-1197</v>
      </c>
      <c r="P112" s="77">
        <v>-2347</v>
      </c>
      <c r="Q112" s="77">
        <f>-4413-P112</f>
        <v>-2066</v>
      </c>
      <c r="R112" s="77">
        <f>-5469-Q112-P112</f>
        <v>-1056</v>
      </c>
      <c r="S112" s="32">
        <f>SUM(F112-SUM(P112:R112))</f>
        <v>-2757</v>
      </c>
      <c r="T112" s="32"/>
      <c r="U112" s="32">
        <f t="shared" ref="U112:AB113" si="120">SUM(H112:K112)</f>
        <v>-13911</v>
      </c>
      <c r="V112" s="32">
        <f t="shared" si="120"/>
        <v>-13013.915000000001</v>
      </c>
      <c r="W112" s="32">
        <f t="shared" si="120"/>
        <v>-9945.8310000000001</v>
      </c>
      <c r="X112" s="32">
        <f t="shared" si="120"/>
        <v>-7322.35</v>
      </c>
      <c r="Y112" s="32">
        <f t="shared" si="120"/>
        <v>-4771</v>
      </c>
      <c r="Z112" s="32">
        <f t="shared" si="120"/>
        <v>-5173</v>
      </c>
      <c r="AA112" s="32">
        <f t="shared" si="120"/>
        <v>-6367</v>
      </c>
      <c r="AB112" s="32">
        <f t="shared" si="120"/>
        <v>-6666</v>
      </c>
      <c r="AC112" s="32">
        <f t="shared" ref="AC112" si="121">SUM(P112:S112)</f>
        <v>-8226</v>
      </c>
      <c r="AD112" s="60"/>
      <c r="AE112" s="73">
        <f>SUM(AC112/Y112)-1</f>
        <v>0.72416684133305376</v>
      </c>
    </row>
    <row r="113" spans="2:31" ht="12.75" customHeight="1">
      <c r="B113" s="61" t="s">
        <v>147</v>
      </c>
      <c r="C113" s="77">
        <v>0</v>
      </c>
      <c r="D113" s="77">
        <v>0</v>
      </c>
      <c r="E113" s="77">
        <v>-210</v>
      </c>
      <c r="F113" s="77">
        <v>-349</v>
      </c>
      <c r="G113" s="32"/>
      <c r="H113" s="77">
        <v>0</v>
      </c>
      <c r="I113" s="77">
        <v>0</v>
      </c>
      <c r="J113" s="77">
        <v>0</v>
      </c>
      <c r="K113" s="32">
        <f>SUM(D113-SUM(H113:J113))</f>
        <v>0</v>
      </c>
      <c r="L113" s="77">
        <v>0</v>
      </c>
      <c r="M113" s="77">
        <v>0</v>
      </c>
      <c r="N113" s="77">
        <v>0</v>
      </c>
      <c r="O113" s="32">
        <f>SUM(E113-SUM(L113:N113))</f>
        <v>-210</v>
      </c>
      <c r="P113" s="77">
        <v>-15</v>
      </c>
      <c r="Q113" s="77">
        <f>-314-P113</f>
        <v>-299</v>
      </c>
      <c r="R113" s="77">
        <f>-356-Q113-P113</f>
        <v>-42</v>
      </c>
      <c r="S113" s="32">
        <f>SUM(F113-SUM(P113:R113))</f>
        <v>7</v>
      </c>
      <c r="T113" s="32"/>
      <c r="U113" s="32">
        <f t="shared" si="120"/>
        <v>0</v>
      </c>
      <c r="V113" s="32">
        <f t="shared" si="120"/>
        <v>0</v>
      </c>
      <c r="W113" s="32">
        <f t="shared" si="120"/>
        <v>0</v>
      </c>
      <c r="X113" s="32">
        <f t="shared" si="120"/>
        <v>0</v>
      </c>
      <c r="Y113" s="32">
        <f t="shared" si="120"/>
        <v>-210</v>
      </c>
      <c r="Z113" s="32">
        <f t="shared" si="120"/>
        <v>-225</v>
      </c>
      <c r="AA113" s="32">
        <f t="shared" si="120"/>
        <v>-524</v>
      </c>
      <c r="AB113" s="32">
        <f t="shared" si="120"/>
        <v>-566</v>
      </c>
      <c r="AC113" s="32">
        <f>SUM(P113:S113)</f>
        <v>-349</v>
      </c>
      <c r="AD113" s="60"/>
      <c r="AE113" s="73"/>
    </row>
    <row r="114" spans="2:31" ht="12.75" customHeight="1">
      <c r="B114" s="13" t="s">
        <v>54</v>
      </c>
      <c r="C114" s="14">
        <f>SUM(C112:C113)</f>
        <v>-13511</v>
      </c>
      <c r="D114" s="14">
        <f>SUM(D112:D113)</f>
        <v>-13911</v>
      </c>
      <c r="E114" s="14">
        <f>SUM(E112:E113)</f>
        <v>-4981</v>
      </c>
      <c r="F114" s="14">
        <f>SUM(F112:F113)</f>
        <v>-8575</v>
      </c>
      <c r="H114" s="14">
        <f t="shared" ref="H114:S114" si="122">SUM(H112:H113)</f>
        <v>-2842.085</v>
      </c>
      <c r="I114" s="14">
        <f t="shared" si="122"/>
        <v>-3940.0839999999998</v>
      </c>
      <c r="J114" s="14">
        <f t="shared" si="122"/>
        <v>-3380.4809999999998</v>
      </c>
      <c r="K114" s="14">
        <f t="shared" si="122"/>
        <v>-3748.3500000000004</v>
      </c>
      <c r="L114" s="14">
        <f t="shared" si="122"/>
        <v>-1945</v>
      </c>
      <c r="M114" s="14">
        <f t="shared" si="122"/>
        <v>-872</v>
      </c>
      <c r="N114" s="14">
        <f t="shared" si="122"/>
        <v>-757</v>
      </c>
      <c r="O114" s="14">
        <f t="shared" si="122"/>
        <v>-1407</v>
      </c>
      <c r="P114" s="14">
        <f t="shared" si="122"/>
        <v>-2362</v>
      </c>
      <c r="Q114" s="14">
        <f t="shared" si="122"/>
        <v>-2365</v>
      </c>
      <c r="R114" s="14">
        <f t="shared" si="122"/>
        <v>-1098</v>
      </c>
      <c r="S114" s="14">
        <f t="shared" si="122"/>
        <v>-2750</v>
      </c>
      <c r="T114" s="32"/>
      <c r="U114" s="14">
        <f t="shared" ref="U114:AC114" si="123">SUM(U112:U113)</f>
        <v>-13911</v>
      </c>
      <c r="V114" s="14">
        <f t="shared" si="123"/>
        <v>-13013.915000000001</v>
      </c>
      <c r="W114" s="14">
        <f t="shared" si="123"/>
        <v>-9945.8310000000001</v>
      </c>
      <c r="X114" s="14">
        <f t="shared" si="123"/>
        <v>-7322.35</v>
      </c>
      <c r="Y114" s="14">
        <f t="shared" si="123"/>
        <v>-4981</v>
      </c>
      <c r="Z114" s="14">
        <f t="shared" si="123"/>
        <v>-5398</v>
      </c>
      <c r="AA114" s="14">
        <f t="shared" si="123"/>
        <v>-6891</v>
      </c>
      <c r="AB114" s="14">
        <f t="shared" si="123"/>
        <v>-7232</v>
      </c>
      <c r="AC114" s="14">
        <f t="shared" si="123"/>
        <v>-8575</v>
      </c>
      <c r="AD114" s="42"/>
      <c r="AE114" s="74">
        <f>SUM(AC114/Y114)-1</f>
        <v>0.7215418590644449</v>
      </c>
    </row>
    <row r="115" spans="2:31" ht="5.0999999999999996" customHeight="1">
      <c r="B115" s="53"/>
      <c r="C115" s="62"/>
      <c r="D115" s="62"/>
      <c r="E115" s="62"/>
      <c r="F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39"/>
    </row>
    <row r="116" spans="2:31" ht="12.75" customHeight="1">
      <c r="B116" s="54" t="s">
        <v>55</v>
      </c>
      <c r="C116" s="63"/>
      <c r="D116" s="63"/>
      <c r="E116" s="63"/>
      <c r="F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64"/>
      <c r="AE116" s="73"/>
    </row>
    <row r="117" spans="2:31" ht="12.75" customHeight="1">
      <c r="B117" s="79" t="s">
        <v>170</v>
      </c>
      <c r="C117" s="77">
        <v>0</v>
      </c>
      <c r="D117" s="77">
        <f>-100000+151750-2000</f>
        <v>49750</v>
      </c>
      <c r="E117" s="77">
        <f>-158584+135000-11140</f>
        <v>-34724</v>
      </c>
      <c r="F117" s="77">
        <f>-60000-450</f>
        <v>-60450</v>
      </c>
      <c r="H117" s="77">
        <f>-100000-2000+151750</f>
        <v>49750</v>
      </c>
      <c r="I117" s="77">
        <f>-100000-2000+151750-H117</f>
        <v>0</v>
      </c>
      <c r="J117" s="77">
        <f>-100000-2000+151750-I117-H117</f>
        <v>0</v>
      </c>
      <c r="K117" s="32">
        <f t="shared" ref="K117:K118" si="124">SUM(D117-SUM(H117:J117))</f>
        <v>0</v>
      </c>
      <c r="L117" s="77">
        <v>0</v>
      </c>
      <c r="M117" s="77">
        <v>0</v>
      </c>
      <c r="N117" s="77">
        <v>0</v>
      </c>
      <c r="O117" s="32">
        <f t="shared" ref="O117:O118" si="125">SUM(E117-SUM(L117:N117))</f>
        <v>-34724</v>
      </c>
      <c r="P117" s="77">
        <v>0</v>
      </c>
      <c r="Q117" s="77">
        <v>0</v>
      </c>
      <c r="R117" s="77">
        <f>-30000-Q117-P117</f>
        <v>-30000</v>
      </c>
      <c r="S117" s="32">
        <f t="shared" ref="S117:S118" si="126">SUM(F117-SUM(P117:R117))</f>
        <v>-30450</v>
      </c>
      <c r="T117" s="32"/>
      <c r="U117" s="32">
        <f t="shared" ref="U117:U119" si="127">SUM(H117:K117)</f>
        <v>49750</v>
      </c>
      <c r="V117" s="32">
        <f t="shared" ref="V117:V119" si="128">SUM(I117:L117)</f>
        <v>0</v>
      </c>
      <c r="W117" s="32">
        <f t="shared" ref="W117:W119" si="129">SUM(J117:M117)</f>
        <v>0</v>
      </c>
      <c r="X117" s="32">
        <f t="shared" ref="X117:X119" si="130">SUM(K117:N117)</f>
        <v>0</v>
      </c>
      <c r="Y117" s="32">
        <f t="shared" ref="Y117:Y119" si="131">SUM(L117:O117)</f>
        <v>-34724</v>
      </c>
      <c r="Z117" s="32">
        <f t="shared" ref="Z117:Z119" si="132">SUM(M117:P117)</f>
        <v>-34724</v>
      </c>
      <c r="AA117" s="32">
        <f t="shared" ref="AA117:AA119" si="133">SUM(N117:Q117)</f>
        <v>-34724</v>
      </c>
      <c r="AB117" s="32">
        <f t="shared" ref="AB117:AB119" si="134">SUM(O117:R117)</f>
        <v>-64724</v>
      </c>
      <c r="AC117" s="32">
        <f t="shared" ref="AC117:AC119" si="135">SUM(P117:S117)</f>
        <v>-60450</v>
      </c>
      <c r="AD117" s="64"/>
      <c r="AE117" s="73"/>
    </row>
    <row r="118" spans="2:31" ht="12.75" customHeight="1">
      <c r="B118" s="79" t="s">
        <v>171</v>
      </c>
      <c r="C118" s="77">
        <v>121144</v>
      </c>
      <c r="D118" s="77">
        <f>64645+175</f>
        <v>64820</v>
      </c>
      <c r="E118" s="77">
        <v>1104</v>
      </c>
      <c r="F118" s="77">
        <v>7494</v>
      </c>
      <c r="H118" s="77">
        <v>0</v>
      </c>
      <c r="I118" s="77">
        <v>0</v>
      </c>
      <c r="J118" s="77">
        <v>0</v>
      </c>
      <c r="K118" s="32">
        <f t="shared" si="124"/>
        <v>64820</v>
      </c>
      <c r="L118" s="77">
        <v>0</v>
      </c>
      <c r="M118" s="77">
        <f>472-L118</f>
        <v>472</v>
      </c>
      <c r="N118" s="77">
        <f>1096-M118-L118</f>
        <v>624</v>
      </c>
      <c r="O118" s="32">
        <f t="shared" si="125"/>
        <v>8</v>
      </c>
      <c r="P118" s="77">
        <v>1029</v>
      </c>
      <c r="Q118" s="77">
        <f>1360-P118</f>
        <v>331</v>
      </c>
      <c r="R118" s="77">
        <f>7051-Q118-P118</f>
        <v>5691</v>
      </c>
      <c r="S118" s="32">
        <f t="shared" si="126"/>
        <v>443</v>
      </c>
      <c r="T118" s="32"/>
      <c r="U118" s="32">
        <f t="shared" si="127"/>
        <v>64820</v>
      </c>
      <c r="V118" s="32">
        <f t="shared" si="128"/>
        <v>64820</v>
      </c>
      <c r="W118" s="32">
        <f t="shared" si="129"/>
        <v>65292</v>
      </c>
      <c r="X118" s="32">
        <f t="shared" si="130"/>
        <v>65916</v>
      </c>
      <c r="Y118" s="32">
        <f t="shared" si="131"/>
        <v>1104</v>
      </c>
      <c r="Z118" s="32">
        <f t="shared" si="132"/>
        <v>2133</v>
      </c>
      <c r="AA118" s="32">
        <f t="shared" si="133"/>
        <v>1992</v>
      </c>
      <c r="AB118" s="32">
        <f t="shared" si="134"/>
        <v>7059</v>
      </c>
      <c r="AC118" s="32">
        <f t="shared" si="135"/>
        <v>7494</v>
      </c>
      <c r="AD118" s="64"/>
      <c r="AE118" s="73"/>
    </row>
    <row r="119" spans="2:31" ht="12.75" customHeight="1">
      <c r="B119" s="79" t="s">
        <v>144</v>
      </c>
      <c r="C119" s="77">
        <v>-62</v>
      </c>
      <c r="D119" s="77">
        <v>-2899</v>
      </c>
      <c r="E119" s="77">
        <v>-1415</v>
      </c>
      <c r="F119" s="77">
        <v>-4971</v>
      </c>
      <c r="H119" s="77">
        <v>-91.367000000000004</v>
      </c>
      <c r="I119" s="77">
        <f>-401.315-H119</f>
        <v>-309.94799999999998</v>
      </c>
      <c r="J119" s="77">
        <f>-831.297-I119-H119</f>
        <v>-429.98200000000003</v>
      </c>
      <c r="K119" s="32">
        <f t="shared" ref="K119:K121" si="136">SUM(D119-SUM(H119:J119))</f>
        <v>-2067.703</v>
      </c>
      <c r="L119" s="77">
        <v>-640</v>
      </c>
      <c r="M119" s="77">
        <f>-866-L119</f>
        <v>-226</v>
      </c>
      <c r="N119" s="77">
        <f>-1074-M119-L119</f>
        <v>-208</v>
      </c>
      <c r="O119" s="32">
        <f t="shared" ref="O119:O121" si="137">SUM(E119-SUM(L119:N119))</f>
        <v>-341</v>
      </c>
      <c r="P119" s="77">
        <v>-2476</v>
      </c>
      <c r="Q119" s="77">
        <f>-3169-P119</f>
        <v>-693</v>
      </c>
      <c r="R119" s="77">
        <f>-4327-Q119-P119</f>
        <v>-1158</v>
      </c>
      <c r="S119" s="32">
        <f t="shared" ref="S119:S121" si="138">SUM(F119-SUM(P119:R119))</f>
        <v>-644</v>
      </c>
      <c r="T119" s="32"/>
      <c r="U119" s="32">
        <f t="shared" ref="U119:U120" si="139">SUM(H119:K119)</f>
        <v>-2899</v>
      </c>
      <c r="V119" s="32">
        <f t="shared" ref="V119:V120" si="140">SUM(I119:L119)</f>
        <v>-3447.6329999999998</v>
      </c>
      <c r="W119" s="32">
        <f t="shared" ref="W119:W120" si="141">SUM(J119:M119)</f>
        <v>-3363.6849999999999</v>
      </c>
      <c r="X119" s="32">
        <f t="shared" ref="X119:X120" si="142">SUM(K119:N119)</f>
        <v>-3141.703</v>
      </c>
      <c r="Y119" s="32">
        <f t="shared" ref="Y119:Y120" si="143">SUM(L119:O119)</f>
        <v>-1415</v>
      </c>
      <c r="Z119" s="32">
        <f t="shared" ref="Z119:Z120" si="144">SUM(M119:P119)</f>
        <v>-3251</v>
      </c>
      <c r="AA119" s="32">
        <f t="shared" ref="AA119:AA120" si="145">SUM(N119:Q119)</f>
        <v>-3718</v>
      </c>
      <c r="AB119" s="32">
        <f t="shared" ref="AB119:AB120" si="146">SUM(O119:R119)</f>
        <v>-4668</v>
      </c>
      <c r="AC119" s="32">
        <f t="shared" ref="AC119:AC120" si="147">SUM(P119:S119)</f>
        <v>-4971</v>
      </c>
      <c r="AD119" s="64"/>
      <c r="AE119" s="73"/>
    </row>
    <row r="120" spans="2:31" ht="12.75" customHeight="1">
      <c r="B120" s="79" t="s">
        <v>145</v>
      </c>
      <c r="C120" s="77">
        <v>-34</v>
      </c>
      <c r="D120" s="77">
        <v>-36</v>
      </c>
      <c r="E120" s="77">
        <v>-17</v>
      </c>
      <c r="F120" s="77">
        <v>0</v>
      </c>
      <c r="H120" s="77">
        <v>-8.9410000000000007</v>
      </c>
      <c r="I120" s="77">
        <f>-18.034-H120</f>
        <v>-9.0929999999999982</v>
      </c>
      <c r="J120" s="77">
        <f>-27.281-I120-H120</f>
        <v>-9.2470000000000017</v>
      </c>
      <c r="K120" s="32">
        <f t="shared" si="136"/>
        <v>-8.7190000000000012</v>
      </c>
      <c r="L120" s="77">
        <v>-10</v>
      </c>
      <c r="M120" s="77">
        <f>-16-L120</f>
        <v>-6</v>
      </c>
      <c r="N120" s="77">
        <f>-16-M120-L120</f>
        <v>0</v>
      </c>
      <c r="O120" s="32">
        <f t="shared" si="137"/>
        <v>-1</v>
      </c>
      <c r="P120" s="77" t="s">
        <v>111</v>
      </c>
      <c r="Q120" s="77" t="s">
        <v>111</v>
      </c>
      <c r="R120" s="77">
        <v>0</v>
      </c>
      <c r="S120" s="32">
        <f t="shared" si="138"/>
        <v>0</v>
      </c>
      <c r="T120" s="32"/>
      <c r="U120" s="32">
        <f t="shared" ref="U120:U121" si="148">SUM(H120:K120)</f>
        <v>-36</v>
      </c>
      <c r="V120" s="32">
        <f t="shared" ref="V120:V121" si="149">SUM(I120:L120)</f>
        <v>-37.058999999999997</v>
      </c>
      <c r="W120" s="32">
        <f t="shared" ref="W120:W121" si="150">SUM(J120:M120)</f>
        <v>-33.966000000000001</v>
      </c>
      <c r="X120" s="32">
        <f t="shared" ref="X120:X121" si="151">SUM(K120:N120)</f>
        <v>-24.719000000000001</v>
      </c>
      <c r="Y120" s="32">
        <f t="shared" ref="Y120:Y121" si="152">SUM(L120:O120)</f>
        <v>-17</v>
      </c>
      <c r="Z120" s="32">
        <f t="shared" ref="Z120:Z121" si="153">SUM(M120:P120)</f>
        <v>-7</v>
      </c>
      <c r="AA120" s="32">
        <f t="shared" ref="AA120:AA121" si="154">SUM(N120:Q120)</f>
        <v>-1</v>
      </c>
      <c r="AB120" s="32">
        <f t="shared" ref="AB120:AB121" si="155">SUM(O120:R120)</f>
        <v>-1</v>
      </c>
      <c r="AC120" s="32">
        <f t="shared" ref="AC120:AC121" si="156">SUM(P120:S120)</f>
        <v>0</v>
      </c>
      <c r="AD120" s="64"/>
      <c r="AE120" s="73"/>
    </row>
    <row r="121" spans="2:31" ht="12.75" customHeight="1">
      <c r="B121" s="79" t="s">
        <v>172</v>
      </c>
      <c r="C121" s="77">
        <v>0</v>
      </c>
      <c r="D121" s="77">
        <v>-2783</v>
      </c>
      <c r="E121" s="77">
        <f>-1586-2351</f>
        <v>-3937</v>
      </c>
      <c r="F121" s="77">
        <v>-375</v>
      </c>
      <c r="H121" s="77">
        <v>-2378.366</v>
      </c>
      <c r="I121" s="77">
        <f>-2378.366-H121</f>
        <v>0</v>
      </c>
      <c r="J121" s="77">
        <f>-2782.928-I121-H121</f>
        <v>-404.5619999999999</v>
      </c>
      <c r="K121" s="32">
        <f t="shared" si="136"/>
        <v>-7.2000000000116415E-2</v>
      </c>
      <c r="L121" s="77">
        <v>0</v>
      </c>
      <c r="M121" s="77">
        <v>0</v>
      </c>
      <c r="N121" s="77">
        <v>0</v>
      </c>
      <c r="O121" s="32">
        <f t="shared" si="137"/>
        <v>-3937</v>
      </c>
      <c r="P121" s="77">
        <v>0</v>
      </c>
      <c r="Q121" s="77">
        <v>0</v>
      </c>
      <c r="R121" s="77">
        <v>0</v>
      </c>
      <c r="S121" s="32">
        <f t="shared" si="138"/>
        <v>-375</v>
      </c>
      <c r="T121" s="32"/>
      <c r="U121" s="32">
        <f t="shared" si="148"/>
        <v>-2783</v>
      </c>
      <c r="V121" s="32">
        <f t="shared" si="149"/>
        <v>-404.63400000000001</v>
      </c>
      <c r="W121" s="32">
        <f t="shared" si="150"/>
        <v>-404.63400000000001</v>
      </c>
      <c r="X121" s="32">
        <f t="shared" si="151"/>
        <v>-7.2000000000116415E-2</v>
      </c>
      <c r="Y121" s="32">
        <f t="shared" si="152"/>
        <v>-3937</v>
      </c>
      <c r="Z121" s="32">
        <f t="shared" si="153"/>
        <v>-3937</v>
      </c>
      <c r="AA121" s="32">
        <f t="shared" si="154"/>
        <v>-3937</v>
      </c>
      <c r="AB121" s="32">
        <f t="shared" si="155"/>
        <v>-3937</v>
      </c>
      <c r="AC121" s="32">
        <f t="shared" si="156"/>
        <v>-375</v>
      </c>
      <c r="AD121" s="64"/>
      <c r="AE121" s="73"/>
    </row>
    <row r="122" spans="2:31" ht="12.75" customHeight="1">
      <c r="B122" s="13" t="s">
        <v>56</v>
      </c>
      <c r="C122" s="14">
        <f>SUM(C117:C121)</f>
        <v>121048</v>
      </c>
      <c r="D122" s="14">
        <f>SUM(D117:D121)</f>
        <v>108852</v>
      </c>
      <c r="E122" s="14">
        <f>SUM(E117:E121)</f>
        <v>-38989</v>
      </c>
      <c r="F122" s="14">
        <f>SUM(F117:F121)</f>
        <v>-58302</v>
      </c>
      <c r="H122" s="14">
        <f>SUM(H117:H121)</f>
        <v>47271.326000000001</v>
      </c>
      <c r="I122" s="14">
        <f>SUM(I117:I121)</f>
        <v>-319.041</v>
      </c>
      <c r="J122" s="14">
        <f>SUM(J117:J121)</f>
        <v>-843.79099999999994</v>
      </c>
      <c r="K122" s="14">
        <f>SUM(K117:K121)</f>
        <v>62743.506000000001</v>
      </c>
      <c r="L122" s="14">
        <f>SUM(L117:L121)</f>
        <v>-650</v>
      </c>
      <c r="M122" s="14">
        <f>SUM(M117:M121)</f>
        <v>240</v>
      </c>
      <c r="N122" s="14">
        <f>SUM(N117:N121)</f>
        <v>416</v>
      </c>
      <c r="O122" s="14">
        <f>SUM(O117:O121)</f>
        <v>-38995</v>
      </c>
      <c r="P122" s="14">
        <f>SUM(P117:P121)</f>
        <v>-1447</v>
      </c>
      <c r="Q122" s="14">
        <f>SUM(Q117:Q121)</f>
        <v>-362</v>
      </c>
      <c r="R122" s="14">
        <f>SUM(R117:R121)</f>
        <v>-25467</v>
      </c>
      <c r="S122" s="14">
        <f>SUM(S117:S121)</f>
        <v>-31026</v>
      </c>
      <c r="T122" s="32"/>
      <c r="U122" s="14">
        <f>SUM(U117:U121)</f>
        <v>108852</v>
      </c>
      <c r="V122" s="14">
        <f>SUM(V117:V121)</f>
        <v>60930.673999999999</v>
      </c>
      <c r="W122" s="14">
        <f>SUM(W117:W121)</f>
        <v>61489.715000000004</v>
      </c>
      <c r="X122" s="14">
        <f>SUM(X117:X121)</f>
        <v>62749.506000000001</v>
      </c>
      <c r="Y122" s="14">
        <f>SUM(Y117:Y121)</f>
        <v>-38989</v>
      </c>
      <c r="Z122" s="14">
        <f>SUM(Z117:Z121)</f>
        <v>-39786</v>
      </c>
      <c r="AA122" s="14">
        <f>SUM(AA117:AA121)</f>
        <v>-40388</v>
      </c>
      <c r="AB122" s="14">
        <f>SUM(AB117:AB121)</f>
        <v>-66271</v>
      </c>
      <c r="AC122" s="14">
        <f>SUM(AC117:AC121)</f>
        <v>-58302</v>
      </c>
      <c r="AD122" s="42"/>
      <c r="AE122" s="74">
        <f>SUM(AC122/Y122)-1</f>
        <v>0.49534484085254826</v>
      </c>
    </row>
    <row r="123" spans="2:31" ht="5.0999999999999996" customHeight="1">
      <c r="B123" s="8"/>
      <c r="C123" s="65"/>
      <c r="D123" s="65"/>
      <c r="E123" s="65"/>
      <c r="F123" s="65"/>
      <c r="G123" s="32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46"/>
    </row>
    <row r="124" spans="2:31" ht="5.0999999999999996" customHeight="1">
      <c r="B124" s="70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11"/>
      <c r="AE124" s="46"/>
    </row>
    <row r="125" spans="2:31">
      <c r="B125" s="88" t="s">
        <v>80</v>
      </c>
      <c r="C125" s="89">
        <v>55921.152000000002</v>
      </c>
      <c r="D125" s="89">
        <f>C132</f>
        <v>51089.152000000002</v>
      </c>
      <c r="E125" s="89">
        <f>D132</f>
        <v>86522.152000000002</v>
      </c>
      <c r="F125" s="89">
        <f>E132</f>
        <v>51352.152000000002</v>
      </c>
      <c r="G125" s="89"/>
      <c r="H125" s="89">
        <f>C132</f>
        <v>51089.152000000002</v>
      </c>
      <c r="I125" s="89">
        <f>H132</f>
        <v>69504.98000000001</v>
      </c>
      <c r="J125" s="89">
        <f>I132</f>
        <v>52415.087000000007</v>
      </c>
      <c r="K125" s="89">
        <f>J132</f>
        <v>34906.054000000004</v>
      </c>
      <c r="L125" s="89">
        <f>K132</f>
        <v>86522.152000000016</v>
      </c>
      <c r="M125" s="89">
        <f t="shared" ref="M125:S125" si="157">L132</f>
        <v>69204.337000000014</v>
      </c>
      <c r="N125" s="89">
        <f t="shared" si="157"/>
        <v>62513.630000000005</v>
      </c>
      <c r="O125" s="89">
        <f t="shared" si="157"/>
        <v>74156.684999999998</v>
      </c>
      <c r="P125" s="89">
        <f t="shared" si="157"/>
        <v>51352.151999999995</v>
      </c>
      <c r="Q125" s="89">
        <f t="shared" si="157"/>
        <v>45325.151999999995</v>
      </c>
      <c r="R125" s="89">
        <f t="shared" si="157"/>
        <v>88244.152000000002</v>
      </c>
      <c r="S125" s="89">
        <f t="shared" si="157"/>
        <v>86707.152000000002</v>
      </c>
      <c r="T125" s="89"/>
      <c r="U125" s="89">
        <f>K127</f>
        <v>34906.054000000004</v>
      </c>
      <c r="V125" s="89">
        <f t="shared" ref="V125:AC125" si="158">K132</f>
        <v>86522.152000000016</v>
      </c>
      <c r="W125" s="89">
        <f t="shared" si="158"/>
        <v>69204.337000000014</v>
      </c>
      <c r="X125" s="89">
        <f t="shared" si="158"/>
        <v>62513.630000000005</v>
      </c>
      <c r="Y125" s="89">
        <f t="shared" si="158"/>
        <v>74156.684999999998</v>
      </c>
      <c r="Z125" s="89">
        <f t="shared" si="158"/>
        <v>51352.151999999995</v>
      </c>
      <c r="AA125" s="89">
        <f t="shared" si="158"/>
        <v>45325.151999999995</v>
      </c>
      <c r="AB125" s="89">
        <f t="shared" si="158"/>
        <v>88244.152000000002</v>
      </c>
      <c r="AC125" s="135">
        <f t="shared" si="158"/>
        <v>86707.152000000002</v>
      </c>
      <c r="AD125" s="11"/>
      <c r="AE125" s="46"/>
    </row>
    <row r="126" spans="2:31">
      <c r="B126" s="127" t="s">
        <v>93</v>
      </c>
      <c r="C126" s="32"/>
      <c r="D126" s="32"/>
      <c r="E126" s="32"/>
      <c r="F126" s="32"/>
      <c r="G126" s="32"/>
      <c r="H126" s="77">
        <v>0</v>
      </c>
      <c r="I126" s="77">
        <v>0</v>
      </c>
      <c r="J126" s="77">
        <v>0</v>
      </c>
      <c r="K126" s="32">
        <f>D126</f>
        <v>0</v>
      </c>
      <c r="L126" s="32"/>
      <c r="M126" s="32">
        <f t="shared" ref="M126:S126" si="159">-L130</f>
        <v>0</v>
      </c>
      <c r="N126" s="32">
        <f t="shared" si="159"/>
        <v>0</v>
      </c>
      <c r="O126" s="32">
        <f>-N130</f>
        <v>0</v>
      </c>
      <c r="P126" s="32">
        <f t="shared" si="159"/>
        <v>0</v>
      </c>
      <c r="Q126" s="32">
        <f t="shared" si="159"/>
        <v>0</v>
      </c>
      <c r="R126" s="32">
        <f t="shared" si="159"/>
        <v>0</v>
      </c>
      <c r="S126" s="32">
        <f t="shared" si="159"/>
        <v>0</v>
      </c>
      <c r="T126" s="32"/>
      <c r="U126" s="32">
        <f t="shared" ref="U126:AC126" si="160">-J130</f>
        <v>0</v>
      </c>
      <c r="V126" s="32">
        <f t="shared" si="160"/>
        <v>0</v>
      </c>
      <c r="W126" s="32">
        <f t="shared" si="160"/>
        <v>0</v>
      </c>
      <c r="X126" s="32">
        <f t="shared" si="160"/>
        <v>0</v>
      </c>
      <c r="Y126" s="32">
        <f t="shared" si="160"/>
        <v>0</v>
      </c>
      <c r="Z126" s="32">
        <f t="shared" si="160"/>
        <v>0</v>
      </c>
      <c r="AA126" s="32">
        <f t="shared" si="160"/>
        <v>0</v>
      </c>
      <c r="AB126" s="32">
        <f t="shared" si="160"/>
        <v>0</v>
      </c>
      <c r="AC126" s="129">
        <f t="shared" si="160"/>
        <v>0</v>
      </c>
      <c r="AD126" s="11"/>
      <c r="AE126" s="46"/>
    </row>
    <row r="127" spans="2:31">
      <c r="B127" s="85" t="s">
        <v>66</v>
      </c>
      <c r="C127" s="81">
        <f>SUM(C125:C126)</f>
        <v>55921.152000000002</v>
      </c>
      <c r="D127" s="81">
        <f>SUM(D125:D126)</f>
        <v>51089.152000000002</v>
      </c>
      <c r="E127" s="81">
        <f>SUM(E125:E126)</f>
        <v>86522.152000000002</v>
      </c>
      <c r="F127" s="81">
        <f>SUM(F125:F126)</f>
        <v>51352.152000000002</v>
      </c>
      <c r="G127" s="32"/>
      <c r="H127" s="81">
        <f>SUM(H125:H126)</f>
        <v>51089.152000000002</v>
      </c>
      <c r="I127" s="81">
        <f>SUM(I125:I126)</f>
        <v>69504.98000000001</v>
      </c>
      <c r="J127" s="81">
        <f>SUM(J125:J126)</f>
        <v>52415.087000000007</v>
      </c>
      <c r="K127" s="81">
        <f>SUM(K125:K126)</f>
        <v>34906.054000000004</v>
      </c>
      <c r="L127" s="81">
        <f t="shared" ref="L127:S127" si="161">SUM(L125:L126)</f>
        <v>86522.152000000016</v>
      </c>
      <c r="M127" s="81">
        <f t="shared" si="161"/>
        <v>69204.337000000014</v>
      </c>
      <c r="N127" s="81">
        <f t="shared" si="161"/>
        <v>62513.630000000005</v>
      </c>
      <c r="O127" s="81">
        <f t="shared" si="161"/>
        <v>74156.684999999998</v>
      </c>
      <c r="P127" s="81">
        <f t="shared" si="161"/>
        <v>51352.151999999995</v>
      </c>
      <c r="Q127" s="81">
        <f t="shared" si="161"/>
        <v>45325.151999999995</v>
      </c>
      <c r="R127" s="81">
        <f t="shared" si="161"/>
        <v>88244.152000000002</v>
      </c>
      <c r="S127" s="81">
        <f t="shared" si="161"/>
        <v>86707.152000000002</v>
      </c>
      <c r="T127" s="32"/>
      <c r="U127" s="148">
        <f t="shared" ref="U127:AC127" si="162">SUM(U125:U126)</f>
        <v>34906.054000000004</v>
      </c>
      <c r="V127" s="148">
        <f t="shared" si="162"/>
        <v>86522.152000000016</v>
      </c>
      <c r="W127" s="148">
        <f t="shared" si="162"/>
        <v>69204.337000000014</v>
      </c>
      <c r="X127" s="148">
        <f t="shared" si="162"/>
        <v>62513.630000000005</v>
      </c>
      <c r="Y127" s="148">
        <f t="shared" si="162"/>
        <v>74156.684999999998</v>
      </c>
      <c r="Z127" s="148">
        <f t="shared" si="162"/>
        <v>51352.151999999995</v>
      </c>
      <c r="AA127" s="148">
        <f t="shared" si="162"/>
        <v>45325.151999999995</v>
      </c>
      <c r="AB127" s="148">
        <f t="shared" si="162"/>
        <v>88244.152000000002</v>
      </c>
      <c r="AC127" s="147">
        <f t="shared" si="162"/>
        <v>86707.152000000002</v>
      </c>
      <c r="AD127" s="11"/>
      <c r="AE127" s="46"/>
    </row>
    <row r="128" spans="2:31" ht="5.0999999999999996" customHeight="1">
      <c r="B128" s="132"/>
      <c r="C128" s="70"/>
      <c r="D128" s="70"/>
      <c r="E128" s="70"/>
      <c r="F128" s="70"/>
      <c r="G128" s="32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32"/>
      <c r="U128" s="70"/>
      <c r="V128" s="70"/>
      <c r="W128" s="70"/>
      <c r="X128" s="70"/>
      <c r="Y128" s="70"/>
      <c r="Z128" s="70"/>
      <c r="AA128" s="70"/>
      <c r="AB128" s="70"/>
      <c r="AC128" s="130"/>
      <c r="AD128" s="11"/>
      <c r="AE128" s="46"/>
    </row>
    <row r="129" spans="2:31">
      <c r="B129" s="127" t="s">
        <v>81</v>
      </c>
      <c r="C129" s="77">
        <v>0</v>
      </c>
      <c r="D129" s="77">
        <v>0</v>
      </c>
      <c r="E129" s="77">
        <v>0</v>
      </c>
      <c r="F129" s="77">
        <v>0</v>
      </c>
      <c r="G129" s="32"/>
      <c r="H129" s="77">
        <v>0</v>
      </c>
      <c r="I129" s="77">
        <v>0</v>
      </c>
      <c r="J129" s="77">
        <v>0</v>
      </c>
      <c r="K129" s="32">
        <f>SUM(D129-SUM(H129:J129))</f>
        <v>0</v>
      </c>
      <c r="L129" s="77">
        <v>0</v>
      </c>
      <c r="M129" s="77">
        <v>0</v>
      </c>
      <c r="N129" s="77">
        <v>0</v>
      </c>
      <c r="O129" s="32">
        <f>SUM(E129-SUM(L129:N129))</f>
        <v>0</v>
      </c>
      <c r="P129" s="77">
        <v>0</v>
      </c>
      <c r="Q129" s="77">
        <v>0</v>
      </c>
      <c r="R129" s="77">
        <v>0</v>
      </c>
      <c r="S129" s="32">
        <f>SUM(I129-SUM(P129:R129))</f>
        <v>0</v>
      </c>
      <c r="T129" s="32"/>
      <c r="U129" s="32">
        <f t="shared" ref="U129:Z129" si="163">SUM(K129:N129)</f>
        <v>0</v>
      </c>
      <c r="V129" s="32">
        <f t="shared" si="163"/>
        <v>0</v>
      </c>
      <c r="W129" s="32">
        <f t="shared" si="163"/>
        <v>0</v>
      </c>
      <c r="X129" s="32">
        <f t="shared" si="163"/>
        <v>0</v>
      </c>
      <c r="Y129" s="32">
        <f t="shared" si="163"/>
        <v>0</v>
      </c>
      <c r="Z129" s="32">
        <f t="shared" si="163"/>
        <v>0</v>
      </c>
      <c r="AA129" s="32">
        <f>SUM(Q129:T129)</f>
        <v>0</v>
      </c>
      <c r="AB129" s="32">
        <f>SUM(R129:U129)</f>
        <v>0</v>
      </c>
      <c r="AC129" s="129">
        <f>SUM(S129:V129)</f>
        <v>0</v>
      </c>
      <c r="AD129" s="11"/>
      <c r="AE129" s="46"/>
    </row>
    <row r="130" spans="2:31">
      <c r="B130" s="127" t="s">
        <v>92</v>
      </c>
      <c r="C130" s="77">
        <v>0</v>
      </c>
      <c r="D130" s="77">
        <v>0</v>
      </c>
      <c r="E130" s="77">
        <v>0</v>
      </c>
      <c r="F130" s="77">
        <v>0</v>
      </c>
      <c r="G130" s="32"/>
      <c r="H130" s="77">
        <v>0</v>
      </c>
      <c r="I130" s="77">
        <v>0</v>
      </c>
      <c r="J130" s="77">
        <v>0</v>
      </c>
      <c r="K130" s="32">
        <f>SUM(D130-SUM(H130:J130))</f>
        <v>0</v>
      </c>
      <c r="L130" s="77">
        <v>0</v>
      </c>
      <c r="M130" s="77">
        <v>0</v>
      </c>
      <c r="N130" s="77">
        <v>0</v>
      </c>
      <c r="O130" s="32">
        <f>SUM(E130-SUM(L130:N130))</f>
        <v>0</v>
      </c>
      <c r="P130" s="77">
        <v>0</v>
      </c>
      <c r="Q130" s="77">
        <v>0</v>
      </c>
      <c r="R130" s="77">
        <v>0</v>
      </c>
      <c r="S130" s="32">
        <f>SUM(I130-SUM(P130:R130))</f>
        <v>0</v>
      </c>
      <c r="T130" s="32"/>
      <c r="U130" s="32">
        <f t="shared" ref="U130:Z130" si="164">N130</f>
        <v>0</v>
      </c>
      <c r="V130" s="32">
        <f t="shared" si="164"/>
        <v>0</v>
      </c>
      <c r="W130" s="32">
        <f t="shared" si="164"/>
        <v>0</v>
      </c>
      <c r="X130" s="32">
        <f t="shared" si="164"/>
        <v>0</v>
      </c>
      <c r="Y130" s="32">
        <f t="shared" si="164"/>
        <v>0</v>
      </c>
      <c r="Z130" s="32">
        <f t="shared" si="164"/>
        <v>0</v>
      </c>
      <c r="AA130" s="32">
        <f>T130</f>
        <v>0</v>
      </c>
      <c r="AB130" s="32">
        <f>U130</f>
        <v>0</v>
      </c>
      <c r="AC130" s="129">
        <f>V130</f>
        <v>0</v>
      </c>
      <c r="AD130" s="11"/>
      <c r="AE130" s="46"/>
    </row>
    <row r="131" spans="2:31">
      <c r="B131" s="127" t="s">
        <v>60</v>
      </c>
      <c r="C131" s="32">
        <f>+C122+C114+C109</f>
        <v>-4832</v>
      </c>
      <c r="D131" s="32">
        <f>+D122+D114+D109</f>
        <v>35433</v>
      </c>
      <c r="E131" s="32">
        <f>+E122+E114+E109</f>
        <v>-35170</v>
      </c>
      <c r="F131" s="32">
        <f>+F122+F114+F109</f>
        <v>51795</v>
      </c>
      <c r="G131" s="32"/>
      <c r="H131" s="32">
        <f>+H122+H114+H109</f>
        <v>18415.828000000001</v>
      </c>
      <c r="I131" s="32">
        <f>+I122+I114+I109</f>
        <v>-17089.893000000004</v>
      </c>
      <c r="J131" s="32">
        <f>+J122+J114+J109</f>
        <v>-17509.033000000003</v>
      </c>
      <c r="K131" s="32">
        <f>+K122+K114+K109</f>
        <v>51616.098000000013</v>
      </c>
      <c r="L131" s="32">
        <f>+L122+L114+L109</f>
        <v>-17317.815000000002</v>
      </c>
      <c r="M131" s="32">
        <f>+M122+M114+M109</f>
        <v>-6690.7070000000058</v>
      </c>
      <c r="N131" s="32">
        <f>+N122+N114+N109</f>
        <v>11643.055</v>
      </c>
      <c r="O131" s="32">
        <f>+O122+O114+O109</f>
        <v>-22804.533000000003</v>
      </c>
      <c r="P131" s="32">
        <f>+P122+P114+P109</f>
        <v>-6027</v>
      </c>
      <c r="Q131" s="32">
        <f>+Q122+Q114+Q109</f>
        <v>42919</v>
      </c>
      <c r="R131" s="32">
        <f>+R122+R114+R109</f>
        <v>-1537</v>
      </c>
      <c r="S131" s="32">
        <f>+S122+S114+S109</f>
        <v>16440</v>
      </c>
      <c r="T131" s="32"/>
      <c r="U131" s="32">
        <f>K131</f>
        <v>51616.098000000013</v>
      </c>
      <c r="V131" s="32">
        <f t="shared" ref="V131:AC131" si="165">L131</f>
        <v>-17317.815000000002</v>
      </c>
      <c r="W131" s="32">
        <f t="shared" si="165"/>
        <v>-6690.7070000000058</v>
      </c>
      <c r="X131" s="32">
        <f t="shared" si="165"/>
        <v>11643.055</v>
      </c>
      <c r="Y131" s="32">
        <f t="shared" si="165"/>
        <v>-22804.533000000003</v>
      </c>
      <c r="Z131" s="32">
        <f t="shared" si="165"/>
        <v>-6027</v>
      </c>
      <c r="AA131" s="32">
        <f t="shared" si="165"/>
        <v>42919</v>
      </c>
      <c r="AB131" s="32">
        <f t="shared" si="165"/>
        <v>-1537</v>
      </c>
      <c r="AC131" s="129">
        <f t="shared" si="165"/>
        <v>16440</v>
      </c>
      <c r="AD131" s="11"/>
      <c r="AE131" s="46"/>
    </row>
    <row r="132" spans="2:31">
      <c r="B132" s="85" t="s">
        <v>67</v>
      </c>
      <c r="C132" s="81">
        <f>SUM(C127:C131)</f>
        <v>51089.152000000002</v>
      </c>
      <c r="D132" s="81">
        <f>SUM(D127:D131)</f>
        <v>86522.152000000002</v>
      </c>
      <c r="E132" s="81">
        <f>SUM(E127:E131)</f>
        <v>51352.152000000002</v>
      </c>
      <c r="F132" s="81">
        <f>SUM(F127:F131)</f>
        <v>103147.152</v>
      </c>
      <c r="G132" s="32"/>
      <c r="H132" s="81">
        <f>SUM(H127:H131)</f>
        <v>69504.98000000001</v>
      </c>
      <c r="I132" s="81">
        <f>SUM(I127:I131)</f>
        <v>52415.087000000007</v>
      </c>
      <c r="J132" s="81">
        <f>SUM(J127:J131)</f>
        <v>34906.054000000004</v>
      </c>
      <c r="K132" s="81">
        <f>SUM(K127:K131)</f>
        <v>86522.152000000016</v>
      </c>
      <c r="L132" s="81">
        <f t="shared" ref="L132:S132" si="166">SUM(L127:L131)</f>
        <v>69204.337000000014</v>
      </c>
      <c r="M132" s="81">
        <f t="shared" si="166"/>
        <v>62513.630000000005</v>
      </c>
      <c r="N132" s="81">
        <f t="shared" si="166"/>
        <v>74156.684999999998</v>
      </c>
      <c r="O132" s="81">
        <f t="shared" si="166"/>
        <v>51352.151999999995</v>
      </c>
      <c r="P132" s="81">
        <f t="shared" si="166"/>
        <v>45325.151999999995</v>
      </c>
      <c r="Q132" s="81">
        <f t="shared" si="166"/>
        <v>88244.152000000002</v>
      </c>
      <c r="R132" s="81">
        <f t="shared" si="166"/>
        <v>86707.152000000002</v>
      </c>
      <c r="S132" s="81">
        <f t="shared" si="166"/>
        <v>103147.152</v>
      </c>
      <c r="T132" s="32"/>
      <c r="U132" s="148">
        <f t="shared" ref="U132:AC132" si="167">SUM(U127:U131)</f>
        <v>86522.152000000016</v>
      </c>
      <c r="V132" s="148">
        <f t="shared" si="167"/>
        <v>69204.337000000014</v>
      </c>
      <c r="W132" s="148">
        <f t="shared" si="167"/>
        <v>62513.630000000005</v>
      </c>
      <c r="X132" s="148">
        <f t="shared" si="167"/>
        <v>74156.684999999998</v>
      </c>
      <c r="Y132" s="148">
        <f t="shared" si="167"/>
        <v>51352.151999999995</v>
      </c>
      <c r="Z132" s="148">
        <f t="shared" si="167"/>
        <v>45325.151999999995</v>
      </c>
      <c r="AA132" s="148">
        <f t="shared" si="167"/>
        <v>88244.152000000002</v>
      </c>
      <c r="AB132" s="148">
        <f t="shared" si="167"/>
        <v>86707.152000000002</v>
      </c>
      <c r="AC132" s="147">
        <f t="shared" si="167"/>
        <v>103147.152</v>
      </c>
      <c r="AD132" s="11"/>
      <c r="AE132" s="46"/>
    </row>
    <row r="133" spans="2:31" ht="5.0999999999999996" customHeight="1">
      <c r="B133" s="86"/>
      <c r="C133" s="65"/>
      <c r="D133" s="65"/>
      <c r="E133" s="65"/>
      <c r="F133" s="65"/>
      <c r="G133" s="32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U133" s="11"/>
      <c r="V133" s="11"/>
      <c r="W133" s="11"/>
      <c r="X133" s="11"/>
      <c r="Y133" s="11"/>
      <c r="Z133" s="11"/>
      <c r="AA133" s="11"/>
      <c r="AB133" s="11"/>
      <c r="AC133" s="87"/>
      <c r="AD133" s="11"/>
      <c r="AE133" s="46"/>
    </row>
    <row r="134" spans="2:31">
      <c r="B134" s="133" t="s">
        <v>85</v>
      </c>
      <c r="C134" s="83">
        <f>ROUND(C132-C46,0.01)</f>
        <v>0</v>
      </c>
      <c r="D134" s="83">
        <f>ROUND(D132-D46,0.01)</f>
        <v>0</v>
      </c>
      <c r="E134" s="83">
        <f>ROUND(E132-E46,0.01)</f>
        <v>0</v>
      </c>
      <c r="F134" s="83">
        <f>ROUND(F132-F46,0.01)</f>
        <v>0</v>
      </c>
      <c r="G134" s="84"/>
      <c r="H134" s="83">
        <f>ROUND(H132-H46,0.01)</f>
        <v>0</v>
      </c>
      <c r="I134" s="83">
        <f>ROUND(I132-I46,0.01)</f>
        <v>0</v>
      </c>
      <c r="J134" s="83">
        <f>ROUND(J132-J46,0.01)</f>
        <v>0</v>
      </c>
      <c r="K134" s="83">
        <f>ROUND(K132-K46,0.01)</f>
        <v>0</v>
      </c>
      <c r="L134" s="83">
        <f>ROUND(L132-L46,0.1)</f>
        <v>0</v>
      </c>
      <c r="M134" s="83">
        <f>ROUND(M132-M46,-1)</f>
        <v>0</v>
      </c>
      <c r="N134" s="83">
        <f>ROUND(N132-N46,0.1)</f>
        <v>0</v>
      </c>
      <c r="O134" s="83">
        <f>ROUND(O132-O46,0.1)</f>
        <v>0</v>
      </c>
      <c r="P134" s="83">
        <f>ROUND(P132-P46,0.1)</f>
        <v>0</v>
      </c>
      <c r="Q134" s="83">
        <f>ROUND(Q132-Q46,0.1)</f>
        <v>0</v>
      </c>
      <c r="R134" s="83">
        <f>ROUND(R132-R46,0.1)</f>
        <v>0</v>
      </c>
      <c r="S134" s="83">
        <f>ROUND(S132-S46,0.1)</f>
        <v>0</v>
      </c>
      <c r="T134" s="83"/>
      <c r="U134" s="83">
        <f>ROUND(U132-U46,0.1)</f>
        <v>0</v>
      </c>
      <c r="V134" s="83">
        <f>ROUND(V132-V46,0.1)</f>
        <v>0</v>
      </c>
      <c r="W134" s="83">
        <f>ROUND(W132-W46,-1)</f>
        <v>0</v>
      </c>
      <c r="X134" s="83">
        <f>ROUND(X132-X46,0.1)</f>
        <v>0</v>
      </c>
      <c r="Y134" s="83">
        <f>ROUND(Y132-Y46,0.1)</f>
        <v>0</v>
      </c>
      <c r="Z134" s="83">
        <f>ROUND(Z132-Z46,0.1)</f>
        <v>0</v>
      </c>
      <c r="AA134" s="83">
        <f>ROUND(AA132-AA46,0.1)</f>
        <v>0</v>
      </c>
      <c r="AB134" s="83">
        <f>ROUND(AB132-AB46,0.1)</f>
        <v>0</v>
      </c>
      <c r="AC134" s="131">
        <f>ROUND(AC132-AC46,0.1)</f>
        <v>0</v>
      </c>
      <c r="AD134" s="11"/>
      <c r="AE134" s="46"/>
    </row>
    <row r="135" spans="2:31">
      <c r="B135" s="160"/>
      <c r="C135" s="161"/>
      <c r="D135" s="161"/>
      <c r="E135" s="161"/>
      <c r="F135" s="161"/>
      <c r="G135" s="162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1"/>
      <c r="AE135" s="46"/>
    </row>
    <row r="136" spans="2:31">
      <c r="B136" s="54" t="s">
        <v>167</v>
      </c>
      <c r="C136" s="161"/>
      <c r="D136" s="161"/>
      <c r="E136" s="161"/>
      <c r="F136" s="161"/>
      <c r="G136" s="162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1"/>
      <c r="AE136" s="46"/>
    </row>
    <row r="137" spans="2:31">
      <c r="B137" s="79" t="s">
        <v>168</v>
      </c>
      <c r="C137" s="77">
        <v>11159</v>
      </c>
      <c r="D137" s="77">
        <v>13880</v>
      </c>
      <c r="E137" s="77">
        <v>18051</v>
      </c>
      <c r="F137" s="77">
        <v>10668</v>
      </c>
      <c r="G137" s="162"/>
      <c r="H137" s="77">
        <v>2525.9870000000001</v>
      </c>
      <c r="I137" s="77">
        <f>5989.332-H137</f>
        <v>3463.3450000000003</v>
      </c>
      <c r="J137" s="77">
        <f>9610.361-I137-H137</f>
        <v>3621.0290000000005</v>
      </c>
      <c r="K137" s="32">
        <f t="shared" ref="K137:K138" si="168">SUM(D137-SUM(H137:J137))</f>
        <v>4269.6389999999992</v>
      </c>
      <c r="L137" s="77">
        <v>4639.2830000000004</v>
      </c>
      <c r="M137" s="77">
        <f>9273.681-L137</f>
        <v>4634.3980000000001</v>
      </c>
      <c r="N137" s="77">
        <f>13895.692-M137-L137</f>
        <v>4622.0109999999977</v>
      </c>
      <c r="O137" s="32">
        <f t="shared" ref="O137:O138" si="169">SUM(E137-SUM(L137:N137))</f>
        <v>4155.3080000000009</v>
      </c>
      <c r="P137" s="77">
        <v>584</v>
      </c>
      <c r="Q137" s="77">
        <f>3843-P137</f>
        <v>3259</v>
      </c>
      <c r="R137" s="77">
        <f>7417-Q137-P137</f>
        <v>3574</v>
      </c>
      <c r="S137" s="32">
        <f t="shared" ref="S137:S138" si="170">SUM(F137-SUM(P137:R137))</f>
        <v>3251</v>
      </c>
      <c r="T137" s="161"/>
      <c r="U137" s="32">
        <f t="shared" ref="U137:U138" si="171">SUM(H137:K137)</f>
        <v>13880</v>
      </c>
      <c r="V137" s="32">
        <f t="shared" ref="V137:V138" si="172">SUM(I137:L137)</f>
        <v>15993.295999999998</v>
      </c>
      <c r="W137" s="32">
        <f t="shared" ref="W137:W138" si="173">SUM(J137:M137)</f>
        <v>17164.349000000002</v>
      </c>
      <c r="X137" s="32">
        <f t="shared" ref="X137:X138" si="174">SUM(K137:N137)</f>
        <v>18165.330999999998</v>
      </c>
      <c r="Y137" s="32">
        <f t="shared" ref="Y137:Y138" si="175">SUM(L137:O137)</f>
        <v>18051</v>
      </c>
      <c r="Z137" s="32">
        <f t="shared" ref="Z137:Z138" si="176">SUM(M137:P137)</f>
        <v>13995.716999999999</v>
      </c>
      <c r="AA137" s="32">
        <f t="shared" ref="AA137:AA138" si="177">SUM(N137:Q137)</f>
        <v>12620.319</v>
      </c>
      <c r="AB137" s="32">
        <f t="shared" ref="AB137:AB138" si="178">SUM(O137:R137)</f>
        <v>11572.308000000001</v>
      </c>
      <c r="AC137" s="32">
        <f t="shared" ref="AC137:AC138" si="179">SUM(P137:S137)</f>
        <v>10668</v>
      </c>
      <c r="AD137" s="11"/>
      <c r="AE137" s="46"/>
    </row>
    <row r="138" spans="2:31">
      <c r="B138" s="79" t="s">
        <v>169</v>
      </c>
      <c r="C138" s="77">
        <v>0</v>
      </c>
      <c r="D138" s="77">
        <v>0</v>
      </c>
      <c r="E138" s="77">
        <v>0</v>
      </c>
      <c r="F138" s="77">
        <v>9392</v>
      </c>
      <c r="G138" s="162"/>
      <c r="H138" s="77">
        <v>0</v>
      </c>
      <c r="I138" s="77">
        <v>0</v>
      </c>
      <c r="J138" s="77">
        <v>0</v>
      </c>
      <c r="K138" s="32">
        <f t="shared" si="168"/>
        <v>0</v>
      </c>
      <c r="L138" s="77">
        <v>0</v>
      </c>
      <c r="M138" s="77">
        <v>0</v>
      </c>
      <c r="N138" s="77">
        <v>0</v>
      </c>
      <c r="O138" s="32">
        <f t="shared" si="169"/>
        <v>0</v>
      </c>
      <c r="P138" s="77">
        <v>0</v>
      </c>
      <c r="Q138" s="77">
        <f>1550-P138</f>
        <v>1550</v>
      </c>
      <c r="R138" s="77">
        <f>8895-Q138-P138</f>
        <v>7345</v>
      </c>
      <c r="S138" s="32">
        <f t="shared" si="170"/>
        <v>497</v>
      </c>
      <c r="T138" s="161"/>
      <c r="U138" s="32">
        <f t="shared" si="171"/>
        <v>0</v>
      </c>
      <c r="V138" s="32">
        <f t="shared" si="172"/>
        <v>0</v>
      </c>
      <c r="W138" s="32">
        <f t="shared" si="173"/>
        <v>0</v>
      </c>
      <c r="X138" s="32">
        <f t="shared" si="174"/>
        <v>0</v>
      </c>
      <c r="Y138" s="32">
        <f t="shared" si="175"/>
        <v>0</v>
      </c>
      <c r="Z138" s="32">
        <f t="shared" si="176"/>
        <v>0</v>
      </c>
      <c r="AA138" s="32">
        <f t="shared" si="177"/>
        <v>1550</v>
      </c>
      <c r="AB138" s="32">
        <f t="shared" si="178"/>
        <v>8895</v>
      </c>
      <c r="AC138" s="32">
        <f t="shared" si="179"/>
        <v>9392</v>
      </c>
      <c r="AD138" s="11"/>
      <c r="AE138" s="46"/>
    </row>
    <row r="139" spans="2:31" ht="5.0999999999999996" customHeight="1" thickBot="1">
      <c r="B139" s="71"/>
      <c r="C139" s="72"/>
      <c r="D139" s="72"/>
      <c r="E139" s="72"/>
      <c r="F139" s="72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E139" s="46"/>
    </row>
    <row r="140" spans="2:31" ht="12.75" customHeight="1"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26"/>
      <c r="AE140" s="46"/>
    </row>
    <row r="141" spans="2:31" ht="12.75" customHeight="1">
      <c r="B141" s="54"/>
      <c r="C141" s="66"/>
      <c r="D141" s="66"/>
      <c r="E141" s="66"/>
      <c r="F141" s="66"/>
    </row>
    <row r="142" spans="2:31" ht="12.75" customHeight="1">
      <c r="C142" s="57"/>
      <c r="D142" s="57"/>
      <c r="E142" s="57"/>
      <c r="F142" s="57"/>
    </row>
    <row r="143" spans="2:31" ht="12.75" customHeight="1">
      <c r="C143" s="57"/>
      <c r="D143" s="57"/>
      <c r="E143" s="57"/>
      <c r="F143" s="57"/>
    </row>
    <row r="144" spans="2:31" ht="12.75" customHeight="1">
      <c r="C144" s="57"/>
      <c r="D144" s="57"/>
      <c r="E144" s="57"/>
      <c r="F144" s="57"/>
    </row>
    <row r="145" spans="3:17" ht="12.75" customHeight="1">
      <c r="C145" s="57"/>
      <c r="D145" s="57"/>
      <c r="E145" s="57"/>
      <c r="F145" s="57"/>
    </row>
    <row r="146" spans="3:17" ht="12.75" customHeight="1">
      <c r="C146" s="57"/>
      <c r="D146" s="57"/>
      <c r="E146" s="57"/>
      <c r="F146" s="57"/>
      <c r="H146" s="82"/>
      <c r="I146" s="82"/>
      <c r="J146" s="82"/>
      <c r="K146" s="82"/>
      <c r="L146" s="82"/>
      <c r="M146" s="82"/>
      <c r="N146" s="82"/>
      <c r="O146" s="82"/>
      <c r="P146" s="82"/>
      <c r="Q146" s="82"/>
    </row>
    <row r="147" spans="3:17" ht="12.75" customHeight="1">
      <c r="C147" s="57"/>
      <c r="D147" s="57"/>
      <c r="E147" s="57"/>
      <c r="F147" s="57"/>
    </row>
    <row r="148" spans="3:17" ht="12.75" customHeight="1">
      <c r="C148" s="57"/>
      <c r="D148" s="57"/>
      <c r="E148" s="57"/>
      <c r="F148" s="57"/>
      <c r="H148" s="82"/>
      <c r="I148" s="82"/>
      <c r="J148" s="82"/>
      <c r="K148" s="82"/>
      <c r="L148" s="82"/>
      <c r="M148" s="82"/>
      <c r="N148" s="82"/>
      <c r="O148" s="82"/>
      <c r="P148" s="82"/>
      <c r="Q148" s="82"/>
    </row>
    <row r="149" spans="3:17">
      <c r="H149" s="82"/>
      <c r="I149" s="82"/>
      <c r="J149" s="82"/>
      <c r="K149" s="82"/>
      <c r="L149" s="82"/>
      <c r="M149" s="82"/>
      <c r="N149" s="82"/>
      <c r="O149" s="82"/>
      <c r="P149" s="82"/>
      <c r="Q149" s="82"/>
    </row>
    <row r="150" spans="3:17">
      <c r="H150" s="82"/>
      <c r="I150" s="82"/>
      <c r="J150" s="82"/>
      <c r="K150" s="82"/>
      <c r="L150" s="82"/>
      <c r="M150" s="82"/>
      <c r="N150" s="82"/>
      <c r="O150" s="82"/>
      <c r="P150" s="82"/>
      <c r="Q150" s="82"/>
    </row>
    <row r="153" spans="3:17">
      <c r="H153" s="82"/>
      <c r="I153" s="82"/>
      <c r="J153" s="82"/>
      <c r="K153" s="82"/>
      <c r="L153" s="82"/>
      <c r="M153" s="82"/>
      <c r="N153" s="82"/>
      <c r="O153" s="82"/>
      <c r="P153" s="82"/>
      <c r="Q153" s="82"/>
    </row>
  </sheetData>
  <mergeCells count="4">
    <mergeCell ref="B140:AB140"/>
    <mergeCell ref="AE6:AE8"/>
    <mergeCell ref="AE41:AE43"/>
    <mergeCell ref="AE85:AE87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U22:X23 U27:X29" formulaRange="1"/>
    <ignoredError sqref="D15:F16 D22:F23 D27:F29 D31:F33 L33:S33 K31:S32 K27:S29 Y21:AC21 Y15:AA16 AC15:AC16 Y32:AA32 AC32 AA22:AC23 Y31:AC31 AA27:AC29 AE26:AE34 B50:B52 H50:S50 AD112:AE112 U115:AE116 U109:AE111 H101:S101 H109:S111 H115:S116 U50:AE52 U101:AE101 U58:AE60 U65:AE67 AD61:AE64 AD71:AE72 D51:S52 D50:F50 D58:S60 D65:S67 G71:G72 G61:G64 B58:B60 B65:B67 AE10:AE16 K15:S16 AE21:AE24 K21:S23 T46 G46 AD46:AE46 T50:T53 G53 AD53:AE53 T71:T72 T58:T68 G68 AD68:AE68 T101:T102 AD102:AE102 T109:T112 AD114:AE114 T115:T116" evalError="1"/>
    <ignoredError sqref="H129:S129 M134" formula="1"/>
    <ignoredError sqref="Y27:Z29 Y22:Z23 AB32 AB15:AB16 G50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7F363-C3A5-4A79-89DA-0FA38206A3AB}">
  <sheetPr>
    <tabColor rgb="FFFF0000"/>
  </sheetPr>
  <dimension ref="A2:Z21"/>
  <sheetViews>
    <sheetView showGridLines="0" zoomScale="130" zoomScaleNormal="130" workbookViewId="0">
      <selection activeCell="B4" sqref="B4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customWidth="1" outlineLevel="1"/>
    <col min="4" max="6" width="8.625" style="8" bestFit="1" customWidth="1"/>
    <col min="7" max="7" width="1.5" style="8" customWidth="1"/>
    <col min="8" max="10" width="8" style="8" customWidth="1"/>
    <col min="11" max="11" width="8.75" style="8" bestFit="1" customWidth="1"/>
    <col min="12" max="14" width="8" style="8" customWidth="1"/>
    <col min="15" max="15" width="8.75" style="8" customWidth="1"/>
    <col min="16" max="16" width="8.5" style="8" customWidth="1"/>
    <col min="17" max="17" width="8.25" style="8" bestFit="1" customWidth="1"/>
    <col min="18" max="18" width="8.5" style="8" bestFit="1" customWidth="1"/>
    <col min="19" max="19" width="9.125" style="8" bestFit="1" customWidth="1"/>
    <col min="20" max="20" width="1.5" style="8" customWidth="1"/>
    <col min="21" max="22" width="8.75" style="8" customWidth="1" outlineLevel="1"/>
    <col min="23" max="23" width="8.75" style="8" bestFit="1" customWidth="1"/>
    <col min="24" max="24" width="8.75" style="8" customWidth="1" outlineLevel="1"/>
    <col min="25" max="25" width="1.5" style="8" customWidth="1"/>
    <col min="26" max="26" width="9.875" style="8" bestFit="1" customWidth="1"/>
    <col min="27" max="16384" width="9" style="8"/>
  </cols>
  <sheetData>
    <row r="2" spans="1:26" s="5" customFormat="1">
      <c r="B2" s="1" t="str">
        <f>'Historical Financials'!B2</f>
        <v>ADMA Biologics Inc (NASDAQ: ADMA)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/>
      <c r="M2" s="2"/>
      <c r="N2" s="2"/>
      <c r="O2" s="2"/>
      <c r="P2" s="2" t="s">
        <v>1</v>
      </c>
      <c r="Q2" s="2" t="s">
        <v>1</v>
      </c>
      <c r="R2" s="2"/>
      <c r="S2" s="2"/>
      <c r="T2" s="3"/>
      <c r="U2" s="2" t="s">
        <v>10</v>
      </c>
      <c r="V2" s="2"/>
      <c r="W2" s="2" t="s">
        <v>10</v>
      </c>
      <c r="X2" s="2"/>
      <c r="Y2" s="3"/>
      <c r="Z2" s="152" t="s">
        <v>24</v>
      </c>
    </row>
    <row r="3" spans="1:26" s="5" customFormat="1">
      <c r="B3" s="6" t="s">
        <v>149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4"/>
      <c r="U3" s="4" t="str">
        <f>P3</f>
        <v>1Q24</v>
      </c>
      <c r="V3" s="4" t="str">
        <f>Q3</f>
        <v>2Q24</v>
      </c>
      <c r="W3" s="4" t="str">
        <f>R3</f>
        <v>3Q24</v>
      </c>
      <c r="X3" s="4" t="str">
        <f>S3</f>
        <v>4Q24</v>
      </c>
      <c r="Y3" s="3"/>
      <c r="Z3" s="152"/>
    </row>
    <row r="4" spans="1:26" s="5" customFormat="1">
      <c r="B4" s="146" t="s">
        <v>109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>P4</f>
        <v>45382</v>
      </c>
      <c r="V4" s="3">
        <f>Q4</f>
        <v>45473</v>
      </c>
      <c r="W4" s="3">
        <f>R4</f>
        <v>45565</v>
      </c>
      <c r="X4" s="3">
        <f>S4</f>
        <v>45657</v>
      </c>
      <c r="Y4" s="3"/>
      <c r="Z4" s="152"/>
    </row>
    <row r="6" spans="1:26">
      <c r="A6" s="36" t="s">
        <v>18</v>
      </c>
      <c r="B6" s="1" t="s">
        <v>150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.0999999999999996" customHeight="1"/>
    <row r="8" spans="1:26">
      <c r="A8" s="156"/>
      <c r="B8" s="76" t="s">
        <v>151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5"/>
      <c r="U8" s="11"/>
      <c r="V8" s="11"/>
      <c r="W8" s="11"/>
      <c r="X8" s="11"/>
      <c r="Z8" s="12"/>
    </row>
    <row r="9" spans="1:26">
      <c r="B9" s="9" t="s">
        <v>155</v>
      </c>
      <c r="C9" s="157">
        <v>74936</v>
      </c>
      <c r="D9" s="157">
        <v>144070</v>
      </c>
      <c r="E9" s="157">
        <v>249738</v>
      </c>
      <c r="F9" s="157">
        <v>415806</v>
      </c>
      <c r="G9" s="157"/>
      <c r="H9" s="77">
        <v>25728.625</v>
      </c>
      <c r="I9" s="77">
        <v>32120.118999999999</v>
      </c>
      <c r="J9" s="77">
        <v>37280.798000000003</v>
      </c>
      <c r="K9" s="32">
        <f>SUM(D9-SUM(H9:J9))</f>
        <v>48940.457999999999</v>
      </c>
      <c r="L9" s="77">
        <v>49577</v>
      </c>
      <c r="M9" s="77">
        <v>59761</v>
      </c>
      <c r="N9" s="77">
        <v>66567</v>
      </c>
      <c r="O9" s="32">
        <f>SUM(E9-SUM(L9:N9))</f>
        <v>73833</v>
      </c>
      <c r="P9" s="77">
        <v>80113</v>
      </c>
      <c r="Q9" s="77">
        <v>106183</v>
      </c>
      <c r="R9" s="77">
        <v>113088</v>
      </c>
      <c r="S9" s="32">
        <f>SUM(F9-SUM(P9:R9))</f>
        <v>116422</v>
      </c>
      <c r="T9" s="11"/>
      <c r="U9" s="120">
        <f>SUM(M9:P9)</f>
        <v>280274</v>
      </c>
      <c r="V9" s="120">
        <f>SUM(N9:Q9)</f>
        <v>326696</v>
      </c>
      <c r="W9" s="120">
        <f>SUM(O9:R9)</f>
        <v>373217</v>
      </c>
      <c r="X9" s="120">
        <f>SUM(P9:S9)</f>
        <v>415806</v>
      </c>
      <c r="Z9" s="12">
        <f>SUM(X9/W9)-1</f>
        <v>0.11411323707119458</v>
      </c>
    </row>
    <row r="10" spans="1:26">
      <c r="B10" s="9" t="s">
        <v>156</v>
      </c>
      <c r="C10" s="157">
        <v>5864</v>
      </c>
      <c r="D10" s="157">
        <v>9867</v>
      </c>
      <c r="E10" s="157">
        <v>8334</v>
      </c>
      <c r="F10" s="157">
        <v>10505</v>
      </c>
      <c r="G10" s="157"/>
      <c r="H10" s="77">
        <v>3338.76</v>
      </c>
      <c r="I10" s="77">
        <v>1749.1790000000001</v>
      </c>
      <c r="J10" s="77">
        <v>3773.6309999999999</v>
      </c>
      <c r="K10" s="32">
        <f t="shared" ref="K10:K11" si="0">SUM(D10-SUM(H10:J10))</f>
        <v>1005.4300000000003</v>
      </c>
      <c r="L10" s="77">
        <v>7301</v>
      </c>
      <c r="M10" s="77">
        <v>326</v>
      </c>
      <c r="N10" s="77">
        <v>672</v>
      </c>
      <c r="O10" s="32">
        <f t="shared" ref="O10:O11" si="1">SUM(E10-SUM(L10:N10))</f>
        <v>35</v>
      </c>
      <c r="P10" s="77">
        <v>1726</v>
      </c>
      <c r="Q10" s="77">
        <v>972</v>
      </c>
      <c r="R10" s="77">
        <v>6715</v>
      </c>
      <c r="S10" s="32">
        <f t="shared" ref="S10:S11" si="2">SUM(F10-SUM(P10:R10))</f>
        <v>1092</v>
      </c>
      <c r="T10" s="11"/>
      <c r="U10" s="120">
        <f>SUM(M10:P10)</f>
        <v>2759</v>
      </c>
      <c r="V10" s="120">
        <f>SUM(N10:Q10)</f>
        <v>3405</v>
      </c>
      <c r="W10" s="120">
        <f>SUM(O10:R10)</f>
        <v>9448</v>
      </c>
      <c r="X10" s="120">
        <f>SUM(P10:S10)</f>
        <v>10505</v>
      </c>
      <c r="Z10" s="12">
        <f t="shared" ref="Z10:Z11" si="3">SUM(X10/W10)-1</f>
        <v>0.11187552921253174</v>
      </c>
    </row>
    <row r="11" spans="1:26">
      <c r="B11" s="9" t="s">
        <v>157</v>
      </c>
      <c r="C11" s="157">
        <v>143</v>
      </c>
      <c r="D11" s="157">
        <v>143</v>
      </c>
      <c r="E11" s="157">
        <v>143</v>
      </c>
      <c r="F11" s="157">
        <v>143</v>
      </c>
      <c r="G11" s="157"/>
      <c r="H11" s="77">
        <v>35.707999999999998</v>
      </c>
      <c r="I11" s="77">
        <v>35.709000000000003</v>
      </c>
      <c r="J11" s="77">
        <v>35.707999999999998</v>
      </c>
      <c r="K11" s="32">
        <f t="shared" si="0"/>
        <v>35.875</v>
      </c>
      <c r="L11" s="77">
        <v>36</v>
      </c>
      <c r="M11" s="77">
        <v>36</v>
      </c>
      <c r="N11" s="77">
        <v>36</v>
      </c>
      <c r="O11" s="32">
        <f t="shared" si="1"/>
        <v>35</v>
      </c>
      <c r="P11" s="77">
        <v>36</v>
      </c>
      <c r="Q11" s="77">
        <v>36</v>
      </c>
      <c r="R11" s="77">
        <v>36</v>
      </c>
      <c r="S11" s="32">
        <f t="shared" si="2"/>
        <v>35</v>
      </c>
      <c r="T11" s="11"/>
      <c r="U11" s="120">
        <f>SUM(M11:P11)</f>
        <v>143</v>
      </c>
      <c r="V11" s="120">
        <f>SUM(N11:Q11)</f>
        <v>143</v>
      </c>
      <c r="W11" s="120">
        <f>SUM(O11:R11)</f>
        <v>143</v>
      </c>
      <c r="X11" s="120">
        <f>SUM(P11:S11)</f>
        <v>143</v>
      </c>
      <c r="Z11" s="12">
        <f t="shared" si="3"/>
        <v>0</v>
      </c>
    </row>
    <row r="12" spans="1:26">
      <c r="B12" s="13" t="s">
        <v>152</v>
      </c>
      <c r="C12" s="14">
        <f>SUM(C9:C11)</f>
        <v>80943</v>
      </c>
      <c r="D12" s="14">
        <f t="shared" ref="D12:F12" si="4">SUM(D9:D11)</f>
        <v>154080</v>
      </c>
      <c r="E12" s="14">
        <f t="shared" si="4"/>
        <v>258215</v>
      </c>
      <c r="F12" s="14">
        <f t="shared" si="4"/>
        <v>426454</v>
      </c>
      <c r="G12" s="11"/>
      <c r="H12" s="14">
        <f t="shared" ref="H12" si="5">SUM(H9:H11)</f>
        <v>29103.093000000001</v>
      </c>
      <c r="I12" s="14">
        <f t="shared" ref="I12" si="6">SUM(I9:I11)</f>
        <v>33905.006999999998</v>
      </c>
      <c r="J12" s="14">
        <f t="shared" ref="J12" si="7">SUM(J9:J11)</f>
        <v>41090.137000000002</v>
      </c>
      <c r="K12" s="14">
        <f t="shared" ref="K12" si="8">SUM(K9:K11)</f>
        <v>49981.762999999999</v>
      </c>
      <c r="L12" s="14">
        <f t="shared" ref="L12" si="9">SUM(L9:L11)</f>
        <v>56914</v>
      </c>
      <c r="M12" s="14">
        <f t="shared" ref="M12" si="10">SUM(M9:M11)</f>
        <v>60123</v>
      </c>
      <c r="N12" s="14">
        <f t="shared" ref="N12" si="11">SUM(N9:N11)</f>
        <v>67275</v>
      </c>
      <c r="O12" s="14">
        <f t="shared" ref="O12" si="12">SUM(O9:O11)</f>
        <v>73903</v>
      </c>
      <c r="P12" s="14">
        <f t="shared" ref="P12" si="13">SUM(P9:P11)</f>
        <v>81875</v>
      </c>
      <c r="Q12" s="14">
        <f t="shared" ref="Q12" si="14">SUM(Q9:Q11)</f>
        <v>107191</v>
      </c>
      <c r="R12" s="14">
        <f t="shared" ref="R12" si="15">SUM(R9:R11)</f>
        <v>119839</v>
      </c>
      <c r="S12" s="14">
        <f t="shared" ref="S12" si="16">SUM(S9:S11)</f>
        <v>117549</v>
      </c>
      <c r="T12" s="5"/>
      <c r="U12" s="14">
        <f t="shared" ref="U12" si="17">SUM(U9:U11)</f>
        <v>283176</v>
      </c>
      <c r="V12" s="14">
        <f t="shared" ref="V12" si="18">SUM(V9:V11)</f>
        <v>330244</v>
      </c>
      <c r="W12" s="14">
        <f t="shared" ref="W12" si="19">SUM(W9:W11)</f>
        <v>382808</v>
      </c>
      <c r="X12" s="14">
        <f t="shared" ref="X12" si="20">SUM(X9:X11)</f>
        <v>426454</v>
      </c>
      <c r="Z12" s="15">
        <f>SUM(X12/W12)-1</f>
        <v>0.11401538107876541</v>
      </c>
    </row>
    <row r="13" spans="1:26">
      <c r="B13" s="158" t="s">
        <v>153</v>
      </c>
      <c r="C13" s="159">
        <f>ROUND(C12-'Historical Financials'!C11,1)</f>
        <v>0</v>
      </c>
      <c r="D13" s="159">
        <f>ROUND(D12-'Historical Financials'!D11,1)</f>
        <v>0</v>
      </c>
      <c r="E13" s="159">
        <f>ROUND(E12-'Historical Financials'!E11,1)</f>
        <v>0</v>
      </c>
      <c r="F13" s="159">
        <f>ROUND(F12-'Historical Financials'!F11,1)</f>
        <v>0</v>
      </c>
      <c r="G13" s="11"/>
      <c r="H13" s="159">
        <f>ROUND(H12-'Historical Financials'!H11,0.1)</f>
        <v>0</v>
      </c>
      <c r="I13" s="159">
        <f>ROUND(I12-'Historical Financials'!I11,0.1)</f>
        <v>0</v>
      </c>
      <c r="J13" s="159">
        <f>ROUND(J12-'Historical Financials'!J11,0.1)</f>
        <v>0</v>
      </c>
      <c r="K13" s="159">
        <f>ROUND(K12-'Historical Financials'!K11,0.1)</f>
        <v>0</v>
      </c>
      <c r="L13" s="159">
        <f>ROUND(L12-'Historical Financials'!L11,0.1)</f>
        <v>0</v>
      </c>
      <c r="M13" s="159">
        <f>ROUND(M12-'Historical Financials'!M11,0.1)</f>
        <v>0</v>
      </c>
      <c r="N13" s="159">
        <f>ROUND(N12-'Historical Financials'!N11,0.1)</f>
        <v>0</v>
      </c>
      <c r="O13" s="159">
        <f>ROUND(O12-'Historical Financials'!O11,-1)</f>
        <v>0</v>
      </c>
      <c r="P13" s="159">
        <f>ROUND(P12-'Historical Financials'!P11,0.1)</f>
        <v>0</v>
      </c>
      <c r="Q13" s="159">
        <f>ROUND(Q12-'Historical Financials'!Q11,0.1)</f>
        <v>0</v>
      </c>
      <c r="R13" s="159">
        <f>ROUND(R12-'Historical Financials'!R11,0.1)</f>
        <v>0</v>
      </c>
      <c r="S13" s="159">
        <f>ROUND(S12-'Historical Financials'!S11,0.1)</f>
        <v>0</v>
      </c>
      <c r="T13" s="159"/>
      <c r="U13" s="159">
        <f>ROUND(U12-'Historical Financials'!Z11,-1)</f>
        <v>0</v>
      </c>
      <c r="V13" s="159">
        <f>ROUND(V12-'Historical Financials'!AA11,-1)</f>
        <v>0</v>
      </c>
      <c r="W13" s="159">
        <f>ROUND(W12-'Historical Financials'!AB11,-1)</f>
        <v>0</v>
      </c>
      <c r="X13" s="159">
        <f>ROUND(X12-'Historical Financials'!AC11,1)</f>
        <v>0</v>
      </c>
    </row>
    <row r="14" spans="1:26">
      <c r="B14" s="18"/>
      <c r="C14" s="19"/>
      <c r="D14" s="19"/>
      <c r="E14" s="19"/>
      <c r="F14" s="19"/>
      <c r="G14" s="20"/>
      <c r="H14" s="21"/>
      <c r="I14" s="21"/>
      <c r="J14" s="21"/>
      <c r="K14" s="21"/>
      <c r="L14" s="21"/>
      <c r="M14" s="21"/>
      <c r="N14" s="21"/>
      <c r="O14" s="22"/>
      <c r="P14" s="21"/>
      <c r="Q14" s="21"/>
      <c r="R14" s="21"/>
      <c r="S14" s="21"/>
      <c r="T14" s="20"/>
      <c r="U14" s="20"/>
      <c r="V14" s="20"/>
      <c r="W14" s="20"/>
      <c r="X14" s="20"/>
    </row>
    <row r="15" spans="1:26">
      <c r="A15" s="36" t="s">
        <v>18</v>
      </c>
      <c r="B15" s="1" t="s">
        <v>158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5.0999999999999996" customHeight="1"/>
    <row r="17" spans="1:26">
      <c r="A17" s="156"/>
      <c r="B17" s="76" t="s">
        <v>151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11"/>
      <c r="V17" s="11"/>
      <c r="W17" s="11"/>
      <c r="X17" s="11"/>
      <c r="Z17" s="12"/>
    </row>
    <row r="18" spans="1:26">
      <c r="B18" s="9" t="s">
        <v>160</v>
      </c>
      <c r="C18" s="157">
        <v>70626</v>
      </c>
      <c r="D18" s="157">
        <v>146427</v>
      </c>
      <c r="E18" s="157">
        <v>244881</v>
      </c>
      <c r="F18" s="157">
        <v>410148</v>
      </c>
      <c r="G18" s="157"/>
      <c r="H18" s="77">
        <v>27316.151000000002</v>
      </c>
      <c r="I18" s="77">
        <v>31274.844000000001</v>
      </c>
      <c r="J18" s="77">
        <v>37854.167000000001</v>
      </c>
      <c r="K18" s="32">
        <f>SUM(D18-SUM(H18:J18))</f>
        <v>49981.837999999989</v>
      </c>
      <c r="L18" s="77">
        <v>52695</v>
      </c>
      <c r="M18" s="77">
        <v>56608</v>
      </c>
      <c r="N18" s="77">
        <v>64618</v>
      </c>
      <c r="O18" s="32">
        <f>SUM(E18-SUM(L18:N18))</f>
        <v>70960</v>
      </c>
      <c r="P18" s="77">
        <v>77991</v>
      </c>
      <c r="Q18" s="77">
        <v>102726</v>
      </c>
      <c r="R18" s="77">
        <v>114748</v>
      </c>
      <c r="S18" s="32">
        <f>SUM(F18-SUM(P18:R18))</f>
        <v>114683</v>
      </c>
      <c r="T18" s="11"/>
      <c r="U18" s="120">
        <f>SUM(M18:P18)</f>
        <v>270177</v>
      </c>
      <c r="V18" s="120">
        <f>SUM(N18:Q18)</f>
        <v>316295</v>
      </c>
      <c r="W18" s="120">
        <f>SUM(O18:R18)</f>
        <v>366425</v>
      </c>
      <c r="X18" s="120">
        <f>SUM(P18:S18)</f>
        <v>410148</v>
      </c>
      <c r="Z18" s="12">
        <f>SUM(X18/W18)-1</f>
        <v>0.11932319028450578</v>
      </c>
    </row>
    <row r="19" spans="1:26">
      <c r="B19" s="9" t="s">
        <v>161</v>
      </c>
      <c r="C19" s="157">
        <v>10317</v>
      </c>
      <c r="D19" s="157">
        <v>7653</v>
      </c>
      <c r="E19" s="157">
        <v>13334</v>
      </c>
      <c r="F19" s="157">
        <v>16306</v>
      </c>
      <c r="G19" s="157"/>
      <c r="H19" s="77">
        <v>1786.942</v>
      </c>
      <c r="I19" s="77">
        <v>2630.163</v>
      </c>
      <c r="J19" s="77">
        <v>3235.97</v>
      </c>
      <c r="K19" s="32">
        <f t="shared" ref="K19" si="21">SUM(D19-SUM(H19:J19))</f>
        <v>-7.4999999998908606E-2</v>
      </c>
      <c r="L19" s="77">
        <v>4219</v>
      </c>
      <c r="M19" s="77">
        <v>3515</v>
      </c>
      <c r="N19" s="77">
        <v>2657</v>
      </c>
      <c r="O19" s="32">
        <f t="shared" ref="O19" si="22">SUM(E19-SUM(L19:N19))</f>
        <v>2943</v>
      </c>
      <c r="P19" s="77">
        <v>3884</v>
      </c>
      <c r="Q19" s="77">
        <v>4465</v>
      </c>
      <c r="R19" s="77">
        <v>5091</v>
      </c>
      <c r="S19" s="32">
        <f t="shared" ref="S19" si="23">SUM(F19-SUM(P19:R19))</f>
        <v>2866</v>
      </c>
      <c r="T19" s="11"/>
      <c r="U19" s="120">
        <f>SUM(M19:P19)</f>
        <v>12999</v>
      </c>
      <c r="V19" s="120">
        <f>SUM(N19:Q19)</f>
        <v>13949</v>
      </c>
      <c r="W19" s="120">
        <f>SUM(O19:R19)</f>
        <v>16383</v>
      </c>
      <c r="X19" s="120">
        <f>SUM(P19:S19)</f>
        <v>16306</v>
      </c>
      <c r="Z19" s="12">
        <f t="shared" ref="Z19" si="24">SUM(X19/W19)-1</f>
        <v>-4.6999938961118648E-3</v>
      </c>
    </row>
    <row r="20" spans="1:26">
      <c r="B20" s="13" t="s">
        <v>159</v>
      </c>
      <c r="C20" s="14">
        <f>SUM(C18:C19)</f>
        <v>80943</v>
      </c>
      <c r="D20" s="14">
        <f>SUM(D18:D19)</f>
        <v>154080</v>
      </c>
      <c r="E20" s="14">
        <f>SUM(E18:E19)</f>
        <v>258215</v>
      </c>
      <c r="F20" s="14">
        <f>SUM(F18:F19)</f>
        <v>426454</v>
      </c>
      <c r="G20" s="11"/>
      <c r="H20" s="14">
        <f>SUM(H18:H19)</f>
        <v>29103.093000000001</v>
      </c>
      <c r="I20" s="14">
        <f>SUM(I18:I19)</f>
        <v>33905.006999999998</v>
      </c>
      <c r="J20" s="14">
        <f>SUM(J18:J19)</f>
        <v>41090.137000000002</v>
      </c>
      <c r="K20" s="14">
        <f>SUM(K18:K19)</f>
        <v>49981.762999999992</v>
      </c>
      <c r="L20" s="14">
        <f>SUM(L18:L19)</f>
        <v>56914</v>
      </c>
      <c r="M20" s="14">
        <f>SUM(M18:M19)</f>
        <v>60123</v>
      </c>
      <c r="N20" s="14">
        <f>SUM(N18:N19)</f>
        <v>67275</v>
      </c>
      <c r="O20" s="14">
        <f>SUM(O18:O19)</f>
        <v>73903</v>
      </c>
      <c r="P20" s="14">
        <f>SUM(P18:P19)</f>
        <v>81875</v>
      </c>
      <c r="Q20" s="14">
        <f>SUM(Q18:Q19)</f>
        <v>107191</v>
      </c>
      <c r="R20" s="14">
        <f>SUM(R18:R19)</f>
        <v>119839</v>
      </c>
      <c r="S20" s="14">
        <f>SUM(S18:S19)</f>
        <v>117549</v>
      </c>
      <c r="T20" s="5"/>
      <c r="U20" s="14">
        <f>SUM(U18:U19)</f>
        <v>283176</v>
      </c>
      <c r="V20" s="14">
        <f>SUM(V18:V19)</f>
        <v>330244</v>
      </c>
      <c r="W20" s="14">
        <f>SUM(W18:W19)</f>
        <v>382808</v>
      </c>
      <c r="X20" s="14">
        <f>SUM(X18:X19)</f>
        <v>426454</v>
      </c>
      <c r="Z20" s="15">
        <f>SUM(X20/W20)-1</f>
        <v>0.11401538107876541</v>
      </c>
    </row>
    <row r="21" spans="1:26">
      <c r="B21" s="158" t="s">
        <v>153</v>
      </c>
      <c r="C21" s="159">
        <f>C20-C12</f>
        <v>0</v>
      </c>
      <c r="D21" s="159">
        <f>D20-D12</f>
        <v>0</v>
      </c>
      <c r="E21" s="159">
        <f>E20-E12</f>
        <v>0</v>
      </c>
      <c r="F21" s="159">
        <f>F20-F12</f>
        <v>0</v>
      </c>
      <c r="G21" s="11"/>
      <c r="H21" s="159">
        <f>H20-H12</f>
        <v>0</v>
      </c>
      <c r="I21" s="159">
        <f>I20-I12</f>
        <v>0</v>
      </c>
      <c r="J21" s="159">
        <f>J20-J12</f>
        <v>0</v>
      </c>
      <c r="K21" s="159">
        <f>K20-K12</f>
        <v>0</v>
      </c>
      <c r="L21" s="159">
        <f>L20-L12</f>
        <v>0</v>
      </c>
      <c r="M21" s="159">
        <f>M20-M12</f>
        <v>0</v>
      </c>
      <c r="N21" s="159">
        <f>N20-N12</f>
        <v>0</v>
      </c>
      <c r="O21" s="159">
        <f>O20-O12</f>
        <v>0</v>
      </c>
      <c r="P21" s="159">
        <f>P20-P12</f>
        <v>0</v>
      </c>
      <c r="Q21" s="159">
        <f>Q20-Q12</f>
        <v>0</v>
      </c>
      <c r="R21" s="159">
        <f>R20-R12</f>
        <v>0</v>
      </c>
      <c r="S21" s="159">
        <f>S20-S12</f>
        <v>0</v>
      </c>
      <c r="T21" s="159"/>
      <c r="U21" s="159">
        <f>U20-U12</f>
        <v>0</v>
      </c>
      <c r="V21" s="159">
        <f>V20-V12</f>
        <v>0</v>
      </c>
      <c r="W21" s="159">
        <f>W20-W12</f>
        <v>0</v>
      </c>
      <c r="X21" s="159">
        <f>X20-X12</f>
        <v>0</v>
      </c>
    </row>
  </sheetData>
  <mergeCells count="1">
    <mergeCell ref="Z2:Z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E82"/>
  <sheetViews>
    <sheetView showGridLines="0" tabSelected="1" zoomScale="115" zoomScaleNormal="115" workbookViewId="0">
      <selection activeCell="B3" sqref="B3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10" width="8" style="8" customWidth="1" outlineLevel="1"/>
    <col min="11" max="11" width="8.75" style="8" bestFit="1" customWidth="1" outlineLevel="1"/>
    <col min="12" max="13" width="8" style="8" customWidth="1" outlineLevel="1"/>
    <col min="14" max="14" width="8.875" style="8" customWidth="1" outlineLevel="1"/>
    <col min="15" max="17" width="8.875" style="8" customWidth="1"/>
    <col min="18" max="19" width="8.875" style="8" bestFit="1" customWidth="1"/>
    <col min="20" max="20" width="1.625" style="8" customWidth="1"/>
    <col min="21" max="21" width="8.25" style="8" hidden="1" customWidth="1" outlineLevel="1"/>
    <col min="22" max="22" width="9.25" style="8" hidden="1" customWidth="1" outlineLevel="1"/>
    <col min="23" max="23" width="9.75" style="8" hidden="1" customWidth="1" outlineLevel="1"/>
    <col min="24" max="24" width="9" style="8" hidden="1" customWidth="1" outlineLevel="1"/>
    <col min="25" max="25" width="9" style="8" customWidth="1" collapsed="1"/>
    <col min="26" max="27" width="9" style="8" hidden="1" customWidth="1" outlineLevel="1"/>
    <col min="28" max="28" width="8.5" style="8" hidden="1" customWidth="1" outlineLevel="1"/>
    <col min="29" max="29" width="8.5" style="8" bestFit="1" customWidth="1" collapsed="1"/>
    <col min="30" max="30" width="1.5" style="8" customWidth="1"/>
    <col min="31" max="31" width="9.375" style="125" bestFit="1" customWidth="1"/>
    <col min="32" max="16384" width="9" style="8"/>
  </cols>
  <sheetData>
    <row r="2" spans="2:31" s="5" customFormat="1" ht="12.75" customHeight="1">
      <c r="B2" s="1" t="str">
        <f>'Historical Financials'!B2</f>
        <v>ADMA Biologics Inc (NASDAQ: ADMA)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 t="s">
        <v>10</v>
      </c>
      <c r="Z2" s="2"/>
      <c r="AA2" s="2"/>
      <c r="AB2" s="2"/>
      <c r="AC2" s="2"/>
      <c r="AD2" s="3"/>
      <c r="AE2" s="155" t="s">
        <v>24</v>
      </c>
    </row>
    <row r="3" spans="2:31" s="5" customFormat="1" ht="12.75" customHeight="1">
      <c r="B3" s="6" t="s">
        <v>25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3"/>
      <c r="U3" s="4" t="str">
        <f t="shared" ref="U3:AC4" si="0">K3</f>
        <v>4Q22</v>
      </c>
      <c r="V3" s="4" t="str">
        <f t="shared" si="0"/>
        <v>1Q23</v>
      </c>
      <c r="W3" s="4" t="str">
        <f t="shared" si="0"/>
        <v>2Q23</v>
      </c>
      <c r="X3" s="4" t="str">
        <f t="shared" si="0"/>
        <v>3Q23</v>
      </c>
      <c r="Y3" s="4" t="str">
        <f t="shared" si="0"/>
        <v>4Q23</v>
      </c>
      <c r="Z3" s="4" t="str">
        <f t="shared" si="0"/>
        <v>1Q24</v>
      </c>
      <c r="AA3" s="4" t="str">
        <f t="shared" si="0"/>
        <v>2Q24</v>
      </c>
      <c r="AB3" s="4" t="str">
        <f t="shared" si="0"/>
        <v>3Q24</v>
      </c>
      <c r="AC3" s="4" t="str">
        <f t="shared" si="0"/>
        <v>4Q24</v>
      </c>
      <c r="AD3" s="3"/>
      <c r="AE3" s="155"/>
    </row>
    <row r="4" spans="2:31" s="5" customFormat="1" ht="12.75" customHeight="1">
      <c r="B4" s="146" t="s">
        <v>109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/>
      <c r="U4" s="3">
        <f t="shared" si="0"/>
        <v>44926</v>
      </c>
      <c r="V4" s="3">
        <f t="shared" si="0"/>
        <v>45016</v>
      </c>
      <c r="W4" s="3">
        <f t="shared" si="0"/>
        <v>45107</v>
      </c>
      <c r="X4" s="3">
        <f t="shared" si="0"/>
        <v>45199</v>
      </c>
      <c r="Y4" s="3">
        <f t="shared" si="0"/>
        <v>45291</v>
      </c>
      <c r="Z4" s="3">
        <f t="shared" si="0"/>
        <v>45382</v>
      </c>
      <c r="AA4" s="3">
        <f t="shared" si="0"/>
        <v>45473</v>
      </c>
      <c r="AB4" s="3">
        <f t="shared" si="0"/>
        <v>45565</v>
      </c>
      <c r="AC4" s="3">
        <f t="shared" si="0"/>
        <v>45657</v>
      </c>
      <c r="AD4" s="3"/>
      <c r="AE4" s="155"/>
    </row>
    <row r="5" spans="2:31" ht="5.0999999999999996" customHeight="1">
      <c r="AE5" s="121"/>
    </row>
    <row r="6" spans="2:31" ht="12.75" customHeight="1">
      <c r="B6" s="9" t="str">
        <f>'Revenue Drivers'!B9</f>
        <v>ADMA BioManufacturing</v>
      </c>
      <c r="C6" s="90">
        <f>'Revenue Drivers'!C9</f>
        <v>74936</v>
      </c>
      <c r="D6" s="90">
        <f>'Revenue Drivers'!D9</f>
        <v>144070</v>
      </c>
      <c r="E6" s="90">
        <f>'Revenue Drivers'!E9</f>
        <v>249738</v>
      </c>
      <c r="F6" s="90">
        <f>'Revenue Drivers'!F9</f>
        <v>415806</v>
      </c>
      <c r="G6" s="10"/>
      <c r="H6" s="90">
        <f>'Revenue Drivers'!H9</f>
        <v>25728.625</v>
      </c>
      <c r="I6" s="90">
        <f>'Revenue Drivers'!I9</f>
        <v>32120.118999999999</v>
      </c>
      <c r="J6" s="90">
        <f>'Revenue Drivers'!J9</f>
        <v>37280.798000000003</v>
      </c>
      <c r="K6" s="90">
        <f>'Revenue Drivers'!K9</f>
        <v>48940.457999999999</v>
      </c>
      <c r="L6" s="90">
        <f>'Revenue Drivers'!L9</f>
        <v>49577</v>
      </c>
      <c r="M6" s="90">
        <f>'Revenue Drivers'!M9</f>
        <v>59761</v>
      </c>
      <c r="N6" s="90">
        <f>'Revenue Drivers'!N9</f>
        <v>66567</v>
      </c>
      <c r="O6" s="90">
        <f>'Revenue Drivers'!O9</f>
        <v>73833</v>
      </c>
      <c r="P6" s="90">
        <f>'Revenue Drivers'!P9</f>
        <v>80113</v>
      </c>
      <c r="Q6" s="90">
        <f>'Revenue Drivers'!Q9</f>
        <v>106183</v>
      </c>
      <c r="R6" s="90">
        <f>'Revenue Drivers'!R9</f>
        <v>113088</v>
      </c>
      <c r="S6" s="90">
        <f>'Revenue Drivers'!S9</f>
        <v>116422</v>
      </c>
      <c r="T6" s="5"/>
      <c r="U6" s="137">
        <f t="shared" ref="U6:AB6" si="1">SUM(H6:K6)</f>
        <v>144070</v>
      </c>
      <c r="V6" s="137">
        <f t="shared" si="1"/>
        <v>167918.375</v>
      </c>
      <c r="W6" s="137">
        <f t="shared" si="1"/>
        <v>195559.25599999999</v>
      </c>
      <c r="X6" s="137">
        <f t="shared" si="1"/>
        <v>224845.45799999998</v>
      </c>
      <c r="Y6" s="137">
        <f t="shared" si="1"/>
        <v>249738</v>
      </c>
      <c r="Z6" s="137">
        <f t="shared" si="1"/>
        <v>280274</v>
      </c>
      <c r="AA6" s="137">
        <f t="shared" si="1"/>
        <v>326696</v>
      </c>
      <c r="AB6" s="137">
        <f t="shared" si="1"/>
        <v>373217</v>
      </c>
      <c r="AC6" s="137">
        <f>SUM(P6:S6)</f>
        <v>415806</v>
      </c>
      <c r="AE6" s="122">
        <f>SUM(AC6/Y6)-1</f>
        <v>0.66496888739398896</v>
      </c>
    </row>
    <row r="7" spans="2:31" ht="12.75" customHeight="1">
      <c r="B7" s="9" t="str">
        <f>'Revenue Drivers'!B10</f>
        <v>Plasma Collection Centers</v>
      </c>
      <c r="C7" s="90">
        <f>'Revenue Drivers'!C10</f>
        <v>5864</v>
      </c>
      <c r="D7" s="90">
        <f>'Revenue Drivers'!D10</f>
        <v>9867</v>
      </c>
      <c r="E7" s="90">
        <f>'Revenue Drivers'!E10</f>
        <v>8334</v>
      </c>
      <c r="F7" s="90">
        <f>'Revenue Drivers'!F10</f>
        <v>10505</v>
      </c>
      <c r="G7" s="10"/>
      <c r="H7" s="90">
        <f>'Revenue Drivers'!H10</f>
        <v>3338.76</v>
      </c>
      <c r="I7" s="90">
        <f>'Revenue Drivers'!I10</f>
        <v>1749.1790000000001</v>
      </c>
      <c r="J7" s="90">
        <f>'Revenue Drivers'!J10</f>
        <v>3773.6309999999999</v>
      </c>
      <c r="K7" s="90">
        <f>'Revenue Drivers'!K10</f>
        <v>1005.4300000000003</v>
      </c>
      <c r="L7" s="90">
        <f>'Revenue Drivers'!L10</f>
        <v>7301</v>
      </c>
      <c r="M7" s="90">
        <f>'Revenue Drivers'!M10</f>
        <v>326</v>
      </c>
      <c r="N7" s="90">
        <f>'Revenue Drivers'!N10</f>
        <v>672</v>
      </c>
      <c r="O7" s="90">
        <f>'Revenue Drivers'!O10</f>
        <v>35</v>
      </c>
      <c r="P7" s="90">
        <f>'Revenue Drivers'!P10</f>
        <v>1726</v>
      </c>
      <c r="Q7" s="90">
        <f>'Revenue Drivers'!Q10</f>
        <v>972</v>
      </c>
      <c r="R7" s="90">
        <f>'Revenue Drivers'!R10</f>
        <v>6715</v>
      </c>
      <c r="S7" s="90">
        <f>'Revenue Drivers'!S10</f>
        <v>1092</v>
      </c>
      <c r="T7" s="5"/>
      <c r="U7" s="137"/>
      <c r="V7" s="137"/>
      <c r="W7" s="137"/>
      <c r="X7" s="137"/>
      <c r="Y7" s="137">
        <f t="shared" ref="Y7:Y8" si="2">SUM(L7:O7)</f>
        <v>8334</v>
      </c>
      <c r="Z7" s="137">
        <f t="shared" ref="Z7:Z8" si="3">SUM(M7:P7)</f>
        <v>2759</v>
      </c>
      <c r="AA7" s="137">
        <f t="shared" ref="AA7:AA8" si="4">SUM(N7:Q7)</f>
        <v>3405</v>
      </c>
      <c r="AB7" s="137">
        <f t="shared" ref="AB7:AB8" si="5">SUM(O7:R7)</f>
        <v>9448</v>
      </c>
      <c r="AC7" s="137">
        <f t="shared" ref="AC7:AC8" si="6">SUM(P7:S7)</f>
        <v>10505</v>
      </c>
      <c r="AE7" s="122">
        <f t="shared" ref="AE7:AE8" si="7">SUM(AC7/Y7)-1</f>
        <v>0.26049916006719465</v>
      </c>
    </row>
    <row r="8" spans="2:31" ht="12.75" customHeight="1">
      <c r="B8" s="9" t="str">
        <f>'Revenue Drivers'!B11</f>
        <v>License revenue</v>
      </c>
      <c r="C8" s="90">
        <f>'Revenue Drivers'!C11</f>
        <v>143</v>
      </c>
      <c r="D8" s="90">
        <f>'Revenue Drivers'!D11</f>
        <v>143</v>
      </c>
      <c r="E8" s="90">
        <f>'Revenue Drivers'!E11</f>
        <v>143</v>
      </c>
      <c r="F8" s="90">
        <f>'Revenue Drivers'!F11</f>
        <v>143</v>
      </c>
      <c r="G8" s="10"/>
      <c r="H8" s="90">
        <f>'Revenue Drivers'!H11</f>
        <v>35.707999999999998</v>
      </c>
      <c r="I8" s="90">
        <f>'Revenue Drivers'!I11</f>
        <v>35.709000000000003</v>
      </c>
      <c r="J8" s="90">
        <f>'Revenue Drivers'!J11</f>
        <v>35.707999999999998</v>
      </c>
      <c r="K8" s="90">
        <f>'Revenue Drivers'!K11</f>
        <v>35.875</v>
      </c>
      <c r="L8" s="90">
        <f>'Revenue Drivers'!L11</f>
        <v>36</v>
      </c>
      <c r="M8" s="90">
        <f>'Revenue Drivers'!M11</f>
        <v>36</v>
      </c>
      <c r="N8" s="90">
        <f>'Revenue Drivers'!N11</f>
        <v>36</v>
      </c>
      <c r="O8" s="90">
        <f>'Revenue Drivers'!O11</f>
        <v>35</v>
      </c>
      <c r="P8" s="90">
        <f>'Revenue Drivers'!P11</f>
        <v>36</v>
      </c>
      <c r="Q8" s="90">
        <f>'Revenue Drivers'!Q11</f>
        <v>36</v>
      </c>
      <c r="R8" s="90">
        <f>'Revenue Drivers'!R11</f>
        <v>36</v>
      </c>
      <c r="S8" s="90">
        <f>'Revenue Drivers'!S11</f>
        <v>35</v>
      </c>
      <c r="T8" s="5"/>
      <c r="U8" s="137"/>
      <c r="V8" s="137"/>
      <c r="W8" s="137"/>
      <c r="X8" s="137"/>
      <c r="Y8" s="137">
        <f t="shared" si="2"/>
        <v>143</v>
      </c>
      <c r="Z8" s="137">
        <f t="shared" si="3"/>
        <v>143</v>
      </c>
      <c r="AA8" s="137">
        <f t="shared" si="4"/>
        <v>143</v>
      </c>
      <c r="AB8" s="137">
        <f t="shared" si="5"/>
        <v>143</v>
      </c>
      <c r="AC8" s="137">
        <f t="shared" si="6"/>
        <v>143</v>
      </c>
      <c r="AE8" s="122">
        <f t="shared" si="7"/>
        <v>0</v>
      </c>
    </row>
    <row r="9" spans="2:31" ht="12.75" customHeight="1">
      <c r="B9" s="13" t="s">
        <v>12</v>
      </c>
      <c r="C9" s="14">
        <f>SUM(C6:C8)</f>
        <v>80943</v>
      </c>
      <c r="D9" s="14">
        <f t="shared" ref="D9:F9" si="8">SUM(D6:D8)</f>
        <v>154080</v>
      </c>
      <c r="E9" s="14">
        <f t="shared" si="8"/>
        <v>258215</v>
      </c>
      <c r="F9" s="14">
        <f t="shared" si="8"/>
        <v>426454</v>
      </c>
      <c r="G9" s="10"/>
      <c r="H9" s="14">
        <f t="shared" ref="H9:N9" si="9">SUM(H6:H6)</f>
        <v>25728.625</v>
      </c>
      <c r="I9" s="14">
        <f t="shared" si="9"/>
        <v>32120.118999999999</v>
      </c>
      <c r="J9" s="14">
        <f t="shared" si="9"/>
        <v>37280.798000000003</v>
      </c>
      <c r="K9" s="14">
        <f t="shared" si="9"/>
        <v>48940.457999999999</v>
      </c>
      <c r="L9" s="14">
        <f t="shared" si="9"/>
        <v>49577</v>
      </c>
      <c r="M9" s="14">
        <f t="shared" si="9"/>
        <v>59761</v>
      </c>
      <c r="N9" s="14">
        <f t="shared" si="9"/>
        <v>66567</v>
      </c>
      <c r="O9" s="14">
        <f t="shared" ref="O9" si="10">SUM(O6:O8)</f>
        <v>73903</v>
      </c>
      <c r="P9" s="14">
        <f t="shared" ref="P9" si="11">SUM(P6:P8)</f>
        <v>81875</v>
      </c>
      <c r="Q9" s="14">
        <f t="shared" ref="Q9" si="12">SUM(Q6:Q8)</f>
        <v>107191</v>
      </c>
      <c r="R9" s="14">
        <f t="shared" ref="R9" si="13">SUM(R6:R8)</f>
        <v>119839</v>
      </c>
      <c r="S9" s="14">
        <f t="shared" ref="S9" si="14">SUM(S6:S8)</f>
        <v>117549</v>
      </c>
      <c r="T9" s="5"/>
      <c r="U9" s="14">
        <f t="shared" ref="U9" si="15">SUM(U6:U8)</f>
        <v>144070</v>
      </c>
      <c r="V9" s="14">
        <f t="shared" ref="V9" si="16">SUM(V6:V8)</f>
        <v>167918.375</v>
      </c>
      <c r="W9" s="14">
        <f t="shared" ref="W9" si="17">SUM(W6:W8)</f>
        <v>195559.25599999999</v>
      </c>
      <c r="X9" s="14">
        <f t="shared" ref="X9" si="18">SUM(X6:X8)</f>
        <v>224845.45799999998</v>
      </c>
      <c r="Y9" s="14">
        <f t="shared" ref="Y9" si="19">SUM(Y6:Y8)</f>
        <v>258215</v>
      </c>
      <c r="Z9" s="14">
        <f t="shared" ref="Z9" si="20">SUM(Z6:Z8)</f>
        <v>283176</v>
      </c>
      <c r="AA9" s="14">
        <f t="shared" ref="AA9" si="21">SUM(AA6:AA8)</f>
        <v>330244</v>
      </c>
      <c r="AB9" s="14">
        <f t="shared" ref="AB9" si="22">SUM(AB6:AB8)</f>
        <v>382808</v>
      </c>
      <c r="AC9" s="14">
        <f t="shared" ref="AC9" si="23">SUM(AC6:AC8)</f>
        <v>426454</v>
      </c>
      <c r="AE9" s="123">
        <f>SUM(AC9/Y9)-1</f>
        <v>0.65154619212671605</v>
      </c>
    </row>
    <row r="10" spans="2:31" ht="12.75" customHeight="1">
      <c r="B10" s="16" t="s">
        <v>26</v>
      </c>
      <c r="C10" s="110"/>
      <c r="D10" s="17">
        <f>SUM(D9/C9)-1</f>
        <v>0.903561765686965</v>
      </c>
      <c r="E10" s="17">
        <f>SUM(E9/D9)-1</f>
        <v>0.6758502076843198</v>
      </c>
      <c r="F10" s="17">
        <f>SUM(F9/E9)-1</f>
        <v>0.65154619212671605</v>
      </c>
      <c r="G10" s="11"/>
      <c r="H10" s="110"/>
      <c r="I10" s="110"/>
      <c r="J10" s="110"/>
      <c r="K10" s="110"/>
      <c r="L10" s="17">
        <f t="shared" ref="L10:S10" si="24">SUM(L9/H9)-1</f>
        <v>0.92691991896185666</v>
      </c>
      <c r="M10" s="17">
        <f t="shared" si="24"/>
        <v>0.86054727879432824</v>
      </c>
      <c r="N10" s="17">
        <f t="shared" si="24"/>
        <v>0.78555727267425968</v>
      </c>
      <c r="O10" s="17">
        <f t="shared" si="24"/>
        <v>0.51005942772337765</v>
      </c>
      <c r="P10" s="17">
        <f t="shared" si="24"/>
        <v>0.65147144845392013</v>
      </c>
      <c r="Q10" s="17">
        <f t="shared" si="24"/>
        <v>0.79366141798162682</v>
      </c>
      <c r="R10" s="17">
        <f t="shared" si="24"/>
        <v>0.80027641323779042</v>
      </c>
      <c r="S10" s="17">
        <f t="shared" si="24"/>
        <v>0.59058495595577987</v>
      </c>
      <c r="T10" s="5"/>
      <c r="U10" s="110"/>
      <c r="V10" s="110"/>
      <c r="W10" s="110"/>
      <c r="X10" s="110"/>
      <c r="Y10" s="17">
        <f>SUM(Y9/U9)-1</f>
        <v>0.79228847088220999</v>
      </c>
      <c r="Z10" s="17">
        <f>SUM(Z9/V9)-1</f>
        <v>0.68639078361733796</v>
      </c>
      <c r="AA10" s="17">
        <f>SUM(AA9/W9)-1</f>
        <v>0.68871577216472946</v>
      </c>
      <c r="AB10" s="17">
        <f>SUM(AB9/X9)-1</f>
        <v>0.70253828298368393</v>
      </c>
      <c r="AC10" s="17">
        <f>SUM(AC9/Y9)-1</f>
        <v>0.65154619212671605</v>
      </c>
      <c r="AE10" s="124">
        <f>SUM(AC10-Y10)*10000</f>
        <v>-1407.4227875549395</v>
      </c>
    </row>
    <row r="11" spans="2:31" ht="12.75" customHeight="1">
      <c r="B11" s="16" t="s">
        <v>27</v>
      </c>
      <c r="C11" s="17" t="s">
        <v>28</v>
      </c>
      <c r="D11" s="17" t="s">
        <v>28</v>
      </c>
      <c r="E11" s="17" t="s">
        <v>28</v>
      </c>
      <c r="F11" s="17" t="s">
        <v>28</v>
      </c>
      <c r="G11" s="11"/>
      <c r="H11" s="110"/>
      <c r="I11" s="17">
        <f>SUM(I9/H9)-1</f>
        <v>0.24841957158612238</v>
      </c>
      <c r="J11" s="17">
        <f>SUM(J9/I9)-1</f>
        <v>0.16066811583107787</v>
      </c>
      <c r="K11" s="17">
        <f>SUM(K9/J9)-1</f>
        <v>0.31275242552479687</v>
      </c>
      <c r="L11" s="17">
        <f>SUM(L9/K9)-1</f>
        <v>1.3006457765474932E-2</v>
      </c>
      <c r="M11" s="17">
        <f t="shared" ref="M11:S11" si="25">SUM(M9/L9)-1</f>
        <v>0.20541783488311105</v>
      </c>
      <c r="N11" s="17">
        <f t="shared" si="25"/>
        <v>0.11388698314954571</v>
      </c>
      <c r="O11" s="17">
        <f t="shared" si="25"/>
        <v>0.11020475611038494</v>
      </c>
      <c r="P11" s="17">
        <f t="shared" si="25"/>
        <v>0.10787112837097279</v>
      </c>
      <c r="Q11" s="17">
        <f t="shared" si="25"/>
        <v>0.30920305343511445</v>
      </c>
      <c r="R11" s="17">
        <f t="shared" si="25"/>
        <v>0.11799498092190586</v>
      </c>
      <c r="S11" s="17">
        <f t="shared" si="25"/>
        <v>-1.9108971203030678E-2</v>
      </c>
      <c r="T11" s="5"/>
      <c r="U11" s="17" t="s">
        <v>28</v>
      </c>
      <c r="V11" s="17" t="s">
        <v>28</v>
      </c>
      <c r="W11" s="17" t="s">
        <v>28</v>
      </c>
      <c r="X11" s="17" t="s">
        <v>28</v>
      </c>
      <c r="Y11" s="17" t="s">
        <v>28</v>
      </c>
      <c r="Z11" s="17" t="s">
        <v>28</v>
      </c>
      <c r="AA11" s="17" t="s">
        <v>28</v>
      </c>
      <c r="AB11" s="17" t="s">
        <v>28</v>
      </c>
      <c r="AC11" s="17" t="s">
        <v>28</v>
      </c>
      <c r="AE11" s="121"/>
    </row>
    <row r="12" spans="2:31" ht="5.0999999999999996" customHeight="1">
      <c r="B12" s="18"/>
      <c r="C12" s="19"/>
      <c r="D12" s="19"/>
      <c r="E12" s="19"/>
      <c r="F12" s="19"/>
      <c r="G12" s="20"/>
      <c r="H12" s="21"/>
      <c r="I12" s="21"/>
      <c r="J12" s="21"/>
      <c r="K12" s="21"/>
      <c r="L12" s="21"/>
      <c r="M12" s="21"/>
      <c r="N12" s="21"/>
      <c r="O12" s="22"/>
      <c r="P12" s="21"/>
      <c r="Q12" s="21"/>
      <c r="R12" s="21"/>
      <c r="S12" s="21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E12" s="121"/>
    </row>
    <row r="13" spans="2:31" ht="12.75" customHeight="1">
      <c r="B13" s="23" t="s">
        <v>162</v>
      </c>
      <c r="C13" s="90">
        <f>'Historical Financials'!C13</f>
        <v>-79770</v>
      </c>
      <c r="D13" s="90">
        <f>'Historical Financials'!D13</f>
        <v>-118815</v>
      </c>
      <c r="E13" s="90">
        <f>'Historical Financials'!E13</f>
        <v>-169273</v>
      </c>
      <c r="F13" s="90">
        <f>'Historical Financials'!F13</f>
        <v>-206901</v>
      </c>
      <c r="G13" s="10"/>
      <c r="H13" s="90">
        <f>'Historical Financials'!H13</f>
        <v>-25441.045999999998</v>
      </c>
      <c r="I13" s="90">
        <f>'Historical Financials'!I13</f>
        <v>-26135.614000000001</v>
      </c>
      <c r="J13" s="90">
        <f>'Historical Financials'!J13</f>
        <v>-31433.495999999999</v>
      </c>
      <c r="K13" s="90">
        <f>'Historical Financials'!K13</f>
        <v>-35804.843999999997</v>
      </c>
      <c r="L13" s="90">
        <f>'Historical Financials'!L13</f>
        <v>-40400.544000000002</v>
      </c>
      <c r="M13" s="90">
        <f>'Historical Financials'!M13</f>
        <v>-43433.188000000002</v>
      </c>
      <c r="N13" s="90">
        <f>'Historical Financials'!N13</f>
        <v>-42622.012999999999</v>
      </c>
      <c r="O13" s="90">
        <f>'Historical Financials'!O13</f>
        <v>-42817.255000000005</v>
      </c>
      <c r="P13" s="90">
        <f>'Historical Financials'!P13</f>
        <v>-42767</v>
      </c>
      <c r="Q13" s="90">
        <f>'Historical Financials'!Q13</f>
        <v>-49738</v>
      </c>
      <c r="R13" s="90">
        <f>'Historical Financials'!R13</f>
        <v>-60180</v>
      </c>
      <c r="S13" s="90">
        <f>'Historical Financials'!S13</f>
        <v>-54216</v>
      </c>
      <c r="T13" s="5"/>
      <c r="U13" s="137">
        <f t="shared" ref="U13:AC13" si="26">SUM(H13:K13)</f>
        <v>-118815</v>
      </c>
      <c r="V13" s="137">
        <f t="shared" si="26"/>
        <v>-133774.49799999999</v>
      </c>
      <c r="W13" s="137">
        <f t="shared" si="26"/>
        <v>-151072.07199999999</v>
      </c>
      <c r="X13" s="137">
        <f t="shared" si="26"/>
        <v>-162260.58900000001</v>
      </c>
      <c r="Y13" s="137">
        <f t="shared" si="26"/>
        <v>-169273</v>
      </c>
      <c r="Z13" s="137">
        <f t="shared" si="26"/>
        <v>-171639.45600000001</v>
      </c>
      <c r="AA13" s="137">
        <f t="shared" si="26"/>
        <v>-177944.26800000001</v>
      </c>
      <c r="AB13" s="137">
        <f t="shared" si="26"/>
        <v>-195502.255</v>
      </c>
      <c r="AC13" s="137">
        <f t="shared" si="26"/>
        <v>-206901</v>
      </c>
      <c r="AE13" s="122">
        <f>SUM(AC13/Y13)-1</f>
        <v>0.22229180081879574</v>
      </c>
    </row>
    <row r="14" spans="2:31" ht="12.75" customHeight="1">
      <c r="B14" s="25" t="s">
        <v>22</v>
      </c>
      <c r="C14" s="26">
        <f>SUM(C9+SUM(C13:C13))</f>
        <v>1173</v>
      </c>
      <c r="D14" s="26">
        <f>SUM(D9+SUM(D13:D13))</f>
        <v>35265</v>
      </c>
      <c r="E14" s="26">
        <f>SUM(E9+SUM(E13:E13))</f>
        <v>88942</v>
      </c>
      <c r="F14" s="26">
        <f>SUM(F9+SUM(F13:F13))</f>
        <v>219553</v>
      </c>
      <c r="G14" s="5"/>
      <c r="H14" s="26">
        <f>SUM(H9+SUM(H13:H13))</f>
        <v>287.57900000000154</v>
      </c>
      <c r="I14" s="26">
        <f>SUM(I9+SUM(I13:I13))</f>
        <v>5984.5049999999974</v>
      </c>
      <c r="J14" s="26">
        <f>SUM(J9+SUM(J13:J13))</f>
        <v>5847.3020000000033</v>
      </c>
      <c r="K14" s="26">
        <f>SUM(K9+SUM(K13:K13))</f>
        <v>13135.614000000001</v>
      </c>
      <c r="L14" s="26">
        <f t="shared" ref="L14:S14" si="27">SUM(L9+SUM(L13:L13))</f>
        <v>9176.4559999999983</v>
      </c>
      <c r="M14" s="26">
        <f t="shared" si="27"/>
        <v>16327.811999999998</v>
      </c>
      <c r="N14" s="26">
        <f t="shared" si="27"/>
        <v>23944.987000000001</v>
      </c>
      <c r="O14" s="26">
        <f t="shared" si="27"/>
        <v>31085.744999999995</v>
      </c>
      <c r="P14" s="26">
        <f t="shared" si="27"/>
        <v>39108</v>
      </c>
      <c r="Q14" s="26">
        <f t="shared" si="27"/>
        <v>57453</v>
      </c>
      <c r="R14" s="26">
        <f t="shared" si="27"/>
        <v>59659</v>
      </c>
      <c r="S14" s="26">
        <f t="shared" si="27"/>
        <v>63333</v>
      </c>
      <c r="T14" s="5"/>
      <c r="U14" s="26">
        <f t="shared" ref="U14:AC14" si="28">SUM(U9+SUM(U13:U13))</f>
        <v>25255</v>
      </c>
      <c r="V14" s="26">
        <f t="shared" si="28"/>
        <v>34143.877000000008</v>
      </c>
      <c r="W14" s="26">
        <f t="shared" si="28"/>
        <v>44487.184000000008</v>
      </c>
      <c r="X14" s="26">
        <f t="shared" si="28"/>
        <v>62584.868999999977</v>
      </c>
      <c r="Y14" s="26">
        <f t="shared" si="28"/>
        <v>88942</v>
      </c>
      <c r="Z14" s="26">
        <f t="shared" si="28"/>
        <v>111536.54399999999</v>
      </c>
      <c r="AA14" s="26">
        <f t="shared" si="28"/>
        <v>152299.73199999999</v>
      </c>
      <c r="AB14" s="26">
        <f t="shared" si="28"/>
        <v>187305.745</v>
      </c>
      <c r="AC14" s="26">
        <f t="shared" si="28"/>
        <v>219553</v>
      </c>
      <c r="AE14" s="123">
        <f>SUM(AC14/Y14)-1</f>
        <v>1.4684963234467405</v>
      </c>
    </row>
    <row r="15" spans="2:31" ht="12.75" customHeight="1">
      <c r="B15" s="16" t="s">
        <v>29</v>
      </c>
      <c r="C15" s="17">
        <f>C14/C9</f>
        <v>1.4491679329898817E-2</v>
      </c>
      <c r="D15" s="17">
        <f>D14/D9</f>
        <v>0.22887461059190031</v>
      </c>
      <c r="E15" s="17">
        <f>E14/E9</f>
        <v>0.34444939294773735</v>
      </c>
      <c r="F15" s="17">
        <f>F14/F9</f>
        <v>0.51483395630009332</v>
      </c>
      <c r="G15" s="27"/>
      <c r="H15" s="17">
        <f>H14/H9</f>
        <v>1.1177394827745421E-2</v>
      </c>
      <c r="I15" s="17">
        <f>I14/I9</f>
        <v>0.1863164018788348</v>
      </c>
      <c r="J15" s="17">
        <f>J14/J9</f>
        <v>0.15684487225836752</v>
      </c>
      <c r="K15" s="17">
        <f>K14/K9</f>
        <v>0.26839989932256053</v>
      </c>
      <c r="L15" s="17">
        <f t="shared" ref="L15:S15" si="29">L14/L9</f>
        <v>0.18509502390221269</v>
      </c>
      <c r="M15" s="17">
        <f t="shared" si="29"/>
        <v>0.27321852043975164</v>
      </c>
      <c r="N15" s="17">
        <f t="shared" si="29"/>
        <v>0.35971257530007361</v>
      </c>
      <c r="O15" s="17">
        <f t="shared" si="29"/>
        <v>0.42062900017590621</v>
      </c>
      <c r="P15" s="17">
        <f t="shared" si="29"/>
        <v>0.47765496183206108</v>
      </c>
      <c r="Q15" s="17">
        <f t="shared" si="29"/>
        <v>0.53598716310137973</v>
      </c>
      <c r="R15" s="17">
        <f t="shared" si="29"/>
        <v>0.49782625021904386</v>
      </c>
      <c r="S15" s="17">
        <f t="shared" si="29"/>
        <v>0.53877957277390709</v>
      </c>
      <c r="T15" s="28"/>
      <c r="U15" s="17">
        <f t="shared" ref="U15:AC15" si="30">U14/U9</f>
        <v>0.17529673075588256</v>
      </c>
      <c r="V15" s="17">
        <f t="shared" si="30"/>
        <v>0.20333615662967205</v>
      </c>
      <c r="W15" s="17">
        <f t="shared" si="30"/>
        <v>0.22748697714415528</v>
      </c>
      <c r="X15" s="17">
        <f t="shared" si="30"/>
        <v>0.2783461563186212</v>
      </c>
      <c r="Y15" s="17">
        <f t="shared" si="30"/>
        <v>0.34444939294773735</v>
      </c>
      <c r="Z15" s="17">
        <f t="shared" si="30"/>
        <v>0.39387710822951094</v>
      </c>
      <c r="AA15" s="17">
        <f t="shared" si="30"/>
        <v>0.46117335061348574</v>
      </c>
      <c r="AB15" s="17">
        <f t="shared" si="30"/>
        <v>0.48929422843827713</v>
      </c>
      <c r="AC15" s="17">
        <f t="shared" si="30"/>
        <v>0.51483395630009332</v>
      </c>
      <c r="AE15" s="124">
        <f>SUM(AC15-Y15)*10000</f>
        <v>1703.8456335235596</v>
      </c>
    </row>
    <row r="16" spans="2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5"/>
      <c r="U16" s="30"/>
      <c r="V16" s="30"/>
      <c r="W16" s="30"/>
      <c r="X16" s="30"/>
      <c r="Y16" s="30"/>
      <c r="Z16" s="30"/>
      <c r="AA16" s="30"/>
      <c r="AB16" s="30"/>
      <c r="AC16" s="30"/>
      <c r="AE16" s="121"/>
    </row>
    <row r="17" spans="2:31" ht="12.75" customHeight="1">
      <c r="B17" s="23" t="s">
        <v>107</v>
      </c>
      <c r="C17" s="136">
        <f>'Historical Financials'!C17</f>
        <v>-3646</v>
      </c>
      <c r="D17" s="136">
        <f>'Historical Financials'!D17</f>
        <v>-3614</v>
      </c>
      <c r="E17" s="136">
        <f>'Historical Financials'!E17</f>
        <v>-3300</v>
      </c>
      <c r="F17" s="136">
        <f>'Historical Financials'!F17</f>
        <v>-1813</v>
      </c>
      <c r="G17" s="90"/>
      <c r="H17" s="136">
        <f>'Historical Financials'!H17</f>
        <v>-624.11099999999999</v>
      </c>
      <c r="I17" s="136">
        <f>'Historical Financials'!I17</f>
        <v>-873.38599999999997</v>
      </c>
      <c r="J17" s="136">
        <f>'Historical Financials'!J17</f>
        <v>-1041.9469999999999</v>
      </c>
      <c r="K17" s="136">
        <f>'Historical Financials'!K17</f>
        <v>-1074.5560000000005</v>
      </c>
      <c r="L17" s="136">
        <f>'Historical Financials'!L17</f>
        <v>-855.351</v>
      </c>
      <c r="M17" s="136">
        <f>'Historical Financials'!M17</f>
        <v>-1403.26</v>
      </c>
      <c r="N17" s="136">
        <f>'Historical Financials'!N17</f>
        <v>-595.90300000000002</v>
      </c>
      <c r="O17" s="136">
        <f>'Historical Financials'!O17</f>
        <v>-445.48599999999988</v>
      </c>
      <c r="P17" s="136">
        <f>'Historical Financials'!P17</f>
        <v>-450</v>
      </c>
      <c r="Q17" s="136">
        <f>'Historical Financials'!Q17</f>
        <v>-560</v>
      </c>
      <c r="R17" s="136">
        <f>'Historical Financials'!R17</f>
        <v>-412</v>
      </c>
      <c r="S17" s="136">
        <f>'Historical Financials'!S17</f>
        <v>-391</v>
      </c>
      <c r="T17" s="5"/>
      <c r="U17" s="137">
        <f t="shared" ref="U17:AC17" si="31">SUM(H17:K17)</f>
        <v>-3614</v>
      </c>
      <c r="V17" s="137">
        <f t="shared" si="31"/>
        <v>-3845.2400000000002</v>
      </c>
      <c r="W17" s="137">
        <f t="shared" si="31"/>
        <v>-4375.1140000000005</v>
      </c>
      <c r="X17" s="137">
        <f t="shared" si="31"/>
        <v>-3929.0700000000006</v>
      </c>
      <c r="Y17" s="137">
        <f t="shared" si="31"/>
        <v>-3300</v>
      </c>
      <c r="Z17" s="137">
        <f t="shared" si="31"/>
        <v>-2894.6489999999999</v>
      </c>
      <c r="AA17" s="137">
        <f t="shared" si="31"/>
        <v>-2051.3890000000001</v>
      </c>
      <c r="AB17" s="137">
        <f t="shared" si="31"/>
        <v>-1867.4859999999999</v>
      </c>
      <c r="AC17" s="137">
        <f t="shared" si="31"/>
        <v>-1813</v>
      </c>
      <c r="AE17" s="122">
        <f>SUM(AC17/Y17)-1</f>
        <v>-0.45060606060606057</v>
      </c>
    </row>
    <row r="18" spans="2:31" ht="12.75" customHeight="1">
      <c r="B18" s="23" t="s">
        <v>163</v>
      </c>
      <c r="C18" s="136">
        <f>'Historical Financials'!C18</f>
        <v>-12289</v>
      </c>
      <c r="D18" s="136">
        <f>'Historical Financials'!D18</f>
        <v>-17843</v>
      </c>
      <c r="E18" s="136">
        <f>'Historical Financials'!E18</f>
        <v>-4266</v>
      </c>
      <c r="F18" s="136">
        <f>'Historical Financials'!F18</f>
        <v>-4245</v>
      </c>
      <c r="G18" s="90"/>
      <c r="H18" s="136">
        <f>'Historical Financials'!H18</f>
        <v>-3974.5889999999999</v>
      </c>
      <c r="I18" s="136">
        <f>'Historical Financials'!I18</f>
        <v>-3921.4859999999999</v>
      </c>
      <c r="J18" s="136">
        <f>'Historical Financials'!J18</f>
        <v>-4859.45</v>
      </c>
      <c r="K18" s="136">
        <f>'Historical Financials'!K18</f>
        <v>-5087.4750000000004</v>
      </c>
      <c r="L18" s="136">
        <f>'Historical Financials'!L18</f>
        <v>-1780.463</v>
      </c>
      <c r="M18" s="136">
        <f>'Historical Financials'!M18</f>
        <v>-1333.424</v>
      </c>
      <c r="N18" s="136">
        <f>'Historical Financials'!N18</f>
        <v>-466.89800000000002</v>
      </c>
      <c r="O18" s="136">
        <f>'Historical Financials'!O18</f>
        <v>-685.21500000000015</v>
      </c>
      <c r="P18" s="136">
        <f>'Historical Financials'!P18</f>
        <v>-1005</v>
      </c>
      <c r="Q18" s="136">
        <f>'Historical Financials'!Q18</f>
        <v>-942</v>
      </c>
      <c r="R18" s="136">
        <f>'Historical Financials'!R18</f>
        <v>-1021</v>
      </c>
      <c r="S18" s="136">
        <f>'Historical Financials'!S18</f>
        <v>-1277</v>
      </c>
      <c r="T18" s="5"/>
      <c r="U18" s="137"/>
      <c r="V18" s="137"/>
      <c r="W18" s="137"/>
      <c r="X18" s="137"/>
      <c r="Y18" s="137">
        <f t="shared" ref="Y18:Y20" si="32">SUM(L18:O18)</f>
        <v>-4266</v>
      </c>
      <c r="Z18" s="137">
        <f t="shared" ref="Z18:Z20" si="33">SUM(M18:P18)</f>
        <v>-3490.5370000000003</v>
      </c>
      <c r="AA18" s="137">
        <f t="shared" ref="AA18:AA20" si="34">SUM(N18:Q18)</f>
        <v>-3099.1130000000003</v>
      </c>
      <c r="AB18" s="137">
        <f t="shared" ref="AB18:AB20" si="35">SUM(O18:R18)</f>
        <v>-3653.2150000000001</v>
      </c>
      <c r="AC18" s="137">
        <f t="shared" ref="AC18:AC20" si="36">SUM(P18:S18)</f>
        <v>-4245</v>
      </c>
      <c r="AE18" s="122"/>
    </row>
    <row r="19" spans="2:31" ht="12.75" customHeight="1">
      <c r="B19" s="23" t="s">
        <v>164</v>
      </c>
      <c r="C19" s="136">
        <f>'Historical Financials'!C19</f>
        <v>-715</v>
      </c>
      <c r="D19" s="136">
        <f>'Historical Financials'!D19</f>
        <v>-715</v>
      </c>
      <c r="E19" s="136">
        <f>'Historical Financials'!E19</f>
        <v>-724</v>
      </c>
      <c r="F19" s="136">
        <f>'Historical Financials'!F19</f>
        <v>-388</v>
      </c>
      <c r="G19" s="90"/>
      <c r="H19" s="136">
        <f>'Historical Financials'!H19</f>
        <v>-178.83799999999999</v>
      </c>
      <c r="I19" s="136">
        <f>'Historical Financials'!I19</f>
        <v>-178.83799999999999</v>
      </c>
      <c r="J19" s="136">
        <f>'Historical Financials'!J19</f>
        <v>-178.83799999999999</v>
      </c>
      <c r="K19" s="136">
        <f>'Historical Financials'!K19</f>
        <v>-178.48599999999999</v>
      </c>
      <c r="L19" s="136">
        <f>'Historical Financials'!L19</f>
        <v>-178.83799999999999</v>
      </c>
      <c r="M19" s="136">
        <f>'Historical Financials'!M19</f>
        <v>-178.83799999999999</v>
      </c>
      <c r="N19" s="136">
        <f>'Historical Financials'!N19</f>
        <v>-178.83799999999999</v>
      </c>
      <c r="O19" s="136">
        <f>'Historical Financials'!O19</f>
        <v>-187.48599999999999</v>
      </c>
      <c r="P19" s="136">
        <f>'Historical Financials'!P19</f>
        <v>-193</v>
      </c>
      <c r="Q19" s="136">
        <f>'Historical Financials'!Q19</f>
        <v>-142</v>
      </c>
      <c r="R19" s="136">
        <f>'Historical Financials'!R19</f>
        <v>-28</v>
      </c>
      <c r="S19" s="136">
        <f>'Historical Financials'!S19</f>
        <v>-25</v>
      </c>
      <c r="T19" s="5"/>
      <c r="U19" s="137"/>
      <c r="V19" s="137"/>
      <c r="W19" s="137"/>
      <c r="X19" s="137"/>
      <c r="Y19" s="137">
        <f t="shared" si="32"/>
        <v>-724</v>
      </c>
      <c r="Z19" s="137">
        <f t="shared" si="33"/>
        <v>-738.16200000000003</v>
      </c>
      <c r="AA19" s="137">
        <f t="shared" si="34"/>
        <v>-701.32399999999996</v>
      </c>
      <c r="AB19" s="137">
        <f t="shared" si="35"/>
        <v>-550.48599999999999</v>
      </c>
      <c r="AC19" s="137">
        <f t="shared" si="36"/>
        <v>-388</v>
      </c>
      <c r="AE19" s="122"/>
    </row>
    <row r="20" spans="2:31" ht="12.75" customHeight="1">
      <c r="B20" s="23" t="s">
        <v>165</v>
      </c>
      <c r="C20" s="136">
        <f>'Historical Financials'!C20</f>
        <v>-42897</v>
      </c>
      <c r="D20" s="136">
        <f>'Historical Financials'!D20</f>
        <v>-52458</v>
      </c>
      <c r="E20" s="136">
        <f>'Historical Financials'!E20</f>
        <v>-59020</v>
      </c>
      <c r="F20" s="136">
        <f>'Historical Financials'!F20</f>
        <v>-74124</v>
      </c>
      <c r="G20" s="90"/>
      <c r="H20" s="136">
        <f>'Historical Financials'!H20</f>
        <v>-13699.575000000001</v>
      </c>
      <c r="I20" s="136">
        <f>'Historical Financials'!I20</f>
        <v>-11970.422</v>
      </c>
      <c r="J20" s="136">
        <f>'Historical Financials'!J20</f>
        <v>-12893.138999999999</v>
      </c>
      <c r="K20" s="136">
        <f>'Historical Financials'!K20</f>
        <v>-13894.864000000001</v>
      </c>
      <c r="L20" s="136">
        <f>'Historical Financials'!L20</f>
        <v>-14511.656000000001</v>
      </c>
      <c r="M20" s="136">
        <f>'Historical Financials'!M20</f>
        <v>-14247.558000000001</v>
      </c>
      <c r="N20" s="136">
        <f>'Historical Financials'!N20</f>
        <v>-14725.787</v>
      </c>
      <c r="O20" s="136">
        <f>'Historical Financials'!O20</f>
        <v>-15534.998999999996</v>
      </c>
      <c r="P20" s="136">
        <f>'Historical Financials'!P20</f>
        <v>-15639</v>
      </c>
      <c r="Q20" s="136">
        <f>'Historical Financials'!Q20</f>
        <v>-16608</v>
      </c>
      <c r="R20" s="136">
        <f>'Historical Financials'!R20</f>
        <v>-18560</v>
      </c>
      <c r="S20" s="136">
        <f>'Historical Financials'!S20</f>
        <v>-23317</v>
      </c>
      <c r="T20" s="5"/>
      <c r="U20" s="137"/>
      <c r="V20" s="137"/>
      <c r="W20" s="137"/>
      <c r="X20" s="137"/>
      <c r="Y20" s="137">
        <f t="shared" si="32"/>
        <v>-59020</v>
      </c>
      <c r="Z20" s="137">
        <f t="shared" si="33"/>
        <v>-60147.343999999997</v>
      </c>
      <c r="AA20" s="137">
        <f t="shared" si="34"/>
        <v>-62507.785999999993</v>
      </c>
      <c r="AB20" s="137">
        <f t="shared" si="35"/>
        <v>-66341.998999999996</v>
      </c>
      <c r="AC20" s="137">
        <f t="shared" si="36"/>
        <v>-74124</v>
      </c>
      <c r="AE20" s="122"/>
    </row>
    <row r="21" spans="2:31" ht="12.75" customHeight="1">
      <c r="B21" s="13" t="s">
        <v>30</v>
      </c>
      <c r="C21" s="14">
        <f>SUM(C14+SUM(C17:C20))</f>
        <v>-58374</v>
      </c>
      <c r="D21" s="14">
        <f>SUM(D14+SUM(D17:D20))</f>
        <v>-39365</v>
      </c>
      <c r="E21" s="14">
        <f>SUM(E14+SUM(E17:E20))</f>
        <v>21632</v>
      </c>
      <c r="F21" s="14">
        <f>SUM(F14+SUM(F17:F20))</f>
        <v>138983</v>
      </c>
      <c r="G21" s="11"/>
      <c r="H21" s="14">
        <f>SUM(H14+SUM(H17:H20))</f>
        <v>-18189.534</v>
      </c>
      <c r="I21" s="14">
        <f>SUM(I14+SUM(I17:I20))</f>
        <v>-10959.627</v>
      </c>
      <c r="J21" s="14">
        <f>SUM(J14+SUM(J17:J20))</f>
        <v>-13126.071999999996</v>
      </c>
      <c r="K21" s="14">
        <f>SUM(K14+SUM(K17:K20))</f>
        <v>-7099.7669999999998</v>
      </c>
      <c r="L21" s="14">
        <f>SUM(L14+SUM(L17:L20))</f>
        <v>-8149.8520000000026</v>
      </c>
      <c r="M21" s="14">
        <f>SUM(M14+SUM(M17:M20))</f>
        <v>-835.26800000000367</v>
      </c>
      <c r="N21" s="14">
        <f>SUM(N14+SUM(N17:N20))</f>
        <v>7977.5610000000015</v>
      </c>
      <c r="O21" s="14">
        <f>SUM(O14+SUM(O17:O20))</f>
        <v>14232.559000000001</v>
      </c>
      <c r="P21" s="14">
        <f>SUM(P14+SUM(P17:P20))</f>
        <v>21821</v>
      </c>
      <c r="Q21" s="14">
        <f>SUM(Q14+SUM(Q17:Q20))</f>
        <v>39201</v>
      </c>
      <c r="R21" s="14">
        <f>SUM(R14+SUM(R17:R20))</f>
        <v>39638</v>
      </c>
      <c r="S21" s="14">
        <f>SUM(S14+SUM(S17:S20))</f>
        <v>38323</v>
      </c>
      <c r="T21" s="5"/>
      <c r="U21" s="14">
        <f>SUM(U14+SUM(U17:U20))</f>
        <v>21641</v>
      </c>
      <c r="V21" s="14">
        <f>SUM(V14+SUM(V17:V20))</f>
        <v>30298.637000000006</v>
      </c>
      <c r="W21" s="14">
        <f>SUM(W14+SUM(W17:W20))</f>
        <v>40112.070000000007</v>
      </c>
      <c r="X21" s="14">
        <f>SUM(X14+SUM(X17:X20))</f>
        <v>58655.798999999977</v>
      </c>
      <c r="Y21" s="14">
        <f>SUM(Y14+SUM(Y17:Y20))</f>
        <v>21632</v>
      </c>
      <c r="Z21" s="14">
        <f>SUM(Z14+SUM(Z17:Z20))</f>
        <v>44265.851999999999</v>
      </c>
      <c r="AA21" s="14">
        <f>SUM(AA14+SUM(AA17:AA20))</f>
        <v>83940.12</v>
      </c>
      <c r="AB21" s="14">
        <f>SUM(AB14+SUM(AB17:AB20))</f>
        <v>114892.55899999999</v>
      </c>
      <c r="AC21" s="14">
        <f>SUM(AC14+SUM(AC17:AC20))</f>
        <v>138983</v>
      </c>
      <c r="AE21" s="123">
        <f>SUM(AC21/Y21)-1</f>
        <v>5.4248798076923075</v>
      </c>
    </row>
    <row r="22" spans="2:31" ht="12.75" customHeight="1">
      <c r="B22" s="16" t="s">
        <v>31</v>
      </c>
      <c r="C22" s="17">
        <f>C21/C9</f>
        <v>-0.72117415959378817</v>
      </c>
      <c r="D22" s="17">
        <f>D21/D9</f>
        <v>-0.2554841640706127</v>
      </c>
      <c r="E22" s="17">
        <f>E21/E9</f>
        <v>8.3775148616463027E-2</v>
      </c>
      <c r="F22" s="17">
        <f>F21/F9</f>
        <v>0.32590384894971086</v>
      </c>
      <c r="G22" s="27"/>
      <c r="H22" s="17">
        <f>H21/H9</f>
        <v>-0.70697652906053077</v>
      </c>
      <c r="I22" s="17">
        <f>I21/I9</f>
        <v>-0.34120754658474339</v>
      </c>
      <c r="J22" s="17">
        <f>J21/J9</f>
        <v>-0.35208666938942657</v>
      </c>
      <c r="K22" s="17">
        <f>K21/K9</f>
        <v>-0.14506948422918314</v>
      </c>
      <c r="L22" s="17">
        <f>L21/L9</f>
        <v>-0.16438776045343612</v>
      </c>
      <c r="M22" s="17">
        <f>M21/M9</f>
        <v>-1.3976807617007809E-2</v>
      </c>
      <c r="N22" s="17">
        <f>N21/N9</f>
        <v>0.11984257965658662</v>
      </c>
      <c r="O22" s="17">
        <f>O21/O9</f>
        <v>0.19258431998701001</v>
      </c>
      <c r="P22" s="17">
        <f>P21/P9</f>
        <v>0.26651603053435113</v>
      </c>
      <c r="Q22" s="17">
        <f>Q21/Q9</f>
        <v>0.36571167355468276</v>
      </c>
      <c r="R22" s="17">
        <f>R21/R9</f>
        <v>0.33076043691953372</v>
      </c>
      <c r="S22" s="17">
        <f>S21/S9</f>
        <v>0.32601723536567728</v>
      </c>
      <c r="T22" s="28"/>
      <c r="U22" s="17">
        <f>U21/U9</f>
        <v>0.15021170264454778</v>
      </c>
      <c r="V22" s="17">
        <f>V21/V9</f>
        <v>0.18043669729414666</v>
      </c>
      <c r="W22" s="17">
        <f>W21/W9</f>
        <v>0.20511465844398594</v>
      </c>
      <c r="X22" s="17">
        <f>X21/X9</f>
        <v>0.26087162054214136</v>
      </c>
      <c r="Y22" s="17">
        <f>Y21/Y9</f>
        <v>8.3775148616463027E-2</v>
      </c>
      <c r="Z22" s="17">
        <f>Z21/Z9</f>
        <v>0.15631922196796338</v>
      </c>
      <c r="AA22" s="17">
        <f>AA21/AA9</f>
        <v>0.25417606375891766</v>
      </c>
      <c r="AB22" s="17">
        <f>AB21/AB9</f>
        <v>0.30013102913209755</v>
      </c>
      <c r="AC22" s="17">
        <f>AC21/AC9</f>
        <v>0.32590384894971086</v>
      </c>
      <c r="AE22" s="124">
        <f>SUM(AC22-Y22)*10000</f>
        <v>2421.2870033324784</v>
      </c>
    </row>
    <row r="23" spans="2:31" ht="5.0999999999999996" customHeight="1">
      <c r="AE23" s="121"/>
    </row>
    <row r="24" spans="2:31" ht="12.75" customHeight="1">
      <c r="B24" s="31" t="s">
        <v>166</v>
      </c>
      <c r="C24" s="136">
        <f>'Historical Financials'!C93</f>
        <v>5496</v>
      </c>
      <c r="D24" s="136">
        <f>'Historical Financials'!D93</f>
        <v>7113</v>
      </c>
      <c r="E24" s="136">
        <f>'Historical Financials'!E93</f>
        <v>8332</v>
      </c>
      <c r="F24" s="136">
        <f>'Historical Financials'!F93</f>
        <v>8045</v>
      </c>
      <c r="H24" s="136">
        <f>'Historical Financials'!H93</f>
        <v>1590.2170000000001</v>
      </c>
      <c r="I24" s="136">
        <f>'Historical Financials'!I93</f>
        <v>1724.2829999999999</v>
      </c>
      <c r="J24" s="136">
        <f>'Historical Financials'!J93</f>
        <v>1861.9920000000002</v>
      </c>
      <c r="K24" s="136">
        <f>'Historical Financials'!K93</f>
        <v>1936.5079999999998</v>
      </c>
      <c r="L24" s="136">
        <f>'Historical Financials'!L93</f>
        <v>2033</v>
      </c>
      <c r="M24" s="136">
        <f>'Historical Financials'!M93</f>
        <v>2098</v>
      </c>
      <c r="N24" s="136">
        <f>'Historical Financials'!N93</f>
        <v>2092</v>
      </c>
      <c r="O24" s="136">
        <f>'Historical Financials'!O93</f>
        <v>2109</v>
      </c>
      <c r="P24" s="136">
        <f>'Historical Financials'!P93</f>
        <v>2114</v>
      </c>
      <c r="Q24" s="136">
        <f>'Historical Financials'!Q93</f>
        <v>2047</v>
      </c>
      <c r="R24" s="136">
        <f>'Historical Financials'!R93</f>
        <v>1940</v>
      </c>
      <c r="S24" s="136">
        <f>'Historical Financials'!S93</f>
        <v>1944</v>
      </c>
      <c r="U24" s="137">
        <f t="shared" ref="U24:AC24" si="37">SUM(H24:K24)</f>
        <v>7113</v>
      </c>
      <c r="V24" s="137">
        <f t="shared" si="37"/>
        <v>7555.7829999999994</v>
      </c>
      <c r="W24" s="137">
        <f t="shared" si="37"/>
        <v>7929.5</v>
      </c>
      <c r="X24" s="137">
        <f t="shared" si="37"/>
        <v>8159.5079999999998</v>
      </c>
      <c r="Y24" s="137">
        <f t="shared" si="37"/>
        <v>8332</v>
      </c>
      <c r="Z24" s="137">
        <f t="shared" si="37"/>
        <v>8413</v>
      </c>
      <c r="AA24" s="137">
        <f t="shared" si="37"/>
        <v>8362</v>
      </c>
      <c r="AB24" s="137">
        <f t="shared" si="37"/>
        <v>8210</v>
      </c>
      <c r="AC24" s="137">
        <f t="shared" si="37"/>
        <v>8045</v>
      </c>
      <c r="AE24" s="122">
        <f>SUM(AC24/Y24)-1</f>
        <v>-3.4445511281805063E-2</v>
      </c>
    </row>
    <row r="25" spans="2:31" ht="12.75" customHeight="1">
      <c r="B25" s="25" t="s">
        <v>11</v>
      </c>
      <c r="C25" s="26">
        <f>SUM(C21+SUM(C24:C24))</f>
        <v>-52878</v>
      </c>
      <c r="D25" s="26">
        <f>SUM(D21+SUM(D24:D24))</f>
        <v>-32252</v>
      </c>
      <c r="E25" s="26">
        <f>SUM(E21+SUM(E24:E24))</f>
        <v>29964</v>
      </c>
      <c r="F25" s="26">
        <f>SUM(F21+SUM(F24:F24))</f>
        <v>147028</v>
      </c>
      <c r="H25" s="26">
        <f t="shared" ref="H25:S25" si="38">SUM(H21+SUM(H24:H24))</f>
        <v>-16599.316999999999</v>
      </c>
      <c r="I25" s="26">
        <f t="shared" si="38"/>
        <v>-9235.344000000001</v>
      </c>
      <c r="J25" s="26">
        <f t="shared" si="38"/>
        <v>-11264.079999999996</v>
      </c>
      <c r="K25" s="26">
        <f t="shared" si="38"/>
        <v>-5163.259</v>
      </c>
      <c r="L25" s="26">
        <f t="shared" si="38"/>
        <v>-6116.8520000000026</v>
      </c>
      <c r="M25" s="26">
        <f t="shared" si="38"/>
        <v>1262.7319999999963</v>
      </c>
      <c r="N25" s="26">
        <f t="shared" si="38"/>
        <v>10069.561000000002</v>
      </c>
      <c r="O25" s="26">
        <f t="shared" si="38"/>
        <v>16341.559000000001</v>
      </c>
      <c r="P25" s="26">
        <f t="shared" si="38"/>
        <v>23935</v>
      </c>
      <c r="Q25" s="26">
        <f t="shared" si="38"/>
        <v>41248</v>
      </c>
      <c r="R25" s="26">
        <f t="shared" si="38"/>
        <v>41578</v>
      </c>
      <c r="S25" s="26">
        <f t="shared" si="38"/>
        <v>40267</v>
      </c>
      <c r="U25" s="26">
        <f t="shared" ref="U25:AC25" si="39">SUM(U21+SUM(U24:U24))</f>
        <v>28754</v>
      </c>
      <c r="V25" s="26">
        <f t="shared" si="39"/>
        <v>37854.420000000006</v>
      </c>
      <c r="W25" s="26">
        <f t="shared" si="39"/>
        <v>48041.570000000007</v>
      </c>
      <c r="X25" s="26">
        <f t="shared" si="39"/>
        <v>66815.306999999972</v>
      </c>
      <c r="Y25" s="26">
        <f t="shared" si="39"/>
        <v>29964</v>
      </c>
      <c r="Z25" s="26">
        <f t="shared" si="39"/>
        <v>52678.851999999999</v>
      </c>
      <c r="AA25" s="26">
        <f t="shared" si="39"/>
        <v>92302.12</v>
      </c>
      <c r="AB25" s="26">
        <f t="shared" si="39"/>
        <v>123102.55899999999</v>
      </c>
      <c r="AC25" s="26">
        <f t="shared" si="39"/>
        <v>147028</v>
      </c>
      <c r="AE25" s="123">
        <f>SUM(AC25/Y25)-1</f>
        <v>3.9068215191563205</v>
      </c>
    </row>
    <row r="26" spans="2:31" ht="12.75" customHeight="1">
      <c r="B26" s="16" t="s">
        <v>32</v>
      </c>
      <c r="C26" s="17">
        <f>C25/C9</f>
        <v>-0.65327452651866125</v>
      </c>
      <c r="D26" s="17">
        <f>D25/D9</f>
        <v>-0.20931983385254413</v>
      </c>
      <c r="E26" s="17">
        <f>E25/E9</f>
        <v>0.11604283252328486</v>
      </c>
      <c r="F26" s="17">
        <f>F25/F9</f>
        <v>0.34476872065920355</v>
      </c>
      <c r="H26" s="17">
        <f>H25/H9</f>
        <v>-0.64516922299578772</v>
      </c>
      <c r="I26" s="17">
        <f>I25/I9</f>
        <v>-0.28752521122353258</v>
      </c>
      <c r="J26" s="17">
        <f>J25/J9</f>
        <v>-0.30214160115349448</v>
      </c>
      <c r="K26" s="17">
        <f>K25/K9</f>
        <v>-0.10550083123455853</v>
      </c>
      <c r="L26" s="17">
        <f>L25/L9</f>
        <v>-0.12338084192266581</v>
      </c>
      <c r="M26" s="17">
        <f>M25/M9</f>
        <v>2.1129699971553294E-2</v>
      </c>
      <c r="N26" s="17">
        <f>N25/N9</f>
        <v>0.15126956299668007</v>
      </c>
      <c r="O26" s="17">
        <f>O25/O9</f>
        <v>0.22112172712880399</v>
      </c>
      <c r="P26" s="17">
        <f>P25/P9</f>
        <v>0.29233587786259541</v>
      </c>
      <c r="Q26" s="17">
        <f>Q25/Q9</f>
        <v>0.38480842608054783</v>
      </c>
      <c r="R26" s="17">
        <f>R25/R9</f>
        <v>0.34694882300419727</v>
      </c>
      <c r="S26" s="17">
        <f>S25/S9</f>
        <v>0.34255501960884399</v>
      </c>
      <c r="U26" s="17">
        <f>U25/U9</f>
        <v>0.19958353578121746</v>
      </c>
      <c r="V26" s="17">
        <f>V25/V9</f>
        <v>0.22543345836928214</v>
      </c>
      <c r="W26" s="17">
        <f>W25/W9</f>
        <v>0.24566247071424741</v>
      </c>
      <c r="X26" s="17">
        <f>X25/X9</f>
        <v>0.29716102604127309</v>
      </c>
      <c r="Y26" s="17">
        <f>Y25/Y9</f>
        <v>0.11604283252328486</v>
      </c>
      <c r="Z26" s="17">
        <f>Z25/Z9</f>
        <v>0.18602866062095658</v>
      </c>
      <c r="AA26" s="17">
        <f>AA25/AA9</f>
        <v>0.27949673574690226</v>
      </c>
      <c r="AB26" s="17">
        <f>AB25/AB9</f>
        <v>0.32157781185346179</v>
      </c>
      <c r="AC26" s="17">
        <f>AC25/AC9</f>
        <v>0.34476872065920355</v>
      </c>
      <c r="AE26" s="124">
        <f>SUM(AC26-Y26)*10000</f>
        <v>2287.2588813591869</v>
      </c>
    </row>
    <row r="27" spans="2:31" ht="5.0999999999999996" customHeight="1">
      <c r="AE27" s="121"/>
    </row>
    <row r="28" spans="2:31" ht="12.75" customHeight="1">
      <c r="B28" s="31" t="s">
        <v>108</v>
      </c>
      <c r="C28" s="136">
        <f>'Historical Financials'!C96</f>
        <v>3488</v>
      </c>
      <c r="D28" s="136">
        <f>'Historical Financials'!D96</f>
        <v>5215</v>
      </c>
      <c r="E28" s="136">
        <f>'Historical Financials'!E96</f>
        <v>6187</v>
      </c>
      <c r="F28" s="136">
        <f>'Historical Financials'!F96</f>
        <v>13616</v>
      </c>
      <c r="H28" s="136">
        <f>'Historical Financials'!H96</f>
        <v>1641.3879999999999</v>
      </c>
      <c r="I28" s="136">
        <f>'Historical Financials'!I96</f>
        <v>1191.047</v>
      </c>
      <c r="J28" s="136">
        <f>'Historical Financials'!J96</f>
        <v>1313.4940000000001</v>
      </c>
      <c r="K28" s="136">
        <f>'Historical Financials'!K96</f>
        <v>1069.0709999999999</v>
      </c>
      <c r="L28" s="136">
        <f>'Historical Financials'!L96</f>
        <v>1110</v>
      </c>
      <c r="M28" s="136">
        <f>'Historical Financials'!M96</f>
        <v>1637</v>
      </c>
      <c r="N28" s="136">
        <f>'Historical Financials'!N96</f>
        <v>1695</v>
      </c>
      <c r="O28" s="136">
        <f>'Historical Financials'!O96</f>
        <v>1745</v>
      </c>
      <c r="P28" s="136">
        <f>'Historical Financials'!P96</f>
        <v>2141</v>
      </c>
      <c r="Q28" s="136">
        <f>'Historical Financials'!Q96</f>
        <v>2863</v>
      </c>
      <c r="R28" s="136">
        <f>'Historical Financials'!R96</f>
        <v>3179</v>
      </c>
      <c r="S28" s="136">
        <f>'Historical Financials'!S96</f>
        <v>5433</v>
      </c>
      <c r="U28" s="137">
        <f t="shared" ref="U28:AC28" si="40">SUM(H28:K28)</f>
        <v>5215</v>
      </c>
      <c r="V28" s="137">
        <f t="shared" si="40"/>
        <v>4683.6120000000001</v>
      </c>
      <c r="W28" s="137">
        <f t="shared" si="40"/>
        <v>5129.5650000000005</v>
      </c>
      <c r="X28" s="137">
        <f t="shared" si="40"/>
        <v>5511.0709999999999</v>
      </c>
      <c r="Y28" s="137">
        <f t="shared" si="40"/>
        <v>6187</v>
      </c>
      <c r="Z28" s="137">
        <f t="shared" si="40"/>
        <v>7218</v>
      </c>
      <c r="AA28" s="137">
        <f t="shared" si="40"/>
        <v>8444</v>
      </c>
      <c r="AB28" s="137">
        <f t="shared" si="40"/>
        <v>9928</v>
      </c>
      <c r="AC28" s="137">
        <f t="shared" si="40"/>
        <v>13616</v>
      </c>
      <c r="AE28" s="122">
        <f>SUM(AC28/Y28)-1</f>
        <v>1.2007434944237918</v>
      </c>
    </row>
    <row r="29" spans="2:31" ht="12.75" customHeight="1">
      <c r="B29" s="13" t="s">
        <v>33</v>
      </c>
      <c r="C29" s="14">
        <f>+SUM(C25+SUM(C28:C28))</f>
        <v>-49390</v>
      </c>
      <c r="D29" s="14">
        <f>+SUM(D25+SUM(D28:D28))</f>
        <v>-27037</v>
      </c>
      <c r="E29" s="14">
        <f>+SUM(E25+SUM(E28:E28))</f>
        <v>36151</v>
      </c>
      <c r="F29" s="14">
        <f>+SUM(F25+SUM(F28:F28))</f>
        <v>160644</v>
      </c>
      <c r="G29" s="11"/>
      <c r="H29" s="14">
        <f>+SUM(H25+SUM(H28:H28))</f>
        <v>-14957.929</v>
      </c>
      <c r="I29" s="14">
        <f>+SUM(I25+SUM(I28:I28))</f>
        <v>-8044.2970000000005</v>
      </c>
      <c r="J29" s="14">
        <f>+SUM(J25+SUM(J28:J28))</f>
        <v>-9950.5859999999957</v>
      </c>
      <c r="K29" s="14">
        <f>+SUM(K25+SUM(K28:K28))</f>
        <v>-4094.1880000000001</v>
      </c>
      <c r="L29" s="14">
        <f t="shared" ref="L29:S29" si="41">+SUM(L25+SUM(L28:L28))</f>
        <v>-5006.8520000000026</v>
      </c>
      <c r="M29" s="14">
        <f t="shared" si="41"/>
        <v>2899.7319999999963</v>
      </c>
      <c r="N29" s="14">
        <f t="shared" si="41"/>
        <v>11764.561000000002</v>
      </c>
      <c r="O29" s="14">
        <f t="shared" si="41"/>
        <v>18086.559000000001</v>
      </c>
      <c r="P29" s="14">
        <f t="shared" si="41"/>
        <v>26076</v>
      </c>
      <c r="Q29" s="14">
        <f t="shared" si="41"/>
        <v>44111</v>
      </c>
      <c r="R29" s="14">
        <f t="shared" si="41"/>
        <v>44757</v>
      </c>
      <c r="S29" s="14">
        <f t="shared" si="41"/>
        <v>45700</v>
      </c>
      <c r="U29" s="14">
        <f t="shared" ref="U29:AC29" si="42">+SUM(U25+SUM(U28:U28))</f>
        <v>33969</v>
      </c>
      <c r="V29" s="14">
        <f t="shared" si="42"/>
        <v>42538.032000000007</v>
      </c>
      <c r="W29" s="14">
        <f t="shared" si="42"/>
        <v>53171.135000000009</v>
      </c>
      <c r="X29" s="14">
        <f t="shared" si="42"/>
        <v>72326.377999999968</v>
      </c>
      <c r="Y29" s="14">
        <f t="shared" si="42"/>
        <v>36151</v>
      </c>
      <c r="Z29" s="14">
        <f t="shared" si="42"/>
        <v>59896.851999999999</v>
      </c>
      <c r="AA29" s="14">
        <f t="shared" si="42"/>
        <v>100746.12</v>
      </c>
      <c r="AB29" s="14">
        <f t="shared" si="42"/>
        <v>133030.55900000001</v>
      </c>
      <c r="AC29" s="14">
        <f t="shared" si="42"/>
        <v>160644</v>
      </c>
      <c r="AE29" s="123">
        <f>SUM(AC29/Y29)-1</f>
        <v>3.4436945036098585</v>
      </c>
    </row>
    <row r="30" spans="2:31" ht="12.75" customHeight="1">
      <c r="B30" s="16" t="s">
        <v>34</v>
      </c>
      <c r="C30" s="17">
        <f>C29/C9</f>
        <v>-0.61018247408670301</v>
      </c>
      <c r="D30" s="17">
        <f>D29/D9</f>
        <v>-0.17547377985462098</v>
      </c>
      <c r="E30" s="17">
        <f>E29/E9</f>
        <v>0.14000348546753674</v>
      </c>
      <c r="F30" s="17">
        <f>F29/F9</f>
        <v>0.37669713497821572</v>
      </c>
      <c r="H30" s="17">
        <f>H29/H9</f>
        <v>-0.58137304267134371</v>
      </c>
      <c r="I30" s="17">
        <f>I29/I9</f>
        <v>-0.25044418421986547</v>
      </c>
      <c r="J30" s="17">
        <f>J29/J9</f>
        <v>-0.26690914717007924</v>
      </c>
      <c r="K30" s="17">
        <f>K29/K9</f>
        <v>-8.3656511755570415E-2</v>
      </c>
      <c r="L30" s="17">
        <f>L29/L9</f>
        <v>-0.10099142747645083</v>
      </c>
      <c r="M30" s="17">
        <f>M29/M9</f>
        <v>4.8522146550425804E-2</v>
      </c>
      <c r="N30" s="17">
        <f>N29/N9</f>
        <v>0.17673263028227201</v>
      </c>
      <c r="O30" s="17">
        <f>O29/O9</f>
        <v>0.24473375911667999</v>
      </c>
      <c r="P30" s="17">
        <f>P29/P9</f>
        <v>0.3184854961832061</v>
      </c>
      <c r="Q30" s="17">
        <f>Q29/Q9</f>
        <v>0.41151775802072937</v>
      </c>
      <c r="R30" s="17">
        <f>R29/R9</f>
        <v>0.37347608040788055</v>
      </c>
      <c r="S30" s="17">
        <f>S29/S9</f>
        <v>0.38877404316497799</v>
      </c>
      <c r="U30" s="17">
        <f>U29/U9</f>
        <v>0.2357812174637329</v>
      </c>
      <c r="V30" s="17">
        <f>V29/V9</f>
        <v>0.25332565301444826</v>
      </c>
      <c r="W30" s="17">
        <f>W29/W9</f>
        <v>0.27189270448032393</v>
      </c>
      <c r="X30" s="17">
        <f>X29/X9</f>
        <v>0.32167151003779659</v>
      </c>
      <c r="Y30" s="17">
        <f>Y29/Y9</f>
        <v>0.14000348546753674</v>
      </c>
      <c r="Z30" s="17">
        <f>Z29/Z9</f>
        <v>0.21151810887928355</v>
      </c>
      <c r="AA30" s="17">
        <f>AA29/AA9</f>
        <v>0.30506570899092789</v>
      </c>
      <c r="AB30" s="17">
        <f>AB29/AB9</f>
        <v>0.34751248406511881</v>
      </c>
      <c r="AC30" s="17">
        <f>AC29/AC9</f>
        <v>0.37669713497821572</v>
      </c>
      <c r="AE30" s="124">
        <f>SUM(AC30-Y30)*10000</f>
        <v>2366.9364951067896</v>
      </c>
    </row>
    <row r="31" spans="2:31" ht="5.0999999999999996" customHeight="1">
      <c r="AE31" s="121"/>
    </row>
    <row r="32" spans="2:31" ht="12.75" customHeight="1">
      <c r="B32" s="23" t="s">
        <v>35</v>
      </c>
      <c r="C32" s="136">
        <f>'Historical Financials'!C112</f>
        <v>-13511</v>
      </c>
      <c r="D32" s="136">
        <f>'Historical Financials'!D112</f>
        <v>-13911</v>
      </c>
      <c r="E32" s="136">
        <f>'Historical Financials'!E112</f>
        <v>-4771</v>
      </c>
      <c r="F32" s="136">
        <f>'Historical Financials'!F112</f>
        <v>-8226</v>
      </c>
      <c r="H32" s="136">
        <f>'Historical Financials'!H112</f>
        <v>-2842.085</v>
      </c>
      <c r="I32" s="136">
        <f>'Historical Financials'!I112</f>
        <v>-3940.0839999999998</v>
      </c>
      <c r="J32" s="136">
        <f>'Historical Financials'!J112</f>
        <v>-3380.4809999999998</v>
      </c>
      <c r="K32" s="136">
        <f>'Historical Financials'!K112</f>
        <v>-3748.3500000000004</v>
      </c>
      <c r="L32" s="136">
        <f>'Historical Financials'!L112</f>
        <v>-1945</v>
      </c>
      <c r="M32" s="136">
        <f>'Historical Financials'!M112</f>
        <v>-872</v>
      </c>
      <c r="N32" s="136">
        <f>'Historical Financials'!N112</f>
        <v>-757</v>
      </c>
      <c r="O32" s="136">
        <f>'Historical Financials'!O112</f>
        <v>-1197</v>
      </c>
      <c r="P32" s="136">
        <f>'Historical Financials'!P112</f>
        <v>-2347</v>
      </c>
      <c r="Q32" s="136">
        <f>'Historical Financials'!Q112</f>
        <v>-2066</v>
      </c>
      <c r="R32" s="136">
        <f>'Historical Financials'!R112</f>
        <v>-1056</v>
      </c>
      <c r="S32" s="136">
        <f>'Historical Financials'!S112</f>
        <v>-2757</v>
      </c>
      <c r="U32" s="137">
        <f t="shared" ref="U32:AC35" si="43">SUM(H32:K32)</f>
        <v>-13911</v>
      </c>
      <c r="V32" s="137">
        <f t="shared" si="43"/>
        <v>-13013.915000000001</v>
      </c>
      <c r="W32" s="137">
        <f t="shared" si="43"/>
        <v>-9945.8310000000001</v>
      </c>
      <c r="X32" s="137">
        <f t="shared" si="43"/>
        <v>-7322.35</v>
      </c>
      <c r="Y32" s="137">
        <f t="shared" si="43"/>
        <v>-4771</v>
      </c>
      <c r="Z32" s="137">
        <f t="shared" si="43"/>
        <v>-5173</v>
      </c>
      <c r="AA32" s="137">
        <f t="shared" si="43"/>
        <v>-6367</v>
      </c>
      <c r="AB32" s="137">
        <f t="shared" si="43"/>
        <v>-6666</v>
      </c>
      <c r="AC32" s="137">
        <f t="shared" si="43"/>
        <v>-8226</v>
      </c>
      <c r="AE32" s="122">
        <f>SUM(AC32/Y32)-1</f>
        <v>0.72416684133305376</v>
      </c>
    </row>
    <row r="33" spans="1:31" ht="12.75" customHeight="1">
      <c r="B33" s="23" t="s">
        <v>36</v>
      </c>
      <c r="C33" s="136">
        <f>-'Historical Financials'!C138</f>
        <v>0</v>
      </c>
      <c r="D33" s="136">
        <f>-'Historical Financials'!D138</f>
        <v>0</v>
      </c>
      <c r="E33" s="136">
        <f>-'Historical Financials'!E138</f>
        <v>0</v>
      </c>
      <c r="F33" s="136">
        <f>-'Historical Financials'!F138</f>
        <v>-9392</v>
      </c>
      <c r="H33" s="136">
        <f>-'Historical Financials'!H138</f>
        <v>0</v>
      </c>
      <c r="I33" s="136">
        <f>-'Historical Financials'!I138</f>
        <v>0</v>
      </c>
      <c r="J33" s="136">
        <f>-'Historical Financials'!J138</f>
        <v>0</v>
      </c>
      <c r="K33" s="136">
        <f>-'Historical Financials'!K138</f>
        <v>0</v>
      </c>
      <c r="L33" s="136">
        <f>-'Historical Financials'!L138</f>
        <v>0</v>
      </c>
      <c r="M33" s="136">
        <f>-'Historical Financials'!M138</f>
        <v>0</v>
      </c>
      <c r="N33" s="136">
        <f>-'Historical Financials'!N138</f>
        <v>0</v>
      </c>
      <c r="O33" s="136">
        <f>-'Historical Financials'!O138</f>
        <v>0</v>
      </c>
      <c r="P33" s="136">
        <f>-'Historical Financials'!P138</f>
        <v>0</v>
      </c>
      <c r="Q33" s="136">
        <f>-'Historical Financials'!Q138</f>
        <v>-1550</v>
      </c>
      <c r="R33" s="136">
        <f>-'Historical Financials'!R138</f>
        <v>-7345</v>
      </c>
      <c r="S33" s="136">
        <f>-'Historical Financials'!S138</f>
        <v>-497</v>
      </c>
      <c r="U33" s="137">
        <f t="shared" si="43"/>
        <v>0</v>
      </c>
      <c r="V33" s="137">
        <f t="shared" si="43"/>
        <v>0</v>
      </c>
      <c r="W33" s="137">
        <f t="shared" si="43"/>
        <v>0</v>
      </c>
      <c r="X33" s="137">
        <f t="shared" si="43"/>
        <v>0</v>
      </c>
      <c r="Y33" s="137">
        <f t="shared" si="43"/>
        <v>0</v>
      </c>
      <c r="Z33" s="137">
        <f t="shared" si="43"/>
        <v>0</v>
      </c>
      <c r="AA33" s="137">
        <f t="shared" si="43"/>
        <v>-1550</v>
      </c>
      <c r="AB33" s="137">
        <f t="shared" si="43"/>
        <v>-8895</v>
      </c>
      <c r="AC33" s="137">
        <f t="shared" si="43"/>
        <v>-9392</v>
      </c>
      <c r="AE33" s="122" t="e">
        <f>SUM(AC33/Y33)-1</f>
        <v>#DIV/0!</v>
      </c>
    </row>
    <row r="34" spans="1:31" ht="12.75" customHeight="1">
      <c r="B34" s="23" t="s">
        <v>68</v>
      </c>
      <c r="C34" s="136">
        <f>-'Historical Financials'!C137</f>
        <v>-11159</v>
      </c>
      <c r="D34" s="136">
        <f>-'Historical Financials'!D137</f>
        <v>-13880</v>
      </c>
      <c r="E34" s="136">
        <f>-'Historical Financials'!E137</f>
        <v>-18051</v>
      </c>
      <c r="F34" s="136">
        <f>-'Historical Financials'!F137</f>
        <v>-10668</v>
      </c>
      <c r="H34" s="136">
        <f>-'Historical Financials'!H137</f>
        <v>-2525.9870000000001</v>
      </c>
      <c r="I34" s="136">
        <f>-'Historical Financials'!I137</f>
        <v>-3463.3450000000003</v>
      </c>
      <c r="J34" s="136">
        <f>-'Historical Financials'!J137</f>
        <v>-3621.0290000000005</v>
      </c>
      <c r="K34" s="136">
        <f>-'Historical Financials'!K137</f>
        <v>-4269.6389999999992</v>
      </c>
      <c r="L34" s="136">
        <f>-'Historical Financials'!L137</f>
        <v>-4639.2830000000004</v>
      </c>
      <c r="M34" s="136">
        <f>-'Historical Financials'!M137</f>
        <v>-4634.3980000000001</v>
      </c>
      <c r="N34" s="136">
        <f>-'Historical Financials'!N137</f>
        <v>-4622.0109999999977</v>
      </c>
      <c r="O34" s="136">
        <f>-'Historical Financials'!O137</f>
        <v>-4155.3080000000009</v>
      </c>
      <c r="P34" s="136">
        <f>-'Historical Financials'!P137</f>
        <v>-584</v>
      </c>
      <c r="Q34" s="136">
        <f>-'Historical Financials'!Q137</f>
        <v>-3259</v>
      </c>
      <c r="R34" s="136">
        <f>-'Historical Financials'!R137</f>
        <v>-3574</v>
      </c>
      <c r="S34" s="136">
        <f>-'Historical Financials'!S137</f>
        <v>-3251</v>
      </c>
      <c r="U34" s="137">
        <f t="shared" si="43"/>
        <v>-13880</v>
      </c>
      <c r="V34" s="137">
        <f t="shared" si="43"/>
        <v>-15993.295999999998</v>
      </c>
      <c r="W34" s="137">
        <f t="shared" si="43"/>
        <v>-17164.349000000002</v>
      </c>
      <c r="X34" s="137">
        <f t="shared" si="43"/>
        <v>-18165.330999999998</v>
      </c>
      <c r="Y34" s="137">
        <f t="shared" si="43"/>
        <v>-18051</v>
      </c>
      <c r="Z34" s="137">
        <f t="shared" si="43"/>
        <v>-13995.716999999999</v>
      </c>
      <c r="AA34" s="137">
        <f t="shared" si="43"/>
        <v>-12620.319</v>
      </c>
      <c r="AB34" s="137">
        <f t="shared" si="43"/>
        <v>-11572.308000000001</v>
      </c>
      <c r="AC34" s="137">
        <f t="shared" si="43"/>
        <v>-10668</v>
      </c>
      <c r="AE34" s="122">
        <f>SUM(AC34/Y34)-1</f>
        <v>-0.40900781120159546</v>
      </c>
    </row>
    <row r="35" spans="1:31" ht="12.75" customHeight="1">
      <c r="B35" s="23" t="s">
        <v>37</v>
      </c>
      <c r="C35" s="136">
        <f>SUM('Historical Financials'!C102:C108)</f>
        <v>-51680</v>
      </c>
      <c r="D35" s="136">
        <f>SUM('Historical Financials'!D102:D108)</f>
        <v>-18286</v>
      </c>
      <c r="E35" s="136">
        <f>SUM('Historical Financials'!E102:E108)</f>
        <v>-10123</v>
      </c>
      <c r="F35" s="136">
        <f>SUM('Historical Financials'!F102:F108)</f>
        <v>-18539</v>
      </c>
      <c r="H35" s="136">
        <f>SUM('Historical Financials'!H102:H108)</f>
        <v>-11458.235999999999</v>
      </c>
      <c r="I35" s="136">
        <f>SUM('Historical Financials'!I102:I108)</f>
        <v>-3333.9999999999995</v>
      </c>
      <c r="J35" s="136">
        <f>SUM('Historical Financials'!J102:J108)</f>
        <v>-3490.1430000000046</v>
      </c>
      <c r="K35" s="136">
        <f>SUM('Historical Financials'!K102:K108)</f>
        <v>-3.6209999999936713</v>
      </c>
      <c r="L35" s="136">
        <f>SUM('Historical Financials'!L102:L108)</f>
        <v>-12527</v>
      </c>
      <c r="M35" s="136">
        <f>SUM('Historical Financials'!M102:M108)</f>
        <v>-5061</v>
      </c>
      <c r="N35" s="136">
        <f>SUM('Historical Financials'!N102:N108)</f>
        <v>3861</v>
      </c>
      <c r="O35" s="136">
        <f>SUM('Historical Financials'!O102:O108)</f>
        <v>3604</v>
      </c>
      <c r="P35" s="136">
        <f>SUM('Historical Financials'!P102:P108)</f>
        <v>-24519</v>
      </c>
      <c r="Q35" s="136">
        <f>SUM('Historical Financials'!Q102:Q108)</f>
        <v>8481</v>
      </c>
      <c r="R35" s="136">
        <f>SUM('Historical Financials'!R102:R108)</f>
        <v>-16224</v>
      </c>
      <c r="S35" s="136">
        <f>SUM('Historical Financials'!S102:S108)</f>
        <v>13723</v>
      </c>
      <c r="U35" s="137">
        <f t="shared" si="43"/>
        <v>-18285.999999999996</v>
      </c>
      <c r="V35" s="137">
        <f t="shared" si="43"/>
        <v>-19354.763999999996</v>
      </c>
      <c r="W35" s="137">
        <f t="shared" si="43"/>
        <v>-21081.763999999999</v>
      </c>
      <c r="X35" s="137">
        <f t="shared" si="43"/>
        <v>-13730.620999999992</v>
      </c>
      <c r="Y35" s="137">
        <f t="shared" si="43"/>
        <v>-10123</v>
      </c>
      <c r="Z35" s="137">
        <f t="shared" si="43"/>
        <v>-22115</v>
      </c>
      <c r="AA35" s="137">
        <f t="shared" si="43"/>
        <v>-8573</v>
      </c>
      <c r="AB35" s="137">
        <f t="shared" si="43"/>
        <v>-28658</v>
      </c>
      <c r="AC35" s="137">
        <f t="shared" si="43"/>
        <v>-18539</v>
      </c>
      <c r="AE35" s="122">
        <f>SUM(AC35/Y35)-1</f>
        <v>0.83137409858737521</v>
      </c>
    </row>
    <row r="36" spans="1:31" ht="12.75" customHeight="1">
      <c r="B36" s="13" t="s">
        <v>38</v>
      </c>
      <c r="C36" s="14">
        <f>SUM(C29+SUM(C32:C35))</f>
        <v>-125740</v>
      </c>
      <c r="D36" s="14">
        <f>SUM(D29+SUM(D32:D35))</f>
        <v>-73114</v>
      </c>
      <c r="E36" s="14">
        <f>SUM(E29+SUM(E32:E35))</f>
        <v>3206</v>
      </c>
      <c r="F36" s="14">
        <f>SUM(F29+SUM(F32:F35))</f>
        <v>113819</v>
      </c>
      <c r="H36" s="14">
        <f>SUM(H29+SUM(H32:H35))</f>
        <v>-31784.236999999997</v>
      </c>
      <c r="I36" s="14">
        <f>SUM(I29+SUM(I32:I35))</f>
        <v>-18781.726000000002</v>
      </c>
      <c r="J36" s="14">
        <f>SUM(J29+SUM(J32:J35))</f>
        <v>-20442.239000000001</v>
      </c>
      <c r="K36" s="14">
        <f>SUM(K29+SUM(K32:K35))</f>
        <v>-12115.797999999993</v>
      </c>
      <c r="L36" s="14">
        <f t="shared" ref="L36:S36" si="44">SUM(L29+SUM(L32:L35))</f>
        <v>-24118.135000000002</v>
      </c>
      <c r="M36" s="14">
        <f t="shared" si="44"/>
        <v>-7667.6660000000047</v>
      </c>
      <c r="N36" s="14">
        <f t="shared" si="44"/>
        <v>10246.550000000003</v>
      </c>
      <c r="O36" s="14">
        <f t="shared" si="44"/>
        <v>16338.251</v>
      </c>
      <c r="P36" s="14">
        <f t="shared" si="44"/>
        <v>-1374</v>
      </c>
      <c r="Q36" s="14">
        <f t="shared" si="44"/>
        <v>45717</v>
      </c>
      <c r="R36" s="14">
        <f t="shared" si="44"/>
        <v>16558</v>
      </c>
      <c r="S36" s="14">
        <f t="shared" si="44"/>
        <v>52918</v>
      </c>
      <c r="U36" s="14">
        <f t="shared" ref="U36:AA36" si="45">SUM(U29+SUM(U32:U35))</f>
        <v>-12108</v>
      </c>
      <c r="V36" s="14">
        <f t="shared" si="45"/>
        <v>-5823.9429999999847</v>
      </c>
      <c r="W36" s="14">
        <f t="shared" si="45"/>
        <v>4979.1910000000062</v>
      </c>
      <c r="X36" s="14">
        <f t="shared" si="45"/>
        <v>33108.075999999979</v>
      </c>
      <c r="Y36" s="14">
        <f t="shared" si="45"/>
        <v>3206</v>
      </c>
      <c r="Z36" s="14">
        <f t="shared" si="45"/>
        <v>18613.135000000002</v>
      </c>
      <c r="AA36" s="14">
        <f t="shared" si="45"/>
        <v>71635.800999999992</v>
      </c>
      <c r="AB36" s="14">
        <f>SUM(AB29+SUM(AB32:AB35))</f>
        <v>77239.251000000004</v>
      </c>
      <c r="AC36" s="14">
        <f>SUM(AC29+SUM(AC32:AC35))</f>
        <v>113819</v>
      </c>
      <c r="AE36" s="123">
        <f>SUM(AC36/Y36)-1</f>
        <v>34.501871490954457</v>
      </c>
    </row>
    <row r="37" spans="1:31" ht="5.0999999999999996" customHeight="1"/>
    <row r="38" spans="1:31" ht="12.75" customHeight="1">
      <c r="B38" s="31" t="s">
        <v>173</v>
      </c>
      <c r="C38" s="136">
        <f>'Historical Financials'!C117</f>
        <v>0</v>
      </c>
      <c r="D38" s="136">
        <f>'Historical Financials'!D117</f>
        <v>49750</v>
      </c>
      <c r="E38" s="136">
        <f>'Historical Financials'!E117</f>
        <v>-34724</v>
      </c>
      <c r="F38" s="136">
        <f>'Historical Financials'!F117</f>
        <v>-60450</v>
      </c>
      <c r="G38" s="32"/>
      <c r="H38" s="136">
        <f>'Historical Financials'!H117</f>
        <v>49750</v>
      </c>
      <c r="I38" s="136">
        <f>'Historical Financials'!I117</f>
        <v>0</v>
      </c>
      <c r="J38" s="136">
        <f>'Historical Financials'!J117</f>
        <v>0</v>
      </c>
      <c r="K38" s="136">
        <f>'Historical Financials'!K117</f>
        <v>0</v>
      </c>
      <c r="L38" s="136">
        <f>'Historical Financials'!L117</f>
        <v>0</v>
      </c>
      <c r="M38" s="136">
        <f>'Historical Financials'!M117</f>
        <v>0</v>
      </c>
      <c r="N38" s="136">
        <f>'Historical Financials'!N117</f>
        <v>0</v>
      </c>
      <c r="O38" s="136">
        <f>'Historical Financials'!O117</f>
        <v>-34724</v>
      </c>
      <c r="P38" s="136">
        <f>'Historical Financials'!P117</f>
        <v>0</v>
      </c>
      <c r="Q38" s="136">
        <f>'Historical Financials'!Q117</f>
        <v>0</v>
      </c>
      <c r="R38" s="136">
        <f>'Historical Financials'!R117</f>
        <v>-30000</v>
      </c>
      <c r="S38" s="136">
        <f>'Historical Financials'!S117</f>
        <v>-30450</v>
      </c>
      <c r="U38" s="137"/>
      <c r="V38" s="137"/>
      <c r="W38" s="137"/>
      <c r="X38" s="137"/>
      <c r="Y38" s="137">
        <f t="shared" ref="Y38:Y42" si="46">SUM(L38:O38)</f>
        <v>-34724</v>
      </c>
      <c r="Z38" s="137">
        <f t="shared" ref="Z38:Z42" si="47">SUM(M38:P38)</f>
        <v>-34724</v>
      </c>
      <c r="AA38" s="137">
        <f t="shared" ref="AA38:AA42" si="48">SUM(N38:Q38)</f>
        <v>-34724</v>
      </c>
      <c r="AB38" s="137">
        <f t="shared" ref="AB38:AB42" si="49">SUM(O38:R38)</f>
        <v>-64724</v>
      </c>
      <c r="AC38" s="137">
        <f t="shared" ref="AC38:AC42" si="50">SUM(P38:S38)</f>
        <v>-60450</v>
      </c>
    </row>
    <row r="39" spans="1:31" ht="12.75" customHeight="1">
      <c r="B39" s="31" t="s">
        <v>174</v>
      </c>
      <c r="C39" s="136">
        <f>'Historical Financials'!C118</f>
        <v>121144</v>
      </c>
      <c r="D39" s="136">
        <f>'Historical Financials'!D118</f>
        <v>64820</v>
      </c>
      <c r="E39" s="136">
        <f>'Historical Financials'!E118</f>
        <v>1104</v>
      </c>
      <c r="F39" s="136">
        <f>'Historical Financials'!F118</f>
        <v>7494</v>
      </c>
      <c r="G39" s="32"/>
      <c r="H39" s="136">
        <f>'Historical Financials'!H118</f>
        <v>0</v>
      </c>
      <c r="I39" s="136">
        <f>'Historical Financials'!I118</f>
        <v>0</v>
      </c>
      <c r="J39" s="136">
        <f>'Historical Financials'!J118</f>
        <v>0</v>
      </c>
      <c r="K39" s="136">
        <f>'Historical Financials'!K118</f>
        <v>64820</v>
      </c>
      <c r="L39" s="136">
        <f>'Historical Financials'!L118</f>
        <v>0</v>
      </c>
      <c r="M39" s="136">
        <f>'Historical Financials'!M118</f>
        <v>472</v>
      </c>
      <c r="N39" s="136">
        <f>'Historical Financials'!N118</f>
        <v>624</v>
      </c>
      <c r="O39" s="136">
        <f>'Historical Financials'!O118</f>
        <v>8</v>
      </c>
      <c r="P39" s="136">
        <f>'Historical Financials'!P118</f>
        <v>1029</v>
      </c>
      <c r="Q39" s="136">
        <f>'Historical Financials'!Q118</f>
        <v>331</v>
      </c>
      <c r="R39" s="136">
        <f>'Historical Financials'!R118</f>
        <v>5691</v>
      </c>
      <c r="S39" s="136">
        <f>'Historical Financials'!S118</f>
        <v>443</v>
      </c>
      <c r="U39" s="137"/>
      <c r="V39" s="137"/>
      <c r="W39" s="137"/>
      <c r="X39" s="137"/>
      <c r="Y39" s="137">
        <f t="shared" si="46"/>
        <v>1104</v>
      </c>
      <c r="Z39" s="137">
        <f t="shared" si="47"/>
        <v>2133</v>
      </c>
      <c r="AA39" s="137">
        <f t="shared" si="48"/>
        <v>1992</v>
      </c>
      <c r="AB39" s="137">
        <f t="shared" si="49"/>
        <v>7059</v>
      </c>
      <c r="AC39" s="137">
        <f t="shared" si="50"/>
        <v>7494</v>
      </c>
    </row>
    <row r="40" spans="1:31" ht="12.75" customHeight="1">
      <c r="B40" s="31" t="s">
        <v>175</v>
      </c>
      <c r="C40" s="136">
        <f>'Historical Financials'!C119</f>
        <v>-62</v>
      </c>
      <c r="D40" s="136">
        <f>'Historical Financials'!D119</f>
        <v>-2899</v>
      </c>
      <c r="E40" s="136">
        <f>'Historical Financials'!E119</f>
        <v>-1415</v>
      </c>
      <c r="F40" s="136">
        <f>'Historical Financials'!F119</f>
        <v>-4971</v>
      </c>
      <c r="G40" s="32"/>
      <c r="H40" s="136">
        <f>'Historical Financials'!H119</f>
        <v>-91.367000000000004</v>
      </c>
      <c r="I40" s="136">
        <f>'Historical Financials'!I119</f>
        <v>-309.94799999999998</v>
      </c>
      <c r="J40" s="136">
        <f>'Historical Financials'!J119</f>
        <v>-429.98200000000003</v>
      </c>
      <c r="K40" s="136">
        <f>'Historical Financials'!K119</f>
        <v>-2067.703</v>
      </c>
      <c r="L40" s="136">
        <f>'Historical Financials'!L119</f>
        <v>-640</v>
      </c>
      <c r="M40" s="136">
        <f>'Historical Financials'!M119</f>
        <v>-226</v>
      </c>
      <c r="N40" s="136">
        <f>'Historical Financials'!N119</f>
        <v>-208</v>
      </c>
      <c r="O40" s="136">
        <f>'Historical Financials'!O119</f>
        <v>-341</v>
      </c>
      <c r="P40" s="136">
        <f>'Historical Financials'!P119</f>
        <v>-2476</v>
      </c>
      <c r="Q40" s="136">
        <f>'Historical Financials'!Q119</f>
        <v>-693</v>
      </c>
      <c r="R40" s="136">
        <f>'Historical Financials'!R119</f>
        <v>-1158</v>
      </c>
      <c r="S40" s="136">
        <f>'Historical Financials'!S119</f>
        <v>-644</v>
      </c>
      <c r="U40" s="137"/>
      <c r="V40" s="137"/>
      <c r="W40" s="137"/>
      <c r="X40" s="137"/>
      <c r="Y40" s="137">
        <f t="shared" si="46"/>
        <v>-1415</v>
      </c>
      <c r="Z40" s="137">
        <f t="shared" si="47"/>
        <v>-3251</v>
      </c>
      <c r="AA40" s="137">
        <f t="shared" si="48"/>
        <v>-3718</v>
      </c>
      <c r="AB40" s="137">
        <f t="shared" si="49"/>
        <v>-4668</v>
      </c>
      <c r="AC40" s="137">
        <f t="shared" si="50"/>
        <v>-4971</v>
      </c>
    </row>
    <row r="41" spans="1:31" ht="12.75" customHeight="1">
      <c r="B41" s="31" t="s">
        <v>177</v>
      </c>
      <c r="C41" s="136">
        <f>'Historical Financials'!C120</f>
        <v>-34</v>
      </c>
      <c r="D41" s="136">
        <f>'Historical Financials'!D120</f>
        <v>-36</v>
      </c>
      <c r="E41" s="136">
        <f>'Historical Financials'!E120</f>
        <v>-17</v>
      </c>
      <c r="F41" s="136">
        <f>'Historical Financials'!F120</f>
        <v>0</v>
      </c>
      <c r="G41" s="32"/>
      <c r="H41" s="136">
        <f>'Historical Financials'!H120</f>
        <v>-8.9410000000000007</v>
      </c>
      <c r="I41" s="136">
        <f>'Historical Financials'!I120</f>
        <v>-9.0929999999999982</v>
      </c>
      <c r="J41" s="136">
        <f>'Historical Financials'!J120</f>
        <v>-9.2470000000000017</v>
      </c>
      <c r="K41" s="136">
        <f>'Historical Financials'!K120</f>
        <v>-8.7190000000000012</v>
      </c>
      <c r="L41" s="136">
        <f>'Historical Financials'!L120</f>
        <v>-10</v>
      </c>
      <c r="M41" s="136">
        <f>'Historical Financials'!M120</f>
        <v>-6</v>
      </c>
      <c r="N41" s="136">
        <f>'Historical Financials'!N120</f>
        <v>0</v>
      </c>
      <c r="O41" s="136">
        <f>'Historical Financials'!O120</f>
        <v>-1</v>
      </c>
      <c r="P41" s="136" t="str">
        <f>'Historical Financials'!P120</f>
        <v>-</v>
      </c>
      <c r="Q41" s="136" t="str">
        <f>'Historical Financials'!Q120</f>
        <v>-</v>
      </c>
      <c r="R41" s="136">
        <f>'Historical Financials'!R120</f>
        <v>0</v>
      </c>
      <c r="S41" s="136">
        <f>'Historical Financials'!S120</f>
        <v>0</v>
      </c>
      <c r="U41" s="137"/>
      <c r="V41" s="137"/>
      <c r="W41" s="137"/>
      <c r="X41" s="137"/>
      <c r="Y41" s="137">
        <f t="shared" si="46"/>
        <v>-17</v>
      </c>
      <c r="Z41" s="137">
        <f t="shared" si="47"/>
        <v>-7</v>
      </c>
      <c r="AA41" s="137">
        <f t="shared" si="48"/>
        <v>-1</v>
      </c>
      <c r="AB41" s="137">
        <f t="shared" si="49"/>
        <v>-1</v>
      </c>
      <c r="AC41" s="137">
        <f t="shared" si="50"/>
        <v>0</v>
      </c>
    </row>
    <row r="42" spans="1:31" ht="12.75" customHeight="1">
      <c r="B42" s="31" t="s">
        <v>176</v>
      </c>
      <c r="C42" s="136">
        <f>'Historical Financials'!C121</f>
        <v>0</v>
      </c>
      <c r="D42" s="136">
        <f>'Historical Financials'!D121</f>
        <v>-2783</v>
      </c>
      <c r="E42" s="136">
        <f>'Historical Financials'!E121</f>
        <v>-3937</v>
      </c>
      <c r="F42" s="136">
        <f>'Historical Financials'!F121</f>
        <v>-375</v>
      </c>
      <c r="G42" s="32"/>
      <c r="H42" s="136">
        <f>'Historical Financials'!H121</f>
        <v>-2378.366</v>
      </c>
      <c r="I42" s="136">
        <f>'Historical Financials'!I121</f>
        <v>0</v>
      </c>
      <c r="J42" s="136">
        <f>'Historical Financials'!J121</f>
        <v>-404.5619999999999</v>
      </c>
      <c r="K42" s="136">
        <f>'Historical Financials'!K121</f>
        <v>-7.2000000000116415E-2</v>
      </c>
      <c r="L42" s="136">
        <f>'Historical Financials'!L121</f>
        <v>0</v>
      </c>
      <c r="M42" s="136">
        <f>'Historical Financials'!M121</f>
        <v>0</v>
      </c>
      <c r="N42" s="136">
        <f>'Historical Financials'!N121</f>
        <v>0</v>
      </c>
      <c r="O42" s="136">
        <f>'Historical Financials'!O121</f>
        <v>-3937</v>
      </c>
      <c r="P42" s="136">
        <f>'Historical Financials'!P121</f>
        <v>0</v>
      </c>
      <c r="Q42" s="136">
        <f>'Historical Financials'!Q121</f>
        <v>0</v>
      </c>
      <c r="R42" s="136">
        <f>'Historical Financials'!R121</f>
        <v>0</v>
      </c>
      <c r="S42" s="136">
        <f>'Historical Financials'!S121</f>
        <v>-375</v>
      </c>
      <c r="U42" s="137"/>
      <c r="V42" s="137"/>
      <c r="W42" s="137"/>
      <c r="X42" s="137"/>
      <c r="Y42" s="137">
        <f t="shared" si="46"/>
        <v>-3937</v>
      </c>
      <c r="Z42" s="137">
        <f t="shared" si="47"/>
        <v>-3937</v>
      </c>
      <c r="AA42" s="137">
        <f t="shared" si="48"/>
        <v>-3937</v>
      </c>
      <c r="AB42" s="137">
        <f t="shared" si="49"/>
        <v>-3937</v>
      </c>
      <c r="AC42" s="137">
        <f t="shared" si="50"/>
        <v>-375</v>
      </c>
    </row>
    <row r="43" spans="1:31" ht="12.75" customHeight="1">
      <c r="B43" s="31" t="s">
        <v>64</v>
      </c>
      <c r="C43" s="92"/>
      <c r="D43" s="92" cm="1">
        <f t="array" ref="D43">SUM(D48:D48-C48:C48)-SUM(D36:D42)</f>
        <v>-305.11800000000221</v>
      </c>
      <c r="E43" s="92" cm="1">
        <f t="array" ref="E43">SUM(E48:E48-D48:D48)-SUM(E36:E42)</f>
        <v>613</v>
      </c>
      <c r="F43" s="92" cm="1">
        <f t="array" ref="F43">SUM(F48:F48-E48:E48)-SUM(F36:F42)</f>
        <v>-3722</v>
      </c>
      <c r="G43" s="32"/>
      <c r="H43" s="92"/>
      <c r="I43" s="92" cm="1">
        <f t="array" ref="I43">SUM(I48:I48-H48:H48)-SUM(I36:I42)</f>
        <v>2010.8740000000071</v>
      </c>
      <c r="J43" s="92" cm="1">
        <f t="array" ref="J43">SUM(J48:J48-I48:I48)-SUM(J36:J42)</f>
        <v>3776.9969999999958</v>
      </c>
      <c r="K43" s="92" cm="1">
        <f t="array" ref="K43">SUM(K48:K48-J48:J48)-SUM(K36:K42)</f>
        <v>988.27199999999721</v>
      </c>
      <c r="L43" s="92" cm="1">
        <f t="array" ref="L43">SUM(L48:L48-K48:K48)-SUM(L36:L42)</f>
        <v>7450.135000000002</v>
      </c>
      <c r="M43" s="92" cm="1">
        <f t="array" ref="M43">SUM(M48:M48-L48:L48)-SUM(M36:M42)</f>
        <v>736.66600000000471</v>
      </c>
      <c r="N43" s="92" cm="1">
        <f t="array" ref="N43">SUM(N48:N48-M48:M48)-SUM(N36:N42)</f>
        <v>981.44999999999709</v>
      </c>
      <c r="O43" s="92" cm="1">
        <f t="array" ref="O43">SUM(O48:O48-N48:N48)-SUM(O36:O42)</f>
        <v>-148.2510000000002</v>
      </c>
      <c r="P43" s="92" cm="1">
        <f t="array" ref="P43">SUM(P48:P48-O48:O48)-SUM(P36:P42)</f>
        <v>-3206</v>
      </c>
      <c r="Q43" s="92" cm="1">
        <f t="array" ref="Q43">SUM(Q48:Q48-P48:P48)-SUM(Q36:Q42)</f>
        <v>-2436</v>
      </c>
      <c r="R43" s="92" cm="1">
        <f t="array" ref="R43">SUM(R48:R48-Q48:Q48)-SUM(R36:R42)</f>
        <v>7372</v>
      </c>
      <c r="S43" s="92" cm="1">
        <f t="array" ref="S43">SUM(S48:S48-R48:R48)-SUM(S36:S42)</f>
        <v>-5452</v>
      </c>
      <c r="U43" s="137">
        <f t="shared" ref="U43:AC43" si="51">SUM(H43:K43)</f>
        <v>6776.143</v>
      </c>
      <c r="V43" s="137">
        <f t="shared" si="51"/>
        <v>14226.278000000002</v>
      </c>
      <c r="W43" s="137">
        <f t="shared" si="51"/>
        <v>12952.07</v>
      </c>
      <c r="X43" s="137">
        <f t="shared" si="51"/>
        <v>10156.523000000001</v>
      </c>
      <c r="Y43" s="137">
        <f t="shared" si="51"/>
        <v>9020.0000000000036</v>
      </c>
      <c r="Z43" s="137">
        <f t="shared" si="51"/>
        <v>-1636.1349999999984</v>
      </c>
      <c r="AA43" s="137">
        <f t="shared" si="51"/>
        <v>-4808.8010000000031</v>
      </c>
      <c r="AB43" s="137">
        <f t="shared" si="51"/>
        <v>1581.7489999999998</v>
      </c>
      <c r="AC43" s="137">
        <f t="shared" si="51"/>
        <v>-3722</v>
      </c>
    </row>
    <row r="44" spans="1:31" ht="12.75" customHeight="1">
      <c r="B44" s="13" t="s">
        <v>39</v>
      </c>
      <c r="C44" s="14">
        <f>SUM(C36+SUM(C38:C43))</f>
        <v>-4692</v>
      </c>
      <c r="D44" s="14">
        <f>SUM(D36+SUM(D38:D43))</f>
        <v>35432.881999999998</v>
      </c>
      <c r="E44" s="14">
        <f>SUM(E36+SUM(E38:E43))</f>
        <v>-35170</v>
      </c>
      <c r="F44" s="14">
        <f>SUM(F36+SUM(F38:F43))</f>
        <v>51795</v>
      </c>
      <c r="H44" s="14">
        <f>SUM(H36+SUM(H38:H43))</f>
        <v>15487.089000000004</v>
      </c>
      <c r="I44" s="14">
        <f>SUM(I36+SUM(I38:I43))</f>
        <v>-17089.892999999996</v>
      </c>
      <c r="J44" s="14">
        <f>SUM(J36+SUM(J38:J43))</f>
        <v>-17509.033000000007</v>
      </c>
      <c r="K44" s="14">
        <f>SUM(K36+SUM(K38:K43))</f>
        <v>51615.98</v>
      </c>
      <c r="L44" s="14">
        <f>SUM(L36+SUM(L38:L43))</f>
        <v>-17318</v>
      </c>
      <c r="M44" s="14">
        <f>SUM(M36+SUM(M38:M43))</f>
        <v>-6691</v>
      </c>
      <c r="N44" s="14">
        <f>SUM(N36+SUM(N38:N43))</f>
        <v>11644</v>
      </c>
      <c r="O44" s="14">
        <f>SUM(O36+SUM(O38:O43))</f>
        <v>-22805.000000000004</v>
      </c>
      <c r="P44" s="14">
        <f>SUM(P36+SUM(P38:P43))</f>
        <v>-6027</v>
      </c>
      <c r="Q44" s="14">
        <f>SUM(Q36+SUM(Q38:Q43))</f>
        <v>42919</v>
      </c>
      <c r="R44" s="14">
        <f>SUM(R36+SUM(R38:R43))</f>
        <v>-1537</v>
      </c>
      <c r="S44" s="14">
        <f>SUM(S36+SUM(S38:S43))</f>
        <v>16440</v>
      </c>
      <c r="U44" s="14">
        <f>SUM(U36+SUM(U38:U43))</f>
        <v>-5331.857</v>
      </c>
      <c r="V44" s="14">
        <f>SUM(V36+SUM(V38:V43))</f>
        <v>8402.3350000000173</v>
      </c>
      <c r="W44" s="14">
        <f>SUM(W36+SUM(W38:W43))</f>
        <v>17931.261000000006</v>
      </c>
      <c r="X44" s="14">
        <f>SUM(X36+SUM(X38:X43))</f>
        <v>43264.59899999998</v>
      </c>
      <c r="Y44" s="14">
        <f>SUM(Y36+SUM(Y38:Y43))</f>
        <v>-26762.999999999996</v>
      </c>
      <c r="Z44" s="14">
        <f>SUM(Z36+SUM(Z38:Z43))</f>
        <v>-22808.999999999993</v>
      </c>
      <c r="AA44" s="14">
        <f>SUM(AA36+SUM(AA38:AA43))</f>
        <v>26438.999999999985</v>
      </c>
      <c r="AB44" s="14">
        <f>SUM(AB36+SUM(AB38:AB43))</f>
        <v>12550</v>
      </c>
      <c r="AC44" s="14">
        <f>SUM(AC36+SUM(AC38:AC43))</f>
        <v>51795</v>
      </c>
    </row>
    <row r="45" spans="1:31" ht="5.0999999999999996" customHeight="1"/>
    <row r="46" spans="1:31" ht="12.75" customHeight="1">
      <c r="A46" s="5"/>
      <c r="B46" s="33" t="s">
        <v>40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31" ht="5.0999999999999996" customHeight="1"/>
    <row r="48" spans="1:31" ht="12.75" customHeight="1">
      <c r="B48" s="8" t="s">
        <v>41</v>
      </c>
      <c r="C48" s="90">
        <f>'Historical Financials'!C46</f>
        <v>51089.118000000002</v>
      </c>
      <c r="D48" s="90">
        <f>'Historical Financials'!D46</f>
        <v>86522</v>
      </c>
      <c r="E48" s="90">
        <f>'Historical Financials'!E46</f>
        <v>51352</v>
      </c>
      <c r="F48" s="90">
        <f>'Historical Financials'!F46</f>
        <v>103147</v>
      </c>
      <c r="G48" s="32"/>
      <c r="H48" s="90">
        <f>'Historical Financials'!H46</f>
        <v>69504.945999999996</v>
      </c>
      <c r="I48" s="90">
        <f>'Historical Financials'!I46</f>
        <v>52415.053</v>
      </c>
      <c r="J48" s="90">
        <f>'Historical Financials'!J46</f>
        <v>34906.019999999997</v>
      </c>
      <c r="K48" s="90">
        <f>'Historical Financials'!K46</f>
        <v>86522</v>
      </c>
      <c r="L48" s="90">
        <f>'Historical Financials'!L46</f>
        <v>69204</v>
      </c>
      <c r="M48" s="90">
        <f>'Historical Financials'!M46</f>
        <v>62513</v>
      </c>
      <c r="N48" s="90">
        <f>'Historical Financials'!N46</f>
        <v>74157</v>
      </c>
      <c r="O48" s="90">
        <f>'Historical Financials'!O46</f>
        <v>51352</v>
      </c>
      <c r="P48" s="90">
        <f>'Historical Financials'!P46</f>
        <v>45325</v>
      </c>
      <c r="Q48" s="90">
        <f>'Historical Financials'!Q46</f>
        <v>88244</v>
      </c>
      <c r="R48" s="90">
        <f>'Historical Financials'!R46</f>
        <v>86707</v>
      </c>
      <c r="S48" s="90">
        <f>'Historical Financials'!S46</f>
        <v>103147</v>
      </c>
      <c r="U48" s="10">
        <f t="shared" ref="U48:AB48" si="52">K48</f>
        <v>86522</v>
      </c>
      <c r="V48" s="10">
        <f t="shared" si="52"/>
        <v>69204</v>
      </c>
      <c r="W48" s="10">
        <f t="shared" si="52"/>
        <v>62513</v>
      </c>
      <c r="X48" s="10">
        <f t="shared" si="52"/>
        <v>74157</v>
      </c>
      <c r="Y48" s="10">
        <f t="shared" si="52"/>
        <v>51352</v>
      </c>
      <c r="Z48" s="10">
        <f t="shared" si="52"/>
        <v>45325</v>
      </c>
      <c r="AA48" s="10">
        <f t="shared" si="52"/>
        <v>88244</v>
      </c>
      <c r="AB48" s="10">
        <f t="shared" si="52"/>
        <v>86707</v>
      </c>
      <c r="AC48" s="10">
        <f>S48</f>
        <v>103147</v>
      </c>
    </row>
    <row r="49" spans="2:29" ht="12.75" customHeight="1">
      <c r="B49" s="31" t="s">
        <v>182</v>
      </c>
      <c r="C49" s="157">
        <v>0</v>
      </c>
      <c r="D49" s="157">
        <v>0</v>
      </c>
      <c r="E49" s="157">
        <f>72500-E68</f>
        <v>0</v>
      </c>
      <c r="F49" s="157">
        <f>72500-F68</f>
        <v>30000</v>
      </c>
      <c r="G49" s="32"/>
      <c r="H49" s="157">
        <v>0</v>
      </c>
      <c r="I49" s="157">
        <v>0</v>
      </c>
      <c r="J49" s="157">
        <v>0</v>
      </c>
      <c r="K49" s="92">
        <f>D49</f>
        <v>0</v>
      </c>
      <c r="L49" s="157">
        <v>0</v>
      </c>
      <c r="M49" s="157">
        <v>0</v>
      </c>
      <c r="N49" s="157">
        <v>0</v>
      </c>
      <c r="O49" s="92">
        <f>E49</f>
        <v>0</v>
      </c>
      <c r="P49" s="157">
        <f>72500-P68</f>
        <v>0</v>
      </c>
      <c r="Q49" s="157">
        <f>72500-Q68</f>
        <v>0</v>
      </c>
      <c r="R49" s="157">
        <f>72500-R68</f>
        <v>30000</v>
      </c>
      <c r="S49" s="92">
        <f>F49</f>
        <v>30000</v>
      </c>
      <c r="U49" s="10">
        <f t="shared" ref="U49" si="53">K49</f>
        <v>0</v>
      </c>
      <c r="V49" s="10">
        <f t="shared" ref="V49" si="54">L49</f>
        <v>0</v>
      </c>
      <c r="W49" s="10">
        <f t="shared" ref="W49" si="55">M49</f>
        <v>0</v>
      </c>
      <c r="X49" s="10">
        <f t="shared" ref="X49" si="56">N49</f>
        <v>0</v>
      </c>
      <c r="Y49" s="10">
        <f t="shared" ref="Y49" si="57">O49</f>
        <v>0</v>
      </c>
      <c r="Z49" s="10">
        <f t="shared" ref="Z49" si="58">P49</f>
        <v>0</v>
      </c>
      <c r="AA49" s="10">
        <f t="shared" ref="AA49" si="59">Q49</f>
        <v>0</v>
      </c>
      <c r="AB49" s="10">
        <f t="shared" ref="AB49" si="60">R49</f>
        <v>30000</v>
      </c>
      <c r="AC49" s="10">
        <f>S49</f>
        <v>30000</v>
      </c>
    </row>
    <row r="50" spans="2:29" ht="12.75" customHeight="1">
      <c r="B50" s="13" t="s">
        <v>42</v>
      </c>
      <c r="C50" s="14">
        <f>SUM(C48:C49)</f>
        <v>51089.118000000002</v>
      </c>
      <c r="D50" s="14">
        <f t="shared" ref="D50:F50" si="61">SUM(D48:D49)</f>
        <v>86522</v>
      </c>
      <c r="E50" s="14">
        <f t="shared" si="61"/>
        <v>51352</v>
      </c>
      <c r="F50" s="14">
        <f t="shared" si="61"/>
        <v>133147</v>
      </c>
      <c r="G50" s="32"/>
      <c r="H50" s="14">
        <f t="shared" ref="H50" si="62">SUM(H48:H49)</f>
        <v>69504.945999999996</v>
      </c>
      <c r="I50" s="14">
        <f t="shared" ref="I50" si="63">SUM(I48:I49)</f>
        <v>52415.053</v>
      </c>
      <c r="J50" s="14">
        <f t="shared" ref="J50" si="64">SUM(J48:J49)</f>
        <v>34906.019999999997</v>
      </c>
      <c r="K50" s="14">
        <f t="shared" ref="K50" si="65">SUM(K48:K49)</f>
        <v>86522</v>
      </c>
      <c r="L50" s="14">
        <f t="shared" ref="L50" si="66">SUM(L48:L49)</f>
        <v>69204</v>
      </c>
      <c r="M50" s="14">
        <f t="shared" ref="M50" si="67">SUM(M48:M49)</f>
        <v>62513</v>
      </c>
      <c r="N50" s="14">
        <f t="shared" ref="N50" si="68">SUM(N48:N49)</f>
        <v>74157</v>
      </c>
      <c r="O50" s="14">
        <f t="shared" ref="O50" si="69">SUM(O48:O49)</f>
        <v>51352</v>
      </c>
      <c r="P50" s="14">
        <f t="shared" ref="P50" si="70">SUM(P48:P49)</f>
        <v>45325</v>
      </c>
      <c r="Q50" s="14">
        <f t="shared" ref="Q50" si="71">SUM(Q48:Q49)</f>
        <v>88244</v>
      </c>
      <c r="R50" s="14">
        <f t="shared" ref="R50" si="72">SUM(R48:R49)</f>
        <v>116707</v>
      </c>
      <c r="S50" s="14">
        <f t="shared" ref="S50" si="73">SUM(S48:S49)</f>
        <v>133147</v>
      </c>
      <c r="U50" s="14">
        <f t="shared" ref="U50" si="74">SUM(U48:U49)</f>
        <v>86522</v>
      </c>
      <c r="V50" s="14">
        <f t="shared" ref="V50" si="75">SUM(V48:V49)</f>
        <v>69204</v>
      </c>
      <c r="W50" s="14">
        <f t="shared" ref="W50" si="76">SUM(W48:W49)</f>
        <v>62513</v>
      </c>
      <c r="X50" s="14">
        <f t="shared" ref="X50" si="77">SUM(X48:X49)</f>
        <v>74157</v>
      </c>
      <c r="Y50" s="14">
        <f t="shared" ref="Y50" si="78">SUM(Y48:Y49)</f>
        <v>51352</v>
      </c>
      <c r="Z50" s="14">
        <f t="shared" ref="Z50" si="79">SUM(Z48:Z49)</f>
        <v>45325</v>
      </c>
      <c r="AA50" s="14">
        <f t="shared" ref="AA50" si="80">SUM(AA48:AA49)</f>
        <v>88244</v>
      </c>
      <c r="AB50" s="14">
        <f t="shared" ref="AB50" si="81">SUM(AB48:AB49)</f>
        <v>116707</v>
      </c>
      <c r="AC50" s="14">
        <f t="shared" ref="AC50" si="82">SUM(AC48:AC49)</f>
        <v>133147</v>
      </c>
    </row>
    <row r="51" spans="2:29" ht="5.0999999999999996" customHeight="1"/>
    <row r="52" spans="2:29" ht="12.75" customHeight="1">
      <c r="B52" s="35" t="s">
        <v>43</v>
      </c>
    </row>
    <row r="53" spans="2:29" ht="12.75" customHeight="1">
      <c r="B53" s="8" t="s">
        <v>178</v>
      </c>
      <c r="C53" s="90">
        <f>'Historical Financials'!C47</f>
        <v>28576.857</v>
      </c>
      <c r="D53" s="90">
        <f>'Historical Financials'!D47</f>
        <v>15505</v>
      </c>
      <c r="E53" s="90">
        <f>'Historical Financials'!E47</f>
        <v>27421</v>
      </c>
      <c r="F53" s="90">
        <f>'Historical Financials'!F47</f>
        <v>49999</v>
      </c>
      <c r="H53" s="90">
        <f>'Historical Financials'!H47</f>
        <v>25629.625</v>
      </c>
      <c r="I53" s="90">
        <f>'Historical Financials'!I47</f>
        <v>18883.847000000002</v>
      </c>
      <c r="J53" s="90">
        <f>'Historical Financials'!J47</f>
        <v>20902.384999999998</v>
      </c>
      <c r="K53" s="90">
        <f>'Historical Financials'!K47</f>
        <v>15505</v>
      </c>
      <c r="L53" s="90">
        <f>'Historical Financials'!L47</f>
        <v>26518.494999999999</v>
      </c>
      <c r="M53" s="90">
        <f>'Historical Financials'!M47</f>
        <v>36731.612000000001</v>
      </c>
      <c r="N53" s="90">
        <f>'Historical Financials'!N47</f>
        <v>31318.68</v>
      </c>
      <c r="O53" s="90">
        <f>'Historical Financials'!O47</f>
        <v>27421</v>
      </c>
      <c r="P53" s="90">
        <f>'Historical Financials'!P47</f>
        <v>49621</v>
      </c>
      <c r="Q53" s="90">
        <f>'Historical Financials'!Q47</f>
        <v>30113</v>
      </c>
      <c r="R53" s="90">
        <f>'Historical Financials'!R47</f>
        <v>50140</v>
      </c>
      <c r="S53" s="90">
        <f>'Historical Financials'!S47</f>
        <v>49999</v>
      </c>
      <c r="T53" s="10"/>
      <c r="U53" s="10">
        <f t="shared" ref="U53:AC59" si="83">K53</f>
        <v>15505</v>
      </c>
      <c r="V53" s="10">
        <f t="shared" si="83"/>
        <v>26518.494999999999</v>
      </c>
      <c r="W53" s="10">
        <f t="shared" si="83"/>
        <v>36731.612000000001</v>
      </c>
      <c r="X53" s="10">
        <f t="shared" si="83"/>
        <v>31318.68</v>
      </c>
      <c r="Y53" s="10">
        <f t="shared" si="83"/>
        <v>27421</v>
      </c>
      <c r="Z53" s="10">
        <f t="shared" si="83"/>
        <v>49621</v>
      </c>
      <c r="AA53" s="10">
        <f t="shared" si="83"/>
        <v>30113</v>
      </c>
      <c r="AB53" s="10">
        <f t="shared" si="83"/>
        <v>50140</v>
      </c>
      <c r="AC53" s="10">
        <f t="shared" si="83"/>
        <v>49999</v>
      </c>
    </row>
    <row r="54" spans="2:29" ht="12.75" customHeight="1">
      <c r="B54" s="8" t="s">
        <v>119</v>
      </c>
      <c r="C54" s="90">
        <f>'Historical Financials'!C48</f>
        <v>124724.091</v>
      </c>
      <c r="D54" s="90">
        <f>'Historical Financials'!D48</f>
        <v>163280</v>
      </c>
      <c r="E54" s="90">
        <f>'Historical Financials'!E48</f>
        <v>172906</v>
      </c>
      <c r="F54" s="90">
        <f>'Historical Financials'!F48</f>
        <v>170235</v>
      </c>
      <c r="H54" s="90">
        <f>'Historical Financials'!H48</f>
        <v>139146.31099999999</v>
      </c>
      <c r="I54" s="90">
        <f>'Historical Financials'!I48</f>
        <v>146075.459</v>
      </c>
      <c r="J54" s="90">
        <f>'Historical Financials'!J48</f>
        <v>162913.633</v>
      </c>
      <c r="K54" s="90">
        <f>'Historical Financials'!K48</f>
        <v>163280</v>
      </c>
      <c r="L54" s="90">
        <f>'Historical Financials'!L48</f>
        <v>163984.87299999999</v>
      </c>
      <c r="M54" s="90">
        <f>'Historical Financials'!M48</f>
        <v>161780.06299999999</v>
      </c>
      <c r="N54" s="90">
        <f>'Historical Financials'!N48</f>
        <v>163116.10500000001</v>
      </c>
      <c r="O54" s="90">
        <f>'Historical Financials'!O48</f>
        <v>172906</v>
      </c>
      <c r="P54" s="90">
        <f>'Historical Financials'!P48</f>
        <v>177732</v>
      </c>
      <c r="Q54" s="90">
        <f>'Historical Financials'!Q48</f>
        <v>179810</v>
      </c>
      <c r="R54" s="90">
        <f>'Historical Financials'!R48</f>
        <v>171801</v>
      </c>
      <c r="S54" s="90">
        <f>'Historical Financials'!S48</f>
        <v>170235</v>
      </c>
      <c r="T54" s="10"/>
      <c r="U54" s="10">
        <f t="shared" ref="U54" si="84">K54</f>
        <v>163280</v>
      </c>
      <c r="V54" s="10">
        <f t="shared" ref="V54" si="85">L54</f>
        <v>163984.87299999999</v>
      </c>
      <c r="W54" s="10">
        <f t="shared" ref="W54" si="86">M54</f>
        <v>161780.06299999999</v>
      </c>
      <c r="X54" s="10">
        <f t="shared" ref="X54" si="87">N54</f>
        <v>163116.10500000001</v>
      </c>
      <c r="Y54" s="10">
        <f t="shared" ref="Y54" si="88">O54</f>
        <v>172906</v>
      </c>
      <c r="Z54" s="10">
        <f t="shared" ref="Z54" si="89">P54</f>
        <v>177732</v>
      </c>
      <c r="AA54" s="10">
        <f t="shared" ref="AA54" si="90">Q54</f>
        <v>179810</v>
      </c>
      <c r="AB54" s="10">
        <f t="shared" ref="AB54" si="91">R54</f>
        <v>171801</v>
      </c>
      <c r="AC54" s="10">
        <f t="shared" ref="AC54" si="92">S54</f>
        <v>170235</v>
      </c>
    </row>
    <row r="55" spans="2:29" ht="12.75" customHeight="1">
      <c r="B55" s="8" t="s">
        <v>82</v>
      </c>
      <c r="C55" s="90">
        <f>'Historical Financials'!C53</f>
        <v>50935.074000000001</v>
      </c>
      <c r="D55" s="90">
        <f>'Historical Financials'!D53</f>
        <v>58261</v>
      </c>
      <c r="E55" s="90">
        <f>'Historical Financials'!E53</f>
        <v>53835</v>
      </c>
      <c r="F55" s="90">
        <f>'Historical Financials'!F53</f>
        <v>54707</v>
      </c>
      <c r="H55" s="90">
        <f>'Historical Financials'!H53</f>
        <v>53220.048000000003</v>
      </c>
      <c r="I55" s="90">
        <f>'Historical Financials'!I53</f>
        <v>54951.267</v>
      </c>
      <c r="J55" s="90">
        <f>'Historical Financials'!J53</f>
        <v>56946.008999999998</v>
      </c>
      <c r="K55" s="90">
        <f>'Historical Financials'!K53</f>
        <v>58261</v>
      </c>
      <c r="L55" s="90">
        <f>'Historical Financials'!L53</f>
        <v>57370.783000000003</v>
      </c>
      <c r="M55" s="90">
        <f>'Historical Financials'!M53</f>
        <v>56305.62</v>
      </c>
      <c r="N55" s="90">
        <f>'Historical Financials'!N53</f>
        <v>54814.607000000004</v>
      </c>
      <c r="O55" s="90">
        <f>'Historical Financials'!O53</f>
        <v>53835</v>
      </c>
      <c r="P55" s="90">
        <f>'Historical Financials'!P53</f>
        <v>55317</v>
      </c>
      <c r="Q55" s="90">
        <f>'Historical Financials'!Q53</f>
        <v>54326</v>
      </c>
      <c r="R55" s="90">
        <f>'Historical Financials'!R53</f>
        <v>53694</v>
      </c>
      <c r="S55" s="90">
        <f>'Historical Financials'!S53</f>
        <v>54707</v>
      </c>
      <c r="T55" s="10"/>
      <c r="U55" s="10">
        <f t="shared" ref="U55" si="93">K55</f>
        <v>58261</v>
      </c>
      <c r="V55" s="10">
        <f t="shared" ref="V55" si="94">L55</f>
        <v>57370.783000000003</v>
      </c>
      <c r="W55" s="10">
        <f t="shared" ref="W55" si="95">M55</f>
        <v>56305.62</v>
      </c>
      <c r="X55" s="10">
        <f t="shared" ref="X55" si="96">N55</f>
        <v>54814.607000000004</v>
      </c>
      <c r="Y55" s="10">
        <f t="shared" ref="Y55" si="97">O55</f>
        <v>53835</v>
      </c>
      <c r="Z55" s="10">
        <f t="shared" ref="Z55" si="98">P55</f>
        <v>55317</v>
      </c>
      <c r="AA55" s="10">
        <f t="shared" ref="AA55" si="99">Q55</f>
        <v>54326</v>
      </c>
      <c r="AB55" s="10">
        <f t="shared" ref="AB55" si="100">R55</f>
        <v>53694</v>
      </c>
      <c r="AC55" s="10">
        <f t="shared" ref="AC55" si="101">S55</f>
        <v>54707</v>
      </c>
    </row>
    <row r="56" spans="2:29" ht="12.75" customHeight="1">
      <c r="B56" s="8" t="s">
        <v>179</v>
      </c>
      <c r="C56" s="90">
        <f>'Historical Financials'!C61</f>
        <v>12429.409</v>
      </c>
      <c r="D56" s="90">
        <f>'Historical Financials'!D61</f>
        <v>13229</v>
      </c>
      <c r="E56" s="90">
        <f>'Historical Financials'!E61</f>
        <v>15660</v>
      </c>
      <c r="F56" s="90">
        <f>'Historical Financials'!F61</f>
        <v>20219</v>
      </c>
      <c r="H56" s="90">
        <f>'Historical Financials'!H61</f>
        <v>14115.135</v>
      </c>
      <c r="I56" s="90">
        <f>'Historical Financials'!I61</f>
        <v>11388.048000000001</v>
      </c>
      <c r="J56" s="90">
        <f>'Historical Financials'!J61</f>
        <v>25197.806</v>
      </c>
      <c r="K56" s="90">
        <f>'Historical Financials'!K61</f>
        <v>13229</v>
      </c>
      <c r="L56" s="90">
        <f>'Historical Financials'!L61</f>
        <v>12956.486000000001</v>
      </c>
      <c r="M56" s="90">
        <f>'Historical Financials'!M61</f>
        <v>12084.529</v>
      </c>
      <c r="N56" s="90">
        <f>'Historical Financials'!N61</f>
        <v>10851.446</v>
      </c>
      <c r="O56" s="90">
        <f>'Historical Financials'!O61</f>
        <v>15660</v>
      </c>
      <c r="P56" s="90">
        <f>'Historical Financials'!P61</f>
        <v>17186</v>
      </c>
      <c r="Q56" s="90">
        <f>'Historical Financials'!Q61</f>
        <v>14179</v>
      </c>
      <c r="R56" s="90">
        <f>'Historical Financials'!R61</f>
        <v>16020</v>
      </c>
      <c r="S56" s="90">
        <f>'Historical Financials'!S61</f>
        <v>20219</v>
      </c>
      <c r="T56" s="10"/>
      <c r="U56" s="10">
        <f t="shared" ref="U56" si="102">K56</f>
        <v>13229</v>
      </c>
      <c r="V56" s="10">
        <f t="shared" ref="V56" si="103">L56</f>
        <v>12956.486000000001</v>
      </c>
      <c r="W56" s="10">
        <f t="shared" ref="W56" si="104">M56</f>
        <v>12084.529</v>
      </c>
      <c r="X56" s="10">
        <f t="shared" ref="X56" si="105">N56</f>
        <v>10851.446</v>
      </c>
      <c r="Y56" s="10">
        <f t="shared" ref="Y56" si="106">O56</f>
        <v>15660</v>
      </c>
      <c r="Z56" s="10">
        <f t="shared" ref="Z56" si="107">P56</f>
        <v>17186</v>
      </c>
      <c r="AA56" s="10">
        <f t="shared" ref="AA56" si="108">Q56</f>
        <v>14179</v>
      </c>
      <c r="AB56" s="10">
        <f t="shared" ref="AB56" si="109">R56</f>
        <v>16020</v>
      </c>
      <c r="AC56" s="10">
        <f t="shared" ref="AC56" si="110">S56</f>
        <v>20219</v>
      </c>
    </row>
    <row r="57" spans="2:29" ht="12.75" customHeight="1">
      <c r="B57" s="8" t="s">
        <v>180</v>
      </c>
      <c r="C57" s="90">
        <f>'Historical Financials'!C63+'Historical Financials'!C69</f>
        <v>2118.6990000000001</v>
      </c>
      <c r="D57" s="90">
        <f>'Historical Financials'!D63+'Historical Financials'!D69</f>
        <v>1976</v>
      </c>
      <c r="E57" s="90">
        <f>'Historical Financials'!E63+'Historical Financials'!E69</f>
        <v>1872</v>
      </c>
      <c r="F57" s="90">
        <f>'Historical Financials'!F63+'Historical Financials'!F69</f>
        <v>1690</v>
      </c>
      <c r="G57" s="90"/>
      <c r="H57" s="90">
        <f>'Historical Financials'!H63+'Historical Financials'!H69</f>
        <v>2082.9899999999998</v>
      </c>
      <c r="I57" s="90">
        <f>'Historical Financials'!I63+'Historical Financials'!I69</f>
        <v>2047.2820000000002</v>
      </c>
      <c r="J57" s="90">
        <f>'Historical Financials'!J63+'Historical Financials'!J69</f>
        <v>2011.5730000000001</v>
      </c>
      <c r="K57" s="90">
        <f>'Historical Financials'!K63+'Historical Financials'!K69</f>
        <v>1976</v>
      </c>
      <c r="L57" s="90">
        <f>'Historical Financials'!L63+'Historical Financials'!L69</f>
        <v>1940.1570000000002</v>
      </c>
      <c r="M57" s="90">
        <f>'Historical Financials'!M63+'Historical Financials'!M69</f>
        <v>1904.4480000000001</v>
      </c>
      <c r="N57" s="90">
        <f>'Historical Financials'!N63+'Historical Financials'!N69</f>
        <v>1868.74</v>
      </c>
      <c r="O57" s="90">
        <f>'Historical Financials'!O63+'Historical Financials'!O69</f>
        <v>1872</v>
      </c>
      <c r="P57" s="90">
        <f>'Historical Financials'!P63+'Historical Financials'!P69</f>
        <v>2772</v>
      </c>
      <c r="Q57" s="90">
        <f>'Historical Financials'!Q63+'Historical Financials'!Q69</f>
        <v>2749</v>
      </c>
      <c r="R57" s="90">
        <f>'Historical Financials'!R63+'Historical Financials'!R69</f>
        <v>1726</v>
      </c>
      <c r="S57" s="90">
        <f>'Historical Financials'!S63+'Historical Financials'!S69</f>
        <v>1690</v>
      </c>
      <c r="U57" s="10">
        <f t="shared" si="83"/>
        <v>1976</v>
      </c>
      <c r="V57" s="10">
        <f t="shared" si="83"/>
        <v>1940.1570000000002</v>
      </c>
      <c r="W57" s="10">
        <f t="shared" si="83"/>
        <v>1904.4480000000001</v>
      </c>
      <c r="X57" s="10">
        <f t="shared" si="83"/>
        <v>1868.74</v>
      </c>
      <c r="Y57" s="10">
        <f t="shared" si="83"/>
        <v>1872</v>
      </c>
      <c r="Z57" s="10">
        <f t="shared" si="83"/>
        <v>2772</v>
      </c>
      <c r="AA57" s="10">
        <f t="shared" si="83"/>
        <v>2749</v>
      </c>
      <c r="AB57" s="10">
        <f t="shared" si="83"/>
        <v>1726</v>
      </c>
      <c r="AC57" s="10">
        <f t="shared" si="83"/>
        <v>1690</v>
      </c>
    </row>
    <row r="58" spans="2:29" ht="12.75" customHeight="1">
      <c r="B58" s="8" t="s">
        <v>44</v>
      </c>
      <c r="C58" s="90">
        <f>'Historical Financials'!C65</f>
        <v>30378.314999999999</v>
      </c>
      <c r="D58" s="90">
        <f>'Historical Financials'!D65</f>
        <v>39267</v>
      </c>
      <c r="E58" s="90">
        <f>'Historical Financials'!E65</f>
        <v>49806</v>
      </c>
      <c r="F58" s="90">
        <f>'Historical Financials'!F65</f>
        <v>55542</v>
      </c>
      <c r="G58" s="90"/>
      <c r="H58" s="90">
        <f>'Historical Financials'!H65</f>
        <v>31566.512000000002</v>
      </c>
      <c r="I58" s="90">
        <f>'Historical Financials'!I65</f>
        <v>28071.613000000001</v>
      </c>
      <c r="J58" s="90">
        <f>'Historical Financials'!J65</f>
        <v>44440.326999999997</v>
      </c>
      <c r="K58" s="90">
        <f>'Historical Financials'!K65</f>
        <v>39267</v>
      </c>
      <c r="L58" s="90">
        <f>'Historical Financials'!L65</f>
        <v>36727.828999999998</v>
      </c>
      <c r="M58" s="90">
        <f>'Historical Financials'!M65</f>
        <v>41952.497000000003</v>
      </c>
      <c r="N58" s="90">
        <f>'Historical Financials'!N65</f>
        <v>41840.897000000004</v>
      </c>
      <c r="O58" s="90">
        <f>'Historical Financials'!O65</f>
        <v>49806</v>
      </c>
      <c r="P58" s="90">
        <f>'Historical Financials'!P65</f>
        <v>53088</v>
      </c>
      <c r="Q58" s="90">
        <f>'Historical Financials'!Q65</f>
        <v>44177</v>
      </c>
      <c r="R58" s="90">
        <f>'Historical Financials'!R65</f>
        <v>44891</v>
      </c>
      <c r="S58" s="90">
        <f>'Historical Financials'!S65</f>
        <v>55542</v>
      </c>
      <c r="U58" s="10">
        <f t="shared" si="83"/>
        <v>39267</v>
      </c>
      <c r="V58" s="10">
        <f t="shared" si="83"/>
        <v>36727.828999999998</v>
      </c>
      <c r="W58" s="10">
        <f t="shared" si="83"/>
        <v>41952.497000000003</v>
      </c>
      <c r="X58" s="10">
        <f t="shared" si="83"/>
        <v>41840.897000000004</v>
      </c>
      <c r="Y58" s="10">
        <f t="shared" si="83"/>
        <v>49806</v>
      </c>
      <c r="Z58" s="10">
        <f t="shared" si="83"/>
        <v>53088</v>
      </c>
      <c r="AA58" s="10">
        <f t="shared" si="83"/>
        <v>44177</v>
      </c>
      <c r="AB58" s="10">
        <f t="shared" si="83"/>
        <v>44891</v>
      </c>
      <c r="AC58" s="10">
        <f t="shared" si="83"/>
        <v>55542</v>
      </c>
    </row>
    <row r="59" spans="2:29" ht="12.75" customHeight="1">
      <c r="B59" s="8" t="s">
        <v>17</v>
      </c>
      <c r="C59" s="90">
        <f>'Historical Financials'!C73</f>
        <v>135080.158</v>
      </c>
      <c r="D59" s="90">
        <f>'Historical Financials'!D73</f>
        <v>196487</v>
      </c>
      <c r="E59" s="90">
        <f>'Historical Financials'!E73</f>
        <v>193976</v>
      </c>
      <c r="F59" s="90">
        <f>'Historical Financials'!F73</f>
        <v>139660</v>
      </c>
      <c r="G59" s="90"/>
      <c r="H59" s="90">
        <f>'Historical Financials'!H73</f>
        <v>181099.42699999997</v>
      </c>
      <c r="I59" s="90">
        <f>'Historical Financials'!I73</f>
        <v>182531.80200000003</v>
      </c>
      <c r="J59" s="90">
        <f>'Historical Financials'!J73</f>
        <v>200173.03400000001</v>
      </c>
      <c r="K59" s="90">
        <f>'Historical Financials'!K73</f>
        <v>196487</v>
      </c>
      <c r="L59" s="90">
        <f>'Historical Financials'!L73</f>
        <v>195132.92199999999</v>
      </c>
      <c r="M59" s="90">
        <f>'Historical Financials'!M73</f>
        <v>196264.747</v>
      </c>
      <c r="N59" s="90">
        <f>'Historical Financials'!N73</f>
        <v>197559.21899999995</v>
      </c>
      <c r="O59" s="90">
        <f>'Historical Financials'!O73</f>
        <v>193976</v>
      </c>
      <c r="P59" s="90">
        <f>'Historical Financials'!P73</f>
        <v>197169</v>
      </c>
      <c r="Q59" s="90">
        <f>'Historical Financials'!Q73</f>
        <v>188130</v>
      </c>
      <c r="R59" s="90">
        <f>'Historical Financials'!R73</f>
        <v>158728</v>
      </c>
      <c r="S59" s="90">
        <f>'Historical Financials'!S73</f>
        <v>139660</v>
      </c>
      <c r="U59" s="10">
        <f t="shared" si="83"/>
        <v>196487</v>
      </c>
      <c r="V59" s="10">
        <f t="shared" si="83"/>
        <v>195132.92199999999</v>
      </c>
      <c r="W59" s="10">
        <f t="shared" si="83"/>
        <v>196264.747</v>
      </c>
      <c r="X59" s="10">
        <f t="shared" si="83"/>
        <v>197559.21899999995</v>
      </c>
      <c r="Y59" s="10">
        <f t="shared" si="83"/>
        <v>193976</v>
      </c>
      <c r="Z59" s="10">
        <f t="shared" si="83"/>
        <v>197169</v>
      </c>
      <c r="AA59" s="10">
        <f t="shared" si="83"/>
        <v>188130</v>
      </c>
      <c r="AB59" s="10">
        <f t="shared" si="83"/>
        <v>158728</v>
      </c>
      <c r="AC59" s="10">
        <f t="shared" si="83"/>
        <v>139660</v>
      </c>
    </row>
    <row r="60" spans="2:29" ht="5.0999999999999996" customHeight="1">
      <c r="F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2:29">
      <c r="B61" s="35" t="s">
        <v>95</v>
      </c>
      <c r="F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2:29">
      <c r="B62" s="8" t="s">
        <v>96</v>
      </c>
      <c r="C62" s="157">
        <v>0</v>
      </c>
      <c r="D62" s="157">
        <v>0</v>
      </c>
      <c r="E62" s="157">
        <v>0</v>
      </c>
      <c r="F62" s="157">
        <v>0</v>
      </c>
      <c r="H62" s="157">
        <v>0</v>
      </c>
      <c r="I62" s="157">
        <v>0</v>
      </c>
      <c r="J62" s="157">
        <v>0</v>
      </c>
      <c r="K62" s="157">
        <v>0</v>
      </c>
      <c r="L62" s="157">
        <v>0</v>
      </c>
      <c r="M62" s="157">
        <v>0</v>
      </c>
      <c r="N62" s="157">
        <v>0</v>
      </c>
      <c r="O62" s="157">
        <v>0</v>
      </c>
      <c r="P62" s="157">
        <v>0</v>
      </c>
      <c r="Q62" s="157">
        <v>0</v>
      </c>
      <c r="R62" s="157">
        <v>0</v>
      </c>
      <c r="S62" s="157">
        <v>0</v>
      </c>
      <c r="U62" s="10">
        <f t="shared" ref="U62:AC63" si="111">K62</f>
        <v>0</v>
      </c>
      <c r="V62" s="10">
        <f t="shared" si="111"/>
        <v>0</v>
      </c>
      <c r="W62" s="10">
        <f t="shared" si="111"/>
        <v>0</v>
      </c>
      <c r="X62" s="10">
        <f t="shared" si="111"/>
        <v>0</v>
      </c>
      <c r="Y62" s="10">
        <f t="shared" si="111"/>
        <v>0</v>
      </c>
      <c r="Z62" s="10">
        <f t="shared" si="111"/>
        <v>0</v>
      </c>
      <c r="AA62" s="10">
        <f t="shared" si="111"/>
        <v>0</v>
      </c>
      <c r="AB62" s="10">
        <f t="shared" si="111"/>
        <v>0</v>
      </c>
      <c r="AC62" s="10">
        <f t="shared" si="111"/>
        <v>0</v>
      </c>
    </row>
    <row r="63" spans="2:29">
      <c r="B63" s="8" t="s">
        <v>97</v>
      </c>
      <c r="C63" s="90">
        <f>'Historical Financials'!C68</f>
        <v>94866.239000000001</v>
      </c>
      <c r="D63" s="90">
        <f>'Historical Financials'!D68</f>
        <v>142833</v>
      </c>
      <c r="E63" s="90">
        <f>'Historical Financials'!E68</f>
        <v>130594</v>
      </c>
      <c r="F63" s="90">
        <f>'Historical Financials'!F68</f>
        <v>72337</v>
      </c>
      <c r="H63" s="90">
        <f>'Historical Financials'!H68</f>
        <v>138423.052</v>
      </c>
      <c r="I63" s="90">
        <f>'Historical Financials'!I68</f>
        <v>139810.93100000001</v>
      </c>
      <c r="J63" s="90">
        <f>'Historical Financials'!J68</f>
        <v>141365.70600000001</v>
      </c>
      <c r="K63" s="90">
        <f>'Historical Financials'!K68</f>
        <v>142833</v>
      </c>
      <c r="L63" s="90">
        <f>'Historical Financials'!L68</f>
        <v>144300.93</v>
      </c>
      <c r="M63" s="90">
        <f>'Historical Financials'!M68</f>
        <v>140312.07</v>
      </c>
      <c r="N63" s="90">
        <f>'Historical Financials'!N68</f>
        <v>142025.54199999999</v>
      </c>
      <c r="O63" s="90">
        <f>'Historical Financials'!O68</f>
        <v>130594</v>
      </c>
      <c r="P63" s="90">
        <f>'Historical Financials'!P68</f>
        <v>130847</v>
      </c>
      <c r="Q63" s="90">
        <f>'Historical Financials'!Q68</f>
        <v>131074</v>
      </c>
      <c r="R63" s="90">
        <f>'Historical Financials'!R68</f>
        <v>101326</v>
      </c>
      <c r="S63" s="90">
        <f>'Historical Financials'!S68</f>
        <v>72337</v>
      </c>
      <c r="U63" s="10">
        <f t="shared" si="111"/>
        <v>142833</v>
      </c>
      <c r="V63" s="10">
        <f t="shared" si="111"/>
        <v>144300.93</v>
      </c>
      <c r="W63" s="10">
        <f t="shared" si="111"/>
        <v>140312.07</v>
      </c>
      <c r="X63" s="10">
        <f t="shared" si="111"/>
        <v>142025.54199999999</v>
      </c>
      <c r="Y63" s="10">
        <f t="shared" si="111"/>
        <v>130594</v>
      </c>
      <c r="Z63" s="10">
        <f t="shared" si="111"/>
        <v>130847</v>
      </c>
      <c r="AA63" s="10">
        <f t="shared" si="111"/>
        <v>131074</v>
      </c>
      <c r="AB63" s="10">
        <f t="shared" si="111"/>
        <v>101326</v>
      </c>
      <c r="AC63" s="10">
        <f t="shared" si="111"/>
        <v>72337</v>
      </c>
    </row>
    <row r="64" spans="2:29">
      <c r="F64" s="10"/>
    </row>
    <row r="65" spans="1:29">
      <c r="B65" s="31" t="s">
        <v>184</v>
      </c>
      <c r="C65" s="157">
        <v>100000</v>
      </c>
      <c r="D65" s="157">
        <v>0</v>
      </c>
      <c r="E65" s="157">
        <v>0</v>
      </c>
      <c r="F65" s="157">
        <v>0</v>
      </c>
      <c r="H65" s="157">
        <v>0</v>
      </c>
      <c r="I65" s="157">
        <v>0</v>
      </c>
      <c r="J65" s="157">
        <v>0</v>
      </c>
      <c r="K65" s="92">
        <f>D65</f>
        <v>0</v>
      </c>
      <c r="L65" s="157">
        <v>0</v>
      </c>
      <c r="M65" s="157">
        <v>0</v>
      </c>
      <c r="N65" s="157">
        <v>0</v>
      </c>
      <c r="O65" s="92">
        <f>E65</f>
        <v>0</v>
      </c>
      <c r="P65" s="157">
        <v>0</v>
      </c>
      <c r="Q65" s="157">
        <v>0</v>
      </c>
      <c r="R65" s="157">
        <v>0</v>
      </c>
      <c r="S65" s="92">
        <f>F65</f>
        <v>0</v>
      </c>
      <c r="U65" s="10">
        <f t="shared" ref="U65" si="112">K65</f>
        <v>0</v>
      </c>
      <c r="V65" s="10">
        <f t="shared" ref="V65" si="113">L65</f>
        <v>0</v>
      </c>
      <c r="W65" s="10">
        <f t="shared" ref="W65" si="114">M65</f>
        <v>0</v>
      </c>
      <c r="X65" s="10">
        <f t="shared" ref="X65" si="115">N65</f>
        <v>0</v>
      </c>
      <c r="Y65" s="10">
        <f t="shared" ref="Y65" si="116">O65</f>
        <v>0</v>
      </c>
      <c r="Z65" s="10">
        <f t="shared" ref="Z65" si="117">P65</f>
        <v>0</v>
      </c>
      <c r="AA65" s="10">
        <f t="shared" ref="AA65" si="118">Q65</f>
        <v>0</v>
      </c>
      <c r="AB65" s="10">
        <f t="shared" ref="AB65" si="119">R65</f>
        <v>0</v>
      </c>
      <c r="AC65" s="10">
        <f t="shared" ref="AC65" si="120">S65</f>
        <v>0</v>
      </c>
    </row>
    <row r="66" spans="1:29">
      <c r="B66" s="31" t="s">
        <v>183</v>
      </c>
      <c r="C66" s="157">
        <v>0</v>
      </c>
      <c r="D66" s="157">
        <v>154748</v>
      </c>
      <c r="E66" s="157">
        <v>62500</v>
      </c>
      <c r="F66" s="157">
        <v>32500</v>
      </c>
      <c r="H66" s="157">
        <v>151750</v>
      </c>
      <c r="I66" s="157">
        <v>152795.66</v>
      </c>
      <c r="J66" s="157">
        <v>153773.932</v>
      </c>
      <c r="K66" s="92">
        <f>D66</f>
        <v>154748</v>
      </c>
      <c r="L66" s="157">
        <v>155727.72399999999</v>
      </c>
      <c r="M66" s="157">
        <v>156713.90599999999</v>
      </c>
      <c r="N66" s="157">
        <v>157706.33799999999</v>
      </c>
      <c r="O66" s="92">
        <f>E66</f>
        <v>62500</v>
      </c>
      <c r="P66" s="157">
        <v>0</v>
      </c>
      <c r="Q66" s="157">
        <v>0</v>
      </c>
      <c r="R66" s="157">
        <v>0</v>
      </c>
      <c r="S66" s="92">
        <f>F66</f>
        <v>32500</v>
      </c>
      <c r="U66" s="10">
        <f t="shared" ref="U66" si="121">K66</f>
        <v>154748</v>
      </c>
      <c r="V66" s="10">
        <f t="shared" ref="V66" si="122">L66</f>
        <v>155727.72399999999</v>
      </c>
      <c r="W66" s="10">
        <f t="shared" ref="W66" si="123">M66</f>
        <v>156713.90599999999</v>
      </c>
      <c r="X66" s="10">
        <f t="shared" ref="X66" si="124">N66</f>
        <v>157706.33799999999</v>
      </c>
      <c r="Y66" s="10">
        <f t="shared" ref="Y66" si="125">O66</f>
        <v>62500</v>
      </c>
      <c r="Z66" s="10">
        <f t="shared" ref="Z66" si="126">P66</f>
        <v>0</v>
      </c>
      <c r="AA66" s="10">
        <f t="shared" ref="AA66" si="127">Q66</f>
        <v>0</v>
      </c>
      <c r="AB66" s="10">
        <f t="shared" ref="AB66" si="128">R66</f>
        <v>0</v>
      </c>
      <c r="AC66" s="10">
        <f t="shared" ref="AC66" si="129">S66</f>
        <v>32500</v>
      </c>
    </row>
    <row r="67" spans="1:29">
      <c r="B67" s="31" t="s">
        <v>181</v>
      </c>
      <c r="C67" s="157">
        <v>0</v>
      </c>
      <c r="D67" s="157">
        <v>0</v>
      </c>
      <c r="E67" s="157">
        <v>62500</v>
      </c>
      <c r="F67" s="157">
        <v>32500</v>
      </c>
      <c r="H67" s="157">
        <v>0</v>
      </c>
      <c r="I67" s="157">
        <v>0</v>
      </c>
      <c r="J67" s="157">
        <v>0</v>
      </c>
      <c r="K67" s="92">
        <f t="shared" ref="K67:K68" si="130">D67</f>
        <v>0</v>
      </c>
      <c r="L67" s="157">
        <v>0</v>
      </c>
      <c r="M67" s="157">
        <v>0</v>
      </c>
      <c r="N67" s="157">
        <v>0</v>
      </c>
      <c r="O67" s="92">
        <f t="shared" ref="O67:O68" si="131">E67</f>
        <v>62500</v>
      </c>
      <c r="P67" s="157">
        <v>62500</v>
      </c>
      <c r="Q67" s="157">
        <v>62500</v>
      </c>
      <c r="R67" s="157">
        <v>62500</v>
      </c>
      <c r="S67" s="92">
        <f t="shared" ref="S67:S68" si="132">F67</f>
        <v>32500</v>
      </c>
      <c r="U67" s="10">
        <f t="shared" ref="U67:AC68" si="133">K67</f>
        <v>0</v>
      </c>
      <c r="V67" s="10">
        <f t="shared" si="133"/>
        <v>0</v>
      </c>
      <c r="W67" s="10">
        <f t="shared" si="133"/>
        <v>0</v>
      </c>
      <c r="X67" s="10">
        <f t="shared" si="133"/>
        <v>0</v>
      </c>
      <c r="Y67" s="10">
        <f t="shared" si="133"/>
        <v>62500</v>
      </c>
      <c r="Z67" s="10">
        <f t="shared" si="133"/>
        <v>62500</v>
      </c>
      <c r="AA67" s="10">
        <f t="shared" si="133"/>
        <v>62500</v>
      </c>
      <c r="AB67" s="10">
        <f t="shared" si="133"/>
        <v>62500</v>
      </c>
      <c r="AC67" s="10">
        <f t="shared" si="133"/>
        <v>32500</v>
      </c>
    </row>
    <row r="68" spans="1:29" ht="12.75" customHeight="1">
      <c r="B68" s="31" t="s">
        <v>182</v>
      </c>
      <c r="C68" s="157">
        <v>0</v>
      </c>
      <c r="D68" s="157">
        <v>0</v>
      </c>
      <c r="E68" s="157">
        <v>72500</v>
      </c>
      <c r="F68" s="157">
        <v>42500</v>
      </c>
      <c r="H68" s="157">
        <v>0</v>
      </c>
      <c r="I68" s="157">
        <v>0</v>
      </c>
      <c r="J68" s="157">
        <v>0</v>
      </c>
      <c r="K68" s="92">
        <f t="shared" si="130"/>
        <v>0</v>
      </c>
      <c r="L68" s="157">
        <v>0</v>
      </c>
      <c r="M68" s="157">
        <v>0</v>
      </c>
      <c r="N68" s="157">
        <v>0</v>
      </c>
      <c r="O68" s="92">
        <f t="shared" si="131"/>
        <v>72500</v>
      </c>
      <c r="P68" s="157">
        <v>72500</v>
      </c>
      <c r="Q68" s="157">
        <v>72500</v>
      </c>
      <c r="R68" s="157">
        <v>42500</v>
      </c>
      <c r="S68" s="92">
        <f t="shared" si="132"/>
        <v>42500</v>
      </c>
      <c r="U68" s="10">
        <f t="shared" si="133"/>
        <v>0</v>
      </c>
      <c r="V68" s="10">
        <f t="shared" si="133"/>
        <v>0</v>
      </c>
      <c r="W68" s="10">
        <f t="shared" si="133"/>
        <v>0</v>
      </c>
      <c r="X68" s="10">
        <f t="shared" si="133"/>
        <v>0</v>
      </c>
      <c r="Y68" s="10">
        <f t="shared" si="133"/>
        <v>72500</v>
      </c>
      <c r="Z68" s="10">
        <f t="shared" si="133"/>
        <v>72500</v>
      </c>
      <c r="AA68" s="10">
        <f t="shared" si="133"/>
        <v>72500</v>
      </c>
      <c r="AB68" s="10">
        <f t="shared" si="133"/>
        <v>42500</v>
      </c>
      <c r="AC68" s="10">
        <f t="shared" si="133"/>
        <v>42500</v>
      </c>
    </row>
    <row r="69" spans="1:29" ht="12.75" customHeight="1">
      <c r="B69" s="13" t="s">
        <v>23</v>
      </c>
      <c r="C69" s="14">
        <f>SUM(C65:C68)</f>
        <v>100000</v>
      </c>
      <c r="D69" s="14">
        <f t="shared" ref="D69:F69" si="134">SUM(D65:D68)</f>
        <v>154748</v>
      </c>
      <c r="E69" s="14">
        <f t="shared" si="134"/>
        <v>197500</v>
      </c>
      <c r="F69" s="14">
        <f t="shared" si="134"/>
        <v>107500</v>
      </c>
      <c r="H69" s="14">
        <f t="shared" ref="H69" si="135">SUM(H65:H68)</f>
        <v>151750</v>
      </c>
      <c r="I69" s="14">
        <f t="shared" ref="I69" si="136">SUM(I65:I68)</f>
        <v>152795.66</v>
      </c>
      <c r="J69" s="14">
        <f t="shared" ref="J69" si="137">SUM(J65:J68)</f>
        <v>153773.932</v>
      </c>
      <c r="K69" s="14">
        <f t="shared" ref="K69" si="138">SUM(K65:K68)</f>
        <v>154748</v>
      </c>
      <c r="L69" s="14">
        <f t="shared" ref="L69" si="139">SUM(L65:L68)</f>
        <v>155727.72399999999</v>
      </c>
      <c r="M69" s="14">
        <f t="shared" ref="M69" si="140">SUM(M65:M68)</f>
        <v>156713.90599999999</v>
      </c>
      <c r="N69" s="14">
        <f t="shared" ref="N69" si="141">SUM(N65:N68)</f>
        <v>157706.33799999999</v>
      </c>
      <c r="O69" s="14">
        <f t="shared" ref="O69" si="142">SUM(O65:O68)</f>
        <v>197500</v>
      </c>
      <c r="P69" s="14">
        <f t="shared" ref="P69" si="143">SUM(P65:P68)</f>
        <v>135000</v>
      </c>
      <c r="Q69" s="14">
        <f t="shared" ref="Q69" si="144">SUM(Q65:Q68)</f>
        <v>135000</v>
      </c>
      <c r="R69" s="14">
        <f t="shared" ref="R69" si="145">SUM(R65:R68)</f>
        <v>105000</v>
      </c>
      <c r="S69" s="14">
        <f t="shared" ref="S69" si="146">SUM(S65:S68)</f>
        <v>107500</v>
      </c>
      <c r="U69" s="14">
        <f t="shared" ref="U69" si="147">SUM(U65:U68)</f>
        <v>154748</v>
      </c>
      <c r="V69" s="14">
        <f t="shared" ref="V69" si="148">SUM(V65:V68)</f>
        <v>155727.72399999999</v>
      </c>
      <c r="W69" s="14">
        <f t="shared" ref="W69" si="149">SUM(W65:W68)</f>
        <v>156713.90599999999</v>
      </c>
      <c r="X69" s="14">
        <f t="shared" ref="X69" si="150">SUM(X65:X68)</f>
        <v>157706.33799999999</v>
      </c>
      <c r="Y69" s="14">
        <f t="shared" ref="Y69" si="151">SUM(Y65:Y68)</f>
        <v>197500</v>
      </c>
      <c r="Z69" s="14">
        <f t="shared" ref="Z69" si="152">SUM(Z65:Z68)</f>
        <v>135000</v>
      </c>
      <c r="AA69" s="14">
        <f t="shared" ref="AA69" si="153">SUM(AA65:AA68)</f>
        <v>135000</v>
      </c>
      <c r="AB69" s="14">
        <f t="shared" ref="AB69" si="154">SUM(AB65:AB68)</f>
        <v>105000</v>
      </c>
      <c r="AC69" s="14">
        <f t="shared" ref="AC69" si="155">SUM(AC65:AC68)</f>
        <v>107500</v>
      </c>
    </row>
    <row r="70" spans="1:29" ht="5.0999999999999996" customHeight="1"/>
    <row r="71" spans="1:29" ht="12.75" customHeight="1">
      <c r="B71" s="8" t="s">
        <v>45</v>
      </c>
      <c r="C71" s="90">
        <f>'Historical Financials'!C79</f>
        <v>141172.56599999999</v>
      </c>
      <c r="D71" s="90">
        <f>'Historical Financials'!D79</f>
        <v>151974</v>
      </c>
      <c r="E71" s="90">
        <f>'Historical Financials'!E79</f>
        <v>135206</v>
      </c>
      <c r="F71" s="90">
        <f>'Historical Financials'!F79</f>
        <v>349018</v>
      </c>
      <c r="H71" s="90">
        <f>'Historical Financials'!H79</f>
        <v>126933.06500000006</v>
      </c>
      <c r="I71" s="90">
        <f>'Historical Financials'!I79</f>
        <v>114400.52700000006</v>
      </c>
      <c r="J71" s="90">
        <f>'Historical Financials'!J79</f>
        <v>100384.53599999996</v>
      </c>
      <c r="K71" s="90">
        <f>'Historical Financials'!K79</f>
        <v>151974</v>
      </c>
      <c r="L71" s="90">
        <f>'Historical Financials'!L79</f>
        <v>145654.62000000005</v>
      </c>
      <c r="M71" s="90">
        <f>'Historical Financials'!M79</f>
        <v>146762.29499999998</v>
      </c>
      <c r="N71" s="90">
        <f>'Historical Financials'!N79</f>
        <v>151437.34600000008</v>
      </c>
      <c r="O71" s="90">
        <f>'Historical Financials'!O79</f>
        <v>135206</v>
      </c>
      <c r="P71" s="90">
        <f>'Historical Financials'!P79</f>
        <v>153706</v>
      </c>
      <c r="Q71" s="90">
        <f>'Historical Financials'!Q79</f>
        <v>188269</v>
      </c>
      <c r="R71" s="90">
        <f>'Historical Financials'!R79</f>
        <v>231890</v>
      </c>
      <c r="S71" s="90">
        <f>'Historical Financials'!S79</f>
        <v>349018</v>
      </c>
      <c r="U71" s="10">
        <f t="shared" ref="U71:AC71" si="156">K71</f>
        <v>151974</v>
      </c>
      <c r="V71" s="10">
        <f t="shared" si="156"/>
        <v>145654.62000000005</v>
      </c>
      <c r="W71" s="10">
        <f t="shared" si="156"/>
        <v>146762.29499999998</v>
      </c>
      <c r="X71" s="10">
        <f t="shared" si="156"/>
        <v>151437.34600000008</v>
      </c>
      <c r="Y71" s="10">
        <f t="shared" si="156"/>
        <v>135206</v>
      </c>
      <c r="Z71" s="10">
        <f t="shared" si="156"/>
        <v>153706</v>
      </c>
      <c r="AA71" s="10">
        <f t="shared" si="156"/>
        <v>188269</v>
      </c>
      <c r="AB71" s="10">
        <f t="shared" si="156"/>
        <v>231890</v>
      </c>
      <c r="AC71" s="10">
        <f t="shared" si="156"/>
        <v>349018</v>
      </c>
    </row>
    <row r="72" spans="1:29" ht="12.75" customHeight="1">
      <c r="B72" s="13" t="s">
        <v>46</v>
      </c>
      <c r="C72" s="14">
        <f>SUM(C69:C71)</f>
        <v>241172.56599999999</v>
      </c>
      <c r="D72" s="14">
        <f>SUM(D69:D71)</f>
        <v>306722</v>
      </c>
      <c r="E72" s="14">
        <f>SUM(E69:E71)</f>
        <v>332706</v>
      </c>
      <c r="F72" s="14">
        <f>SUM(F69:F71)</f>
        <v>456518</v>
      </c>
      <c r="H72" s="14">
        <f>SUM(H69:H71)</f>
        <v>278683.06500000006</v>
      </c>
      <c r="I72" s="14">
        <f>SUM(I69:I71)</f>
        <v>267196.18700000003</v>
      </c>
      <c r="J72" s="14">
        <f>SUM(J69:J71)</f>
        <v>254158.46799999996</v>
      </c>
      <c r="K72" s="14">
        <f>SUM(K69:K71)</f>
        <v>306722</v>
      </c>
      <c r="L72" s="14">
        <f t="shared" ref="L72:Q72" si="157">SUM(L69:L71)</f>
        <v>301382.34400000004</v>
      </c>
      <c r="M72" s="14">
        <f t="shared" si="157"/>
        <v>303476.201</v>
      </c>
      <c r="N72" s="14">
        <f t="shared" si="157"/>
        <v>309143.68400000007</v>
      </c>
      <c r="O72" s="14">
        <f t="shared" si="157"/>
        <v>332706</v>
      </c>
      <c r="P72" s="14">
        <f t="shared" si="157"/>
        <v>288706</v>
      </c>
      <c r="Q72" s="14">
        <f t="shared" si="157"/>
        <v>323269</v>
      </c>
      <c r="R72" s="14">
        <f>SUM(R69:R71)</f>
        <v>336890</v>
      </c>
      <c r="S72" s="14">
        <f>SUM(S69:S71)</f>
        <v>456518</v>
      </c>
      <c r="U72" s="14">
        <f t="shared" ref="U72:AA72" si="158">SUM(U69:U71)</f>
        <v>306722</v>
      </c>
      <c r="V72" s="14">
        <f t="shared" si="158"/>
        <v>301382.34400000004</v>
      </c>
      <c r="W72" s="14">
        <f t="shared" si="158"/>
        <v>303476.201</v>
      </c>
      <c r="X72" s="14">
        <f t="shared" si="158"/>
        <v>309143.68400000007</v>
      </c>
      <c r="Y72" s="14">
        <f t="shared" si="158"/>
        <v>332706</v>
      </c>
      <c r="Z72" s="14">
        <f t="shared" si="158"/>
        <v>288706</v>
      </c>
      <c r="AA72" s="14">
        <f t="shared" si="158"/>
        <v>323269</v>
      </c>
      <c r="AB72" s="14">
        <f>SUM(AB69:AB71)</f>
        <v>336890</v>
      </c>
      <c r="AC72" s="14">
        <f>SUM(AC69:AC71)</f>
        <v>456518</v>
      </c>
    </row>
    <row r="73" spans="1:29" ht="5.0999999999999996" customHeight="1"/>
    <row r="74" spans="1:29" ht="12.75" customHeight="1">
      <c r="A74" s="5"/>
      <c r="B74" s="33" t="s">
        <v>65</v>
      </c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5.0999999999999996" customHeight="1"/>
    <row r="76" spans="1:29" ht="12.75" customHeight="1">
      <c r="B76" s="31" t="s">
        <v>86</v>
      </c>
      <c r="C76" s="78">
        <f>C69/C29</f>
        <v>-2.024701356549909</v>
      </c>
      <c r="D76" s="78">
        <f>D69/D29</f>
        <v>-5.7235640048821983</v>
      </c>
      <c r="E76" s="78">
        <f>E69/E29</f>
        <v>5.4631960388370997</v>
      </c>
      <c r="F76" s="78">
        <f>F69/F29</f>
        <v>0.66918154428425591</v>
      </c>
      <c r="H76" s="78">
        <f>SUM(H69/SUM(H29:H29))</f>
        <v>-10.145121025778367</v>
      </c>
      <c r="I76" s="78">
        <f>SUM(I69/SUM(I29:I29))</f>
        <v>-18.994283776444355</v>
      </c>
      <c r="J76" s="78">
        <f>SUM(J69/SUM(J29:J29))</f>
        <v>-15.453756391834618</v>
      </c>
      <c r="K76" s="78">
        <f>SUM(K69/SUM(K29:K29))</f>
        <v>-37.796994178088546</v>
      </c>
      <c r="L76" s="78">
        <f>SUM(L69/SUM(L29:L29))</f>
        <v>-31.102921356572935</v>
      </c>
      <c r="M76" s="78">
        <f>SUM(M69/SUM(L29:M29))</f>
        <v>-74.373507916017843</v>
      </c>
      <c r="N76" s="78">
        <f>SUM(N69/SUM(L29:N29))</f>
        <v>16.33003380502144</v>
      </c>
      <c r="O76" s="78">
        <f>SUM(O69/SUM(L29:O29))</f>
        <v>7.1186562860438301</v>
      </c>
      <c r="P76" s="78">
        <f>SUM(P69/SUM(M29:P29))</f>
        <v>2.2948703765416516</v>
      </c>
      <c r="Q76" s="78">
        <f>SUM(Q69/SUM(N29:Q29))</f>
        <v>1.3494855760983913</v>
      </c>
      <c r="R76" s="78">
        <f>SUM(R69/SUM(O29:R29))</f>
        <v>0.78929233094480189</v>
      </c>
      <c r="S76" s="78">
        <f>SUM(S69/SUM(P29:S29))</f>
        <v>0.66918154428425591</v>
      </c>
      <c r="T76" s="78"/>
      <c r="U76" s="78">
        <f>U69/U29</f>
        <v>4.5555653684241513</v>
      </c>
      <c r="V76" s="78">
        <f>V69/V29</f>
        <v>3.6609057043353572</v>
      </c>
      <c r="W76" s="78">
        <f>W69/W29</f>
        <v>2.9473492713668792</v>
      </c>
      <c r="X76" s="78">
        <f>X69/X29</f>
        <v>2.1804816217950256</v>
      </c>
      <c r="Y76" s="78">
        <f>Y69/Y29</f>
        <v>5.4631960388370997</v>
      </c>
      <c r="Z76" s="78">
        <f>Z69/Z29</f>
        <v>2.2538747111450865</v>
      </c>
      <c r="AA76" s="78">
        <f>AA69/AA29</f>
        <v>1.3400019772473621</v>
      </c>
      <c r="AB76" s="78">
        <f>AB69/AB29</f>
        <v>0.78929233094480189</v>
      </c>
      <c r="AC76" s="78">
        <f>AC69/AC29</f>
        <v>0.66918154428425591</v>
      </c>
    </row>
    <row r="77" spans="1:29" ht="12.75" customHeight="1">
      <c r="B77" s="31" t="s">
        <v>87</v>
      </c>
      <c r="C77" s="78">
        <f>SUM(C69-C48)/C29</f>
        <v>-0.99029929135452521</v>
      </c>
      <c r="D77" s="78">
        <f>SUM(D69-D48)/D29</f>
        <v>-2.5234308540148684</v>
      </c>
      <c r="E77" s="78">
        <f>SUM(E69-E48)/E29</f>
        <v>4.0427097452352632</v>
      </c>
      <c r="F77" s="78">
        <f>SUM(F69-F48)/F29</f>
        <v>2.7097183835063869E-2</v>
      </c>
      <c r="H77" s="78">
        <f>SUM(H69-H48)/SUM(H29:H29)</f>
        <v>-5.4984252164855176</v>
      </c>
      <c r="I77" s="78">
        <f>SUM(I69-I48)/SUM(I29:I29)</f>
        <v>-12.47848096608069</v>
      </c>
      <c r="J77" s="78">
        <f>SUM(J69-J48)/SUM(J29:J29)</f>
        <v>-11.945820276313381</v>
      </c>
      <c r="K77" s="78">
        <f>SUM(K69-K48)/SUM(K29:K29)</f>
        <v>-16.66411019718684</v>
      </c>
      <c r="L77" s="78">
        <f>SUM(L69-L48)/SUM(L29:L29)</f>
        <v>-17.281062831495706</v>
      </c>
      <c r="M77" s="78">
        <f>SUM(M69-M48)/SUM(L29:M29)</f>
        <v>-44.705999658301238</v>
      </c>
      <c r="N77" s="78">
        <f>SUM(N69-N48)/SUM(L29:N29)</f>
        <v>8.6512915792082019</v>
      </c>
      <c r="O77" s="78">
        <f>SUM(O69-O48)/SUM(L29:O29)</f>
        <v>5.2677335640138416</v>
      </c>
      <c r="P77" s="78">
        <f>SUM(P69-P48)/SUM(M29:P29)</f>
        <v>1.5243888964175747</v>
      </c>
      <c r="Q77" s="78">
        <f>SUM(Q69-Q48)/SUM(N29:Q29)</f>
        <v>0.46738183404486211</v>
      </c>
      <c r="R77" s="78">
        <f>SUM(R69-R48)/SUM(O29:R29)</f>
        <v>0.13750975819022154</v>
      </c>
      <c r="S77" s="78">
        <f>SUM(S69-S48)/SUM(P29:S29)</f>
        <v>2.7097183835063869E-2</v>
      </c>
      <c r="T77" s="78"/>
      <c r="U77" s="78">
        <f>SUM(U69-U48)/U29</f>
        <v>2.0084783184668376</v>
      </c>
      <c r="V77" s="78">
        <f>SUM(V69-V48)/V29</f>
        <v>2.0340321338796299</v>
      </c>
      <c r="W77" s="78">
        <f>SUM(W69-W48)/W29</f>
        <v>1.7716549778371287</v>
      </c>
      <c r="X77" s="78">
        <f>SUM(X69-X48)/X29</f>
        <v>1.1551710497655505</v>
      </c>
      <c r="Y77" s="78">
        <f>SUM(Y69-Y48)/Y29</f>
        <v>4.0427097452352632</v>
      </c>
      <c r="Z77" s="78">
        <f>SUM(Z69-Z48)/Z29</f>
        <v>1.4971571460884121</v>
      </c>
      <c r="AA77" s="78">
        <f>SUM(AA69-AA48)/AA29</f>
        <v>0.4640972773939086</v>
      </c>
      <c r="AB77" s="78">
        <f>SUM(AB69-AB48)/AB29</f>
        <v>0.13750975819022154</v>
      </c>
      <c r="AC77" s="78">
        <f>SUM(AC69-AC48)/AC29</f>
        <v>2.7097183835063869E-2</v>
      </c>
    </row>
    <row r="78" spans="1:29" ht="12.75" customHeight="1">
      <c r="B78" s="31" t="s">
        <v>88</v>
      </c>
      <c r="C78" s="78">
        <f>C29/-C34</f>
        <v>-4.4260238372614031</v>
      </c>
      <c r="D78" s="78">
        <f>D29/-D34</f>
        <v>-1.9479106628242076</v>
      </c>
      <c r="E78" s="78">
        <f>E29/-E34</f>
        <v>2.0027145310509114</v>
      </c>
      <c r="F78" s="78">
        <f>F29/-F34</f>
        <v>15.058492688413947</v>
      </c>
      <c r="H78" s="78" cm="1">
        <f t="array" ref="H78">SUM(H29:H29)/SUM(-H34:H34)</f>
        <v>-5.9216175696866218</v>
      </c>
      <c r="I78" s="78" cm="1">
        <f t="array" ref="I78">SUM(I29:I29)/SUM(-I34:I34)</f>
        <v>-2.3226958330746719</v>
      </c>
      <c r="J78" s="78" cm="1">
        <f t="array" ref="J78">SUM(J29:J29)/SUM(-J34:J34)</f>
        <v>-2.7479995327295073</v>
      </c>
      <c r="K78" s="78" cm="1">
        <f t="array" ref="K78">SUM(K29:K29)/SUM(-K34:K34)</f>
        <v>-0.95890729872010272</v>
      </c>
      <c r="L78" s="78" cm="1">
        <f t="array" ref="L78">SUM(L29:L29)/SUM(-L34:L34)</f>
        <v>-1.0792296999342359</v>
      </c>
      <c r="M78" s="78" cm="1">
        <f t="array" ref="M78">SUM(L29:M29)/SUM(-L34:M34)</f>
        <v>-0.2272150616351809</v>
      </c>
      <c r="N78" s="78" cm="1">
        <f t="array" ref="N78">SUM(L29:N29)/SUM(-L34:N34)</f>
        <v>0.69499532660913876</v>
      </c>
      <c r="O78" s="78" cm="1">
        <f t="array" ref="O78">SUM(L29:O29)/SUM(-L34:O34)</f>
        <v>1.536978560744557</v>
      </c>
      <c r="P78" s="78" cm="1">
        <f t="array" ref="P78">SUM(M29:P29)/SUM(-M34:P34)</f>
        <v>4.2032038801584806</v>
      </c>
      <c r="Q78" s="78" cm="1">
        <f t="array" ref="Q78">SUM(N29:Q29)/SUM(-N34:Q34)</f>
        <v>7.9267505044840787</v>
      </c>
      <c r="R78" s="78" cm="1">
        <f t="array" ref="R78">SUM(O29:R29)/SUM(-O34:R34)</f>
        <v>11.495594396554257</v>
      </c>
      <c r="S78" s="78" cm="1">
        <f t="array" ref="S78">SUM(P29:S29)/SUM(-P34:S34)</f>
        <v>15.058492688413947</v>
      </c>
      <c r="T78" s="78"/>
      <c r="U78" s="78">
        <f>U29/-U34</f>
        <v>2.4473342939481268</v>
      </c>
      <c r="V78" s="78">
        <f>V29/-V34</f>
        <v>2.659741431659866</v>
      </c>
      <c r="W78" s="78">
        <f>W29/-W34</f>
        <v>3.0977658983745906</v>
      </c>
      <c r="X78" s="78">
        <f>X29/-X34</f>
        <v>3.9815612498335415</v>
      </c>
      <c r="Y78" s="78">
        <f>Y29/-Y34</f>
        <v>2.0027145310509114</v>
      </c>
      <c r="Z78" s="78">
        <f>Z29/-Z34</f>
        <v>4.279655840426039</v>
      </c>
      <c r="AA78" s="78">
        <f>AA29/-AA34</f>
        <v>7.9828505127326812</v>
      </c>
      <c r="AB78" s="78">
        <f>AB29/-AB34</f>
        <v>11.495594396554257</v>
      </c>
      <c r="AC78" s="78">
        <f>AC29/-AC34</f>
        <v>15.058492688413947</v>
      </c>
    </row>
    <row r="79" spans="1:29" ht="12.75" customHeight="1">
      <c r="B79" s="31" t="s">
        <v>89</v>
      </c>
      <c r="C79" s="78" cm="1">
        <f t="array" ref="C79">SUM(C29+C32)/SUM(-C33:C34)</f>
        <v>-5.6367954117752488</v>
      </c>
      <c r="D79" s="78" cm="1">
        <f t="array" ref="D79">SUM(D29+D32)/SUM(-D33:D34)</f>
        <v>-2.9501440922190203</v>
      </c>
      <c r="E79" s="78" cm="1">
        <f t="array" ref="E79">SUM(E29+E32)/SUM(-E33:E34)</f>
        <v>1.7384078444407511</v>
      </c>
      <c r="F79" s="78" cm="1">
        <f t="array" ref="F79">SUM(F29+F32)/SUM(-F33:F34)</f>
        <v>7.5981056829511466</v>
      </c>
      <c r="H79" s="78" cm="1">
        <f t="array" ref="H79">SUM(H29:H29+H32:H32)/SUM(-H33:H34)</f>
        <v>-7.0467559809294338</v>
      </c>
      <c r="I79" s="78" cm="1">
        <f t="array" ref="I79">SUM(I29:I29+I32:I32)/SUM(-I33:I34)</f>
        <v>-3.4603485936284142</v>
      </c>
      <c r="J79" s="78" cm="1">
        <f t="array" ref="J79">SUM(J29:J29+J32:J32)/SUM(-J33:J34)</f>
        <v>-3.6815686922142832</v>
      </c>
      <c r="K79" s="78" cm="1">
        <f t="array" ref="K79">SUM(K29:K29+K32:K32)/SUM(-K33:K34)</f>
        <v>-1.8368152436306679</v>
      </c>
      <c r="L79" s="78" cm="1">
        <f t="array" ref="L79">SUM(L29:L29+L32:L32)/SUM(-L33:L34)</f>
        <v>-1.4984755187385641</v>
      </c>
      <c r="M79" s="78" cm="1">
        <f t="array" ref="M79">SUM(L29:M29+L32:M32)/SUM(-L33:M34)</f>
        <v>-0.53097793637715229</v>
      </c>
      <c r="N79" s="78" cm="1">
        <f t="array" ref="N79">SUM(L29:N29+L32:N32)/SUM(-L33:N34)</f>
        <v>0.43779331032956081</v>
      </c>
      <c r="O79" s="78" cm="1">
        <f t="array" ref="O79">SUM(L29:O29+L32:O32)/SUM(-L33:O34)</f>
        <v>1.2726718741343968</v>
      </c>
      <c r="P79" s="78" cm="1">
        <f t="array" ref="P79">SUM(M29:P29+M32:P32)/SUM(-M33:P34)</f>
        <v>3.8335908049584031</v>
      </c>
      <c r="Q79" s="78" cm="1">
        <f t="array" ref="Q79">SUM(N29:Q29+N32:Q32)/SUM(-N33:Q34)</f>
        <v>6.6103748264241613</v>
      </c>
      <c r="R79" s="78" cm="1">
        <f t="array" ref="R79">SUM(O29:R29+O32:R32)/SUM(-O33:R34)</f>
        <v>6.1739706560335144</v>
      </c>
      <c r="S79" s="78" cm="1">
        <f t="array" ref="S79">SUM(P29:S29+P32:S32)/SUM(-P33:S34)</f>
        <v>7.5981056829511466</v>
      </c>
      <c r="T79" s="78"/>
      <c r="U79" s="78" cm="1">
        <f t="array" ref="U79">SUM(U29+U32)/SUM(-U33:U34)</f>
        <v>1.4451008645533141</v>
      </c>
      <c r="V79" s="78" cm="1">
        <f t="array" ref="V79">SUM(V29+V32)/SUM(-V33:V34)</f>
        <v>1.8460307994049512</v>
      </c>
      <c r="W79" s="78" cm="1">
        <f t="array" ref="W79">SUM(W29+W32)/SUM(-W33:W34)</f>
        <v>2.518318871283729</v>
      </c>
      <c r="X79" s="78" cm="1">
        <f t="array" ref="X79">SUM(X29+X32)/SUM(-X33:X34)</f>
        <v>3.5784664755076565</v>
      </c>
      <c r="Y79" s="78" cm="1">
        <f t="array" ref="Y79">SUM(Y29+Y32)/SUM(-Y33:Y34)</f>
        <v>1.7384078444407511</v>
      </c>
      <c r="Z79" s="78" cm="1">
        <f t="array" ref="Z79">SUM(Z29+Z32)/SUM(-Z33:Z34)</f>
        <v>3.9100427652259619</v>
      </c>
      <c r="AA79" s="78" cm="1">
        <f t="array" ref="AA79">SUM(AA29+AA32)/SUM(-AA33:AA34)</f>
        <v>6.6603384158112462</v>
      </c>
      <c r="AB79" s="78" cm="1">
        <f t="array" ref="AB79">SUM(AB29+AB32)/SUM(-AB33:AB34)</f>
        <v>6.1739706560335144</v>
      </c>
      <c r="AC79" s="78" cm="1">
        <f t="array" ref="AC79">SUM(AC29+AC32)/SUM(-AC33:AC34)</f>
        <v>7.5981056829511466</v>
      </c>
    </row>
    <row r="80" spans="1:29" ht="12.75" customHeight="1">
      <c r="B80" s="31" t="s">
        <v>90</v>
      </c>
      <c r="C80" s="78" cm="1">
        <f t="array" ref="C80">SUM(C29)/SUM(-C32:C34)</f>
        <v>-2.0020267531414673</v>
      </c>
      <c r="D80" s="78" cm="1">
        <f t="array" ref="D80">SUM(D29)/SUM(-D32:D34)</f>
        <v>-0.97286891439674716</v>
      </c>
      <c r="E80" s="78" cm="1">
        <f t="array" ref="E80">SUM(E29)/SUM(-E32:E34)</f>
        <v>1.5840417141354832</v>
      </c>
      <c r="F80" s="78" cm="1">
        <f t="array" ref="F80">SUM(F29)/SUM(-F32:F34)</f>
        <v>5.679275966909425</v>
      </c>
      <c r="H80" s="78" cm="1">
        <f t="array" ref="H80">SUM(H29:H29)/SUM(-H32:H34)</f>
        <v>-2.7864620668277178</v>
      </c>
      <c r="I80" s="78" cm="1">
        <f t="array" ref="I80">SUM(I29:I29)/SUM(-I32:I34)</f>
        <v>-1.0865636720498029</v>
      </c>
      <c r="J80" s="78" cm="1">
        <f t="array" ref="J80">SUM(J29:J29)/SUM(-J32:J34)</f>
        <v>-1.4212057113394103</v>
      </c>
      <c r="K80" s="78" cm="1">
        <f t="array" ref="K80">SUM(K29:K29)/SUM(-K32:K34)</f>
        <v>-0.51062529519559086</v>
      </c>
      <c r="L80" s="78" cm="1">
        <f t="array" ref="L80">SUM(L29:L29)/SUM(-L32:L34)</f>
        <v>-0.76042478733067853</v>
      </c>
      <c r="M80" s="78" cm="1">
        <f t="array" ref="M80">SUM(L29:M29)/SUM(-L32:M34)</f>
        <v>-0.17427637037152879</v>
      </c>
      <c r="N80" s="78" cm="1">
        <f t="array" ref="N80">SUM(L29:N29)/SUM(-L32:N34)</f>
        <v>0.55281117720907702</v>
      </c>
      <c r="O80" s="78" cm="1">
        <f t="array" ref="O80">SUM(L29:O29)/SUM(-L32:O34)</f>
        <v>1.2156690912277626</v>
      </c>
      <c r="P80" s="78" cm="1">
        <f t="array" ref="P80">SUM(M29:P29)/SUM(-M32:P34)</f>
        <v>3.0688987687595364</v>
      </c>
      <c r="Q80" s="78" cm="1">
        <f t="array" ref="Q80">SUM(N29:Q29)/SUM(-N32:Q34)</f>
        <v>4.8710408598123252</v>
      </c>
      <c r="R80" s="78" cm="1">
        <f t="array" ref="R80">SUM(O29:R29)/SUM(-O32:R34)</f>
        <v>4.9028507323913475</v>
      </c>
      <c r="S80" s="78" cm="1">
        <f t="array" ref="S80">SUM(P29:S29)/SUM(-P32:S34)</f>
        <v>5.679275966909425</v>
      </c>
      <c r="T80" s="78"/>
      <c r="U80" s="78" cm="1">
        <f t="array" ref="U80">SUM(U29)/SUM(-U32:U34)</f>
        <v>1.2223021841603396</v>
      </c>
      <c r="V80" s="78" cm="1">
        <f t="array" ref="V80">SUM(V29)/SUM(-V32:V34)</f>
        <v>1.4664640457850293</v>
      </c>
      <c r="W80" s="78" cm="1">
        <f t="array" ref="W80">SUM(W29)/SUM(-W32:W34)</f>
        <v>1.9612977486685816</v>
      </c>
      <c r="X80" s="78" cm="1">
        <f t="array" ref="X80">SUM(X29)/SUM(-X32:X34)</f>
        <v>2.8376994360530476</v>
      </c>
      <c r="Y80" s="78" cm="1">
        <f t="array" ref="Y80">SUM(Y29)/SUM(-Y32:Y34)</f>
        <v>1.5840417141354832</v>
      </c>
      <c r="Z80" s="78" cm="1">
        <f t="array" ref="Z80">SUM(Z29)/SUM(-Z32:Z34)</f>
        <v>3.1247188844198601</v>
      </c>
      <c r="AA80" s="78" cm="1">
        <f t="array" ref="AA80">SUM(AA29)/SUM(-AA32:AA34)</f>
        <v>4.9055146876766145</v>
      </c>
      <c r="AB80" s="78" cm="1">
        <f t="array" ref="AB80">SUM(AB29)/SUM(-AB32:AB34)</f>
        <v>4.9028507323913475</v>
      </c>
      <c r="AC80" s="78" cm="1">
        <f t="array" ref="AC80">SUM(AC29)/SUM(-AC32:AC34)</f>
        <v>5.679275966909425</v>
      </c>
    </row>
    <row r="81" spans="2:29" ht="12.75" customHeight="1">
      <c r="B81" s="8" t="s">
        <v>47</v>
      </c>
      <c r="C81" s="78">
        <f>C72/C69</f>
        <v>2.4117256600000001</v>
      </c>
      <c r="D81" s="78">
        <f>D72/D69</f>
        <v>1.9820740817328819</v>
      </c>
      <c r="E81" s="78">
        <f>E72/E69</f>
        <v>1.684587341772152</v>
      </c>
      <c r="F81" s="78">
        <f>F72/F69</f>
        <v>4.2466790697674419</v>
      </c>
      <c r="H81" s="78">
        <f>H72/H69</f>
        <v>1.8364617133443166</v>
      </c>
      <c r="I81" s="78">
        <f>I72/I69</f>
        <v>1.7487158143104329</v>
      </c>
      <c r="J81" s="78">
        <f>J72/J69</f>
        <v>1.652805938525393</v>
      </c>
      <c r="K81" s="78">
        <f>K72/K69</f>
        <v>1.9820740817328819</v>
      </c>
      <c r="L81" s="78">
        <f t="shared" ref="L81:S81" si="159">L72/L69</f>
        <v>1.9353159235795423</v>
      </c>
      <c r="M81" s="78">
        <f t="shared" si="159"/>
        <v>1.9364982262646178</v>
      </c>
      <c r="N81" s="78">
        <f t="shared" si="159"/>
        <v>1.9602489533426366</v>
      </c>
      <c r="O81" s="78">
        <f t="shared" si="159"/>
        <v>1.684587341772152</v>
      </c>
      <c r="P81" s="78">
        <f t="shared" si="159"/>
        <v>2.138562962962963</v>
      </c>
      <c r="Q81" s="78">
        <f t="shared" si="159"/>
        <v>2.3945851851851851</v>
      </c>
      <c r="R81" s="78">
        <f t="shared" si="159"/>
        <v>3.2084761904761905</v>
      </c>
      <c r="S81" s="78">
        <f t="shared" si="159"/>
        <v>4.2466790697674419</v>
      </c>
      <c r="T81" s="78"/>
      <c r="U81" s="78">
        <f t="shared" ref="U81:AA81" si="160">U72/U69</f>
        <v>1.9820740817328819</v>
      </c>
      <c r="V81" s="78">
        <f t="shared" si="160"/>
        <v>1.9353159235795423</v>
      </c>
      <c r="W81" s="78">
        <f t="shared" si="160"/>
        <v>1.9364982262646178</v>
      </c>
      <c r="X81" s="78">
        <f t="shared" si="160"/>
        <v>1.9602489533426366</v>
      </c>
      <c r="Y81" s="78">
        <f t="shared" si="160"/>
        <v>1.684587341772152</v>
      </c>
      <c r="Z81" s="78">
        <f t="shared" si="160"/>
        <v>2.138562962962963</v>
      </c>
      <c r="AA81" s="78">
        <f t="shared" si="160"/>
        <v>2.3945851851851851</v>
      </c>
      <c r="AB81" s="78">
        <f>AB72/AB69</f>
        <v>3.2084761904761905</v>
      </c>
      <c r="AC81" s="78">
        <f>AC72/AC69</f>
        <v>4.2466790697674419</v>
      </c>
    </row>
    <row r="82" spans="2:29" ht="5.0999999999999996" customHeight="1" thickBot="1"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</row>
  </sheetData>
  <mergeCells count="1">
    <mergeCell ref="AE2:AE4"/>
  </mergeCells>
  <pageMargins left="0.7" right="0.7" top="0.75" bottom="0.75" header="0.3" footer="0.3"/>
  <ignoredErrors>
    <ignoredError sqref="C36:G37 AD37:AE37 G32:G34 AD35 AD36 G35 M36:S37" formulaRange="1"/>
    <ignoredError sqref="C76:G81 C11:G12 C22:G23 C15:G16 G21 C26:G27 G24 C29:G30 G28 AE25:AE36 G14 AE21:AE24 G25 AE14:AE17 G17 M76:S81 D10:G10 AE9:AE12 AE13 U76:AC81 V12:AC12 V22:AC23 V15:AC16 V26:AC27 V29:AC30 Y10:AC10 V11:AC11 T76:T81 T11 T10 T29:T30 T26:T27 T15:T16 T22:T23 T12 U11 U29:U30 U26:U27 U15:U16 U22:U23 U12 N11:S11 Q10:S10 M29:S30 M26:S27 M15:S16 M22:S23 M12:S12 T17 T28 T24 H9:N9 H25:U25 U24 H29:L30 U28 H21:U21 U17 H14:U14 H12:L12 H22:L23 H15:L16 H26:L27 H11:M11 H10:P10 U10 T13:U13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2025-12-22T20:03:56Z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