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13718532-5B8E-41D3-83C5-A534D75FCE8F}" xr6:coauthVersionLast="47" xr6:coauthVersionMax="47" xr10:uidLastSave="{00000000-0000-0000-0000-000000000000}"/>
  <bookViews>
    <workbookView xWindow="-120" yWindow="-120" windowWidth="29040" windowHeight="15720" activeTab="2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7" i="9" l="1"/>
  <c r="Q68" i="9"/>
  <c r="P68" i="9"/>
  <c r="O68" i="9"/>
  <c r="N68" i="9"/>
  <c r="M68" i="9"/>
  <c r="L68" i="9"/>
  <c r="K68" i="9"/>
  <c r="J68" i="9"/>
  <c r="I68" i="9"/>
  <c r="H68" i="9"/>
  <c r="G68" i="9"/>
  <c r="E68" i="9"/>
  <c r="D68" i="9"/>
  <c r="C68" i="9"/>
  <c r="Q66" i="9"/>
  <c r="P66" i="9"/>
  <c r="O66" i="9"/>
  <c r="N66" i="9"/>
  <c r="M66" i="9"/>
  <c r="L66" i="9"/>
  <c r="K66" i="9"/>
  <c r="J66" i="9"/>
  <c r="I66" i="9"/>
  <c r="H66" i="9"/>
  <c r="Q65" i="9"/>
  <c r="P65" i="9"/>
  <c r="O65" i="9"/>
  <c r="N65" i="9"/>
  <c r="M65" i="9"/>
  <c r="L65" i="9"/>
  <c r="K65" i="9"/>
  <c r="J65" i="9"/>
  <c r="I65" i="9"/>
  <c r="H65" i="9"/>
  <c r="G66" i="9"/>
  <c r="G65" i="9"/>
  <c r="E66" i="9"/>
  <c r="D66" i="9"/>
  <c r="E65" i="9"/>
  <c r="D65" i="9"/>
  <c r="C66" i="9"/>
  <c r="C65" i="9"/>
  <c r="Q62" i="9"/>
  <c r="P62" i="9"/>
  <c r="O62" i="9"/>
  <c r="N62" i="9"/>
  <c r="M62" i="9"/>
  <c r="L62" i="9"/>
  <c r="K62" i="9"/>
  <c r="J62" i="9"/>
  <c r="I62" i="9"/>
  <c r="H62" i="9"/>
  <c r="Q61" i="9"/>
  <c r="P61" i="9"/>
  <c r="O61" i="9"/>
  <c r="N61" i="9"/>
  <c r="M61" i="9"/>
  <c r="L61" i="9"/>
  <c r="K61" i="9"/>
  <c r="J61" i="9"/>
  <c r="I61" i="9"/>
  <c r="H61" i="9"/>
  <c r="Q60" i="9"/>
  <c r="P60" i="9"/>
  <c r="O60" i="9"/>
  <c r="N60" i="9"/>
  <c r="M60" i="9"/>
  <c r="L60" i="9"/>
  <c r="K60" i="9"/>
  <c r="J60" i="9"/>
  <c r="I60" i="9"/>
  <c r="H60" i="9"/>
  <c r="Q59" i="9"/>
  <c r="P59" i="9"/>
  <c r="O59" i="9"/>
  <c r="N59" i="9"/>
  <c r="M59" i="9"/>
  <c r="L59" i="9"/>
  <c r="K59" i="9"/>
  <c r="J59" i="9"/>
  <c r="I59" i="9"/>
  <c r="H59" i="9"/>
  <c r="Q58" i="9"/>
  <c r="P58" i="9"/>
  <c r="O58" i="9"/>
  <c r="N58" i="9"/>
  <c r="M58" i="9"/>
  <c r="L58" i="9"/>
  <c r="K58" i="9"/>
  <c r="J58" i="9"/>
  <c r="I58" i="9"/>
  <c r="H58" i="9"/>
  <c r="Q57" i="9"/>
  <c r="P57" i="9"/>
  <c r="O57" i="9"/>
  <c r="N57" i="9"/>
  <c r="M57" i="9"/>
  <c r="L57" i="9"/>
  <c r="K57" i="9"/>
  <c r="J57" i="9"/>
  <c r="I57" i="9"/>
  <c r="H57" i="9"/>
  <c r="G62" i="9"/>
  <c r="G61" i="9"/>
  <c r="G60" i="9"/>
  <c r="G59" i="9"/>
  <c r="G58" i="9"/>
  <c r="G57" i="9"/>
  <c r="E62" i="9"/>
  <c r="D62" i="9"/>
  <c r="E61" i="9"/>
  <c r="D61" i="9"/>
  <c r="E60" i="9"/>
  <c r="D60" i="9"/>
  <c r="E59" i="9"/>
  <c r="D59" i="9"/>
  <c r="E58" i="9"/>
  <c r="D58" i="9"/>
  <c r="E57" i="9"/>
  <c r="D57" i="9"/>
  <c r="C62" i="9"/>
  <c r="C61" i="9"/>
  <c r="C60" i="9"/>
  <c r="C59" i="9"/>
  <c r="C58" i="9"/>
  <c r="C57" i="9"/>
  <c r="Q51" i="9"/>
  <c r="P51" i="9"/>
  <c r="O51" i="9"/>
  <c r="N51" i="9"/>
  <c r="M51" i="9"/>
  <c r="L51" i="9"/>
  <c r="K51" i="9"/>
  <c r="J51" i="9"/>
  <c r="I51" i="9"/>
  <c r="H51" i="9"/>
  <c r="Q50" i="9"/>
  <c r="P50" i="9"/>
  <c r="O50" i="9"/>
  <c r="N50" i="9"/>
  <c r="M50" i="9"/>
  <c r="L50" i="9"/>
  <c r="K50" i="9"/>
  <c r="J50" i="9"/>
  <c r="I50" i="9"/>
  <c r="H50" i="9"/>
  <c r="G51" i="9"/>
  <c r="G50" i="9"/>
  <c r="E51" i="9"/>
  <c r="D51" i="9"/>
  <c r="C51" i="9"/>
  <c r="E50" i="9"/>
  <c r="D50" i="9"/>
  <c r="C50" i="9"/>
  <c r="Q44" i="9"/>
  <c r="P44" i="9"/>
  <c r="O44" i="9"/>
  <c r="N44" i="9"/>
  <c r="M44" i="9"/>
  <c r="L44" i="9"/>
  <c r="K44" i="9"/>
  <c r="J44" i="9"/>
  <c r="I44" i="9"/>
  <c r="H44" i="9"/>
  <c r="Q43" i="9"/>
  <c r="P43" i="9"/>
  <c r="O43" i="9"/>
  <c r="N43" i="9"/>
  <c r="M43" i="9"/>
  <c r="L43" i="9"/>
  <c r="K43" i="9"/>
  <c r="J43" i="9"/>
  <c r="I43" i="9"/>
  <c r="H43" i="9"/>
  <c r="G44" i="9"/>
  <c r="G43" i="9"/>
  <c r="E44" i="9"/>
  <c r="D44" i="9"/>
  <c r="E43" i="9"/>
  <c r="D43" i="9"/>
  <c r="C44" i="9"/>
  <c r="C43" i="9"/>
  <c r="Q42" i="9"/>
  <c r="P42" i="9"/>
  <c r="O42" i="9"/>
  <c r="N42" i="9"/>
  <c r="M42" i="9"/>
  <c r="L42" i="9"/>
  <c r="K42" i="9"/>
  <c r="J42" i="9"/>
  <c r="I42" i="9"/>
  <c r="H42" i="9"/>
  <c r="G42" i="9"/>
  <c r="Q41" i="9"/>
  <c r="P41" i="9"/>
  <c r="O41" i="9"/>
  <c r="N41" i="9"/>
  <c r="M41" i="9"/>
  <c r="L41" i="9"/>
  <c r="K41" i="9"/>
  <c r="J41" i="9"/>
  <c r="I41" i="9"/>
  <c r="H41" i="9"/>
  <c r="G41" i="9"/>
  <c r="E42" i="9"/>
  <c r="D42" i="9"/>
  <c r="E41" i="9"/>
  <c r="D41" i="9"/>
  <c r="C42" i="9"/>
  <c r="C41" i="9"/>
  <c r="Q37" i="9"/>
  <c r="P37" i="9"/>
  <c r="O37" i="9"/>
  <c r="N37" i="9"/>
  <c r="M37" i="9"/>
  <c r="L37" i="9"/>
  <c r="K37" i="9"/>
  <c r="J37" i="9"/>
  <c r="I37" i="9"/>
  <c r="H37" i="9"/>
  <c r="G37" i="9"/>
  <c r="E37" i="9"/>
  <c r="D37" i="9"/>
  <c r="C37" i="9"/>
  <c r="Q38" i="9"/>
  <c r="P38" i="9"/>
  <c r="O38" i="9"/>
  <c r="N38" i="9"/>
  <c r="M38" i="9"/>
  <c r="L38" i="9"/>
  <c r="K38" i="9"/>
  <c r="J38" i="9"/>
  <c r="I38" i="9"/>
  <c r="H38" i="9"/>
  <c r="G38" i="9"/>
  <c r="E38" i="9"/>
  <c r="D38" i="9"/>
  <c r="C38" i="9"/>
  <c r="E36" i="9"/>
  <c r="D36" i="9"/>
  <c r="E35" i="9"/>
  <c r="L35" i="9" s="1"/>
  <c r="D35" i="9"/>
  <c r="J35" i="9" s="1"/>
  <c r="C36" i="9"/>
  <c r="C35" i="9"/>
  <c r="N99" i="8"/>
  <c r="W99" i="8" s="1"/>
  <c r="J99" i="8"/>
  <c r="V99" i="8" s="1"/>
  <c r="P100" i="8"/>
  <c r="Q100" i="8" s="1"/>
  <c r="L100" i="8"/>
  <c r="H100" i="8"/>
  <c r="N98" i="8"/>
  <c r="Z98" i="8" s="1"/>
  <c r="J98" i="8"/>
  <c r="V98" i="8" s="1"/>
  <c r="O34" i="9"/>
  <c r="K34" i="9"/>
  <c r="G34" i="9"/>
  <c r="E34" i="9"/>
  <c r="D34" i="9"/>
  <c r="C34" i="9"/>
  <c r="O30" i="9"/>
  <c r="K30" i="9"/>
  <c r="G30" i="9"/>
  <c r="E30" i="9"/>
  <c r="D30" i="9"/>
  <c r="C30" i="9"/>
  <c r="O25" i="9"/>
  <c r="K25" i="9"/>
  <c r="G25" i="9"/>
  <c r="E25" i="9"/>
  <c r="D25" i="9"/>
  <c r="C25" i="9"/>
  <c r="Q15" i="9"/>
  <c r="P15" i="9"/>
  <c r="O15" i="9"/>
  <c r="M15" i="9"/>
  <c r="L15" i="9"/>
  <c r="K15" i="9"/>
  <c r="I15" i="9"/>
  <c r="H15" i="9"/>
  <c r="G15" i="9"/>
  <c r="E15" i="9"/>
  <c r="D15" i="9"/>
  <c r="Q21" i="9"/>
  <c r="P21" i="9"/>
  <c r="O21" i="9"/>
  <c r="M21" i="9"/>
  <c r="L21" i="9"/>
  <c r="K21" i="9"/>
  <c r="I21" i="9"/>
  <c r="H21" i="9"/>
  <c r="G21" i="9"/>
  <c r="Q20" i="9"/>
  <c r="P20" i="9"/>
  <c r="O20" i="9"/>
  <c r="M20" i="9"/>
  <c r="L20" i="9"/>
  <c r="K20" i="9"/>
  <c r="I20" i="9"/>
  <c r="H20" i="9"/>
  <c r="G20" i="9"/>
  <c r="Q19" i="9"/>
  <c r="Q26" i="9" s="1"/>
  <c r="P19" i="9"/>
  <c r="P26" i="9" s="1"/>
  <c r="O19" i="9"/>
  <c r="O26" i="9" s="1"/>
  <c r="M19" i="9"/>
  <c r="M26" i="9" s="1"/>
  <c r="L19" i="9"/>
  <c r="L26" i="9" s="1"/>
  <c r="K19" i="9"/>
  <c r="K26" i="9" s="1"/>
  <c r="I19" i="9"/>
  <c r="I26" i="9" s="1"/>
  <c r="H19" i="9"/>
  <c r="H26" i="9" s="1"/>
  <c r="G19" i="9"/>
  <c r="G26" i="9" s="1"/>
  <c r="E21" i="9"/>
  <c r="D21" i="9"/>
  <c r="E20" i="9"/>
  <c r="D20" i="9"/>
  <c r="E19" i="9"/>
  <c r="E26" i="9" s="1"/>
  <c r="D19" i="9"/>
  <c r="D26" i="9" s="1"/>
  <c r="C21" i="9"/>
  <c r="C20" i="9"/>
  <c r="C19" i="9"/>
  <c r="C26" i="9" s="1"/>
  <c r="C15" i="9"/>
  <c r="Q10" i="9"/>
  <c r="P10" i="9"/>
  <c r="O10" i="9"/>
  <c r="N10" i="9"/>
  <c r="M10" i="9"/>
  <c r="L10" i="9"/>
  <c r="K10" i="9"/>
  <c r="J10" i="9"/>
  <c r="I10" i="9"/>
  <c r="H10" i="9"/>
  <c r="G10" i="9"/>
  <c r="E10" i="9"/>
  <c r="D10" i="9"/>
  <c r="C10" i="9"/>
  <c r="B10" i="9"/>
  <c r="Q9" i="9"/>
  <c r="P9" i="9"/>
  <c r="O9" i="9"/>
  <c r="N9" i="9"/>
  <c r="M9" i="9"/>
  <c r="L9" i="9"/>
  <c r="K9" i="9"/>
  <c r="J9" i="9"/>
  <c r="I9" i="9"/>
  <c r="H9" i="9"/>
  <c r="G9" i="9"/>
  <c r="E9" i="9"/>
  <c r="D9" i="9"/>
  <c r="C9" i="9"/>
  <c r="B9" i="9"/>
  <c r="Q8" i="9"/>
  <c r="P8" i="9"/>
  <c r="O8" i="9"/>
  <c r="N8" i="9"/>
  <c r="M8" i="9"/>
  <c r="L8" i="9"/>
  <c r="K8" i="9"/>
  <c r="J8" i="9"/>
  <c r="I8" i="9"/>
  <c r="H8" i="9"/>
  <c r="G8" i="9"/>
  <c r="E8" i="9"/>
  <c r="D8" i="9"/>
  <c r="C8" i="9"/>
  <c r="B8" i="9"/>
  <c r="Q7" i="9"/>
  <c r="P7" i="9"/>
  <c r="O7" i="9"/>
  <c r="N7" i="9"/>
  <c r="M7" i="9"/>
  <c r="L7" i="9"/>
  <c r="K7" i="9"/>
  <c r="J7" i="9"/>
  <c r="I7" i="9"/>
  <c r="H7" i="9"/>
  <c r="G7" i="9"/>
  <c r="E7" i="9"/>
  <c r="D7" i="9"/>
  <c r="C7" i="9"/>
  <c r="B7" i="9"/>
  <c r="Q6" i="9"/>
  <c r="P6" i="9"/>
  <c r="O6" i="9"/>
  <c r="N6" i="9"/>
  <c r="M6" i="9"/>
  <c r="L6" i="9"/>
  <c r="K6" i="9"/>
  <c r="J6" i="9"/>
  <c r="I6" i="9"/>
  <c r="H6" i="9"/>
  <c r="G6" i="9"/>
  <c r="E6" i="9"/>
  <c r="D6" i="9"/>
  <c r="C6" i="9"/>
  <c r="B6" i="9"/>
  <c r="Q119" i="8"/>
  <c r="P126" i="8"/>
  <c r="Y126" i="8" s="1"/>
  <c r="P118" i="8"/>
  <c r="Q118" i="8" s="1"/>
  <c r="P112" i="8"/>
  <c r="Q112" i="8" s="1"/>
  <c r="P111" i="8"/>
  <c r="Q111" i="8" s="1"/>
  <c r="P110" i="8"/>
  <c r="Q110" i="8" s="1"/>
  <c r="P109" i="8"/>
  <c r="P34" i="9" s="1"/>
  <c r="P103" i="8"/>
  <c r="Q103" i="8" s="1"/>
  <c r="P102" i="8"/>
  <c r="Q102" i="8" s="1"/>
  <c r="P97" i="8"/>
  <c r="Q97" i="8" s="1"/>
  <c r="Q30" i="9" s="1"/>
  <c r="P96" i="8"/>
  <c r="Q96" i="8" s="1"/>
  <c r="P95" i="8"/>
  <c r="Q95" i="8" s="1"/>
  <c r="Q25" i="9" s="1"/>
  <c r="O117" i="8"/>
  <c r="P117" i="8" s="1"/>
  <c r="Q117" i="8" s="1"/>
  <c r="O116" i="8"/>
  <c r="P116" i="8" s="1"/>
  <c r="Q116" i="8" s="1"/>
  <c r="Z127" i="8"/>
  <c r="Y127" i="8"/>
  <c r="Z123" i="8" s="1"/>
  <c r="X127" i="8"/>
  <c r="Y123" i="8" s="1"/>
  <c r="V127" i="8"/>
  <c r="W123" i="8" s="1"/>
  <c r="U127" i="8"/>
  <c r="V123" i="8" s="1"/>
  <c r="T127" i="8"/>
  <c r="U123" i="8" s="1"/>
  <c r="X126" i="8"/>
  <c r="T126" i="8"/>
  <c r="L126" i="8"/>
  <c r="M126" i="8" s="1"/>
  <c r="V126" i="8" s="1"/>
  <c r="L118" i="8"/>
  <c r="M118" i="8" s="1"/>
  <c r="N118" i="8" s="1"/>
  <c r="L116" i="8"/>
  <c r="M116" i="8" s="1"/>
  <c r="L112" i="8"/>
  <c r="M112" i="8" s="1"/>
  <c r="L111" i="8"/>
  <c r="M111" i="8" s="1"/>
  <c r="L110" i="8"/>
  <c r="M110" i="8" s="1"/>
  <c r="L109" i="8"/>
  <c r="M109" i="8" s="1"/>
  <c r="M34" i="9" s="1"/>
  <c r="L103" i="8"/>
  <c r="M103" i="8" s="1"/>
  <c r="L102" i="8"/>
  <c r="M102" i="8" s="1"/>
  <c r="N102" i="8" s="1"/>
  <c r="W102" i="8" s="1"/>
  <c r="L97" i="8"/>
  <c r="L30" i="9" s="1"/>
  <c r="L96" i="8"/>
  <c r="M96" i="8" s="1"/>
  <c r="L95" i="8"/>
  <c r="M95" i="8" s="1"/>
  <c r="M25" i="9" s="1"/>
  <c r="H126" i="8"/>
  <c r="I126" i="8" s="1"/>
  <c r="H118" i="8"/>
  <c r="I118" i="8" s="1"/>
  <c r="J118" i="8" s="1"/>
  <c r="S118" i="8" s="1"/>
  <c r="H116" i="8"/>
  <c r="I116" i="8" s="1"/>
  <c r="H112" i="8"/>
  <c r="I112" i="8" s="1"/>
  <c r="H111" i="8"/>
  <c r="I111" i="8" s="1"/>
  <c r="H110" i="8"/>
  <c r="I110" i="8" s="1"/>
  <c r="H109" i="8"/>
  <c r="I109" i="8" s="1"/>
  <c r="I34" i="9" s="1"/>
  <c r="H103" i="8"/>
  <c r="I103" i="8" s="1"/>
  <c r="J103" i="8" s="1"/>
  <c r="H102" i="8"/>
  <c r="I102" i="8" s="1"/>
  <c r="H97" i="8"/>
  <c r="I97" i="8" s="1"/>
  <c r="I30" i="9" s="1"/>
  <c r="H96" i="8"/>
  <c r="I96" i="8" s="1"/>
  <c r="H95" i="8"/>
  <c r="H25" i="9" s="1"/>
  <c r="K117" i="8"/>
  <c r="L117" i="8" s="1"/>
  <c r="M117" i="8" s="1"/>
  <c r="G117" i="8"/>
  <c r="H117" i="8" s="1"/>
  <c r="I117" i="8" s="1"/>
  <c r="E111" i="8"/>
  <c r="D111" i="8"/>
  <c r="C111" i="8"/>
  <c r="D110" i="8"/>
  <c r="E116" i="8"/>
  <c r="E117" i="8"/>
  <c r="D116" i="8"/>
  <c r="D117" i="8"/>
  <c r="C117" i="8"/>
  <c r="C116" i="8"/>
  <c r="N104" i="8"/>
  <c r="Z104" i="8" s="1"/>
  <c r="J104" i="8"/>
  <c r="S104" i="8" s="1"/>
  <c r="E67" i="8"/>
  <c r="Z81" i="8"/>
  <c r="Y81" i="8"/>
  <c r="X81" i="8"/>
  <c r="V81" i="8"/>
  <c r="U81" i="8"/>
  <c r="T81" i="8"/>
  <c r="N81" i="8"/>
  <c r="J81" i="8"/>
  <c r="S81" i="8" s="1"/>
  <c r="Z77" i="8"/>
  <c r="Y77" i="8"/>
  <c r="X77" i="8"/>
  <c r="V77" i="8"/>
  <c r="U77" i="8"/>
  <c r="T77" i="8"/>
  <c r="N77" i="8"/>
  <c r="W77" i="8" s="1"/>
  <c r="J77" i="8"/>
  <c r="S77" i="8" s="1"/>
  <c r="Z76" i="8"/>
  <c r="Y76" i="8"/>
  <c r="X76" i="8"/>
  <c r="V76" i="8"/>
  <c r="U76" i="8"/>
  <c r="T76" i="8"/>
  <c r="N76" i="8"/>
  <c r="W76" i="8" s="1"/>
  <c r="J76" i="8"/>
  <c r="S76" i="8" s="1"/>
  <c r="W69" i="10"/>
  <c r="Q69" i="10"/>
  <c r="Z69" i="10" s="1"/>
  <c r="P69" i="10"/>
  <c r="Y69" i="10" s="1"/>
  <c r="O69" i="10"/>
  <c r="X69" i="10" s="1"/>
  <c r="N69" i="10"/>
  <c r="M69" i="10"/>
  <c r="V69" i="10" s="1"/>
  <c r="L69" i="10"/>
  <c r="U69" i="10" s="1"/>
  <c r="K69" i="10"/>
  <c r="T69" i="10" s="1"/>
  <c r="J69" i="10"/>
  <c r="S69" i="10" s="1"/>
  <c r="I69" i="10"/>
  <c r="H69" i="10"/>
  <c r="G69" i="10"/>
  <c r="E69" i="10"/>
  <c r="D69" i="10"/>
  <c r="C69" i="10"/>
  <c r="B69" i="10"/>
  <c r="Q68" i="10"/>
  <c r="Z68" i="10" s="1"/>
  <c r="P68" i="10"/>
  <c r="Y68" i="10" s="1"/>
  <c r="O68" i="10"/>
  <c r="X68" i="10" s="1"/>
  <c r="N68" i="10"/>
  <c r="W68" i="10" s="1"/>
  <c r="M68" i="10"/>
  <c r="V68" i="10" s="1"/>
  <c r="L68" i="10"/>
  <c r="U68" i="10" s="1"/>
  <c r="K68" i="10"/>
  <c r="T68" i="10" s="1"/>
  <c r="J68" i="10"/>
  <c r="S68" i="10" s="1"/>
  <c r="I68" i="10"/>
  <c r="H68" i="10"/>
  <c r="G68" i="10"/>
  <c r="E68" i="10"/>
  <c r="D68" i="10"/>
  <c r="C68" i="10"/>
  <c r="B68" i="10"/>
  <c r="U66" i="10"/>
  <c r="Q66" i="10"/>
  <c r="P66" i="10"/>
  <c r="O66" i="10"/>
  <c r="N66" i="10"/>
  <c r="M66" i="10"/>
  <c r="L66" i="10"/>
  <c r="K66" i="10"/>
  <c r="J66" i="10"/>
  <c r="I66" i="10"/>
  <c r="H66" i="10"/>
  <c r="G66" i="10"/>
  <c r="E66" i="10"/>
  <c r="D66" i="10"/>
  <c r="C66" i="10"/>
  <c r="Z65" i="10"/>
  <c r="Y65" i="10"/>
  <c r="X65" i="10"/>
  <c r="W65" i="10"/>
  <c r="V65" i="10"/>
  <c r="U65" i="10"/>
  <c r="T65" i="10"/>
  <c r="S65" i="10"/>
  <c r="Z64" i="10"/>
  <c r="Z66" i="10" s="1"/>
  <c r="Y64" i="10"/>
  <c r="Y66" i="10" s="1"/>
  <c r="X64" i="10"/>
  <c r="X66" i="10" s="1"/>
  <c r="W64" i="10"/>
  <c r="W66" i="10" s="1"/>
  <c r="V64" i="10"/>
  <c r="V66" i="10" s="1"/>
  <c r="U64" i="10"/>
  <c r="T64" i="10"/>
  <c r="T66" i="10" s="1"/>
  <c r="S64" i="10"/>
  <c r="S66" i="10" s="1"/>
  <c r="V37" i="9" l="1"/>
  <c r="W37" i="9"/>
  <c r="S37" i="9"/>
  <c r="U37" i="9"/>
  <c r="H35" i="9"/>
  <c r="M35" i="9"/>
  <c r="N35" i="9"/>
  <c r="O35" i="9" s="1"/>
  <c r="P35" i="9" s="1"/>
  <c r="Q35" i="9" s="1"/>
  <c r="T37" i="9"/>
  <c r="G35" i="9"/>
  <c r="I35" i="9"/>
  <c r="K35" i="9"/>
  <c r="X99" i="8"/>
  <c r="Y99" i="8"/>
  <c r="T99" i="8"/>
  <c r="U99" i="8"/>
  <c r="S99" i="8"/>
  <c r="Z99" i="8"/>
  <c r="AB99" i="8" s="1"/>
  <c r="I100" i="8"/>
  <c r="J100" i="8"/>
  <c r="M100" i="8"/>
  <c r="P30" i="9"/>
  <c r="S98" i="8"/>
  <c r="Y98" i="8"/>
  <c r="AB98" i="8"/>
  <c r="T98" i="8"/>
  <c r="U98" i="8"/>
  <c r="W98" i="8"/>
  <c r="X98" i="8"/>
  <c r="I95" i="8"/>
  <c r="I25" i="9" s="1"/>
  <c r="M97" i="8"/>
  <c r="M30" i="9" s="1"/>
  <c r="Q109" i="8"/>
  <c r="Q34" i="9" s="1"/>
  <c r="P25" i="9"/>
  <c r="L34" i="9"/>
  <c r="H30" i="9"/>
  <c r="L25" i="9"/>
  <c r="H34" i="9"/>
  <c r="U8" i="9"/>
  <c r="V9" i="9"/>
  <c r="Z7" i="9"/>
  <c r="S8" i="9"/>
  <c r="U10" i="9"/>
  <c r="S7" i="9"/>
  <c r="U9" i="9"/>
  <c r="V10" i="9"/>
  <c r="T10" i="9"/>
  <c r="U7" i="9"/>
  <c r="V8" i="9"/>
  <c r="W9" i="9"/>
  <c r="X10" i="9"/>
  <c r="V7" i="9"/>
  <c r="T8" i="9"/>
  <c r="X9" i="9"/>
  <c r="Y10" i="9"/>
  <c r="T7" i="9"/>
  <c r="X8" i="9"/>
  <c r="Y9" i="9"/>
  <c r="Z10" i="9"/>
  <c r="X7" i="9"/>
  <c r="Y8" i="9"/>
  <c r="Z9" i="9"/>
  <c r="S10" i="9"/>
  <c r="Y7" i="9"/>
  <c r="Z8" i="9"/>
  <c r="AB8" i="9" s="1"/>
  <c r="S9" i="9"/>
  <c r="T9" i="9"/>
  <c r="W8" i="9"/>
  <c r="W10" i="9"/>
  <c r="W7" i="9"/>
  <c r="J111" i="8"/>
  <c r="S111" i="8" s="1"/>
  <c r="U126" i="8"/>
  <c r="Q126" i="8"/>
  <c r="Z126" i="8" s="1"/>
  <c r="N103" i="8"/>
  <c r="Y103" i="8" s="1"/>
  <c r="J102" i="8"/>
  <c r="S102" i="8" s="1"/>
  <c r="Z118" i="8"/>
  <c r="N111" i="8"/>
  <c r="Z111" i="8" s="1"/>
  <c r="V103" i="8"/>
  <c r="S103" i="8"/>
  <c r="T103" i="8"/>
  <c r="U103" i="8"/>
  <c r="W103" i="8"/>
  <c r="X103" i="8"/>
  <c r="X102" i="8"/>
  <c r="Y102" i="8"/>
  <c r="Z102" i="8"/>
  <c r="T118" i="8"/>
  <c r="U118" i="8"/>
  <c r="V118" i="8"/>
  <c r="W118" i="8"/>
  <c r="X118" i="8"/>
  <c r="Y118" i="8"/>
  <c r="AB76" i="8"/>
  <c r="AB77" i="8"/>
  <c r="V111" i="8"/>
  <c r="T104" i="8"/>
  <c r="U104" i="8"/>
  <c r="V104" i="8"/>
  <c r="AB104" i="8" s="1"/>
  <c r="W104" i="8"/>
  <c r="X104" i="8"/>
  <c r="Y104" i="8"/>
  <c r="W81" i="8"/>
  <c r="AB81" i="8"/>
  <c r="Z35" i="10"/>
  <c r="Y35" i="10"/>
  <c r="X35" i="10"/>
  <c r="W35" i="10"/>
  <c r="V35" i="10"/>
  <c r="U35" i="10"/>
  <c r="T35" i="10"/>
  <c r="S35" i="10"/>
  <c r="Z34" i="10"/>
  <c r="Y34" i="10"/>
  <c r="X34" i="10"/>
  <c r="W34" i="10"/>
  <c r="V34" i="10"/>
  <c r="U34" i="10"/>
  <c r="T34" i="10"/>
  <c r="S34" i="10"/>
  <c r="Z33" i="10"/>
  <c r="Y33" i="10"/>
  <c r="X33" i="10"/>
  <c r="W33" i="10"/>
  <c r="V33" i="10"/>
  <c r="U33" i="10"/>
  <c r="T33" i="10"/>
  <c r="S33" i="10"/>
  <c r="Z13" i="10"/>
  <c r="Y13" i="10"/>
  <c r="X13" i="10"/>
  <c r="W13" i="10"/>
  <c r="V13" i="10"/>
  <c r="U13" i="10"/>
  <c r="T13" i="10"/>
  <c r="S13" i="10"/>
  <c r="Z50" i="10"/>
  <c r="Y50" i="10"/>
  <c r="X50" i="10"/>
  <c r="W50" i="10"/>
  <c r="V50" i="10"/>
  <c r="U50" i="10"/>
  <c r="T50" i="10"/>
  <c r="S50" i="10"/>
  <c r="Z49" i="10"/>
  <c r="Y49" i="10"/>
  <c r="X49" i="10"/>
  <c r="W49" i="10"/>
  <c r="V49" i="10"/>
  <c r="U49" i="10"/>
  <c r="T49" i="10"/>
  <c r="S49" i="10"/>
  <c r="Z48" i="10"/>
  <c r="Y48" i="10"/>
  <c r="X48" i="10"/>
  <c r="W48" i="10"/>
  <c r="V48" i="10"/>
  <c r="U48" i="10"/>
  <c r="T48" i="10"/>
  <c r="S48" i="10"/>
  <c r="Z47" i="10"/>
  <c r="Y47" i="10"/>
  <c r="X47" i="10"/>
  <c r="W47" i="10"/>
  <c r="V47" i="10"/>
  <c r="U47" i="10"/>
  <c r="T47" i="10"/>
  <c r="S47" i="10"/>
  <c r="Z46" i="10"/>
  <c r="Y46" i="10"/>
  <c r="X46" i="10"/>
  <c r="W46" i="10"/>
  <c r="V46" i="10"/>
  <c r="U46" i="10"/>
  <c r="T46" i="10"/>
  <c r="S46" i="10"/>
  <c r="Z45" i="10"/>
  <c r="Y45" i="10"/>
  <c r="X45" i="10"/>
  <c r="W45" i="10"/>
  <c r="V45" i="10"/>
  <c r="U45" i="10"/>
  <c r="T45" i="10"/>
  <c r="S45" i="10"/>
  <c r="B59" i="10"/>
  <c r="B58" i="10"/>
  <c r="B57" i="10"/>
  <c r="B56" i="10"/>
  <c r="B55" i="10"/>
  <c r="B54" i="10"/>
  <c r="B53" i="10"/>
  <c r="Q51" i="10"/>
  <c r="P51" i="10"/>
  <c r="O51" i="10"/>
  <c r="N51" i="10"/>
  <c r="M51" i="10"/>
  <c r="L51" i="10"/>
  <c r="K51" i="10"/>
  <c r="J51" i="10"/>
  <c r="I51" i="10"/>
  <c r="H51" i="10"/>
  <c r="G51" i="10"/>
  <c r="E51" i="10"/>
  <c r="D51" i="10"/>
  <c r="C51" i="10"/>
  <c r="Z44" i="10"/>
  <c r="Y44" i="10"/>
  <c r="Y51" i="10" s="1"/>
  <c r="X44" i="10"/>
  <c r="W44" i="10"/>
  <c r="V44" i="10"/>
  <c r="U44" i="10"/>
  <c r="T44" i="10"/>
  <c r="S44" i="10"/>
  <c r="B40" i="10"/>
  <c r="B39" i="10"/>
  <c r="B41" i="10"/>
  <c r="B38" i="10"/>
  <c r="Q36" i="10"/>
  <c r="Q11" i="10" s="1"/>
  <c r="P36" i="10"/>
  <c r="P11" i="10" s="1"/>
  <c r="O36" i="10"/>
  <c r="O11" i="10" s="1"/>
  <c r="N36" i="10"/>
  <c r="M36" i="10"/>
  <c r="L36" i="10"/>
  <c r="K36" i="10"/>
  <c r="J36" i="10"/>
  <c r="I36" i="10"/>
  <c r="I11" i="10" s="1"/>
  <c r="H36" i="10"/>
  <c r="H11" i="10" s="1"/>
  <c r="G36" i="10"/>
  <c r="G11" i="10" s="1"/>
  <c r="E36" i="10"/>
  <c r="D36" i="10"/>
  <c r="C36" i="10"/>
  <c r="Z32" i="10"/>
  <c r="Y32" i="10"/>
  <c r="Y36" i="10" s="1"/>
  <c r="X32" i="10"/>
  <c r="W32" i="10"/>
  <c r="V32" i="10"/>
  <c r="U32" i="10"/>
  <c r="T32" i="10"/>
  <c r="S32" i="10"/>
  <c r="S36" i="10" s="1"/>
  <c r="B20" i="10"/>
  <c r="B19" i="10"/>
  <c r="B18" i="10"/>
  <c r="N74" i="8"/>
  <c r="N49" i="8"/>
  <c r="N48" i="8"/>
  <c r="N47" i="8"/>
  <c r="N46" i="8"/>
  <c r="W46" i="8" s="1"/>
  <c r="N45" i="8"/>
  <c r="N57" i="8"/>
  <c r="N56" i="8"/>
  <c r="N55" i="8"/>
  <c r="W55" i="8" s="1"/>
  <c r="N54" i="8"/>
  <c r="N53" i="8"/>
  <c r="N66" i="8"/>
  <c r="N65" i="8"/>
  <c r="W65" i="8" s="1"/>
  <c r="N64" i="8"/>
  <c r="W64" i="8" s="1"/>
  <c r="N63" i="8"/>
  <c r="W63" i="8" s="1"/>
  <c r="N62" i="8"/>
  <c r="N61" i="8"/>
  <c r="N71" i="8"/>
  <c r="N70" i="8"/>
  <c r="J74" i="8"/>
  <c r="J49" i="8"/>
  <c r="J48" i="8"/>
  <c r="J47" i="8"/>
  <c r="J46" i="8"/>
  <c r="S46" i="8" s="1"/>
  <c r="J45" i="8"/>
  <c r="J57" i="8"/>
  <c r="J56" i="8"/>
  <c r="J55" i="8"/>
  <c r="S55" i="8" s="1"/>
  <c r="J54" i="8"/>
  <c r="J53" i="8"/>
  <c r="J66" i="8"/>
  <c r="J65" i="8"/>
  <c r="S65" i="8" s="1"/>
  <c r="J64" i="8"/>
  <c r="S64" i="8" s="1"/>
  <c r="J63" i="8"/>
  <c r="S63" i="8" s="1"/>
  <c r="J62" i="8"/>
  <c r="J61" i="8"/>
  <c r="J71" i="8"/>
  <c r="J70" i="8"/>
  <c r="N30" i="8"/>
  <c r="N26" i="8"/>
  <c r="Z26" i="8" s="1"/>
  <c r="N25" i="8"/>
  <c r="X25" i="8" s="1"/>
  <c r="N24" i="8"/>
  <c r="Y24" i="8" s="1"/>
  <c r="N23" i="8"/>
  <c r="J30" i="8"/>
  <c r="J26" i="8"/>
  <c r="V26" i="8" s="1"/>
  <c r="J25" i="8"/>
  <c r="V25" i="8" s="1"/>
  <c r="J24" i="8"/>
  <c r="V24" i="8" s="1"/>
  <c r="J23" i="8"/>
  <c r="N13" i="8"/>
  <c r="N15" i="9" s="1"/>
  <c r="N19" i="8"/>
  <c r="N21" i="9" s="1"/>
  <c r="N18" i="8"/>
  <c r="N20" i="9" s="1"/>
  <c r="N17" i="8"/>
  <c r="N19" i="9" s="1"/>
  <c r="N26" i="9" s="1"/>
  <c r="J13" i="8"/>
  <c r="J15" i="9" s="1"/>
  <c r="J19" i="8"/>
  <c r="J21" i="9" s="1"/>
  <c r="J18" i="8"/>
  <c r="J20" i="9" s="1"/>
  <c r="J17" i="8"/>
  <c r="J19" i="9" s="1"/>
  <c r="J26" i="9" s="1"/>
  <c r="N10" i="8"/>
  <c r="J10" i="8"/>
  <c r="Z65" i="8"/>
  <c r="Y65" i="8"/>
  <c r="X65" i="8"/>
  <c r="V65" i="8"/>
  <c r="U65" i="8"/>
  <c r="T65" i="8"/>
  <c r="Z64" i="8"/>
  <c r="Y64" i="8"/>
  <c r="X64" i="8"/>
  <c r="V64" i="8"/>
  <c r="U64" i="8"/>
  <c r="T64" i="8"/>
  <c r="Z63" i="8"/>
  <c r="Y63" i="8"/>
  <c r="X63" i="8"/>
  <c r="V63" i="8"/>
  <c r="U63" i="8"/>
  <c r="T63" i="8"/>
  <c r="Z55" i="8"/>
  <c r="Y55" i="8"/>
  <c r="X55" i="8"/>
  <c r="V55" i="8"/>
  <c r="U55" i="8"/>
  <c r="T55" i="8"/>
  <c r="Z46" i="8"/>
  <c r="Y46" i="8"/>
  <c r="X46" i="8"/>
  <c r="V46" i="8"/>
  <c r="U46" i="8"/>
  <c r="T46" i="8"/>
  <c r="AB7" i="9" l="1"/>
  <c r="Y37" i="9"/>
  <c r="X37" i="9"/>
  <c r="AB9" i="9"/>
  <c r="AB10" i="9"/>
  <c r="U111" i="8"/>
  <c r="V100" i="8"/>
  <c r="T100" i="8"/>
  <c r="U100" i="8"/>
  <c r="S100" i="8"/>
  <c r="N100" i="8"/>
  <c r="X100" i="8" s="1"/>
  <c r="T111" i="8"/>
  <c r="Z103" i="8"/>
  <c r="AB103" i="8" s="1"/>
  <c r="W111" i="8"/>
  <c r="V102" i="8"/>
  <c r="AB102" i="8" s="1"/>
  <c r="U102" i="8"/>
  <c r="T102" i="8"/>
  <c r="AB118" i="8"/>
  <c r="Y111" i="8"/>
  <c r="X111" i="8"/>
  <c r="AB111" i="8"/>
  <c r="W24" i="8"/>
  <c r="W26" i="8"/>
  <c r="Y26" i="8"/>
  <c r="W25" i="8"/>
  <c r="S26" i="8"/>
  <c r="Y25" i="8"/>
  <c r="Z25" i="8"/>
  <c r="S24" i="8"/>
  <c r="T24" i="8"/>
  <c r="T26" i="8"/>
  <c r="U26" i="8"/>
  <c r="S25" i="8"/>
  <c r="U25" i="8"/>
  <c r="T25" i="8"/>
  <c r="V36" i="10"/>
  <c r="X36" i="10"/>
  <c r="X51" i="10"/>
  <c r="Z51" i="10"/>
  <c r="I12" i="10"/>
  <c r="J12" i="10"/>
  <c r="Q12" i="10"/>
  <c r="U51" i="10"/>
  <c r="J11" i="10"/>
  <c r="S11" i="10" s="1"/>
  <c r="C12" i="10"/>
  <c r="L12" i="10"/>
  <c r="K12" i="10"/>
  <c r="K11" i="10"/>
  <c r="D12" i="10"/>
  <c r="M12" i="10"/>
  <c r="W51" i="10"/>
  <c r="C11" i="10"/>
  <c r="L11" i="10"/>
  <c r="E12" i="10"/>
  <c r="N12" i="10"/>
  <c r="D11" i="10"/>
  <c r="M11" i="10"/>
  <c r="G12" i="10"/>
  <c r="S12" i="10" s="1"/>
  <c r="O12" i="10"/>
  <c r="E11" i="10"/>
  <c r="N11" i="10"/>
  <c r="Z11" i="10" s="1"/>
  <c r="H12" i="10"/>
  <c r="P12" i="10"/>
  <c r="T36" i="10"/>
  <c r="S51" i="10"/>
  <c r="T51" i="10"/>
  <c r="V51" i="10"/>
  <c r="W36" i="10"/>
  <c r="Z36" i="10"/>
  <c r="U36" i="10"/>
  <c r="Z24" i="8"/>
  <c r="X24" i="8"/>
  <c r="X26" i="8"/>
  <c r="U24" i="8"/>
  <c r="AB63" i="8"/>
  <c r="AB65" i="8"/>
  <c r="AB64" i="8"/>
  <c r="AB55" i="8"/>
  <c r="AB46" i="8"/>
  <c r="AB37" i="9" l="1"/>
  <c r="Y100" i="8"/>
  <c r="Z100" i="8"/>
  <c r="AB100" i="8" s="1"/>
  <c r="W100" i="8"/>
  <c r="W12" i="10"/>
  <c r="Z12" i="10"/>
  <c r="X12" i="10"/>
  <c r="U12" i="10"/>
  <c r="Y11" i="10"/>
  <c r="W11" i="10"/>
  <c r="T12" i="10"/>
  <c r="X11" i="10"/>
  <c r="T11" i="10"/>
  <c r="V11" i="10"/>
  <c r="U11" i="10"/>
  <c r="Y12" i="10"/>
  <c r="V12" i="10"/>
  <c r="W71" i="8" l="1"/>
  <c r="S71" i="8"/>
  <c r="W49" i="8"/>
  <c r="W48" i="8"/>
  <c r="W57" i="8"/>
  <c r="W56" i="8"/>
  <c r="W62" i="8"/>
  <c r="S57" i="8"/>
  <c r="S56" i="8"/>
  <c r="S62" i="8"/>
  <c r="S49" i="8"/>
  <c r="S48" i="8"/>
  <c r="Z56" i="8"/>
  <c r="Y56" i="8"/>
  <c r="X56" i="8"/>
  <c r="V56" i="8"/>
  <c r="U56" i="8"/>
  <c r="T56" i="8"/>
  <c r="Y13" i="8"/>
  <c r="T13" i="8"/>
  <c r="W9" i="10"/>
  <c r="V9" i="10"/>
  <c r="N78" i="8"/>
  <c r="J78" i="8"/>
  <c r="N75" i="8"/>
  <c r="J75" i="8"/>
  <c r="Z48" i="8"/>
  <c r="Y48" i="8"/>
  <c r="X48" i="8"/>
  <c r="V48" i="8"/>
  <c r="U48" i="8"/>
  <c r="T48" i="8"/>
  <c r="Y25" i="10"/>
  <c r="Y24" i="10"/>
  <c r="V25" i="10"/>
  <c r="U24" i="10"/>
  <c r="Z62" i="8"/>
  <c r="Y62" i="8"/>
  <c r="X62" i="8"/>
  <c r="V62" i="8"/>
  <c r="U62" i="8"/>
  <c r="T62" i="8"/>
  <c r="B29" i="10"/>
  <c r="B28" i="10"/>
  <c r="Q26" i="10"/>
  <c r="Q10" i="10" s="1"/>
  <c r="P26" i="10"/>
  <c r="P10" i="10" s="1"/>
  <c r="O26" i="10"/>
  <c r="O10" i="10" s="1"/>
  <c r="M26" i="10"/>
  <c r="M10" i="10" s="1"/>
  <c r="L26" i="10"/>
  <c r="L10" i="10" s="1"/>
  <c r="K26" i="10"/>
  <c r="K10" i="10" s="1"/>
  <c r="I26" i="10"/>
  <c r="I10" i="10" s="1"/>
  <c r="H26" i="10"/>
  <c r="H10" i="10" s="1"/>
  <c r="G26" i="10"/>
  <c r="G10" i="10" s="1"/>
  <c r="E26" i="10"/>
  <c r="E10" i="10" s="1"/>
  <c r="D26" i="10"/>
  <c r="D10" i="10" s="1"/>
  <c r="C26" i="10"/>
  <c r="C10" i="10" s="1"/>
  <c r="Z57" i="8"/>
  <c r="Y57" i="8"/>
  <c r="X57" i="8"/>
  <c r="V57" i="8"/>
  <c r="U57" i="8"/>
  <c r="T57" i="8"/>
  <c r="Z49" i="8"/>
  <c r="Y49" i="8"/>
  <c r="X49" i="8"/>
  <c r="V49" i="8"/>
  <c r="U49" i="8"/>
  <c r="T49" i="8"/>
  <c r="N37" i="8"/>
  <c r="J37" i="8"/>
  <c r="Z71" i="8"/>
  <c r="Y71" i="8"/>
  <c r="X71" i="8"/>
  <c r="V71" i="8"/>
  <c r="U71" i="8"/>
  <c r="T71" i="8"/>
  <c r="AB56" i="8" l="1"/>
  <c r="Y9" i="10"/>
  <c r="S9" i="10"/>
  <c r="AB48" i="8"/>
  <c r="V24" i="10"/>
  <c r="S25" i="10"/>
  <c r="T24" i="10"/>
  <c r="W24" i="10"/>
  <c r="T25" i="10"/>
  <c r="X24" i="10"/>
  <c r="U25" i="10"/>
  <c r="Y26" i="10"/>
  <c r="W25" i="10"/>
  <c r="S24" i="10"/>
  <c r="X25" i="10"/>
  <c r="U9" i="10"/>
  <c r="X9" i="10"/>
  <c r="T9" i="10"/>
  <c r="AB62" i="8"/>
  <c r="M14" i="10"/>
  <c r="Z24" i="10"/>
  <c r="Z25" i="10"/>
  <c r="J26" i="10"/>
  <c r="J10" i="10" s="1"/>
  <c r="V10" i="10" s="1"/>
  <c r="V14" i="10" s="1"/>
  <c r="N26" i="10"/>
  <c r="N10" i="10" s="1"/>
  <c r="Z10" i="10" s="1"/>
  <c r="AB49" i="8"/>
  <c r="AB57" i="8"/>
  <c r="U13" i="8"/>
  <c r="AB71" i="8"/>
  <c r="S13" i="8"/>
  <c r="Z13" i="8"/>
  <c r="V13" i="8"/>
  <c r="W13" i="8"/>
  <c r="X13" i="8"/>
  <c r="Z78" i="8"/>
  <c r="Y78" i="8"/>
  <c r="X78" i="8"/>
  <c r="V78" i="8"/>
  <c r="U78" i="8"/>
  <c r="T78" i="8"/>
  <c r="Z75" i="8"/>
  <c r="Y75" i="8"/>
  <c r="X75" i="8"/>
  <c r="V75" i="8"/>
  <c r="U75" i="8"/>
  <c r="T75" i="8"/>
  <c r="W78" i="8"/>
  <c r="W75" i="8"/>
  <c r="S78" i="8"/>
  <c r="S75" i="8"/>
  <c r="W66" i="8"/>
  <c r="S66" i="8"/>
  <c r="Z66" i="8"/>
  <c r="Y66" i="8"/>
  <c r="X66" i="8"/>
  <c r="V66" i="8"/>
  <c r="U66" i="8"/>
  <c r="T66" i="8"/>
  <c r="W47" i="8"/>
  <c r="S47" i="8"/>
  <c r="Z47" i="8"/>
  <c r="Y47" i="8"/>
  <c r="X47" i="8"/>
  <c r="V47" i="8"/>
  <c r="U47" i="8"/>
  <c r="T47" i="8"/>
  <c r="Z19" i="8"/>
  <c r="W18" i="8"/>
  <c r="S19" i="8"/>
  <c r="V18" i="8"/>
  <c r="Q4" i="10"/>
  <c r="P4" i="10"/>
  <c r="Y4" i="10" s="1"/>
  <c r="O4" i="10"/>
  <c r="X4" i="10" s="1"/>
  <c r="M4" i="10"/>
  <c r="V4" i="10" s="1"/>
  <c r="L4" i="10"/>
  <c r="U4" i="10" s="1"/>
  <c r="K4" i="10"/>
  <c r="T4" i="10" s="1"/>
  <c r="I4" i="10"/>
  <c r="H4" i="10"/>
  <c r="G4" i="10"/>
  <c r="Q3" i="10"/>
  <c r="P3" i="10"/>
  <c r="Y3" i="10" s="1"/>
  <c r="O3" i="10"/>
  <c r="X3" i="10" s="1"/>
  <c r="N3" i="10"/>
  <c r="W3" i="10" s="1"/>
  <c r="M3" i="10"/>
  <c r="V3" i="10" s="1"/>
  <c r="L3" i="10"/>
  <c r="U3" i="10" s="1"/>
  <c r="K3" i="10"/>
  <c r="T3" i="10" s="1"/>
  <c r="J3" i="10"/>
  <c r="S3" i="10" s="1"/>
  <c r="I3" i="10"/>
  <c r="H3" i="10"/>
  <c r="G3" i="10"/>
  <c r="E4" i="10"/>
  <c r="D4" i="10"/>
  <c r="C4" i="10"/>
  <c r="E3" i="10"/>
  <c r="D3" i="10"/>
  <c r="C3" i="10"/>
  <c r="B2" i="10"/>
  <c r="B21" i="10"/>
  <c r="B17" i="10"/>
  <c r="Q14" i="10"/>
  <c r="P14" i="10"/>
  <c r="O14" i="10"/>
  <c r="L14" i="10"/>
  <c r="K14" i="10"/>
  <c r="I14" i="10"/>
  <c r="H14" i="10"/>
  <c r="G14" i="10"/>
  <c r="E14" i="10"/>
  <c r="D14" i="10"/>
  <c r="AB75" i="8" l="1"/>
  <c r="AB78" i="8"/>
  <c r="Y10" i="10"/>
  <c r="S10" i="10"/>
  <c r="X10" i="10"/>
  <c r="W10" i="10"/>
  <c r="W14" i="10" s="1"/>
  <c r="T10" i="10"/>
  <c r="X14" i="10"/>
  <c r="U10" i="10"/>
  <c r="U14" i="10" s="1"/>
  <c r="O59" i="10"/>
  <c r="X59" i="10" s="1"/>
  <c r="O57" i="10"/>
  <c r="X57" i="10" s="1"/>
  <c r="O55" i="10"/>
  <c r="X55" i="10" s="1"/>
  <c r="O58" i="10"/>
  <c r="X58" i="10" s="1"/>
  <c r="O56" i="10"/>
  <c r="X56" i="10" s="1"/>
  <c r="O54" i="10"/>
  <c r="X54" i="10" s="1"/>
  <c r="M58" i="10"/>
  <c r="V58" i="10" s="1"/>
  <c r="M59" i="10"/>
  <c r="V59" i="10" s="1"/>
  <c r="M56" i="10"/>
  <c r="V56" i="10" s="1"/>
  <c r="M57" i="10"/>
  <c r="V57" i="10" s="1"/>
  <c r="M55" i="10"/>
  <c r="V55" i="10" s="1"/>
  <c r="M54" i="10"/>
  <c r="V54" i="10" s="1"/>
  <c r="G59" i="10"/>
  <c r="G57" i="10"/>
  <c r="G55" i="10"/>
  <c r="G58" i="10"/>
  <c r="G56" i="10"/>
  <c r="G54" i="10"/>
  <c r="H57" i="10"/>
  <c r="H55" i="10"/>
  <c r="H58" i="10"/>
  <c r="H56" i="10"/>
  <c r="H54" i="10"/>
  <c r="H59" i="10"/>
  <c r="P57" i="10"/>
  <c r="Y57" i="10" s="1"/>
  <c r="P55" i="10"/>
  <c r="Y55" i="10" s="1"/>
  <c r="P59" i="10"/>
  <c r="Y59" i="10" s="1"/>
  <c r="P58" i="10"/>
  <c r="Y58" i="10" s="1"/>
  <c r="P56" i="10"/>
  <c r="Y56" i="10" s="1"/>
  <c r="P54" i="10"/>
  <c r="Y54" i="10" s="1"/>
  <c r="I58" i="10"/>
  <c r="I56" i="10"/>
  <c r="I54" i="10"/>
  <c r="I59" i="10"/>
  <c r="I57" i="10"/>
  <c r="I55" i="10"/>
  <c r="L56" i="10"/>
  <c r="U56" i="10" s="1"/>
  <c r="L54" i="10"/>
  <c r="U54" i="10" s="1"/>
  <c r="L58" i="10"/>
  <c r="U58" i="10" s="1"/>
  <c r="L59" i="10"/>
  <c r="U59" i="10" s="1"/>
  <c r="L57" i="10"/>
  <c r="U57" i="10" s="1"/>
  <c r="L55" i="10"/>
  <c r="U55" i="10" s="1"/>
  <c r="Q57" i="10"/>
  <c r="Z57" i="10" s="1"/>
  <c r="Q55" i="10"/>
  <c r="Z55" i="10" s="1"/>
  <c r="Q58" i="10"/>
  <c r="Z58" i="10" s="1"/>
  <c r="Q56" i="10"/>
  <c r="Z56" i="10" s="1"/>
  <c r="Q54" i="10"/>
  <c r="Z54" i="10" s="1"/>
  <c r="Q59" i="10"/>
  <c r="Z59" i="10" s="1"/>
  <c r="K58" i="10"/>
  <c r="T58" i="10" s="1"/>
  <c r="K56" i="10"/>
  <c r="T56" i="10" s="1"/>
  <c r="K54" i="10"/>
  <c r="T54" i="10" s="1"/>
  <c r="K59" i="10"/>
  <c r="T59" i="10" s="1"/>
  <c r="K57" i="10"/>
  <c r="T57" i="10" s="1"/>
  <c r="K55" i="10"/>
  <c r="T55" i="10" s="1"/>
  <c r="D56" i="10"/>
  <c r="D58" i="10"/>
  <c r="D57" i="10"/>
  <c r="D54" i="10"/>
  <c r="D59" i="10"/>
  <c r="D55" i="10"/>
  <c r="E57" i="10"/>
  <c r="E58" i="10"/>
  <c r="E59" i="10"/>
  <c r="E56" i="10"/>
  <c r="E54" i="10"/>
  <c r="E55" i="10"/>
  <c r="O53" i="10"/>
  <c r="X53" i="10" s="1"/>
  <c r="O39" i="10"/>
  <c r="X39" i="10" s="1"/>
  <c r="O40" i="10"/>
  <c r="X40" i="10" s="1"/>
  <c r="D40" i="10"/>
  <c r="D53" i="10"/>
  <c r="D39" i="10"/>
  <c r="P39" i="10"/>
  <c r="Y39" i="10" s="1"/>
  <c r="P40" i="10"/>
  <c r="Y40" i="10" s="1"/>
  <c r="P53" i="10"/>
  <c r="Y53" i="10" s="1"/>
  <c r="M39" i="10"/>
  <c r="V39" i="10" s="1"/>
  <c r="M53" i="10"/>
  <c r="V53" i="10" s="1"/>
  <c r="M40" i="10"/>
  <c r="V40" i="10" s="1"/>
  <c r="L40" i="10"/>
  <c r="U40" i="10" s="1"/>
  <c r="L53" i="10"/>
  <c r="U53" i="10" s="1"/>
  <c r="L39" i="10"/>
  <c r="U39" i="10" s="1"/>
  <c r="G53" i="10"/>
  <c r="G39" i="10"/>
  <c r="G40" i="10"/>
  <c r="E53" i="10"/>
  <c r="E40" i="10"/>
  <c r="E39" i="10"/>
  <c r="H53" i="10"/>
  <c r="H39" i="10"/>
  <c r="H40" i="10"/>
  <c r="Q39" i="10"/>
  <c r="Z39" i="10" s="1"/>
  <c r="Q40" i="10"/>
  <c r="Z40" i="10" s="1"/>
  <c r="Q53" i="10"/>
  <c r="Z53" i="10" s="1"/>
  <c r="I53" i="10"/>
  <c r="I39" i="10"/>
  <c r="I40" i="10"/>
  <c r="K39" i="10"/>
  <c r="T39" i="10" s="1"/>
  <c r="K40" i="10"/>
  <c r="T40" i="10" s="1"/>
  <c r="K53" i="10"/>
  <c r="T53" i="10" s="1"/>
  <c r="L38" i="10"/>
  <c r="U38" i="10" s="1"/>
  <c r="L41" i="10"/>
  <c r="U41" i="10" s="1"/>
  <c r="O41" i="10"/>
  <c r="X41" i="10" s="1"/>
  <c r="O38" i="10"/>
  <c r="X38" i="10" s="1"/>
  <c r="P38" i="10"/>
  <c r="Y38" i="10" s="1"/>
  <c r="P41" i="10"/>
  <c r="Y41" i="10" s="1"/>
  <c r="M38" i="10"/>
  <c r="V38" i="10" s="1"/>
  <c r="M41" i="10"/>
  <c r="V41" i="10" s="1"/>
  <c r="E38" i="10"/>
  <c r="E41" i="10"/>
  <c r="Q41" i="10"/>
  <c r="Z41" i="10" s="1"/>
  <c r="Q38" i="10"/>
  <c r="Z38" i="10" s="1"/>
  <c r="G41" i="10"/>
  <c r="G38" i="10"/>
  <c r="H38" i="10"/>
  <c r="H41" i="10"/>
  <c r="I41" i="10"/>
  <c r="I38" i="10"/>
  <c r="D38" i="10"/>
  <c r="D41" i="10"/>
  <c r="K38" i="10"/>
  <c r="T38" i="10" s="1"/>
  <c r="K41" i="10"/>
  <c r="T41" i="10" s="1"/>
  <c r="I19" i="10"/>
  <c r="I20" i="10"/>
  <c r="I18" i="10"/>
  <c r="L20" i="10"/>
  <c r="U20" i="10" s="1"/>
  <c r="L18" i="10"/>
  <c r="U18" i="10" s="1"/>
  <c r="L19" i="10"/>
  <c r="U19" i="10" s="1"/>
  <c r="O18" i="10"/>
  <c r="X18" i="10" s="1"/>
  <c r="O19" i="10"/>
  <c r="X19" i="10" s="1"/>
  <c r="O20" i="10"/>
  <c r="X20" i="10" s="1"/>
  <c r="K19" i="10"/>
  <c r="T19" i="10" s="1"/>
  <c r="K20" i="10"/>
  <c r="T20" i="10" s="1"/>
  <c r="K18" i="10"/>
  <c r="T18" i="10" s="1"/>
  <c r="D18" i="10"/>
  <c r="D19" i="10"/>
  <c r="D20" i="10"/>
  <c r="M18" i="10"/>
  <c r="V18" i="10" s="1"/>
  <c r="M19" i="10"/>
  <c r="V19" i="10" s="1"/>
  <c r="M20" i="10"/>
  <c r="V20" i="10" s="1"/>
  <c r="H18" i="10"/>
  <c r="H19" i="10"/>
  <c r="H20" i="10"/>
  <c r="P18" i="10"/>
  <c r="Y18" i="10" s="1"/>
  <c r="P19" i="10"/>
  <c r="Y19" i="10" s="1"/>
  <c r="P20" i="10"/>
  <c r="Y20" i="10" s="1"/>
  <c r="E18" i="10"/>
  <c r="E19" i="10"/>
  <c r="E20" i="10"/>
  <c r="Q19" i="10"/>
  <c r="Z19" i="10" s="1"/>
  <c r="Q20" i="10"/>
  <c r="Z20" i="10" s="1"/>
  <c r="Q18" i="10"/>
  <c r="Z18" i="10" s="1"/>
  <c r="G18" i="10"/>
  <c r="G19" i="10"/>
  <c r="G20" i="10"/>
  <c r="Y14" i="10"/>
  <c r="Y15" i="10" s="1"/>
  <c r="S14" i="10"/>
  <c r="T26" i="10"/>
  <c r="V26" i="10"/>
  <c r="W26" i="10"/>
  <c r="S26" i="10"/>
  <c r="U26" i="10"/>
  <c r="X26" i="10"/>
  <c r="T14" i="10"/>
  <c r="J14" i="10"/>
  <c r="Z26" i="10"/>
  <c r="L29" i="10"/>
  <c r="U29" i="10" s="1"/>
  <c r="L28" i="10"/>
  <c r="U28" i="10" s="1"/>
  <c r="M29" i="10"/>
  <c r="V29" i="10" s="1"/>
  <c r="M28" i="10"/>
  <c r="V28" i="10" s="1"/>
  <c r="G28" i="10"/>
  <c r="G29" i="10"/>
  <c r="Z4" i="10"/>
  <c r="O29" i="10"/>
  <c r="X29" i="10" s="1"/>
  <c r="O28" i="10"/>
  <c r="X28" i="10" s="1"/>
  <c r="E28" i="10"/>
  <c r="E29" i="10"/>
  <c r="Q28" i="10"/>
  <c r="Z28" i="10" s="1"/>
  <c r="Q29" i="10"/>
  <c r="Z29" i="10" s="1"/>
  <c r="Z3" i="10"/>
  <c r="D29" i="10"/>
  <c r="D28" i="10"/>
  <c r="P28" i="10"/>
  <c r="Y28" i="10" s="1"/>
  <c r="P29" i="10"/>
  <c r="Y29" i="10" s="1"/>
  <c r="H28" i="10"/>
  <c r="H29" i="10"/>
  <c r="I28" i="10"/>
  <c r="I29" i="10"/>
  <c r="K29" i="10"/>
  <c r="T29" i="10" s="1"/>
  <c r="K28" i="10"/>
  <c r="T28" i="10" s="1"/>
  <c r="AB13" i="8"/>
  <c r="Q21" i="10"/>
  <c r="Z21" i="10" s="1"/>
  <c r="I21" i="10"/>
  <c r="G21" i="10"/>
  <c r="L21" i="10"/>
  <c r="U21" i="10" s="1"/>
  <c r="D21" i="10"/>
  <c r="AB66" i="8"/>
  <c r="AB47" i="8"/>
  <c r="T19" i="8"/>
  <c r="V19" i="8"/>
  <c r="AB19" i="8" s="1"/>
  <c r="X18" i="8"/>
  <c r="Z18" i="8"/>
  <c r="AB18" i="8" s="1"/>
  <c r="Y18" i="8"/>
  <c r="U19" i="8"/>
  <c r="S18" i="8"/>
  <c r="W19" i="8"/>
  <c r="T18" i="8"/>
  <c r="X19" i="8"/>
  <c r="U18" i="8"/>
  <c r="Y19" i="8"/>
  <c r="K21" i="10"/>
  <c r="T21" i="10" s="1"/>
  <c r="D17" i="10"/>
  <c r="O21" i="10"/>
  <c r="X21" i="10" s="1"/>
  <c r="K17" i="10"/>
  <c r="T17" i="10" s="1"/>
  <c r="G17" i="10"/>
  <c r="L17" i="10"/>
  <c r="U17" i="10" s="1"/>
  <c r="O17" i="10"/>
  <c r="X17" i="10" s="1"/>
  <c r="I17" i="10"/>
  <c r="Q17" i="10"/>
  <c r="Z17" i="10" s="1"/>
  <c r="E21" i="10"/>
  <c r="M21" i="10"/>
  <c r="V21" i="10" s="1"/>
  <c r="H21" i="10"/>
  <c r="P21" i="10"/>
  <c r="Y21" i="10" s="1"/>
  <c r="E17" i="10"/>
  <c r="M17" i="10"/>
  <c r="V17" i="10" s="1"/>
  <c r="N14" i="10"/>
  <c r="H17" i="10"/>
  <c r="P17" i="10"/>
  <c r="Y17" i="10" s="1"/>
  <c r="J57" i="10" l="1"/>
  <c r="S57" i="10" s="1"/>
  <c r="J58" i="10"/>
  <c r="S58" i="10" s="1"/>
  <c r="J56" i="10"/>
  <c r="S56" i="10" s="1"/>
  <c r="J54" i="10"/>
  <c r="S54" i="10" s="1"/>
  <c r="J55" i="10"/>
  <c r="S55" i="10" s="1"/>
  <c r="J59" i="10"/>
  <c r="S59" i="10" s="1"/>
  <c r="N59" i="10"/>
  <c r="W59" i="10" s="1"/>
  <c r="N57" i="10"/>
  <c r="W57" i="10" s="1"/>
  <c r="N55" i="10"/>
  <c r="W55" i="10" s="1"/>
  <c r="N56" i="10"/>
  <c r="W56" i="10" s="1"/>
  <c r="N58" i="10"/>
  <c r="W58" i="10" s="1"/>
  <c r="N54" i="10"/>
  <c r="W54" i="10" s="1"/>
  <c r="N53" i="10"/>
  <c r="W53" i="10" s="1"/>
  <c r="N40" i="10"/>
  <c r="W40" i="10" s="1"/>
  <c r="N39" i="10"/>
  <c r="W39" i="10" s="1"/>
  <c r="J39" i="10"/>
  <c r="S39" i="10" s="1"/>
  <c r="J40" i="10"/>
  <c r="S40" i="10" s="1"/>
  <c r="J53" i="10"/>
  <c r="S53" i="10" s="1"/>
  <c r="N38" i="10"/>
  <c r="W38" i="10" s="1"/>
  <c r="N41" i="10"/>
  <c r="W41" i="10" s="1"/>
  <c r="J38" i="10"/>
  <c r="S38" i="10" s="1"/>
  <c r="J41" i="10"/>
  <c r="S41" i="10" s="1"/>
  <c r="J20" i="10"/>
  <c r="S20" i="10" s="1"/>
  <c r="J18" i="10"/>
  <c r="S18" i="10" s="1"/>
  <c r="J19" i="10"/>
  <c r="S19" i="10" s="1"/>
  <c r="N19" i="10"/>
  <c r="W19" i="10" s="1"/>
  <c r="N18" i="10"/>
  <c r="W18" i="10" s="1"/>
  <c r="N20" i="10"/>
  <c r="W20" i="10" s="1"/>
  <c r="Z9" i="10"/>
  <c r="N28" i="10"/>
  <c r="W28" i="10" s="1"/>
  <c r="N29" i="10"/>
  <c r="W29" i="10" s="1"/>
  <c r="J28" i="10"/>
  <c r="S28" i="10" s="1"/>
  <c r="J29" i="10"/>
  <c r="S29" i="10" s="1"/>
  <c r="J21" i="10"/>
  <c r="S21" i="10" s="1"/>
  <c r="J17" i="10"/>
  <c r="S17" i="10" s="1"/>
  <c r="N21" i="10"/>
  <c r="W21" i="10" s="1"/>
  <c r="N17" i="10"/>
  <c r="W17" i="10" s="1"/>
  <c r="Z14" i="10" l="1"/>
  <c r="W23" i="8"/>
  <c r="V23" i="8"/>
  <c r="Z17" i="8"/>
  <c r="V17" i="8"/>
  <c r="Y37" i="8"/>
  <c r="X37" i="8"/>
  <c r="W37" i="8"/>
  <c r="V37" i="8"/>
  <c r="U37" i="8"/>
  <c r="T37" i="8"/>
  <c r="S37" i="8"/>
  <c r="Y34" i="8"/>
  <c r="X34" i="8"/>
  <c r="V34" i="8"/>
  <c r="U34" i="8"/>
  <c r="T34" i="8"/>
  <c r="S50" i="9"/>
  <c r="W45" i="8"/>
  <c r="S57" i="9"/>
  <c r="S54" i="8"/>
  <c r="S59" i="9"/>
  <c r="S60" i="9"/>
  <c r="W54" i="8"/>
  <c r="W53" i="8"/>
  <c r="W61" i="8"/>
  <c r="W70" i="8"/>
  <c r="S66" i="9"/>
  <c r="Q50" i="8"/>
  <c r="P50" i="8"/>
  <c r="O50" i="8"/>
  <c r="M50" i="8"/>
  <c r="L50" i="8"/>
  <c r="K50" i="8"/>
  <c r="I50" i="8"/>
  <c r="H50" i="8"/>
  <c r="G50" i="8"/>
  <c r="E50" i="8"/>
  <c r="D50" i="8"/>
  <c r="C50" i="8"/>
  <c r="N119" i="8"/>
  <c r="J119" i="8"/>
  <c r="N117" i="8"/>
  <c r="J117" i="8"/>
  <c r="N116" i="8"/>
  <c r="J116" i="8"/>
  <c r="N112" i="8"/>
  <c r="J112" i="8"/>
  <c r="T112" i="8" s="1"/>
  <c r="N110" i="8"/>
  <c r="J110" i="8"/>
  <c r="N109" i="8"/>
  <c r="N34" i="9" s="1"/>
  <c r="J109" i="8"/>
  <c r="J34" i="9" s="1"/>
  <c r="Y68" i="9"/>
  <c r="X68" i="9"/>
  <c r="V68" i="9"/>
  <c r="U68" i="9"/>
  <c r="T68" i="9"/>
  <c r="Y74" i="8"/>
  <c r="X74" i="8"/>
  <c r="V74" i="8"/>
  <c r="U74" i="8"/>
  <c r="T74" i="8"/>
  <c r="Y70" i="8"/>
  <c r="X70" i="8"/>
  <c r="V70" i="8"/>
  <c r="U70" i="8"/>
  <c r="T70" i="8"/>
  <c r="Y61" i="8"/>
  <c r="X61" i="8"/>
  <c r="Y54" i="8"/>
  <c r="X54" i="8"/>
  <c r="V54" i="8"/>
  <c r="U54" i="8"/>
  <c r="T54" i="8"/>
  <c r="Y53" i="8"/>
  <c r="X53" i="8"/>
  <c r="V53" i="8"/>
  <c r="U53" i="8"/>
  <c r="T53" i="8"/>
  <c r="Y45" i="8"/>
  <c r="X45" i="8"/>
  <c r="V45" i="8"/>
  <c r="U45" i="8"/>
  <c r="T45" i="8"/>
  <c r="Z60" i="9"/>
  <c r="Y60" i="9"/>
  <c r="X60" i="9"/>
  <c r="Z59" i="9"/>
  <c r="Y59" i="9"/>
  <c r="X59" i="9"/>
  <c r="V59" i="9"/>
  <c r="U59" i="9"/>
  <c r="T59" i="9"/>
  <c r="Z58" i="9"/>
  <c r="Y58" i="9"/>
  <c r="X58" i="9"/>
  <c r="V58" i="9"/>
  <c r="U58" i="9"/>
  <c r="T58" i="9"/>
  <c r="Z57" i="9"/>
  <c r="Y57" i="9"/>
  <c r="X57" i="9"/>
  <c r="V57" i="9"/>
  <c r="U57" i="9"/>
  <c r="T57" i="9"/>
  <c r="Y66" i="9"/>
  <c r="X66" i="9"/>
  <c r="V66" i="9"/>
  <c r="U66" i="9"/>
  <c r="T66" i="9"/>
  <c r="Y65" i="9"/>
  <c r="X65" i="9"/>
  <c r="V65" i="9"/>
  <c r="U65" i="9"/>
  <c r="T65" i="9"/>
  <c r="Z68" i="9"/>
  <c r="W68" i="9"/>
  <c r="S68" i="9"/>
  <c r="Q69" i="9"/>
  <c r="P69" i="9"/>
  <c r="O69" i="9"/>
  <c r="M69" i="9"/>
  <c r="L69" i="9"/>
  <c r="K69" i="9"/>
  <c r="I69" i="9"/>
  <c r="H69" i="9"/>
  <c r="G69" i="9"/>
  <c r="E69" i="9"/>
  <c r="D69" i="9"/>
  <c r="C69" i="9"/>
  <c r="Y51" i="9"/>
  <c r="X51" i="9"/>
  <c r="V51" i="9"/>
  <c r="U51" i="9"/>
  <c r="T51" i="9"/>
  <c r="Y50" i="9"/>
  <c r="X50" i="9"/>
  <c r="V50" i="9"/>
  <c r="U50" i="9"/>
  <c r="T50" i="9"/>
  <c r="N36" i="9"/>
  <c r="O36" i="9" s="1"/>
  <c r="P36" i="9" s="1"/>
  <c r="Q36" i="9" s="1"/>
  <c r="G36" i="9"/>
  <c r="N105" i="8"/>
  <c r="J105" i="8"/>
  <c r="U105" i="8" s="1"/>
  <c r="J134" i="8"/>
  <c r="J97" i="8"/>
  <c r="J30" i="9" s="1"/>
  <c r="V61" i="8"/>
  <c r="U60" i="9"/>
  <c r="T60" i="9"/>
  <c r="J135" i="8"/>
  <c r="N135" i="8"/>
  <c r="N134" i="8"/>
  <c r="N127" i="8"/>
  <c r="W127" i="8" s="1"/>
  <c r="X123" i="8" s="1"/>
  <c r="N126" i="8"/>
  <c r="W126" i="8" s="1"/>
  <c r="J127" i="8"/>
  <c r="S127" i="8" s="1"/>
  <c r="T123" i="8" s="1"/>
  <c r="J126" i="8"/>
  <c r="S126" i="8" s="1"/>
  <c r="Z74" i="8"/>
  <c r="Z70" i="8"/>
  <c r="Z61" i="8"/>
  <c r="Z54" i="8"/>
  <c r="Z53" i="8"/>
  <c r="Z45" i="8"/>
  <c r="S58" i="9"/>
  <c r="S70" i="8"/>
  <c r="W74" i="8"/>
  <c r="S74" i="8"/>
  <c r="S79" i="8" s="1"/>
  <c r="S82" i="8" s="1"/>
  <c r="Y30" i="8"/>
  <c r="S30" i="8"/>
  <c r="J34" i="8"/>
  <c r="S34" i="8" s="1"/>
  <c r="W65" i="9"/>
  <c r="S65" i="9"/>
  <c r="Z34" i="8"/>
  <c r="Z37" i="8"/>
  <c r="N34" i="8"/>
  <c r="W34" i="8" s="1"/>
  <c r="AB74" i="8" l="1"/>
  <c r="T69" i="9"/>
  <c r="U69" i="9"/>
  <c r="S69" i="9"/>
  <c r="Z23" i="8"/>
  <c r="T6" i="9"/>
  <c r="S6" i="9"/>
  <c r="U6" i="9"/>
  <c r="V6" i="9"/>
  <c r="X23" i="8"/>
  <c r="Y23" i="8"/>
  <c r="S23" i="8"/>
  <c r="T23" i="8"/>
  <c r="U23" i="8"/>
  <c r="V50" i="8"/>
  <c r="X50" i="8"/>
  <c r="Y50" i="8"/>
  <c r="Z50" i="8"/>
  <c r="N50" i="8"/>
  <c r="J50" i="8"/>
  <c r="S51" i="9"/>
  <c r="W50" i="8"/>
  <c r="N96" i="8"/>
  <c r="Z96" i="8" s="1"/>
  <c r="V15" i="9"/>
  <c r="U21" i="9"/>
  <c r="T15" i="9"/>
  <c r="U15" i="9"/>
  <c r="S105" i="8"/>
  <c r="V105" i="8"/>
  <c r="Y105" i="8"/>
  <c r="T43" i="9"/>
  <c r="S15" i="9"/>
  <c r="U43" i="9"/>
  <c r="V21" i="9"/>
  <c r="X21" i="9"/>
  <c r="W15" i="9"/>
  <c r="Y21" i="9"/>
  <c r="X15" i="9"/>
  <c r="W21" i="9"/>
  <c r="S21" i="9"/>
  <c r="Y15" i="9"/>
  <c r="S43" i="9"/>
  <c r="S116" i="8"/>
  <c r="U112" i="8"/>
  <c r="S61" i="8"/>
  <c r="T105" i="8"/>
  <c r="V112" i="8"/>
  <c r="T61" i="8"/>
  <c r="S97" i="8"/>
  <c r="W112" i="8"/>
  <c r="S45" i="8"/>
  <c r="U61" i="8"/>
  <c r="T97" i="8"/>
  <c r="X112" i="8"/>
  <c r="U97" i="8"/>
  <c r="W105" i="8"/>
  <c r="Y112" i="8"/>
  <c r="T116" i="8"/>
  <c r="V97" i="8"/>
  <c r="X105" i="8"/>
  <c r="U116" i="8"/>
  <c r="T21" i="9"/>
  <c r="S53" i="8"/>
  <c r="S112" i="8"/>
  <c r="V116" i="8"/>
  <c r="T30" i="8"/>
  <c r="U30" i="8"/>
  <c r="V30" i="8"/>
  <c r="W30" i="8"/>
  <c r="X30" i="8"/>
  <c r="S17" i="8"/>
  <c r="T17" i="8"/>
  <c r="AB54" i="8"/>
  <c r="AB70" i="8"/>
  <c r="U17" i="8"/>
  <c r="W17" i="8"/>
  <c r="X17" i="8"/>
  <c r="Y17" i="8"/>
  <c r="O113" i="8"/>
  <c r="V60" i="9"/>
  <c r="W57" i="9"/>
  <c r="W60" i="9"/>
  <c r="W66" i="9"/>
  <c r="W58" i="9"/>
  <c r="W59" i="9"/>
  <c r="X69" i="9"/>
  <c r="Z69" i="9"/>
  <c r="V69" i="9"/>
  <c r="J69" i="9"/>
  <c r="W69" i="9"/>
  <c r="Y69" i="9"/>
  <c r="N69" i="9"/>
  <c r="E113" i="8"/>
  <c r="V30" i="9"/>
  <c r="Y20" i="9"/>
  <c r="T42" i="9"/>
  <c r="W51" i="9"/>
  <c r="W50" i="9"/>
  <c r="S19" i="9"/>
  <c r="K113" i="8"/>
  <c r="S20" i="9"/>
  <c r="Y19" i="9"/>
  <c r="I36" i="9"/>
  <c r="H36" i="9"/>
  <c r="J36" i="9"/>
  <c r="K36" i="9"/>
  <c r="L36" i="9"/>
  <c r="M36" i="9"/>
  <c r="Z21" i="9"/>
  <c r="C113" i="8"/>
  <c r="G113" i="8"/>
  <c r="D113" i="8"/>
  <c r="Z105" i="8"/>
  <c r="V109" i="8"/>
  <c r="J95" i="8"/>
  <c r="Q113" i="8"/>
  <c r="N97" i="8"/>
  <c r="N30" i="9" s="1"/>
  <c r="W109" i="8"/>
  <c r="X110" i="8"/>
  <c r="N95" i="8"/>
  <c r="Z112" i="8"/>
  <c r="Z30" i="8"/>
  <c r="AB37" i="8"/>
  <c r="S95" i="8" l="1"/>
  <c r="J25" i="9"/>
  <c r="S25" i="9" s="1"/>
  <c r="W95" i="8"/>
  <c r="N25" i="9"/>
  <c r="AB23" i="8"/>
  <c r="V11" i="9"/>
  <c r="U11" i="9"/>
  <c r="T11" i="9"/>
  <c r="S11" i="9"/>
  <c r="W96" i="8"/>
  <c r="Y96" i="8"/>
  <c r="J96" i="8"/>
  <c r="V96" i="8" s="1"/>
  <c r="AB96" i="8" s="1"/>
  <c r="X96" i="8"/>
  <c r="AB105" i="8"/>
  <c r="U30" i="9"/>
  <c r="Y42" i="9"/>
  <c r="U44" i="9"/>
  <c r="S117" i="8"/>
  <c r="T20" i="9"/>
  <c r="Y110" i="8"/>
  <c r="T117" i="8"/>
  <c r="X109" i="8"/>
  <c r="X97" i="8"/>
  <c r="Y97" i="8"/>
  <c r="T44" i="9"/>
  <c r="W110" i="8"/>
  <c r="Y95" i="8"/>
  <c r="X20" i="9"/>
  <c r="W19" i="9"/>
  <c r="V42" i="9"/>
  <c r="U42" i="9"/>
  <c r="V117" i="8"/>
  <c r="S42" i="9"/>
  <c r="W20" i="9"/>
  <c r="S30" i="9"/>
  <c r="T30" i="9"/>
  <c r="U117" i="8"/>
  <c r="Y109" i="8"/>
  <c r="T109" i="8"/>
  <c r="X95" i="8"/>
  <c r="V95" i="8"/>
  <c r="T95" i="8"/>
  <c r="T19" i="9"/>
  <c r="V19" i="9"/>
  <c r="U19" i="9"/>
  <c r="U20" i="9"/>
  <c r="V20" i="9"/>
  <c r="W97" i="8"/>
  <c r="U109" i="8"/>
  <c r="U95" i="8"/>
  <c r="V26" i="9"/>
  <c r="X19" i="9"/>
  <c r="S109" i="8"/>
  <c r="W42" i="9"/>
  <c r="S44" i="9"/>
  <c r="X42" i="9"/>
  <c r="V44" i="9"/>
  <c r="AB21" i="9"/>
  <c r="AB112" i="8"/>
  <c r="Z20" i="9"/>
  <c r="Z95" i="8"/>
  <c r="Y25" i="9"/>
  <c r="I113" i="8"/>
  <c r="U110" i="8"/>
  <c r="Y26" i="9"/>
  <c r="Y41" i="9"/>
  <c r="H113" i="8"/>
  <c r="Z97" i="8"/>
  <c r="AB97" i="8" s="1"/>
  <c r="P113" i="8"/>
  <c r="Z110" i="8"/>
  <c r="M113" i="8"/>
  <c r="Z109" i="8"/>
  <c r="L113" i="8"/>
  <c r="AB30" i="8"/>
  <c r="Z66" i="9"/>
  <c r="Z65" i="9"/>
  <c r="Q123" i="8"/>
  <c r="M123" i="8"/>
  <c r="L123" i="8"/>
  <c r="J123" i="8"/>
  <c r="S123" i="8" s="1"/>
  <c r="I123" i="8"/>
  <c r="G120" i="8"/>
  <c r="H120" i="8"/>
  <c r="I120" i="8"/>
  <c r="H123" i="8"/>
  <c r="O123" i="8"/>
  <c r="K123" i="8"/>
  <c r="V16" i="9" l="1"/>
  <c r="V22" i="9" s="1"/>
  <c r="U16" i="9"/>
  <c r="U22" i="9" s="1"/>
  <c r="S16" i="9"/>
  <c r="S22" i="9" s="1"/>
  <c r="T16" i="9"/>
  <c r="T22" i="9" s="1"/>
  <c r="X6" i="9"/>
  <c r="W6" i="9"/>
  <c r="Y6" i="9"/>
  <c r="S96" i="8"/>
  <c r="T96" i="8"/>
  <c r="U96" i="8"/>
  <c r="T25" i="9"/>
  <c r="X25" i="9"/>
  <c r="AB20" i="9"/>
  <c r="W26" i="9"/>
  <c r="U26" i="9"/>
  <c r="W25" i="9"/>
  <c r="W117" i="8"/>
  <c r="J113" i="8"/>
  <c r="V110" i="8"/>
  <c r="AB110" i="8" s="1"/>
  <c r="T110" i="8"/>
  <c r="W41" i="9"/>
  <c r="W30" i="9"/>
  <c r="Y30" i="9"/>
  <c r="S26" i="9"/>
  <c r="Y117" i="8"/>
  <c r="X26" i="9"/>
  <c r="X116" i="8"/>
  <c r="Y116" i="8"/>
  <c r="W116" i="8"/>
  <c r="X41" i="9"/>
  <c r="X117" i="8"/>
  <c r="V119" i="8"/>
  <c r="T119" i="8"/>
  <c r="U119" i="8"/>
  <c r="S119" i="8"/>
  <c r="V25" i="9"/>
  <c r="U25" i="9"/>
  <c r="X30" i="9"/>
  <c r="Y119" i="8"/>
  <c r="W119" i="8"/>
  <c r="X119" i="8"/>
  <c r="V43" i="9"/>
  <c r="S110" i="8"/>
  <c r="Z43" i="9"/>
  <c r="T26" i="9"/>
  <c r="AB109" i="8"/>
  <c r="Z117" i="8"/>
  <c r="AB117" i="8" s="1"/>
  <c r="Z116" i="8"/>
  <c r="Z26" i="9"/>
  <c r="AB26" i="9" s="1"/>
  <c r="V41" i="9"/>
  <c r="N113" i="8"/>
  <c r="P123" i="8"/>
  <c r="S134" i="8"/>
  <c r="Z119" i="8"/>
  <c r="E11" i="9"/>
  <c r="E16" i="9" s="1"/>
  <c r="C11" i="9"/>
  <c r="C16" i="9" s="1"/>
  <c r="D11" i="9"/>
  <c r="D16" i="9" s="1"/>
  <c r="J11" i="9"/>
  <c r="J16" i="9" s="1"/>
  <c r="H11" i="9"/>
  <c r="H16" i="9" s="1"/>
  <c r="I11" i="9"/>
  <c r="I16" i="9" s="1"/>
  <c r="G11" i="9"/>
  <c r="G16" i="9" s="1"/>
  <c r="P11" i="9"/>
  <c r="P16" i="9" s="1"/>
  <c r="O11" i="9"/>
  <c r="O16" i="9" s="1"/>
  <c r="Q11" i="9"/>
  <c r="Q16" i="9" s="1"/>
  <c r="M11" i="9"/>
  <c r="M16" i="9" s="1"/>
  <c r="L11" i="9"/>
  <c r="L16" i="9" s="1"/>
  <c r="K11" i="9"/>
  <c r="K16" i="9" s="1"/>
  <c r="D123" i="8"/>
  <c r="E123" i="8"/>
  <c r="N123" i="8"/>
  <c r="Z15" i="9"/>
  <c r="G123" i="8" l="1"/>
  <c r="S27" i="9"/>
  <c r="S31" i="9" s="1"/>
  <c r="X11" i="9"/>
  <c r="X16" i="9" s="1"/>
  <c r="X22" i="9" s="1"/>
  <c r="X27" i="9" s="1"/>
  <c r="X31" i="9" s="1"/>
  <c r="Y11" i="9"/>
  <c r="Y16" i="9" s="1"/>
  <c r="Y22" i="9" s="1"/>
  <c r="Y27" i="9" s="1"/>
  <c r="Y31" i="9" s="1"/>
  <c r="T27" i="9"/>
  <c r="T31" i="9" s="1"/>
  <c r="V27" i="9"/>
  <c r="V31" i="9" s="1"/>
  <c r="U27" i="9"/>
  <c r="U31" i="9" s="1"/>
  <c r="W43" i="9"/>
  <c r="S41" i="9"/>
  <c r="U41" i="9"/>
  <c r="X43" i="9"/>
  <c r="AB119" i="8"/>
  <c r="Y44" i="9"/>
  <c r="X44" i="9"/>
  <c r="W44" i="9"/>
  <c r="Y43" i="9"/>
  <c r="T41" i="9"/>
  <c r="N11" i="9"/>
  <c r="N16" i="9" s="1"/>
  <c r="Z44" i="9"/>
  <c r="X134" i="8"/>
  <c r="Y134" i="8"/>
  <c r="V134" i="8"/>
  <c r="U134" i="8"/>
  <c r="T134" i="8"/>
  <c r="Z134" i="8"/>
  <c r="W134" i="8"/>
  <c r="AB15" i="9"/>
  <c r="W11" i="9" l="1"/>
  <c r="W16" i="9" s="1"/>
  <c r="W22" i="9" s="1"/>
  <c r="W27" i="9" s="1"/>
  <c r="W31" i="9" s="1"/>
  <c r="Z51" i="9" l="1"/>
  <c r="N8" i="8"/>
  <c r="N4" i="10" s="1"/>
  <c r="W4" i="10" s="1"/>
  <c r="J8" i="8"/>
  <c r="J4" i="10" s="1"/>
  <c r="S4" i="10" s="1"/>
  <c r="D52" i="9" l="1"/>
  <c r="P52" i="9"/>
  <c r="C52" i="9"/>
  <c r="I52" i="9"/>
  <c r="E52" i="9"/>
  <c r="M52" i="9"/>
  <c r="H52" i="9"/>
  <c r="G52" i="9"/>
  <c r="K52" i="9"/>
  <c r="L52" i="9"/>
  <c r="O52" i="9"/>
  <c r="Q52" i="9"/>
  <c r="B2" i="9" l="1"/>
  <c r="Q67" i="8"/>
  <c r="P67" i="8"/>
  <c r="Y61" i="9" s="1"/>
  <c r="O67" i="8"/>
  <c r="X61" i="9" s="1"/>
  <c r="M67" i="8"/>
  <c r="V61" i="9" s="1"/>
  <c r="L67" i="8"/>
  <c r="U61" i="9" s="1"/>
  <c r="K67" i="8"/>
  <c r="T61" i="9" s="1"/>
  <c r="I67" i="8"/>
  <c r="H67" i="8"/>
  <c r="G67" i="8"/>
  <c r="D67" i="8"/>
  <c r="C67" i="8"/>
  <c r="Z50" i="9"/>
  <c r="Z52" i="9" s="1"/>
  <c r="Q4" i="9"/>
  <c r="Z4" i="9" s="1"/>
  <c r="Q3" i="9"/>
  <c r="Z3" i="9" s="1"/>
  <c r="Z8" i="8"/>
  <c r="Z89" i="8" s="1"/>
  <c r="Z7" i="8"/>
  <c r="Z88" i="8" s="1"/>
  <c r="Q89" i="8"/>
  <c r="Q88" i="8"/>
  <c r="Q79" i="8"/>
  <c r="Q82" i="8" s="1"/>
  <c r="Q42" i="8"/>
  <c r="Q41" i="8"/>
  <c r="Q11" i="8"/>
  <c r="O120" i="8"/>
  <c r="E120" i="8"/>
  <c r="D120" i="8"/>
  <c r="C120" i="8"/>
  <c r="Y52" i="9"/>
  <c r="X52" i="9"/>
  <c r="V52" i="9"/>
  <c r="P4" i="9"/>
  <c r="Y4" i="9" s="1"/>
  <c r="O4" i="9"/>
  <c r="X4" i="9" s="1"/>
  <c r="N4" i="9"/>
  <c r="W4" i="9" s="1"/>
  <c r="M4" i="9"/>
  <c r="V4" i="9" s="1"/>
  <c r="L4" i="9"/>
  <c r="U4" i="9" s="1"/>
  <c r="K4" i="9"/>
  <c r="T4" i="9" s="1"/>
  <c r="J4" i="9"/>
  <c r="S4" i="9" s="1"/>
  <c r="I4" i="9"/>
  <c r="H4" i="9"/>
  <c r="G4" i="9"/>
  <c r="P3" i="9"/>
  <c r="Y3" i="9" s="1"/>
  <c r="O3" i="9"/>
  <c r="X3" i="9" s="1"/>
  <c r="N3" i="9"/>
  <c r="W3" i="9" s="1"/>
  <c r="M3" i="9"/>
  <c r="V3" i="9" s="1"/>
  <c r="L3" i="9"/>
  <c r="U3" i="9" s="1"/>
  <c r="K3" i="9"/>
  <c r="T3" i="9" s="1"/>
  <c r="J3" i="9"/>
  <c r="S3" i="9" s="1"/>
  <c r="I3" i="9"/>
  <c r="H3" i="9"/>
  <c r="G3" i="9"/>
  <c r="E4" i="9"/>
  <c r="D4" i="9"/>
  <c r="C4" i="9"/>
  <c r="E3" i="9"/>
  <c r="D3" i="9"/>
  <c r="C3" i="9"/>
  <c r="I79" i="8"/>
  <c r="I82" i="8" s="1"/>
  <c r="P89" i="8"/>
  <c r="O89" i="8"/>
  <c r="N89" i="8"/>
  <c r="M89" i="8"/>
  <c r="L89" i="8"/>
  <c r="K89" i="8"/>
  <c r="J89" i="8"/>
  <c r="I89" i="8"/>
  <c r="H89" i="8"/>
  <c r="G89" i="8"/>
  <c r="P88" i="8"/>
  <c r="O88" i="8"/>
  <c r="N88" i="8"/>
  <c r="M88" i="8"/>
  <c r="L88" i="8"/>
  <c r="K88" i="8"/>
  <c r="J88" i="8"/>
  <c r="I88" i="8"/>
  <c r="H88" i="8"/>
  <c r="G88" i="8"/>
  <c r="M79" i="8"/>
  <c r="M82" i="8" s="1"/>
  <c r="L79" i="8"/>
  <c r="L82" i="8" s="1"/>
  <c r="K79" i="8"/>
  <c r="K82" i="8" s="1"/>
  <c r="H79" i="8"/>
  <c r="H82" i="8" s="1"/>
  <c r="G79" i="8"/>
  <c r="G82" i="8" s="1"/>
  <c r="P42" i="8"/>
  <c r="O42" i="8"/>
  <c r="N42" i="8"/>
  <c r="M42" i="8"/>
  <c r="L42" i="8"/>
  <c r="K42" i="8"/>
  <c r="J42" i="8"/>
  <c r="I42" i="8"/>
  <c r="H42" i="8"/>
  <c r="G42" i="8"/>
  <c r="P41" i="8"/>
  <c r="O41" i="8"/>
  <c r="N41" i="8"/>
  <c r="M41" i="8"/>
  <c r="L41" i="8"/>
  <c r="K41" i="8"/>
  <c r="J41" i="8"/>
  <c r="I41" i="8"/>
  <c r="H41" i="8"/>
  <c r="G41" i="8"/>
  <c r="E42" i="8"/>
  <c r="D42" i="8"/>
  <c r="C42" i="8"/>
  <c r="E41" i="8"/>
  <c r="D41" i="8"/>
  <c r="C41" i="8"/>
  <c r="L11" i="8"/>
  <c r="K11" i="8"/>
  <c r="I11" i="8"/>
  <c r="H11" i="8"/>
  <c r="G11" i="8"/>
  <c r="P11" i="8"/>
  <c r="T8" i="8"/>
  <c r="S8" i="8"/>
  <c r="T7" i="8"/>
  <c r="S7" i="8"/>
  <c r="X8" i="8"/>
  <c r="W8" i="8"/>
  <c r="V8" i="8"/>
  <c r="U8" i="8"/>
  <c r="X7" i="8"/>
  <c r="W7" i="8"/>
  <c r="V7" i="8"/>
  <c r="U7" i="8"/>
  <c r="Y8" i="8"/>
  <c r="Y7" i="8"/>
  <c r="Q71" i="9" l="1"/>
  <c r="Z71" i="9" s="1"/>
  <c r="G71" i="9"/>
  <c r="H71" i="9"/>
  <c r="I71" i="9"/>
  <c r="M71" i="9"/>
  <c r="V71" i="9" s="1"/>
  <c r="K71" i="9"/>
  <c r="T71" i="9" s="1"/>
  <c r="L71" i="9"/>
  <c r="U71" i="9" s="1"/>
  <c r="H14" i="8"/>
  <c r="P14" i="8"/>
  <c r="L14" i="8"/>
  <c r="I14" i="8"/>
  <c r="G14" i="8"/>
  <c r="K14" i="8"/>
  <c r="Q14" i="8"/>
  <c r="I15" i="10"/>
  <c r="G15" i="10"/>
  <c r="H15" i="10"/>
  <c r="K15" i="10"/>
  <c r="Q15" i="10"/>
  <c r="L15" i="10"/>
  <c r="P15" i="10"/>
  <c r="S10" i="8"/>
  <c r="U10" i="8"/>
  <c r="V10" i="8"/>
  <c r="T10" i="8"/>
  <c r="Y10" i="8"/>
  <c r="X10" i="8"/>
  <c r="W10" i="8"/>
  <c r="AB45" i="8"/>
  <c r="AB53" i="8"/>
  <c r="AB61" i="8"/>
  <c r="Q72" i="8"/>
  <c r="X135" i="8"/>
  <c r="J52" i="9"/>
  <c r="I58" i="8"/>
  <c r="X67" i="8"/>
  <c r="Y67" i="8"/>
  <c r="Z67" i="8"/>
  <c r="V67" i="8"/>
  <c r="J67" i="8"/>
  <c r="S61" i="9" s="1"/>
  <c r="N67" i="8"/>
  <c r="W61" i="9" s="1"/>
  <c r="I72" i="8"/>
  <c r="Z79" i="8"/>
  <c r="Z82" i="8" s="1"/>
  <c r="Z10" i="8"/>
  <c r="H72" i="8"/>
  <c r="Z41" i="8"/>
  <c r="Z42" i="8"/>
  <c r="G72" i="8"/>
  <c r="H58" i="8"/>
  <c r="P120" i="8"/>
  <c r="K120" i="8"/>
  <c r="L120" i="8"/>
  <c r="P58" i="8"/>
  <c r="M58" i="8"/>
  <c r="G58" i="8"/>
  <c r="L58" i="8"/>
  <c r="K58" i="8"/>
  <c r="E72" i="8"/>
  <c r="V135" i="8"/>
  <c r="U52" i="9"/>
  <c r="T52" i="9"/>
  <c r="W135" i="8"/>
  <c r="T135" i="8"/>
  <c r="U135" i="8"/>
  <c r="S135" i="8"/>
  <c r="J11" i="8"/>
  <c r="J79" i="8"/>
  <c r="J82" i="8" s="1"/>
  <c r="J58" i="8"/>
  <c r="N58" i="8"/>
  <c r="I83" i="8" l="1"/>
  <c r="I85" i="8" s="1"/>
  <c r="H83" i="8"/>
  <c r="H85" i="8" s="1"/>
  <c r="G83" i="8"/>
  <c r="G85" i="8" s="1"/>
  <c r="Q83" i="8"/>
  <c r="J71" i="9"/>
  <c r="S71" i="9" s="1"/>
  <c r="S72" i="9" s="1"/>
  <c r="S81" i="9" s="1"/>
  <c r="K15" i="8"/>
  <c r="K20" i="8"/>
  <c r="K27" i="8" s="1"/>
  <c r="G15" i="8"/>
  <c r="G20" i="8"/>
  <c r="G27" i="8" s="1"/>
  <c r="I15" i="8"/>
  <c r="I20" i="8"/>
  <c r="I27" i="8" s="1"/>
  <c r="L15" i="8"/>
  <c r="L20" i="8"/>
  <c r="P15" i="8"/>
  <c r="P20" i="8"/>
  <c r="P27" i="8" s="1"/>
  <c r="Q15" i="8"/>
  <c r="Q20" i="8"/>
  <c r="H15" i="8"/>
  <c r="H20" i="8"/>
  <c r="H27" i="8" s="1"/>
  <c r="J14" i="8"/>
  <c r="J15" i="10"/>
  <c r="Z62" i="9"/>
  <c r="W67" i="8"/>
  <c r="AB17" i="8"/>
  <c r="AB116" i="8"/>
  <c r="Z58" i="8"/>
  <c r="Z72" i="8"/>
  <c r="Z83" i="8" s="1"/>
  <c r="AB67" i="8"/>
  <c r="Z11" i="8"/>
  <c r="X15" i="10" s="1"/>
  <c r="AB10" i="8"/>
  <c r="N52" i="9"/>
  <c r="W52" i="9"/>
  <c r="U72" i="9"/>
  <c r="U81" i="9" s="1"/>
  <c r="T72" i="9"/>
  <c r="T81" i="9" s="1"/>
  <c r="Q72" i="9"/>
  <c r="Q81" i="9" s="1"/>
  <c r="Z36" i="9"/>
  <c r="V36" i="9"/>
  <c r="V72" i="9"/>
  <c r="V81" i="9" s="1"/>
  <c r="Z72" i="9"/>
  <c r="Z81" i="9" s="1"/>
  <c r="Z19" i="9"/>
  <c r="Q58" i="8"/>
  <c r="Z61" i="9"/>
  <c r="Z34" i="9"/>
  <c r="Q120" i="8"/>
  <c r="M120" i="8"/>
  <c r="Z41" i="9"/>
  <c r="S52" i="9"/>
  <c r="L72" i="8"/>
  <c r="U62" i="9" s="1"/>
  <c r="K72" i="8"/>
  <c r="T62" i="9" s="1"/>
  <c r="J72" i="8"/>
  <c r="S62" i="9" s="1"/>
  <c r="M72" i="8"/>
  <c r="V62" i="9" s="1"/>
  <c r="T35" i="9"/>
  <c r="W35" i="9"/>
  <c r="X34" i="9"/>
  <c r="Z38" i="9"/>
  <c r="U35" i="9"/>
  <c r="Y34" i="9"/>
  <c r="V35" i="9"/>
  <c r="W34" i="9"/>
  <c r="S35" i="9"/>
  <c r="Z85" i="8" l="1"/>
  <c r="J83" i="8"/>
  <c r="J85" i="8" s="1"/>
  <c r="M83" i="8"/>
  <c r="M85" i="8" s="1"/>
  <c r="K83" i="8"/>
  <c r="K85" i="8" s="1"/>
  <c r="L83" i="8"/>
  <c r="L85" i="8" s="1"/>
  <c r="Q27" i="8"/>
  <c r="Q31" i="8" s="1"/>
  <c r="L27" i="8"/>
  <c r="L31" i="8" s="1"/>
  <c r="K21" i="8"/>
  <c r="Q21" i="8"/>
  <c r="J15" i="8"/>
  <c r="J20" i="8"/>
  <c r="L21" i="8"/>
  <c r="Z14" i="8"/>
  <c r="Z20" i="8" s="1"/>
  <c r="AB19" i="9"/>
  <c r="K31" i="8"/>
  <c r="K92" i="8" s="1"/>
  <c r="H31" i="8"/>
  <c r="H92" i="8" s="1"/>
  <c r="I28" i="8"/>
  <c r="I21" i="8"/>
  <c r="H21" i="8"/>
  <c r="Q85" i="8"/>
  <c r="Q22" i="9"/>
  <c r="Q27" i="9" s="1"/>
  <c r="Q31" i="9" s="1"/>
  <c r="G31" i="8"/>
  <c r="G92" i="8" s="1"/>
  <c r="G21" i="8"/>
  <c r="X36" i="9"/>
  <c r="Y36" i="9"/>
  <c r="W36" i="9"/>
  <c r="AB36" i="9"/>
  <c r="T36" i="9"/>
  <c r="U36" i="9"/>
  <c r="S36" i="9"/>
  <c r="Y35" i="9"/>
  <c r="Y135" i="8"/>
  <c r="X35" i="9"/>
  <c r="W113" i="8"/>
  <c r="Y113" i="8"/>
  <c r="X113" i="8"/>
  <c r="Z113" i="8"/>
  <c r="Y38" i="9"/>
  <c r="Y120" i="8"/>
  <c r="Z120" i="8"/>
  <c r="U113" i="8"/>
  <c r="W120" i="8"/>
  <c r="U120" i="8"/>
  <c r="X120" i="8"/>
  <c r="N120" i="8"/>
  <c r="X38" i="9"/>
  <c r="AB95" i="8"/>
  <c r="W38" i="9"/>
  <c r="V113" i="8"/>
  <c r="T113" i="8"/>
  <c r="S113" i="8"/>
  <c r="U34" i="9"/>
  <c r="T34" i="9"/>
  <c r="V34" i="9"/>
  <c r="S34" i="9"/>
  <c r="V38" i="9"/>
  <c r="AB38" i="9" s="1"/>
  <c r="S38" i="9"/>
  <c r="T38" i="9"/>
  <c r="U38" i="9"/>
  <c r="K28" i="8"/>
  <c r="Q28" i="8" l="1"/>
  <c r="L28" i="8"/>
  <c r="L92" i="8"/>
  <c r="L38" i="8"/>
  <c r="L35" i="8"/>
  <c r="Q92" i="8"/>
  <c r="Q106" i="8" s="1"/>
  <c r="Q128" i="8" s="1"/>
  <c r="Z128" i="8" s="1"/>
  <c r="Q38" i="8"/>
  <c r="Q35" i="8"/>
  <c r="J27" i="8"/>
  <c r="J28" i="8" s="1"/>
  <c r="Z27" i="8"/>
  <c r="Z28" i="8" s="1"/>
  <c r="J21" i="8"/>
  <c r="Z15" i="8"/>
  <c r="K35" i="8"/>
  <c r="K38" i="8"/>
  <c r="G38" i="8"/>
  <c r="G35" i="8"/>
  <c r="H35" i="8"/>
  <c r="H38" i="8"/>
  <c r="L106" i="8"/>
  <c r="L128" i="8" s="1"/>
  <c r="U128" i="8" s="1"/>
  <c r="W39" i="9"/>
  <c r="X39" i="9"/>
  <c r="Y39" i="9"/>
  <c r="S39" i="9"/>
  <c r="AB34" i="9"/>
  <c r="V39" i="9"/>
  <c r="T39" i="9"/>
  <c r="U39" i="9"/>
  <c r="I31" i="8"/>
  <c r="I92" i="8" s="1"/>
  <c r="H28" i="8"/>
  <c r="Q32" i="8"/>
  <c r="Q17" i="9"/>
  <c r="Q23" i="9"/>
  <c r="G28" i="8"/>
  <c r="AB34" i="8"/>
  <c r="AB113" i="8"/>
  <c r="Z35" i="9"/>
  <c r="AB35" i="9" s="1"/>
  <c r="Z135" i="8"/>
  <c r="Z30" i="9"/>
  <c r="AB30" i="9" s="1"/>
  <c r="Z25" i="9"/>
  <c r="Z42" i="9"/>
  <c r="Q28" i="9"/>
  <c r="H32" i="8"/>
  <c r="S120" i="8"/>
  <c r="J120" i="8"/>
  <c r="V120" i="8"/>
  <c r="AB120" i="8" s="1"/>
  <c r="T120" i="8"/>
  <c r="L32" i="8"/>
  <c r="K32" i="8"/>
  <c r="J31" i="8" l="1"/>
  <c r="J32" i="8" s="1"/>
  <c r="I38" i="8"/>
  <c r="I35" i="8"/>
  <c r="G106" i="8"/>
  <c r="G128" i="8" s="1"/>
  <c r="K106" i="8"/>
  <c r="K128" i="8" s="1"/>
  <c r="T128" i="8" s="1"/>
  <c r="H106" i="8"/>
  <c r="H128" i="8" s="1"/>
  <c r="I32" i="8"/>
  <c r="Z21" i="8"/>
  <c r="Z31" i="8"/>
  <c r="AB25" i="9"/>
  <c r="Z6" i="9"/>
  <c r="Z11" i="9" s="1"/>
  <c r="Z16" i="9" s="1"/>
  <c r="Z22" i="9" s="1"/>
  <c r="Z27" i="9" s="1"/>
  <c r="Z31" i="9" s="1"/>
  <c r="Z39" i="9" s="1"/>
  <c r="G32" i="8"/>
  <c r="U17" i="9"/>
  <c r="Q32" i="9"/>
  <c r="Q39" i="9"/>
  <c r="Q45" i="9" s="1"/>
  <c r="J92" i="8" l="1"/>
  <c r="J106" i="8" s="1"/>
  <c r="J128" i="8" s="1"/>
  <c r="S128" i="8" s="1"/>
  <c r="J38" i="8"/>
  <c r="J35" i="8"/>
  <c r="Z92" i="8"/>
  <c r="Z32" i="8"/>
  <c r="Z38" i="8"/>
  <c r="Z35" i="8"/>
  <c r="I106" i="8"/>
  <c r="I128" i="8" s="1"/>
  <c r="T17" i="9"/>
  <c r="V23" i="9"/>
  <c r="V17" i="9"/>
  <c r="S17" i="9"/>
  <c r="U23" i="9"/>
  <c r="S23" i="9"/>
  <c r="X12" i="9"/>
  <c r="AB6" i="9"/>
  <c r="Q46" i="9"/>
  <c r="S28" i="9"/>
  <c r="T79" i="9" l="1" a="1"/>
  <c r="T79" i="9" s="1"/>
  <c r="U78" i="9"/>
  <c r="T23" i="9"/>
  <c r="W12" i="9"/>
  <c r="X17" i="9"/>
  <c r="W17" i="9"/>
  <c r="AB11" i="9"/>
  <c r="Z12" i="9"/>
  <c r="AB12" i="9" s="1"/>
  <c r="T28" i="9"/>
  <c r="U28" i="9"/>
  <c r="X23" i="9"/>
  <c r="S80" i="9" a="1"/>
  <c r="S80" i="9" s="1"/>
  <c r="S78" i="9"/>
  <c r="S79" i="9" a="1"/>
  <c r="S79" i="9" s="1"/>
  <c r="S77" i="9"/>
  <c r="S32" i="9"/>
  <c r="S76" i="9"/>
  <c r="B89" i="8"/>
  <c r="B88" i="8"/>
  <c r="E89" i="8"/>
  <c r="D89" i="8"/>
  <c r="C89" i="8"/>
  <c r="E88" i="8"/>
  <c r="D88" i="8"/>
  <c r="C88" i="8"/>
  <c r="B42" i="8"/>
  <c r="B41" i="8"/>
  <c r="Y42" i="8"/>
  <c r="X42" i="8"/>
  <c r="W42" i="8"/>
  <c r="U42" i="8"/>
  <c r="T42" i="8"/>
  <c r="S42" i="8"/>
  <c r="V42" i="8"/>
  <c r="Y41" i="8"/>
  <c r="X41" i="8"/>
  <c r="W41" i="8"/>
  <c r="V41" i="8"/>
  <c r="U41" i="8"/>
  <c r="T41" i="8"/>
  <c r="S41" i="8"/>
  <c r="U80" i="9" l="1" a="1"/>
  <c r="U80" i="9" s="1"/>
  <c r="T77" i="9"/>
  <c r="U32" i="9"/>
  <c r="U76" i="9"/>
  <c r="U79" i="9" a="1"/>
  <c r="U79" i="9" s="1"/>
  <c r="T80" i="9" a="1"/>
  <c r="T80" i="9" s="1"/>
  <c r="U77" i="9"/>
  <c r="T78" i="9"/>
  <c r="T32" i="9"/>
  <c r="T76" i="9"/>
  <c r="V76" i="9"/>
  <c r="V28" i="9"/>
  <c r="Z17" i="9"/>
  <c r="AB17" i="9" s="1"/>
  <c r="AB16" i="9"/>
  <c r="W23" i="9"/>
  <c r="X28" i="9"/>
  <c r="S88" i="8"/>
  <c r="S89" i="8"/>
  <c r="V88" i="8"/>
  <c r="W88" i="8"/>
  <c r="W89" i="8"/>
  <c r="X89" i="8"/>
  <c r="U88" i="8"/>
  <c r="X88" i="8"/>
  <c r="U89" i="8"/>
  <c r="T89" i="8"/>
  <c r="Y88" i="8"/>
  <c r="V89" i="8"/>
  <c r="T88" i="8"/>
  <c r="Y89" i="8"/>
  <c r="V80" i="9" l="1" a="1"/>
  <c r="V80" i="9" s="1"/>
  <c r="V79" i="9" a="1"/>
  <c r="V79" i="9" s="1"/>
  <c r="V32" i="9"/>
  <c r="V77" i="9"/>
  <c r="V78" i="9"/>
  <c r="W28" i="9"/>
  <c r="Z23" i="9"/>
  <c r="AB23" i="9" s="1"/>
  <c r="AB22" i="9"/>
  <c r="X78" i="9"/>
  <c r="X32" i="9"/>
  <c r="X80" i="9" a="1"/>
  <c r="X80" i="9" s="1"/>
  <c r="X79" i="9" a="1"/>
  <c r="X79" i="9" s="1"/>
  <c r="X76" i="9"/>
  <c r="X77" i="9"/>
  <c r="AB27" i="9" l="1"/>
  <c r="Z28" i="9"/>
  <c r="AB28" i="9" s="1"/>
  <c r="W78" i="9"/>
  <c r="W77" i="9"/>
  <c r="W79" i="9" a="1"/>
  <c r="W79" i="9" s="1"/>
  <c r="W32" i="9"/>
  <c r="W80" i="9" a="1"/>
  <c r="W80" i="9" s="1"/>
  <c r="W76" i="9"/>
  <c r="Z78" i="9" l="1"/>
  <c r="AB31" i="9"/>
  <c r="Z79" i="9" a="1"/>
  <c r="Z79" i="9" s="1"/>
  <c r="Z32" i="9"/>
  <c r="AB32" i="9" s="1"/>
  <c r="Z77" i="9"/>
  <c r="Z76" i="9"/>
  <c r="Z80" i="9" a="1"/>
  <c r="Z80" i="9" s="1"/>
  <c r="AB39" i="9"/>
  <c r="N79" i="8" l="1"/>
  <c r="N82" i="8" s="1"/>
  <c r="P79" i="8"/>
  <c r="P82" i="8" s="1"/>
  <c r="P71" i="9" l="1"/>
  <c r="Y71" i="9" s="1"/>
  <c r="N71" i="9"/>
  <c r="W71" i="9" s="1"/>
  <c r="W72" i="9" s="1"/>
  <c r="W81" i="9" s="1"/>
  <c r="O58" i="8"/>
  <c r="O79" i="8"/>
  <c r="O82" i="8" s="1"/>
  <c r="O71" i="9" l="1"/>
  <c r="X71" i="9" s="1"/>
  <c r="X72" i="9" s="1"/>
  <c r="X81" i="9" s="1"/>
  <c r="Q12" i="9"/>
  <c r="Q13" i="9"/>
  <c r="Y72" i="9"/>
  <c r="Y81" i="9" s="1"/>
  <c r="T11" i="8" l="1"/>
  <c r="D58" i="8"/>
  <c r="C58" i="8"/>
  <c r="E58" i="8"/>
  <c r="T14" i="8" l="1"/>
  <c r="U11" i="8"/>
  <c r="S15" i="10" s="1"/>
  <c r="U50" i="8"/>
  <c r="U58" i="8" s="1"/>
  <c r="U79" i="8"/>
  <c r="U82" i="8" s="1"/>
  <c r="S50" i="8"/>
  <c r="S58" i="8" s="1"/>
  <c r="U67" i="8"/>
  <c r="U72" i="8" s="1"/>
  <c r="T67" i="8"/>
  <c r="T72" i="8" s="1"/>
  <c r="T50" i="8"/>
  <c r="T58" i="8" s="1"/>
  <c r="S11" i="8"/>
  <c r="S67" i="8"/>
  <c r="S72" i="8" s="1"/>
  <c r="S83" i="8" s="1"/>
  <c r="T79" i="8"/>
  <c r="T82" i="8" s="1"/>
  <c r="W79" i="8"/>
  <c r="W82" i="8" s="1"/>
  <c r="W58" i="8"/>
  <c r="X79" i="8"/>
  <c r="X82" i="8" s="1"/>
  <c r="X83" i="8" s="1"/>
  <c r="W11" i="8"/>
  <c r="U15" i="10" s="1"/>
  <c r="W72" i="8"/>
  <c r="X72" i="8"/>
  <c r="V11" i="8"/>
  <c r="T15" i="10" s="1"/>
  <c r="X11" i="8"/>
  <c r="V15" i="10" s="1"/>
  <c r="X58" i="8"/>
  <c r="X85" i="8" l="1"/>
  <c r="U83" i="8"/>
  <c r="U85" i="8" s="1"/>
  <c r="T83" i="8"/>
  <c r="T85" i="8" s="1"/>
  <c r="W83" i="8"/>
  <c r="W85" i="8" s="1"/>
  <c r="S85" i="8"/>
  <c r="T15" i="8"/>
  <c r="T20" i="8"/>
  <c r="W14" i="8"/>
  <c r="X14" i="8"/>
  <c r="V14" i="8"/>
  <c r="V20" i="8" s="1"/>
  <c r="S14" i="8"/>
  <c r="U14" i="8"/>
  <c r="AB11" i="8"/>
  <c r="Z15" i="10" s="1"/>
  <c r="V27" i="8" l="1"/>
  <c r="V28" i="8" s="1"/>
  <c r="T27" i="8"/>
  <c r="T28" i="8" s="1"/>
  <c r="U15" i="8"/>
  <c r="U20" i="8"/>
  <c r="W15" i="8"/>
  <c r="W20" i="8"/>
  <c r="S15" i="8"/>
  <c r="S20" i="8"/>
  <c r="X15" i="8"/>
  <c r="X20" i="8"/>
  <c r="V15" i="8"/>
  <c r="AB15" i="8" s="1"/>
  <c r="AB14" i="8"/>
  <c r="T21" i="8"/>
  <c r="Y17" i="9"/>
  <c r="W27" i="8" l="1"/>
  <c r="W28" i="8" s="1"/>
  <c r="U27" i="8"/>
  <c r="U28" i="8" s="1"/>
  <c r="S27" i="8"/>
  <c r="S28" i="8" s="1"/>
  <c r="X27" i="8"/>
  <c r="X31" i="8" s="1"/>
  <c r="S21" i="8"/>
  <c r="T31" i="8"/>
  <c r="X21" i="8"/>
  <c r="V31" i="8"/>
  <c r="AB20" i="8"/>
  <c r="W21" i="8"/>
  <c r="V21" i="8"/>
  <c r="AB21" i="8" s="1"/>
  <c r="U21" i="8"/>
  <c r="Y78" i="9"/>
  <c r="Y23" i="9"/>
  <c r="W31" i="8" l="1"/>
  <c r="W32" i="8" s="1"/>
  <c r="X28" i="8"/>
  <c r="V92" i="8"/>
  <c r="V32" i="8"/>
  <c r="X92" i="8"/>
  <c r="X32" i="8"/>
  <c r="T92" i="8"/>
  <c r="T32" i="8"/>
  <c r="V35" i="8"/>
  <c r="V38" i="8"/>
  <c r="X38" i="8"/>
  <c r="X35" i="8"/>
  <c r="T38" i="8"/>
  <c r="T35" i="8"/>
  <c r="S31" i="8"/>
  <c r="U31" i="8"/>
  <c r="AB28" i="8"/>
  <c r="AB27" i="8"/>
  <c r="Y28" i="9"/>
  <c r="W92" i="8" l="1"/>
  <c r="W38" i="8"/>
  <c r="W35" i="8"/>
  <c r="U92" i="8"/>
  <c r="U32" i="8"/>
  <c r="S92" i="8"/>
  <c r="S32" i="8"/>
  <c r="U35" i="8"/>
  <c r="U38" i="8"/>
  <c r="S35" i="8"/>
  <c r="S38" i="8"/>
  <c r="AB38" i="8"/>
  <c r="AB35" i="8"/>
  <c r="AB31" i="8"/>
  <c r="AB32" i="8"/>
  <c r="Y80" i="9" a="1"/>
  <c r="Y80" i="9" s="1"/>
  <c r="Y32" i="9"/>
  <c r="Y79" i="9" a="1"/>
  <c r="Y79" i="9" s="1"/>
  <c r="Y76" i="9"/>
  <c r="Y77" i="9"/>
  <c r="V72" i="8" l="1"/>
  <c r="AB72" i="8" s="1"/>
  <c r="M11" i="8" l="1"/>
  <c r="E11" i="8"/>
  <c r="D11" i="8"/>
  <c r="C11" i="8"/>
  <c r="E79" i="8"/>
  <c r="E82" i="8" s="1"/>
  <c r="D79" i="8"/>
  <c r="D82" i="8" s="1"/>
  <c r="C79" i="8"/>
  <c r="C82" i="8" s="1"/>
  <c r="P72" i="8"/>
  <c r="N72" i="8"/>
  <c r="Y11" i="8"/>
  <c r="W15" i="10" s="1"/>
  <c r="O72" i="9"/>
  <c r="O81" i="9" s="1"/>
  <c r="G72" i="9"/>
  <c r="G81" i="9" s="1"/>
  <c r="Y62" i="9" l="1"/>
  <c r="P83" i="8"/>
  <c r="W62" i="9"/>
  <c r="N83" i="8"/>
  <c r="D71" i="9"/>
  <c r="D72" i="9" s="1"/>
  <c r="D81" i="9" s="1"/>
  <c r="E71" i="9"/>
  <c r="E72" i="9" s="1"/>
  <c r="E81" i="9" s="1"/>
  <c r="E83" i="8"/>
  <c r="C71" i="9"/>
  <c r="C72" i="9" s="1"/>
  <c r="C81" i="9" s="1"/>
  <c r="D14" i="8"/>
  <c r="C14" i="8"/>
  <c r="E14" i="8"/>
  <c r="Y14" i="8"/>
  <c r="M14" i="8"/>
  <c r="D15" i="10"/>
  <c r="E15" i="10"/>
  <c r="M15" i="10"/>
  <c r="D72" i="8"/>
  <c r="C72" i="8"/>
  <c r="H72" i="9"/>
  <c r="H81" i="9" s="1"/>
  <c r="P72" i="9"/>
  <c r="P81" i="9" s="1"/>
  <c r="I72" i="9"/>
  <c r="I81" i="9" s="1"/>
  <c r="I22" i="9"/>
  <c r="I27" i="9" s="1"/>
  <c r="I31" i="9" s="1"/>
  <c r="O12" i="9"/>
  <c r="O13" i="9"/>
  <c r="V79" i="8"/>
  <c r="V82" i="8" s="1"/>
  <c r="V83" i="8" s="1"/>
  <c r="O72" i="8"/>
  <c r="Y72" i="8"/>
  <c r="Y79" i="8"/>
  <c r="Y82" i="8" s="1"/>
  <c r="E22" i="9"/>
  <c r="E27" i="9" s="1"/>
  <c r="E31" i="9" s="1"/>
  <c r="E12" i="9"/>
  <c r="C22" i="9"/>
  <c r="C27" i="9" s="1"/>
  <c r="C31" i="9" s="1"/>
  <c r="C12" i="9"/>
  <c r="D22" i="9"/>
  <c r="D27" i="9" s="1"/>
  <c r="D31" i="9" s="1"/>
  <c r="D12" i="9"/>
  <c r="K72" i="9"/>
  <c r="K81" i="9" s="1"/>
  <c r="L72" i="9"/>
  <c r="L81" i="9" s="1"/>
  <c r="M72" i="9"/>
  <c r="M81" i="9" s="1"/>
  <c r="Y83" i="8" l="1"/>
  <c r="D83" i="8"/>
  <c r="D85" i="8" s="1"/>
  <c r="AB82" i="8"/>
  <c r="X62" i="9"/>
  <c r="O83" i="8"/>
  <c r="C83" i="8"/>
  <c r="C85" i="8" s="1"/>
  <c r="M15" i="8"/>
  <c r="M20" i="8"/>
  <c r="M27" i="8" s="1"/>
  <c r="Y15" i="8"/>
  <c r="Y20" i="8"/>
  <c r="E15" i="8"/>
  <c r="E20" i="8"/>
  <c r="C15" i="8"/>
  <c r="C20" i="8"/>
  <c r="D15" i="8"/>
  <c r="D20" i="8"/>
  <c r="D27" i="8" s="1"/>
  <c r="AB83" i="8"/>
  <c r="AB79" i="8"/>
  <c r="P31" i="8"/>
  <c r="P92" i="8" s="1"/>
  <c r="N72" i="9"/>
  <c r="N81" i="9" s="1"/>
  <c r="N85" i="8"/>
  <c r="AB50" i="8"/>
  <c r="P85" i="8"/>
  <c r="E85" i="8"/>
  <c r="J72" i="9"/>
  <c r="J81" i="9" s="1"/>
  <c r="J13" i="9"/>
  <c r="N12" i="9"/>
  <c r="K12" i="9"/>
  <c r="L13" i="9"/>
  <c r="N22" i="9"/>
  <c r="N27" i="9" s="1"/>
  <c r="N31" i="9" s="1"/>
  <c r="I13" i="9"/>
  <c r="K13" i="9"/>
  <c r="H13" i="9"/>
  <c r="L22" i="9"/>
  <c r="L27" i="9" s="1"/>
  <c r="L31" i="9" s="1"/>
  <c r="J22" i="9"/>
  <c r="J27" i="9" s="1"/>
  <c r="J31" i="9" s="1"/>
  <c r="L12" i="9"/>
  <c r="Y58" i="8"/>
  <c r="I17" i="9"/>
  <c r="D17" i="9"/>
  <c r="M12" i="9"/>
  <c r="M22" i="9"/>
  <c r="M27" i="9" s="1"/>
  <c r="M31" i="9" s="1"/>
  <c r="M13" i="9"/>
  <c r="O22" i="9"/>
  <c r="O27" i="9" s="1"/>
  <c r="O31" i="9" s="1"/>
  <c r="Y12" i="9"/>
  <c r="H22" i="9"/>
  <c r="H27" i="9" s="1"/>
  <c r="H31" i="9" s="1"/>
  <c r="N13" i="9"/>
  <c r="P12" i="9"/>
  <c r="P22" i="9"/>
  <c r="P27" i="9" s="1"/>
  <c r="P31" i="9" s="1"/>
  <c r="P13" i="9"/>
  <c r="G22" i="9"/>
  <c r="G27" i="9" s="1"/>
  <c r="G31" i="9" s="1"/>
  <c r="E17" i="9"/>
  <c r="K22" i="9"/>
  <c r="K27" i="9" s="1"/>
  <c r="K31" i="9" s="1"/>
  <c r="C17" i="9"/>
  <c r="Y85" i="8" l="1"/>
  <c r="E27" i="8"/>
  <c r="E31" i="8" s="1"/>
  <c r="Y27" i="8"/>
  <c r="Y28" i="8" s="1"/>
  <c r="C27" i="8"/>
  <c r="C31" i="8" s="1"/>
  <c r="C92" i="8" s="1"/>
  <c r="M21" i="8"/>
  <c r="D21" i="8"/>
  <c r="P35" i="8"/>
  <c r="P38" i="8"/>
  <c r="Q76" i="9"/>
  <c r="L17" i="9"/>
  <c r="L23" i="9"/>
  <c r="P21" i="8"/>
  <c r="E21" i="8"/>
  <c r="D31" i="8"/>
  <c r="D92" i="8" s="1"/>
  <c r="M31" i="8"/>
  <c r="M92" i="8" s="1"/>
  <c r="C21" i="8"/>
  <c r="V58" i="8"/>
  <c r="V85" i="8" s="1"/>
  <c r="P28" i="8"/>
  <c r="Y21" i="8"/>
  <c r="O85" i="8"/>
  <c r="N17" i="9"/>
  <c r="J17" i="9"/>
  <c r="C78" i="9"/>
  <c r="C23" i="9"/>
  <c r="K17" i="9"/>
  <c r="D78" i="9"/>
  <c r="D23" i="9"/>
  <c r="I23" i="9"/>
  <c r="P17" i="9"/>
  <c r="M17" i="9"/>
  <c r="N23" i="9"/>
  <c r="J23" i="9"/>
  <c r="E23" i="9"/>
  <c r="E78" i="9"/>
  <c r="O17" i="9"/>
  <c r="G17" i="9"/>
  <c r="H17" i="9"/>
  <c r="Y31" i="8" l="1"/>
  <c r="Y92" i="8" s="1"/>
  <c r="E28" i="8"/>
  <c r="C28" i="8"/>
  <c r="E92" i="8"/>
  <c r="E106" i="8" s="1"/>
  <c r="E128" i="8" s="1"/>
  <c r="E32" i="8"/>
  <c r="E35" i="8"/>
  <c r="E38" i="8"/>
  <c r="C35" i="8"/>
  <c r="C38" i="8"/>
  <c r="M35" i="8"/>
  <c r="M38" i="8"/>
  <c r="D35" i="8"/>
  <c r="D38" i="8"/>
  <c r="Y38" i="8"/>
  <c r="Y35" i="8"/>
  <c r="P106" i="8"/>
  <c r="P128" i="8" s="1"/>
  <c r="Y128" i="8" s="1"/>
  <c r="C106" i="8"/>
  <c r="AB58" i="8"/>
  <c r="D28" i="8"/>
  <c r="D32" i="8"/>
  <c r="M28" i="8"/>
  <c r="C32" i="8"/>
  <c r="P32" i="8"/>
  <c r="E28" i="9"/>
  <c r="H23" i="9"/>
  <c r="N28" i="9"/>
  <c r="D28" i="9"/>
  <c r="I28" i="9"/>
  <c r="M23" i="9"/>
  <c r="C28" i="9"/>
  <c r="O23" i="9"/>
  <c r="K23" i="9"/>
  <c r="G23" i="9"/>
  <c r="J28" i="9"/>
  <c r="P23" i="9"/>
  <c r="Y32" i="8" l="1"/>
  <c r="D106" i="8"/>
  <c r="D128" i="8" s="1"/>
  <c r="M106" i="8"/>
  <c r="M128" i="8" s="1"/>
  <c r="V128" i="8" s="1"/>
  <c r="M32" i="8"/>
  <c r="Q80" i="9" a="1"/>
  <c r="Q80" i="9" s="1"/>
  <c r="Q77" i="9"/>
  <c r="Q78" i="9" a="1"/>
  <c r="Q78" i="9" s="1"/>
  <c r="Q79" i="9" a="1"/>
  <c r="Q79" i="9" s="1"/>
  <c r="K78" i="9" a="1"/>
  <c r="K78" i="9" s="1"/>
  <c r="J78" i="9" a="1"/>
  <c r="J78" i="9" s="1"/>
  <c r="P78" i="9" a="1"/>
  <c r="P78" i="9" s="1"/>
  <c r="H78" i="9" a="1"/>
  <c r="H78" i="9" s="1"/>
  <c r="O78" i="9" a="1"/>
  <c r="O78" i="9" s="1"/>
  <c r="N78" i="9" a="1"/>
  <c r="N78" i="9" s="1"/>
  <c r="G78" i="9" a="1"/>
  <c r="G78" i="9" s="1"/>
  <c r="L78" i="9" a="1"/>
  <c r="L78" i="9" s="1"/>
  <c r="I78" i="9" a="1"/>
  <c r="I78" i="9" s="1"/>
  <c r="M78" i="9" a="1"/>
  <c r="M78" i="9" s="1"/>
  <c r="C128" i="8"/>
  <c r="U106" i="8"/>
  <c r="L28" i="9"/>
  <c r="G28" i="9"/>
  <c r="K28" i="9"/>
  <c r="L80" i="9" a="1"/>
  <c r="L80" i="9" s="1"/>
  <c r="H28" i="9"/>
  <c r="D80" i="9" a="1"/>
  <c r="D80" i="9" s="1"/>
  <c r="D79" i="9" a="1"/>
  <c r="D79" i="9" s="1"/>
  <c r="D32" i="9"/>
  <c r="D39" i="9"/>
  <c r="D45" i="9" s="1"/>
  <c r="D76" i="9"/>
  <c r="D77" i="9"/>
  <c r="E79" i="9" a="1"/>
  <c r="E79" i="9" s="1"/>
  <c r="E80" i="9" a="1"/>
  <c r="E80" i="9" s="1"/>
  <c r="E32" i="9"/>
  <c r="E77" i="9"/>
  <c r="E39" i="9"/>
  <c r="E45" i="9" s="1"/>
  <c r="E76" i="9"/>
  <c r="L32" i="9"/>
  <c r="L39" i="9"/>
  <c r="L45" i="9" s="1"/>
  <c r="P28" i="9"/>
  <c r="O28" i="9"/>
  <c r="J39" i="9"/>
  <c r="J45" i="9" s="1"/>
  <c r="J32" i="9"/>
  <c r="I39" i="9"/>
  <c r="I45" i="9" s="1"/>
  <c r="I32" i="9"/>
  <c r="M28" i="9"/>
  <c r="C80" i="9" a="1"/>
  <c r="C80" i="9" s="1"/>
  <c r="C39" i="9"/>
  <c r="C32" i="9"/>
  <c r="C79" i="9" a="1"/>
  <c r="C79" i="9" s="1"/>
  <c r="C77" i="9"/>
  <c r="C76" i="9"/>
  <c r="N32" i="9"/>
  <c r="N39" i="9"/>
  <c r="N45" i="9" s="1"/>
  <c r="V106" i="8" l="1"/>
  <c r="S106" i="8"/>
  <c r="T106" i="8"/>
  <c r="L79" i="9" a="1"/>
  <c r="L79" i="9" s="1"/>
  <c r="O79" i="9" a="1"/>
  <c r="O79" i="9" s="1"/>
  <c r="M79" i="9" a="1"/>
  <c r="M79" i="9" s="1"/>
  <c r="O77" i="9"/>
  <c r="H80" i="9" a="1"/>
  <c r="H80" i="9" s="1"/>
  <c r="H79" i="9" a="1"/>
  <c r="H79" i="9" s="1"/>
  <c r="H76" i="9"/>
  <c r="H77" i="9"/>
  <c r="G79" i="9" a="1"/>
  <c r="G79" i="9" s="1"/>
  <c r="K39" i="9"/>
  <c r="K45" i="9" s="1"/>
  <c r="U45" i="9" s="1"/>
  <c r="U46" i="9" s="1"/>
  <c r="N79" i="9" a="1"/>
  <c r="N79" i="9" s="1"/>
  <c r="N80" i="9" a="1"/>
  <c r="N80" i="9" s="1"/>
  <c r="K32" i="9"/>
  <c r="N76" i="9"/>
  <c r="N77" i="9"/>
  <c r="L77" i="9"/>
  <c r="M76" i="9"/>
  <c r="E46" i="9"/>
  <c r="L76" i="9"/>
  <c r="I79" i="9" a="1"/>
  <c r="I79" i="9" s="1"/>
  <c r="I80" i="9" a="1"/>
  <c r="I80" i="9" s="1"/>
  <c r="I76" i="9"/>
  <c r="I77" i="9"/>
  <c r="D46" i="9"/>
  <c r="G76" i="9"/>
  <c r="O39" i="9"/>
  <c r="O45" i="9" s="1"/>
  <c r="O32" i="9"/>
  <c r="K80" i="9" a="1"/>
  <c r="K80" i="9" s="1"/>
  <c r="H39" i="9"/>
  <c r="H45" i="9" s="1"/>
  <c r="H32" i="9"/>
  <c r="K79" i="9" a="1"/>
  <c r="K79" i="9" s="1"/>
  <c r="K76" i="9"/>
  <c r="K77" i="9"/>
  <c r="M80" i="9" a="1"/>
  <c r="M80" i="9" s="1"/>
  <c r="O76" i="9"/>
  <c r="G80" i="9" a="1"/>
  <c r="G80" i="9" s="1"/>
  <c r="C46" i="9"/>
  <c r="P80" i="9" a="1"/>
  <c r="P80" i="9" s="1"/>
  <c r="P79" i="9" a="1"/>
  <c r="P79" i="9" s="1"/>
  <c r="P76" i="9"/>
  <c r="M32" i="9"/>
  <c r="M39" i="9"/>
  <c r="M45" i="9" s="1"/>
  <c r="P77" i="9"/>
  <c r="N46" i="9"/>
  <c r="O80" i="9" a="1"/>
  <c r="O80" i="9" s="1"/>
  <c r="J79" i="9" a="1"/>
  <c r="J79" i="9" s="1"/>
  <c r="J80" i="9" a="1"/>
  <c r="J80" i="9" s="1"/>
  <c r="G39" i="9"/>
  <c r="G45" i="9" s="1"/>
  <c r="G32" i="9"/>
  <c r="J76" i="9"/>
  <c r="J77" i="9"/>
  <c r="M77" i="9"/>
  <c r="P32" i="9"/>
  <c r="P39" i="9"/>
  <c r="P45" i="9" s="1"/>
  <c r="G77" i="9"/>
  <c r="Y45" i="9" l="1"/>
  <c r="Y46" i="9" s="1"/>
  <c r="T45" i="9"/>
  <c r="T46" i="9" s="1"/>
  <c r="S45" i="9"/>
  <c r="S46" i="9" s="1"/>
  <c r="W45" i="9"/>
  <c r="W46" i="9" s="1"/>
  <c r="X45" i="9"/>
  <c r="X46" i="9" s="1"/>
  <c r="V45" i="9"/>
  <c r="V46" i="9" s="1"/>
  <c r="Z45" i="9"/>
  <c r="Z46" i="9" s="1"/>
  <c r="O46" i="9"/>
  <c r="P46" i="9"/>
  <c r="M46" i="9"/>
  <c r="L46" i="9"/>
  <c r="G46" i="9"/>
  <c r="I46" i="9"/>
  <c r="J46" i="9"/>
  <c r="H46" i="9" l="1"/>
  <c r="K46" i="9"/>
  <c r="C124" i="8" l="1"/>
  <c r="C129" i="8" s="1"/>
  <c r="C131" i="8" s="1"/>
  <c r="D122" i="8" l="1"/>
  <c r="G122" i="8" s="1"/>
  <c r="D124" i="8" l="1"/>
  <c r="D129" i="8" l="1"/>
  <c r="D131" i="8" s="1"/>
  <c r="E122" i="8" l="1"/>
  <c r="E124" i="8" s="1"/>
  <c r="E129" i="8" s="1"/>
  <c r="G124" i="8"/>
  <c r="G129" i="8" s="1"/>
  <c r="E131" i="8" l="1"/>
  <c r="G131" i="8"/>
  <c r="H122" i="8"/>
  <c r="H124" i="8" s="1"/>
  <c r="H129" i="8" s="1"/>
  <c r="H131" i="8" l="1"/>
  <c r="I122" i="8"/>
  <c r="I124" i="8" s="1"/>
  <c r="I129" i="8" s="1"/>
  <c r="I131" i="8" s="1"/>
  <c r="J122" i="8" l="1"/>
  <c r="J124" i="8" l="1"/>
  <c r="J129" i="8" s="1"/>
  <c r="J131" i="8" s="1"/>
  <c r="S122" i="8"/>
  <c r="K122" i="8" l="1"/>
  <c r="K124" i="8" s="1"/>
  <c r="K129" i="8" s="1"/>
  <c r="K131" i="8" s="1"/>
  <c r="L122" i="8" l="1"/>
  <c r="L124" i="8" s="1"/>
  <c r="L129" i="8" s="1"/>
  <c r="L131" i="8" s="1"/>
  <c r="M122" i="8"/>
  <c r="M124" i="8" s="1"/>
  <c r="M129" i="8" s="1"/>
  <c r="M131" i="8" s="1"/>
  <c r="N122" i="8" l="1"/>
  <c r="N124" i="8" s="1"/>
  <c r="O11" i="8" l="1"/>
  <c r="O14" i="8" l="1"/>
  <c r="O15" i="10"/>
  <c r="O15" i="8" l="1"/>
  <c r="O20" i="8"/>
  <c r="O27" i="8" l="1"/>
  <c r="O31" i="8" s="1"/>
  <c r="O21" i="8"/>
  <c r="O28" i="8" l="1"/>
  <c r="O92" i="8"/>
  <c r="O35" i="8"/>
  <c r="O38" i="8"/>
  <c r="O32" i="8"/>
  <c r="O106" i="8" l="1"/>
  <c r="O128" i="8" s="1"/>
  <c r="X128" i="8" s="1"/>
  <c r="N11" i="8"/>
  <c r="N14" i="8" l="1"/>
  <c r="N15" i="10"/>
  <c r="N15" i="8" l="1"/>
  <c r="N20" i="8"/>
  <c r="N27" i="8" l="1"/>
  <c r="N31" i="8" s="1"/>
  <c r="N21" i="8"/>
  <c r="N28" i="8" l="1"/>
  <c r="N92" i="8"/>
  <c r="N38" i="8"/>
  <c r="N35" i="8"/>
  <c r="N32" i="8"/>
  <c r="Z106" i="8" l="1"/>
  <c r="AB106" i="8" s="1"/>
  <c r="AB92" i="8"/>
  <c r="W106" i="8"/>
  <c r="X106" i="8"/>
  <c r="N106" i="8"/>
  <c r="N128" i="8" s="1"/>
  <c r="W128" i="8" s="1"/>
  <c r="N129" i="8" l="1"/>
  <c r="N131" i="8" s="1"/>
  <c r="Y106" i="8"/>
  <c r="O122" i="8" l="1"/>
  <c r="O124" i="8" s="1"/>
  <c r="O129" i="8" s="1"/>
  <c r="O131" i="8" s="1"/>
  <c r="P122" i="8" l="1"/>
  <c r="P124" i="8" s="1"/>
  <c r="P129" i="8" s="1"/>
  <c r="P131" i="8" s="1"/>
  <c r="S124" i="8"/>
  <c r="S129" i="8" s="1"/>
  <c r="S131" i="8" l="1"/>
  <c r="T122" i="8"/>
  <c r="T124" i="8" s="1"/>
  <c r="T129" i="8" s="1"/>
  <c r="Q122" i="8"/>
  <c r="Q124" i="8" s="1"/>
  <c r="Q129" i="8" s="1"/>
  <c r="T131" i="8" l="1"/>
  <c r="U122" i="8"/>
  <c r="U124" i="8" s="1"/>
  <c r="U129" i="8" s="1"/>
  <c r="Q131" i="8"/>
  <c r="U131" i="8" l="1"/>
  <c r="V122" i="8"/>
  <c r="V124" i="8" s="1"/>
  <c r="V129" i="8" s="1"/>
  <c r="C14" i="10"/>
  <c r="C29" i="10" s="1"/>
  <c r="V131" i="8" l="1"/>
  <c r="W122" i="8"/>
  <c r="W124" i="8" s="1"/>
  <c r="W129" i="8" s="1"/>
  <c r="C20" i="10"/>
  <c r="C53" i="10"/>
  <c r="C56" i="10"/>
  <c r="C39" i="10"/>
  <c r="C15" i="10"/>
  <c r="C38" i="10"/>
  <c r="C58" i="10"/>
  <c r="C18" i="10"/>
  <c r="C17" i="10"/>
  <c r="C54" i="10"/>
  <c r="C21" i="10"/>
  <c r="C59" i="10"/>
  <c r="C19" i="10"/>
  <c r="C57" i="10"/>
  <c r="C40" i="10"/>
  <c r="C55" i="10"/>
  <c r="C41" i="10"/>
  <c r="C28" i="10"/>
  <c r="W131" i="8" l="1"/>
  <c r="X122" i="8"/>
  <c r="X124" i="8" s="1"/>
  <c r="X129" i="8" s="1"/>
  <c r="X131" i="8" l="1"/>
  <c r="Y122" i="8"/>
  <c r="Y124" i="8" s="1"/>
  <c r="Y129" i="8" s="1"/>
  <c r="Y131" i="8" l="1"/>
  <c r="Z122" i="8"/>
  <c r="Z124" i="8" s="1"/>
  <c r="Z129" i="8" s="1"/>
  <c r="Z131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<sst xmlns="http://schemas.openxmlformats.org/spreadsheetml/2006/main" count="248" uniqueCount="199">
  <si>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</si>
  <si>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</si>
  <si>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</si>
  <si>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</si>
  <si>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</si>
  <si>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</si>
  <si>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</si>
  <si>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</si>
  <si>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</si>
  <si>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</si>
  <si>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</si>
  <si>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</si>
  <si>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</si>
  <si>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</si>
  <si>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</si>
  <si>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</si>
  <si>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</si>
  <si>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</si>
  <si>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</si>
  <si>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</si>
  <si>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</si>
  <si>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</si>
  <si>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</si>
  <si>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</si>
  <si>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</si>
  <si>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</si>
  <si>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</si>
  <si>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</si>
  <si>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</si>
  <si>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</si>
  <si>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</si>
  <si>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</si>
  <si>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</si>
  <si>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</si>
  <si>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</si>
  <si>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</si>
  <si>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</si>
  <si>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</si>
  <si>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</si>
  <si>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</si>
  <si>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</si>
  <si>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</si>
  <si>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</si>
  <si>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</si>
  <si>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</si>
  <si>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</si>
  <si>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</si>
  <si>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</si>
  <si>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</si>
  <si>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</si>
  <si>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</si>
  <si>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</si>
  <si>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</si>
  <si>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</si>
  <si>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</si>
  <si>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</si>
  <si>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</si>
  <si>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</si>
  <si>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</si>
  <si>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</si>
  <si>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</si>
  <si>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</si>
  <si>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</si>
  <si>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</si>
  <si>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</si>
  <si>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</si>
  <si>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</si>
  <si>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</si>
  <si>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</si>
  <si>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</si>
  <si>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</si>
  <si>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</si>
  <si>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</si>
  <si>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</si>
  <si>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</si>
  <si>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</si>
  <si>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</si>
  <si>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</si>
  <si>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</si>
  <si>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</si>
  <si>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</si>
  <si>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</si>
  <si>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</si>
  <si>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</si>
  <si>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</si>
  <si>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</si>
  <si>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</si>
  <si>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</si>
  <si>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</si>
  <si>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BOP Restricted Cash Adjustment</t>
  </si>
  <si>
    <t>Summary Debt:</t>
  </si>
  <si>
    <t>CPLTD</t>
  </si>
  <si>
    <t>LTD</t>
  </si>
  <si>
    <t>Property and Equipment, net</t>
  </si>
  <si>
    <t>Margin (%)</t>
  </si>
  <si>
    <t>Income tax provision (benefit)</t>
  </si>
  <si>
    <t>Net Income</t>
  </si>
  <si>
    <t>Inventories</t>
  </si>
  <si>
    <t>Goodwill</t>
  </si>
  <si>
    <t xml:space="preserve">Income taxes paid </t>
  </si>
  <si>
    <t>(-) Cost of Sales</t>
  </si>
  <si>
    <t>(+) Stock-Based Compensation</t>
  </si>
  <si>
    <t>Short-Term Investments</t>
  </si>
  <si>
    <t>L/C Availability</t>
  </si>
  <si>
    <t>Swingline Availability</t>
  </si>
  <si>
    <t>Accounts Receivable</t>
  </si>
  <si>
    <t>Retained Earnings</t>
  </si>
  <si>
    <t>Other Investing Activities</t>
  </si>
  <si>
    <t>Debt Issuance / (Repayment)</t>
  </si>
  <si>
    <t>Common Stock</t>
  </si>
  <si>
    <t>Earnings before income taxes (EBT)</t>
  </si>
  <si>
    <t>EBT Margin (%)</t>
  </si>
  <si>
    <t>($ In Millions)</t>
  </si>
  <si>
    <t>Revenue by reportable segment</t>
  </si>
  <si>
    <t>Revenue Segment Anaysis</t>
  </si>
  <si>
    <t>Variance  Check</t>
  </si>
  <si>
    <t>Cost Of Sales</t>
  </si>
  <si>
    <t>Interest Income</t>
  </si>
  <si>
    <t>Interest Expenses</t>
  </si>
  <si>
    <t>Other Income</t>
  </si>
  <si>
    <t>U.S. Revenues</t>
  </si>
  <si>
    <t>Other Revenues</t>
  </si>
  <si>
    <t>ForEx (Gain) Loss</t>
  </si>
  <si>
    <t>Established Pharma Product Revenues</t>
  </si>
  <si>
    <t>Nutritionals Revenues</t>
  </si>
  <si>
    <t>Diagnostics Revenues</t>
  </si>
  <si>
    <t>Med Device Revenues</t>
  </si>
  <si>
    <t>Pediatric Nutritionals</t>
  </si>
  <si>
    <t>Adult Nutritionals</t>
  </si>
  <si>
    <t>Total Nutritionals Revenues</t>
  </si>
  <si>
    <t>Total Diagnostics Revenues</t>
  </si>
  <si>
    <t>Core Lab</t>
  </si>
  <si>
    <t>Molecular</t>
  </si>
  <si>
    <t>Point of Care</t>
  </si>
  <si>
    <t>Rapid Diagnostics</t>
  </si>
  <si>
    <t>Total Med Device Revenues</t>
  </si>
  <si>
    <t>Rhythm Management</t>
  </si>
  <si>
    <t>Electrophysiology</t>
  </si>
  <si>
    <t>Heart Failure</t>
  </si>
  <si>
    <t>Vascular</t>
  </si>
  <si>
    <t>Structural Heart</t>
  </si>
  <si>
    <t>Neuromodulation</t>
  </si>
  <si>
    <t>Diabetes Care</t>
  </si>
  <si>
    <t>Internation Revenues</t>
  </si>
  <si>
    <t>Total Revenues</t>
  </si>
  <si>
    <t>Abbott Laboratories Inc (NYSE: ABT)</t>
  </si>
  <si>
    <t>Preferred Stock</t>
  </si>
  <si>
    <t>Treasury Stock</t>
  </si>
  <si>
    <t>Accumulated OCI</t>
  </si>
  <si>
    <t xml:space="preserve">Total Abbott Shareholders’ Investment	</t>
  </si>
  <si>
    <t xml:space="preserve">Total Shareholders’ Investment	</t>
  </si>
  <si>
    <t>Trade receivables</t>
  </si>
  <si>
    <t>Investments</t>
  </si>
  <si>
    <t>property and equipment</t>
  </si>
  <si>
    <t>Long-Term Salaries Payable &amp; Other Liabilities</t>
  </si>
  <si>
    <t xml:space="preserve">Investing and financing losses, net	</t>
  </si>
  <si>
    <t>Other</t>
  </si>
  <si>
    <t>Dividents Paid</t>
  </si>
  <si>
    <t>Other Financing Activities</t>
  </si>
  <si>
    <t xml:space="preserve">Interest paid </t>
  </si>
  <si>
    <t>Depreciation</t>
  </si>
  <si>
    <t>Divestiture / (Acquisitions)</t>
  </si>
  <si>
    <t>Equity Issuance / (Repurchases)</t>
  </si>
  <si>
    <t>($ In Millions, except per share)</t>
  </si>
  <si>
    <t>Selling, general and administrative</t>
  </si>
  <si>
    <t>Research and development</t>
  </si>
  <si>
    <t>Cash and cash equivalents</t>
  </si>
  <si>
    <t>Short-term investments</t>
  </si>
  <si>
    <t>Prepaid expenses and other receivables</t>
  </si>
  <si>
    <t>Intangible assets, net of amortization</t>
  </si>
  <si>
    <t>Deferred income taxes and other assets</t>
  </si>
  <si>
    <t>Trade accounts payable</t>
  </si>
  <si>
    <t>Salaries, wages and commissions</t>
  </si>
  <si>
    <t>Other accrued liabilities</t>
  </si>
  <si>
    <t>Dividends payable</t>
  </si>
  <si>
    <t>Income taxes payable</t>
  </si>
  <si>
    <t>Current portion of long-term debt</t>
  </si>
  <si>
    <t>Long-term debt</t>
  </si>
  <si>
    <t>Noncontrolling Interests in Subsidiaries</t>
  </si>
  <si>
    <t>Amortization of intangible assets</t>
  </si>
  <si>
    <t>Share-based compensation</t>
  </si>
  <si>
    <t>Prepaid expenses and other assets</t>
  </si>
  <si>
    <t>Trade accounts payable and other liabilities</t>
  </si>
  <si>
    <t>Income taxes</t>
  </si>
  <si>
    <t>Acquisitions of property and equipment</t>
  </si>
  <si>
    <t>Proceeds / (Purchases) of investment securities</t>
  </si>
  <si>
    <t>(-) Research and development</t>
  </si>
  <si>
    <t>(-) Selling, general and administrative</t>
  </si>
  <si>
    <t>(-) Amortization of intangible assets</t>
  </si>
  <si>
    <t xml:space="preserve">(+) Depreciation </t>
  </si>
  <si>
    <t>(+) Amortization of intangible assets</t>
  </si>
  <si>
    <t>Changes in Working Capital:</t>
  </si>
  <si>
    <t>(-) Dividends</t>
  </si>
  <si>
    <t>(+/-) Divestiture / (Acquisitions)</t>
  </si>
  <si>
    <t>(+/-) Proceeds / (Purchases) of investment securities</t>
  </si>
  <si>
    <t>(+/-) Debt Issuance / (Repayment)</t>
  </si>
  <si>
    <t>(+/-) Equity Issuance / (Repurchases)</t>
  </si>
  <si>
    <t>Cash and Cash Equivalents</t>
  </si>
  <si>
    <t>Aggregate Debt Securities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</si>
</sst>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5" fillId="0" borderId="0" applyNumberFormat="0" applyFont="0" applyFill="0" applyBorder="0" applyAlignment="0" applyProtection="0"/>
  </cellStyleXfs>
  <cellXfs count="175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43" fontId="20" fillId="0" borderId="0" xfId="0" applyNumberFormat="1" applyFont="1" applyAlignment="1">
      <alignment wrapText="1"/>
    </xf>
    <xf numFmtId="0" fontId="21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3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0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4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0" fillId="0" borderId="1" xfId="0" applyFont="1" applyBorder="1" applyAlignment="1">
      <alignment vertical="top" wrapText="1"/>
    </xf>
    <xf numFmtId="43" fontId="20" fillId="0" borderId="1" xfId="0" applyNumberFormat="1" applyFont="1" applyBorder="1" applyAlignment="1">
      <alignment wrapText="1"/>
    </xf>
    <xf numFmtId="0" fontId="21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7" fillId="3" borderId="0" xfId="1" applyNumberFormat="1" applyFont="1" applyFill="1" applyBorder="1" applyAlignment="1">
      <alignment horizontal="right" vertical="center" wrapText="1"/>
    </xf>
    <xf numFmtId="167" fontId="27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29" fillId="0" borderId="0" xfId="0" applyFont="1" applyAlignment="1">
      <alignment horizontal="right" vertical="center" wrapText="1"/>
    </xf>
    <xf numFmtId="7" fontId="24" fillId="0" borderId="0" xfId="0" applyNumberFormat="1" applyFont="1" applyAlignment="1">
      <alignment horizontal="right"/>
    </xf>
    <xf numFmtId="41" fontId="8" fillId="5" borderId="0" xfId="0" applyNumberFormat="1" applyFont="1" applyFill="1" applyAlignment="1">
      <alignment horizontal="right" vertical="top" wrapText="1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0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6" fillId="0" borderId="7" xfId="0" applyFont="1" applyBorder="1" applyAlignment="1">
      <alignment horizontal="right" vertical="top" wrapText="1"/>
    </xf>
    <xf numFmtId="0" fontId="26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4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41" fontId="6" fillId="0" borderId="0" xfId="0" applyNumberFormat="1" applyFont="1" applyAlignment="1">
      <alignment vertical="center"/>
    </xf>
    <xf numFmtId="0" fontId="22" fillId="0" borderId="0" xfId="0" applyFont="1" applyAlignment="1">
      <alignment horizontal="left" vertical="center" indent="1"/>
    </xf>
    <xf numFmtId="41" fontId="30" fillId="8" borderId="0" xfId="0" applyNumberFormat="1" applyFont="1" applyFill="1" applyAlignment="1">
      <alignment vertical="center"/>
    </xf>
    <xf numFmtId="0" fontId="22" fillId="9" borderId="15" xfId="0" applyFont="1" applyFill="1" applyBorder="1"/>
    <xf numFmtId="9" fontId="10" fillId="0" borderId="2" xfId="1" applyFont="1" applyBorder="1" applyAlignment="1">
      <alignment horizontal="right"/>
    </xf>
    <xf numFmtId="9" fontId="30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2" fillId="9" borderId="17" xfId="0" applyFont="1" applyFill="1" applyBorder="1"/>
    <xf numFmtId="9" fontId="10" fillId="0" borderId="5" xfId="1" applyFont="1" applyBorder="1" applyAlignment="1">
      <alignment horizontal="right"/>
    </xf>
    <xf numFmtId="9" fontId="30" fillId="0" borderId="5" xfId="1" applyFont="1" applyBorder="1"/>
    <xf numFmtId="9" fontId="10" fillId="0" borderId="5" xfId="1" applyFont="1" applyBorder="1"/>
    <xf numFmtId="9" fontId="10" fillId="0" borderId="18" xfId="1" applyFont="1" applyBorder="1"/>
    <xf numFmtId="0" fontId="22" fillId="9" borderId="19" xfId="0" applyFont="1" applyFill="1" applyBorder="1"/>
    <xf numFmtId="9" fontId="10" fillId="0" borderId="0" xfId="1" applyFont="1" applyBorder="1" applyAlignment="1">
      <alignment horizontal="right"/>
    </xf>
    <xf numFmtId="9" fontId="30" fillId="0" borderId="0" xfId="1" applyFont="1" applyBorder="1"/>
    <xf numFmtId="9" fontId="10" fillId="0" borderId="0" xfId="1" applyFont="1" applyBorder="1"/>
    <xf numFmtId="9" fontId="10" fillId="0" borderId="20" xfId="1" applyFont="1" applyBorder="1"/>
    <xf numFmtId="41" fontId="6" fillId="0" borderId="0" xfId="0" applyNumberFormat="1" applyFont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8" fillId="2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wrapText="1"/>
    </xf>
    <xf numFmtId="0" fontId="8" fillId="0" borderId="0" xfId="0" applyFont="1" applyFill="1" applyBorder="1" applyAlignment="1">
      <alignment vertical="top" wrapText="1"/>
    </xf>
    <xf numFmtId="5" fontId="8" fillId="0" borderId="0" xfId="0" applyNumberFormat="1" applyFont="1" applyFill="1" applyBorder="1" applyAlignment="1">
      <alignment horizontal="right" vertical="top" wrapText="1"/>
    </xf>
    <xf numFmtId="0" fontId="8" fillId="0" borderId="0" xfId="0" applyFont="1" applyFill="1" applyAlignment="1">
      <alignment wrapText="1"/>
    </xf>
    <xf numFmtId="165" fontId="15" fillId="0" borderId="0" xfId="0" applyNumberFormat="1" applyFont="1" applyFill="1" applyAlignment="1">
      <alignment wrapText="1"/>
    </xf>
    <xf numFmtId="41" fontId="11" fillId="0" borderId="12" xfId="0" applyNumberFormat="1" applyFont="1" applyBorder="1" applyAlignment="1">
      <alignment horizontal="right" vertical="top" wrapText="1"/>
    </xf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B152"/>
  <sheetViews>
    <sheetView showGridLines="0" topLeftCell="A40" zoomScaleNormal="100" workbookViewId="0">
      <selection activeCell="B45" sqref="B45"/>
    </sheetView>
  </sheetViews>
  <sheetFormatPr defaultRowHeight="12" outlineLevelCol="2"/>
  <cols>
    <col min="1" max="1" width="1.625" style="5" bestFit="1" customWidth="1"/>
    <col min="2" max="2" width="36.25" style="5" customWidth="1"/>
    <col min="3" max="5" width="9" style="5" bestFit="1" customWidth="1"/>
    <col min="6" max="6" width="1.5" style="5" customWidth="1"/>
    <col min="7" max="10" width="8.875" style="5" customWidth="1" outlineLevel="2"/>
    <col min="11" max="12" width="8.875" style="5" customWidth="1" outlineLevel="1"/>
    <col min="13" max="17" width="8.875" style="5" bestFit="1" customWidth="1"/>
    <col min="18" max="18" width="1.5" style="5" customWidth="1"/>
    <col min="19" max="21" width="8.75" style="5" customWidth="1" outlineLevel="1"/>
    <col min="22" max="22" width="9" style="5" bestFit="1" customWidth="1"/>
    <col min="23" max="25" width="9" style="5" customWidth="1" outlineLevel="1"/>
    <col min="26" max="26" width="9" style="5" bestFit="1" customWidth="1"/>
    <col min="27" max="27" width="1.25" style="5" customWidth="1"/>
    <col min="28" max="28" width="8" style="5" bestFit="1" customWidth="1"/>
    <col min="29" max="29" width="1.375" style="5" customWidth="1"/>
    <col min="30" max="16384" width="9" style="5"/>
  </cols>
  <sheetData>
    <row r="2" spans="1:28" ht="12.75" customHeight="1">
      <c r="B2" s="1" t="s">
        <v>145</v>
      </c>
      <c r="C2" s="99"/>
      <c r="D2" s="99"/>
      <c r="E2" s="99"/>
      <c r="F2" s="3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3"/>
      <c r="S2" s="99"/>
      <c r="T2" s="99"/>
      <c r="U2" s="99"/>
      <c r="V2" s="99"/>
      <c r="W2" s="99"/>
      <c r="X2" s="99"/>
      <c r="Y2" s="99"/>
      <c r="Z2" s="99"/>
      <c r="AA2" s="3"/>
      <c r="AB2" s="1"/>
    </row>
    <row r="3" spans="1:28" ht="12.75" customHeight="1">
      <c r="B3" s="6" t="s">
        <v>71</v>
      </c>
      <c r="C3" s="7"/>
      <c r="D3" s="7"/>
      <c r="E3" s="7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3"/>
      <c r="S3" s="4"/>
      <c r="T3" s="4"/>
      <c r="U3" s="4"/>
      <c r="V3" s="4"/>
      <c r="W3" s="4"/>
      <c r="X3" s="4"/>
      <c r="Y3" s="4"/>
      <c r="Z3" s="4"/>
      <c r="AA3" s="3"/>
      <c r="AB3" s="1"/>
    </row>
    <row r="4" spans="1:28" ht="12.75" customHeight="1">
      <c r="B4" s="6" t="s">
        <v>163</v>
      </c>
      <c r="C4" s="3"/>
      <c r="D4" s="8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1"/>
    </row>
    <row r="6" spans="1:28" ht="12.75" customHeight="1">
      <c r="A6" s="5" t="s">
        <v>15</v>
      </c>
      <c r="B6" s="1" t="s">
        <v>69</v>
      </c>
      <c r="C6" s="2"/>
      <c r="D6" s="2"/>
      <c r="E6" s="2"/>
      <c r="F6" s="3"/>
      <c r="G6" s="2" t="s">
        <v>1</v>
      </c>
      <c r="H6" s="2"/>
      <c r="I6" s="2"/>
      <c r="J6" s="2"/>
      <c r="K6" s="2"/>
      <c r="L6" s="2"/>
      <c r="M6" s="2" t="s">
        <v>1</v>
      </c>
      <c r="N6" s="2"/>
      <c r="O6" s="2"/>
      <c r="P6" s="2"/>
      <c r="Q6" s="2"/>
      <c r="R6" s="3"/>
      <c r="S6" s="2"/>
      <c r="T6" s="2"/>
      <c r="U6" s="2" t="s">
        <v>10</v>
      </c>
      <c r="V6" s="2" t="s">
        <v>10</v>
      </c>
      <c r="W6" s="2"/>
      <c r="X6" s="2"/>
      <c r="Y6" s="2"/>
      <c r="Z6" s="2"/>
      <c r="AA6" s="37"/>
      <c r="AB6" s="165" t="s">
        <v>21</v>
      </c>
    </row>
    <row r="7" spans="1:28" ht="12.75" customHeight="1">
      <c r="B7" s="6" t="s">
        <v>72</v>
      </c>
      <c r="C7" s="7">
        <v>2022</v>
      </c>
      <c r="D7" s="7">
        <v>2023</v>
      </c>
      <c r="E7" s="7">
        <v>2024</v>
      </c>
      <c r="F7" s="3"/>
      <c r="G7" s="4" t="s">
        <v>6</v>
      </c>
      <c r="H7" s="4" t="s">
        <v>7</v>
      </c>
      <c r="I7" s="4" t="s">
        <v>8</v>
      </c>
      <c r="J7" s="4" t="s">
        <v>9</v>
      </c>
      <c r="K7" s="4" t="s">
        <v>2</v>
      </c>
      <c r="L7" s="4" t="s">
        <v>3</v>
      </c>
      <c r="M7" s="4" t="s">
        <v>4</v>
      </c>
      <c r="N7" s="4" t="s">
        <v>5</v>
      </c>
      <c r="O7" s="4" t="s">
        <v>23</v>
      </c>
      <c r="P7" s="4" t="s">
        <v>24</v>
      </c>
      <c r="Q7" s="4" t="s">
        <v>59</v>
      </c>
      <c r="R7" s="3"/>
      <c r="S7" s="4" t="str">
        <f t="shared" ref="S7:Z8" si="0">J7</f>
        <v>4Q23</v>
      </c>
      <c r="T7" s="4" t="str">
        <f t="shared" si="0"/>
        <v>1Q24</v>
      </c>
      <c r="U7" s="4" t="str">
        <f t="shared" si="0"/>
        <v>2Q24</v>
      </c>
      <c r="V7" s="4" t="str">
        <f t="shared" si="0"/>
        <v>3Q24</v>
      </c>
      <c r="W7" s="4" t="str">
        <f t="shared" si="0"/>
        <v>4Q24</v>
      </c>
      <c r="X7" s="4" t="str">
        <f t="shared" si="0"/>
        <v>1Q25</v>
      </c>
      <c r="Y7" s="4" t="str">
        <f t="shared" si="0"/>
        <v>2Q25</v>
      </c>
      <c r="Z7" s="4" t="str">
        <f t="shared" si="0"/>
        <v>3Q25</v>
      </c>
      <c r="AA7" s="37"/>
      <c r="AB7" s="165"/>
    </row>
    <row r="8" spans="1:28" ht="12.75" customHeight="1">
      <c r="B8" s="6" t="s">
        <v>73</v>
      </c>
      <c r="C8" s="83">
        <v>44926</v>
      </c>
      <c r="D8" s="83">
        <v>45291</v>
      </c>
      <c r="E8" s="83">
        <v>45657</v>
      </c>
      <c r="F8" s="3"/>
      <c r="G8" s="3">
        <v>45016</v>
      </c>
      <c r="H8" s="3">
        <v>45107</v>
      </c>
      <c r="I8" s="3">
        <v>45199</v>
      </c>
      <c r="J8" s="3">
        <f>D8</f>
        <v>45291</v>
      </c>
      <c r="K8" s="3">
        <v>45382</v>
      </c>
      <c r="L8" s="3">
        <v>45473</v>
      </c>
      <c r="M8" s="3">
        <v>45565</v>
      </c>
      <c r="N8" s="3">
        <f>E8</f>
        <v>45657</v>
      </c>
      <c r="O8" s="3">
        <v>45747</v>
      </c>
      <c r="P8" s="3">
        <v>45838</v>
      </c>
      <c r="Q8" s="3">
        <v>45930</v>
      </c>
      <c r="R8" s="3"/>
      <c r="S8" s="3">
        <f t="shared" si="0"/>
        <v>45291</v>
      </c>
      <c r="T8" s="3">
        <f t="shared" si="0"/>
        <v>45382</v>
      </c>
      <c r="U8" s="3">
        <f t="shared" si="0"/>
        <v>45473</v>
      </c>
      <c r="V8" s="3">
        <f t="shared" si="0"/>
        <v>45565</v>
      </c>
      <c r="W8" s="3">
        <f t="shared" si="0"/>
        <v>45657</v>
      </c>
      <c r="X8" s="3">
        <f t="shared" si="0"/>
        <v>45747</v>
      </c>
      <c r="Y8" s="3">
        <f t="shared" si="0"/>
        <v>45838</v>
      </c>
      <c r="Z8" s="3">
        <f t="shared" si="0"/>
        <v>45930</v>
      </c>
      <c r="AA8" s="37"/>
      <c r="AB8" s="165"/>
    </row>
    <row r="9" spans="1:28" ht="5.0999999999999996" customHeight="1">
      <c r="AB9" s="98"/>
    </row>
    <row r="10" spans="1:28" ht="12.75" customHeight="1">
      <c r="B10" s="9" t="s">
        <v>54</v>
      </c>
      <c r="C10" s="93">
        <v>43653</v>
      </c>
      <c r="D10" s="93">
        <v>40109</v>
      </c>
      <c r="E10" s="93">
        <v>41950</v>
      </c>
      <c r="F10" s="11"/>
      <c r="G10" s="93">
        <v>9747</v>
      </c>
      <c r="H10" s="93">
        <v>9978</v>
      </c>
      <c r="I10" s="93">
        <v>10143</v>
      </c>
      <c r="J10" s="31">
        <f t="shared" ref="J10" si="1">SUM(D10-SUM(G10:I10))</f>
        <v>10241</v>
      </c>
      <c r="K10" s="93">
        <v>9964</v>
      </c>
      <c r="L10" s="93">
        <v>10377</v>
      </c>
      <c r="M10" s="93">
        <v>10635</v>
      </c>
      <c r="N10" s="31">
        <f t="shared" ref="N10" si="2">SUM(E10-SUM(K10:M10))</f>
        <v>10974</v>
      </c>
      <c r="O10" s="80">
        <v>10358</v>
      </c>
      <c r="P10" s="80">
        <v>11142</v>
      </c>
      <c r="Q10" s="80">
        <v>11369</v>
      </c>
      <c r="S10" s="31">
        <f t="shared" ref="S10:Z10" si="3">SUM(G10:J10)</f>
        <v>40109</v>
      </c>
      <c r="T10" s="31">
        <f t="shared" si="3"/>
        <v>40326</v>
      </c>
      <c r="U10" s="31">
        <f t="shared" si="3"/>
        <v>40725</v>
      </c>
      <c r="V10" s="31">
        <f t="shared" si="3"/>
        <v>41217</v>
      </c>
      <c r="W10" s="31">
        <f t="shared" si="3"/>
        <v>41950</v>
      </c>
      <c r="X10" s="31">
        <f t="shared" si="3"/>
        <v>42344</v>
      </c>
      <c r="Y10" s="31">
        <f t="shared" si="3"/>
        <v>43109</v>
      </c>
      <c r="Z10" s="31">
        <f t="shared" si="3"/>
        <v>43843</v>
      </c>
      <c r="AA10" s="39"/>
      <c r="AB10" s="12">
        <f>SUM(Z10/V10)-1</f>
        <v>6.3711575320862801E-2</v>
      </c>
    </row>
    <row r="11" spans="1:28" ht="12.75" customHeight="1">
      <c r="B11" s="13" t="s">
        <v>12</v>
      </c>
      <c r="C11" s="14">
        <f t="shared" ref="C11:E11" si="4">+SUM(C10:C10)</f>
        <v>43653</v>
      </c>
      <c r="D11" s="14">
        <f t="shared" si="4"/>
        <v>40109</v>
      </c>
      <c r="E11" s="14">
        <f t="shared" si="4"/>
        <v>41950</v>
      </c>
      <c r="F11" s="11"/>
      <c r="G11" s="14">
        <f t="shared" ref="G11:P11" si="5">+SUM(G10:G10)</f>
        <v>9747</v>
      </c>
      <c r="H11" s="14">
        <f t="shared" si="5"/>
        <v>9978</v>
      </c>
      <c r="I11" s="14">
        <f t="shared" si="5"/>
        <v>10143</v>
      </c>
      <c r="J11" s="14">
        <f t="shared" si="5"/>
        <v>10241</v>
      </c>
      <c r="K11" s="14">
        <f t="shared" si="5"/>
        <v>9964</v>
      </c>
      <c r="L11" s="14">
        <f t="shared" si="5"/>
        <v>10377</v>
      </c>
      <c r="M11" s="14">
        <f t="shared" si="5"/>
        <v>10635</v>
      </c>
      <c r="N11" s="14">
        <f t="shared" si="5"/>
        <v>10974</v>
      </c>
      <c r="O11" s="14">
        <f t="shared" si="5"/>
        <v>10358</v>
      </c>
      <c r="P11" s="14">
        <f t="shared" si="5"/>
        <v>11142</v>
      </c>
      <c r="Q11" s="14">
        <f>+SUM(Q10:Q10)</f>
        <v>11369</v>
      </c>
      <c r="S11" s="14">
        <f t="shared" ref="S11:Y11" si="6">+SUM(S10:S10)</f>
        <v>40109</v>
      </c>
      <c r="T11" s="14">
        <f t="shared" si="6"/>
        <v>40326</v>
      </c>
      <c r="U11" s="14">
        <f t="shared" si="6"/>
        <v>40725</v>
      </c>
      <c r="V11" s="14">
        <f t="shared" si="6"/>
        <v>41217</v>
      </c>
      <c r="W11" s="14">
        <f t="shared" si="6"/>
        <v>41950</v>
      </c>
      <c r="X11" s="14">
        <f t="shared" si="6"/>
        <v>42344</v>
      </c>
      <c r="Y11" s="14">
        <f t="shared" si="6"/>
        <v>43109</v>
      </c>
      <c r="Z11" s="14">
        <f>+SUM(Z10:Z10)</f>
        <v>43843</v>
      </c>
      <c r="AA11" s="39"/>
      <c r="AB11" s="15">
        <f>SUM(Z11/V11)-1</f>
        <v>6.3711575320862801E-2</v>
      </c>
    </row>
    <row r="12" spans="1:28" s="20" customFormat="1" ht="5.0999999999999996" customHeight="1">
      <c r="B12" s="18"/>
      <c r="C12" s="19"/>
      <c r="D12" s="19"/>
      <c r="E12" s="19"/>
      <c r="G12" s="21"/>
      <c r="H12" s="21"/>
      <c r="I12" s="21"/>
      <c r="J12" s="21"/>
      <c r="K12" s="21"/>
      <c r="L12" s="21"/>
      <c r="M12" s="21"/>
      <c r="N12" s="21"/>
      <c r="O12" s="22"/>
      <c r="P12" s="21"/>
      <c r="Q12" s="21"/>
      <c r="AB12" s="73"/>
    </row>
    <row r="13" spans="1:28" s="20" customFormat="1">
      <c r="B13" s="9" t="s">
        <v>116</v>
      </c>
      <c r="C13" s="93">
        <v>-19142</v>
      </c>
      <c r="D13" s="93">
        <v>-17975</v>
      </c>
      <c r="E13" s="93">
        <v>-18706</v>
      </c>
      <c r="F13" s="31"/>
      <c r="G13" s="93">
        <v>-4331</v>
      </c>
      <c r="H13" s="93">
        <v>-4483</v>
      </c>
      <c r="I13" s="93">
        <v>-4605</v>
      </c>
      <c r="J13" s="31">
        <f t="shared" ref="J13" si="7">SUM(D13-SUM(G13:I13))</f>
        <v>-4556</v>
      </c>
      <c r="K13" s="93">
        <v>-4463</v>
      </c>
      <c r="L13" s="93">
        <v>-4603</v>
      </c>
      <c r="M13" s="93">
        <v>-4698</v>
      </c>
      <c r="N13" s="31">
        <f t="shared" ref="N13" si="8">SUM(E13-SUM(K13:M13))</f>
        <v>-4942</v>
      </c>
      <c r="O13" s="93">
        <v>-4468</v>
      </c>
      <c r="P13" s="93">
        <v>-4854</v>
      </c>
      <c r="Q13" s="93">
        <v>-5075</v>
      </c>
      <c r="R13" s="5"/>
      <c r="S13" s="31">
        <f t="shared" ref="S13:Z13" si="9">SUM(G13:J13)</f>
        <v>-17975</v>
      </c>
      <c r="T13" s="31">
        <f t="shared" si="9"/>
        <v>-18107</v>
      </c>
      <c r="U13" s="31">
        <f t="shared" si="9"/>
        <v>-18227</v>
      </c>
      <c r="V13" s="31">
        <f t="shared" si="9"/>
        <v>-18320</v>
      </c>
      <c r="W13" s="31">
        <f t="shared" si="9"/>
        <v>-18706</v>
      </c>
      <c r="X13" s="31">
        <f t="shared" si="9"/>
        <v>-18711</v>
      </c>
      <c r="Y13" s="31">
        <f t="shared" si="9"/>
        <v>-18962</v>
      </c>
      <c r="Z13" s="31">
        <f t="shared" si="9"/>
        <v>-19339</v>
      </c>
      <c r="AA13" s="11"/>
      <c r="AB13" s="73">
        <f t="shared" ref="AB13" si="10">SUM(Z13/V13)-1</f>
        <v>5.5622270742358149E-2</v>
      </c>
    </row>
    <row r="14" spans="1:28" s="20" customFormat="1">
      <c r="B14" s="24" t="s">
        <v>19</v>
      </c>
      <c r="C14" s="25">
        <f t="shared" ref="C14:E14" si="11">SUM(C11+C13)</f>
        <v>24511</v>
      </c>
      <c r="D14" s="25">
        <f t="shared" si="11"/>
        <v>22134</v>
      </c>
      <c r="E14" s="25">
        <f t="shared" si="11"/>
        <v>23244</v>
      </c>
      <c r="F14" s="31"/>
      <c r="G14" s="25">
        <f t="shared" ref="G14" si="12">SUM(G11+G13)</f>
        <v>5416</v>
      </c>
      <c r="H14" s="25">
        <f t="shared" ref="H14" si="13">SUM(H11+H13)</f>
        <v>5495</v>
      </c>
      <c r="I14" s="25">
        <f t="shared" ref="I14" si="14">SUM(I11+I13)</f>
        <v>5538</v>
      </c>
      <c r="J14" s="25">
        <f t="shared" ref="J14" si="15">SUM(J11+J13)</f>
        <v>5685</v>
      </c>
      <c r="K14" s="25">
        <f t="shared" ref="K14" si="16">SUM(K11+K13)</f>
        <v>5501</v>
      </c>
      <c r="L14" s="25">
        <f t="shared" ref="L14" si="17">SUM(L11+L13)</f>
        <v>5774</v>
      </c>
      <c r="M14" s="25">
        <f t="shared" ref="M14" si="18">SUM(M11+M13)</f>
        <v>5937</v>
      </c>
      <c r="N14" s="25">
        <f t="shared" ref="N14" si="19">SUM(N11+N13)</f>
        <v>6032</v>
      </c>
      <c r="O14" s="25">
        <f t="shared" ref="O14" si="20">SUM(O11+O13)</f>
        <v>5890</v>
      </c>
      <c r="P14" s="25">
        <f t="shared" ref="P14" si="21">SUM(P11+P13)</f>
        <v>6288</v>
      </c>
      <c r="Q14" s="25">
        <f t="shared" ref="Q14" si="22">SUM(Q11+Q13)</f>
        <v>6294</v>
      </c>
      <c r="R14" s="5"/>
      <c r="S14" s="25">
        <f t="shared" ref="S14" si="23">SUM(S11+S13)</f>
        <v>22134</v>
      </c>
      <c r="T14" s="25">
        <f t="shared" ref="T14" si="24">SUM(T11+T13)</f>
        <v>22219</v>
      </c>
      <c r="U14" s="25">
        <f t="shared" ref="U14" si="25">SUM(U11+U13)</f>
        <v>22498</v>
      </c>
      <c r="V14" s="25">
        <f t="shared" ref="V14" si="26">SUM(V11+V13)</f>
        <v>22897</v>
      </c>
      <c r="W14" s="25">
        <f t="shared" ref="W14" si="27">SUM(W11+W13)</f>
        <v>23244</v>
      </c>
      <c r="X14" s="25">
        <f t="shared" ref="X14" si="28">SUM(X11+X13)</f>
        <v>23633</v>
      </c>
      <c r="Y14" s="25">
        <f t="shared" ref="Y14" si="29">SUM(Y11+Y13)</f>
        <v>24147</v>
      </c>
      <c r="Z14" s="25">
        <f t="shared" ref="Z14" si="30">SUM(Z11+Z13)</f>
        <v>24504</v>
      </c>
      <c r="AA14" s="11"/>
      <c r="AB14" s="74">
        <f>SUM(Z14/V14)-1</f>
        <v>7.0183866882124191E-2</v>
      </c>
    </row>
    <row r="15" spans="1:28" s="20" customFormat="1">
      <c r="B15" s="16" t="s">
        <v>28</v>
      </c>
      <c r="C15" s="17">
        <f t="shared" ref="C15:E15" si="31">C14/C11</f>
        <v>0.5614963461846838</v>
      </c>
      <c r="D15" s="17">
        <f t="shared" si="31"/>
        <v>0.5518462190530804</v>
      </c>
      <c r="E15" s="17">
        <f t="shared" si="31"/>
        <v>0.55408820023837901</v>
      </c>
      <c r="F15" s="31"/>
      <c r="G15" s="17">
        <f t="shared" ref="G15" si="32">G14/G11</f>
        <v>0.55565815122601825</v>
      </c>
      <c r="H15" s="17">
        <f t="shared" ref="H15" si="33">H14/H11</f>
        <v>0.5507115654439767</v>
      </c>
      <c r="I15" s="17">
        <f t="shared" ref="I15" si="34">I14/I11</f>
        <v>0.54599230996746528</v>
      </c>
      <c r="J15" s="17">
        <f t="shared" ref="J15" si="35">J14/J11</f>
        <v>0.55512157015916419</v>
      </c>
      <c r="K15" s="17">
        <f t="shared" ref="K15" si="36">K14/K11</f>
        <v>0.55208751505419507</v>
      </c>
      <c r="L15" s="17">
        <f t="shared" ref="L15" si="37">L14/L11</f>
        <v>0.55642285824419391</v>
      </c>
      <c r="M15" s="17">
        <f t="shared" ref="M15" si="38">M14/M11</f>
        <v>0.55825105782792661</v>
      </c>
      <c r="N15" s="17">
        <f t="shared" ref="N15" si="39">N14/N11</f>
        <v>0.54966283943867322</v>
      </c>
      <c r="O15" s="17">
        <f t="shared" ref="O15" si="40">O14/O11</f>
        <v>0.56864259509557835</v>
      </c>
      <c r="P15" s="17">
        <f t="shared" ref="P15" si="41">P14/P11</f>
        <v>0.56435110393107157</v>
      </c>
      <c r="Q15" s="17">
        <f t="shared" ref="Q15" si="42">Q14/Q11</f>
        <v>0.55361069575160526</v>
      </c>
      <c r="R15" s="5"/>
      <c r="S15" s="17">
        <f t="shared" ref="S15" si="43">S14/S11</f>
        <v>0.5518462190530804</v>
      </c>
      <c r="T15" s="17">
        <f t="shared" ref="T15" si="44">T14/T11</f>
        <v>0.55098447651639137</v>
      </c>
      <c r="U15" s="17">
        <f t="shared" ref="U15" si="45">U14/U11</f>
        <v>0.55243707796193986</v>
      </c>
      <c r="V15" s="17">
        <f t="shared" ref="V15" si="46">V14/V11</f>
        <v>0.55552320644394304</v>
      </c>
      <c r="W15" s="17">
        <f t="shared" ref="W15" si="47">W14/W11</f>
        <v>0.55408820023837901</v>
      </c>
      <c r="X15" s="17">
        <f t="shared" ref="X15" si="48">X14/X11</f>
        <v>0.55811921405630083</v>
      </c>
      <c r="Y15" s="17">
        <f t="shared" ref="Y15" si="49">Y14/Y11</f>
        <v>0.56013825419286001</v>
      </c>
      <c r="Z15" s="17">
        <f t="shared" ref="Z15" si="50">Z14/Z11</f>
        <v>0.55890335971534799</v>
      </c>
      <c r="AA15" s="11"/>
      <c r="AB15" s="75">
        <f>SUM(Z15-V15)*1000</f>
        <v>3.3801532714049509</v>
      </c>
    </row>
    <row r="16" spans="1:28" s="20" customFormat="1" ht="5.0999999999999996" customHeight="1">
      <c r="B16" s="18"/>
      <c r="C16" s="19"/>
      <c r="D16" s="19"/>
      <c r="E16" s="19"/>
      <c r="G16" s="21"/>
      <c r="H16" s="21"/>
      <c r="I16" s="21"/>
      <c r="J16" s="21"/>
      <c r="K16" s="21"/>
      <c r="L16" s="21"/>
      <c r="M16" s="21"/>
      <c r="N16" s="21"/>
      <c r="O16" s="22"/>
      <c r="P16" s="21"/>
      <c r="Q16" s="21"/>
      <c r="AB16" s="73"/>
    </row>
    <row r="17" spans="2:28" ht="12.75" customHeight="1">
      <c r="B17" s="9" t="s">
        <v>179</v>
      </c>
      <c r="C17" s="93">
        <v>-2013</v>
      </c>
      <c r="D17" s="93">
        <v>-1966</v>
      </c>
      <c r="E17" s="93">
        <v>-1878</v>
      </c>
      <c r="F17" s="31"/>
      <c r="G17" s="93">
        <v>-491</v>
      </c>
      <c r="H17" s="93">
        <v>-498</v>
      </c>
      <c r="I17" s="93">
        <v>-496</v>
      </c>
      <c r="J17" s="31">
        <f t="shared" ref="J17:J19" si="51">SUM(D17-SUM(G17:I17))</f>
        <v>-481</v>
      </c>
      <c r="K17" s="93">
        <v>-472</v>
      </c>
      <c r="L17" s="93">
        <v>-471</v>
      </c>
      <c r="M17" s="93">
        <v>-470</v>
      </c>
      <c r="N17" s="31">
        <f t="shared" ref="N17:N19" si="52">SUM(E17-SUM(K17:M17))</f>
        <v>-465</v>
      </c>
      <c r="O17" s="93">
        <v>-420</v>
      </c>
      <c r="P17" s="93">
        <v>-420</v>
      </c>
      <c r="Q17" s="93">
        <v>-420</v>
      </c>
      <c r="S17" s="31">
        <f t="shared" ref="S17:Z19" si="53">SUM(G17:J17)</f>
        <v>-1966</v>
      </c>
      <c r="T17" s="31">
        <f t="shared" si="53"/>
        <v>-1947</v>
      </c>
      <c r="U17" s="31">
        <f t="shared" si="53"/>
        <v>-1920</v>
      </c>
      <c r="V17" s="31">
        <f t="shared" si="53"/>
        <v>-1894</v>
      </c>
      <c r="W17" s="31">
        <f t="shared" si="53"/>
        <v>-1878</v>
      </c>
      <c r="X17" s="31">
        <f t="shared" si="53"/>
        <v>-1826</v>
      </c>
      <c r="Y17" s="31">
        <f t="shared" si="53"/>
        <v>-1775</v>
      </c>
      <c r="Z17" s="31">
        <f t="shared" si="53"/>
        <v>-1725</v>
      </c>
      <c r="AA17" s="11"/>
      <c r="AB17" s="73">
        <f>SUM(Z17/V17)-1</f>
        <v>-8.9229144667370641E-2</v>
      </c>
    </row>
    <row r="18" spans="2:28" ht="12.75" customHeight="1">
      <c r="B18" s="9" t="s">
        <v>165</v>
      </c>
      <c r="C18" s="93">
        <v>-2888</v>
      </c>
      <c r="D18" s="93">
        <v>-2741</v>
      </c>
      <c r="E18" s="93">
        <v>-2844</v>
      </c>
      <c r="F18" s="31"/>
      <c r="G18" s="93">
        <v>-654</v>
      </c>
      <c r="H18" s="93">
        <v>-715</v>
      </c>
      <c r="I18" s="93">
        <v>-672</v>
      </c>
      <c r="J18" s="31">
        <f t="shared" si="51"/>
        <v>-700</v>
      </c>
      <c r="K18" s="93">
        <v>-684</v>
      </c>
      <c r="L18" s="93">
        <v>-698</v>
      </c>
      <c r="M18" s="93">
        <v>-713</v>
      </c>
      <c r="N18" s="31">
        <f t="shared" si="52"/>
        <v>-749</v>
      </c>
      <c r="O18" s="93">
        <v>-716</v>
      </c>
      <c r="P18" s="93">
        <v>-725</v>
      </c>
      <c r="Q18" s="93">
        <v>-766</v>
      </c>
      <c r="S18" s="31">
        <f t="shared" si="53"/>
        <v>-2741</v>
      </c>
      <c r="T18" s="31">
        <f t="shared" si="53"/>
        <v>-2771</v>
      </c>
      <c r="U18" s="31">
        <f t="shared" si="53"/>
        <v>-2754</v>
      </c>
      <c r="V18" s="31">
        <f t="shared" si="53"/>
        <v>-2795</v>
      </c>
      <c r="W18" s="31">
        <f t="shared" si="53"/>
        <v>-2844</v>
      </c>
      <c r="X18" s="31">
        <f t="shared" si="53"/>
        <v>-2876</v>
      </c>
      <c r="Y18" s="31">
        <f t="shared" si="53"/>
        <v>-2903</v>
      </c>
      <c r="Z18" s="31">
        <f t="shared" si="53"/>
        <v>-2956</v>
      </c>
      <c r="AA18" s="11"/>
      <c r="AB18" s="73">
        <f t="shared" ref="AB18:AB19" si="54">SUM(Z18/V18)-1</f>
        <v>5.7602862254025E-2</v>
      </c>
    </row>
    <row r="19" spans="2:28" ht="12.75" customHeight="1">
      <c r="B19" s="9" t="s">
        <v>164</v>
      </c>
      <c r="C19" s="93">
        <v>-11248</v>
      </c>
      <c r="D19" s="93">
        <v>-10949</v>
      </c>
      <c r="E19" s="93">
        <v>-11697</v>
      </c>
      <c r="F19" s="31"/>
      <c r="G19" s="93">
        <v>-2762</v>
      </c>
      <c r="H19" s="93">
        <v>-2740</v>
      </c>
      <c r="I19" s="93">
        <v>-2723</v>
      </c>
      <c r="J19" s="31">
        <f t="shared" si="51"/>
        <v>-2724</v>
      </c>
      <c r="K19" s="93">
        <v>-2959</v>
      </c>
      <c r="L19" s="93">
        <v>-2936</v>
      </c>
      <c r="M19" s="93">
        <v>-2895</v>
      </c>
      <c r="N19" s="31">
        <f t="shared" si="52"/>
        <v>-2907</v>
      </c>
      <c r="O19" s="93">
        <v>-3061</v>
      </c>
      <c r="P19" s="93">
        <v>-3091</v>
      </c>
      <c r="Q19" s="93">
        <v>-3051</v>
      </c>
      <c r="S19" s="31">
        <f t="shared" si="53"/>
        <v>-10949</v>
      </c>
      <c r="T19" s="31">
        <f t="shared" si="53"/>
        <v>-11146</v>
      </c>
      <c r="U19" s="31">
        <f t="shared" si="53"/>
        <v>-11342</v>
      </c>
      <c r="V19" s="31">
        <f t="shared" si="53"/>
        <v>-11514</v>
      </c>
      <c r="W19" s="31">
        <f t="shared" si="53"/>
        <v>-11697</v>
      </c>
      <c r="X19" s="31">
        <f t="shared" si="53"/>
        <v>-11799</v>
      </c>
      <c r="Y19" s="31">
        <f t="shared" si="53"/>
        <v>-11954</v>
      </c>
      <c r="Z19" s="31">
        <f t="shared" si="53"/>
        <v>-12110</v>
      </c>
      <c r="AA19" s="11"/>
      <c r="AB19" s="73">
        <f t="shared" si="54"/>
        <v>5.1763071043946507E-2</v>
      </c>
    </row>
    <row r="20" spans="2:28" ht="12.75" customHeight="1">
      <c r="B20" s="24" t="s">
        <v>74</v>
      </c>
      <c r="C20" s="25">
        <f t="shared" ref="C20:E20" si="55">+SUM(C14+SUM(C17:C19))</f>
        <v>8362</v>
      </c>
      <c r="D20" s="25">
        <f t="shared" si="55"/>
        <v>6478</v>
      </c>
      <c r="E20" s="25">
        <f t="shared" si="55"/>
        <v>6825</v>
      </c>
      <c r="F20" s="31"/>
      <c r="G20" s="25">
        <f t="shared" ref="G20" si="56">+SUM(G14+SUM(G17:G19))</f>
        <v>1509</v>
      </c>
      <c r="H20" s="25">
        <f t="shared" ref="H20" si="57">+SUM(H14+SUM(H17:H19))</f>
        <v>1542</v>
      </c>
      <c r="I20" s="25">
        <f t="shared" ref="I20" si="58">+SUM(I14+SUM(I17:I19))</f>
        <v>1647</v>
      </c>
      <c r="J20" s="25">
        <f t="shared" ref="J20" si="59">+SUM(J14+SUM(J17:J19))</f>
        <v>1780</v>
      </c>
      <c r="K20" s="25">
        <f t="shared" ref="K20" si="60">+SUM(K14+SUM(K17:K19))</f>
        <v>1386</v>
      </c>
      <c r="L20" s="25">
        <f t="shared" ref="L20" si="61">+SUM(L14+SUM(L17:L19))</f>
        <v>1669</v>
      </c>
      <c r="M20" s="25">
        <f t="shared" ref="M20" si="62">+SUM(M14+SUM(M17:M19))</f>
        <v>1859</v>
      </c>
      <c r="N20" s="25">
        <f t="shared" ref="N20" si="63">+SUM(N14+SUM(N17:N19))</f>
        <v>1911</v>
      </c>
      <c r="O20" s="25">
        <f t="shared" ref="O20" si="64">+SUM(O14+SUM(O17:O19))</f>
        <v>1693</v>
      </c>
      <c r="P20" s="25">
        <f t="shared" ref="P20" si="65">+SUM(P14+SUM(P17:P19))</f>
        <v>2052</v>
      </c>
      <c r="Q20" s="25">
        <f t="shared" ref="Q20" si="66">+SUM(Q14+SUM(Q17:Q19))</f>
        <v>2057</v>
      </c>
      <c r="S20" s="25">
        <f t="shared" ref="S20" si="67">+SUM(S14+SUM(S17:S19))</f>
        <v>6478</v>
      </c>
      <c r="T20" s="25">
        <f t="shared" ref="T20" si="68">+SUM(T14+SUM(T17:T19))</f>
        <v>6355</v>
      </c>
      <c r="U20" s="25">
        <f t="shared" ref="U20" si="69">+SUM(U14+SUM(U17:U19))</f>
        <v>6482</v>
      </c>
      <c r="V20" s="25">
        <f t="shared" ref="V20" si="70">+SUM(V14+SUM(V17:V19))</f>
        <v>6694</v>
      </c>
      <c r="W20" s="25">
        <f t="shared" ref="W20" si="71">+SUM(W14+SUM(W17:W19))</f>
        <v>6825</v>
      </c>
      <c r="X20" s="25">
        <f t="shared" ref="X20" si="72">+SUM(X14+SUM(X17:X19))</f>
        <v>7132</v>
      </c>
      <c r="Y20" s="25">
        <f t="shared" ref="Y20" si="73">+SUM(Y14+SUM(Y17:Y19))</f>
        <v>7515</v>
      </c>
      <c r="Z20" s="25">
        <f t="shared" ref="Z20" si="74">+SUM(Z14+SUM(Z17:Z19))</f>
        <v>7713</v>
      </c>
      <c r="AA20" s="11"/>
      <c r="AB20" s="74">
        <f>SUM(Z20/V20)-1</f>
        <v>0.15222587391694065</v>
      </c>
    </row>
    <row r="21" spans="2:28" ht="12.75" customHeight="1">
      <c r="B21" s="16" t="s">
        <v>30</v>
      </c>
      <c r="C21" s="17">
        <f>C20/C11</f>
        <v>0.19155613588985865</v>
      </c>
      <c r="D21" s="17">
        <f>D20/D11</f>
        <v>0.16150988556184398</v>
      </c>
      <c r="E21" s="17">
        <f>E20/E11</f>
        <v>0.16269368295589989</v>
      </c>
      <c r="F21" s="31"/>
      <c r="G21" s="17">
        <f t="shared" ref="G21:Q21" si="75">G20/G11</f>
        <v>0.15481686672822406</v>
      </c>
      <c r="H21" s="17">
        <f t="shared" si="75"/>
        <v>0.15453998797354179</v>
      </c>
      <c r="I21" s="17">
        <f t="shared" si="75"/>
        <v>0.16237799467613132</v>
      </c>
      <c r="J21" s="17">
        <f t="shared" si="75"/>
        <v>0.17381115125476027</v>
      </c>
      <c r="K21" s="17">
        <f t="shared" si="75"/>
        <v>0.13910076274588518</v>
      </c>
      <c r="L21" s="17">
        <f t="shared" si="75"/>
        <v>0.16083646525970896</v>
      </c>
      <c r="M21" s="17">
        <f t="shared" si="75"/>
        <v>0.17480018805829808</v>
      </c>
      <c r="N21" s="17">
        <f t="shared" si="75"/>
        <v>0.17413887370147621</v>
      </c>
      <c r="O21" s="17">
        <f t="shared" si="75"/>
        <v>0.16344854218961188</v>
      </c>
      <c r="P21" s="17">
        <f t="shared" si="75"/>
        <v>0.18416801292407109</v>
      </c>
      <c r="Q21" s="17">
        <f t="shared" si="75"/>
        <v>0.18093060075644296</v>
      </c>
      <c r="S21" s="17">
        <f t="shared" ref="S21:Z21" si="76">S20/S11</f>
        <v>0.16150988556184398</v>
      </c>
      <c r="T21" s="17">
        <f t="shared" si="76"/>
        <v>0.15759063631404058</v>
      </c>
      <c r="U21" s="17">
        <f t="shared" si="76"/>
        <v>0.15916513198281154</v>
      </c>
      <c r="V21" s="17">
        <f t="shared" si="76"/>
        <v>0.16240871485066841</v>
      </c>
      <c r="W21" s="17">
        <f t="shared" si="76"/>
        <v>0.16269368295589989</v>
      </c>
      <c r="X21" s="17">
        <f t="shared" si="76"/>
        <v>0.16843000188928775</v>
      </c>
      <c r="Y21" s="17">
        <f t="shared" si="76"/>
        <v>0.1743255468695632</v>
      </c>
      <c r="Z21" s="17">
        <f t="shared" si="76"/>
        <v>0.17592318043929475</v>
      </c>
      <c r="AA21" s="11"/>
      <c r="AB21" s="75">
        <f>SUM(Z21-V21)*1000</f>
        <v>13.514465588626345</v>
      </c>
    </row>
    <row r="22" spans="2:28" ht="5.0999999999999996" customHeight="1">
      <c r="B22" s="16"/>
      <c r="C22" s="17"/>
      <c r="D22" s="17"/>
      <c r="E22" s="17"/>
      <c r="F22" s="31"/>
      <c r="G22" s="80"/>
      <c r="H22" s="80"/>
      <c r="I22" s="80"/>
      <c r="J22" s="80"/>
      <c r="K22" s="80"/>
      <c r="L22" s="80"/>
      <c r="M22" s="80"/>
      <c r="N22" s="80"/>
      <c r="O22" s="31"/>
      <c r="P22" s="80"/>
      <c r="Q22" s="80"/>
      <c r="S22" s="31"/>
      <c r="T22" s="31"/>
      <c r="U22" s="31"/>
      <c r="V22" s="31"/>
      <c r="W22" s="31"/>
      <c r="X22" s="31"/>
      <c r="Y22" s="31"/>
      <c r="Z22" s="31"/>
      <c r="AA22" s="11"/>
      <c r="AB22" s="73"/>
    </row>
    <row r="23" spans="2:28" ht="12.75" customHeight="1">
      <c r="B23" s="9" t="s">
        <v>118</v>
      </c>
      <c r="C23" s="80">
        <v>-558</v>
      </c>
      <c r="D23" s="80">
        <v>-637</v>
      </c>
      <c r="E23" s="80">
        <v>-559</v>
      </c>
      <c r="F23" s="31"/>
      <c r="G23" s="80">
        <v>-153</v>
      </c>
      <c r="H23" s="80">
        <v>-159</v>
      </c>
      <c r="I23" s="80">
        <v>-166</v>
      </c>
      <c r="J23" s="31">
        <f t="shared" ref="J23:J26" si="77">SUM(D23-SUM(G23:I23))</f>
        <v>-159</v>
      </c>
      <c r="K23" s="80">
        <v>-141</v>
      </c>
      <c r="L23" s="80">
        <v>-140</v>
      </c>
      <c r="M23" s="80">
        <v>-142</v>
      </c>
      <c r="N23" s="31">
        <f t="shared" ref="N23:N26" si="78">SUM(E23-SUM(K23:M23))</f>
        <v>-136</v>
      </c>
      <c r="O23" s="80">
        <v>-131</v>
      </c>
      <c r="P23" s="80">
        <v>-121</v>
      </c>
      <c r="Q23" s="80">
        <v>-121</v>
      </c>
      <c r="S23" s="31">
        <f t="shared" ref="S23:Z23" si="79">SUM(G23:J23)</f>
        <v>-637</v>
      </c>
      <c r="T23" s="31">
        <f t="shared" si="79"/>
        <v>-625</v>
      </c>
      <c r="U23" s="31">
        <f t="shared" si="79"/>
        <v>-606</v>
      </c>
      <c r="V23" s="31">
        <f t="shared" si="79"/>
        <v>-582</v>
      </c>
      <c r="W23" s="31">
        <f t="shared" si="79"/>
        <v>-559</v>
      </c>
      <c r="X23" s="31">
        <f t="shared" si="79"/>
        <v>-549</v>
      </c>
      <c r="Y23" s="31">
        <f t="shared" si="79"/>
        <v>-530</v>
      </c>
      <c r="Z23" s="31">
        <f t="shared" si="79"/>
        <v>-509</v>
      </c>
      <c r="AA23" s="11"/>
      <c r="AB23" s="73">
        <f t="shared" ref="AB23" si="80">SUM(Z23/V23)-1</f>
        <v>-0.12542955326460481</v>
      </c>
    </row>
    <row r="24" spans="2:28" ht="12.75" customHeight="1">
      <c r="B24" s="9" t="s">
        <v>117</v>
      </c>
      <c r="C24" s="80">
        <v>183</v>
      </c>
      <c r="D24" s="80">
        <v>385</v>
      </c>
      <c r="E24" s="80">
        <v>344</v>
      </c>
      <c r="F24" s="31"/>
      <c r="G24" s="80">
        <v>101</v>
      </c>
      <c r="H24" s="80">
        <v>98</v>
      </c>
      <c r="I24" s="80">
        <v>97</v>
      </c>
      <c r="J24" s="31">
        <f t="shared" si="77"/>
        <v>89</v>
      </c>
      <c r="K24" s="80">
        <v>80</v>
      </c>
      <c r="L24" s="80">
        <v>82</v>
      </c>
      <c r="M24" s="80">
        <v>91</v>
      </c>
      <c r="N24" s="31">
        <f t="shared" si="78"/>
        <v>91</v>
      </c>
      <c r="O24" s="80">
        <v>82</v>
      </c>
      <c r="P24" s="80">
        <v>71</v>
      </c>
      <c r="Q24" s="80">
        <v>77</v>
      </c>
      <c r="S24" s="31">
        <f t="shared" ref="S24:S26" si="81">SUM(G24:J24)</f>
        <v>385</v>
      </c>
      <c r="T24" s="31">
        <f t="shared" ref="T24:T26" si="82">SUM(H24:K24)</f>
        <v>364</v>
      </c>
      <c r="U24" s="31">
        <f t="shared" ref="U24:U26" si="83">SUM(I24:L24)</f>
        <v>348</v>
      </c>
      <c r="V24" s="31">
        <f t="shared" ref="V24:V26" si="84">SUM(J24:M24)</f>
        <v>342</v>
      </c>
      <c r="W24" s="31">
        <f t="shared" ref="W24:W26" si="85">SUM(K24:N24)</f>
        <v>344</v>
      </c>
      <c r="X24" s="31">
        <f t="shared" ref="X24:X26" si="86">SUM(L24:O24)</f>
        <v>346</v>
      </c>
      <c r="Y24" s="31">
        <f t="shared" ref="Y24:Y26" si="87">SUM(M24:P24)</f>
        <v>335</v>
      </c>
      <c r="Z24" s="31">
        <f t="shared" ref="Z24:Z26" si="88">SUM(N24:Q24)</f>
        <v>321</v>
      </c>
      <c r="AA24" s="11"/>
      <c r="AB24" s="73"/>
    </row>
    <row r="25" spans="2:28" ht="12.75" customHeight="1">
      <c r="B25" s="9" t="s">
        <v>122</v>
      </c>
      <c r="C25" s="80">
        <v>-2</v>
      </c>
      <c r="D25" s="80">
        <v>-41</v>
      </c>
      <c r="E25" s="80">
        <v>27</v>
      </c>
      <c r="F25" s="31"/>
      <c r="G25" s="80">
        <v>-6</v>
      </c>
      <c r="H25" s="80">
        <v>-21</v>
      </c>
      <c r="I25" s="80">
        <v>10</v>
      </c>
      <c r="J25" s="31">
        <f t="shared" si="77"/>
        <v>-24</v>
      </c>
      <c r="K25" s="80">
        <v>0</v>
      </c>
      <c r="L25" s="80">
        <v>6</v>
      </c>
      <c r="M25" s="80">
        <v>11</v>
      </c>
      <c r="N25" s="31">
        <f t="shared" si="78"/>
        <v>10</v>
      </c>
      <c r="O25" s="80">
        <v>7</v>
      </c>
      <c r="P25" s="80">
        <v>11</v>
      </c>
      <c r="Q25" s="80">
        <v>17</v>
      </c>
      <c r="S25" s="31">
        <f t="shared" si="81"/>
        <v>-41</v>
      </c>
      <c r="T25" s="31">
        <f t="shared" si="82"/>
        <v>-35</v>
      </c>
      <c r="U25" s="31">
        <f t="shared" si="83"/>
        <v>-8</v>
      </c>
      <c r="V25" s="31">
        <f t="shared" si="84"/>
        <v>-7</v>
      </c>
      <c r="W25" s="31">
        <f t="shared" si="85"/>
        <v>27</v>
      </c>
      <c r="X25" s="31">
        <f t="shared" si="86"/>
        <v>34</v>
      </c>
      <c r="Y25" s="31">
        <f t="shared" si="87"/>
        <v>39</v>
      </c>
      <c r="Z25" s="31">
        <f t="shared" si="88"/>
        <v>45</v>
      </c>
      <c r="AA25" s="11"/>
      <c r="AB25" s="73"/>
    </row>
    <row r="26" spans="2:28" ht="12.75" customHeight="1">
      <c r="B26" s="9" t="s">
        <v>119</v>
      </c>
      <c r="C26" s="80">
        <v>321</v>
      </c>
      <c r="D26" s="80">
        <v>479</v>
      </c>
      <c r="E26" s="80">
        <v>376</v>
      </c>
      <c r="F26" s="31"/>
      <c r="G26" s="80">
        <v>111</v>
      </c>
      <c r="H26" s="80">
        <v>176</v>
      </c>
      <c r="I26" s="80">
        <v>83</v>
      </c>
      <c r="J26" s="31">
        <f t="shared" si="77"/>
        <v>109</v>
      </c>
      <c r="K26" s="80">
        <v>111</v>
      </c>
      <c r="L26" s="80">
        <v>-10</v>
      </c>
      <c r="M26" s="80">
        <v>121</v>
      </c>
      <c r="N26" s="31">
        <f t="shared" si="78"/>
        <v>154</v>
      </c>
      <c r="O26" s="80">
        <v>127</v>
      </c>
      <c r="P26" s="80">
        <v>137</v>
      </c>
      <c r="Q26" s="80">
        <v>150</v>
      </c>
      <c r="S26" s="31">
        <f t="shared" si="81"/>
        <v>479</v>
      </c>
      <c r="T26" s="31">
        <f t="shared" si="82"/>
        <v>479</v>
      </c>
      <c r="U26" s="31">
        <f t="shared" si="83"/>
        <v>293</v>
      </c>
      <c r="V26" s="31">
        <f t="shared" si="84"/>
        <v>331</v>
      </c>
      <c r="W26" s="31">
        <f t="shared" si="85"/>
        <v>376</v>
      </c>
      <c r="X26" s="31">
        <f t="shared" si="86"/>
        <v>392</v>
      </c>
      <c r="Y26" s="31">
        <f t="shared" si="87"/>
        <v>539</v>
      </c>
      <c r="Z26" s="31">
        <f t="shared" si="88"/>
        <v>568</v>
      </c>
      <c r="AA26" s="11"/>
      <c r="AB26" s="73"/>
    </row>
    <row r="27" spans="2:28" ht="12.75" customHeight="1">
      <c r="B27" s="24" t="s">
        <v>110</v>
      </c>
      <c r="C27" s="25">
        <f t="shared" ref="C27:D27" si="89">SUM(C20+SUM(C23:C26))</f>
        <v>8306</v>
      </c>
      <c r="D27" s="25">
        <f t="shared" si="89"/>
        <v>6664</v>
      </c>
      <c r="E27" s="25">
        <f>SUM(E20+SUM(E23:E26))</f>
        <v>7013</v>
      </c>
      <c r="G27" s="25">
        <f t="shared" ref="G27:Q27" si="90">SUM(G20+SUM(G23:G26))</f>
        <v>1562</v>
      </c>
      <c r="H27" s="25">
        <f t="shared" si="90"/>
        <v>1636</v>
      </c>
      <c r="I27" s="25">
        <f t="shared" si="90"/>
        <v>1671</v>
      </c>
      <c r="J27" s="25">
        <f t="shared" si="90"/>
        <v>1795</v>
      </c>
      <c r="K27" s="25">
        <f t="shared" si="90"/>
        <v>1436</v>
      </c>
      <c r="L27" s="25">
        <f t="shared" si="90"/>
        <v>1607</v>
      </c>
      <c r="M27" s="25">
        <f t="shared" si="90"/>
        <v>1940</v>
      </c>
      <c r="N27" s="25">
        <f t="shared" si="90"/>
        <v>2030</v>
      </c>
      <c r="O27" s="25">
        <f t="shared" si="90"/>
        <v>1778</v>
      </c>
      <c r="P27" s="25">
        <f t="shared" si="90"/>
        <v>2150</v>
      </c>
      <c r="Q27" s="25">
        <f t="shared" si="90"/>
        <v>2180</v>
      </c>
      <c r="S27" s="25">
        <f t="shared" ref="S27" si="91">SUM(S20+SUM(S23:S26))</f>
        <v>6664</v>
      </c>
      <c r="T27" s="25">
        <f t="shared" ref="T27" si="92">SUM(T20+SUM(T23:T26))</f>
        <v>6538</v>
      </c>
      <c r="U27" s="25">
        <f t="shared" ref="U27" si="93">SUM(U20+SUM(U23:U26))</f>
        <v>6509</v>
      </c>
      <c r="V27" s="25">
        <f t="shared" ref="V27" si="94">SUM(V20+SUM(V23:V26))</f>
        <v>6778</v>
      </c>
      <c r="W27" s="25">
        <f t="shared" ref="W27" si="95">SUM(W20+SUM(W23:W26))</f>
        <v>7013</v>
      </c>
      <c r="X27" s="25">
        <f t="shared" ref="X27" si="96">SUM(X20+SUM(X23:X26))</f>
        <v>7355</v>
      </c>
      <c r="Y27" s="25">
        <f t="shared" ref="Y27" si="97">SUM(Y20+SUM(Y23:Y26))</f>
        <v>7898</v>
      </c>
      <c r="Z27" s="25">
        <f t="shared" ref="Z27" si="98">SUM(Z20+SUM(Z23:Z26))</f>
        <v>8138</v>
      </c>
      <c r="AA27" s="41"/>
      <c r="AB27" s="74">
        <f>SUM(Z27/V27)-1</f>
        <v>0.20064915904396585</v>
      </c>
    </row>
    <row r="28" spans="2:28" ht="12.75" customHeight="1">
      <c r="B28" s="16" t="s">
        <v>111</v>
      </c>
      <c r="C28" s="17">
        <f>C27/C11</f>
        <v>0.19027329164089524</v>
      </c>
      <c r="D28" s="17">
        <f>D27/D11</f>
        <v>0.16614724874716397</v>
      </c>
      <c r="E28" s="17">
        <f>E27/E11</f>
        <v>0.16717520858164481</v>
      </c>
      <c r="F28" s="26"/>
      <c r="G28" s="17">
        <f t="shared" ref="G28:Q28" si="99">G27/G11</f>
        <v>0.16025443726274752</v>
      </c>
      <c r="H28" s="17">
        <f t="shared" si="99"/>
        <v>0.16396071356985367</v>
      </c>
      <c r="I28" s="17">
        <f t="shared" si="99"/>
        <v>0.16474415853297841</v>
      </c>
      <c r="J28" s="17">
        <f t="shared" si="99"/>
        <v>0.1752758519675813</v>
      </c>
      <c r="K28" s="17">
        <f t="shared" si="99"/>
        <v>0.14411882778000804</v>
      </c>
      <c r="L28" s="17">
        <f t="shared" si="99"/>
        <v>0.15486171340464489</v>
      </c>
      <c r="M28" s="17">
        <f t="shared" si="99"/>
        <v>0.18241654913023037</v>
      </c>
      <c r="N28" s="17">
        <f t="shared" si="99"/>
        <v>0.18498268634955348</v>
      </c>
      <c r="O28" s="17">
        <f t="shared" si="99"/>
        <v>0.17165475960610158</v>
      </c>
      <c r="P28" s="17">
        <f t="shared" si="99"/>
        <v>0.19296356129958714</v>
      </c>
      <c r="Q28" s="17">
        <f t="shared" si="99"/>
        <v>0.19174949423871931</v>
      </c>
      <c r="R28" s="27"/>
      <c r="S28" s="17">
        <f t="shared" ref="S28:Z28" si="100">S27/S11</f>
        <v>0.16614724874716397</v>
      </c>
      <c r="T28" s="17">
        <f t="shared" si="100"/>
        <v>0.16212865149035363</v>
      </c>
      <c r="U28" s="17">
        <f t="shared" si="100"/>
        <v>0.15982811540822592</v>
      </c>
      <c r="V28" s="17">
        <f t="shared" si="100"/>
        <v>0.16444670888225732</v>
      </c>
      <c r="W28" s="17">
        <f t="shared" si="100"/>
        <v>0.16717520858164481</v>
      </c>
      <c r="X28" s="17">
        <f t="shared" si="100"/>
        <v>0.17369639146041943</v>
      </c>
      <c r="Y28" s="17">
        <f t="shared" si="100"/>
        <v>0.18321000255167136</v>
      </c>
      <c r="Z28" s="17">
        <f t="shared" si="100"/>
        <v>0.18561686016011678</v>
      </c>
      <c r="AA28" s="42"/>
      <c r="AB28" s="75">
        <f>SUM(Z28-V28)*1000</f>
        <v>21.170151277859457</v>
      </c>
    </row>
    <row r="29" spans="2:28" ht="5.0999999999999996" customHeight="1">
      <c r="B29" s="16"/>
      <c r="C29" s="17"/>
      <c r="D29" s="17"/>
      <c r="E29" s="17"/>
      <c r="F29" s="26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27"/>
      <c r="S29" s="17"/>
      <c r="T29" s="17"/>
      <c r="U29" s="17"/>
      <c r="V29" s="17"/>
      <c r="W29" s="17"/>
      <c r="X29" s="17"/>
      <c r="Y29" s="17"/>
      <c r="Z29" s="17"/>
      <c r="AA29" s="42"/>
      <c r="AB29" s="75"/>
    </row>
    <row r="30" spans="2:28" ht="12.75" customHeight="1">
      <c r="B30" s="9" t="s">
        <v>95</v>
      </c>
      <c r="C30" s="80">
        <v>-1373</v>
      </c>
      <c r="D30" s="80">
        <v>-941</v>
      </c>
      <c r="E30" s="80">
        <v>6389</v>
      </c>
      <c r="F30" s="31"/>
      <c r="G30" s="80">
        <v>-244</v>
      </c>
      <c r="H30" s="80">
        <v>-261</v>
      </c>
      <c r="I30" s="80">
        <v>-235</v>
      </c>
      <c r="J30" s="31">
        <f t="shared" ref="J30" si="101">SUM(D30-SUM(G30:I30))</f>
        <v>-201</v>
      </c>
      <c r="K30" s="80">
        <v>-211</v>
      </c>
      <c r="L30" s="80">
        <v>-305</v>
      </c>
      <c r="M30" s="80">
        <v>-294</v>
      </c>
      <c r="N30" s="31">
        <f t="shared" ref="N30" si="102">SUM(E30-SUM(K30:M30))</f>
        <v>7199</v>
      </c>
      <c r="O30" s="80">
        <v>-453</v>
      </c>
      <c r="P30" s="80">
        <v>-371</v>
      </c>
      <c r="Q30" s="80">
        <v>-536</v>
      </c>
      <c r="S30" s="31">
        <f t="shared" ref="S30:Z30" si="103">SUM(G30:J30)</f>
        <v>-941</v>
      </c>
      <c r="T30" s="31">
        <f t="shared" si="103"/>
        <v>-908</v>
      </c>
      <c r="U30" s="31">
        <f t="shared" si="103"/>
        <v>-952</v>
      </c>
      <c r="V30" s="31">
        <f t="shared" si="103"/>
        <v>-1011</v>
      </c>
      <c r="W30" s="31">
        <f t="shared" si="103"/>
        <v>6389</v>
      </c>
      <c r="X30" s="31">
        <f t="shared" si="103"/>
        <v>6147</v>
      </c>
      <c r="Y30" s="31">
        <f t="shared" si="103"/>
        <v>6081</v>
      </c>
      <c r="Z30" s="31">
        <f t="shared" si="103"/>
        <v>5839</v>
      </c>
      <c r="AA30" s="11"/>
      <c r="AB30" s="73">
        <f>SUM(Z30/V30)-1</f>
        <v>-6.7754698318496542</v>
      </c>
    </row>
    <row r="31" spans="2:28" ht="12.75" customHeight="1">
      <c r="B31" s="13" t="s">
        <v>96</v>
      </c>
      <c r="C31" s="14">
        <f t="shared" ref="C31:E31" si="104">SUM(C27+SUM(C30:C30))</f>
        <v>6933</v>
      </c>
      <c r="D31" s="14">
        <f t="shared" si="104"/>
        <v>5723</v>
      </c>
      <c r="E31" s="14">
        <f t="shared" si="104"/>
        <v>13402</v>
      </c>
      <c r="F31" s="11"/>
      <c r="G31" s="14">
        <f t="shared" ref="G31:Q31" si="105">SUM(G27+SUM(G30:G30))</f>
        <v>1318</v>
      </c>
      <c r="H31" s="14">
        <f t="shared" si="105"/>
        <v>1375</v>
      </c>
      <c r="I31" s="14">
        <f t="shared" si="105"/>
        <v>1436</v>
      </c>
      <c r="J31" s="14">
        <f t="shared" si="105"/>
        <v>1594</v>
      </c>
      <c r="K31" s="14">
        <f t="shared" si="105"/>
        <v>1225</v>
      </c>
      <c r="L31" s="14">
        <f t="shared" si="105"/>
        <v>1302</v>
      </c>
      <c r="M31" s="14">
        <f t="shared" si="105"/>
        <v>1646</v>
      </c>
      <c r="N31" s="14">
        <f t="shared" si="105"/>
        <v>9229</v>
      </c>
      <c r="O31" s="14">
        <f t="shared" si="105"/>
        <v>1325</v>
      </c>
      <c r="P31" s="14">
        <f t="shared" si="105"/>
        <v>1779</v>
      </c>
      <c r="Q31" s="14">
        <f t="shared" si="105"/>
        <v>1644</v>
      </c>
      <c r="R31" s="31"/>
      <c r="S31" s="14">
        <f t="shared" ref="S31:Z31" si="106">SUM(S27+SUM(S30:S30))</f>
        <v>5723</v>
      </c>
      <c r="T31" s="14">
        <f t="shared" si="106"/>
        <v>5630</v>
      </c>
      <c r="U31" s="14">
        <f t="shared" si="106"/>
        <v>5557</v>
      </c>
      <c r="V31" s="14">
        <f t="shared" si="106"/>
        <v>5767</v>
      </c>
      <c r="W31" s="14">
        <f t="shared" si="106"/>
        <v>13402</v>
      </c>
      <c r="X31" s="14">
        <f t="shared" si="106"/>
        <v>13502</v>
      </c>
      <c r="Y31" s="14">
        <f t="shared" si="106"/>
        <v>13979</v>
      </c>
      <c r="Z31" s="14">
        <f t="shared" si="106"/>
        <v>13977</v>
      </c>
      <c r="AA31" s="35"/>
      <c r="AB31" s="74">
        <f>SUM(Z31/V31)-1</f>
        <v>1.4236171319576902</v>
      </c>
    </row>
    <row r="32" spans="2:28" ht="12.75" customHeight="1">
      <c r="B32" s="16" t="s">
        <v>94</v>
      </c>
      <c r="C32" s="17">
        <f>C31/C11</f>
        <v>0.15882069960827436</v>
      </c>
      <c r="D32" s="17">
        <f>D31/D11</f>
        <v>0.14268618015906653</v>
      </c>
      <c r="E32" s="17">
        <f>E31/E11</f>
        <v>0.3194755661501788</v>
      </c>
      <c r="F32" s="26"/>
      <c r="G32" s="17">
        <f t="shared" ref="G32:Q32" si="107">G31/G11</f>
        <v>0.13522109366984714</v>
      </c>
      <c r="H32" s="17">
        <f t="shared" si="107"/>
        <v>0.13780316696732811</v>
      </c>
      <c r="I32" s="17">
        <f t="shared" si="107"/>
        <v>0.14157547076801735</v>
      </c>
      <c r="J32" s="17">
        <f t="shared" si="107"/>
        <v>0.15564886241577972</v>
      </c>
      <c r="K32" s="17">
        <f t="shared" si="107"/>
        <v>0.12294259333600964</v>
      </c>
      <c r="L32" s="17">
        <f t="shared" si="107"/>
        <v>0.12546978895634575</v>
      </c>
      <c r="M32" s="17">
        <f t="shared" si="107"/>
        <v>0.15477197931358722</v>
      </c>
      <c r="N32" s="17">
        <f t="shared" si="107"/>
        <v>0.84098778932021145</v>
      </c>
      <c r="O32" s="17">
        <f t="shared" si="107"/>
        <v>0.1279204479629272</v>
      </c>
      <c r="P32" s="17">
        <f t="shared" si="107"/>
        <v>0.1596661281637049</v>
      </c>
      <c r="Q32" s="17">
        <f t="shared" si="107"/>
        <v>0.14460374703140119</v>
      </c>
      <c r="R32" s="27"/>
      <c r="S32" s="17">
        <f t="shared" ref="S32:Z32" si="108">S31/S11</f>
        <v>0.14268618015906653</v>
      </c>
      <c r="T32" s="17">
        <f t="shared" si="108"/>
        <v>0.13961216088875664</v>
      </c>
      <c r="U32" s="17">
        <f t="shared" si="108"/>
        <v>0.13645181092694905</v>
      </c>
      <c r="V32" s="17">
        <f t="shared" si="108"/>
        <v>0.13991799500206226</v>
      </c>
      <c r="W32" s="17">
        <f t="shared" si="108"/>
        <v>0.3194755661501788</v>
      </c>
      <c r="X32" s="17">
        <f t="shared" si="108"/>
        <v>0.31886453806914794</v>
      </c>
      <c r="Y32" s="17">
        <f t="shared" si="108"/>
        <v>0.32427103389083484</v>
      </c>
      <c r="Z32" s="17">
        <f t="shared" si="108"/>
        <v>0.31879661519512809</v>
      </c>
      <c r="AA32" s="42"/>
      <c r="AB32" s="75">
        <f>SUM(Z32-V32)*1000</f>
        <v>178.87862019306584</v>
      </c>
    </row>
    <row r="33" spans="1:28" ht="5.0999999999999996" customHeight="1">
      <c r="B33" s="16"/>
      <c r="C33" s="17"/>
      <c r="D33" s="17"/>
      <c r="E33" s="17"/>
      <c r="F33" s="26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27"/>
      <c r="S33" s="17"/>
      <c r="T33" s="17"/>
      <c r="U33" s="17"/>
      <c r="V33" s="17"/>
      <c r="W33" s="17"/>
      <c r="X33" s="17"/>
      <c r="Y33" s="17"/>
      <c r="Z33" s="17"/>
      <c r="AA33" s="42"/>
      <c r="AB33" s="75"/>
    </row>
    <row r="34" spans="1:28" ht="12.75" customHeight="1">
      <c r="B34" s="43" t="s">
        <v>81</v>
      </c>
      <c r="C34" s="80">
        <v>1753</v>
      </c>
      <c r="D34" s="80">
        <v>1740</v>
      </c>
      <c r="E34" s="80">
        <v>1740</v>
      </c>
      <c r="F34" s="26"/>
      <c r="G34" s="80">
        <v>1741.7380000000001</v>
      </c>
      <c r="H34" s="80">
        <v>1740.3589999999999</v>
      </c>
      <c r="I34" s="80">
        <v>1738.7</v>
      </c>
      <c r="J34" s="31">
        <f>D34</f>
        <v>1740</v>
      </c>
      <c r="K34" s="80">
        <v>1740.203</v>
      </c>
      <c r="L34" s="80">
        <v>1743.04</v>
      </c>
      <c r="M34" s="80">
        <v>1739.4659999999999</v>
      </c>
      <c r="N34" s="31">
        <f>E34</f>
        <v>1740</v>
      </c>
      <c r="O34" s="80">
        <v>1739.2059999999999</v>
      </c>
      <c r="P34" s="80">
        <v>1743.4369999999999</v>
      </c>
      <c r="Q34" s="80">
        <v>1742.1420000000001</v>
      </c>
      <c r="R34" s="130"/>
      <c r="S34" s="31">
        <f t="shared" ref="S34:Z34" si="109">J34</f>
        <v>1740</v>
      </c>
      <c r="T34" s="31">
        <f t="shared" si="109"/>
        <v>1740.203</v>
      </c>
      <c r="U34" s="31">
        <f t="shared" si="109"/>
        <v>1743.04</v>
      </c>
      <c r="V34" s="31">
        <f t="shared" si="109"/>
        <v>1739.4659999999999</v>
      </c>
      <c r="W34" s="31">
        <f t="shared" si="109"/>
        <v>1740</v>
      </c>
      <c r="X34" s="31">
        <f t="shared" si="109"/>
        <v>1739.2059999999999</v>
      </c>
      <c r="Y34" s="31">
        <f t="shared" si="109"/>
        <v>1743.4369999999999</v>
      </c>
      <c r="Z34" s="31">
        <f t="shared" si="109"/>
        <v>1742.1420000000001</v>
      </c>
      <c r="AA34" s="42"/>
      <c r="AB34" s="73">
        <f>SUM(Z34/V34)-1</f>
        <v>1.5384031651093366E-3</v>
      </c>
    </row>
    <row r="35" spans="1:28" ht="12.75" customHeight="1">
      <c r="B35" s="13" t="s">
        <v>60</v>
      </c>
      <c r="C35" s="142">
        <f t="shared" ref="C35:E35" si="110">C31/C34</f>
        <v>3.9549343981745579</v>
      </c>
      <c r="D35" s="142">
        <f t="shared" si="110"/>
        <v>3.2890804597701151</v>
      </c>
      <c r="E35" s="142">
        <f t="shared" si="110"/>
        <v>7.7022988505747128</v>
      </c>
      <c r="F35" s="26"/>
      <c r="G35" s="142">
        <f t="shared" ref="G35:Q35" si="111">G31/G34</f>
        <v>0.75671541873691683</v>
      </c>
      <c r="H35" s="142">
        <f t="shared" si="111"/>
        <v>0.79006687700641076</v>
      </c>
      <c r="I35" s="142">
        <f t="shared" si="111"/>
        <v>0.82590441134180703</v>
      </c>
      <c r="J35" s="142">
        <f t="shared" si="111"/>
        <v>0.91609195402298849</v>
      </c>
      <c r="K35" s="142">
        <f t="shared" si="111"/>
        <v>0.7039408620718387</v>
      </c>
      <c r="L35" s="142">
        <f t="shared" si="111"/>
        <v>0.74697080961997431</v>
      </c>
      <c r="M35" s="142">
        <f t="shared" si="111"/>
        <v>0.94626741770175449</v>
      </c>
      <c r="N35" s="142">
        <f t="shared" si="111"/>
        <v>5.3040229885057473</v>
      </c>
      <c r="O35" s="142">
        <f t="shared" si="111"/>
        <v>0.76184189796953328</v>
      </c>
      <c r="P35" s="142">
        <f t="shared" si="111"/>
        <v>1.0203982134140781</v>
      </c>
      <c r="Q35" s="142">
        <f t="shared" si="111"/>
        <v>0.9436659009426327</v>
      </c>
      <c r="R35" s="130"/>
      <c r="S35" s="142">
        <f t="shared" ref="S35:Z35" si="112">S31/S34</f>
        <v>3.2890804597701151</v>
      </c>
      <c r="T35" s="142">
        <f t="shared" si="112"/>
        <v>3.235254737522002</v>
      </c>
      <c r="U35" s="142">
        <f t="shared" si="112"/>
        <v>3.1881081329172023</v>
      </c>
      <c r="V35" s="142">
        <f t="shared" si="112"/>
        <v>3.3153852964070585</v>
      </c>
      <c r="W35" s="142">
        <f t="shared" si="112"/>
        <v>7.7022988505747128</v>
      </c>
      <c r="X35" s="142">
        <f t="shared" si="112"/>
        <v>7.7633126840638775</v>
      </c>
      <c r="Y35" s="142">
        <f t="shared" si="112"/>
        <v>8.0180700535780769</v>
      </c>
      <c r="Z35" s="142">
        <f t="shared" si="112"/>
        <v>8.0228821760797917</v>
      </c>
      <c r="AA35" s="42"/>
      <c r="AB35" s="74">
        <f>SUM(Z35/V35)-1</f>
        <v>1.4198943588168564</v>
      </c>
    </row>
    <row r="36" spans="1:28" ht="5.0999999999999996" customHeight="1">
      <c r="B36" s="24"/>
      <c r="C36" s="47"/>
      <c r="D36" s="47"/>
      <c r="E36" s="47"/>
      <c r="F36" s="141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130"/>
      <c r="S36" s="130"/>
      <c r="T36" s="130"/>
      <c r="U36" s="130"/>
      <c r="V36" s="47"/>
      <c r="W36" s="130"/>
      <c r="X36" s="130"/>
      <c r="Y36" s="130"/>
      <c r="Z36" s="130"/>
      <c r="AA36" s="42"/>
      <c r="AB36" s="73"/>
    </row>
    <row r="37" spans="1:28" ht="12.75" customHeight="1">
      <c r="B37" s="43" t="s">
        <v>61</v>
      </c>
      <c r="C37" s="80">
        <v>1764</v>
      </c>
      <c r="D37" s="80">
        <v>1749</v>
      </c>
      <c r="E37" s="80">
        <v>1748</v>
      </c>
      <c r="F37" s="141"/>
      <c r="G37" s="80">
        <v>1751.7149999999999</v>
      </c>
      <c r="H37" s="80">
        <v>1750.248</v>
      </c>
      <c r="I37" s="80">
        <v>1748.289</v>
      </c>
      <c r="J37" s="31">
        <f>D37</f>
        <v>1749</v>
      </c>
      <c r="K37" s="80">
        <v>1749.652</v>
      </c>
      <c r="L37" s="80">
        <v>1751.153</v>
      </c>
      <c r="M37" s="80">
        <v>1747.597</v>
      </c>
      <c r="N37" s="31">
        <f>E37</f>
        <v>1748</v>
      </c>
      <c r="O37" s="80">
        <v>1747.22</v>
      </c>
      <c r="P37" s="80">
        <v>1750.835</v>
      </c>
      <c r="Q37" s="80">
        <v>1749.3610000000001</v>
      </c>
      <c r="R37" s="130"/>
      <c r="S37" s="31">
        <f t="shared" ref="S37:Z37" si="113">J37</f>
        <v>1749</v>
      </c>
      <c r="T37" s="31">
        <f t="shared" si="113"/>
        <v>1749.652</v>
      </c>
      <c r="U37" s="31">
        <f t="shared" si="113"/>
        <v>1751.153</v>
      </c>
      <c r="V37" s="31">
        <f t="shared" si="113"/>
        <v>1747.597</v>
      </c>
      <c r="W37" s="31">
        <f t="shared" si="113"/>
        <v>1748</v>
      </c>
      <c r="X37" s="31">
        <f t="shared" si="113"/>
        <v>1747.22</v>
      </c>
      <c r="Y37" s="31">
        <f t="shared" si="113"/>
        <v>1750.835</v>
      </c>
      <c r="Z37" s="31">
        <f t="shared" si="113"/>
        <v>1749.3610000000001</v>
      </c>
      <c r="AA37" s="42"/>
      <c r="AB37" s="73">
        <f>SUM(Z37/V37)-1</f>
        <v>1.0093860312190284E-3</v>
      </c>
    </row>
    <row r="38" spans="1:28" ht="12.75" customHeight="1">
      <c r="B38" s="13" t="s">
        <v>80</v>
      </c>
      <c r="C38" s="142">
        <f t="shared" ref="C38:E38" si="114">C31/C37</f>
        <v>3.9302721088435373</v>
      </c>
      <c r="D38" s="142">
        <f t="shared" si="114"/>
        <v>3.2721555174385362</v>
      </c>
      <c r="E38" s="142">
        <f t="shared" si="114"/>
        <v>7.667048054919908</v>
      </c>
      <c r="F38" s="26"/>
      <c r="G38" s="142">
        <f t="shared" ref="G38:Q38" si="115">G31/G37</f>
        <v>0.75240549975309912</v>
      </c>
      <c r="H38" s="142">
        <f t="shared" si="115"/>
        <v>0.78560295455272622</v>
      </c>
      <c r="I38" s="142">
        <f t="shared" si="115"/>
        <v>0.82137449815219343</v>
      </c>
      <c r="J38" s="142">
        <f t="shared" si="115"/>
        <v>0.91137793024585478</v>
      </c>
      <c r="K38" s="142">
        <f t="shared" si="115"/>
        <v>0.7001392276864199</v>
      </c>
      <c r="L38" s="142">
        <f t="shared" si="115"/>
        <v>0.74351013303806124</v>
      </c>
      <c r="M38" s="142">
        <f t="shared" si="115"/>
        <v>0.94186474341624526</v>
      </c>
      <c r="N38" s="142">
        <f t="shared" si="115"/>
        <v>5.27974828375286</v>
      </c>
      <c r="O38" s="142">
        <f t="shared" si="115"/>
        <v>0.7583475463879763</v>
      </c>
      <c r="P38" s="142">
        <f t="shared" si="115"/>
        <v>1.0160866101031794</v>
      </c>
      <c r="Q38" s="142">
        <f t="shared" si="115"/>
        <v>0.93977172236033613</v>
      </c>
      <c r="R38" s="130"/>
      <c r="S38" s="142">
        <f t="shared" ref="S38:Z38" si="116">S31/S37</f>
        <v>3.2721555174385362</v>
      </c>
      <c r="T38" s="142">
        <f t="shared" si="116"/>
        <v>3.2177827362241178</v>
      </c>
      <c r="U38" s="142">
        <f t="shared" si="116"/>
        <v>3.1733377951555348</v>
      </c>
      <c r="V38" s="142">
        <f t="shared" si="116"/>
        <v>3.2999598877773311</v>
      </c>
      <c r="W38" s="142">
        <f t="shared" si="116"/>
        <v>7.667048054919908</v>
      </c>
      <c r="X38" s="142">
        <f t="shared" si="116"/>
        <v>7.7277045821361936</v>
      </c>
      <c r="Y38" s="142">
        <f t="shared" si="116"/>
        <v>7.9841904005802942</v>
      </c>
      <c r="Z38" s="142">
        <f t="shared" si="116"/>
        <v>7.9897745519649739</v>
      </c>
      <c r="AA38" s="42"/>
      <c r="AB38" s="74">
        <f>SUM(Z38/V38)-1</f>
        <v>1.4211732335166172</v>
      </c>
    </row>
    <row r="39" spans="1:28">
      <c r="B39" s="16"/>
      <c r="C39" s="17"/>
      <c r="D39" s="17"/>
      <c r="E39" s="17"/>
      <c r="F39" s="26"/>
      <c r="G39" s="17"/>
      <c r="H39" s="17"/>
      <c r="I39" s="80"/>
      <c r="J39" s="17"/>
      <c r="K39" s="17"/>
      <c r="L39" s="17"/>
      <c r="M39" s="17"/>
      <c r="N39" s="17"/>
      <c r="O39" s="17"/>
      <c r="P39" s="17"/>
      <c r="Q39" s="17"/>
      <c r="R39" s="27"/>
      <c r="S39" s="17"/>
      <c r="T39" s="17"/>
      <c r="U39" s="17"/>
      <c r="V39" s="17"/>
      <c r="W39" s="17"/>
      <c r="X39" s="17"/>
      <c r="Y39" s="17"/>
      <c r="Z39" s="17"/>
      <c r="AA39" s="42"/>
    </row>
    <row r="40" spans="1:28" ht="12.75" customHeight="1">
      <c r="A40" s="5" t="s">
        <v>15</v>
      </c>
      <c r="B40" s="104" t="s">
        <v>70</v>
      </c>
      <c r="C40" s="105"/>
      <c r="D40" s="105"/>
      <c r="E40" s="105"/>
      <c r="F40" s="106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4"/>
      <c r="S40" s="105"/>
      <c r="T40" s="105"/>
      <c r="U40" s="105" t="s">
        <v>10</v>
      </c>
      <c r="V40" s="105"/>
      <c r="W40" s="105"/>
      <c r="X40" s="105"/>
      <c r="Y40" s="105"/>
      <c r="Z40" s="105"/>
      <c r="AA40" s="106"/>
      <c r="AB40" s="166" t="s">
        <v>21</v>
      </c>
    </row>
    <row r="41" spans="1:28" ht="12.75" customHeight="1">
      <c r="B41" s="108" t="str">
        <f t="shared" ref="B41:E42" si="117">B7</f>
        <v>Fiscal Period</v>
      </c>
      <c r="C41" s="107">
        <f t="shared" si="117"/>
        <v>2022</v>
      </c>
      <c r="D41" s="107">
        <f t="shared" si="117"/>
        <v>2023</v>
      </c>
      <c r="E41" s="107">
        <f t="shared" si="117"/>
        <v>2024</v>
      </c>
      <c r="F41" s="106"/>
      <c r="G41" s="107" t="str">
        <f t="shared" ref="G41:Q41" si="118">G7</f>
        <v>1Q23</v>
      </c>
      <c r="H41" s="107" t="str">
        <f t="shared" si="118"/>
        <v>2Q23</v>
      </c>
      <c r="I41" s="107" t="str">
        <f t="shared" si="118"/>
        <v>3Q23</v>
      </c>
      <c r="J41" s="107" t="str">
        <f t="shared" si="118"/>
        <v>4Q23</v>
      </c>
      <c r="K41" s="107" t="str">
        <f t="shared" si="118"/>
        <v>1Q24</v>
      </c>
      <c r="L41" s="107" t="str">
        <f t="shared" si="118"/>
        <v>2Q24</v>
      </c>
      <c r="M41" s="107" t="str">
        <f t="shared" si="118"/>
        <v>3Q24</v>
      </c>
      <c r="N41" s="107" t="str">
        <f t="shared" si="118"/>
        <v>4Q24</v>
      </c>
      <c r="O41" s="107" t="str">
        <f t="shared" si="118"/>
        <v>1Q25</v>
      </c>
      <c r="P41" s="107" t="str">
        <f t="shared" si="118"/>
        <v>2Q25</v>
      </c>
      <c r="Q41" s="107" t="str">
        <f t="shared" si="118"/>
        <v>3Q25</v>
      </c>
      <c r="R41" s="109"/>
      <c r="S41" s="107" t="str">
        <f t="shared" ref="S41:Z42" si="119">S7</f>
        <v>4Q23</v>
      </c>
      <c r="T41" s="107" t="str">
        <f t="shared" si="119"/>
        <v>1Q24</v>
      </c>
      <c r="U41" s="107" t="str">
        <f t="shared" si="119"/>
        <v>2Q24</v>
      </c>
      <c r="V41" s="107" t="str">
        <f t="shared" si="119"/>
        <v>3Q24</v>
      </c>
      <c r="W41" s="107" t="str">
        <f t="shared" si="119"/>
        <v>4Q24</v>
      </c>
      <c r="X41" s="107" t="str">
        <f t="shared" si="119"/>
        <v>1Q25</v>
      </c>
      <c r="Y41" s="107" t="str">
        <f t="shared" si="119"/>
        <v>2Q25</v>
      </c>
      <c r="Z41" s="107" t="str">
        <f t="shared" si="119"/>
        <v>3Q25</v>
      </c>
      <c r="AA41" s="106"/>
      <c r="AB41" s="166"/>
    </row>
    <row r="42" spans="1:28" ht="12.75" customHeight="1">
      <c r="B42" s="108" t="str">
        <f t="shared" si="117"/>
        <v>Fiscal Period End Date</v>
      </c>
      <c r="C42" s="110">
        <f t="shared" si="117"/>
        <v>44926</v>
      </c>
      <c r="D42" s="110">
        <f t="shared" si="117"/>
        <v>45291</v>
      </c>
      <c r="E42" s="110">
        <f t="shared" si="117"/>
        <v>45657</v>
      </c>
      <c r="F42" s="106"/>
      <c r="G42" s="110">
        <f t="shared" ref="G42:Q42" si="120">G8</f>
        <v>45016</v>
      </c>
      <c r="H42" s="110">
        <f t="shared" si="120"/>
        <v>45107</v>
      </c>
      <c r="I42" s="110">
        <f t="shared" si="120"/>
        <v>45199</v>
      </c>
      <c r="J42" s="110">
        <f t="shared" si="120"/>
        <v>45291</v>
      </c>
      <c r="K42" s="110">
        <f t="shared" si="120"/>
        <v>45382</v>
      </c>
      <c r="L42" s="110">
        <f t="shared" si="120"/>
        <v>45473</v>
      </c>
      <c r="M42" s="110">
        <f t="shared" si="120"/>
        <v>45565</v>
      </c>
      <c r="N42" s="110">
        <f t="shared" si="120"/>
        <v>45657</v>
      </c>
      <c r="O42" s="110">
        <f t="shared" si="120"/>
        <v>45747</v>
      </c>
      <c r="P42" s="110">
        <f t="shared" si="120"/>
        <v>45838</v>
      </c>
      <c r="Q42" s="110">
        <f t="shared" si="120"/>
        <v>45930</v>
      </c>
      <c r="R42" s="111"/>
      <c r="S42" s="110">
        <f t="shared" si="119"/>
        <v>45291</v>
      </c>
      <c r="T42" s="110">
        <f t="shared" si="119"/>
        <v>45382</v>
      </c>
      <c r="U42" s="110">
        <f t="shared" si="119"/>
        <v>45473</v>
      </c>
      <c r="V42" s="110">
        <f t="shared" si="119"/>
        <v>45565</v>
      </c>
      <c r="W42" s="110">
        <f t="shared" si="119"/>
        <v>45657</v>
      </c>
      <c r="X42" s="110">
        <f t="shared" si="119"/>
        <v>45747</v>
      </c>
      <c r="Y42" s="110">
        <f t="shared" si="119"/>
        <v>45838</v>
      </c>
      <c r="Z42" s="110">
        <f t="shared" si="119"/>
        <v>45930</v>
      </c>
      <c r="AA42" s="106"/>
      <c r="AB42" s="166"/>
    </row>
    <row r="43" spans="1:28" ht="5.0999999999999996" customHeight="1">
      <c r="B43" s="45"/>
      <c r="C43" s="46"/>
      <c r="D43" s="46"/>
      <c r="E43" s="46"/>
    </row>
    <row r="44" spans="1:28">
      <c r="B44" s="76" t="s">
        <v>75</v>
      </c>
      <c r="C44" s="46"/>
      <c r="D44" s="46"/>
      <c r="E44" s="46"/>
    </row>
    <row r="45" spans="1:28" s="120" customFormat="1" ht="12.75" customHeight="1">
      <c r="B45" s="112" t="s">
        <v>166</v>
      </c>
      <c r="C45" s="121">
        <v>9882</v>
      </c>
      <c r="D45" s="121">
        <v>6896</v>
      </c>
      <c r="E45" s="121">
        <v>7616</v>
      </c>
      <c r="G45" s="80">
        <v>9161</v>
      </c>
      <c r="H45" s="80">
        <v>7835</v>
      </c>
      <c r="I45" s="80">
        <v>6709</v>
      </c>
      <c r="J45" s="31">
        <f t="shared" ref="J45:J49" si="121">D45</f>
        <v>6896</v>
      </c>
      <c r="K45" s="80">
        <v>6284</v>
      </c>
      <c r="L45" s="80">
        <v>6987</v>
      </c>
      <c r="M45" s="80">
        <v>7558</v>
      </c>
      <c r="N45" s="31">
        <f t="shared" ref="N45:N49" si="122">E45</f>
        <v>7616</v>
      </c>
      <c r="O45" s="80">
        <v>6532</v>
      </c>
      <c r="P45" s="80">
        <v>6951</v>
      </c>
      <c r="Q45" s="80">
        <v>7511</v>
      </c>
      <c r="S45" s="94">
        <f t="shared" ref="S45:Z47" si="123">J45</f>
        <v>6896</v>
      </c>
      <c r="T45" s="94">
        <f t="shared" si="123"/>
        <v>6284</v>
      </c>
      <c r="U45" s="94">
        <f t="shared" si="123"/>
        <v>6987</v>
      </c>
      <c r="V45" s="94">
        <f t="shared" si="123"/>
        <v>7558</v>
      </c>
      <c r="W45" s="94">
        <f t="shared" si="123"/>
        <v>7616</v>
      </c>
      <c r="X45" s="94">
        <f t="shared" si="123"/>
        <v>6532</v>
      </c>
      <c r="Y45" s="94">
        <f t="shared" si="123"/>
        <v>6951</v>
      </c>
      <c r="Z45" s="94">
        <f t="shared" si="123"/>
        <v>7511</v>
      </c>
      <c r="AA45" s="122"/>
      <c r="AB45" s="73">
        <f>SUM(Z45/V45)-1</f>
        <v>-6.218576342947868E-3</v>
      </c>
    </row>
    <row r="46" spans="1:28" s="120" customFormat="1" ht="12.75" customHeight="1">
      <c r="B46" s="112" t="s">
        <v>167</v>
      </c>
      <c r="C46" s="121">
        <v>288</v>
      </c>
      <c r="D46" s="121">
        <v>383</v>
      </c>
      <c r="E46" s="121">
        <v>351</v>
      </c>
      <c r="G46" s="80">
        <v>371</v>
      </c>
      <c r="H46" s="80">
        <v>320</v>
      </c>
      <c r="I46" s="80">
        <v>338</v>
      </c>
      <c r="J46" s="31">
        <f t="shared" si="121"/>
        <v>383</v>
      </c>
      <c r="K46" s="80">
        <v>367</v>
      </c>
      <c r="L46" s="80">
        <v>232</v>
      </c>
      <c r="M46" s="80">
        <v>230</v>
      </c>
      <c r="N46" s="31">
        <f t="shared" si="122"/>
        <v>351</v>
      </c>
      <c r="O46" s="80">
        <v>312</v>
      </c>
      <c r="P46" s="80">
        <v>331</v>
      </c>
      <c r="Q46" s="80">
        <v>222</v>
      </c>
      <c r="S46" s="94">
        <f t="shared" si="123"/>
        <v>383</v>
      </c>
      <c r="T46" s="94">
        <f t="shared" si="123"/>
        <v>367</v>
      </c>
      <c r="U46" s="94">
        <f t="shared" si="123"/>
        <v>232</v>
      </c>
      <c r="V46" s="94">
        <f t="shared" si="123"/>
        <v>230</v>
      </c>
      <c r="W46" s="94">
        <f t="shared" si="123"/>
        <v>351</v>
      </c>
      <c r="X46" s="94">
        <f t="shared" si="123"/>
        <v>312</v>
      </c>
      <c r="Y46" s="94">
        <f t="shared" si="123"/>
        <v>331</v>
      </c>
      <c r="Z46" s="94">
        <f t="shared" si="123"/>
        <v>222</v>
      </c>
      <c r="AA46" s="122"/>
      <c r="AB46" s="73">
        <f t="shared" ref="AB46" si="124">SUM(Z46/V46)-1</f>
        <v>-3.4782608695652195E-2</v>
      </c>
    </row>
    <row r="47" spans="1:28" s="120" customFormat="1" ht="12.75" customHeight="1">
      <c r="B47" s="112" t="s">
        <v>151</v>
      </c>
      <c r="C47" s="121">
        <v>6218</v>
      </c>
      <c r="D47" s="121">
        <v>6565</v>
      </c>
      <c r="E47" s="121">
        <v>6925</v>
      </c>
      <c r="G47" s="80">
        <v>6020</v>
      </c>
      <c r="H47" s="80">
        <v>6172</v>
      </c>
      <c r="I47" s="80">
        <v>6499</v>
      </c>
      <c r="J47" s="31">
        <f t="shared" si="121"/>
        <v>6565</v>
      </c>
      <c r="K47" s="80">
        <v>6605</v>
      </c>
      <c r="L47" s="80">
        <v>6854</v>
      </c>
      <c r="M47" s="80">
        <v>7051</v>
      </c>
      <c r="N47" s="31">
        <f t="shared" si="122"/>
        <v>6925</v>
      </c>
      <c r="O47" s="80">
        <v>7327</v>
      </c>
      <c r="P47" s="80">
        <v>7972</v>
      </c>
      <c r="Q47" s="80">
        <v>8138</v>
      </c>
      <c r="S47" s="94">
        <f t="shared" si="123"/>
        <v>6565</v>
      </c>
      <c r="T47" s="94">
        <f t="shared" si="123"/>
        <v>6605</v>
      </c>
      <c r="U47" s="94">
        <f t="shared" si="123"/>
        <v>6854</v>
      </c>
      <c r="V47" s="94">
        <f t="shared" si="123"/>
        <v>7051</v>
      </c>
      <c r="W47" s="94">
        <f t="shared" si="123"/>
        <v>6925</v>
      </c>
      <c r="X47" s="94">
        <f t="shared" si="123"/>
        <v>7327</v>
      </c>
      <c r="Y47" s="94">
        <f t="shared" si="123"/>
        <v>7972</v>
      </c>
      <c r="Z47" s="94">
        <f t="shared" si="123"/>
        <v>8138</v>
      </c>
      <c r="AA47" s="122"/>
      <c r="AB47" s="73">
        <f t="shared" ref="AB47" si="125">SUM(Z47/V47)-1</f>
        <v>0.15416253013756909</v>
      </c>
    </row>
    <row r="48" spans="1:28" s="120" customFormat="1" ht="12.75" customHeight="1">
      <c r="B48" s="112" t="s">
        <v>97</v>
      </c>
      <c r="C48" s="121">
        <v>6173</v>
      </c>
      <c r="D48" s="121">
        <v>6570</v>
      </c>
      <c r="E48" s="121">
        <v>6194</v>
      </c>
      <c r="G48" s="80">
        <v>6673</v>
      </c>
      <c r="H48" s="80">
        <v>6871</v>
      </c>
      <c r="I48" s="80">
        <v>6650</v>
      </c>
      <c r="J48" s="31">
        <f t="shared" si="121"/>
        <v>6570</v>
      </c>
      <c r="K48" s="80">
        <v>6827</v>
      </c>
      <c r="L48" s="80">
        <v>6814</v>
      </c>
      <c r="M48" s="80">
        <v>6813</v>
      </c>
      <c r="N48" s="31">
        <f t="shared" si="122"/>
        <v>6194</v>
      </c>
      <c r="O48" s="80">
        <v>6639</v>
      </c>
      <c r="P48" s="80">
        <v>6954</v>
      </c>
      <c r="Q48" s="80">
        <v>6708</v>
      </c>
      <c r="S48" s="94">
        <f t="shared" ref="S48:Z48" si="126">J48</f>
        <v>6570</v>
      </c>
      <c r="T48" s="94">
        <f t="shared" si="126"/>
        <v>6827</v>
      </c>
      <c r="U48" s="94">
        <f t="shared" si="126"/>
        <v>6814</v>
      </c>
      <c r="V48" s="94">
        <f t="shared" si="126"/>
        <v>6813</v>
      </c>
      <c r="W48" s="94">
        <f t="shared" si="126"/>
        <v>6194</v>
      </c>
      <c r="X48" s="94">
        <f t="shared" si="126"/>
        <v>6639</v>
      </c>
      <c r="Y48" s="94">
        <f t="shared" si="126"/>
        <v>6954</v>
      </c>
      <c r="Z48" s="94">
        <f t="shared" si="126"/>
        <v>6708</v>
      </c>
      <c r="AA48" s="122"/>
      <c r="AB48" s="73">
        <f t="shared" ref="AB48" si="127">SUM(Z48/V48)-1</f>
        <v>-1.5411712901805319E-2</v>
      </c>
    </row>
    <row r="49" spans="2:28" s="120" customFormat="1" ht="12.75" customHeight="1">
      <c r="B49" s="112" t="s">
        <v>168</v>
      </c>
      <c r="C49" s="121">
        <v>2663</v>
      </c>
      <c r="D49" s="121">
        <v>2256</v>
      </c>
      <c r="E49" s="121">
        <v>2570</v>
      </c>
      <c r="G49" s="80">
        <v>2152</v>
      </c>
      <c r="H49" s="80">
        <v>2307</v>
      </c>
      <c r="I49" s="80">
        <v>2468</v>
      </c>
      <c r="J49" s="31">
        <f t="shared" si="121"/>
        <v>2256</v>
      </c>
      <c r="K49" s="80">
        <v>2293</v>
      </c>
      <c r="L49" s="80">
        <v>2232</v>
      </c>
      <c r="M49" s="80">
        <v>2150</v>
      </c>
      <c r="N49" s="31">
        <f t="shared" si="122"/>
        <v>2570</v>
      </c>
      <c r="O49" s="80">
        <v>2343</v>
      </c>
      <c r="P49" s="80">
        <v>2260</v>
      </c>
      <c r="Q49" s="80">
        <v>2260</v>
      </c>
      <c r="S49" s="94">
        <f t="shared" ref="S49:Z49" si="128">J49</f>
        <v>2256</v>
      </c>
      <c r="T49" s="94">
        <f t="shared" si="128"/>
        <v>2293</v>
      </c>
      <c r="U49" s="94">
        <f t="shared" si="128"/>
        <v>2232</v>
      </c>
      <c r="V49" s="94">
        <f t="shared" si="128"/>
        <v>2150</v>
      </c>
      <c r="W49" s="94">
        <f t="shared" si="128"/>
        <v>2570</v>
      </c>
      <c r="X49" s="94">
        <f t="shared" si="128"/>
        <v>2343</v>
      </c>
      <c r="Y49" s="94">
        <f t="shared" si="128"/>
        <v>2260</v>
      </c>
      <c r="Z49" s="94">
        <f t="shared" si="128"/>
        <v>2260</v>
      </c>
      <c r="AA49" s="122"/>
      <c r="AB49" s="73">
        <f t="shared" ref="AB49" si="129">SUM(Z49/V49)-1</f>
        <v>5.1162790697674376E-2</v>
      </c>
    </row>
    <row r="50" spans="2:28" ht="12.75" customHeight="1">
      <c r="B50" s="24" t="s">
        <v>17</v>
      </c>
      <c r="C50" s="25">
        <f>SUM(C45:C49)</f>
        <v>25224</v>
      </c>
      <c r="D50" s="25">
        <f>SUM(D45:D49)</f>
        <v>22670</v>
      </c>
      <c r="E50" s="25">
        <f>SUM(E45:E49)</f>
        <v>23656</v>
      </c>
      <c r="F50" s="47"/>
      <c r="G50" s="25">
        <f t="shared" ref="G50:Q50" si="130">SUM(G45:G49)</f>
        <v>24377</v>
      </c>
      <c r="H50" s="25">
        <f t="shared" si="130"/>
        <v>23505</v>
      </c>
      <c r="I50" s="25">
        <f t="shared" si="130"/>
        <v>22664</v>
      </c>
      <c r="J50" s="25">
        <f t="shared" si="130"/>
        <v>22670</v>
      </c>
      <c r="K50" s="25">
        <f t="shared" si="130"/>
        <v>22376</v>
      </c>
      <c r="L50" s="25">
        <f t="shared" si="130"/>
        <v>23119</v>
      </c>
      <c r="M50" s="25">
        <f t="shared" si="130"/>
        <v>23802</v>
      </c>
      <c r="N50" s="25">
        <f t="shared" si="130"/>
        <v>23656</v>
      </c>
      <c r="O50" s="25">
        <f t="shared" si="130"/>
        <v>23153</v>
      </c>
      <c r="P50" s="25">
        <f t="shared" si="130"/>
        <v>24468</v>
      </c>
      <c r="Q50" s="25">
        <f t="shared" si="130"/>
        <v>24839</v>
      </c>
      <c r="R50" s="47"/>
      <c r="S50" s="25">
        <f t="shared" ref="S50:Z50" si="131">SUM(S45:S49)</f>
        <v>22670</v>
      </c>
      <c r="T50" s="25">
        <f t="shared" si="131"/>
        <v>22376</v>
      </c>
      <c r="U50" s="25">
        <f t="shared" si="131"/>
        <v>23119</v>
      </c>
      <c r="V50" s="25">
        <f t="shared" si="131"/>
        <v>23802</v>
      </c>
      <c r="W50" s="25">
        <f t="shared" si="131"/>
        <v>23656</v>
      </c>
      <c r="X50" s="25">
        <f t="shared" si="131"/>
        <v>23153</v>
      </c>
      <c r="Y50" s="25">
        <f t="shared" si="131"/>
        <v>24468</v>
      </c>
      <c r="Z50" s="25">
        <f t="shared" si="131"/>
        <v>24839</v>
      </c>
      <c r="AA50" s="41"/>
      <c r="AB50" s="74">
        <f>SUM(Z50/V50)-1</f>
        <v>4.3567767414502967E-2</v>
      </c>
    </row>
    <row r="51" spans="2:28" ht="5.0999999999999996" customHeight="1">
      <c r="B51" s="24"/>
      <c r="C51" s="48"/>
      <c r="D51" s="40"/>
      <c r="E51" s="40"/>
      <c r="G51" s="40"/>
      <c r="H51" s="40"/>
      <c r="I51" s="40"/>
      <c r="J51" s="40"/>
      <c r="K51" s="40"/>
      <c r="L51" s="40"/>
      <c r="M51" s="40"/>
      <c r="N51" s="40"/>
      <c r="O51" s="40"/>
      <c r="P51" s="40"/>
      <c r="Q51" s="40"/>
      <c r="S51" s="41"/>
      <c r="T51" s="41"/>
      <c r="U51" s="41"/>
      <c r="V51" s="41"/>
      <c r="W51" s="41"/>
      <c r="X51" s="41"/>
      <c r="Y51" s="41"/>
      <c r="Z51" s="41"/>
      <c r="AA51" s="41"/>
      <c r="AB51" s="38"/>
    </row>
    <row r="52" spans="2:28" ht="12.75" customHeight="1">
      <c r="B52" s="76" t="s">
        <v>76</v>
      </c>
      <c r="C52" s="80"/>
      <c r="D52" s="80"/>
      <c r="E52" s="80"/>
      <c r="G52" s="80"/>
      <c r="H52" s="80"/>
      <c r="I52" s="80"/>
      <c r="J52" s="80"/>
      <c r="K52" s="80"/>
      <c r="L52" s="80"/>
      <c r="M52" s="80"/>
      <c r="N52" s="80"/>
      <c r="O52" s="31"/>
      <c r="P52" s="80"/>
      <c r="Q52" s="80"/>
      <c r="S52" s="31"/>
      <c r="T52" s="31"/>
      <c r="U52" s="31"/>
      <c r="V52" s="31"/>
      <c r="W52" s="31"/>
      <c r="X52" s="31"/>
      <c r="Y52" s="31"/>
      <c r="Z52" s="31"/>
      <c r="AA52" s="11"/>
      <c r="AB52" s="73"/>
    </row>
    <row r="53" spans="2:28" ht="12.75" customHeight="1">
      <c r="B53" s="9" t="s">
        <v>152</v>
      </c>
      <c r="C53" s="80">
        <v>766</v>
      </c>
      <c r="D53" s="80">
        <v>799</v>
      </c>
      <c r="E53" s="80">
        <v>886</v>
      </c>
      <c r="G53" s="80">
        <v>776</v>
      </c>
      <c r="H53" s="80">
        <v>799</v>
      </c>
      <c r="I53" s="80">
        <v>788</v>
      </c>
      <c r="J53" s="31">
        <f t="shared" ref="J53:J57" si="132">D53</f>
        <v>799</v>
      </c>
      <c r="K53" s="80">
        <v>818</v>
      </c>
      <c r="L53" s="80">
        <v>877</v>
      </c>
      <c r="M53" s="80">
        <v>912</v>
      </c>
      <c r="N53" s="31">
        <f t="shared" ref="N53:N57" si="133">E53</f>
        <v>886</v>
      </c>
      <c r="O53" s="80">
        <v>907</v>
      </c>
      <c r="P53" s="80">
        <v>958</v>
      </c>
      <c r="Q53" s="80">
        <v>951</v>
      </c>
      <c r="S53" s="31">
        <f t="shared" ref="S53:Z54" si="134">J53</f>
        <v>799</v>
      </c>
      <c r="T53" s="31">
        <f t="shared" si="134"/>
        <v>818</v>
      </c>
      <c r="U53" s="31">
        <f t="shared" si="134"/>
        <v>877</v>
      </c>
      <c r="V53" s="31">
        <f t="shared" si="134"/>
        <v>912</v>
      </c>
      <c r="W53" s="31">
        <f t="shared" si="134"/>
        <v>886</v>
      </c>
      <c r="X53" s="31">
        <f t="shared" si="134"/>
        <v>907</v>
      </c>
      <c r="Y53" s="31">
        <f t="shared" si="134"/>
        <v>958</v>
      </c>
      <c r="Z53" s="31">
        <f t="shared" si="134"/>
        <v>951</v>
      </c>
      <c r="AA53" s="11"/>
      <c r="AB53" s="73">
        <f t="shared" ref="AB53:AB58" si="135">SUM(Z53/V53)-1</f>
        <v>4.2763157894736947E-2</v>
      </c>
    </row>
    <row r="54" spans="2:28" ht="12.75" customHeight="1">
      <c r="B54" s="9" t="s">
        <v>153</v>
      </c>
      <c r="C54" s="80">
        <v>9162</v>
      </c>
      <c r="D54" s="80">
        <v>10154</v>
      </c>
      <c r="E54" s="80">
        <v>10658</v>
      </c>
      <c r="G54" s="80">
        <v>9282</v>
      </c>
      <c r="H54" s="80">
        <v>9449</v>
      </c>
      <c r="I54" s="80">
        <v>9552</v>
      </c>
      <c r="J54" s="31">
        <f t="shared" si="132"/>
        <v>10154</v>
      </c>
      <c r="K54" s="80">
        <v>10107</v>
      </c>
      <c r="L54" s="80">
        <v>10233</v>
      </c>
      <c r="M54" s="80">
        <v>10621</v>
      </c>
      <c r="N54" s="31">
        <f t="shared" si="133"/>
        <v>10658</v>
      </c>
      <c r="O54" s="80">
        <v>10932</v>
      </c>
      <c r="P54" s="80">
        <v>11395</v>
      </c>
      <c r="Q54" s="80">
        <v>11504</v>
      </c>
      <c r="S54" s="31">
        <f t="shared" si="134"/>
        <v>10154</v>
      </c>
      <c r="T54" s="31">
        <f t="shared" si="134"/>
        <v>10107</v>
      </c>
      <c r="U54" s="31">
        <f t="shared" si="134"/>
        <v>10233</v>
      </c>
      <c r="V54" s="31">
        <f t="shared" si="134"/>
        <v>10621</v>
      </c>
      <c r="W54" s="31">
        <f t="shared" si="134"/>
        <v>10658</v>
      </c>
      <c r="X54" s="31">
        <f t="shared" si="134"/>
        <v>10932</v>
      </c>
      <c r="Y54" s="31">
        <f t="shared" si="134"/>
        <v>11395</v>
      </c>
      <c r="Z54" s="31">
        <f t="shared" si="134"/>
        <v>11504</v>
      </c>
      <c r="AA54" s="11"/>
      <c r="AB54" s="73">
        <f t="shared" si="135"/>
        <v>8.3137181056397669E-2</v>
      </c>
    </row>
    <row r="55" spans="2:28" ht="12.75" customHeight="1">
      <c r="B55" s="9" t="s">
        <v>169</v>
      </c>
      <c r="C55" s="80">
        <v>10454</v>
      </c>
      <c r="D55" s="80">
        <v>8815</v>
      </c>
      <c r="E55" s="80">
        <v>6647</v>
      </c>
      <c r="G55" s="80">
        <v>10006</v>
      </c>
      <c r="H55" s="80">
        <v>9834</v>
      </c>
      <c r="I55" s="80">
        <v>9282</v>
      </c>
      <c r="J55" s="31">
        <f t="shared" si="132"/>
        <v>8815</v>
      </c>
      <c r="K55" s="80">
        <v>8296</v>
      </c>
      <c r="L55" s="80">
        <v>7827</v>
      </c>
      <c r="M55" s="80">
        <v>7352</v>
      </c>
      <c r="N55" s="31">
        <f t="shared" si="133"/>
        <v>6647</v>
      </c>
      <c r="O55" s="80">
        <v>6261</v>
      </c>
      <c r="P55" s="80">
        <v>5920</v>
      </c>
      <c r="Q55" s="80">
        <v>5598</v>
      </c>
      <c r="S55" s="31">
        <f t="shared" ref="S55" si="136">J55</f>
        <v>8815</v>
      </c>
      <c r="T55" s="31">
        <f t="shared" ref="T55" si="137">K55</f>
        <v>8296</v>
      </c>
      <c r="U55" s="31">
        <f t="shared" ref="U55" si="138">L55</f>
        <v>7827</v>
      </c>
      <c r="V55" s="31">
        <f t="shared" ref="V55" si="139">M55</f>
        <v>7352</v>
      </c>
      <c r="W55" s="31">
        <f t="shared" ref="W55" si="140">N55</f>
        <v>6647</v>
      </c>
      <c r="X55" s="31">
        <f t="shared" ref="X55" si="141">O55</f>
        <v>6261</v>
      </c>
      <c r="Y55" s="31">
        <f t="shared" ref="Y55" si="142">P55</f>
        <v>5920</v>
      </c>
      <c r="Z55" s="31">
        <f t="shared" ref="Z55" si="143">Q55</f>
        <v>5598</v>
      </c>
      <c r="AA55" s="11"/>
      <c r="AB55" s="73">
        <f t="shared" si="135"/>
        <v>-0.23857453754080526</v>
      </c>
    </row>
    <row r="56" spans="2:28" ht="12.75" customHeight="1">
      <c r="B56" s="9" t="s">
        <v>98</v>
      </c>
      <c r="C56" s="80">
        <v>22799</v>
      </c>
      <c r="D56" s="80">
        <v>23679</v>
      </c>
      <c r="E56" s="80">
        <v>23108</v>
      </c>
      <c r="G56" s="80">
        <v>22927</v>
      </c>
      <c r="H56" s="80">
        <v>23258</v>
      </c>
      <c r="I56" s="80">
        <v>23277</v>
      </c>
      <c r="J56" s="31">
        <f t="shared" si="132"/>
        <v>23679</v>
      </c>
      <c r="K56" s="80">
        <v>23383</v>
      </c>
      <c r="L56" s="80">
        <v>23308</v>
      </c>
      <c r="M56" s="80">
        <v>23658</v>
      </c>
      <c r="N56" s="31">
        <f t="shared" si="133"/>
        <v>23108</v>
      </c>
      <c r="O56" s="80">
        <v>23359</v>
      </c>
      <c r="P56" s="80">
        <v>23952</v>
      </c>
      <c r="Q56" s="80">
        <v>23971</v>
      </c>
      <c r="S56" s="31">
        <f t="shared" ref="S56" si="144">J56</f>
        <v>23679</v>
      </c>
      <c r="T56" s="31">
        <f t="shared" ref="T56" si="145">K56</f>
        <v>23383</v>
      </c>
      <c r="U56" s="31">
        <f t="shared" ref="U56" si="146">L56</f>
        <v>23308</v>
      </c>
      <c r="V56" s="31">
        <f t="shared" ref="V56" si="147">M56</f>
        <v>23658</v>
      </c>
      <c r="W56" s="31">
        <f t="shared" ref="W56" si="148">N56</f>
        <v>23108</v>
      </c>
      <c r="X56" s="31">
        <f t="shared" ref="X56" si="149">O56</f>
        <v>23359</v>
      </c>
      <c r="Y56" s="31">
        <f t="shared" ref="Y56" si="150">P56</f>
        <v>23952</v>
      </c>
      <c r="Z56" s="31">
        <f t="shared" ref="Z56" si="151">Q56</f>
        <v>23971</v>
      </c>
      <c r="AA56" s="11"/>
      <c r="AB56" s="73">
        <f t="shared" ref="AB56" si="152">SUM(Z56/V56)-1</f>
        <v>1.3230196973539554E-2</v>
      </c>
    </row>
    <row r="57" spans="2:28" ht="12.75" customHeight="1">
      <c r="B57" s="9" t="s">
        <v>170</v>
      </c>
      <c r="C57" s="80">
        <v>6033</v>
      </c>
      <c r="D57" s="80">
        <v>7097</v>
      </c>
      <c r="E57" s="80">
        <v>16459</v>
      </c>
      <c r="G57" s="80">
        <v>6426</v>
      </c>
      <c r="H57" s="80">
        <v>6509</v>
      </c>
      <c r="I57" s="80">
        <v>6527</v>
      </c>
      <c r="J57" s="31">
        <f t="shared" si="132"/>
        <v>7097</v>
      </c>
      <c r="K57" s="80">
        <v>7487</v>
      </c>
      <c r="L57" s="80">
        <v>7653</v>
      </c>
      <c r="M57" s="80">
        <v>8011</v>
      </c>
      <c r="N57" s="31">
        <f t="shared" si="133"/>
        <v>16459</v>
      </c>
      <c r="O57" s="80">
        <v>16836</v>
      </c>
      <c r="P57" s="80">
        <v>17306</v>
      </c>
      <c r="Q57" s="80">
        <v>17318</v>
      </c>
      <c r="S57" s="31">
        <f t="shared" ref="S57" si="153">J57</f>
        <v>7097</v>
      </c>
      <c r="T57" s="31">
        <f t="shared" ref="T57" si="154">K57</f>
        <v>7487</v>
      </c>
      <c r="U57" s="31">
        <f t="shared" ref="U57" si="155">L57</f>
        <v>7653</v>
      </c>
      <c r="V57" s="31">
        <f t="shared" ref="V57" si="156">M57</f>
        <v>8011</v>
      </c>
      <c r="W57" s="31">
        <f t="shared" ref="W57" si="157">N57</f>
        <v>16459</v>
      </c>
      <c r="X57" s="31">
        <f t="shared" ref="X57" si="158">O57</f>
        <v>16836</v>
      </c>
      <c r="Y57" s="31">
        <f t="shared" ref="Y57" si="159">P57</f>
        <v>17306</v>
      </c>
      <c r="Z57" s="31">
        <f t="shared" ref="Z57" si="160">Q57</f>
        <v>17318</v>
      </c>
      <c r="AA57" s="11"/>
      <c r="AB57" s="73">
        <f t="shared" si="135"/>
        <v>1.1617775558606915</v>
      </c>
    </row>
    <row r="58" spans="2:28" ht="12.75" customHeight="1">
      <c r="B58" s="13" t="s">
        <v>18</v>
      </c>
      <c r="C58" s="14">
        <f>SUM(C53:C57)+C50</f>
        <v>74438</v>
      </c>
      <c r="D58" s="14">
        <f>SUM(D53:D57)+D50</f>
        <v>73214</v>
      </c>
      <c r="E58" s="14">
        <f>SUM(E53:E57)+E50</f>
        <v>81414</v>
      </c>
      <c r="G58" s="14">
        <f t="shared" ref="G58:Q58" si="161">SUM(G53:G57)+G50</f>
        <v>73794</v>
      </c>
      <c r="H58" s="14">
        <f t="shared" si="161"/>
        <v>73354</v>
      </c>
      <c r="I58" s="14">
        <f t="shared" si="161"/>
        <v>72090</v>
      </c>
      <c r="J58" s="14">
        <f t="shared" si="161"/>
        <v>73214</v>
      </c>
      <c r="K58" s="14">
        <f t="shared" si="161"/>
        <v>72467</v>
      </c>
      <c r="L58" s="14">
        <f t="shared" si="161"/>
        <v>73017</v>
      </c>
      <c r="M58" s="14">
        <f t="shared" si="161"/>
        <v>74356</v>
      </c>
      <c r="N58" s="14">
        <f t="shared" si="161"/>
        <v>81414</v>
      </c>
      <c r="O58" s="14">
        <f t="shared" si="161"/>
        <v>81448</v>
      </c>
      <c r="P58" s="14">
        <f t="shared" si="161"/>
        <v>83999</v>
      </c>
      <c r="Q58" s="14">
        <f t="shared" si="161"/>
        <v>84181</v>
      </c>
      <c r="S58" s="14">
        <f t="shared" ref="S58:Z58" si="162">SUM(S53:S57)+S50</f>
        <v>73214</v>
      </c>
      <c r="T58" s="14">
        <f t="shared" si="162"/>
        <v>72467</v>
      </c>
      <c r="U58" s="14">
        <f t="shared" si="162"/>
        <v>73017</v>
      </c>
      <c r="V58" s="14">
        <f t="shared" si="162"/>
        <v>74356</v>
      </c>
      <c r="W58" s="14">
        <f t="shared" si="162"/>
        <v>81414</v>
      </c>
      <c r="X58" s="14">
        <f t="shared" si="162"/>
        <v>81448</v>
      </c>
      <c r="Y58" s="14">
        <f t="shared" si="162"/>
        <v>83999</v>
      </c>
      <c r="Z58" s="33">
        <f t="shared" si="162"/>
        <v>84181</v>
      </c>
      <c r="AA58" s="41"/>
      <c r="AB58" s="74">
        <f t="shared" si="135"/>
        <v>0.13213459572865682</v>
      </c>
    </row>
    <row r="59" spans="2:28" ht="12.75" customHeight="1">
      <c r="B59" s="24"/>
      <c r="C59" s="49"/>
      <c r="D59" s="40"/>
      <c r="E59" s="40"/>
      <c r="G59" s="40"/>
      <c r="H59" s="40"/>
      <c r="I59" s="40"/>
      <c r="J59" s="40"/>
      <c r="K59" s="40"/>
      <c r="L59" s="40"/>
      <c r="M59" s="40"/>
      <c r="N59" s="40"/>
      <c r="O59" s="40"/>
      <c r="P59" s="40"/>
      <c r="Q59" s="40"/>
      <c r="S59" s="41"/>
      <c r="T59" s="41"/>
      <c r="U59" s="41"/>
      <c r="V59" s="41"/>
      <c r="W59" s="41"/>
      <c r="X59" s="41"/>
      <c r="Y59" s="41"/>
      <c r="Z59" s="41"/>
      <c r="AA59" s="41"/>
      <c r="AB59" s="38"/>
    </row>
    <row r="60" spans="2:28" ht="12.75" customHeight="1">
      <c r="B60" s="76" t="s">
        <v>43</v>
      </c>
      <c r="C60" s="49"/>
      <c r="D60" s="40"/>
      <c r="E60" s="40"/>
      <c r="G60" s="40"/>
      <c r="H60" s="40"/>
      <c r="I60" s="40"/>
      <c r="J60" s="40"/>
      <c r="K60" s="40"/>
      <c r="L60" s="40"/>
      <c r="M60" s="40"/>
      <c r="N60" s="40"/>
      <c r="O60" s="40"/>
      <c r="P60" s="40"/>
      <c r="Q60" s="40"/>
      <c r="S60" s="41"/>
      <c r="T60" s="41"/>
      <c r="U60" s="41"/>
      <c r="V60" s="41"/>
      <c r="W60" s="41"/>
      <c r="X60" s="41"/>
      <c r="Y60" s="41"/>
      <c r="Z60" s="41"/>
      <c r="AA60" s="41"/>
      <c r="AB60" s="38"/>
    </row>
    <row r="61" spans="2:28" ht="12.75" customHeight="1">
      <c r="B61" s="118" t="s">
        <v>171</v>
      </c>
      <c r="C61" s="119">
        <v>4607</v>
      </c>
      <c r="D61" s="119">
        <v>4295</v>
      </c>
      <c r="E61" s="119">
        <v>4195</v>
      </c>
      <c r="G61" s="80">
        <v>4167</v>
      </c>
      <c r="H61" s="80">
        <v>4211</v>
      </c>
      <c r="I61" s="80">
        <v>3961</v>
      </c>
      <c r="J61" s="31">
        <f t="shared" ref="J61:J66" si="163">D61</f>
        <v>4295</v>
      </c>
      <c r="K61" s="80">
        <v>4178</v>
      </c>
      <c r="L61" s="80">
        <v>4125</v>
      </c>
      <c r="M61" s="80">
        <v>4034</v>
      </c>
      <c r="N61" s="31">
        <f t="shared" ref="N61:N66" si="164">E61</f>
        <v>4195</v>
      </c>
      <c r="O61" s="80">
        <v>4214</v>
      </c>
      <c r="P61" s="80">
        <v>4306</v>
      </c>
      <c r="Q61" s="80">
        <v>4123</v>
      </c>
      <c r="S61" s="95">
        <f t="shared" ref="S61:Z62" si="165">J61</f>
        <v>4295</v>
      </c>
      <c r="T61" s="95">
        <f t="shared" si="165"/>
        <v>4178</v>
      </c>
      <c r="U61" s="95">
        <f t="shared" si="165"/>
        <v>4125</v>
      </c>
      <c r="V61" s="95">
        <f t="shared" si="165"/>
        <v>4034</v>
      </c>
      <c r="W61" s="95">
        <f t="shared" si="165"/>
        <v>4195</v>
      </c>
      <c r="X61" s="95">
        <f t="shared" si="165"/>
        <v>4214</v>
      </c>
      <c r="Y61" s="95">
        <f t="shared" si="165"/>
        <v>4306</v>
      </c>
      <c r="Z61" s="95">
        <f t="shared" si="165"/>
        <v>4123</v>
      </c>
      <c r="AA61" s="11"/>
      <c r="AB61" s="73">
        <f t="shared" ref="AB61:AB67" si="166">SUM(Z61/V61)-1</f>
        <v>2.2062469013386155E-2</v>
      </c>
    </row>
    <row r="62" spans="2:28" ht="12.75" customHeight="1">
      <c r="B62" s="118" t="s">
        <v>172</v>
      </c>
      <c r="C62" s="119">
        <v>1556</v>
      </c>
      <c r="D62" s="119">
        <v>1597</v>
      </c>
      <c r="E62" s="119">
        <v>1701</v>
      </c>
      <c r="G62" s="80">
        <v>1098</v>
      </c>
      <c r="H62" s="80">
        <v>1362</v>
      </c>
      <c r="I62" s="80">
        <v>1479</v>
      </c>
      <c r="J62" s="31">
        <f t="shared" si="163"/>
        <v>1597</v>
      </c>
      <c r="K62" s="80">
        <v>1092</v>
      </c>
      <c r="L62" s="80">
        <v>1389</v>
      </c>
      <c r="M62" s="80">
        <v>1618</v>
      </c>
      <c r="N62" s="31">
        <f t="shared" si="164"/>
        <v>1701</v>
      </c>
      <c r="O62" s="80">
        <v>1167</v>
      </c>
      <c r="P62" s="80">
        <v>1550</v>
      </c>
      <c r="Q62" s="80">
        <v>1735</v>
      </c>
      <c r="S62" s="95">
        <f t="shared" si="165"/>
        <v>1597</v>
      </c>
      <c r="T62" s="95">
        <f t="shared" si="165"/>
        <v>1092</v>
      </c>
      <c r="U62" s="95">
        <f t="shared" si="165"/>
        <v>1389</v>
      </c>
      <c r="V62" s="95">
        <f t="shared" si="165"/>
        <v>1618</v>
      </c>
      <c r="W62" s="95">
        <f t="shared" si="165"/>
        <v>1701</v>
      </c>
      <c r="X62" s="95">
        <f t="shared" si="165"/>
        <v>1167</v>
      </c>
      <c r="Y62" s="95">
        <f t="shared" si="165"/>
        <v>1550</v>
      </c>
      <c r="Z62" s="95">
        <f t="shared" si="165"/>
        <v>1735</v>
      </c>
      <c r="AA62" s="11"/>
      <c r="AB62" s="73">
        <f t="shared" ref="AB62" si="167">SUM(Z62/V62)-1</f>
        <v>7.2311495673671233E-2</v>
      </c>
    </row>
    <row r="63" spans="2:28" ht="12.75" customHeight="1">
      <c r="B63" s="118" t="s">
        <v>173</v>
      </c>
      <c r="C63" s="119">
        <v>5845</v>
      </c>
      <c r="D63" s="119">
        <v>5422</v>
      </c>
      <c r="E63" s="119">
        <v>5143</v>
      </c>
      <c r="G63" s="80">
        <v>5758</v>
      </c>
      <c r="H63" s="80">
        <v>5334</v>
      </c>
      <c r="I63" s="80">
        <v>5347</v>
      </c>
      <c r="J63" s="31">
        <f t="shared" si="163"/>
        <v>5422</v>
      </c>
      <c r="K63" s="80">
        <v>5220</v>
      </c>
      <c r="L63" s="80">
        <v>5071</v>
      </c>
      <c r="M63" s="80">
        <v>5427</v>
      </c>
      <c r="N63" s="31">
        <f t="shared" si="164"/>
        <v>5143</v>
      </c>
      <c r="O63" s="80">
        <v>5600</v>
      </c>
      <c r="P63" s="80">
        <v>5656</v>
      </c>
      <c r="Q63" s="80">
        <v>5880</v>
      </c>
      <c r="S63" s="95">
        <f t="shared" ref="S63:S65" si="168">J63</f>
        <v>5422</v>
      </c>
      <c r="T63" s="95">
        <f t="shared" ref="T63:T65" si="169">K63</f>
        <v>5220</v>
      </c>
      <c r="U63" s="95">
        <f t="shared" ref="U63:U65" si="170">L63</f>
        <v>5071</v>
      </c>
      <c r="V63" s="95">
        <f t="shared" ref="V63:V65" si="171">M63</f>
        <v>5427</v>
      </c>
      <c r="W63" s="95">
        <f t="shared" ref="W63:W65" si="172">N63</f>
        <v>5143</v>
      </c>
      <c r="X63" s="95">
        <f t="shared" ref="X63:X65" si="173">O63</f>
        <v>5600</v>
      </c>
      <c r="Y63" s="95">
        <f t="shared" ref="Y63:Y65" si="174">P63</f>
        <v>5656</v>
      </c>
      <c r="Z63" s="95">
        <f t="shared" ref="Z63:Z65" si="175">Q63</f>
        <v>5880</v>
      </c>
      <c r="AA63" s="11"/>
      <c r="AB63" s="73">
        <f t="shared" ref="AB63:AB65" si="176">SUM(Z63/V63)-1</f>
        <v>8.3471531232725216E-2</v>
      </c>
    </row>
    <row r="64" spans="2:28" ht="12.75" customHeight="1">
      <c r="B64" s="118" t="s">
        <v>174</v>
      </c>
      <c r="C64" s="119">
        <v>887</v>
      </c>
      <c r="D64" s="119">
        <v>955</v>
      </c>
      <c r="E64" s="119">
        <v>1024</v>
      </c>
      <c r="G64" s="80">
        <v>888</v>
      </c>
      <c r="H64" s="80">
        <v>886</v>
      </c>
      <c r="I64" s="80">
        <v>886</v>
      </c>
      <c r="J64" s="31">
        <f t="shared" si="163"/>
        <v>955</v>
      </c>
      <c r="K64" s="80">
        <v>959</v>
      </c>
      <c r="L64" s="80">
        <v>959</v>
      </c>
      <c r="M64" s="80">
        <v>956</v>
      </c>
      <c r="N64" s="31">
        <f t="shared" si="164"/>
        <v>1024</v>
      </c>
      <c r="O64" s="80">
        <v>1032</v>
      </c>
      <c r="P64" s="80">
        <v>1030</v>
      </c>
      <c r="Q64" s="80">
        <v>1030</v>
      </c>
      <c r="S64" s="95">
        <f t="shared" si="168"/>
        <v>955</v>
      </c>
      <c r="T64" s="95">
        <f t="shared" si="169"/>
        <v>959</v>
      </c>
      <c r="U64" s="95">
        <f t="shared" si="170"/>
        <v>959</v>
      </c>
      <c r="V64" s="95">
        <f t="shared" si="171"/>
        <v>956</v>
      </c>
      <c r="W64" s="95">
        <f t="shared" si="172"/>
        <v>1024</v>
      </c>
      <c r="X64" s="95">
        <f t="shared" si="173"/>
        <v>1032</v>
      </c>
      <c r="Y64" s="95">
        <f t="shared" si="174"/>
        <v>1030</v>
      </c>
      <c r="Z64" s="95">
        <f t="shared" si="175"/>
        <v>1030</v>
      </c>
      <c r="AA64" s="11"/>
      <c r="AB64" s="73">
        <f t="shared" si="176"/>
        <v>7.7405857740585837E-2</v>
      </c>
    </row>
    <row r="65" spans="2:28" ht="12.75" customHeight="1">
      <c r="B65" s="118" t="s">
        <v>175</v>
      </c>
      <c r="C65" s="119">
        <v>343</v>
      </c>
      <c r="D65" s="119">
        <v>492</v>
      </c>
      <c r="E65" s="119">
        <v>594</v>
      </c>
      <c r="G65" s="80">
        <v>334</v>
      </c>
      <c r="H65" s="80">
        <v>273</v>
      </c>
      <c r="I65" s="80">
        <v>318</v>
      </c>
      <c r="J65" s="31">
        <f t="shared" si="163"/>
        <v>492</v>
      </c>
      <c r="K65" s="80">
        <v>562</v>
      </c>
      <c r="L65" s="80">
        <v>601</v>
      </c>
      <c r="M65" s="80">
        <v>713</v>
      </c>
      <c r="N65" s="31">
        <f t="shared" si="164"/>
        <v>594</v>
      </c>
      <c r="O65" s="80">
        <v>485</v>
      </c>
      <c r="P65" s="80">
        <v>390</v>
      </c>
      <c r="Q65" s="80">
        <v>469</v>
      </c>
      <c r="S65" s="95">
        <f t="shared" si="168"/>
        <v>492</v>
      </c>
      <c r="T65" s="95">
        <f t="shared" si="169"/>
        <v>562</v>
      </c>
      <c r="U65" s="95">
        <f t="shared" si="170"/>
        <v>601</v>
      </c>
      <c r="V65" s="95">
        <f t="shared" si="171"/>
        <v>713</v>
      </c>
      <c r="W65" s="95">
        <f t="shared" si="172"/>
        <v>594</v>
      </c>
      <c r="X65" s="95">
        <f t="shared" si="173"/>
        <v>485</v>
      </c>
      <c r="Y65" s="95">
        <f t="shared" si="174"/>
        <v>390</v>
      </c>
      <c r="Z65" s="95">
        <f t="shared" si="175"/>
        <v>469</v>
      </c>
      <c r="AA65" s="11"/>
      <c r="AB65" s="73">
        <f t="shared" si="176"/>
        <v>-0.34221598877980364</v>
      </c>
    </row>
    <row r="66" spans="2:28" ht="12.75" customHeight="1">
      <c r="B66" s="118" t="s">
        <v>176</v>
      </c>
      <c r="C66" s="119">
        <v>2251</v>
      </c>
      <c r="D66" s="119">
        <v>1080</v>
      </c>
      <c r="E66" s="119">
        <v>1500</v>
      </c>
      <c r="G66" s="80">
        <v>2285</v>
      </c>
      <c r="H66" s="80">
        <v>2284</v>
      </c>
      <c r="I66" s="80">
        <v>1051</v>
      </c>
      <c r="J66" s="31">
        <f t="shared" si="163"/>
        <v>1080</v>
      </c>
      <c r="K66" s="80">
        <v>2010</v>
      </c>
      <c r="L66" s="80">
        <v>1615</v>
      </c>
      <c r="M66" s="80">
        <v>2154</v>
      </c>
      <c r="N66" s="31">
        <f t="shared" si="164"/>
        <v>1500</v>
      </c>
      <c r="O66" s="80">
        <v>506</v>
      </c>
      <c r="P66" s="80">
        <v>507</v>
      </c>
      <c r="Q66" s="80">
        <v>1345</v>
      </c>
      <c r="S66" s="95">
        <f t="shared" ref="S66:Z66" si="177">J66</f>
        <v>1080</v>
      </c>
      <c r="T66" s="95">
        <f t="shared" si="177"/>
        <v>2010</v>
      </c>
      <c r="U66" s="95">
        <f t="shared" si="177"/>
        <v>1615</v>
      </c>
      <c r="V66" s="95">
        <f t="shared" si="177"/>
        <v>2154</v>
      </c>
      <c r="W66" s="95">
        <f t="shared" si="177"/>
        <v>1500</v>
      </c>
      <c r="X66" s="95">
        <f t="shared" si="177"/>
        <v>506</v>
      </c>
      <c r="Y66" s="95">
        <f t="shared" si="177"/>
        <v>507</v>
      </c>
      <c r="Z66" s="95">
        <f t="shared" si="177"/>
        <v>1345</v>
      </c>
      <c r="AA66" s="11"/>
      <c r="AB66" s="73">
        <f t="shared" ref="AB66" si="178">SUM(Z66/V66)-1</f>
        <v>-0.37558031569173633</v>
      </c>
    </row>
    <row r="67" spans="2:28" ht="12.75" customHeight="1">
      <c r="B67" s="24" t="s">
        <v>16</v>
      </c>
      <c r="C67" s="25">
        <f>SUM(C61:C66)</f>
        <v>15489</v>
      </c>
      <c r="D67" s="25">
        <f>SUM(D61:D66)</f>
        <v>13841</v>
      </c>
      <c r="E67" s="25">
        <f>SUM(E61:E66)</f>
        <v>14157</v>
      </c>
      <c r="G67" s="25">
        <f t="shared" ref="G67:Q67" si="179">SUM(G61:G66)</f>
        <v>14530</v>
      </c>
      <c r="H67" s="25">
        <f t="shared" si="179"/>
        <v>14350</v>
      </c>
      <c r="I67" s="25">
        <f t="shared" si="179"/>
        <v>13042</v>
      </c>
      <c r="J67" s="25">
        <f t="shared" si="179"/>
        <v>13841</v>
      </c>
      <c r="K67" s="25">
        <f t="shared" si="179"/>
        <v>14021</v>
      </c>
      <c r="L67" s="25">
        <f t="shared" si="179"/>
        <v>13760</v>
      </c>
      <c r="M67" s="25">
        <f t="shared" si="179"/>
        <v>14902</v>
      </c>
      <c r="N67" s="25">
        <f t="shared" si="179"/>
        <v>14157</v>
      </c>
      <c r="O67" s="25">
        <f t="shared" si="179"/>
        <v>13004</v>
      </c>
      <c r="P67" s="25">
        <f t="shared" si="179"/>
        <v>13439</v>
      </c>
      <c r="Q67" s="25">
        <f t="shared" si="179"/>
        <v>14582</v>
      </c>
      <c r="R67" s="47"/>
      <c r="S67" s="25">
        <f t="shared" ref="S67:Z67" si="180">SUM(S61:S66)</f>
        <v>13841</v>
      </c>
      <c r="T67" s="25">
        <f t="shared" si="180"/>
        <v>14021</v>
      </c>
      <c r="U67" s="25">
        <f t="shared" si="180"/>
        <v>13760</v>
      </c>
      <c r="V67" s="25">
        <f t="shared" si="180"/>
        <v>14902</v>
      </c>
      <c r="W67" s="25">
        <f t="shared" si="180"/>
        <v>14157</v>
      </c>
      <c r="X67" s="25">
        <f t="shared" si="180"/>
        <v>13004</v>
      </c>
      <c r="Y67" s="25">
        <f t="shared" si="180"/>
        <v>13439</v>
      </c>
      <c r="Z67" s="25">
        <f t="shared" si="180"/>
        <v>14582</v>
      </c>
      <c r="AA67" s="41"/>
      <c r="AB67" s="74">
        <f t="shared" si="166"/>
        <v>-2.1473627700979714E-2</v>
      </c>
    </row>
    <row r="68" spans="2:28" ht="5.0999999999999996" customHeight="1">
      <c r="B68" s="24"/>
      <c r="C68" s="49"/>
      <c r="D68" s="40"/>
      <c r="E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S68" s="41"/>
      <c r="T68" s="41"/>
      <c r="U68" s="41"/>
      <c r="V68" s="41"/>
      <c r="W68" s="41"/>
      <c r="X68" s="41"/>
      <c r="Y68" s="41"/>
      <c r="Z68" s="41"/>
      <c r="AA68" s="41"/>
      <c r="AB68" s="38"/>
    </row>
    <row r="69" spans="2:28">
      <c r="B69" s="76" t="s">
        <v>77</v>
      </c>
      <c r="C69" s="49"/>
      <c r="D69" s="40"/>
      <c r="E69" s="40"/>
      <c r="G69" s="40"/>
      <c r="H69" s="40"/>
      <c r="I69" s="40"/>
      <c r="J69" s="40"/>
      <c r="K69" s="40"/>
      <c r="L69" s="40"/>
      <c r="M69" s="40"/>
      <c r="N69" s="40"/>
      <c r="O69" s="40"/>
      <c r="P69" s="40"/>
      <c r="Q69" s="40"/>
      <c r="S69" s="41"/>
      <c r="T69" s="41"/>
      <c r="U69" s="41"/>
      <c r="V69" s="41"/>
      <c r="W69" s="41"/>
      <c r="X69" s="41"/>
      <c r="Y69" s="41"/>
      <c r="Z69" s="41"/>
      <c r="AA69" s="41"/>
      <c r="AB69" s="38"/>
    </row>
    <row r="70" spans="2:28" ht="12.75" customHeight="1">
      <c r="B70" s="118" t="s">
        <v>177</v>
      </c>
      <c r="C70" s="119">
        <v>14522</v>
      </c>
      <c r="D70" s="119">
        <v>13599</v>
      </c>
      <c r="E70" s="119">
        <v>12625</v>
      </c>
      <c r="F70" s="50"/>
      <c r="G70" s="80">
        <v>14615</v>
      </c>
      <c r="H70" s="80">
        <v>14562</v>
      </c>
      <c r="I70" s="80">
        <v>14477</v>
      </c>
      <c r="J70" s="31">
        <f t="shared" ref="J70:J71" si="181">D70</f>
        <v>13599</v>
      </c>
      <c r="K70" s="80">
        <v>12576</v>
      </c>
      <c r="L70" s="80">
        <v>13139</v>
      </c>
      <c r="M70" s="80">
        <v>12825</v>
      </c>
      <c r="N70" s="31">
        <f t="shared" ref="N70:N71" si="182">E70</f>
        <v>12625</v>
      </c>
      <c r="O70" s="80">
        <v>12736</v>
      </c>
      <c r="P70" s="80">
        <v>12930</v>
      </c>
      <c r="Q70" s="80">
        <v>11596</v>
      </c>
      <c r="R70" s="119"/>
      <c r="S70" s="95">
        <f t="shared" ref="S70:Z70" si="183">J70</f>
        <v>13599</v>
      </c>
      <c r="T70" s="95">
        <f t="shared" si="183"/>
        <v>12576</v>
      </c>
      <c r="U70" s="95">
        <f t="shared" si="183"/>
        <v>13139</v>
      </c>
      <c r="V70" s="95">
        <f t="shared" si="183"/>
        <v>12825</v>
      </c>
      <c r="W70" s="95">
        <f t="shared" si="183"/>
        <v>12625</v>
      </c>
      <c r="X70" s="95">
        <f t="shared" si="183"/>
        <v>12736</v>
      </c>
      <c r="Y70" s="95">
        <f t="shared" si="183"/>
        <v>12930</v>
      </c>
      <c r="Z70" s="95">
        <f t="shared" si="183"/>
        <v>11596</v>
      </c>
      <c r="AA70" s="41"/>
      <c r="AB70" s="73">
        <f t="shared" ref="AB70:AB83" si="184">SUM(Z70/V70)-1</f>
        <v>-9.5828460038986374E-2</v>
      </c>
    </row>
    <row r="71" spans="2:28" ht="12.75" customHeight="1">
      <c r="B71" s="118" t="s">
        <v>154</v>
      </c>
      <c r="C71" s="119">
        <v>7522</v>
      </c>
      <c r="D71" s="119">
        <v>6947</v>
      </c>
      <c r="E71" s="119">
        <v>6731</v>
      </c>
      <c r="F71" s="50"/>
      <c r="G71" s="80">
        <v>7417</v>
      </c>
      <c r="H71" s="80">
        <v>7038</v>
      </c>
      <c r="I71" s="80">
        <v>6877</v>
      </c>
      <c r="J71" s="31">
        <f t="shared" si="181"/>
        <v>6947</v>
      </c>
      <c r="K71" s="80">
        <v>6827</v>
      </c>
      <c r="L71" s="80">
        <v>6558</v>
      </c>
      <c r="M71" s="80">
        <v>6601</v>
      </c>
      <c r="N71" s="31">
        <f t="shared" si="182"/>
        <v>6731</v>
      </c>
      <c r="O71" s="80">
        <v>6644</v>
      </c>
      <c r="P71" s="80">
        <v>6801</v>
      </c>
      <c r="Q71" s="80">
        <v>6739</v>
      </c>
      <c r="R71" s="119"/>
      <c r="S71" s="95">
        <f t="shared" ref="S71" si="185">J71</f>
        <v>6947</v>
      </c>
      <c r="T71" s="95">
        <f t="shared" ref="T71" si="186">K71</f>
        <v>6827</v>
      </c>
      <c r="U71" s="95">
        <f t="shared" ref="U71" si="187">L71</f>
        <v>6558</v>
      </c>
      <c r="V71" s="95">
        <f t="shared" ref="V71" si="188">M71</f>
        <v>6601</v>
      </c>
      <c r="W71" s="95">
        <f t="shared" ref="W71" si="189">N71</f>
        <v>6731</v>
      </c>
      <c r="X71" s="95">
        <f t="shared" ref="X71" si="190">O71</f>
        <v>6644</v>
      </c>
      <c r="Y71" s="95">
        <f t="shared" ref="Y71" si="191">P71</f>
        <v>6801</v>
      </c>
      <c r="Z71" s="95">
        <f t="shared" ref="Z71" si="192">Q71</f>
        <v>6739</v>
      </c>
      <c r="AA71" s="41"/>
      <c r="AB71" s="73">
        <f t="shared" si="184"/>
        <v>2.0905923344947785E-2</v>
      </c>
    </row>
    <row r="72" spans="2:28" ht="12.75" customHeight="1">
      <c r="B72" s="13" t="s">
        <v>14</v>
      </c>
      <c r="C72" s="14">
        <f>SUM(C70:C71)+C67</f>
        <v>37533</v>
      </c>
      <c r="D72" s="14">
        <f>SUM(D70:D71)+D67</f>
        <v>34387</v>
      </c>
      <c r="E72" s="14">
        <f>SUM(E70:E71)+E67</f>
        <v>33513</v>
      </c>
      <c r="G72" s="14">
        <f t="shared" ref="G72:Q72" si="193">SUM(G70:G71)+G67</f>
        <v>36562</v>
      </c>
      <c r="H72" s="14">
        <f t="shared" si="193"/>
        <v>35950</v>
      </c>
      <c r="I72" s="14">
        <f t="shared" si="193"/>
        <v>34396</v>
      </c>
      <c r="J72" s="14">
        <f t="shared" si="193"/>
        <v>34387</v>
      </c>
      <c r="K72" s="14">
        <f t="shared" si="193"/>
        <v>33424</v>
      </c>
      <c r="L72" s="14">
        <f t="shared" si="193"/>
        <v>33457</v>
      </c>
      <c r="M72" s="14">
        <f t="shared" si="193"/>
        <v>34328</v>
      </c>
      <c r="N72" s="14">
        <f t="shared" si="193"/>
        <v>33513</v>
      </c>
      <c r="O72" s="14">
        <f t="shared" si="193"/>
        <v>32384</v>
      </c>
      <c r="P72" s="14">
        <f t="shared" si="193"/>
        <v>33170</v>
      </c>
      <c r="Q72" s="14">
        <f t="shared" si="193"/>
        <v>32917</v>
      </c>
      <c r="S72" s="14">
        <f t="shared" ref="S72:Z72" si="194">SUM(S70:S71)+S67</f>
        <v>34387</v>
      </c>
      <c r="T72" s="14">
        <f t="shared" si="194"/>
        <v>33424</v>
      </c>
      <c r="U72" s="14">
        <f t="shared" si="194"/>
        <v>33457</v>
      </c>
      <c r="V72" s="14">
        <f t="shared" si="194"/>
        <v>34328</v>
      </c>
      <c r="W72" s="14">
        <f t="shared" si="194"/>
        <v>33513</v>
      </c>
      <c r="X72" s="14">
        <f t="shared" si="194"/>
        <v>32384</v>
      </c>
      <c r="Y72" s="14">
        <f t="shared" si="194"/>
        <v>33170</v>
      </c>
      <c r="Z72" s="14">
        <f t="shared" si="194"/>
        <v>32917</v>
      </c>
      <c r="AA72" s="41"/>
      <c r="AB72" s="74">
        <f t="shared" si="184"/>
        <v>-4.1103472384059647E-2</v>
      </c>
    </row>
    <row r="73" spans="2:28" ht="5.0999999999999996" customHeight="1">
      <c r="B73" s="24"/>
      <c r="C73" s="48"/>
      <c r="D73" s="40"/>
      <c r="E73" s="40"/>
      <c r="G73" s="40"/>
      <c r="H73" s="40"/>
      <c r="I73" s="40"/>
      <c r="J73" s="40"/>
      <c r="K73" s="40"/>
      <c r="L73" s="40"/>
      <c r="M73" s="40"/>
      <c r="N73" s="40"/>
      <c r="O73" s="40"/>
      <c r="P73" s="40"/>
      <c r="Q73" s="40"/>
      <c r="S73" s="41"/>
      <c r="T73" s="41"/>
      <c r="U73" s="41"/>
      <c r="V73" s="41"/>
      <c r="W73" s="41"/>
      <c r="X73" s="41"/>
      <c r="Y73" s="41"/>
      <c r="Z73" s="41"/>
      <c r="AA73" s="41"/>
      <c r="AB73" s="38"/>
    </row>
    <row r="74" spans="2:28" ht="12.75" customHeight="1">
      <c r="B74" s="9" t="s">
        <v>146</v>
      </c>
      <c r="C74" s="80">
        <v>0</v>
      </c>
      <c r="D74" s="80">
        <v>0</v>
      </c>
      <c r="E74" s="80">
        <v>0</v>
      </c>
      <c r="F74" s="31"/>
      <c r="G74" s="80">
        <v>0</v>
      </c>
      <c r="H74" s="80">
        <v>0</v>
      </c>
      <c r="I74" s="80">
        <v>0</v>
      </c>
      <c r="J74" s="31">
        <f t="shared" ref="J74:J78" si="195">D74</f>
        <v>0</v>
      </c>
      <c r="K74" s="80">
        <v>0</v>
      </c>
      <c r="L74" s="80">
        <v>0</v>
      </c>
      <c r="M74" s="80">
        <v>0</v>
      </c>
      <c r="N74" s="31">
        <f t="shared" ref="N74:N78" si="196">E74</f>
        <v>0</v>
      </c>
      <c r="O74" s="80">
        <v>0</v>
      </c>
      <c r="P74" s="80">
        <v>0</v>
      </c>
      <c r="Q74" s="80">
        <v>0</v>
      </c>
      <c r="S74" s="31">
        <f t="shared" ref="S74:Z78" si="197">J74</f>
        <v>0</v>
      </c>
      <c r="T74" s="31">
        <f t="shared" si="197"/>
        <v>0</v>
      </c>
      <c r="U74" s="31">
        <f t="shared" si="197"/>
        <v>0</v>
      </c>
      <c r="V74" s="31">
        <f t="shared" si="197"/>
        <v>0</v>
      </c>
      <c r="W74" s="31">
        <f t="shared" si="197"/>
        <v>0</v>
      </c>
      <c r="X74" s="31">
        <f t="shared" si="197"/>
        <v>0</v>
      </c>
      <c r="Y74" s="31">
        <f t="shared" si="197"/>
        <v>0</v>
      </c>
      <c r="Z74" s="31">
        <f t="shared" si="197"/>
        <v>0</v>
      </c>
      <c r="AA74" s="11"/>
      <c r="AB74" s="73" t="e">
        <f t="shared" si="184"/>
        <v>#DIV/0!</v>
      </c>
    </row>
    <row r="75" spans="2:28" ht="12.75" customHeight="1">
      <c r="B75" s="9" t="s">
        <v>109</v>
      </c>
      <c r="C75" s="80">
        <v>24709</v>
      </c>
      <c r="D75" s="80">
        <v>24869</v>
      </c>
      <c r="E75" s="80">
        <v>25153</v>
      </c>
      <c r="F75" s="31"/>
      <c r="G75" s="80">
        <v>24488</v>
      </c>
      <c r="H75" s="80">
        <v>24612</v>
      </c>
      <c r="I75" s="80">
        <v>24727</v>
      </c>
      <c r="J75" s="31">
        <f t="shared" si="195"/>
        <v>24869</v>
      </c>
      <c r="K75" s="80">
        <v>24726</v>
      </c>
      <c r="L75" s="80">
        <v>24858</v>
      </c>
      <c r="M75" s="80">
        <v>25020</v>
      </c>
      <c r="N75" s="31">
        <f t="shared" si="196"/>
        <v>25153</v>
      </c>
      <c r="O75" s="80">
        <v>25125</v>
      </c>
      <c r="P75" s="80">
        <v>25284</v>
      </c>
      <c r="Q75" s="80">
        <v>25412</v>
      </c>
      <c r="S75" s="31">
        <f t="shared" si="197"/>
        <v>24869</v>
      </c>
      <c r="T75" s="31">
        <f t="shared" si="197"/>
        <v>24726</v>
      </c>
      <c r="U75" s="31">
        <f t="shared" si="197"/>
        <v>24858</v>
      </c>
      <c r="V75" s="31">
        <f t="shared" si="197"/>
        <v>25020</v>
      </c>
      <c r="W75" s="31">
        <f t="shared" si="197"/>
        <v>25153</v>
      </c>
      <c r="X75" s="31">
        <f t="shared" si="197"/>
        <v>25125</v>
      </c>
      <c r="Y75" s="31">
        <f t="shared" si="197"/>
        <v>25284</v>
      </c>
      <c r="Z75" s="31">
        <f t="shared" si="197"/>
        <v>25412</v>
      </c>
      <c r="AA75" s="11"/>
      <c r="AB75" s="73">
        <f t="shared" si="184"/>
        <v>1.5667466027178278E-2</v>
      </c>
    </row>
    <row r="76" spans="2:28" ht="12.75" customHeight="1">
      <c r="B76" s="9" t="s">
        <v>147</v>
      </c>
      <c r="C76" s="80">
        <v>-15229</v>
      </c>
      <c r="D76" s="80">
        <v>-15981</v>
      </c>
      <c r="E76" s="80">
        <v>-16844</v>
      </c>
      <c r="F76" s="31"/>
      <c r="G76" s="80">
        <v>-15307</v>
      </c>
      <c r="H76" s="80">
        <v>-15722</v>
      </c>
      <c r="I76" s="80">
        <v>-15686</v>
      </c>
      <c r="J76" s="31">
        <f t="shared" ref="J76:J77" si="198">D76</f>
        <v>-15981</v>
      </c>
      <c r="K76" s="80">
        <v>-15761</v>
      </c>
      <c r="L76" s="80">
        <v>-15759</v>
      </c>
      <c r="M76" s="80">
        <v>-16476</v>
      </c>
      <c r="N76" s="31">
        <f t="shared" ref="N76:N77" si="199">E76</f>
        <v>-16844</v>
      </c>
      <c r="O76" s="80">
        <v>-16612</v>
      </c>
      <c r="P76" s="80">
        <v>-16610</v>
      </c>
      <c r="Q76" s="80">
        <v>-16877</v>
      </c>
      <c r="S76" s="31">
        <f t="shared" ref="S76:S77" si="200">J76</f>
        <v>-15981</v>
      </c>
      <c r="T76" s="31">
        <f t="shared" ref="T76:T77" si="201">K76</f>
        <v>-15761</v>
      </c>
      <c r="U76" s="31">
        <f t="shared" ref="U76:U77" si="202">L76</f>
        <v>-15759</v>
      </c>
      <c r="V76" s="31">
        <f t="shared" ref="V76:V77" si="203">M76</f>
        <v>-16476</v>
      </c>
      <c r="W76" s="31">
        <f t="shared" ref="W76:W77" si="204">N76</f>
        <v>-16844</v>
      </c>
      <c r="X76" s="31">
        <f t="shared" ref="X76:X77" si="205">O76</f>
        <v>-16612</v>
      </c>
      <c r="Y76" s="31">
        <f t="shared" ref="Y76:Y77" si="206">P76</f>
        <v>-16610</v>
      </c>
      <c r="Z76" s="31">
        <f t="shared" ref="Z76:Z77" si="207">Q76</f>
        <v>-16877</v>
      </c>
      <c r="AA76" s="11"/>
      <c r="AB76" s="73">
        <f t="shared" si="184"/>
        <v>2.4338431658169402E-2</v>
      </c>
    </row>
    <row r="77" spans="2:28" ht="12.75" customHeight="1">
      <c r="B77" s="9" t="s">
        <v>106</v>
      </c>
      <c r="C77" s="80">
        <v>35257</v>
      </c>
      <c r="D77" s="80">
        <v>37554</v>
      </c>
      <c r="E77" s="80">
        <v>47261</v>
      </c>
      <c r="F77" s="31"/>
      <c r="G77" s="80">
        <v>35868</v>
      </c>
      <c r="H77" s="80">
        <v>36355</v>
      </c>
      <c r="I77" s="80">
        <v>36920</v>
      </c>
      <c r="J77" s="31">
        <f t="shared" si="198"/>
        <v>37554</v>
      </c>
      <c r="K77" s="80">
        <v>38011</v>
      </c>
      <c r="L77" s="80">
        <v>38354</v>
      </c>
      <c r="M77" s="80">
        <v>39056</v>
      </c>
      <c r="N77" s="31">
        <f t="shared" si="199"/>
        <v>47261</v>
      </c>
      <c r="O77" s="80">
        <v>47715</v>
      </c>
      <c r="P77" s="80">
        <v>48467</v>
      </c>
      <c r="Q77" s="80">
        <v>49103</v>
      </c>
      <c r="S77" s="31">
        <f t="shared" si="200"/>
        <v>37554</v>
      </c>
      <c r="T77" s="31">
        <f t="shared" si="201"/>
        <v>38011</v>
      </c>
      <c r="U77" s="31">
        <f t="shared" si="202"/>
        <v>38354</v>
      </c>
      <c r="V77" s="31">
        <f t="shared" si="203"/>
        <v>39056</v>
      </c>
      <c r="W77" s="31">
        <f t="shared" si="204"/>
        <v>47261</v>
      </c>
      <c r="X77" s="31">
        <f t="shared" si="205"/>
        <v>47715</v>
      </c>
      <c r="Y77" s="31">
        <f t="shared" si="206"/>
        <v>48467</v>
      </c>
      <c r="Z77" s="31">
        <f t="shared" si="207"/>
        <v>49103</v>
      </c>
      <c r="AA77" s="11"/>
      <c r="AB77" s="73">
        <f t="shared" si="184"/>
        <v>0.25724600573535428</v>
      </c>
    </row>
    <row r="78" spans="2:28" ht="12.75" customHeight="1">
      <c r="B78" s="9" t="s">
        <v>148</v>
      </c>
      <c r="C78" s="80">
        <v>-8051</v>
      </c>
      <c r="D78" s="80">
        <v>-7839</v>
      </c>
      <c r="E78" s="80">
        <v>-7906</v>
      </c>
      <c r="F78" s="31"/>
      <c r="G78" s="80">
        <v>-8039</v>
      </c>
      <c r="H78" s="80">
        <v>-8071</v>
      </c>
      <c r="I78" s="80">
        <v>-8480</v>
      </c>
      <c r="J78" s="31">
        <f t="shared" si="195"/>
        <v>-7839</v>
      </c>
      <c r="K78" s="80">
        <v>-8166</v>
      </c>
      <c r="L78" s="80">
        <v>-8135</v>
      </c>
      <c r="M78" s="80">
        <v>-7804</v>
      </c>
      <c r="N78" s="31">
        <f t="shared" si="196"/>
        <v>-7906</v>
      </c>
      <c r="O78" s="80">
        <v>-7417</v>
      </c>
      <c r="P78" s="80">
        <v>-6576</v>
      </c>
      <c r="Q78" s="80">
        <v>-6684</v>
      </c>
      <c r="S78" s="31">
        <f t="shared" si="197"/>
        <v>-7839</v>
      </c>
      <c r="T78" s="31">
        <f t="shared" si="197"/>
        <v>-8166</v>
      </c>
      <c r="U78" s="31">
        <f t="shared" si="197"/>
        <v>-8135</v>
      </c>
      <c r="V78" s="31">
        <f t="shared" si="197"/>
        <v>-7804</v>
      </c>
      <c r="W78" s="31">
        <f t="shared" si="197"/>
        <v>-7906</v>
      </c>
      <c r="X78" s="31">
        <f t="shared" si="197"/>
        <v>-7417</v>
      </c>
      <c r="Y78" s="31">
        <f t="shared" si="197"/>
        <v>-6576</v>
      </c>
      <c r="Z78" s="31">
        <f t="shared" si="197"/>
        <v>-6684</v>
      </c>
      <c r="AA78" s="11"/>
      <c r="AB78" s="73">
        <f t="shared" si="184"/>
        <v>-0.14351614556637626</v>
      </c>
    </row>
    <row r="79" spans="2:28" ht="12.75" customHeight="1">
      <c r="B79" s="13" t="s">
        <v>149</v>
      </c>
      <c r="C79" s="14">
        <f>SUM(C74:C78)</f>
        <v>36686</v>
      </c>
      <c r="D79" s="14">
        <f>SUM(D74:D78)</f>
        <v>38603</v>
      </c>
      <c r="E79" s="14">
        <f>SUM(E74:E78)</f>
        <v>47664</v>
      </c>
      <c r="F79" s="51"/>
      <c r="G79" s="14">
        <f>SUM(G74:G78)</f>
        <v>37010</v>
      </c>
      <c r="H79" s="14">
        <f>SUM(H74:H78)</f>
        <v>37174</v>
      </c>
      <c r="I79" s="14">
        <f>SUM(I74:I78)</f>
        <v>37481</v>
      </c>
      <c r="J79" s="14">
        <f>SUM(J74:J78)</f>
        <v>38603</v>
      </c>
      <c r="K79" s="14">
        <f>SUM(K74:K78)</f>
        <v>38810</v>
      </c>
      <c r="L79" s="14">
        <f>SUM(L74:L78)</f>
        <v>39318</v>
      </c>
      <c r="M79" s="14">
        <f>SUM(M74:M78)</f>
        <v>39796</v>
      </c>
      <c r="N79" s="14">
        <f>SUM(N74:N78)</f>
        <v>47664</v>
      </c>
      <c r="O79" s="14">
        <f>SUM(O74:O78)</f>
        <v>48811</v>
      </c>
      <c r="P79" s="14">
        <f>SUM(P74:P78)</f>
        <v>50565</v>
      </c>
      <c r="Q79" s="14">
        <f>SUM(Q74:Q78)</f>
        <v>50954</v>
      </c>
      <c r="S79" s="33">
        <f>SUM(S74:S78)</f>
        <v>38603</v>
      </c>
      <c r="T79" s="14">
        <f>SUM(T74:T78)</f>
        <v>38810</v>
      </c>
      <c r="U79" s="14">
        <f>SUM(U74:U78)</f>
        <v>39318</v>
      </c>
      <c r="V79" s="14">
        <f>SUM(V74:V78)</f>
        <v>39796</v>
      </c>
      <c r="W79" s="14">
        <f>SUM(W74:W78)</f>
        <v>47664</v>
      </c>
      <c r="X79" s="14">
        <f>SUM(X74:X78)</f>
        <v>48811</v>
      </c>
      <c r="Y79" s="14">
        <f>SUM(Y74:Y78)</f>
        <v>50565</v>
      </c>
      <c r="Z79" s="14">
        <f>SUM(Z74:Z78)</f>
        <v>50954</v>
      </c>
      <c r="AA79" s="41"/>
      <c r="AB79" s="73">
        <f t="shared" si="184"/>
        <v>0.28037993768217917</v>
      </c>
    </row>
    <row r="80" spans="2:28" s="169" customFormat="1" ht="5.0999999999999996" customHeight="1">
      <c r="B80" s="170"/>
      <c r="C80" s="171"/>
      <c r="D80" s="171"/>
      <c r="E80" s="171"/>
      <c r="F80" s="172"/>
      <c r="G80" s="171"/>
      <c r="H80" s="171"/>
      <c r="I80" s="171"/>
      <c r="J80" s="171"/>
      <c r="K80" s="171"/>
      <c r="L80" s="171"/>
      <c r="M80" s="171"/>
      <c r="N80" s="171"/>
      <c r="O80" s="171"/>
      <c r="P80" s="171"/>
      <c r="Q80" s="171"/>
      <c r="S80" s="171"/>
      <c r="T80" s="171"/>
      <c r="U80" s="171"/>
      <c r="V80" s="171"/>
      <c r="W80" s="171"/>
      <c r="X80" s="171"/>
      <c r="Y80" s="171"/>
      <c r="Z80" s="171"/>
      <c r="AA80" s="173"/>
      <c r="AB80" s="73"/>
    </row>
    <row r="81" spans="1:28" ht="12.75" customHeight="1">
      <c r="B81" s="9" t="s">
        <v>178</v>
      </c>
      <c r="C81" s="80">
        <v>219</v>
      </c>
      <c r="D81" s="80">
        <v>224</v>
      </c>
      <c r="E81" s="80">
        <v>237</v>
      </c>
      <c r="F81" s="31"/>
      <c r="G81" s="80">
        <v>222</v>
      </c>
      <c r="H81" s="80">
        <v>230</v>
      </c>
      <c r="I81" s="80">
        <v>213</v>
      </c>
      <c r="J81" s="31">
        <f t="shared" ref="J81" si="208">D81</f>
        <v>224</v>
      </c>
      <c r="K81" s="80">
        <v>233</v>
      </c>
      <c r="L81" s="80">
        <v>242</v>
      </c>
      <c r="M81" s="80">
        <v>232</v>
      </c>
      <c r="N81" s="31">
        <f t="shared" ref="N81" si="209">E81</f>
        <v>237</v>
      </c>
      <c r="O81" s="80">
        <v>253</v>
      </c>
      <c r="P81" s="80">
        <v>264</v>
      </c>
      <c r="Q81" s="80">
        <v>310</v>
      </c>
      <c r="S81" s="31">
        <f t="shared" ref="S81" si="210">J81</f>
        <v>224</v>
      </c>
      <c r="T81" s="31">
        <f t="shared" ref="T81" si="211">K81</f>
        <v>233</v>
      </c>
      <c r="U81" s="31">
        <f t="shared" ref="U81" si="212">L81</f>
        <v>242</v>
      </c>
      <c r="V81" s="31">
        <f t="shared" ref="V81" si="213">M81</f>
        <v>232</v>
      </c>
      <c r="W81" s="31">
        <f t="shared" ref="W81" si="214">N81</f>
        <v>237</v>
      </c>
      <c r="X81" s="31">
        <f t="shared" ref="X81" si="215">O81</f>
        <v>253</v>
      </c>
      <c r="Y81" s="31">
        <f t="shared" ref="Y81" si="216">P81</f>
        <v>264</v>
      </c>
      <c r="Z81" s="31">
        <f t="shared" ref="Z81" si="217">Q81</f>
        <v>310</v>
      </c>
      <c r="AA81" s="11"/>
      <c r="AB81" s="73">
        <f t="shared" ref="AB81:AB82" si="218">SUM(Z81/V81)-1</f>
        <v>0.3362068965517242</v>
      </c>
    </row>
    <row r="82" spans="1:28" ht="12.75" customHeight="1">
      <c r="B82" s="13" t="s">
        <v>150</v>
      </c>
      <c r="C82" s="14">
        <f>SUM(C79:C81)</f>
        <v>36905</v>
      </c>
      <c r="D82" s="14">
        <f t="shared" ref="D82:E82" si="219">SUM(D79:D81)</f>
        <v>38827</v>
      </c>
      <c r="E82" s="14">
        <f t="shared" si="219"/>
        <v>47901</v>
      </c>
      <c r="F82" s="51"/>
      <c r="G82" s="14">
        <f t="shared" ref="G82" si="220">SUM(G79:G81)</f>
        <v>37232</v>
      </c>
      <c r="H82" s="14">
        <f t="shared" ref="H82" si="221">SUM(H79:H81)</f>
        <v>37404</v>
      </c>
      <c r="I82" s="14">
        <f t="shared" ref="I82" si="222">SUM(I79:I81)</f>
        <v>37694</v>
      </c>
      <c r="J82" s="14">
        <f t="shared" ref="J82" si="223">SUM(J79:J81)</f>
        <v>38827</v>
      </c>
      <c r="K82" s="14">
        <f t="shared" ref="K82" si="224">SUM(K79:K81)</f>
        <v>39043</v>
      </c>
      <c r="L82" s="14">
        <f t="shared" ref="L82" si="225">SUM(L79:L81)</f>
        <v>39560</v>
      </c>
      <c r="M82" s="14">
        <f t="shared" ref="M82" si="226">SUM(M79:M81)</f>
        <v>40028</v>
      </c>
      <c r="N82" s="14">
        <f t="shared" ref="N82" si="227">SUM(N79:N81)</f>
        <v>47901</v>
      </c>
      <c r="O82" s="14">
        <f t="shared" ref="O82" si="228">SUM(O79:O81)</f>
        <v>49064</v>
      </c>
      <c r="P82" s="14">
        <f t="shared" ref="P82" si="229">SUM(P79:P81)</f>
        <v>50829</v>
      </c>
      <c r="Q82" s="14">
        <f t="shared" ref="Q82" si="230">SUM(Q79:Q81)</f>
        <v>51264</v>
      </c>
      <c r="S82" s="14">
        <f t="shared" ref="S82" si="231">SUM(S79:S81)</f>
        <v>38827</v>
      </c>
      <c r="T82" s="14">
        <f t="shared" ref="T82" si="232">SUM(T79:T81)</f>
        <v>39043</v>
      </c>
      <c r="U82" s="14">
        <f t="shared" ref="U82" si="233">SUM(U79:U81)</f>
        <v>39560</v>
      </c>
      <c r="V82" s="14">
        <f t="shared" ref="V82" si="234">SUM(V79:V81)</f>
        <v>40028</v>
      </c>
      <c r="W82" s="14">
        <f t="shared" ref="W82" si="235">SUM(W79:W81)</f>
        <v>47901</v>
      </c>
      <c r="X82" s="14">
        <f t="shared" ref="X82" si="236">SUM(X79:X81)</f>
        <v>49064</v>
      </c>
      <c r="Y82" s="14">
        <f t="shared" ref="Y82" si="237">SUM(Y79:Y81)</f>
        <v>50829</v>
      </c>
      <c r="Z82" s="14">
        <f t="shared" ref="Z82" si="238">SUM(Z79:Z81)</f>
        <v>51264</v>
      </c>
      <c r="AA82" s="41"/>
      <c r="AB82" s="73">
        <f t="shared" si="218"/>
        <v>0.28070350754471862</v>
      </c>
    </row>
    <row r="83" spans="1:28" ht="12.75" customHeight="1">
      <c r="B83" s="24" t="s">
        <v>47</v>
      </c>
      <c r="C83" s="31">
        <f>SUM(C82+C72)</f>
        <v>74438</v>
      </c>
      <c r="D83" s="31">
        <f>SUM(D82+D72)</f>
        <v>73214</v>
      </c>
      <c r="E83" s="31">
        <f>SUM(E82+E72)</f>
        <v>81414</v>
      </c>
      <c r="F83" s="31"/>
      <c r="G83" s="31">
        <f>SUM(G82+G72)</f>
        <v>73794</v>
      </c>
      <c r="H83" s="31">
        <f>SUM(H82+H72)</f>
        <v>73354</v>
      </c>
      <c r="I83" s="31">
        <f>SUM(I82+I72)</f>
        <v>72090</v>
      </c>
      <c r="J83" s="31">
        <f>SUM(J82+J72)</f>
        <v>73214</v>
      </c>
      <c r="K83" s="31">
        <f>SUM(K82+K72)</f>
        <v>72467</v>
      </c>
      <c r="L83" s="31">
        <f>SUM(L82+L72)</f>
        <v>73017</v>
      </c>
      <c r="M83" s="31">
        <f>SUM(M82+M72)</f>
        <v>74356</v>
      </c>
      <c r="N83" s="31">
        <f>SUM(N82+N72)</f>
        <v>81414</v>
      </c>
      <c r="O83" s="31">
        <f>SUM(O82+O72)</f>
        <v>81448</v>
      </c>
      <c r="P83" s="31">
        <f>SUM(P82+P72)</f>
        <v>83999</v>
      </c>
      <c r="Q83" s="31">
        <f>SUM(Q82+Q72)</f>
        <v>84181</v>
      </c>
      <c r="R83" s="31"/>
      <c r="S83" s="31">
        <f t="shared" ref="S83:Z83" si="239">SUM(S82+S72)</f>
        <v>73214</v>
      </c>
      <c r="T83" s="31">
        <f t="shared" si="239"/>
        <v>72467</v>
      </c>
      <c r="U83" s="31">
        <f t="shared" si="239"/>
        <v>73017</v>
      </c>
      <c r="V83" s="31">
        <f t="shared" si="239"/>
        <v>74356</v>
      </c>
      <c r="W83" s="31">
        <f t="shared" si="239"/>
        <v>81414</v>
      </c>
      <c r="X83" s="31">
        <f t="shared" si="239"/>
        <v>81448</v>
      </c>
      <c r="Y83" s="31">
        <f t="shared" si="239"/>
        <v>83999</v>
      </c>
      <c r="Z83" s="31">
        <f t="shared" si="239"/>
        <v>84181</v>
      </c>
      <c r="AA83" s="11"/>
      <c r="AB83" s="74">
        <f t="shared" si="184"/>
        <v>0.13213459572865682</v>
      </c>
    </row>
    <row r="84" spans="1:28" ht="5.0999999999999996" customHeight="1">
      <c r="B84" s="24"/>
      <c r="C84" s="31"/>
      <c r="D84" s="31"/>
      <c r="E84" s="31"/>
      <c r="F84" s="31"/>
      <c r="G84" s="31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11"/>
    </row>
    <row r="85" spans="1:28" ht="12.75" customHeight="1">
      <c r="B85" s="137" t="s">
        <v>56</v>
      </c>
      <c r="C85" s="67">
        <f>C83-C58</f>
        <v>0</v>
      </c>
      <c r="D85" s="67">
        <f>D83-D58</f>
        <v>0</v>
      </c>
      <c r="E85" s="67">
        <f>E83-E58</f>
        <v>0</v>
      </c>
      <c r="F85" s="68"/>
      <c r="G85" s="67">
        <f>G83-G58</f>
        <v>0</v>
      </c>
      <c r="H85" s="67">
        <f>H83-H58</f>
        <v>0</v>
      </c>
      <c r="I85" s="67">
        <f>I83-I58</f>
        <v>0</v>
      </c>
      <c r="J85" s="67">
        <f>J83-J58</f>
        <v>0</v>
      </c>
      <c r="K85" s="67">
        <f>K83-K58</f>
        <v>0</v>
      </c>
      <c r="L85" s="67">
        <f>L83-L58</f>
        <v>0</v>
      </c>
      <c r="M85" s="67">
        <f>M83-M58</f>
        <v>0</v>
      </c>
      <c r="N85" s="67">
        <f>N83-N58</f>
        <v>0</v>
      </c>
      <c r="O85" s="67">
        <f>O83-O58</f>
        <v>0</v>
      </c>
      <c r="P85" s="67">
        <f>P83-P58</f>
        <v>0</v>
      </c>
      <c r="Q85" s="67">
        <f>Q83-Q58</f>
        <v>0</v>
      </c>
      <c r="R85" s="27"/>
      <c r="S85" s="67">
        <f t="shared" ref="S85:Z85" si="240">S83-S58</f>
        <v>0</v>
      </c>
      <c r="T85" s="67">
        <f t="shared" si="240"/>
        <v>0</v>
      </c>
      <c r="U85" s="67">
        <f t="shared" si="240"/>
        <v>0</v>
      </c>
      <c r="V85" s="67">
        <f t="shared" si="240"/>
        <v>0</v>
      </c>
      <c r="W85" s="67">
        <f t="shared" si="240"/>
        <v>0</v>
      </c>
      <c r="X85" s="67">
        <f t="shared" si="240"/>
        <v>0</v>
      </c>
      <c r="Y85" s="67">
        <f t="shared" si="240"/>
        <v>0</v>
      </c>
      <c r="Z85" s="67">
        <f t="shared" si="240"/>
        <v>0</v>
      </c>
    </row>
    <row r="86" spans="1:28" ht="5.0999999999999996" customHeight="1" thickBot="1">
      <c r="B86" s="114"/>
      <c r="C86" s="115"/>
      <c r="D86" s="115"/>
      <c r="E86" s="115"/>
      <c r="F86" s="116"/>
      <c r="G86" s="115"/>
      <c r="H86" s="115"/>
      <c r="I86" s="115"/>
      <c r="J86" s="115"/>
      <c r="K86" s="115"/>
      <c r="L86" s="115"/>
      <c r="M86" s="115"/>
      <c r="N86" s="115"/>
      <c r="O86" s="115"/>
      <c r="P86" s="115"/>
      <c r="Q86" s="115"/>
      <c r="R86" s="117"/>
      <c r="S86" s="115"/>
      <c r="T86" s="115"/>
      <c r="U86" s="115"/>
      <c r="V86" s="115"/>
      <c r="W86" s="115"/>
      <c r="X86" s="115"/>
      <c r="Y86" s="115"/>
      <c r="Z86" s="115"/>
      <c r="AA86" s="71"/>
      <c r="AB86" s="71"/>
    </row>
    <row r="87" spans="1:28" ht="12.75" customHeight="1">
      <c r="A87" s="5" t="s">
        <v>15</v>
      </c>
      <c r="B87" s="96" t="s">
        <v>13</v>
      </c>
      <c r="C87" s="100"/>
      <c r="D87" s="100"/>
      <c r="E87" s="100"/>
      <c r="F87" s="101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96"/>
      <c r="S87" s="100"/>
      <c r="T87" s="100"/>
      <c r="U87" s="100" t="s">
        <v>10</v>
      </c>
      <c r="V87" s="100"/>
      <c r="W87" s="100"/>
      <c r="X87" s="100"/>
      <c r="Y87" s="100"/>
      <c r="Z87" s="100"/>
      <c r="AA87" s="101"/>
      <c r="AB87" s="167" t="s">
        <v>21</v>
      </c>
    </row>
    <row r="88" spans="1:28" ht="12.75" customHeight="1">
      <c r="B88" s="97" t="str">
        <f>B7</f>
        <v>Fiscal Period</v>
      </c>
      <c r="C88" s="102">
        <f>C7</f>
        <v>2022</v>
      </c>
      <c r="D88" s="102">
        <f>D7</f>
        <v>2023</v>
      </c>
      <c r="E88" s="102">
        <f>E7</f>
        <v>2024</v>
      </c>
      <c r="F88" s="101"/>
      <c r="G88" s="102" t="str">
        <f>G7</f>
        <v>1Q23</v>
      </c>
      <c r="H88" s="102" t="str">
        <f>H7</f>
        <v>2Q23</v>
      </c>
      <c r="I88" s="102" t="str">
        <f>I7</f>
        <v>3Q23</v>
      </c>
      <c r="J88" s="102" t="str">
        <f>J7</f>
        <v>4Q23</v>
      </c>
      <c r="K88" s="102" t="str">
        <f>K7</f>
        <v>1Q24</v>
      </c>
      <c r="L88" s="102" t="str">
        <f>L7</f>
        <v>2Q24</v>
      </c>
      <c r="M88" s="102" t="str">
        <f>M7</f>
        <v>3Q24</v>
      </c>
      <c r="N88" s="102" t="str">
        <f>N7</f>
        <v>4Q24</v>
      </c>
      <c r="O88" s="102" t="str">
        <f>O7</f>
        <v>1Q25</v>
      </c>
      <c r="P88" s="102" t="str">
        <f>P7</f>
        <v>2Q25</v>
      </c>
      <c r="Q88" s="102" t="str">
        <f>Q7</f>
        <v>3Q25</v>
      </c>
      <c r="R88" s="102"/>
      <c r="S88" s="102" t="str">
        <f>S7</f>
        <v>4Q23</v>
      </c>
      <c r="T88" s="102" t="str">
        <f>T7</f>
        <v>1Q24</v>
      </c>
      <c r="U88" s="102" t="str">
        <f>U7</f>
        <v>2Q24</v>
      </c>
      <c r="V88" s="102" t="str">
        <f>V7</f>
        <v>3Q24</v>
      </c>
      <c r="W88" s="102" t="str">
        <f>W7</f>
        <v>4Q24</v>
      </c>
      <c r="X88" s="102" t="str">
        <f>X7</f>
        <v>1Q25</v>
      </c>
      <c r="Y88" s="102" t="str">
        <f>Y7</f>
        <v>2Q25</v>
      </c>
      <c r="Z88" s="102" t="str">
        <f>Z7</f>
        <v>3Q25</v>
      </c>
      <c r="AA88" s="101"/>
      <c r="AB88" s="167"/>
    </row>
    <row r="89" spans="1:28" ht="12.75" customHeight="1">
      <c r="B89" s="97" t="str">
        <f>B8</f>
        <v>Fiscal Period End Date</v>
      </c>
      <c r="C89" s="103">
        <f>C8</f>
        <v>44926</v>
      </c>
      <c r="D89" s="103">
        <f>D8</f>
        <v>45291</v>
      </c>
      <c r="E89" s="103">
        <f>E8</f>
        <v>45657</v>
      </c>
      <c r="F89" s="101"/>
      <c r="G89" s="103">
        <f>G8</f>
        <v>45016</v>
      </c>
      <c r="H89" s="103">
        <f>H8</f>
        <v>45107</v>
      </c>
      <c r="I89" s="103">
        <f>I8</f>
        <v>45199</v>
      </c>
      <c r="J89" s="103">
        <f>J8</f>
        <v>45291</v>
      </c>
      <c r="K89" s="103">
        <f>K8</f>
        <v>45382</v>
      </c>
      <c r="L89" s="103">
        <f>L8</f>
        <v>45473</v>
      </c>
      <c r="M89" s="103">
        <f>M8</f>
        <v>45565</v>
      </c>
      <c r="N89" s="103">
        <f>N8</f>
        <v>45657</v>
      </c>
      <c r="O89" s="103">
        <f>O8</f>
        <v>45747</v>
      </c>
      <c r="P89" s="103">
        <f>P8</f>
        <v>45838</v>
      </c>
      <c r="Q89" s="103">
        <f>Q8</f>
        <v>45930</v>
      </c>
      <c r="R89" s="103"/>
      <c r="S89" s="103">
        <f>S8</f>
        <v>45291</v>
      </c>
      <c r="T89" s="103">
        <f>T8</f>
        <v>45382</v>
      </c>
      <c r="U89" s="103">
        <f>U8</f>
        <v>45473</v>
      </c>
      <c r="V89" s="103">
        <f>V8</f>
        <v>45565</v>
      </c>
      <c r="W89" s="103">
        <f>W8</f>
        <v>45657</v>
      </c>
      <c r="X89" s="103">
        <f>X8</f>
        <v>45747</v>
      </c>
      <c r="Y89" s="103">
        <f>Y8</f>
        <v>45838</v>
      </c>
      <c r="Z89" s="103">
        <f>Z8</f>
        <v>45930</v>
      </c>
      <c r="AA89" s="101"/>
      <c r="AB89" s="167"/>
    </row>
    <row r="90" spans="1:28" ht="5.0999999999999996" customHeight="1">
      <c r="B90" s="53"/>
      <c r="C90" s="46"/>
      <c r="D90" s="46"/>
      <c r="E90" s="46"/>
    </row>
    <row r="91" spans="1:28" ht="12.75" customHeight="1">
      <c r="B91" s="54" t="s">
        <v>48</v>
      </c>
      <c r="C91" s="55"/>
      <c r="D91" s="55"/>
      <c r="E91" s="55"/>
    </row>
    <row r="92" spans="1:28" ht="12.75" customHeight="1">
      <c r="B92" s="56" t="s">
        <v>96</v>
      </c>
      <c r="C92" s="31">
        <f>C31</f>
        <v>6933</v>
      </c>
      <c r="D92" s="31">
        <f>D31</f>
        <v>5723</v>
      </c>
      <c r="E92" s="31">
        <f>E31</f>
        <v>13402</v>
      </c>
      <c r="F92" s="31"/>
      <c r="G92" s="31">
        <f>G31</f>
        <v>1318</v>
      </c>
      <c r="H92" s="31">
        <f>H31</f>
        <v>1375</v>
      </c>
      <c r="I92" s="31">
        <f>I31</f>
        <v>1436</v>
      </c>
      <c r="J92" s="31">
        <f>J31</f>
        <v>1594</v>
      </c>
      <c r="K92" s="31">
        <f>K31</f>
        <v>1225</v>
      </c>
      <c r="L92" s="31">
        <f>L31</f>
        <v>1302</v>
      </c>
      <c r="M92" s="31">
        <f>M31</f>
        <v>1646</v>
      </c>
      <c r="N92" s="31">
        <f>N31</f>
        <v>9229</v>
      </c>
      <c r="O92" s="31">
        <f>O31</f>
        <v>1325</v>
      </c>
      <c r="P92" s="31">
        <f>P31</f>
        <v>1779</v>
      </c>
      <c r="Q92" s="31">
        <f>Q31</f>
        <v>1644</v>
      </c>
      <c r="R92" s="31"/>
      <c r="S92" s="31">
        <f>S31</f>
        <v>5723</v>
      </c>
      <c r="T92" s="31">
        <f>T31</f>
        <v>5630</v>
      </c>
      <c r="U92" s="31">
        <f>U31</f>
        <v>5557</v>
      </c>
      <c r="V92" s="31">
        <f>V31</f>
        <v>5767</v>
      </c>
      <c r="W92" s="31">
        <f>W31</f>
        <v>13402</v>
      </c>
      <c r="X92" s="31">
        <f>X31</f>
        <v>13502</v>
      </c>
      <c r="Y92" s="31">
        <f>Y31</f>
        <v>13979</v>
      </c>
      <c r="Z92" s="31">
        <f>Z31</f>
        <v>13977</v>
      </c>
      <c r="AA92" s="11"/>
      <c r="AB92" s="73">
        <f>SUM(Z92/V92)-1</f>
        <v>1.4236171319576902</v>
      </c>
    </row>
    <row r="93" spans="1:28" ht="5.0999999999999996" customHeight="1">
      <c r="C93" s="31"/>
      <c r="D93" s="31"/>
      <c r="E93" s="31"/>
      <c r="F93" s="31"/>
      <c r="G93" s="31"/>
      <c r="H93" s="31"/>
      <c r="I93" s="31"/>
      <c r="J93" s="31"/>
      <c r="K93" s="31"/>
      <c r="L93" s="31"/>
      <c r="M93" s="31"/>
      <c r="N93" s="31"/>
      <c r="O93" s="31"/>
      <c r="P93" s="31"/>
      <c r="Q93" s="31"/>
      <c r="S93" s="31"/>
      <c r="T93" s="31"/>
      <c r="U93" s="31"/>
      <c r="V93" s="31"/>
      <c r="W93" s="31"/>
      <c r="X93" s="31"/>
      <c r="Y93" s="31"/>
      <c r="Z93" s="31"/>
      <c r="AA93" s="11"/>
      <c r="AB93" s="73"/>
    </row>
    <row r="94" spans="1:28" ht="12.75" customHeight="1">
      <c r="B94" s="35" t="s">
        <v>55</v>
      </c>
      <c r="C94" s="31"/>
      <c r="D94" s="31"/>
      <c r="E94" s="31"/>
      <c r="F94" s="31"/>
      <c r="G94" s="80"/>
      <c r="H94" s="80"/>
      <c r="I94" s="80"/>
      <c r="J94" s="31"/>
      <c r="K94" s="80"/>
      <c r="L94" s="80"/>
      <c r="M94" s="80"/>
      <c r="N94" s="31"/>
      <c r="O94" s="80"/>
      <c r="P94" s="80"/>
      <c r="Q94" s="80"/>
      <c r="S94" s="31"/>
      <c r="T94" s="31"/>
      <c r="U94" s="31"/>
      <c r="V94" s="31"/>
      <c r="W94" s="31"/>
      <c r="X94" s="31"/>
      <c r="Y94" s="31"/>
      <c r="Z94" s="31"/>
      <c r="AA94" s="58"/>
      <c r="AB94" s="73"/>
    </row>
    <row r="95" spans="1:28" ht="12.75" customHeight="1">
      <c r="B95" s="59" t="s">
        <v>160</v>
      </c>
      <c r="C95" s="80">
        <v>1254</v>
      </c>
      <c r="D95" s="80">
        <v>1277</v>
      </c>
      <c r="E95" s="80">
        <v>1340</v>
      </c>
      <c r="F95" s="31"/>
      <c r="G95" s="80">
        <v>315</v>
      </c>
      <c r="H95" s="80">
        <f>617-G95</f>
        <v>302</v>
      </c>
      <c r="I95" s="80">
        <f>945-H95-G95</f>
        <v>328</v>
      </c>
      <c r="J95" s="31">
        <f t="shared" ref="J95:J105" si="241">SUM(D95-SUM(G95:I95))</f>
        <v>332</v>
      </c>
      <c r="K95" s="80">
        <v>333</v>
      </c>
      <c r="L95" s="80">
        <f>667-K95</f>
        <v>334</v>
      </c>
      <c r="M95" s="80">
        <f>998-L95-K95</f>
        <v>331</v>
      </c>
      <c r="N95" s="31">
        <f t="shared" ref="N95:N105" si="242">SUM(E95-SUM(K95:M95))</f>
        <v>342</v>
      </c>
      <c r="O95" s="80">
        <v>336</v>
      </c>
      <c r="P95" s="80">
        <f>693-O95</f>
        <v>357</v>
      </c>
      <c r="Q95" s="80">
        <f>1064-P95-O95</f>
        <v>371</v>
      </c>
      <c r="S95" s="31">
        <f t="shared" ref="S95:Z105" si="243">SUM(G95:J95)</f>
        <v>1277</v>
      </c>
      <c r="T95" s="31">
        <f t="shared" si="243"/>
        <v>1295</v>
      </c>
      <c r="U95" s="31">
        <f t="shared" si="243"/>
        <v>1327</v>
      </c>
      <c r="V95" s="31">
        <f t="shared" si="243"/>
        <v>1330</v>
      </c>
      <c r="W95" s="31">
        <f t="shared" si="243"/>
        <v>1340</v>
      </c>
      <c r="X95" s="31">
        <f t="shared" si="243"/>
        <v>1343</v>
      </c>
      <c r="Y95" s="31">
        <f t="shared" si="243"/>
        <v>1366</v>
      </c>
      <c r="Z95" s="31">
        <f t="shared" si="243"/>
        <v>1406</v>
      </c>
      <c r="AA95" s="11"/>
      <c r="AB95" s="73">
        <f t="shared" ref="AB95:AB106" si="244">SUM(Z95/V95)-1</f>
        <v>5.7142857142857162E-2</v>
      </c>
    </row>
    <row r="96" spans="1:28" ht="12.75" customHeight="1">
      <c r="B96" s="59" t="s">
        <v>179</v>
      </c>
      <c r="C96" s="80">
        <v>2013</v>
      </c>
      <c r="D96" s="80">
        <v>1966</v>
      </c>
      <c r="E96" s="80">
        <v>1878</v>
      </c>
      <c r="F96" s="31"/>
      <c r="G96" s="80">
        <v>491</v>
      </c>
      <c r="H96" s="80">
        <f>989-G96</f>
        <v>498</v>
      </c>
      <c r="I96" s="80">
        <f>1485-H96-G96</f>
        <v>496</v>
      </c>
      <c r="J96" s="31">
        <f t="shared" si="241"/>
        <v>481</v>
      </c>
      <c r="K96" s="80">
        <v>472</v>
      </c>
      <c r="L96" s="80">
        <f>943-K96</f>
        <v>471</v>
      </c>
      <c r="M96" s="80">
        <f>1413-L96-K96</f>
        <v>470</v>
      </c>
      <c r="N96" s="31">
        <f t="shared" si="242"/>
        <v>465</v>
      </c>
      <c r="O96" s="80">
        <v>420</v>
      </c>
      <c r="P96" s="80">
        <f>840-O96</f>
        <v>420</v>
      </c>
      <c r="Q96" s="80">
        <f>1260-P96-O96</f>
        <v>420</v>
      </c>
      <c r="S96" s="31">
        <f t="shared" si="243"/>
        <v>1966</v>
      </c>
      <c r="T96" s="31">
        <f t="shared" si="243"/>
        <v>1947</v>
      </c>
      <c r="U96" s="31">
        <f t="shared" si="243"/>
        <v>1920</v>
      </c>
      <c r="V96" s="31">
        <f t="shared" si="243"/>
        <v>1894</v>
      </c>
      <c r="W96" s="31">
        <f t="shared" si="243"/>
        <v>1878</v>
      </c>
      <c r="X96" s="31">
        <f t="shared" si="243"/>
        <v>1826</v>
      </c>
      <c r="Y96" s="31">
        <f t="shared" si="243"/>
        <v>1775</v>
      </c>
      <c r="Z96" s="31">
        <f t="shared" si="243"/>
        <v>1725</v>
      </c>
      <c r="AA96" s="11"/>
      <c r="AB96" s="73">
        <f t="shared" ref="AB96" si="245">SUM(Z96/V96)-1</f>
        <v>-8.9229144667370641E-2</v>
      </c>
    </row>
    <row r="97" spans="2:28" ht="12.75" customHeight="1">
      <c r="B97" s="59" t="s">
        <v>180</v>
      </c>
      <c r="C97" s="80">
        <v>685</v>
      </c>
      <c r="D97" s="80">
        <v>644</v>
      </c>
      <c r="E97" s="80">
        <v>673</v>
      </c>
      <c r="F97" s="31"/>
      <c r="G97" s="80">
        <v>281</v>
      </c>
      <c r="H97" s="80">
        <f>413-G97</f>
        <v>132</v>
      </c>
      <c r="I97" s="80">
        <f>530-H97-G97</f>
        <v>117</v>
      </c>
      <c r="J97" s="31">
        <f t="shared" si="241"/>
        <v>114</v>
      </c>
      <c r="K97" s="80">
        <v>304</v>
      </c>
      <c r="L97" s="80">
        <f>445-K97</f>
        <v>141</v>
      </c>
      <c r="M97" s="80">
        <f>562-L97-K97</f>
        <v>117</v>
      </c>
      <c r="N97" s="31">
        <f t="shared" si="242"/>
        <v>111</v>
      </c>
      <c r="O97" s="80">
        <v>289</v>
      </c>
      <c r="P97" s="80">
        <f>431-O97</f>
        <v>142</v>
      </c>
      <c r="Q97" s="80">
        <f>551-P97-O97</f>
        <v>120</v>
      </c>
      <c r="S97" s="31">
        <f t="shared" si="243"/>
        <v>644</v>
      </c>
      <c r="T97" s="31">
        <f t="shared" si="243"/>
        <v>667</v>
      </c>
      <c r="U97" s="31">
        <f t="shared" si="243"/>
        <v>676</v>
      </c>
      <c r="V97" s="31">
        <f t="shared" si="243"/>
        <v>676</v>
      </c>
      <c r="W97" s="31">
        <f t="shared" si="243"/>
        <v>673</v>
      </c>
      <c r="X97" s="31">
        <f t="shared" si="243"/>
        <v>658</v>
      </c>
      <c r="Y97" s="31">
        <f t="shared" si="243"/>
        <v>659</v>
      </c>
      <c r="Z97" s="31">
        <f t="shared" si="243"/>
        <v>662</v>
      </c>
      <c r="AA97" s="11"/>
      <c r="AB97" s="73">
        <f t="shared" si="244"/>
        <v>-2.0710059171597628E-2</v>
      </c>
    </row>
    <row r="98" spans="2:28" ht="12.75" customHeight="1">
      <c r="B98" s="59" t="s">
        <v>155</v>
      </c>
      <c r="C98" s="80">
        <v>215</v>
      </c>
      <c r="D98" s="80">
        <v>126</v>
      </c>
      <c r="E98" s="80">
        <v>482</v>
      </c>
      <c r="F98" s="31"/>
      <c r="G98" s="80">
        <v>0</v>
      </c>
      <c r="H98" s="80">
        <v>0</v>
      </c>
      <c r="I98" s="80">
        <v>0</v>
      </c>
      <c r="J98" s="31">
        <f t="shared" ref="J98:J100" si="246">SUM(D98-SUM(G98:I98))</f>
        <v>126</v>
      </c>
      <c r="K98" s="80">
        <v>0</v>
      </c>
      <c r="L98" s="80">
        <v>0</v>
      </c>
      <c r="M98" s="80">
        <v>0</v>
      </c>
      <c r="N98" s="31">
        <f t="shared" ref="N98:N100" si="247">SUM(E98-SUM(K98:M98))</f>
        <v>482</v>
      </c>
      <c r="O98" s="80">
        <v>0</v>
      </c>
      <c r="P98" s="80">
        <v>0</v>
      </c>
      <c r="Q98" s="80">
        <v>0</v>
      </c>
      <c r="S98" s="31">
        <f t="shared" ref="S98:S100" si="248">SUM(G98:J98)</f>
        <v>126</v>
      </c>
      <c r="T98" s="31">
        <f t="shared" ref="T98:T100" si="249">SUM(H98:K98)</f>
        <v>126</v>
      </c>
      <c r="U98" s="31">
        <f t="shared" ref="U98:U100" si="250">SUM(I98:L98)</f>
        <v>126</v>
      </c>
      <c r="V98" s="31">
        <f t="shared" ref="V98:V100" si="251">SUM(J98:M98)</f>
        <v>126</v>
      </c>
      <c r="W98" s="31">
        <f t="shared" ref="W98:W100" si="252">SUM(K98:N98)</f>
        <v>482</v>
      </c>
      <c r="X98" s="31">
        <f t="shared" ref="X98:X100" si="253">SUM(L98:O98)</f>
        <v>482</v>
      </c>
      <c r="Y98" s="31">
        <f t="shared" ref="Y98:Y100" si="254">SUM(M98:P98)</f>
        <v>482</v>
      </c>
      <c r="Z98" s="31">
        <f t="shared" ref="Z98:Z100" si="255">SUM(N98:Q98)</f>
        <v>482</v>
      </c>
      <c r="AA98" s="11"/>
      <c r="AB98" s="73">
        <f t="shared" ref="AB98:AB100" si="256">SUM(Z98/V98)-1</f>
        <v>2.8253968253968256</v>
      </c>
    </row>
    <row r="99" spans="2:28" ht="12.75" customHeight="1">
      <c r="B99" s="59" t="s">
        <v>183</v>
      </c>
      <c r="C99" s="80">
        <v>-383</v>
      </c>
      <c r="D99" s="80">
        <v>-585</v>
      </c>
      <c r="E99" s="80">
        <v>-8028</v>
      </c>
      <c r="F99" s="31"/>
      <c r="G99" s="80">
        <v>0</v>
      </c>
      <c r="H99" s="80">
        <v>0</v>
      </c>
      <c r="I99" s="80">
        <v>0</v>
      </c>
      <c r="J99" s="31">
        <f t="shared" si="246"/>
        <v>-585</v>
      </c>
      <c r="K99" s="80">
        <v>0</v>
      </c>
      <c r="L99" s="80">
        <v>0</v>
      </c>
      <c r="M99" s="80">
        <v>0</v>
      </c>
      <c r="N99" s="31">
        <f t="shared" si="247"/>
        <v>-8028</v>
      </c>
      <c r="O99" s="80">
        <v>0</v>
      </c>
      <c r="P99" s="80">
        <v>0</v>
      </c>
      <c r="Q99" s="80">
        <v>0</v>
      </c>
      <c r="S99" s="31">
        <f t="shared" si="248"/>
        <v>-585</v>
      </c>
      <c r="T99" s="31">
        <f t="shared" si="249"/>
        <v>-585</v>
      </c>
      <c r="U99" s="31">
        <f t="shared" si="250"/>
        <v>-585</v>
      </c>
      <c r="V99" s="31">
        <f t="shared" si="251"/>
        <v>-585</v>
      </c>
      <c r="W99" s="31">
        <f t="shared" si="252"/>
        <v>-8028</v>
      </c>
      <c r="X99" s="31">
        <f t="shared" si="253"/>
        <v>-8028</v>
      </c>
      <c r="Y99" s="31">
        <f t="shared" si="254"/>
        <v>-8028</v>
      </c>
      <c r="Z99" s="31">
        <f t="shared" si="255"/>
        <v>-8028</v>
      </c>
      <c r="AA99" s="11"/>
      <c r="AB99" s="73">
        <f t="shared" si="256"/>
        <v>12.723076923076922</v>
      </c>
    </row>
    <row r="100" spans="2:28" ht="12.75" customHeight="1">
      <c r="B100" s="59" t="s">
        <v>156</v>
      </c>
      <c r="C100" s="80">
        <v>0</v>
      </c>
      <c r="D100" s="80">
        <v>0</v>
      </c>
      <c r="E100" s="80">
        <v>0</v>
      </c>
      <c r="F100" s="31"/>
      <c r="G100" s="80">
        <v>-1076</v>
      </c>
      <c r="H100" s="80">
        <f>-1736-G100</f>
        <v>-660</v>
      </c>
      <c r="I100" s="80">
        <f>-1915-H100-G100</f>
        <v>-179</v>
      </c>
      <c r="J100" s="31">
        <f t="shared" si="246"/>
        <v>1915</v>
      </c>
      <c r="K100" s="80">
        <v>-748</v>
      </c>
      <c r="L100" s="80">
        <f>-608-K100</f>
        <v>140</v>
      </c>
      <c r="M100" s="80">
        <f>-630-L100-K100</f>
        <v>-22</v>
      </c>
      <c r="N100" s="31">
        <f t="shared" si="247"/>
        <v>630</v>
      </c>
      <c r="O100" s="80">
        <v>-436</v>
      </c>
      <c r="P100" s="80">
        <f>-680-O100</f>
        <v>-244</v>
      </c>
      <c r="Q100" s="80">
        <f>-459-P100-O100</f>
        <v>221</v>
      </c>
      <c r="S100" s="31">
        <f t="shared" si="248"/>
        <v>0</v>
      </c>
      <c r="T100" s="31">
        <f t="shared" si="249"/>
        <v>328</v>
      </c>
      <c r="U100" s="31">
        <f t="shared" si="250"/>
        <v>1128</v>
      </c>
      <c r="V100" s="31">
        <f t="shared" si="251"/>
        <v>1285</v>
      </c>
      <c r="W100" s="31">
        <f t="shared" si="252"/>
        <v>0</v>
      </c>
      <c r="X100" s="31">
        <f t="shared" si="253"/>
        <v>312</v>
      </c>
      <c r="Y100" s="31">
        <f t="shared" si="254"/>
        <v>-72</v>
      </c>
      <c r="Z100" s="31">
        <f t="shared" si="255"/>
        <v>171</v>
      </c>
      <c r="AA100" s="11"/>
      <c r="AB100" s="73">
        <f t="shared" si="256"/>
        <v>-0.86692607003891053</v>
      </c>
    </row>
    <row r="101" spans="2:28" ht="12.75" customHeight="1">
      <c r="B101" s="35" t="s">
        <v>191</v>
      </c>
      <c r="C101" s="80"/>
      <c r="D101" s="80"/>
      <c r="E101" s="80"/>
      <c r="F101" s="31"/>
      <c r="G101" s="80"/>
      <c r="H101" s="80"/>
      <c r="I101" s="80"/>
      <c r="J101" s="31"/>
      <c r="K101" s="80"/>
      <c r="L101" s="80"/>
      <c r="M101" s="80"/>
      <c r="N101" s="31"/>
      <c r="O101" s="80"/>
      <c r="P101" s="80"/>
      <c r="Q101" s="80"/>
      <c r="S101" s="31"/>
      <c r="T101" s="31"/>
      <c r="U101" s="31"/>
      <c r="V101" s="31"/>
      <c r="W101" s="31"/>
      <c r="X101" s="31"/>
      <c r="Y101" s="31"/>
      <c r="Z101" s="31"/>
      <c r="AA101" s="11"/>
      <c r="AB101" s="73"/>
    </row>
    <row r="102" spans="2:28" ht="12.75" customHeight="1">
      <c r="B102" s="59" t="s">
        <v>151</v>
      </c>
      <c r="C102" s="80">
        <v>-68</v>
      </c>
      <c r="D102" s="80">
        <v>-356</v>
      </c>
      <c r="E102" s="80">
        <v>-691</v>
      </c>
      <c r="F102" s="31"/>
      <c r="G102" s="80">
        <v>233</v>
      </c>
      <c r="H102" s="80">
        <f>37-G102</f>
        <v>-196</v>
      </c>
      <c r="I102" s="80">
        <f>-424-H102-G102</f>
        <v>-461</v>
      </c>
      <c r="J102" s="31">
        <f t="shared" si="241"/>
        <v>68</v>
      </c>
      <c r="K102" s="80">
        <v>-151</v>
      </c>
      <c r="L102" s="80">
        <f>-476-K102</f>
        <v>-325</v>
      </c>
      <c r="M102" s="80">
        <f>-533-L102-K102</f>
        <v>-57</v>
      </c>
      <c r="N102" s="31">
        <f t="shared" si="242"/>
        <v>-158</v>
      </c>
      <c r="O102" s="80">
        <v>-262</v>
      </c>
      <c r="P102" s="80">
        <f>-672-O102</f>
        <v>-410</v>
      </c>
      <c r="Q102" s="80">
        <f>-874-P102-O102</f>
        <v>-202</v>
      </c>
      <c r="S102" s="31">
        <f t="shared" si="243"/>
        <v>-356</v>
      </c>
      <c r="T102" s="31">
        <f t="shared" si="243"/>
        <v>-740</v>
      </c>
      <c r="U102" s="31">
        <f t="shared" si="243"/>
        <v>-869</v>
      </c>
      <c r="V102" s="31">
        <f t="shared" si="243"/>
        <v>-465</v>
      </c>
      <c r="W102" s="31">
        <f t="shared" si="243"/>
        <v>-691</v>
      </c>
      <c r="X102" s="31">
        <f t="shared" si="243"/>
        <v>-802</v>
      </c>
      <c r="Y102" s="31">
        <f t="shared" si="243"/>
        <v>-887</v>
      </c>
      <c r="Z102" s="31">
        <f t="shared" si="243"/>
        <v>-1032</v>
      </c>
      <c r="AA102" s="11"/>
      <c r="AB102" s="73">
        <f t="shared" si="244"/>
        <v>1.2193548387096773</v>
      </c>
    </row>
    <row r="103" spans="2:28" ht="12.75" customHeight="1">
      <c r="B103" s="59" t="s">
        <v>97</v>
      </c>
      <c r="C103" s="80">
        <v>-1413</v>
      </c>
      <c r="D103" s="80">
        <v>-232</v>
      </c>
      <c r="E103" s="80">
        <v>-58</v>
      </c>
      <c r="F103" s="31"/>
      <c r="G103" s="80">
        <v>-419</v>
      </c>
      <c r="H103" s="80">
        <f>-667-G103</f>
        <v>-248</v>
      </c>
      <c r="I103" s="80">
        <f>-527-H103-G103</f>
        <v>140</v>
      </c>
      <c r="J103" s="31">
        <f t="shared" si="241"/>
        <v>295</v>
      </c>
      <c r="K103" s="80">
        <v>-410</v>
      </c>
      <c r="L103" s="80">
        <f>-513-K103</f>
        <v>-103</v>
      </c>
      <c r="M103" s="80">
        <f>-293-L103-K103</f>
        <v>220</v>
      </c>
      <c r="N103" s="31">
        <f t="shared" si="242"/>
        <v>235</v>
      </c>
      <c r="O103" s="80">
        <v>-255</v>
      </c>
      <c r="P103" s="80">
        <f>-252-O103</f>
        <v>3</v>
      </c>
      <c r="Q103" s="80">
        <f>-39-P103-O103</f>
        <v>213</v>
      </c>
      <c r="S103" s="31">
        <f t="shared" si="243"/>
        <v>-232</v>
      </c>
      <c r="T103" s="31">
        <f t="shared" si="243"/>
        <v>-223</v>
      </c>
      <c r="U103" s="31">
        <f t="shared" si="243"/>
        <v>-78</v>
      </c>
      <c r="V103" s="31">
        <f t="shared" si="243"/>
        <v>2</v>
      </c>
      <c r="W103" s="31">
        <f t="shared" si="243"/>
        <v>-58</v>
      </c>
      <c r="X103" s="31">
        <f t="shared" si="243"/>
        <v>97</v>
      </c>
      <c r="Y103" s="31">
        <f t="shared" si="243"/>
        <v>203</v>
      </c>
      <c r="Z103" s="31">
        <f t="shared" si="243"/>
        <v>196</v>
      </c>
      <c r="AA103" s="11"/>
      <c r="AB103" s="73">
        <f t="shared" si="244"/>
        <v>97</v>
      </c>
    </row>
    <row r="104" spans="2:28" ht="12.75" customHeight="1">
      <c r="B104" s="59" t="s">
        <v>181</v>
      </c>
      <c r="C104" s="80">
        <v>-75</v>
      </c>
      <c r="D104" s="80">
        <v>-542</v>
      </c>
      <c r="E104" s="80">
        <v>-796</v>
      </c>
      <c r="F104" s="31"/>
      <c r="G104" s="80">
        <v>0</v>
      </c>
      <c r="H104" s="80">
        <v>0</v>
      </c>
      <c r="I104" s="80">
        <v>0</v>
      </c>
      <c r="J104" s="31">
        <f t="shared" ref="J104" si="257">SUM(D104-SUM(G104:I104))</f>
        <v>-542</v>
      </c>
      <c r="K104" s="80">
        <v>0</v>
      </c>
      <c r="L104" s="80">
        <v>0</v>
      </c>
      <c r="M104" s="80">
        <v>0</v>
      </c>
      <c r="N104" s="31">
        <f t="shared" ref="N104" si="258">SUM(E104-SUM(K104:M104))</f>
        <v>-796</v>
      </c>
      <c r="O104" s="80">
        <v>0</v>
      </c>
      <c r="P104" s="80">
        <v>0</v>
      </c>
      <c r="Q104" s="80">
        <v>0</v>
      </c>
      <c r="S104" s="31">
        <f t="shared" ref="S104" si="259">SUM(G104:J104)</f>
        <v>-542</v>
      </c>
      <c r="T104" s="31">
        <f t="shared" ref="T104" si="260">SUM(H104:K104)</f>
        <v>-542</v>
      </c>
      <c r="U104" s="31">
        <f t="shared" ref="U104" si="261">SUM(I104:L104)</f>
        <v>-542</v>
      </c>
      <c r="V104" s="31">
        <f t="shared" ref="V104" si="262">SUM(J104:M104)</f>
        <v>-542</v>
      </c>
      <c r="W104" s="31">
        <f t="shared" ref="W104" si="263">SUM(K104:N104)</f>
        <v>-796</v>
      </c>
      <c r="X104" s="31">
        <f t="shared" ref="X104" si="264">SUM(L104:O104)</f>
        <v>-796</v>
      </c>
      <c r="Y104" s="31">
        <f t="shared" ref="Y104" si="265">SUM(M104:P104)</f>
        <v>-796</v>
      </c>
      <c r="Z104" s="31">
        <f t="shared" ref="Z104" si="266">SUM(N104:Q104)</f>
        <v>-796</v>
      </c>
      <c r="AA104" s="11"/>
      <c r="AB104" s="73">
        <f t="shared" ref="AB104" si="267">SUM(Z104/V104)-1</f>
        <v>0.46863468634686356</v>
      </c>
    </row>
    <row r="105" spans="2:28" ht="12.75" customHeight="1">
      <c r="B105" s="59" t="s">
        <v>182</v>
      </c>
      <c r="C105" s="80">
        <v>420</v>
      </c>
      <c r="D105" s="80">
        <v>-760</v>
      </c>
      <c r="E105" s="80">
        <v>356</v>
      </c>
      <c r="F105" s="31"/>
      <c r="G105" s="80">
        <v>0</v>
      </c>
      <c r="H105" s="80">
        <v>0</v>
      </c>
      <c r="I105" s="80">
        <v>0</v>
      </c>
      <c r="J105" s="31">
        <f t="shared" si="241"/>
        <v>-760</v>
      </c>
      <c r="K105" s="80">
        <v>0</v>
      </c>
      <c r="L105" s="80">
        <v>0</v>
      </c>
      <c r="M105" s="80">
        <v>0</v>
      </c>
      <c r="N105" s="31">
        <f t="shared" si="242"/>
        <v>356</v>
      </c>
      <c r="O105" s="80">
        <v>0</v>
      </c>
      <c r="P105" s="80">
        <v>0</v>
      </c>
      <c r="Q105" s="80">
        <v>0</v>
      </c>
      <c r="S105" s="31">
        <f t="shared" si="243"/>
        <v>-760</v>
      </c>
      <c r="T105" s="31">
        <f t="shared" si="243"/>
        <v>-760</v>
      </c>
      <c r="U105" s="31">
        <f t="shared" si="243"/>
        <v>-760</v>
      </c>
      <c r="V105" s="31">
        <f t="shared" si="243"/>
        <v>-760</v>
      </c>
      <c r="W105" s="31">
        <f t="shared" si="243"/>
        <v>356</v>
      </c>
      <c r="X105" s="31">
        <f t="shared" si="243"/>
        <v>356</v>
      </c>
      <c r="Y105" s="31">
        <f t="shared" si="243"/>
        <v>356</v>
      </c>
      <c r="Z105" s="31">
        <f t="shared" si="243"/>
        <v>356</v>
      </c>
      <c r="AA105" s="11"/>
      <c r="AB105" s="73">
        <f t="shared" si="244"/>
        <v>-1.4684210526315788</v>
      </c>
    </row>
    <row r="106" spans="2:28" ht="12.75" customHeight="1">
      <c r="B106" s="13" t="s">
        <v>49</v>
      </c>
      <c r="C106" s="14">
        <f>SUM(C92:C105)</f>
        <v>9581</v>
      </c>
      <c r="D106" s="14">
        <f>SUM(D92:D105)</f>
        <v>7261</v>
      </c>
      <c r="E106" s="14">
        <f>SUM(E92:E105)</f>
        <v>8558</v>
      </c>
      <c r="G106" s="14">
        <f>SUM(G92:G105)</f>
        <v>1143</v>
      </c>
      <c r="H106" s="14">
        <f>SUM(H92:H105)</f>
        <v>1203</v>
      </c>
      <c r="I106" s="14">
        <f>SUM(I92:I105)</f>
        <v>1877</v>
      </c>
      <c r="J106" s="14">
        <f>SUM(J92:J105)</f>
        <v>3038</v>
      </c>
      <c r="K106" s="14">
        <f>SUM(K92:K105)</f>
        <v>1025</v>
      </c>
      <c r="L106" s="14">
        <f>SUM(L92:L105)</f>
        <v>1960</v>
      </c>
      <c r="M106" s="14">
        <f>SUM(M92:M105)</f>
        <v>2705</v>
      </c>
      <c r="N106" s="14">
        <f>SUM(N92:N105)</f>
        <v>2868</v>
      </c>
      <c r="O106" s="14">
        <f>SUM(O92:O105)</f>
        <v>1417</v>
      </c>
      <c r="P106" s="14">
        <f>SUM(P92:P105)</f>
        <v>2047</v>
      </c>
      <c r="Q106" s="14">
        <f>SUM(Q92:Q105)</f>
        <v>2787</v>
      </c>
      <c r="S106" s="14">
        <f>SUM(S92:S105)</f>
        <v>7261</v>
      </c>
      <c r="T106" s="14">
        <f>SUM(T92:T105)</f>
        <v>7143</v>
      </c>
      <c r="U106" s="14">
        <f>SUM(U92:U105)</f>
        <v>7900</v>
      </c>
      <c r="V106" s="14">
        <f>SUM(V92:V105)</f>
        <v>8728</v>
      </c>
      <c r="W106" s="14">
        <f>SUM(W92:W105)</f>
        <v>8558</v>
      </c>
      <c r="X106" s="14">
        <f>SUM(X92:X105)</f>
        <v>8950</v>
      </c>
      <c r="Y106" s="14">
        <f>SUM(Y92:Y105)</f>
        <v>9037</v>
      </c>
      <c r="Z106" s="14">
        <f>SUM(Z92:Z105)</f>
        <v>9119</v>
      </c>
      <c r="AA106" s="41"/>
      <c r="AB106" s="74">
        <f t="shared" si="244"/>
        <v>4.4798350137488452E-2</v>
      </c>
    </row>
    <row r="107" spans="2:28" ht="12.75" customHeight="1">
      <c r="B107" s="52"/>
      <c r="C107" s="60"/>
      <c r="D107" s="60"/>
      <c r="E107" s="60"/>
      <c r="G107" s="60"/>
      <c r="H107" s="60"/>
      <c r="I107" s="60"/>
      <c r="J107" s="60"/>
      <c r="K107" s="60"/>
      <c r="L107" s="60"/>
      <c r="M107" s="60"/>
      <c r="N107" s="60"/>
      <c r="O107" s="60"/>
      <c r="P107" s="60"/>
      <c r="Q107" s="60"/>
      <c r="S107" s="41"/>
      <c r="T107" s="41"/>
      <c r="U107" s="41"/>
      <c r="V107" s="41"/>
      <c r="W107" s="41"/>
      <c r="X107" s="41"/>
      <c r="Y107" s="41"/>
      <c r="Z107" s="41"/>
      <c r="AA107" s="41"/>
      <c r="AB107" s="38"/>
    </row>
    <row r="108" spans="2:28" ht="12.75" customHeight="1">
      <c r="B108" s="52" t="s">
        <v>50</v>
      </c>
      <c r="C108" s="57"/>
      <c r="D108" s="57"/>
      <c r="E108" s="57"/>
      <c r="G108" s="80"/>
      <c r="H108" s="80"/>
      <c r="I108" s="80"/>
      <c r="J108" s="31"/>
      <c r="K108" s="80"/>
      <c r="L108" s="80"/>
      <c r="M108" s="80"/>
      <c r="N108" s="31"/>
      <c r="O108" s="57"/>
      <c r="P108" s="57"/>
      <c r="Q108" s="57"/>
      <c r="S108" s="57"/>
      <c r="T108" s="57"/>
      <c r="U108" s="57"/>
      <c r="V108" s="57"/>
      <c r="W108" s="57"/>
      <c r="X108" s="57"/>
      <c r="Y108" s="57"/>
      <c r="Z108" s="57"/>
      <c r="AA108" s="58"/>
      <c r="AB108" s="73"/>
    </row>
    <row r="109" spans="2:28" ht="12.75" customHeight="1">
      <c r="B109" s="59" t="s">
        <v>184</v>
      </c>
      <c r="C109" s="80">
        <v>-1777</v>
      </c>
      <c r="D109" s="80">
        <v>-2202</v>
      </c>
      <c r="E109" s="80">
        <v>-2207</v>
      </c>
      <c r="F109" s="31"/>
      <c r="G109" s="80">
        <v>-380</v>
      </c>
      <c r="H109" s="80">
        <f>-887-G109</f>
        <v>-507</v>
      </c>
      <c r="I109" s="80">
        <f>-1447-H109-G109</f>
        <v>-560</v>
      </c>
      <c r="J109" s="31">
        <f>SUM(D109-SUM(G109:I109))</f>
        <v>-755</v>
      </c>
      <c r="K109" s="80">
        <v>-398</v>
      </c>
      <c r="L109" s="80">
        <f>-931-K109</f>
        <v>-533</v>
      </c>
      <c r="M109" s="80">
        <f>-1487-L109-K109</f>
        <v>-556</v>
      </c>
      <c r="N109" s="31">
        <f>SUM(E109-SUM(K109:M109))</f>
        <v>-720</v>
      </c>
      <c r="O109" s="80">
        <v>-484</v>
      </c>
      <c r="P109" s="80">
        <f>-986-O109</f>
        <v>-502</v>
      </c>
      <c r="Q109" s="80">
        <f>-1482-P109-O109</f>
        <v>-496</v>
      </c>
      <c r="R109" s="31"/>
      <c r="S109" s="31">
        <f t="shared" ref="S109:Z112" si="268">SUM(G109:J109)</f>
        <v>-2202</v>
      </c>
      <c r="T109" s="31">
        <f t="shared" si="268"/>
        <v>-2220</v>
      </c>
      <c r="U109" s="31">
        <f t="shared" si="268"/>
        <v>-2246</v>
      </c>
      <c r="V109" s="31">
        <f t="shared" si="268"/>
        <v>-2242</v>
      </c>
      <c r="W109" s="31">
        <f t="shared" si="268"/>
        <v>-2207</v>
      </c>
      <c r="X109" s="31">
        <f t="shared" si="268"/>
        <v>-2293</v>
      </c>
      <c r="Y109" s="31">
        <f t="shared" si="268"/>
        <v>-2262</v>
      </c>
      <c r="Z109" s="31">
        <f t="shared" si="268"/>
        <v>-2202</v>
      </c>
      <c r="AA109" s="58"/>
      <c r="AB109" s="73">
        <f t="shared" ref="AB109:AB112" si="269">SUM(Z109/V109)-1</f>
        <v>-1.7841213202497763E-2</v>
      </c>
    </row>
    <row r="110" spans="2:28" ht="12.75" customHeight="1">
      <c r="B110" s="59" t="s">
        <v>161</v>
      </c>
      <c r="C110" s="80">
        <v>48</v>
      </c>
      <c r="D110" s="80">
        <f>-877+40</f>
        <v>-837</v>
      </c>
      <c r="E110" s="80">
        <v>1</v>
      </c>
      <c r="F110" s="31"/>
      <c r="G110" s="80">
        <v>0</v>
      </c>
      <c r="H110" s="80">
        <f>-826+40-G110</f>
        <v>-786</v>
      </c>
      <c r="I110" s="80">
        <f>-877+40-H110-G110</f>
        <v>-51</v>
      </c>
      <c r="J110" s="31">
        <f>SUM(D110-SUM(G110:I110))</f>
        <v>0</v>
      </c>
      <c r="K110" s="80">
        <v>0</v>
      </c>
      <c r="L110" s="80">
        <f>1-K110</f>
        <v>1</v>
      </c>
      <c r="M110" s="80">
        <f>1-L110-K110</f>
        <v>0</v>
      </c>
      <c r="N110" s="31">
        <f>SUM(E110-SUM(K110:M110))</f>
        <v>0</v>
      </c>
      <c r="O110" s="80">
        <v>0</v>
      </c>
      <c r="P110" s="80">
        <f>-30-O110</f>
        <v>-30</v>
      </c>
      <c r="Q110" s="80">
        <f>-85-P110-O110</f>
        <v>-55</v>
      </c>
      <c r="R110" s="31"/>
      <c r="S110" s="31">
        <f t="shared" si="268"/>
        <v>-837</v>
      </c>
      <c r="T110" s="31">
        <f t="shared" si="268"/>
        <v>-837</v>
      </c>
      <c r="U110" s="31">
        <f t="shared" si="268"/>
        <v>-50</v>
      </c>
      <c r="V110" s="31">
        <f t="shared" si="268"/>
        <v>1</v>
      </c>
      <c r="W110" s="31">
        <f t="shared" si="268"/>
        <v>1</v>
      </c>
      <c r="X110" s="31">
        <f t="shared" si="268"/>
        <v>1</v>
      </c>
      <c r="Y110" s="31">
        <f t="shared" si="268"/>
        <v>-30</v>
      </c>
      <c r="Z110" s="31">
        <f t="shared" si="268"/>
        <v>-85</v>
      </c>
      <c r="AA110" s="58"/>
      <c r="AB110" s="73">
        <f t="shared" si="269"/>
        <v>-86</v>
      </c>
    </row>
    <row r="111" spans="2:28" ht="12.75" customHeight="1">
      <c r="B111" s="59" t="s">
        <v>185</v>
      </c>
      <c r="C111" s="80">
        <f>-185+152</f>
        <v>-33</v>
      </c>
      <c r="D111" s="80">
        <f>-159+43</f>
        <v>-116</v>
      </c>
      <c r="E111" s="80">
        <f>-169+28</f>
        <v>-141</v>
      </c>
      <c r="F111" s="31"/>
      <c r="G111" s="80">
        <v>-86</v>
      </c>
      <c r="H111" s="80">
        <f>-7-G111</f>
        <v>79</v>
      </c>
      <c r="I111" s="80">
        <f>-45-H111-G111</f>
        <v>-38</v>
      </c>
      <c r="J111" s="31">
        <f t="shared" ref="J111" si="270">SUM(D111-SUM(G111:I111))</f>
        <v>-71</v>
      </c>
      <c r="K111" s="80">
        <v>-28</v>
      </c>
      <c r="L111" s="80">
        <f>49-K111</f>
        <v>77</v>
      </c>
      <c r="M111" s="80">
        <f>9-L111-K111</f>
        <v>-40</v>
      </c>
      <c r="N111" s="31">
        <f t="shared" ref="N111" si="271">SUM(E111-SUM(K111:M111))</f>
        <v>-150</v>
      </c>
      <c r="O111" s="80">
        <v>8</v>
      </c>
      <c r="P111" s="80">
        <f>-44-O111</f>
        <v>-52</v>
      </c>
      <c r="Q111" s="80">
        <f>46-P111-O111</f>
        <v>90</v>
      </c>
      <c r="R111" s="31"/>
      <c r="S111" s="31">
        <f t="shared" ref="S111" si="272">SUM(G111:J111)</f>
        <v>-116</v>
      </c>
      <c r="T111" s="31">
        <f t="shared" ref="T111" si="273">SUM(H111:K111)</f>
        <v>-58</v>
      </c>
      <c r="U111" s="31">
        <f t="shared" ref="U111" si="274">SUM(I111:L111)</f>
        <v>-60</v>
      </c>
      <c r="V111" s="31">
        <f t="shared" ref="V111" si="275">SUM(J111:M111)</f>
        <v>-62</v>
      </c>
      <c r="W111" s="31">
        <f t="shared" ref="W111" si="276">SUM(K111:N111)</f>
        <v>-141</v>
      </c>
      <c r="X111" s="31">
        <f t="shared" ref="X111" si="277">SUM(L111:O111)</f>
        <v>-105</v>
      </c>
      <c r="Y111" s="31">
        <f t="shared" ref="Y111" si="278">SUM(M111:P111)</f>
        <v>-234</v>
      </c>
      <c r="Z111" s="31">
        <f t="shared" ref="Z111" si="279">SUM(N111:Q111)</f>
        <v>-104</v>
      </c>
      <c r="AA111" s="58"/>
      <c r="AB111" s="73">
        <f t="shared" ref="AB111" si="280">SUM(Z111/V111)-1</f>
        <v>0.67741935483870974</v>
      </c>
    </row>
    <row r="112" spans="2:28" ht="12.75" customHeight="1">
      <c r="B112" s="59" t="s">
        <v>107</v>
      </c>
      <c r="C112" s="80">
        <v>22</v>
      </c>
      <c r="D112" s="80">
        <v>22</v>
      </c>
      <c r="E112" s="80">
        <v>9</v>
      </c>
      <c r="F112" s="31"/>
      <c r="G112" s="80">
        <v>4</v>
      </c>
      <c r="H112" s="80">
        <f>5-G112</f>
        <v>1</v>
      </c>
      <c r="I112" s="80">
        <f>20-H112-G112</f>
        <v>15</v>
      </c>
      <c r="J112" s="31">
        <f>SUM(D112-SUM(G112:I112))</f>
        <v>2</v>
      </c>
      <c r="K112" s="80">
        <v>1</v>
      </c>
      <c r="L112" s="80">
        <f>3-K112</f>
        <v>2</v>
      </c>
      <c r="M112" s="80">
        <f>5-L112-K112</f>
        <v>2</v>
      </c>
      <c r="N112" s="31">
        <f>SUM(E112-SUM(K112:M112))</f>
        <v>4</v>
      </c>
      <c r="O112" s="80">
        <v>6</v>
      </c>
      <c r="P112" s="80">
        <f>8-O112</f>
        <v>2</v>
      </c>
      <c r="Q112" s="80">
        <f>12-P112-O112</f>
        <v>4</v>
      </c>
      <c r="R112" s="31"/>
      <c r="S112" s="31">
        <f t="shared" si="268"/>
        <v>22</v>
      </c>
      <c r="T112" s="31">
        <f t="shared" si="268"/>
        <v>19</v>
      </c>
      <c r="U112" s="31">
        <f t="shared" si="268"/>
        <v>20</v>
      </c>
      <c r="V112" s="31">
        <f t="shared" si="268"/>
        <v>7</v>
      </c>
      <c r="W112" s="31">
        <f t="shared" si="268"/>
        <v>9</v>
      </c>
      <c r="X112" s="31">
        <f t="shared" si="268"/>
        <v>14</v>
      </c>
      <c r="Y112" s="31">
        <f t="shared" si="268"/>
        <v>14</v>
      </c>
      <c r="Z112" s="31">
        <f t="shared" si="268"/>
        <v>16</v>
      </c>
      <c r="AA112" s="58"/>
      <c r="AB112" s="73">
        <f t="shared" si="269"/>
        <v>1.2857142857142856</v>
      </c>
    </row>
    <row r="113" spans="2:28" ht="12.75" customHeight="1">
      <c r="B113" s="13" t="s">
        <v>51</v>
      </c>
      <c r="C113" s="14">
        <f>SUM(C109:C112)</f>
        <v>-1740</v>
      </c>
      <c r="D113" s="14">
        <f>SUM(D109:D112)</f>
        <v>-3133</v>
      </c>
      <c r="E113" s="14">
        <f>SUM(E109:E112)</f>
        <v>-2338</v>
      </c>
      <c r="G113" s="14">
        <f>SUM(G109:G112)</f>
        <v>-462</v>
      </c>
      <c r="H113" s="14">
        <f>SUM(H109:H112)</f>
        <v>-1213</v>
      </c>
      <c r="I113" s="14">
        <f>SUM(I109:I112)</f>
        <v>-634</v>
      </c>
      <c r="J113" s="14">
        <f>SUM(J109:J112)</f>
        <v>-824</v>
      </c>
      <c r="K113" s="14">
        <f>SUM(K109:K112)</f>
        <v>-425</v>
      </c>
      <c r="L113" s="14">
        <f>SUM(L109:L112)</f>
        <v>-453</v>
      </c>
      <c r="M113" s="14">
        <f>SUM(M109:M112)</f>
        <v>-594</v>
      </c>
      <c r="N113" s="14">
        <f>SUM(N109:N112)</f>
        <v>-866</v>
      </c>
      <c r="O113" s="14">
        <f>SUM(O109:O112)</f>
        <v>-470</v>
      </c>
      <c r="P113" s="14">
        <f>SUM(P109:P112)</f>
        <v>-582</v>
      </c>
      <c r="Q113" s="14">
        <f>SUM(Q109:Q112)</f>
        <v>-457</v>
      </c>
      <c r="S113" s="14">
        <f t="shared" ref="S113:Z113" si="281">SUM(S112:S112)</f>
        <v>22</v>
      </c>
      <c r="T113" s="14">
        <f t="shared" si="281"/>
        <v>19</v>
      </c>
      <c r="U113" s="14">
        <f t="shared" si="281"/>
        <v>20</v>
      </c>
      <c r="V113" s="14">
        <f t="shared" si="281"/>
        <v>7</v>
      </c>
      <c r="W113" s="14">
        <f t="shared" si="281"/>
        <v>9</v>
      </c>
      <c r="X113" s="14">
        <f t="shared" si="281"/>
        <v>14</v>
      </c>
      <c r="Y113" s="14">
        <f t="shared" si="281"/>
        <v>14</v>
      </c>
      <c r="Z113" s="14">
        <f t="shared" si="281"/>
        <v>16</v>
      </c>
      <c r="AA113" s="41"/>
      <c r="AB113" s="74">
        <f t="shared" ref="AB113:AB120" si="282">SUM(Z113/V113)-1</f>
        <v>1.2857142857142856</v>
      </c>
    </row>
    <row r="114" spans="2:28" ht="5.0999999999999996" customHeight="1">
      <c r="B114" s="51"/>
      <c r="C114" s="60"/>
      <c r="D114" s="60"/>
      <c r="E114" s="60"/>
      <c r="G114" s="60"/>
      <c r="H114" s="60"/>
      <c r="I114" s="60"/>
      <c r="J114" s="60"/>
      <c r="K114" s="60"/>
      <c r="L114" s="60"/>
      <c r="M114" s="60"/>
      <c r="N114" s="60"/>
      <c r="O114" s="60"/>
      <c r="P114" s="60"/>
      <c r="Q114" s="60"/>
      <c r="S114" s="41"/>
      <c r="T114" s="41"/>
      <c r="U114" s="41"/>
      <c r="V114" s="41"/>
      <c r="W114" s="41"/>
      <c r="X114" s="41"/>
      <c r="Y114" s="41"/>
      <c r="Z114" s="41"/>
      <c r="AA114" s="41"/>
      <c r="AB114" s="38"/>
    </row>
    <row r="115" spans="2:28" ht="12.75" customHeight="1">
      <c r="B115" s="52" t="s">
        <v>52</v>
      </c>
      <c r="C115" s="62"/>
      <c r="D115" s="62"/>
      <c r="E115" s="62"/>
      <c r="G115" s="62"/>
      <c r="H115" s="62"/>
      <c r="I115" s="62"/>
      <c r="J115" s="62"/>
      <c r="K115" s="62"/>
      <c r="L115" s="62"/>
      <c r="M115" s="62"/>
      <c r="N115" s="62"/>
      <c r="O115" s="62"/>
      <c r="P115" s="62"/>
      <c r="Q115" s="62"/>
      <c r="R115" s="31"/>
      <c r="S115" s="31"/>
      <c r="T115" s="31"/>
      <c r="U115" s="31"/>
      <c r="V115" s="31"/>
      <c r="W115" s="31"/>
      <c r="X115" s="31"/>
      <c r="Y115" s="31"/>
      <c r="Z115" s="31"/>
      <c r="AA115" s="63"/>
      <c r="AB115" s="73"/>
    </row>
    <row r="116" spans="2:28" ht="12.75" customHeight="1">
      <c r="B116" s="82" t="s">
        <v>108</v>
      </c>
      <c r="C116" s="80">
        <f>47 +7-753</f>
        <v>-699</v>
      </c>
      <c r="D116" s="80">
        <f>21+2+-2498</f>
        <v>-2475</v>
      </c>
      <c r="E116" s="80">
        <f>-100+223-660</f>
        <v>-537</v>
      </c>
      <c r="G116" s="80">
        <v>-42</v>
      </c>
      <c r="H116" s="80">
        <f>-29+1-2-G116</f>
        <v>12</v>
      </c>
      <c r="I116" s="80">
        <f>-90+1-1447-H116-G116</f>
        <v>-1506</v>
      </c>
      <c r="J116" s="31">
        <f>SUM(D116-SUM(G116:I116))</f>
        <v>-939</v>
      </c>
      <c r="K116" s="80">
        <v>-127</v>
      </c>
      <c r="L116" s="80">
        <f>-170+221-18-K116</f>
        <v>160</v>
      </c>
      <c r="M116" s="80">
        <f>-126+222-20-L116-K116</f>
        <v>43</v>
      </c>
      <c r="N116" s="31">
        <f>SUM(E116-SUM(K116:M116))</f>
        <v>-613</v>
      </c>
      <c r="O116" s="80">
        <f>-36+1-1001</f>
        <v>-1036</v>
      </c>
      <c r="P116" s="80">
        <f>-52+3-1002-O116</f>
        <v>-15</v>
      </c>
      <c r="Q116" s="80">
        <f>-44+3-1503-P116-O116</f>
        <v>-493</v>
      </c>
      <c r="R116" s="31"/>
      <c r="S116" s="31">
        <f t="shared" ref="S116:Z119" si="283">SUM(G116:J116)</f>
        <v>-2475</v>
      </c>
      <c r="T116" s="31">
        <f t="shared" si="283"/>
        <v>-2560</v>
      </c>
      <c r="U116" s="31">
        <f t="shared" si="283"/>
        <v>-2412</v>
      </c>
      <c r="V116" s="31">
        <f t="shared" si="283"/>
        <v>-863</v>
      </c>
      <c r="W116" s="31">
        <f t="shared" si="283"/>
        <v>-537</v>
      </c>
      <c r="X116" s="31">
        <f t="shared" si="283"/>
        <v>-1446</v>
      </c>
      <c r="Y116" s="31">
        <f t="shared" si="283"/>
        <v>-1621</v>
      </c>
      <c r="Z116" s="31">
        <f t="shared" si="283"/>
        <v>-2157</v>
      </c>
      <c r="AA116" s="63"/>
      <c r="AB116" s="73">
        <f t="shared" si="282"/>
        <v>1.499420625724218</v>
      </c>
    </row>
    <row r="117" spans="2:28" ht="12.75" customHeight="1">
      <c r="B117" s="82" t="s">
        <v>162</v>
      </c>
      <c r="C117" s="80">
        <f>-3795+167</f>
        <v>-3628</v>
      </c>
      <c r="D117" s="80">
        <f>-1227+167</f>
        <v>-1060</v>
      </c>
      <c r="E117" s="80">
        <f>-1295+264</f>
        <v>-1031</v>
      </c>
      <c r="G117" s="80">
        <f>-540+62</f>
        <v>-478</v>
      </c>
      <c r="H117" s="80">
        <f>-966+77-G117</f>
        <v>-411</v>
      </c>
      <c r="I117" s="80">
        <f>-968+133-H117-G117</f>
        <v>54</v>
      </c>
      <c r="J117" s="31">
        <f>SUM(D117-SUM(G117:I117))</f>
        <v>-225</v>
      </c>
      <c r="K117" s="80">
        <f>-226+134</f>
        <v>-92</v>
      </c>
      <c r="L117" s="80">
        <f>-229+147-K117</f>
        <v>10</v>
      </c>
      <c r="M117" s="80">
        <f>-980+239-L117-K117</f>
        <v>-659</v>
      </c>
      <c r="N117" s="31">
        <f>SUM(E117-SUM(K117:M117))</f>
        <v>-290</v>
      </c>
      <c r="O117" s="80">
        <f>-280+287</f>
        <v>7</v>
      </c>
      <c r="P117" s="80">
        <f>-286+322-O117</f>
        <v>29</v>
      </c>
      <c r="Q117" s="80">
        <f>-591+391-P117-O117</f>
        <v>-236</v>
      </c>
      <c r="R117" s="31"/>
      <c r="S117" s="31">
        <f t="shared" si="283"/>
        <v>-1060</v>
      </c>
      <c r="T117" s="31">
        <f t="shared" si="283"/>
        <v>-674</v>
      </c>
      <c r="U117" s="31">
        <f t="shared" si="283"/>
        <v>-253</v>
      </c>
      <c r="V117" s="31">
        <f t="shared" si="283"/>
        <v>-966</v>
      </c>
      <c r="W117" s="31">
        <f t="shared" si="283"/>
        <v>-1031</v>
      </c>
      <c r="X117" s="31">
        <f t="shared" si="283"/>
        <v>-932</v>
      </c>
      <c r="Y117" s="31">
        <f t="shared" si="283"/>
        <v>-913</v>
      </c>
      <c r="Z117" s="31">
        <f t="shared" si="283"/>
        <v>-490</v>
      </c>
      <c r="AA117" s="63"/>
      <c r="AB117" s="73">
        <f t="shared" ref="AB117:AB118" si="284">SUM(Z117/V117)-1</f>
        <v>-0.49275362318840576</v>
      </c>
    </row>
    <row r="118" spans="2:28" ht="12.75" customHeight="1">
      <c r="B118" s="82" t="s">
        <v>157</v>
      </c>
      <c r="C118" s="80">
        <v>-3309</v>
      </c>
      <c r="D118" s="80">
        <v>-3556</v>
      </c>
      <c r="E118" s="80">
        <v>-3836</v>
      </c>
      <c r="G118" s="80">
        <v>-890</v>
      </c>
      <c r="H118" s="80">
        <f>-1780-G118</f>
        <v>-890</v>
      </c>
      <c r="I118" s="80">
        <f>-2668-H118-G118</f>
        <v>-888</v>
      </c>
      <c r="J118" s="31">
        <f>SUM(D118-SUM(G118:I118))</f>
        <v>-888</v>
      </c>
      <c r="K118" s="80">
        <v>-957</v>
      </c>
      <c r="L118" s="80">
        <f>-1918-K118</f>
        <v>-961</v>
      </c>
      <c r="M118" s="80">
        <f>-2878-L118-K118</f>
        <v>-960</v>
      </c>
      <c r="N118" s="31">
        <f>SUM(E118-SUM(K118:M118))</f>
        <v>-958</v>
      </c>
      <c r="O118" s="80">
        <v>-1026</v>
      </c>
      <c r="P118" s="80">
        <f>-2055-O118</f>
        <v>-1029</v>
      </c>
      <c r="Q118" s="80">
        <f>-3086-P118-O118</f>
        <v>-1031</v>
      </c>
      <c r="R118" s="31"/>
      <c r="S118" s="31">
        <f t="shared" ref="S118" si="285">SUM(G118:J118)</f>
        <v>-3556</v>
      </c>
      <c r="T118" s="31">
        <f t="shared" ref="T118" si="286">SUM(H118:K118)</f>
        <v>-3623</v>
      </c>
      <c r="U118" s="31">
        <f t="shared" ref="U118" si="287">SUM(I118:L118)</f>
        <v>-3694</v>
      </c>
      <c r="V118" s="31">
        <f t="shared" ref="V118" si="288">SUM(J118:M118)</f>
        <v>-3766</v>
      </c>
      <c r="W118" s="31">
        <f t="shared" ref="W118" si="289">SUM(K118:N118)</f>
        <v>-3836</v>
      </c>
      <c r="X118" s="31">
        <f t="shared" ref="X118" si="290">SUM(L118:O118)</f>
        <v>-3905</v>
      </c>
      <c r="Y118" s="31">
        <f t="shared" ref="Y118" si="291">SUM(M118:P118)</f>
        <v>-3973</v>
      </c>
      <c r="Z118" s="31">
        <f t="shared" ref="Z118" si="292">SUM(N118:Q118)</f>
        <v>-4044</v>
      </c>
      <c r="AA118" s="63"/>
      <c r="AB118" s="73">
        <f t="shared" si="284"/>
        <v>7.3818374933616537E-2</v>
      </c>
    </row>
    <row r="119" spans="2:28" ht="12.75" customHeight="1">
      <c r="B119" s="59" t="s">
        <v>158</v>
      </c>
      <c r="C119" s="80">
        <v>0</v>
      </c>
      <c r="D119" s="80">
        <v>0</v>
      </c>
      <c r="E119" s="80">
        <v>0</v>
      </c>
      <c r="G119" s="80">
        <v>0</v>
      </c>
      <c r="H119" s="80">
        <v>0</v>
      </c>
      <c r="I119" s="80">
        <v>0</v>
      </c>
      <c r="J119" s="31">
        <f>SUM(D119-SUM(G119:I119))</f>
        <v>0</v>
      </c>
      <c r="K119" s="80">
        <v>0</v>
      </c>
      <c r="L119" s="80">
        <v>0</v>
      </c>
      <c r="M119" s="80">
        <v>0</v>
      </c>
      <c r="N119" s="31">
        <f>SUM(E119-SUM(K119:M119))</f>
        <v>0</v>
      </c>
      <c r="O119" s="80">
        <v>0</v>
      </c>
      <c r="P119" s="80">
        <v>-82</v>
      </c>
      <c r="Q119" s="80">
        <f>-82-P119-O119</f>
        <v>0</v>
      </c>
      <c r="R119" s="31"/>
      <c r="S119" s="31">
        <f t="shared" si="283"/>
        <v>0</v>
      </c>
      <c r="T119" s="31">
        <f t="shared" si="283"/>
        <v>0</v>
      </c>
      <c r="U119" s="31">
        <f t="shared" si="283"/>
        <v>0</v>
      </c>
      <c r="V119" s="31">
        <f t="shared" si="283"/>
        <v>0</v>
      </c>
      <c r="W119" s="31">
        <f t="shared" si="283"/>
        <v>0</v>
      </c>
      <c r="X119" s="31">
        <f t="shared" si="283"/>
        <v>0</v>
      </c>
      <c r="Y119" s="31">
        <f t="shared" si="283"/>
        <v>-82</v>
      </c>
      <c r="Z119" s="31">
        <f t="shared" si="283"/>
        <v>-82</v>
      </c>
      <c r="AA119" s="63"/>
      <c r="AB119" s="73" t="e">
        <f t="shared" si="282"/>
        <v>#DIV/0!</v>
      </c>
    </row>
    <row r="120" spans="2:28" ht="12.75" customHeight="1">
      <c r="B120" s="13" t="s">
        <v>53</v>
      </c>
      <c r="C120" s="14">
        <f t="shared" ref="C120:E120" si="293">SUM(C116:C119)</f>
        <v>-7636</v>
      </c>
      <c r="D120" s="14">
        <f t="shared" si="293"/>
        <v>-7091</v>
      </c>
      <c r="E120" s="14">
        <f t="shared" si="293"/>
        <v>-5404</v>
      </c>
      <c r="G120" s="14">
        <f t="shared" ref="G120:Q120" si="294">SUM(G116:G119)</f>
        <v>-1410</v>
      </c>
      <c r="H120" s="14">
        <f t="shared" si="294"/>
        <v>-1289</v>
      </c>
      <c r="I120" s="14">
        <f t="shared" si="294"/>
        <v>-2340</v>
      </c>
      <c r="J120" s="14">
        <f t="shared" si="294"/>
        <v>-2052</v>
      </c>
      <c r="K120" s="14">
        <f t="shared" si="294"/>
        <v>-1176</v>
      </c>
      <c r="L120" s="14">
        <f t="shared" si="294"/>
        <v>-791</v>
      </c>
      <c r="M120" s="14">
        <f t="shared" si="294"/>
        <v>-1576</v>
      </c>
      <c r="N120" s="14">
        <f t="shared" si="294"/>
        <v>-1861</v>
      </c>
      <c r="O120" s="14">
        <f t="shared" si="294"/>
        <v>-2055</v>
      </c>
      <c r="P120" s="14">
        <f t="shared" si="294"/>
        <v>-1097</v>
      </c>
      <c r="Q120" s="14">
        <f t="shared" si="294"/>
        <v>-1760</v>
      </c>
      <c r="S120" s="14">
        <f t="shared" ref="S120:Z120" si="295">SUM(S116:S119)</f>
        <v>-7091</v>
      </c>
      <c r="T120" s="14">
        <f t="shared" si="295"/>
        <v>-6857</v>
      </c>
      <c r="U120" s="14">
        <f t="shared" si="295"/>
        <v>-6359</v>
      </c>
      <c r="V120" s="14">
        <f t="shared" si="295"/>
        <v>-5595</v>
      </c>
      <c r="W120" s="14">
        <f t="shared" si="295"/>
        <v>-5404</v>
      </c>
      <c r="X120" s="14">
        <f t="shared" si="295"/>
        <v>-6283</v>
      </c>
      <c r="Y120" s="14">
        <f t="shared" si="295"/>
        <v>-6589</v>
      </c>
      <c r="Z120" s="14">
        <f t="shared" si="295"/>
        <v>-6773</v>
      </c>
      <c r="AA120" s="41"/>
      <c r="AB120" s="74">
        <f t="shared" si="282"/>
        <v>0.21054512957998206</v>
      </c>
    </row>
    <row r="121" spans="2:28" ht="5.0999999999999996" customHeight="1">
      <c r="B121" s="69"/>
      <c r="C121" s="31"/>
      <c r="D121" s="31"/>
      <c r="E121" s="31"/>
      <c r="F121" s="31"/>
      <c r="G121" s="31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  <c r="V121" s="31"/>
      <c r="W121" s="31"/>
      <c r="X121" s="31"/>
      <c r="Y121" s="31"/>
      <c r="Z121" s="31"/>
      <c r="AA121" s="11"/>
      <c r="AB121" s="44"/>
    </row>
    <row r="122" spans="2:28">
      <c r="B122" s="90" t="s">
        <v>78</v>
      </c>
      <c r="C122" s="174">
        <v>9799</v>
      </c>
      <c r="D122" s="91">
        <f t="shared" ref="D122:E122" si="296">C129</f>
        <v>9882</v>
      </c>
      <c r="E122" s="91">
        <f t="shared" si="296"/>
        <v>6896</v>
      </c>
      <c r="F122" s="91"/>
      <c r="G122" s="91">
        <f>D122</f>
        <v>9882</v>
      </c>
      <c r="H122" s="91">
        <f t="shared" ref="H122:Q122" si="297">G129</f>
        <v>9161</v>
      </c>
      <c r="I122" s="91">
        <f t="shared" si="297"/>
        <v>7835</v>
      </c>
      <c r="J122" s="91">
        <f t="shared" si="297"/>
        <v>6709</v>
      </c>
      <c r="K122" s="91">
        <f t="shared" si="297"/>
        <v>6896</v>
      </c>
      <c r="L122" s="91">
        <f t="shared" si="297"/>
        <v>6284</v>
      </c>
      <c r="M122" s="91">
        <f t="shared" si="297"/>
        <v>6987</v>
      </c>
      <c r="N122" s="91">
        <f t="shared" si="297"/>
        <v>7558</v>
      </c>
      <c r="O122" s="91">
        <f t="shared" si="297"/>
        <v>7616</v>
      </c>
      <c r="P122" s="91">
        <f t="shared" si="297"/>
        <v>6532</v>
      </c>
      <c r="Q122" s="91">
        <f t="shared" si="297"/>
        <v>6951</v>
      </c>
      <c r="R122" s="91"/>
      <c r="S122" s="91">
        <f>J122</f>
        <v>6709</v>
      </c>
      <c r="T122" s="91">
        <f>S129</f>
        <v>6896</v>
      </c>
      <c r="U122" s="91">
        <f t="shared" ref="U122:Z122" si="298">T129</f>
        <v>6284</v>
      </c>
      <c r="V122" s="91">
        <f t="shared" si="298"/>
        <v>6987</v>
      </c>
      <c r="W122" s="91">
        <f t="shared" si="298"/>
        <v>7558</v>
      </c>
      <c r="X122" s="91">
        <f t="shared" si="298"/>
        <v>7616</v>
      </c>
      <c r="Y122" s="91">
        <f t="shared" si="298"/>
        <v>6532</v>
      </c>
      <c r="Z122" s="138">
        <f t="shared" si="298"/>
        <v>6951</v>
      </c>
      <c r="AA122" s="11"/>
      <c r="AB122" s="44"/>
    </row>
    <row r="123" spans="2:28">
      <c r="B123" s="128" t="s">
        <v>89</v>
      </c>
      <c r="C123" s="31">
        <v>0</v>
      </c>
      <c r="D123" s="31">
        <f t="shared" ref="D123:E123" si="299">-C127</f>
        <v>0</v>
      </c>
      <c r="E123" s="31">
        <f t="shared" si="299"/>
        <v>0</v>
      </c>
      <c r="F123" s="31"/>
      <c r="G123" s="31">
        <f>D123</f>
        <v>0</v>
      </c>
      <c r="H123" s="31">
        <f t="shared" ref="H123:Q123" si="300">-G127</f>
        <v>0</v>
      </c>
      <c r="I123" s="31">
        <f t="shared" si="300"/>
        <v>0</v>
      </c>
      <c r="J123" s="31">
        <f t="shared" si="300"/>
        <v>0</v>
      </c>
      <c r="K123" s="31">
        <f t="shared" si="300"/>
        <v>0</v>
      </c>
      <c r="L123" s="31">
        <f t="shared" si="300"/>
        <v>0</v>
      </c>
      <c r="M123" s="31">
        <f t="shared" si="300"/>
        <v>0</v>
      </c>
      <c r="N123" s="31">
        <f t="shared" si="300"/>
        <v>0</v>
      </c>
      <c r="O123" s="31">
        <f t="shared" si="300"/>
        <v>0</v>
      </c>
      <c r="P123" s="31">
        <f t="shared" si="300"/>
        <v>0</v>
      </c>
      <c r="Q123" s="31">
        <f t="shared" si="300"/>
        <v>0</v>
      </c>
      <c r="R123" s="31"/>
      <c r="S123" s="31">
        <f>J123</f>
        <v>0</v>
      </c>
      <c r="T123" s="31">
        <f>-S127</f>
        <v>0</v>
      </c>
      <c r="U123" s="31">
        <f t="shared" ref="U123:Z123" si="301">-T127</f>
        <v>0</v>
      </c>
      <c r="V123" s="31">
        <f t="shared" si="301"/>
        <v>0</v>
      </c>
      <c r="W123" s="31">
        <f t="shared" si="301"/>
        <v>0</v>
      </c>
      <c r="X123" s="31">
        <f t="shared" si="301"/>
        <v>0</v>
      </c>
      <c r="Y123" s="31">
        <f t="shared" si="301"/>
        <v>0</v>
      </c>
      <c r="Z123" s="132">
        <f t="shared" si="301"/>
        <v>0</v>
      </c>
      <c r="AA123" s="11"/>
      <c r="AB123" s="44"/>
    </row>
    <row r="124" spans="2:28">
      <c r="B124" s="143" t="s">
        <v>66</v>
      </c>
      <c r="C124" s="144">
        <f t="shared" ref="C124:E124" si="302">SUM(C122:C123)</f>
        <v>9799</v>
      </c>
      <c r="D124" s="144">
        <f t="shared" si="302"/>
        <v>9882</v>
      </c>
      <c r="E124" s="144">
        <f t="shared" si="302"/>
        <v>6896</v>
      </c>
      <c r="F124" s="31"/>
      <c r="G124" s="144">
        <f t="shared" ref="G124:Q124" si="303">SUM(G122:G123)</f>
        <v>9882</v>
      </c>
      <c r="H124" s="144">
        <f t="shared" si="303"/>
        <v>9161</v>
      </c>
      <c r="I124" s="144">
        <f t="shared" si="303"/>
        <v>7835</v>
      </c>
      <c r="J124" s="144">
        <f t="shared" si="303"/>
        <v>6709</v>
      </c>
      <c r="K124" s="144">
        <f t="shared" si="303"/>
        <v>6896</v>
      </c>
      <c r="L124" s="144">
        <f t="shared" si="303"/>
        <v>6284</v>
      </c>
      <c r="M124" s="144">
        <f t="shared" si="303"/>
        <v>6987</v>
      </c>
      <c r="N124" s="144">
        <f t="shared" si="303"/>
        <v>7558</v>
      </c>
      <c r="O124" s="144">
        <f t="shared" si="303"/>
        <v>7616</v>
      </c>
      <c r="P124" s="144">
        <f t="shared" si="303"/>
        <v>6532</v>
      </c>
      <c r="Q124" s="144">
        <f t="shared" si="303"/>
        <v>6951</v>
      </c>
      <c r="R124" s="31"/>
      <c r="S124" s="131">
        <f t="shared" ref="S124:Z124" si="304">SUM(S122:S123)</f>
        <v>6709</v>
      </c>
      <c r="T124" s="131">
        <f t="shared" si="304"/>
        <v>6896</v>
      </c>
      <c r="U124" s="131">
        <f t="shared" si="304"/>
        <v>6284</v>
      </c>
      <c r="V124" s="144">
        <f t="shared" si="304"/>
        <v>6987</v>
      </c>
      <c r="W124" s="144">
        <f t="shared" si="304"/>
        <v>7558</v>
      </c>
      <c r="X124" s="144">
        <f t="shared" si="304"/>
        <v>7616</v>
      </c>
      <c r="Y124" s="144">
        <f t="shared" si="304"/>
        <v>6532</v>
      </c>
      <c r="Z124" s="145">
        <f t="shared" si="304"/>
        <v>6951</v>
      </c>
      <c r="AA124" s="11"/>
      <c r="AB124" s="44"/>
    </row>
    <row r="125" spans="2:28" ht="5.0999999999999996" customHeight="1">
      <c r="B125" s="135"/>
      <c r="C125" s="69"/>
      <c r="D125" s="69"/>
      <c r="E125" s="69"/>
      <c r="F125" s="31"/>
      <c r="G125" s="69"/>
      <c r="H125" s="69"/>
      <c r="I125" s="69"/>
      <c r="J125" s="69"/>
      <c r="K125" s="69"/>
      <c r="L125" s="69"/>
      <c r="M125" s="69"/>
      <c r="N125" s="69"/>
      <c r="O125" s="69"/>
      <c r="P125" s="69"/>
      <c r="Q125" s="69"/>
      <c r="R125" s="31"/>
      <c r="S125" s="69"/>
      <c r="T125" s="69"/>
      <c r="U125" s="69"/>
      <c r="V125" s="69"/>
      <c r="W125" s="69"/>
      <c r="X125" s="69"/>
      <c r="Y125" s="69"/>
      <c r="Z125" s="133"/>
      <c r="AA125" s="11"/>
      <c r="AB125" s="44"/>
    </row>
    <row r="126" spans="2:28">
      <c r="B126" s="128" t="s">
        <v>79</v>
      </c>
      <c r="C126" s="80">
        <v>-122</v>
      </c>
      <c r="D126" s="80">
        <v>-23</v>
      </c>
      <c r="E126" s="80">
        <v>-96</v>
      </c>
      <c r="F126" s="31"/>
      <c r="G126" s="80">
        <v>8</v>
      </c>
      <c r="H126" s="80">
        <f>-19-G126</f>
        <v>-27</v>
      </c>
      <c r="I126" s="80">
        <f>-48-H126-G126</f>
        <v>-29</v>
      </c>
      <c r="J126" s="31">
        <f>SUM(D126-SUM(G126:I126))</f>
        <v>25</v>
      </c>
      <c r="K126" s="80">
        <v>-36</v>
      </c>
      <c r="L126" s="80">
        <f>-49-K126</f>
        <v>-13</v>
      </c>
      <c r="M126" s="80">
        <f>-13-L126-K126</f>
        <v>36</v>
      </c>
      <c r="N126" s="31">
        <f>SUM(E126-SUM(K126:M126))</f>
        <v>-83</v>
      </c>
      <c r="O126" s="80">
        <v>24</v>
      </c>
      <c r="P126" s="80">
        <f>75-O126</f>
        <v>51</v>
      </c>
      <c r="Q126" s="80">
        <f>65-P126-O126</f>
        <v>-10</v>
      </c>
      <c r="R126" s="31"/>
      <c r="S126" s="31">
        <f t="shared" ref="S126:S128" si="305">J126</f>
        <v>25</v>
      </c>
      <c r="T126" s="31">
        <f t="shared" ref="T126:T128" si="306">K126</f>
        <v>-36</v>
      </c>
      <c r="U126" s="31">
        <f t="shared" ref="U126:U128" si="307">L126</f>
        <v>-13</v>
      </c>
      <c r="V126" s="31">
        <f t="shared" ref="V126:V128" si="308">M126</f>
        <v>36</v>
      </c>
      <c r="W126" s="31">
        <f t="shared" ref="W126:W128" si="309">N126</f>
        <v>-83</v>
      </c>
      <c r="X126" s="31">
        <f t="shared" ref="X126:X128" si="310">O126</f>
        <v>24</v>
      </c>
      <c r="Y126" s="31">
        <f t="shared" ref="Y126:Y128" si="311">P126</f>
        <v>51</v>
      </c>
      <c r="Z126" s="132">
        <f t="shared" ref="Z126:Z128" si="312">Q126</f>
        <v>-10</v>
      </c>
      <c r="AA126" s="11"/>
      <c r="AB126" s="44"/>
    </row>
    <row r="127" spans="2:28">
      <c r="B127" s="128" t="s">
        <v>88</v>
      </c>
      <c r="C127" s="80">
        <v>0</v>
      </c>
      <c r="D127" s="80">
        <v>0</v>
      </c>
      <c r="E127" s="80">
        <v>0</v>
      </c>
      <c r="F127" s="31"/>
      <c r="G127" s="80">
        <v>0</v>
      </c>
      <c r="H127" s="80">
        <v>0</v>
      </c>
      <c r="I127" s="80">
        <v>0</v>
      </c>
      <c r="J127" s="31">
        <f>D127</f>
        <v>0</v>
      </c>
      <c r="K127" s="80">
        <v>0</v>
      </c>
      <c r="L127" s="80">
        <v>0</v>
      </c>
      <c r="M127" s="80">
        <v>0</v>
      </c>
      <c r="N127" s="31">
        <f>E127</f>
        <v>0</v>
      </c>
      <c r="O127" s="80">
        <v>0</v>
      </c>
      <c r="P127" s="80">
        <v>0</v>
      </c>
      <c r="Q127" s="80">
        <v>0</v>
      </c>
      <c r="R127" s="31"/>
      <c r="S127" s="31">
        <f t="shared" si="305"/>
        <v>0</v>
      </c>
      <c r="T127" s="31">
        <f t="shared" si="306"/>
        <v>0</v>
      </c>
      <c r="U127" s="31">
        <f t="shared" si="307"/>
        <v>0</v>
      </c>
      <c r="V127" s="31">
        <f t="shared" si="308"/>
        <v>0</v>
      </c>
      <c r="W127" s="31">
        <f t="shared" si="309"/>
        <v>0</v>
      </c>
      <c r="X127" s="31">
        <f t="shared" si="310"/>
        <v>0</v>
      </c>
      <c r="Y127" s="31">
        <f t="shared" si="311"/>
        <v>0</v>
      </c>
      <c r="Z127" s="132">
        <f t="shared" si="312"/>
        <v>0</v>
      </c>
      <c r="AA127" s="11"/>
      <c r="AB127" s="44"/>
    </row>
    <row r="128" spans="2:28">
      <c r="B128" s="128" t="s">
        <v>57</v>
      </c>
      <c r="C128" s="31">
        <f>+C120+C113+C106</f>
        <v>205</v>
      </c>
      <c r="D128" s="31">
        <f>+D120+D113+D106</f>
        <v>-2963</v>
      </c>
      <c r="E128" s="31">
        <f>+E120+E113+E106</f>
        <v>816</v>
      </c>
      <c r="F128" s="31"/>
      <c r="G128" s="31">
        <f>+G120+G113+G106</f>
        <v>-729</v>
      </c>
      <c r="H128" s="31">
        <f>+H120+H113+H106</f>
        <v>-1299</v>
      </c>
      <c r="I128" s="31">
        <f>+I120+I113+I106</f>
        <v>-1097</v>
      </c>
      <c r="J128" s="31">
        <f>+J120+J113+J106</f>
        <v>162</v>
      </c>
      <c r="K128" s="31">
        <f>+K120+K113+K106</f>
        <v>-576</v>
      </c>
      <c r="L128" s="31">
        <f>+L120+L113+L106</f>
        <v>716</v>
      </c>
      <c r="M128" s="31">
        <f>+M120+M113+M106</f>
        <v>535</v>
      </c>
      <c r="N128" s="31">
        <f>+N120+N113+N106</f>
        <v>141</v>
      </c>
      <c r="O128" s="31">
        <f>+O120+O113+O106</f>
        <v>-1108</v>
      </c>
      <c r="P128" s="31">
        <f>+P120+P113+P106</f>
        <v>368</v>
      </c>
      <c r="Q128" s="31">
        <f>+Q120+Q113+Q106</f>
        <v>570</v>
      </c>
      <c r="R128" s="31"/>
      <c r="S128" s="31">
        <f t="shared" si="305"/>
        <v>162</v>
      </c>
      <c r="T128" s="31">
        <f t="shared" si="306"/>
        <v>-576</v>
      </c>
      <c r="U128" s="31">
        <f t="shared" si="307"/>
        <v>716</v>
      </c>
      <c r="V128" s="31">
        <f t="shared" si="308"/>
        <v>535</v>
      </c>
      <c r="W128" s="31">
        <f t="shared" si="309"/>
        <v>141</v>
      </c>
      <c r="X128" s="31">
        <f t="shared" si="310"/>
        <v>-1108</v>
      </c>
      <c r="Y128" s="31">
        <f t="shared" si="311"/>
        <v>368</v>
      </c>
      <c r="Z128" s="132">
        <f t="shared" si="312"/>
        <v>570</v>
      </c>
      <c r="AA128" s="11"/>
      <c r="AB128" s="44"/>
    </row>
    <row r="129" spans="2:28">
      <c r="B129" s="87" t="s">
        <v>67</v>
      </c>
      <c r="C129" s="144">
        <f t="shared" ref="C129:E129" si="313">SUM(C124:C128)</f>
        <v>9882</v>
      </c>
      <c r="D129" s="144">
        <f t="shared" si="313"/>
        <v>6896</v>
      </c>
      <c r="E129" s="144">
        <f t="shared" si="313"/>
        <v>7616</v>
      </c>
      <c r="F129" s="31"/>
      <c r="G129" s="144">
        <f t="shared" ref="G129:Q129" si="314">SUM(G124:G128)</f>
        <v>9161</v>
      </c>
      <c r="H129" s="144">
        <f t="shared" si="314"/>
        <v>7835</v>
      </c>
      <c r="I129" s="144">
        <f t="shared" si="314"/>
        <v>6709</v>
      </c>
      <c r="J129" s="144">
        <f t="shared" si="314"/>
        <v>6896</v>
      </c>
      <c r="K129" s="144">
        <f t="shared" si="314"/>
        <v>6284</v>
      </c>
      <c r="L129" s="144">
        <f t="shared" si="314"/>
        <v>6987</v>
      </c>
      <c r="M129" s="144">
        <f t="shared" si="314"/>
        <v>7558</v>
      </c>
      <c r="N129" s="144">
        <f t="shared" si="314"/>
        <v>7616</v>
      </c>
      <c r="O129" s="144">
        <f t="shared" si="314"/>
        <v>6532</v>
      </c>
      <c r="P129" s="144">
        <f t="shared" si="314"/>
        <v>6951</v>
      </c>
      <c r="Q129" s="144">
        <f t="shared" si="314"/>
        <v>7511</v>
      </c>
      <c r="R129" s="31"/>
      <c r="S129" s="131">
        <f t="shared" ref="S129:Z129" si="315">SUM(S124:S128)</f>
        <v>6896</v>
      </c>
      <c r="T129" s="131">
        <f t="shared" si="315"/>
        <v>6284</v>
      </c>
      <c r="U129" s="131">
        <f t="shared" si="315"/>
        <v>6987</v>
      </c>
      <c r="V129" s="144">
        <f t="shared" si="315"/>
        <v>7558</v>
      </c>
      <c r="W129" s="144">
        <f t="shared" si="315"/>
        <v>7616</v>
      </c>
      <c r="X129" s="144">
        <f t="shared" si="315"/>
        <v>6532</v>
      </c>
      <c r="Y129" s="144">
        <f t="shared" si="315"/>
        <v>6951</v>
      </c>
      <c r="Z129" s="145">
        <f t="shared" si="315"/>
        <v>7511</v>
      </c>
      <c r="AA129" s="11"/>
      <c r="AB129" s="44"/>
    </row>
    <row r="130" spans="2:28" ht="5.0999999999999996" customHeight="1">
      <c r="B130" s="88"/>
      <c r="C130" s="64"/>
      <c r="D130" s="64"/>
      <c r="E130" s="64"/>
      <c r="F130" s="31"/>
      <c r="G130" s="64"/>
      <c r="H130" s="64"/>
      <c r="I130" s="64"/>
      <c r="J130" s="64"/>
      <c r="K130" s="64"/>
      <c r="L130" s="64"/>
      <c r="M130" s="64"/>
      <c r="N130" s="64"/>
      <c r="O130" s="64"/>
      <c r="P130" s="64"/>
      <c r="Q130" s="64"/>
      <c r="S130" s="11"/>
      <c r="T130" s="11"/>
      <c r="U130" s="11"/>
      <c r="V130" s="11"/>
      <c r="W130" s="11"/>
      <c r="X130" s="11"/>
      <c r="Y130" s="11"/>
      <c r="Z130" s="89"/>
      <c r="AA130" s="11"/>
      <c r="AB130" s="44"/>
    </row>
    <row r="131" spans="2:28">
      <c r="B131" s="136" t="s">
        <v>82</v>
      </c>
      <c r="C131" s="85">
        <f>ROUND(C129-C45,1)</f>
        <v>0</v>
      </c>
      <c r="D131" s="85">
        <f>ROUND(D129-D45,1)</f>
        <v>0</v>
      </c>
      <c r="E131" s="85">
        <f>ROUND(E129-E45,1)</f>
        <v>0</v>
      </c>
      <c r="F131" s="86"/>
      <c r="G131" s="85">
        <f>G129-G45</f>
        <v>0</v>
      </c>
      <c r="H131" s="85">
        <f>H129-H45</f>
        <v>0</v>
      </c>
      <c r="I131" s="85">
        <f>I129-I45</f>
        <v>0</v>
      </c>
      <c r="J131" s="85">
        <f>J129-J45</f>
        <v>0</v>
      </c>
      <c r="K131" s="85">
        <f>K129-K45</f>
        <v>0</v>
      </c>
      <c r="L131" s="85">
        <f>L129-L45</f>
        <v>0</v>
      </c>
      <c r="M131" s="85">
        <f>M129-M45</f>
        <v>0</v>
      </c>
      <c r="N131" s="85">
        <f>N129-N45</f>
        <v>0</v>
      </c>
      <c r="O131" s="85">
        <f>O129-O45</f>
        <v>0</v>
      </c>
      <c r="P131" s="85">
        <f>P129-P45</f>
        <v>0</v>
      </c>
      <c r="Q131" s="85">
        <f>Q129-Q45</f>
        <v>0</v>
      </c>
      <c r="R131" s="85"/>
      <c r="S131" s="85">
        <f>S129-S45</f>
        <v>0</v>
      </c>
      <c r="T131" s="85">
        <f>T129-T45</f>
        <v>0</v>
      </c>
      <c r="U131" s="85">
        <f>U129-U45</f>
        <v>0</v>
      </c>
      <c r="V131" s="85">
        <f>V129-V45</f>
        <v>0</v>
      </c>
      <c r="W131" s="85">
        <f>W129-W45</f>
        <v>0</v>
      </c>
      <c r="X131" s="85">
        <f>X129-X45</f>
        <v>0</v>
      </c>
      <c r="Y131" s="85">
        <f>Y129-Y45</f>
        <v>0</v>
      </c>
      <c r="Z131" s="134">
        <f>Z129-Z45</f>
        <v>0</v>
      </c>
      <c r="AA131" s="11"/>
      <c r="AB131" s="44"/>
    </row>
    <row r="132" spans="2:28" ht="5.0999999999999996" customHeight="1">
      <c r="B132" s="8"/>
      <c r="C132" s="64"/>
      <c r="D132" s="64"/>
      <c r="E132" s="64"/>
      <c r="F132" s="31"/>
      <c r="G132" s="64"/>
      <c r="H132" s="64"/>
      <c r="I132" s="64"/>
      <c r="J132" s="64"/>
      <c r="K132" s="64"/>
      <c r="L132" s="64"/>
      <c r="M132" s="64"/>
      <c r="N132" s="64"/>
      <c r="O132" s="64"/>
      <c r="P132" s="64"/>
      <c r="Q132" s="64"/>
      <c r="S132" s="11"/>
      <c r="T132" s="11"/>
      <c r="U132" s="11"/>
      <c r="V132" s="11"/>
      <c r="W132" s="11"/>
      <c r="X132" s="11"/>
      <c r="Y132" s="11"/>
      <c r="Z132" s="11"/>
      <c r="AA132" s="11"/>
      <c r="AB132" s="44"/>
    </row>
    <row r="133" spans="2:28" ht="12.75" customHeight="1">
      <c r="B133" s="70" t="s">
        <v>58</v>
      </c>
      <c r="C133" s="61"/>
      <c r="D133" s="61"/>
      <c r="E133" s="61"/>
      <c r="F133" s="11"/>
      <c r="G133" s="61"/>
      <c r="H133" s="61"/>
      <c r="I133" s="61"/>
      <c r="J133" s="61"/>
      <c r="K133" s="61"/>
      <c r="L133" s="61"/>
      <c r="M133" s="61"/>
      <c r="N133" s="61"/>
      <c r="O133" s="80"/>
      <c r="P133" s="61"/>
      <c r="Q133" s="61"/>
      <c r="S133" s="61"/>
      <c r="T133" s="61"/>
      <c r="U133" s="61"/>
      <c r="V133" s="61"/>
      <c r="W133" s="61"/>
      <c r="X133" s="61"/>
      <c r="Y133" s="61"/>
      <c r="Z133" s="61"/>
      <c r="AA133" s="65"/>
      <c r="AB133" s="44"/>
    </row>
    <row r="134" spans="2:28" ht="12.75" customHeight="1">
      <c r="B134" s="8" t="s">
        <v>99</v>
      </c>
      <c r="C134" s="80">
        <v>1864</v>
      </c>
      <c r="D134" s="80">
        <v>1475</v>
      </c>
      <c r="E134" s="80">
        <v>1723</v>
      </c>
      <c r="F134" s="11"/>
      <c r="G134" s="80">
        <v>0</v>
      </c>
      <c r="H134" s="80">
        <v>0</v>
      </c>
      <c r="I134" s="80">
        <v>0</v>
      </c>
      <c r="J134" s="31">
        <f>SUM(D134-SUM(G134:I134))</f>
        <v>1475</v>
      </c>
      <c r="K134" s="80">
        <v>0</v>
      </c>
      <c r="L134" s="80">
        <v>0</v>
      </c>
      <c r="M134" s="80">
        <v>0</v>
      </c>
      <c r="N134" s="31">
        <f>SUM(E134-SUM(K134:M134))</f>
        <v>1723</v>
      </c>
      <c r="O134" s="80">
        <v>0</v>
      </c>
      <c r="P134" s="80">
        <v>0</v>
      </c>
      <c r="Q134" s="80">
        <v>0</v>
      </c>
      <c r="S134" s="31">
        <f t="shared" ref="S134:Z135" si="316">SUM(G134:J134)</f>
        <v>1475</v>
      </c>
      <c r="T134" s="31">
        <f t="shared" si="316"/>
        <v>1475</v>
      </c>
      <c r="U134" s="31">
        <f t="shared" si="316"/>
        <v>1475</v>
      </c>
      <c r="V134" s="31">
        <f t="shared" si="316"/>
        <v>1475</v>
      </c>
      <c r="W134" s="31">
        <f t="shared" si="316"/>
        <v>1723</v>
      </c>
      <c r="X134" s="31">
        <f t="shared" si="316"/>
        <v>1723</v>
      </c>
      <c r="Y134" s="31">
        <f t="shared" si="316"/>
        <v>1723</v>
      </c>
      <c r="Z134" s="31">
        <f t="shared" si="316"/>
        <v>1723</v>
      </c>
      <c r="AA134" s="65"/>
      <c r="AB134" s="44"/>
    </row>
    <row r="135" spans="2:28" ht="12.75" customHeight="1">
      <c r="B135" s="8" t="s">
        <v>159</v>
      </c>
      <c r="C135" s="80">
        <v>563</v>
      </c>
      <c r="D135" s="80">
        <v>662</v>
      </c>
      <c r="E135" s="80">
        <v>604</v>
      </c>
      <c r="F135" s="31"/>
      <c r="G135" s="80">
        <v>0</v>
      </c>
      <c r="H135" s="80">
        <v>0</v>
      </c>
      <c r="I135" s="80">
        <v>0</v>
      </c>
      <c r="J135" s="31">
        <f>SUM(D135-SUM(G135:I135))</f>
        <v>662</v>
      </c>
      <c r="K135" s="80">
        <v>0</v>
      </c>
      <c r="L135" s="80">
        <v>0</v>
      </c>
      <c r="M135" s="80">
        <v>0</v>
      </c>
      <c r="N135" s="31">
        <f>SUM(E135-SUM(K135:M135))</f>
        <v>604</v>
      </c>
      <c r="O135" s="80">
        <v>0</v>
      </c>
      <c r="P135" s="80">
        <v>0</v>
      </c>
      <c r="Q135" s="80">
        <v>0</v>
      </c>
      <c r="R135" s="31"/>
      <c r="S135" s="31">
        <f t="shared" si="316"/>
        <v>662</v>
      </c>
      <c r="T135" s="31">
        <f t="shared" si="316"/>
        <v>662</v>
      </c>
      <c r="U135" s="31">
        <f t="shared" si="316"/>
        <v>662</v>
      </c>
      <c r="V135" s="31">
        <f t="shared" si="316"/>
        <v>662</v>
      </c>
      <c r="W135" s="31">
        <f t="shared" si="316"/>
        <v>604</v>
      </c>
      <c r="X135" s="31">
        <f t="shared" si="316"/>
        <v>604</v>
      </c>
      <c r="Y135" s="31">
        <f t="shared" si="316"/>
        <v>604</v>
      </c>
      <c r="Z135" s="31">
        <f t="shared" si="316"/>
        <v>604</v>
      </c>
      <c r="AA135" s="11"/>
      <c r="AB135" s="44"/>
    </row>
    <row r="136" spans="2:28" ht="5.0999999999999996" customHeight="1" thickBot="1">
      <c r="B136" s="71"/>
      <c r="C136" s="72"/>
      <c r="D136" s="72"/>
      <c r="E136" s="72"/>
      <c r="F136" s="71"/>
      <c r="G136" s="71"/>
      <c r="H136" s="71"/>
      <c r="I136" s="71"/>
      <c r="J136" s="71"/>
      <c r="K136" s="71"/>
      <c r="L136" s="71"/>
      <c r="M136" s="71"/>
      <c r="N136" s="71"/>
      <c r="O136" s="71"/>
      <c r="P136" s="71"/>
      <c r="Q136" s="71"/>
      <c r="R136" s="71"/>
      <c r="S136" s="71"/>
      <c r="T136" s="71"/>
      <c r="U136" s="71"/>
      <c r="V136" s="71"/>
      <c r="W136" s="71"/>
      <c r="X136" s="71"/>
      <c r="Y136" s="71"/>
      <c r="Z136" s="71"/>
      <c r="AB136" s="44"/>
    </row>
    <row r="137" spans="2:28" ht="12.75" customHeight="1">
      <c r="B137" s="52"/>
      <c r="C137" s="66"/>
      <c r="D137" s="66"/>
      <c r="E137" s="66"/>
    </row>
    <row r="138" spans="2:28" ht="12.75" customHeight="1">
      <c r="C138" s="55"/>
      <c r="D138" s="55"/>
      <c r="E138" s="55"/>
    </row>
    <row r="139" spans="2:28" ht="12.75" customHeight="1">
      <c r="C139" s="55"/>
      <c r="D139" s="55"/>
      <c r="E139" s="55"/>
      <c r="F139" s="55"/>
      <c r="G139" s="55"/>
      <c r="H139" s="55"/>
      <c r="I139" s="55"/>
      <c r="J139" s="55"/>
      <c r="K139" s="55"/>
    </row>
    <row r="140" spans="2:28" ht="12.75" customHeight="1">
      <c r="C140" s="55"/>
      <c r="D140" s="55"/>
      <c r="E140" s="55"/>
      <c r="F140" s="55"/>
      <c r="G140" s="55"/>
      <c r="H140" s="55"/>
      <c r="I140" s="55"/>
      <c r="J140" s="55"/>
      <c r="K140" s="55"/>
    </row>
    <row r="141" spans="2:28" ht="12.75" customHeight="1">
      <c r="C141" s="55"/>
      <c r="D141" s="55"/>
      <c r="E141" s="55"/>
      <c r="F141" s="55"/>
      <c r="G141" s="55"/>
      <c r="H141" s="55"/>
      <c r="I141" s="55"/>
      <c r="J141" s="55"/>
      <c r="K141" s="55"/>
    </row>
    <row r="142" spans="2:28" ht="12.75" customHeight="1">
      <c r="C142" s="55"/>
      <c r="D142" s="55"/>
      <c r="E142" s="55"/>
      <c r="F142" s="55"/>
      <c r="G142" s="55"/>
      <c r="H142" s="55"/>
      <c r="I142" s="55"/>
      <c r="J142" s="55"/>
      <c r="K142" s="55"/>
    </row>
    <row r="143" spans="2:28" ht="12.75" customHeight="1">
      <c r="C143" s="55"/>
      <c r="D143" s="55"/>
      <c r="E143" s="55"/>
      <c r="F143" s="55"/>
      <c r="G143" s="55"/>
      <c r="H143" s="55"/>
      <c r="I143" s="55"/>
      <c r="J143" s="55"/>
      <c r="K143" s="55"/>
      <c r="L143" s="84"/>
    </row>
    <row r="144" spans="2:28" ht="12.75" customHeight="1">
      <c r="C144" s="55"/>
      <c r="D144" s="55"/>
      <c r="E144" s="55"/>
      <c r="F144" s="55"/>
      <c r="G144" s="55"/>
      <c r="H144" s="55"/>
      <c r="I144" s="55"/>
      <c r="J144" s="55"/>
      <c r="K144" s="55"/>
    </row>
    <row r="145" spans="3:12" ht="12.75" customHeight="1">
      <c r="C145" s="55"/>
      <c r="D145" s="55"/>
      <c r="E145" s="55"/>
      <c r="F145" s="55"/>
      <c r="G145" s="55"/>
      <c r="H145" s="55"/>
      <c r="I145" s="55"/>
      <c r="J145" s="55"/>
      <c r="K145" s="55"/>
      <c r="L145" s="84"/>
    </row>
    <row r="146" spans="3:12">
      <c r="C146" s="55"/>
      <c r="D146" s="55"/>
      <c r="E146" s="55"/>
      <c r="F146" s="55"/>
      <c r="G146" s="55"/>
      <c r="H146" s="55"/>
      <c r="I146" s="55"/>
      <c r="J146" s="55"/>
      <c r="K146" s="55"/>
      <c r="L146" s="84"/>
    </row>
    <row r="147" spans="3:12">
      <c r="C147" s="55"/>
      <c r="D147" s="55"/>
      <c r="E147" s="55"/>
      <c r="F147" s="55"/>
      <c r="G147" s="55"/>
      <c r="H147" s="55"/>
      <c r="I147" s="55"/>
      <c r="J147" s="55"/>
      <c r="K147" s="55"/>
      <c r="L147" s="84"/>
    </row>
    <row r="148" spans="3:12">
      <c r="C148" s="55"/>
      <c r="D148" s="55"/>
      <c r="E148" s="55"/>
      <c r="F148" s="55"/>
      <c r="G148" s="55"/>
      <c r="H148" s="55"/>
      <c r="I148" s="55"/>
      <c r="J148" s="55"/>
      <c r="K148" s="55"/>
    </row>
    <row r="149" spans="3:12">
      <c r="C149" s="55"/>
      <c r="D149" s="55"/>
      <c r="E149" s="55"/>
      <c r="F149" s="55"/>
      <c r="G149" s="55"/>
      <c r="H149" s="55"/>
      <c r="I149" s="55"/>
      <c r="J149" s="55"/>
      <c r="K149" s="55"/>
      <c r="L149" s="84"/>
    </row>
    <row r="150" spans="3:12">
      <c r="C150" s="55"/>
      <c r="D150" s="55"/>
      <c r="E150" s="55"/>
      <c r="F150" s="55"/>
      <c r="G150" s="55"/>
      <c r="H150" s="55"/>
      <c r="I150" s="55"/>
      <c r="J150" s="55"/>
      <c r="K150" s="55"/>
      <c r="L150" s="84"/>
    </row>
    <row r="151" spans="3:12">
      <c r="C151" s="55"/>
      <c r="D151" s="55"/>
      <c r="E151" s="55"/>
      <c r="F151" s="55"/>
      <c r="G151" s="55"/>
      <c r="H151" s="55"/>
      <c r="I151" s="55"/>
      <c r="J151" s="55"/>
      <c r="K151" s="55"/>
    </row>
    <row r="152" spans="3:12">
      <c r="C152" s="55"/>
      <c r="D152" s="55"/>
      <c r="E152" s="55"/>
      <c r="F152" s="55"/>
      <c r="G152" s="55"/>
      <c r="H152" s="55"/>
      <c r="I152" s="55"/>
      <c r="J152" s="55"/>
      <c r="K152" s="55"/>
    </row>
  </sheetData>
  <mergeCells count="3">
    <mergeCell ref="AB6:AB8"/>
    <mergeCell ref="AB40:AB42"/>
    <mergeCell ref="AB87:AB89"/>
  </mergeCells>
  <pageMargins left="0.7" right="0.7" top="0.75" bottom="0.75" header="0.3" footer="0.3"/>
  <ignoredErrors>
    <ignoredError sqref="F50 S21:W22 S28:Z29 S10:Z13" formulaRange="1"/>
    <ignoredError sqref="C21:E22 G21:Q22 G28:Q28 C28:E28 Z113:AB115 Z106:AB107 AA112 Z108:AA108 AA116:AB116 G31:Z33 G35:Z36 J34 G38:Z38 R37:Z37 C31:F33 F30 R30 C35:F36 F34 R34:Z34 N34 C38:F38 F37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L69"/>
  <sheetViews>
    <sheetView showGridLines="0" zoomScaleNormal="100" workbookViewId="0">
      <selection activeCell="B4" sqref="B4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5" width="8.625" style="8" bestFit="1" customWidth="1"/>
    <col min="6" max="6" width="1.5" style="8" customWidth="1"/>
    <col min="7" max="8" width="8" style="8" customWidth="1" outlineLevel="1"/>
    <col min="9" max="10" width="8.75" style="8" customWidth="1" outlineLevel="1"/>
    <col min="11" max="11" width="8.5" style="8" customWidth="1" outlineLevel="1"/>
    <col min="12" max="12" width="8.25" style="8" customWidth="1" outlineLevel="1"/>
    <col min="13" max="13" width="8.5" style="8" bestFit="1" customWidth="1"/>
    <col min="14" max="17" width="9.125" style="8" bestFit="1" customWidth="1"/>
    <col min="18" max="18" width="1.5" style="8" customWidth="1"/>
    <col min="19" max="21" width="8.75" style="8" customWidth="1" outlineLevel="1"/>
    <col min="22" max="22" width="8.75" style="8" customWidth="1"/>
    <col min="23" max="25" width="8.75" style="8" customWidth="1" outlineLevel="1"/>
    <col min="26" max="26" width="8.75" style="8" customWidth="1"/>
    <col min="27" max="16384" width="9" style="8"/>
  </cols>
  <sheetData>
    <row r="2" spans="1:26" s="5" customFormat="1" ht="12.75" customHeight="1">
      <c r="B2" s="1" t="str">
        <f>'Historical Financials'!B2</f>
        <v>Abbott Laboratories Inc (NYSE: ABT)</v>
      </c>
      <c r="C2" s="2" t="s">
        <v>0</v>
      </c>
      <c r="D2" s="2"/>
      <c r="E2" s="2"/>
      <c r="F2" s="3"/>
      <c r="G2" s="2"/>
      <c r="H2" s="2"/>
      <c r="I2" s="2"/>
      <c r="J2" s="2"/>
      <c r="K2" s="2"/>
      <c r="L2" s="2"/>
      <c r="M2" s="2" t="s">
        <v>1</v>
      </c>
      <c r="N2" s="2"/>
      <c r="O2" s="2"/>
      <c r="P2" s="2"/>
      <c r="Q2" s="2"/>
      <c r="R2" s="3"/>
      <c r="S2" s="2"/>
      <c r="T2" s="2"/>
      <c r="U2" s="2"/>
      <c r="V2" s="2"/>
      <c r="W2" s="2"/>
      <c r="X2" s="2"/>
      <c r="Y2" s="2"/>
      <c r="Z2" s="2"/>
    </row>
    <row r="3" spans="1:26" s="5" customFormat="1" ht="12.75" customHeight="1">
      <c r="B3" s="6" t="s">
        <v>62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4"/>
      <c r="S3" s="4" t="str">
        <f t="shared" ref="S3:Z4" si="0">J3</f>
        <v>4Q23</v>
      </c>
      <c r="T3" s="4" t="str">
        <f t="shared" si="0"/>
        <v>1Q24</v>
      </c>
      <c r="U3" s="4" t="str">
        <f t="shared" si="0"/>
        <v>2Q24</v>
      </c>
      <c r="V3" s="4" t="str">
        <f t="shared" si="0"/>
        <v>3Q24</v>
      </c>
      <c r="W3" s="4" t="str">
        <f t="shared" si="0"/>
        <v>4Q24</v>
      </c>
      <c r="X3" s="4" t="str">
        <f t="shared" si="0"/>
        <v>1Q25</v>
      </c>
      <c r="Y3" s="4" t="str">
        <f t="shared" si="0"/>
        <v>2Q25</v>
      </c>
      <c r="Z3" s="4" t="str">
        <f t="shared" si="0"/>
        <v>3Q25</v>
      </c>
    </row>
    <row r="4" spans="1:26" s="5" customFormat="1" ht="12.75" customHeight="1">
      <c r="B4" s="6" t="s">
        <v>112</v>
      </c>
      <c r="C4" s="3">
        <f>'Historical Financials'!C8</f>
        <v>44926</v>
      </c>
      <c r="D4" s="3">
        <f>'Historical Financials'!D8</f>
        <v>45291</v>
      </c>
      <c r="E4" s="3">
        <f>'Historical Financials'!E8</f>
        <v>45657</v>
      </c>
      <c r="F4" s="3"/>
      <c r="G4" s="3">
        <f>'Historical Financials'!G8</f>
        <v>45016</v>
      </c>
      <c r="H4" s="3">
        <f>'Historical Financials'!H8</f>
        <v>45107</v>
      </c>
      <c r="I4" s="3">
        <f>'Historical Financials'!I8</f>
        <v>45199</v>
      </c>
      <c r="J4" s="3">
        <f>'Historical Financials'!J8</f>
        <v>45291</v>
      </c>
      <c r="K4" s="3">
        <f>'Historical Financials'!K8</f>
        <v>45382</v>
      </c>
      <c r="L4" s="3">
        <f>'Historical Financials'!L8</f>
        <v>45473</v>
      </c>
      <c r="M4" s="3">
        <f>'Historical Financials'!M8</f>
        <v>45565</v>
      </c>
      <c r="N4" s="3">
        <f>'Historical Financials'!N8</f>
        <v>45657</v>
      </c>
      <c r="O4" s="3">
        <f>'Historical Financials'!O8</f>
        <v>45747</v>
      </c>
      <c r="P4" s="3">
        <f>'Historical Financials'!P8</f>
        <v>45838</v>
      </c>
      <c r="Q4" s="3">
        <f>'Historical Financials'!Q8</f>
        <v>45930</v>
      </c>
      <c r="R4" s="3"/>
      <c r="S4" s="3">
        <f t="shared" si="0"/>
        <v>45291</v>
      </c>
      <c r="T4" s="3">
        <f t="shared" si="0"/>
        <v>45382</v>
      </c>
      <c r="U4" s="3">
        <f t="shared" si="0"/>
        <v>45473</v>
      </c>
      <c r="V4" s="3">
        <f t="shared" si="0"/>
        <v>45565</v>
      </c>
      <c r="W4" s="3">
        <f t="shared" si="0"/>
        <v>45657</v>
      </c>
      <c r="X4" s="3">
        <f t="shared" si="0"/>
        <v>45747</v>
      </c>
      <c r="Y4" s="3">
        <f t="shared" si="0"/>
        <v>45838</v>
      </c>
      <c r="Z4" s="3">
        <f t="shared" si="0"/>
        <v>45930</v>
      </c>
    </row>
    <row r="5" spans="1:26" ht="5.0999999999999996" customHeight="1"/>
    <row r="6" spans="1:26">
      <c r="A6" s="35" t="s">
        <v>15</v>
      </c>
      <c r="B6" s="1" t="s">
        <v>113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5.0999999999999996" customHeight="1"/>
    <row r="8" spans="1:26" ht="12.75" customHeight="1">
      <c r="A8" s="78" t="s">
        <v>15</v>
      </c>
      <c r="B8" s="76" t="s">
        <v>114</v>
      </c>
      <c r="C8" s="10"/>
      <c r="D8" s="10"/>
      <c r="E8" s="10"/>
      <c r="F8" s="10"/>
      <c r="G8" s="93"/>
      <c r="H8" s="93"/>
      <c r="I8" s="93"/>
      <c r="J8" s="31"/>
      <c r="K8" s="93"/>
      <c r="L8" s="93"/>
      <c r="M8" s="93"/>
      <c r="N8" s="31"/>
      <c r="O8" s="93"/>
      <c r="P8" s="93"/>
      <c r="Q8" s="93"/>
      <c r="R8" s="5"/>
      <c r="S8" s="11"/>
      <c r="T8" s="11"/>
      <c r="U8" s="11"/>
      <c r="V8" s="11"/>
      <c r="W8" s="11"/>
      <c r="X8" s="11"/>
      <c r="Y8" s="11"/>
      <c r="Z8" s="11"/>
    </row>
    <row r="9" spans="1:26" ht="12.75" customHeight="1">
      <c r="A9" s="78"/>
      <c r="B9" s="9" t="s">
        <v>123</v>
      </c>
      <c r="C9" s="79">
        <v>4912</v>
      </c>
      <c r="D9" s="79">
        <v>5066</v>
      </c>
      <c r="E9" s="79">
        <v>5194</v>
      </c>
      <c r="F9" s="10"/>
      <c r="G9" s="79">
        <v>1189</v>
      </c>
      <c r="H9" s="79">
        <v>1287</v>
      </c>
      <c r="I9" s="79">
        <v>1368</v>
      </c>
      <c r="J9" s="31">
        <v>1222</v>
      </c>
      <c r="K9" s="79">
        <v>1226</v>
      </c>
      <c r="L9" s="79">
        <v>1294</v>
      </c>
      <c r="M9" s="79">
        <v>1406</v>
      </c>
      <c r="N9" s="31">
        <v>1268</v>
      </c>
      <c r="O9" s="79">
        <v>1260</v>
      </c>
      <c r="P9" s="79">
        <v>1383</v>
      </c>
      <c r="Q9" s="79">
        <v>1511</v>
      </c>
      <c r="R9" s="5"/>
      <c r="S9" s="31">
        <f t="shared" ref="S9:Z9" si="1">SUM(G9:J9)</f>
        <v>5066</v>
      </c>
      <c r="T9" s="31">
        <f t="shared" si="1"/>
        <v>5103</v>
      </c>
      <c r="U9" s="31">
        <f t="shared" si="1"/>
        <v>5110</v>
      </c>
      <c r="V9" s="31">
        <f t="shared" si="1"/>
        <v>5148</v>
      </c>
      <c r="W9" s="31">
        <f t="shared" si="1"/>
        <v>5194</v>
      </c>
      <c r="X9" s="31">
        <f t="shared" si="1"/>
        <v>5228</v>
      </c>
      <c r="Y9" s="31">
        <f t="shared" si="1"/>
        <v>5317</v>
      </c>
      <c r="Z9" s="31">
        <f t="shared" si="1"/>
        <v>5422</v>
      </c>
    </row>
    <row r="10" spans="1:26" ht="12.75" customHeight="1">
      <c r="A10" s="78"/>
      <c r="B10" s="9" t="s">
        <v>124</v>
      </c>
      <c r="C10" s="164">
        <f>C26</f>
        <v>7459</v>
      </c>
      <c r="D10" s="164">
        <f t="shared" ref="D10:Q10" si="2">D26</f>
        <v>8154</v>
      </c>
      <c r="E10" s="164">
        <f t="shared" si="2"/>
        <v>8413</v>
      </c>
      <c r="F10" s="10"/>
      <c r="G10" s="164">
        <f t="shared" si="2"/>
        <v>1967</v>
      </c>
      <c r="H10" s="164">
        <f t="shared" si="2"/>
        <v>2076</v>
      </c>
      <c r="I10" s="164">
        <f t="shared" si="2"/>
        <v>2073</v>
      </c>
      <c r="J10" s="164">
        <f t="shared" si="2"/>
        <v>2038</v>
      </c>
      <c r="K10" s="164">
        <f t="shared" si="2"/>
        <v>2068</v>
      </c>
      <c r="L10" s="164">
        <f t="shared" si="2"/>
        <v>2150</v>
      </c>
      <c r="M10" s="164">
        <f t="shared" si="2"/>
        <v>2066</v>
      </c>
      <c r="N10" s="164">
        <f t="shared" si="2"/>
        <v>2129</v>
      </c>
      <c r="O10" s="164">
        <f t="shared" si="2"/>
        <v>2146</v>
      </c>
      <c r="P10" s="164">
        <f t="shared" si="2"/>
        <v>2212</v>
      </c>
      <c r="Q10" s="164">
        <f t="shared" si="2"/>
        <v>2153</v>
      </c>
      <c r="R10" s="5"/>
      <c r="S10" s="31">
        <f t="shared" ref="S10:S13" si="3">SUM(G10:J10)</f>
        <v>8154</v>
      </c>
      <c r="T10" s="31">
        <f t="shared" ref="T10:T13" si="4">SUM(H10:K10)</f>
        <v>8255</v>
      </c>
      <c r="U10" s="31">
        <f t="shared" ref="U10:U13" si="5">SUM(I10:L10)</f>
        <v>8329</v>
      </c>
      <c r="V10" s="31">
        <f t="shared" ref="V10:V13" si="6">SUM(J10:M10)</f>
        <v>8322</v>
      </c>
      <c r="W10" s="31">
        <f t="shared" ref="W10:W13" si="7">SUM(K10:N10)</f>
        <v>8413</v>
      </c>
      <c r="X10" s="31">
        <f t="shared" ref="X10:X13" si="8">SUM(L10:O10)</f>
        <v>8491</v>
      </c>
      <c r="Y10" s="31">
        <f t="shared" ref="Y10:Y13" si="9">SUM(M10:P10)</f>
        <v>8553</v>
      </c>
      <c r="Z10" s="31">
        <f t="shared" ref="Z10:Z13" si="10">SUM(N10:Q10)</f>
        <v>8640</v>
      </c>
    </row>
    <row r="11" spans="1:26" ht="12.75" customHeight="1">
      <c r="A11" s="78"/>
      <c r="B11" s="9" t="s">
        <v>125</v>
      </c>
      <c r="C11" s="164">
        <f>C36</f>
        <v>16469</v>
      </c>
      <c r="D11" s="164">
        <f t="shared" ref="D11:Q11" si="11">D36</f>
        <v>9988</v>
      </c>
      <c r="E11" s="164">
        <f t="shared" si="11"/>
        <v>9341</v>
      </c>
      <c r="F11" s="10"/>
      <c r="G11" s="164">
        <f t="shared" si="11"/>
        <v>2688</v>
      </c>
      <c r="H11" s="164">
        <f t="shared" si="11"/>
        <v>2317</v>
      </c>
      <c r="I11" s="164">
        <f t="shared" si="11"/>
        <v>2449</v>
      </c>
      <c r="J11" s="164">
        <f t="shared" si="11"/>
        <v>2534</v>
      </c>
      <c r="K11" s="164">
        <f t="shared" si="11"/>
        <v>2214</v>
      </c>
      <c r="L11" s="164">
        <f t="shared" si="11"/>
        <v>2195</v>
      </c>
      <c r="M11" s="164">
        <f t="shared" si="11"/>
        <v>2412</v>
      </c>
      <c r="N11" s="164">
        <f t="shared" si="11"/>
        <v>2520</v>
      </c>
      <c r="O11" s="164">
        <f t="shared" si="11"/>
        <v>2054</v>
      </c>
      <c r="P11" s="164">
        <f t="shared" si="11"/>
        <v>2173</v>
      </c>
      <c r="Q11" s="164">
        <f t="shared" si="11"/>
        <v>2253</v>
      </c>
      <c r="R11" s="5"/>
      <c r="S11" s="31">
        <f t="shared" si="3"/>
        <v>9988</v>
      </c>
      <c r="T11" s="31">
        <f t="shared" si="4"/>
        <v>9514</v>
      </c>
      <c r="U11" s="31">
        <f t="shared" si="5"/>
        <v>9392</v>
      </c>
      <c r="V11" s="31">
        <f t="shared" si="6"/>
        <v>9355</v>
      </c>
      <c r="W11" s="31">
        <f t="shared" si="7"/>
        <v>9341</v>
      </c>
      <c r="X11" s="31">
        <f t="shared" si="8"/>
        <v>9181</v>
      </c>
      <c r="Y11" s="31">
        <f t="shared" si="9"/>
        <v>9159</v>
      </c>
      <c r="Z11" s="31">
        <f t="shared" si="10"/>
        <v>9000</v>
      </c>
    </row>
    <row r="12" spans="1:26" ht="12.75" customHeight="1">
      <c r="A12" s="78"/>
      <c r="B12" s="9" t="s">
        <v>126</v>
      </c>
      <c r="C12" s="164">
        <f>C51</f>
        <v>14802</v>
      </c>
      <c r="D12" s="164">
        <f t="shared" ref="D12:Q12" si="12">D51</f>
        <v>16887</v>
      </c>
      <c r="E12" s="164">
        <f t="shared" si="12"/>
        <v>18986</v>
      </c>
      <c r="F12" s="10"/>
      <c r="G12" s="164">
        <f t="shared" si="12"/>
        <v>3900</v>
      </c>
      <c r="H12" s="164">
        <f t="shared" si="12"/>
        <v>4295</v>
      </c>
      <c r="I12" s="164">
        <f t="shared" si="12"/>
        <v>4249</v>
      </c>
      <c r="J12" s="164">
        <f t="shared" si="12"/>
        <v>4443</v>
      </c>
      <c r="K12" s="164">
        <f t="shared" si="12"/>
        <v>4453</v>
      </c>
      <c r="L12" s="164">
        <f t="shared" si="12"/>
        <v>4734</v>
      </c>
      <c r="M12" s="164">
        <f t="shared" si="12"/>
        <v>4747</v>
      </c>
      <c r="N12" s="164">
        <f t="shared" si="12"/>
        <v>5052</v>
      </c>
      <c r="O12" s="164">
        <f t="shared" si="12"/>
        <v>4895</v>
      </c>
      <c r="P12" s="164">
        <f t="shared" si="12"/>
        <v>5369</v>
      </c>
      <c r="Q12" s="164">
        <f t="shared" si="12"/>
        <v>5448</v>
      </c>
      <c r="R12" s="5"/>
      <c r="S12" s="31">
        <f t="shared" si="3"/>
        <v>16887</v>
      </c>
      <c r="T12" s="31">
        <f t="shared" si="4"/>
        <v>17440</v>
      </c>
      <c r="U12" s="31">
        <f t="shared" si="5"/>
        <v>17879</v>
      </c>
      <c r="V12" s="31">
        <f t="shared" si="6"/>
        <v>18377</v>
      </c>
      <c r="W12" s="31">
        <f t="shared" si="7"/>
        <v>18986</v>
      </c>
      <c r="X12" s="31">
        <f t="shared" si="8"/>
        <v>19428</v>
      </c>
      <c r="Y12" s="31">
        <f t="shared" si="9"/>
        <v>20063</v>
      </c>
      <c r="Z12" s="31">
        <f t="shared" si="10"/>
        <v>20764</v>
      </c>
    </row>
    <row r="13" spans="1:26">
      <c r="B13" s="9" t="s">
        <v>121</v>
      </c>
      <c r="C13" s="79">
        <v>11</v>
      </c>
      <c r="D13" s="79">
        <v>14</v>
      </c>
      <c r="E13" s="79">
        <v>16</v>
      </c>
      <c r="F13" s="79"/>
      <c r="G13" s="93">
        <v>3</v>
      </c>
      <c r="H13" s="93">
        <v>3</v>
      </c>
      <c r="I13" s="93">
        <v>4</v>
      </c>
      <c r="J13" s="31">
        <v>4</v>
      </c>
      <c r="K13" s="93">
        <v>3</v>
      </c>
      <c r="L13" s="93">
        <v>4</v>
      </c>
      <c r="M13" s="93">
        <v>4</v>
      </c>
      <c r="N13" s="31">
        <v>5</v>
      </c>
      <c r="O13" s="80">
        <v>3</v>
      </c>
      <c r="P13" s="80">
        <v>5</v>
      </c>
      <c r="Q13" s="79">
        <v>4</v>
      </c>
      <c r="R13" s="5"/>
      <c r="S13" s="31">
        <f t="shared" si="3"/>
        <v>14</v>
      </c>
      <c r="T13" s="31">
        <f t="shared" si="4"/>
        <v>14</v>
      </c>
      <c r="U13" s="31">
        <f t="shared" si="5"/>
        <v>15</v>
      </c>
      <c r="V13" s="31">
        <f t="shared" si="6"/>
        <v>15</v>
      </c>
      <c r="W13" s="31">
        <f t="shared" si="7"/>
        <v>16</v>
      </c>
      <c r="X13" s="31">
        <f t="shared" si="8"/>
        <v>16</v>
      </c>
      <c r="Y13" s="31">
        <f t="shared" si="9"/>
        <v>17</v>
      </c>
      <c r="Z13" s="31">
        <f t="shared" si="10"/>
        <v>17</v>
      </c>
    </row>
    <row r="14" spans="1:26">
      <c r="B14" s="13" t="s">
        <v>63</v>
      </c>
      <c r="C14" s="14">
        <f>SUM(C9:C13)</f>
        <v>43653</v>
      </c>
      <c r="D14" s="14">
        <f>SUM(D9:D13)</f>
        <v>40109</v>
      </c>
      <c r="E14" s="14">
        <f>SUM(E9:E13)</f>
        <v>41950</v>
      </c>
      <c r="F14" s="11"/>
      <c r="G14" s="14">
        <f t="shared" ref="G14:Q14" si="13">SUM(G9:G13)</f>
        <v>9747</v>
      </c>
      <c r="H14" s="14">
        <f t="shared" si="13"/>
        <v>9978</v>
      </c>
      <c r="I14" s="14">
        <f t="shared" si="13"/>
        <v>10143</v>
      </c>
      <c r="J14" s="14">
        <f t="shared" si="13"/>
        <v>10241</v>
      </c>
      <c r="K14" s="14">
        <f t="shared" si="13"/>
        <v>9964</v>
      </c>
      <c r="L14" s="14">
        <f t="shared" si="13"/>
        <v>10377</v>
      </c>
      <c r="M14" s="14">
        <f t="shared" si="13"/>
        <v>10635</v>
      </c>
      <c r="N14" s="14">
        <f t="shared" si="13"/>
        <v>10974</v>
      </c>
      <c r="O14" s="14">
        <f t="shared" si="13"/>
        <v>10358</v>
      </c>
      <c r="P14" s="14">
        <f t="shared" si="13"/>
        <v>11142</v>
      </c>
      <c r="Q14" s="14">
        <f t="shared" si="13"/>
        <v>11369</v>
      </c>
      <c r="R14" s="5"/>
      <c r="S14" s="14">
        <f t="shared" ref="S14:Z14" si="14">SUM(S9:S13)</f>
        <v>40109</v>
      </c>
      <c r="T14" s="14">
        <f t="shared" si="14"/>
        <v>40326</v>
      </c>
      <c r="U14" s="14">
        <f t="shared" si="14"/>
        <v>40725</v>
      </c>
      <c r="V14" s="14">
        <f t="shared" si="14"/>
        <v>41217</v>
      </c>
      <c r="W14" s="14">
        <f t="shared" si="14"/>
        <v>41950</v>
      </c>
      <c r="X14" s="14">
        <f t="shared" si="14"/>
        <v>42344</v>
      </c>
      <c r="Y14" s="14">
        <f t="shared" si="14"/>
        <v>43109</v>
      </c>
      <c r="Z14" s="14">
        <f t="shared" si="14"/>
        <v>43843</v>
      </c>
    </row>
    <row r="15" spans="1:26" outlineLevel="1">
      <c r="B15" s="129" t="s">
        <v>115</v>
      </c>
      <c r="C15" s="77">
        <f>C14-'Historical Financials'!C11</f>
        <v>0</v>
      </c>
      <c r="D15" s="77">
        <f>D14-'Historical Financials'!D11</f>
        <v>0</v>
      </c>
      <c r="E15" s="77">
        <f>E14-'Historical Financials'!E11</f>
        <v>0</v>
      </c>
      <c r="F15" s="11"/>
      <c r="G15" s="77">
        <f>G14-'Historical Financials'!G11</f>
        <v>0</v>
      </c>
      <c r="H15" s="77">
        <f>H14-'Historical Financials'!H11</f>
        <v>0</v>
      </c>
      <c r="I15" s="77">
        <f>I14-'Historical Financials'!I11</f>
        <v>0</v>
      </c>
      <c r="J15" s="77">
        <f>J14-'Historical Financials'!J11</f>
        <v>0</v>
      </c>
      <c r="K15" s="77">
        <f>K14-'Historical Financials'!K11</f>
        <v>0</v>
      </c>
      <c r="L15" s="77">
        <f>L14-'Historical Financials'!L11</f>
        <v>0</v>
      </c>
      <c r="M15" s="77">
        <f>M14-'Historical Financials'!M11</f>
        <v>0</v>
      </c>
      <c r="N15" s="77">
        <f>N14-'Historical Financials'!N11</f>
        <v>0</v>
      </c>
      <c r="O15" s="77">
        <f>O14-'Historical Financials'!O11</f>
        <v>0</v>
      </c>
      <c r="P15" s="77">
        <f>P14-'Historical Financials'!P11</f>
        <v>0</v>
      </c>
      <c r="Q15" s="77">
        <f>Q14-'Historical Financials'!Q11</f>
        <v>0</v>
      </c>
      <c r="R15" s="77"/>
      <c r="S15" s="77">
        <f>S14-'Historical Financials'!U11</f>
        <v>-616</v>
      </c>
      <c r="T15" s="77">
        <f>T14-'Historical Financials'!V11</f>
        <v>-891</v>
      </c>
      <c r="U15" s="77">
        <f>U14-'Historical Financials'!W11</f>
        <v>-1225</v>
      </c>
      <c r="V15" s="77">
        <f>V14-'Historical Financials'!X11</f>
        <v>-1127</v>
      </c>
      <c r="W15" s="77">
        <f>W14-'Historical Financials'!Y11</f>
        <v>-1159</v>
      </c>
      <c r="X15" s="77">
        <f>X14-'Historical Financials'!Z11</f>
        <v>-1499</v>
      </c>
      <c r="Y15" s="77">
        <f>Y14-'Historical Financials'!AA11</f>
        <v>43109</v>
      </c>
      <c r="Z15" s="77">
        <f>Z14-'Historical Financials'!AB11</f>
        <v>43842.93628842468</v>
      </c>
    </row>
    <row r="16" spans="1:26">
      <c r="B16" s="18"/>
      <c r="C16" s="19"/>
      <c r="D16" s="19"/>
      <c r="E16" s="19"/>
      <c r="F16" s="20"/>
      <c r="G16" s="21"/>
      <c r="H16" s="21"/>
      <c r="I16" s="21"/>
      <c r="J16" s="22"/>
      <c r="K16" s="21"/>
      <c r="L16" s="21"/>
      <c r="M16" s="21"/>
      <c r="N16" s="21"/>
      <c r="O16" s="21"/>
      <c r="P16" s="21"/>
      <c r="Q16" s="21"/>
      <c r="R16" s="20"/>
      <c r="S16" s="20"/>
      <c r="T16" s="20"/>
      <c r="U16" s="20"/>
      <c r="V16" s="20"/>
      <c r="W16" s="20"/>
      <c r="X16" s="20"/>
      <c r="Y16" s="20"/>
      <c r="Z16" s="20"/>
    </row>
    <row r="17" spans="1:26">
      <c r="B17" s="149" t="str">
        <f>B9&amp;"(%)"</f>
        <v>Established Pharma Product Revenues(%)</v>
      </c>
      <c r="C17" s="150">
        <f>SUM(C9/C$14)</f>
        <v>0.11252376698050535</v>
      </c>
      <c r="D17" s="150">
        <f>SUM(D9/D$14)</f>
        <v>0.12630581664962975</v>
      </c>
      <c r="E17" s="150">
        <f>SUM(E9/E$14)</f>
        <v>0.12381406436233612</v>
      </c>
      <c r="F17" s="151"/>
      <c r="G17" s="150">
        <f t="shared" ref="G17:Q17" si="15">SUM(G9/G$14)</f>
        <v>0.121986252180158</v>
      </c>
      <c r="H17" s="150">
        <f t="shared" si="15"/>
        <v>0.12898376428141911</v>
      </c>
      <c r="I17" s="150">
        <f t="shared" si="15"/>
        <v>0.13487133984028393</v>
      </c>
      <c r="J17" s="150">
        <f t="shared" si="15"/>
        <v>0.11932428473781857</v>
      </c>
      <c r="K17" s="150">
        <f t="shared" si="15"/>
        <v>0.1230429546366921</v>
      </c>
      <c r="L17" s="150">
        <f t="shared" si="15"/>
        <v>0.1246988532331117</v>
      </c>
      <c r="M17" s="150">
        <f t="shared" si="15"/>
        <v>0.13220498354489893</v>
      </c>
      <c r="N17" s="150">
        <f t="shared" si="15"/>
        <v>0.11554583561144523</v>
      </c>
      <c r="O17" s="150">
        <f t="shared" si="15"/>
        <v>0.1216451052326704</v>
      </c>
      <c r="P17" s="150">
        <f t="shared" si="15"/>
        <v>0.12412493268712978</v>
      </c>
      <c r="Q17" s="150">
        <f t="shared" si="15"/>
        <v>0.13290526871316738</v>
      </c>
      <c r="R17" s="151"/>
      <c r="S17" s="152">
        <f t="shared" ref="S17:S21" si="16">J17</f>
        <v>0.11932428473781857</v>
      </c>
      <c r="T17" s="152">
        <f t="shared" ref="T17:T21" si="17">K17</f>
        <v>0.1230429546366921</v>
      </c>
      <c r="U17" s="152">
        <f t="shared" ref="U17:U21" si="18">L17</f>
        <v>0.1246988532331117</v>
      </c>
      <c r="V17" s="152">
        <f t="shared" ref="V17:V21" si="19">M17</f>
        <v>0.13220498354489893</v>
      </c>
      <c r="W17" s="152">
        <f t="shared" ref="W17:W21" si="20">N17</f>
        <v>0.11554583561144523</v>
      </c>
      <c r="X17" s="152">
        <f t="shared" ref="X17:X21" si="21">O17</f>
        <v>0.1216451052326704</v>
      </c>
      <c r="Y17" s="152">
        <f t="shared" ref="Y17:Y21" si="22">P17</f>
        <v>0.12412493268712978</v>
      </c>
      <c r="Z17" s="153">
        <f t="shared" ref="Z17:Z21" si="23">Q17</f>
        <v>0.13290526871316738</v>
      </c>
    </row>
    <row r="18" spans="1:26">
      <c r="B18" s="159" t="str">
        <f t="shared" ref="B18:B20" si="24">B10&amp;"(%)"</f>
        <v>Nutritionals Revenues(%)</v>
      </c>
      <c r="C18" s="160">
        <f t="shared" ref="C18:E18" si="25">SUM(C10/C$14)</f>
        <v>0.17087027237532357</v>
      </c>
      <c r="D18" s="160">
        <f t="shared" si="25"/>
        <v>0.20329601834999625</v>
      </c>
      <c r="E18" s="160">
        <f t="shared" si="25"/>
        <v>0.20054827175208581</v>
      </c>
      <c r="F18" s="161"/>
      <c r="G18" s="160">
        <f t="shared" ref="G18:Q18" si="26">SUM(G10/G$14)</f>
        <v>0.20180568380014363</v>
      </c>
      <c r="H18" s="160">
        <f t="shared" si="26"/>
        <v>0.20805772699939867</v>
      </c>
      <c r="I18" s="160">
        <f t="shared" si="26"/>
        <v>0.20437740313516711</v>
      </c>
      <c r="J18" s="160">
        <f t="shared" si="26"/>
        <v>0.19900400351528172</v>
      </c>
      <c r="K18" s="160">
        <f t="shared" si="26"/>
        <v>0.20754716981132076</v>
      </c>
      <c r="L18" s="160">
        <f t="shared" si="26"/>
        <v>0.20718897561915775</v>
      </c>
      <c r="M18" s="160">
        <f t="shared" si="26"/>
        <v>0.19426422190879172</v>
      </c>
      <c r="N18" s="160">
        <f t="shared" si="26"/>
        <v>0.19400400947694552</v>
      </c>
      <c r="O18" s="160">
        <f t="shared" si="26"/>
        <v>0.20718285383278626</v>
      </c>
      <c r="P18" s="160">
        <f t="shared" si="26"/>
        <v>0.19852809190450549</v>
      </c>
      <c r="Q18" s="160">
        <f t="shared" si="26"/>
        <v>0.18937461518163426</v>
      </c>
      <c r="R18" s="161"/>
      <c r="S18" s="162">
        <f t="shared" ref="S18:S20" si="27">J18</f>
        <v>0.19900400351528172</v>
      </c>
      <c r="T18" s="162">
        <f t="shared" ref="T18:T20" si="28">K18</f>
        <v>0.20754716981132076</v>
      </c>
      <c r="U18" s="162">
        <f t="shared" ref="U18:U20" si="29">L18</f>
        <v>0.20718897561915775</v>
      </c>
      <c r="V18" s="162">
        <f t="shared" ref="V18:V20" si="30">M18</f>
        <v>0.19426422190879172</v>
      </c>
      <c r="W18" s="162">
        <f t="shared" ref="W18:W20" si="31">N18</f>
        <v>0.19400400947694552</v>
      </c>
      <c r="X18" s="162">
        <f t="shared" ref="X18:X20" si="32">O18</f>
        <v>0.20718285383278626</v>
      </c>
      <c r="Y18" s="162">
        <f t="shared" ref="Y18:Y20" si="33">P18</f>
        <v>0.19852809190450549</v>
      </c>
      <c r="Z18" s="163">
        <f t="shared" ref="Z18:Z20" si="34">Q18</f>
        <v>0.18937461518163426</v>
      </c>
    </row>
    <row r="19" spans="1:26">
      <c r="B19" s="159" t="str">
        <f t="shared" si="24"/>
        <v>Diagnostics Revenues(%)</v>
      </c>
      <c r="C19" s="160">
        <f t="shared" ref="C19:E19" si="35">SUM(C11/C$14)</f>
        <v>0.37727074886033035</v>
      </c>
      <c r="D19" s="160">
        <f t="shared" si="35"/>
        <v>0.24902141663965693</v>
      </c>
      <c r="E19" s="160">
        <f t="shared" si="35"/>
        <v>0.22266984505363527</v>
      </c>
      <c r="F19" s="161"/>
      <c r="G19" s="160">
        <f t="shared" ref="G19:Q19" si="36">SUM(G11/G$14)</f>
        <v>0.27577716220375498</v>
      </c>
      <c r="H19" s="160">
        <f t="shared" si="36"/>
        <v>0.23221086390058127</v>
      </c>
      <c r="I19" s="160">
        <f t="shared" si="36"/>
        <v>0.24144730355910479</v>
      </c>
      <c r="J19" s="160">
        <f t="shared" si="36"/>
        <v>0.24743677375256323</v>
      </c>
      <c r="K19" s="160">
        <f t="shared" si="36"/>
        <v>0.22219991971095945</v>
      </c>
      <c r="L19" s="160">
        <f t="shared" si="36"/>
        <v>0.21152548906234941</v>
      </c>
      <c r="M19" s="160">
        <f t="shared" si="36"/>
        <v>0.22679830747531735</v>
      </c>
      <c r="N19" s="160">
        <f t="shared" si="36"/>
        <v>0.22963367960634226</v>
      </c>
      <c r="O19" s="160">
        <f t="shared" si="36"/>
        <v>0.19830083027611509</v>
      </c>
      <c r="P19" s="160">
        <f t="shared" si="36"/>
        <v>0.1950278226530246</v>
      </c>
      <c r="Q19" s="160">
        <f t="shared" si="36"/>
        <v>0.19817046354120854</v>
      </c>
      <c r="R19" s="161"/>
      <c r="S19" s="162">
        <f t="shared" si="27"/>
        <v>0.24743677375256323</v>
      </c>
      <c r="T19" s="162">
        <f t="shared" si="28"/>
        <v>0.22219991971095945</v>
      </c>
      <c r="U19" s="162">
        <f t="shared" si="29"/>
        <v>0.21152548906234941</v>
      </c>
      <c r="V19" s="162">
        <f t="shared" si="30"/>
        <v>0.22679830747531735</v>
      </c>
      <c r="W19" s="162">
        <f t="shared" si="31"/>
        <v>0.22963367960634226</v>
      </c>
      <c r="X19" s="162">
        <f t="shared" si="32"/>
        <v>0.19830083027611509</v>
      </c>
      <c r="Y19" s="162">
        <f t="shared" si="33"/>
        <v>0.1950278226530246</v>
      </c>
      <c r="Z19" s="163">
        <f t="shared" si="34"/>
        <v>0.19817046354120854</v>
      </c>
    </row>
    <row r="20" spans="1:26">
      <c r="B20" s="159" t="str">
        <f t="shared" si="24"/>
        <v>Med Device Revenues(%)</v>
      </c>
      <c r="C20" s="160">
        <f t="shared" ref="C20:E20" si="37">SUM(C12/C$14)</f>
        <v>0.33908322452065148</v>
      </c>
      <c r="D20" s="160">
        <f t="shared" si="37"/>
        <v>0.42102769951881125</v>
      </c>
      <c r="E20" s="160">
        <f t="shared" si="37"/>
        <v>0.45258641239570918</v>
      </c>
      <c r="F20" s="161"/>
      <c r="G20" s="160">
        <f t="shared" ref="G20:Q20" si="38">SUM(G12/G$14)</f>
        <v>0.40012311480455526</v>
      </c>
      <c r="H20" s="160">
        <f t="shared" si="38"/>
        <v>0.43044698336339948</v>
      </c>
      <c r="I20" s="160">
        <f t="shared" si="38"/>
        <v>0.41890959282263629</v>
      </c>
      <c r="J20" s="160">
        <f t="shared" si="38"/>
        <v>0.43384435113758424</v>
      </c>
      <c r="K20" s="160">
        <f t="shared" si="38"/>
        <v>0.44690887193898032</v>
      </c>
      <c r="L20" s="160">
        <f t="shared" si="38"/>
        <v>0.45620121422376408</v>
      </c>
      <c r="M20" s="160">
        <f t="shared" si="38"/>
        <v>0.44635637047484722</v>
      </c>
      <c r="N20" s="160">
        <f t="shared" si="38"/>
        <v>0.46036085292509565</v>
      </c>
      <c r="O20" s="160">
        <f t="shared" si="38"/>
        <v>0.47258157945549334</v>
      </c>
      <c r="P20" s="160">
        <f t="shared" si="38"/>
        <v>0.48187040028720157</v>
      </c>
      <c r="Q20" s="160">
        <f t="shared" si="38"/>
        <v>0.47919781862960681</v>
      </c>
      <c r="R20" s="161"/>
      <c r="S20" s="162">
        <f t="shared" si="27"/>
        <v>0.43384435113758424</v>
      </c>
      <c r="T20" s="162">
        <f t="shared" si="28"/>
        <v>0.44690887193898032</v>
      </c>
      <c r="U20" s="162">
        <f t="shared" si="29"/>
        <v>0.45620121422376408</v>
      </c>
      <c r="V20" s="162">
        <f t="shared" si="30"/>
        <v>0.44635637047484722</v>
      </c>
      <c r="W20" s="162">
        <f t="shared" si="31"/>
        <v>0.46036085292509565</v>
      </c>
      <c r="X20" s="162">
        <f t="shared" si="32"/>
        <v>0.47258157945549334</v>
      </c>
      <c r="Y20" s="162">
        <f t="shared" si="33"/>
        <v>0.48187040028720157</v>
      </c>
      <c r="Z20" s="163">
        <f t="shared" si="34"/>
        <v>0.47919781862960681</v>
      </c>
    </row>
    <row r="21" spans="1:26" ht="12.75" customHeight="1">
      <c r="B21" s="154" t="str">
        <f>B13&amp;"(%)"</f>
        <v>Other Revenues(%)</v>
      </c>
      <c r="C21" s="155">
        <f>SUM(C13/C$14)</f>
        <v>2.5198726318924244E-4</v>
      </c>
      <c r="D21" s="155">
        <f>SUM(D13/D$14)</f>
        <v>3.490488419058067E-4</v>
      </c>
      <c r="E21" s="155">
        <f>SUM(E13/E$14)</f>
        <v>3.8140643623361145E-4</v>
      </c>
      <c r="F21" s="156"/>
      <c r="G21" s="155">
        <f t="shared" ref="G21:Q21" si="39">SUM(G13/G$14)</f>
        <v>3.0778701138811941E-4</v>
      </c>
      <c r="H21" s="155">
        <f t="shared" si="39"/>
        <v>3.0066145520144319E-4</v>
      </c>
      <c r="I21" s="155">
        <f t="shared" si="39"/>
        <v>3.9436064280784776E-4</v>
      </c>
      <c r="J21" s="155">
        <f t="shared" si="39"/>
        <v>3.9058685675227026E-4</v>
      </c>
      <c r="K21" s="155">
        <f t="shared" si="39"/>
        <v>3.0108390204737056E-4</v>
      </c>
      <c r="L21" s="155">
        <f t="shared" si="39"/>
        <v>3.8546786161703766E-4</v>
      </c>
      <c r="M21" s="155">
        <f t="shared" si="39"/>
        <v>3.7611659614480487E-4</v>
      </c>
      <c r="N21" s="155">
        <f t="shared" si="39"/>
        <v>4.5562238017131401E-4</v>
      </c>
      <c r="O21" s="155">
        <f t="shared" si="39"/>
        <v>2.8963120293492954E-4</v>
      </c>
      <c r="P21" s="155">
        <f t="shared" si="39"/>
        <v>4.4875246813857474E-4</v>
      </c>
      <c r="Q21" s="155">
        <f t="shared" si="39"/>
        <v>3.5183393438297124E-4</v>
      </c>
      <c r="R21" s="156"/>
      <c r="S21" s="157">
        <f t="shared" si="16"/>
        <v>3.9058685675227026E-4</v>
      </c>
      <c r="T21" s="157">
        <f t="shared" si="17"/>
        <v>3.0108390204737056E-4</v>
      </c>
      <c r="U21" s="157">
        <f t="shared" si="18"/>
        <v>3.8546786161703766E-4</v>
      </c>
      <c r="V21" s="157">
        <f t="shared" si="19"/>
        <v>3.7611659614480487E-4</v>
      </c>
      <c r="W21" s="157">
        <f t="shared" si="20"/>
        <v>4.5562238017131401E-4</v>
      </c>
      <c r="X21" s="157">
        <f t="shared" si="21"/>
        <v>2.8963120293492954E-4</v>
      </c>
      <c r="Y21" s="157">
        <f t="shared" si="22"/>
        <v>4.4875246813857474E-4</v>
      </c>
      <c r="Z21" s="158">
        <f t="shared" si="23"/>
        <v>3.5183393438297124E-4</v>
      </c>
    </row>
    <row r="22" spans="1:26">
      <c r="B22" s="18"/>
      <c r="C22" s="19"/>
      <c r="D22" s="19"/>
      <c r="E22" s="19"/>
      <c r="F22" s="20"/>
      <c r="G22" s="21"/>
      <c r="H22" s="21"/>
      <c r="I22" s="21"/>
      <c r="J22" s="22"/>
      <c r="K22" s="21"/>
      <c r="L22" s="21"/>
      <c r="M22" s="21"/>
      <c r="N22" s="21"/>
      <c r="O22" s="21"/>
      <c r="P22" s="21"/>
      <c r="Q22" s="21"/>
      <c r="R22" s="20"/>
      <c r="S22" s="20"/>
      <c r="T22" s="20"/>
      <c r="U22" s="20"/>
      <c r="V22" s="20"/>
      <c r="W22" s="20"/>
      <c r="X22" s="20"/>
      <c r="Y22" s="20"/>
      <c r="Z22" s="20"/>
    </row>
    <row r="23" spans="1:26" ht="12.75" customHeight="1">
      <c r="A23" s="78" t="s">
        <v>15</v>
      </c>
      <c r="B23" s="76" t="s">
        <v>124</v>
      </c>
      <c r="C23" s="10"/>
      <c r="D23" s="10"/>
      <c r="E23" s="10"/>
      <c r="F23" s="10"/>
      <c r="G23" s="93"/>
      <c r="H23" s="93"/>
      <c r="I23" s="93"/>
      <c r="J23" s="31"/>
      <c r="K23" s="93"/>
      <c r="L23" s="93"/>
      <c r="M23" s="93"/>
      <c r="N23" s="31"/>
      <c r="O23" s="93"/>
      <c r="P23" s="93"/>
      <c r="Q23" s="93"/>
      <c r="R23" s="5"/>
      <c r="S23" s="11"/>
      <c r="T23" s="11"/>
      <c r="U23" s="11"/>
      <c r="V23" s="11"/>
      <c r="W23" s="11"/>
      <c r="X23" s="11"/>
      <c r="Y23" s="11"/>
      <c r="Z23" s="11"/>
    </row>
    <row r="24" spans="1:26" ht="12.75" customHeight="1">
      <c r="A24" s="78"/>
      <c r="B24" s="9" t="s">
        <v>127</v>
      </c>
      <c r="C24" s="79">
        <v>3481</v>
      </c>
      <c r="D24" s="79">
        <v>3934</v>
      </c>
      <c r="E24" s="79">
        <v>4023</v>
      </c>
      <c r="F24" s="10"/>
      <c r="G24" s="93">
        <v>924</v>
      </c>
      <c r="H24" s="93">
        <v>1024</v>
      </c>
      <c r="I24" s="93">
        <v>1001</v>
      </c>
      <c r="J24" s="31">
        <v>985</v>
      </c>
      <c r="K24" s="93">
        <v>1009</v>
      </c>
      <c r="L24" s="93">
        <v>1059</v>
      </c>
      <c r="M24" s="93">
        <v>955</v>
      </c>
      <c r="N24" s="31">
        <v>1000</v>
      </c>
      <c r="O24" s="80">
        <v>1041</v>
      </c>
      <c r="P24" s="80">
        <v>1054</v>
      </c>
      <c r="Q24" s="79">
        <v>977</v>
      </c>
      <c r="R24" s="5"/>
      <c r="S24" s="31">
        <f t="shared" ref="S24:Y25" si="40">SUM(G24:J24)</f>
        <v>3934</v>
      </c>
      <c r="T24" s="31">
        <f t="shared" si="40"/>
        <v>4019</v>
      </c>
      <c r="U24" s="31">
        <f t="shared" si="40"/>
        <v>4054</v>
      </c>
      <c r="V24" s="31">
        <f t="shared" si="40"/>
        <v>4008</v>
      </c>
      <c r="W24" s="31">
        <f t="shared" si="40"/>
        <v>4023</v>
      </c>
      <c r="X24" s="31">
        <f t="shared" si="40"/>
        <v>4055</v>
      </c>
      <c r="Y24" s="31">
        <f t="shared" si="40"/>
        <v>4050</v>
      </c>
      <c r="Z24" s="31">
        <f>SUM(N24:Q24)</f>
        <v>4072</v>
      </c>
    </row>
    <row r="25" spans="1:26">
      <c r="B25" s="9" t="s">
        <v>128</v>
      </c>
      <c r="C25" s="79">
        <v>3978</v>
      </c>
      <c r="D25" s="79">
        <v>4220</v>
      </c>
      <c r="E25" s="79">
        <v>4390</v>
      </c>
      <c r="F25" s="79"/>
      <c r="G25" s="93">
        <v>1043</v>
      </c>
      <c r="H25" s="93">
        <v>1052</v>
      </c>
      <c r="I25" s="93">
        <v>1072</v>
      </c>
      <c r="J25" s="31">
        <v>1053</v>
      </c>
      <c r="K25" s="93">
        <v>1059</v>
      </c>
      <c r="L25" s="93">
        <v>1091</v>
      </c>
      <c r="M25" s="93">
        <v>1111</v>
      </c>
      <c r="N25" s="31">
        <v>1129</v>
      </c>
      <c r="O25" s="80">
        <v>1105</v>
      </c>
      <c r="P25" s="80">
        <v>1158</v>
      </c>
      <c r="Q25" s="79">
        <v>1176</v>
      </c>
      <c r="R25" s="5"/>
      <c r="S25" s="31">
        <f t="shared" si="40"/>
        <v>4220</v>
      </c>
      <c r="T25" s="31">
        <f t="shared" si="40"/>
        <v>4236</v>
      </c>
      <c r="U25" s="31">
        <f t="shared" si="40"/>
        <v>4275</v>
      </c>
      <c r="V25" s="31">
        <f t="shared" si="40"/>
        <v>4314</v>
      </c>
      <c r="W25" s="31">
        <f t="shared" si="40"/>
        <v>4390</v>
      </c>
      <c r="X25" s="31">
        <f t="shared" si="40"/>
        <v>4436</v>
      </c>
      <c r="Y25" s="31">
        <f t="shared" si="40"/>
        <v>4503</v>
      </c>
      <c r="Z25" s="31">
        <f>SUM(N25:Q25)</f>
        <v>4568</v>
      </c>
    </row>
    <row r="26" spans="1:26">
      <c r="B26" s="13" t="s">
        <v>129</v>
      </c>
      <c r="C26" s="14">
        <f>SUM(C24:C25)</f>
        <v>7459</v>
      </c>
      <c r="D26" s="14">
        <f>SUM(D24:D25)</f>
        <v>8154</v>
      </c>
      <c r="E26" s="14">
        <f>SUM(E24:E25)</f>
        <v>8413</v>
      </c>
      <c r="F26" s="11"/>
      <c r="G26" s="14">
        <f t="shared" ref="G26:Q26" si="41">SUM(G24:G25)</f>
        <v>1967</v>
      </c>
      <c r="H26" s="14">
        <f t="shared" si="41"/>
        <v>2076</v>
      </c>
      <c r="I26" s="14">
        <f t="shared" si="41"/>
        <v>2073</v>
      </c>
      <c r="J26" s="14">
        <f t="shared" si="41"/>
        <v>2038</v>
      </c>
      <c r="K26" s="14">
        <f t="shared" si="41"/>
        <v>2068</v>
      </c>
      <c r="L26" s="14">
        <f t="shared" si="41"/>
        <v>2150</v>
      </c>
      <c r="M26" s="14">
        <f t="shared" si="41"/>
        <v>2066</v>
      </c>
      <c r="N26" s="14">
        <f t="shared" si="41"/>
        <v>2129</v>
      </c>
      <c r="O26" s="14">
        <f t="shared" si="41"/>
        <v>2146</v>
      </c>
      <c r="P26" s="14">
        <f t="shared" si="41"/>
        <v>2212</v>
      </c>
      <c r="Q26" s="14">
        <f t="shared" si="41"/>
        <v>2153</v>
      </c>
      <c r="R26" s="5"/>
      <c r="S26" s="14">
        <f t="shared" ref="S26:Z26" si="42">SUM(S24:S25)</f>
        <v>8154</v>
      </c>
      <c r="T26" s="14">
        <f t="shared" si="42"/>
        <v>8255</v>
      </c>
      <c r="U26" s="14">
        <f t="shared" si="42"/>
        <v>8329</v>
      </c>
      <c r="V26" s="14">
        <f t="shared" si="42"/>
        <v>8322</v>
      </c>
      <c r="W26" s="14">
        <f t="shared" si="42"/>
        <v>8413</v>
      </c>
      <c r="X26" s="14">
        <f t="shared" si="42"/>
        <v>8491</v>
      </c>
      <c r="Y26" s="14">
        <f t="shared" si="42"/>
        <v>8553</v>
      </c>
      <c r="Z26" s="14">
        <f t="shared" si="42"/>
        <v>8640</v>
      </c>
    </row>
    <row r="27" spans="1:26">
      <c r="B27" s="18"/>
      <c r="C27" s="19"/>
      <c r="D27" s="19"/>
      <c r="E27" s="19"/>
      <c r="F27" s="20"/>
      <c r="G27" s="21"/>
      <c r="H27" s="21"/>
      <c r="I27" s="21"/>
      <c r="J27" s="22"/>
      <c r="K27" s="21"/>
      <c r="L27" s="21"/>
      <c r="M27" s="21"/>
      <c r="N27" s="21"/>
      <c r="O27" s="21"/>
      <c r="P27" s="21"/>
      <c r="Q27" s="21"/>
      <c r="R27" s="20"/>
      <c r="S27" s="20"/>
      <c r="T27" s="20"/>
      <c r="U27" s="20"/>
      <c r="V27" s="20"/>
      <c r="W27" s="20"/>
      <c r="X27" s="20"/>
      <c r="Y27" s="20"/>
      <c r="Z27" s="20"/>
    </row>
    <row r="28" spans="1:26">
      <c r="B28" s="149" t="str">
        <f>B24&amp;"(%)"</f>
        <v>Pediatric Nutritionals(%)</v>
      </c>
      <c r="C28" s="150">
        <f t="shared" ref="C28:E29" si="43">SUM(C24/C$14)</f>
        <v>7.9742514832886635E-2</v>
      </c>
      <c r="D28" s="150">
        <f t="shared" si="43"/>
        <v>9.8082724575531674E-2</v>
      </c>
      <c r="E28" s="150">
        <f t="shared" si="43"/>
        <v>9.5899880810488683E-2</v>
      </c>
      <c r="F28" s="151"/>
      <c r="G28" s="150">
        <f t="shared" ref="G28:Q28" si="44">SUM(G24/G$14)</f>
        <v>9.4798399507540779E-2</v>
      </c>
      <c r="H28" s="150">
        <f t="shared" si="44"/>
        <v>0.10262577670875928</v>
      </c>
      <c r="I28" s="150">
        <f t="shared" si="44"/>
        <v>9.8688750862663904E-2</v>
      </c>
      <c r="J28" s="150">
        <f t="shared" si="44"/>
        <v>9.6182013475246561E-2</v>
      </c>
      <c r="K28" s="150">
        <f t="shared" si="44"/>
        <v>0.10126455238859895</v>
      </c>
      <c r="L28" s="150">
        <f t="shared" si="44"/>
        <v>0.10205261636311072</v>
      </c>
      <c r="M28" s="150">
        <f t="shared" si="44"/>
        <v>8.9797837329572167E-2</v>
      </c>
      <c r="N28" s="150">
        <f t="shared" si="44"/>
        <v>9.1124476034262797E-2</v>
      </c>
      <c r="O28" s="150">
        <f t="shared" si="44"/>
        <v>0.10050202741842054</v>
      </c>
      <c r="P28" s="150">
        <f t="shared" si="44"/>
        <v>9.4597020283611555E-2</v>
      </c>
      <c r="Q28" s="150">
        <f t="shared" si="44"/>
        <v>8.5935438473040721E-2</v>
      </c>
      <c r="R28" s="151"/>
      <c r="S28" s="152">
        <f t="shared" ref="S28:S29" si="45">J28</f>
        <v>9.6182013475246561E-2</v>
      </c>
      <c r="T28" s="152">
        <f t="shared" ref="T28:T29" si="46">K28</f>
        <v>0.10126455238859895</v>
      </c>
      <c r="U28" s="152">
        <f t="shared" ref="U28:U29" si="47">L28</f>
        <v>0.10205261636311072</v>
      </c>
      <c r="V28" s="152">
        <f t="shared" ref="V28:V29" si="48">M28</f>
        <v>8.9797837329572167E-2</v>
      </c>
      <c r="W28" s="152">
        <f t="shared" ref="W28:W29" si="49">N28</f>
        <v>9.1124476034262797E-2</v>
      </c>
      <c r="X28" s="152">
        <f t="shared" ref="X28:X29" si="50">O28</f>
        <v>0.10050202741842054</v>
      </c>
      <c r="Y28" s="152">
        <f t="shared" ref="Y28:Y29" si="51">P28</f>
        <v>9.4597020283611555E-2</v>
      </c>
      <c r="Z28" s="153">
        <f t="shared" ref="Z28:Z29" si="52">Q28</f>
        <v>8.5935438473040721E-2</v>
      </c>
    </row>
    <row r="29" spans="1:26" ht="12.75" customHeight="1">
      <c r="B29" s="154" t="str">
        <f>B25&amp;"(%)"</f>
        <v>Adult Nutritionals(%)</v>
      </c>
      <c r="C29" s="155">
        <f t="shared" si="43"/>
        <v>9.1127757542436946E-2</v>
      </c>
      <c r="D29" s="155">
        <f t="shared" si="43"/>
        <v>0.10521329377446459</v>
      </c>
      <c r="E29" s="155">
        <f t="shared" si="43"/>
        <v>0.10464839094159714</v>
      </c>
      <c r="F29" s="156"/>
      <c r="G29" s="155">
        <f t="shared" ref="G29:Q29" si="53">SUM(G25/G$14)</f>
        <v>0.10700728429260285</v>
      </c>
      <c r="H29" s="155">
        <f t="shared" si="53"/>
        <v>0.10543195029063941</v>
      </c>
      <c r="I29" s="155">
        <f t="shared" si="53"/>
        <v>0.10568865227250321</v>
      </c>
      <c r="J29" s="155">
        <f t="shared" si="53"/>
        <v>0.10282199004003516</v>
      </c>
      <c r="K29" s="155">
        <f t="shared" si="53"/>
        <v>0.1062826174227218</v>
      </c>
      <c r="L29" s="155">
        <f t="shared" si="53"/>
        <v>0.10513635925604703</v>
      </c>
      <c r="M29" s="155">
        <f t="shared" si="53"/>
        <v>0.10446638457921956</v>
      </c>
      <c r="N29" s="155">
        <f t="shared" si="53"/>
        <v>0.10287953344268271</v>
      </c>
      <c r="O29" s="155">
        <f t="shared" si="53"/>
        <v>0.1066808264143657</v>
      </c>
      <c r="P29" s="155">
        <f t="shared" si="53"/>
        <v>0.10393107162089392</v>
      </c>
      <c r="Q29" s="155">
        <f t="shared" si="53"/>
        <v>0.10343917670859354</v>
      </c>
      <c r="R29" s="156"/>
      <c r="S29" s="157">
        <f t="shared" si="45"/>
        <v>0.10282199004003516</v>
      </c>
      <c r="T29" s="157">
        <f t="shared" si="46"/>
        <v>0.1062826174227218</v>
      </c>
      <c r="U29" s="157">
        <f t="shared" si="47"/>
        <v>0.10513635925604703</v>
      </c>
      <c r="V29" s="157">
        <f t="shared" si="48"/>
        <v>0.10446638457921956</v>
      </c>
      <c r="W29" s="157">
        <f t="shared" si="49"/>
        <v>0.10287953344268271</v>
      </c>
      <c r="X29" s="157">
        <f t="shared" si="50"/>
        <v>0.1066808264143657</v>
      </c>
      <c r="Y29" s="157">
        <f t="shared" si="51"/>
        <v>0.10393107162089392</v>
      </c>
      <c r="Z29" s="158">
        <f t="shared" si="52"/>
        <v>0.10343917670859354</v>
      </c>
    </row>
    <row r="31" spans="1:26" ht="12.75" customHeight="1">
      <c r="A31" s="78" t="s">
        <v>15</v>
      </c>
      <c r="B31" s="76" t="s">
        <v>125</v>
      </c>
      <c r="C31" s="10"/>
      <c r="D31" s="10"/>
      <c r="E31" s="10"/>
      <c r="F31" s="10"/>
      <c r="G31" s="93"/>
      <c r="H31" s="93"/>
      <c r="I31" s="93"/>
      <c r="J31" s="31"/>
      <c r="K31" s="93"/>
      <c r="L31" s="93"/>
      <c r="M31" s="93"/>
      <c r="N31" s="31"/>
      <c r="O31" s="93"/>
      <c r="P31" s="93"/>
      <c r="Q31" s="93"/>
      <c r="R31" s="5"/>
      <c r="S31" s="11"/>
      <c r="T31" s="11"/>
      <c r="U31" s="11"/>
      <c r="V31" s="11"/>
      <c r="W31" s="11"/>
      <c r="X31" s="11"/>
      <c r="Y31" s="11"/>
      <c r="Z31" s="11"/>
    </row>
    <row r="32" spans="1:26" ht="12.75" customHeight="1">
      <c r="A32" s="78"/>
      <c r="B32" s="9" t="s">
        <v>131</v>
      </c>
      <c r="C32" s="79">
        <v>4888</v>
      </c>
      <c r="D32" s="79">
        <v>5159</v>
      </c>
      <c r="E32" s="79">
        <v>5235</v>
      </c>
      <c r="F32" s="10"/>
      <c r="G32" s="93">
        <v>1182</v>
      </c>
      <c r="H32" s="93">
        <v>1293</v>
      </c>
      <c r="I32" s="93">
        <v>1314</v>
      </c>
      <c r="J32" s="31">
        <v>1370</v>
      </c>
      <c r="K32" s="93">
        <v>1205</v>
      </c>
      <c r="L32" s="93">
        <v>1329</v>
      </c>
      <c r="M32" s="93">
        <v>1314</v>
      </c>
      <c r="N32" s="31">
        <v>1387</v>
      </c>
      <c r="O32" s="80">
        <v>1177</v>
      </c>
      <c r="P32" s="80">
        <v>1358</v>
      </c>
      <c r="Q32" s="79">
        <v>1364</v>
      </c>
      <c r="R32" s="5"/>
      <c r="S32" s="31">
        <f t="shared" ref="S32" si="54">SUM(G32:J32)</f>
        <v>5159</v>
      </c>
      <c r="T32" s="31">
        <f t="shared" ref="T32" si="55">SUM(H32:K32)</f>
        <v>5182</v>
      </c>
      <c r="U32" s="31">
        <f t="shared" ref="U32" si="56">SUM(I32:L32)</f>
        <v>5218</v>
      </c>
      <c r="V32" s="31">
        <f t="shared" ref="V32" si="57">SUM(J32:M32)</f>
        <v>5218</v>
      </c>
      <c r="W32" s="31">
        <f t="shared" ref="W32" si="58">SUM(K32:N32)</f>
        <v>5235</v>
      </c>
      <c r="X32" s="31">
        <f t="shared" ref="X32" si="59">SUM(L32:O32)</f>
        <v>5207</v>
      </c>
      <c r="Y32" s="31">
        <f t="shared" ref="Y32" si="60">SUM(M32:P32)</f>
        <v>5236</v>
      </c>
      <c r="Z32" s="31">
        <f>SUM(N32:Q32)</f>
        <v>5286</v>
      </c>
    </row>
    <row r="33" spans="1:26" ht="12.75" customHeight="1">
      <c r="A33" s="78"/>
      <c r="B33" s="9" t="s">
        <v>132</v>
      </c>
      <c r="C33" s="79">
        <v>995</v>
      </c>
      <c r="D33" s="79">
        <v>574</v>
      </c>
      <c r="E33" s="79">
        <v>521</v>
      </c>
      <c r="F33" s="10"/>
      <c r="G33" s="93">
        <v>147</v>
      </c>
      <c r="H33" s="93">
        <v>141</v>
      </c>
      <c r="I33" s="93">
        <v>133</v>
      </c>
      <c r="J33" s="31">
        <v>153</v>
      </c>
      <c r="K33" s="93">
        <v>129</v>
      </c>
      <c r="L33" s="93">
        <v>127</v>
      </c>
      <c r="M33" s="93">
        <v>128</v>
      </c>
      <c r="N33" s="31">
        <v>137</v>
      </c>
      <c r="O33" s="80">
        <v>122</v>
      </c>
      <c r="P33" s="80">
        <v>123</v>
      </c>
      <c r="Q33" s="79">
        <v>131</v>
      </c>
      <c r="R33" s="5"/>
      <c r="S33" s="31">
        <f t="shared" ref="S33:S35" si="61">SUM(G33:J33)</f>
        <v>574</v>
      </c>
      <c r="T33" s="31">
        <f t="shared" ref="T33:T35" si="62">SUM(H33:K33)</f>
        <v>556</v>
      </c>
      <c r="U33" s="31">
        <f t="shared" ref="U33:U35" si="63">SUM(I33:L33)</f>
        <v>542</v>
      </c>
      <c r="V33" s="31">
        <f t="shared" ref="V33:V35" si="64">SUM(J33:M33)</f>
        <v>537</v>
      </c>
      <c r="W33" s="31">
        <f t="shared" ref="W33:W35" si="65">SUM(K33:N33)</f>
        <v>521</v>
      </c>
      <c r="X33" s="31">
        <f t="shared" ref="X33:X35" si="66">SUM(L33:O33)</f>
        <v>514</v>
      </c>
      <c r="Y33" s="31">
        <f t="shared" ref="Y33:Y35" si="67">SUM(M33:P33)</f>
        <v>510</v>
      </c>
      <c r="Z33" s="31">
        <f t="shared" ref="Z33:Z35" si="68">SUM(N33:Q33)</f>
        <v>513</v>
      </c>
    </row>
    <row r="34" spans="1:26" ht="12.75" customHeight="1">
      <c r="A34" s="78"/>
      <c r="B34" s="9" t="s">
        <v>133</v>
      </c>
      <c r="C34" s="79">
        <v>525</v>
      </c>
      <c r="D34" s="79">
        <v>565</v>
      </c>
      <c r="E34" s="79">
        <v>588</v>
      </c>
      <c r="F34" s="10"/>
      <c r="G34" s="93">
        <v>134</v>
      </c>
      <c r="H34" s="93">
        <v>142</v>
      </c>
      <c r="I34" s="93">
        <v>140</v>
      </c>
      <c r="J34" s="31">
        <v>149</v>
      </c>
      <c r="K34" s="93">
        <v>139</v>
      </c>
      <c r="L34" s="93">
        <v>156</v>
      </c>
      <c r="M34" s="93">
        <v>146</v>
      </c>
      <c r="N34" s="31">
        <v>147</v>
      </c>
      <c r="O34" s="80">
        <v>142</v>
      </c>
      <c r="P34" s="80">
        <v>148</v>
      </c>
      <c r="Q34" s="79">
        <v>158</v>
      </c>
      <c r="R34" s="5"/>
      <c r="S34" s="31">
        <f t="shared" si="61"/>
        <v>565</v>
      </c>
      <c r="T34" s="31">
        <f t="shared" si="62"/>
        <v>570</v>
      </c>
      <c r="U34" s="31">
        <f t="shared" si="63"/>
        <v>584</v>
      </c>
      <c r="V34" s="31">
        <f t="shared" si="64"/>
        <v>590</v>
      </c>
      <c r="W34" s="31">
        <f t="shared" si="65"/>
        <v>588</v>
      </c>
      <c r="X34" s="31">
        <f t="shared" si="66"/>
        <v>591</v>
      </c>
      <c r="Y34" s="31">
        <f t="shared" si="67"/>
        <v>583</v>
      </c>
      <c r="Z34" s="31">
        <f t="shared" si="68"/>
        <v>595</v>
      </c>
    </row>
    <row r="35" spans="1:26">
      <c r="B35" s="9" t="s">
        <v>134</v>
      </c>
      <c r="C35" s="79">
        <v>10061</v>
      </c>
      <c r="D35" s="79">
        <v>3690</v>
      </c>
      <c r="E35" s="79">
        <v>2997</v>
      </c>
      <c r="F35" s="79"/>
      <c r="G35" s="93">
        <v>1225</v>
      </c>
      <c r="H35" s="93">
        <v>741</v>
      </c>
      <c r="I35" s="93">
        <v>862</v>
      </c>
      <c r="J35" s="31">
        <v>862</v>
      </c>
      <c r="K35" s="93">
        <v>741</v>
      </c>
      <c r="L35" s="93">
        <v>583</v>
      </c>
      <c r="M35" s="93">
        <v>824</v>
      </c>
      <c r="N35" s="31">
        <v>849</v>
      </c>
      <c r="O35" s="80">
        <v>613</v>
      </c>
      <c r="P35" s="80">
        <v>544</v>
      </c>
      <c r="Q35" s="79">
        <v>600</v>
      </c>
      <c r="R35" s="5"/>
      <c r="S35" s="31">
        <f t="shared" si="61"/>
        <v>3690</v>
      </c>
      <c r="T35" s="31">
        <f t="shared" si="62"/>
        <v>3206</v>
      </c>
      <c r="U35" s="31">
        <f t="shared" si="63"/>
        <v>3048</v>
      </c>
      <c r="V35" s="31">
        <f t="shared" si="64"/>
        <v>3010</v>
      </c>
      <c r="W35" s="31">
        <f t="shared" si="65"/>
        <v>2997</v>
      </c>
      <c r="X35" s="31">
        <f t="shared" si="66"/>
        <v>2869</v>
      </c>
      <c r="Y35" s="31">
        <f t="shared" si="67"/>
        <v>2830</v>
      </c>
      <c r="Z35" s="31">
        <f t="shared" si="68"/>
        <v>2606</v>
      </c>
    </row>
    <row r="36" spans="1:26">
      <c r="B36" s="13" t="s">
        <v>130</v>
      </c>
      <c r="C36" s="14">
        <f>SUM(C32:C35)</f>
        <v>16469</v>
      </c>
      <c r="D36" s="14">
        <f>SUM(D32:D35)</f>
        <v>9988</v>
      </c>
      <c r="E36" s="14">
        <f>SUM(E32:E35)</f>
        <v>9341</v>
      </c>
      <c r="F36" s="11"/>
      <c r="G36" s="14">
        <f t="shared" ref="G36:Q36" si="69">SUM(G32:G35)</f>
        <v>2688</v>
      </c>
      <c r="H36" s="14">
        <f t="shared" si="69"/>
        <v>2317</v>
      </c>
      <c r="I36" s="14">
        <f t="shared" si="69"/>
        <v>2449</v>
      </c>
      <c r="J36" s="14">
        <f t="shared" si="69"/>
        <v>2534</v>
      </c>
      <c r="K36" s="14">
        <f t="shared" si="69"/>
        <v>2214</v>
      </c>
      <c r="L36" s="14">
        <f t="shared" si="69"/>
        <v>2195</v>
      </c>
      <c r="M36" s="14">
        <f t="shared" si="69"/>
        <v>2412</v>
      </c>
      <c r="N36" s="14">
        <f t="shared" si="69"/>
        <v>2520</v>
      </c>
      <c r="O36" s="14">
        <f t="shared" si="69"/>
        <v>2054</v>
      </c>
      <c r="P36" s="14">
        <f t="shared" si="69"/>
        <v>2173</v>
      </c>
      <c r="Q36" s="14">
        <f t="shared" si="69"/>
        <v>2253</v>
      </c>
      <c r="R36" s="5"/>
      <c r="S36" s="14">
        <f t="shared" ref="S36:Z36" si="70">SUM(S32:S35)</f>
        <v>9988</v>
      </c>
      <c r="T36" s="14">
        <f t="shared" si="70"/>
        <v>9514</v>
      </c>
      <c r="U36" s="14">
        <f t="shared" si="70"/>
        <v>9392</v>
      </c>
      <c r="V36" s="14">
        <f t="shared" si="70"/>
        <v>9355</v>
      </c>
      <c r="W36" s="14">
        <f t="shared" si="70"/>
        <v>9341</v>
      </c>
      <c r="X36" s="14">
        <f t="shared" si="70"/>
        <v>9181</v>
      </c>
      <c r="Y36" s="14">
        <f t="shared" si="70"/>
        <v>9159</v>
      </c>
      <c r="Z36" s="14">
        <f t="shared" si="70"/>
        <v>9000</v>
      </c>
    </row>
    <row r="37" spans="1:26">
      <c r="B37" s="18"/>
      <c r="C37" s="19"/>
      <c r="D37" s="19"/>
      <c r="E37" s="19"/>
      <c r="F37" s="20"/>
      <c r="G37" s="21"/>
      <c r="H37" s="21"/>
      <c r="I37" s="21"/>
      <c r="J37" s="22"/>
      <c r="K37" s="21"/>
      <c r="L37" s="21"/>
      <c r="M37" s="21"/>
      <c r="N37" s="21"/>
      <c r="O37" s="21"/>
      <c r="P37" s="21"/>
      <c r="Q37" s="21"/>
      <c r="R37" s="20"/>
      <c r="S37" s="20"/>
      <c r="T37" s="20"/>
      <c r="U37" s="20"/>
      <c r="V37" s="20"/>
      <c r="W37" s="20"/>
      <c r="X37" s="20"/>
      <c r="Y37" s="20"/>
      <c r="Z37" s="20"/>
    </row>
    <row r="38" spans="1:26">
      <c r="B38" s="149" t="str">
        <f>B32&amp;"(%)"</f>
        <v>Core Lab(%)</v>
      </c>
      <c r="C38" s="150">
        <f t="shared" ref="C38:E41" si="71">SUM(C32/C$14)</f>
        <v>0.11197397658809245</v>
      </c>
      <c r="D38" s="150">
        <f t="shared" si="71"/>
        <v>0.12862449824228975</v>
      </c>
      <c r="E38" s="150">
        <f t="shared" si="71"/>
        <v>0.12479141835518474</v>
      </c>
      <c r="F38" s="151"/>
      <c r="G38" s="150">
        <f t="shared" ref="G38:Q38" si="72">SUM(G32/G$14)</f>
        <v>0.12126808248691905</v>
      </c>
      <c r="H38" s="150">
        <f t="shared" si="72"/>
        <v>0.12958508719182202</v>
      </c>
      <c r="I38" s="150">
        <f t="shared" si="72"/>
        <v>0.129547471162378</v>
      </c>
      <c r="J38" s="150">
        <f t="shared" si="72"/>
        <v>0.13377599843765256</v>
      </c>
      <c r="K38" s="150">
        <f t="shared" si="72"/>
        <v>0.1209353673223605</v>
      </c>
      <c r="L38" s="150">
        <f t="shared" si="72"/>
        <v>0.12807169702226076</v>
      </c>
      <c r="M38" s="150">
        <f t="shared" si="72"/>
        <v>0.1235543018335684</v>
      </c>
      <c r="N38" s="150">
        <f t="shared" si="72"/>
        <v>0.12638964825952251</v>
      </c>
      <c r="O38" s="150">
        <f t="shared" si="72"/>
        <v>0.11363197528480401</v>
      </c>
      <c r="P38" s="150">
        <f t="shared" si="72"/>
        <v>0.1218811703464369</v>
      </c>
      <c r="Q38" s="150">
        <f t="shared" si="72"/>
        <v>0.11997537162459319</v>
      </c>
      <c r="R38" s="151"/>
      <c r="S38" s="152">
        <f t="shared" ref="S38:S41" si="73">J38</f>
        <v>0.13377599843765256</v>
      </c>
      <c r="T38" s="152">
        <f t="shared" ref="T38:T41" si="74">K38</f>
        <v>0.1209353673223605</v>
      </c>
      <c r="U38" s="152">
        <f t="shared" ref="U38:U41" si="75">L38</f>
        <v>0.12807169702226076</v>
      </c>
      <c r="V38" s="152">
        <f t="shared" ref="V38:V41" si="76">M38</f>
        <v>0.1235543018335684</v>
      </c>
      <c r="W38" s="152">
        <f t="shared" ref="W38:W41" si="77">N38</f>
        <v>0.12638964825952251</v>
      </c>
      <c r="X38" s="152">
        <f t="shared" ref="X38:X41" si="78">O38</f>
        <v>0.11363197528480401</v>
      </c>
      <c r="Y38" s="152">
        <f t="shared" ref="Y38:Y41" si="79">P38</f>
        <v>0.1218811703464369</v>
      </c>
      <c r="Z38" s="153">
        <f t="shared" ref="Z38:Z41" si="80">Q38</f>
        <v>0.11997537162459319</v>
      </c>
    </row>
    <row r="39" spans="1:26">
      <c r="B39" s="159" t="str">
        <f>B33&amp;"(%)"</f>
        <v>Molecular(%)</v>
      </c>
      <c r="C39" s="160">
        <f t="shared" si="71"/>
        <v>2.2793393352117837E-2</v>
      </c>
      <c r="D39" s="160">
        <f t="shared" si="71"/>
        <v>1.4311002518138074E-2</v>
      </c>
      <c r="E39" s="160">
        <f t="shared" si="71"/>
        <v>1.2419547079856973E-2</v>
      </c>
      <c r="F39" s="161"/>
      <c r="G39" s="160">
        <f t="shared" ref="G39:Q39" si="81">SUM(G33/G$14)</f>
        <v>1.5081563558017852E-2</v>
      </c>
      <c r="H39" s="160">
        <f t="shared" si="81"/>
        <v>1.413108839446783E-2</v>
      </c>
      <c r="I39" s="160">
        <f t="shared" si="81"/>
        <v>1.3112491373360938E-2</v>
      </c>
      <c r="J39" s="160">
        <f t="shared" si="81"/>
        <v>1.4939947270774339E-2</v>
      </c>
      <c r="K39" s="160">
        <f t="shared" si="81"/>
        <v>1.2946607788036933E-2</v>
      </c>
      <c r="L39" s="160">
        <f t="shared" si="81"/>
        <v>1.2238604606340946E-2</v>
      </c>
      <c r="M39" s="160">
        <f t="shared" si="81"/>
        <v>1.2035731076633756E-2</v>
      </c>
      <c r="N39" s="160">
        <f t="shared" si="81"/>
        <v>1.2484053216694003E-2</v>
      </c>
      <c r="O39" s="160">
        <f t="shared" si="81"/>
        <v>1.1778335586020467E-2</v>
      </c>
      <c r="P39" s="160">
        <f t="shared" si="81"/>
        <v>1.1039310716208939E-2</v>
      </c>
      <c r="Q39" s="160">
        <f t="shared" si="81"/>
        <v>1.1522561351042309E-2</v>
      </c>
      <c r="R39" s="161"/>
      <c r="S39" s="162">
        <f t="shared" ref="S39:S40" si="82">J39</f>
        <v>1.4939947270774339E-2</v>
      </c>
      <c r="T39" s="162">
        <f t="shared" ref="T39:T40" si="83">K39</f>
        <v>1.2946607788036933E-2</v>
      </c>
      <c r="U39" s="162">
        <f t="shared" ref="U39:U40" si="84">L39</f>
        <v>1.2238604606340946E-2</v>
      </c>
      <c r="V39" s="162">
        <f t="shared" ref="V39:V40" si="85">M39</f>
        <v>1.2035731076633756E-2</v>
      </c>
      <c r="W39" s="162">
        <f t="shared" ref="W39:W40" si="86">N39</f>
        <v>1.2484053216694003E-2</v>
      </c>
      <c r="X39" s="162">
        <f t="shared" ref="X39:X40" si="87">O39</f>
        <v>1.1778335586020467E-2</v>
      </c>
      <c r="Y39" s="162">
        <f t="shared" ref="Y39:Y40" si="88">P39</f>
        <v>1.1039310716208939E-2</v>
      </c>
      <c r="Z39" s="163">
        <f t="shared" ref="Z39:Z40" si="89">Q39</f>
        <v>1.1522561351042309E-2</v>
      </c>
    </row>
    <row r="40" spans="1:26">
      <c r="B40" s="159" t="str">
        <f>B34&amp;"(%)"</f>
        <v>Point of Care(%)</v>
      </c>
      <c r="C40" s="160">
        <f t="shared" si="71"/>
        <v>1.2026664834032025E-2</v>
      </c>
      <c r="D40" s="160">
        <f t="shared" si="71"/>
        <v>1.4086613976912913E-2</v>
      </c>
      <c r="E40" s="160">
        <f t="shared" si="71"/>
        <v>1.4016686531585221E-2</v>
      </c>
      <c r="F40" s="161"/>
      <c r="G40" s="160">
        <f t="shared" ref="G40:Q40" si="90">SUM(G34/G$14)</f>
        <v>1.3747819842002667E-2</v>
      </c>
      <c r="H40" s="160">
        <f t="shared" si="90"/>
        <v>1.4231308879534978E-2</v>
      </c>
      <c r="I40" s="160">
        <f t="shared" si="90"/>
        <v>1.3802622498274672E-2</v>
      </c>
      <c r="J40" s="160">
        <f t="shared" si="90"/>
        <v>1.4549360414022067E-2</v>
      </c>
      <c r="K40" s="160">
        <f t="shared" si="90"/>
        <v>1.3950220794861501E-2</v>
      </c>
      <c r="L40" s="160">
        <f t="shared" si="90"/>
        <v>1.503324660306447E-2</v>
      </c>
      <c r="M40" s="160">
        <f t="shared" si="90"/>
        <v>1.3728255759285379E-2</v>
      </c>
      <c r="N40" s="160">
        <f t="shared" si="90"/>
        <v>1.3395297977036633E-2</v>
      </c>
      <c r="O40" s="160">
        <f t="shared" si="90"/>
        <v>1.370921027225333E-2</v>
      </c>
      <c r="P40" s="160">
        <f t="shared" si="90"/>
        <v>1.3283073056901813E-2</v>
      </c>
      <c r="Q40" s="160">
        <f t="shared" si="90"/>
        <v>1.3897440408127364E-2</v>
      </c>
      <c r="R40" s="161"/>
      <c r="S40" s="162">
        <f t="shared" si="82"/>
        <v>1.4549360414022067E-2</v>
      </c>
      <c r="T40" s="162">
        <f t="shared" si="83"/>
        <v>1.3950220794861501E-2</v>
      </c>
      <c r="U40" s="162">
        <f t="shared" si="84"/>
        <v>1.503324660306447E-2</v>
      </c>
      <c r="V40" s="162">
        <f t="shared" si="85"/>
        <v>1.3728255759285379E-2</v>
      </c>
      <c r="W40" s="162">
        <f t="shared" si="86"/>
        <v>1.3395297977036633E-2</v>
      </c>
      <c r="X40" s="162">
        <f t="shared" si="87"/>
        <v>1.370921027225333E-2</v>
      </c>
      <c r="Y40" s="162">
        <f t="shared" si="88"/>
        <v>1.3283073056901813E-2</v>
      </c>
      <c r="Z40" s="163">
        <f t="shared" si="89"/>
        <v>1.3897440408127364E-2</v>
      </c>
    </row>
    <row r="41" spans="1:26" ht="12.75" customHeight="1">
      <c r="B41" s="154" t="str">
        <f>B35&amp;"(%)"</f>
        <v>Rapid Diagnostics(%)</v>
      </c>
      <c r="C41" s="155">
        <f t="shared" si="71"/>
        <v>0.23047671408608802</v>
      </c>
      <c r="D41" s="155">
        <f t="shared" si="71"/>
        <v>9.1999301902316186E-2</v>
      </c>
      <c r="E41" s="155">
        <f t="shared" si="71"/>
        <v>7.1442193087008346E-2</v>
      </c>
      <c r="F41" s="156"/>
      <c r="G41" s="155">
        <f t="shared" ref="G41:Q41" si="91">SUM(G35/G$14)</f>
        <v>0.12567969631681544</v>
      </c>
      <c r="H41" s="155">
        <f t="shared" si="91"/>
        <v>7.4263379434756457E-2</v>
      </c>
      <c r="I41" s="155">
        <f t="shared" si="91"/>
        <v>8.4984718525091194E-2</v>
      </c>
      <c r="J41" s="155">
        <f t="shared" si="91"/>
        <v>8.4171467630114252E-2</v>
      </c>
      <c r="K41" s="155">
        <f t="shared" si="91"/>
        <v>7.4367723805700517E-2</v>
      </c>
      <c r="L41" s="155">
        <f t="shared" si="91"/>
        <v>5.6181940830683244E-2</v>
      </c>
      <c r="M41" s="155">
        <f t="shared" si="91"/>
        <v>7.7480018805829803E-2</v>
      </c>
      <c r="N41" s="155">
        <f t="shared" si="91"/>
        <v>7.7364680153089116E-2</v>
      </c>
      <c r="O41" s="155">
        <f t="shared" si="91"/>
        <v>5.9181309133037263E-2</v>
      </c>
      <c r="P41" s="155">
        <f t="shared" si="91"/>
        <v>4.8824268533476933E-2</v>
      </c>
      <c r="Q41" s="155">
        <f t="shared" si="91"/>
        <v>5.2775090157445685E-2</v>
      </c>
      <c r="R41" s="156"/>
      <c r="S41" s="157">
        <f t="shared" si="73"/>
        <v>8.4171467630114252E-2</v>
      </c>
      <c r="T41" s="157">
        <f t="shared" si="74"/>
        <v>7.4367723805700517E-2</v>
      </c>
      <c r="U41" s="157">
        <f t="shared" si="75"/>
        <v>5.6181940830683244E-2</v>
      </c>
      <c r="V41" s="157">
        <f t="shared" si="76"/>
        <v>7.7480018805829803E-2</v>
      </c>
      <c r="W41" s="157">
        <f t="shared" si="77"/>
        <v>7.7364680153089116E-2</v>
      </c>
      <c r="X41" s="157">
        <f t="shared" si="78"/>
        <v>5.9181309133037263E-2</v>
      </c>
      <c r="Y41" s="157">
        <f t="shared" si="79"/>
        <v>4.8824268533476933E-2</v>
      </c>
      <c r="Z41" s="158">
        <f t="shared" si="80"/>
        <v>5.2775090157445685E-2</v>
      </c>
    </row>
    <row r="43" spans="1:26" ht="12.75" customHeight="1">
      <c r="A43" s="78" t="s">
        <v>15</v>
      </c>
      <c r="B43" s="76" t="s">
        <v>126</v>
      </c>
      <c r="C43" s="10"/>
      <c r="D43" s="10"/>
      <c r="E43" s="10"/>
      <c r="F43" s="10"/>
      <c r="G43" s="93"/>
      <c r="H43" s="93"/>
      <c r="I43" s="93"/>
      <c r="J43" s="31"/>
      <c r="K43" s="93"/>
      <c r="L43" s="93"/>
      <c r="M43" s="93"/>
      <c r="N43" s="31"/>
      <c r="O43" s="93"/>
      <c r="P43" s="93"/>
      <c r="Q43" s="93"/>
      <c r="R43" s="5"/>
      <c r="S43" s="11"/>
      <c r="T43" s="11"/>
      <c r="U43" s="11"/>
      <c r="V43" s="11"/>
      <c r="W43" s="11"/>
      <c r="X43" s="11"/>
      <c r="Y43" s="11"/>
      <c r="Z43" s="11"/>
    </row>
    <row r="44" spans="1:26" ht="12.75" customHeight="1">
      <c r="A44" s="78"/>
      <c r="B44" s="9" t="s">
        <v>136</v>
      </c>
      <c r="C44" s="79">
        <v>2119</v>
      </c>
      <c r="D44" s="79">
        <v>2255</v>
      </c>
      <c r="E44" s="79">
        <v>2390</v>
      </c>
      <c r="F44" s="10"/>
      <c r="G44" s="93">
        <v>527</v>
      </c>
      <c r="H44" s="93">
        <v>583</v>
      </c>
      <c r="I44" s="93">
        <v>563</v>
      </c>
      <c r="J44" s="31">
        <v>582</v>
      </c>
      <c r="K44" s="93">
        <v>562</v>
      </c>
      <c r="L44" s="93">
        <v>607</v>
      </c>
      <c r="M44" s="93">
        <v>597</v>
      </c>
      <c r="N44" s="31">
        <v>624</v>
      </c>
      <c r="O44" s="80">
        <v>585</v>
      </c>
      <c r="P44" s="80">
        <v>673</v>
      </c>
      <c r="Q44" s="79">
        <v>686</v>
      </c>
      <c r="R44" s="5"/>
      <c r="S44" s="31">
        <f t="shared" ref="S44" si="92">SUM(G44:J44)</f>
        <v>2255</v>
      </c>
      <c r="T44" s="31">
        <f t="shared" ref="T44" si="93">SUM(H44:K44)</f>
        <v>2290</v>
      </c>
      <c r="U44" s="31">
        <f t="shared" ref="U44" si="94">SUM(I44:L44)</f>
        <v>2314</v>
      </c>
      <c r="V44" s="31">
        <f t="shared" ref="V44" si="95">SUM(J44:M44)</f>
        <v>2348</v>
      </c>
      <c r="W44" s="31">
        <f t="shared" ref="W44" si="96">SUM(K44:N44)</f>
        <v>2390</v>
      </c>
      <c r="X44" s="31">
        <f t="shared" ref="X44" si="97">SUM(L44:O44)</f>
        <v>2413</v>
      </c>
      <c r="Y44" s="31">
        <f t="shared" ref="Y44" si="98">SUM(M44:P44)</f>
        <v>2479</v>
      </c>
      <c r="Z44" s="31">
        <f>SUM(N44:Q44)</f>
        <v>2568</v>
      </c>
    </row>
    <row r="45" spans="1:26" ht="12.75" customHeight="1">
      <c r="A45" s="78"/>
      <c r="B45" s="9" t="s">
        <v>137</v>
      </c>
      <c r="C45" s="79">
        <v>1927</v>
      </c>
      <c r="D45" s="79">
        <v>2195</v>
      </c>
      <c r="E45" s="79">
        <v>2467</v>
      </c>
      <c r="F45" s="10"/>
      <c r="G45" s="93">
        <v>505</v>
      </c>
      <c r="H45" s="93">
        <v>553</v>
      </c>
      <c r="I45" s="93">
        <v>544</v>
      </c>
      <c r="J45" s="31">
        <v>593</v>
      </c>
      <c r="K45" s="93">
        <v>587</v>
      </c>
      <c r="L45" s="93">
        <v>627</v>
      </c>
      <c r="M45" s="93">
        <v>610</v>
      </c>
      <c r="N45" s="31">
        <v>643</v>
      </c>
      <c r="O45" s="80">
        <v>629</v>
      </c>
      <c r="P45" s="80">
        <v>700</v>
      </c>
      <c r="Q45" s="79">
        <v>705</v>
      </c>
      <c r="R45" s="5"/>
      <c r="S45" s="31">
        <f t="shared" ref="S45:S50" si="99">SUM(G45:J45)</f>
        <v>2195</v>
      </c>
      <c r="T45" s="31">
        <f t="shared" ref="T45:T50" si="100">SUM(H45:K45)</f>
        <v>2277</v>
      </c>
      <c r="U45" s="31">
        <f t="shared" ref="U45:U50" si="101">SUM(I45:L45)</f>
        <v>2351</v>
      </c>
      <c r="V45" s="31">
        <f t="shared" ref="V45:V50" si="102">SUM(J45:M45)</f>
        <v>2417</v>
      </c>
      <c r="W45" s="31">
        <f t="shared" ref="W45:W50" si="103">SUM(K45:N45)</f>
        <v>2467</v>
      </c>
      <c r="X45" s="31">
        <f t="shared" ref="X45:X50" si="104">SUM(L45:O45)</f>
        <v>2509</v>
      </c>
      <c r="Y45" s="31">
        <f t="shared" ref="Y45:Y50" si="105">SUM(M45:P45)</f>
        <v>2582</v>
      </c>
      <c r="Z45" s="31">
        <f t="shared" ref="Z45:Z50" si="106">SUM(N45:Q45)</f>
        <v>2677</v>
      </c>
    </row>
    <row r="46" spans="1:26" ht="12.75" customHeight="1">
      <c r="A46" s="78"/>
      <c r="B46" s="9" t="s">
        <v>138</v>
      </c>
      <c r="C46" s="79">
        <v>1035</v>
      </c>
      <c r="D46" s="79">
        <v>1161</v>
      </c>
      <c r="E46" s="79">
        <v>1279</v>
      </c>
      <c r="F46" s="10"/>
      <c r="G46" s="93">
        <v>281</v>
      </c>
      <c r="H46" s="93">
        <v>295</v>
      </c>
      <c r="I46" s="93">
        <v>284</v>
      </c>
      <c r="J46" s="31">
        <v>301</v>
      </c>
      <c r="K46" s="93">
        <v>305</v>
      </c>
      <c r="L46" s="93">
        <v>321</v>
      </c>
      <c r="M46" s="93">
        <v>322</v>
      </c>
      <c r="N46" s="31">
        <v>331</v>
      </c>
      <c r="O46" s="80">
        <v>339</v>
      </c>
      <c r="P46" s="80">
        <v>368</v>
      </c>
      <c r="Q46" s="79">
        <v>366</v>
      </c>
      <c r="R46" s="5"/>
      <c r="S46" s="31">
        <f t="shared" si="99"/>
        <v>1161</v>
      </c>
      <c r="T46" s="31">
        <f t="shared" si="100"/>
        <v>1185</v>
      </c>
      <c r="U46" s="31">
        <f t="shared" si="101"/>
        <v>1211</v>
      </c>
      <c r="V46" s="31">
        <f t="shared" si="102"/>
        <v>1249</v>
      </c>
      <c r="W46" s="31">
        <f t="shared" si="103"/>
        <v>1279</v>
      </c>
      <c r="X46" s="31">
        <f t="shared" si="104"/>
        <v>1313</v>
      </c>
      <c r="Y46" s="31">
        <f t="shared" si="105"/>
        <v>1360</v>
      </c>
      <c r="Z46" s="31">
        <f t="shared" si="106"/>
        <v>1404</v>
      </c>
    </row>
    <row r="47" spans="1:26" ht="12.75" customHeight="1">
      <c r="A47" s="78"/>
      <c r="B47" s="9" t="s">
        <v>139</v>
      </c>
      <c r="C47" s="79">
        <v>2483</v>
      </c>
      <c r="D47" s="79">
        <v>2681</v>
      </c>
      <c r="E47" s="79">
        <v>2837</v>
      </c>
      <c r="F47" s="10"/>
      <c r="G47" s="93">
        <v>617</v>
      </c>
      <c r="H47" s="93">
        <v>715</v>
      </c>
      <c r="I47" s="93">
        <v>672</v>
      </c>
      <c r="J47" s="31">
        <v>677</v>
      </c>
      <c r="K47" s="93">
        <v>689</v>
      </c>
      <c r="L47" s="93">
        <v>724</v>
      </c>
      <c r="M47" s="93">
        <v>699</v>
      </c>
      <c r="N47" s="31">
        <v>725</v>
      </c>
      <c r="O47" s="80">
        <v>710</v>
      </c>
      <c r="P47" s="80">
        <v>757</v>
      </c>
      <c r="Q47" s="79">
        <v>745</v>
      </c>
      <c r="R47" s="5"/>
      <c r="S47" s="31">
        <f t="shared" si="99"/>
        <v>2681</v>
      </c>
      <c r="T47" s="31">
        <f t="shared" si="100"/>
        <v>2753</v>
      </c>
      <c r="U47" s="31">
        <f t="shared" si="101"/>
        <v>2762</v>
      </c>
      <c r="V47" s="31">
        <f t="shared" si="102"/>
        <v>2789</v>
      </c>
      <c r="W47" s="31">
        <f t="shared" si="103"/>
        <v>2837</v>
      </c>
      <c r="X47" s="31">
        <f t="shared" si="104"/>
        <v>2858</v>
      </c>
      <c r="Y47" s="31">
        <f t="shared" si="105"/>
        <v>2891</v>
      </c>
      <c r="Z47" s="31">
        <f t="shared" si="106"/>
        <v>2937</v>
      </c>
    </row>
    <row r="48" spans="1:26" ht="12.75" customHeight="1">
      <c r="A48" s="78"/>
      <c r="B48" s="9" t="s">
        <v>140</v>
      </c>
      <c r="C48" s="79">
        <v>1712</v>
      </c>
      <c r="D48" s="79">
        <v>1944</v>
      </c>
      <c r="E48" s="79">
        <v>2246</v>
      </c>
      <c r="F48" s="10"/>
      <c r="G48" s="93">
        <v>461</v>
      </c>
      <c r="H48" s="93">
        <v>498</v>
      </c>
      <c r="I48" s="93">
        <v>487</v>
      </c>
      <c r="J48" s="31">
        <v>498</v>
      </c>
      <c r="K48" s="93">
        <v>515</v>
      </c>
      <c r="L48" s="93">
        <v>564</v>
      </c>
      <c r="M48" s="93">
        <v>558</v>
      </c>
      <c r="N48" s="31">
        <v>609</v>
      </c>
      <c r="O48" s="80">
        <v>577</v>
      </c>
      <c r="P48" s="80">
        <v>636</v>
      </c>
      <c r="Q48" s="79">
        <v>635</v>
      </c>
      <c r="R48" s="5"/>
      <c r="S48" s="31">
        <f t="shared" si="99"/>
        <v>1944</v>
      </c>
      <c r="T48" s="31">
        <f t="shared" si="100"/>
        <v>1998</v>
      </c>
      <c r="U48" s="31">
        <f t="shared" si="101"/>
        <v>2064</v>
      </c>
      <c r="V48" s="31">
        <f t="shared" si="102"/>
        <v>2135</v>
      </c>
      <c r="W48" s="31">
        <f t="shared" si="103"/>
        <v>2246</v>
      </c>
      <c r="X48" s="31">
        <f t="shared" si="104"/>
        <v>2308</v>
      </c>
      <c r="Y48" s="31">
        <f t="shared" si="105"/>
        <v>2380</v>
      </c>
      <c r="Z48" s="31">
        <f t="shared" si="106"/>
        <v>2457</v>
      </c>
    </row>
    <row r="49" spans="1:38" ht="12.75" customHeight="1">
      <c r="A49" s="78"/>
      <c r="B49" s="9" t="s">
        <v>141</v>
      </c>
      <c r="C49" s="79">
        <v>770</v>
      </c>
      <c r="D49" s="79">
        <v>890</v>
      </c>
      <c r="E49" s="79">
        <v>962</v>
      </c>
      <c r="F49" s="10"/>
      <c r="G49" s="93">
        <v>196</v>
      </c>
      <c r="H49" s="93">
        <v>227</v>
      </c>
      <c r="I49" s="93">
        <v>227</v>
      </c>
      <c r="J49" s="31">
        <v>240</v>
      </c>
      <c r="K49" s="93">
        <v>226</v>
      </c>
      <c r="L49" s="93">
        <v>243</v>
      </c>
      <c r="M49" s="93">
        <v>236</v>
      </c>
      <c r="N49" s="31">
        <v>257</v>
      </c>
      <c r="O49" s="80">
        <v>228</v>
      </c>
      <c r="P49" s="80">
        <v>254</v>
      </c>
      <c r="Q49" s="79">
        <v>254</v>
      </c>
      <c r="R49" s="5"/>
      <c r="S49" s="31">
        <f t="shared" si="99"/>
        <v>890</v>
      </c>
      <c r="T49" s="31">
        <f t="shared" si="100"/>
        <v>920</v>
      </c>
      <c r="U49" s="31">
        <f t="shared" si="101"/>
        <v>936</v>
      </c>
      <c r="V49" s="31">
        <f t="shared" si="102"/>
        <v>945</v>
      </c>
      <c r="W49" s="31">
        <f t="shared" si="103"/>
        <v>962</v>
      </c>
      <c r="X49" s="31">
        <f t="shared" si="104"/>
        <v>964</v>
      </c>
      <c r="Y49" s="31">
        <f t="shared" si="105"/>
        <v>975</v>
      </c>
      <c r="Z49" s="31">
        <f t="shared" si="106"/>
        <v>993</v>
      </c>
    </row>
    <row r="50" spans="1:38">
      <c r="B50" s="9" t="s">
        <v>142</v>
      </c>
      <c r="C50" s="79">
        <v>4756</v>
      </c>
      <c r="D50" s="79">
        <v>5761</v>
      </c>
      <c r="E50" s="79">
        <v>6805</v>
      </c>
      <c r="F50" s="79"/>
      <c r="G50" s="93">
        <v>1313</v>
      </c>
      <c r="H50" s="93">
        <v>1424</v>
      </c>
      <c r="I50" s="93">
        <v>1472</v>
      </c>
      <c r="J50" s="31">
        <v>1552</v>
      </c>
      <c r="K50" s="93">
        <v>1569</v>
      </c>
      <c r="L50" s="93">
        <v>1648</v>
      </c>
      <c r="M50" s="93">
        <v>1725</v>
      </c>
      <c r="N50" s="31">
        <v>1863</v>
      </c>
      <c r="O50" s="80">
        <v>1827</v>
      </c>
      <c r="P50" s="80">
        <v>1981</v>
      </c>
      <c r="Q50" s="79">
        <v>2057</v>
      </c>
      <c r="R50" s="5"/>
      <c r="S50" s="31">
        <f t="shared" si="99"/>
        <v>5761</v>
      </c>
      <c r="T50" s="31">
        <f t="shared" si="100"/>
        <v>6017</v>
      </c>
      <c r="U50" s="31">
        <f t="shared" si="101"/>
        <v>6241</v>
      </c>
      <c r="V50" s="31">
        <f t="shared" si="102"/>
        <v>6494</v>
      </c>
      <c r="W50" s="31">
        <f t="shared" si="103"/>
        <v>6805</v>
      </c>
      <c r="X50" s="31">
        <f t="shared" si="104"/>
        <v>7063</v>
      </c>
      <c r="Y50" s="31">
        <f t="shared" si="105"/>
        <v>7396</v>
      </c>
      <c r="Z50" s="31">
        <f t="shared" si="106"/>
        <v>7728</v>
      </c>
    </row>
    <row r="51" spans="1:38">
      <c r="B51" s="13" t="s">
        <v>135</v>
      </c>
      <c r="C51" s="14">
        <f>SUM(C44:C50)</f>
        <v>14802</v>
      </c>
      <c r="D51" s="14">
        <f>SUM(D44:D50)</f>
        <v>16887</v>
      </c>
      <c r="E51" s="14">
        <f>SUM(E44:E50)</f>
        <v>18986</v>
      </c>
      <c r="F51" s="11"/>
      <c r="G51" s="14">
        <f t="shared" ref="G51:Q51" si="107">SUM(G44:G50)</f>
        <v>3900</v>
      </c>
      <c r="H51" s="14">
        <f t="shared" si="107"/>
        <v>4295</v>
      </c>
      <c r="I51" s="14">
        <f t="shared" si="107"/>
        <v>4249</v>
      </c>
      <c r="J51" s="14">
        <f t="shared" si="107"/>
        <v>4443</v>
      </c>
      <c r="K51" s="14">
        <f t="shared" si="107"/>
        <v>4453</v>
      </c>
      <c r="L51" s="14">
        <f t="shared" si="107"/>
        <v>4734</v>
      </c>
      <c r="M51" s="14">
        <f t="shared" si="107"/>
        <v>4747</v>
      </c>
      <c r="N51" s="14">
        <f t="shared" si="107"/>
        <v>5052</v>
      </c>
      <c r="O51" s="14">
        <f t="shared" si="107"/>
        <v>4895</v>
      </c>
      <c r="P51" s="14">
        <f t="shared" si="107"/>
        <v>5369</v>
      </c>
      <c r="Q51" s="14">
        <f t="shared" si="107"/>
        <v>5448</v>
      </c>
      <c r="R51" s="5"/>
      <c r="S51" s="14">
        <f t="shared" ref="S51:Z51" si="108">SUM(S44:S50)</f>
        <v>16887</v>
      </c>
      <c r="T51" s="14">
        <f t="shared" si="108"/>
        <v>17440</v>
      </c>
      <c r="U51" s="14">
        <f t="shared" si="108"/>
        <v>17879</v>
      </c>
      <c r="V51" s="14">
        <f t="shared" si="108"/>
        <v>18377</v>
      </c>
      <c r="W51" s="14">
        <f t="shared" si="108"/>
        <v>18986</v>
      </c>
      <c r="X51" s="14">
        <f t="shared" si="108"/>
        <v>19428</v>
      </c>
      <c r="Y51" s="14">
        <f t="shared" si="108"/>
        <v>20063</v>
      </c>
      <c r="Z51" s="14">
        <f t="shared" si="108"/>
        <v>20764</v>
      </c>
    </row>
    <row r="52" spans="1:38">
      <c r="B52" s="18"/>
      <c r="C52" s="19"/>
      <c r="D52" s="19"/>
      <c r="E52" s="19"/>
      <c r="F52" s="20"/>
      <c r="G52" s="21"/>
      <c r="H52" s="21"/>
      <c r="I52" s="21"/>
      <c r="J52" s="22"/>
      <c r="K52" s="21"/>
      <c r="L52" s="21"/>
      <c r="M52" s="21"/>
      <c r="N52" s="21"/>
      <c r="O52" s="21"/>
      <c r="P52" s="21"/>
      <c r="Q52" s="21"/>
      <c r="R52" s="20"/>
      <c r="S52" s="20"/>
      <c r="T52" s="20"/>
      <c r="U52" s="20"/>
      <c r="V52" s="20"/>
      <c r="W52" s="20"/>
      <c r="X52" s="20"/>
      <c r="Y52" s="20"/>
      <c r="Z52" s="20"/>
    </row>
    <row r="53" spans="1:38">
      <c r="B53" s="149" t="str">
        <f t="shared" ref="B53:B59" si="109">B44&amp;"(%)"</f>
        <v>Rhythm Management(%)</v>
      </c>
      <c r="C53" s="150">
        <f t="shared" ref="C53:E59" si="110">SUM(C44/C$14)</f>
        <v>4.8541910063454971E-2</v>
      </c>
      <c r="D53" s="150">
        <f t="shared" si="110"/>
        <v>5.6221795606971006E-2</v>
      </c>
      <c r="E53" s="150">
        <f t="shared" si="110"/>
        <v>5.6972586412395707E-2</v>
      </c>
      <c r="F53" s="151"/>
      <c r="G53" s="150">
        <f t="shared" ref="G53:Q53" si="111">SUM(G44/G$14)</f>
        <v>5.4067918333846311E-2</v>
      </c>
      <c r="H53" s="150">
        <f t="shared" si="111"/>
        <v>5.8428542794147123E-2</v>
      </c>
      <c r="I53" s="150">
        <f t="shared" si="111"/>
        <v>5.5506260475204572E-2</v>
      </c>
      <c r="J53" s="150">
        <f t="shared" si="111"/>
        <v>5.6830387657455329E-2</v>
      </c>
      <c r="K53" s="150">
        <f t="shared" si="111"/>
        <v>5.6403050983540745E-2</v>
      </c>
      <c r="L53" s="150">
        <f t="shared" si="111"/>
        <v>5.8494748000385469E-2</v>
      </c>
      <c r="M53" s="150">
        <f t="shared" si="111"/>
        <v>5.6135401974612129E-2</v>
      </c>
      <c r="N53" s="150">
        <f t="shared" si="111"/>
        <v>5.6861673045379986E-2</v>
      </c>
      <c r="O53" s="150">
        <f t="shared" si="111"/>
        <v>5.6478084572311259E-2</v>
      </c>
      <c r="P53" s="150">
        <f t="shared" si="111"/>
        <v>6.0402082211452164E-2</v>
      </c>
      <c r="Q53" s="150">
        <f t="shared" si="111"/>
        <v>6.0339519746679567E-2</v>
      </c>
      <c r="R53" s="151"/>
      <c r="S53" s="152">
        <f t="shared" ref="S53" si="112">J53</f>
        <v>5.6830387657455329E-2</v>
      </c>
      <c r="T53" s="152">
        <f t="shared" ref="T53" si="113">K53</f>
        <v>5.6403050983540745E-2</v>
      </c>
      <c r="U53" s="152">
        <f t="shared" ref="U53" si="114">L53</f>
        <v>5.8494748000385469E-2</v>
      </c>
      <c r="V53" s="152">
        <f t="shared" ref="V53" si="115">M53</f>
        <v>5.6135401974612129E-2</v>
      </c>
      <c r="W53" s="152">
        <f t="shared" ref="W53" si="116">N53</f>
        <v>5.6861673045379986E-2</v>
      </c>
      <c r="X53" s="152">
        <f t="shared" ref="X53" si="117">O53</f>
        <v>5.6478084572311259E-2</v>
      </c>
      <c r="Y53" s="152">
        <f t="shared" ref="Y53" si="118">P53</f>
        <v>6.0402082211452164E-2</v>
      </c>
      <c r="Z53" s="153">
        <f t="shared" ref="Z53" si="119">Q53</f>
        <v>6.0339519746679567E-2</v>
      </c>
    </row>
    <row r="54" spans="1:38">
      <c r="B54" s="159" t="str">
        <f t="shared" si="109"/>
        <v>Electrophysiology(%)</v>
      </c>
      <c r="C54" s="160">
        <f t="shared" si="110"/>
        <v>4.4143586924151837E-2</v>
      </c>
      <c r="D54" s="160">
        <f t="shared" si="110"/>
        <v>5.4725871998803258E-2</v>
      </c>
      <c r="E54" s="160">
        <f t="shared" si="110"/>
        <v>5.8808104886769963E-2</v>
      </c>
      <c r="F54" s="161"/>
      <c r="G54" s="160">
        <f t="shared" ref="G54:Q54" si="120">SUM(G45/G$14)</f>
        <v>5.1810813583666772E-2</v>
      </c>
      <c r="H54" s="160">
        <f t="shared" si="120"/>
        <v>5.5421928242132691E-2</v>
      </c>
      <c r="I54" s="160">
        <f t="shared" si="120"/>
        <v>5.3633047421867294E-2</v>
      </c>
      <c r="J54" s="160">
        <f t="shared" si="120"/>
        <v>5.7904501513524068E-2</v>
      </c>
      <c r="K54" s="160">
        <f t="shared" si="120"/>
        <v>5.8912083500602168E-2</v>
      </c>
      <c r="L54" s="160">
        <f t="shared" si="120"/>
        <v>6.0422087308470658E-2</v>
      </c>
      <c r="M54" s="160">
        <f t="shared" si="120"/>
        <v>5.7357780912082747E-2</v>
      </c>
      <c r="N54" s="160">
        <f t="shared" si="120"/>
        <v>5.8593038090030983E-2</v>
      </c>
      <c r="O54" s="160">
        <f t="shared" si="120"/>
        <v>6.0726008882023556E-2</v>
      </c>
      <c r="P54" s="160">
        <f t="shared" si="120"/>
        <v>6.2825345539400473E-2</v>
      </c>
      <c r="Q54" s="160">
        <f t="shared" si="120"/>
        <v>6.2010730934998683E-2</v>
      </c>
      <c r="R54" s="161"/>
      <c r="S54" s="162">
        <f t="shared" ref="S54:S59" si="121">J54</f>
        <v>5.7904501513524068E-2</v>
      </c>
      <c r="T54" s="162">
        <f t="shared" ref="T54:T59" si="122">K54</f>
        <v>5.8912083500602168E-2</v>
      </c>
      <c r="U54" s="162">
        <f t="shared" ref="U54:U59" si="123">L54</f>
        <v>6.0422087308470658E-2</v>
      </c>
      <c r="V54" s="162">
        <f t="shared" ref="V54:V59" si="124">M54</f>
        <v>5.7357780912082747E-2</v>
      </c>
      <c r="W54" s="162">
        <f t="shared" ref="W54:W59" si="125">N54</f>
        <v>5.8593038090030983E-2</v>
      </c>
      <c r="X54" s="162">
        <f t="shared" ref="X54:X59" si="126">O54</f>
        <v>6.0726008882023556E-2</v>
      </c>
      <c r="Y54" s="162">
        <f t="shared" ref="Y54:Y59" si="127">P54</f>
        <v>6.2825345539400473E-2</v>
      </c>
      <c r="Z54" s="163">
        <f t="shared" ref="Z54:Z59" si="128">Q54</f>
        <v>6.2010730934998683E-2</v>
      </c>
    </row>
    <row r="55" spans="1:38">
      <c r="B55" s="159" t="str">
        <f t="shared" si="109"/>
        <v>Heart Failure(%)</v>
      </c>
      <c r="C55" s="160">
        <f t="shared" si="110"/>
        <v>2.3709710672805993E-2</v>
      </c>
      <c r="D55" s="160">
        <f t="shared" si="110"/>
        <v>2.8946121818045824E-2</v>
      </c>
      <c r="E55" s="160">
        <f t="shared" si="110"/>
        <v>3.0488676996424314E-2</v>
      </c>
      <c r="F55" s="161"/>
      <c r="G55" s="160">
        <f t="shared" ref="G55:Q55" si="129">SUM(G46/G$14)</f>
        <v>2.882938340002052E-2</v>
      </c>
      <c r="H55" s="160">
        <f t="shared" si="129"/>
        <v>2.956504309480858E-2</v>
      </c>
      <c r="I55" s="160">
        <f t="shared" si="129"/>
        <v>2.7999605639357193E-2</v>
      </c>
      <c r="J55" s="160">
        <f t="shared" si="129"/>
        <v>2.939166097060834E-2</v>
      </c>
      <c r="K55" s="160">
        <f t="shared" si="129"/>
        <v>3.0610196708149337E-2</v>
      </c>
      <c r="L55" s="160">
        <f t="shared" si="129"/>
        <v>3.0933795894767274E-2</v>
      </c>
      <c r="M55" s="160">
        <f t="shared" si="129"/>
        <v>3.0277385989656794E-2</v>
      </c>
      <c r="N55" s="160">
        <f t="shared" si="129"/>
        <v>3.0162201567340986E-2</v>
      </c>
      <c r="O55" s="160">
        <f t="shared" si="129"/>
        <v>3.2728325931647033E-2</v>
      </c>
      <c r="P55" s="160">
        <f t="shared" si="129"/>
        <v>3.30281816549991E-2</v>
      </c>
      <c r="Q55" s="160">
        <f t="shared" si="129"/>
        <v>3.2192804996041866E-2</v>
      </c>
      <c r="R55" s="161"/>
      <c r="S55" s="162">
        <f t="shared" si="121"/>
        <v>2.939166097060834E-2</v>
      </c>
      <c r="T55" s="162">
        <f t="shared" si="122"/>
        <v>3.0610196708149337E-2</v>
      </c>
      <c r="U55" s="162">
        <f t="shared" si="123"/>
        <v>3.0933795894767274E-2</v>
      </c>
      <c r="V55" s="162">
        <f t="shared" si="124"/>
        <v>3.0277385989656794E-2</v>
      </c>
      <c r="W55" s="162">
        <f t="shared" si="125"/>
        <v>3.0162201567340986E-2</v>
      </c>
      <c r="X55" s="162">
        <f t="shared" si="126"/>
        <v>3.2728325931647033E-2</v>
      </c>
      <c r="Y55" s="162">
        <f t="shared" si="127"/>
        <v>3.30281816549991E-2</v>
      </c>
      <c r="Z55" s="163">
        <f t="shared" si="128"/>
        <v>3.2192804996041866E-2</v>
      </c>
    </row>
    <row r="56" spans="1:38">
      <c r="B56" s="159" t="str">
        <f t="shared" si="109"/>
        <v>Vascular(%)</v>
      </c>
      <c r="C56" s="160">
        <f t="shared" si="110"/>
        <v>5.6880397681717182E-2</v>
      </c>
      <c r="D56" s="160">
        <f t="shared" si="110"/>
        <v>6.6842853224961973E-2</v>
      </c>
      <c r="E56" s="160">
        <f t="shared" si="110"/>
        <v>6.7628128724672235E-2</v>
      </c>
      <c r="F56" s="161"/>
      <c r="G56" s="160">
        <f t="shared" ref="G56:Q56" si="130">SUM(G47/G$14)</f>
        <v>6.3301528675489896E-2</v>
      </c>
      <c r="H56" s="160">
        <f t="shared" si="130"/>
        <v>7.1657646823010623E-2</v>
      </c>
      <c r="I56" s="160">
        <f t="shared" si="130"/>
        <v>6.6252587991718431E-2</v>
      </c>
      <c r="J56" s="160">
        <f t="shared" si="130"/>
        <v>6.6106825505321751E-2</v>
      </c>
      <c r="K56" s="160">
        <f t="shared" si="130"/>
        <v>6.9148936170212769E-2</v>
      </c>
      <c r="L56" s="160">
        <f t="shared" si="130"/>
        <v>6.976968295268382E-2</v>
      </c>
      <c r="M56" s="160">
        <f t="shared" si="130"/>
        <v>6.5726375176304655E-2</v>
      </c>
      <c r="N56" s="160">
        <f t="shared" si="130"/>
        <v>6.6065245124840535E-2</v>
      </c>
      <c r="O56" s="160">
        <f t="shared" si="130"/>
        <v>6.8546051361266652E-2</v>
      </c>
      <c r="P56" s="160">
        <f t="shared" si="130"/>
        <v>6.7941123676180215E-2</v>
      </c>
      <c r="Q56" s="160">
        <f t="shared" si="130"/>
        <v>6.55290702788284E-2</v>
      </c>
      <c r="R56" s="161"/>
      <c r="S56" s="162">
        <f t="shared" si="121"/>
        <v>6.6106825505321751E-2</v>
      </c>
      <c r="T56" s="162">
        <f t="shared" si="122"/>
        <v>6.9148936170212769E-2</v>
      </c>
      <c r="U56" s="162">
        <f t="shared" si="123"/>
        <v>6.976968295268382E-2</v>
      </c>
      <c r="V56" s="162">
        <f t="shared" si="124"/>
        <v>6.5726375176304655E-2</v>
      </c>
      <c r="W56" s="162">
        <f t="shared" si="125"/>
        <v>6.6065245124840535E-2</v>
      </c>
      <c r="X56" s="162">
        <f t="shared" si="126"/>
        <v>6.8546051361266652E-2</v>
      </c>
      <c r="Y56" s="162">
        <f t="shared" si="127"/>
        <v>6.7941123676180215E-2</v>
      </c>
      <c r="Z56" s="163">
        <f t="shared" si="128"/>
        <v>6.55290702788284E-2</v>
      </c>
    </row>
    <row r="57" spans="1:38">
      <c r="B57" s="159" t="str">
        <f t="shared" si="109"/>
        <v>Structural Heart(%)</v>
      </c>
      <c r="C57" s="160">
        <f t="shared" si="110"/>
        <v>3.9218381325453001E-2</v>
      </c>
      <c r="D57" s="160">
        <f t="shared" si="110"/>
        <v>4.846792490463487E-2</v>
      </c>
      <c r="E57" s="160">
        <f t="shared" si="110"/>
        <v>5.3539928486293208E-2</v>
      </c>
      <c r="F57" s="161"/>
      <c r="G57" s="160">
        <f t="shared" ref="G57:Q57" si="131">SUM(G48/G$14)</f>
        <v>4.7296604083307686E-2</v>
      </c>
      <c r="H57" s="160">
        <f t="shared" si="131"/>
        <v>4.9909801563439569E-2</v>
      </c>
      <c r="I57" s="160">
        <f t="shared" si="131"/>
        <v>4.8013408261855468E-2</v>
      </c>
      <c r="J57" s="160">
        <f t="shared" si="131"/>
        <v>4.8628063665657653E-2</v>
      </c>
      <c r="K57" s="160">
        <f t="shared" si="131"/>
        <v>5.1686069851465274E-2</v>
      </c>
      <c r="L57" s="160">
        <f t="shared" si="131"/>
        <v>5.4350968488002312E-2</v>
      </c>
      <c r="M57" s="160">
        <f t="shared" si="131"/>
        <v>5.2468265162200281E-2</v>
      </c>
      <c r="N57" s="160">
        <f t="shared" si="131"/>
        <v>5.5494805904866044E-2</v>
      </c>
      <c r="O57" s="160">
        <f t="shared" si="131"/>
        <v>5.5705734697818109E-2</v>
      </c>
      <c r="P57" s="160">
        <f t="shared" si="131"/>
        <v>5.7081313947226708E-2</v>
      </c>
      <c r="Q57" s="160">
        <f t="shared" si="131"/>
        <v>5.5853637083296687E-2</v>
      </c>
      <c r="R57" s="161"/>
      <c r="S57" s="162">
        <f t="shared" si="121"/>
        <v>4.8628063665657653E-2</v>
      </c>
      <c r="T57" s="162">
        <f t="shared" si="122"/>
        <v>5.1686069851465274E-2</v>
      </c>
      <c r="U57" s="162">
        <f t="shared" si="123"/>
        <v>5.4350968488002312E-2</v>
      </c>
      <c r="V57" s="162">
        <f t="shared" si="124"/>
        <v>5.2468265162200281E-2</v>
      </c>
      <c r="W57" s="162">
        <f t="shared" si="125"/>
        <v>5.5494805904866044E-2</v>
      </c>
      <c r="X57" s="162">
        <f t="shared" si="126"/>
        <v>5.5705734697818109E-2</v>
      </c>
      <c r="Y57" s="162">
        <f t="shared" si="127"/>
        <v>5.7081313947226708E-2</v>
      </c>
      <c r="Z57" s="163">
        <f t="shared" si="128"/>
        <v>5.5853637083296687E-2</v>
      </c>
    </row>
    <row r="58" spans="1:38">
      <c r="B58" s="159" t="str">
        <f t="shared" si="109"/>
        <v>Neuromodulation(%)</v>
      </c>
      <c r="C58" s="160">
        <f t="shared" si="110"/>
        <v>1.7639108423246969E-2</v>
      </c>
      <c r="D58" s="160">
        <f t="shared" si="110"/>
        <v>2.2189533521154853E-2</v>
      </c>
      <c r="E58" s="160">
        <f t="shared" si="110"/>
        <v>2.2932061978545887E-2</v>
      </c>
      <c r="F58" s="161"/>
      <c r="G58" s="160">
        <f t="shared" ref="G58:Q58" si="132">SUM(G49/G$14)</f>
        <v>2.0108751410690469E-2</v>
      </c>
      <c r="H58" s="160">
        <f t="shared" si="132"/>
        <v>2.2750050110242535E-2</v>
      </c>
      <c r="I58" s="160">
        <f t="shared" si="132"/>
        <v>2.237996647934536E-2</v>
      </c>
      <c r="J58" s="160">
        <f t="shared" si="132"/>
        <v>2.3435211405136217E-2</v>
      </c>
      <c r="K58" s="160">
        <f t="shared" si="132"/>
        <v>2.2681653954235246E-2</v>
      </c>
      <c r="L58" s="160">
        <f t="shared" si="132"/>
        <v>2.3417172593235037E-2</v>
      </c>
      <c r="M58" s="160">
        <f t="shared" si="132"/>
        <v>2.219087917254349E-2</v>
      </c>
      <c r="N58" s="160">
        <f t="shared" si="132"/>
        <v>2.3418990340805541E-2</v>
      </c>
      <c r="O58" s="160">
        <f t="shared" si="132"/>
        <v>2.2011971423054645E-2</v>
      </c>
      <c r="P58" s="160">
        <f t="shared" si="132"/>
        <v>2.27966253814396E-2</v>
      </c>
      <c r="Q58" s="160">
        <f t="shared" si="132"/>
        <v>2.2341454833318675E-2</v>
      </c>
      <c r="R58" s="161"/>
      <c r="S58" s="162">
        <f t="shared" si="121"/>
        <v>2.3435211405136217E-2</v>
      </c>
      <c r="T58" s="162">
        <f t="shared" si="122"/>
        <v>2.2681653954235246E-2</v>
      </c>
      <c r="U58" s="162">
        <f t="shared" si="123"/>
        <v>2.3417172593235037E-2</v>
      </c>
      <c r="V58" s="162">
        <f t="shared" si="124"/>
        <v>2.219087917254349E-2</v>
      </c>
      <c r="W58" s="162">
        <f t="shared" si="125"/>
        <v>2.3418990340805541E-2</v>
      </c>
      <c r="X58" s="162">
        <f t="shared" si="126"/>
        <v>2.2011971423054645E-2</v>
      </c>
      <c r="Y58" s="162">
        <f t="shared" si="127"/>
        <v>2.27966253814396E-2</v>
      </c>
      <c r="Z58" s="163">
        <f t="shared" si="128"/>
        <v>2.2341454833318675E-2</v>
      </c>
    </row>
    <row r="59" spans="1:38" ht="12.75" customHeight="1">
      <c r="B59" s="154" t="str">
        <f t="shared" si="109"/>
        <v>Diabetes Care(%)</v>
      </c>
      <c r="C59" s="155">
        <f t="shared" si="110"/>
        <v>0.10895012942982155</v>
      </c>
      <c r="D59" s="155">
        <f t="shared" si="110"/>
        <v>0.14363359844423945</v>
      </c>
      <c r="E59" s="155">
        <f t="shared" si="110"/>
        <v>0.16221692491060788</v>
      </c>
      <c r="F59" s="156"/>
      <c r="G59" s="155">
        <f t="shared" ref="G59:Q59" si="133">SUM(G50/G$14)</f>
        <v>0.1347081153175336</v>
      </c>
      <c r="H59" s="155">
        <f t="shared" si="133"/>
        <v>0.14271397073561837</v>
      </c>
      <c r="I59" s="155">
        <f t="shared" si="133"/>
        <v>0.14512471655328799</v>
      </c>
      <c r="J59" s="155">
        <f t="shared" si="133"/>
        <v>0.15154770041988086</v>
      </c>
      <c r="K59" s="155">
        <f t="shared" si="133"/>
        <v>0.15746688077077478</v>
      </c>
      <c r="L59" s="155">
        <f t="shared" si="133"/>
        <v>0.15881275898621952</v>
      </c>
      <c r="M59" s="155">
        <f t="shared" si="133"/>
        <v>0.16220028208744711</v>
      </c>
      <c r="N59" s="155">
        <f t="shared" si="133"/>
        <v>0.1697648988518316</v>
      </c>
      <c r="O59" s="155">
        <f t="shared" si="133"/>
        <v>0.17638540258737209</v>
      </c>
      <c r="P59" s="155">
        <f t="shared" si="133"/>
        <v>0.17779572787650333</v>
      </c>
      <c r="Q59" s="155">
        <f t="shared" si="133"/>
        <v>0.18093060075644296</v>
      </c>
      <c r="R59" s="156"/>
      <c r="S59" s="157">
        <f t="shared" si="121"/>
        <v>0.15154770041988086</v>
      </c>
      <c r="T59" s="157">
        <f t="shared" si="122"/>
        <v>0.15746688077077478</v>
      </c>
      <c r="U59" s="157">
        <f t="shared" si="123"/>
        <v>0.15881275898621952</v>
      </c>
      <c r="V59" s="157">
        <f t="shared" si="124"/>
        <v>0.16220028208744711</v>
      </c>
      <c r="W59" s="157">
        <f t="shared" si="125"/>
        <v>0.1697648988518316</v>
      </c>
      <c r="X59" s="157">
        <f t="shared" si="126"/>
        <v>0.17638540258737209</v>
      </c>
      <c r="Y59" s="157">
        <f t="shared" si="127"/>
        <v>0.17779572787650333</v>
      </c>
      <c r="Z59" s="158">
        <f t="shared" si="128"/>
        <v>0.18093060075644296</v>
      </c>
    </row>
    <row r="61" spans="1:38">
      <c r="A61" s="35" t="s">
        <v>15</v>
      </c>
      <c r="B61" s="1" t="s">
        <v>113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</row>
    <row r="63" spans="1:38" ht="12.75" customHeight="1">
      <c r="A63" s="78" t="s">
        <v>15</v>
      </c>
      <c r="B63" s="76" t="s">
        <v>124</v>
      </c>
      <c r="C63" s="10"/>
      <c r="D63" s="10"/>
      <c r="E63" s="10"/>
      <c r="F63" s="10"/>
      <c r="G63" s="93"/>
      <c r="H63" s="93"/>
      <c r="I63" s="93"/>
      <c r="J63" s="31"/>
      <c r="K63" s="93"/>
      <c r="L63" s="93"/>
      <c r="M63" s="93"/>
      <c r="N63" s="31"/>
      <c r="O63" s="93"/>
      <c r="P63" s="93"/>
      <c r="Q63" s="93"/>
      <c r="R63" s="5"/>
      <c r="S63" s="11"/>
      <c r="T63" s="11"/>
      <c r="U63" s="11"/>
      <c r="V63" s="11"/>
      <c r="W63" s="11"/>
      <c r="X63" s="11"/>
      <c r="Y63" s="11"/>
      <c r="Z63" s="11"/>
    </row>
    <row r="64" spans="1:38" ht="12.75" customHeight="1">
      <c r="A64" s="78"/>
      <c r="B64" s="9" t="s">
        <v>120</v>
      </c>
      <c r="C64" s="79">
        <v>17625</v>
      </c>
      <c r="D64" s="79">
        <v>15338</v>
      </c>
      <c r="E64" s="79">
        <v>16167</v>
      </c>
      <c r="F64" s="10"/>
      <c r="G64" s="93">
        <v>3928</v>
      </c>
      <c r="H64" s="93">
        <v>3758</v>
      </c>
      <c r="I64" s="93">
        <v>3817</v>
      </c>
      <c r="J64" s="31">
        <v>3835</v>
      </c>
      <c r="K64" s="93">
        <v>3846</v>
      </c>
      <c r="L64" s="93">
        <v>3944</v>
      </c>
      <c r="M64" s="93">
        <v>4202</v>
      </c>
      <c r="N64" s="31">
        <v>4175</v>
      </c>
      <c r="O64" s="80">
        <v>4168</v>
      </c>
      <c r="P64" s="80">
        <v>4276</v>
      </c>
      <c r="Q64" s="79">
        <v>4299</v>
      </c>
      <c r="R64" s="5"/>
      <c r="S64" s="31">
        <f t="shared" ref="S64:S65" si="134">SUM(G64:J64)</f>
        <v>15338</v>
      </c>
      <c r="T64" s="31">
        <f t="shared" ref="T64:T65" si="135">SUM(H64:K64)</f>
        <v>15256</v>
      </c>
      <c r="U64" s="31">
        <f t="shared" ref="U64:U65" si="136">SUM(I64:L64)</f>
        <v>15442</v>
      </c>
      <c r="V64" s="31">
        <f t="shared" ref="V64:V65" si="137">SUM(J64:M64)</f>
        <v>15827</v>
      </c>
      <c r="W64" s="31">
        <f t="shared" ref="W64:W65" si="138">SUM(K64:N64)</f>
        <v>16167</v>
      </c>
      <c r="X64" s="31">
        <f t="shared" ref="X64:X65" si="139">SUM(L64:O64)</f>
        <v>16489</v>
      </c>
      <c r="Y64" s="31">
        <f t="shared" ref="Y64:Y65" si="140">SUM(M64:P64)</f>
        <v>16821</v>
      </c>
      <c r="Z64" s="31">
        <f>SUM(N64:Q64)</f>
        <v>16918</v>
      </c>
    </row>
    <row r="65" spans="2:26">
      <c r="B65" s="9" t="s">
        <v>143</v>
      </c>
      <c r="C65" s="79">
        <v>25728</v>
      </c>
      <c r="D65" s="79">
        <v>24771</v>
      </c>
      <c r="E65" s="79">
        <v>25783</v>
      </c>
      <c r="F65" s="79"/>
      <c r="G65" s="93">
        <v>5819</v>
      </c>
      <c r="H65" s="93">
        <v>6220</v>
      </c>
      <c r="I65" s="93">
        <v>6326</v>
      </c>
      <c r="J65" s="31">
        <v>6406</v>
      </c>
      <c r="K65" s="93">
        <v>6118</v>
      </c>
      <c r="L65" s="93">
        <v>6433</v>
      </c>
      <c r="M65" s="93">
        <v>6433</v>
      </c>
      <c r="N65" s="31">
        <v>6799</v>
      </c>
      <c r="O65" s="80">
        <v>6190</v>
      </c>
      <c r="P65" s="80">
        <v>6866</v>
      </c>
      <c r="Q65" s="79">
        <v>7070</v>
      </c>
      <c r="R65" s="5"/>
      <c r="S65" s="31">
        <f t="shared" si="134"/>
        <v>24771</v>
      </c>
      <c r="T65" s="31">
        <f t="shared" si="135"/>
        <v>25070</v>
      </c>
      <c r="U65" s="31">
        <f t="shared" si="136"/>
        <v>25283</v>
      </c>
      <c r="V65" s="31">
        <f t="shared" si="137"/>
        <v>25390</v>
      </c>
      <c r="W65" s="31">
        <f t="shared" si="138"/>
        <v>25783</v>
      </c>
      <c r="X65" s="31">
        <f t="shared" si="139"/>
        <v>25855</v>
      </c>
      <c r="Y65" s="31">
        <f t="shared" si="140"/>
        <v>26288</v>
      </c>
      <c r="Z65" s="31">
        <f>SUM(N65:Q65)</f>
        <v>26925</v>
      </c>
    </row>
    <row r="66" spans="2:26">
      <c r="B66" s="13" t="s">
        <v>144</v>
      </c>
      <c r="C66" s="14">
        <f>SUM(C64:C65)</f>
        <v>43353</v>
      </c>
      <c r="D66" s="14">
        <f>SUM(D64:D65)</f>
        <v>40109</v>
      </c>
      <c r="E66" s="14">
        <f>SUM(E64:E65)</f>
        <v>41950</v>
      </c>
      <c r="F66" s="11"/>
      <c r="G66" s="14">
        <f t="shared" ref="G66:Q66" si="141">SUM(G64:G65)</f>
        <v>9747</v>
      </c>
      <c r="H66" s="14">
        <f t="shared" si="141"/>
        <v>9978</v>
      </c>
      <c r="I66" s="14">
        <f t="shared" si="141"/>
        <v>10143</v>
      </c>
      <c r="J66" s="14">
        <f t="shared" si="141"/>
        <v>10241</v>
      </c>
      <c r="K66" s="14">
        <f t="shared" si="141"/>
        <v>9964</v>
      </c>
      <c r="L66" s="14">
        <f t="shared" si="141"/>
        <v>10377</v>
      </c>
      <c r="M66" s="14">
        <f t="shared" si="141"/>
        <v>10635</v>
      </c>
      <c r="N66" s="14">
        <f t="shared" si="141"/>
        <v>10974</v>
      </c>
      <c r="O66" s="14">
        <f t="shared" si="141"/>
        <v>10358</v>
      </c>
      <c r="P66" s="14">
        <f t="shared" si="141"/>
        <v>11142</v>
      </c>
      <c r="Q66" s="14">
        <f t="shared" si="141"/>
        <v>11369</v>
      </c>
      <c r="R66" s="5"/>
      <c r="S66" s="14">
        <f t="shared" ref="S66:Z66" si="142">SUM(S64:S65)</f>
        <v>40109</v>
      </c>
      <c r="T66" s="14">
        <f t="shared" si="142"/>
        <v>40326</v>
      </c>
      <c r="U66" s="14">
        <f t="shared" si="142"/>
        <v>40725</v>
      </c>
      <c r="V66" s="14">
        <f t="shared" si="142"/>
        <v>41217</v>
      </c>
      <c r="W66" s="14">
        <f t="shared" si="142"/>
        <v>41950</v>
      </c>
      <c r="X66" s="14">
        <f t="shared" si="142"/>
        <v>42344</v>
      </c>
      <c r="Y66" s="14">
        <f t="shared" si="142"/>
        <v>43109</v>
      </c>
      <c r="Z66" s="14">
        <f t="shared" si="142"/>
        <v>43843</v>
      </c>
    </row>
    <row r="67" spans="2:26">
      <c r="B67" s="18"/>
      <c r="C67" s="19"/>
      <c r="D67" s="19"/>
      <c r="E67" s="19"/>
      <c r="F67" s="20"/>
      <c r="G67" s="21"/>
      <c r="H67" s="21"/>
      <c r="I67" s="21"/>
      <c r="J67" s="22"/>
      <c r="K67" s="21"/>
      <c r="L67" s="21"/>
      <c r="M67" s="21"/>
      <c r="N67" s="21"/>
      <c r="O67" s="21"/>
      <c r="P67" s="21"/>
      <c r="Q67" s="21"/>
      <c r="R67" s="20"/>
      <c r="S67" s="20"/>
      <c r="T67" s="20"/>
      <c r="U67" s="20"/>
      <c r="V67" s="20"/>
      <c r="W67" s="20"/>
      <c r="X67" s="20"/>
      <c r="Y67" s="20"/>
      <c r="Z67" s="20"/>
    </row>
    <row r="68" spans="2:26">
      <c r="B68" s="149" t="str">
        <f>B64&amp;"(%)"</f>
        <v>U.S. Revenues(%)</v>
      </c>
      <c r="C68" s="150">
        <f t="shared" ref="C68:E69" si="143">SUM(C64/C$14)</f>
        <v>0.40375231942821799</v>
      </c>
      <c r="D68" s="150">
        <f t="shared" si="143"/>
        <v>0.38240793836794734</v>
      </c>
      <c r="E68" s="150">
        <f t="shared" si="143"/>
        <v>0.38538736591179978</v>
      </c>
      <c r="F68" s="151"/>
      <c r="G68" s="150">
        <f t="shared" ref="G68:Q68" si="144">SUM(G64/G$14)</f>
        <v>0.40299579357751103</v>
      </c>
      <c r="H68" s="150">
        <f t="shared" si="144"/>
        <v>0.37662858288234113</v>
      </c>
      <c r="I68" s="150">
        <f t="shared" si="144"/>
        <v>0.37631864339938875</v>
      </c>
      <c r="J68" s="150">
        <f t="shared" si="144"/>
        <v>0.37447514891123912</v>
      </c>
      <c r="K68" s="150">
        <f t="shared" si="144"/>
        <v>0.38598956242472904</v>
      </c>
      <c r="L68" s="150">
        <f t="shared" si="144"/>
        <v>0.38007131155439916</v>
      </c>
      <c r="M68" s="150">
        <f t="shared" si="144"/>
        <v>0.39511048425011752</v>
      </c>
      <c r="N68" s="150">
        <f t="shared" si="144"/>
        <v>0.38044468744304721</v>
      </c>
      <c r="O68" s="150">
        <f t="shared" si="144"/>
        <v>0.40239428461092874</v>
      </c>
      <c r="P68" s="150">
        <f t="shared" si="144"/>
        <v>0.38377311075210913</v>
      </c>
      <c r="Q68" s="150">
        <f t="shared" si="144"/>
        <v>0.37813352097809833</v>
      </c>
      <c r="R68" s="151"/>
      <c r="S68" s="152">
        <f t="shared" ref="S68:S69" si="145">J68</f>
        <v>0.37447514891123912</v>
      </c>
      <c r="T68" s="152">
        <f t="shared" ref="T68:T69" si="146">K68</f>
        <v>0.38598956242472904</v>
      </c>
      <c r="U68" s="152">
        <f t="shared" ref="U68:U69" si="147">L68</f>
        <v>0.38007131155439916</v>
      </c>
      <c r="V68" s="152">
        <f t="shared" ref="V68:V69" si="148">M68</f>
        <v>0.39511048425011752</v>
      </c>
      <c r="W68" s="152">
        <f t="shared" ref="W68:W69" si="149">N68</f>
        <v>0.38044468744304721</v>
      </c>
      <c r="X68" s="152">
        <f t="shared" ref="X68:X69" si="150">O68</f>
        <v>0.40239428461092874</v>
      </c>
      <c r="Y68" s="152">
        <f t="shared" ref="Y68:Y69" si="151">P68</f>
        <v>0.38377311075210913</v>
      </c>
      <c r="Z68" s="153">
        <f t="shared" ref="Z68:Z69" si="152">Q68</f>
        <v>0.37813352097809833</v>
      </c>
    </row>
    <row r="69" spans="2:26" ht="12.75" customHeight="1">
      <c r="B69" s="154" t="str">
        <f>B65&amp;"(%)"</f>
        <v>Internation Revenues(%)</v>
      </c>
      <c r="C69" s="155">
        <f t="shared" si="143"/>
        <v>0.5893753006666208</v>
      </c>
      <c r="D69" s="155">
        <f t="shared" si="143"/>
        <v>0.6175920616320526</v>
      </c>
      <c r="E69" s="155">
        <f t="shared" si="143"/>
        <v>0.61461263408820022</v>
      </c>
      <c r="F69" s="156"/>
      <c r="G69" s="155">
        <f t="shared" ref="G69:Q69" si="153">SUM(G65/G$14)</f>
        <v>0.59700420642248897</v>
      </c>
      <c r="H69" s="155">
        <f t="shared" si="153"/>
        <v>0.62337141711765887</v>
      </c>
      <c r="I69" s="155">
        <f t="shared" si="153"/>
        <v>0.6236813566006113</v>
      </c>
      <c r="J69" s="155">
        <f t="shared" si="153"/>
        <v>0.62552485108876088</v>
      </c>
      <c r="K69" s="155">
        <f t="shared" si="153"/>
        <v>0.61401043757527096</v>
      </c>
      <c r="L69" s="155">
        <f t="shared" si="153"/>
        <v>0.6199286884456009</v>
      </c>
      <c r="M69" s="155">
        <f t="shared" si="153"/>
        <v>0.60488951574988248</v>
      </c>
      <c r="N69" s="155">
        <f t="shared" si="153"/>
        <v>0.61955531255695284</v>
      </c>
      <c r="O69" s="155">
        <f t="shared" si="153"/>
        <v>0.59760571538907126</v>
      </c>
      <c r="P69" s="155">
        <f t="shared" si="153"/>
        <v>0.61622688924789082</v>
      </c>
      <c r="Q69" s="155">
        <f t="shared" si="153"/>
        <v>0.62186647902190162</v>
      </c>
      <c r="R69" s="156"/>
      <c r="S69" s="157">
        <f t="shared" si="145"/>
        <v>0.62552485108876088</v>
      </c>
      <c r="T69" s="157">
        <f t="shared" si="146"/>
        <v>0.61401043757527096</v>
      </c>
      <c r="U69" s="157">
        <f t="shared" si="147"/>
        <v>0.6199286884456009</v>
      </c>
      <c r="V69" s="157">
        <f t="shared" si="148"/>
        <v>0.60488951574988248</v>
      </c>
      <c r="W69" s="157">
        <f t="shared" si="149"/>
        <v>0.61955531255695284</v>
      </c>
      <c r="X69" s="157">
        <f t="shared" si="150"/>
        <v>0.59760571538907126</v>
      </c>
      <c r="Y69" s="157">
        <f t="shared" si="151"/>
        <v>0.61622688924789082</v>
      </c>
      <c r="Z69" s="158">
        <f t="shared" si="152"/>
        <v>0.62186647902190162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B82"/>
  <sheetViews>
    <sheetView showGridLines="0" tabSelected="1" zoomScale="115" zoomScaleNormal="115" workbookViewId="0">
      <selection activeCell="Z44" sqref="Z44"/>
    </sheetView>
  </sheetViews>
  <sheetFormatPr defaultRowHeight="12" outlineLevelRow="1" outlineLevelCol="1"/>
  <cols>
    <col min="1" max="1" width="1.5" style="8" customWidth="1"/>
    <col min="2" max="2" width="41.625" style="8" customWidth="1"/>
    <col min="3" max="3" width="9" style="8" bestFit="1" customWidth="1"/>
    <col min="4" max="4" width="9.25" style="8" bestFit="1" customWidth="1"/>
    <col min="5" max="5" width="9" style="8"/>
    <col min="6" max="6" width="1.5" style="8" customWidth="1"/>
    <col min="7" max="8" width="8" style="8" hidden="1" customWidth="1" outlineLevel="1"/>
    <col min="9" max="12" width="8.875" style="8" hidden="1" customWidth="1" outlineLevel="1"/>
    <col min="13" max="13" width="8.875" style="8" bestFit="1" customWidth="1" collapsed="1"/>
    <col min="14" max="17" width="8.875" style="8" bestFit="1" customWidth="1"/>
    <col min="18" max="18" width="1.625" style="8" customWidth="1"/>
    <col min="19" max="19" width="9.25" style="8" hidden="1" customWidth="1" outlineLevel="1"/>
    <col min="20" max="20" width="9.75" style="8" hidden="1" customWidth="1" outlineLevel="1"/>
    <col min="21" max="21" width="9" style="8" hidden="1" customWidth="1" outlineLevel="1"/>
    <col min="22" max="22" width="9" style="8" customWidth="1" collapsed="1"/>
    <col min="23" max="24" width="9" style="8" hidden="1" customWidth="1" outlineLevel="1"/>
    <col min="25" max="25" width="8.5" style="8" hidden="1" customWidth="1" outlineLevel="1"/>
    <col min="26" max="26" width="8.5" style="8" bestFit="1" customWidth="1" collapsed="1"/>
    <col min="27" max="27" width="1.5" style="8" customWidth="1"/>
    <col min="28" max="28" width="9.375" style="127" bestFit="1" customWidth="1"/>
    <col min="29" max="16384" width="9" style="8"/>
  </cols>
  <sheetData>
    <row r="2" spans="2:28" s="5" customFormat="1" ht="12.75" customHeight="1">
      <c r="B2" s="1" t="str">
        <f>'Historical Financials'!B2</f>
        <v>Abbott Laboratories Inc (NYSE: ABT)</v>
      </c>
      <c r="C2" s="2" t="s">
        <v>0</v>
      </c>
      <c r="D2" s="2"/>
      <c r="E2" s="2"/>
      <c r="F2" s="3"/>
      <c r="G2" s="2" t="s">
        <v>1</v>
      </c>
      <c r="H2" s="2"/>
      <c r="I2" s="2"/>
      <c r="J2" s="2"/>
      <c r="K2" s="2"/>
      <c r="L2" s="2"/>
      <c r="M2" s="2" t="s">
        <v>1</v>
      </c>
      <c r="N2" s="2"/>
      <c r="O2" s="2"/>
      <c r="P2" s="2"/>
      <c r="Q2" s="2"/>
      <c r="R2" s="3"/>
      <c r="S2" s="2"/>
      <c r="T2" s="2"/>
      <c r="U2" s="2" t="s">
        <v>10</v>
      </c>
      <c r="V2" s="2" t="s">
        <v>10</v>
      </c>
      <c r="W2" s="2"/>
      <c r="X2" s="2"/>
      <c r="Y2" s="2"/>
      <c r="Z2" s="2"/>
      <c r="AA2" s="3"/>
      <c r="AB2" s="168" t="s">
        <v>21</v>
      </c>
    </row>
    <row r="3" spans="2:28" s="5" customFormat="1" ht="12.75" customHeight="1">
      <c r="B3" s="6" t="s">
        <v>22</v>
      </c>
      <c r="C3" s="7">
        <f>'Historical Financials'!C7</f>
        <v>2022</v>
      </c>
      <c r="D3" s="7">
        <f>'Historical Financials'!D7</f>
        <v>2023</v>
      </c>
      <c r="E3" s="7">
        <f>'Historical Financials'!E7</f>
        <v>2024</v>
      </c>
      <c r="F3" s="3"/>
      <c r="G3" s="7" t="str">
        <f>'Historical Financials'!G7</f>
        <v>1Q23</v>
      </c>
      <c r="H3" s="7" t="str">
        <f>'Historical Financials'!H7</f>
        <v>2Q23</v>
      </c>
      <c r="I3" s="7" t="str">
        <f>'Historical Financials'!I7</f>
        <v>3Q23</v>
      </c>
      <c r="J3" s="7" t="str">
        <f>'Historical Financials'!J7</f>
        <v>4Q23</v>
      </c>
      <c r="K3" s="7" t="str">
        <f>'Historical Financials'!K7</f>
        <v>1Q24</v>
      </c>
      <c r="L3" s="7" t="str">
        <f>'Historical Financials'!L7</f>
        <v>2Q24</v>
      </c>
      <c r="M3" s="7" t="str">
        <f>'Historical Financials'!M7</f>
        <v>3Q24</v>
      </c>
      <c r="N3" s="7" t="str">
        <f>'Historical Financials'!N7</f>
        <v>4Q24</v>
      </c>
      <c r="O3" s="7" t="str">
        <f>'Historical Financials'!O7</f>
        <v>1Q25</v>
      </c>
      <c r="P3" s="7" t="str">
        <f>'Historical Financials'!P7</f>
        <v>2Q25</v>
      </c>
      <c r="Q3" s="7" t="str">
        <f>'Historical Financials'!Q7</f>
        <v>3Q25</v>
      </c>
      <c r="R3" s="3"/>
      <c r="S3" s="4" t="str">
        <f t="shared" ref="S3:Z4" si="0">J3</f>
        <v>4Q23</v>
      </c>
      <c r="T3" s="4" t="str">
        <f t="shared" si="0"/>
        <v>1Q24</v>
      </c>
      <c r="U3" s="4" t="str">
        <f t="shared" si="0"/>
        <v>2Q24</v>
      </c>
      <c r="V3" s="4" t="str">
        <f t="shared" si="0"/>
        <v>3Q24</v>
      </c>
      <c r="W3" s="4" t="str">
        <f t="shared" si="0"/>
        <v>4Q24</v>
      </c>
      <c r="X3" s="4" t="str">
        <f t="shared" si="0"/>
        <v>1Q25</v>
      </c>
      <c r="Y3" s="4" t="str">
        <f t="shared" si="0"/>
        <v>2Q25</v>
      </c>
      <c r="Z3" s="4" t="str">
        <f t="shared" si="0"/>
        <v>3Q25</v>
      </c>
      <c r="AA3" s="3"/>
      <c r="AB3" s="168"/>
    </row>
    <row r="4" spans="2:28" s="5" customFormat="1" ht="12.75" customHeight="1">
      <c r="B4" s="6" t="s">
        <v>112</v>
      </c>
      <c r="C4" s="3">
        <f>'Historical Financials'!C8</f>
        <v>44926</v>
      </c>
      <c r="D4" s="3">
        <f>'Historical Financials'!D8</f>
        <v>45291</v>
      </c>
      <c r="E4" s="3">
        <f>'Historical Financials'!E8</f>
        <v>45657</v>
      </c>
      <c r="F4" s="3"/>
      <c r="G4" s="3">
        <f>'Historical Financials'!G8</f>
        <v>45016</v>
      </c>
      <c r="H4" s="3">
        <f>'Historical Financials'!H8</f>
        <v>45107</v>
      </c>
      <c r="I4" s="3">
        <f>'Historical Financials'!I8</f>
        <v>45199</v>
      </c>
      <c r="J4" s="3">
        <f>'Historical Financials'!J8</f>
        <v>45291</v>
      </c>
      <c r="K4" s="3">
        <f>'Historical Financials'!K8</f>
        <v>45382</v>
      </c>
      <c r="L4" s="3">
        <f>'Historical Financials'!L8</f>
        <v>45473</v>
      </c>
      <c r="M4" s="3">
        <f>'Historical Financials'!M8</f>
        <v>45565</v>
      </c>
      <c r="N4" s="3">
        <f>'Historical Financials'!N8</f>
        <v>45657</v>
      </c>
      <c r="O4" s="3">
        <f>'Historical Financials'!O8</f>
        <v>45747</v>
      </c>
      <c r="P4" s="3">
        <f>'Historical Financials'!P8</f>
        <v>45838</v>
      </c>
      <c r="Q4" s="3">
        <f>'Historical Financials'!Q8</f>
        <v>45930</v>
      </c>
      <c r="R4" s="3"/>
      <c r="S4" s="3">
        <f t="shared" si="0"/>
        <v>45291</v>
      </c>
      <c r="T4" s="3">
        <f t="shared" si="0"/>
        <v>45382</v>
      </c>
      <c r="U4" s="3">
        <f t="shared" si="0"/>
        <v>45473</v>
      </c>
      <c r="V4" s="3">
        <f t="shared" si="0"/>
        <v>45565</v>
      </c>
      <c r="W4" s="3">
        <f t="shared" si="0"/>
        <v>45657</v>
      </c>
      <c r="X4" s="3">
        <f t="shared" si="0"/>
        <v>45747</v>
      </c>
      <c r="Y4" s="3">
        <f t="shared" si="0"/>
        <v>45838</v>
      </c>
      <c r="Z4" s="3">
        <f t="shared" si="0"/>
        <v>45930</v>
      </c>
      <c r="AA4" s="3"/>
      <c r="AB4" s="168"/>
    </row>
    <row r="5" spans="2:28" ht="5.0999999999999996" customHeight="1">
      <c r="AB5" s="123"/>
    </row>
    <row r="6" spans="2:28" ht="12.75" customHeight="1">
      <c r="B6" s="9" t="str">
        <f>'Revenue Drivers'!B9</f>
        <v>Established Pharma Product Revenues</v>
      </c>
      <c r="C6" s="92">
        <f>'Revenue Drivers'!C9</f>
        <v>4912</v>
      </c>
      <c r="D6" s="92">
        <f>'Revenue Drivers'!D9</f>
        <v>5066</v>
      </c>
      <c r="E6" s="92">
        <f>'Revenue Drivers'!E9</f>
        <v>5194</v>
      </c>
      <c r="F6" s="10"/>
      <c r="G6" s="92">
        <f>'Revenue Drivers'!G9</f>
        <v>1189</v>
      </c>
      <c r="H6" s="92">
        <f>'Revenue Drivers'!H9</f>
        <v>1287</v>
      </c>
      <c r="I6" s="92">
        <f>'Revenue Drivers'!I9</f>
        <v>1368</v>
      </c>
      <c r="J6" s="92">
        <f>'Revenue Drivers'!J9</f>
        <v>1222</v>
      </c>
      <c r="K6" s="92">
        <f>'Revenue Drivers'!K9</f>
        <v>1226</v>
      </c>
      <c r="L6" s="92">
        <f>'Revenue Drivers'!L9</f>
        <v>1294</v>
      </c>
      <c r="M6" s="92">
        <f>'Revenue Drivers'!M9</f>
        <v>1406</v>
      </c>
      <c r="N6" s="92">
        <f>'Revenue Drivers'!N9</f>
        <v>1268</v>
      </c>
      <c r="O6" s="92">
        <f>'Revenue Drivers'!O9</f>
        <v>1260</v>
      </c>
      <c r="P6" s="92">
        <f>'Revenue Drivers'!P9</f>
        <v>1383</v>
      </c>
      <c r="Q6" s="92">
        <f>'Revenue Drivers'!Q9</f>
        <v>1511</v>
      </c>
      <c r="R6" s="5"/>
      <c r="S6" s="140">
        <f t="shared" ref="S6:Y6" si="1">SUM(G6:J6)</f>
        <v>5066</v>
      </c>
      <c r="T6" s="140">
        <f t="shared" si="1"/>
        <v>5103</v>
      </c>
      <c r="U6" s="140">
        <f t="shared" si="1"/>
        <v>5110</v>
      </c>
      <c r="V6" s="140">
        <f t="shared" si="1"/>
        <v>5148</v>
      </c>
      <c r="W6" s="140">
        <f t="shared" si="1"/>
        <v>5194</v>
      </c>
      <c r="X6" s="140">
        <f t="shared" si="1"/>
        <v>5228</v>
      </c>
      <c r="Y6" s="140">
        <f t="shared" si="1"/>
        <v>5317</v>
      </c>
      <c r="Z6" s="140">
        <f>SUM(N6:Q6)</f>
        <v>5422</v>
      </c>
      <c r="AB6" s="124">
        <f t="shared" ref="AB6:AB11" si="2">SUM(Z6/V6)-1</f>
        <v>5.3224553224553217E-2</v>
      </c>
    </row>
    <row r="7" spans="2:28" ht="12.75" customHeight="1">
      <c r="B7" s="9" t="str">
        <f>'Revenue Drivers'!B10</f>
        <v>Nutritionals Revenues</v>
      </c>
      <c r="C7" s="92">
        <f>'Revenue Drivers'!C10</f>
        <v>7459</v>
      </c>
      <c r="D7" s="92">
        <f>'Revenue Drivers'!D10</f>
        <v>8154</v>
      </c>
      <c r="E7" s="92">
        <f>'Revenue Drivers'!E10</f>
        <v>8413</v>
      </c>
      <c r="F7" s="10"/>
      <c r="G7" s="92">
        <f>'Revenue Drivers'!G10</f>
        <v>1967</v>
      </c>
      <c r="H7" s="92">
        <f>'Revenue Drivers'!H10</f>
        <v>2076</v>
      </c>
      <c r="I7" s="92">
        <f>'Revenue Drivers'!I10</f>
        <v>2073</v>
      </c>
      <c r="J7" s="92">
        <f>'Revenue Drivers'!J10</f>
        <v>2038</v>
      </c>
      <c r="K7" s="92">
        <f>'Revenue Drivers'!K10</f>
        <v>2068</v>
      </c>
      <c r="L7" s="92">
        <f>'Revenue Drivers'!L10</f>
        <v>2150</v>
      </c>
      <c r="M7" s="92">
        <f>'Revenue Drivers'!M10</f>
        <v>2066</v>
      </c>
      <c r="N7" s="92">
        <f>'Revenue Drivers'!N10</f>
        <v>2129</v>
      </c>
      <c r="O7" s="92">
        <f>'Revenue Drivers'!O10</f>
        <v>2146</v>
      </c>
      <c r="P7" s="92">
        <f>'Revenue Drivers'!P10</f>
        <v>2212</v>
      </c>
      <c r="Q7" s="92">
        <f>'Revenue Drivers'!Q10</f>
        <v>2153</v>
      </c>
      <c r="R7" s="5"/>
      <c r="S7" s="140">
        <f t="shared" ref="S7:S10" si="3">SUM(G7:J7)</f>
        <v>8154</v>
      </c>
      <c r="T7" s="140">
        <f t="shared" ref="T7:T10" si="4">SUM(H7:K7)</f>
        <v>8255</v>
      </c>
      <c r="U7" s="140">
        <f t="shared" ref="U7:U10" si="5">SUM(I7:L7)</f>
        <v>8329</v>
      </c>
      <c r="V7" s="140">
        <f t="shared" ref="V7:V10" si="6">SUM(J7:M7)</f>
        <v>8322</v>
      </c>
      <c r="W7" s="140">
        <f t="shared" ref="W7:W10" si="7">SUM(K7:N7)</f>
        <v>8413</v>
      </c>
      <c r="X7" s="140">
        <f t="shared" ref="X7:X10" si="8">SUM(L7:O7)</f>
        <v>8491</v>
      </c>
      <c r="Y7" s="140">
        <f t="shared" ref="Y7:Y10" si="9">SUM(M7:P7)</f>
        <v>8553</v>
      </c>
      <c r="Z7" s="140">
        <f t="shared" ref="Z7:Z10" si="10">SUM(N7:Q7)</f>
        <v>8640</v>
      </c>
      <c r="AB7" s="124">
        <f t="shared" ref="AB7:AB10" si="11">SUM(Z7/V7)-1</f>
        <v>3.8211968276856467E-2</v>
      </c>
    </row>
    <row r="8" spans="2:28" ht="12.75" customHeight="1">
      <c r="B8" s="9" t="str">
        <f>'Revenue Drivers'!B11</f>
        <v>Diagnostics Revenues</v>
      </c>
      <c r="C8" s="92">
        <f>'Revenue Drivers'!C11</f>
        <v>16469</v>
      </c>
      <c r="D8" s="92">
        <f>'Revenue Drivers'!D11</f>
        <v>9988</v>
      </c>
      <c r="E8" s="92">
        <f>'Revenue Drivers'!E11</f>
        <v>9341</v>
      </c>
      <c r="F8" s="10"/>
      <c r="G8" s="92">
        <f>'Revenue Drivers'!G11</f>
        <v>2688</v>
      </c>
      <c r="H8" s="92">
        <f>'Revenue Drivers'!H11</f>
        <v>2317</v>
      </c>
      <c r="I8" s="92">
        <f>'Revenue Drivers'!I11</f>
        <v>2449</v>
      </c>
      <c r="J8" s="92">
        <f>'Revenue Drivers'!J11</f>
        <v>2534</v>
      </c>
      <c r="K8" s="92">
        <f>'Revenue Drivers'!K11</f>
        <v>2214</v>
      </c>
      <c r="L8" s="92">
        <f>'Revenue Drivers'!L11</f>
        <v>2195</v>
      </c>
      <c r="M8" s="92">
        <f>'Revenue Drivers'!M11</f>
        <v>2412</v>
      </c>
      <c r="N8" s="92">
        <f>'Revenue Drivers'!N11</f>
        <v>2520</v>
      </c>
      <c r="O8" s="92">
        <f>'Revenue Drivers'!O11</f>
        <v>2054</v>
      </c>
      <c r="P8" s="92">
        <f>'Revenue Drivers'!P11</f>
        <v>2173</v>
      </c>
      <c r="Q8" s="92">
        <f>'Revenue Drivers'!Q11</f>
        <v>2253</v>
      </c>
      <c r="R8" s="5"/>
      <c r="S8" s="140">
        <f t="shared" si="3"/>
        <v>9988</v>
      </c>
      <c r="T8" s="140">
        <f t="shared" si="4"/>
        <v>9514</v>
      </c>
      <c r="U8" s="140">
        <f t="shared" si="5"/>
        <v>9392</v>
      </c>
      <c r="V8" s="140">
        <f t="shared" si="6"/>
        <v>9355</v>
      </c>
      <c r="W8" s="140">
        <f t="shared" si="7"/>
        <v>9341</v>
      </c>
      <c r="X8" s="140">
        <f t="shared" si="8"/>
        <v>9181</v>
      </c>
      <c r="Y8" s="140">
        <f t="shared" si="9"/>
        <v>9159</v>
      </c>
      <c r="Z8" s="140">
        <f t="shared" si="10"/>
        <v>9000</v>
      </c>
      <c r="AB8" s="124">
        <f t="shared" si="11"/>
        <v>-3.7947621592731129E-2</v>
      </c>
    </row>
    <row r="9" spans="2:28" ht="12.75" customHeight="1">
      <c r="B9" s="9" t="str">
        <f>'Revenue Drivers'!B12</f>
        <v>Med Device Revenues</v>
      </c>
      <c r="C9" s="92">
        <f>'Revenue Drivers'!C12</f>
        <v>14802</v>
      </c>
      <c r="D9" s="92">
        <f>'Revenue Drivers'!D12</f>
        <v>16887</v>
      </c>
      <c r="E9" s="92">
        <f>'Revenue Drivers'!E12</f>
        <v>18986</v>
      </c>
      <c r="F9" s="10"/>
      <c r="G9" s="92">
        <f>'Revenue Drivers'!G12</f>
        <v>3900</v>
      </c>
      <c r="H9" s="92">
        <f>'Revenue Drivers'!H12</f>
        <v>4295</v>
      </c>
      <c r="I9" s="92">
        <f>'Revenue Drivers'!I12</f>
        <v>4249</v>
      </c>
      <c r="J9" s="92">
        <f>'Revenue Drivers'!J12</f>
        <v>4443</v>
      </c>
      <c r="K9" s="92">
        <f>'Revenue Drivers'!K12</f>
        <v>4453</v>
      </c>
      <c r="L9" s="92">
        <f>'Revenue Drivers'!L12</f>
        <v>4734</v>
      </c>
      <c r="M9" s="92">
        <f>'Revenue Drivers'!M12</f>
        <v>4747</v>
      </c>
      <c r="N9" s="92">
        <f>'Revenue Drivers'!N12</f>
        <v>5052</v>
      </c>
      <c r="O9" s="92">
        <f>'Revenue Drivers'!O12</f>
        <v>4895</v>
      </c>
      <c r="P9" s="92">
        <f>'Revenue Drivers'!P12</f>
        <v>5369</v>
      </c>
      <c r="Q9" s="92">
        <f>'Revenue Drivers'!Q12</f>
        <v>5448</v>
      </c>
      <c r="R9" s="5"/>
      <c r="S9" s="140">
        <f t="shared" si="3"/>
        <v>16887</v>
      </c>
      <c r="T9" s="140">
        <f t="shared" si="4"/>
        <v>17440</v>
      </c>
      <c r="U9" s="140">
        <f t="shared" si="5"/>
        <v>17879</v>
      </c>
      <c r="V9" s="140">
        <f t="shared" si="6"/>
        <v>18377</v>
      </c>
      <c r="W9" s="140">
        <f t="shared" si="7"/>
        <v>18986</v>
      </c>
      <c r="X9" s="140">
        <f t="shared" si="8"/>
        <v>19428</v>
      </c>
      <c r="Y9" s="140">
        <f t="shared" si="9"/>
        <v>20063</v>
      </c>
      <c r="Z9" s="140">
        <f t="shared" si="10"/>
        <v>20764</v>
      </c>
      <c r="AB9" s="124">
        <f t="shared" si="11"/>
        <v>0.12989062414975239</v>
      </c>
    </row>
    <row r="10" spans="2:28" ht="12.75" customHeight="1">
      <c r="B10" s="9" t="str">
        <f>'Revenue Drivers'!B13</f>
        <v>Other Revenues</v>
      </c>
      <c r="C10" s="92">
        <f>'Revenue Drivers'!C13</f>
        <v>11</v>
      </c>
      <c r="D10" s="92">
        <f>'Revenue Drivers'!D13</f>
        <v>14</v>
      </c>
      <c r="E10" s="92">
        <f>'Revenue Drivers'!E13</f>
        <v>16</v>
      </c>
      <c r="F10" s="10"/>
      <c r="G10" s="92">
        <f>'Revenue Drivers'!G13</f>
        <v>3</v>
      </c>
      <c r="H10" s="92">
        <f>'Revenue Drivers'!H13</f>
        <v>3</v>
      </c>
      <c r="I10" s="92">
        <f>'Revenue Drivers'!I13</f>
        <v>4</v>
      </c>
      <c r="J10" s="92">
        <f>'Revenue Drivers'!J13</f>
        <v>4</v>
      </c>
      <c r="K10" s="92">
        <f>'Revenue Drivers'!K13</f>
        <v>3</v>
      </c>
      <c r="L10" s="92">
        <f>'Revenue Drivers'!L13</f>
        <v>4</v>
      </c>
      <c r="M10" s="92">
        <f>'Revenue Drivers'!M13</f>
        <v>4</v>
      </c>
      <c r="N10" s="92">
        <f>'Revenue Drivers'!N13</f>
        <v>5</v>
      </c>
      <c r="O10" s="92">
        <f>'Revenue Drivers'!O13</f>
        <v>3</v>
      </c>
      <c r="P10" s="92">
        <f>'Revenue Drivers'!P13</f>
        <v>5</v>
      </c>
      <c r="Q10" s="92">
        <f>'Revenue Drivers'!Q13</f>
        <v>4</v>
      </c>
      <c r="R10" s="5"/>
      <c r="S10" s="140">
        <f t="shared" si="3"/>
        <v>14</v>
      </c>
      <c r="T10" s="140">
        <f t="shared" si="4"/>
        <v>14</v>
      </c>
      <c r="U10" s="140">
        <f t="shared" si="5"/>
        <v>15</v>
      </c>
      <c r="V10" s="140">
        <f t="shared" si="6"/>
        <v>15</v>
      </c>
      <c r="W10" s="140">
        <f t="shared" si="7"/>
        <v>16</v>
      </c>
      <c r="X10" s="140">
        <f t="shared" si="8"/>
        <v>16</v>
      </c>
      <c r="Y10" s="140">
        <f t="shared" si="9"/>
        <v>17</v>
      </c>
      <c r="Z10" s="140">
        <f t="shared" si="10"/>
        <v>17</v>
      </c>
      <c r="AB10" s="124">
        <f t="shared" si="11"/>
        <v>0.1333333333333333</v>
      </c>
    </row>
    <row r="11" spans="2:28" ht="12.75" customHeight="1">
      <c r="B11" s="13" t="s">
        <v>12</v>
      </c>
      <c r="C11" s="14">
        <f>SUM(C6:C10)</f>
        <v>43653</v>
      </c>
      <c r="D11" s="14">
        <f>SUM(D6:D10)</f>
        <v>40109</v>
      </c>
      <c r="E11" s="14">
        <f>SUM(E6:E10)</f>
        <v>41950</v>
      </c>
      <c r="F11" s="10"/>
      <c r="G11" s="14">
        <f>SUM(G6:G10)</f>
        <v>9747</v>
      </c>
      <c r="H11" s="14">
        <f>SUM(H6:H10)</f>
        <v>9978</v>
      </c>
      <c r="I11" s="14">
        <f>SUM(I6:I10)</f>
        <v>10143</v>
      </c>
      <c r="J11" s="14">
        <f>SUM(J6:J10)</f>
        <v>10241</v>
      </c>
      <c r="K11" s="14">
        <f>SUM(K6:K10)</f>
        <v>9964</v>
      </c>
      <c r="L11" s="14">
        <f>SUM(L6:L10)</f>
        <v>10377</v>
      </c>
      <c r="M11" s="14">
        <f>SUM(M6:M10)</f>
        <v>10635</v>
      </c>
      <c r="N11" s="14">
        <f>SUM(N6:N10)</f>
        <v>10974</v>
      </c>
      <c r="O11" s="14">
        <f>SUM(O6:O10)</f>
        <v>10358</v>
      </c>
      <c r="P11" s="14">
        <f>SUM(P6:P10)</f>
        <v>11142</v>
      </c>
      <c r="Q11" s="14">
        <f>SUM(Q6:Q10)</f>
        <v>11369</v>
      </c>
      <c r="R11" s="5"/>
      <c r="S11" s="14">
        <f>SUM(S6:S10)</f>
        <v>40109</v>
      </c>
      <c r="T11" s="14">
        <f>SUM(T6:T10)</f>
        <v>40326</v>
      </c>
      <c r="U11" s="14">
        <f>SUM(U6:U10)</f>
        <v>40725</v>
      </c>
      <c r="V11" s="14">
        <f>SUM(V6:V10)</f>
        <v>41217</v>
      </c>
      <c r="W11" s="14">
        <f>SUM(W6:W10)</f>
        <v>41950</v>
      </c>
      <c r="X11" s="14">
        <f>SUM(X6:X10)</f>
        <v>42344</v>
      </c>
      <c r="Y11" s="14">
        <f>SUM(Y6:Y10)</f>
        <v>43109</v>
      </c>
      <c r="Z11" s="14">
        <f>SUM(Z6:Z10)</f>
        <v>43843</v>
      </c>
      <c r="AB11" s="125">
        <f t="shared" si="2"/>
        <v>6.3711575320862801E-2</v>
      </c>
    </row>
    <row r="12" spans="2:28" ht="12.75" customHeight="1">
      <c r="B12" s="16" t="s">
        <v>25</v>
      </c>
      <c r="C12" s="17" t="e">
        <f>SUM(C11/#REF!)-1</f>
        <v>#REF!</v>
      </c>
      <c r="D12" s="17">
        <f>SUM(D11/C11)-1</f>
        <v>-8.1185714612970417E-2</v>
      </c>
      <c r="E12" s="17">
        <f>SUM(E11/D11)-1</f>
        <v>4.5899922710613605E-2</v>
      </c>
      <c r="F12" s="11"/>
      <c r="G12" s="113"/>
      <c r="H12" s="113"/>
      <c r="I12" s="113"/>
      <c r="J12" s="113"/>
      <c r="K12" s="17">
        <f t="shared" ref="K12:Q12" si="12">SUM(K11/G11)-1</f>
        <v>2.2263260490407388E-2</v>
      </c>
      <c r="L12" s="17">
        <f t="shared" si="12"/>
        <v>3.9987973541791844E-2</v>
      </c>
      <c r="M12" s="17">
        <f t="shared" si="12"/>
        <v>4.8506359065365379E-2</v>
      </c>
      <c r="N12" s="17">
        <f t="shared" si="12"/>
        <v>7.1575041499853498E-2</v>
      </c>
      <c r="O12" s="17">
        <f t="shared" si="12"/>
        <v>3.9542352468888042E-2</v>
      </c>
      <c r="P12" s="17">
        <f t="shared" si="12"/>
        <v>7.3720728534258484E-2</v>
      </c>
      <c r="Q12" s="17">
        <f t="shared" si="12"/>
        <v>6.9017395392571679E-2</v>
      </c>
      <c r="R12" s="5"/>
      <c r="S12" s="113"/>
      <c r="T12" s="113"/>
      <c r="U12" s="113"/>
      <c r="V12" s="113"/>
      <c r="W12" s="17">
        <f t="shared" ref="W12:Z12" si="13">SUM(W11/S11)-1</f>
        <v>4.5899922710613605E-2</v>
      </c>
      <c r="X12" s="17">
        <f t="shared" si="13"/>
        <v>5.0042156425135209E-2</v>
      </c>
      <c r="Y12" s="17">
        <f t="shared" si="13"/>
        <v>5.8538980969920162E-2</v>
      </c>
      <c r="Z12" s="17">
        <f t="shared" si="13"/>
        <v>6.3711575320862801E-2</v>
      </c>
      <c r="AB12" s="126">
        <f>SUM(Z12-V12)*10000</f>
        <v>637.11575320862801</v>
      </c>
    </row>
    <row r="13" spans="2:28" ht="12.75" customHeight="1">
      <c r="B13" s="16" t="s">
        <v>26</v>
      </c>
      <c r="C13" s="17" t="s">
        <v>27</v>
      </c>
      <c r="D13" s="17" t="s">
        <v>27</v>
      </c>
      <c r="E13" s="17" t="s">
        <v>27</v>
      </c>
      <c r="F13" s="11"/>
      <c r="G13" s="113"/>
      <c r="H13" s="17">
        <f t="shared" ref="H13:Q13" si="14">SUM(H11/G11)-1</f>
        <v>2.3699599876885191E-2</v>
      </c>
      <c r="I13" s="17">
        <f t="shared" si="14"/>
        <v>1.6536380036079379E-2</v>
      </c>
      <c r="J13" s="17">
        <f t="shared" si="14"/>
        <v>9.6618357487923134E-3</v>
      </c>
      <c r="K13" s="17">
        <f t="shared" si="14"/>
        <v>-2.7048139830094686E-2</v>
      </c>
      <c r="L13" s="17">
        <f t="shared" si="14"/>
        <v>4.144921718185457E-2</v>
      </c>
      <c r="M13" s="17">
        <f t="shared" si="14"/>
        <v>2.4862677074299011E-2</v>
      </c>
      <c r="N13" s="17">
        <f t="shared" si="14"/>
        <v>3.1875881523272254E-2</v>
      </c>
      <c r="O13" s="17">
        <f t="shared" si="14"/>
        <v>-5.613267723710591E-2</v>
      </c>
      <c r="P13" s="17">
        <f t="shared" si="14"/>
        <v>7.5690287700328263E-2</v>
      </c>
      <c r="Q13" s="17">
        <f t="shared" si="14"/>
        <v>2.0373362053491384E-2</v>
      </c>
      <c r="R13" s="5"/>
      <c r="S13" s="17" t="s">
        <v>27</v>
      </c>
      <c r="T13" s="17" t="s">
        <v>27</v>
      </c>
      <c r="U13" s="17" t="s">
        <v>27</v>
      </c>
      <c r="V13" s="17" t="s">
        <v>27</v>
      </c>
      <c r="W13" s="17" t="s">
        <v>27</v>
      </c>
      <c r="X13" s="17" t="s">
        <v>27</v>
      </c>
      <c r="Y13" s="17" t="s">
        <v>27</v>
      </c>
      <c r="Z13" s="17" t="s">
        <v>27</v>
      </c>
      <c r="AB13" s="123"/>
    </row>
    <row r="14" spans="2:28" ht="5.0999999999999996" customHeight="1">
      <c r="B14" s="18"/>
      <c r="C14" s="19"/>
      <c r="D14" s="19"/>
      <c r="E14" s="19"/>
      <c r="F14" s="20"/>
      <c r="G14" s="21"/>
      <c r="H14" s="21"/>
      <c r="I14" s="21"/>
      <c r="J14" s="22"/>
      <c r="K14" s="21"/>
      <c r="L14" s="21"/>
      <c r="M14" s="21"/>
      <c r="N14" s="21"/>
      <c r="O14" s="21"/>
      <c r="P14" s="21"/>
      <c r="Q14" s="21"/>
      <c r="R14" s="20"/>
      <c r="S14" s="20"/>
      <c r="T14" s="20"/>
      <c r="U14" s="20"/>
      <c r="V14" s="20"/>
      <c r="W14" s="20"/>
      <c r="X14" s="20"/>
      <c r="Y14" s="20"/>
      <c r="Z14" s="20"/>
      <c r="AB14" s="123"/>
    </row>
    <row r="15" spans="2:28" ht="12.75" customHeight="1">
      <c r="B15" s="23" t="s">
        <v>100</v>
      </c>
      <c r="C15" s="92">
        <f>'Historical Financials'!C13</f>
        <v>-19142</v>
      </c>
      <c r="D15" s="92">
        <f>'Historical Financials'!D13</f>
        <v>-17975</v>
      </c>
      <c r="E15" s="92">
        <f>'Historical Financials'!E13</f>
        <v>-18706</v>
      </c>
      <c r="F15" s="10"/>
      <c r="G15" s="92">
        <f>'Historical Financials'!G13</f>
        <v>-4331</v>
      </c>
      <c r="H15" s="92">
        <f>'Historical Financials'!H13</f>
        <v>-4483</v>
      </c>
      <c r="I15" s="92">
        <f>'Historical Financials'!I13</f>
        <v>-4605</v>
      </c>
      <c r="J15" s="92">
        <f>'Historical Financials'!J13</f>
        <v>-4556</v>
      </c>
      <c r="K15" s="92">
        <f>'Historical Financials'!K13</f>
        <v>-4463</v>
      </c>
      <c r="L15" s="92">
        <f>'Historical Financials'!L13</f>
        <v>-4603</v>
      </c>
      <c r="M15" s="92">
        <f>'Historical Financials'!M13</f>
        <v>-4698</v>
      </c>
      <c r="N15" s="92">
        <f>'Historical Financials'!N13</f>
        <v>-4942</v>
      </c>
      <c r="O15" s="92">
        <f>'Historical Financials'!O13</f>
        <v>-4468</v>
      </c>
      <c r="P15" s="92">
        <f>'Historical Financials'!P13</f>
        <v>-4854</v>
      </c>
      <c r="Q15" s="92">
        <f>'Historical Financials'!Q13</f>
        <v>-5075</v>
      </c>
      <c r="R15" s="5"/>
      <c r="S15" s="140">
        <f t="shared" ref="S15:Y15" si="15">SUM(G15:J15)</f>
        <v>-17975</v>
      </c>
      <c r="T15" s="140">
        <f t="shared" si="15"/>
        <v>-18107</v>
      </c>
      <c r="U15" s="140">
        <f t="shared" si="15"/>
        <v>-18227</v>
      </c>
      <c r="V15" s="140">
        <f t="shared" si="15"/>
        <v>-18320</v>
      </c>
      <c r="W15" s="140">
        <f t="shared" si="15"/>
        <v>-18706</v>
      </c>
      <c r="X15" s="140">
        <f t="shared" si="15"/>
        <v>-18711</v>
      </c>
      <c r="Y15" s="140">
        <f t="shared" si="15"/>
        <v>-18962</v>
      </c>
      <c r="Z15" s="140">
        <f>SUM(N15:Q15)</f>
        <v>-19339</v>
      </c>
      <c r="AB15" s="124">
        <f t="shared" ref="AB15" si="16">SUM(Z15/V15)-1</f>
        <v>5.5622270742358149E-2</v>
      </c>
    </row>
    <row r="16" spans="2:28" ht="12.75" customHeight="1">
      <c r="B16" s="24" t="s">
        <v>19</v>
      </c>
      <c r="C16" s="25">
        <f>SUM(C11+SUM(C15:C15))</f>
        <v>24511</v>
      </c>
      <c r="D16" s="25">
        <f>SUM(D11+SUM(D15:D15))</f>
        <v>22134</v>
      </c>
      <c r="E16" s="25">
        <f>SUM(E11+SUM(E15:E15))</f>
        <v>23244</v>
      </c>
      <c r="F16" s="5"/>
      <c r="G16" s="25">
        <f>SUM(G11+SUM(G15:G15))</f>
        <v>5416</v>
      </c>
      <c r="H16" s="25">
        <f>SUM(H11+SUM(H15:H15))</f>
        <v>5495</v>
      </c>
      <c r="I16" s="25">
        <f>SUM(I11+SUM(I15:I15))</f>
        <v>5538</v>
      </c>
      <c r="J16" s="25">
        <f>SUM(J11+SUM(J15:J15))</f>
        <v>5685</v>
      </c>
      <c r="K16" s="25">
        <f>SUM(K11+SUM(K15:K15))</f>
        <v>5501</v>
      </c>
      <c r="L16" s="25">
        <f>SUM(L11+SUM(L15:L15))</f>
        <v>5774</v>
      </c>
      <c r="M16" s="25">
        <f>SUM(M11+SUM(M15:M15))</f>
        <v>5937</v>
      </c>
      <c r="N16" s="25">
        <f>SUM(N11+SUM(N15:N15))</f>
        <v>6032</v>
      </c>
      <c r="O16" s="25">
        <f>SUM(O11+SUM(O15:O15))</f>
        <v>5890</v>
      </c>
      <c r="P16" s="25">
        <f>SUM(P11+SUM(P15:P15))</f>
        <v>6288</v>
      </c>
      <c r="Q16" s="25">
        <f>SUM(Q11+SUM(Q15:Q15))</f>
        <v>6294</v>
      </c>
      <c r="R16" s="5"/>
      <c r="S16" s="25">
        <f>SUM(S11+SUM(S15:S15))</f>
        <v>22134</v>
      </c>
      <c r="T16" s="25">
        <f>SUM(T11+SUM(T15:T15))</f>
        <v>22219</v>
      </c>
      <c r="U16" s="25">
        <f>SUM(U11+SUM(U15:U15))</f>
        <v>22498</v>
      </c>
      <c r="V16" s="25">
        <f>SUM(V11+SUM(V15:V15))</f>
        <v>22897</v>
      </c>
      <c r="W16" s="25">
        <f>SUM(W11+SUM(W15:W15))</f>
        <v>23244</v>
      </c>
      <c r="X16" s="25">
        <f>SUM(X11+SUM(X15:X15))</f>
        <v>23633</v>
      </c>
      <c r="Y16" s="25">
        <f>SUM(Y11+SUM(Y15:Y15))</f>
        <v>24147</v>
      </c>
      <c r="Z16" s="25">
        <f>SUM(Z11+SUM(Z15:Z15))</f>
        <v>24504</v>
      </c>
      <c r="AB16" s="125">
        <f>SUM(Z16/V16)-1</f>
        <v>7.0183866882124191E-2</v>
      </c>
    </row>
    <row r="17" spans="2:28" ht="12.75" customHeight="1">
      <c r="B17" s="16" t="s">
        <v>28</v>
      </c>
      <c r="C17" s="17">
        <f>C16/C11</f>
        <v>0.5614963461846838</v>
      </c>
      <c r="D17" s="17">
        <f>D16/D11</f>
        <v>0.5518462190530804</v>
      </c>
      <c r="E17" s="17">
        <f>E16/E11</f>
        <v>0.55408820023837901</v>
      </c>
      <c r="F17" s="26"/>
      <c r="G17" s="17">
        <f>G16/G11</f>
        <v>0.55565815122601825</v>
      </c>
      <c r="H17" s="17">
        <f>H16/H11</f>
        <v>0.5507115654439767</v>
      </c>
      <c r="I17" s="17">
        <f>I16/I11</f>
        <v>0.54599230996746528</v>
      </c>
      <c r="J17" s="17">
        <f>J16/J11</f>
        <v>0.55512157015916419</v>
      </c>
      <c r="K17" s="17">
        <f>K16/K11</f>
        <v>0.55208751505419507</v>
      </c>
      <c r="L17" s="17">
        <f>L16/L11</f>
        <v>0.55642285824419391</v>
      </c>
      <c r="M17" s="17">
        <f>M16/M11</f>
        <v>0.55825105782792661</v>
      </c>
      <c r="N17" s="17">
        <f>N16/N11</f>
        <v>0.54966283943867322</v>
      </c>
      <c r="O17" s="17">
        <f>O16/O11</f>
        <v>0.56864259509557835</v>
      </c>
      <c r="P17" s="17">
        <f>P16/P11</f>
        <v>0.56435110393107157</v>
      </c>
      <c r="Q17" s="17">
        <f>Q16/Q11</f>
        <v>0.55361069575160526</v>
      </c>
      <c r="R17" s="27"/>
      <c r="S17" s="17">
        <f>S16/S11</f>
        <v>0.5518462190530804</v>
      </c>
      <c r="T17" s="17">
        <f>T16/T11</f>
        <v>0.55098447651639137</v>
      </c>
      <c r="U17" s="17">
        <f>U16/U11</f>
        <v>0.55243707796193986</v>
      </c>
      <c r="V17" s="17">
        <f>V16/V11</f>
        <v>0.55552320644394304</v>
      </c>
      <c r="W17" s="17">
        <f>W16/W11</f>
        <v>0.55408820023837901</v>
      </c>
      <c r="X17" s="17">
        <f>X16/X11</f>
        <v>0.55811921405630083</v>
      </c>
      <c r="Y17" s="17">
        <f>Y16/Y11</f>
        <v>0.56013825419286001</v>
      </c>
      <c r="Z17" s="17">
        <f>Z16/Z11</f>
        <v>0.55890335971534799</v>
      </c>
      <c r="AB17" s="126">
        <f>SUM(Z17-V17)*10000</f>
        <v>33.801532714049507</v>
      </c>
    </row>
    <row r="18" spans="2:28" ht="5.0999999999999996" customHeight="1">
      <c r="B18" s="28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5"/>
      <c r="S18" s="29"/>
      <c r="T18" s="29"/>
      <c r="U18" s="29"/>
      <c r="V18" s="29"/>
      <c r="W18" s="29"/>
      <c r="X18" s="29"/>
      <c r="Y18" s="29"/>
      <c r="Z18" s="29"/>
      <c r="AB18" s="123"/>
    </row>
    <row r="19" spans="2:28" ht="12.75" customHeight="1">
      <c r="B19" s="23" t="s">
        <v>188</v>
      </c>
      <c r="C19" s="139">
        <f>'Historical Financials'!C17</f>
        <v>-2013</v>
      </c>
      <c r="D19" s="139">
        <f>'Historical Financials'!D17</f>
        <v>-1966</v>
      </c>
      <c r="E19" s="139">
        <f>'Historical Financials'!E17</f>
        <v>-1878</v>
      </c>
      <c r="F19" s="92"/>
      <c r="G19" s="139">
        <f>'Historical Financials'!G17</f>
        <v>-491</v>
      </c>
      <c r="H19" s="139">
        <f>'Historical Financials'!H17</f>
        <v>-498</v>
      </c>
      <c r="I19" s="139">
        <f>'Historical Financials'!I17</f>
        <v>-496</v>
      </c>
      <c r="J19" s="139">
        <f>'Historical Financials'!J17</f>
        <v>-481</v>
      </c>
      <c r="K19" s="139">
        <f>'Historical Financials'!K17</f>
        <v>-472</v>
      </c>
      <c r="L19" s="139">
        <f>'Historical Financials'!L17</f>
        <v>-471</v>
      </c>
      <c r="M19" s="139">
        <f>'Historical Financials'!M17</f>
        <v>-470</v>
      </c>
      <c r="N19" s="139">
        <f>'Historical Financials'!N17</f>
        <v>-465</v>
      </c>
      <c r="O19" s="139">
        <f>'Historical Financials'!O17</f>
        <v>-420</v>
      </c>
      <c r="P19" s="139">
        <f>'Historical Financials'!P17</f>
        <v>-420</v>
      </c>
      <c r="Q19" s="139">
        <f>'Historical Financials'!Q17</f>
        <v>-420</v>
      </c>
      <c r="R19" s="5"/>
      <c r="S19" s="140">
        <f t="shared" ref="S19:Y21" si="17">SUM(G19:J19)</f>
        <v>-1966</v>
      </c>
      <c r="T19" s="140">
        <f t="shared" si="17"/>
        <v>-1947</v>
      </c>
      <c r="U19" s="140">
        <f t="shared" si="17"/>
        <v>-1920</v>
      </c>
      <c r="V19" s="140">
        <f t="shared" si="17"/>
        <v>-1894</v>
      </c>
      <c r="W19" s="140">
        <f t="shared" si="17"/>
        <v>-1878</v>
      </c>
      <c r="X19" s="140">
        <f t="shared" si="17"/>
        <v>-1826</v>
      </c>
      <c r="Y19" s="140">
        <f t="shared" si="17"/>
        <v>-1775</v>
      </c>
      <c r="Z19" s="140">
        <f>SUM(N19:Q19)</f>
        <v>-1725</v>
      </c>
      <c r="AB19" s="124">
        <f t="shared" ref="AB19:AB21" si="18">SUM(Z19/V19)-1</f>
        <v>-8.9229144667370641E-2</v>
      </c>
    </row>
    <row r="20" spans="2:28" ht="12.75" customHeight="1">
      <c r="B20" s="23" t="s">
        <v>186</v>
      </c>
      <c r="C20" s="139">
        <f>'Historical Financials'!C18</f>
        <v>-2888</v>
      </c>
      <c r="D20" s="139">
        <f>'Historical Financials'!D18</f>
        <v>-2741</v>
      </c>
      <c r="E20" s="139">
        <f>'Historical Financials'!E18</f>
        <v>-2844</v>
      </c>
      <c r="F20" s="92"/>
      <c r="G20" s="139">
        <f>'Historical Financials'!G18</f>
        <v>-654</v>
      </c>
      <c r="H20" s="139">
        <f>'Historical Financials'!H18</f>
        <v>-715</v>
      </c>
      <c r="I20" s="139">
        <f>'Historical Financials'!I18</f>
        <v>-672</v>
      </c>
      <c r="J20" s="139">
        <f>'Historical Financials'!J18</f>
        <v>-700</v>
      </c>
      <c r="K20" s="139">
        <f>'Historical Financials'!K18</f>
        <v>-684</v>
      </c>
      <c r="L20" s="139">
        <f>'Historical Financials'!L18</f>
        <v>-698</v>
      </c>
      <c r="M20" s="139">
        <f>'Historical Financials'!M18</f>
        <v>-713</v>
      </c>
      <c r="N20" s="139">
        <f>'Historical Financials'!N18</f>
        <v>-749</v>
      </c>
      <c r="O20" s="139">
        <f>'Historical Financials'!O18</f>
        <v>-716</v>
      </c>
      <c r="P20" s="139">
        <f>'Historical Financials'!P18</f>
        <v>-725</v>
      </c>
      <c r="Q20" s="139">
        <f>'Historical Financials'!Q18</f>
        <v>-766</v>
      </c>
      <c r="R20" s="5"/>
      <c r="S20" s="140">
        <f t="shared" si="17"/>
        <v>-2741</v>
      </c>
      <c r="T20" s="140">
        <f t="shared" si="17"/>
        <v>-2771</v>
      </c>
      <c r="U20" s="140">
        <f t="shared" si="17"/>
        <v>-2754</v>
      </c>
      <c r="V20" s="140">
        <f t="shared" si="17"/>
        <v>-2795</v>
      </c>
      <c r="W20" s="140">
        <f t="shared" si="17"/>
        <v>-2844</v>
      </c>
      <c r="X20" s="140">
        <f t="shared" si="17"/>
        <v>-2876</v>
      </c>
      <c r="Y20" s="140">
        <f t="shared" si="17"/>
        <v>-2903</v>
      </c>
      <c r="Z20" s="140">
        <f>SUM(N20:Q20)</f>
        <v>-2956</v>
      </c>
      <c r="AB20" s="124">
        <f t="shared" si="18"/>
        <v>5.7602862254025E-2</v>
      </c>
    </row>
    <row r="21" spans="2:28" ht="12.75" customHeight="1">
      <c r="B21" s="23" t="s">
        <v>187</v>
      </c>
      <c r="C21" s="139">
        <f>'Historical Financials'!C19</f>
        <v>-11248</v>
      </c>
      <c r="D21" s="139">
        <f>'Historical Financials'!D19</f>
        <v>-10949</v>
      </c>
      <c r="E21" s="139">
        <f>'Historical Financials'!E19</f>
        <v>-11697</v>
      </c>
      <c r="F21" s="92"/>
      <c r="G21" s="139">
        <f>'Historical Financials'!G19</f>
        <v>-2762</v>
      </c>
      <c r="H21" s="139">
        <f>'Historical Financials'!H19</f>
        <v>-2740</v>
      </c>
      <c r="I21" s="139">
        <f>'Historical Financials'!I19</f>
        <v>-2723</v>
      </c>
      <c r="J21" s="139">
        <f>'Historical Financials'!J19</f>
        <v>-2724</v>
      </c>
      <c r="K21" s="139">
        <f>'Historical Financials'!K19</f>
        <v>-2959</v>
      </c>
      <c r="L21" s="139">
        <f>'Historical Financials'!L19</f>
        <v>-2936</v>
      </c>
      <c r="M21" s="139">
        <f>'Historical Financials'!M19</f>
        <v>-2895</v>
      </c>
      <c r="N21" s="139">
        <f>'Historical Financials'!N19</f>
        <v>-2907</v>
      </c>
      <c r="O21" s="139">
        <f>'Historical Financials'!O19</f>
        <v>-3061</v>
      </c>
      <c r="P21" s="139">
        <f>'Historical Financials'!P19</f>
        <v>-3091</v>
      </c>
      <c r="Q21" s="139">
        <f>'Historical Financials'!Q19</f>
        <v>-3051</v>
      </c>
      <c r="R21" s="5"/>
      <c r="S21" s="140">
        <f t="shared" si="17"/>
        <v>-10949</v>
      </c>
      <c r="T21" s="140">
        <f t="shared" si="17"/>
        <v>-11146</v>
      </c>
      <c r="U21" s="140">
        <f t="shared" si="17"/>
        <v>-11342</v>
      </c>
      <c r="V21" s="140">
        <f t="shared" si="17"/>
        <v>-11514</v>
      </c>
      <c r="W21" s="140">
        <f t="shared" si="17"/>
        <v>-11697</v>
      </c>
      <c r="X21" s="140">
        <f t="shared" si="17"/>
        <v>-11799</v>
      </c>
      <c r="Y21" s="140">
        <f t="shared" si="17"/>
        <v>-11954</v>
      </c>
      <c r="Z21" s="140">
        <f>SUM(N21:Q21)</f>
        <v>-12110</v>
      </c>
      <c r="AB21" s="124">
        <f t="shared" si="18"/>
        <v>5.1763071043946507E-2</v>
      </c>
    </row>
    <row r="22" spans="2:28" ht="12.75" customHeight="1">
      <c r="B22" s="13" t="s">
        <v>29</v>
      </c>
      <c r="C22" s="14">
        <f>SUM(C16+SUM(C19:C21))</f>
        <v>8362</v>
      </c>
      <c r="D22" s="14">
        <f>SUM(D16+SUM(D19:D21))</f>
        <v>6478</v>
      </c>
      <c r="E22" s="14">
        <f>SUM(E16+SUM(E19:E21))</f>
        <v>6825</v>
      </c>
      <c r="F22" s="11"/>
      <c r="G22" s="14">
        <f>SUM(G16+SUM(G19:G21))</f>
        <v>1509</v>
      </c>
      <c r="H22" s="14">
        <f>SUM(H16+SUM(H19:H21))</f>
        <v>1542</v>
      </c>
      <c r="I22" s="14">
        <f>SUM(I16+SUM(I19:I21))</f>
        <v>1647</v>
      </c>
      <c r="J22" s="14">
        <f>SUM(J16+SUM(J19:J21))</f>
        <v>1780</v>
      </c>
      <c r="K22" s="14">
        <f>SUM(K16+SUM(K19:K21))</f>
        <v>1386</v>
      </c>
      <c r="L22" s="14">
        <f>SUM(L16+SUM(L19:L21))</f>
        <v>1669</v>
      </c>
      <c r="M22" s="14">
        <f>SUM(M16+SUM(M19:M21))</f>
        <v>1859</v>
      </c>
      <c r="N22" s="14">
        <f>SUM(N16+SUM(N19:N21))</f>
        <v>1911</v>
      </c>
      <c r="O22" s="14">
        <f>SUM(O16+SUM(O19:O21))</f>
        <v>1693</v>
      </c>
      <c r="P22" s="14">
        <f>SUM(P16+SUM(P19:P21))</f>
        <v>2052</v>
      </c>
      <c r="Q22" s="14">
        <f>SUM(Q16+SUM(Q19:Q21))</f>
        <v>2057</v>
      </c>
      <c r="R22" s="5"/>
      <c r="S22" s="14">
        <f>SUM(S16+SUM(S19:S21))</f>
        <v>6478</v>
      </c>
      <c r="T22" s="14">
        <f>SUM(T16+SUM(T19:T21))</f>
        <v>6355</v>
      </c>
      <c r="U22" s="14">
        <f>SUM(U16+SUM(U19:U21))</f>
        <v>6482</v>
      </c>
      <c r="V22" s="14">
        <f>SUM(V16+SUM(V19:V21))</f>
        <v>6694</v>
      </c>
      <c r="W22" s="14">
        <f>SUM(W16+SUM(W19:W21))</f>
        <v>6825</v>
      </c>
      <c r="X22" s="14">
        <f>SUM(X16+SUM(X19:X21))</f>
        <v>7132</v>
      </c>
      <c r="Y22" s="14">
        <f>SUM(Y16+SUM(Y19:Y21))</f>
        <v>7515</v>
      </c>
      <c r="Z22" s="14">
        <f>SUM(Z16+SUM(Z19:Z21))</f>
        <v>7713</v>
      </c>
      <c r="AB22" s="125">
        <f>SUM(Z22/V22)-1</f>
        <v>0.15222587391694065</v>
      </c>
    </row>
    <row r="23" spans="2:28" ht="12.75" customHeight="1">
      <c r="B23" s="16" t="s">
        <v>30</v>
      </c>
      <c r="C23" s="17">
        <f>C22/C11</f>
        <v>0.19155613588985865</v>
      </c>
      <c r="D23" s="17">
        <f>D22/D11</f>
        <v>0.16150988556184398</v>
      </c>
      <c r="E23" s="17">
        <f>E22/E11</f>
        <v>0.16269368295589989</v>
      </c>
      <c r="F23" s="26"/>
      <c r="G23" s="17">
        <f>G22/G11</f>
        <v>0.15481686672822406</v>
      </c>
      <c r="H23" s="17">
        <f>H22/H11</f>
        <v>0.15453998797354179</v>
      </c>
      <c r="I23" s="17">
        <f>I22/I11</f>
        <v>0.16237799467613132</v>
      </c>
      <c r="J23" s="17">
        <f>J22/J11</f>
        <v>0.17381115125476027</v>
      </c>
      <c r="K23" s="17">
        <f>K22/K11</f>
        <v>0.13910076274588518</v>
      </c>
      <c r="L23" s="17">
        <f>L22/L11</f>
        <v>0.16083646525970896</v>
      </c>
      <c r="M23" s="17">
        <f>M22/M11</f>
        <v>0.17480018805829808</v>
      </c>
      <c r="N23" s="17">
        <f>N22/N11</f>
        <v>0.17413887370147621</v>
      </c>
      <c r="O23" s="17">
        <f>O22/O11</f>
        <v>0.16344854218961188</v>
      </c>
      <c r="P23" s="17">
        <f>P22/P11</f>
        <v>0.18416801292407109</v>
      </c>
      <c r="Q23" s="17">
        <f>Q22/Q11</f>
        <v>0.18093060075644296</v>
      </c>
      <c r="R23" s="27"/>
      <c r="S23" s="17">
        <f>S22/S11</f>
        <v>0.16150988556184398</v>
      </c>
      <c r="T23" s="17">
        <f>T22/T11</f>
        <v>0.15759063631404058</v>
      </c>
      <c r="U23" s="17">
        <f>U22/U11</f>
        <v>0.15916513198281154</v>
      </c>
      <c r="V23" s="17">
        <f>V22/V11</f>
        <v>0.16240871485066841</v>
      </c>
      <c r="W23" s="17">
        <f>W22/W11</f>
        <v>0.16269368295589989</v>
      </c>
      <c r="X23" s="17">
        <f>X22/X11</f>
        <v>0.16843000188928775</v>
      </c>
      <c r="Y23" s="17">
        <f>Y22/Y11</f>
        <v>0.1743255468695632</v>
      </c>
      <c r="Z23" s="17">
        <f>Z22/Z11</f>
        <v>0.17592318043929475</v>
      </c>
      <c r="AB23" s="126">
        <f>SUM(Z23-V23)*10000</f>
        <v>135.14465588626345</v>
      </c>
    </row>
    <row r="24" spans="2:28" ht="5.0999999999999996" customHeight="1">
      <c r="AB24" s="123"/>
    </row>
    <row r="25" spans="2:28" ht="12.75" customHeight="1">
      <c r="B25" s="30" t="s">
        <v>189</v>
      </c>
      <c r="C25" s="139">
        <f>'Historical Financials'!C95</f>
        <v>1254</v>
      </c>
      <c r="D25" s="139">
        <f>'Historical Financials'!D95</f>
        <v>1277</v>
      </c>
      <c r="E25" s="139">
        <f>'Historical Financials'!E95</f>
        <v>1340</v>
      </c>
      <c r="G25" s="139">
        <f>'Historical Financials'!G95</f>
        <v>315</v>
      </c>
      <c r="H25" s="139">
        <f>'Historical Financials'!H95</f>
        <v>302</v>
      </c>
      <c r="I25" s="139">
        <f>'Historical Financials'!I95</f>
        <v>328</v>
      </c>
      <c r="J25" s="139">
        <f>'Historical Financials'!J95</f>
        <v>332</v>
      </c>
      <c r="K25" s="139">
        <f>'Historical Financials'!K95</f>
        <v>333</v>
      </c>
      <c r="L25" s="139">
        <f>'Historical Financials'!L95</f>
        <v>334</v>
      </c>
      <c r="M25" s="139">
        <f>'Historical Financials'!M95</f>
        <v>331</v>
      </c>
      <c r="N25" s="139">
        <f>'Historical Financials'!N95</f>
        <v>342</v>
      </c>
      <c r="O25" s="139">
        <f>'Historical Financials'!O95</f>
        <v>336</v>
      </c>
      <c r="P25" s="139">
        <f>'Historical Financials'!P95</f>
        <v>357</v>
      </c>
      <c r="Q25" s="139">
        <f>'Historical Financials'!Q95</f>
        <v>371</v>
      </c>
      <c r="S25" s="10">
        <f t="shared" ref="S25:Y26" si="19">SUM(G25:J25)</f>
        <v>1277</v>
      </c>
      <c r="T25" s="10">
        <f t="shared" si="19"/>
        <v>1295</v>
      </c>
      <c r="U25" s="10">
        <f t="shared" si="19"/>
        <v>1327</v>
      </c>
      <c r="V25" s="10">
        <f t="shared" si="19"/>
        <v>1330</v>
      </c>
      <c r="W25" s="10">
        <f t="shared" si="19"/>
        <v>1340</v>
      </c>
      <c r="X25" s="10">
        <f t="shared" si="19"/>
        <v>1343</v>
      </c>
      <c r="Y25" s="10">
        <f t="shared" si="19"/>
        <v>1366</v>
      </c>
      <c r="Z25" s="10">
        <f>SUM(N25:Q25)</f>
        <v>1406</v>
      </c>
      <c r="AB25" s="124">
        <f>SUM(Z25/V25)-1</f>
        <v>5.7142857142857162E-2</v>
      </c>
    </row>
    <row r="26" spans="2:28" ht="12.75" customHeight="1">
      <c r="B26" s="23" t="s">
        <v>190</v>
      </c>
      <c r="C26" s="146">
        <f>-C19</f>
        <v>2013</v>
      </c>
      <c r="D26" s="146">
        <f t="shared" ref="D26:Q26" si="20">-D19</f>
        <v>1966</v>
      </c>
      <c r="E26" s="146">
        <f t="shared" si="20"/>
        <v>1878</v>
      </c>
      <c r="G26" s="146">
        <f t="shared" si="20"/>
        <v>491</v>
      </c>
      <c r="H26" s="146">
        <f t="shared" si="20"/>
        <v>498</v>
      </c>
      <c r="I26" s="146">
        <f t="shared" si="20"/>
        <v>496</v>
      </c>
      <c r="J26" s="146">
        <f t="shared" si="20"/>
        <v>481</v>
      </c>
      <c r="K26" s="146">
        <f t="shared" si="20"/>
        <v>472</v>
      </c>
      <c r="L26" s="146">
        <f t="shared" si="20"/>
        <v>471</v>
      </c>
      <c r="M26" s="146">
        <f t="shared" si="20"/>
        <v>470</v>
      </c>
      <c r="N26" s="146">
        <f t="shared" si="20"/>
        <v>465</v>
      </c>
      <c r="O26" s="146">
        <f t="shared" si="20"/>
        <v>420</v>
      </c>
      <c r="P26" s="146">
        <f t="shared" si="20"/>
        <v>420</v>
      </c>
      <c r="Q26" s="146">
        <f t="shared" si="20"/>
        <v>420</v>
      </c>
      <c r="S26" s="10">
        <f t="shared" si="19"/>
        <v>1966</v>
      </c>
      <c r="T26" s="10">
        <f t="shared" si="19"/>
        <v>1947</v>
      </c>
      <c r="U26" s="10">
        <f t="shared" si="19"/>
        <v>1920</v>
      </c>
      <c r="V26" s="10">
        <f t="shared" si="19"/>
        <v>1894</v>
      </c>
      <c r="W26" s="10">
        <f t="shared" si="19"/>
        <v>1878</v>
      </c>
      <c r="X26" s="10">
        <f t="shared" si="19"/>
        <v>1826</v>
      </c>
      <c r="Y26" s="10">
        <f t="shared" si="19"/>
        <v>1775</v>
      </c>
      <c r="Z26" s="10">
        <f>SUM(N26:Q26)</f>
        <v>1725</v>
      </c>
      <c r="AB26" s="124">
        <f t="shared" ref="AB26" si="21">SUM(Z26/V26)-1</f>
        <v>-8.9229144667370641E-2</v>
      </c>
    </row>
    <row r="27" spans="2:28" ht="12.75" customHeight="1">
      <c r="B27" s="24" t="s">
        <v>11</v>
      </c>
      <c r="C27" s="25">
        <f t="shared" ref="C27:E27" si="22">SUM(C22+SUM(C25:C26))</f>
        <v>11629</v>
      </c>
      <c r="D27" s="25">
        <f t="shared" si="22"/>
        <v>9721</v>
      </c>
      <c r="E27" s="25">
        <f t="shared" si="22"/>
        <v>10043</v>
      </c>
      <c r="G27" s="25">
        <f t="shared" ref="G27" si="23">SUM(G22+SUM(G25:G26))</f>
        <v>2315</v>
      </c>
      <c r="H27" s="25">
        <f t="shared" ref="H27" si="24">SUM(H22+SUM(H25:H26))</f>
        <v>2342</v>
      </c>
      <c r="I27" s="25">
        <f t="shared" ref="I27" si="25">SUM(I22+SUM(I25:I26))</f>
        <v>2471</v>
      </c>
      <c r="J27" s="25">
        <f t="shared" ref="J27" si="26">SUM(J22+SUM(J25:J26))</f>
        <v>2593</v>
      </c>
      <c r="K27" s="25">
        <f t="shared" ref="K27" si="27">SUM(K22+SUM(K25:K26))</f>
        <v>2191</v>
      </c>
      <c r="L27" s="25">
        <f t="shared" ref="L27" si="28">SUM(L22+SUM(L25:L26))</f>
        <v>2474</v>
      </c>
      <c r="M27" s="25">
        <f t="shared" ref="M27" si="29">SUM(M22+SUM(M25:M26))</f>
        <v>2660</v>
      </c>
      <c r="N27" s="25">
        <f t="shared" ref="N27" si="30">SUM(N22+SUM(N25:N26))</f>
        <v>2718</v>
      </c>
      <c r="O27" s="25">
        <f t="shared" ref="O27" si="31">SUM(O22+SUM(O25:O26))</f>
        <v>2449</v>
      </c>
      <c r="P27" s="25">
        <f t="shared" ref="P27" si="32">SUM(P22+SUM(P25:P26))</f>
        <v>2829</v>
      </c>
      <c r="Q27" s="25">
        <f t="shared" ref="Q27" si="33">SUM(Q22+SUM(Q25:Q26))</f>
        <v>2848</v>
      </c>
      <c r="S27" s="25">
        <f t="shared" ref="S27" si="34">SUM(S22+SUM(S25:S26))</f>
        <v>9721</v>
      </c>
      <c r="T27" s="25">
        <f t="shared" ref="T27" si="35">SUM(T22+SUM(T25:T26))</f>
        <v>9597</v>
      </c>
      <c r="U27" s="25">
        <f t="shared" ref="U27" si="36">SUM(U22+SUM(U25:U26))</f>
        <v>9729</v>
      </c>
      <c r="V27" s="25">
        <f t="shared" ref="V27" si="37">SUM(V22+SUM(V25:V26))</f>
        <v>9918</v>
      </c>
      <c r="W27" s="25">
        <f t="shared" ref="W27" si="38">SUM(W22+SUM(W25:W26))</f>
        <v>10043</v>
      </c>
      <c r="X27" s="25">
        <f t="shared" ref="X27" si="39">SUM(X22+SUM(X25:X26))</f>
        <v>10301</v>
      </c>
      <c r="Y27" s="25">
        <f t="shared" ref="Y27" si="40">SUM(Y22+SUM(Y25:Y26))</f>
        <v>10656</v>
      </c>
      <c r="Z27" s="25">
        <f t="shared" ref="Z27" si="41">SUM(Z22+SUM(Z25:Z26))</f>
        <v>10844</v>
      </c>
      <c r="AB27" s="125">
        <f>SUM(Z27/V27)-1</f>
        <v>9.3365597902802966E-2</v>
      </c>
    </row>
    <row r="28" spans="2:28" ht="12.75" customHeight="1">
      <c r="B28" s="16" t="s">
        <v>31</v>
      </c>
      <c r="C28" s="17">
        <f>C27/C11</f>
        <v>0.26639635305706366</v>
      </c>
      <c r="D28" s="17">
        <f>D27/D11</f>
        <v>0.24236455658331049</v>
      </c>
      <c r="E28" s="17">
        <f>E27/E11</f>
        <v>0.23940405244338497</v>
      </c>
      <c r="G28" s="17">
        <f>G27/G11</f>
        <v>0.23750897712116548</v>
      </c>
      <c r="H28" s="17">
        <f>H27/H11</f>
        <v>0.23471637602725998</v>
      </c>
      <c r="I28" s="17">
        <f>I27/I11</f>
        <v>0.24361628709454797</v>
      </c>
      <c r="J28" s="17">
        <f>J27/J11</f>
        <v>0.25319792988965922</v>
      </c>
      <c r="K28" s="17">
        <f>K27/K11</f>
        <v>0.21989160979526295</v>
      </c>
      <c r="L28" s="17">
        <f>L27/L11</f>
        <v>0.23841187241013781</v>
      </c>
      <c r="M28" s="17">
        <f>M27/M11</f>
        <v>0.25011753643629525</v>
      </c>
      <c r="N28" s="17">
        <f>N27/N11</f>
        <v>0.24767632586112631</v>
      </c>
      <c r="O28" s="17">
        <f>O27/O11</f>
        <v>0.23643560532921412</v>
      </c>
      <c r="P28" s="17">
        <f>P27/P11</f>
        <v>0.25390414647280563</v>
      </c>
      <c r="Q28" s="17">
        <f>Q27/Q11</f>
        <v>0.25050576128067553</v>
      </c>
      <c r="S28" s="17">
        <f>S27/S11</f>
        <v>0.24236455658331049</v>
      </c>
      <c r="T28" s="17">
        <f>T27/T11</f>
        <v>0.23798541883648267</v>
      </c>
      <c r="U28" s="17">
        <f>U27/U11</f>
        <v>0.23889502762430939</v>
      </c>
      <c r="V28" s="17">
        <f>V27/V11</f>
        <v>0.24062886672974743</v>
      </c>
      <c r="W28" s="17">
        <f>W27/W11</f>
        <v>0.23940405244338497</v>
      </c>
      <c r="X28" s="17">
        <f>X27/X11</f>
        <v>0.24326941243151332</v>
      </c>
      <c r="Y28" s="17">
        <f>Y27/Y11</f>
        <v>0.24718736226773991</v>
      </c>
      <c r="Z28" s="17">
        <f>Z27/Z11</f>
        <v>0.24733708915904476</v>
      </c>
      <c r="AB28" s="126">
        <f>SUM(Z28-V28)*10000</f>
        <v>67.082224292973336</v>
      </c>
    </row>
    <row r="29" spans="2:28" ht="5.0999999999999996" customHeight="1">
      <c r="AB29" s="123"/>
    </row>
    <row r="30" spans="2:28" ht="12.75" customHeight="1">
      <c r="B30" s="30" t="s">
        <v>101</v>
      </c>
      <c r="C30" s="139">
        <f>'Historical Financials'!C97</f>
        <v>685</v>
      </c>
      <c r="D30" s="139">
        <f>'Historical Financials'!D97</f>
        <v>644</v>
      </c>
      <c r="E30" s="139">
        <f>'Historical Financials'!E97</f>
        <v>673</v>
      </c>
      <c r="G30" s="139">
        <f>'Historical Financials'!G97</f>
        <v>281</v>
      </c>
      <c r="H30" s="139">
        <f>'Historical Financials'!H97</f>
        <v>132</v>
      </c>
      <c r="I30" s="139">
        <f>'Historical Financials'!I97</f>
        <v>117</v>
      </c>
      <c r="J30" s="139">
        <f>'Historical Financials'!J97</f>
        <v>114</v>
      </c>
      <c r="K30" s="139">
        <f>'Historical Financials'!K97</f>
        <v>304</v>
      </c>
      <c r="L30" s="139">
        <f>'Historical Financials'!L97</f>
        <v>141</v>
      </c>
      <c r="M30" s="139">
        <f>'Historical Financials'!M97</f>
        <v>117</v>
      </c>
      <c r="N30" s="139">
        <f>'Historical Financials'!N97</f>
        <v>111</v>
      </c>
      <c r="O30" s="139">
        <f>'Historical Financials'!O97</f>
        <v>289</v>
      </c>
      <c r="P30" s="139">
        <f>'Historical Financials'!P97</f>
        <v>142</v>
      </c>
      <c r="Q30" s="139">
        <f>'Historical Financials'!Q97</f>
        <v>120</v>
      </c>
      <c r="S30" s="140">
        <f t="shared" ref="S30:Y30" si="42">SUM(G30:J30)</f>
        <v>644</v>
      </c>
      <c r="T30" s="140">
        <f t="shared" si="42"/>
        <v>667</v>
      </c>
      <c r="U30" s="140">
        <f t="shared" si="42"/>
        <v>676</v>
      </c>
      <c r="V30" s="140">
        <f t="shared" si="42"/>
        <v>676</v>
      </c>
      <c r="W30" s="140">
        <f t="shared" si="42"/>
        <v>673</v>
      </c>
      <c r="X30" s="140">
        <f t="shared" si="42"/>
        <v>658</v>
      </c>
      <c r="Y30" s="140">
        <f t="shared" si="42"/>
        <v>659</v>
      </c>
      <c r="Z30" s="140">
        <f>SUM(N30:Q30)</f>
        <v>662</v>
      </c>
      <c r="AB30" s="124">
        <f t="shared" ref="AB30" si="43">SUM(Z30/V30)-1</f>
        <v>-2.0710059171597628E-2</v>
      </c>
    </row>
    <row r="31" spans="2:28" ht="12.75" customHeight="1">
      <c r="B31" s="13" t="s">
        <v>32</v>
      </c>
      <c r="C31" s="14">
        <f>+SUM(C27+SUM(C30:C30))</f>
        <v>12314</v>
      </c>
      <c r="D31" s="14">
        <f>+SUM(D27+SUM(D30:D30))</f>
        <v>10365</v>
      </c>
      <c r="E31" s="14">
        <f>+SUM(E27+SUM(E30:E30))</f>
        <v>10716</v>
      </c>
      <c r="F31" s="11"/>
      <c r="G31" s="14">
        <f>+SUM(G27+SUM(G30:G30))</f>
        <v>2596</v>
      </c>
      <c r="H31" s="14">
        <f>+SUM(H27+SUM(H30:H30))</f>
        <v>2474</v>
      </c>
      <c r="I31" s="14">
        <f>+SUM(I27+SUM(I30:I30))</f>
        <v>2588</v>
      </c>
      <c r="J31" s="14">
        <f>+SUM(J27+SUM(J30:J30))</f>
        <v>2707</v>
      </c>
      <c r="K31" s="14">
        <f>+SUM(K27+SUM(K30:K30))</f>
        <v>2495</v>
      </c>
      <c r="L31" s="14">
        <f>+SUM(L27+SUM(L30:L30))</f>
        <v>2615</v>
      </c>
      <c r="M31" s="14">
        <f>+SUM(M27+SUM(M30:M30))</f>
        <v>2777</v>
      </c>
      <c r="N31" s="14">
        <f>+SUM(N27+SUM(N30:N30))</f>
        <v>2829</v>
      </c>
      <c r="O31" s="14">
        <f>+SUM(O27+SUM(O30:O30))</f>
        <v>2738</v>
      </c>
      <c r="P31" s="14">
        <f>+SUM(P27+SUM(P30:P30))</f>
        <v>2971</v>
      </c>
      <c r="Q31" s="14">
        <f>+SUM(Q27+SUM(Q30:Q30))</f>
        <v>2968</v>
      </c>
      <c r="S31" s="14">
        <f>+SUM(S27+SUM(S30:S30))</f>
        <v>10365</v>
      </c>
      <c r="T31" s="14">
        <f>+SUM(T27+SUM(T30:T30))</f>
        <v>10264</v>
      </c>
      <c r="U31" s="14">
        <f>+SUM(U27+SUM(U30:U30))</f>
        <v>10405</v>
      </c>
      <c r="V31" s="14">
        <f>+SUM(V27+SUM(V30:V30))</f>
        <v>10594</v>
      </c>
      <c r="W31" s="14">
        <f>+SUM(W27+SUM(W30:W30))</f>
        <v>10716</v>
      </c>
      <c r="X31" s="14">
        <f>+SUM(X27+SUM(X30:X30))</f>
        <v>10959</v>
      </c>
      <c r="Y31" s="14">
        <f>+SUM(Y27+SUM(Y30:Y30))</f>
        <v>11315</v>
      </c>
      <c r="Z31" s="14">
        <f>+SUM(Z27+SUM(Z30:Z30))</f>
        <v>11506</v>
      </c>
      <c r="AB31" s="125">
        <f>SUM(Z31/V31)-1</f>
        <v>8.6086464036246868E-2</v>
      </c>
    </row>
    <row r="32" spans="2:28" ht="12.75" customHeight="1">
      <c r="B32" s="16" t="s">
        <v>33</v>
      </c>
      <c r="C32" s="17">
        <f>C31/C11</f>
        <v>0.28208828717384832</v>
      </c>
      <c r="D32" s="17">
        <f>D31/D11</f>
        <v>0.25842080331097761</v>
      </c>
      <c r="E32" s="17">
        <f>E31/E11</f>
        <v>0.25544696066746125</v>
      </c>
      <c r="G32" s="17">
        <f>G31/G11</f>
        <v>0.26633836052118598</v>
      </c>
      <c r="H32" s="17">
        <f>H31/H11</f>
        <v>0.24794548005612346</v>
      </c>
      <c r="I32" s="17">
        <f>I31/I11</f>
        <v>0.25515133589667749</v>
      </c>
      <c r="J32" s="17">
        <f>J31/J11</f>
        <v>0.2643296553070989</v>
      </c>
      <c r="K32" s="17">
        <f>K31/K11</f>
        <v>0.25040144520272983</v>
      </c>
      <c r="L32" s="17">
        <f>L31/L11</f>
        <v>0.25199961453213837</v>
      </c>
      <c r="M32" s="17">
        <f>M31/M11</f>
        <v>0.26111894687353082</v>
      </c>
      <c r="N32" s="17">
        <f>N31/N11</f>
        <v>0.25779114270092945</v>
      </c>
      <c r="O32" s="17">
        <f>O31/O11</f>
        <v>0.264336744545279</v>
      </c>
      <c r="P32" s="17">
        <f>P31/P11</f>
        <v>0.26664871656794115</v>
      </c>
      <c r="Q32" s="17">
        <f>Q31/Q11</f>
        <v>0.26106077931216465</v>
      </c>
      <c r="S32" s="17">
        <f>S31/S11</f>
        <v>0.25842080331097761</v>
      </c>
      <c r="T32" s="17">
        <f>T31/T11</f>
        <v>0.25452561622774389</v>
      </c>
      <c r="U32" s="17">
        <f>U31/U11</f>
        <v>0.25549416820135051</v>
      </c>
      <c r="V32" s="17">
        <f>V31/V11</f>
        <v>0.25702986631729624</v>
      </c>
      <c r="W32" s="17">
        <f>W31/W11</f>
        <v>0.25544696066746125</v>
      </c>
      <c r="X32" s="17">
        <f>X31/X11</f>
        <v>0.25880880408086149</v>
      </c>
      <c r="Y32" s="17">
        <f>Y31/Y11</f>
        <v>0.26247419332389987</v>
      </c>
      <c r="Z32" s="17">
        <f>Z31/Z11</f>
        <v>0.26243642086536051</v>
      </c>
      <c r="AB32" s="126">
        <f>SUM(Z32-V32)*10000</f>
        <v>54.065545480642683</v>
      </c>
    </row>
    <row r="33" spans="1:28" ht="5.0999999999999996" customHeight="1">
      <c r="AB33" s="123"/>
    </row>
    <row r="34" spans="1:28" ht="12.75" customHeight="1">
      <c r="B34" s="23" t="s">
        <v>34</v>
      </c>
      <c r="C34" s="139">
        <f>'Historical Financials'!C109</f>
        <v>-1777</v>
      </c>
      <c r="D34" s="139">
        <f>'Historical Financials'!D109</f>
        <v>-2202</v>
      </c>
      <c r="E34" s="139">
        <f>'Historical Financials'!E109</f>
        <v>-2207</v>
      </c>
      <c r="G34" s="139">
        <f>'Historical Financials'!G109</f>
        <v>-380</v>
      </c>
      <c r="H34" s="139">
        <f>'Historical Financials'!H109</f>
        <v>-507</v>
      </c>
      <c r="I34" s="139">
        <f>'Historical Financials'!I109</f>
        <v>-560</v>
      </c>
      <c r="J34" s="139">
        <f>'Historical Financials'!J109</f>
        <v>-755</v>
      </c>
      <c r="K34" s="139">
        <f>'Historical Financials'!K109</f>
        <v>-398</v>
      </c>
      <c r="L34" s="139">
        <f>'Historical Financials'!L109</f>
        <v>-533</v>
      </c>
      <c r="M34" s="139">
        <f>'Historical Financials'!M109</f>
        <v>-556</v>
      </c>
      <c r="N34" s="139">
        <f>'Historical Financials'!N109</f>
        <v>-720</v>
      </c>
      <c r="O34" s="139">
        <f>'Historical Financials'!O109</f>
        <v>-484</v>
      </c>
      <c r="P34" s="139">
        <f>'Historical Financials'!P109</f>
        <v>-502</v>
      </c>
      <c r="Q34" s="139">
        <f>'Historical Financials'!Q109</f>
        <v>-496</v>
      </c>
      <c r="S34" s="10">
        <f t="shared" ref="S34:Z38" si="44">SUM(G34:J34)</f>
        <v>-2202</v>
      </c>
      <c r="T34" s="10">
        <f t="shared" si="44"/>
        <v>-2220</v>
      </c>
      <c r="U34" s="10">
        <f t="shared" si="44"/>
        <v>-2246</v>
      </c>
      <c r="V34" s="140">
        <f t="shared" si="44"/>
        <v>-2242</v>
      </c>
      <c r="W34" s="140">
        <f t="shared" si="44"/>
        <v>-2207</v>
      </c>
      <c r="X34" s="140">
        <f t="shared" si="44"/>
        <v>-2293</v>
      </c>
      <c r="Y34" s="140">
        <f t="shared" si="44"/>
        <v>-2262</v>
      </c>
      <c r="Z34" s="140">
        <f t="shared" si="44"/>
        <v>-2202</v>
      </c>
      <c r="AB34" s="124">
        <f>SUM(Z34/V34)-1</f>
        <v>-1.7841213202497763E-2</v>
      </c>
    </row>
    <row r="35" spans="1:28" ht="12.75" customHeight="1">
      <c r="B35" s="23" t="s">
        <v>35</v>
      </c>
      <c r="C35" s="139">
        <f>-'Historical Financials'!C134</f>
        <v>-1864</v>
      </c>
      <c r="D35" s="139">
        <f>-'Historical Financials'!D134</f>
        <v>-1475</v>
      </c>
      <c r="E35" s="139">
        <f>-'Historical Financials'!E134</f>
        <v>-1723</v>
      </c>
      <c r="G35" s="146">
        <f>$D$35/4</f>
        <v>-368.75</v>
      </c>
      <c r="H35" s="146">
        <f t="shared" ref="H35:J35" si="45">$D$35/4</f>
        <v>-368.75</v>
      </c>
      <c r="I35" s="146">
        <f t="shared" si="45"/>
        <v>-368.75</v>
      </c>
      <c r="J35" s="146">
        <f t="shared" si="45"/>
        <v>-368.75</v>
      </c>
      <c r="K35" s="146">
        <f>$E$35/4</f>
        <v>-430.75</v>
      </c>
      <c r="L35" s="146">
        <f t="shared" ref="L35:N35" si="46">$E$35/4</f>
        <v>-430.75</v>
      </c>
      <c r="M35" s="146">
        <f t="shared" si="46"/>
        <v>-430.75</v>
      </c>
      <c r="N35" s="146">
        <f t="shared" si="46"/>
        <v>-430.75</v>
      </c>
      <c r="O35" s="146">
        <f>N35</f>
        <v>-430.75</v>
      </c>
      <c r="P35" s="146">
        <f t="shared" ref="P35" si="47">O35</f>
        <v>-430.75</v>
      </c>
      <c r="Q35" s="146">
        <f t="shared" ref="Q35" si="48">P35</f>
        <v>-430.75</v>
      </c>
      <c r="S35" s="10">
        <f t="shared" si="44"/>
        <v>-1475</v>
      </c>
      <c r="T35" s="10">
        <f t="shared" si="44"/>
        <v>-1537</v>
      </c>
      <c r="U35" s="10">
        <f t="shared" si="44"/>
        <v>-1599</v>
      </c>
      <c r="V35" s="140">
        <f t="shared" si="44"/>
        <v>-1661</v>
      </c>
      <c r="W35" s="140">
        <f t="shared" si="44"/>
        <v>-1723</v>
      </c>
      <c r="X35" s="140">
        <f t="shared" si="44"/>
        <v>-1723</v>
      </c>
      <c r="Y35" s="140">
        <f t="shared" si="44"/>
        <v>-1723</v>
      </c>
      <c r="Z35" s="140">
        <f t="shared" si="44"/>
        <v>-1723</v>
      </c>
      <c r="AB35" s="124">
        <f>SUM(Z35/V35)-1</f>
        <v>3.7326911499096838E-2</v>
      </c>
    </row>
    <row r="36" spans="1:28" ht="12.75" customHeight="1">
      <c r="B36" s="23" t="s">
        <v>68</v>
      </c>
      <c r="C36" s="139">
        <f>-'Historical Financials'!C135</f>
        <v>-563</v>
      </c>
      <c r="D36" s="139">
        <f>-'Historical Financials'!D135</f>
        <v>-662</v>
      </c>
      <c r="E36" s="139">
        <f>-'Historical Financials'!E135</f>
        <v>-604</v>
      </c>
      <c r="G36" s="146">
        <f>$D$36/4</f>
        <v>-165.5</v>
      </c>
      <c r="H36" s="146">
        <f t="shared" ref="H36:J36" si="49">$D$36/4</f>
        <v>-165.5</v>
      </c>
      <c r="I36" s="146">
        <f t="shared" si="49"/>
        <v>-165.5</v>
      </c>
      <c r="J36" s="146">
        <f t="shared" si="49"/>
        <v>-165.5</v>
      </c>
      <c r="K36" s="146">
        <f>$E$36/4</f>
        <v>-151</v>
      </c>
      <c r="L36" s="146">
        <f t="shared" ref="L36:N36" si="50">$E$36/4</f>
        <v>-151</v>
      </c>
      <c r="M36" s="146">
        <f t="shared" si="50"/>
        <v>-151</v>
      </c>
      <c r="N36" s="146">
        <f t="shared" si="50"/>
        <v>-151</v>
      </c>
      <c r="O36" s="146">
        <f>N36</f>
        <v>-151</v>
      </c>
      <c r="P36" s="146">
        <f t="shared" ref="P36:Q36" si="51">O36</f>
        <v>-151</v>
      </c>
      <c r="Q36" s="146">
        <f t="shared" si="51"/>
        <v>-151</v>
      </c>
      <c r="S36" s="10">
        <f t="shared" si="44"/>
        <v>-662</v>
      </c>
      <c r="T36" s="10">
        <f t="shared" si="44"/>
        <v>-647.5</v>
      </c>
      <c r="U36" s="10">
        <f t="shared" si="44"/>
        <v>-633</v>
      </c>
      <c r="V36" s="140">
        <f t="shared" si="44"/>
        <v>-618.5</v>
      </c>
      <c r="W36" s="140">
        <f t="shared" si="44"/>
        <v>-604</v>
      </c>
      <c r="X36" s="140">
        <f t="shared" si="44"/>
        <v>-604</v>
      </c>
      <c r="Y36" s="140">
        <f t="shared" si="44"/>
        <v>-604</v>
      </c>
      <c r="Z36" s="140">
        <f t="shared" si="44"/>
        <v>-604</v>
      </c>
      <c r="AB36" s="124">
        <f>SUM(Z36/V36)-1</f>
        <v>-2.3443815683104274E-2</v>
      </c>
    </row>
    <row r="37" spans="1:28" ht="12.75" customHeight="1">
      <c r="B37" s="23" t="s">
        <v>192</v>
      </c>
      <c r="C37" s="139">
        <f>'Historical Financials'!C118</f>
        <v>-3309</v>
      </c>
      <c r="D37" s="139">
        <f>'Historical Financials'!D118</f>
        <v>-3556</v>
      </c>
      <c r="E37" s="139">
        <f>'Historical Financials'!E118</f>
        <v>-3836</v>
      </c>
      <c r="G37" s="139">
        <f>'Historical Financials'!G118</f>
        <v>-890</v>
      </c>
      <c r="H37" s="139">
        <f>'Historical Financials'!H118</f>
        <v>-890</v>
      </c>
      <c r="I37" s="139">
        <f>'Historical Financials'!I118</f>
        <v>-888</v>
      </c>
      <c r="J37" s="139">
        <f>'Historical Financials'!J118</f>
        <v>-888</v>
      </c>
      <c r="K37" s="139">
        <f>'Historical Financials'!K118</f>
        <v>-957</v>
      </c>
      <c r="L37" s="139">
        <f>'Historical Financials'!L118</f>
        <v>-961</v>
      </c>
      <c r="M37" s="139">
        <f>'Historical Financials'!M118</f>
        <v>-960</v>
      </c>
      <c r="N37" s="139">
        <f>'Historical Financials'!N118</f>
        <v>-958</v>
      </c>
      <c r="O37" s="139">
        <f>'Historical Financials'!O118</f>
        <v>-1026</v>
      </c>
      <c r="P37" s="139">
        <f>'Historical Financials'!P118</f>
        <v>-1029</v>
      </c>
      <c r="Q37" s="139">
        <f>'Historical Financials'!Q118</f>
        <v>-1031</v>
      </c>
      <c r="S37" s="10">
        <f t="shared" ref="S37" si="52">SUM(G37:J37)</f>
        <v>-3556</v>
      </c>
      <c r="T37" s="10">
        <f t="shared" ref="T37" si="53">SUM(H37:K37)</f>
        <v>-3623</v>
      </c>
      <c r="U37" s="10">
        <f t="shared" ref="U37" si="54">SUM(I37:L37)</f>
        <v>-3694</v>
      </c>
      <c r="V37" s="140">
        <f t="shared" ref="V37" si="55">SUM(J37:M37)</f>
        <v>-3766</v>
      </c>
      <c r="W37" s="140">
        <f t="shared" ref="W37" si="56">SUM(K37:N37)</f>
        <v>-3836</v>
      </c>
      <c r="X37" s="140">
        <f t="shared" ref="X37" si="57">SUM(L37:O37)</f>
        <v>-3905</v>
      </c>
      <c r="Y37" s="140">
        <f t="shared" ref="Y37" si="58">SUM(M37:P37)</f>
        <v>-3973</v>
      </c>
      <c r="Z37" s="140">
        <f>SUM(N37:Q37)</f>
        <v>-4044</v>
      </c>
      <c r="AB37" s="124">
        <f>SUM(Z37/V37)-1</f>
        <v>7.3818374933616537E-2</v>
      </c>
    </row>
    <row r="38" spans="1:28" ht="12.75" customHeight="1">
      <c r="B38" s="23" t="s">
        <v>36</v>
      </c>
      <c r="C38" s="139">
        <f>SUM('Historical Financials'!C102:C105)</f>
        <v>-1136</v>
      </c>
      <c r="D38" s="139">
        <f>SUM('Historical Financials'!D102:D105)</f>
        <v>-1890</v>
      </c>
      <c r="E38" s="139">
        <f>SUM('Historical Financials'!E102:E105)</f>
        <v>-1189</v>
      </c>
      <c r="G38" s="139">
        <f>SUM('Historical Financials'!G102:G105)</f>
        <v>-186</v>
      </c>
      <c r="H38" s="139">
        <f>SUM('Historical Financials'!H102:H105)</f>
        <v>-444</v>
      </c>
      <c r="I38" s="139">
        <f>SUM('Historical Financials'!I102:I105)</f>
        <v>-321</v>
      </c>
      <c r="J38" s="139">
        <f>SUM('Historical Financials'!J102:J105)</f>
        <v>-939</v>
      </c>
      <c r="K38" s="139">
        <f>SUM('Historical Financials'!K102:K105)</f>
        <v>-561</v>
      </c>
      <c r="L38" s="139">
        <f>SUM('Historical Financials'!L102:L105)</f>
        <v>-428</v>
      </c>
      <c r="M38" s="139">
        <f>SUM('Historical Financials'!M102:M105)</f>
        <v>163</v>
      </c>
      <c r="N38" s="139">
        <f>SUM('Historical Financials'!N102:N105)</f>
        <v>-363</v>
      </c>
      <c r="O38" s="139">
        <f>SUM('Historical Financials'!O102:O105)</f>
        <v>-517</v>
      </c>
      <c r="P38" s="139">
        <f>SUM('Historical Financials'!P102:P105)</f>
        <v>-407</v>
      </c>
      <c r="Q38" s="139">
        <f>SUM('Historical Financials'!Q102:Q105)</f>
        <v>11</v>
      </c>
      <c r="S38" s="10">
        <f t="shared" si="44"/>
        <v>-1890</v>
      </c>
      <c r="T38" s="10">
        <f t="shared" si="44"/>
        <v>-2265</v>
      </c>
      <c r="U38" s="10">
        <f t="shared" si="44"/>
        <v>-2249</v>
      </c>
      <c r="V38" s="140">
        <f t="shared" si="44"/>
        <v>-1765</v>
      </c>
      <c r="W38" s="140">
        <f t="shared" si="44"/>
        <v>-1189</v>
      </c>
      <c r="X38" s="140">
        <f t="shared" si="44"/>
        <v>-1145</v>
      </c>
      <c r="Y38" s="140">
        <f t="shared" si="44"/>
        <v>-1124</v>
      </c>
      <c r="Z38" s="140">
        <f t="shared" si="44"/>
        <v>-1276</v>
      </c>
      <c r="AB38" s="124">
        <f>SUM(Z38/V38)-1</f>
        <v>-0.27705382436260628</v>
      </c>
    </row>
    <row r="39" spans="1:28" ht="12.75" customHeight="1">
      <c r="B39" s="13" t="s">
        <v>37</v>
      </c>
      <c r="C39" s="14">
        <f>SUM(C31+SUM(C34:C38))</f>
        <v>3665</v>
      </c>
      <c r="D39" s="14">
        <f>SUM(D31+SUM(D34:D38))</f>
        <v>580</v>
      </c>
      <c r="E39" s="14">
        <f>SUM(E31+SUM(E34:E38))</f>
        <v>1157</v>
      </c>
      <c r="G39" s="14">
        <f t="shared" ref="G39:P39" si="59">SUM(G31+SUM(G34:G38))</f>
        <v>605.75</v>
      </c>
      <c r="H39" s="14">
        <f t="shared" si="59"/>
        <v>98.75</v>
      </c>
      <c r="I39" s="14">
        <f t="shared" si="59"/>
        <v>284.75</v>
      </c>
      <c r="J39" s="14">
        <f t="shared" si="59"/>
        <v>-409.25</v>
      </c>
      <c r="K39" s="14">
        <f t="shared" si="59"/>
        <v>-2.75</v>
      </c>
      <c r="L39" s="14">
        <f t="shared" si="59"/>
        <v>111.25</v>
      </c>
      <c r="M39" s="14">
        <f t="shared" si="59"/>
        <v>842.25</v>
      </c>
      <c r="N39" s="14">
        <f t="shared" si="59"/>
        <v>206.25</v>
      </c>
      <c r="O39" s="14">
        <f t="shared" si="59"/>
        <v>129.25</v>
      </c>
      <c r="P39" s="14">
        <f t="shared" si="59"/>
        <v>451.25</v>
      </c>
      <c r="Q39" s="14">
        <f>SUM(Q31+SUM(Q34:Q38))</f>
        <v>870.25</v>
      </c>
      <c r="S39" s="14">
        <f t="shared" ref="S39:Z39" si="60">SUM(S31+SUM(S34:S38))</f>
        <v>580</v>
      </c>
      <c r="T39" s="14">
        <f t="shared" si="60"/>
        <v>-28.5</v>
      </c>
      <c r="U39" s="14">
        <f t="shared" si="60"/>
        <v>-16</v>
      </c>
      <c r="V39" s="14">
        <f t="shared" si="60"/>
        <v>541.5</v>
      </c>
      <c r="W39" s="14">
        <f t="shared" si="60"/>
        <v>1157</v>
      </c>
      <c r="X39" s="14">
        <f t="shared" si="60"/>
        <v>1289</v>
      </c>
      <c r="Y39" s="14">
        <f t="shared" si="60"/>
        <v>1629</v>
      </c>
      <c r="Z39" s="14">
        <f t="shared" si="60"/>
        <v>1657</v>
      </c>
      <c r="AB39" s="125">
        <f>SUM(Z39/V39)-1</f>
        <v>2.0600184672206834</v>
      </c>
    </row>
    <row r="40" spans="1:28" ht="5.0999999999999996" customHeight="1"/>
    <row r="41" spans="1:28" ht="12.75" customHeight="1">
      <c r="B41" s="30" t="s">
        <v>193</v>
      </c>
      <c r="C41" s="139">
        <f>'Historical Financials'!C110</f>
        <v>48</v>
      </c>
      <c r="D41" s="139">
        <f>'Historical Financials'!D110</f>
        <v>-837</v>
      </c>
      <c r="E41" s="139">
        <f>'Historical Financials'!E110</f>
        <v>1</v>
      </c>
      <c r="F41" s="31"/>
      <c r="G41" s="139">
        <f>'Historical Financials'!G110</f>
        <v>0</v>
      </c>
      <c r="H41" s="139">
        <f>'Historical Financials'!H110</f>
        <v>-786</v>
      </c>
      <c r="I41" s="139">
        <f>'Historical Financials'!I110</f>
        <v>-51</v>
      </c>
      <c r="J41" s="139">
        <f>'Historical Financials'!J110</f>
        <v>0</v>
      </c>
      <c r="K41" s="139">
        <f>'Historical Financials'!K110</f>
        <v>0</v>
      </c>
      <c r="L41" s="139">
        <f>'Historical Financials'!L110</f>
        <v>1</v>
      </c>
      <c r="M41" s="139">
        <f>'Historical Financials'!M110</f>
        <v>0</v>
      </c>
      <c r="N41" s="139">
        <f>'Historical Financials'!N110</f>
        <v>0</v>
      </c>
      <c r="O41" s="139">
        <f>'Historical Financials'!O110</f>
        <v>0</v>
      </c>
      <c r="P41" s="139">
        <f>'Historical Financials'!P110</f>
        <v>-30</v>
      </c>
      <c r="Q41" s="139">
        <f>'Historical Financials'!Q110</f>
        <v>-55</v>
      </c>
      <c r="S41" s="140">
        <f t="shared" ref="S41:Y45" si="61">SUM(G41:J41)</f>
        <v>-837</v>
      </c>
      <c r="T41" s="140">
        <f t="shared" si="61"/>
        <v>-837</v>
      </c>
      <c r="U41" s="140">
        <f t="shared" si="61"/>
        <v>-50</v>
      </c>
      <c r="V41" s="140">
        <f t="shared" si="61"/>
        <v>1</v>
      </c>
      <c r="W41" s="140">
        <f t="shared" si="61"/>
        <v>1</v>
      </c>
      <c r="X41" s="140">
        <f t="shared" si="61"/>
        <v>1</v>
      </c>
      <c r="Y41" s="140">
        <f t="shared" si="61"/>
        <v>-30</v>
      </c>
      <c r="Z41" s="140">
        <f t="shared" ref="Z41:Z45" si="62">SUM(N41:Q41)</f>
        <v>-85</v>
      </c>
    </row>
    <row r="42" spans="1:28" ht="12.75" customHeight="1">
      <c r="B42" s="30" t="s">
        <v>194</v>
      </c>
      <c r="C42" s="139">
        <f>'Historical Financials'!C111</f>
        <v>-33</v>
      </c>
      <c r="D42" s="139">
        <f>'Historical Financials'!D111</f>
        <v>-116</v>
      </c>
      <c r="E42" s="139">
        <f>'Historical Financials'!E111</f>
        <v>-141</v>
      </c>
      <c r="F42" s="31"/>
      <c r="G42" s="139">
        <f>'Historical Financials'!G111</f>
        <v>-86</v>
      </c>
      <c r="H42" s="139">
        <f>'Historical Financials'!H111</f>
        <v>79</v>
      </c>
      <c r="I42" s="139">
        <f>'Historical Financials'!I111</f>
        <v>-38</v>
      </c>
      <c r="J42" s="139">
        <f>'Historical Financials'!J111</f>
        <v>-71</v>
      </c>
      <c r="K42" s="139">
        <f>'Historical Financials'!K111</f>
        <v>-28</v>
      </c>
      <c r="L42" s="139">
        <f>'Historical Financials'!L111</f>
        <v>77</v>
      </c>
      <c r="M42" s="139">
        <f>'Historical Financials'!M111</f>
        <v>-40</v>
      </c>
      <c r="N42" s="139">
        <f>'Historical Financials'!N111</f>
        <v>-150</v>
      </c>
      <c r="O42" s="139">
        <f>'Historical Financials'!O111</f>
        <v>8</v>
      </c>
      <c r="P42" s="139">
        <f>'Historical Financials'!P111</f>
        <v>-52</v>
      </c>
      <c r="Q42" s="139">
        <f>'Historical Financials'!Q111</f>
        <v>90</v>
      </c>
      <c r="S42" s="140">
        <f t="shared" si="61"/>
        <v>-116</v>
      </c>
      <c r="T42" s="140">
        <f t="shared" si="61"/>
        <v>-58</v>
      </c>
      <c r="U42" s="140">
        <f t="shared" si="61"/>
        <v>-60</v>
      </c>
      <c r="V42" s="140">
        <f t="shared" si="61"/>
        <v>-62</v>
      </c>
      <c r="W42" s="140">
        <f t="shared" si="61"/>
        <v>-141</v>
      </c>
      <c r="X42" s="140">
        <f t="shared" si="61"/>
        <v>-105</v>
      </c>
      <c r="Y42" s="140">
        <f t="shared" si="61"/>
        <v>-234</v>
      </c>
      <c r="Z42" s="140">
        <f t="shared" si="62"/>
        <v>-104</v>
      </c>
    </row>
    <row r="43" spans="1:28" ht="12.75" customHeight="1">
      <c r="B43" s="30" t="s">
        <v>195</v>
      </c>
      <c r="C43" s="139">
        <f>'Historical Financials'!C116</f>
        <v>-699</v>
      </c>
      <c r="D43" s="139">
        <f>'Historical Financials'!D116</f>
        <v>-2475</v>
      </c>
      <c r="E43" s="139">
        <f>'Historical Financials'!E116</f>
        <v>-537</v>
      </c>
      <c r="F43" s="31"/>
      <c r="G43" s="139">
        <f>'Historical Financials'!G116</f>
        <v>-42</v>
      </c>
      <c r="H43" s="139">
        <f>'Historical Financials'!H116</f>
        <v>12</v>
      </c>
      <c r="I43" s="139">
        <f>'Historical Financials'!I116</f>
        <v>-1506</v>
      </c>
      <c r="J43" s="139">
        <f>'Historical Financials'!J116</f>
        <v>-939</v>
      </c>
      <c r="K43" s="139">
        <f>'Historical Financials'!K116</f>
        <v>-127</v>
      </c>
      <c r="L43" s="139">
        <f>'Historical Financials'!L116</f>
        <v>160</v>
      </c>
      <c r="M43" s="139">
        <f>'Historical Financials'!M116</f>
        <v>43</v>
      </c>
      <c r="N43" s="139">
        <f>'Historical Financials'!N116</f>
        <v>-613</v>
      </c>
      <c r="O43" s="139">
        <f>'Historical Financials'!O116</f>
        <v>-1036</v>
      </c>
      <c r="P43" s="139">
        <f>'Historical Financials'!P116</f>
        <v>-15</v>
      </c>
      <c r="Q43" s="139">
        <f>'Historical Financials'!Q116</f>
        <v>-493</v>
      </c>
      <c r="S43" s="140">
        <f t="shared" si="61"/>
        <v>-2475</v>
      </c>
      <c r="T43" s="140">
        <f t="shared" si="61"/>
        <v>-2560</v>
      </c>
      <c r="U43" s="140">
        <f t="shared" si="61"/>
        <v>-2412</v>
      </c>
      <c r="V43" s="140">
        <f t="shared" si="61"/>
        <v>-863</v>
      </c>
      <c r="W43" s="140">
        <f t="shared" si="61"/>
        <v>-537</v>
      </c>
      <c r="X43" s="140">
        <f t="shared" si="61"/>
        <v>-1446</v>
      </c>
      <c r="Y43" s="140">
        <f t="shared" si="61"/>
        <v>-1621</v>
      </c>
      <c r="Z43" s="140">
        <f t="shared" si="62"/>
        <v>-2157</v>
      </c>
    </row>
    <row r="44" spans="1:28" ht="12.75" customHeight="1">
      <c r="B44" s="30" t="s">
        <v>196</v>
      </c>
      <c r="C44" s="139">
        <f>'Historical Financials'!C117</f>
        <v>-3628</v>
      </c>
      <c r="D44" s="139">
        <f>'Historical Financials'!D117</f>
        <v>-1060</v>
      </c>
      <c r="E44" s="139">
        <f>'Historical Financials'!E117</f>
        <v>-1031</v>
      </c>
      <c r="F44" s="31"/>
      <c r="G44" s="139">
        <f>'Historical Financials'!G117</f>
        <v>-478</v>
      </c>
      <c r="H44" s="139">
        <f>'Historical Financials'!H117</f>
        <v>-411</v>
      </c>
      <c r="I44" s="139">
        <f>'Historical Financials'!I117</f>
        <v>54</v>
      </c>
      <c r="J44" s="139">
        <f>'Historical Financials'!J117</f>
        <v>-225</v>
      </c>
      <c r="K44" s="139">
        <f>'Historical Financials'!K117</f>
        <v>-92</v>
      </c>
      <c r="L44" s="139">
        <f>'Historical Financials'!L117</f>
        <v>10</v>
      </c>
      <c r="M44" s="139">
        <f>'Historical Financials'!M117</f>
        <v>-659</v>
      </c>
      <c r="N44" s="139">
        <f>'Historical Financials'!N117</f>
        <v>-290</v>
      </c>
      <c r="O44" s="139">
        <f>'Historical Financials'!O117</f>
        <v>7</v>
      </c>
      <c r="P44" s="139">
        <f>'Historical Financials'!P117</f>
        <v>29</v>
      </c>
      <c r="Q44" s="139">
        <f>'Historical Financials'!Q117</f>
        <v>-236</v>
      </c>
      <c r="S44" s="140">
        <f t="shared" si="61"/>
        <v>-1060</v>
      </c>
      <c r="T44" s="140">
        <f t="shared" si="61"/>
        <v>-674</v>
      </c>
      <c r="U44" s="140">
        <f t="shared" si="61"/>
        <v>-253</v>
      </c>
      <c r="V44" s="140">
        <f t="shared" si="61"/>
        <v>-966</v>
      </c>
      <c r="W44" s="140">
        <f t="shared" si="61"/>
        <v>-1031</v>
      </c>
      <c r="X44" s="140">
        <f t="shared" si="61"/>
        <v>-932</v>
      </c>
      <c r="Y44" s="140">
        <f t="shared" si="61"/>
        <v>-913</v>
      </c>
      <c r="Z44" s="140">
        <f t="shared" si="62"/>
        <v>-490</v>
      </c>
    </row>
    <row r="45" spans="1:28" ht="12.75" customHeight="1">
      <c r="B45" s="30" t="s">
        <v>64</v>
      </c>
      <c r="C45" s="94"/>
      <c r="D45" s="94">
        <f>SUM(D50-C50)-SUM(D39:D44)</f>
        <v>922</v>
      </c>
      <c r="E45" s="94">
        <f>SUM(E50-D50)-SUM(E39:E44)</f>
        <v>1271</v>
      </c>
      <c r="F45" s="31"/>
      <c r="G45" s="94">
        <f>SUM(G50-C50)-SUM(G39:G44)</f>
        <v>-720.75</v>
      </c>
      <c r="H45" s="94">
        <f>SUM(H50-G50)-SUM(H39:H44)</f>
        <v>-318.75</v>
      </c>
      <c r="I45" s="94">
        <f>SUM(I50-H50)-SUM(I39:I44)</f>
        <v>130.25</v>
      </c>
      <c r="J45" s="94">
        <f>SUM(J50-I50)-SUM(J39:J44)</f>
        <v>1831.25</v>
      </c>
      <c r="K45" s="94">
        <f>SUM(K50-J50)-SUM(K39:K44)</f>
        <v>-362.25</v>
      </c>
      <c r="L45" s="94">
        <f>SUM(L50-K50)-SUM(L39:L44)</f>
        <v>343.75</v>
      </c>
      <c r="M45" s="94">
        <f>SUM(M50-L50)-SUM(M39:M44)</f>
        <v>384.75</v>
      </c>
      <c r="N45" s="94">
        <f>SUM(N50-M50)-SUM(N39:N44)</f>
        <v>904.75</v>
      </c>
      <c r="O45" s="94">
        <f>SUM(O50-N50)-SUM(O39:O44)</f>
        <v>-192.25</v>
      </c>
      <c r="P45" s="94">
        <f>SUM(P50-O50)-SUM(P39:P44)</f>
        <v>35.75</v>
      </c>
      <c r="Q45" s="94">
        <f>SUM(Q50-P50)-SUM(Q39:Q44)</f>
        <v>383.75</v>
      </c>
      <c r="S45" s="140">
        <f t="shared" si="61"/>
        <v>922</v>
      </c>
      <c r="T45" s="140">
        <f t="shared" si="61"/>
        <v>1280.5</v>
      </c>
      <c r="U45" s="140">
        <f t="shared" si="61"/>
        <v>1943</v>
      </c>
      <c r="V45" s="140">
        <f t="shared" si="61"/>
        <v>2197.5</v>
      </c>
      <c r="W45" s="140">
        <f t="shared" si="61"/>
        <v>1271</v>
      </c>
      <c r="X45" s="140">
        <f t="shared" si="61"/>
        <v>1441</v>
      </c>
      <c r="Y45" s="140">
        <f t="shared" si="61"/>
        <v>1133</v>
      </c>
      <c r="Z45" s="140">
        <f t="shared" si="62"/>
        <v>1132</v>
      </c>
    </row>
    <row r="46" spans="1:28" ht="12.75" customHeight="1">
      <c r="B46" s="13" t="s">
        <v>38</v>
      </c>
      <c r="C46" s="14">
        <f>SUM(C39+SUM(C41:C45))</f>
        <v>-647</v>
      </c>
      <c r="D46" s="14">
        <f>SUM(D39+SUM(D41:D45))</f>
        <v>-2986</v>
      </c>
      <c r="E46" s="14">
        <f>SUM(E39+SUM(E41:E45))</f>
        <v>720</v>
      </c>
      <c r="G46" s="14">
        <f>SUM(G39+SUM(G41:G45))</f>
        <v>-721</v>
      </c>
      <c r="H46" s="14">
        <f>SUM(H39+SUM(H41:H45))</f>
        <v>-1326</v>
      </c>
      <c r="I46" s="14">
        <f>SUM(I39+SUM(I41:I45))</f>
        <v>-1126</v>
      </c>
      <c r="J46" s="14">
        <f>SUM(J39+SUM(J41:J45))</f>
        <v>187</v>
      </c>
      <c r="K46" s="14">
        <f>SUM(K39+SUM(K41:K45))</f>
        <v>-612</v>
      </c>
      <c r="L46" s="14">
        <f>SUM(L39+SUM(L41:L45))</f>
        <v>703</v>
      </c>
      <c r="M46" s="14">
        <f>SUM(M39+SUM(M41:M45))</f>
        <v>571</v>
      </c>
      <c r="N46" s="14">
        <f>SUM(N39+SUM(N41:N45))</f>
        <v>58</v>
      </c>
      <c r="O46" s="14">
        <f>SUM(O39+SUM(O41:O45))</f>
        <v>-1084</v>
      </c>
      <c r="P46" s="14">
        <f>SUM(P39+SUM(P41:P45))</f>
        <v>419</v>
      </c>
      <c r="Q46" s="14">
        <f>SUM(Q39+SUM(Q41:Q45))</f>
        <v>560</v>
      </c>
      <c r="S46" s="14">
        <f>SUM(S39+SUM(S41:S45))</f>
        <v>-2986</v>
      </c>
      <c r="T46" s="14">
        <f>SUM(T39+SUM(T41:T45))</f>
        <v>-2877</v>
      </c>
      <c r="U46" s="14">
        <f>SUM(U39+SUM(U41:U45))</f>
        <v>-848</v>
      </c>
      <c r="V46" s="14">
        <f>SUM(V39+SUM(V41:V45))</f>
        <v>849</v>
      </c>
      <c r="W46" s="14">
        <f>SUM(W39+SUM(W41:W45))</f>
        <v>720</v>
      </c>
      <c r="X46" s="14">
        <f>SUM(X39+SUM(X41:X45))</f>
        <v>248</v>
      </c>
      <c r="Y46" s="14">
        <f>SUM(Y39+SUM(Y41:Y45))</f>
        <v>-36</v>
      </c>
      <c r="Z46" s="14">
        <f>SUM(Z39+SUM(Z41:Z45))</f>
        <v>-47</v>
      </c>
    </row>
    <row r="47" spans="1:28" ht="5.0999999999999996" customHeight="1"/>
    <row r="48" spans="1:28" ht="12.75" customHeight="1">
      <c r="A48" s="5"/>
      <c r="B48" s="32" t="s">
        <v>39</v>
      </c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</row>
    <row r="49" spans="2:26" ht="5.0999999999999996" customHeight="1"/>
    <row r="50" spans="2:26" ht="12.75" customHeight="1">
      <c r="B50" s="8" t="s">
        <v>197</v>
      </c>
      <c r="C50" s="92">
        <f>'Historical Financials'!C45</f>
        <v>9882</v>
      </c>
      <c r="D50" s="92">
        <f>'Historical Financials'!D45</f>
        <v>6896</v>
      </c>
      <c r="E50" s="92">
        <f>'Historical Financials'!E45</f>
        <v>7616</v>
      </c>
      <c r="F50" s="31"/>
      <c r="G50" s="92">
        <f>'Historical Financials'!G45</f>
        <v>9161</v>
      </c>
      <c r="H50" s="92">
        <f>'Historical Financials'!H45</f>
        <v>7835</v>
      </c>
      <c r="I50" s="92">
        <f>'Historical Financials'!I45</f>
        <v>6709</v>
      </c>
      <c r="J50" s="92">
        <f>'Historical Financials'!J45</f>
        <v>6896</v>
      </c>
      <c r="K50" s="92">
        <f>'Historical Financials'!K45</f>
        <v>6284</v>
      </c>
      <c r="L50" s="92">
        <f>'Historical Financials'!L45</f>
        <v>6987</v>
      </c>
      <c r="M50" s="92">
        <f>'Historical Financials'!M45</f>
        <v>7558</v>
      </c>
      <c r="N50" s="92">
        <f>'Historical Financials'!N45</f>
        <v>7616</v>
      </c>
      <c r="O50" s="92">
        <f>'Historical Financials'!O45</f>
        <v>6532</v>
      </c>
      <c r="P50" s="92">
        <f>'Historical Financials'!P45</f>
        <v>6951</v>
      </c>
      <c r="Q50" s="92">
        <f>'Historical Financials'!Q45</f>
        <v>7511</v>
      </c>
      <c r="S50" s="10">
        <f t="shared" ref="S50:Y51" si="63">J50</f>
        <v>6896</v>
      </c>
      <c r="T50" s="10">
        <f t="shared" si="63"/>
        <v>6284</v>
      </c>
      <c r="U50" s="10">
        <f t="shared" si="63"/>
        <v>6987</v>
      </c>
      <c r="V50" s="10">
        <f t="shared" si="63"/>
        <v>7558</v>
      </c>
      <c r="W50" s="10">
        <f t="shared" si="63"/>
        <v>7616</v>
      </c>
      <c r="X50" s="10">
        <f t="shared" si="63"/>
        <v>6532</v>
      </c>
      <c r="Y50" s="10">
        <f t="shared" si="63"/>
        <v>6951</v>
      </c>
      <c r="Z50" s="10">
        <f>Q50</f>
        <v>7511</v>
      </c>
    </row>
    <row r="51" spans="2:26" ht="12.75" customHeight="1">
      <c r="B51" s="8" t="s">
        <v>102</v>
      </c>
      <c r="C51" s="92">
        <f>'Historical Financials'!C46</f>
        <v>288</v>
      </c>
      <c r="D51" s="92">
        <f>'Historical Financials'!D46</f>
        <v>383</v>
      </c>
      <c r="E51" s="92">
        <f>'Historical Financials'!E46</f>
        <v>351</v>
      </c>
      <c r="F51" s="31"/>
      <c r="G51" s="92">
        <f>'Historical Financials'!G46</f>
        <v>371</v>
      </c>
      <c r="H51" s="92">
        <f>'Historical Financials'!H46</f>
        <v>320</v>
      </c>
      <c r="I51" s="92">
        <f>'Historical Financials'!I46</f>
        <v>338</v>
      </c>
      <c r="J51" s="92">
        <f>'Historical Financials'!J46</f>
        <v>383</v>
      </c>
      <c r="K51" s="92">
        <f>'Historical Financials'!K46</f>
        <v>367</v>
      </c>
      <c r="L51" s="92">
        <f>'Historical Financials'!L46</f>
        <v>232</v>
      </c>
      <c r="M51" s="92">
        <f>'Historical Financials'!M46</f>
        <v>230</v>
      </c>
      <c r="N51" s="92">
        <f>'Historical Financials'!N46</f>
        <v>351</v>
      </c>
      <c r="O51" s="92">
        <f>'Historical Financials'!O46</f>
        <v>312</v>
      </c>
      <c r="P51" s="92">
        <f>'Historical Financials'!P46</f>
        <v>331</v>
      </c>
      <c r="Q51" s="92">
        <f>'Historical Financials'!Q46</f>
        <v>222</v>
      </c>
      <c r="S51" s="10">
        <f t="shared" si="63"/>
        <v>383</v>
      </c>
      <c r="T51" s="10">
        <f t="shared" si="63"/>
        <v>367</v>
      </c>
      <c r="U51" s="10">
        <f t="shared" si="63"/>
        <v>232</v>
      </c>
      <c r="V51" s="10">
        <f t="shared" si="63"/>
        <v>230</v>
      </c>
      <c r="W51" s="10">
        <f t="shared" si="63"/>
        <v>351</v>
      </c>
      <c r="X51" s="10">
        <f t="shared" si="63"/>
        <v>312</v>
      </c>
      <c r="Y51" s="10">
        <f t="shared" si="63"/>
        <v>331</v>
      </c>
      <c r="Z51" s="10">
        <f>Q51</f>
        <v>222</v>
      </c>
    </row>
    <row r="52" spans="2:26" ht="12.75" customHeight="1">
      <c r="B52" s="13" t="s">
        <v>40</v>
      </c>
      <c r="C52" s="14">
        <f>SUM(C50:C51)</f>
        <v>10170</v>
      </c>
      <c r="D52" s="14">
        <f>SUM(D50:D51)</f>
        <v>7279</v>
      </c>
      <c r="E52" s="14">
        <f>SUM(E50:E51)</f>
        <v>7967</v>
      </c>
      <c r="F52" s="31"/>
      <c r="G52" s="14">
        <f>SUM(G50:G51)</f>
        <v>9532</v>
      </c>
      <c r="H52" s="14">
        <f>SUM(H50:H51)</f>
        <v>8155</v>
      </c>
      <c r="I52" s="14">
        <f>SUM(I50:I51)</f>
        <v>7047</v>
      </c>
      <c r="J52" s="14">
        <f>SUM(J50:J51)</f>
        <v>7279</v>
      </c>
      <c r="K52" s="14">
        <f>SUM(K50:K51)</f>
        <v>6651</v>
      </c>
      <c r="L52" s="14">
        <f>SUM(L50:L51)</f>
        <v>7219</v>
      </c>
      <c r="M52" s="14">
        <f>SUM(M50:M51)</f>
        <v>7788</v>
      </c>
      <c r="N52" s="14">
        <f>SUM(N50:N51)</f>
        <v>7967</v>
      </c>
      <c r="O52" s="14">
        <f>SUM(O50:O51)</f>
        <v>6844</v>
      </c>
      <c r="P52" s="14">
        <f>SUM(P50:P51)</f>
        <v>7282</v>
      </c>
      <c r="Q52" s="14">
        <f>SUM(Q50:Q51)</f>
        <v>7733</v>
      </c>
      <c r="S52" s="14">
        <f>SUM(S50:S50)</f>
        <v>6896</v>
      </c>
      <c r="T52" s="14">
        <f>SUM(T50:T50)</f>
        <v>6284</v>
      </c>
      <c r="U52" s="14">
        <f>SUM(U50:U50)</f>
        <v>6987</v>
      </c>
      <c r="V52" s="14">
        <f>SUM(V50:V51)</f>
        <v>7788</v>
      </c>
      <c r="W52" s="14">
        <f>SUM(W50:W51)</f>
        <v>7967</v>
      </c>
      <c r="X52" s="14">
        <f>SUM(X50:X51)</f>
        <v>6844</v>
      </c>
      <c r="Y52" s="14">
        <f>SUM(Y50:Y51)</f>
        <v>7282</v>
      </c>
      <c r="Z52" s="14">
        <f>SUM(Z50:Z51)</f>
        <v>7733</v>
      </c>
    </row>
    <row r="53" spans="2:26" ht="12.75" hidden="1" customHeight="1" outlineLevel="1">
      <c r="B53" s="147" t="s">
        <v>103</v>
      </c>
      <c r="C53" s="148"/>
      <c r="D53" s="148"/>
      <c r="E53" s="148"/>
      <c r="F53" s="31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S53" s="148"/>
      <c r="T53" s="148"/>
      <c r="U53" s="148"/>
      <c r="V53" s="148"/>
      <c r="W53" s="148"/>
      <c r="X53" s="148"/>
      <c r="Y53" s="148"/>
      <c r="Z53" s="148"/>
    </row>
    <row r="54" spans="2:26" ht="12.75" hidden="1" customHeight="1" outlineLevel="1">
      <c r="B54" s="147" t="s">
        <v>104</v>
      </c>
      <c r="C54" s="148"/>
      <c r="D54" s="148"/>
      <c r="E54" s="148"/>
      <c r="F54" s="31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S54" s="148"/>
      <c r="T54" s="148"/>
      <c r="U54" s="148"/>
      <c r="V54" s="148"/>
      <c r="W54" s="148"/>
      <c r="X54" s="148"/>
      <c r="Y54" s="148"/>
      <c r="Z54" s="148"/>
    </row>
    <row r="55" spans="2:26" ht="5.0999999999999996" customHeight="1" collapsed="1"/>
    <row r="56" spans="2:26" ht="12.75" customHeight="1">
      <c r="B56" s="34" t="s">
        <v>41</v>
      </c>
    </row>
    <row r="57" spans="2:26" ht="12.75" customHeight="1">
      <c r="B57" s="8" t="s">
        <v>105</v>
      </c>
      <c r="C57" s="92">
        <f>'Historical Financials'!C47</f>
        <v>6218</v>
      </c>
      <c r="D57" s="92">
        <f>'Historical Financials'!D47</f>
        <v>6565</v>
      </c>
      <c r="E57" s="92">
        <f>'Historical Financials'!E47</f>
        <v>6925</v>
      </c>
      <c r="G57" s="92">
        <f>'Historical Financials'!G47</f>
        <v>6020</v>
      </c>
      <c r="H57" s="92">
        <f>'Historical Financials'!H47</f>
        <v>6172</v>
      </c>
      <c r="I57" s="92">
        <f>'Historical Financials'!I47</f>
        <v>6499</v>
      </c>
      <c r="J57" s="92">
        <f>'Historical Financials'!J47</f>
        <v>6565</v>
      </c>
      <c r="K57" s="92">
        <f>'Historical Financials'!K47</f>
        <v>6605</v>
      </c>
      <c r="L57" s="92">
        <f>'Historical Financials'!L47</f>
        <v>6854</v>
      </c>
      <c r="M57" s="92">
        <f>'Historical Financials'!M47</f>
        <v>7051</v>
      </c>
      <c r="N57" s="92">
        <f>'Historical Financials'!N47</f>
        <v>6925</v>
      </c>
      <c r="O57" s="92">
        <f>'Historical Financials'!O47</f>
        <v>7327</v>
      </c>
      <c r="P57" s="92">
        <f>'Historical Financials'!P47</f>
        <v>7972</v>
      </c>
      <c r="Q57" s="92">
        <f>'Historical Financials'!Q47</f>
        <v>8138</v>
      </c>
      <c r="R57" s="10"/>
      <c r="S57" s="10">
        <f t="shared" ref="S57:Y62" si="64">J57</f>
        <v>6565</v>
      </c>
      <c r="T57" s="10">
        <f t="shared" si="64"/>
        <v>6605</v>
      </c>
      <c r="U57" s="10">
        <f t="shared" si="64"/>
        <v>6854</v>
      </c>
      <c r="V57" s="10">
        <f t="shared" si="64"/>
        <v>7051</v>
      </c>
      <c r="W57" s="10">
        <f t="shared" si="64"/>
        <v>6925</v>
      </c>
      <c r="X57" s="10">
        <f t="shared" si="64"/>
        <v>7327</v>
      </c>
      <c r="Y57" s="10">
        <f t="shared" si="64"/>
        <v>7972</v>
      </c>
      <c r="Z57" s="10">
        <f t="shared" ref="Z57:Z62" si="65">Q57</f>
        <v>8138</v>
      </c>
    </row>
    <row r="58" spans="2:26" ht="12.75" customHeight="1">
      <c r="B58" s="8" t="s">
        <v>97</v>
      </c>
      <c r="C58" s="92">
        <f>'Historical Financials'!C48</f>
        <v>6173</v>
      </c>
      <c r="D58" s="92">
        <f>'Historical Financials'!D48</f>
        <v>6570</v>
      </c>
      <c r="E58" s="92">
        <f>'Historical Financials'!E48</f>
        <v>6194</v>
      </c>
      <c r="F58" s="92"/>
      <c r="G58" s="92">
        <f>'Historical Financials'!G48</f>
        <v>6673</v>
      </c>
      <c r="H58" s="92">
        <f>'Historical Financials'!H48</f>
        <v>6871</v>
      </c>
      <c r="I58" s="92">
        <f>'Historical Financials'!I48</f>
        <v>6650</v>
      </c>
      <c r="J58" s="92">
        <f>'Historical Financials'!J48</f>
        <v>6570</v>
      </c>
      <c r="K58" s="92">
        <f>'Historical Financials'!K48</f>
        <v>6827</v>
      </c>
      <c r="L58" s="92">
        <f>'Historical Financials'!L48</f>
        <v>6814</v>
      </c>
      <c r="M58" s="92">
        <f>'Historical Financials'!M48</f>
        <v>6813</v>
      </c>
      <c r="N58" s="92">
        <f>'Historical Financials'!N48</f>
        <v>6194</v>
      </c>
      <c r="O58" s="92">
        <f>'Historical Financials'!O48</f>
        <v>6639</v>
      </c>
      <c r="P58" s="92">
        <f>'Historical Financials'!P48</f>
        <v>6954</v>
      </c>
      <c r="Q58" s="92">
        <f>'Historical Financials'!Q48</f>
        <v>6708</v>
      </c>
      <c r="S58" s="10">
        <f t="shared" si="64"/>
        <v>6570</v>
      </c>
      <c r="T58" s="10">
        <f t="shared" si="64"/>
        <v>6827</v>
      </c>
      <c r="U58" s="10">
        <f t="shared" si="64"/>
        <v>6814</v>
      </c>
      <c r="V58" s="10">
        <f t="shared" si="64"/>
        <v>6813</v>
      </c>
      <c r="W58" s="10">
        <f t="shared" si="64"/>
        <v>6194</v>
      </c>
      <c r="X58" s="10">
        <f t="shared" si="64"/>
        <v>6639</v>
      </c>
      <c r="Y58" s="10">
        <f t="shared" si="64"/>
        <v>6954</v>
      </c>
      <c r="Z58" s="10">
        <f t="shared" si="65"/>
        <v>6708</v>
      </c>
    </row>
    <row r="59" spans="2:26" ht="12.75" customHeight="1">
      <c r="B59" s="8" t="s">
        <v>93</v>
      </c>
      <c r="C59" s="92">
        <f>'Historical Financials'!C54</f>
        <v>9162</v>
      </c>
      <c r="D59" s="92">
        <f>'Historical Financials'!D54</f>
        <v>10154</v>
      </c>
      <c r="E59" s="92">
        <f>'Historical Financials'!E54</f>
        <v>10658</v>
      </c>
      <c r="G59" s="92">
        <f>'Historical Financials'!G54</f>
        <v>9282</v>
      </c>
      <c r="H59" s="92">
        <f>'Historical Financials'!H54</f>
        <v>9449</v>
      </c>
      <c r="I59" s="92">
        <f>'Historical Financials'!I54</f>
        <v>9552</v>
      </c>
      <c r="J59" s="92">
        <f>'Historical Financials'!J54</f>
        <v>10154</v>
      </c>
      <c r="K59" s="92">
        <f>'Historical Financials'!K54</f>
        <v>10107</v>
      </c>
      <c r="L59" s="92">
        <f>'Historical Financials'!L54</f>
        <v>10233</v>
      </c>
      <c r="M59" s="92">
        <f>'Historical Financials'!M54</f>
        <v>10621</v>
      </c>
      <c r="N59" s="92">
        <f>'Historical Financials'!N54</f>
        <v>10658</v>
      </c>
      <c r="O59" s="92">
        <f>'Historical Financials'!O54</f>
        <v>10932</v>
      </c>
      <c r="P59" s="92">
        <f>'Historical Financials'!P54</f>
        <v>11395</v>
      </c>
      <c r="Q59" s="92">
        <f>'Historical Financials'!Q54</f>
        <v>11504</v>
      </c>
      <c r="R59" s="10"/>
      <c r="S59" s="10">
        <f t="shared" si="64"/>
        <v>10154</v>
      </c>
      <c r="T59" s="10">
        <f t="shared" si="64"/>
        <v>10107</v>
      </c>
      <c r="U59" s="10">
        <f t="shared" si="64"/>
        <v>10233</v>
      </c>
      <c r="V59" s="10">
        <f t="shared" si="64"/>
        <v>10621</v>
      </c>
      <c r="W59" s="10">
        <f t="shared" si="64"/>
        <v>10658</v>
      </c>
      <c r="X59" s="10">
        <f t="shared" si="64"/>
        <v>10932</v>
      </c>
      <c r="Y59" s="10">
        <f t="shared" si="64"/>
        <v>11395</v>
      </c>
      <c r="Z59" s="10">
        <f t="shared" si="65"/>
        <v>11504</v>
      </c>
    </row>
    <row r="60" spans="2:26" ht="12.75" customHeight="1">
      <c r="B60" s="8" t="s">
        <v>42</v>
      </c>
      <c r="C60" s="92">
        <f>'Historical Financials'!C61</f>
        <v>4607</v>
      </c>
      <c r="D60" s="92">
        <f>'Historical Financials'!D61</f>
        <v>4295</v>
      </c>
      <c r="E60" s="92">
        <f>'Historical Financials'!E61</f>
        <v>4195</v>
      </c>
      <c r="F60" s="92"/>
      <c r="G60" s="92">
        <f>'Historical Financials'!G61</f>
        <v>4167</v>
      </c>
      <c r="H60" s="92">
        <f>'Historical Financials'!H61</f>
        <v>4211</v>
      </c>
      <c r="I60" s="92">
        <f>'Historical Financials'!I61</f>
        <v>3961</v>
      </c>
      <c r="J60" s="92">
        <f>'Historical Financials'!J61</f>
        <v>4295</v>
      </c>
      <c r="K60" s="92">
        <f>'Historical Financials'!K61</f>
        <v>4178</v>
      </c>
      <c r="L60" s="92">
        <f>'Historical Financials'!L61</f>
        <v>4125</v>
      </c>
      <c r="M60" s="92">
        <f>'Historical Financials'!M61</f>
        <v>4034</v>
      </c>
      <c r="N60" s="92">
        <f>'Historical Financials'!N61</f>
        <v>4195</v>
      </c>
      <c r="O60" s="92">
        <f>'Historical Financials'!O61</f>
        <v>4214</v>
      </c>
      <c r="P60" s="92">
        <f>'Historical Financials'!P61</f>
        <v>4306</v>
      </c>
      <c r="Q60" s="92">
        <f>'Historical Financials'!Q61</f>
        <v>4123</v>
      </c>
      <c r="S60" s="10">
        <f t="shared" si="64"/>
        <v>4295</v>
      </c>
      <c r="T60" s="10">
        <f t="shared" si="64"/>
        <v>4178</v>
      </c>
      <c r="U60" s="10">
        <f t="shared" si="64"/>
        <v>4125</v>
      </c>
      <c r="V60" s="10">
        <f t="shared" si="64"/>
        <v>4034</v>
      </c>
      <c r="W60" s="10">
        <f t="shared" si="64"/>
        <v>4195</v>
      </c>
      <c r="X60" s="10">
        <f t="shared" si="64"/>
        <v>4214</v>
      </c>
      <c r="Y60" s="10">
        <f t="shared" si="64"/>
        <v>4306</v>
      </c>
      <c r="Z60" s="10">
        <f t="shared" si="65"/>
        <v>4123</v>
      </c>
    </row>
    <row r="61" spans="2:26" ht="12.75" customHeight="1">
      <c r="B61" s="8" t="s">
        <v>43</v>
      </c>
      <c r="C61" s="92">
        <f>'Historical Financials'!C67</f>
        <v>15489</v>
      </c>
      <c r="D61" s="92">
        <f>'Historical Financials'!D67</f>
        <v>13841</v>
      </c>
      <c r="E61" s="92">
        <f>'Historical Financials'!E67</f>
        <v>14157</v>
      </c>
      <c r="F61" s="92"/>
      <c r="G61" s="92">
        <f>'Historical Financials'!G67</f>
        <v>14530</v>
      </c>
      <c r="H61" s="92">
        <f>'Historical Financials'!H67</f>
        <v>14350</v>
      </c>
      <c r="I61" s="92">
        <f>'Historical Financials'!I67</f>
        <v>13042</v>
      </c>
      <c r="J61" s="92">
        <f>'Historical Financials'!J67</f>
        <v>13841</v>
      </c>
      <c r="K61" s="92">
        <f>'Historical Financials'!K67</f>
        <v>14021</v>
      </c>
      <c r="L61" s="92">
        <f>'Historical Financials'!L67</f>
        <v>13760</v>
      </c>
      <c r="M61" s="92">
        <f>'Historical Financials'!M67</f>
        <v>14902</v>
      </c>
      <c r="N61" s="92">
        <f>'Historical Financials'!N67</f>
        <v>14157</v>
      </c>
      <c r="O61" s="92">
        <f>'Historical Financials'!O67</f>
        <v>13004</v>
      </c>
      <c r="P61" s="92">
        <f>'Historical Financials'!P67</f>
        <v>13439</v>
      </c>
      <c r="Q61" s="92">
        <f>'Historical Financials'!Q67</f>
        <v>14582</v>
      </c>
      <c r="S61" s="10">
        <f t="shared" si="64"/>
        <v>13841</v>
      </c>
      <c r="T61" s="10">
        <f t="shared" si="64"/>
        <v>14021</v>
      </c>
      <c r="U61" s="10">
        <f t="shared" si="64"/>
        <v>13760</v>
      </c>
      <c r="V61" s="10">
        <f t="shared" si="64"/>
        <v>14902</v>
      </c>
      <c r="W61" s="10">
        <f t="shared" si="64"/>
        <v>14157</v>
      </c>
      <c r="X61" s="10">
        <f t="shared" si="64"/>
        <v>13004</v>
      </c>
      <c r="Y61" s="10">
        <f t="shared" si="64"/>
        <v>13439</v>
      </c>
      <c r="Z61" s="10">
        <f t="shared" si="65"/>
        <v>14582</v>
      </c>
    </row>
    <row r="62" spans="2:26" ht="12.75" customHeight="1">
      <c r="B62" s="8" t="s">
        <v>14</v>
      </c>
      <c r="C62" s="92">
        <f>'Historical Financials'!C72</f>
        <v>37533</v>
      </c>
      <c r="D62" s="92">
        <f>'Historical Financials'!D72</f>
        <v>34387</v>
      </c>
      <c r="E62" s="92">
        <f>'Historical Financials'!E72</f>
        <v>33513</v>
      </c>
      <c r="F62" s="92"/>
      <c r="G62" s="92">
        <f>'Historical Financials'!G72</f>
        <v>36562</v>
      </c>
      <c r="H62" s="92">
        <f>'Historical Financials'!H72</f>
        <v>35950</v>
      </c>
      <c r="I62" s="92">
        <f>'Historical Financials'!I72</f>
        <v>34396</v>
      </c>
      <c r="J62" s="92">
        <f>'Historical Financials'!J72</f>
        <v>34387</v>
      </c>
      <c r="K62" s="92">
        <f>'Historical Financials'!K72</f>
        <v>33424</v>
      </c>
      <c r="L62" s="92">
        <f>'Historical Financials'!L72</f>
        <v>33457</v>
      </c>
      <c r="M62" s="92">
        <f>'Historical Financials'!M72</f>
        <v>34328</v>
      </c>
      <c r="N62" s="92">
        <f>'Historical Financials'!N72</f>
        <v>33513</v>
      </c>
      <c r="O62" s="92">
        <f>'Historical Financials'!O72</f>
        <v>32384</v>
      </c>
      <c r="P62" s="92">
        <f>'Historical Financials'!P72</f>
        <v>33170</v>
      </c>
      <c r="Q62" s="92">
        <f>'Historical Financials'!Q72</f>
        <v>32917</v>
      </c>
      <c r="S62" s="10">
        <f t="shared" si="64"/>
        <v>34387</v>
      </c>
      <c r="T62" s="10">
        <f t="shared" si="64"/>
        <v>33424</v>
      </c>
      <c r="U62" s="10">
        <f t="shared" si="64"/>
        <v>33457</v>
      </c>
      <c r="V62" s="10">
        <f t="shared" si="64"/>
        <v>34328</v>
      </c>
      <c r="W62" s="10">
        <f t="shared" si="64"/>
        <v>33513</v>
      </c>
      <c r="X62" s="10">
        <f t="shared" si="64"/>
        <v>32384</v>
      </c>
      <c r="Y62" s="10">
        <f t="shared" si="64"/>
        <v>33170</v>
      </c>
      <c r="Z62" s="10">
        <f t="shared" si="65"/>
        <v>32917</v>
      </c>
    </row>
    <row r="63" spans="2:26" ht="5.0999999999999996" customHeight="1">
      <c r="E63" s="10"/>
    </row>
    <row r="64" spans="2:26">
      <c r="B64" s="34" t="s">
        <v>90</v>
      </c>
      <c r="E64" s="10"/>
    </row>
    <row r="65" spans="1:26">
      <c r="B65" s="8" t="s">
        <v>91</v>
      </c>
      <c r="C65" s="92">
        <f>'Historical Financials'!C66</f>
        <v>2251</v>
      </c>
      <c r="D65" s="92">
        <f>'Historical Financials'!D66</f>
        <v>1080</v>
      </c>
      <c r="E65" s="92">
        <f>'Historical Financials'!E66</f>
        <v>1500</v>
      </c>
      <c r="G65" s="92">
        <f>'Historical Financials'!G66</f>
        <v>2285</v>
      </c>
      <c r="H65" s="92">
        <f>'Historical Financials'!H66</f>
        <v>2284</v>
      </c>
      <c r="I65" s="92">
        <f>'Historical Financials'!I66</f>
        <v>1051</v>
      </c>
      <c r="J65" s="92">
        <f>'Historical Financials'!J66</f>
        <v>1080</v>
      </c>
      <c r="K65" s="92">
        <f>'Historical Financials'!K66</f>
        <v>2010</v>
      </c>
      <c r="L65" s="92">
        <f>'Historical Financials'!L66</f>
        <v>1615</v>
      </c>
      <c r="M65" s="92">
        <f>'Historical Financials'!M66</f>
        <v>2154</v>
      </c>
      <c r="N65" s="92">
        <f>'Historical Financials'!N66</f>
        <v>1500</v>
      </c>
      <c r="O65" s="92">
        <f>'Historical Financials'!O66</f>
        <v>506</v>
      </c>
      <c r="P65" s="92">
        <f>'Historical Financials'!P66</f>
        <v>507</v>
      </c>
      <c r="Q65" s="92">
        <f>'Historical Financials'!Q66</f>
        <v>1345</v>
      </c>
      <c r="S65" s="10">
        <f t="shared" ref="S65:Y66" si="66">J65</f>
        <v>1080</v>
      </c>
      <c r="T65" s="10">
        <f t="shared" si="66"/>
        <v>2010</v>
      </c>
      <c r="U65" s="10">
        <f t="shared" si="66"/>
        <v>1615</v>
      </c>
      <c r="V65" s="10">
        <f t="shared" si="66"/>
        <v>2154</v>
      </c>
      <c r="W65" s="10">
        <f t="shared" si="66"/>
        <v>1500</v>
      </c>
      <c r="X65" s="10">
        <f t="shared" si="66"/>
        <v>506</v>
      </c>
      <c r="Y65" s="10">
        <f t="shared" si="66"/>
        <v>507</v>
      </c>
      <c r="Z65" s="10">
        <f>Q65</f>
        <v>1345</v>
      </c>
    </row>
    <row r="66" spans="1:26">
      <c r="B66" s="8" t="s">
        <v>92</v>
      </c>
      <c r="C66" s="92">
        <f>'Historical Financials'!C70</f>
        <v>14522</v>
      </c>
      <c r="D66" s="92">
        <f>'Historical Financials'!D70</f>
        <v>13599</v>
      </c>
      <c r="E66" s="92">
        <f>'Historical Financials'!E70</f>
        <v>12625</v>
      </c>
      <c r="G66" s="92">
        <f>'Historical Financials'!G70</f>
        <v>14615</v>
      </c>
      <c r="H66" s="92">
        <f>'Historical Financials'!H70</f>
        <v>14562</v>
      </c>
      <c r="I66" s="92">
        <f>'Historical Financials'!I70</f>
        <v>14477</v>
      </c>
      <c r="J66" s="92">
        <f>'Historical Financials'!J70</f>
        <v>13599</v>
      </c>
      <c r="K66" s="92">
        <f>'Historical Financials'!K70</f>
        <v>12576</v>
      </c>
      <c r="L66" s="92">
        <f>'Historical Financials'!L70</f>
        <v>13139</v>
      </c>
      <c r="M66" s="92">
        <f>'Historical Financials'!M70</f>
        <v>12825</v>
      </c>
      <c r="N66" s="92">
        <f>'Historical Financials'!N70</f>
        <v>12625</v>
      </c>
      <c r="O66" s="92">
        <f>'Historical Financials'!O70</f>
        <v>12736</v>
      </c>
      <c r="P66" s="92">
        <f>'Historical Financials'!P70</f>
        <v>12930</v>
      </c>
      <c r="Q66" s="92">
        <f>'Historical Financials'!Q70</f>
        <v>11596</v>
      </c>
      <c r="S66" s="10">
        <f t="shared" si="66"/>
        <v>13599</v>
      </c>
      <c r="T66" s="10">
        <f t="shared" si="66"/>
        <v>12576</v>
      </c>
      <c r="U66" s="10">
        <f t="shared" si="66"/>
        <v>13139</v>
      </c>
      <c r="V66" s="10">
        <f t="shared" si="66"/>
        <v>12825</v>
      </c>
      <c r="W66" s="10">
        <f t="shared" si="66"/>
        <v>12625</v>
      </c>
      <c r="X66" s="10">
        <f t="shared" si="66"/>
        <v>12736</v>
      </c>
      <c r="Y66" s="10">
        <f t="shared" si="66"/>
        <v>12930</v>
      </c>
      <c r="Z66" s="10">
        <f>Q66</f>
        <v>11596</v>
      </c>
    </row>
    <row r="67" spans="1:26">
      <c r="E67" s="10"/>
    </row>
    <row r="68" spans="1:26">
      <c r="B68" s="8" t="s">
        <v>198</v>
      </c>
      <c r="C68" s="164">
        <f>SUM(C65:C66)</f>
        <v>16773</v>
      </c>
      <c r="D68" s="164">
        <f t="shared" ref="D68:Q68" si="67">SUM(D65:D66)</f>
        <v>14679</v>
      </c>
      <c r="E68" s="164">
        <f t="shared" si="67"/>
        <v>14125</v>
      </c>
      <c r="G68" s="164">
        <f t="shared" si="67"/>
        <v>16900</v>
      </c>
      <c r="H68" s="164">
        <f t="shared" si="67"/>
        <v>16846</v>
      </c>
      <c r="I68" s="164">
        <f t="shared" si="67"/>
        <v>15528</v>
      </c>
      <c r="J68" s="164">
        <f t="shared" si="67"/>
        <v>14679</v>
      </c>
      <c r="K68" s="164">
        <f t="shared" si="67"/>
        <v>14586</v>
      </c>
      <c r="L68" s="164">
        <f t="shared" si="67"/>
        <v>14754</v>
      </c>
      <c r="M68" s="164">
        <f t="shared" si="67"/>
        <v>14979</v>
      </c>
      <c r="N68" s="164">
        <f t="shared" si="67"/>
        <v>14125</v>
      </c>
      <c r="O68" s="164">
        <f t="shared" si="67"/>
        <v>13242</v>
      </c>
      <c r="P68" s="164">
        <f t="shared" si="67"/>
        <v>13437</v>
      </c>
      <c r="Q68" s="164">
        <f t="shared" si="67"/>
        <v>12941</v>
      </c>
      <c r="S68" s="10">
        <f t="shared" ref="S68:Y68" si="68">J68</f>
        <v>14679</v>
      </c>
      <c r="T68" s="10">
        <f t="shared" si="68"/>
        <v>14586</v>
      </c>
      <c r="U68" s="10">
        <f t="shared" si="68"/>
        <v>14754</v>
      </c>
      <c r="V68" s="10">
        <f t="shared" si="68"/>
        <v>14979</v>
      </c>
      <c r="W68" s="10">
        <f t="shared" si="68"/>
        <v>14125</v>
      </c>
      <c r="X68" s="10">
        <f t="shared" si="68"/>
        <v>13242</v>
      </c>
      <c r="Y68" s="10">
        <f t="shared" si="68"/>
        <v>13437</v>
      </c>
      <c r="Z68" s="10">
        <f t="shared" ref="Z68" si="69">Q68</f>
        <v>12941</v>
      </c>
    </row>
    <row r="69" spans="1:26" ht="12.75" customHeight="1">
      <c r="B69" s="13" t="s">
        <v>20</v>
      </c>
      <c r="C69" s="14">
        <f>SUM(C68:C68)</f>
        <v>16773</v>
      </c>
      <c r="D69" s="14">
        <f>SUM(D68:D68)</f>
        <v>14679</v>
      </c>
      <c r="E69" s="14">
        <f>SUM(E68:E68)</f>
        <v>14125</v>
      </c>
      <c r="G69" s="14">
        <f>SUM(G68:G68)</f>
        <v>16900</v>
      </c>
      <c r="H69" s="14">
        <f>SUM(H68:H68)</f>
        <v>16846</v>
      </c>
      <c r="I69" s="14">
        <f>SUM(I68:I68)</f>
        <v>15528</v>
      </c>
      <c r="J69" s="14">
        <f>SUM(J68:J68)</f>
        <v>14679</v>
      </c>
      <c r="K69" s="14">
        <f>SUM(K68:K68)</f>
        <v>14586</v>
      </c>
      <c r="L69" s="14">
        <f>SUM(L68:L68)</f>
        <v>14754</v>
      </c>
      <c r="M69" s="14">
        <f>SUM(M68:M68)</f>
        <v>14979</v>
      </c>
      <c r="N69" s="14">
        <f>SUM(N68:N68)</f>
        <v>14125</v>
      </c>
      <c r="O69" s="14">
        <f>SUM(O68:O68)</f>
        <v>13242</v>
      </c>
      <c r="P69" s="14">
        <f>SUM(P68:P68)</f>
        <v>13437</v>
      </c>
      <c r="Q69" s="14">
        <f>SUM(Q68:Q68)</f>
        <v>12941</v>
      </c>
      <c r="S69" s="14" t="e">
        <f>SUM(#REF!)</f>
        <v>#REF!</v>
      </c>
      <c r="T69" s="14" t="e">
        <f>SUM(#REF!)</f>
        <v>#REF!</v>
      </c>
      <c r="U69" s="14" t="e">
        <f>SUM(#REF!)</f>
        <v>#REF!</v>
      </c>
      <c r="V69" s="14">
        <f>SUM(V68:V68)</f>
        <v>14979</v>
      </c>
      <c r="W69" s="14">
        <f>SUM(W68:W68)</f>
        <v>14125</v>
      </c>
      <c r="X69" s="14">
        <f>SUM(X68:X68)</f>
        <v>13242</v>
      </c>
      <c r="Y69" s="14">
        <f>SUM(Y68:Y68)</f>
        <v>13437</v>
      </c>
      <c r="Z69" s="14">
        <f>SUM(Z68:Z68)</f>
        <v>12941</v>
      </c>
    </row>
    <row r="70" spans="1:26" ht="5.0999999999999996" customHeight="1"/>
    <row r="71" spans="1:26" ht="12.75" customHeight="1">
      <c r="B71" s="8" t="s">
        <v>44</v>
      </c>
      <c r="C71" s="92">
        <f>'Historical Financials'!C79</f>
        <v>36686</v>
      </c>
      <c r="D71" s="92">
        <f>'Historical Financials'!D79</f>
        <v>38603</v>
      </c>
      <c r="E71" s="92">
        <f>'Historical Financials'!E79</f>
        <v>47664</v>
      </c>
      <c r="G71" s="92">
        <f>'Historical Financials'!G79</f>
        <v>37010</v>
      </c>
      <c r="H71" s="92">
        <f>'Historical Financials'!H79</f>
        <v>37174</v>
      </c>
      <c r="I71" s="92">
        <f>'Historical Financials'!I79</f>
        <v>37481</v>
      </c>
      <c r="J71" s="92">
        <f>'Historical Financials'!J79</f>
        <v>38603</v>
      </c>
      <c r="K71" s="92">
        <f>'Historical Financials'!K79</f>
        <v>38810</v>
      </c>
      <c r="L71" s="92">
        <f>'Historical Financials'!L79</f>
        <v>39318</v>
      </c>
      <c r="M71" s="92">
        <f>'Historical Financials'!M79</f>
        <v>39796</v>
      </c>
      <c r="N71" s="92">
        <f>'Historical Financials'!N79</f>
        <v>47664</v>
      </c>
      <c r="O71" s="92">
        <f>'Historical Financials'!O79</f>
        <v>48811</v>
      </c>
      <c r="P71" s="92">
        <f>'Historical Financials'!P79</f>
        <v>50565</v>
      </c>
      <c r="Q71" s="92">
        <f>'Historical Financials'!Q79</f>
        <v>50954</v>
      </c>
      <c r="S71" s="10">
        <f t="shared" ref="S71:Z71" si="70">J71</f>
        <v>38603</v>
      </c>
      <c r="T71" s="10">
        <f t="shared" si="70"/>
        <v>38810</v>
      </c>
      <c r="U71" s="10">
        <f t="shared" si="70"/>
        <v>39318</v>
      </c>
      <c r="V71" s="140">
        <f t="shared" si="70"/>
        <v>39796</v>
      </c>
      <c r="W71" s="140">
        <f t="shared" si="70"/>
        <v>47664</v>
      </c>
      <c r="X71" s="140">
        <f t="shared" si="70"/>
        <v>48811</v>
      </c>
      <c r="Y71" s="140">
        <f t="shared" si="70"/>
        <v>50565</v>
      </c>
      <c r="Z71" s="140">
        <f t="shared" si="70"/>
        <v>50954</v>
      </c>
    </row>
    <row r="72" spans="1:26" ht="12.75" customHeight="1">
      <c r="B72" s="13" t="s">
        <v>45</v>
      </c>
      <c r="C72" s="14">
        <f>SUM(C69:C71)</f>
        <v>53459</v>
      </c>
      <c r="D72" s="14">
        <f>SUM(D69:D71)</f>
        <v>53282</v>
      </c>
      <c r="E72" s="14">
        <f>SUM(E69:E71)</f>
        <v>61789</v>
      </c>
      <c r="G72" s="14">
        <f t="shared" ref="G72:L72" si="71">SUM(G69:G71)</f>
        <v>53910</v>
      </c>
      <c r="H72" s="14">
        <f t="shared" si="71"/>
        <v>54020</v>
      </c>
      <c r="I72" s="14">
        <f t="shared" si="71"/>
        <v>53009</v>
      </c>
      <c r="J72" s="14">
        <f t="shared" si="71"/>
        <v>53282</v>
      </c>
      <c r="K72" s="14">
        <f t="shared" si="71"/>
        <v>53396</v>
      </c>
      <c r="L72" s="14">
        <f t="shared" si="71"/>
        <v>54072</v>
      </c>
      <c r="M72" s="14">
        <f>SUM(M69:M71)</f>
        <v>54775</v>
      </c>
      <c r="N72" s="14">
        <f>SUM(N69:N71)</f>
        <v>61789</v>
      </c>
      <c r="O72" s="14">
        <f>SUM(O69:O71)</f>
        <v>62053</v>
      </c>
      <c r="P72" s="14">
        <f>SUM(P69:P71)</f>
        <v>64002</v>
      </c>
      <c r="Q72" s="14">
        <f>SUM(Q69:Q71)</f>
        <v>63895</v>
      </c>
      <c r="S72" s="14" t="e">
        <f t="shared" ref="S72:X72" si="72">SUM(S69:S71)</f>
        <v>#REF!</v>
      </c>
      <c r="T72" s="14" t="e">
        <f t="shared" si="72"/>
        <v>#REF!</v>
      </c>
      <c r="U72" s="14" t="e">
        <f t="shared" si="72"/>
        <v>#REF!</v>
      </c>
      <c r="V72" s="14">
        <f t="shared" si="72"/>
        <v>54775</v>
      </c>
      <c r="W72" s="14">
        <f t="shared" si="72"/>
        <v>61789</v>
      </c>
      <c r="X72" s="14">
        <f t="shared" si="72"/>
        <v>62053</v>
      </c>
      <c r="Y72" s="14">
        <f>SUM(Y69:Y71)</f>
        <v>64002</v>
      </c>
      <c r="Z72" s="14">
        <f>SUM(Z69:Z71)</f>
        <v>63895</v>
      </c>
    </row>
    <row r="73" spans="1:26" ht="5.0999999999999996" customHeight="1"/>
    <row r="74" spans="1:26" ht="12.75" customHeight="1">
      <c r="A74" s="5"/>
      <c r="B74" s="32" t="s">
        <v>65</v>
      </c>
      <c r="C74" s="32"/>
      <c r="D74" s="32"/>
      <c r="E74" s="32"/>
      <c r="F74" s="32"/>
      <c r="G74" s="32"/>
      <c r="H74" s="32"/>
      <c r="I74" s="32"/>
      <c r="J74" s="32"/>
      <c r="K74" s="32"/>
      <c r="L74" s="32"/>
      <c r="M74" s="32"/>
      <c r="N74" s="32"/>
      <c r="O74" s="32"/>
      <c r="P74" s="32"/>
      <c r="Q74" s="32"/>
      <c r="R74" s="32"/>
      <c r="S74" s="32"/>
      <c r="T74" s="32"/>
      <c r="U74" s="32"/>
      <c r="V74" s="32"/>
      <c r="W74" s="32"/>
      <c r="X74" s="32"/>
      <c r="Y74" s="32"/>
      <c r="Z74" s="32"/>
    </row>
    <row r="75" spans="1:26" ht="5.0999999999999996" customHeight="1"/>
    <row r="76" spans="1:26" ht="12.75" customHeight="1">
      <c r="B76" s="30" t="s">
        <v>83</v>
      </c>
      <c r="C76" s="81">
        <f>C69/C31</f>
        <v>1.362108169563099</v>
      </c>
      <c r="D76" s="81">
        <f>D69/D31</f>
        <v>1.4162083936324168</v>
      </c>
      <c r="E76" s="81">
        <f>E69/E31</f>
        <v>1.3181224337439343</v>
      </c>
      <c r="G76" s="81">
        <f>SUM(G69/SUM(G31:G31))</f>
        <v>6.5100154083204931</v>
      </c>
      <c r="H76" s="81">
        <f>SUM(H69/SUM(G31:H31))</f>
        <v>3.3226824457593689</v>
      </c>
      <c r="I76" s="81">
        <f>SUM(I69/SUM(G31:I31))</f>
        <v>2.0276834682684775</v>
      </c>
      <c r="J76" s="81">
        <f>SUM(J69/SUM(G31:J31))</f>
        <v>1.4162083936324168</v>
      </c>
      <c r="K76" s="81">
        <f>SUM(K69/SUM(H31:K31))</f>
        <v>1.4210833982852689</v>
      </c>
      <c r="L76" s="81">
        <f>SUM(L69/SUM(I31:L31))</f>
        <v>1.4179721287842384</v>
      </c>
      <c r="M76" s="81">
        <f>SUM(M69/SUM(J31:M31))</f>
        <v>1.4139135359637531</v>
      </c>
      <c r="N76" s="81">
        <f>SUM(N69/SUM(K31:N31))</f>
        <v>1.3181224337439343</v>
      </c>
      <c r="O76" s="81">
        <f>SUM(O69/SUM(L31:O31))</f>
        <v>1.2083219271831371</v>
      </c>
      <c r="P76" s="81">
        <f>SUM(P69/SUM(M31:P31))</f>
        <v>1.1875386654882898</v>
      </c>
      <c r="Q76" s="81">
        <f>SUM(Q69/SUM(N31:Q31))</f>
        <v>1.1247175386754737</v>
      </c>
      <c r="R76" s="81"/>
      <c r="S76" s="81" t="e">
        <f>S69/S31</f>
        <v>#REF!</v>
      </c>
      <c r="T76" s="81" t="e">
        <f>T69/T31</f>
        <v>#REF!</v>
      </c>
      <c r="U76" s="81" t="e">
        <f>U69/U31</f>
        <v>#REF!</v>
      </c>
      <c r="V76" s="81">
        <f>V69/V31</f>
        <v>1.4139135359637531</v>
      </c>
      <c r="W76" s="81">
        <f>W69/W31</f>
        <v>1.3181224337439343</v>
      </c>
      <c r="X76" s="81">
        <f>X69/X31</f>
        <v>1.2083219271831371</v>
      </c>
      <c r="Y76" s="81">
        <f>Y69/Y31</f>
        <v>1.1875386654882898</v>
      </c>
      <c r="Z76" s="81">
        <f>Z69/Z31</f>
        <v>1.1247175386754737</v>
      </c>
    </row>
    <row r="77" spans="1:26" ht="12.75" customHeight="1">
      <c r="B77" s="30" t="s">
        <v>84</v>
      </c>
      <c r="C77" s="81">
        <f>SUM(C69-C50)/C31</f>
        <v>0.55960695143738837</v>
      </c>
      <c r="D77" s="81">
        <f>SUM(D69-D50)/D31</f>
        <v>0.75089242643511822</v>
      </c>
      <c r="E77" s="81">
        <f>SUM(E69-E50)/E31</f>
        <v>0.60740948114968274</v>
      </c>
      <c r="G77" s="81">
        <f>SUM(G69-G50)/SUM(G31:G31)</f>
        <v>2.9811248073959939</v>
      </c>
      <c r="H77" s="81">
        <f>SUM(H69-H50)/SUM(G31:H31)</f>
        <v>1.7773175542406312</v>
      </c>
      <c r="I77" s="81">
        <f>SUM(I69-I50)/SUM(G31:I31)</f>
        <v>1.1516061634891617</v>
      </c>
      <c r="J77" s="81">
        <f>SUM(J69-J50)/SUM(G31:J31)</f>
        <v>0.75089242643511822</v>
      </c>
      <c r="K77" s="81">
        <f>SUM(K69-K50)/SUM(H31:K31)</f>
        <v>0.80884645362431795</v>
      </c>
      <c r="L77" s="81">
        <f>SUM(L69-L50)/SUM(I31:L31)</f>
        <v>0.74646804420951463</v>
      </c>
      <c r="M77" s="81">
        <f>SUM(M69-M50)/SUM(J31:M31)</f>
        <v>0.70049084387389093</v>
      </c>
      <c r="N77" s="81">
        <f>SUM(N69-N50)/SUM(K31:N31)</f>
        <v>0.60740948114968274</v>
      </c>
      <c r="O77" s="81">
        <f>SUM(O69-O50)/SUM(L31:O31)</f>
        <v>0.6122821425312529</v>
      </c>
      <c r="P77" s="81">
        <f>SUM(P69-P50)/SUM(M31:P31)</f>
        <v>0.57322138753866547</v>
      </c>
      <c r="Q77" s="81">
        <f>SUM(Q69-Q50)/SUM(N31:Q31)</f>
        <v>0.47192768990092127</v>
      </c>
      <c r="R77" s="81"/>
      <c r="S77" s="81" t="e">
        <f>SUM(S69-S50)/S31</f>
        <v>#REF!</v>
      </c>
      <c r="T77" s="81" t="e">
        <f>SUM(T69-T50)/T31</f>
        <v>#REF!</v>
      </c>
      <c r="U77" s="81" t="e">
        <f>SUM(U69-U50)/U31</f>
        <v>#REF!</v>
      </c>
      <c r="V77" s="81">
        <f>SUM(V69-V50)/V31</f>
        <v>0.70049084387389093</v>
      </c>
      <c r="W77" s="81">
        <f>SUM(W69-W50)/W31</f>
        <v>0.60740948114968274</v>
      </c>
      <c r="X77" s="81">
        <f>SUM(X69-X50)/X31</f>
        <v>0.6122821425312529</v>
      </c>
      <c r="Y77" s="81">
        <f>SUM(Y69-Y50)/Y31</f>
        <v>0.57322138753866547</v>
      </c>
      <c r="Z77" s="81">
        <f>SUM(Z69-Z50)/Z31</f>
        <v>0.47192768990092127</v>
      </c>
    </row>
    <row r="78" spans="1:26" ht="12.75" customHeight="1">
      <c r="B78" s="30" t="s">
        <v>85</v>
      </c>
      <c r="C78" s="81">
        <f>C31/-C36</f>
        <v>21.872113676731793</v>
      </c>
      <c r="D78" s="81">
        <f>D31/-D36</f>
        <v>15.657099697885196</v>
      </c>
      <c r="E78" s="81">
        <f>E31/-E36</f>
        <v>17.741721854304636</v>
      </c>
      <c r="G78" s="81" cm="1">
        <f t="array" ref="G78">SUM(G31:G31)/SUM(-G36:G36)</f>
        <v>15.685800604229607</v>
      </c>
      <c r="H78" s="81" cm="1">
        <f t="array" ref="H78">SUM(G31:H31)/SUM(-G36:H36)</f>
        <v>15.317220543806647</v>
      </c>
      <c r="I78" s="81" cm="1">
        <f t="array" ref="I78">SUM(G31:I31)/SUM(-G36:I36)</f>
        <v>15.423967774420946</v>
      </c>
      <c r="J78" s="81" cm="1">
        <f t="array" ref="J78">SUM(G31:J31)/SUM(-G36:J36)</f>
        <v>15.657099697885196</v>
      </c>
      <c r="K78" s="81" cm="1">
        <f t="array" ref="K78">SUM(H31:K31)/SUM(-H36:K36)</f>
        <v>15.851737451737451</v>
      </c>
      <c r="L78" s="81" cm="1">
        <f t="array" ref="L78">SUM(I31:L31)/SUM(-I36:L36)</f>
        <v>16.437598736176934</v>
      </c>
      <c r="M78" s="81" cm="1">
        <f t="array" ref="M78">SUM(J31:M31)/SUM(-J36:M36)</f>
        <v>17.128536782538401</v>
      </c>
      <c r="N78" s="81" cm="1">
        <f t="array" ref="N78">SUM(K31:N31)/SUM(-K36:N36)</f>
        <v>17.741721854304636</v>
      </c>
      <c r="O78" s="81" cm="1">
        <f t="array" ref="O78">SUM(L31:O31)/SUM(-L36:O36)</f>
        <v>18.144039735099337</v>
      </c>
      <c r="P78" s="81" cm="1">
        <f t="array" ref="P78">SUM(M31:P31)/SUM(-M36:P36)</f>
        <v>18.733443708609272</v>
      </c>
      <c r="Q78" s="81" cm="1">
        <f t="array" ref="Q78">SUM(N31:Q31)/SUM(-N36:Q36)</f>
        <v>19.049668874172184</v>
      </c>
      <c r="R78" s="81"/>
      <c r="S78" s="81">
        <f>S31/-S36</f>
        <v>15.657099697885196</v>
      </c>
      <c r="T78" s="81">
        <f>T31/-T36</f>
        <v>15.851737451737451</v>
      </c>
      <c r="U78" s="81">
        <f>U31/-U36</f>
        <v>16.437598736176934</v>
      </c>
      <c r="V78" s="81">
        <f>V31/-V36</f>
        <v>17.128536782538401</v>
      </c>
      <c r="W78" s="81">
        <f>W31/-W36</f>
        <v>17.741721854304636</v>
      </c>
      <c r="X78" s="81">
        <f>X31/-X36</f>
        <v>18.144039735099337</v>
      </c>
      <c r="Y78" s="81">
        <f>Y31/-Y36</f>
        <v>18.733443708609272</v>
      </c>
      <c r="Z78" s="81">
        <f>Z31/-Z36</f>
        <v>19.049668874172184</v>
      </c>
    </row>
    <row r="79" spans="1:26" ht="12.75" customHeight="1">
      <c r="B79" s="30" t="s">
        <v>86</v>
      </c>
      <c r="C79" s="81" cm="1">
        <f t="array" ref="C79">SUM(C31+C34)/SUM(-C35:C36)</f>
        <v>4.3415739596209315</v>
      </c>
      <c r="D79" s="81" cm="1">
        <f t="array" ref="D79">SUM(D31+D34)/SUM(-D35:D36)</f>
        <v>3.8198408984557792</v>
      </c>
      <c r="E79" s="81" cm="1">
        <f t="array" ref="E79">SUM(E31+E34)/SUM(-E35:E36)</f>
        <v>3.6566394499355392</v>
      </c>
      <c r="G79" s="81" cm="1">
        <f t="array" ref="G79">SUM(G31:G31+G34:G34)/SUM(-G35:G36)</f>
        <v>4.1478708469817498</v>
      </c>
      <c r="H79" s="81" cm="1">
        <f t="array" ref="H79">SUM(G31:H31+G34:H34)/SUM(-G35:H36)</f>
        <v>3.9148338792700046</v>
      </c>
      <c r="I79" s="81" cm="1">
        <f t="array" ref="I79">SUM(G31:I31+G34:I34)/SUM(-G35:I36)</f>
        <v>3.8752144751208859</v>
      </c>
      <c r="J79" s="81" cm="1">
        <f t="array" ref="J79">SUM(G31:J31+G34:J34)/SUM(-G35:J36)</f>
        <v>3.8198408984557792</v>
      </c>
      <c r="K79" s="81" cm="1">
        <f t="array" ref="K79">SUM(H31:K31+H34:K34)/SUM(-H35:K36)</f>
        <v>3.6823071641107803</v>
      </c>
      <c r="L79" s="81" cm="1">
        <f t="array" ref="L79">SUM(I31:L31+I34:L34)/SUM(-I35:L36)</f>
        <v>3.6554659498207887</v>
      </c>
      <c r="M79" s="81" cm="1">
        <f t="array" ref="M79">SUM(J31:M31+J34:M34)/SUM(-J35:M36)</f>
        <v>3.6639613950427727</v>
      </c>
      <c r="N79" s="81" cm="1">
        <f t="array" ref="N79">SUM(K31:N31+K34:N34)/SUM(-K35:N36)</f>
        <v>3.6566394499355392</v>
      </c>
      <c r="O79" s="81" cm="1">
        <f t="array" ref="O79">SUM(L31:O31+L34:O34)/SUM(-L35:O36)</f>
        <v>3.724108293940696</v>
      </c>
      <c r="P79" s="81" cm="1">
        <f t="array" ref="P79">SUM(M31:P31+M34:P34)/SUM(-M35:P36)</f>
        <v>3.8904168457241082</v>
      </c>
      <c r="Q79" s="81" cm="1">
        <f t="array" ref="Q79">SUM(N31:Q31+N34:Q34)/SUM(-N35:Q36)</f>
        <v>3.9982810485603784</v>
      </c>
      <c r="R79" s="81"/>
      <c r="S79" s="81" cm="1">
        <f t="array" ref="S79">SUM(S31+S34)/SUM(-S35:S36)</f>
        <v>3.8198408984557792</v>
      </c>
      <c r="T79" s="81" cm="1">
        <f t="array" ref="T79">SUM(T31+T34)/SUM(-T35:T36)</f>
        <v>3.6823071641107803</v>
      </c>
      <c r="U79" s="81" cm="1">
        <f t="array" ref="U79">SUM(U31+U34)/SUM(-U35:U36)</f>
        <v>3.6554659498207887</v>
      </c>
      <c r="V79" s="81" cm="1">
        <f t="array" ref="V79">SUM(V31+V34)/SUM(-V35:V36)</f>
        <v>3.6639613950427727</v>
      </c>
      <c r="W79" s="81" cm="1">
        <f t="array" ref="W79">SUM(W31+W34)/SUM(-W35:W36)</f>
        <v>3.6566394499355392</v>
      </c>
      <c r="X79" s="81" cm="1">
        <f t="array" ref="X79">SUM(X31+X34)/SUM(-X35:X36)</f>
        <v>3.724108293940696</v>
      </c>
      <c r="Y79" s="81" cm="1">
        <f t="array" ref="Y79">SUM(Y31+Y34)/SUM(-Y35:Y36)</f>
        <v>3.8904168457241082</v>
      </c>
      <c r="Z79" s="81" cm="1">
        <f t="array" ref="Z79">SUM(Z31+Z34)/SUM(-Z35:Z36)</f>
        <v>3.9982810485603784</v>
      </c>
    </row>
    <row r="80" spans="1:26" ht="12.75" customHeight="1">
      <c r="B80" s="30" t="s">
        <v>87</v>
      </c>
      <c r="C80" s="81" cm="1">
        <f t="array" ref="C80">SUM(C31)/SUM(-C34:C36)</f>
        <v>2.9291151284490962</v>
      </c>
      <c r="D80" s="81" cm="1">
        <f t="array" ref="D80">SUM(D31)/SUM(-D34:D36)</f>
        <v>2.3887992625028809</v>
      </c>
      <c r="E80" s="81" cm="1">
        <f t="array" ref="E80">SUM(E31)/SUM(-E34:E36)</f>
        <v>2.3634759594177326</v>
      </c>
      <c r="G80" s="81" cm="1">
        <f t="array" ref="G80">SUM(G31:G31)/SUM(-G34:G36)</f>
        <v>2.8394859174186493</v>
      </c>
      <c r="H80" s="81" cm="1">
        <f t="array" ref="H80">SUM(G31:H31)/SUM(-G34:H36)</f>
        <v>2.592687292252621</v>
      </c>
      <c r="I80" s="81" cm="1">
        <f t="array" ref="I80">SUM(G31:I31)/SUM(-G34:I36)</f>
        <v>2.5110254938929422</v>
      </c>
      <c r="J80" s="81" cm="1">
        <f t="array" ref="J80">SUM(G31:J31)/SUM(-G34:J36)</f>
        <v>2.3887992625028809</v>
      </c>
      <c r="K80" s="81" cm="1">
        <f t="array" ref="K80">SUM(H31:K31)/SUM(-H34:K36)</f>
        <v>2.3303439663980021</v>
      </c>
      <c r="L80" s="81" cm="1">
        <f t="array" ref="L80">SUM(I31:L31)/SUM(-I34:L36)</f>
        <v>2.32358195623046</v>
      </c>
      <c r="M80" s="81" cm="1">
        <f t="array" ref="M80">SUM(J31:M31)/SUM(-J34:M36)</f>
        <v>2.3430277562755721</v>
      </c>
      <c r="N80" s="81" cm="1">
        <f t="array" ref="N80">SUM(K31:N31)/SUM(-K34:N36)</f>
        <v>2.3634759594177326</v>
      </c>
      <c r="O80" s="81" cm="1">
        <f t="array" ref="O80">SUM(L31:O31)/SUM(-L34:O36)</f>
        <v>2.372077922077922</v>
      </c>
      <c r="P80" s="81" cm="1">
        <f t="array" ref="P80">SUM(M31:P31)/SUM(-M34:P36)</f>
        <v>2.4656787971235565</v>
      </c>
      <c r="Q80" s="81" cm="1">
        <f t="array" ref="Q80">SUM(N31:Q31)/SUM(-N34:Q36)</f>
        <v>2.5405166703466548</v>
      </c>
      <c r="R80" s="81"/>
      <c r="S80" s="81" cm="1">
        <f t="array" ref="S80">SUM(S31)/SUM(-S34:S36)</f>
        <v>2.3887992625028809</v>
      </c>
      <c r="T80" s="81" cm="1">
        <f t="array" ref="T80">SUM(T31)/SUM(-T34:T36)</f>
        <v>2.3303439663980021</v>
      </c>
      <c r="U80" s="81" cm="1">
        <f t="array" ref="U80">SUM(U31)/SUM(-U34:U36)</f>
        <v>2.32358195623046</v>
      </c>
      <c r="V80" s="81" cm="1">
        <f t="array" ref="V80">SUM(V31)/SUM(-V34:V36)</f>
        <v>2.3430277562755721</v>
      </c>
      <c r="W80" s="81" cm="1">
        <f t="array" ref="W80">SUM(W31)/SUM(-W34:W36)</f>
        <v>2.3634759594177326</v>
      </c>
      <c r="X80" s="81" cm="1">
        <f t="array" ref="X80">SUM(X31)/SUM(-X34:X36)</f>
        <v>2.372077922077922</v>
      </c>
      <c r="Y80" s="81" cm="1">
        <f t="array" ref="Y80">SUM(Y31)/SUM(-Y34:Y36)</f>
        <v>2.4656787971235565</v>
      </c>
      <c r="Z80" s="81" cm="1">
        <f t="array" ref="Z80">SUM(Z31)/SUM(-Z34:Z36)</f>
        <v>2.5405166703466548</v>
      </c>
    </row>
    <row r="81" spans="2:26" ht="12.75" customHeight="1">
      <c r="B81" s="8" t="s">
        <v>46</v>
      </c>
      <c r="C81" s="81">
        <f>C72/C69</f>
        <v>3.1872056280927681</v>
      </c>
      <c r="D81" s="81">
        <f>D72/D69</f>
        <v>3.6298112950473467</v>
      </c>
      <c r="E81" s="81">
        <f>E72/E69</f>
        <v>4.374442477876106</v>
      </c>
      <c r="G81" s="81">
        <f t="shared" ref="G81:P81" si="73">G72/G69</f>
        <v>3.1899408284023667</v>
      </c>
      <c r="H81" s="81">
        <f t="shared" si="73"/>
        <v>3.2066959515612017</v>
      </c>
      <c r="I81" s="81">
        <f t="shared" si="73"/>
        <v>3.4137686759402368</v>
      </c>
      <c r="J81" s="81">
        <f t="shared" si="73"/>
        <v>3.6298112950473467</v>
      </c>
      <c r="K81" s="81">
        <f t="shared" si="73"/>
        <v>3.6607706019470725</v>
      </c>
      <c r="L81" s="81">
        <f t="shared" si="73"/>
        <v>3.6649044326962179</v>
      </c>
      <c r="M81" s="81">
        <f t="shared" si="73"/>
        <v>3.6567861673008881</v>
      </c>
      <c r="N81" s="81">
        <f t="shared" si="73"/>
        <v>4.374442477876106</v>
      </c>
      <c r="O81" s="81">
        <f t="shared" si="73"/>
        <v>4.6860746110859388</v>
      </c>
      <c r="P81" s="81">
        <f t="shared" si="73"/>
        <v>4.7631167671355215</v>
      </c>
      <c r="Q81" s="81">
        <f>Q72/Q69</f>
        <v>4.9374082373850552</v>
      </c>
      <c r="R81" s="81"/>
      <c r="S81" s="81" t="e">
        <f t="shared" ref="S81:X81" si="74">S72/S69</f>
        <v>#REF!</v>
      </c>
      <c r="T81" s="81" t="e">
        <f t="shared" si="74"/>
        <v>#REF!</v>
      </c>
      <c r="U81" s="81" t="e">
        <f t="shared" si="74"/>
        <v>#REF!</v>
      </c>
      <c r="V81" s="81">
        <f t="shared" si="74"/>
        <v>3.6567861673008881</v>
      </c>
      <c r="W81" s="81">
        <f t="shared" si="74"/>
        <v>4.374442477876106</v>
      </c>
      <c r="X81" s="81">
        <f t="shared" si="74"/>
        <v>4.6860746110859388</v>
      </c>
      <c r="Y81" s="81">
        <f>Y72/Y69</f>
        <v>4.7631167671355215</v>
      </c>
      <c r="Z81" s="81">
        <f>Z72/Z69</f>
        <v>4.9374082373850552</v>
      </c>
    </row>
    <row r="82" spans="2:26" ht="5.0999999999999996" customHeight="1" thickBot="1">
      <c r="B82" s="36"/>
      <c r="C82" s="36"/>
      <c r="D82" s="36"/>
      <c r="E82" s="36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</row>
  </sheetData>
  <mergeCells count="1">
    <mergeCell ref="AB2:AB4"/>
  </mergeCells>
  <pageMargins left="0.7" right="0.7" top="0.75" bottom="0.75" header="0.3" footer="0.3"/>
  <ignoredErrors>
    <ignoredError sqref="C39:F40 AA40:AB40 F34:F36 F42 AA42:AB42 AA38 AA39 F38 AA41:AB41 F41 G39:P40" formulaRange="1"/>
    <ignoredError sqref="F25 R25 AB38:AB39 R30 AB11:AB14 F16 AB22:AB25 F27 AB16:AB18 R19 F19 C77:R81 G14:R14 C12:F14 H13:R13 K12:R12 R21 F21:F22 AB27:AB29 F30:F31 S76:Z81 C23:Z24 C17:Z18 C28:Z29 C32:Z32 S13:Z14 W12:Z12 C76:P76 R76 AB31:AB36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2025-12-31T04:41:46Z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